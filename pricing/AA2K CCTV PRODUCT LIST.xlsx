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CTV ACCESSORIES" sheetId="1" r:id="rId4"/>
    <sheet state="visible" name="CCTV_HIKVISION" sheetId="2" r:id="rId5"/>
    <sheet state="visible" name="CCTV_HONEYWELL" sheetId="3" r:id="rId6"/>
    <sheet state="visible" name="CCTV_DAHUA" sheetId="4" r:id="rId7"/>
    <sheet state="visible" name="CCTV_EZVIZ" sheetId="5" r:id="rId8"/>
    <sheet state="visible" name="CCTV_BOSCH" sheetId="6" r:id="rId9"/>
    <sheet state="visible" name="CCTV_PANASONIC" sheetId="7" r:id="rId10"/>
    <sheet state="visible" name="CCTV_IMOU" sheetId="8" r:id="rId11"/>
    <sheet state="visible" name=" CCTV_UNIVIEW " sheetId="9" r:id="rId12"/>
    <sheet state="visible" name="CCTV_AVTECH" sheetId="10" r:id="rId13"/>
  </sheets>
  <definedNames/>
  <calcPr/>
  <extLst>
    <ext uri="GoogleSheetsCustomDataVersion2">
      <go:sheetsCustomData xmlns:go="http://customooxmlschemas.google.com/" r:id="rId14" roundtripDataChecksum="9b2uylrZxlxKk5at9xY9XiO7JMkjSnfeq09sVY0Cp6c="/>
    </ext>
  </extLst>
</workbook>
</file>

<file path=xl/sharedStrings.xml><?xml version="1.0" encoding="utf-8"?>
<sst xmlns="http://schemas.openxmlformats.org/spreadsheetml/2006/main" count="5798" uniqueCount="3445">
  <si>
    <t xml:space="preserve"> </t>
  </si>
  <si>
    <t>BRAND</t>
  </si>
  <si>
    <t>MODEL</t>
  </si>
  <si>
    <t xml:space="preserve">ITEM DESCRIPTION </t>
  </si>
  <si>
    <t>OTHER DESCRIPTION</t>
  </si>
  <si>
    <r>
      <rPr>
        <rFont val="Calibri"/>
        <b/>
        <color theme="1"/>
        <sz val="11.0"/>
      </rPr>
      <t xml:space="preserve">PURCHASE AMOUNT as of feb 2022
</t>
    </r>
    <r>
      <rPr>
        <rFont val="Calibri"/>
        <b/>
        <color rgb="FFC00000"/>
        <sz val="11.0"/>
      </rPr>
      <t>Vat-Ex</t>
    </r>
  </si>
  <si>
    <r>
      <rPr>
        <rFont val="Calibri"/>
        <b/>
        <color theme="1"/>
        <sz val="11.0"/>
      </rPr>
      <t>PURCHASE AMOUNT</t>
    </r>
    <r>
      <rPr>
        <rFont val="Calibri"/>
        <b/>
        <color theme="1"/>
        <sz val="11.0"/>
      </rPr>
      <t xml:space="preserve">
</t>
    </r>
    <r>
      <rPr>
        <rFont val="Calibri"/>
        <b/>
        <color rgb="FFC00000"/>
        <sz val="11.0"/>
      </rPr>
      <t>Vat-Ex</t>
    </r>
  </si>
  <si>
    <t>Last Price Update Date</t>
  </si>
  <si>
    <t>SRP (End-User)</t>
  </si>
  <si>
    <t>DEALER's PRICE</t>
  </si>
  <si>
    <t>CONTRACTOR's PRICE</t>
  </si>
  <si>
    <t>REMARKS</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</si>
  <si>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</si>
  <si>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</si>
  <si>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</si>
  <si>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</si>
  <si>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</si>
  <si>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</si>
  <si>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SUPPLIER CODE</t>
  </si>
  <si>
    <t>Cable</t>
  </si>
  <si>
    <t>RG59-SIAMESE</t>
  </si>
  <si>
    <t>75 0.65BC CCA128 Braiding</t>
  </si>
  <si>
    <t xml:space="preserve">Al-foil trap + 2C 0.75mm2 </t>
  </si>
  <si>
    <t>RG59CCS</t>
  </si>
  <si>
    <t>75 65BC CCS128 Braiding</t>
  </si>
  <si>
    <t>RG-6CCS</t>
  </si>
  <si>
    <t>1.02 CCS 23, 4.6FPE ,Bonded AL Foil</t>
  </si>
  <si>
    <t>4x16x0.16AL (60%) Braid Black with jelly</t>
  </si>
  <si>
    <t>CAT5-4@</t>
  </si>
  <si>
    <t xml:space="preserve">CAT5e 24AWG/ 4 Pairs UTP Cable </t>
  </si>
  <si>
    <t>[Outdoor 305m/Roll]</t>
  </si>
  <si>
    <t>CAT5-4e</t>
  </si>
  <si>
    <t>CAT5e 24AWG/4 Pairs UTP Cable</t>
  </si>
  <si>
    <t>CAT6-4e</t>
  </si>
  <si>
    <t>CAT6 23AWG UTP cable</t>
  </si>
  <si>
    <t>CAT6-4@</t>
  </si>
  <si>
    <t>CAT 6 24AWG/4Pairs UTP Cable</t>
  </si>
  <si>
    <t>YX-2822-150</t>
  </si>
  <si>
    <t>HDMI Cable [1.5m]</t>
  </si>
  <si>
    <t>YX-2822-200</t>
  </si>
  <si>
    <t>HDMI Cable [2.m]</t>
  </si>
  <si>
    <t>YX-2822-300</t>
  </si>
  <si>
    <t>HDMI Cable [3.m]</t>
  </si>
  <si>
    <t>YX-2822-500</t>
  </si>
  <si>
    <t>HDMI Cable [5.m]</t>
  </si>
  <si>
    <t>GYXTW-12B1</t>
  </si>
  <si>
    <t xml:space="preserve">12 Core Single Mode Outdoor Optical Fiber Cable </t>
  </si>
  <si>
    <t>[2000m/Roll]</t>
  </si>
  <si>
    <t>GYXTW-4B1</t>
  </si>
  <si>
    <t xml:space="preserve">4 Core Single Mode Outdoor Optical Fiber Cable </t>
  </si>
  <si>
    <t>GYXTW-8B1</t>
  </si>
  <si>
    <t xml:space="preserve">8 Core Single Mode Outdoor Optical Fiber Cable </t>
  </si>
  <si>
    <t>[1000m/Roll]</t>
  </si>
  <si>
    <t>4-WAY</t>
  </si>
  <si>
    <t>4-WAY SPLITTER CABLE</t>
  </si>
  <si>
    <t>8-WAY</t>
  </si>
  <si>
    <t>8-WAY SPLITTER CABLE</t>
  </si>
  <si>
    <t>Patch Cord</t>
  </si>
  <si>
    <t>SC-SC/PC</t>
  </si>
  <si>
    <t>Single mode simplex Patch-cord</t>
  </si>
  <si>
    <t>LC-LC/PC</t>
  </si>
  <si>
    <t>Single mode duplex patch-cord</t>
  </si>
  <si>
    <t>LC-SC/PC</t>
  </si>
  <si>
    <t>Single Mode,Simplex patch-cord</t>
  </si>
  <si>
    <t>Connector</t>
  </si>
  <si>
    <t>FF-FF</t>
  </si>
  <si>
    <t>F-Female to F-female connector</t>
  </si>
  <si>
    <t>BNC-DC</t>
  </si>
  <si>
    <t>BNC-Male to DC</t>
  </si>
  <si>
    <t>BNC-F-BNC-F</t>
  </si>
  <si>
    <t>BNC-Female to BNC-Female</t>
  </si>
  <si>
    <t>BNC-F-FF</t>
  </si>
  <si>
    <t>BNC-Female to F-Female</t>
  </si>
  <si>
    <t>BNC-M-BNC-M</t>
  </si>
  <si>
    <t>BNC-Male to BNC-Male</t>
  </si>
  <si>
    <t>BNC-M-RCA-F</t>
  </si>
  <si>
    <t>BNC-Male to RCA-Female</t>
  </si>
  <si>
    <t>DC-PLUG-F02</t>
  </si>
  <si>
    <t>DC-Plug Lead-Free</t>
  </si>
  <si>
    <t>DC-FEMALE</t>
  </si>
  <si>
    <t>DC FEMALE PLUG CONNECTOR</t>
  </si>
  <si>
    <t>DC-MALE</t>
  </si>
  <si>
    <t>DC MALE PLUG CONNECTOR</t>
  </si>
  <si>
    <t>RJ-45</t>
  </si>
  <si>
    <t>CAT5 LAN cristal</t>
  </si>
  <si>
    <t>RJ-45s</t>
  </si>
  <si>
    <t>CAT5 LAN cristal [shielding]</t>
  </si>
  <si>
    <t>LC-LC</t>
  </si>
  <si>
    <t>Single mode Duplex flange</t>
  </si>
  <si>
    <t>YDF6-079-RG6</t>
  </si>
  <si>
    <t>RG6 connector</t>
  </si>
  <si>
    <t>SC-SC</t>
  </si>
  <si>
    <t>Single mode simplex flange</t>
  </si>
  <si>
    <t>Video Balun</t>
  </si>
  <si>
    <t>FS-HDP4101P</t>
  </si>
  <si>
    <t>1-ch HD Passive Video Balun</t>
  </si>
  <si>
    <t>VB-CBI</t>
  </si>
  <si>
    <t>Passive video balun</t>
  </si>
  <si>
    <t>GENERIC VIDEO BALUN</t>
  </si>
  <si>
    <t>Fusion Splicer</t>
  </si>
  <si>
    <t>JETFIBER-H5</t>
  </si>
  <si>
    <t>Optical Fiber Fusion Splicer</t>
  </si>
  <si>
    <t>Patch Panel</t>
  </si>
  <si>
    <t>LSF-GQ-4P</t>
  </si>
  <si>
    <t>4 Port Fiber TrayTerminal Box</t>
  </si>
  <si>
    <t>LSF-GQ-8P</t>
  </si>
  <si>
    <t>8 Port Fiber Terminal Box</t>
  </si>
  <si>
    <t>LSF-GQ-12</t>
  </si>
  <si>
    <t>12 Cores Fiber Terminal Box</t>
  </si>
  <si>
    <t>Terminal Box</t>
  </si>
  <si>
    <t>08-13</t>
  </si>
  <si>
    <t>Fiber Optic Cable Terminal Box</t>
  </si>
  <si>
    <t>Optical module</t>
  </si>
  <si>
    <t>SFP</t>
  </si>
  <si>
    <t>1.25 Gbps Single mode dual fiber SFP optical module</t>
  </si>
  <si>
    <t>TOOLKIT</t>
  </si>
  <si>
    <t>Optical Fiber Toolkit</t>
  </si>
  <si>
    <t>Hot Air</t>
  </si>
  <si>
    <t>ESD-850C</t>
  </si>
  <si>
    <t>Hot air rework station</t>
  </si>
  <si>
    <t>ESD-936</t>
  </si>
  <si>
    <t>AirFiber</t>
  </si>
  <si>
    <t>AF-24</t>
  </si>
  <si>
    <t>airFiber 2.4GHz Point-to-Point Gigabit Radio, High Performance Wireless Backhaul Extreme, Long-Range Links</t>
  </si>
  <si>
    <t>AF-5</t>
  </si>
  <si>
    <t>airFiber 5GHz Point-to-Point Gigabit Radio,High Performance Wireless Backhaul Extreme, Long-Range Links</t>
  </si>
  <si>
    <t>AF-5G30-S45</t>
  </si>
  <si>
    <t>Slant 45 Antenna for airFiber</t>
  </si>
  <si>
    <t>ROCKETM2</t>
  </si>
  <si>
    <t>Ubiquiti 2.4 GHz Carrier Class airMAX BaseStation</t>
  </si>
  <si>
    <t>ROCKETM5</t>
  </si>
  <si>
    <t>Ubiquiti 5 GHz Carrier Class airMAX BaseStation</t>
  </si>
  <si>
    <t>AF60-LR</t>
  </si>
  <si>
    <t>airFiber 60 LR</t>
  </si>
  <si>
    <t>AirMAXac Sector</t>
  </si>
  <si>
    <t>AM-5G19-120</t>
  </si>
  <si>
    <t>Ubiquiti AirMAXac Sector</t>
  </si>
  <si>
    <t>AM-5G20-90</t>
  </si>
  <si>
    <t>AirMAX Omni Antenna</t>
  </si>
  <si>
    <t>AMO-2G10</t>
  </si>
  <si>
    <t>AMO-2G13</t>
  </si>
  <si>
    <t>AMO-5G13</t>
  </si>
  <si>
    <t>airMAX Dish Antenna</t>
  </si>
  <si>
    <t>RD-2G24</t>
  </si>
  <si>
    <t xml:space="preserve">Ubiquiti airMAX </t>
  </si>
  <si>
    <t>2x2 PtP Bridge Dish Antenna</t>
  </si>
  <si>
    <t>RD-5G30</t>
  </si>
  <si>
    <t>airMAX 2x2 PtP Bridge Dish Antenna</t>
  </si>
  <si>
    <t>RD-5G30-LW</t>
  </si>
  <si>
    <t>Ubiquiti NanoStation</t>
  </si>
  <si>
    <t>LOCOM2</t>
  </si>
  <si>
    <t>Ubiquiti NanoStation LocoM2, Indoor/Outdoor airMAX?CPE</t>
  </si>
  <si>
    <r>
      <rPr>
        <rFont val="Arial"/>
        <color rgb="FF000000"/>
        <sz val="10.0"/>
      </rPr>
      <t>Indoor/Outdoor airMAX?CP</t>
    </r>
    <r>
      <rPr>
        <rFont val="Arial"/>
        <color rgb="FF000000"/>
        <sz val="10.0"/>
      </rPr>
      <t>E</t>
    </r>
  </si>
  <si>
    <t>LOCOM5</t>
  </si>
  <si>
    <t>Ubiquiti NanoStation LocoM5, Indoor/Outdoor airMAX?CPE</t>
  </si>
  <si>
    <t>Indoor/Outdoor airMAX?CPE</t>
  </si>
  <si>
    <t>NSM2</t>
  </si>
  <si>
    <t>Ubiquiti NanoStation M2: 2.4GHz Hi Power 2x2 MIMO AirMax Station</t>
  </si>
  <si>
    <t>NSM5</t>
  </si>
  <si>
    <t>Ubiquiti NanoStation M5</t>
  </si>
  <si>
    <t>LiteBeam</t>
  </si>
  <si>
    <t>LAP-120</t>
  </si>
  <si>
    <t>LiteBeam ac sector AP</t>
  </si>
  <si>
    <t>LBE-M5-23</t>
  </si>
  <si>
    <t>LiteBeam M5 AP</t>
  </si>
  <si>
    <t>LBE-5AC-Gen2</t>
  </si>
  <si>
    <t>5G airMAX LiteBeam AP</t>
  </si>
  <si>
    <t>LAP-GPS</t>
  </si>
  <si>
    <t>LiteAP AC 5GHz GPS 17dBi 90 Degree Sector Antenna</t>
  </si>
  <si>
    <t>airMAX Bridge</t>
  </si>
  <si>
    <t>NBE-M2-13</t>
  </si>
  <si>
    <t>2.4GHz High-Performance airMAX Bridge</t>
  </si>
  <si>
    <t>PowerBeam</t>
  </si>
  <si>
    <t>PBE-5AC-Gen2</t>
  </si>
  <si>
    <t>5 GHz High Performance airMAX ac Bridge</t>
  </si>
  <si>
    <t>PBE-5AC-620</t>
  </si>
  <si>
    <t>High-Performance airMAX Bridge</t>
  </si>
  <si>
    <t>PBE-M5-620</t>
  </si>
  <si>
    <t>High-Performance airMAX? Bridge</t>
  </si>
  <si>
    <t>UniFi</t>
  </si>
  <si>
    <t>UAP-AC-LITE</t>
  </si>
  <si>
    <t>UniFi AP Dual band-Radio</t>
  </si>
  <si>
    <t>UAP-AC-LR</t>
  </si>
  <si>
    <t>802.11ac Dual-Radio Access Points</t>
  </si>
  <si>
    <t>airMAX ac BaseStation</t>
  </si>
  <si>
    <t>R2AC</t>
  </si>
  <si>
    <t>airMAX ac BaseStation with airPrism Technology</t>
  </si>
  <si>
    <t>RP-5AC-Gen2</t>
  </si>
  <si>
    <t>Powerful airMAX ac BaseStation</t>
  </si>
  <si>
    <t>AC AP</t>
  </si>
  <si>
    <t>UAP-AC-M</t>
  </si>
  <si>
    <t>802.11AC AP with Plug &amp; Play Mesh</t>
  </si>
  <si>
    <t>UAP-AC-M-PRO</t>
  </si>
  <si>
    <t>RocketDish</t>
  </si>
  <si>
    <t>ISO-BEAM-620</t>
  </si>
  <si>
    <t>Isolator Radome</t>
  </si>
  <si>
    <t>CARRIER</t>
  </si>
  <si>
    <t>AF-5XHD</t>
  </si>
  <si>
    <t>True 1Gbps+ Spectrally Efficient</t>
  </si>
  <si>
    <t>Noise Resilient PTP Technology Specifically Designed for WISP</t>
  </si>
  <si>
    <t>PoE Adapters</t>
  </si>
  <si>
    <t>POE-15-12W</t>
  </si>
  <si>
    <t>Ubiquiti 15VDC 12W PoE Adapters</t>
  </si>
  <si>
    <t>POE-24-12W</t>
  </si>
  <si>
    <t>Ubiquiti 24VDC 12W PoE Adapters</t>
  </si>
  <si>
    <t>POE-24-24W</t>
  </si>
  <si>
    <t>Ubiquiti 24VDC 24W PoE Adapters</t>
  </si>
  <si>
    <t>POE-24-24W-G</t>
  </si>
  <si>
    <t>Ubiquiti 24VDC 24W Gigabit PoE Adapters</t>
  </si>
  <si>
    <t>Surge Protector</t>
  </si>
  <si>
    <t>ETH-SP</t>
  </si>
  <si>
    <t>Ethernet Surge Protector</t>
  </si>
  <si>
    <t>NET-SURGE</t>
  </si>
  <si>
    <t>Network Surge Protector</t>
  </si>
  <si>
    <t>Bracket</t>
  </si>
  <si>
    <t>UB-AM</t>
  </si>
  <si>
    <t>airMAX Universal Arm Bracket</t>
  </si>
  <si>
    <t>Outlet</t>
  </si>
  <si>
    <t>MFI-MPW</t>
  </si>
  <si>
    <t>Ubiquiti In-Wall Manageable Outlet</t>
  </si>
  <si>
    <t>Poe</t>
  </si>
  <si>
    <t>ES-24-250W</t>
  </si>
  <si>
    <t>Managed PoE+ Gigabit Switch with SFP</t>
  </si>
  <si>
    <t>RB4011iGS+RM</t>
  </si>
  <si>
    <t>Powerful 10xGigabit port router</t>
  </si>
  <si>
    <t>RB941-2ND-TC(HAP LITE)</t>
  </si>
  <si>
    <t>Small home AP with four ethernet ports and a colorful enclosure.</t>
  </si>
  <si>
    <t>RBLHGR&amp;R11E-4G</t>
  </si>
  <si>
    <t>LHG 4G Kit</t>
  </si>
  <si>
    <t>CCR1009-7G-1C-1S+</t>
  </si>
  <si>
    <t>7x Gigabit Ethernet, 1x Combo port</t>
  </si>
  <si>
    <t>RB750GR3(HEX)</t>
  </si>
  <si>
    <t>Five port Gigabit Ethernet router</t>
  </si>
  <si>
    <t>CRS328-4C-20S-4S+RM</t>
  </si>
  <si>
    <t>Mikrotik Smart Switch</t>
  </si>
  <si>
    <t>Hard Drive</t>
  </si>
  <si>
    <t>WD10PURX-78</t>
  </si>
  <si>
    <t>1TB HDD Western Digital</t>
  </si>
  <si>
    <t>HYE</t>
  </si>
  <si>
    <t>WD20PURX-78</t>
  </si>
  <si>
    <t>2TB HDD Western Digital</t>
  </si>
  <si>
    <t>WD30PURX-78</t>
  </si>
  <si>
    <t>3TB HDD Western Digital</t>
  </si>
  <si>
    <t>WD40PURX-78</t>
  </si>
  <si>
    <t>4TB HDD Western Digital</t>
  </si>
  <si>
    <t>WD62PURX-78</t>
  </si>
  <si>
    <t>6TB HDD Western Digital</t>
  </si>
  <si>
    <t>WD82PURX-78</t>
  </si>
  <si>
    <t>8TB HDD Western Digital</t>
  </si>
  <si>
    <t>ST1000VX001-520</t>
  </si>
  <si>
    <t>1TB HDD Seagate Skyhawk</t>
  </si>
  <si>
    <t>ST2000VX003-520</t>
  </si>
  <si>
    <t>2TB HDD Seagate Skyhawk</t>
  </si>
  <si>
    <t>ST4000VX000-520</t>
  </si>
  <si>
    <t>4TB HDD Seagate Skyhawk</t>
  </si>
  <si>
    <t>ST6000VX001-520</t>
  </si>
  <si>
    <t>6TB HDD Seagate Skyhawk</t>
  </si>
  <si>
    <t>ST8000VE001</t>
  </si>
  <si>
    <t>8TB AI Seagate Skyhawk</t>
  </si>
  <si>
    <t>ST10000VE001</t>
  </si>
  <si>
    <t>10TB AI Seagate Skyhawk</t>
  </si>
  <si>
    <t>ST12000VE001</t>
  </si>
  <si>
    <t>12TB AI Seagate Skyhawk</t>
  </si>
  <si>
    <t>ST14000VE0008</t>
  </si>
  <si>
    <t>14TB AI Seagate Skyhawk</t>
  </si>
  <si>
    <t>ST16000VE002</t>
  </si>
  <si>
    <t>16TB AI Seagate Skyhawk</t>
  </si>
  <si>
    <t>ST18000VE002</t>
  </si>
  <si>
    <t>18TB AI Seagate Skyhawk</t>
  </si>
  <si>
    <t>Power Supply</t>
  </si>
  <si>
    <t>JEHA-60-4</t>
  </si>
  <si>
    <t>12V/5A 5ch. centralized power supply</t>
  </si>
  <si>
    <t>PIC</t>
  </si>
  <si>
    <t>JEHA-120-9</t>
  </si>
  <si>
    <t>12V/10A 9ch. centralized power supply</t>
  </si>
  <si>
    <t>JEHA-250W-18</t>
  </si>
  <si>
    <t>12V/20A 18 ch. centralized power supply</t>
  </si>
  <si>
    <t>HY-PSU1205-04C</t>
  </si>
  <si>
    <t>12V 5AH CENTRALIZED POWER SUPPLY</t>
  </si>
  <si>
    <t>HY-PSU1210-09C</t>
  </si>
  <si>
    <t>12V 10AH CENTRALIZED POWER SUPPLY</t>
  </si>
  <si>
    <t>HY-PSU1220-18C</t>
  </si>
  <si>
    <t>12V 20AH CENTRALIZED POWER SUPPLY</t>
  </si>
  <si>
    <t>HY-PSU1230-18C</t>
  </si>
  <si>
    <t>12V 30AH CENTRALIZED POWER SUPPLY</t>
  </si>
  <si>
    <t>POW-4CAM 5AMP</t>
  </si>
  <si>
    <t>*4 channel output; *Input: 110-220V AC, 47-63Hz *Output: 12VDC , 60W; *Output voltage adjustable 10% to adapt the different distance</t>
  </si>
  <si>
    <t>AC8</t>
  </si>
  <si>
    <t>POW-9CAM 10AMP</t>
  </si>
  <si>
    <t>*9 channel output; *Input: 110-220V AC, 47-63Hz *Output: 12VDC , 120W; *Output voltage adjustable 10% to adapt the different distance</t>
  </si>
  <si>
    <t>POW-9CAM 20AMP</t>
  </si>
  <si>
    <t>*9 channel output; *Input: 110-220V AC, 47-63Hz *Output: 12VDC , 250W; *Output voltage adjustable 10% to adapt the different distance</t>
  </si>
  <si>
    <t>POW-18CAM 20AMP</t>
  </si>
  <si>
    <t>POW-18CAM 30AMP</t>
  </si>
  <si>
    <t>*18 channel output; *Input: 110-220V AC, 47-63Hz *Output: 12VDC , 360W; *Output voltage adjustable 10% to adapt the different distance</t>
  </si>
  <si>
    <t>Adaptor</t>
  </si>
  <si>
    <t>WL-889</t>
  </si>
  <si>
    <t>12V /2A Waterproof Adaptor</t>
  </si>
  <si>
    <t>PS-DA1202</t>
  </si>
  <si>
    <t xml:space="preserve">12V 2A Power Supply Adaptor
</t>
  </si>
  <si>
    <t>PS-DA1201</t>
  </si>
  <si>
    <t>12V 1A Power Supply Adaptor</t>
  </si>
  <si>
    <t>PS-DA1204</t>
  </si>
  <si>
    <t>12V 4A Power Supply Adaptor</t>
  </si>
  <si>
    <t>UPS</t>
  </si>
  <si>
    <t>VSW-10KVA</t>
  </si>
  <si>
    <t>10KVA Sinewave UPS External Battery 192V/DC</t>
  </si>
  <si>
    <t>VSW-2KVA</t>
  </si>
  <si>
    <t>2 KVA Sinewave UPS External Battery 48V/DC</t>
  </si>
  <si>
    <t>VSW-3KVA</t>
  </si>
  <si>
    <t>3 KVA Sinewave UPS External Battery 48V/DC</t>
  </si>
  <si>
    <t>VSW-5KVA</t>
  </si>
  <si>
    <t>5 KVA Sinewave UPS External Battery 96V/DC</t>
  </si>
  <si>
    <t>extension socket</t>
  </si>
  <si>
    <t>GT-6154</t>
  </si>
  <si>
    <t>4-way USA-style extension socket</t>
  </si>
  <si>
    <t>GT-6155</t>
  </si>
  <si>
    <t>5-way USA-style extension socket</t>
  </si>
  <si>
    <t>GT-6156</t>
  </si>
  <si>
    <t>6-way USA-style extension socket</t>
  </si>
  <si>
    <t>GT-6157</t>
  </si>
  <si>
    <t>7-way USA-style extension socket</t>
  </si>
  <si>
    <t>VGA Switch</t>
  </si>
  <si>
    <t>VGA-15-4</t>
  </si>
  <si>
    <t>4 Port VGA Switch</t>
  </si>
  <si>
    <t>Socket Box</t>
  </si>
  <si>
    <t>C9U2</t>
  </si>
  <si>
    <t>10A 250V/AC Double Socket Box</t>
  </si>
  <si>
    <t>HDMI Switch</t>
  </si>
  <si>
    <t>HDMI-SWITCH</t>
  </si>
  <si>
    <t>HDMI Switch [5 in 1 out]</t>
  </si>
  <si>
    <t>PDU</t>
  </si>
  <si>
    <t>YG05-1U-U8-SW</t>
  </si>
  <si>
    <t xml:space="preserve">USA type PDU: 1U 8ways+Indicator lamp </t>
  </si>
  <si>
    <t>125VAC NEMAI15-5R 15A plug 3*16AWG*2m</t>
  </si>
  <si>
    <t>Super Li USB Battery</t>
  </si>
  <si>
    <t>SUPERLI-NO.5 2PCS</t>
  </si>
  <si>
    <t>Superli USB Rechargeable Li-ion Battery 2PCS No.5
 AAA 1.5V 400mAh</t>
  </si>
  <si>
    <t>SUPERLI-NO.5 4PCS</t>
  </si>
  <si>
    <t>Superli USB Rechargeable Li-ion Battery 4PCS No.5
 AAA 1.5V 400mAh</t>
  </si>
  <si>
    <t>SUPERLI-NO.7 2PCS</t>
  </si>
  <si>
    <t>USB Rechargeable Li-ion Battery No.7 
 AA 1.5V 1000mAh 2pcs</t>
  </si>
  <si>
    <t>LOCK</t>
  </si>
  <si>
    <t>YH-180</t>
  </si>
  <si>
    <t>Singel Door Magnetic Lock [300LbS]</t>
  </si>
  <si>
    <t>YH-280</t>
  </si>
  <si>
    <t>Singel Door Magnetic Lock [600LbS]</t>
  </si>
  <si>
    <t>YH-130</t>
  </si>
  <si>
    <t>Moto Lock</t>
  </si>
  <si>
    <t>YH-126NC</t>
  </si>
  <si>
    <t>Standard-type Electric Strike</t>
  </si>
  <si>
    <t>YH-126NO</t>
  </si>
  <si>
    <t>Singel Door Magnetic Lock</t>
  </si>
  <si>
    <t>YH-180UL</t>
  </si>
  <si>
    <t>U Bracket for Framelss Door</t>
  </si>
  <si>
    <t>YH-180ZL</t>
  </si>
  <si>
    <t>ZL Bracket</t>
  </si>
  <si>
    <t>YH-280UL</t>
  </si>
  <si>
    <t>UL Bracket</t>
  </si>
  <si>
    <t>YH-280ZL</t>
  </si>
  <si>
    <t>Door Switch</t>
  </si>
  <si>
    <t>YH-800B</t>
  </si>
  <si>
    <t>Door Exit Switch [Stainless]L86*W86mm</t>
  </si>
  <si>
    <t>YH-800C</t>
  </si>
  <si>
    <t>Door Exit Switch [Stainless] L86*W86mm</t>
  </si>
  <si>
    <t>PVC</t>
  </si>
  <si>
    <t>CLAMP-16</t>
  </si>
  <si>
    <t>16mm PVC pipe clamp</t>
  </si>
  <si>
    <t>CLAMP-25</t>
  </si>
  <si>
    <t>25 mm PVC pipe clamp</t>
  </si>
  <si>
    <t>CLAMP-32</t>
  </si>
  <si>
    <t>32 mm PVC pipe clamp</t>
  </si>
  <si>
    <t>PIPE-2013290</t>
  </si>
  <si>
    <t>20mm x 1.3mm x 2.9 m PVC Pipe</t>
  </si>
  <si>
    <t>PIPE-2515300</t>
  </si>
  <si>
    <t>25mm x 1.5mm x 3 m PVC Pipe</t>
  </si>
  <si>
    <t>PIPE-3218300</t>
  </si>
  <si>
    <t>32mm x 1.8mm x 3 m PVC Pipe</t>
  </si>
  <si>
    <t>PIPE-4020300</t>
  </si>
  <si>
    <t>40mm x 2mm x 3 m PVC Pipe</t>
  </si>
  <si>
    <t>PVC-2020290</t>
  </si>
  <si>
    <t>PVC Trunking 20 x 20mm x 2.9m</t>
  </si>
  <si>
    <t>PVC-2525290</t>
  </si>
  <si>
    <t>PVC Trunking 25 x 25mm x 2.9m</t>
  </si>
  <si>
    <t>TIE-3X10</t>
  </si>
  <si>
    <t>3 x 100mm PVC Tie Wire [100pcs/Box]</t>
  </si>
  <si>
    <t>TIE-3X12</t>
  </si>
  <si>
    <t>3 x 120mm PVC Tie Wire [100pcs/Box]</t>
  </si>
  <si>
    <t>TIE-3X15</t>
  </si>
  <si>
    <t>3 x 150mm PVC Tie Wire [100pcs/Box]</t>
  </si>
  <si>
    <t>TIE-4X35</t>
  </si>
  <si>
    <t>4 X 350mm PVC Tie Wire [100pcs/Box]</t>
  </si>
  <si>
    <t>ELBOW-20</t>
  </si>
  <si>
    <t>20mm Elbow</t>
  </si>
  <si>
    <t>ELBOW-25</t>
  </si>
  <si>
    <t>25mm Elbow</t>
  </si>
  <si>
    <t>ELBOW-32</t>
  </si>
  <si>
    <t>32mm Elbow</t>
  </si>
  <si>
    <t>PVC-4040290</t>
  </si>
  <si>
    <t>PVC Trunking 40 x 40mm x2.9m</t>
  </si>
  <si>
    <t>Junction Box</t>
  </si>
  <si>
    <t>WPB-302515</t>
  </si>
  <si>
    <t xml:space="preserve">Metal Enclosure Coating Waterproof Box </t>
  </si>
  <si>
    <t>[H300 x W250 x D150mm]</t>
  </si>
  <si>
    <t>WPB-L</t>
  </si>
  <si>
    <t>150 x 150 x 70mm Waterproof Box</t>
  </si>
  <si>
    <t>WPB-S</t>
  </si>
  <si>
    <t>100 x 100 x 80mm Waterproof Box</t>
  </si>
  <si>
    <t>KXT-15157-8</t>
  </si>
  <si>
    <t>150x150mm</t>
  </si>
  <si>
    <t>BRACKET</t>
  </si>
  <si>
    <t>BK-1272</t>
  </si>
  <si>
    <t xml:space="preserve">Wall mount Aluminum alloy bracket </t>
  </si>
  <si>
    <t>[DS-2CD21xx series]</t>
  </si>
  <si>
    <t>BK-1273</t>
  </si>
  <si>
    <t>BK-201A-P</t>
  </si>
  <si>
    <t>Plastic Bracket 13.5 x 9 x 17</t>
  </si>
  <si>
    <t>BK-201B-M</t>
  </si>
  <si>
    <t>Metal Bracket 10 x 6.5 x 12.5</t>
  </si>
  <si>
    <t>BK-201B-P</t>
  </si>
  <si>
    <t>Plastic Bracket 10 x 6.5 x 12.5</t>
  </si>
  <si>
    <t>BK-608</t>
  </si>
  <si>
    <t>10 x 220mm Aluminium monitor bracket</t>
  </si>
  <si>
    <t>BK-609</t>
  </si>
  <si>
    <t>10 x 310mm Aluminium monitor bracket</t>
  </si>
  <si>
    <t>BK-610</t>
  </si>
  <si>
    <t>10 x 400mm Aluminium monitor bracket</t>
  </si>
  <si>
    <t>BK-COR</t>
  </si>
  <si>
    <t>Corner mount multi bracket</t>
  </si>
  <si>
    <t>BK-POLE-A</t>
  </si>
  <si>
    <t>Pole mount multi bracket</t>
  </si>
  <si>
    <t>BK-POLE-J</t>
  </si>
  <si>
    <t>Pole mount multi bracket [J-Type]</t>
  </si>
  <si>
    <t>PTZ-WMAB</t>
  </si>
  <si>
    <t>Wall mount Aluminum alloy PTZ dome bracket</t>
  </si>
  <si>
    <t>SPRING</t>
  </si>
  <si>
    <t>SPRING-20</t>
  </si>
  <si>
    <t>20mm Pipe Bender</t>
  </si>
  <si>
    <t>SPRING-25</t>
  </si>
  <si>
    <t>25mm Pipe Bender</t>
  </si>
  <si>
    <t>SPRING-32</t>
  </si>
  <si>
    <t>32mm Pipe Bender</t>
  </si>
  <si>
    <t>Server Cabinet</t>
  </si>
  <si>
    <t>C-WM6404</t>
  </si>
  <si>
    <t>580*220*380 4U CCTV server cabinet</t>
  </si>
  <si>
    <t>C-NF6612</t>
  </si>
  <si>
    <t>12u Server Cabinet</t>
  </si>
  <si>
    <t>C-NF6606</t>
  </si>
  <si>
    <t>600*600, 6U CCTV server cabinet</t>
  </si>
  <si>
    <t>C-NF6609</t>
  </si>
  <si>
    <t>600*600, 9U CCTV server cabinet</t>
  </si>
  <si>
    <t>C-NF6622</t>
  </si>
  <si>
    <t>600*600, 22U H1.2m CCTV server cabinet</t>
  </si>
  <si>
    <t>C-NF8045</t>
  </si>
  <si>
    <t>800*1000,45U H2m CCTV server cabinet</t>
  </si>
  <si>
    <t>Alarm</t>
  </si>
  <si>
    <t>HM-911-2</t>
  </si>
  <si>
    <t>Emergency Glass Break With Water-proof cover 12V/DC</t>
  </si>
  <si>
    <t>Detector</t>
  </si>
  <si>
    <t>HM-803W</t>
  </si>
  <si>
    <t>Wired wide angle PIR detector</t>
  </si>
  <si>
    <t>HM-813W</t>
  </si>
  <si>
    <t>Ceiling Mounted Passive Infared Detector: detecting distance</t>
  </si>
  <si>
    <t>HM-821C</t>
  </si>
  <si>
    <t>Curtain Passive IR Detector</t>
  </si>
  <si>
    <t>HDMI Extender</t>
  </si>
  <si>
    <t>HDMI-EXTENDER 120M</t>
  </si>
  <si>
    <t>HDMI-EXTENDER 60M</t>
  </si>
  <si>
    <t>Kebos</t>
  </si>
  <si>
    <t>PG 650VA</t>
  </si>
  <si>
    <t>Kebos PG 650VA/390W Line Interactive with built-in AVR UPS</t>
  </si>
  <si>
    <t>Output Sockets: 
4 x Universal Sockets
Back-up Time (Typical IT  Load):
15-30 minutes</t>
  </si>
  <si>
    <t>BB</t>
  </si>
  <si>
    <t>2,100.00 02/10/2023</t>
  </si>
  <si>
    <t>PG 1200VA</t>
  </si>
  <si>
    <t>Kebos PG 1200VA/600W Line Interactive with built-in AVR UPS</t>
  </si>
  <si>
    <t>Output Sockets: 
4 x Universal Sockets
Back-up Time (Typical IT  Load):
30-40 minutes</t>
  </si>
  <si>
    <t>PG 1500VA</t>
  </si>
  <si>
    <t>Kebos PG 1500VA/900W Line Interactive with built-in AVR UPS</t>
  </si>
  <si>
    <t>Output Sockets: 
4 x Universal Sockets
Back-up Time (Typical IT  Load):
45-60 minutes</t>
  </si>
  <si>
    <t>PG 2000VA</t>
  </si>
  <si>
    <t xml:space="preserve">Kebos PG2000VA/1200W Line Interactive with built-in AVR UPS (with USB Communication Port &amp; RJ-45 Surge Protection Port)
</t>
  </si>
  <si>
    <t>Output Sockets: 
6 x NEMA 5-15 Sockets
Back-up Time (Typical IT  Load):
45-60 minutes</t>
  </si>
  <si>
    <t>PG 650VA Lite</t>
  </si>
  <si>
    <t>Kebos PG Lite 650VA/390W Line Interactive with built-in AVR UPS</t>
  </si>
  <si>
    <t>PG 1000VA Lite</t>
  </si>
  <si>
    <t>Kebos PG Lite 1000VA/600W Line Interactive with built-in AVR UPS</t>
  </si>
  <si>
    <t>Output Sockets: 
4 x Universal Sockets
Back-up Time (Typical IT  Load):
20-40 minutes</t>
  </si>
  <si>
    <t>GH11-1KVA</t>
  </si>
  <si>
    <t>Kebos PowerGarde 1KVA/900W Online Double Conversion, Tower UPS</t>
  </si>
  <si>
    <t>GH11-2KVA</t>
  </si>
  <si>
    <t>Kebos PowerGarde 2KVA/1800W Online Double Conversion, Tower UPS</t>
  </si>
  <si>
    <t>GH11-3KVA</t>
  </si>
  <si>
    <t>Kebos PowerGarde 3KVA/2700W Online Double Conversion, Tower UPS</t>
  </si>
  <si>
    <t>Network Card</t>
  </si>
  <si>
    <t>Network Card for Kebos GH11/GR11 1KVA-10KVA UPS</t>
  </si>
  <si>
    <t>GH11-6KVA</t>
  </si>
  <si>
    <t>Kebos 6KVA/5400W Online Double Conversion, Tower UPS</t>
  </si>
  <si>
    <t>Input &amp; Output Connections: 
Single Phase - Terminal
Back-up Time (Typical IT  Load):
15-30 minutes</t>
  </si>
  <si>
    <t>GH11-10KVA</t>
  </si>
  <si>
    <t>Kebos 10KVA/9000W Online Double Conversion, Tower UPS</t>
  </si>
  <si>
    <t>GR11-1KVA</t>
  </si>
  <si>
    <t>KEBOS 1KVA/900W Online Double Conversion, Rack Mount UPS</t>
  </si>
  <si>
    <t>Output Sockets: 
8 x NEMA 5-15r
Back-up Time (Typical IT  Load):
15-30 minutes</t>
  </si>
  <si>
    <t>GR11-2KVA</t>
  </si>
  <si>
    <t>KEBOS 2KVA/1800W Online Double Conversion, Rack Mount UPS</t>
  </si>
  <si>
    <t>GR11-3KVA</t>
  </si>
  <si>
    <t>KEBOS 3KVA/2700W Online Double Conversion, Rack Mount UPS</t>
  </si>
  <si>
    <t>Network Card for KEBOS GH11/GR11 1KVA 2KVA 3KVA
FEATURES: WARRANTY:
True Online Double Conversion Audible Alarms Two (2) Years on UPS Electronics and</t>
  </si>
  <si>
    <t>GR11-6KVA</t>
  </si>
  <si>
    <t>KEBOS 6KVA/5400W Online Double Conversion, Rack Mount UPS</t>
  </si>
  <si>
    <t>GR11-10KVA</t>
  </si>
  <si>
    <t>KEBOS 10KVA/9000W Online Double Conversion, Rack Mount UPS</t>
  </si>
  <si>
    <t>Network Card for KEBOS GH11/GR11 1KVA-10KVA UPS</t>
  </si>
  <si>
    <t>ABLEREX</t>
  </si>
  <si>
    <t>GR650</t>
  </si>
  <si>
    <t>ABLEREX 650/360 Capacity VA/W</t>
  </si>
  <si>
    <t>GR1000</t>
  </si>
  <si>
    <t>ABLEREX 1000/500 Capacity VA/W</t>
  </si>
  <si>
    <t>GR1200</t>
  </si>
  <si>
    <t>ABLEREX 1200/600 Capacity VA/W</t>
  </si>
  <si>
    <t>GR2000</t>
  </si>
  <si>
    <t>ABLEREX 2000/1200 Capacity VA/W</t>
  </si>
  <si>
    <t>Data Cabinet</t>
  </si>
  <si>
    <t>4U (600x450)</t>
  </si>
  <si>
    <t>single section wall mounted 600mm width data cabinet with glass front door, black color</t>
  </si>
  <si>
    <t>actv8</t>
  </si>
  <si>
    <t>6U (600x450)</t>
  </si>
  <si>
    <t>9U (600X450)</t>
  </si>
  <si>
    <t>12U (600X450)</t>
  </si>
  <si>
    <t>15U (600X450)</t>
  </si>
  <si>
    <t>22U (600X600)</t>
  </si>
  <si>
    <t>Material: SPCC cold rolled sheet, thickness mounting profile 2.0mm, others 1.2mm, floor standing cabinet, 1 pc double open door with handle lock, 1 pc single open vented rear door with small round lock, 2 pcs removable side panel , 4 pcs mounting profile, 4 pcs mounting angle, fans with plugs, disassembled packing</t>
  </si>
  <si>
    <t>27U (600X800)</t>
  </si>
  <si>
    <t>42U (800X1000)</t>
  </si>
  <si>
    <t>42U open bay rack</t>
  </si>
  <si>
    <t>FAN</t>
  </si>
  <si>
    <t>1U CABLE MANAGEMENT</t>
  </si>
  <si>
    <t>1 U cable management</t>
  </si>
  <si>
    <t>5 RING CABLE MANAGER</t>
  </si>
  <si>
    <t>5 Ring Cable Manger</t>
  </si>
  <si>
    <t>FIXED SHELF 450mm</t>
  </si>
  <si>
    <t>fixed shelf 450mm</t>
  </si>
  <si>
    <t>FIXED SHELF 600mm</t>
  </si>
  <si>
    <t>fixed shelf 600mm</t>
  </si>
  <si>
    <t>FIXED SHELF 800mm</t>
  </si>
  <si>
    <t>fixed shelf 800mm</t>
  </si>
  <si>
    <t>SLIDING SHELF 850mm</t>
  </si>
  <si>
    <t>sliding shelf 850mm</t>
  </si>
  <si>
    <t>8 WAY PDU</t>
  </si>
  <si>
    <t>8 way universal type sockets with master switch</t>
  </si>
  <si>
    <t>MEMORY CARD</t>
  </si>
  <si>
    <t>AUSDX64GUICL10A1-RA1</t>
  </si>
  <si>
    <t>64 GB MICRO SD CARD</t>
  </si>
  <si>
    <t>GGDI</t>
  </si>
  <si>
    <t>TYPE</t>
  </si>
  <si>
    <r>
      <rPr>
        <rFont val="Calibri"/>
        <b/>
        <color rgb="FF000000"/>
        <sz val="12.0"/>
      </rPr>
      <t>PURCHASE AMOUNT</t>
    </r>
    <r>
      <rPr>
        <rFont val="Calibri"/>
        <b/>
        <color rgb="FF000000"/>
        <sz val="10.0"/>
      </rPr>
      <t xml:space="preserve">
Vat-Ex</t>
    </r>
  </si>
  <si>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</si>
  <si>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</si>
  <si>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</si>
  <si>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</si>
  <si>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</si>
  <si>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</si>
  <si>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CCTV</t>
  </si>
  <si>
    <t>ECO Hi-Watch H.265 Series</t>
  </si>
  <si>
    <t>E-HWIB</t>
  </si>
  <si>
    <t>2.0 MP IR Network Mini Bullet 2.8mm</t>
  </si>
  <si>
    <t>• 1/2.8 progressive scan CMOS
 • 1920 × 1080 @20fps
 • 2.8 mm fixed lens• ŸH.265, H.264
 • Dual stream
 • Digtal WDR (Wide Dynamic Range)
 • 3D DNR (Digital Noise Reduction)
 • Up to 30 m IR range
 • PoE (Power over Ethernet)
 • IP67</t>
  </si>
  <si>
    <t>E-HWID</t>
  </si>
  <si>
    <t>2.0 MP IR Network Dome 2.8mm</t>
  </si>
  <si>
    <t>• 1/2.8" progressive scan CMOS
 • 1920 × 1080 @20fps
 • 2.8 mm fixed lens
 • H.265, H.264
 • Dual stream
 • Digtal WDR (Wide Dynamic Range)
 • 3D DNR (Digital Noise Reduction)
 • Up to 30 m IR range
 • PoE (Power over Ethernet)
 • IP67, IK10</t>
  </si>
  <si>
    <t>E-HWIT</t>
  </si>
  <si>
    <t>2.0 MP IR Network Mini Turret 2.8mm</t>
  </si>
  <si>
    <t>• 1/2.8" progressive scan CMOS
 • 1920 × 1080@20fps
 • 2.8 mm fixed lens
 • H.265, H.264
 • Dual stream
 • Digtal WDR (Wide Dynamic Range)
 • 3D DNR (Digital Noise Reduction)
 • Up to 30 m IR range
 • PoE (Power over Ethernet)
 • IP67 / METAL &amp; PLASTIC HOUSING</t>
  </si>
  <si>
    <t>Hi-Watch H.265 Series</t>
  </si>
  <si>
    <t>HWI-B121H</t>
  </si>
  <si>
    <t>•1/2.8" progressive scan CMOS
 • 1920 × 1080 @30fps
 • 2.8 mm fixed lens
 • H.265, H.264
 • Dual stream
 • Digtal WDR (Wide Dynamic Range)
 • DNR (Digital Noise Reduction)
 • p to 30 m IR range
 • oE (Power over Ethernet)
 • P67</t>
  </si>
  <si>
    <t>HWI-B140H</t>
  </si>
  <si>
    <t>4.0 MP IR Network Mini Bullet 2.8mm</t>
  </si>
  <si>
    <t>• 1/2.8" progressive scan CMOS
  • 2560x1440 @30fps
 • 2.8 mm fixed lens
 • H.265, H.264
 • Dual stream
 • Digtal WDR (Wide Dynamic Range)
 • 3D DNR (Digital Noise Reduction)
 • Up to 30 m IR range
 • PoE (Power over Ethernet)
 • P67 / METAL &amp; PLASTIC HOUSING</t>
  </si>
  <si>
    <t>IP Camera</t>
  </si>
  <si>
    <t>HWI-T221H</t>
  </si>
  <si>
    <t>• 1/2.8" progressive scan CMOS
 • 1920 × 1080@30fps
 • 2.8 mm fixed lens
 • H.265, H.264
 • Dual stream
 • Digtal WDR (Wide Dynamic Range)
 • 3D DNR (Digital Noise Reduction)
 • Up to 30 m IR range
 • PoE (Power over Ethernet)
 • IP67 / METAL &amp; PLASTIC HOUSING</t>
  </si>
  <si>
    <t>HWI-D121H</t>
  </si>
  <si>
    <t>2.0 MP IR Network Dome</t>
  </si>
  <si>
    <t>1/2.8" progressive scan CMOS
 • 1920 × 1080 @30fps
 • 2.8 mm fixed lens
 • H.265, H.264
 • Dual stream
 • Digtal WDR (Wide Dynamic Range)
 • 3D DNR (Digital Noise Reduction)
 • Up to 30 m IR range
 • PoE (Power over Ethernet)
 • IP67, IK10</t>
  </si>
  <si>
    <t>iP Camera</t>
  </si>
  <si>
    <t>HWI-T240H</t>
  </si>
  <si>
    <t>4.0 MP IR Network Mini Turret 2.8mm</t>
  </si>
  <si>
    <t>• 1/2.8" progressive scan CMOS
 • 2560 × 1440@20fps
 • 2.8 mm fixed lens
 • H.265, H.264
 • Dual stream
 • Digtal WDR (Wide Dynamic Range)
 • 3D DNR (Digital Noise Reduction)
 • Up to 30 m IR range
 • PoE (Power over Ethernet)
 • IP67 / METAL &amp; PLASTIC HOUSING</t>
  </si>
  <si>
    <t>HWI-D140H</t>
  </si>
  <si>
    <t>4.0 MP IR Network Dome 2.8mm</t>
  </si>
  <si>
    <t>• 1/2.8" progressive scan CMOS
 • 2560 × 1440 @30fps
 • 2.8 mm fixed lens
 • H.265, H.264
 • Dual stream
 • Digtal WDR (Wide Dynamic Range)
 • 3D DNR (Digital Noise Reduction)
 • Up to 30 m IR range
 • PoE (Power over Ethernet)
 • IP67, IK10 / METAL &amp; PLASTIC HOUSING</t>
  </si>
  <si>
    <t>Fixed Bullet &amp; Dome Camera</t>
  </si>
  <si>
    <t>DS-2CD1023G0E-I</t>
  </si>
  <si>
    <t>2 MP Fixed Bullet Network Camera 2.8mm</t>
  </si>
  <si>
    <t>• High quality imaging with 2 MP resolution• Efficient H.265+ compression technology• Clear imaging against strong back light due to DWDR technology• Water and dust resistant (IP67)• EXIR 2.0: advanced infrared technology with long IR range</t>
  </si>
  <si>
    <t>DS-2CD1023G0-IU</t>
  </si>
  <si>
    <t>2.0 MP Network Bullet Camera w/ Built-in
 Microphone 2.8mm</t>
  </si>
  <si>
    <t>• 1/2.8" progressive scan CMOS
 • 1920 × 1080@30fps
 • 2.8mm fixed focal lens
 • Up to 30 m IR range
 • Dual stream
 • Digital WDR (Wide Dynamic Range)
 • 3D DNR (Digital Noise Reduction)
 • PoE (Power over Ethernet)
 • IP67 / Built-in Microphone
 • H.265+, H.265, H.264+, H.264</t>
  </si>
  <si>
    <t>DS-2CD1023G0-IUF（C）</t>
  </si>
  <si>
    <t>2.0 MP Network Bullet Camera w/ Built-in
 Micropho 2.8mm</t>
  </si>
  <si>
    <t>1/2.8" progressive scan CMOS
 • 1920 × 1080@30fps
 • 2.8mm fixed focal lens
 • Up to 30 m IR range
 • Dual stream
 • Digital WDR (Wide Dynamic Range)
 • 3D DNR (Digital Noise Reduction)
 • PoE (Power over Ethernet)
 • IP67 / Built-in Microphone
 • H.265+, H.265, H.264+, H.264</t>
  </si>
  <si>
    <t>DS-2CD1323G0-IU</t>
  </si>
  <si>
    <t>2.0 MP IR Network Turret Camera w/ Built-in
 Microphone 2.8mm</t>
  </si>
  <si>
    <t>DS-2CD1123G0-I</t>
  </si>
  <si>
    <t>2.0 MP CMOS Network Dome Camera 2.8mm</t>
  </si>
  <si>
    <t>• 1/2.8" progressive scan CMOS
 • Up to 2.0 megapixel
 • 2.8mm fixed focal lens
 • Up to 30 m IR range
 • Dual stream
 • Digital WDR (Wide Dynamic Range)
 • 3D DNR (Digital Noise Reduction)
 • PoE (Power over Ethernet)
 • IP67, IK10
 • H.265+, H.265, H.264+, H.264</t>
  </si>
  <si>
    <t>DS-2CD1143G0-I</t>
  </si>
  <si>
    <t>4.0 MP CMOS Network Dome Camera
 2.8mm</t>
  </si>
  <si>
    <t>• 1/3" progressive scan CMOS
 • Up to 2.0 megapixel
 • 2.8mm fixed focal lens
 • Up to 30 m IR range
 • Dual stream
 • Digital WDR (Wide Dynamic Range)
 • 3D DNR (Digital Noise Reduction)
 • PoE (Power over Ethernet)
 • IP67, IK10
 • H.265+, H.265, H.264+, H.264</t>
  </si>
  <si>
    <t>DS-2CD1323G0-IUF ©</t>
  </si>
  <si>
    <t>DS-2CD2021G1-I(B)</t>
  </si>
  <si>
    <t>2 MP EXIR Mini Bullet Network Camera 2.8mm / 4mm</t>
  </si>
  <si>
    <t>• 1/3" Progressive CMOS
 • ICR, 0lux with IR
 • 1920x1080:25fps(P)/30fps(N),
 • H.265+/H.265/H.264/MJPEG
 • DC12V &amp; PoE
 • 3D DNR, BLC
 • IR range: up to 30m
 • HIK-Connect cloud service</t>
  </si>
  <si>
    <t>DS-2CD2043G2-I</t>
  </si>
  <si>
    <t>4 MP WDR Fixed Bullet Network Camera 2.8mm/4mm</t>
  </si>
  <si>
    <t>High quality imaging with 4 MP resolution
  • Clear imaging against strong backlight due to 120
 dB WDR technology
  • Efficient H.265+ compression technology
  • Water and dust resistant (IP67)
  • Focus on human and vehicle targets
 classification based on deep learning</t>
  </si>
  <si>
    <t>DS-2CD2043G2-IU</t>
  </si>
  <si>
    <t>4 MP WDR Fixed Bullet Network Camera 4mm</t>
  </si>
  <si>
    <t>• High quality imaging with 4 MP resolution
  • Clear imaging against strong backlight due to 120
 dB WDR technology
  • Efficient H.265+ compression technology
  • Water and dust resistant (IP67)
  • Focus on human and vehicle targets
 classification based on deep learning
 * -U:Built-in Microphone</t>
  </si>
  <si>
    <t>DS-2CD2121G0-I</t>
  </si>
  <si>
    <t>2 MP Network Dome Camera 2.8mm/4mm</t>
  </si>
  <si>
    <t>• 1/2.8" Progressive Scan CMOS
 • 1920 × 1080@30fps
 • 2.8/4/6 mm fixed lens
 • Color: 0.01 Lux @ (F1.2, AGC ON),
 0.028 Lux @ (F2.0, AGC ON), 0 Lux with IR
 • H.265+, H.265, H.264+, H.264
 • 2 Behavior analysis
 • IP67, IK10
 • Built-in micro SD/SDHC/SDXC card slot,
 up to 128 GB</t>
  </si>
  <si>
    <t>DS-2CD2121G0-IS</t>
  </si>
  <si>
    <t>2 MP Network Dome Camera 4.0mm</t>
  </si>
  <si>
    <t>• 1/2.8" Progressive Scan CMOS
 • 1920 × 1080@30fps
 • 2.8/4/6 mm fixed lens
 • Color: 0.01 Lux @ (F1.2, AGC ON),
 0.028 Lux @ (F2.0, AGC ON), 0 Lux with IR
 • H.265+, H.265, H.264+, H.264
 • 2 Behavior analysis
 • IP67, IK10
 • Built-in micro SD/SDHC/SDXC card slot,
 up to 128 GB
 • S: Audio/Alarm IO connectors</t>
  </si>
  <si>
    <t>DS-2CD2123G0-I</t>
  </si>
  <si>
    <t>2 MP IR Fixed Dome Network Camera 2.8mm</t>
  </si>
  <si>
    <t>• 1/2.8" Progressive Scan CMOS
 • 1920 × 1080@30fps
 • H.265, H.265+, H.264, H.264+
 • Three streams
 • 120dB WDR
 • IR range: Up to 30 m
 • IP66, IK10
 • Built-in micro SD/SDHC/SDXC card slot, up to
 128 GB
 • 3-Axis adjustment</t>
  </si>
  <si>
    <t>DS-2CD2123G0-IU</t>
  </si>
  <si>
    <t>2 MP IR Fixed Dome Network Camera w/ Builtin Microphone 2.8mm</t>
  </si>
  <si>
    <t>• 1/2.8" Progressive Scan CMOS
 • 1920 × 1080@30fps
 • H.265, H.265+, H.264, H.264+
 • Three streams
 • 120dB WDR
 • IR range: Up to 30 m
 • IP66, IK10
 • Built-in micro SD/SDHC/SDXC card slot, up to
 128 GB
 • 3-Axis adjustment
 • Built-in microphon</t>
  </si>
  <si>
    <t>DS-2CD2123G2-I</t>
  </si>
  <si>
    <t>2 MP Vandal Fixed Dome Network Camera 2.8mm</t>
  </si>
  <si>
    <t>• High quality imaging with 2 MP resolution
 • Clear imaging against strong backlight due to 120
 dB WDR technology
 • Efficient H.265+ compression technology
 • Water and dust resistant (IP67) and vandal
 resistant (IK10)
 • Focus on human and vehicle targets classification
 based on deep learning</t>
  </si>
  <si>
    <t>DS-2CD2123G2-IU</t>
  </si>
  <si>
    <t>2 MP Vandal Built-in Mic Fixed Dome Network
 Camera 2.8mm</t>
  </si>
  <si>
    <t>High quality imaging with 2 MP resolution
 • Clear imaging against strong backlight due to 120
 dB WDR technology
 • Efficient H.265+ compression technology
 • Built-in microphone for real-time audio security
 • Water and dust resistant (IP67) and vandal
 resistant (IK10)
 • Focus on human and vehicle targets classification
 based on deep learning</t>
  </si>
  <si>
    <t>DS-2CD2123G0-IS</t>
  </si>
  <si>
    <t>• 1/2.8" Progressive Scan CMOS
  • 1920 ×1080@30fps
  • 2.8/4/6/8mm fixed lens
  • Color: 0.01 Lux @ (F1.2, AGC ON), 0.028 Lux
 @ (F2.0, AGC ON), 0 Lux with IR
  • H.265+, H.265, H.264+, H.264
  • Three streams
  • 120dB WDR
  • 2 Behavior analyses, and face detection
  • BLC/3D DNR/ROI
  • IP67, IK10
  • Built-in micro SD/SDHC/SDXC card slot, up to
 128 GB
  • 3-Axis adjustment</t>
  </si>
  <si>
    <t>DS-2CD2143G0-I</t>
  </si>
  <si>
    <t>4 MP IR Fixed Dome Network Camera 2.8mm</t>
  </si>
  <si>
    <t>• 1/3" Progressive Scan CMOS
  • 2560 ×1440@30fps
  • 2.8mm fixed lens
  • Color: 0.01 Lux @ (F1.2, AGC ON), 0.018 Lux
 @ (F1.6, AGC ON), 0 Lux with IR
  • H.265+, H.265, H.264+, H.264
  • Three streams
  • 120dB WDR
  • 2 Behavior analyses, and face detection
  • BLC/3D DNR/ROI
  • IP67
  • Built-in micro SD/SDHC/SDXC card slot, up to
 128 GB
  • 3-Axis adjustment</t>
  </si>
  <si>
    <t>DS-2CD2143G2-I</t>
  </si>
  <si>
    <t>4 MP Vandal WDR Fixed Dome Network Camera 2.8mm</t>
  </si>
  <si>
    <t>• 1/3" Progressive Scan CMOS
 • H.265+/H.265/H.264+/H.264/MJPEG
  • Color: 0.005 Lux @ (F1.6, AGC ON)
 • 0 lux with IR; 25fps/30fps (2688×1520,
 1920×1080)
 • VCA functions; 3 streams; 3D DNR; BLC/HLC
 • ICR; EXIR, up to 30m
 • DC12V&amp;PoE
 • Built-in micro SD/SDHC/SDXC slot
 • HIK-Connect cloud service</t>
  </si>
  <si>
    <t>DS-2CD2143G0-IU</t>
  </si>
  <si>
    <t>4 MP IR Fixed Dome Network Camera w/ Builtin Microphone 2.8mm</t>
  </si>
  <si>
    <t>• 1/3" Progressive Scan CMOS
  • 2560 ×1440@30fps
  • 2.8mm fixed lens
  • Color: 0.01 Lux @ (F1.2, AGC ON), 0.018 Lux
 @ (F1.6, AGC ON), 0 Lux with IR
  • H.265+, H.265, H.264+, H.264
  • Three streams
  • 120dB WDR
  • 2 Behavior analyses, and face detection
  • BLC/3D DNR/ROI
  • IP67
  • Built-in micro SD/SDHC/SDXC card slot, up to
 128 GB
  • 3-Axis adjustment
 *U model: with build in Mic</t>
  </si>
  <si>
    <t>DS-2CD2143G2-IU</t>
  </si>
  <si>
    <t>4 MP Vandal WDR Fixed Dome Network
 Camera 2.8mm/4.0mm</t>
  </si>
  <si>
    <t>• 1/3" Progressive Scan CMOS
 • H.265+/H.265/H.264+/H.264/MJPEG
  • Color: 0.005 Lux @ (F1.6, AGC ON)
 • 0 lux with IR; 25fps/30fps (2688×1520,
 1920×1080)
 • VCA functions; 3 streams; 3D DNR; BLC/HLC
 • ICR; EXIR, up to 30m
 • DC12V&amp;PoE
 • Built-in micro SD/SDHC/SDXC slot
 • HIK-Connect cloud service
 • Built-in microphone for real-time audio</t>
  </si>
  <si>
    <t>DS-2CD2046G2-I ©</t>
  </si>
  <si>
    <t>4 MP AcuSense Fixed Bullet Network Camera 2.8mm/4mm</t>
  </si>
  <si>
    <t>• High quality imaging with 4 MP resolution
 • Excellent low-light performance with powered-byDarkFighter technology
 • Clear imaging against strong backlight due to 120
 dB true WDR technology
 • Efficient H.265+ compression technology
 • Focus on human and vehicle targets classification
 based on deep learning
 • Built-in microphone for real-time auto security(-U)
 • Water and dust resistant (IP67)</t>
  </si>
  <si>
    <t>DS-2CD2055FWD-I</t>
  </si>
  <si>
    <t>5 MP Network Bullet Camera 2.8mm/4mm</t>
  </si>
  <si>
    <t>• Up to 5 megapixel high resolution
 • Max. 2560 × 1920@30fps
 • 2.8 mm fixed lens
 • H.265, H.265+, H.264+, H.264
 •120dB Wide Dynamic Range
 • 3D Digital Noise Reduction
 • DC12V &amp; PoE (802.3af)
 • IR range: up to 30 m
 • Support on-board storage, up to 128 GB
 • IP67</t>
  </si>
  <si>
    <t>DS-2CD2065G1-I</t>
  </si>
  <si>
    <t>6 MP IR Fixed Bullet Network Camera 4mm</t>
  </si>
  <si>
    <t>• Up to 6 megapixel high resolution
  • Max. 3072 × 2048@20fps
  • 4 mm fixed lens
  • H.265, H.265+, H.264+, H.264
  • 120dB WDR
  • Powered by Darkfighter
  • 12 VDC &amp; PoE (802.3af, class 3)
  • IR range: up to 30 m
  • Support on-board storage, up to 128 GB
  • IP67,IK10
  • BLC/3D DNR/ROI/HLC
  • Color: 0.008 Lux @ (F1.2, AGC ON), 0.014 Lux
 @ (F1.6, AGC ON)</t>
  </si>
  <si>
    <t>DS-2CD2066G2-I ©</t>
  </si>
  <si>
    <t>6 MP IR Fixed Bullet Network Camera 2.8mm</t>
  </si>
  <si>
    <t>• 1/2.5" Progressive Scan CMOS;
 H.265+/H.265/H.264+/H.264/MJPEG;
 • Powered by Darkfighter technology, Color: 0.003
 lux@(F1.6, AGC ON), 0 lux with IR;
 • 20fps(3200x1800), 25fps/30fps (2688×1520,
 1920×1080)
 • VCA functions; 3 streams; 3D DNR; BLC/HLC;
 ICR; EXIR, up to 40m; DC12V&amp;PoE; Built-in micro
 SD/SDHC/SDXC slot; HIK-Connect cloud service;</t>
  </si>
  <si>
    <t>DS-2CD2085FWD-I</t>
  </si>
  <si>
    <t>8 MP Network Bullet Camera 2.8mm</t>
  </si>
  <si>
    <t>• Up to 8 megapixel high resolution
 • Max. 3840 × 2160@20fps
 • 2.8 mm fixed lens
 • H.265, H.265+, H.264+, H.264
 •120dB Wide Dynamic Range
 • 3D Digital Noise Reduction
 • DC12V &amp; PoE (802.3af)
 • IR range: up to 30 m
 • Support o</t>
  </si>
  <si>
    <t>DS-2CD2T45FWD-I5</t>
  </si>
  <si>
    <t>4 MP IR Fixed Bullet Network Camera 4mm</t>
  </si>
  <si>
    <t>• 1/2.5" Progressive Scan CMOS
  • 2688 × 1520 @30fps
  • 4 mm fixed lens
  • H.265, H.265+, H.264+, H.264
  • 4 Behavior analyses
  • 120dB WDR
  • Powered by Darkfighter
  • BLC/3D DNR/ROI/HLC
  • IR range: 50m, 80m, optional
  • Bulit-in microSD/SDHC/SDXC card slot, up to
 128 GB
  • IP67</t>
  </si>
  <si>
    <t>DS-2CD2T55FWD-I5</t>
  </si>
  <si>
    <t>• Up to 5 megapixel high resolution
  • Max. 2560 × 1920@20fps
  • 2.8 mm / 4mm fixed lens
  • H.265, H.265+, H.264+, H.264
  •120dB Wide Dynamic Range
  • 3D Digital Noise Reduction
  • DC12V &amp; PoE (802.3af)
  • IR range: 50 m
  • Support on-board storage, up to 128 GB
  • IP67</t>
  </si>
  <si>
    <t>DS-2CD2T65G1-I5</t>
  </si>
  <si>
    <t>6 MP IR Fixed Bullet Network Camera 2.8mm/4mm</t>
  </si>
  <si>
    <t>Up to 6 megapixel high resolution
 • Max. 3072 × 2048@20fps
 • 4 mm fixed lens
 • H.265, H.265+, H.264+, H.264
 • 120dB WDR
 • Powered by Darkfighter
 • 12 VDC &amp; PoE (802.3af, class 3)
 • Support on-board storage, up to 128 GB
 • IP67
 • BLC/3D DNR/ROI/HLC
 • Color: 0.008 Lux @ (F1.2, AGC ON), 0.014 Lux
 @ (F1.6, AGC ON)</t>
  </si>
  <si>
    <t>DS-2CD2T66G2-2I</t>
  </si>
  <si>
    <t>6 MP AcuSense Fixed Bullet Network Camera</t>
  </si>
  <si>
    <t>6 MP AcuSense Fixed Bullet Network Camera 
• 1/1.8" Progressive Scan CMOS; H.265+/H.265/H.264+/H.264/MJPEG; 
• Powered by Darkfighter technology, Color: 0.003 lux@(F1.6, AGC ON), 0 lux with IR; 
• 20fps(3200x1800), 25fps/30fps (2688×1520, 1920×1080); 
• VCA functions; 3 streams; 3D DNR; BLC/HLC; ICR; EXIR; 
• DC12V&amp;PoE; Built-in micro SD/SDHC/SDXC slot; HIK-Connect cloud service;*-2I/4I model: up to 60m(2Leds)/80m(4Leds) IR distance</t>
  </si>
  <si>
    <t>DS-2CD2T85FWD-I8</t>
  </si>
  <si>
    <t>8 MP Network Bullet Camera 2.8mm/4mm/6mm</t>
  </si>
  <si>
    <t>• Up to 8 megapixel high resolution
  • Max. 3840 × 2160@20fps
  • 2.8mm / 4mm / 6mm fixed lens
  • H.265, H.265+, H.264+, H.264
  •120dB Wide Dynamic Range
  • 3D Digital Noise Reduction
  • DC12V &amp; PoE (802.3af)
  • IR range: 80m
  • Support on-board storage, up to 128 GB
  • IP67</t>
  </si>
  <si>
    <t>DS-2CD2146G2-I</t>
  </si>
  <si>
    <t>4 MP AcuSense Fixed Dome Network Camera
 2.8MM</t>
  </si>
  <si>
    <t>• 1/2.7" Progressive Scan CMOS;
 H.265+/H.265/H.264+/H.264/MJPEG;
 • Powered by Darkfighter technology,Color: 0.003
 lux @(F1.4, AGC ON), 0 lux with IR
 • 25fps/30fps(2688×1520,2304×1296,1920×1080)
 • VCA functions; 3 streams; 3D DNR; BLC; ICR;
 EXIR; DC12V&amp;PoE
 • Built-in micro SD/SDHC/SDXC slot; HIK-Connect
 cloud service
 *-SU model: Audio/Alarm I/O, Built-in microphone</t>
  </si>
  <si>
    <t>DS-2CD2155FWD-I</t>
  </si>
  <si>
    <t>5 MP Network Dome Camera 2.8mm</t>
  </si>
  <si>
    <t>• Up to 5 megapixel high resolution
  • Max. 2560 × 1920@20fps
  • 2.8 mm/4 mm/6 mm/8 mm/12 mm fixed lens,
 optional
  • H.265, H.265+, H.264+, H.264
  •120dB Wide Dynamic Range
  • 3D Digital Noise Reduction
  • DC12V &amp; PoE (802.3af)
  • IR range: up to 30 m
  • Support on-board storage, up to 128 GB
  • IP67, IK10</t>
  </si>
  <si>
    <t>DS-2CD2165G0-I
 (Powered by Darkfighter)</t>
  </si>
  <si>
    <t>6 MP Network Dome Camera 2.8mm</t>
  </si>
  <si>
    <t>• Up to 6 megapixel high resolution
 • Max. 3072 × 2048 @ 20fps
 • 2.8 mm/4 mm/6 mm fixed lens
 • H.265, H.265+, H.264+, H.264
 • 120dB WDR
 • Powered by Darkfighter
 • 12 VDC &amp; PoE (802.3af, class 3)
 • IR range: Up to 30 m
 • Support on-board storage, up to 128 GB
 • IP67,IK10
 • 3-axis adjustment
 • Color: 0.008 Lux @ (F1.2, AGC ON), 0.014 Lux
 @ (F1.6, AGC ON)</t>
  </si>
  <si>
    <t>DS-2CD2166G2-I</t>
  </si>
  <si>
    <t>6 MP AcuSense Fixed Dome Network Camera 2.8mm</t>
  </si>
  <si>
    <t>• 1/2.5" Progressive Scan CMOS;
 H.265+/H.265/H.264+/H.264/MJPEG;
 • Powered by Darkfighter technology, Color: 0.003
 lux@(F1.6, AGC ON), 0 lux with IR;
 • 20fps(3200x1800), 25fps/30fps (2688×1520,
 1920×1080);
 • VCA functions; 3 streams; 3D DNR; BLC/HLC;
 ICR;
 • EXIR, up to 30m; DC12V&amp;PoE;
 • Built-in micro SD/SDHC/SDXC slot; HIK-Connect
 cloud service;
 *-SU model: Audio/Alarm I/O, Built-in microphone</t>
  </si>
  <si>
    <t>DS-2CD2166G2-ISU (2.8mm)</t>
  </si>
  <si>
    <t>6 MP RESOLUTION</t>
  </si>
  <si>
    <t>DS-2CD2543G0-IS</t>
  </si>
  <si>
    <t>4 MP IR Fixed Mini Dome Network Camera 2.8mm</t>
  </si>
  <si>
    <t>• 1/3" Progressive Scan CMOS
 • H.265+/H.265/H.264+/H.264/MJPEG
 • 25fps/30fps(2560×1440, 1920×1080)
 • 3 VCA functions; 3 streams; 3D DNR; ICR
 • EXIR, up to 10m
 • DC12V&amp;PoE
 • Built-in micro SD/SDHC/SDXC slot
 • HIK-Connect cloud service
 *S model: built-in mic, Audio/Alarm IO</t>
  </si>
  <si>
    <t>DS-2CD2546G2-I</t>
  </si>
  <si>
    <t>4 MP Acusense Fixed Mini Dome Network
 Camera 2.8mm</t>
  </si>
  <si>
    <t>• High quality imaging with 4 MP resolution
 • Excellent low-light performance with powered-byDarkFighter technology
 • Focusing on human and vehicle classification
 based on deep learning
 • Clear imaging against strong back light due to 120
 dB WDR technology
 • Efficient H.265+ compression technology
 • Water and dust resistant IP67 and vandal proof
 IK08</t>
  </si>
  <si>
    <t>DS-2CD2546G2-IS</t>
  </si>
  <si>
    <t>4 MP Acusense Built-in Mic Fixed Mini Dome 
 Network Camera 2.8mm</t>
  </si>
  <si>
    <t>EXIR Camera</t>
  </si>
  <si>
    <t>DS-2CD2323G0-IU</t>
  </si>
  <si>
    <t>2 MP IR Fixed Turret Network Camera w/ Builtin Microphone
 2.8mm</t>
  </si>
  <si>
    <t>● 1/2.8" Progressive Scan CMOS
 ● 1920 × 1080@30fps
 ● 2.8 mm fixed lens
 ● Color: 0.028 Lux @ (F2.0, AGC ON), 0 Lux with
 IR
 ● H.265, H.265+, H.264, H.264+
 ● Three streams
 ● 120dB WDR
 ● BLC/3D DNR/ROI/HLC
 ● IR range: Up to 30 m
 ● Built-in micro SD/SDHC/SDXC card slot, up to
 128 GB
 ● 3-Axis adjustment
 ● Built-in microphone</t>
  </si>
  <si>
    <t>DS-2CD2343G0-IU</t>
  </si>
  <si>
    <t>4 MP IR Fixed Turret Network Camera w/ Builtin Microphone
 2.8mm</t>
  </si>
  <si>
    <t>● 1/2.8" Progressive Scan CMOS
 ● 2688 × 1520@30fps
 ● 2.8 mm fixed lens
 ● Color: 0.028 Lux @ (F2.0, AGC ON), 0 Lux with
 IR
 ● H.265, H.265+, H.264, H.264+
 ● Three streams
 ● 120dB WDR
 ● BLC/3D DNR/ROI/HLC
 ● IR range: Up to 30 m
 ● Built-in micro SD/SDHC/SDXC card slot, up to
 128 GB
 ● 3-Axis adjustment
 ● Built-in microphone</t>
  </si>
  <si>
    <t>DS-2CD2T21G0-I</t>
  </si>
  <si>
    <t>2 MP IR Fixed Bullet Network Camera 2.8mm</t>
  </si>
  <si>
    <t>• 1/2.8" Progressive Scan CMOS
  • 1920 × 1080@30fps
  • 4/6 mm fixed lens
  • Color: 0.01 Lux @ (F1.2, AGC ON), 0.028 Lux
 @ (F2.0, AGC ON), 0 Lux with IR
  • H.265+, H.265, H.264+, H.264
  • 2 Behavior analyses
  • IP67
  • Built-in micro SD/SDHC/SDXC card slot, up to
 128 GB</t>
  </si>
  <si>
    <t>DS-2CD2T23G0-I5</t>
  </si>
  <si>
    <t>2 MP IR Fixed Bullet Network Camera 4mm</t>
  </si>
  <si>
    <t>• 1/2.8" Progressive Scan CMOS
  • 1920 ×1080@30fps
  • 2.8/4/6/8mm fixed lens
  • Color: 0.01 Lux @ (F1.2, AGC ON), 0.028 Lux
 @ (F2.0, AGC ON), 0 Lux with IR
  • H.265+, H.265, H.264+, H.264
  • Three streams
  • 120dB WDR
  • 2 Behavior analyses, and face detection
  • BLC/3D DNR/ROI
  • IP67
  • Built-in micro SD/SDHC/SDXC card slot, up to
 128 GB
  • 3-Axis adjustment</t>
  </si>
  <si>
    <t>DS-2CD2T43G0-I5</t>
  </si>
  <si>
    <t>• 1/3" Progressive Scan CMOS
  • 2560 ×1440@30fps
  • 2.8/4/6/8mm fixed lens
  • Color: 0.01 Lux @ (F1.2, AGC ON), 0.018 Lux
 @ (F1.6, AGC ON), 0 Lux with IR
  • H.265+, H.265, H.264+, H.264
  • Three streams
  • 120dB WDR
  • 2 Behavior analyses, and face detection
  • BLC/3D DNR/ROI
  • IP67
  • Built-in micro SD/SDHC/SDXC card slot, up to
 128 GB
  • 3-Axis adjustment</t>
  </si>
  <si>
    <t>DS-2CD2T43G2-2I</t>
  </si>
  <si>
    <t>DS-2CD2T43G0-I8</t>
  </si>
  <si>
    <t>4 MP IR Fixed Bullet Network Camera 6mm</t>
  </si>
  <si>
    <t>• 1/3” Progressive Scan CMOS
 • 2560 ×1440@30fps
  • 6mm fixed lens
  • Color: 0.01 Lux @ (F1.2, AGC ON), 0.018 Lux
 @ (F1.6, AGC ON), 0 Lux with IR
  • H.265+, H.265, H.264+, H.264
  • Three streams
  • 120dB WDR
  • 2 Behavior analyses, and face detection
  • BLC/3D DNR/ROI
  • IP67
  • Built-in micro SD/SDHC/SDXC card slot, up to
 128 GB
  • 3-Axis adjustment</t>
  </si>
  <si>
    <t>4 MP WDR Fixed Bullet Network Camera 6mm</t>
  </si>
  <si>
    <t>4 MP WDR Fixed Bullet Network Camera
• 1/3" Progressive Scan CMOS; H.265+/H.265/H.264+/H.264/MJPEG;
• Color: 0.005 Lux @ (F1.6, AGC ON), 0 lux with IR; 25fps/30fps(2688×1520, 1920×1080) 
• VCA functions; 3 streams; 3D DNR; BLC/HLC; ICR 
• DC12V&amp;PoE; 
• Built-in micro SD/SDHC/SDXC slot; HIK-Connect cloud service*-2I/4I model: up to 60m(2Leds)/80m(4Leds) IR distance</t>
  </si>
  <si>
    <t>DS-2CD2T46G2-2I</t>
  </si>
  <si>
    <t>• 1/3" Progressive Scan CMOS;
 H.265+/H.265/H.264+/H.264/MJPEG;
 • Color: 0.005 Lux @ (F1.6, AGC ON), 0 lux with
 IR; 25fps/30fps(2688×1520, 1920×1080)
 • VCA functions; 3 streams; 3D DNR; BLC/HLC;
 ICR
 • DC12V&amp;PoE; •
 Built-in micro SD/SDHC/SDXC slot; HIK-Connect
 cloud service
 *-2I/4I model: up to 60m(2Leds)/80m(4Leds) IR
 distance</t>
  </si>
  <si>
    <t>Vari-focus BULLET</t>
  </si>
  <si>
    <t>DS-2CD2610F-IS</t>
  </si>
  <si>
    <t>1.3MP VF IR Bullet Camera 2.8mm-12mm</t>
  </si>
  <si>
    <t>•1.3 megapixel high resolution
 • 2.8-12mm vari-focal lens
 • 3D DNR &amp; DWDR &amp; BLC
 • IP66 rating
 • IR range: up to 30m
 • True day / night</t>
  </si>
  <si>
    <t>DS-2CD1623G0-IZ</t>
  </si>
  <si>
    <t>2MP VF IR Bullet Camera 2.8-12mm</t>
  </si>
  <si>
    <t>• 2 megapixel high resolution
 • 1/2.8" Progressive CMOS, ICR
 • 1920x1080:25fps(P)/30fps(N)
 • H.265+/H.265/H.264+&amp;H.264, 3D DNR, BLC
 • IR range: up to 30m, DC12V &amp; PoE, TF card slot
 • Support mobile monitoring via Hik-Connect
 • Power supply not included
 - Z: motorized vari-focal lens</t>
  </si>
  <si>
    <t>DS-2CD2620F-I</t>
  </si>
  <si>
    <t>•2 megapixel high resolution
 • 2.8-12mm vari-focal lens
 • 3D DNR &amp; DWDR &amp; BLC
 • IP66 rating
 • IR range: up to 30m
 • True day / night</t>
  </si>
  <si>
    <t>DS-2CD2621G0-I</t>
  </si>
  <si>
    <t>• 2 megapixel high resolution
 • 2.8-12mm vari-focal lens
 • 3D DNR &amp; DWDR &amp; BLC
 • IP66 rating
 • IR range: up to 30m
 • H.265+/H.265/H.264/MJPEG
 • DC12V &amp; PoE
 • HIK-Connect cloud service</t>
  </si>
  <si>
    <t>DS-2CD2621G0-IZS</t>
  </si>
  <si>
    <t>• 2 megapixel high resolution
 • 2.8-12mm Motorized vari-focal lens
 • 3D DNR &amp; DWDR &amp; BLC
 • IP66 rating
 • IR range: up to 30m
 • H.265+/H.265/H.264/MJPEG
 • DC12V &amp; PoE
 • HIK-Connect cloud service -
 S: Audio/Alarm IO conectors</t>
  </si>
  <si>
    <t>DS-2CD1643G0-IZ</t>
  </si>
  <si>
    <t>4 MP EXIR VF Bullet Network Camera 2.8mm-12mm</t>
  </si>
  <si>
    <t>• 4 megapixel high resolution
 • 1/2.8" Progressive CMOS, ICR
 • 2560x1440:20fps(P)/(N),
 2304x1296:25fps(P)/30fps(N)
 • H.265+/H.265/H.264+&amp;H.264, 3D DNR, BLC
 • IR range: up to 30m, DC12V &amp; PoE, TF card slot
 • Support mobile monitoring via Hik-Connect
 • Power supply not included
 - Z: motorized vari-focal lens</t>
  </si>
  <si>
    <t>DS-2CD2642FWD-I</t>
  </si>
  <si>
    <t>4MP WDR Vari-focal Bullet Network Camera
 2.8-12mm</t>
  </si>
  <si>
    <t>• 1/3” Progressive Scan CMOS
 • Up to 4 megapixel resolution
 • 120dB WDR
 • 3D DNR
 • Up to 30 meters IR range
 • Built-in Micro SD/SDHC/SDXC card slot, up to
 128 GB
 • Mobile Monitoring via cloud P2P or iVMS-4500
 • 12V DC±25% &amp; PoE(802.3af Class3)
 • Support H.264+
 • IP67
 • Mobile Monitoring via cloud P2P or iVMS-4500</t>
  </si>
  <si>
    <t>DS-2CD2642FWD-IS</t>
  </si>
  <si>
    <t>4MP WDR Vari-focal Bullet Network Camera 2.8-12mm</t>
  </si>
  <si>
    <t>• 1/3” Progressive Scan CMOS
 • Up to 4 megapixel resolution
 • 120dB WDR
 • 3D DNR
 • Up to 30 meters IR range
 • Built-in Micro SD/SDHC/SDXC card slot, up to
 128 GB
 • Audio/alarm I/O (-S)
 • Mobile Monitoring via cloud P2P or iVMS-4500
 • 12V DC±25% &amp; PoE(802.3af Class3)
 • Support H.264+
 • IP67
 • Mobile Monitoring via cloud P2P or iVMS-4500</t>
  </si>
  <si>
    <t>DS-2CD2643G0-IZS</t>
  </si>
  <si>
    <t>4MP EXIR VF Bullet Network Camera 2.8mm-12mm</t>
  </si>
  <si>
    <t>•4 Megapixel High Resolution
 • 1/3" Progressive Scan CMOS
 • H.265+/H.265/H.264+/H.264/MJPEG
 • 3D DNR; ICR; EXIR, up to 50m
 • DC12V&amp;PoE
 • Built-in micro SD/SDHC/SDXC slot
 • All-metal, built-in junction box; IP67, IK10
 • HIK-Connect cloud service</t>
  </si>
  <si>
    <t>DS-2CD2643G1-IZS</t>
  </si>
  <si>
    <t>4MP Outdoor IR Varifocal Bullet Camera 2.8mm-12mm</t>
  </si>
  <si>
    <t>• 1/3" (4 MP) Progressive Scan CMOS
 • 2688 x 1520 Resolution @ 30 fps
 • EXIR 2.0 Range Up to 165 ft (50 m)
 • 2.8 to 12 mm Motorized Varifocal Lens
 • H.265+, H.265, H.264+, H.264
 • 120dB True WDR
 • MicroSD Card Slot Supports 128 GB
 • IP67 Protection
 • Durable Metal Housing
 • 12 VDC and PoE+ (802.3at)</t>
  </si>
  <si>
    <t>DS-2CD2643G2-IZS</t>
  </si>
  <si>
    <t>4 MP WDR Motorized Varifocal Bullet Network
 Camera 2.8-12mm</t>
  </si>
  <si>
    <t>1/2.9" Progressive Scan CMOS
 • 2944 × 1656 resolution
 • 2.8 to 12 mm focal length
 • H.265, H.265+, H.264+, H.264
 •120dB Wide Dynamic Range
 • BLC/3D DNR/ROI
 • IP67, IK10
 • 4 behavior analyses and face detection</t>
  </si>
  <si>
    <t>DS-2CD2646G2-IZS ©</t>
  </si>
  <si>
    <t>4 MP AcuSense Motorized Varifocal Bullet
Network Camera</t>
  </si>
  <si>
    <t>• High quality imaging with 4 MP resolution
• Excellent low-light performance with powered-byDarkFighter technology
• Motorized varifocal lens for easy installation and
monitoring
• Clear imaging against strong backlight due to 120
dB true WDR technology
• Efficient H.265+ compression technology
• Audio and alarm interface available
• Focus on human and vehicle targets classification
based on deep learning
• Water and dust resistant (IP66) and vandalresistant (IK10</t>
  </si>
  <si>
    <t>DS-2CD2655FWD-IZS</t>
  </si>
  <si>
    <t>5 MP WDR Vari-focal Network Bullet Camera 2.8-12mm</t>
  </si>
  <si>
    <t>DS-2CD2663G0-IZS</t>
  </si>
  <si>
    <t>6MP EXIR VF Bullet Network Camera 2.8-12mm</t>
  </si>
  <si>
    <t>• 1/2.9" Progressive Scan CMOS
 • 3072 ×2048@20fps
 • 2.8 to 12 mm varifocal lens
 • Color: 0.01 Lux @ (F1.2, AGC ON), 0.018 Lux
 @ (F1.6, AGC ON), 0 Lux with IR
 • H.265+, H.265, H.264+, H.264
 • 120dB WDR
 • 2 Behavior analyses, and face detection
 • BLC/3D DNR/ROI/HLC
 • IP66, IK10
 • Built-in micro SD/SDHC/SDXC card slot, up to
 128 GB</t>
  </si>
  <si>
    <t>DS-2CD2663G2-IZS</t>
  </si>
  <si>
    <t>6 MP AcuSense Motorized Varifocal Bullet
 Network Camera 2.8-12mm</t>
  </si>
  <si>
    <t>• High quality imaging with 6 MP resolution
 • Motorized varifocal lens for easy installation and
 monitoring
 • Efficient H.265+ compression technology
 • Clear imaging against strong backlight due to 120
 dB true WDR technology
 • Focus on human and vehicle targets classification
 based on deep learning
 • Audio and alarm interface available
 • Water and dust resistant (IP67) and vandal-
 resistant (IK10)</t>
  </si>
  <si>
    <t>DS-2CD2683G0-IZS</t>
  </si>
  <si>
    <t>4K (8MP) EXIR VF Bullet Network Camera 2.8-12mm</t>
  </si>
  <si>
    <t>• 8 Megapixel High Resolution
 • 1/3" Progressive Scan CMOS
 • H.265+/H.265/H.264+/H.264/MJPEG
 • 3D DNR; ICR; EXIR, up to 30m
 • DC12V&amp;PoE
 • Built-in micro SD/SDHC/SDXC slot
 • All-metal, built-in junction box; IP67, IK10
 • HIK-Connect cloud service</t>
  </si>
  <si>
    <t>DS-2CD2683G2-IZS</t>
  </si>
  <si>
    <t>8 MP AcuSense Motorized Varifocal Bullet
 Network Camera 2.8-12mm</t>
  </si>
  <si>
    <t>High quality imaging with 6 MP resolution
 • Motorized varifocal lens for easy installation and
 monitoring
 • Efficient H.265+ compression technology
 • Clear imaging against strong backlight due to 120
 dB true WDR technology
 • Focus on human and vehicle targets classification
 based on deep learning
 • Audio and alarm interface available
 • Water and dust resistant (IP67) and vandal-
 resistant (IK10)</t>
  </si>
  <si>
    <t>DS-2CD2686G2-IZS</t>
  </si>
  <si>
    <t>4K AcuSense Varifocal Bullet Network Camera</t>
  </si>
  <si>
    <t>• High quality imaging with 8 MP resolution
• Motorized varifocal lens for easy installation and
monitoring
• Excellent low-light performance via powered-by-
DarkFighter technology
• Efficient H.265+ compression technology
• Clear imaging against strong back light due to 120
dB true WDR technology
• Focus on human and vehicle targets classification
based on deep learning
• Audio and alarm interface available
• Water and dust</t>
  </si>
  <si>
    <t>Vari-focus DOME</t>
  </si>
  <si>
    <t>DS-2CD2710F-IS</t>
  </si>
  <si>
    <t>1.3MP VF IR Dome Camera 2.8-12mm</t>
  </si>
  <si>
    <t>• 1.3MP high resolution
 • HD real-time video
 • IR LEDs: up to 30m
 • DWDR &amp; 3D DNR &amp; BLC
 • Onboard storage (up to 128GB)
 • IP67
 • Vandal-proof
 -S: Audio/Alarm IO conectors</t>
  </si>
  <si>
    <t>DS-2CD1723G0-IZ</t>
  </si>
  <si>
    <t>2MP VF IR Dome Camera 2.8-12mm</t>
  </si>
  <si>
    <t>DS-2CD2721G0-I</t>
  </si>
  <si>
    <t>• Progressive Scan CMOS Sensor
 • Resolution: 1920x1080 @ 30fps
 • 2.8-12mm focal length lens
 • Light sensitivity 0.01Lux @ (F1.2, AGC ON)
 • IR remote EXIR 30m
 • IRC, BLC, AGC, DWDR, 3D DNR
 • 12 VDC ± 10%, PoE (802.3af)
 • Φ 153.3 × 111.6 mm (Φ 6 '' x 4.4 ''), 1300g
 • IP67
 • H.265+, H.265, H.264+, H.264</t>
  </si>
  <si>
    <t>DS-2CD1743G0-IZ</t>
  </si>
  <si>
    <t>4.0 MP VF Network Bullet Camera 2.8-12mm</t>
  </si>
  <si>
    <t>DS-2CD2742FWD-I</t>
  </si>
  <si>
    <t>4MP WDR Vari-focal Dome Network Camera 2.8-12mm</t>
  </si>
  <si>
    <t>• 1/3” Progressive Scan CMOS
 • 1/3” Progressive Scan CMOS
 • Up to 4 megapixel resolution
 • 120dB WDR
 • 3D DNR
 • Up to 30 meters IR range
 • Built-in Micro SD/SDHC/SDXC card slot, up to
 128 GB
 • Mobile Monitoring via cloud P2P or iVMS-4500
 • 12V DC±25% &amp; PoE(802.3af Class3)
 • Support H.264+
 • IP67
 • IK10</t>
  </si>
  <si>
    <t>DS-2CD2743G0-IZS</t>
  </si>
  <si>
    <t>4 MP IR Vari-focal Dome Network Camera 2.8-12mm</t>
  </si>
  <si>
    <t>• 1/3" Progressive Scan CMOS
 • 2688 ×1520@30fps
 • 2.8 to 12 mm varifocal lens
 • Color: 0.01 Lux @ (F1.2, AGC ON), 0.018 Lux
 @ (F1.6, AGC ON), 0 Lux with IR
 • H.265+, H.265, H.264+, H.264
 • Three streams
 • 120dB WDR
 • 2 Behavior analyses, and face detection
 • BLC/3D DNR/ROI/HLC
 • IP67, IK10
 • Built-in micro SD/SDHC/SDXC card slot, up to
 128 GB
 • 3-Axis adjustment</t>
  </si>
  <si>
    <t>DS-2CD2743G2-IZS</t>
  </si>
  <si>
    <t>4 MP Vandal Motorized Varifocal Dome
 Network Camera 2.8-12mm</t>
  </si>
  <si>
    <t>• High quality imaging with 4 MP resolution
 • Motorized varifocal lens for easy installation and
 monitoring
 • Clear imaging against strong backlight due to 120
 dB WDR technology
 • Efficient H.265+ compression technology
 • Water and dust resistant (IP67) and vandal proof
 (IK10)</t>
  </si>
  <si>
    <t>DS-2CD2783G0-IZS</t>
  </si>
  <si>
    <t>IEasy IP 4.0 (AcuSense)</t>
  </si>
  <si>
    <t xml:space="preserve">DS-2CD2786G2-IZS (C) </t>
  </si>
  <si>
    <t>4K AcuSense Varifocal Dome Network Camera</t>
  </si>
  <si>
    <t>• ŸHigh quality imaging with 8 MP resolution
• ŸMotorized varifocal lens for easy installation and
monitoring
• ŸExcellent low-light performance via powered-byDarkFighter technology
• ŸEfficient H.265+ compression technology
• ŸClear imaging against strong back light due to 120
dB true WDR technology
• ŸFocus on human and vehicle targets classification
based on deep learning
• ŸAudio and alarm interface available
• ŸWater and dust resistant (IP66) and vandal proof
(IK10)</t>
  </si>
  <si>
    <t>Easy IP 4.0 (AcuSense)</t>
  </si>
  <si>
    <t>DS-2CD2126G1-I</t>
  </si>
  <si>
    <t>• Max. 1920 × 1080 @ 30fps
 • 2.8 mm fixed lens
 • H.265, H.264, 120dB WDR
 • False alarm filter by target classification
 • Powered by Darkfighter
 • 12 VDC &amp; PoE (802.3af, class 3)
 • IR range: Up to 30 m
 • Support on-board storage, up to 128 GB
 • IP67 (If the camera is installed outdoor, the
 bracket DS-1253ZJ-* should be used together with
 other pendant mounting bracket or wall mounting
 bracket to reduce IR reflective in the rainy day),IK10
 • BLC/3D DNR/ROI
 • Color: 0.005 Lux @ (F1.2, AGC ON), 0.009 Lux
 @ (F1.6, AGC ON)</t>
  </si>
  <si>
    <t>DS-2CD2326G1-I</t>
  </si>
  <si>
    <t>2 MP IR Fixed Turret Network Camera 2.8mm</t>
  </si>
  <si>
    <t>• Max. 1920 × 1080 @ 25fps
 • 2.8 mm fixed lens
 • H.265, H.264
 • 120dB WDR
 • False alarm filter by target classification
 • 12 VDC &amp; PoE (802.3af, class 3)
 • IR range: Up to 50 m
 • Support on-board storage, up to 128 GB
 • IP67
 • BLC/3D DNR/ROI
 • Color: 0.007 Lux @ (F1.2, AGC ON), 0.012 Lux
 @
 (F1.6, AGC ON)</t>
  </si>
  <si>
    <t>DS-2CD2326G2-I</t>
  </si>
  <si>
    <t>• ŸMax. 1920 × 1080 @ 25fps
 • 2.8 mm fixed lens
 • H.265, H.264
 • 120dB WDR
 • False alarm filter by target classification
 • 12 VDC &amp; PoE (802.3af, class 3)
 • IR range: Up to 50 m
 • Support on-board storage, up to 128 GB
 • IP67
 • BLC/3D DNR/ROI
 • Color: 0.007 Lux @ (F1.2, AGC ON), 0.012 Lux
 @
 (F1.6, AGC ON)</t>
  </si>
  <si>
    <t>DS-2CD2346G1-I</t>
  </si>
  <si>
    <t>4 MP IR Fixed Turret Network Camera 2.8mm</t>
  </si>
  <si>
    <t>• Max. 2688 × 1520 @ 25fps
 • 2.8 mm fixed lens
 • H.265, H.264
 • 120dB WDR
 • False alarm filter by target classification
 • 12 VDC &amp; PoE (802.3af, class 3)
 • IR range: Up to 50 m
 • Support on-board storage, up to 128 GB
 • IP67
 • BLC/3D DNR/ROI
 • Color: 0.007 Lux @ (F1.2, AGC ON), 0.012 Lux
 @
 (F1.6, AGC ON)</t>
  </si>
  <si>
    <t>DS-2CD2346G2-I</t>
  </si>
  <si>
    <t>DS-2CD2T46G1-2I</t>
  </si>
  <si>
    <t>4 MP IR Fixed Bullet Network Camera 2.8mm/4.0mm</t>
  </si>
  <si>
    <t>• Max. 2688 × 1520 @ 25fps
 • 2.8 mm/4 mm fixed lens
 • H.265, H.264
 • 120dB WDR
 • False alarm filter by target classification
 • Powered by Darkfighter
 • 12 VDC &amp; PoE (802.3at, class 4)
 • IR range: Up to 50 m, 80 m, optional
 • Support on-board storage, up to 128 GB
 • iP67
 • BLC/3D DNR/ROI
 • Color: 0.007 Lux @ (F1.2, AGC ON)</t>
  </si>
  <si>
    <t>4 MP Acusense Built-in Mic Fixed Mini Dome
 Network Camera 1.16mm</t>
  </si>
  <si>
    <t>• High quality imaging with 4 MP resolution
 • Excellent low-light performance with powered-by-
 DarkFighter technology
 • Focusing on human and vehicle classification
 based on deep learning
 • Clear imaging against strong back light due to 120
 dB WDR technology
 • Efficient H.265+ compression technology
 • Water and dust resistant IP67 and vandal proof
 IK08</t>
  </si>
  <si>
    <t>DS-2CD2086G2-I ©</t>
  </si>
  <si>
    <t>4K AcuSense Fixed Mini Bullet Network Camera</t>
  </si>
  <si>
    <t>• High quality imaging with 8 MP resolution
• Excellent low-light performance via powered-byDarkFighter technology
• Efficient H.265+ compression technology
• Clear imaging against strong back light due to 120
dB true WDR technology
• Focus on human and vehicle targets classification
based on deep learning
• Built-in microphone for real-time audio security(-U)
• Water and dust resistant (IP67)</t>
  </si>
  <si>
    <t>DS-2CD2183G2-I</t>
  </si>
  <si>
    <t>8 MP AcuSense Fixed Dome Network Camera</t>
  </si>
  <si>
    <t>• High quality imaging with 8 MP resolution
• Clear imaging against strong backlight due to 120
dB true
WDR technology
• Efficient H.265+ compression technology
• Focus on human and vehicle targets classification
based on
deep learning
• Water and dust resistant (IP67) and vandal-
resistant (IK10)</t>
  </si>
  <si>
    <t>• High quality imaging with 8 MP resolution
• Excellent low-light performance via powered-by-
DarkFighter technology
• Efficient H.265+ compression technology
• Clear imaging against strong back light due to 120
dB true WDR technology
• Focus on human and vehicle targets classification
based on deep learning
• Built-in microphone for real-time audio security(-U)
• Water and dust resistant (IP67)</t>
  </si>
  <si>
    <t xml:space="preserve"> DS-2CD2186G2-I ©</t>
  </si>
  <si>
    <t>4K Acusense Fixed Dome Network Camera</t>
  </si>
  <si>
    <t>High quality imaging with 8 MP resolution
Excellent low-light performance via powered-byDarkFighter technology
Efficient H.265+ compression technology
Clear imaging against strong back light due to 120
dB true WDR technology
Focus on human and vehicle targets classification
based on deep learning
Built-in microphone for real-time audio security (-
SU)
Audio and alarm interface available(-SU)
Water and dust resistant (IP67) and vandal
resistant (IK10)</t>
  </si>
  <si>
    <t>ColorVu</t>
  </si>
  <si>
    <t>DS-2CD1027G0-L</t>
  </si>
  <si>
    <t>2 MP ColorVu Lite Fixed Bullet Network
 Camera 2.8mm</t>
  </si>
  <si>
    <t>•High quality imaging with 2 MP resolution
 • Excellent low-light performance
 • Efficient H.265+ compression technology
 • Water and dust resistant (IP67)
 • 24/7 colorful imaging</t>
  </si>
  <si>
    <t>DS-2CD1027G0-LUF</t>
  </si>
  <si>
    <t>2 MP ColorVu Lite Fixed Bullet Network
 Camera w/ Audio 2.8mm</t>
  </si>
  <si>
    <t>• High quality imaging with 2 MP resolution
 • Excellent low-light performance
 • Efficient H.265+ compression technology
 • Water and dust resistant (IP67)
 • 24/7 colorful imaging
 • Built-in Mic</t>
  </si>
  <si>
    <t>DS-2CD1327G0-L</t>
  </si>
  <si>
    <t>2 MP ColorVu Lite Fixed Turret Network
 Camera 2.8mm</t>
  </si>
  <si>
    <t>• High quality imaging with 2 MP resolution
 • Excellent low-light performance
 • Efficient H.265+ compression technology
 • Water and dust resistant (IP67)
 • 4/7 colorful imaging</t>
  </si>
  <si>
    <t>DS-2CD1327G0-LU</t>
  </si>
  <si>
    <t>2 MP ColorVu Lite Fixed Turret Network
 Camera w/ Audio 2.8mm</t>
  </si>
  <si>
    <t>• High quality imaging with 2 MP resolution
 • Excellent low-light performance
 • Efficient H.265+ compression technology
 • Water and dust resistant (IP67)
 • 24/7 colorful imaging</t>
  </si>
  <si>
    <t>DS-2CD1327G0-LUF</t>
  </si>
  <si>
    <t>• High quality imaging with 2 MP resolution
 • Excellent low-light performance
 • Efficient H.265+ compression technology
 • Water and dust resistant (IP67)
 • 24/7 colorful imaging
 • Built-in MIC, Built-in memory card slot, support
 microSD card up to 256 GB</t>
  </si>
  <si>
    <t>DS-2CD1047G0-L</t>
  </si>
  <si>
    <t>4 MP ColorVu Lite Fixed Bullet Network
 Camera 2.8mm</t>
  </si>
  <si>
    <t>• High quality imaging with 4 MP resolution
 • Excellent low-light performance
 • Efficient H.265+ compression technology
 • Water and dust resistant (IP67)
 • 24/7 colorful imaging</t>
  </si>
  <si>
    <t>DS-2CD1047G0-LUF</t>
  </si>
  <si>
    <t>• High quality imaging with 4 MP resolution
 • Excellent low-light performance
 • Efficient H.265+ compression technology
 • Water and dust resistant (IP67)
 • 24/7 colorful imaging
 • Built-in Mic</t>
  </si>
  <si>
    <t>DS-2CD1147G0-UF</t>
  </si>
  <si>
    <t>4 MP ColorVu Lite Fixed Dome Network
 Camera 2.8mm</t>
  </si>
  <si>
    <t>DS-2CD1347G0-L</t>
  </si>
  <si>
    <t>4 MP ColorVu Lite Fixed Turret Network Camera 2.8mm</t>
  </si>
  <si>
    <t>4 MP ColorVu Lite Fixed Turret Network Camera
• ŸHigh quality imaging with 4 MP resolution
• Ÿ Excellent low-light performance
• Ÿ Efficient H.265+ compression technology
• Ÿ Water and dust resistant (IP67)
• Ÿ 24/7 colorful imaging</t>
  </si>
  <si>
    <t>Easy IP 4.0 (ColorVu)</t>
  </si>
  <si>
    <t>DS-2CD1347G0-LUF</t>
  </si>
  <si>
    <t>4 MP ColorVu Lite Fixed Turret Network
 Camera 2.8mm</t>
  </si>
  <si>
    <t>DS-2CD2327G3E-L</t>
  </si>
  <si>
    <t>2 MP ColorVu Fixed Turret Network Camera 2.8MM</t>
  </si>
  <si>
    <t>• Max. 1920 × 1080 @25fps
 • 2.8mm fixed lens
 • H.265+, H.264+
 • 120dB WDR
 • 0.0035 @ F1.0 (1/30 s, AGC ON), 0.005 @ F1.2
 (1/30 s, AGC ON), 0 Lux with LED on
 • 12 VDC &amp; PoE (802.3af, class 3)
 • Built-in micro SD/SDHC/SDXC slot, up to 128G
 • IP67
 • BLC/3D DNR/HLC/ROI
 • 24-hour colorful video</t>
  </si>
  <si>
    <t>DS-2CD2327G2-L</t>
  </si>
  <si>
    <t>2MP ColorVu Fixed Turret Network Camera 2.8mm</t>
  </si>
  <si>
    <t>• High quality imaging with 2 MP resolution
 • Efficient H.265+ compression technology
 • Clear imaging against strong back light due to 120
 dB WDR technology
 • Focusing on human and vehicle classification
 based on deep learning
 • 24/7 colorful imaging</t>
  </si>
  <si>
    <t>DS-2CD2347G2-L</t>
  </si>
  <si>
    <t>4 MP ColorVu Fixed Turret Network Camera 2.8mm</t>
  </si>
  <si>
    <t>• High quality imaging with 4 MP resolution
 • Efficient H.265+ compression technology
 • Clear imaging against strong back light due to 130
 dB WDR technology
 • Focusing on human and vehicle classification
 based on deep learning
 • 24/7 colorful imaging</t>
  </si>
  <si>
    <t>DS-2CD2347G2-LU</t>
  </si>
  <si>
    <t>• High quality imaging with 4 MP resolution
 • Efficient H.265+ compression technology
 • Clear imaging against strong back light due to 130
 dB WDR technology
 • Focusing on human and vehicle classification
 based on deep learning
 • 24/7 colorful imaging
 • U:Built-in microphone</t>
  </si>
  <si>
    <t>DS-2CD2027G1-L</t>
  </si>
  <si>
    <t>2 MP ColorVu Fixed Bullet Network Camera 2.8mm</t>
  </si>
  <si>
    <t>● 1/2.8" Progressive Scan CMOS
 ● 1920 × 1080 @ 30fps
 ● F1.0 aperture, 2.8 mm fixed lens
 ● 120dB WDR
 ● H.265+, H.265, H.264+, H.264
 ● IP67
 ● Built-in micro SD/SDHC/SDXC slot, up to 256
 GB
 ● 24/7 full time color</t>
  </si>
  <si>
    <t>DS-2CD2027G2-L</t>
  </si>
  <si>
    <t>2 MP ColorVu Fixed Mini Bullet Network
 Camera 2.8mm</t>
  </si>
  <si>
    <t>● High quality imaging with 2 MP resolution
 ● Efficient H.265+ compression technology
 ● Clear imaging against strong back light due to
 120 dB WDR technology
 ● 24/7 colorful imaging
 ● Focus on human and vehicle classification based
 on deep learning
 ● Water and dust resistant (IP67)</t>
  </si>
  <si>
    <t>DS-2CD2T27G3E-L</t>
  </si>
  <si>
    <t>2 MP ColorVu Fixed Bullet Network Camera 4.0mm</t>
  </si>
  <si>
    <t>• Max. 1920 × 1080 @25fps
 • 4 mm fixed lens
 • H.265+, H.264+
 • 120dB WDR
 • 0.0035 @ F1.0 (1/30 s, AGC ON), 0.005 @
 F1.2 (1/30 s, AGC ON), 0 Lux with LED on
 • 12 VDC &amp; PoE (802.3af, class 3)
 • Built-in micro SD/SDHC/SDXC slot, up to 128G
 • ŸP67
 • BLC/3D DNR/HLC/ROI
 • 24-hour colorful video</t>
  </si>
  <si>
    <t>DS-2CD2047G1-L</t>
  </si>
  <si>
    <t>4 MP ColorVu Fixed Bullet Network Camera 2.8mm</t>
  </si>
  <si>
    <t>● 1/2.8" Progressive Scan CMOS
 ● 2560 x 1440 @ 30fps
 ● F1.0 aperture, 2.8 mm fixed lens
 ● 120dB WDR
 ● H.265+, H.265, H.264+, H.264
 ● IP67
 ● Built-in micro SD/SDHC/SDXC slot, up to 256
 GB
 ● 24/7 full time color</t>
  </si>
  <si>
    <t>DS-2CD2047G2-L</t>
  </si>
  <si>
    <t>● High quality imaging with 4 MP resolution
 ● Efficient H.265+ compression technology
 ● Clear imaging against strong backlight due to 130
 dB WDR technology
 ● Focusing on human and vehicle targets
 classification based on deep learning
 ● 24/7 colorful imaging
 ● Water and dust resistant (IP67)</t>
  </si>
  <si>
    <t>DS-2CD2047G2-LU</t>
  </si>
  <si>
    <t>● High quality imaging with 4 MP resolution
 ● Efficient H.265+ compression technology
 ● Clear imaging against strong backlight due to 130
 dB WDR technology
 ● Focusing on human and vehicle targets
 classification based on deep learning
 ● 24/7 colorful imaging
 ● Water and dust resistant (IP67)
 -U:Built-in micphone</t>
  </si>
  <si>
    <t>DS-2CD2T47G2-L</t>
  </si>
  <si>
    <t>4MP ColorVu Fixed Bullet Network Camera 4.0mm</t>
  </si>
  <si>
    <t>• High quality imaging with 4 MP resolution
 • Efficient H.265+ compression technology
 • Clear imaging against strong back light due to
 130 dB WDR technology
 • Focusing on human and vehicle classification
 based on deep learning
 • 24/7 colorful imaging</t>
  </si>
  <si>
    <t>DS-2CD2T47G3E-L</t>
  </si>
  <si>
    <t>4 MP ColorVu Fixed Bullet Network Camera 4.0mm</t>
  </si>
  <si>
    <t>• Max. 2560 × 1440 @25fps
 • 4 mm fixed lens
 • H.265+, H.264+
 • 120dB WDR
 • 0.0035 @ F1.0 (1/30 s, AGC ON), 0.005 @
 F1.2 (1/30 s, AGC ON), 0 Lux with LED on
 • 12 VDC &amp; PoE (802.3af, class 3)
 • Built-in micro SD/SDHC/SDXC slot, up to 128G
 • IP67
 • BLC/3D DNR/HLC/ROI
 • 24-hour colorful video</t>
  </si>
  <si>
    <t xml:space="preserve"> DS-2CD2087G2-L </t>
  </si>
  <si>
    <t>4 K ColorVu Fixed Bullet Network Camera</t>
  </si>
  <si>
    <t xml:space="preserve">• High quality imaging with 8 MP resolution
• Efficient H.265+ compression technology
• Clear imaging against strong back light due to 130
dB WDR technology
• Focus on human and vehicle classification based
on deep learning
• 24/7 colorful imaging
• Built-in microphone for real-time audio security
(-U)
</t>
  </si>
  <si>
    <t>DS-2CD2087G2-LU</t>
  </si>
  <si>
    <t>4 K ColorVu Fixed Bullet Network Camera
• High quality imaging with 8 MP resolution
• Efficient H.265+ compression technology
• Clear imaging against strong back light due to 130 dB WDR technology
• Focus on human and vehicle classification based on deep learning
• 24/7 colorful imaging
• Built-in microphone for real-time audio security (-U)</t>
  </si>
  <si>
    <t>DS-2CD2T87G2-L</t>
  </si>
  <si>
    <t>4 K ColorVu Fixed Bullet Network Camera 4.0mm</t>
  </si>
  <si>
    <t>• High quality imaging with 8 MP resolution
 • Efficient H.265+ compression technology
 • Clear imaging against strong back light due to 130
 dB WDR technology
 • Focus on human and vehicle classification based
 on deep learning
 • 24/7 colorful imaging</t>
  </si>
  <si>
    <t>DS-2CD2T86G2-ISU/SL</t>
  </si>
  <si>
    <t>4K AcuSense Strobe Light and Audible Warning
Fixed Bullet Network Camera</t>
  </si>
  <si>
    <t>• High quality imaging with 8 MP resolution
• Excellent low-light performance with powered-by-
DarkFighter technology
• Clear imaging against strong back light due to 120
dB true WDR technology
• Efficient H.265+ compression technology
• Focus on human and vehicle targets classification
based on deep learning
• Active strobe light and audio alarm to warn
intruders off
• Provides real-time security via built-in two-way
audio
• Water and dust resistant (IP67)</t>
  </si>
  <si>
    <t>Wireless Wifi Camera</t>
  </si>
  <si>
    <t>DS-2CD2121G1-IDW1(D)</t>
  </si>
  <si>
    <t>2 MP IR Fixed Network Dome Camera 2.8mm</t>
  </si>
  <si>
    <t>• 1/2.8" Progressive Scan CMOS
 • 1920 × 1080 @30fps
 • 2.8 mm fixed lens
 • Wi-Fi Connection
 • H.265+, H.265, H.264+, H.264
 • 3D Digital Noise Reduction
 • Audio I/O: 1 built-in mic, mono sound
 • IP66</t>
  </si>
  <si>
    <t>DS-2CV2121G2-IDW</t>
  </si>
  <si>
    <t>2 MP Outdoor Audio Fixed Dome Network
 Camera 2.8mm</t>
  </si>
  <si>
    <t>• High quality imaging with 2 MP resolution
 • Realizing Wi-Fi connection and easy installation
 • Provides real-time security via built-in two-way
 audio
 • Efficient H.265 compression technology
 • EXIR 2.0, advanced infrared technology with long
 IR distance
 • Water and dust resistant (IP66)
 • Support micro SD/SDHC/SDXC card, up to 256
 GB</t>
  </si>
  <si>
    <t>DS-2CD2021G1-IDW1</t>
  </si>
  <si>
    <t>2 MP IR Fixed Network Bullet Camera 2.8mm</t>
  </si>
  <si>
    <t>DS-2CV2021G2-IDW(D)</t>
  </si>
  <si>
    <t>2 MP Outdoor Audio Fixed Bullet Network
 Camera 2.8mm</t>
  </si>
  <si>
    <t>1/2.7" Progressive Scan 2MP CMOS
 • Built-in dual antenna 2.4G Wi-Fi, up to 120m
 range in open area
 • Built-in microphone and speaker, support two-way
 audio
 • H.265+, H.265, H.264+, H.264
 • EXIR, 30m IR range
 • IP66 Dust and water proof
 • Built-in micro SD/SDHC/SDXC card slot, up to</t>
  </si>
  <si>
    <t>DS-2CD2041G1-IDW1</t>
  </si>
  <si>
    <t>4 MP IR Fixed Network Bullet Camera 2.8mm</t>
  </si>
  <si>
    <t>• 1/3" Progressive Scan CMOS
 • 2560 × 1440 @20fps
 • 2.8/4 mm fixed lens
 • Wi-Fi Connection
 • H.265+, H.265, H.264+, H.264
 • Color: 0.01 Lux @(F1.2; AGC ON), 0.028 Lux
 @(F2.0; AGC ON)
 • 3D Digital Noise Reduction
 • Audio I/O: 1 built-in mic, mono sound
 • IP66</t>
  </si>
  <si>
    <t>SOLAR CAMERA</t>
  </si>
  <si>
    <t>DS-2CV2041G2-IDW(D)</t>
  </si>
  <si>
    <t>4 MP Outdoor Audio Fixed Bullet Network
 Camera 2.8mm</t>
  </si>
  <si>
    <t>• 1/2.7" Progressive Scan 4MP CMOS
 • Built-in dual antenna 2.4G Wi-Fi, up to 120m
 range in open area
 • Built-in microphone and speaker, support two-way
 audio
 • H.265, H.264
 • EXIR, 30m IR range
 • IP66 Dust and water proof
 • Built-in micro SD/SDHC/SDXC card slot, up to
 256 GB</t>
  </si>
  <si>
    <t>DS-2CD2141G1-IDW1(D)</t>
  </si>
  <si>
    <t>4 MP IR Fixed Network Dome Camera 2.8mm</t>
  </si>
  <si>
    <t>• 1/2.8" Progressive Scan CMOS
 • 2304x1296 @25fps
 • 2.8 mm fixed lens
 • Wi-Fi Connection
 • H.265+, H.265, H.264+, H.264
 • 3D Digital Noise Reduction
 • Audio I/O: 1 built-in mic, mono sound
 • IP66</t>
  </si>
  <si>
    <t>DS-2CD2051G1-IDW1(D)</t>
  </si>
  <si>
    <t>5 MP Outdoor Fixed Bullet Network Camera
 with Build-in Mic 2.8mm</t>
  </si>
  <si>
    <t>• High quality imaging with 5 MP resolution
 • Efficient H.265+ compression technology
 • Clear imaging even with strong back lighting due
 to DWDR technology
 • Up to 128 GB SD card slot for storage
 • Built-in microphone for real-time audio security
 • Wi-Fi connection with Hik-Connect directly is not
 possible
 • Water and dust resistant (IP66)</t>
  </si>
  <si>
    <t>29 series IR Panoramic Camera</t>
  </si>
  <si>
    <t>DS-2XS2T41G0-ID/4G/C04S05</t>
  </si>
  <si>
    <t>4MP Solar-powered Security Camera Setup 4mm</t>
  </si>
  <si>
    <t>• Detects human body through passive infrared
 which is sensitive to body temperature (PIR)
 • Standalone with built-in solar panel and battery
 • High quality imaging with 4 MP resolution
 • Efficient H.265+ compression technology
 • Provide real-time security via built-in two-way
 audio
 • Water and dust resistant (IP66)
 • Support remote control with Hik-Connect APP</t>
  </si>
  <si>
    <t>DS-2XS2T47G0-LDH/4G/C10S40</t>
  </si>
  <si>
    <t>4MP ColorVu Solar-powered Security Camera
Setup</t>
  </si>
  <si>
    <t>• High quality imaging with 4 MP resolution
• Standalone with solar panel and built-in battery
• 24/7 colorful imaging
• Efficient H.265+ compression technology
• Provide real-time security via built-in two-way
audio
• Water and dust resistant (IP67)
• Stability against category 12 typhoon
• Support 4G (LTE-TDD/LTE-FDD/TD-
SCDMA/EVDO) communication</t>
  </si>
  <si>
    <t>DS-2XS2T47G0-
 LDH/4G/C18S40</t>
  </si>
  <si>
    <t>4MP ColorVu Solar-powered Security Camera
 Setup 4mm</t>
  </si>
  <si>
    <t>• High quality imaging with 4 MP resolution
 • Standalone with solar panel and built-in battery
 • 24/7 colorful imaging
 • Efficient H.265+ compression technology
 • Provide real-time security via built-in two-way
 audio
 • Water and dust resistant (IP67)
 • Stability against category 12 typhoon
 • Support 4G (LTE-TDD/LTE-FDD/TD-
 SCDMA/EVDO) communication</t>
  </si>
  <si>
    <t>U1 series IR Mini cube</t>
  </si>
  <si>
    <t>DS-2CD2935FWD-I</t>
  </si>
  <si>
    <t>3 MP Network Fisheye Camera</t>
  </si>
  <si>
    <t>• Up to 3 MP High Resolution
• Full 2048 × 1536 @30 fps
• H.265+, H.265, H.264+, H.264
• 14 Display Modes Supported
• Field of View: Horizontal 180°, Vertical 180°
• 120 dB Wide Dynamic Range
• 3D Digital Noise Reduction
• 12 VDC &amp; PoE (802.3af)
• EXIR 2.0 with up to 30 ft (8 m) IR range
• MicroSD card slot supports up to 128 GB</t>
  </si>
  <si>
    <t>DS-2CD2935FWD-IS</t>
  </si>
  <si>
    <t>3 MP Network Fisheye Camera 1.16mm</t>
  </si>
  <si>
    <t>• Up to 3 MP High Resolution
 • Full 2048 × 1536 @30 fps
 • H.265+, H.265, H.264+, H.264
 • 14 Display Modes Supported
 • Field of View: Horizontal 180°, Vertical 180°
 • 120 dB Wide Dynamic Range
 • 3D Digital Noise Reduction
 • 12 VDC &amp; PoE (802.3af)
 • EXIR 2.0 with up to 30 ft (8 m) IR range
 • MicroSD card slot supports up to 128 GB
 • Audio and Alarm Inputs and Outputs</t>
  </si>
  <si>
    <t>DS-2CD2955FWD-IS</t>
  </si>
  <si>
    <t>5 MP Network Fisheye Camera 1.16mm</t>
  </si>
  <si>
    <t>• ŸUp to 5 MP High Resolution
 • Full 2560 × 1920 @30 fps
 • H.265+, H.265, H.264+, H.264
 • 14 Display Modes Supported
 • Field of View: Horizontal 180°, Vertical 180°
 • 120 dB Wide Dynamic Range
 • 3D Digital Noise Reduction
 • 12 VDC &amp; PoE (802.3af)
 • EXIR 2.0 with up to 30 ft (8 m) IR range
 • MicroSD card slot supports up to 128 GB
 • Audio and Alarm Inputs and Outputs</t>
  </si>
  <si>
    <t>Q1 series IR Mini PT</t>
  </si>
  <si>
    <t>DS-2CV2U21FD-IW</t>
  </si>
  <si>
    <t>2 MP IR Mini PT Camera 2.8mm</t>
  </si>
  <si>
    <t>• 1/2.8" Progressive CMOS, ICR, 0lux with IR
 • 1920x1080: 25fps(P)/30fps(N), H.264/MJPEG
 • dual-stream, 3D DNR
 • support on-board storage up to 128GB
 • HIK-Connect cloud service
 • Built-in microphone and speaker, support two-way
 audio
 • Built-in Wi-Fi
 • 5VDC power supply.</t>
  </si>
  <si>
    <t>WEBCAM</t>
  </si>
  <si>
    <t>DS-2CV2Q21FD-IW</t>
  </si>
  <si>
    <t>2 MP IR Mini PT Camera 2mm/2.8mm</t>
  </si>
  <si>
    <t>• 1/2.8" Progressive CMOS, ICR, 0lux with IR
 • 1920x1080: 25fps(P)/30fps(N), H.264/MJPEG
 • dual-stream, 3D DNR
 • PT function (Pan: 0° ~ 355°; Tilt: -10° ~ 90°)
 • support on-board storage up to 128GB
 • HIK-Connect cloud service
 • Built-in microphone and speaker, support two-way
 audio
 • Built-in Wi-Fi
 • 5VDC power supply.</t>
  </si>
  <si>
    <t>DE-line Network IR PTZ - 7"</t>
  </si>
  <si>
    <t>DS-U02</t>
  </si>
  <si>
    <t>2 MP Web Camera 3.6mm</t>
  </si>
  <si>
    <t>• 2 MP CMOS
 • High quality imaging with 1920 × 1080 resolution
 • Min. illumination: 0.1 Lux @ (F1.2, AGC ON)
 • AGC for self-adaptive brightness
 • Built-in microphone with clear sound
 • Type A interface, supporting USB 2.0 protocol.
 Plug-and-play, no need to install driver software</t>
  </si>
  <si>
    <t>DS-2DE7120IW-AE</t>
  </si>
  <si>
    <t>1.3MP 20X NetworkIR PTZ Dome Camera 4-7-94.0mm</t>
  </si>
  <si>
    <t>• 1/3" Progressive Scan CMOS, up to 1280 x 960
 • 20X Optical Zoom
 • DWDR
 • 3D intelligent positioning function
 • Support EZVIZ cloud P2P
 • Up to 150m IR distance
 • Hi-PoE / 24VAC power supply</t>
  </si>
  <si>
    <t>DS-2DE7220IW-AE</t>
  </si>
  <si>
    <t>2MP 20X Network IR PTZ Camera 4.3-94.0mm</t>
  </si>
  <si>
    <t>1/2.8’’ Progressive Scan CMOS, up to 1920x1080
 • 25 fps at HD1080p
 • Up to 150m IR distance
 • 3D DNR, D WDR
 • 3D intelligent positioning
 • 20X Optical Zoom
 • IP66 rating</t>
  </si>
  <si>
    <t>DS-2DE7225IW-AE(B)</t>
  </si>
  <si>
    <t>2MP 25X Network IR PTZ Camera 4.3-94.0mm</t>
  </si>
  <si>
    <t>• 1/2.8" progressive scan CMOS
 • Up to 1920 × 1080@60fps resolution
 • Min. illumination:
 Color: 0.005 Lux @(F1.6, AGC ON)
 B/W: 0.001 Lux @(F1.6, AGC ON)
 • 0 Lux with IR
 • 25× optical zoom, 16× digital zoom
 • WDR, HLC, BLC, 3D DNR, Defog, EIS, Regional
 • Exposure, Regional Focus
 • Up to 150 m IR distance
 • 24 VAC &amp; Hi-PoE
 • Support H.265+/H.265 video compression</t>
  </si>
  <si>
    <t>DS-2DE7232IW-AE(B)</t>
  </si>
  <si>
    <t>2MP 30X Network IR PTZ Dome Camera 4.3-129.0mm</t>
  </si>
  <si>
    <t>• 1/2.8’’ Progressive Scan CMOS, up to 1920x1080
 • Up to 150m IR distance
 • 3D DNR, D WDR
 • 3D intelligent positioning
 • Support Cloud P2P
 • 30X Optical Zoom
 • Hi-PoE / 24VAC power supply, IP66 rating</t>
  </si>
  <si>
    <t>DS-2DE7330IW-AE</t>
  </si>
  <si>
    <t>3MP 30X Network IR PTZ Camera 4.3-129.0mm</t>
  </si>
  <si>
    <t>• 1/2.8’’ Progressive Scan CMOS
 • 2048 × 1536@30fps
 • Up to 150m IR distance
 • 3D DNR, D WDR
 • 3D intelligent positioning
 • 30X Optical Zoom
 • IP66 rating</t>
  </si>
  <si>
    <t>DS-2DE7425IW-AE(B)</t>
  </si>
  <si>
    <t>4MP 25X Network IR PTZ Camera 4.3-129.0mm</t>
  </si>
  <si>
    <t>• 1/2.5" CMOS
 • H.265+/H.265/H.264+/H.264 codec
 • 3D DNR, True WDR
 • Ultra-low light Powered By DarkFighter
 • Color: 0.005lux/F1.6, B/W:0.001lux/F1.6
 • Optical Zoom:25x,, Digital Zoom:16X, 150m IR
 • 2560*1440:30fps
 • Pan Speed: 0.1° -160°/s, Tilt Speed: 0.1° -120°/s
 • Hi-PoE&amp;24VAC
 • Smart Tracking Smart Detection</t>
  </si>
  <si>
    <t>DE-line Network IR PTZ - 5"</t>
  </si>
  <si>
    <t>DS-2DE7430IW-AE</t>
  </si>
  <si>
    <t>4MP 30X Network IR PTZ Camera 5.9-177mm</t>
  </si>
  <si>
    <t>1/1.9" progressive scan CMOS
 • Up to 2560 × 1440 resolution
 • Min. illumination:
 Color: 0.005 Lux @(F1.5, AGC ON)
 B/W: 0.002 Lux @(F1.5, AGC ON)
 0 Lux with IR
 • 30× Optical Zoom, 16× Digital Zoom
 • Defog, EIS, 3D DNR, BLC, HLC, Digital WDR
 • IR distance up to 150 m
 • 24 VAC &amp; Hi-PoE
 • Support H.265+/H.265 video compression</t>
  </si>
  <si>
    <t>DS-2DE7A425IW-AEB (T5)</t>
  </si>
  <si>
    <t>7-inch 4 MP 25X Powered by DarkFighter IR Network Speed Dome</t>
  </si>
  <si>
    <t>DS-2DE7A432IW-AEB (T5)</t>
  </si>
  <si>
    <t>7-inch 4 MP 32X Powered by DarkFighter IR Network Speed Dome</t>
  </si>
  <si>
    <t>DS-2DE7530IW-AE</t>
  </si>
  <si>
    <t>5 MP 30X IR Network Speed Dome 5.9-177mm</t>
  </si>
  <si>
    <t>30X optical zoom, 16X digital zoom
 • 5.9 - 177mm
 • Up to 150m IR distance
 • IP66
 • H.265+ compression
 • 3D intelligent positioning
 • Digital WDR
 • True day / night
 • 2 alarms in / 1 alarm out
 • Audio input
 • 24V AC / Hi-PoE (40W) (802.3at)</t>
  </si>
  <si>
    <t>DS-2DE7A825IW-AEB (T5)</t>
  </si>
  <si>
    <t>7-inch 8 MP 25X Powered by DarkFighter IR Network Speed Dome</t>
  </si>
  <si>
    <t>DS-2DE5220I-AE
 (ORDER BASIS)</t>
  </si>
  <si>
    <t>2MP 20X Network IR PTZ Dome Camera 4.7-94.0mm</t>
  </si>
  <si>
    <t>• 1/2.8" Progressive Scan CMOS
 • 1920 x 1080
 • 20X Optical Zoom
 • DWDR
 • 3D intelligent positioning function
 • Support EZVIZ cloud P2P
 • Up to 150m IR distance
 • Hi-PoE / 24VAC power supply
 • Support BNC output</t>
  </si>
  <si>
    <t>DS-2DE5220IW-AE</t>
  </si>
  <si>
    <t>2MP 20X Network IR PTZ Camera 4.7-94.0mm</t>
  </si>
  <si>
    <t>• 1/2.8" Progressive Scan CMOS
 • 1920 x 1080
 • 20X Optical Zoom
 • DWDR
 • 3D intelligent positioning function
 • Support Hik cloud P2P
 • Up to 150m IR distance
 • Hi-PoE / 24VAC power supply
 • Support BNC output</t>
  </si>
  <si>
    <t>DE-line Network PTZ - 4"</t>
  </si>
  <si>
    <t>DS-2DE5225IW-AE(E)
 w/bracket</t>
  </si>
  <si>
    <t>2MP 25X Network IR PTZ Camera 4.8-120.0mm</t>
  </si>
  <si>
    <t>• 1/2.8" progressive scan CMOS
 • Up to 1920 × 1080@60fps resolution
 • 0 Lux with IR
 • 25× optical zoom, 16× digital zoom
 • WDR, HLC, BLC, 3D DNR, Defog, EIS, Regional
 Exposure, Regional Focus
 • Up to 150 m IR distance
 • 24 VAC &amp; Hi-PoE
 • Support H.265+/H.265 video compression</t>
  </si>
  <si>
    <t>DS-2DE5232IW-AE(E)
 w/ bracket</t>
  </si>
  <si>
    <t>2MP 32X Network IR PTZ Camera 4.8-120.0mm</t>
  </si>
  <si>
    <t>• 1/2.8" progressive scan CMOS
 • Up to 1920 × 1080@30fps resolution
 • Min. illumination:
 Color: 0.005 Lux @(F1.6, AGC ON)
 B/W: 0.001 Lux @(F1.6, AGC ON)
 0 Lux with IR
 • 32× optical zoom, 16× digital zoom
 • WDR, HLC, BLC, 3D DNR, Defog, EIS, Regional
 Exposure, Regional Focus
 • Up to 150 m IR distance
 • 24 VAC &amp; Hi-PoE
 • Support H.265+/H.265 video compression
 • IP66
 • ONVIF, ISAPI, and CGI</t>
  </si>
  <si>
    <t>DS-2DE5425IW-AE(E)
 w/ bracket</t>
  </si>
  <si>
    <t>4MP 25X Network IR PTZ Camera 4.8-120.0mm</t>
  </si>
  <si>
    <t>7-inch 4 MP 32X Powered by DarkFighter IR
 Network Speed Dome 5.9-188.8mm</t>
  </si>
  <si>
    <t>• 1/1.8" progressive scan CMOS
 • High quality imaging with 4 MP resolution
 • Excellent low-light performance with powered-by-
 DarkFighter technology
 • Audio visual alarm: The white flashing light and
 audible warning can be triggered by certain events
 • 32× optical zoom and 16× digital zoom provide
 close up views over expansive areas
 • Expansive night view with up to 200 m IR distance
 • Focuses on human and vehicle targets
 classification based on deep learning
 • Face capture: Up to 5 faces captured at the same
 time</t>
  </si>
  <si>
    <t>DS-2DE4225IW-DE(E)
 w/ bracket</t>
  </si>
  <si>
    <t>2MP 25× Network IR Speed Dome 4.8-12mm</t>
  </si>
  <si>
    <t>1/2.8" progressive scan CMOS
 • Up to 1920 × 1080 resolution
 • Ultra-low light:
 • Color: 0.005 Lux @(F1.6, AGC ON)
 • B/W: 0.001 Lux @(F1.6, AGC ON)
 • 0 Lux with IR
 • 25× optical zoom, 16× digital zoom
 • 120dB WDR, 3D DNR, HLC, BLC
 • Up to 100 m IR distance
 • 12 VDC &amp; PoE+ (802.3at, class4)
 • Support H.265+/H.265 video compression</t>
  </si>
  <si>
    <t>DE-line Network mini PTZ - 2.5"</t>
  </si>
  <si>
    <t>DS-2DE4A225IW-DE(B)</t>
  </si>
  <si>
    <t>2MP 25x Network IR PTZ Camera 4.7-94.0mm</t>
  </si>
  <si>
    <t>2MP, 1/2.8" CMOS
 H.265+/H.265/H.264+/H.264 codec
 3D DNR, True WDR,
 Ultra-low light Powerde By DarkFighter
 Color: 0.005lux/F1.6, B/W:0.001lux/F1.6,
 Optical Zoom:25x, Digital Zoom:16X
 1920*1080:60fps
 PoE+&amp;12VDC
 Smart Tracking Smart Detection</t>
  </si>
  <si>
    <t>DS-2DE4A320IW-DE
 (limited stocks)</t>
  </si>
  <si>
    <t>Value Series 3 MP Indoor/Outdoor Network IR
 PTZ Camera 4.7-94.0mm</t>
  </si>
  <si>
    <t>1/2.8" Progressive Scan CMOS
 Up to 2048 × 1536 Resolution
 20× Optical Zoom, 16× Digital Zoom
 WDR, 3D DNR, HLC, Smart IR
 Basic Smart Suite Analytics
 Up to 165 ft (50 m) IR Distance
 H.265+ Video Compression Supported
 IP66 Protection
 12 VDC and PoE+ (802.3at, class 4)</t>
  </si>
  <si>
    <t>DS-2DE4415IW-DE
with bracket</t>
  </si>
  <si>
    <t>4-inch 4 MP 15X Powered by DarkFighter IR
Network Speed Dome</t>
  </si>
  <si>
    <t>• 1/2.8" progressive scan CMOS
• High quality imaging with 4 MP resolution
• Excellent low-light performance with powered-by-
DarkFighter technology
• 25× optical zoom and 16× digital zoom provide
close up views over expansive areas
• WDR, HLC, BLC, 3D DNR, defog, regional
exposure, regional focus
• Expansive night view with up to 100 m IR distance
• Support H.265+/H.265 video compression</t>
  </si>
  <si>
    <t>DS-2DE4425IW-DE with bracket</t>
  </si>
  <si>
    <t>4-inch 4 MP 25X Powered by DarkFighter IR Network Speed Dome</t>
  </si>
  <si>
    <t>DS-2DE4A425IW-DE(B)</t>
  </si>
  <si>
    <t>4MP 25x Network IR PTZ Camera 4.7-94.0mm</t>
  </si>
  <si>
    <t>1/2.5" progressive scan CMOS
 Up to 2560 × 1440 resolution
 Ultra-low light:
 Color: 0.005 Lux @(F1.6, AGC ON)
 B/W: 0.001 Lux @(F1.6, AGC ON)
 0 Lux with IR
 25× optical zoom, 16× digital zoom
 120 dB WDR, 3D DNR, HLC, BLC
 Up to 50 m IR distance
 12 VDC &amp; PoE+ (802.3at, class4)
 Support H.265+/H.265 video compression</t>
  </si>
  <si>
    <t>DS-2DE2204IW-DE3</t>
  </si>
  <si>
    <t>2MP Network IR Mini PTZ Camera 2.8-12mm</t>
  </si>
  <si>
    <t>• 1/2.8" Progressive Scan CMOS
 • 1920 × 1080@30fps Resolution
 • 4x Zoom
 • DWDR
 • 3D positioning
 • PoE (802.3af)
 • Hik cloud P2P
 • Up to 30m IR distance</t>
  </si>
  <si>
    <t>DS-2DE2A204IW-DE3</t>
  </si>
  <si>
    <t>DS-2DE2A204IW-DE3 2.8-12mmm</t>
  </si>
  <si>
    <t>• 1/3" progressive scan CMOS
 • Up to 1920 × 1080@30fps resolution
 • Min. illumination:
 Color: 0.005 Lux @(F1.6, AGC ON)
 B/W: 0.001 Lux @(F1.6, AGC ON)
 0 Lux with IR
 • 4× optical zoom, 16× digital zoom
 • 120 dB WDR, 3D DNR, HLC, EIS, Regional
 Exposure, Regional Focus
 • 12 VDC &amp; PoE
 • Up to 20 m IR distance
 • IK10, IP66
 • Support H.265+/H.265 video compression</t>
  </si>
  <si>
    <t>Mini PT Camera</t>
  </si>
  <si>
    <t>DS-2DE1A200W-DE3</t>
  </si>
  <si>
    <t>2MP Network PTZ Camera 4.0mm</t>
  </si>
  <si>
    <t>• 1/3" progressive scan CMOS
 • Up to 1920 × 1080@30fps resolution
 • Min. illumination:
 Color: 0.005 Lux @(F1.6, AGC ON)
 B/W: 0.001 Lux @(F1.6, AGC ON)
 • 16× digital zoom
 • 120 dB WDR, 3D DNR, EIS, Regional Exposure,
 Regional Focus
 • 1 2 VDC, PoE (802.3af)
 • IP66
 • Support H.265+/H.265 video compression
 • Support ONVIF, ISAPI, CGI, HIKVISION SDK
 and Third-Party Management Platform</t>
  </si>
  <si>
    <t>COLORVU PTZ Camera</t>
  </si>
  <si>
    <t>DS-2DE3A404IW-DE</t>
  </si>
  <si>
    <t>3-inch 4 MP 4X Powered by DarkFighter IR
 Network Speed Dome</t>
  </si>
  <si>
    <t>• High quality imaging with 4 MP resolution
 • Excellent low-light performance via powered-by-
 DarkFighter technology
 • Clear imaging against strong back lighting due to
 120 dB WDR technology
 • Pan and tilt ability enables camera to monitor
 zones of interest
 • 4x optical zoom allows for closer viewing of
 subjects in expansive areas
 • Up to 50 m IR range ensures safety at night
 • Up to 30 m white light distance
 • Support audio visual alarm</t>
  </si>
  <si>
    <t>DS-2DE3A400BW-DE(F1)(S5)</t>
  </si>
  <si>
    <t>3-inch 4 MP ColorVu Network Speed Dome</t>
  </si>
  <si>
    <t>Focuses on human and vehicle targets
 classification based on deep learning
 • Face capture: face tracking and grading;
 automatic selection of best shot; up to 5 faces
 detected and captured at the same time
 • Linked audible and visual alarm. Built-in
 microphone and speaker
 • Up to 2560 × 1440 @ 30 fps
 • Min. illumination: Color: 0.0005 Lux @ (F1.0,
 AGC ON); 0 Lux with white light
 • 24/7 colorful imaging with low power consumption.
 Up to 30 m white light distance
 • 120 dB WDR, 3D DNR, HLC, EIS
 • IP66; PoE</t>
  </si>
  <si>
    <t>DS-2SE4C425MWG-E(14F0)</t>
  </si>
  <si>
    <t>TandemVu 4-inch 4 MP 25X Colorful &amp; IR
Network Speed Dome</t>
  </si>
  <si>
    <t>• Captures a large area and great details at the
same time
• High quality imaging with 4 MP resolution
• Excellent low-light performance with powered-byDarkFighter technology and ColorVu technology
• Secures an expansive area with 25× optical zoom
and 16× digital zoom
• Supports WDR, HLC, BLC, 3D DNR, defog,
regional exposure, regional focus
• Expansive night view with up to 100 m IR distance
&amp; 30 m white light
• Supports 12V DC &amp; PoE+</t>
  </si>
  <si>
    <t>Network Video Recorder - 7600</t>
  </si>
  <si>
    <t>DS-7604NI-Q1</t>
  </si>
  <si>
    <t>4CH Embedded Plug &amp; Play NVR 8mp</t>
  </si>
  <si>
    <t>• 4K (8 MP) HDMI Video Output @ 3840 × 2160
 Resolution
 • H.265+/H.265/H.264/H.264+
 • Supports 4 IP Cameras
 • Simultaneous HDMI/VGA Outputs
 • 1 SATA Interface
 • Supports Third-Party Network Cameras
 • 1 Self-Adaptive 10/100/1000 Mbps Network
 Interface
 • 4 Independent PoE Network Interfaces
 • Long Distance (100 to 300 m) Network
 Transmission via PoE
 • Hik-Connect for Easy Network Management</t>
  </si>
  <si>
    <t>DS-7604NI-Q1/4P</t>
  </si>
  <si>
    <t>4-ch 1U 4 PoE 4K NVR 8mp</t>
  </si>
  <si>
    <t>• Up to 4 channel IP cameras can be connected
 • Supports decoding H.265+/H.265/H.264+/H.264
 video formats
 • Up to 4K high-definition live view, storage and
 playback
 • Up to 4-ch @ 1080p decoding capacity
 • Up to 40 Mbps high incoming bandwidth ensures
 IP cameras can be connected
 • Simultaneous HDMI and VGA output of the same
 video stream
 1• HDD for continuous video recording
 • Compatible with third-party network cameras
 • Plug &amp; Play with 4 Power-over-Ethernet(PoE)
 interfaces</t>
  </si>
  <si>
    <t>DS-7604NI-K1 (B)</t>
  </si>
  <si>
    <t>4CH Embedded 4K NVR 4K &amp; H.265+</t>
  </si>
  <si>
    <t>• Third-party network cameras supported
 • Up to 8 Megapixels resolution recording
 • Support 1-ch HDMI, 1-ch VGA, HMDI at up to
 4K(3840x2160) resolution
 • 4-ch network cameras can be connected with
 40M incoming bandwidth
 • Support dual-os to ensure high reliablility of
 system running
 •Support various VCA detection alarm and VCA
 search
 •Support H.265/H.264/MPEG4 video formats</t>
  </si>
  <si>
    <t>DS-7604NXI-K1/4P</t>
  </si>
  <si>
    <t>Embedded Plug &amp; Play 4K NVR 4K &amp; H.265+</t>
  </si>
  <si>
    <t>• Third-party network cameras supported
 • Up to 8 Megapixels resolution recording
 • Support 1-ch HDMI, 1-ch VGA, HMDI at up to
 4K(3840x2160) resolution
 • 4-ch network cameras can be connected with
 40M/60M/80M incoming bandwidth
 • Support dual-os to ensure high reliablility of
 system running
 • Plug &amp; Play with up to 4 independent PoE network
 interfaces
 •Support various VCA detection alarm and VCA
 search
 •Support H.265/H.264/MPEG4 video formats</t>
  </si>
  <si>
    <t>DS-7608NI-Q1</t>
  </si>
  <si>
    <t>8CH Embedded Q-Series Mini NVR 6MP</t>
  </si>
  <si>
    <t>• Third-party network cameras supported
 • Up to 6 Megapixels resolution recording
 • 1-ch @ 4K or 4-ch @ 1080P
 • 8-ch network cameras can be connected with
 80M incoming bandwidth
 • Up to 1 SATA interface, up to 6TB per HDD
 • H.265/H.265+/H.264/H.264+
 • Standalone 1U 385 case(Metal)</t>
  </si>
  <si>
    <t>DS-7608NI-Q2</t>
  </si>
  <si>
    <t>• Third-party network cameras supported
 • Up to 6 Megapixels resolution recording
 • 1-ch @ 4K or 4-ch @ 1080P
 • 8-ch network cameras can be connected with
 80M incoming bandwidth
 • Up to 2 SATA interfaces, up to 6TB per HDD
 • H.265/H.265+/H.264/H.264+
 • Standalone 1U 385 case(Metal)</t>
  </si>
  <si>
    <t>DS-7608NI-Q1/8P</t>
  </si>
  <si>
    <t>• Third-party network cameras supported
 • Up to 6 Megapixels resolution recording
 • 1-ch @ 4K or 4-ch @ 1080P
 • 8-ch network cameras can be connected with
 80M incoming bandwidth
 • Up to 1 SATA interface, up to 6TB per HDD
 • 8 independent PoE network interfaces
 • H.265/H.265+/H.264/H.264+
 • Standalone 1U 385 case(Metal)</t>
  </si>
  <si>
    <t>DS-7608NI-Q2/8P</t>
  </si>
  <si>
    <t>• Third-party network cameras supported
 • Up to 6 Megapixels resolution recording
 • 1-ch @ 4K or 4-ch @ 1080P
 • 8-ch network cameras can be connected with
 80M incoming bandwidth
 • Up to 2 SATA interfaces, up to 6TB per HDD
 • 8 independent PoE network interfaces
 • H.265/H.265+/H.264/H.264+
 • Standalone 1U 385 case(Metal)</t>
  </si>
  <si>
    <t>DS-7608NI-K1</t>
  </si>
  <si>
    <t>8CH Embedded 4K NVR</t>
  </si>
  <si>
    <t>• Up to 8 channel IP cameras can be connected
• Supports decoding H.265+/H.265/H.264+/H.264
video formats
• Up to 4K high-definition live view, storage and
playback
• Up to 4-ch @ 1080p decoding capacity
• Up to 80 Mbps high incoming bandwidth ensures
IP cameras can be connected
• 1 HDMI and 1 VGA interfaces: both interfaces
support independent video output.1 HDD for
continuous video recording</t>
  </si>
  <si>
    <t>DS-7608NI-K2</t>
  </si>
  <si>
    <t>8CH Embedded 4K NVR 4K &amp; H.265+</t>
  </si>
  <si>
    <t>• Third-party network cameras supported
 • Up to 8 Megapixels resolution recording
 • Support 1-ch HDMI, 1-ch VGA, HMDI at up to
 4K(3840x2160) resolution
 • 8-ch network cameras can be connected with 80M incoming bandwidth
 • Support dual-os to ensure high reliablility of system running
 •Support various VCA detection alarm and VCA search
 •Support H.265/H.264/MPEG4 video formats</t>
  </si>
  <si>
    <t>DS-7608NI-K2/8P</t>
  </si>
  <si>
    <t>• Third-party network cameras supported
 • Up to 8 Megapixels resolution recording
 • Support 1-ch HDMI, 1-ch VGA, HMDI at up to 4K(3840x2160) resolution
 • 8/-ch network cameras can be connected with 80M incoming bandwidth
 • Up to 2 SATA interfaces
 • Plug &amp; Play with up to 8 independent PoE network interfaces
 • Support dual-os to ensure high reliablility of system running
 •Support various VCA detection alarm and VCA search
 •Support H.265/H.264/MPEG4 video formats</t>
  </si>
  <si>
    <t>DS-7616NI-Q1</t>
  </si>
  <si>
    <t>16CH Embedded Q-Series Mini NVR 6MP</t>
  </si>
  <si>
    <t>• Third-party network cameras supported
 • Up to 6 Megapixels resolution recording
 • 1-ch @ 4K or 4-ch @ 1080P
 • 16-ch network cameras can be connected with 160M incoming bandwidth
 • Up to 1 SATA interface, up to 6TB per HDD
 • H.265/H.265+/H.264/H.264+
 • Standalone 1U 385 case(Metal)</t>
  </si>
  <si>
    <t>DS-7616NI-Q2</t>
  </si>
  <si>
    <t>• Third-party network cameras supported
 • Up to 6 Megapixels resolution recording
 • 1-ch @ 4K or 4-ch @ 1080P
 • 16-ch network cameras can be connected with 160M incoming bandwidth
 • Up to 2 SATA interfaces, up to 6TB per HDD
 • H.265/H.265+/H.264/H.264+
 • Standalone 1U 385 case(Metal)</t>
  </si>
  <si>
    <t>DS-7616NI-Q2/16P</t>
  </si>
  <si>
    <t>• Third-party network cameras supported
 • Up to 6 Megapixels resolution recording
 • 1-ch @ 4K or 4-ch @ 1080P
 • 16-ch network cameras can be connected with 160M incoming bandwidth
 • Up to 2 SATA interfaces, up to 6TB per HDD
 • 16 independent PoE network interfaces
 • H.265/H.265+/H.264/H.264+
 • Standalone 1U 385 case(Metal)</t>
  </si>
  <si>
    <t>DS-7616NI-K2</t>
  </si>
  <si>
    <t>16CH Embedded 4K NVR 4K &amp; H.265+</t>
  </si>
  <si>
    <t>• Third-party network cameras supported
 • Up to 8 Megapixels resolution recording
 • Support 1-ch HDMI, 1-ch VGA, HMDI at up to 4K(3840x2160) resolution
 • 4-ch network cameras can be connected with 40M/60M/80M incoming bandwidth
 • Support dual-os to ensure high reliablility of system running
 •Support various VCA detection alarm and VCA search
 •Support H.265/H.264/MPEG4 video formats</t>
  </si>
  <si>
    <t>DS-7616NI-K2/16P</t>
  </si>
  <si>
    <t>16CH Embedded Plug &amp; Play NVR 4K &amp; H.265+</t>
  </si>
  <si>
    <t>• Third-party network cameras supported
 • Up to 8 Megapixels resolution recording
 • Support 1-ch HDMI, 1-ch VGA, HMDI at up to 4K(3840x2160) resolution
 • 16-ch network cameras can be connected with 160M incoming bandwidth
 • Up to 2 SATA interfaces
 • Plug &amp; Play with up to 16 independent PoE network interfaces
 • Support dual-os to ensure high reliablility of system running
 •Support various VCA detection alarm and VCA search
 •Support H.265/H.264/MPEG4 video formats</t>
  </si>
  <si>
    <t xml:space="preserve"> DS-7616NI-I2 </t>
  </si>
  <si>
    <t>16CH Embedded Plug &amp; Play NVR</t>
  </si>
  <si>
    <t>• Third-party network cameras supported
• Up to 12 Megapixels resolution recording
• Support 1-ch HDMI, 1-ch VGA, HMDI at up to
4K(3840x2160) resolution
• 16-ch network cameras can be connected with
160M incoming bandwidth
• Up to 2 SATA interfaces
• Support dual-os to ensure high reliablility of
system running
•Support various VCA detection alarm and VCA
search
•Support H.265/H.264/MPEG4 video formats</t>
  </si>
  <si>
    <t>DS-7616NI-I2/16P</t>
  </si>
  <si>
    <t>• Third-party network cameras supported
 • Up to 12 Megapixels resolution recording
 • Support 1-ch HDMI, 1-ch VGA, HMDI at up to 4K(3840x2160) resolution
 • 16-ch network cameras can be connected with 160M incoming bandwidth
 • Up to 2 SATA interfaces
 • Plug &amp; Play with up to 16 independent PoE network interfaces
 • Support dual-os to ensure high reliablility of system running
 •Support various VCA detection alarm and VCA search
 •Support H.265/H.264/MPEG4 video formats</t>
  </si>
  <si>
    <t>DS-7632NI-K2</t>
  </si>
  <si>
    <t>32-ch 1U 4K NVR 4K &amp; H.265+</t>
  </si>
  <si>
    <t>• Up to 32 channel IP cameras can be connected
 • Supports decoding H.265+/H.265/H.264+/H.264 video formats
 • Up to 4K high-definition live view, storage and playback
 • Up to 8-ch @ 1080p decoding capacity
 • Up to 256 Mbps high incoming bandwidth
 ensures IP cameras can be connected
 • 1 HDMI and 1 VGA interfaces: both interfaces support independent video output
 • 2 HDDs for continuous video recording</t>
  </si>
  <si>
    <t>Network Video Recorder - 7700</t>
  </si>
  <si>
    <t>DS-7716NI-K4</t>
  </si>
  <si>
    <t>16CH Embedded Plug &amp; Play 4K NVR</t>
  </si>
  <si>
    <t>• Third-party network cameras supported
 • Up to 8 Megapixels resolution recording
 • Support 1-ch HDMI, 1-ch VGA, HMDI at up to 4K(3840x2160) resolution
 • 16-ch network cameras can be connected with 160M incoming bandwidth
 • Up to 4 SATA interfaces
 • Support dual-os to ensure high reliablility of system running
 •Support various VCA detection alarm and VCA search
 •Support H.265/H.264/MPEG4 video formats</t>
  </si>
  <si>
    <t>DS-7716NI-K4/16P</t>
  </si>
  <si>
    <t>• Third-party network cameras supported
 • Up to 8 Megapixels resolution recording
 • Support 1-ch HDMI, 1-ch VGA, HMDI at up to 4K(3840x2160) resolution
 • 16-ch network cameras can be connected with 160M/256M incoming bandwidth
 • Up to 4 SATA interfaces
 • Plug &amp; Play with up to 16 independent PoE network interfaces
 • Support dual-os to ensure high reliablility of system running
 •Support various VCA detection alarm and VCA search
 •Support H.265/H.264/MPEG4 video formats</t>
  </si>
  <si>
    <t>DS-7716NI-I4</t>
  </si>
  <si>
    <t>• Third-party network cameras supported
 • Up to 12 Megapixels resolution recording
 • Support 1-ch HDMI, 1-ch VGA, HMDI at up to 4K(3840x2160) resolution
 • 16-ch network cameras can be connected with 160M incoming bandwidth
 • Up to 4 SATA interfaces
 • Support dual-os to ensure high reliablility of system running
 •Support various VCA detection alarm and VCA search
 •Support H.265/H.264/MPEG4 video formats</t>
  </si>
  <si>
    <t>DS-7716NI-I4/16P</t>
  </si>
  <si>
    <t>16-ch 1.5U 16 PoE 4K NVR</t>
  </si>
  <si>
    <t>• Up to 16 channel IP cameras can be connected
• Up to 2-ch @ 12 MP/16-ch @ 1080p decoding
capacity
• Only (B) version support 2 HDMI and 1 VGA
interfaces, and HDMI interfaces support
independent video output
• 4 HDDs for continuous video recording
• Plug &amp; Play with 16 Power-over-Ethernet (PoE)
interfaces
• Supports various special function cameras,
including thermal camera/fisheye/people
counting/heatmap/ANPR (automatic number plate
recognition)
• Advanced streaming technology enables smooth
live view and data self-correction in poor network
conditions
• Supports dual-stream recording to save time and
bandwidth.</t>
  </si>
  <si>
    <t>DS-7732NI-E4/16P</t>
  </si>
  <si>
    <t>32CH Embedded Plug &amp; Play NVR</t>
  </si>
  <si>
    <t>• Third-party network cameras supported
 • Up to 6 Megapixels resolution recording
 • HDMI and VGA output at up to 1920×1080P resolution
 • 32-ch network cameras can be connected with 160M incoming bandwidth
 • Up to 4 SATA interfaces
 • Plug &amp; Play with up to 16 independent PoE network interfaces
 • Support network detection, including network delay, packet loss, etc</t>
  </si>
  <si>
    <t>DS-7732NXI-K4
(Upgraded model of DS-7732NI-K4)</t>
  </si>
  <si>
    <t>32-ch 1.5U K Series AcuSense 4K NVR</t>
  </si>
  <si>
    <t>Up to 32-ch IP camera inputs
H.265+/H.265/H.264+/H.264 video formats
Up to 2-ch@12 MP or 3-ch@8 MP or 6-ch@4 MP or 12-ch@1080p decoding capacity
Up to 256 Mbps incoming bandwidth
Adopt Hikvision Acusense technology to minimize manual effort and security costs</t>
  </si>
  <si>
    <t>DS-7732NI-K4/16P</t>
  </si>
  <si>
    <t>32CH Embedded Plug &amp; Play 4K NVR</t>
  </si>
  <si>
    <t>• Third-party network cameras supported
 • Up to 8 Megapixels resolution recording
 • Support 1-ch HDMI, 1-ch VGA, HMDI at up to 4K(3840x2160) resolution
 • 32-ch network cameras can be connected with 160M/256M incoming bandwidth
 • Up to 4 SATA interfaces
 • Plug &amp; Play with up to 16 independent PoE network interfaces
 • Support dual-os to ensure high reliablility of system running
 •Support various VCA detection alarm and VCA search
 •Support H.265/H.264/MPEG4 video formats</t>
  </si>
  <si>
    <t>DS-7732NI-I4</t>
  </si>
  <si>
    <t>32CH Embedded Plug &amp; Play 4K NVR•</t>
  </si>
  <si>
    <t>• Third-party network cameras supported
 • Up to 12 Megapixels resolution recording
 • Support 1-ch HDMI, 1-ch VGA, HMDI at up to 4K(3840x2160) resolution
 • 32-ch network cameras can be connected with 256M incoming bandwidth
 • Up to 4 SATA interfaces
 • Support dual-os to ensure high reliablility of system running
 •Support various VCA detection alarm and VCA search
 • Support H.265/H.264/MPEG4 video formats</t>
  </si>
  <si>
    <t>DS-7732NI-I4/16P</t>
  </si>
  <si>
    <t>32CH 16 PoE Embedded Plug &amp; Play 4K NVR</t>
  </si>
  <si>
    <t>• Third-party network cameras supported
 • Up to 12 Megapixels resolution recording
 • Support 1-ch HDMI, 1-ch VGA, HMDI at up to 4K(3840x2160) resolution
 • 32-ch network cameras can be connected with 256M incoming bandwidth
 • Plug &amp; Play with 16 Power-over-Ethernet (PoE) interfaces
 • Up to 4 SATA interfaces
 • Support dual-os to ensure high reliablility of system running
 •Support various VCA detection alarm and VCA search
 • Support H.265/H.264/MPEG4 video formats</t>
  </si>
  <si>
    <t>Network Video Recorder - 7701</t>
  </si>
  <si>
    <t>DS-9664NI-M8</t>
  </si>
  <si>
    <t>64-ch 2U 4K NVR</t>
  </si>
  <si>
    <t>Up to 64-ch IP camera inputs
Up to 2-ch@32 MP/2-ch@24 MP/4-ch@12 MP/8-ch@8 MP/16-ch@4 MP/32-ch@1080p decoding capacity
Up to 400 Mbps incoming bandwidth and 400 Mbps outgoing bandwidth
2 HDMI (different source) and 2 VGA (different source) interfaces, 8K or dual 4K video outputs
Supports special cameras, including people counting camera, ANPR (automatic number plate recognition) camera, and fisheye camera
Advanced streaming technology enables smooth live view in poor network conditions
Supports RAID 0, 1, 5, 6, 10 and N+M hot spare for even more reliable data storage, effectively avoids data loss risks</t>
  </si>
  <si>
    <t>Acusense K series (4K &amp; H.265+)</t>
  </si>
  <si>
    <t>DS-7608NXI-K2/S ( C)</t>
  </si>
  <si>
    <t>False alarm reduction for up to 4-ch 1080P</t>
  </si>
  <si>
    <t>Facial Recognition for up to 4 channels picture stream or 1 channels video stream;
 * Facial recognition and perimeter protection cannot be enabled at the same time. Support 16 face libraries, up to 10,000 face pictures in total; 80Mbps Bit Rate Input Max(up to 8-ch IP video), 2 SATA Interfaces, alarm I/O: 4/1, 380 1U case</t>
  </si>
  <si>
    <t>DS-7716NXI-I4/S</t>
  </si>
  <si>
    <t>16-ch 1.5U AcuSense 4K NVR</t>
  </si>
  <si>
    <t>• H.265+/H.265/H.264+/H.264 video formats
• Intelligent analytics based on deep learning
algorithm
• Up to 4-ch perimeter protection
• Up to 1-ch facial recognition for video stream, or
up to 4-ch facial recognition for face picture
• Up to 16-ch IP camera inputs
• Up to 16-ch 1080p decoding capability
• Up to 160 Mbps incoming bandwidth</t>
  </si>
  <si>
    <t>DS-7732NXI-I4/S</t>
  </si>
  <si>
    <t>32-ch 1U AcuSense 4K NVR</t>
  </si>
  <si>
    <t>• H.265+/H.265/H.264+/H.264 video formats
• Intelligent analytics based on deep learning
algorithm
• Up to 4-ch perimeter protection
• Up to 1-ch facial recognition for video stream, or
up to 4-ch facial recognition for face picture
• Up to 32-ch IP camera inputs
• Up to 16-ch 1080p decoding capability
• Up to 256 Mbps incoming bandwidth</t>
  </si>
  <si>
    <t>WIFI KIT</t>
  </si>
  <si>
    <t>NK42W0H(D)</t>
  </si>
  <si>
    <t>2MP WIFI KIT</t>
  </si>
  <si>
    <t>• 4units - DS-2CV1021G0-IDW1/NF(T) H.264+/H.264, 2.8/4mm lens, IP66, DWDR, 30m IR, Wi-Fi connection, Max. 50m wireless range, Bullet camera
 • 1unit - DS-7104NI-K1/W/M 4-ch camera input, decoding capability at 2-ch
 1080P, 1 SATA interface, H.265+/H.265/ H.264+ /H.264, dual external antennas design;
 • 1pc - Ethernet Cable RJ45, Cat5e UTP, 2m, Connect NVR and Switch
 • 1pc - 2meters HDMI Cable</t>
  </si>
  <si>
    <t>NK44W0H(D)</t>
  </si>
  <si>
    <t>2MP WIFI KIT
• 4units - DS-2CV1041G1-IDW H.264+/H.264, 2.8/4mm lens, IP66, DWDR, 30m IR, Wi-Fi connection, Max. 50m wireless range, Bullet camera 
• 1unit - DS-7104NI-K1/W/M 4-ch camera input, decoding capability at 2-ch 1080P, 1 SATA interface, H.265+/H.265/ H.264+ /H.264, dual external antennas design; 
• 1pc - Ethernet Cable RJ45, Cat5e UTP, 2m, Connect NVR and Switch 
• 1pc - 2meters HDMI Cable</t>
  </si>
  <si>
    <t>Acessories</t>
  </si>
  <si>
    <t>DS-K1TA70MI-T</t>
  </si>
  <si>
    <t>7-inch LCD touch screen</t>
  </si>
  <si>
    <t>2 Mega pixel wide-angle lens Built-in Mifare card reading module;Max.6,000 faces capacity , Max.6,000 cards;verification methods：Supporting fast temperature measurement and face/card recognition with fever screeningAuthentication distance: 0.3-1.8m.Temperature range: 30-45℃, accuracy: ±0.5℃;Supports 6 attendance status, including check in, check out, break in, break out, overtime in, overtime outFace Recognition Duration(1:N) ≤0.2sMask detection：Supporting face mask wearing alert and forced mask wearing alertwith power supply.</t>
  </si>
  <si>
    <t>DS-KAB671-B</t>
  </si>
  <si>
    <t>The mounting pole for DS-K1TA70MI-T</t>
  </si>
  <si>
    <t>Material：SPCC
Weight：6.7 kg (14.8 lb.)
Dimension (W × H × D)：98.5 mm × 1342 mm × 225 mm (3.9" × 52.8" × 8.9")
without power supply.</t>
  </si>
  <si>
    <t>DS-1005KI</t>
  </si>
  <si>
    <t>USB Keyboard</t>
  </si>
  <si>
    <t>• Power supply and communication by USB port directly.
 • 3D PTZ control and 2 joystick control buttons.
 • Up to 15 programmable buttons are available.
 • Support digital tube to display the input content.
 • Support indicators to show the operation status of keyboard.
 • Compatible with a various kinds of client software and platform software.
 • Support USB HID protocol.</t>
  </si>
  <si>
    <t>DS-1006KI</t>
  </si>
  <si>
    <t>• 128 x 64 screen
 • 4-axis joystick
 • Connectable to the Multi-functional Video Center (MVC) and Matrix Access Gateway (VAG) by RS-422 serial port, and shortcut operation of camera/camera groups switch on video wall
 • Connectable to DVR by RS-485 serial port, and operation of front panel buttons
 • Connectable to dome by RS-485 serial port and realize PTZ control and picture capture by joystick operation
 • 16 user accounts management: 1 admin and 15 operators
 • System upgrade and import / export of configuration files by USB-flash disk
 • Captured pictures(FAT32) can be stored in U- flash disk</t>
  </si>
  <si>
    <t>DS-1100KI</t>
  </si>
  <si>
    <t>Network Keyboard</t>
  </si>
  <si>
    <t>• Ergonomic design with 800×480 LCD touch panel
 • Live view and playback of video on screen at up to 1080p resolution
 • 1-channel video decoding for local preview
 • Video capture and recording to local U-flash disk
 • Compatible with DVR/DVS, matrix, network camera/dome, PC-DVR, etc.
 • Support 15 operators, and each user is allowed to operate 256 devices</t>
  </si>
  <si>
    <t>DS-1200KI</t>
  </si>
  <si>
    <t>128x64 LED dot matrix screen, PTZ and TV wall
 control, 4-axis joystick.</t>
  </si>
  <si>
    <t>DS-1227ZJ</t>
  </si>
  <si>
    <t>In-ceiling Mount Bracket for Dome Camera</t>
  </si>
  <si>
    <t>Color: | Hik white
 Material: | Aluminum alloy
 Dimension: | 210×90mm Weight: | 600g</t>
  </si>
  <si>
    <t>DS-1258ZJ</t>
  </si>
  <si>
    <t>Wall Mount Bracket</t>
  </si>
  <si>
    <t>Color: White
 Material: Aluminum alloy Φ88.5 mm</t>
  </si>
  <si>
    <t>DS-1260ZJ</t>
  </si>
  <si>
    <t>Power Intake / Junction Box for Bullet Camera</t>
  </si>
  <si>
    <t>DS-1271ZJ-135</t>
  </si>
  <si>
    <t>Pendant Mounting Bracket for Dome Camera</t>
  </si>
  <si>
    <t>Color: | Hik white
 Material: | Aluminum alloy
 Dimension: | 136×565mm
 Weight: | 1350g</t>
  </si>
  <si>
    <t>DS-1272ZJ-110B</t>
  </si>
  <si>
    <t>Wall Mount Bracket for Dome Camera</t>
  </si>
  <si>
    <t>White Aluminum alloy with junction box Φ110×120×120mm</t>
  </si>
  <si>
    <t>DS-1273ZJ-135</t>
  </si>
  <si>
    <t>White Aluminum alloy Φ135×182×120mm</t>
  </si>
  <si>
    <t>DS-1275ZJ</t>
  </si>
  <si>
    <t>Vertical Pole Mount Bracket</t>
  </si>
  <si>
    <t>Color: | Hik white
 Material: | Aluminum alloy
 Dimension: | 127×46×250mm
 Weight: | 1205g</t>
  </si>
  <si>
    <t>DS-1276ZJ-SUS</t>
  </si>
  <si>
    <t>Corner Mount Bracket</t>
  </si>
  <si>
    <t>Hik white
 Stainless Steel 126X105X250mm 2280g
 Match up with wall mount (DS-1272ZJ-110</t>
  </si>
  <si>
    <t>DS-1297ZJ</t>
  </si>
  <si>
    <t>Color: | Hik white
 Material: | Aluminum alloy
 Dimension: | 1000-2000mm height</t>
  </si>
  <si>
    <t>DS-1602ZJ</t>
  </si>
  <si>
    <t>Color: | Hik white
 Material: | Aluminum alloy
 Dimension: | 97X182X305mm
 Weight: | 1050g</t>
  </si>
  <si>
    <t>DS-1602ZJ-POLE</t>
  </si>
  <si>
    <t>Color: | Hik white
 Material: | Aluminum alloy &amp; Steel
 Dimension: | 117×194×451.3mm
 Weight: | 2040g</t>
  </si>
  <si>
    <t>DS-1602ZJ-CORNER</t>
  </si>
  <si>
    <t>Color: | Hik white
 Material: | Aluminum alloy &amp; Steel
 Dimension: | 176.8×194×417.8mm
 Weight: | 2809g</t>
  </si>
  <si>
    <t>DS-1604ZJ</t>
  </si>
  <si>
    <t>Wall Mount with Junction Box</t>
  </si>
  <si>
    <t>Color: | Hik white
 Material: | Aluminum alloy
 Dimension: | 255×171×355.5mm
 Weight: | 2150g</t>
  </si>
  <si>
    <t>DS-1604ZJ-Pole</t>
  </si>
  <si>
    <t>Vertical pole mount</t>
  </si>
  <si>
    <t>Color: | Hik white
 Material: | Aluminum alloy
 Dimension: | 170.7×261.8×355.5mm</t>
  </si>
  <si>
    <t xml:space="preserve"> DS-1604ZJ-CORNER</t>
  </si>
  <si>
    <t>Hik white
Aluminum alloy
 206.8×261.8×465mm</t>
  </si>
  <si>
    <t>DS-1661ZJ</t>
  </si>
  <si>
    <t>Pendant Mount Bracket</t>
  </si>
  <si>
    <t>Color: | Hik white
 Material: | Aluminum alloy
 Dimension: | Φ116.5×200mm</t>
  </si>
  <si>
    <t>DS-1662ZJ</t>
  </si>
  <si>
    <t>Color: | Hik white
 Material: | Aluminum alloy
 Dimension: | Φ116.5×500mm</t>
  </si>
  <si>
    <t>DS-1663ZJ</t>
  </si>
  <si>
    <t>Ceiling Mount Bracket</t>
  </si>
  <si>
    <t>Color: | Hik white
 Material: | Aluminum alloy Dimension: | Φ116.5×57mm</t>
  </si>
  <si>
    <t>DS-2907ZJ</t>
  </si>
  <si>
    <t>UNC 1/4”-20 Tripod connection (For Thermal Cameras)</t>
  </si>
  <si>
    <t>DS-2909ZJ</t>
  </si>
  <si>
    <t>Tripod adapter,use it with a tripod.</t>
  </si>
  <si>
    <t>Tripod adapter, use it with a tripod.</t>
  </si>
  <si>
    <t>Analog Camera</t>
  </si>
  <si>
    <t>DS-2CE56C0T-IRPF</t>
  </si>
  <si>
    <t>HD720P Indoor IR Turret Camera 2.8mm / 3.6mm</t>
  </si>
  <si>
    <t>• 1.0 Megapixel high-performance CMOS
 • Analog HD output, up to 720P resolution
 • True Day/Night
 • DNR, Smart IR
 • Up to 20m IR distance
 • Switchable TVI/AHD/CVI/CVBS</t>
  </si>
  <si>
    <t>DS-2CE16C0T-IRPF</t>
  </si>
  <si>
    <t>HD720P IR Bullet Camera 2.8mm / 3.6mm</t>
  </si>
  <si>
    <t>• 1.0 Megapixel high-performance CMOS
 • Analog HD output, up to 720P resolution
 • True Day/Night
 • DNR, Smart IR
 • Up to 20m IR distance
 • IP66 weatherproof
 • Switchable TVI/AHD/CVI/CVBS</t>
  </si>
  <si>
    <t>DS-2CE16C0T-IRF</t>
  </si>
  <si>
    <t>Turbo HD720P IR Bullet Camera 3.6mm</t>
  </si>
  <si>
    <t>DS-2CE16C0T-IT1F</t>
  </si>
  <si>
    <t>HD720P EXIR Bullet Camera 3.6mm</t>
  </si>
  <si>
    <t>• 1 Megapixel high-performance CMOS
 • Analog HD output, up to 720P resolution
 • True Day/Night
 • DNR, Smart IR
 • EXIR technology, up to 20m/40m/80m IR distance
 • IP66 weatherproof
 • Switchable TVI/AHD/CVI/CVBS</t>
  </si>
  <si>
    <t>DS-2CE16C0T-IT3F</t>
  </si>
  <si>
    <t>• 1 Megapixel high-performance CMOS
 • Analog HD output, up to 720P resolution
 • True Day/Night
 • DNR, Smart IR
 • EXIR technology, up to 40m IR distance
 • IP66 weatherproof
 • Switchable TVI/AHD/CVI/CVBS</t>
  </si>
  <si>
    <t>DS-2CE16C0T-IT5F</t>
  </si>
  <si>
    <t>HD720P EXIR Bullet Camera 6mm</t>
  </si>
  <si>
    <t>• 1 Megapixel high-performance CMOS
 • Analog HD output, up to 720P resolution
 • True Day/Night
 • DNR, Smart IR
 • EXIR technology, up to 80m IR distance
 • IP66 weatherproof
 • Switchable TVI/AHD/CVI/CVBS</t>
  </si>
  <si>
    <t>DS-2CE16C2T-IT3</t>
  </si>
  <si>
    <t>Turbo HD720P EXIR Bullet Camera 3.6mm</t>
  </si>
  <si>
    <t>• 1.3 Megapixel high-performance CMOS
 • Analog HD output, up to 720P resolution
 • True day / night, Smart IR
 • EXIR technology, 40m IR distance
 • IP66 weatherproof</t>
  </si>
  <si>
    <t>DS-2CE16C2T-IT5</t>
  </si>
  <si>
    <t>Turbo HD720p EXIR Bullet Camera 6mm</t>
  </si>
  <si>
    <t>• 1.3 Megapixel high-performance CMOS
 • Analog HD output, up to 720P resolution
 • True Day/Night
 • DNR, Smart IR
 • EXIR technology, up to 80m IR distance
 • IP66 weatherproof</t>
  </si>
  <si>
    <t>DS-2CE56C2T-IT3</t>
  </si>
  <si>
    <t>Turbo HD720P EXIR Turret Camera 3.6mm</t>
  </si>
  <si>
    <t>• 1 Megapixel high-performance CMOS
 • Analog HD output, up to 720P resolution
 • True Day/Night
 • DNR, Smart IR
 • EXIR technology, up to 40m IR distance
 • IP66 weatherproof</t>
  </si>
  <si>
    <t>DS-2CE56D0T-IRMMF</t>
  </si>
  <si>
    <t>Turbo HD1080P Indoor IR Dome Camera</t>
  </si>
  <si>
    <t>• 2 Megapixel high-performance CMOS
 • Analog HD output, up to 1080P resolution
 • True Day/Night, Smart IR
 • Up to 20m IR distance
 • Switchable TVI/AHD/CVI/CVBS</t>
  </si>
  <si>
    <t>DS-2CE56D0T-IRMF</t>
  </si>
  <si>
    <t>HD1080P IR Turret Camera 2.8mm / 3.6mm</t>
  </si>
  <si>
    <t>• 2 Megapixel high-performance CMOS
 • Analog HD output, up to 1080P resolution
 • True Day/Night, Smart IR
 • Up to 20m IR distance
 • IP66 weatherproof
 • Switchable TVI/AHD/CVI/CVBS</t>
  </si>
  <si>
    <t>DS-2CE56D0T-IPF</t>
  </si>
  <si>
    <t>Turbo HD1080P IR Bullet Camera 2.8mm (Plastic)</t>
  </si>
  <si>
    <t>PHASED OUT
Replacement: DS-2CE76D0T-EXIPF (2.8mm)</t>
  </si>
  <si>
    <t>DS-2CE76D0T-EXIPF</t>
  </si>
  <si>
    <t>2 MP Indoor Fixed Turret Camera 2.8mm</t>
  </si>
  <si>
    <t>DS-2CE16D0T-IPF</t>
  </si>
  <si>
    <t>DS-2CE16D0T-EXIPF</t>
  </si>
  <si>
    <t>DS-2CE16D0T-IRPF</t>
  </si>
  <si>
    <t>570.00 -IONTECH</t>
  </si>
  <si>
    <t>DS-2CE16D0T-IRF</t>
  </si>
  <si>
    <t>HD1080P IR Bullet Camera 3.6mm</t>
  </si>
  <si>
    <t>DS-2CE56D0T-IRF</t>
  </si>
  <si>
    <t>HD1080P Indoor IR Turret Camera 3.6mm</t>
  </si>
  <si>
    <t>DS-2CE56D0T-IRPF</t>
  </si>
  <si>
    <t>HD1080P Indoor IR Turret Camera 2.8mm / 3.6mm</t>
  </si>
  <si>
    <t>DS-2CE56D0T-IT1F</t>
  </si>
  <si>
    <t>Turbo HD1080P IR Turret Camera 3.6mm</t>
  </si>
  <si>
    <t>DS-2CE56D0T-IT3F</t>
  </si>
  <si>
    <t>TURBO HD-TVI</t>
  </si>
  <si>
    <t>DS-2CE17D0T-IT1F</t>
  </si>
  <si>
    <t>HD1080P Fixed Bullet Camera 3.6mm</t>
  </si>
  <si>
    <t>DS-2CE17D0T-IT3F</t>
  </si>
  <si>
    <t>DS-2CE17D0T-IT5F</t>
  </si>
  <si>
    <t>HD1080P Fixed Bullet Camera 6mm</t>
  </si>
  <si>
    <t>DS-2CE16D3T-ITF</t>
  </si>
  <si>
    <t>2 MP EXIR Bullet Camera 2.8mm</t>
  </si>
  <si>
    <t>DS-2CE16D3T-IT3F</t>
  </si>
  <si>
    <t>2 MP EXIR Bullet Camera 3.6mm</t>
  </si>
  <si>
    <t>DS-2CE76D3T-ITMF</t>
  </si>
  <si>
    <t>2 MP EXIR Dome Camera 2.8mm</t>
  </si>
  <si>
    <t>DS-2CE78D3T-IT3F</t>
  </si>
  <si>
    <t>DS-2CE57D3T-VPITF</t>
  </si>
  <si>
    <t>2 MP EXIR Dome Camera 3.6mm</t>
  </si>
  <si>
    <t>DS-2CE5AD3T-VPIT3ZF</t>
  </si>
  <si>
    <t>2 MP Motorized Vari-focal Dome Camera 2.7-13.5mm</t>
  </si>
  <si>
    <t>DS-2CE5AD3T-AVPIT3ZF</t>
  </si>
  <si>
    <t>2 MP Ultra Low Light Vandal Motorized
Varifocal Dome Camera</t>
  </si>
  <si>
    <t>• Strong night performance, capturing images
in ultra-low light down to 0.005 lux
• Clear imaging even against strong back
lighting due to 120 dB true WDR technology
• 3D DNR technology delivers clean and
sharp images
• Lens focuses automatically when zooming
in or out
• EXIR 2.0: advanced infrared technology with
70 m IR distance
• Water and dust resistant (IP67) and vandal
proof (IK10)
• 4 in 1 (4 signals switchable
TVI/AHD/CVI/CVBS</t>
  </si>
  <si>
    <t>DS-2CE19D3T-IT3ZF</t>
  </si>
  <si>
    <t>DS-2CE19D3T-AIT3ZF</t>
  </si>
  <si>
    <t>2 MP Ultra Low Light Motorized Varifocal Bullet Camera 2.7-13.5mm</t>
  </si>
  <si>
    <t>DS-2CE16D8T-IT3ZF</t>
  </si>
  <si>
    <t>2 MP Ultra Low-Light VF EXIR Bullet Camera 2.8-12mm</t>
  </si>
  <si>
    <t>DS-2CE56D8T-ITZF</t>
  </si>
  <si>
    <t>2 MP Ultra Low-Light VF EXIR Dome Camera 2.8-12mm</t>
  </si>
  <si>
    <t>DS-2CE16H0T-ITPF (C)</t>
  </si>
  <si>
    <t>5 MP Bullet Camera 2.8mm</t>
  </si>
  <si>
    <t>DS-2CE16H0T-ITF</t>
  </si>
  <si>
    <t>DS-2CE17H0T-IT1F（C）</t>
  </si>
  <si>
    <t>5MP TURBO HD 30M IR FIXED BULLET 3.6mm</t>
  </si>
  <si>
    <t>DS-2CE17H0T-IT3F（C）</t>
  </si>
  <si>
    <t>5MP TURBO HD 40M IR FIXED BULLET 3.6mm</t>
  </si>
  <si>
    <t>DS-2CE16H0T-IT3ZF</t>
  </si>
  <si>
    <t>5 MP Bullet Camera2.7-13.5mm</t>
  </si>
  <si>
    <t>DS-2CE76H0T-ITPF</t>
  </si>
  <si>
    <t>5 MP tURRET Camera 2.8mm</t>
  </si>
  <si>
    <t>DS-2CE76H0T-ITMF©</t>
  </si>
  <si>
    <t>5 MP Turret Camera 3.6mm</t>
  </si>
  <si>
    <t>DS-2CE78H0T-IT1F</t>
  </si>
  <si>
    <t>DS-2CE78H0T-IT3F</t>
  </si>
  <si>
    <t>DS-2CE56H0T-VPITF</t>
  </si>
  <si>
    <t>5 MP EXIR Dome Camera 3.6mm</t>
  </si>
  <si>
    <t>DS-2CE57H0T-VPITF</t>
  </si>
  <si>
    <t>5 MP Vandal Fixed Dome Camera 3.6mm</t>
  </si>
  <si>
    <t>DS-2CE56H0T-ITZF</t>
  </si>
  <si>
    <t>5 MP HD Motorized VF EXIR Dome Camera 2.8-12mm</t>
  </si>
  <si>
    <t>4K Eco Series</t>
  </si>
  <si>
    <t>DS-2CE16U1T-ITPF</t>
  </si>
  <si>
    <t>8 MP Bullet Camera 2.8mm</t>
  </si>
  <si>
    <t>DS-2CE76U1T-ITPF</t>
  </si>
  <si>
    <t>8 MP Turret Camera 2.8mm</t>
  </si>
  <si>
    <t>HD1080P Audio Series</t>
  </si>
  <si>
    <t>DS-2CE16D0T-ITPFS</t>
  </si>
  <si>
    <t>2 MP Audio Bullet Camera 2.8mm</t>
  </si>
  <si>
    <t>DS-2CE76D0T-ITPFS</t>
  </si>
  <si>
    <t>2 MP Audio Dome Camera 2.8mm</t>
  </si>
  <si>
    <t>DS-2CE16H0T-ITPFS</t>
  </si>
  <si>
    <t>5 MP Audio Bullet Camera 2.8mm</t>
  </si>
  <si>
    <t>DS-2CE76H0T-ITPFS</t>
  </si>
  <si>
    <t>5 MP Audio Dome Camera 2.8mm</t>
  </si>
  <si>
    <t>1080P Eco ColorVu Series,Turbo HD 5.0</t>
  </si>
  <si>
    <t>DS-2CE10DFT-PFC</t>
  </si>
  <si>
    <t>2 MP Full Time Color Bullet Camera (PLASTIC) 3.6mm</t>
  </si>
  <si>
    <t>DS-2CE10DFT-FC</t>
  </si>
  <si>
    <t>2 MP Full Time Color Bullet Camera (METAL) 3.6mm</t>
  </si>
  <si>
    <t>DS-2CE72DFT-FC</t>
  </si>
  <si>
    <t>2 MP Full Time Color Turret Camera (METAL) 3.6mm</t>
  </si>
  <si>
    <t>DS-2CE12DFT-FC</t>
  </si>
  <si>
    <t>1080P ColorVu2.0 DF3T Series</t>
  </si>
  <si>
    <t>DS-2CE10DF3T-PF</t>
  </si>
  <si>
    <t>2 MP ColorVu Fixed Mini Bullet Camera 2.8mm</t>
  </si>
  <si>
    <t>2 MP ColorVu Fixed Mini Bullet Camera 3.6mm</t>
  </si>
  <si>
    <t>DS-2CE10DF3T-F</t>
  </si>
  <si>
    <t>DS-2CE10DF3T-FS</t>
  </si>
  <si>
    <t>2 MP ColorVu Fixed Mini Bullet Camera w/ audio 3.6mm</t>
  </si>
  <si>
    <t>DS-2CE10DF3T-PFS</t>
  </si>
  <si>
    <t>2 MP ColorVu Fixed Mini Bullet Camera w/ Audio 2.8mm</t>
  </si>
  <si>
    <t>2 MP ColorVu Fixed Mini Bullet Camera w/ Audio 3.6mm</t>
  </si>
  <si>
    <t>DS-2CE70DF3T-MF</t>
  </si>
  <si>
    <t>2 MP ColorVu Fixed Turret Camera 3.6mm</t>
  </si>
  <si>
    <t>DS-2CE72DF3T-F</t>
  </si>
  <si>
    <t>DS-2CE70DF3T-PF</t>
  </si>
  <si>
    <t>2 MP ColorVu Indoor Fixed Turret Camera 2.8mm</t>
  </si>
  <si>
    <t>DS-2CE70DF3T-PFS</t>
  </si>
  <si>
    <t>2 MP ColorVu Indoor Audio Fixed Turret Camera 2.8mm</t>
  </si>
  <si>
    <t>2 MP ColorVu Indoor Audio Fixed Turret Camera 3.6mm</t>
  </si>
  <si>
    <t>DS-2CE12DF3T-F</t>
  </si>
  <si>
    <t>2 MP ColorVu Fixed Bullet Camera 3.6mm</t>
  </si>
  <si>
    <t>DS-2CE12DF3T-FS</t>
  </si>
  <si>
    <t>2 MP ColorVu Audio Fixed Bullet Camera 3.6mm</t>
  </si>
  <si>
    <t>DS-2CE10DF8T-F</t>
  </si>
  <si>
    <t>2 MP ColorVu Fixed Mini Bullet Camera 3.6MM</t>
  </si>
  <si>
    <t>DS-2CE70DF8T-MF</t>
  </si>
  <si>
    <t>2 MP ColorVu Fixed Turret Camera 3.6MM</t>
  </si>
  <si>
    <t>5MP ColorVu Series,Turbo HD 5.0</t>
  </si>
  <si>
    <t>DS-2CE10HFT-F</t>
  </si>
  <si>
    <t>5 MP Full Time Color Bullet Camera 3.6MM</t>
  </si>
  <si>
    <t>DS-2CE72HFT-F</t>
  </si>
  <si>
    <t>5 MP Full Time Color Turret Camera 3.6MM</t>
  </si>
  <si>
    <t>DS-2CE12HFT-F</t>
  </si>
  <si>
    <t>3K ColorVu 2.0 KF3T Series</t>
  </si>
  <si>
    <t>DS-2CE70KF0T-MFS</t>
  </si>
  <si>
    <t>3K ColorVu Audio Fixed Turret Camera 2.8MM</t>
  </si>
  <si>
    <t>DS-2CE10KF0T-FS</t>
  </si>
  <si>
    <t>3K ColorVu Audio Fixed Bullet Camera 2.8MM</t>
  </si>
  <si>
    <t>DS-2CE10KF3T</t>
  </si>
  <si>
    <t>3K ColorVu Fixed Mini Bullet Camera 3.6MM</t>
  </si>
  <si>
    <t>DS-2CE72KF3T</t>
  </si>
  <si>
    <t>3K ColorVu Fixed Turret Camera 3.6MM</t>
  </si>
  <si>
    <t>DS-2CE12KF3T</t>
  </si>
  <si>
    <t>4K ColorVu 2.0 UF3T-E Series</t>
  </si>
  <si>
    <t>DS-2CE10UF3T-E</t>
  </si>
  <si>
    <t>4K ColorVu PoC Fixed Mini Bullet Camera 2.8MM/3.6MM</t>
  </si>
  <si>
    <t>DS-2CE72UF3T-E</t>
  </si>
  <si>
    <t>4K ColorVu PoC Fixed Turret Camera 3.6MM</t>
  </si>
  <si>
    <t>1080P Starlight PIR Series</t>
  </si>
  <si>
    <t>DS-2CE11D0T-PIRLP</t>
  </si>
  <si>
    <t>2 MP PIR Bullet Camera 3.6MM</t>
  </si>
  <si>
    <t>DS-2CE12D0T-PIRL</t>
  </si>
  <si>
    <t>DS-2CE71D0T-PIRLP</t>
  </si>
  <si>
    <t>2 MP PIR Turret Camera 2.8mm</t>
  </si>
  <si>
    <t>DS-2CE71D0T-PIRL</t>
  </si>
  <si>
    <t>DS-2CE11D8T-PIRL</t>
  </si>
  <si>
    <t>2 MP Ultra-Low Light PIR Bullet Camera 3.6mm</t>
  </si>
  <si>
    <t>DS-2CE71D8T-PIRL</t>
  </si>
  <si>
    <t>2 MP Ultra-Low Light PIR Turret Camera 3.6mm</t>
  </si>
  <si>
    <t>DS-2CE72DFT-PIRXOF</t>
  </si>
  <si>
    <t>2 MP PIR Siren Full Time Color Dome Camera 3.6mm</t>
  </si>
  <si>
    <t>DS-2CE12DFT-PIRXOF</t>
  </si>
  <si>
    <t>2• IP MP PIR Siren Full Time Color Bullet 67 Camera 3.6mm</t>
  </si>
  <si>
    <t>DS-2CE72DF3T-PIRXOS</t>
  </si>
  <si>
    <t>2 MP ColorVu PIR Siren Audio Fixed Turret Camera</t>
  </si>
  <si>
    <t>DS-2CE12DF3T-PIRXOS</t>
  </si>
  <si>
    <t>2 MP ColorVu PIR Siren Audio Fixed Bullet Camera</t>
  </si>
  <si>
    <t>1080P Pinhole Camera</t>
  </si>
  <si>
    <t>DS-2CS54D8T-PH</t>
  </si>
  <si>
    <t>2 MP Pinhole Camera 3.7mm</t>
  </si>
  <si>
    <t>Turbo HD PTZ (Speed Dome)</t>
  </si>
  <si>
    <t>DS-2AE4225TI-D(E) with bracket</t>
  </si>
  <si>
    <t>HD1080P Turbo IR PTZ Dome Camera 4~92.0mm</t>
  </si>
  <si>
    <t>DS-2AE5223TI-A</t>
  </si>
  <si>
    <t>DS-2AE5225TI-A € with bracket</t>
  </si>
  <si>
    <t>2 MP IR Turbo 5-Inch Speed Dome 4.8~120mm</t>
  </si>
  <si>
    <t>DS-2AE7232TI-A (D)</t>
  </si>
  <si>
    <t>2 MP IR Turbo 7-Inch Speed Dome</t>
  </si>
  <si>
    <t>Turbo HD DVR</t>
  </si>
  <si>
    <t>DS-7204HGHI-F1(S)</t>
  </si>
  <si>
    <t>4CH Turbo HD DVR 720P</t>
  </si>
  <si>
    <t>DS-7204HGHI-K1(S)</t>
  </si>
  <si>
    <t>4CH Turbo HD DVR 1080P</t>
  </si>
  <si>
    <t>DS-7208HGHI-KN / DS-7208HGHI-F1/N(S)</t>
  </si>
  <si>
    <t>8-ch 1080p Lite 1U H.264 DVR 1080P</t>
  </si>
  <si>
    <t>DS-7208HGHI-K1(S)</t>
  </si>
  <si>
    <t>8CH Turbo HD DVR 1080P</t>
  </si>
  <si>
    <t>DS-7216HGHI-K1(S)</t>
  </si>
  <si>
    <t>16CH Turbo HD DVR 1080P</t>
  </si>
  <si>
    <t>DS-7204HQHI-K1/E(S)</t>
  </si>
  <si>
    <t>DS-7208HQHI-K1/E(S)</t>
  </si>
  <si>
    <t>DS-7216HQHI-K1/E(S)</t>
  </si>
  <si>
    <t>DS-7216HQHI-K2(S)</t>
  </si>
  <si>
    <t>16CH Turbo HD DVR - 2 SATA INTERFACE 1080P</t>
  </si>
  <si>
    <t>DS-7308HQHI-K4</t>
  </si>
  <si>
    <t>Turbo HD DVR 3M/4MP</t>
  </si>
  <si>
    <t>DS-7316HQHI-K4</t>
  </si>
  <si>
    <t>Turbo HD DVR 3M/4MP Lite(Turbo HD), 4MP(IP Video</t>
  </si>
  <si>
    <t>DS-7224HQHI-K2</t>
  </si>
  <si>
    <t>24-ch 1080p 1U H.265 DVR 3M/4MP Lite(Turbo HD), 4MP(IP Video)</t>
  </si>
  <si>
    <t>DS-7324HQHI-K4</t>
  </si>
  <si>
    <t>DS-7232HQHI-K2</t>
  </si>
  <si>
    <t>32-ch 1080p 1U H.265 DVR</t>
  </si>
  <si>
    <t>DS-7332HQHI-K4</t>
  </si>
  <si>
    <t>DS-7604HUHI-F1/N</t>
  </si>
  <si>
    <t>4 CH Turbo HD DVR</t>
  </si>
  <si>
    <t>DS-7608HUHI-F2/N</t>
  </si>
  <si>
    <t>8 CH Turbo HD DVR</t>
  </si>
  <si>
    <t>DS-7204HUHI-K1/E(S)</t>
  </si>
  <si>
    <t>4 CH TURBO HD DVR</t>
  </si>
  <si>
    <t>DS-7208HUHI-K1/E(S)</t>
  </si>
  <si>
    <t>8 CH TURBO HD DVR</t>
  </si>
  <si>
    <t>DS-7208HUHI-K1(S)</t>
  </si>
  <si>
    <t>8CH TURBO HD DVR</t>
  </si>
  <si>
    <t>DS-7216HUHI-K2(S)</t>
  </si>
  <si>
    <t>16CH TURBO HD DVR</t>
  </si>
  <si>
    <t>PHASED OUT
Replacement: iDS-7216HUHI-M2/S (C)</t>
  </si>
  <si>
    <t>iDS-7216HUHI-M2/S©</t>
  </si>
  <si>
    <t>DS-7324HUHI-K4</t>
  </si>
  <si>
    <t>4-ch 5 MP 1.5U H.265 DVR</t>
  </si>
  <si>
    <t>DS-7332HUHI-K4</t>
  </si>
  <si>
    <t>32-ch 5 MP 1.5U H.265 DVR</t>
  </si>
  <si>
    <t>iDS-7204HQHI-M1/S</t>
  </si>
  <si>
    <t>4 CH 1U Turbo AcuSense DVR</t>
  </si>
  <si>
    <t>iDS-7208HQHI-M1/S</t>
  </si>
  <si>
    <t>8 CH 1U Turbo AcuSense DVR</t>
  </si>
  <si>
    <t>iDS-7216HQHI-M1/S</t>
  </si>
  <si>
    <t>16-ch 1080p 1U H.265 AcuSense DVR</t>
  </si>
  <si>
    <t>iDS-7216HQHI-M2/S</t>
  </si>
  <si>
    <t>16- ch 1080p 1U H.265 AcuSense DVR</t>
  </si>
  <si>
    <t>iDS-7232HQHI-M2/S</t>
  </si>
  <si>
    <t>32-ch 1080p 1U H.265 AcuSense DVR</t>
  </si>
  <si>
    <t>IDS-7204HUHI-M1/E</t>
  </si>
  <si>
    <t>4-ch 5MP 1U H.265 AcuSense DVR</t>
  </si>
  <si>
    <t>iDS-7208HUHI-M1/S</t>
  </si>
  <si>
    <t>8-ch 5 MP 1U H.265 AcuSense DVR</t>
  </si>
  <si>
    <t>iDS-7216HUHI-M2/S</t>
  </si>
  <si>
    <t>16-ch 5 MP 1U H.265 AcuSense DVR</t>
  </si>
  <si>
    <t>iDS-7204HTHI-M1/S(C)</t>
  </si>
  <si>
    <t>4-ch 4K 1U H.265 AcuSense DVR</t>
  </si>
  <si>
    <t>iDS-7208HTHI-M2/S(C)</t>
  </si>
  <si>
    <t>8-ch 4K 1U H.265 AcuSense DVR</t>
  </si>
  <si>
    <t>CCTV PACKAGE</t>
  </si>
  <si>
    <t>TVI-4CH2D2B-1MP</t>
  </si>
  <si>
    <t>720P CCTV PACKAGE</t>
  </si>
  <si>
    <t xml:space="preserve">Package Inclusions:                                           
1unit - DS-7204HGHI-F1                                      
2units- DS-2CE16C0T-IRPF(3.6mm)                  
2units - DS-2CE56C0T-IRPF (3.6mm)                
Accessories:                                                        
4pcs - 18meters Coaxial Cable                             
1pc - 4-Way Splitter                                              
1pc - Power Supply Adaptor                                 
1pc - Mouse
</t>
  </si>
  <si>
    <t>TVI-4CH2D2B-2MP-Eco</t>
  </si>
  <si>
    <t>1080P CCTV PACKAGE</t>
  </si>
  <si>
    <t xml:space="preserve">Package Inclusions:                                           
1unit - DS-7204HGHI-K1                                      
2units- DS-2CE16D0T-IPF(3.6mm)                     
2units - DS-2CE56D0T-IPF (3.6mm)                   
---------------------------------------                 
Accessories:                                                        
4pcs - 18meters Coaxial Cable                             
1pc - 4-Way Splitter                                              
1pc - Power Supply Adaptor                                 
1pc - Mouse
</t>
  </si>
  <si>
    <t>TVI-4CH2D2B-2MP</t>
  </si>
  <si>
    <t xml:space="preserve">Package Inclusions:                                           
1unit - DS-7204HQHI-K1                                      
2units- DS-2CE16D0T-IRPF(3.6mm)                  
2units - DS-2CE56D0T-IRPF (3.6mm)                
---------------------------------------                 
Accessories:                                                        
4pcs - 18meters Coaxial Cable                             
1pc - 4-Way Splitter                                              
1pc - Power Supply Adaptor                                 
1pc - Mouse
</t>
  </si>
  <si>
    <t>TVI-4CH2D2B-5MP</t>
  </si>
  <si>
    <t>5MP CCTV PACKAGE</t>
  </si>
  <si>
    <t xml:space="preserve">Package Inclusions:                                           
1unit - DS-7204HUHI-K1/E                                   
2units - DS-2CE16H0T-ITPF (3.6mm)                 
2units - DS-2CE56H0T-ITPF (3.6mm)                 
---------------------------------------                 
Accessories:                                                        
4pcs - 18meters Coaxial Cable                             
1pc - 4-Way Splitter                                              
1pc - Power Supply Adaptor                                 
1pc - Mouse
</t>
  </si>
  <si>
    <t>TVI-8CH4D4B-1MP</t>
  </si>
  <si>
    <t xml:space="preserve">Package Inclusions:                                           
1unit - DS-7208HGHI-F1                                      
4units- DS-2CE16C0T-IRPF(3.6mm)                  
4units - DS-2CE56C0T-IRPF (3.6mm)                
---------------------------------------                    
Accessories:                                                        
8pcs - 18meters Coaxial Cable                             
1pc - 8-Way Splitter                                              
1pc - Power Supply Adaptor                                 
1pc - Mouse
</t>
  </si>
  <si>
    <t xml:space="preserve"> TVI-8CH4D4B-2MP-Eco</t>
  </si>
  <si>
    <t>Package Inclusions:
1unit - DS-7208HGHI-K1
4units- DS-2CE16D0T-IPF(3.6mm)
4units - DS-2CE56D0T-IPF (3.6mm)
---------------------------------------
Accessories:
8pcs - 18meters Coaxial Cable
1pc - 8-Way Splitter
1pc - Power Supply Adaptor
1pc - Mouse</t>
  </si>
  <si>
    <t>TVI-8CH4D4B-2MP</t>
  </si>
  <si>
    <t xml:space="preserve">Package Inclusions:
1unit - DS-7208HQHI-K1
4units- DS-2CE16D0T-IRPF(3.6mm)
4units - DS-2CE56D0T-IRPF (3.6mm)
---------------------------------------
Accessories:
8pcs - 18meters Coaxial Cable
1pc - 8-Way Splitter
1pc - Power Supply Adaptor
1pc - Mouse
</t>
  </si>
  <si>
    <t>TVI-8CH4D4B-5MP</t>
  </si>
  <si>
    <t>Package Inclusions:
1unit - DS-7208HUHI-K1/E
4units - DS-2CE16H0T-ITPF (3.6mm)
4units - DS-2CE56H0T-ITPF (3.6mm)
---------------------------------------
Accessories:
8pcs - 18meters Coaxial Cable
1pc - 4-Way Splitter
1pc - Power Supply Adaptor
1pc - Mous</t>
  </si>
  <si>
    <t xml:space="preserve">TVI-Lite-4CH2D2B-2MP-ColorVu </t>
  </si>
  <si>
    <t xml:space="preserve">Package Inclusions:                                           
1unit - DS-7204HGHI-K1(S)                                 
2units - DS-2CE10DF3T-PFS(3.6mm)             
2units - DS-2CE70DF3T-PFS(3.6mm)                
---------------------------------------                 
Accessories:                                                        
4pcs - 18meters Coaxial Cable                             
1pc - 4-Way Splitter                                              
1pc - Power Supply Adaptor                                 
1pc - Mouse
</t>
  </si>
  <si>
    <t xml:space="preserve">TVI-Lite-8CH4D4B-2MP-ColorVu </t>
  </si>
  <si>
    <t xml:space="preserve">Package Inclusions:                                           
1unit - DS-7208HGHI-K1(S)                                 
4units - DS-2CE10DF3T-PFS(3.6mm)             
4units - DS-2CE70DF3T-PFS(3.6mm)                
---------------------------------------                 
Accessories:                                                        
4pcs - 18meters Coaxial Cable                             
1pc - 4-Way Splitter                                              
1pc - Power Supply Adaptor                                 
1pc - Mouse
</t>
  </si>
  <si>
    <t>HS-TF-C1(STD)/32G/ZAZ01X00/OD</t>
  </si>
  <si>
    <t>32G</t>
  </si>
  <si>
    <t xml:space="preserve">microSDHC™/32G/Class 10 and UHS-I / TLC
Up to 92MB/s read speed, 15MB/s write speed,
V10
</t>
  </si>
  <si>
    <t>HS-TF-C1(STD)/64G/ZAZ01X00/OD</t>
  </si>
  <si>
    <t>64G</t>
  </si>
  <si>
    <t xml:space="preserve">microSDXC™/64G/Class 10 and UHS-I / TLC
Up to 92MB/s read speed, 30MB/s write speed,
V30
</t>
  </si>
  <si>
    <t>HS-TF-C1(STD)/128G/ZAZ01X00/OD</t>
  </si>
  <si>
    <t>128G</t>
  </si>
  <si>
    <t>microSDXC™/128G/Class 10 and UHS-I / TLC Up to 92MB/s read speed, 40MB/s write speed, V30</t>
  </si>
  <si>
    <t>Turbo HD-DVI</t>
  </si>
  <si>
    <t>DS-D6043TL/V</t>
  </si>
  <si>
    <t>STANDALONE FINGERPRINT TIME ATTENDANCE TERMINAL</t>
  </si>
  <si>
    <t>43", Floor-standing, 10 points touch, Andriod,
1080p, 400cd/m2, VGA/HDMI/RJ45/USB/WIFI,
built in 32GB SD</t>
  </si>
  <si>
    <t>DS-K1A8503F</t>
  </si>
  <si>
    <t>• 2.4-inch LCD screen to display time, date, week,
and attendance information
• Remotely adds fingerprints to the system
• TCP/IP communication
• 1:N mode accurate and fast fingerprint
recognition (recognition duration &lt; 1 s)
• Max. 1000 users, Max. 1000 fingerprints, and
Max. 100,000 events records
• Stand-alone operation (supports adding persons,
and fingerprints locally)
• Downloads attendance reports by USB flash drive
• Up to 32 normal shifts, 32 man-hour shifts, and
32 attendance holiday schedules can be
configured
• Generates reports automatically
• Supports multiple languages: English,
Vietnamese, Brazilian Portuguese, Spanish,
French, Italian</t>
  </si>
  <si>
    <t>DS-K1A8503MF</t>
  </si>
  <si>
    <t>• 2.4-inch LCD screen to display time, date, week,
and attendance information
• Remotely adds fingerprints to the system
• TCP/IP communication
• 1:N mode accurate and fast fingerprint
recognition (recognition duration &lt; 1 s)
• Max. 1000 users, Max. 1000 fingerprints, and
Max. 100,000 events records
• Stand-alone operation (supports adding persons,
cards and fingerprints locally)
• M1 card (supports metal environment)
• Card reading distance: 0~5cm
• Downloads attendance reports by USB flash drive
• Up to 32 normal shifts, 32 man-hour shifts, and
32 attendance holiday schedules can be
configured
• Generates reports automatically
• Supports multiple languages: English,
Vietnamese, Brazilian Portuguese, Spanish,
French, Italian</t>
  </si>
  <si>
    <t>DS-K1A8503MF-B</t>
  </si>
  <si>
    <t>• 2.4-inch LCD Display Fingerprint Time
Attandence Terminal, Built-in Mifare card reading
module
• Communication: TCP/IP,EHome;
• 1000 users, 1000 fingerprints,1000 card and
Max. 100,000 event records;
• Supports Time Attendance function,
• generating Reports Automatically
• Optical Fingerprint Module;
• Supports 6 attendance status, including check in,
check out, break in, break out, overtime in,
overtime out
• multiple languages: English, Vietnamese,
Brazilian Portuguese, Spanish, French, Italian,
Arabic, and Thai
• Power supply:5 VDC/1 A, Supports Lithium
Battery.
• color:white</t>
  </si>
  <si>
    <t>DS-K1T8003EF</t>
  </si>
  <si>
    <t>2.4-inch LCD Display Fingerprint Access Control
Terminal, Built-in EM card reading module
Communication: TCP/IP,ISUP5.0;
1000 users, 1000 fingerprints,1000 card and Max.
100,000 event records;
Support Access Control and Time Attendance Function,
Optical Fingerprint Module;
Supports 6 attendance status, including check in, check
out, break in, break out, overtime in, overtime out
multiple languages: English, Spanish, Italian, French,
Portuguese (Brazilian), Vietnamese, Arabic, Thai,
Turkish, Indonesian, Ukrainian
Remotely opens door via Hik-Connect mobile client
Tamper alarm.
color:silver
Power adapter included in the package</t>
  </si>
  <si>
    <t>DS-K1T8003MF</t>
  </si>
  <si>
    <t>• 2.4-inch LCD Display Fingerprint Access Control
Terminal, Built-in Mifare card reading module,
• Communication: TCP/IP,EHome;
• 1000 users, 1000 fingerprints,1000 card and
Max. 100,000 event records;
• Support Access Control and Time Attendance
Function, Optical Fingerprint Module;
• Supports 6 attendance status, including check in,
check out, break in, break out, overtime in,
overtime out
• multiple languages: English, Vietnamese,
Brazilian Portuguese, Spanish, French, Italian,
Arabic, and Thai
• Remotely opens door via Hik-Connect mobile
client
• Tamper alarm.
• color:silver</t>
  </si>
  <si>
    <t>DS-PWA64-Kit-WB</t>
  </si>
  <si>
    <t>WIRELESS INTRUSION ALARM KIT</t>
  </si>
  <si>
    <t>Component:
● DS-PWA64-L-WB * 1
● DS-PKF1-WB * 1
● DS-PDP15P-EG2-WB * 1
● DS-PDMC-EG2-WB</t>
  </si>
  <si>
    <t>IC S50</t>
  </si>
  <si>
    <t>ACCESS CONTROL</t>
  </si>
  <si>
    <t>Mifare 1 Contactless Smart card, Frequency:
13.56vMHz.</t>
  </si>
  <si>
    <t>S50+TK4100</t>
  </si>
  <si>
    <t>Mifare1+EM, Dual Freq Card.</t>
  </si>
  <si>
    <t>DS-K4H258S</t>
  </si>
  <si>
    <t>Single-door Magnetic Lock, 280kg Linear Thrust, 12</t>
  </si>
  <si>
    <t>DS-K4H258-U</t>
  </si>
  <si>
    <t>U-Bracket of Magnetic Lock, for DS-K4H258S/D</t>
  </si>
  <si>
    <t>DS-K4H258-LZ</t>
  </si>
  <si>
    <t>LZ-Bracket of Magnetic Lock, for DS-K4H258S</t>
  </si>
  <si>
    <t>DS-K1102MK</t>
  </si>
  <si>
    <t>• DS-K1102MK (M1 Card, Keypad)
• PC+ABS material shell with PMMA panel design and
alloy decoration
• Equipped with the 32-bit high-speed processor
• Built-in audible beeper
• Display the reader status with LED indicator
• DIP switch
• RS485 and Wiegand (W26/ W34) protocol
• Tamper-proof alarm
V Online upgrade function (under the 485
communication mode). Card reader can degrade to pre-
upgrade status in case of upgrading failed
• Watchdog design for repairing itself in case that
exception occurs, to ensure the long service life of the
reader
• Dust-proof and water-proof design
• Build-in EM card reading module
(Frequency:125KHz). Supports reading EM card No. (DS-
K1102E/DS-K1102EK)
• Build-in Mifare card reading module (Frequency:
13.56MHz). Meets the standard of ISO 14443-A.
Supports reading Mifare card No (DS-K1102M/DS-
K1102MK)</t>
  </si>
  <si>
    <t>DS-K1104MK</t>
  </si>
  <si>
    <t>• DS-K1104MK (M1 Card, Keypad)
• PC + zinc-alloy material shell (material protection level
is IK 10)
• Equipped with the 32-bit high-speed processor
• Built-in audible beeper
• Display the reader status with LED indicator
• DIP switch
• RS485 and Wiegand(W26/W34) protocol
• Tamper-proof alarm
• Online upgrade function (under the 485
communication mode), and card reader can degrade to
pre-upgrade status in case of upgrading failed
• Watchdog design for repairing itself in case that
exception occurs, to ensure the long service life of the
reader
• Dust-proof and water-proof design
• Read Mifare card and obtain the card No.</t>
  </si>
  <si>
    <t>DS-K1F100-D8E</t>
  </si>
  <si>
    <t>Plug-and-play USB with no-driver technology;
Supports various card types (Mifare card and EM card).
Card Issuer for Project Market</t>
  </si>
  <si>
    <t>DS-K1F820-F</t>
  </si>
  <si>
    <t>Plug-and-play USB with no-driver technology, USB 2.0;
Fingerprint enrollment for DS-K1T201, DS-K1201, DS-
K1T804, DS-K1A802 and DS-K1T501.</t>
  </si>
  <si>
    <t>DS-K1F600-D6E-F</t>
  </si>
  <si>
    <t>Supports enrolling face picture, fingerprint, 13.56 MHz
Mifare 1 card, and 125KHz EM card.
3.97-inch LCD touch screen,2 Mega pixel wide-angle
lens;
Supports TCP/IP,communication,DC 12V/2A
Dimensions:121.6 mm × 137.9 mm × 125 mm (4.8" ×
5.4" × 4.9")</t>
  </si>
  <si>
    <t>DS-K1T502DBWX</t>
  </si>
  <si>
    <t>ACCESS CONTROL Storage with
100,000 cards and
300,000 events</t>
  </si>
  <si>
    <t>Access Control Terminal, 2 Mega pixels camera,
Built-in Mifare card, Felica card,DESfire card
reading module and Bluetooth module;
integrate the access control and video intercoms
IP65、IK08,increased stability with zinc alloy
materials
Storage with 100,000 cards and 300,000 events;
support mobile APP hikconnect
Supports two-way audio intercom;
Uplink Communication: TCP/IP, WIFI; Downlink
Communication: RS-485;</t>
  </si>
  <si>
    <t>DS-K1T502DBFWX</t>
  </si>
  <si>
    <t>ACCESS CONTROL Storage with
100,000 cards,
10,000 fingerprints
and 300,000
events</t>
  </si>
  <si>
    <t>Access Control Terminal, 2 Mega pixels camera,
Built-in Mifare card, Felica card,DESfire card
reading module;
integrate the access control and video intercoms
IP65、IK08,increased stability with zinc alloy
materials
Storage with 100,000 cards, 10,000 fingerprints
and 300,000 events;
support mobile APP hikconnect
Supports two-way audio intercom,capacitive
Fingerprint Module;
Uplink Communication: TCP/IP, WIFI; Downlink
Communication: RS-485;</t>
  </si>
  <si>
    <t>DS-K1T804EF</t>
  </si>
  <si>
    <t>ACCESS CONTROL 3,000 fingerprints
3,000 cards</t>
  </si>
  <si>
    <t>LCD Display Standalone Access Control Terminal, Built-
in EM card reading module,
Storage with 3,000 cards, 3,000 fingerprints and
100,000 access control events;
Support Access Control and Time Attendance Function,
Optical Fingerprint Module;
Uplink Communication: TCP-IP, WIFI; Downlink
Communication: RS485(Connect to Secure Module);
Supports Wiegand out(W26/W34) and Wiegand
in(W26/W34).</t>
  </si>
  <si>
    <t>DS-K1T804MF</t>
  </si>
  <si>
    <t>LCD Display Standalone Access Control Terminal, Built-
in Mifare card reading module,
Storage with 3,000 cards, 3,000 fingerprints and
100,000 access control events;
Support Access Control and Time Attendance Function,
Optical Fingerprint Module;
Uplink Communication: TCP-IP, WIFI; Downlink
Communication: RS485(Connect to Secure Module);
Supports Wiegand out(W26/W34) and Wiegand
in(W26/W34).</t>
  </si>
  <si>
    <t>DS-K1T804AMF</t>
  </si>
  <si>
    <t>2.4 inch LCD Display Standalone Access Control
Terminal, Built-in Mifare card reading module,
Storage with 3,000 cards, 3,000 fingerprints and
100,000 access control events;
Support Access Control and Time Attendance Function,
Optical Fingerprint Module;
Uplink Communication: TCP-IP, WIFI; Downlink
Communication: RS485(Connect to Secure Module);
Supports Wiegand out(W26/W34) and Wiegand
in(W26/W34).
Supports ISUP5.0, ISAPI
multiple languages: English, Spanish, Italian, French,
Portuguese (Brazilian), Vietnamese, Arabic, Thai,
Turkish, Indonesian, Ukrainian
Power adapter included in the package
4 colours availabe (Black, Glod, Silver and White),
remark colour choices when placing order.</t>
  </si>
  <si>
    <t>DS-KAS261</t>
  </si>
  <si>
    <t>ACCESS CONTROL KIT
The Kit includes:
Fingerprint terminal: DS-K1T804MF x1
Single-door Magnetic Lock: DS-K4H258S x1
Single-door Magnetic Lock bracket: DS-K4H258-LZ x1
Push button: DS-K7P01 x1</t>
  </si>
  <si>
    <t>DS-K1T331</t>
  </si>
  <si>
    <t>ACCESS CONTROL Max.300 faces
capacity</t>
  </si>
  <si>
    <t>Face Recognition Access Control Terminal, 3.97-inch
LCD touch screen,2 Mega pixel wide-angle lens;
Max.300 faces capacity;
Supports TCP/IP,communication,DC 12V/2A
Application Situation: Indoor
Supports 6 attendance status, including check in, check
out, break in, break out, overtime in, overtime out
multiple languages: English, Spanish and Arabic
RS485</t>
  </si>
  <si>
    <t>DS-K1T341AMF</t>
  </si>
  <si>
    <t>ACCESS CONTROL Max.1500 faces
capacity
Max.1500
fingerprints
capacity
Max.1500 cards</t>
  </si>
  <si>
    <t>• DS-K1T341AMF (M1 Card, Fingerprint)
• 4.3-inch LCD touch screen,720P wide-angle lens,Built-
in Mifare card reading module;
• Max.1500 faces capacity and Max.1500 fingerprints
capacity(Model with F),
• Max.1500 cards;
• Face recognition in dark environment
• Two-way audio with client software, indoor station,
and master station
• Supports TCP/IP, DC 12V/3A
• Supports Ehome5.0, ISAPI
• Supports 6 attendance status, including check in,
check out, break in, break out, overtime in, overtime
out
• IP65
• Face Recognition Accuracy Rate &gt; 99%
• Face Recognition Duration(1:N) ≤0.2s
• Face Recognition Distance: 0.3m ~ 1.5m
• Fingerprint devices are recommended for using in
indoor environment
Face mask detection</t>
  </si>
  <si>
    <t>DS-K1T341CMF</t>
  </si>
  <si>
    <t>ACCESS CONTROL Max.3000 faces
Max.3000
fingerprints
Max.3000 cards</t>
  </si>
  <si>
    <t>Face Recognition Terminal, 4.3-inch LCD
touch screen,2 Mega pixel wide-angle
lens,Built-in Mifare card reading module;
Max.3000 faces capacity and Max.3000
fingerprints capacity, Max.3000 cards;
Face recognition in dark environment
Two-way audio with client software, indoor
station, and master station
Supports TCP/IP, DC 12V/2A
Supports ISUP5.0, ISAPI
Configuration via the web client
Supports 6 attendance status, including
check in, check out, break in, break out,
overtime in, overtime out
multiple languages: English, Spanish,
Arabic, Thai, Indonesian, Russian,
Vietnamese, Portuguese (Brazil) and
Korean
IP65
Face Recognition Accuracy Rate &gt; 99%
Face Recognition Duration(1:N) ≤0.2s
Face Recognition Distance: 0.3m ~ 1.5m
Fingerprint devices are recommended for
using in indoor environment
Power adapter included in the package</t>
  </si>
  <si>
    <t>DS-K1T343EFX</t>
  </si>
  <si>
    <t>ACCESS CONTROL Max.1500 faces
capacity
Max. 3000
fingerprints
Max.3000 cards</t>
  </si>
  <si>
    <t>Face Recognition Terminal, 4.3-inch LCD touch screen,2
Mega pixel wide-angle lens,Built-in EM card reading
module;
Max.1,500 faces capacity Max.3,000 fingerprints
capacity,Max.3,000 cards;
Face recognition in dark environment
Two-way audio with client software, indoor station,
and master station
Supports TCP/IP,DC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</si>
  <si>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DS-K1T343EFWX</t>
  </si>
  <si>
    <t>Face Recognition Terminal, 4.3-inch LCD touch screen,2
Mega pixel wide-angle lens,Built-in EM card reading
module;
Max.1,500 faces capacity Max.3,000 fingerprints
capacity,Max.3,000 cards;
Face recognition in dark environment
Two-way audio with client software, indoor station,
and master station
Supports TCP/IP,Wi-Fi,DC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</si>
  <si>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DS-K1T343MFX</t>
  </si>
  <si>
    <t>Face Recognition Terminal, 4.3-inch LCD touch screen,2
Mega pixel wide-angle lens,Built-in Mifare card reading
module;
Max.1,500 faces capacity Max.3,000 fingerprints
capacity,Max.3,000 cards;
Face recognition in dark environment
Two-way audio with client software, indoor station,
and master station
Supports TCP/IP,DC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</si>
  <si>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DS-K1T343MWX</t>
  </si>
  <si>
    <t>ACCESS CONTROL Max.1500 faces
capacity
Max.3000 cards</t>
  </si>
  <si>
    <t>Face Recognition Terminal, 4.3-inch LCD touch screen,2
Mega pixel wide-angle lens,Built-in Mifare card reading
module;
Max.1,500 faces capacity ,Max.3,000 cards;
Face recognition in dark environment
Two-way audio with client software, indoor station,
and master station
Supports TCP/IP,WiFi,DC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</si>
  <si>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DS-K1T343MFWX</t>
  </si>
  <si>
    <t>Face Recognition Terminal, 4.3-inch LCD touch screen,2
Mega pixel wide-angle lens,Built-in Mifare card reading
module;
Max.1,500 faces capacity Max.3,000 fingerprints
capacity,Max.3,000 cards;
Face recognition in dark environment
Two-way audio with client software, indoor station,
and master station
Supports TCP/IP,Wi-Fi,DC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</si>
  <si>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DS-K1T642MF</t>
  </si>
  <si>
    <t>ACCESS CONTROL Max.6000 faces
capacity
Max.5000
fingerprints
capacity
Max.10000 cards</t>
  </si>
  <si>
    <t>• DS-K1T642MF (M1 Card, Fingerprint)
• 4.3-inch touch screen, 2 Mega pixel wide-angle lens,
Built-in Mifare/EM card reading module;
• Max.6000 faces capacity and Max.5000 fingerprints
capacity (model with F), Max.10,000 cards capacity(M
for Mifare, E for EM);
• Two-way audio with client software, indoor station,
and master station;
• Supports TCP/IP, Wifi function(model with W)DC
12V/2A;
• Supports Ehome 5.0 (ISUP5.0), ISAPI;
• Supports 6 attendance status, including check in,
check out, break in, break out, overtime in, overtime
out;
• Face Recognition Accuracy Rate &gt; 99%;
• Face Recognition Duration(1:N) ≤0.2s;
• Face Recognition Distance: 0.3m ~ 3m;
• Fingerprint devices are recommended for using in
indoor environment;
Face mask detection</t>
  </si>
  <si>
    <t>DS-K1T671MF</t>
  </si>
  <si>
    <t>ACCESS CONTROL Max.6000 faces
capacity
Max.5000
fingerprints
capacity</t>
  </si>
  <si>
    <t>Face Recognition Terminal, 7-inch LCD touch screen,2
Mega pixel wide-angle lens,Built-in Mifare card reading
module;
Max.6000 faces capacity and Max.5000 fingerprints
capacity,Max.6000 cards;
Two-way audio with client software, indoor station,
and master station
Supports TCP/IP,DC 12V/2A
Supports 6 attendance status, including check in, check
out, break in, break out, overtime in, overtime out
multiple languages: English, Spanish, Arabic, Thai,
Indonesian, Russian, and Vietnamese
IP65
Face Recognition Accuracy Rate &gt; 99%
Face Recognition Duration(1:N) ≤0.2s
Face Recognition Distance: 0.3m ~ 3m
Fingerprint devices are recommended for using in
indoor environment</t>
  </si>
  <si>
    <t>DS-KIS202</t>
  </si>
  <si>
    <t>ANALOG VIDEO INTERCOM KIT</t>
  </si>
  <si>
    <t>Analog Kit
Kit including DS-KB2411-IM and DS-KH2220
Include one monitor, one outdoor panel, 5-meter 4-
wire cable, and other accessories</t>
  </si>
  <si>
    <t>DS-KIS203</t>
  </si>
  <si>
    <t>Water Proof Analog Kit
Kit including DS-KB2421-IM and DS-KH2220
Include one monitor, one metal outdoor panel, 5-
meter 4-wire cable,and other accessories</t>
  </si>
  <si>
    <t>DS-KIS203T</t>
  </si>
  <si>
    <t>Water Proof Analog Kit
Kit including DS-KB2421T-IM and DS-KH2220
Include one monitor, one metal ourdoor panel, 5-
meter 4-wire cable,and other accessories
2MP camera, 7 inch LCD
It includes European power adapter, if you want to
change the standard of power supply, you have to
mark which standard of power adapter you want when
you place an order</t>
  </si>
  <si>
    <t>DS-KIS204</t>
  </si>
  <si>
    <t>Analog Kit with picture storage function
Kit including DS-KB2411-IM and DS-KH2220 -S, Support
picture storage,time OSD , brightness, contrast,volume
adjusting, and ringtone selecting
Include one monitor, one outdoor panel, 5-meter 4-
wire cable, and other accessories</t>
  </si>
  <si>
    <t>DS-KH6320-WTE1</t>
  </si>
  <si>
    <t>IP VIDEO INTERCOM KIT</t>
  </si>
  <si>
    <t>7“ Touch-Screen Indoor Station,
7-inch Colorful TFT LCD, display resolution: 1024 * 600;
10/100Mbps Ethernet, Wi-Fi 802.11b/g/n;
standard PoE/ 12 VDC.
TF card, max 32G
8-ch alarm input, 2xalarm output, 1x485</t>
  </si>
  <si>
    <t>DS-KIS605-P</t>
  </si>
  <si>
    <t>Entry level IP video intercom kit for villa or house, only
one call button.
DS-KV6113-WPE1(B) x1;
DS-KH6320-LE1 x1;
PSU x2;
Power adapter included in the package</t>
  </si>
  <si>
    <t>DS-KIS603-P(B)</t>
  </si>
  <si>
    <t>IP video intercom kit for villa or house, only one call
button.
DS-KV6113-WPE1(B) x1;
DS-KH6320-WTE1 x1;
PSU x2;
Power adapter included in the package</t>
  </si>
  <si>
    <t>DS-KIS602</t>
  </si>
  <si>
    <t>IP video intercom kit for villa or house, only one call
button.
DS-KD8003-IME1/Surface x1;
DS-KH6320-WTE1 x1;
4 port standard PoE switch x1;
16GB TF card x1;
Power adapter included in the package</t>
  </si>
  <si>
    <t>DS-MP2100-4</t>
  </si>
  <si>
    <t>AVIATION CABLES</t>
  </si>
  <si>
    <t>Aviation connector cable - 4mm</t>
  </si>
  <si>
    <t>DS-MP2100-10</t>
  </si>
  <si>
    <t>Aviation connector cable - 10mm</t>
  </si>
  <si>
    <t>DS-MP2100-20</t>
  </si>
  <si>
    <t>Aviation connector cable - 20mm</t>
  </si>
  <si>
    <t>IPC-4300H</t>
  </si>
  <si>
    <t>IPC TESTER</t>
  </si>
  <si>
    <t>IP camera tester 4.3 inch capacitive touch screen /
ONVIF/ Hikvision, Dahua, etc more than 40 IP
camera brands test /IP Camera view /12 V/2A
power output / 5V 2A power bank / PoE power
supply / HDMI output / WIFI</t>
  </si>
  <si>
    <t>DS-2CD4B26FWD-IZ</t>
  </si>
  <si>
    <t>4K Embedded Network Video Recorder (2.8-12mm)</t>
  </si>
  <si>
    <t xml:space="preserve"> 4B series Outdoor IR Bullet (Darkfighter lite
series)
• Darkfighter Ultra-low light technology
• 1/1.8" Progressive Scan CMOS
• ICR
• Color:0.002Lux/F1.2, B/W:0.0002Lux/F1.2
• Slow shutter, 1920 x 1080: 25fps/30fps
• H.264/MJPEG, H.264+/H.264
• WDR
• Triple-Stream
• Support SD/SDXC Card up to 128GB
• DC12V/PoE</t>
  </si>
  <si>
    <t>DS-2CD4A26FWD-IZ</t>
  </si>
  <si>
    <t>4K Embedded Network Video Recorder(2.8~12mm)</t>
  </si>
  <si>
    <t>2MP Low Light Smart Camera
• 1/1.8” Progressive Scan CMOS
• Full HD1080p video
• Up to 60fps frame rate
• Ultra-low light
• Slow shutter
• 120dB WDR
• 3D DNR
• Up to 50m IR range
• Motorized lens with Smart Focus
• Support 128G on-board storage
• DC12V/PoE
• IP67</t>
  </si>
  <si>
    <t>DS-2CD4A26FWD-IZS</t>
  </si>
  <si>
    <t>4K Embedded Network Video Recorder (2.8~12mm)</t>
  </si>
  <si>
    <t>2MP Low Light Smart Camera
• 1/1.8” Progressive Scan CMOS
• Full HD1080p video
• Up to 60fps frame rate
• Ultra-low light
• Slow shutter
• 120dB WDR
• 3D DNR
• Up to 50m IR range
• Motorized lens with Smart Focus
• Support 128G on-board storage
• DC12V/PoE
• IP67
• S: Audio/Alarm IO</t>
  </si>
  <si>
    <t>DS-2CD4D26FWD-IZ</t>
  </si>
  <si>
    <t>4B series Outdoor IR Dome
• Darkfighter Ultra-low light technology
• 1/1.8" Progressive Scan CMOS
• ICR
• Color:0.002Lux/F1.2, B/W:0.0002Lux/F1.2
• Slow shutter, 1920 x 1080: 25fps/30fps
• H.264/MJPEG, H.264+/H.264
• WDR
• Triple-Stream
• Support SD/SDXC Card up to 128GB
• DC12V/PoE</t>
  </si>
  <si>
    <t>DS-2CD4D36FWD-IZS</t>
  </si>
  <si>
    <t>3 MP Low Light Smart Dome Camera
• 1/2.8” Progressive Scan CMOS
• Auto-iris
• 2048 × 1536 @ 30fps
• Low light
• H.265, H.265+
• 120dB WDR
• IP66
• 6 behavior analyses, 1 exception detection, and
face detection</t>
  </si>
  <si>
    <t>DS-9616NI-I8</t>
  </si>
  <si>
    <t>4K NVR</t>
  </si>
  <si>
    <t>CABLES
1. Terms of Payment: CASH, VAT EX
2. Warranty: 1 Year Warranty
DS-9616NI-I8
(limited stocks)
16-ch 2U 4K NVR
• Up to 16 channel IP cameras can be connected
• Up to 12 MP high-definition live view, storage and
playback
• Up to 256 Mbps (or 200 Mbps when RAID is
enabled) high incoming bandwidth ensures IP
cameras can be connected
• 2 HDMI (different source) and 2 VGA (different
source) interfaces
• 8 HDD can be used for continuous video
recording
• Supports some specialist cameras, including
people counting camera/ANPR (automatic number
plate recognition) camera/fisheye camera
• Advanced streaming technology enables smooth
live view in poor network conditions
• Supports RAID 0, 1, 5, 6, 10 and N+1 hot spare
for even more reliable data storage, effectively
avoids data loss risks</t>
  </si>
  <si>
    <t>DS-9632NI-I8</t>
  </si>
  <si>
    <t>32CH Embedded 4K NVR
• Third-party network cameras supported
• Up to 12 Megapixels resolution recording
• Support 1-ch HDMI, 1-ch VGA, HMDI at up to
3840x2160 resolution
• 32 network cameras can be connected with
320M incoming bandwidth
• Up to 8 SATA interfaces
• Support HDD hot swap with RAID0,1,5,6,10
storage scheme configurable
•Support various VCA detection alarm and VCA
search
•Support H.265/H.264/MPEG4 video formats</t>
  </si>
  <si>
    <t>DS-9632NI-I16</t>
  </si>
  <si>
    <t>32CH Embedded 4K NVR
• Third-party network cameras supported
• Up to 12 Megapixels resolution recording
• Support 1-ch HDMI, 1-ch VGA, HMDI at up to
3840x2160 resolution
• 32 network cameras can be connected with
320M incoming bandwidth
• 16 SATA interfaces for 16 HDDs
• Support HDD hot swap with RAID0,1,5,6,10
storage scheme configurable
•Support various VCA detection alarm and VCA
search
•Support H.265/H.264/MPEG4 video formats</t>
  </si>
  <si>
    <t>DS-9664NI-I8</t>
  </si>
  <si>
    <t>64CH Embedded 4K NVR
• Third-party network cameras supported
• Up to 12 Megapixels resolution recording
• Support 1-ch HDMI, 1-ch VGA, HMDI at up to
3840x2160 resolution
• 64 network cameras can be connected with
320M incoming bandwidth
• Up to 8 SATA interfaces
• Support HDD hot swap with RAID0,1,5,6,10
storage scheme configurable
•Support various VCA detection alarm and VCA
search
•Support H.265/H.264/MPEG4 video formats</t>
  </si>
  <si>
    <t>DS-9664NI-I16</t>
  </si>
  <si>
    <t>64CH Embedded 4K NVR
• Third-party network cameras supported
• Up to 12 Megapixels resolution recording
• Support 1-ch HDMI, 1-ch VGA, HMDI at up to
3840x2160 resolution
• 64 network cameras can be connected with
320M incoming bandwidth
• 16 SATA interfaces for 16 HDDs
• Support HDD hot swap with RAID0,1,5,6,10
storage scheme configurable
•Support various VCA detection alarm and VCA
search
•Support H.265/H.264/MPEG4 video formats</t>
  </si>
  <si>
    <t>HARD DISK DRIVE</t>
  </si>
  <si>
    <t>1TB HDD</t>
  </si>
  <si>
    <t>2TB HDD</t>
  </si>
  <si>
    <t>3TB HDD</t>
  </si>
  <si>
    <t>4TB HDD</t>
  </si>
  <si>
    <t>6TB HDD</t>
  </si>
  <si>
    <t>8TB HDD</t>
  </si>
  <si>
    <t>ST2000VX015</t>
  </si>
  <si>
    <t>DS-2FA1201-DL</t>
  </si>
  <si>
    <t>12 VDC/1 A desktop power adapter
• Over current/short circuit/over voltage protection
• Complies with certification standards of
information technology products; good EMC
performance
• Compact size; applicable to cameras
• Good ingress protection performance</t>
  </si>
  <si>
    <t>DS-1H18S/E(B)</t>
  </si>
  <si>
    <t>VIDEO BALUN</t>
  </si>
  <si>
    <t>DS-1H18S/E(C)</t>
  </si>
  <si>
    <t>DS-1LN5E-E/E</t>
  </si>
  <si>
    <t>CAT5 StandardPure CopperCable</t>
  </si>
  <si>
    <t>DS-1LN6-UE-W</t>
  </si>
  <si>
    <t>CAT6 StandardPure CopperCable</t>
  </si>
  <si>
    <t>DS-1LN5E-S</t>
  </si>
  <si>
    <t>CAT5 High-EndPure CopperCable</t>
  </si>
  <si>
    <t>DS-1LN6U-G</t>
  </si>
  <si>
    <t>DS-1LN6-UU</t>
  </si>
  <si>
    <t>CAT6 High-EndPure CopperCable</t>
  </si>
  <si>
    <t>DS-1LN5EO-UU/E</t>
  </si>
  <si>
    <t>DS-D5019QE-B</t>
  </si>
  <si>
    <t>18.5" 1366*768, HDMI/VGA LED MONITORS</t>
  </si>
  <si>
    <t>DS-D5022FN-C</t>
  </si>
  <si>
    <t>21.5" 1080P, HDMI/VGA LED MONITORS</t>
  </si>
  <si>
    <t xml:space="preserve"> DS-D5019QE-B</t>
  </si>
  <si>
    <t xml:space="preserve">18.5" 1366*768, HDMI/VGA input, view
angle:90°/65°, plastic casing, ERP level A,VESA,
base bracket included
LIMITED PROMO MARCH 2~16 ONLY!
NO ONLINE POSTING
</t>
  </si>
  <si>
    <t>POE</t>
  </si>
  <si>
    <t>DS-3E0105P-E/M(B)</t>
  </si>
  <si>
    <t>Unmanaged 100M PoE, L2L2, Unmanaged, 4 100M PoE port, 1 100M</t>
  </si>
  <si>
    <t>DS-3E0106P-E/M</t>
  </si>
  <si>
    <t>Unmanaged 100M PoE, L2L2,Unmanaged,410/100MR45 PoE ports, 2 10/100M</t>
  </si>
  <si>
    <t>DS-3E0109P-E/M(B)</t>
  </si>
  <si>
    <t>Unmanaged 100M PoE, L2L2, Unmanaged, 8 100M PoEport, 1 100M</t>
  </si>
  <si>
    <t>DS-3E0310P-E/M</t>
  </si>
  <si>
    <t>Unmanaged 100M PoE, L2L2, Unmanaged, 8 10/100M</t>
  </si>
  <si>
    <t>DS-3E0318P-E/M(B)</t>
  </si>
  <si>
    <t>Unmanaged 100M PoE, L2L2, Unmanaged, 16 100M P</t>
  </si>
  <si>
    <t>DS-3E0326P-E/M(B)</t>
  </si>
  <si>
    <t>Unmanaged 100M PoE, L2L2, Unmanaged, 24 100M</t>
  </si>
  <si>
    <t>DS-3E0105P-E(B)</t>
  </si>
  <si>
    <t>Unmanaged 100M PoE, L2L2, Unmanaged, 4 100M PoE port, 1 100M uplink port,802.3af/at, PoE power budget 58W</t>
  </si>
  <si>
    <t>DS-3E0109P-E©</t>
  </si>
  <si>
    <t>Unmanaged 100M PoE, L2L2, Unmanaged, 8 100M PoE port, 1 100M uplink port,802.3af/at, PoE powerbudget123W</t>
  </si>
  <si>
    <t>DS-3E0318P-E(B</t>
  </si>
  <si>
    <t>Unmanaged 100M PoE, L2L2, Unmanaged, 16 100M PoE port, 2 1000M comboport, 802.3af/at, PoE powerbudget230W</t>
  </si>
  <si>
    <t>DS-3E0326P-E(B)</t>
  </si>
  <si>
    <t>Unmanaged 100M PoE, L2L2, Unmanaged, 24 100M PoE port, 2 1000M comboport, 802.3af/at, PoE power budget370W</t>
  </si>
  <si>
    <t>DS-3E2310P</t>
  </si>
  <si>
    <t>Full Managed 100M POE, L2</t>
  </si>
  <si>
    <t>DS-3E0106HP-E</t>
  </si>
  <si>
    <t>100 Mbps Long-Range PoE Switch</t>
  </si>
  <si>
    <t>DS-3E0310HP-E</t>
  </si>
  <si>
    <t>DS-3E0505P-E/M</t>
  </si>
  <si>
    <t>Unmanaged Gigabit PoE, L2</t>
  </si>
  <si>
    <t>DS-3E0510P-E/M</t>
  </si>
  <si>
    <t>DS-3E0518P-E/M</t>
  </si>
  <si>
    <t>DS-3E0526P-E/M</t>
  </si>
  <si>
    <t>DS-3E1310P-E</t>
  </si>
  <si>
    <t>POE Switch (Web management)</t>
  </si>
  <si>
    <t>DS-3E1318P-E</t>
  </si>
  <si>
    <t>DS-3E1326P-E</t>
  </si>
  <si>
    <t>POE Switch (Web management</t>
  </si>
  <si>
    <t>DS-3D2208P</t>
  </si>
  <si>
    <t>POE Switch (Full management)</t>
  </si>
  <si>
    <t>DS-3D2228P</t>
  </si>
  <si>
    <t>DS-3E1105P-E</t>
  </si>
  <si>
    <t>Smart Managed EI Series L2 (for channel)</t>
  </si>
  <si>
    <t>DS-3E1309P-EI</t>
  </si>
  <si>
    <t>DS-3E1318P-EI</t>
  </si>
  <si>
    <t>DS-3E1326P-EI</t>
  </si>
  <si>
    <t>DS-1H34-0101P</t>
  </si>
  <si>
    <t>RepeaterPOE repeater, one channel 100M(802.3at) inpu</t>
  </si>
  <si>
    <t>DS-1H34-0102P</t>
  </si>
  <si>
    <t>RepeaterPOE repeater, one channel 100M(802.3at) input,</t>
  </si>
  <si>
    <t>HK-1.25G-20-1310</t>
  </si>
  <si>
    <t>Optical moduleTX1310nm/1.25G,RX1550nm/1.25G,LC</t>
  </si>
  <si>
    <t>HK-1.25G-20-1550</t>
  </si>
  <si>
    <t>Optical moduleTX1550nm/1.25G,RX1310nm/1.25G,LC,</t>
  </si>
  <si>
    <t>DS-3WF01C-2N</t>
  </si>
  <si>
    <t>Elevator 2.4GHz wireless bridge, Max.distance 500m, 2×2 MIMO
antenna with 300Mbps thoughput, 6dBi gain, output power
27dBm, IEEE802.11 b/g/n, Angle H: 65° V: 60°,2 10/100M RJ45, 1
10/100M RJ45 with 802.3af PoE</t>
  </si>
  <si>
    <t>ROUTER</t>
  </si>
  <si>
    <t>DS-3WR3N(O-STD)/US</t>
  </si>
  <si>
    <t>11n 300M WiFi4 wireless router, 2.4GHz 300Mbps, 3 ×
100 Mbps LAN ports, 1 × 100 Mbps WAN port, 4 × 5-dBi
antennas, Hik-Connect App</t>
  </si>
  <si>
    <t>DS-3WR12C(O-STD)/US</t>
  </si>
  <si>
    <t>AC1200M Dual-band WiFi5 wireless router, 5GHz:
867Mbps + 2.4GHz 300Mbps, 3 × 100 Mbps LAN ports,
1 × 100 Mbps WAN port, 4 × 5-dBi antennas, Hik-
Connect App</t>
  </si>
  <si>
    <t>DS-3WR12GC(O-STD)/US</t>
  </si>
  <si>
    <t>AC1200M Dual-band WiFi5 wireless router, 5GHz:
867Mbps + 2.4GHz 300Mbps, 3 × Gigabit LAN ports, 1 ×
Gigabit WAN port, 4 × 5-dBi antennas, Hik-Connect App</t>
  </si>
  <si>
    <t>DS-2CD2146G2-ISU (C)</t>
  </si>
  <si>
    <t>4 MP AcuSense Fixed Dome Network Camera</t>
  </si>
  <si>
    <t>High quality imaging with 4 MP resolution
Excellent low-light performance with powered-by-DarkFighter technology
Clear imaging against strong backlight due to 120 dB true WDR technology
Efficient H.265+ compression technology
Focus on human and vehicle targets classification based on deep learning
Built-in microphone for real-time auto security(-SU)
Water and dust resistant (IP67) and vandal-resistant (IK10)</t>
  </si>
  <si>
    <t>DS-7608NXI-K2</t>
  </si>
  <si>
    <t>NVR 8 CHANNEL</t>
  </si>
  <si>
    <t>DS-7732NXI-K4</t>
  </si>
  <si>
    <t>NVR 32 CHANNEL</t>
  </si>
  <si>
    <t>2MP Dome</t>
  </si>
  <si>
    <t>8 PORT POE</t>
  </si>
  <si>
    <t xml:space="preserve">DS-3E0518P-E/M </t>
  </si>
  <si>
    <t>16 PORT POE</t>
  </si>
  <si>
    <t>DS-2CD2043G2-1 (C)</t>
  </si>
  <si>
    <t>4MP AcuSense Fixed Bullet Network Camera</t>
  </si>
  <si>
    <t>DS-2CE16H8T-IT1F</t>
  </si>
  <si>
    <t>5 MP Ultra Low Light Fixed Bullet Camera. 5 MP high performance bullet camera; Strong night performance, capturing images in ultra-low light down to 0.003</t>
  </si>
  <si>
    <t>CATEGORY</t>
  </si>
  <si>
    <t>UPDATED
AMOUNT</t>
  </si>
  <si>
    <t>OLD AMOUNT</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</si>
  <si>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</si>
  <si>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</si>
  <si>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</si>
  <si>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</si>
  <si>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</si>
  <si>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</si>
  <si>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HBL2R1</t>
  </si>
  <si>
    <t>BULLET - 1080P VIDEO STANDARD PAL/NTSC</t>
  </si>
  <si>
    <t>• 1080p real time live view
• 1/2.7” CMOS progressive scan
• Minimum illumination: 0 Lux (IR on)
• TDN (IR-Cut), AGC, DWDR
• 3.6mm Lens
• IR distance: Upto 20 meters</t>
  </si>
  <si>
    <t>HEW2PR1</t>
  </si>
  <si>
    <t>WDR IR Ball Camera -2MP</t>
  </si>
  <si>
    <t>• Full HD 1080p 25/30 fps image with a 1/2.7" 2 megapixel sensor 
• Wide Dynamic Range, up to 120 dB, ensures glare-free images
• True Day/Night provides vivid color images by day andclear black-and-white images at night with ICR
• Excellent low-light performance with 3D noisereduction,</t>
  </si>
  <si>
    <t>HED3PR3</t>
  </si>
  <si>
    <t>IP DOME - 3MP OUTDOOR CAMERA</t>
  </si>
  <si>
    <t>-IR LEDs provide up to 30 m 
-Smart IR technology for even distribution of IR-Waterproof (IP66) camera housing is perfect for outdoor installations
-2.8 mm F2.1 fixed lens for wide field of view
-Configurable motion detection and camera tamper detection settings, including configurable alarm notifications</t>
  </si>
  <si>
    <t>HBD3PR1</t>
  </si>
  <si>
    <t>IP BULLET - 3MP OUTDOOR CAMERAIR LEDs provide up to 30 m (100 ft)</t>
  </si>
  <si>
    <t>-Smart IR technology for even distribution of IR-Waterproof (IP66) camera housing
-3.6 mm F2.1 fixed lens (HBD1PR1/HBD3PR1) provide wide range of field of view options
-Configurable motion detection and camera tamper detection settings, including configurable alarm notifications</t>
  </si>
  <si>
    <t>HBW4PR1</t>
  </si>
  <si>
    <t>IP BULLET - FULL HD 4MP1/3" 4MP progressive scan imager</t>
  </si>
  <si>
    <t>-3.6 mm fixed lens-True day/night (IR-cut filter)
-Low-light performance down to 0.01 lux (color) or 0 lux with IR LEDs on-Up to 130 ft (40 m) IR illumination
-H.264 Main Profile compression-PoE, 12VDC support</t>
  </si>
  <si>
    <t>HEW4PRW3</t>
  </si>
  <si>
    <t>WDR 4 MP IR Ball Camera</t>
  </si>
  <si>
    <t>-1/3" 4 MP progressive scan imager
-3.6 mm OR 2.8 mm fixed lens
-True day/night (IR-cut filter)
-Low-light performance down to 0.01 lux (color) or 0 lux with IR LEDs on
-Up to 130 ft (40 m) IR illumination
-H.264 Main Profile compression-PoE, 12VDC support</t>
  </si>
  <si>
    <t>CADVR 1004FD</t>
  </si>
  <si>
    <t>1 SATA 4Channel 1080P AHD Digital Video Recorder</t>
  </si>
  <si>
    <t>• Multiplex operation: live view, record, play back, backup and remotely control the system simultaneously
• HDMI and VGA output simultaneously at up to 1080P resolution
• H.264 High profile decoding
• 1 SATA HDD interface: maximum 6TB storage capacity
• Support remote control through DDNS service by free of charge
• On-line user view: maximum 6 users simultaneously</t>
  </si>
  <si>
    <t>CADVR 1008FD</t>
  </si>
  <si>
    <t>1 SATA 8Channel 1080P AHD Digital Video Recorder</t>
  </si>
  <si>
    <t>• Multiplex operation: live view, record, play back, backup and remotely control the system simultaneously
• HDMI and VGA output simultaneously at up to 1080P resolution
• H.264 High profile decoding
• 1 SATA HDD interface: maximum 6TB storage capacity
• On-line user view: maximum 6 users simultaneously</t>
  </si>
  <si>
    <t>HEN08102</t>
  </si>
  <si>
    <t>H.264 8CH NVR, no HDD, 8 PoE</t>
  </si>
  <si>
    <t>• High decoding capability for full HD viewing and recording.
• View up to 16 channels simultaneously on your monitor (depending on your model).
• Up to 8 channels live view and play back at full frame rate 1080p resolution.
• Up to 16 channels recording at full frame rate 1080p , 3MP or 5MP resolution at a maximum of 8Mbps per channel.</t>
  </si>
  <si>
    <t>HEN16204</t>
  </si>
  <si>
    <t>1.5U 16CH 4SATA 16POE 4K H.265 0TB</t>
  </si>
  <si>
    <t>H4W2PER3V</t>
  </si>
  <si>
    <t>NETWORK WDR 2MP IR RUGGED MINI DOME CAMERA, 1 / 2.8" CMOS, 2.8MM,3 IR LEDS, POE, IP66,IK10, H.265
/ H.264 / SMART CODEC</t>
  </si>
  <si>
    <t>HBW2PER1V</t>
  </si>
  <si>
    <t>NETWORK WDR 2MP IR BULLET CAMERA, 1 / 2.8" CMOS, 3.6MM ,1 IR LEDS, POE, IP66, H.265 / H.264 / SMART CODEC</t>
  </si>
  <si>
    <t xml:space="preserve">HC35WB3R3 </t>
  </si>
  <si>
    <t>3MP IP WDR IR Fixed Bullet Camera</t>
  </si>
  <si>
    <t>HC35W43R3</t>
  </si>
  <si>
    <t>3MP WDR IR Rugged Mini Dome Camera, 120 dB, 2.8mm, PoE, 12VDC, IK10, White</t>
  </si>
  <si>
    <t>HC30WF5R1</t>
  </si>
  <si>
    <t>5MP Network Fisheye Camera, TDN, WDR, 1/2.7” CMOS, 1.16mm, 6 IR LEDs</t>
  </si>
  <si>
    <t>NVR</t>
  </si>
  <si>
    <t>HC35080200</t>
  </si>
  <si>
    <t>Honeywell NVR HC35080200 - 8x PoE - Max 8x IP Cameras</t>
  </si>
  <si>
    <t>2.0 MP IR Network Dome Camera. 1/2.8" progressive scan CMOS; 1920 × 1080@30fps; 2.8 mm/4 mm fixed lens; H.265+/H.265/H.264+/H.264</t>
  </si>
  <si>
    <t>HBW2PR1</t>
  </si>
  <si>
    <t>2MPx IP Bullet Camera 3.6mm Fixed</t>
  </si>
  <si>
    <t>HDZP304DI</t>
  </si>
  <si>
    <t xml:space="preserve"> 4MP Night Vision Outdoor PTZ IP Security Camera with 30x Optical Zoom ; Sensor Size : 1/3" Sensor ; Max. Storage Capacity : 128 GB Storage</t>
  </si>
  <si>
    <t>ORDER BASIS</t>
  </si>
  <si>
    <t>PURCHASE AMOUNT
Vat-Ex</t>
  </si>
  <si>
    <r>
      <rPr>
        <rFont val="Arial"/>
        <color theme="1"/>
        <sz val="8.0"/>
      </rPr>
      <t>Small Volume</t>
    </r>
    <r>
      <rPr>
        <rFont val="Arial"/>
        <color theme="1"/>
        <sz val="8.0"/>
      </rPr>
      <t xml:space="preserve">
(50% Mark-Up)</t>
    </r>
  </si>
  <si>
    <r>
      <rPr>
        <rFont val="Arial"/>
        <color theme="1"/>
        <sz val="8.0"/>
      </rPr>
      <t xml:space="preserve">Big Volume
</t>
    </r>
    <r>
      <rPr>
        <rFont val="Arial"/>
        <color theme="1"/>
        <sz val="8.0"/>
      </rPr>
      <t>(30% Mark-Up)</t>
    </r>
  </si>
  <si>
    <r>
      <rPr>
        <rFont val="Arial"/>
        <color theme="1"/>
        <sz val="8.0"/>
      </rPr>
      <t xml:space="preserve">Small Volume
</t>
    </r>
    <r>
      <rPr>
        <rFont val="Arial"/>
        <color theme="1"/>
        <sz val="8.0"/>
      </rPr>
      <t>(30% Mark-Up)</t>
    </r>
  </si>
  <si>
    <r>
      <rPr>
        <rFont val="Arial"/>
        <color theme="1"/>
        <sz val="8.0"/>
      </rPr>
      <t xml:space="preserve">Big Volume
</t>
    </r>
    <r>
      <rPr>
        <rFont val="Arial"/>
        <color theme="1"/>
        <sz val="8.0"/>
      </rPr>
      <t>(20% Mark-Up)</t>
    </r>
  </si>
  <si>
    <r>
      <rPr>
        <rFont val="Arial"/>
        <color theme="1"/>
        <sz val="8.0"/>
      </rPr>
      <t xml:space="preserve">Small Volume
</t>
    </r>
    <r>
      <rPr>
        <rFont val="Arial"/>
        <color theme="1"/>
        <sz val="8.0"/>
      </rPr>
      <t>(15% Mark-Up)</t>
    </r>
  </si>
  <si>
    <r>
      <rPr>
        <rFont val="Arial"/>
        <color theme="1"/>
        <sz val="8.0"/>
      </rPr>
      <t xml:space="preserve">Big Volume
</t>
    </r>
    <r>
      <rPr>
        <rFont val="Arial"/>
        <color theme="1"/>
        <sz val="8.0"/>
      </rPr>
      <t>(10% Mark-Up)</t>
    </r>
  </si>
  <si>
    <t>KIT</t>
  </si>
  <si>
    <t>DH-KIT1B04</t>
  </si>
  <si>
    <t>1 x DH-XVR1B04
2 x HAC-B1A21N
2 x HAC-T1A21N</t>
  </si>
  <si>
    <t>DH-KIT1B08</t>
  </si>
  <si>
    <t>1 x DH-XVR1B08 
4 x HAC-B1A21N
4 x HAC-T1A21N</t>
  </si>
  <si>
    <t>DH-KIT-CVI2MP2B2T-I</t>
  </si>
  <si>
    <t>1 x XVR1B04-I
2 x B1A21N-0360B
2 x -T1A21N-0360B</t>
  </si>
  <si>
    <t>DH-KIT-CVI2MP4B4T-I</t>
  </si>
  <si>
    <t>1 x XVR1B08-I
4 x B1A21N-0360B
4 x -T1A21N-0360B</t>
  </si>
  <si>
    <t>DH-HUM3201B</t>
  </si>
  <si>
    <t>2mp, 2.8mm lens, Pinhole  Camera</t>
  </si>
  <si>
    <t>Aluminum</t>
  </si>
  <si>
    <t>DH-HDBW2221F</t>
  </si>
  <si>
    <t>2mp, 3.6 mm lens, 30m, IP67 mini Dome Camera</t>
  </si>
  <si>
    <t>Metal</t>
  </si>
  <si>
    <t>Cooper</t>
  </si>
  <si>
    <t>DH-T1A21N</t>
  </si>
  <si>
    <t>2MP HDCVI IR Eyeball Camera</t>
  </si>
  <si>
    <t>2 MP ; 3.6mm Lens</t>
  </si>
  <si>
    <t>DH-T1A51N</t>
  </si>
  <si>
    <t>5MP HDCVI IR Eyeball Camera</t>
  </si>
  <si>
    <t>Bullet</t>
  </si>
  <si>
    <t>DH-B1A11N</t>
  </si>
  <si>
    <t>1MP HDCVI IR Bullet Camera</t>
  </si>
  <si>
    <t>1 MP3.6mm</t>
  </si>
  <si>
    <t>DH-B1A21N</t>
  </si>
  <si>
    <t>2MP HDCVI IR Bullet Camera</t>
  </si>
  <si>
    <t>2 MP3.6mm</t>
  </si>
  <si>
    <t>DH-B1A51N</t>
  </si>
  <si>
    <t>5MP HDCVI IR Bullet Camer</t>
  </si>
  <si>
    <t>5 mp 3.6mm</t>
  </si>
  <si>
    <t>IR Eyeball</t>
  </si>
  <si>
    <t>DH-HDW1200M</t>
  </si>
  <si>
    <t>2 MP2.8mm</t>
  </si>
  <si>
    <t>DH-HDW1400R</t>
  </si>
  <si>
    <t>4MP HDCVI IR Eyeball Camera</t>
  </si>
  <si>
    <t>4 MP2.8mm</t>
  </si>
  <si>
    <t>DH-HDW1400EM-A</t>
  </si>
  <si>
    <t>IR</t>
  </si>
  <si>
    <t>DH-HFW1200DN</t>
  </si>
  <si>
    <t>2 MP 3.6mm</t>
  </si>
  <si>
    <t>DH-HFW1400D</t>
  </si>
  <si>
    <t>4MP HDCVI IR Bullet Camera</t>
  </si>
  <si>
    <t>4 MP 3.6mm</t>
  </si>
  <si>
    <t>STARLIGHT</t>
  </si>
  <si>
    <t>DH-HDW1230SLN</t>
  </si>
  <si>
    <t>2MP Starlight HDCVI IR Eyeball Camera</t>
  </si>
  <si>
    <t>DH-HDBW1230RN-Z</t>
  </si>
  <si>
    <t>2MP Starlight HDCVI IR Dome Camera</t>
  </si>
  <si>
    <t>2 MP2.7-12mm Motorized VF</t>
  </si>
  <si>
    <t>DH-HDW1230TN-Z</t>
  </si>
  <si>
    <t>DH-HDW1230TN-ZA</t>
  </si>
  <si>
    <t>2 MP2.7-13.5mm Motorized</t>
  </si>
  <si>
    <t>DH-HFW2241T-ZA</t>
  </si>
  <si>
    <t>2MP Starlight HDCVI IR Bullet Camera</t>
  </si>
  <si>
    <t>DH-HFW1230T</t>
  </si>
  <si>
    <t>DH-HFW3231E-Z</t>
  </si>
  <si>
    <t>2 MP2.7-12mm Motorized</t>
  </si>
  <si>
    <t>Full-Color</t>
  </si>
  <si>
    <t>DH-HDW1239TLN-A-LED</t>
  </si>
  <si>
    <t>2M Full-color Starlight HDCVI Eyeball Camera</t>
  </si>
  <si>
    <t>DH-HFW1239TLMN-A-LED</t>
  </si>
  <si>
    <t>2M Full-color Starlight HDCVI Bullet Camera</t>
  </si>
  <si>
    <t>DH-HFW1239TLMN-LED</t>
  </si>
  <si>
    <t>DH-HDBW1100R-VF-S3</t>
  </si>
  <si>
    <t>1MP HDCVI IR Dome Camera</t>
  </si>
  <si>
    <t>1 MP2.7-12mm</t>
  </si>
  <si>
    <t>DH-HDBW1200EN</t>
  </si>
  <si>
    <t>2MP HDCVI IR Dome Camera</t>
  </si>
  <si>
    <t>DH-HDBW1200R-VF-S3</t>
  </si>
  <si>
    <t>2 MP 2.7-12mm vari-focal lens</t>
  </si>
  <si>
    <t>DH-HDBW3231E-Z</t>
  </si>
  <si>
    <t>DH-HDW1200R-VF-S3</t>
  </si>
  <si>
    <t>DH-HDW1220S-S3</t>
  </si>
  <si>
    <t>2MP Full HD Network IR Small Eyeball Camera</t>
  </si>
  <si>
    <t>DH-HDW1239TN-A-LED</t>
  </si>
  <si>
    <t>Full-color Starlight Eyeball Camera</t>
  </si>
  <si>
    <t>2 MP 2.8mm</t>
  </si>
  <si>
    <t>DH-HDW1239TN-LED</t>
  </si>
  <si>
    <t>DH-HFW1000R-S3</t>
  </si>
  <si>
    <t>DH-HFW1200R-VF-S3</t>
  </si>
  <si>
    <t>DH-HFW1200RN</t>
  </si>
  <si>
    <t>2Megapixel Bullet Camera</t>
  </si>
  <si>
    <t>DH-HFW1239TN-LED</t>
  </si>
  <si>
    <t>2M Full color Bullet camera</t>
  </si>
  <si>
    <t>DH-T1A11N</t>
  </si>
  <si>
    <t>1MP HDCVI IR Eyeball Camera</t>
  </si>
  <si>
    <t>1 MP2.8mm</t>
  </si>
  <si>
    <t>HDCVI</t>
  </si>
  <si>
    <t>DH-HFW1200CMN</t>
  </si>
  <si>
    <t>DH-HFW1200CMN-A</t>
  </si>
  <si>
    <t>DH-HDW1200TRQN</t>
  </si>
  <si>
    <t>DH-HFW1200CN-A</t>
  </si>
  <si>
    <t>2MP HDCVI IR Bullet Camera W/ Built in Mic</t>
  </si>
  <si>
    <t>DH-HDW1200TRQN-A</t>
  </si>
  <si>
    <t>2MP HDCVI IR Eyeball Camera w/ Built in mic</t>
  </si>
  <si>
    <t>Lite Series</t>
  </si>
  <si>
    <t>DH-HDW1200TQN-A</t>
  </si>
  <si>
    <t>FULL COLOR bullet</t>
  </si>
  <si>
    <t>DH-HFW1500CN</t>
  </si>
  <si>
    <t>5MP,3.6 mm fixed lens,30 m, Smart IR IP67, DC12V</t>
  </si>
  <si>
    <t>DH-HFW1500CMN</t>
  </si>
  <si>
    <t>5MP ,3.6mm  fixed lens, 30m, All Metal ,IP67</t>
  </si>
  <si>
    <t>DH-HFW1239MHN-LED</t>
  </si>
  <si>
    <t xml:space="preserve">2mp, 3.6mm lens, 40m IR distance, IP67 bullet camera
</t>
  </si>
  <si>
    <t>DH-HFW1239MHN-A-LED</t>
  </si>
  <si>
    <t xml:space="preserve">2mp, 3.6mm lens, 50m IR distance, built-in mic, IP67 bullet camera
</t>
  </si>
  <si>
    <t>DH-HFW1509TN-LED</t>
  </si>
  <si>
    <t>5mp, 2.8mm lens, 20m IR distance, IP67 bullet camera</t>
  </si>
  <si>
    <t>DH-HFW1509TN-A-LED</t>
  </si>
  <si>
    <t>5mp, 2.8mm lens, 20m IR distance, built-in mic, IP67 bullet camera</t>
  </si>
  <si>
    <t>DH-HFW1509TLMN-LED</t>
  </si>
  <si>
    <t>5mp, 2.8mm lens, 40m IR distance, IP67 bullet camera</t>
  </si>
  <si>
    <t>DH-HFW1509TLMN-A-LED</t>
  </si>
  <si>
    <t>5mp, 2.8mm lens, 40m IR distance, built-in mic, IP67 bullet camera</t>
  </si>
  <si>
    <t>Analog PTZ</t>
  </si>
  <si>
    <t>DH-SD59225I-HC</t>
  </si>
  <si>
    <t>25x Starlight IR PTZ HDCVI Camera</t>
  </si>
  <si>
    <t>2 MP4.8mm~120mm</t>
  </si>
  <si>
    <t>DH-HDW1239TLN-LED</t>
  </si>
  <si>
    <t>2MP Full-color HDCVI Eyeball Camera</t>
  </si>
  <si>
    <t>STARLIGHT FULL COLOR</t>
  </si>
  <si>
    <t>DH-HDW2249TN-A</t>
  </si>
  <si>
    <t>2MP Full-color Starlight HDCVI Eyeball Camera</t>
  </si>
  <si>
    <t>DH-HDW1500TMQN</t>
  </si>
  <si>
    <t>5MP HDCVI Eyebal lCamera</t>
  </si>
  <si>
    <t>5MP3.6mm</t>
  </si>
  <si>
    <t>FULL COLOR dome</t>
  </si>
  <si>
    <t>DH-HDW1239TLQN-LED</t>
  </si>
  <si>
    <t>2mp, 3.6mm lens, 20m IR distance, Full color, IP67 dome camera</t>
  </si>
  <si>
    <t>Metal +
  Plastic</t>
  </si>
  <si>
    <t>DH-HDW1239TLQN-A-LED</t>
  </si>
  <si>
    <t>2mp, 2.8mm lens, 20m IR distance, Full color, built-in mic, IP67 dome camera</t>
  </si>
  <si>
    <t>2mp, 3.6mm lens, 40m IR distance, Full color, Built-in Mic, IP67 dome camera</t>
  </si>
  <si>
    <t>DH-HDW1509TLQN-LED</t>
  </si>
  <si>
    <t>5mp, 2.8mm lens, 20m IR distance, Full color, IP67 dome camera</t>
  </si>
  <si>
    <t>DH-HDW1509TLQN-A-LED</t>
  </si>
  <si>
    <t>5mp, 2.8mm lens, 20m IR distance, Full color, Built in Mic, IP67 dome camera</t>
  </si>
  <si>
    <t>DH-HDW1509TN-LED</t>
  </si>
  <si>
    <t>5mp, 2.8mm lens, 40m IR distance, Full color, IP67 dome camera</t>
  </si>
  <si>
    <t>DH-HDW1509TN-A-LED</t>
  </si>
  <si>
    <t>5mp, 2.8mm lens, 40m IR distance, Full color, Built-in Mic, IP67 dome camera</t>
  </si>
  <si>
    <t>PRO series, 2mp, 3.6mm lens, Starlight Full color, built-in mic, IP67, eyeball camera</t>
  </si>
  <si>
    <t>EZ-IP</t>
  </si>
  <si>
    <t>DH-T1B20N</t>
  </si>
  <si>
    <t>2MP IR Turret Network Camera</t>
  </si>
  <si>
    <t>DH-IPC-HDW1431S-S2</t>
  </si>
  <si>
    <t>4 MP Network Dome Camera</t>
  </si>
  <si>
    <t>4 MP ; 2.8mm Lens</t>
  </si>
  <si>
    <t>DH-IPC-HDW4231EM-ASE</t>
  </si>
  <si>
    <t>2MP IR Eyeball Network Camera w/built in mic</t>
  </si>
  <si>
    <t>DH-IPC-HDBW4231E-ASE</t>
  </si>
  <si>
    <t>2MP IR Mini Dome Network Camera</t>
  </si>
  <si>
    <t>DH-IPC-HDBW4431E-ASE</t>
  </si>
  <si>
    <t>4MP IR mini Dome Network Camera</t>
  </si>
  <si>
    <t>4 MP ; 3.6mm Lens</t>
  </si>
  <si>
    <t>DH-IPC-HDBW1431E</t>
  </si>
  <si>
    <t>4MP IP Vandal Proof IR D/N Dome Camera</t>
  </si>
  <si>
    <t>DH-IPC-HDBW2230EN-S-S2</t>
  </si>
  <si>
    <t>2 MP ; 3.6mm/2.8mm Lens</t>
  </si>
  <si>
    <t>DH-HDBW2431E-S-S2</t>
  </si>
  <si>
    <t>4MP WDR IR Mini Dome Network Camera</t>
  </si>
  <si>
    <t>4 MP ; 2.8mm/3.6mm Lens</t>
  </si>
  <si>
    <t>DH-IPC-HDW2231T-ZS-S2</t>
  </si>
  <si>
    <t>2MP WDR IR Eyeball Network Camera</t>
  </si>
  <si>
    <t>2 MP ; 2.8mm Lens</t>
  </si>
  <si>
    <t>DH-IPC-HFW1230M-S-I2</t>
  </si>
  <si>
    <t>2MP Network IR Bullet Camera Suit</t>
  </si>
  <si>
    <t>DH-IPC-HFW4231E-SE</t>
  </si>
  <si>
    <t>2MP WDR IR Mini Bullet Network Camera</t>
  </si>
  <si>
    <t>DH-IPC-HFW4231E-S-S2</t>
  </si>
  <si>
    <t>DH-IPC-HFW1431S-S2</t>
  </si>
  <si>
    <t>4MP WDR IR Mini-Bullet Camera</t>
  </si>
  <si>
    <t>4MP ; 3.6mm Lens</t>
  </si>
  <si>
    <t>DH-IPC-HFW4231T-ASE</t>
  </si>
  <si>
    <t>DH-IPC-HFW2231T-ZS</t>
  </si>
  <si>
    <t>2MP WDR IR Bullet Network Camera</t>
  </si>
  <si>
    <t>2 MP ; 2.7 to 12mm Lens</t>
  </si>
  <si>
    <t>DH-IPC-HDPW1230R1-S4</t>
  </si>
  <si>
    <t>2MP Entry IR Fixed Focal Dome Netwok Camera</t>
  </si>
  <si>
    <t>2 MP ; 3.6 mm Lens</t>
  </si>
  <si>
    <t>DH-IPC-HDW4431EM-AS-S4</t>
  </si>
  <si>
    <t>4MP IR Eyeball Network Camera</t>
  </si>
  <si>
    <t>DH-IPC-HFW1230SN</t>
  </si>
  <si>
    <t>2MP IR Mini-Bullet Network Camera</t>
  </si>
  <si>
    <t>2MP ; 2.8mm Lens</t>
  </si>
  <si>
    <t>DH-IPC-HDW2230TN-AS-S2</t>
  </si>
  <si>
    <t>2MP IR Eyeball Network Camera</t>
  </si>
  <si>
    <t>2MP ; 3.6mm Lens</t>
  </si>
  <si>
    <t>DH-IPC-HFW1431SN-S4</t>
  </si>
  <si>
    <t>4MP Entry IR Fixed-focal Bullet Netwok Camera</t>
  </si>
  <si>
    <t>DH-HFW1230S1N-S5</t>
  </si>
  <si>
    <t>2MP Entry IR Fixed-Focal Bullet Netwok Camera</t>
  </si>
  <si>
    <t>WDR IR</t>
  </si>
  <si>
    <t>DH-IPC-HDBW4231E-AS-S2</t>
  </si>
  <si>
    <t>2MP IR Bullet Mini Dome Network Camera</t>
  </si>
  <si>
    <t>DH-IPC-HDBW1431EN-S4</t>
  </si>
  <si>
    <t>4MP WDR IR Mini-Dome Network Camera</t>
  </si>
  <si>
    <t>DH-IPC-HDBW2231R-ZS</t>
  </si>
  <si>
    <t>2MP WDR IR Dome Network Camera</t>
  </si>
  <si>
    <t>2 MP ; 2.7-13.5mm Motorized Lens</t>
  </si>
  <si>
    <t>DH-IPC-HDPW1431R1N-S4</t>
  </si>
  <si>
    <t>Entry 4mp 30m H.265 IP dome</t>
  </si>
  <si>
    <t>4 MP ; no datasheet available Lens</t>
  </si>
  <si>
    <t>DH-IPC-HFW2231SN-S-S2</t>
  </si>
  <si>
    <t>2 MP ; 2.8 mm Lens</t>
  </si>
  <si>
    <t>DH-IPC-HFW4231T-S-S4</t>
  </si>
  <si>
    <t>DH-IPC-HFW4431E-SE</t>
  </si>
  <si>
    <t>4MP WDR IR Mini Bullet Network Camera</t>
  </si>
  <si>
    <t>DH-IPC-HFW8231E-Z</t>
  </si>
  <si>
    <t>2 MP ; 2.7-12mm Motorized Lens Lens</t>
  </si>
  <si>
    <t>DH-IPC-HFW8331E-Z</t>
  </si>
  <si>
    <t>3MP WDR IR Bullet Network Camera</t>
  </si>
  <si>
    <t>3 MP ; 2.7-12mm Motorized Lens Lens</t>
  </si>
  <si>
    <t>DH-IPC-HFW4431TN-S-S4</t>
  </si>
  <si>
    <t>Fixed Focal</t>
  </si>
  <si>
    <t>DH-HFW1239S1N-LED-S5</t>
  </si>
  <si>
    <t>Full-color Fixed-focal Bullet Netwok Camera</t>
  </si>
  <si>
    <t>DH-HDW1239T1N-LED-S4</t>
  </si>
  <si>
    <t>Full-color Fixed-focal Eyeball Netwok Camera</t>
  </si>
  <si>
    <t>DH-HDW1239T1N-LED-S5</t>
  </si>
  <si>
    <t>2MP Lite Full-color Fixed-focal Eyeball Netwok Camera</t>
  </si>
  <si>
    <t>WizSense</t>
  </si>
  <si>
    <t>DH-HFW3441EN-AS</t>
  </si>
  <si>
    <t>4MP IR Fixed focal Bullet WizSense Network Camera</t>
  </si>
  <si>
    <t>4 MP ; 3.6 mm Lens</t>
  </si>
  <si>
    <t>Lite AI IR</t>
  </si>
  <si>
    <t>DH-HFW3241MN-AS-I2</t>
  </si>
  <si>
    <t>2MP Lite AI IR Fixed focal Bullet Network Camera</t>
  </si>
  <si>
    <t>2 MP ; Lens</t>
  </si>
  <si>
    <t>IR VARIFOCAL DOME</t>
  </si>
  <si>
    <t>DH-HDPW1431R1N-ZS-S4</t>
  </si>
  <si>
    <t>4MP Entry IR Vari-focal Dome Netwok Camera</t>
  </si>
  <si>
    <t>4MP ; Lens</t>
  </si>
  <si>
    <t>FIX FOCAL</t>
  </si>
  <si>
    <t>DH-HDW1230T1N-S5</t>
  </si>
  <si>
    <t>2MP Entry IR Fixed-Focal Eyeball Netwok Camera</t>
  </si>
  <si>
    <t>2MP ; Lens</t>
  </si>
  <si>
    <t>LITE FULL COLOR</t>
  </si>
  <si>
    <t>DH-HDW2439TN-AS-LED-S2</t>
  </si>
  <si>
    <t>4MP Lite Full-color Fixed-focal Eyeball Network Camera</t>
  </si>
  <si>
    <t>DH-HFW2239MN-AS-LED-B-S2</t>
  </si>
  <si>
    <t>2MP Lite Full-color Fixed-focal Bullet Network Camera</t>
  </si>
  <si>
    <t>ECO SAVY</t>
  </si>
  <si>
    <t>DH-HDW4431EMN-AS-S4</t>
  </si>
  <si>
    <t>DH-HFW2431SN-S-S2</t>
  </si>
  <si>
    <t>4MP WDR IR Bullet Network Camera</t>
  </si>
  <si>
    <t>4MP ; 2.8mm/3.6mm Lens</t>
  </si>
  <si>
    <t>DH-IPC-HFW2231TN-ZS-S2</t>
  </si>
  <si>
    <t>2MP Lite IR Fixed-focal Bullet Network Camera</t>
  </si>
  <si>
    <t>2MP ; 2.7 mm–12 mm Lens</t>
  </si>
  <si>
    <t>IR Fixed</t>
  </si>
  <si>
    <t>DH-IPC-HFW1431S-S4</t>
  </si>
  <si>
    <t>4MP Entry IR Fixed-focad bullet Netwok Camera</t>
  </si>
  <si>
    <t>4MP ; 2.8/3.6 mm Lens</t>
  </si>
  <si>
    <t>DH-IPC-HDW1431T1-S4</t>
  </si>
  <si>
    <t>4MP Entry IR Fixed-focal Eyeball Netwok Camera</t>
  </si>
  <si>
    <t>Fixed-Focal Eyeball</t>
  </si>
  <si>
    <t>DH-IPC-HDW1431S-S4</t>
  </si>
  <si>
    <t>DH-HFW2439MN-AS-LED-B-S2</t>
  </si>
  <si>
    <t>4MP Lite Full Color Fixed Focal Bullet Network Camera</t>
  </si>
  <si>
    <t>IR Bullet</t>
  </si>
  <si>
    <t>DH-IPC-HFW2230S-S-S2</t>
  </si>
  <si>
    <t>2MP IR Bullet Network Camera</t>
  </si>
  <si>
    <t>IR Mini Dome</t>
  </si>
  <si>
    <t>DH-HDBW2431EN-S-S2</t>
  </si>
  <si>
    <t>DH-IPC-HFW2431TN-ZS-S2</t>
  </si>
  <si>
    <t>4MP ; 2.7 - 13mm Lens</t>
  </si>
  <si>
    <t>IP PTZ</t>
  </si>
  <si>
    <t>Mini</t>
  </si>
  <si>
    <t>DH-SD22404T-GN</t>
  </si>
  <si>
    <t>Anti-Vandal PTZ IP Camera 4MP, 2.7-11mm (112.5-30°) lens, 4x Optical Zoom, WIFI ... Featuring powerful optical zoom and accurate pan/tilt/zoom</t>
  </si>
  <si>
    <t>4 MP ; 2.7-11mm Lens</t>
  </si>
  <si>
    <t>PTZ</t>
  </si>
  <si>
    <t>DH-SD6C230U-HNI</t>
  </si>
  <si>
    <t>2Megapixel STARVIS™ CMOS. Powerful 30x optical zoom. Starlight technology. H.265 Encoding. Max. 50/60fps@1080P. Auto-tracking and IVS.</t>
  </si>
  <si>
    <t>2 MP ; 4.5-135mm Lens</t>
  </si>
  <si>
    <t>DH-SD6AL230F-HNI</t>
  </si>
  <si>
    <t>2Megapixel CMOS Powerful 30x optical zoom Starlight technology Max. 25/30fps@1080P, 25/30/50/60fps@720P Auto tracking and IVS Support Hi-PoE IR.</t>
  </si>
  <si>
    <t>2 MP ; 6mm~180mm Lens</t>
  </si>
  <si>
    <t>DH-SD49225N-HC-LA</t>
  </si>
  <si>
    <t>2MP 25x Starlight IR PTZ HDCVI Camera</t>
  </si>
  <si>
    <t>2 MP ; - Lens</t>
  </si>
  <si>
    <t>DH-SD59225N-HC-LA</t>
  </si>
  <si>
    <t>2Megapixel STARVIS™ CMOS. Powerful 25x optical zoom. Starlight technology</t>
  </si>
  <si>
    <t>DH-SD59225UN-HNI</t>
  </si>
  <si>
    <t>2MP 25x Starlight IR PTZ Network Camera</t>
  </si>
  <si>
    <t>2 MP ; 4.8mm~120mm Lens</t>
  </si>
  <si>
    <t>PTZ Dome Camera</t>
  </si>
  <si>
    <t>DH-SD6A120I-HC</t>
  </si>
  <si>
    <t>1 megapixel 720P HDCVI IR PTZ dome camera</t>
  </si>
  <si>
    <t>1 MP ; 4.7mm~94mm Lens</t>
  </si>
  <si>
    <t>PTZ NETWORK CAMERA</t>
  </si>
  <si>
    <t>DH-SD6A230-HNI</t>
  </si>
  <si>
    <t>2 Megapixels. Scanning System. Progressive</t>
  </si>
  <si>
    <t>2 MP ; 4.3mm~129mm
  Lens</t>
  </si>
  <si>
    <t>wizsense</t>
  </si>
  <si>
    <t>DH-SD49225XAN-HNR</t>
  </si>
  <si>
    <t>2MP 25x Starlight IR WizSense Network PTZ. Camera</t>
  </si>
  <si>
    <t>2 MP ; 4.8 mm–120 mm Lens</t>
  </si>
  <si>
    <t>DH-SD22404T-GN-S2</t>
  </si>
  <si>
    <t>4Megapixel CMOS Powerful 4x optical zoom WDR, Day/Night(ICR)</t>
  </si>
  <si>
    <t>4 MP ; 2.7mm~11mm Lens</t>
  </si>
  <si>
    <t>DH-PFS3006-4ET-60</t>
  </si>
  <si>
    <t>6-Port Unmanaged Desktop Switch with 4 PoE Ports</t>
  </si>
  <si>
    <t>DH-PFS3010-8ET-65</t>
  </si>
  <si>
    <t>10-Port Fast Ethernet Switch with 8-Port PoE</t>
  </si>
  <si>
    <t>PFS3008-8GT</t>
  </si>
  <si>
    <t>8-Port Gigabit Switch (Unmanaged)</t>
  </si>
  <si>
    <t>PFS3009-8ET-96</t>
  </si>
  <si>
    <t>8-Port Fast Ethernet PoE Switch,Support PoE, PoE+, Hi-PoE</t>
  </si>
  <si>
    <t>PFS4210-8GT-150</t>
  </si>
  <si>
    <t>8-port PoE switch (All-giga),8x10/100/1000 Base-T¡¢2x1000 Base-X£»Each power ¡Ü30W,Total¡Ü150W</t>
  </si>
  <si>
    <t>PFS4218-16ET-190</t>
  </si>
  <si>
    <t>Layer 2 management 16 port PoE switch, PoE budget: 190W</t>
  </si>
  <si>
    <t>PFS4226-24ET-240</t>
  </si>
  <si>
    <t>Layer 2 management 24 port PoE switch, PoE budget: 240W</t>
  </si>
  <si>
    <t>PFS5924-24X</t>
  </si>
  <si>
    <t>24 Port L2+ Managed Switch</t>
  </si>
  <si>
    <t>DH-PFS3006-4ET-36</t>
  </si>
  <si>
    <t>4-port Fast Ethernet PoE Switch</t>
  </si>
  <si>
    <t>PFS3106-4ET-60</t>
  </si>
  <si>
    <t>4-Port PoE Switch (Unmanaged)</t>
  </si>
  <si>
    <t>DH-PFS4207-4GT-DP</t>
  </si>
  <si>
    <t>4-port Industrial Gigabit PoE Switch</t>
  </si>
  <si>
    <t>DH-PFS4210-8GT-DP</t>
  </si>
  <si>
    <t>10-port Industrial Gigabit PoE Switch</t>
  </si>
  <si>
    <t>DPFL2106-4ET-96</t>
  </si>
  <si>
    <t>4-Port ePoE Switch</t>
  </si>
  <si>
    <t>PFS3005-4ET-36</t>
  </si>
  <si>
    <t>XVR</t>
  </si>
  <si>
    <t>DH-XVR1A04</t>
  </si>
  <si>
    <t>4ch</t>
  </si>
  <si>
    <t>720p</t>
  </si>
  <si>
    <t>DH-XVR1B04-I</t>
  </si>
  <si>
    <t>4</t>
  </si>
  <si>
    <t>6 MP</t>
  </si>
  <si>
    <t>DH-XVR1B08-I</t>
  </si>
  <si>
    <t>4 series</t>
  </si>
  <si>
    <t>DH-XVR4104HS-X1</t>
  </si>
  <si>
    <t>DH-XVR4108HS-X1</t>
  </si>
  <si>
    <t>8ch</t>
  </si>
  <si>
    <t>DH-XVR4116HS-I</t>
  </si>
  <si>
    <t>16ch</t>
  </si>
  <si>
    <t>DH-XVR4216AN-X</t>
  </si>
  <si>
    <t>8MP</t>
  </si>
  <si>
    <t>5 Series</t>
  </si>
  <si>
    <t>DH-XVR5104HS-X</t>
  </si>
  <si>
    <t>DH-XVR5108HS-X</t>
  </si>
  <si>
    <t>DH-XVR5104HS-4KL-X</t>
  </si>
  <si>
    <t>1080p</t>
  </si>
  <si>
    <t>DH-XVR5216AN-I2</t>
  </si>
  <si>
    <t>DH-XVR5232AN-I2</t>
  </si>
  <si>
    <t>32ch</t>
  </si>
  <si>
    <t>DH-XVR5416L</t>
  </si>
  <si>
    <t>DH-XVR5432L-I2</t>
  </si>
  <si>
    <t>DH-XVR5832S-I2</t>
  </si>
  <si>
    <t>TRIBRID</t>
  </si>
  <si>
    <t>DHI-HCVR7104H-S3</t>
  </si>
  <si>
    <t>HCVR7408L</t>
  </si>
  <si>
    <t>HCVR7416L</t>
  </si>
  <si>
    <t>PENTABRID</t>
  </si>
  <si>
    <t>DH-XVR5108HS-I3</t>
  </si>
  <si>
    <t>DH-XVR5104HS-I3</t>
  </si>
  <si>
    <t>DH-XVR7108H</t>
  </si>
  <si>
    <t>DH-XVR5104H-I</t>
  </si>
  <si>
    <t>6MP</t>
  </si>
  <si>
    <t>DH-XVR1B16-I</t>
  </si>
  <si>
    <t>-</t>
  </si>
  <si>
    <t>DH-XVR5216AN-4KL-I2</t>
  </si>
  <si>
    <t>4k</t>
  </si>
  <si>
    <t>DH-XVR4104HS-I</t>
  </si>
  <si>
    <t>DH-XVR4108HS-I</t>
  </si>
  <si>
    <t>DH-XVR5116HS-I2</t>
  </si>
  <si>
    <t>DH-XVR5416L-I2</t>
  </si>
  <si>
    <t>2 Series</t>
  </si>
  <si>
    <t>NVR2104HS-4KS2</t>
  </si>
  <si>
    <t>NVR2108HS-4KS2</t>
  </si>
  <si>
    <t>NVR2116HS-4KS2</t>
  </si>
  <si>
    <t>DH-NVR608R-64-4KS2</t>
  </si>
  <si>
    <t>64ch</t>
  </si>
  <si>
    <t>4 Series</t>
  </si>
  <si>
    <t>NVR4208V-8P</t>
  </si>
  <si>
    <t>NVR4104HS-4KS2</t>
  </si>
  <si>
    <t>NVR4108HS-8P-4KS2</t>
  </si>
  <si>
    <t>NVR4108HS-4KS2</t>
  </si>
  <si>
    <t>NVR4116HS-4KS2</t>
  </si>
  <si>
    <t>NVR4208-4KS2</t>
  </si>
  <si>
    <t>NVR4216-4KS2</t>
  </si>
  <si>
    <t>NVR4232-4KS2</t>
  </si>
  <si>
    <t>NVR4208-8P-4KS2</t>
  </si>
  <si>
    <t>NVR4216-16P-4KS2</t>
  </si>
  <si>
    <t>NVR4232-16P-4KS2</t>
  </si>
  <si>
    <t>NVR4108H</t>
  </si>
  <si>
    <t>NVR5208-4KS2</t>
  </si>
  <si>
    <t>NVR5208-8P-4KS2</t>
  </si>
  <si>
    <t>NVR5216-16P-4KS2</t>
  </si>
  <si>
    <t>NVR5416-16P-4KS2E</t>
  </si>
  <si>
    <t>NVR0404MF-GF</t>
  </si>
  <si>
    <t>SMART 1U</t>
  </si>
  <si>
    <t>DH-NVR4108-4KS2/L</t>
  </si>
  <si>
    <t>DH-NVR4108HS-8P-4KS2/L</t>
  </si>
  <si>
    <t>DH-NVR4116HS-4KS2/L</t>
  </si>
  <si>
    <t>DH-NVR4216-4KS2/L</t>
  </si>
  <si>
    <t>DHI-NVR4216-I</t>
  </si>
  <si>
    <t>Wizmind</t>
  </si>
  <si>
    <t>NVR5832-I</t>
  </si>
  <si>
    <t>DHI-NVR5216-16P-I/L</t>
  </si>
  <si>
    <t>Pro Series</t>
  </si>
  <si>
    <t>NVR5216-16P-4KS2E</t>
  </si>
  <si>
    <t>NVR5864-4KS2</t>
  </si>
  <si>
    <t>NVR5832-4KS2</t>
  </si>
  <si>
    <t>32</t>
  </si>
  <si>
    <t>NVR4232-16P-4KS2/L</t>
  </si>
  <si>
    <t>NVR4216-16P-4KS2/L</t>
  </si>
  <si>
    <t>16</t>
  </si>
  <si>
    <t>NVR4208-8P-4KS2/L</t>
  </si>
  <si>
    <t>8</t>
  </si>
  <si>
    <t>DH-NVR4208-4KS2/L</t>
  </si>
  <si>
    <t>DHI-NVR4108HS-4KS2/L</t>
  </si>
  <si>
    <t>CCTV Accessories</t>
  </si>
  <si>
    <t>Fingerprint Access Control</t>
  </si>
  <si>
    <t>DASI-1212A</t>
  </si>
  <si>
    <t>Standalone Fingerprint: Fingerprint capacity 4500, 30,000 valid cards &amp; 150,000 records, 1 reader (card, password, fingerprint), TCP/IP</t>
  </si>
  <si>
    <t>Video Door</t>
  </si>
  <si>
    <t>D-VTH1560BW</t>
  </si>
  <si>
    <t>Video Door Phone Indoor Mornitor</t>
  </si>
  <si>
    <t>Wall Mount</t>
  </si>
  <si>
    <t>PFB300S</t>
  </si>
  <si>
    <t>Wall Mount Bracket for SD59/50/40 series</t>
  </si>
  <si>
    <t>PFB302S</t>
  </si>
  <si>
    <t>DAHUA Wall mount for SD42 Series</t>
  </si>
  <si>
    <t>Ceiling Adapter</t>
  </si>
  <si>
    <t>PFA103</t>
  </si>
  <si>
    <t>Juntion Box</t>
  </si>
  <si>
    <t>PFA120</t>
  </si>
  <si>
    <t>DAHUA Junction Box for SD40/50/59/60 series</t>
  </si>
  <si>
    <t>PFA138</t>
  </si>
  <si>
    <t>DAHUA Junction Box for HDBW3231E-Z</t>
  </si>
  <si>
    <t>PFA140</t>
  </si>
  <si>
    <t>DAHUA Power box for SD40/50/59/60 Series</t>
  </si>
  <si>
    <t>Decoder</t>
  </si>
  <si>
    <t>D-VDC0404D-M70</t>
  </si>
  <si>
    <t>4CH DVI output,</t>
  </si>
  <si>
    <t>D-VDC0404H-M70</t>
  </si>
  <si>
    <t>4CH HDMI Decoding Card</t>
  </si>
  <si>
    <t>D-VDC0404UD-M70</t>
  </si>
  <si>
    <t>4CH DVI output, Max 32CH 1080P.4K, H.265 Decoder</t>
  </si>
  <si>
    <t>D-VEC0404HV-M70</t>
  </si>
  <si>
    <t>4Ch VGA Encoding Card, 4ch@1080P, support resolution: 1080P/720P/UXGA/ SXGA+ /SXGA/XGA/SVGA/VGA</t>
  </si>
  <si>
    <t>D-VEC0804HC-M70</t>
  </si>
  <si>
    <t>8Ch HDCVI Encoding Card, H.264/MPEG4 Format</t>
  </si>
  <si>
    <t>Management Platform</t>
  </si>
  <si>
    <t>DHI-DSS4004</t>
  </si>
  <si>
    <t>Control Center Management Platform</t>
  </si>
  <si>
    <t>HDD network storage</t>
  </si>
  <si>
    <t>ESS2016X</t>
  </si>
  <si>
    <t>DAHUA 3U 16HDD 256 Mbps throughput, 4GB RAM, Support RAID0/1/5/6/10/50/60/JBOD, hot-swappable, RJ-45 Gibabit Ethernet ports x 5 (one for management)</t>
  </si>
  <si>
    <t>Key board</t>
  </si>
  <si>
    <t>NKB-5000-F</t>
  </si>
  <si>
    <t>HD Network Control Keyboard</t>
  </si>
  <si>
    <t>Wireless AP</t>
  </si>
  <si>
    <t>DH-PFM885-I</t>
  </si>
  <si>
    <t>DAHUA 2.4G Wireless AP for Elevator</t>
  </si>
  <si>
    <t>PoE Extender</t>
  </si>
  <si>
    <t>LR1002-1ET</t>
  </si>
  <si>
    <t>Single-Port EoC Extender,Port: 1*RJ45 10/100Mbps, 1*BNC. Supports RG59 coaxial cable: 400m/100Mbps, 1000m/10Mbps.</t>
  </si>
  <si>
    <t>OUTDOOR STATION</t>
  </si>
  <si>
    <t>D-VT02000A</t>
  </si>
  <si>
    <t>IP Outdoor Station 1.3MP, IP54,IK07</t>
  </si>
  <si>
    <t>VIDEO WALL</t>
  </si>
  <si>
    <t>DHI-LS460UCM-EF</t>
  </si>
  <si>
    <t>46’’ FHD Video Wall Display Unit (Ultra Narrow Bezel 3.5mm)</t>
  </si>
  <si>
    <t>LED TV</t>
  </si>
  <si>
    <t>DHI-LTV22-LN100</t>
  </si>
  <si>
    <t>22 inches LED TV</t>
  </si>
  <si>
    <t>DHI-LTV24-LN100</t>
  </si>
  <si>
    <t>24 inches LED TV</t>
  </si>
  <si>
    <t>HDMI SWITCH</t>
  </si>
  <si>
    <t>Embedded Case</t>
  </si>
  <si>
    <t>VTOB1O7</t>
  </si>
  <si>
    <t>Dahua Embedded Case</t>
  </si>
  <si>
    <t>Monitor</t>
  </si>
  <si>
    <t>DHI-LM32-F200</t>
  </si>
  <si>
    <t>DAHUA 32” FHD Monitor</t>
  </si>
  <si>
    <t>DHI-LM32-F700</t>
  </si>
  <si>
    <t>32'' FHD Monitor</t>
  </si>
  <si>
    <t>DHI-NRV5432-4KS3/L (US)</t>
  </si>
  <si>
    <t>16/32/64-channel IP video access</t>
  </si>
  <si>
    <t>DH-PFS4226-24ET-240 (US)</t>
  </si>
  <si>
    <t>DAHUA 24-port 100 Mbps + 2-port Gigabit Managed PoE Switc</t>
  </si>
  <si>
    <t>DH-IPC-HDPW1230R1N-S5</t>
  </si>
  <si>
    <t>DAHUA 24-port 100 Mbps + 2-port Gigabit Managed PoE Switch</t>
  </si>
  <si>
    <t>DH-SD49425DB-HNY</t>
  </si>
  <si>
    <t>Dahua SD49425DB-HNY-GQ-EAU 4MP 25x Starlight IR 4G Network PTZ Camera Dahua H.265</t>
  </si>
  <si>
    <t>Normal</t>
  </si>
  <si>
    <t>DH-HAC-HFW1200CMN-IL-A</t>
  </si>
  <si>
    <t>DH-HAC-HFW1200CMN-IL-A-0280B-S6</t>
  </si>
  <si>
    <t>1.Max. 30 fps@1080p
2.Smart Dual Light
3.20 m illumination distance
4.Metal
5.Super Adapt
6.3DNR
7.Built-in mic</t>
  </si>
  <si>
    <t>DH-HAC-HFW1200CMN-IL-A-0360B-S6</t>
  </si>
  <si>
    <t>DH-HAC-HDW1200TLMN-IL-A</t>
  </si>
  <si>
    <t>DH-HAC-HDW1200TLMN-IL-A-0280B-S6</t>
  </si>
  <si>
    <t>DH-HAC-HDW1200TLMN-IL-A-0360B-S6</t>
  </si>
  <si>
    <t>DH-HAC-HFW1500CMN-IL-A</t>
  </si>
  <si>
    <t>DH-HAC-HFW1500CMN-IL-A-0280B-S2</t>
  </si>
  <si>
    <t>1.Max 25 fps@5MP (16:9 video output)
2.Smart Dual Light；
3.20 m illumination distance.
4.Metal
5.Built-in mic
6.Super Adapt</t>
  </si>
  <si>
    <t>DH-HAC-HFW1500CMN-IL-A-0360B-S2</t>
  </si>
  <si>
    <t>DH-HAC-HDW1500TLMN-IL-A</t>
  </si>
  <si>
    <t>DH-HAC-HDW1500TLMN-IL-A-0280B-S2</t>
  </si>
  <si>
    <t>DH-HAC-HDW1500TLMN-IL-A-0360B-S2</t>
  </si>
  <si>
    <t>DH-HAC-HFW1509TLMN-A-LED</t>
  </si>
  <si>
    <t>DH-HAC-HFW1509TLMN-A-LED-0280B-S2</t>
  </si>
  <si>
    <t>· Max 25fps@5MP, 1/2.7" image sensor
· 24/7 Full-color image, Starlight
· 16:9 video output
· 120 dB true WDR，Super Adapt
· Smart warm white light 40m
· 2.8/3.6mm fixed lens
· Built-in mic
· CVI/TVI/AHD/CVBS switchable 
· DC12V, IP67</t>
  </si>
  <si>
    <t>DH-HAC-HFW1509TLMN-A-LED-0360B-S2</t>
  </si>
  <si>
    <t>DH-HAC-HFW1509TLMN-LED</t>
  </si>
  <si>
    <t>DH-HAC-HFW1509TLMN-LED-0280B-S2</t>
  </si>
  <si>
    <t>· Max 25fps@5MP, 1/2.7" image sensor
· 24/7 Full-color image, Starlight
· 16:9 video output
· 120 dB true WDR，Super Adapt
· Smart warm white light 40m
· 2.8/3.6mm fixed lens
· CVI/TVI/AHD/CVBS switchable 
· DC12V, IP67</t>
  </si>
  <si>
    <t>DH-HAC-HFW1509TLMN-LED-0360B-S2</t>
  </si>
  <si>
    <t>DH-HAC-HFW1509TN-A-LED</t>
  </si>
  <si>
    <t>DH-HAC-HFW1509TN-A-LED-0280B-S2</t>
  </si>
  <si>
    <t>· Max 25fps@5MP, 1/2.7" image sensor
· 24/7 Full-color image, Starlight
· 16:9 video output
· 120 dB true WDR，Super Adapt
· Smart warm white light 20m
· 2.8/3.6mm fixed lens
· Built-in mic
· All Metal Case
· CVI/TVI/AHD/CVBS switchable 
· DC12V, IP67</t>
  </si>
  <si>
    <t>DH-HAC-HFW1509TN-A-LED-0360B-S2</t>
  </si>
  <si>
    <t>DH-HAC-HFW1509TN-LED</t>
  </si>
  <si>
    <t>DH-HAC-HFW1509TN-LED-0280B-S2</t>
  </si>
  <si>
    <t>· Max 25fps@5MP, 1/2.7" image sensor
· 24/7 Full-color image, Starlight
· 16:9 video output
· 120 dB true WDR，Super Adapt
· Smart warm white light 20m
· 2.8/3.6mm fixed lens
· All Metal Case
· CVI/TVI/AHD/CVBS switchable 
· DC12V, IP67</t>
  </si>
  <si>
    <t>DH-HAC-HFW1509TN-LED-0360B-S2</t>
  </si>
  <si>
    <t>DH-HAC-HDW1509TN-A-LED</t>
  </si>
  <si>
    <t>DH-HAC-HDW1509TN-A-LED-0280B-S2</t>
  </si>
  <si>
    <t>· Max 25fps@5MP, 1/2.7" image sensor
· 24/7 Full-color image, Starlight
· 16:9 video output
· 120 dB true WDR，Super Adapt
· Smart warm white light 40m
· 2.8/3.6mm fixed lens
· Built-in mic
· All Metal Case
· CVI/TVI/AHD/CVBS switchable 
· DC12V, IP67</t>
  </si>
  <si>
    <t>DH-HAC-HDW1509TN-A-LED-0360B-S2</t>
  </si>
  <si>
    <t>DH-HAC-HDW1509TN-LED</t>
  </si>
  <si>
    <t>DH-HAC-HDW1509TN-LED-0280B-S2</t>
  </si>
  <si>
    <t>· Max 25fps@5MP, 1/2.7" image sensor
· 24/7 Full-color image, Starlight
· 16:9 video output
· 120 dB true WDR，Super Adapt
· Smart warm white light 40m
· 2.8/3.6mm fixed lens
· All Metal Case
· CVI/TVI/AHD/CVBS switchable 
· DC12V, IP67</t>
  </si>
  <si>
    <t>DH-HAC-HDW1509TN-LED-0360B-S2</t>
  </si>
  <si>
    <t>DH-HAC-HDW1509TLQN-A-LED</t>
  </si>
  <si>
    <t>DH-HAC-HDW1509TLQN-A-LED-0280B-S2</t>
  </si>
  <si>
    <t>· Max 25fps@5MP, 1/2.7" image sensor
· 24/7 Full-color image, Starlight
· 16:9 video output
· 120 dB true WDR，Super Adapt
· Smart warm white light 20m
· 2.8/3.6mm fixed lens
· Built-in mic
· Quick-to-install design
· CVI/TVI/AHD/CVBS switchable 
· DC12V, IP67</t>
  </si>
  <si>
    <t>DH-HAC-HDW1509TLQN-A-LED-0360B-S2</t>
  </si>
  <si>
    <t>DH-HAC-HDW1509TLQN-LED</t>
  </si>
  <si>
    <t>DH-HAC-HDW1509TLQN-LED-0280B-S2</t>
  </si>
  <si>
    <t>· Max 25fps@5MP, 1/2.7" image sensor
· 24/7 Full-color image, Starlight
· 16:9 video output
· 120 dB true WDR，Super Adapt
· Smart warm white light 20m
· 2.8/3.6mm fixed lens
· Quick-to-install design
· CVI/TVI/AHD/CVBS switchable 
· DC12V, IP67</t>
  </si>
  <si>
    <t>DH-HAC-HDW1509TLQN-LED-0360B-S2</t>
  </si>
  <si>
    <t>DH-HAC-HFW1239MHN-A-LED</t>
  </si>
  <si>
    <t>DH-HAC-HFW1239MHN-A-LED-0360B-S2</t>
  </si>
  <si>
    <t>· Max 30fps@2MP, 1/2.8" Image sensor
· 24/7 Full-color, Starlight
· 130 dB true WDR，Super Adapt
· Smart warm white light 50m
· CVI/CVBS/AHD/TVI Switchable
· Built-in mic
· 3.6/6mm fixed lens
· Big Housing Design
· DC12V, IP67</t>
  </si>
  <si>
    <t>DH-HAC-HFW1239MHN-A-LED-0600B-S2</t>
  </si>
  <si>
    <t>DH-HAC-HFW1239TLMN-A-LED</t>
  </si>
  <si>
    <t>DH-HAC-HFW1239TLMN-A-LED-0280B-S2</t>
  </si>
  <si>
    <t>· Max 30fps@2MP, 1/2.8" Image sensor
· 24/7 Full-color, Starlight
· 130 dB true WDR，Super Adapt
· Smart warm white light 40m
· 2.8/3.6mm fixed lens
· Built-in mic
· CVI/TVI/AHD/CVBS switchable 
· DC12V, IP67</t>
  </si>
  <si>
    <t>DH-HAC-HFW1239TLMN-A-LED-0360B-S2</t>
  </si>
  <si>
    <t>DH-HAC-HFW1239TLMN-LED</t>
  </si>
  <si>
    <t>DH-HAC-HFW1239TLMN-LED-0280B-S2</t>
  </si>
  <si>
    <t>· Max 30fps@2MP, 1/2.8" Image sensor
· 24/7 Full-color, Starlight
· 130 dB true WDR，Super Adapt
· 2.8/3.6mm fixed lens
· Smart warm white light 40m
· CVI/TVI/AHD/CVBS switchable 
· DC12V, IP67</t>
  </si>
  <si>
    <t>DH-HAC-HFW1239TLMN-LED-0360B-S2</t>
  </si>
  <si>
    <t>DH-HAC-HFW1239TN-A-LED</t>
  </si>
  <si>
    <t>DH-HAC-HFW1239TN-A-LED-0280B-S2</t>
  </si>
  <si>
    <t>· Max 30fps@2MP, 1/2.8" Image sensor
· 24/7 Full-color, Starlight
· 130 dB true WDR，Super Adapt
· 2.8/3.6mm fixed lens
· Smart warm white light 20m
· Built-in mic
· CVI/TVI/AHD/CVBS switchable 
· All metal
· DC12V, IP67</t>
  </si>
  <si>
    <t>DH-HAC-HFW1239TN-A-LED-0360B-S2</t>
  </si>
  <si>
    <t>DH-HAC-HFW1239TN-LED</t>
  </si>
  <si>
    <t>DH-HAC-HFW1239TN-LED-0280B-S2</t>
  </si>
  <si>
    <t>· Max 30fps@2MP, 1/2.8" Image sensor
· 24/7 Full-color, Starlight
· 130 dB true WDR，Super Adapt
· 2.8/3.6mm fixed lens
· Smart warm white light 20m
· CVI/TVI/AHD/CVBS switchable
· All metal
· DC12V, IP67</t>
  </si>
  <si>
    <t>DH-HAC-HFW1239TN-LED-0360B-S2</t>
  </si>
  <si>
    <t>DH-HAC-HFW1239CN-A-LED</t>
  </si>
  <si>
    <t>DH-HAC-HFW1239CN-A-LED-0280B-S2</t>
  </si>
  <si>
    <t>· Max 30fps@2MP, 1/2.8" Image sensor
· 24/7 Full-color, Starlight
· 130 dB true WDR，Super Adapt
· 2.8/3.6mm fixed lens
· Smart warm white light 20m
· Built-in mic
· CVI/TVI/AHD/CVBS switchable 
· Quick-install design
· DC12V, IP67</t>
  </si>
  <si>
    <t>DH-HAC-HFW1239CN-A-LED-0360B-S2</t>
  </si>
  <si>
    <t>DH-HAC-HFW1239CN-LED</t>
  </si>
  <si>
    <t>DH-HAC-HFW1239CN-LED-0280B-S2</t>
  </si>
  <si>
    <t>· Max 30fps@2MP, 1/2.8" Image sensor
· 24/7 Full-color, Starlight
· 130 dB true WDR，Super Adapt
· 2.8/3.6mm fixed lens
· Smart warm white light 20m
· CVI/TVI/AHD/CVBS switchable
· Quick-install design
· DC12V, IP67</t>
  </si>
  <si>
    <t>DH-HAC-HFW1239CN-LED-0360B-S2</t>
  </si>
  <si>
    <t>DH-HAC-HDW1239TN-A-LED</t>
  </si>
  <si>
    <t>DH-HAC-HDW1239TN-A-LED-0280B-S2</t>
  </si>
  <si>
    <t>· Max 30fps@2MP, 1/2.8" Image sensor
· 24/7 Full-color, Starlight
· 130 dB true WDR，Super Adapt
· 2.8/3.6mm fixed lens
· Smart warm white light 40m 
· Built-in mic
· CVI/TVI/AHD/CVBS switchable
· All metal
· DC12V, IP67</t>
  </si>
  <si>
    <t>DH-HAC-HDW1239TN-A-LED-0360B-S2</t>
  </si>
  <si>
    <t>DH-HAC-HDW1239TN-LED</t>
  </si>
  <si>
    <t>DH-HAC-HDW1239TN-LED-0280B-S2</t>
  </si>
  <si>
    <t>· Max 30fps@2MP, 1/2.8" Image sensor
· 2.8/3.6mm fixed lens
· 24/7 Full-color, Starlight
· 130 dB true WDR，Super Adapt
· Smart warm white light 40m
· CVI/TVI/AHD/CVBS switchable 
· All metal
· DC12V, IP67</t>
  </si>
  <si>
    <t>DH-HAC-HDW1239TN-LED-0360B-S2</t>
  </si>
  <si>
    <t>DH-HAC-HDW1239TLQN-A-LED</t>
  </si>
  <si>
    <t>DH-HAC-HDW1239TLQN-A-LED-0280B-S2</t>
  </si>
  <si>
    <t>· Max 30fps@2MP, 1/2.8" Image sensor
· 2.8/3.6mm fixed lens
· 24/7 Full-color, Starlight
· 130 dB true WDR，Super Adapt
· Smart warm white light 20m
· Built-in mic
· Quick-to-install Design
· CVI/TVI/AHD/CVBS switchable 
· DC12V, IP67</t>
  </si>
  <si>
    <t>DH-HAC-HDW1239TLQN-A-LED-0360B-S2</t>
  </si>
  <si>
    <t>DH-HAC-HDW1239TLQN-LED</t>
  </si>
  <si>
    <t>DH-HAC-HDW1239TLQN-LED-0280B-S2</t>
  </si>
  <si>
    <t>· Max 30fps@2MP, 1/2.8" Image sensor
· 2.8/3.6mm fixed lens
· 24/7 Full-color, Starlight
· 130 dB true WDR，Super Adapt
· Smart warm white light 20m
· Quick-to-install Design
· CVI/TVI/AHD/CVBS switchable 
· DC12V, IP67</t>
  </si>
  <si>
    <t>DH-HAC-HDW1239TLQN-LED-0360B-S2</t>
  </si>
  <si>
    <t>DH-HAC-HFW1239TUN-Z-A-LED</t>
  </si>
  <si>
    <t>DH-HAC-HFW1239TUN-Z-A-LED-27135-S2</t>
  </si>
  <si>
    <t>· Max 30fps@2MP, 1/2.8" Image sensor
· 2.7 mm–13.5 mm motorized lens
· 24/7 Full-color, Starlight
· 130 dB true WDR，Super Adapt
· Smart warm white light 60m
· Built-in mic
· All Metal
· CVI/TVI/AHD/CVBS switchable 
· DC12V, IP67</t>
  </si>
  <si>
    <t>Cooper Series</t>
  </si>
  <si>
    <t>DH-HAC-B1A51N</t>
  </si>
  <si>
    <t>DH-HAC-B1A51N-0280B-S2</t>
  </si>
  <si>
    <t>· Max 25fps@5MP, 1/2.7" image sensor
· 16:9 video output
· CVI/CVBS/AHD/TVI switchable
· 2.8/3.6mm fixed lens
· Max. IR length 20 m, Smart IR
· IP67, DC12V</t>
  </si>
  <si>
    <t>DH-HAC-B1A51N-0360B-S2</t>
  </si>
  <si>
    <t>DH-HAC-B2A51N</t>
  </si>
  <si>
    <t>DH-HAC-B2A51N-0280B-S2</t>
  </si>
  <si>
    <t>· Max 25fps@5MP, 1/2.7" image sensor
· 16:9 video output
· CVI/CVBS/AHD/TVI switchable
· 2.8/3.6mm fixed lens
· Max. IR length 20 m, Smart IR
· All Metal Case
· IP67, DC12V</t>
  </si>
  <si>
    <t>DH-HAC-B2A51N-0360B-S2</t>
  </si>
  <si>
    <t>DH-HAC-T1A51N</t>
  </si>
  <si>
    <t>DH-HAC-T1A51N-0280B-S2</t>
  </si>
  <si>
    <t>· Max 25fps@5MP, 1/2.7" image sensor
· 16:9 video output
· CVI/CVBS/AHD/TVI switchable
· 2.8/3.6mm fixed lens
· Max. IR length 20 m, Smart IR
· DC12V</t>
  </si>
  <si>
    <t>DH-HAC-T1A51N-0360B-S2</t>
  </si>
  <si>
    <t>DH-HAC-T2A51N</t>
  </si>
  <si>
    <t>DH-HAC-T2A51N-0280B-S2</t>
  </si>
  <si>
    <t>DH-HAC-T2A51N-0360B-S2</t>
  </si>
  <si>
    <t>DH-HAC-B1A21N</t>
  </si>
  <si>
    <t>DH-HAC-B1A21N-0280B</t>
  </si>
  <si>
    <t>· Max. 30fps@1080P, 1/2.7" image sensor
· 2.8/3.6/6.0mm fixed lens
· Max. IR length 20m, Smart IR
· CVI/CVBS/AHD/TVI switchable
· IP67, DC12V</t>
  </si>
  <si>
    <t>DH-HAC-B1A21N-0360B</t>
  </si>
  <si>
    <t>DH-HAC-B2A21N</t>
  </si>
  <si>
    <t>DH-HAC-B2A21N-0280B</t>
  </si>
  <si>
    <t>· Max. 30fps@1080P, 1/2.7" image sensor
· 2.8/ 3.6/ 6mm fixed lens
· Max. IR length 20m, Smart IR
· CVI/CVBS/AHD/TVI switchable
· All Metal Case
· IP67, DC12V</t>
  </si>
  <si>
    <t>DH-HAC-B2A21N-0360B</t>
  </si>
  <si>
    <t>DH-HAC-T1A21N</t>
  </si>
  <si>
    <t>DH-HAC-T1A21N-0280B</t>
  </si>
  <si>
    <t>DH-HAC-T1A21N-0360B</t>
  </si>
  <si>
    <t>DH-HAC-T2A21N</t>
  </si>
  <si>
    <t>DH-HAC-T2A21N-0280B</t>
  </si>
  <si>
    <t>DH-HAC-T2A21N-0360B</t>
  </si>
  <si>
    <t>DH-HAC-B1A11N</t>
  </si>
  <si>
    <t>DH-HAC-B1A11N-0280B</t>
  </si>
  <si>
    <t>· Max. 30fps@720P, 1/2.7" image sensor
· CVI/CVBS/AHD/TVI switchable
· 2.8 /3.6mm fixed lens
· Max. IR length 20m, Smart IR
· IP67, DC12V</t>
  </si>
  <si>
    <t>DH-HAC-B1A11N-0360B</t>
  </si>
  <si>
    <t>DH-HAC-T1A11N</t>
  </si>
  <si>
    <t>DH-HAC-T1A11N-0280B</t>
  </si>
  <si>
    <t>DH-HAC-T1A11N-0360B</t>
  </si>
  <si>
    <t>DH-HAC-HFW1200DN-0360B-S6</t>
  </si>
  <si>
    <t>· Max 30fps@2MP, 1/2.7" Image sensor
· CVI/CVBS/AHD/TVI switchable
· 3.6/6.0/8.0mm fixed lens
· Smart IR 80m
· All Metal
· Big HOUSING
· IP67, DC12V</t>
  </si>
  <si>
    <t>DH-HAC-HFW1200THN-I8-A-0360B-S6</t>
  </si>
  <si>
    <t>· Max 30fps@2MP, 1/2.7" Image sensor
· CVI/CVBS/AHD/TVI switchable
· 3.6/6.0/8.0mm fixed lens
· Smart IR 80m
· Big HOUSING
· IP67, DC12V</t>
  </si>
  <si>
    <t>DH-HAC-HFW1200CMN-A-0280B-S6</t>
  </si>
  <si>
    <t>· Max 30fps@2MP, 1/2.7" Image sensor
· CVI/CVBS/AHD/TVI switchable
· 2.8/3.6mm fixed lens
· Built-in mic
· Smart IR 30m
· All Metal
· IP67, DC12V</t>
  </si>
  <si>
    <t>DH-HAC-HFW1200CMN-A-0360B-S6</t>
  </si>
  <si>
    <t>DH-HAC-HFW1200CMN-0280B-S6</t>
  </si>
  <si>
    <t>· Max 30fps@2MP, 1/2.7" Image sensor
· CVI/CVBS/AHD/TVI switchable
· 2.8/3.6mm fixed lens
· Smart IR 30m
· All Metal
· IP67, DC12V</t>
  </si>
  <si>
    <t>DH-HAC-HFW1200CMN-0360B-S6</t>
  </si>
  <si>
    <t>DH-HAC-HFW1200CN-A-0280B-S6</t>
  </si>
  <si>
    <t>· Max 30fps@2MP, 1/2.7" Image sensor
· CVI/CVBS/AHD/TVI switchable
· 2.8/3.6mm fixed lens
· Built-in mic
· Smart IR 30m
· Quick Install Design
· IP67, DC12V</t>
  </si>
  <si>
    <t>DH-HAC-HFW1200CN-A-0360B-S6</t>
  </si>
  <si>
    <t>DH-HAC-HFW1200CN-0280B-S6</t>
  </si>
  <si>
    <t>· Max 30fps@2MP, 1/2.7" Image sensor
· CVI/CVBS/AHD/TVI switchable
· 2.8/3.6mm fixed lens
· Smart IR 30m
· Quick Install Design
· IP67, DC12V</t>
  </si>
  <si>
    <t>DH-HAC-HFW1200CN-0360B-S6</t>
  </si>
  <si>
    <t>DH-HAC-HDBW1200EAN-0280B-S6</t>
  </si>
  <si>
    <t>· Max 30fps@2MP, 1/2.7" Image sensor
· CVI/CVBS/AHD/TVI switchable
· 2.8/3.6mm fixed lens
· Smart IR 30m
· IP67, DC12V</t>
  </si>
  <si>
    <t>DH-HAC-HDBW1200EAN-0360B-S6</t>
  </si>
  <si>
    <t>DH-HAC-HDW1200TMQN-A-0280B-S6</t>
  </si>
  <si>
    <t>· Max 30fps@2MP, 1/2.7" Image sensor
· CVI/CVBS/AHD/TVI switchable
· 2.8/3.6mm fixed lens
· Quick Install Design
· Built-in mic
· Smart IR 60m
· IP67, DC12V</t>
  </si>
  <si>
    <t>DH-HAC-HDW1200TMQN-A-0360B-S6</t>
  </si>
  <si>
    <t>DH-HAC-HDW1200TMQN-0280B-S6</t>
  </si>
  <si>
    <t>· Max 30fps@2MP, 1/2.7" Image sensor
· CVI/CVBS/AHD/TVI switchable
· 2.8/3.6mm fixed lens
· Quick Install Design
· Smart IR 60m
· IP67, DC12V</t>
  </si>
  <si>
    <t>DH-HAC-HDW1200TMQN-0360B-S6</t>
  </si>
  <si>
    <t>DH-HAC-HDW1200TQN-A-0280B-S6</t>
  </si>
  <si>
    <t>· Max 30fps@2MP, 1/2.7" Image sensor
· CVI/CVBS/AHD/TVI switchable
· 2.8/3.6mm fixed lens
· Quick Install Design
· Built-in mic
· Smart IR 40m
· IP67, DC12V</t>
  </si>
  <si>
    <t>DH-HAC-HDW1200TQN-A-0360B-S6</t>
  </si>
  <si>
    <t>DH-HAC-HDW1200TQN-0280B-S5</t>
  </si>
  <si>
    <t>· Max 30fps@2MP, 1/2.7" Image sensor
· CVI/CVBS/AHD/TVI switchable
· 2.8/3.6mm fixed lens
· Quick Install Design
· Smart IR 40m
· IP67, DC12V</t>
  </si>
  <si>
    <t>DH-HAC-HDW1200TQN-0360B-S5</t>
  </si>
  <si>
    <t>DH-HAC-HDW1200TLMQN-A-0280B-S6</t>
  </si>
  <si>
    <t>· Max 30fps@2MP, 1/2.7" Image sensor
· CVI/CVBS/AHD/TVI switchable
· 2.8/3.6mm fixed lens
· Quick Install Design
· Built-in mic
· Smart IR 30m
· IP67, DC12V</t>
  </si>
  <si>
    <t>DH-HAC-HDW1200TLMQN-A-0360B-S6</t>
  </si>
  <si>
    <t>DH-HAC-HDW1200TLMQN-0280B-S5</t>
  </si>
  <si>
    <t>· Max 30fps@2MP, 1/2.7" Image sensor
· CVI/CVBS/AHD/TVI switchable
· 2.8/3.6mm fixed lens
· Quick Install Design
· Smart IR 30m
· IP67, DC12V</t>
  </si>
  <si>
    <t>DH-HAC-HDW1200TLMQN-0360B-S5</t>
  </si>
  <si>
    <t>DH-HAC-HDW1200TRQN-A-0280B-S6</t>
  </si>
  <si>
    <t>· Max 30fps@2MP, 1/2.7" Image sensor
· CVI/CVBS/AHD/TVI switchable
· 2.8/3.6mm fixed lens
· Built-in mic
· Smart IR 25m
· Quick Install Design
· IP67, DC12V</t>
  </si>
  <si>
    <t>DH-HAC-HDW1200TRQN-A-0360B-S6</t>
  </si>
  <si>
    <t>DH-HAC-HDW1200TRQN-0280B-S6</t>
  </si>
  <si>
    <t>· Max 30fps@2MP, 1/2.7" Image sensor
· CVI/CVBS/AHD/TVI switchable
· 2.8/3.6mm fixed lens
· Quick Install Design
· Smart IR 25m
· IP67, DC12V</t>
  </si>
  <si>
    <t>DH-HAC-HDW1200TRQN-0360B-S6</t>
  </si>
  <si>
    <t>DH-HAC-HFW1200RN-Z-A-2712-S6</t>
  </si>
  <si>
    <t>· Max 30fps@2MP, 1/2.7" Image sensor
· CVI/CVBS/AHD/TVI switchable
· 2.7~12mm Motorized lens
· Built-in mic
· Max. IR length 60m, Smart IR
· All Metal 
· IP67, DC12V</t>
  </si>
  <si>
    <t>DH-HAC-HFW1200RN-Z-2712-S6</t>
  </si>
  <si>
    <t>· Max 30fps@2MP, 1/2.7" Image sensor
· CVI/CVBS/AHD/TVI switchable
· 2.7~12mm Motorized lens
· Max. IR length 60m, Smart IR
· All Metal 
· IP67, DC12V</t>
  </si>
  <si>
    <t>DH-HAC-HDW1200TN-Z-A-2712-S6</t>
  </si>
  <si>
    <t>· Max 30fps@2MP, 1/2.7" Image sensor
· CVI/CVBS/AHD/TVI switchable
· 2.7~12mm Motorized lens
· Built-in mic
· Smart IR 60m
· All metal case
· IP67, DC12V</t>
  </si>
  <si>
    <t>DH-HAC-HFW1500DN-0360B-S2</t>
  </si>
  <si>
    <t>· Max 25fps@5MP, 1/2.7" Image sensor
· 16:9 video output, Starlight
· CVI/CVBS/AHD/TVI switchable
· 3.6/6.0/8.0mm fixed lens
· Smart IR 80m
· All Metal
· Big HOUSING
· IP67, DC12V</t>
  </si>
  <si>
    <t>DH-HAC-HFW1500TLN-A-0280B-S2</t>
  </si>
  <si>
    <t>· Max 25fps@5MP, 1/2.7" Image sensor
· 16:9 video output, Starlight
· CVI/CVBS/AHD/TVI switchable
· 2.8/3.6/6.0/8.0mm fixed lens
· Built-in mic
· Smart IR 80m
· Quick Install Design
· IP67, DC12V</t>
  </si>
  <si>
    <t>DH-HAC-HFW1500TLN-A-0360B-S2</t>
  </si>
  <si>
    <t>DH-HAC-HFW1500TLN-A-0600B-S2</t>
  </si>
  <si>
    <t>DH-HAC-HFW1500TLN-A-0800B-S2</t>
  </si>
  <si>
    <t>DH-HAC-HFW1500CMN-A-0280B-S2</t>
  </si>
  <si>
    <t>· Max 25fps@5MP, 1/2.7" Image sensor
· 16:9 video output, Starlight
· CVI/CVBS/AHD/TVI switchable
· 2.8/3.6mm fixed lens
· Built-in mic
· Smart IR 30m
· All Metal
· IP67, DC12V</t>
  </si>
  <si>
    <t>DH-HAC-HFW1500CMN-A-0360B-S2</t>
  </si>
  <si>
    <t>DH-HAC-HFW1500CMN-0280B-S2</t>
  </si>
  <si>
    <t>· Max 25fps@5MP, 1/2.7" Image sensor
· 16:9 video output, Starlight
· CVI/CVBS/AHD/TVI switchable
· 2.8/3.6mm fixed lens
· Smart IR 30m
· All Metal
· IP67, DC12V</t>
  </si>
  <si>
    <t>DH-HAC-HFW1500CMN-0360B-S2</t>
  </si>
  <si>
    <t>DH-HAC-HFW1500CN-A-0280B-S2</t>
  </si>
  <si>
    <t>· Max 25fps@5MP, 1/2.7" Image sensor
· 16:9 video output, Starlight
· CVI/CVBS/AHD/TVI switchable
· 2.8/3.6mm fixed lens
· Built-in mic
· Smart IR 30m
· Quick Install Design
· IP67, DC12V</t>
  </si>
  <si>
    <t>DH-HAC-HFW1500CN-A-0360B-S2</t>
  </si>
  <si>
    <t>DH-HAC-HFW1500CN-0280B-S2</t>
  </si>
  <si>
    <t>· Max 25fps@5MP, 1/2.7" Image sensor
· 16:9 video output, Starlight
· CVI/CVBS/AHD/TVI switchable
· 2.8/3.6mm fixed lens
· Smart IR 30m
· Quick Install Design
· IP67, DC12V</t>
  </si>
  <si>
    <t>DH-HAC-HFW1500CN-0360B-S2</t>
  </si>
  <si>
    <t>DH-HAC-HDW1500TLMQN-A-0280B-S2</t>
  </si>
  <si>
    <t>· Max 25fps@5MP, 1/2.7" Image sensor
· 16:9 video output, Starlight
· CVI/CVBS/AHD/TVI switchable
· 2.8/3.6mm fixed lens
· Built-in mic
· Smart IR 30m
· Metal Dome &amp; Cover
· Quick Install Design
· IP67, DC12V</t>
  </si>
  <si>
    <t>DH-HAC-HDW1500TLMQN-A-0360B-S2</t>
  </si>
  <si>
    <t>DH-HAC-HDW1500TLMQN-0280B-S2</t>
  </si>
  <si>
    <t>· Max 25fps@5MP, 1/2.7" Image sensor
· 16:9 video output, Starlight
· CVI/CVBS/AHD/TVI switchable
· 2.8/3.6mm fixed lens
· Smart IR 30m
· Metal Dome &amp; Cover
· Quick Install Design
· IP67, DC12V</t>
  </si>
  <si>
    <t>DH-HAC-HDW1500TLMQN-0360B-S2</t>
  </si>
  <si>
    <t>DH-HAC-HDW1500TRQN-A-0280B-S2</t>
  </si>
  <si>
    <t>· Max 25fps@5MP, 1/2.7" Image sensor
· 16:9 video output, Starlight
· CVI/CVBS/AHD/TVI switchable
· 2.8/3.6mm fixed lens
· Built-in mic
· Smart IR 25m
· Quick Install Design
· IP67, DC12V</t>
  </si>
  <si>
    <t>DH-HAC-HDW1500TRQN-A-0360B-S2</t>
  </si>
  <si>
    <t>DH-HAC-HDW1500TRQN-0280B-S2</t>
  </si>
  <si>
    <t>· Max 25fps@5MP, 1/2.7" Image sensor
· 16:9 video output, Starlight
· CVI/CVBS/AHD/TVI switchable
· 2.8/3.6mm fixed lens
· Smart IR 25m
· Quick Install Design
· IP67, DC12V</t>
  </si>
  <si>
    <t>DH-HAC-HDW1500TRQN-0360B-S2</t>
  </si>
  <si>
    <t>DH-HAC-HFW1500RN-Z-IRE6-A-2712-S2</t>
  </si>
  <si>
    <t>· Max 25fps@5MP, 1/2.7" Image sensor
· 16:9 video output, Starlight
· CVI/CVBS/AHD/TVI switchable
· 2.7~12mm Motorized lens
· Built-in mic
· Max. IR length 60m, Smart IR
· All Metal case
· IP67, DC12V</t>
  </si>
  <si>
    <t>DH-HAC-HFW1800THN-I4-0280B</t>
  </si>
  <si>
    <t>· Max 30fps@8MP, 1/2.7" Image sensor
· CVI/CVBS/AHD/TVI switchable
· 2.8/ 3.6/6.0mm fixed lens
· Max. IR length 40m, Smart IR
· IP67, DC12V</t>
  </si>
  <si>
    <t>DH-HAC-HFW1800THN-I4-0360B</t>
  </si>
  <si>
    <t>DH-HAC-HFW1800THN-I4-0600B</t>
  </si>
  <si>
    <t>DH-HAC-HFW1800THN-I8-0360B</t>
  </si>
  <si>
    <t>· Max 30fps@8MP, 1/2.7" Image sensor
· CVI/CVBS/AHD/TVI switchable
· 3.6/6.0mm fixed lens
· Max. IR length 80m, Smart IR
· IP67, DC12V</t>
  </si>
  <si>
    <t>DH-HAC-HFW1800THN-I8-0600B</t>
  </si>
  <si>
    <t>DH-HAC-HFW1800TLN-A-0280B</t>
  </si>
  <si>
    <t>· Max 30fps@8MP, 1/2.7" Image sensor
· CVI/CVBS/AHD/TVI switchable
· Built-in mic
· 2.8/ 3.6/6.0mm fixed lens
· Max. IR length 80m, Smart IR
· IP67, DC12V</t>
  </si>
  <si>
    <t>DH-HAC-HFW1800TLN-A-0360B</t>
  </si>
  <si>
    <t>DH-HAC-HFW1800TLN-A-0600B</t>
  </si>
  <si>
    <t>DH-HAC-HFW1800TLN-0280B</t>
  </si>
  <si>
    <t>· Max 30fps@8MP, 1/2.7" Image sensor
· CVI/CVBS/AHD/TVI switchable
· 2.8/ 3.6/6.0mm fixed lens
· Max. IR length 80m, Smart IR
· IP67, DC12V</t>
  </si>
  <si>
    <t>DH-HAC-HFW1800TLN-0360B</t>
  </si>
  <si>
    <t>DH-HAC-HFW1800TLN-0600B</t>
  </si>
  <si>
    <t>DH-HAC-HFW1800TN-A-0280B</t>
  </si>
  <si>
    <t>· Max 30fps@8MP, 1/2.7" Image sensor
· CVI/CVBS/AHD/TVI switchable
· Built-in mic
· 2.8/ 3.6/6.0mm fixed lens
· Max. IR length 30m, Smart IR
· All metal case
· IP67, DC12V</t>
  </si>
  <si>
    <t>DH-HAC-HFW1800TN-A-0360B</t>
  </si>
  <si>
    <t>DH-HAC-HFW1800TN-A-0600B</t>
  </si>
  <si>
    <t>DH-HAC-HFW1800TN-0280B</t>
  </si>
  <si>
    <t>· Max 30fps@8MP, 1/2.7" Image sensor
· CVI/CVBS/AHD/TVI switchable
· 2.8/ 3.6/6.0mm fixed lens
· Max. IR length 30m, Smart IR
· All metal case
· IP67, DC12V</t>
  </si>
  <si>
    <t>DH-HAC-HFW1800TN-0360B</t>
  </si>
  <si>
    <t>DH-HAC-HFW1800TN-0600B</t>
  </si>
  <si>
    <t>DH-HAC-HDW1800MN-0280B</t>
  </si>
  <si>
    <t>DH-HAC-HDW1800MN-0360B</t>
  </si>
  <si>
    <t>DH-HAC-HDW1800MN-0600B</t>
  </si>
  <si>
    <t>DH-HAC-HDW1800TLN-A-0280B</t>
  </si>
  <si>
    <t>· Max 30fps@8MP, 1/2.7" Image sensor
· CVI/CVBS/AHD/TVI switchable
· Built-in mic
· 2.8/ 3.6mm fixed lens
· Max. IR length 30m, Smart IR
· IP67, DC12V</t>
  </si>
  <si>
    <t>DH-HAC-HDW1800TLN-A-0360B</t>
  </si>
  <si>
    <t>DH-HAC-HDW1800TLN-0280B</t>
  </si>
  <si>
    <t>· Max 30fps@8MP, 1/2.7" Image sensor
· CVI/CVBS/AHD/TVI switchable
· 2.8/ 3.6mm fixed lens
· Max. IR length 30m, Smart IR
· IP67, DC12V</t>
  </si>
  <si>
    <t>DH-HAC-HDW1800TLN-0360B</t>
  </si>
  <si>
    <t>TIOC Series</t>
  </si>
  <si>
    <t>DH-HAC-ME1509TQN-A-PV</t>
  </si>
  <si>
    <t>DH-HAC-ME1509TQN-A-PV-0280B-S2</t>
  </si>
  <si>
    <t>&gt; Max 25 fps@5 MP (16:9 video output).
&gt; 120 dB true WDR, 3D NR.
&gt; Smart Dual Illuminators.
&gt; Protection Against Red-Blue Light Interference.
&gt; Active deterrence with red blue light, siren and alarm out interface.
&gt; 40 m illumination distance.
&gt; Super Adapt.
&gt; Built-in MIC.
&gt; 3.6 mm fixed lens (2.8 mm optional).
&gt; CVI/CVBS/AHD/TVI switchable.
&gt; IP67, 12 VDC.
&gt; Quick-to-install eyeball saves installation time.</t>
  </si>
  <si>
    <t>DH-HAC-ME1509TQN-A-PV-0360B-S2</t>
  </si>
  <si>
    <t>DH-HAC-ME1509HN-A-PV</t>
  </si>
  <si>
    <t>DH-HAC-ME1509HN-A-PV-0280B-S2</t>
  </si>
  <si>
    <t>&gt; Max 25 fps@5 MP (16:9 video output).
&gt; 120 dB true WDR, 3D NR.
&gt; Smart Dual Illuminators.
&gt; Protection Against Red-Blue Light Interference.
&gt; Active deterrence with red blue light, siren and alarm out interface.
&gt; 40 m illumination distance.
&gt; Super Adapt.
&gt; Built-in MIC.
&gt; 3.6 mm fixed lens (2.8 mm optional).
&gt; CVI/CVBS/AHD/TVI switchable.
&gt; IP67, 12 VDC.
&gt; ALL Metal Case</t>
  </si>
  <si>
    <t>DH-HAC-ME1509HN-A-PV-0360B-S2</t>
  </si>
  <si>
    <t>DH-HAC-ME1509THN-A-PV</t>
  </si>
  <si>
    <t>DH-HAC-ME1509THN-A-PV-0280B-S2</t>
  </si>
  <si>
    <t>&gt; Max 25 fps@5 MP (16:9 video output).
&gt; 120 dB true WDR, 3D NR.
&gt; Smart Dual Illuminators.
&gt; Protection Against Red-Blue Light Interference.
&gt; Active deterrence with red blue light, siren and alarm out interface.
&gt; 40 m illumination distance.
&gt; Super Adapt.
&gt; Built-in MIC.
&gt; 3.6 mm fixed lens (2.8 mm optional).
&gt; CVI/CVBS/AHD/TVI switchable.
&gt; IP67, 12 VDC.</t>
  </si>
  <si>
    <t>DH-HAC-ME1509THN-A-PV-0360B-S2</t>
  </si>
  <si>
    <t>DH-HAC-ME1239TQN-A-PV</t>
  </si>
  <si>
    <t>DH-HAC-ME1239TQN-A-PV-0280B-S2</t>
  </si>
  <si>
    <t>&gt; Active deterrence with red blue light, siren and alarm out interface.
&gt; Max. 30 fps@1080p.
&gt; 130 dB true WDR, 3D NR.
&gt; Smart Dual Illuminators.
&gt; 40 m illumination distance.
&gt; Super Adapt, Built-in MIC.
&gt; 3.6 mm fixed lens (2.8 mm optional).
&gt; CVI/CVBS/AHD/TVI switchable.
&gt; IP67, 12 VDC.
&gt; Quick-to-install eyeball saves installation time.</t>
  </si>
  <si>
    <t>DH-HAC-ME1239TQN-A-PV-0360B-S2</t>
  </si>
  <si>
    <t>DH-HAC-ME1239HN-A-PV</t>
  </si>
  <si>
    <t>DH-HAC-ME1239HN-A-PV-0280B-S2</t>
  </si>
  <si>
    <t>&gt; Active deterrence with red blue light, siren and alarm out interface.
&gt; Max. 30 fps@1080p.
&gt; 130 dB true WDR, 3D NR.
&gt; Smart Dual Illuminators.
&gt; 40 m illumination distance.
&gt; Super Adapt, Built-in MIC.
&gt; 3.6 mm fixed lens (2.8 mm optional).
&gt; CVI/CVBS/AHD/TVI switchable.
&gt; IP67, 12 VDC.
&gt; ALL METAL CASE</t>
  </si>
  <si>
    <t>DH-HAC-ME1239HN-A-PV-0360B-S2</t>
  </si>
  <si>
    <t>DH-HAC-ME1239THN-A-PV</t>
  </si>
  <si>
    <t>DH-HAC-ME1239THN-A-PV-0280B-S2</t>
  </si>
  <si>
    <t>&gt; Active deterrence with red blue light, siren and alarm out interface.
&gt; Max. 30 fps@1080p.
&gt; 130 dB true WDR, 3D NR.
&gt; Smart Dual Illuminators.
&gt; 40 m illumination distance.
&gt; Super Adapt, Built-in MIC.
&gt; 3.6 mm fixed lens (2.8 mm optional).
&gt; CVI/CVBS/AHD/TVI switchable.
&gt; IP67, 12 VDC.</t>
  </si>
  <si>
    <t>DH-HAC-ME1239THN-A-PV-0360B-S2</t>
  </si>
  <si>
    <t>DH-SD59232N-HC-LA</t>
  </si>
  <si>
    <t>1. Starlight
2. Pan:400°/s; Tilt:300°/s
3. Tilt range:-15°~90° 
4. IP66</t>
  </si>
  <si>
    <t>2MP / 150m / 120db Standard
32x</t>
  </si>
  <si>
    <t>DH-SD59232DBN-HC</t>
  </si>
  <si>
    <t>1/2.8" 2Megapixel STARVIS™ CMOS
Powerful 32x optical zoom
Starlight technology
120 dB true WDR, 3D NR
Max. 25/30 fps@1080p, 25/30/50/60 fps@720p
IR distance up to 150 m
IP66</t>
  </si>
  <si>
    <t>DH-IPC-HFW1239S1-LED-S5</t>
  </si>
  <si>
    <t>DH-IPC-HFW1239S1P-LED-0280B-S5-QH2</t>
  </si>
  <si>
    <t>2MP (1920 × 1080) @30 fps, 1/2.8" image sensor, 24/7 Full-color image
SMART H.265+/ H.264+
2.8/3.6 mm Fixed lens
Built-in Smart Warm LED ,Max. 15m
DWDR, HLC, BLC
12V DC/PoE
IP67 protection</t>
  </si>
  <si>
    <t>DH-IPC-HFW1239S1P-LED-0360B-S5-QH2</t>
  </si>
  <si>
    <t>DH-IPC-HDW1239T1-LED-S5</t>
  </si>
  <si>
    <t>DH-IPC-HDW1239T1P-LED-0280B-S5-QH2</t>
  </si>
  <si>
    <t>2MP (1920 × 1080) @30 fps, 1/2.8" image sensor, 24/7 Full-color image
Smart H265+/264+
2.8/3.6 mm Fixed lens
Built-in Smart Warm LED , Max. 15m
DWDR, HLC, BLC
12V DC/PoE
IP67 protection</t>
  </si>
  <si>
    <t>DH-IPC-HDW1239T1P-LED-0360B-S5-QH2</t>
  </si>
  <si>
    <t>DH-IPC-HFW1239S1-A-LED-S5</t>
  </si>
  <si>
    <t>DH-IPC-HFW1239S1P-A-LED-0280B-S5-QH2</t>
  </si>
  <si>
    <t>2MP (1920 × 1080) @30 fps, 1/2.8" image sensor, 24/7 Full-color image
SMART H.265+/ H.264+
2.8/3.6 mm Fixed lens
Built-in Smart Warm LED ,Max. 15m
Bulit-in MIC
DWDR, HLC, BLC
12V DC/PoE
IP67 protection</t>
  </si>
  <si>
    <t>DH-IPC-HFW1239S1P-A-LED-0360B-S5-QH2</t>
  </si>
  <si>
    <t>DH-IPC-HDW1239T1-A-LED-S5</t>
  </si>
  <si>
    <t>DH-IPC-HDW1239T1P-A-LED-0280B-S5-QH2</t>
  </si>
  <si>
    <t>2MP (1920 × 1080) @30 fps, 1/2.8" image sensor, 24/7 Full-color image
Smart H265+/264+
2.8/3.6 mm Fixed lens
Built-in Smart Warm LED , Max. 15m
Bulit-in MIC
DWDR, HLC, BLC
12V DC/PoE
IP67 protection</t>
  </si>
  <si>
    <t>DH-IPC-HDW1239T1P-A-LED-0360B-S5-QH2</t>
  </si>
  <si>
    <t>DH-IPC-HFW1239S-A-LED-S5</t>
  </si>
  <si>
    <t>DH-IPC-HFW1239SP-A-LED-0280B-S5-QH3</t>
  </si>
  <si>
    <t>2MP (1920 × 1080) @30 fps, 1/2.8" image sensor, 24/7 Full-color image
SMART H.265+/ H.264+
2.8/3.6 mm Fixed lens
Built-in Smart Warm LED ,Max. 30m
Bulit-in MIC
All Metal Case
DWDR, HLC, BLC
12V DC/PoE
IP67 protection</t>
  </si>
  <si>
    <t>DH-IPC-HFW1239SP-A-LED-0360B-S5-QH3</t>
  </si>
  <si>
    <t>DH-IPC-HDW1239T-A-LED-S5</t>
  </si>
  <si>
    <t>DH-IPC-HDW1239TP-A-LED-0280B-S5-QH3</t>
  </si>
  <si>
    <t>2MP (1920 × 1080) @30 fps, 1/2.8" image sensor, 24/7 Full-color image
Smart H265+/264+
2.8/3.6 mm Fixed lens
Built-in Smart Warm LED , Max. 30m
Bulit-in MIC
All Metal Case
DWDR, HLC, BLC
12V DC/PoE
IP67 protection</t>
  </si>
  <si>
    <t>DH-IPC-HDW1239TP-A-LED-0360B-S5-QH3</t>
  </si>
  <si>
    <t>DH-IPC-HFW1439M-A-LED-B</t>
  </si>
  <si>
    <t>DH-IPC-HFW1439MP-A-LED-B-0360B-S4-PHI</t>
  </si>
  <si>
    <t>4MP (1920 × 1080) @30 fps, 1/3" image sensor, 24/7 Full-color image
SMART H.265+/ H.264+
3.6 mm Fixed lens
Built-in Smart Warm LED ,Max. 15m
WDR, HLC, BLC
12V DC/PoE
IP67 protection</t>
  </si>
  <si>
    <t>DH-IPC-HFW1439S1-LED-S4</t>
  </si>
  <si>
    <t>DH-IPC-HFW1439S1P-LED-0280B-S4</t>
  </si>
  <si>
    <t>4MP (1920 × 1080) @30 fps, 1/3" image sensor, 24/7 Full-color image
SMART H.265+/ H.264+
2.8/3.6 mm Fixed lens
Built-in Smart Warm LED ,Max. 15m
WDR, HLC, BLC
12V DC/PoE
IP67 protection</t>
  </si>
  <si>
    <t>DH-IPC-HFW1439S1P-LED-0360B-S4</t>
  </si>
  <si>
    <t>DH-IPC-HDW1439T1-LED-S4</t>
  </si>
  <si>
    <t>DH-IPC-HDW1439T1P-LED-0280B-S4</t>
  </si>
  <si>
    <t>DH-IPC-HDW1439T1P-LED-0360B-S4</t>
  </si>
  <si>
    <t>DH-IPC-HFW1439S1-A-LED-S4</t>
  </si>
  <si>
    <t>DH-IPC-HFW1439S1P-A-LED-0280B-S4</t>
  </si>
  <si>
    <t>4MP (1920 × 1080) @30 fps, 1/3" image sensor, 24/7 Full-color image
SMART H.265+/ H.264+
2.8/3.6 mm Fixed lens
Built-in Smart Warm LED ,Max. 15m
Built-in Mic
WDR, HLC, BLC
12V DC/PoE
IP67 protection</t>
  </si>
  <si>
    <t>DH-IPC-HFW1439S1P-A-LED-0360B-S4</t>
  </si>
  <si>
    <t>DH-IPC-HDW1439T1-A-LED-S4</t>
  </si>
  <si>
    <t>DH-IPC-HDW1439T1P-A-LED-0280B-S4</t>
  </si>
  <si>
    <t>DH-IPC-HDW1439T1P-A-LED-0360B-S4</t>
  </si>
  <si>
    <t>DH-IPC-HFW1439S-A-LED-S4</t>
  </si>
  <si>
    <t>DH-IPC-HFW1439SP-A-LED-0280B-S4</t>
  </si>
  <si>
    <t>4MP (1920 × 1080) @30 fps, 1/3" image sensor, 24/7 Full-color image
SMART H.265+/ H.264+
2.8/3.6 mm Fixed lens
Built-in Smart Warm LED , Max. 30m
Bulit-in MIC
All Metal Case
WDR, HLC, BLC
12V DC/PoE
IP67 protection</t>
  </si>
  <si>
    <t>DH-IPC-HFW1439SP-A-LED-0360B-S4</t>
  </si>
  <si>
    <t>DH-IPC-HDW1439T-A-LED-S4</t>
  </si>
  <si>
    <t>DH-IPC-HDW1439TP-A-LED-0280B-S4</t>
  </si>
  <si>
    <t>DH-IPC-HDW1439TP-A-LED-0360B-S4</t>
  </si>
  <si>
    <t>DH-IPC-HFW1230S1-S5</t>
  </si>
  <si>
    <t>DH-IPC-HFW1230S1P-0280B-S5-QH2</t>
  </si>
  <si>
    <t>2MP (1920 × 1080p) @30 fps, 1/2.8” image sensor
Smart H265+/264+
2.8/3.6 mm Fixed lens
Smart IR , Max. 30m
DWDR, HLC, BLC
12V DC/PoE
IP67 protection</t>
  </si>
  <si>
    <t>DH-IPC-HFW1230S1P-0360B-S5-QH2</t>
  </si>
  <si>
    <t>DH-IPC-HDW1230T1-S5</t>
  </si>
  <si>
    <t>DH-IPC-HDW1230T1P-0280B-S5-QH2</t>
  </si>
  <si>
    <t>DH-IPC-HDW1230T1P-0360B-S5-QH2</t>
  </si>
  <si>
    <t>DH-IPC-HDPW1230R1N-0280B-S5</t>
  </si>
  <si>
    <t>DH-IPC-HDPW1230R1N-0360B-S5</t>
  </si>
  <si>
    <t>DH-IPC-HFW1230S-S5</t>
  </si>
  <si>
    <t>DH-IPC-HFW1230SP-0280B-S5-QH2</t>
  </si>
  <si>
    <t>DH-IPC-HFW1230SP-0360B-S5-QH2</t>
  </si>
  <si>
    <t>DH-IPC-HDW1230S-S5</t>
  </si>
  <si>
    <t>DH-IPC-HDW1230SP-0280B-S5-QH2</t>
  </si>
  <si>
    <t>DH-IPC-HDW1230SP-0360B-S5-QH2</t>
  </si>
  <si>
    <t>DH-IPC-HDBW1230EN-S5</t>
  </si>
  <si>
    <t>DH-IPC-HDBW1230EN-0280B-S5</t>
  </si>
  <si>
    <t>2MP (1920 × 1080p) @30 fps, 1/2.8” image sensor
Smart H265+/264+
2.8/3.6 mm Fixed lens
All Metal Case
Smart IR , Max. 30m
DWDR, HLC, BLC
12V DC/PoE
IP67 protection</t>
  </si>
  <si>
    <t>DH-IPC-HDBW1230EN-0360B-S5</t>
  </si>
  <si>
    <t>DH-IPC-HFW1230S1-A-S5</t>
  </si>
  <si>
    <t>DH-IPC-HFW1230S1P-A-0280B-S5-QH2</t>
  </si>
  <si>
    <t>2MP (1920 × 1080p) @30 fps, 1/2.8” image sensor
Smart H265+/264+
2.8/3.6 mm Fixed lens
Smart IR , Max. 30m
DWDR, HLC, BLC
Built-in Mic
12V DC/PoE
IP67 protection</t>
  </si>
  <si>
    <t>DH-IPC-HFW1230S1P-A-0360B-S5-QH2</t>
  </si>
  <si>
    <t>DH-IPC-HDW1230T1-A-S5</t>
  </si>
  <si>
    <t>DH-IPC-HDW1230T1P-A-0280B-S5-QH2</t>
  </si>
  <si>
    <t>DH-IPC-HDW1230T1P-A-0360B-S5-QH2</t>
  </si>
  <si>
    <t>DH-IPC-HFW1230S-A-S5</t>
  </si>
  <si>
    <t>DH-IPC-HFW1230SP-A-0280B-S5-QH2</t>
  </si>
  <si>
    <t>2MP (1920 × 1080p) @30 fps, 1/2.8” image sensor
Smart H265+/264+
2.8/3.6 mm Fixed lens
Smart IR , Max. 30m
DWDR, HLC, BLC
Built-in Mic
12V DC/PoE
All Metal
IP67 protection</t>
  </si>
  <si>
    <t>DH-IPC-HFW1230SP-A-0360B-S5-QH2</t>
  </si>
  <si>
    <t>DH-IPC-HDW1230T-A-S5</t>
  </si>
  <si>
    <t>DH-IPC-HDW1230TP-A-0280B-S5-QH2</t>
  </si>
  <si>
    <t>DH-IPC-HDW1230TP-A-0360B-S5-QH2</t>
  </si>
  <si>
    <t>DH-IPC-HFW1230M-A-I1-B-S5</t>
  </si>
  <si>
    <t>DH-IPC-HFW1230MP-A-I1-B-0360B-S5</t>
  </si>
  <si>
    <t>2MP (1920 × 1080) @30 fps, 1/2.8" image sensor
Smart H265+/264+
3.6/6.0 mm Fixed lens
Big Housing Design, All Metal Case
Smart IR , Max. 50m
DWDR, HLC, BLC
Built-in Mic
12V DC/PoE
IP67 protection</t>
  </si>
  <si>
    <t>DH-IPC-HFW1230MP-A-I1-B-0600B-S5</t>
  </si>
  <si>
    <t>DH-IPC-HFW1230M-A-I2-B-S5</t>
  </si>
  <si>
    <t>DH-IPC-HFW1230MP-A-I2-B-0360B-S5</t>
  </si>
  <si>
    <t>2MP (1920 × 1080) @30 fps, 1/2.8" image sensor
Smart H265+/264+
3.6/6.0 mm Fixed lens
Big Housing Design, All Metal Case
Smart IR , Max. 60m
DWDR, HLC, BLC
Built-in Mic
12V DC/PoE
IP67 protection</t>
  </si>
  <si>
    <t>DH-IPC-HFW1230MP-A-I2-B-0600B-S5</t>
  </si>
  <si>
    <t>DH-IPC-HFW1230MP-A-I2-B-0800B-S5</t>
  </si>
  <si>
    <t>DH-IPC-HFW1230T1-ZS-S5</t>
  </si>
  <si>
    <t>DH-IPC-HFW1230T1P-ZS-2812-S5-QH</t>
  </si>
  <si>
    <t>2MP (1920 × 1080p) @30 fps, 1/2.8” image sensor
Motorized Vari-Focal Length 2.8~12mm
Smart H265+/264+
Smart IR , Max. 50m
DWDR, HLC, BLC
12V DC/PoE
IP67 protection</t>
  </si>
  <si>
    <t>DH-IPC-HDW1230T1-ZS-S5</t>
  </si>
  <si>
    <t>DH-IPC-HDW1230T1P-ZS-2812-S5-QH</t>
  </si>
  <si>
    <t>2MP (1920 × 1080p) @30 fps, 1/2.8” image sensor
Motorized Vari-Focal Length 2.8~12mm
Smart H265+/264+
Smart IR , Max. 40m
Supports max. 256 GB Micro SD card
DWDR, HLC, BLC
12V DC/PoE
IP67 protection</t>
  </si>
  <si>
    <t>DH-IPC-HDPW1230R1-ZS-S5</t>
  </si>
  <si>
    <t>DH-IPC-HDPW1230R1P-ZS-2812-S5-QH</t>
  </si>
  <si>
    <t>DH-IPC-HFW1230T-ZS-S5</t>
  </si>
  <si>
    <t>DH-IPC-HFW1230TP-ZS-2812-S5-QH</t>
  </si>
  <si>
    <t>2MP (1920 × 1080p) @30 fps, 1/2.8” image sensor
Motorized Vari-Focal Length 2.8~12mm
Smart H265+/264+
Big Housing Design, All Metal Case
Smart IR , Max. 50m
Supports max. 256 GB Micro SD card
DWDR, HLC, BLC
12V DC/PoE
IP67 protection</t>
  </si>
  <si>
    <t>DH-IPC-HDW1230T-ZS-S5</t>
  </si>
  <si>
    <t>DH-IPC-HDW1230TP-ZS-2812-S5-QH</t>
  </si>
  <si>
    <t>2MP (1920 × 1080p) @30 fps, 1/2.8” image sensor
Motorized Vari-Focal Length 2.8~12mm
Smart H265+/264+
All Metal Case
Smart IR , Max. 40m
Supports max. 256 GB Micro SD card
DWDR, HLC, BLC
12V DC/PoE
IP67 protection</t>
  </si>
  <si>
    <t>DH-IPC-HDBW1230R-ZS-S5</t>
  </si>
  <si>
    <t>DH-IPC-HDBW1230RP-ZS-2812-S5-QH</t>
  </si>
  <si>
    <t>DH-IPC-HFW1431S1N-S4</t>
  </si>
  <si>
    <t>DH-IPC-HFW1431S1N-0280B-S4</t>
  </si>
  <si>
    <t>4MP (2560 × 1440) @30 fps, 1/3” image sensor
Smart IR , Max. 30m
SMART H.265+/H.264+
2.8/3.6 mm Fixed lens
WDR, 3D DNR, HLC, BLC
12V DC/PoE
IP67, protection</t>
  </si>
  <si>
    <t>DH-IPC-HFW1431S1N-0360B-S4</t>
  </si>
  <si>
    <t>DH-IPC-HDW1431T1N-S4</t>
  </si>
  <si>
    <t>DH-IPC-HDW1431T1N-0280B-S4</t>
  </si>
  <si>
    <t>DH-IPC-HDW1431T1N-0360B-S4</t>
  </si>
  <si>
    <t>DH-IPC-HDPW1431R1N-0280B-S4</t>
  </si>
  <si>
    <t>DH-IPC-HDPW1431R1N-0360B-S4</t>
  </si>
  <si>
    <t>DH-IPC-HFW1431SN-0280B-S4</t>
  </si>
  <si>
    <t>4MP (2560 × 1440) @30 fps, 1/3” image sensor
Smart IR , Max. 30m
SMART H.265+/H.264+
WDR, 3D DNR, HLC, BLC
12V DC/PoE
IP67, protection</t>
  </si>
  <si>
    <t>DH-IPC-HFW1431SN-0360B-S4</t>
  </si>
  <si>
    <t>DH-IPC-HDW1431SN-S4</t>
  </si>
  <si>
    <t>DH-IPC-HDW1431SN-0280B-S4</t>
  </si>
  <si>
    <t>DH-IPC-HDW1431SN-0360B-S4</t>
  </si>
  <si>
    <t>DH-IPC-HDBW1431EN-0280B-S4</t>
  </si>
  <si>
    <t>DH-IPC-HDBW1431EN-0360B-S4</t>
  </si>
  <si>
    <t>DH-IPC-HDW1431T1-A-S4</t>
  </si>
  <si>
    <t>DH-IPC-HDW1431T1P-A-0280B-S4-QH2</t>
  </si>
  <si>
    <t>4MP (2560 × 1440) @30 fps, 1/2.7” image sensor
Smart IR , Max. 30m
SMART H.265+/H.264+
2.8/3.6 mm Fixed lens
Built-in Mic
WDR, 3D DNR, HLC, BLC
12V DC/PoE
IP67, protection</t>
  </si>
  <si>
    <t>DH-IPC-HDW1431T1P-A-0360B-S4-QH2</t>
  </si>
  <si>
    <t>DH-IPC-HFW1431S1-A-S4</t>
  </si>
  <si>
    <t>DH-IPC-HFW1431S1P-A-0280B-S4-QH2</t>
  </si>
  <si>
    <t>DH-IPC-HFW1431S1P-A-0360B-S4-QH2</t>
  </si>
  <si>
    <t>DH-IPC-HFW1239TL1-A-IL</t>
  </si>
  <si>
    <t>DH-IPC-HFW1239TL1P-A-IL-0280B</t>
  </si>
  <si>
    <t>2-MP
Built-in IR LED and warm light
SMART H.264 +/H.265+
Built in Mic.
12 VDC/PoE power supply,
IP67 protection.
Supports human detection.</t>
  </si>
  <si>
    <t>DH-IPC-HFW1239TL1P-A-IL-0360B</t>
  </si>
  <si>
    <t>DH-IPC-HDW1239V-A-IL</t>
  </si>
  <si>
    <t>DH-IPC-HDW1239VP-A-IL-0280B</t>
  </si>
  <si>
    <t>DH-IPC-HDW1239VP-A-IL-0360B</t>
  </si>
  <si>
    <t>DH-IPC-HFW1439TL1-A-IL</t>
  </si>
  <si>
    <t>DH-IPC-HFW1439TL1P-A-IL-0280B</t>
  </si>
  <si>
    <t>4-MP
Built-in IR LED and warm light
SMART H.264 +/H.265+
Built in Mic.
12 VDC/PoE power supply,
IP67 protection.
Supports human detection.</t>
  </si>
  <si>
    <t>DH-IPC-HFW1439TL1P-A-IL-0360B</t>
  </si>
  <si>
    <t>DH-IPC-HDW1439V-A-IL</t>
  </si>
  <si>
    <t>DH-IPC-HDW1439VP-A-IL-0280B</t>
  </si>
  <si>
    <t>DH-IPC-HDW1439VP-A-IL-0360B</t>
  </si>
  <si>
    <t>DH-IPC-HFW1431T1N-ZS-S4</t>
  </si>
  <si>
    <t>DH-IPC-HFW1431T1N-ZS-2812-S4</t>
  </si>
  <si>
    <t>4MP (2560 × 1440) @30 fps, 1/3” image sensor
Motorized Vari-Focal Length 2.8~12mm
Smart IR , Max. 50m
SMART H.265+/H.264+
WDR, 3D DNR, HLC, BLC
Supports max. 256 GB SD card
12V DC/PoE
IP67 protection</t>
  </si>
  <si>
    <t>DH-IPC-HDW1431T1N-ZS-S4</t>
  </si>
  <si>
    <t>DH-IPC-HDW1431T1N-ZS-2812-S4</t>
  </si>
  <si>
    <t>DH-IPC-HDPW1431R1N-ZS-S4</t>
  </si>
  <si>
    <t>DH-IPC-HDPW1431R1N-ZS-2812-S4</t>
  </si>
  <si>
    <t>4MP (2560 × 1440) @30 fps, 1/3” image sensor
Motorized Vari-Focal Length 2.8~12mm
Smart IR , Max. 40m
SMART H.265+/H.264+
WDR, 3D DNR, HLC, BLC
Supports max. 256 GB SD card
12V DC/PoE
IP67 protection</t>
  </si>
  <si>
    <t>DH-IPC-HFW1431TN-ZS-S4</t>
  </si>
  <si>
    <t>DH-IPC-HFW1431TN-ZS-2812-S4</t>
  </si>
  <si>
    <t>4MP (2560 × 1440) @30 fps, 1/3” image sensor
Motorized Vari-Focal Length 2.8~12mm
Big Housing Design, All Metal Case
Smart IR , Max. 50m
SMART H.265+/H.264+
WDR, 3D DNR, HLC, BLC
Supports max. 256 GB SD card
12V DC/PoE
IP67 protection</t>
  </si>
  <si>
    <t>DH-IPC-HDW1431TN-ZS-S4</t>
  </si>
  <si>
    <t>DH-IPC-HDW1431TN-ZS-2812-S4</t>
  </si>
  <si>
    <t>4MP (2560 × 1440) @30 fps, 1/3” image sensor
Motorized Vari-Focal Length 2.8~12mm
All Metal Case
Smart IR , Max. 50m
SMART H.265+/H.264+
WDR, 3D DNR, HLC, BLC
Supports max. 256 GB SD card
12V DC/PoE
IP67 protection</t>
  </si>
  <si>
    <t>DH-IPC-HDBW1431RN-ZS-S4</t>
  </si>
  <si>
    <t>DH-IPC-HDBW1431RN-ZS-2812-S4</t>
  </si>
  <si>
    <t>4MP (2560 × 1440) @30 fps, 1/3” image sensor
Motorized Vari-Focal Length 2.8~12mm
All Metal Case
Smart IR , Max. 40m
SMART H.265+/H.264+
WDR, 3D DNR, HLC, BLC
Supports max. 256 GB SD card
12V DC/PoE
IP67 protection</t>
  </si>
  <si>
    <t>DH-IPC-HFW2249S-S-IL</t>
  </si>
  <si>
    <t>DH-IPC-HFW2249SP-S-IL-0280B</t>
  </si>
  <si>
    <t>· 2MP (1920 × 1080) @30 fps, 1/2.8" image sensor
· 24/7 Full-color image, starlight, WDR
· SMART H.264+/H.265+
· 2.8/3.6 mm fixed lens
· Built-in warm light/IR LED, the max. illumination distance is 30 m and the max. warm light distance is 10 m.
· Intelligent monitoring: Intrusion, tripwire (the two functions support the classification and accurate detection of vehicle and human).
· Built-in Mic
· Supports max. 256 GB Micro SD card
· 12V DC/PoE power supply
· IP67 protection</t>
  </si>
  <si>
    <t>DH-IPC-HFW2249SP-S-IL-0360B</t>
  </si>
  <si>
    <t>DH-IPC-HDW2249T-S-IL</t>
  </si>
  <si>
    <t>DH-IPC-HDW2249TP-S-IL-0280B</t>
  </si>
  <si>
    <t>· 2MP (1920 × 1080) @30 fps, 1/2.8" image sensor
· 24/7 Full-color image, starlight, WDR
· SMART H.264+/H.265+
· 2.8/3.6 mm fixed lens
· Built-in warm light/IR LED, the max. illumination distance is 30 m and the max. warm light distance is 10 m.
· Intelligent monitoring: Intrusion, tripwire (the two functions support the classification and accurate detection of vehicle and human).
· Built-in Mic
· Support max. 256 GB Micro SD card
· 12V DC/PoE power supply
· IP67 protection</t>
  </si>
  <si>
    <t>DH-IPC-HDW2249TP-S-IL-0360B</t>
  </si>
  <si>
    <t>DH-IPC-HFW2449S-S-IL</t>
  </si>
  <si>
    <t>DH-IPC-HFW2449SP-S-IL-0280B</t>
  </si>
  <si>
    <t>· 4MP (1920 × 1080) @30 fps, 1/2.9" image sensor
· 24/7 Full-color image, starlight, WDR
· SMART H.264+/H.265+
· 2.8/3.6 mm fixed lens
· Built-in warm light/IR LED, the max. illumination distance is 30 m and the max. warm light distance is 10 m.
· Intelligent monitoring: Intrusion, tripwire (the two functions support the classification and accurate detection of vehicle and human).
· Built-in Mic
· Supports max. 256 GB Micro SD card
· 12V DC/PoE power supply
· IP67 protection</t>
  </si>
  <si>
    <t>DH-IPC-HFW2449SP-S-IL-0360B</t>
  </si>
  <si>
    <t>DH-IPC-HDW2449T-S-IL</t>
  </si>
  <si>
    <t>DH-IPC-HDW2449TP-S-IL-0280B</t>
  </si>
  <si>
    <t>DH-IPC-HDW2449TP-S-IL-0360B</t>
  </si>
  <si>
    <t>DH-IPC-HFW2239SN-SA-LED-S2</t>
  </si>
  <si>
    <t>DH-IPC-HFW2239SN-SA-LED-0280B-S2</t>
  </si>
  <si>
    <t>· 2MP (1920 × 1080) @30 fps, 1/2.8" image sensor
· 24/7 Full-color image, starlight, WDR
· SMART H.264+/H.265+
· 2.8/3.6 mm fixed lens
· Built-in warm lights, max. 30 m
· Intelligent detection: Intrusion, tripwire
· Built-in Mic
· Supports max. 256 GB Micro SD card
· 12V DC/PoE power supply
· IP67 protection</t>
  </si>
  <si>
    <t>DH-IPC-HFW2239SN-SA-LED-0360B-S2</t>
  </si>
  <si>
    <t>DH-IPC-HFW2249S-S-LED</t>
  </si>
  <si>
    <t>DH-IPC-HFW2249SP-S-LED-0280B</t>
  </si>
  <si>
    <t>2-MP 1/2.8" CMOS image sensor, (1920 × 1080)@25/30 fps.
H.265 codec, high compression rate, ultra-low bit rate.
Built-in warm light and the max. illumination distance is 30 m.
ROI, SMART H.264+/H.265+
Rotation mode, WDR, 3D NR, HLC, BLC
Intelligent monitoring: Intrusion, tripwire
Supports max. 256 G Micro SD card; built in Mic.
12 VDC/PoE power supply.
IP67 protection.
SMD Plus.</t>
  </si>
  <si>
    <t>DH-IPC-HFW2249SP-S-LED-0360B</t>
  </si>
  <si>
    <t>DH-IPC-HFW2239MN-AS-LED-B-S2</t>
  </si>
  <si>
    <t>DH-IPC-HFW2239MN-AS-LED-B-0360B-S2</t>
  </si>
  <si>
    <t>· 2MP (1920 × 1080) @30 fps, 1/2.8" image sensor
· 24/7 Full-color image, starlight, WDR
· SMART H.264+/H.265+
· 3.6/6.0 mm fixed lens
· Built-in warm lights, max. 40 m
· Intelligent detection: Intrusion, tripwire
· Alarm: 2 in, 2 out; audio: 1 in, 1 out ports 
· Support max. 256 GB Micro SD card
· 12V DC/PoE power supply
· IP67 protection</t>
  </si>
  <si>
    <t>DH-IPC-HFW2239MN-AS-LED-B-0600B-S2</t>
  </si>
  <si>
    <t>DH-IPC-HFW2249M-AS-LED-B</t>
  </si>
  <si>
    <t>DH-IPC-HFW2249MP-AS-LED-B-0360B</t>
  </si>
  <si>
    <t>2-MP 1/2.8" CMOS image sensor,(1920 × 1080)@25/30 fps.
H.265 codec, high compression rate, ultra-low bit rate.
Built-in warm light and the max. illumination distance is 50 m.
ROI, SMART H.264+/H.265+, flexible coding, applicable to various bandwidth and storage environments.
Rotation mode, WDR, 3D NR, HLC, BLC
Intelligent monitoring: Intrusion, tripwire
Alarm: 2 in, 2 out; audio: 1 in, 1 out; supports max. 256 G Micro SD card; built in Mic.
12 VDC/PoE power supply, 12 VDC power output, max. current 165 mA, easy for installation.
IP67 protection.
SMD Plus.</t>
  </si>
  <si>
    <t>DH-IPC-HFW2249MP-AS-LED-B-0600B</t>
  </si>
  <si>
    <t>DH-IPC-HDW2239TN-AS-LED-S2</t>
  </si>
  <si>
    <t>DH-IPC-HDW2239TN-AS-LED-0280B-S2</t>
  </si>
  <si>
    <t>DH-IPC-HDW2239TN-AS-LED-0360B-S2</t>
  </si>
  <si>
    <t>DH-IPC-HDW2249T-S-LED</t>
  </si>
  <si>
    <t>DH-IPC-HDW2249TP-S-LED-0280B</t>
  </si>
  <si>
    <t>2-MP 1/2.8" CMOS image sensor (1920 × 1080)@25/30 fps.
H.265 codec；
Built-in warm light and the max. illumination distance is 30 m.
ROI, SMART H.264+/H.265+,=
Rotation mode, WDR, 3D NR, HLC, BLC
Intelligent monitoring: Intrusion, tripwire 
Supports max. 256 G Micro SD card; built in Mic.
12 VDC/PoE power supply.
IP67 protection.
SMD Plus.</t>
  </si>
  <si>
    <t>DH-IPC-HDW2249TP-S-LED-0360B</t>
  </si>
  <si>
    <t>DH-IPC-HFW2439SN-SA-LED-S2</t>
  </si>
  <si>
    <t>DH-IPC-HFW2439SN-SA-LED-0280B-S2</t>
  </si>
  <si>
    <t>· 4MP (2560 × 1440) @ 30 fps, 1/3" image sensor
· SMART H.264+/H.265+
· 2.8/3.6 mm fixed lens
· 24/7 Full-color image, starlight, WDR
· Built-in warm lights, max. 30 m
· Intelligent detection: Intrusion, tripwire
· Built-in Mic
· Supports max. 256 GB Micro SD card
· 12V DC/PoE power supply
· IP67 protection</t>
  </si>
  <si>
    <t>DH-IPC-HFW2439SN-SA-LED-0360B-S2</t>
  </si>
  <si>
    <t>DH-IPC-HFW2449S-S-LED</t>
  </si>
  <si>
    <t>DH-IPC-HFW2449SP-S-LED-0280B</t>
  </si>
  <si>
    <t>4-MP 1/2.9" CMOS image senso，(2688× 1520)@20 fps, and supports (2560×1440)@25/30 fps.
H.265 codec
Built-in warm light and the max. illumination distance is 30 m.
ROI, SMART H.264+/H.265+
Rotation mode, WDR, 3D NR, HLC, BLC
Intelligent monitoring: Intrusion, tripwire 
Supports max. 256 G Micro SD card; built in Mic.
12 VDC/PoE power supply.
IP67 protection.
SMD Plus.</t>
  </si>
  <si>
    <t>DH-IPC-HFW2449SP-S-LED-0360B</t>
  </si>
  <si>
    <t>DH-IPC-HFW2439MN-AS-LED-B-S2</t>
  </si>
  <si>
    <t>DH-IPC-HFW2439MN-AS-LED-B-0360B-S2</t>
  </si>
  <si>
    <t>· 4MP (2560 × 1440) @ 30 fps, 1/3" image sensor
· SMART H.264+/H.265+
· 3.6/6.0 mm fixed lens
· 24/7 Full-color image, starlight, WDR
· Built-in warm lights, max. 40 m
· Intelligent detection: Intrusion, tripwire
· Alarm: 2 in, 2 out; audio: 1 in, 1 out; 
· supports max. 256 GB Micro SD card
· IP67 protection</t>
  </si>
  <si>
    <t>DH-IPC-HFW2439MN-AS-LED-B-0600B-S2</t>
  </si>
  <si>
    <t>DH-IPC-HFW2449M-AS-LED-B</t>
  </si>
  <si>
    <t>DH-IPC-HFW2449MP-AS-LED-B-0360B</t>
  </si>
  <si>
    <t>4-MP 1/2.9" CMOS image sensor, low luminance, and high definition image.
Outputs max. 4 MP (2688× 1520)@20 fps, and supports (2560×1440)@25/30 fps.
H.265 codec, high compression rate, ultra-low bit rate.
Built-in warm light and the max. illumination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2 in, 2 out; audio: 1 in, 1 out; supports max. 256 G Micro SD card; built in Mic.
12 VDC/PoE power supply, 12 VDC power output, max. current 165 mA, easy for installation.
IP67 protection.
SMD Plus.</t>
  </si>
  <si>
    <t>DH-IPC-HFW2449MP-AS-LED-B-0600B</t>
  </si>
  <si>
    <t>DH-IPC-HDW2439TN-AS-LED-S2</t>
  </si>
  <si>
    <t>DH-IPC-HDW2439TN-AS-LED-0280B-S2</t>
  </si>
  <si>
    <t>DH-IPC-HDW2439TN-AS-LED-0360B-S2</t>
  </si>
  <si>
    <t>DH-IPC-HDW2449T-S-LED</t>
  </si>
  <si>
    <t>DH-IPC-HDW2449TP-S-LED-0280B</t>
  </si>
  <si>
    <t>4-MP 1/2.9" CMOS image sensor，(2688× 1520)@20 fps, and supports (2560×1440)@25/30 fps.
H.265 codec
Built-in warm light and the max. illumination distance is 30 m.
ROI, SMART H.264+/H.265+
Rotation mode, WDR, 3D NR, HLC, BLC
Intelligent monitoring: Intrusion, tripwire
Supports max. 256 G Micro SD card; built in Mic.
12 VDC/PoE power supply.
IP67 protection.
SMD Plus.</t>
  </si>
  <si>
    <t>DH-IPC-HDW2449TP-S-LED-0360B</t>
  </si>
  <si>
    <t>DH-IPC-HFW2230SP-S-0280B-S2-QH3</t>
  </si>
  <si>
    <t>· 2MP (1920 × 1080) @30 fps, 1/2.8" image sensor
· SMART H.264+/H.265+
· 2.8/3.6 mm fixed lens
· Support Starlight, DWDR
· max IR distance: 30 m
· Intelligent detection: Intrusion, tripwire
· Supports max. 256 GB Micro SD card 
· 12V DC/POE power support 
· IP67</t>
  </si>
  <si>
    <t>DH-IPC-HFW2230SP-S-0360B-S2-QH3</t>
  </si>
  <si>
    <t>DH-IPC-HDW2230T-AS-S2</t>
  </si>
  <si>
    <t>DH-IPC-HDW2230TP-AS-0280B-S2-QH3</t>
  </si>
  <si>
    <t>· 2MP (1920 × 1080) @30 fps, 1/2.8" image sensor
· SMART H.264+/H.265+
· 2.8/3.6 mm fixed lens
· Support Starlight，DWDR
· max IR distance: 30 m
· Intelligent detection: Intrusion, tripwire
· Support Built-in Mic
· Supports max. 256 GB Micro SD card 
· 12V DC/POE power support 
· IP67</t>
  </si>
  <si>
    <t>DH-IPC-HDW2230TP-AS-0360B-S2-QH3</t>
  </si>
  <si>
    <t>DH-IPC-HDBW2230E-S-S2</t>
  </si>
  <si>
    <t>DH-IPC-HDBW2230EP-S-0280B-S2-QH3</t>
  </si>
  <si>
    <t>DH-IPC-HDBW2230EP-S-0360B-S2-QH3</t>
  </si>
  <si>
    <t>DH-IPC-HFW2241S-S</t>
  </si>
  <si>
    <t>DH-IPC-HFW2241SP-S-0280B</t>
  </si>
  <si>
    <t>· 2MP (1920 × 1080) @30 fps, 1/2.8" image sensor
· SMART H.264+/H.265+
· 2.8/3.6 mm fixed lens
· Support Starlight, WDR
· Max IR distance: 30 m
· Intelligent detection: Intrusion, tripwire
· Supports max. 256 GB Micro SD card 
· 12V DC/POE power support 
· IP67</t>
  </si>
  <si>
    <t>DH-IPC-HFW2241SP-S-0360B</t>
  </si>
  <si>
    <t>DH-IPC-HFW2241T-AS</t>
  </si>
  <si>
    <t>DH-IPC-HFW2241TP-AS-0360B</t>
  </si>
  <si>
    <t>· 2MP (1920 × 1080) @30 fps, 1/2.8" image sensor
· SMART H.264+/H.265+
· 3.6/6.0/8.0 mm fixed lens
· Support Starlight, WDR
· max IR distance: 80 m
· Intelligent detection: Intrusion, tripwire
· Alarm: 1 in, 1 out; audio: 1 in, 1 out
· Supports max. 256 GB Micro SD card 
· 12V DC/POE power support 
· IP67</t>
  </si>
  <si>
    <t>DH-IPC-HFW2241TP-AS-0600B</t>
  </si>
  <si>
    <t>DH-IPC-HDW2241T-S</t>
  </si>
  <si>
    <t>DH-IPC-HDW2241TP-S-0280B</t>
  </si>
  <si>
    <t>· 2MP (1920 × 1080) @30 fps, 1/2.8" image sensor
· SMART H.264+/H.265+
· 2.8/3.6 mm fixed lens
· Support Starlight, WDR
· max IR distance: 30 m
· Intelligent detection: Intrusion, tripwire
· Support Built-in Mic
· Supports max. 256 GB Micro SD card 
· 12V DC/POE power support 
· IP67</t>
  </si>
  <si>
    <t>DH-IPC-HDW2241TP-S-0360B</t>
  </si>
  <si>
    <t>DH-IPC-HDW2241TM-S</t>
  </si>
  <si>
    <t>DH-IPC-HDW2241TMP-S-0280B</t>
  </si>
  <si>
    <t>2-MP 1/2.8" CMOS image sensor, low luminance, and high definition image.
Outputs max. 2 MP (1920 × 1080)@25/30 fps.
H.265 codec, high compression rate, ultra-low bit rate.
Built-in IR LED, and the max. illumination distance is 30 m.
ROI, SMART H.264 +/H.265+,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IP67 protection.
SMD.</t>
  </si>
  <si>
    <t>DH-IPC-HDW2241TMP-S-0360B</t>
  </si>
  <si>
    <t>DH-IPC-HDBW2241E-S</t>
  </si>
  <si>
    <t>DH-IPC-HDBW2241EP-S-0280B</t>
  </si>
  <si>
    <t>2-MP 1/2.8" CMOS image sensor, low luminance, and high definition image.
Outputs max. 2 MP (1920 × 1080)@25/30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t>
  </si>
  <si>
    <t>DH-IPC-HDBW2241EP-S-0360B</t>
  </si>
  <si>
    <t>DH-IPC-HDBW2231FN-AS-S2</t>
  </si>
  <si>
    <t>DH-IPC-HDBW2231FN-AS-0280B-S2</t>
  </si>
  <si>
    <t>· 2MP (1920 × 1080) @30 fps, 1/2.8" image sensor
· SMART H.264+/H.265+
· 2.8/3.6 mm fixed lens
· Support Starlight, WDR
· max IR distance: 30 m
· Intelligent detection: Intrusion, tripwire
· Support Built-in Mic
· Supports max. 256 GB Micro SD card 
· 12V DC/POE power support 
· IP67, IK10</t>
  </si>
  <si>
    <t>DH-IPC-HDBW2231FN-AS-0360B-S2</t>
  </si>
  <si>
    <t>DH-IPC-HFW2241T-ZS</t>
  </si>
  <si>
    <t>DH-IPC-HFW2241TP-ZS-27135</t>
  </si>
  <si>
    <t>· 2MP (1920 × 1080) @30 fps, 1/2.8" image sensor
· SMART H.264+/H.265+
· Motorized Vari-Focal Length 2.7~13.5mm
· Support Starlight, WDR
· max IR distance: 60 m
· Intelligent detection: Intrusion, tripwire
· Supports max. 256 GB Micro SD card 
· 12V DC/POE power support 
· IP67</t>
  </si>
  <si>
    <t>_</t>
  </si>
  <si>
    <t>DH-IPC-HFW2241T-ZAS</t>
  </si>
  <si>
    <t>DH-IPC-HFW2241TP-ZAS-27135</t>
  </si>
  <si>
    <t>· 2MP (1920 × 1080) @30 fps, 1/2.8" image sensor
· SMART H.264+/H.265+
· Motorized Vari-Focal Length 2.7~13.5mm
· Support Starlight, WDR
· max IR distance: 60 m
· Alarm: 1 in, 1 out; audio: 1 in, 1 out
· Intelligent detection: Intrusion, tripwire
· Supports max. 256 GB Micro SD card 
· 12V DC/POE power support 
· IP67</t>
  </si>
  <si>
    <t>DH-IPC-HDW2241T-ZS</t>
  </si>
  <si>
    <t>DH-IPC-HDW2241TP-ZS-27135</t>
  </si>
  <si>
    <t>· 2MP (1920 × 1080) @30 fps, 1/2.8" image sensor
· SMART H.264+/H.265+
· Motorized Vari-Focal Length 2.7~13.5mm
· Support Starlight, WDR
· max IR distance: 40 m
· Intelligent detection: Intrusion, tripwire
· Supports max. 256 GB Micro SD card 
· 12V DC/POE power support 
· IP67</t>
  </si>
  <si>
    <t>DH-IPC-HDBW2241R-ZS</t>
  </si>
  <si>
    <t>DH-IPC-HDBW2241RP-ZS-27135</t>
  </si>
  <si>
    <t>2-MP 1/2.8" CMOS image sensor, low luminance, and high definition image.
Outputs max. 2 MP (1920 × 1080)@25/30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and IK10 protection.
SMD Plus</t>
  </si>
  <si>
    <t>DH-IPC-HDBW2241R-ZAS</t>
  </si>
  <si>
    <t>DH-IPC-HDBW2241RP-ZAS-27135</t>
  </si>
  <si>
    <t>2-MP 1/2.8" CMOS image sensor, low luminance, and high definition image.
Outputs max. 2 MP (1920 × 1080)@25/30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and IK10 protection.
SMD Plus.</t>
  </si>
  <si>
    <t>DH-IPC-HFW2441S-S</t>
  </si>
  <si>
    <t>DH-IPC-HFW2441SP-S-0280B</t>
  </si>
  <si>
    <t>compression rate, ultra-low bit rate.
&gt; Built-in IR LED, and the max. illumination distance is 30 m.
&gt; ROI, SMART H.264 +/H.265+,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Supports max. 256 G Micro SD card; built in MIC.
&gt; 12 VDC/PoE power supply.
&gt; IP67 protection.
&gt; SMD Plus.</t>
  </si>
  <si>
    <t>DH-IPC-HFW2441SP-S-0360B</t>
  </si>
  <si>
    <t>DH-IPC-HFW2441T-AS</t>
  </si>
  <si>
    <t>DH-IPC-HFW2441TP-AS-0360B</t>
  </si>
  <si>
    <t>4MP IR Fixed-focal Bullet WizSense Network Camera
&gt; 4-MP 1/2.9" CMOS image sensor, low luminance, and high definition image
&gt; Outputs max. 4 MP (2688 × 1520)@20 fps and supports 2560 × 1440 (2560 × 1440)@25/30 fps.
&gt; H.265 codec, high compression rate, ultra-low bit rate.
&gt; Built-in IR LED, and the max. illumination distance is 80 m.
&gt; ROI, SMART H.264+/H.265+, flexible coding, applicable to various bandwidth and storage environments.
&gt; Rotation mode, WDR, 3D NR, HLC, BLC, digital watermarking, applicable to various monitoring scenes.
&gt; IIntelligent monitoring: Intrusion, tripwire (the two functions support the classification and accurate detection of vehicle and human).
&gt; Abnormality detection: Motion detection, video tampering, audio detection, no SD card, SD card full, SD card error, network disconnection, IP conflict, illegal access, and voltage detection.
&gt; Alarm: 1 in, 1 out ; audio: 1 in, 1 out ; supports max. 256 G Micro SD card; built in MIC.
&gt; 12 VDC/PoE power supply, easy for installation.
&gt; IP67 , IK10 (optional) protection.
&gt; SMD Plus.</t>
  </si>
  <si>
    <t>DH-IPC-HFW2441TP-AS-0600B</t>
  </si>
  <si>
    <t>DH-IPC-HFW2441TP-AS-0800B</t>
  </si>
  <si>
    <t>4-MP 1/2.9" CMOS image sensor, low luminance, and high definition image.
Outputs max. 4 MP (2688 × 1520)@20 fps and supports 2560 × 1440 (2560 × 1440)@25/30 fps
H.265 codec, high compression rate, ultra-low bit rate.
Built-in IR LED, and the max. illumination distance is 80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easy for installation.
IP67 protection.
SMD Plus.</t>
  </si>
  <si>
    <t>DH-IPC-HDW2441T-S</t>
  </si>
  <si>
    <t>DH-IPC-HDW2441TP-S-0280B</t>
  </si>
  <si>
    <t>4MP IR Fixed-focal Eyeball WizSense Network Camera
&gt; 4-MP 1/2.9" CMOS image sensor, low luminance, and high definition image.
&gt; Outputs max. 4 MP (2688 × 1520)@20 fps, and supports 2560 × 1440@25/30 fps.
&gt; H.265 codec, high compression rate, ultra-low bit rate.
&gt; Built-in IR LED, and the max. illumination distance is 30 m.
&gt; ROI, SMART H.264 +/H.265+,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Supports max. 256 G Micro SD card; built in MIC.
&gt; 12 VDC/PoE power supply.
&gt; IP67 protection.
&gt; SMD Plus.</t>
  </si>
  <si>
    <t>DH-IPC-HDW2441TP-S-0360B</t>
  </si>
  <si>
    <t>DH-IPC-HDW2441TM-S</t>
  </si>
  <si>
    <t>DH-IPC-HDW2441TMP-S-0280B</t>
  </si>
  <si>
    <t>DH-IPC-HDW2441TMP-S-0360B</t>
  </si>
  <si>
    <t>DH-IPC-HDBW2441E-S</t>
  </si>
  <si>
    <t>DH-IPC-HDBW2441EP-S-0280B</t>
  </si>
  <si>
    <t>4MP IR Fixed-focal Dome WizSense Network Camera
&gt; 4-MP 1/2.9" CMOS image sensor, low luminance, and high definition image.
&gt; Outputs max. 4 MP (2688 × 1520)@20 fps, and supports 2566 × 1440@25/30 fps.
&gt; H.265 codec, high compression rate, ultra-low bit rate.
&gt; Built-in IR LED, and the max. illumination distance is 30 m.
&gt; ROI, SMART H.264+/H.265+,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Supports max. 256 G Micro SD card; built in MIC.
&gt; 12 VDC/PoE power supply, easy for installation.
&gt; IP67, IK10 protection.
&gt; SMD Plus.</t>
  </si>
  <si>
    <t>DH-IPC-HDBW2441EP-S-0360B</t>
  </si>
  <si>
    <t>DH-IPC-HDBW2431FN-AS-S2</t>
  </si>
  <si>
    <t>DH-IPC-HDBW2431FN-AS-0280B-S2</t>
  </si>
  <si>
    <t>· 4MP(2560 × 1440) @30 fps, 1/3" image sensor
· SMART H.264+/H.265+ 
· 2.8/3.6 mm fixed lens
· Support Starlight, WDR
· max IR distance: 30 m
· Support Built-in Mic
· Intelligent detection: Intrusion, tripwire
· Supports max. 256 GB Micro SD card 
· 12V DC/POE power support 
· IP67, IK10</t>
  </si>
  <si>
    <t>DH-IPC-HDBW2431FN-AS-0360B-S2</t>
  </si>
  <si>
    <t>DH-IPC-HFW2441T-ZS/ZAS</t>
  </si>
  <si>
    <t>DH-IPC-HFW2441TP-ZS-27135</t>
  </si>
  <si>
    <t>4MP IR Vari-focal Bullet WizSense Network Camera
&gt; 4-MP 1/2.9" CMOS image sensor, low luminance, and high definition image.
&gt; Outputs max. 4 MP (2688 × 1520)@20 fps, and supports 2560 × 1440 (2560 × 1440)@25/30 fps.
&gt; H.265 codec, high compression rate, ultra-low bit rate.
&gt; Built-in IR LED, and the max. illumination distance is 60 m.
&gt; ROI, SMART H.264+/H.265+,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Abnormality detection: Motion detection, video tampering, audio detection, no SD card, SD card full, SD card error, network disconnection, IP conflict, illegal access, and voltage detection.
&gt; Alarm: 1 in, 1 out (Only - ZAS supports); audio: 1 in, 1 out (Only - ZAS supports); supports max. 256 G Micro SD card; built in MIC.
&gt; 12 VDC/PoE power supply, easy for installation.
&gt; IP67, IK10 (optional) protection.
&gt; SMD Plus.</t>
  </si>
  <si>
    <t>DH-IPC-HFW2441TP-ZAS-27135</t>
  </si>
  <si>
    <t>4MP IR Vari-focal Bullet WizSense Network Camera
&gt; 4-MP 1/2.9" CMOS image sensor, low luminance, and high definition image.
&gt; Outputs max. 4 MP (2688 × 1520)@20 fps, and supports 2560 × 1440 (2560 × 1440)@25/30 fps.
&gt; H.265 codec, high compression rate, ultra-low bit rate.
&gt; Built-in IR LED, and the max. illumination distance is 60 m.
&gt; ROI, SMART H.264+/H.265+,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Abnormality detection: Motion detection, video tampering, audio detection, no SD card, SD card full, SD card error, network disconnection, IP conflict, illegal access, and voltage detection.
&gt; Alarm: 1 in, 1 out (Only - ZAS supports); audio: 1 in, 1 out (Only - ZAS supports); supports max. 256 G Micro SD card; built in MIC.
&gt; 12 VDC/PoE power supply, easy for installation.
&gt; IP67, IK10 (optional) protection.
&gt; SMD Plus.</t>
  </si>
  <si>
    <t>DH-IPC-HDW2441T-ZS</t>
  </si>
  <si>
    <t>DH-IPC-HDW2441TP-ZS-27135</t>
  </si>
  <si>
    <t>4MP IR Fixed-focal Eyeball WizSense Network Camera
&gt; 4-MP 1/2.9" CMOS image sensor, low luminance, and high definition image.
&gt; Outputs max. 4 MP (2688 × 1520)@20 fps, and supports 2560 × 1440@25/30 fps.
&gt; H.265 codec, high compression rate, ultra-low bit rate.
&gt; Built-in IR LED, and the max. illumination distance is 30 m.
&gt; ROI, SMART H.264 +/H.265+,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Supports max. 256 G Micro SD card; built in MIC.
&gt; 12 VDC/PoE power supply.
&gt; IP67 protection.
&gt; SMD Plus.</t>
  </si>
  <si>
    <t>DH-IPC-HDBW2441R-ZS/ZAS</t>
  </si>
  <si>
    <t>DH-IPC-HDBW2441RP-ZS-27135</t>
  </si>
  <si>
    <t>4MP IR Vari-focal Dome WizSense Network Camera
&gt; 4-MP 1/2.9" CMOS image sensor, low luminance, and high definition image.
&gt; Outputs max. 4 MP (2688 × 1520)@20 fps and supports 2560 × 1440 (2560 × 1440)@25/30 fps.
&gt; H.265 codec, high compression rate, ultra-low bit rate.
&gt; Built-in IR LED, and the max. illumination distance is 40 m.
&gt; ROI, SMART H.264+/H.265+,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Abnormality detection: Motion detection, video tampering, audio detection, no SD card, SD card full, SD card error, network disconnection, IP conflict, illegal access, and voltage detection.
&gt; Alarm: 1 in, 1 out (Only - ZAS supports); audio: 1 in, 1 out (Only - ZAS supports); supports max. 256 G Micro SD card; built in MIC.
&gt; 12 VDC/PoE power supply, easy for installation.
&gt; IP67 and IK10 protection.
&gt; SMD Plus.</t>
  </si>
  <si>
    <t>DH-IPC-HDBW2441RP-ZAS-27135</t>
  </si>
  <si>
    <t>DH-IPC-HFW2541S-S</t>
  </si>
  <si>
    <t>DH-IPC-HFW2541SP-S-0280B-S2</t>
  </si>
  <si>
    <t>5MP IR Fixed-focal Bullet WizSense Network Camera
5-MP 1/2.7" CMOS image sensor, low luminance, and high definition image.
Outputs max. 5 MP (2960 × 1668)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</si>
  <si>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DH-IPC-HFW2541SP-S-0360B-S2</t>
  </si>
  <si>
    <t>DH-IPC-HFW2541T-AS</t>
  </si>
  <si>
    <t>DH-IPC-HFW2541TP-AS-0360B-S2</t>
  </si>
  <si>
    <t>· 5MP (2592 × 1944) @20 fps, 1/2.7" CMOS image sensor
· SMART H.264+/H.265+
· 3.6/6.0 mm fixed lens
· Support Starlight，WDR
· max IR distance: 80 m
· Intelligent detection: Intrusion, tripwire
· Alarm: 1 in, 1 out; audio: 1 in, 1 out
· Supports max. 256 GB Micro SD card 
· 12V DC/POE power support 
· IP67</t>
  </si>
  <si>
    <t>DH-IPC-HFW2541TP-AS-0600B-S2</t>
  </si>
  <si>
    <t>DH-IPC-HDW2541T-S</t>
  </si>
  <si>
    <t>DH-IPC-HDW2541TP-S-0280B</t>
  </si>
  <si>
    <t>5MP IR Fixed-focal Eyeball WizSense Network Camera
&gt; 5-MP 1/2.7" CMOS image sensor, low luminance, and high definition image.
&gt; Outputs max. 5 MP (2592 × 1944) @20 fps, and supports 4 MP (2688 × 1520) @25/30 fps.
&gt; H.265 codec, high compression rate, ultra-low bit rate.
&gt; Built-in IR LED, and the max. illumination distance is 30 m.
&gt; ROI, SMART H.264+/H.265+, flexible coding, applicable to various bandwidth and storage environments.
&gt; Rotation mode, WDR, 3D NR, HLC, BLC, digital watermarking, applicable to various monitoring scenes.
&gt; Intelligent monitoring: Intrusion and tripwire(the two functions support the classification and accurate detection of vehicle and human).
&gt; Abnormality detection: Motion detection, video tampering, scene changing, audio detection, no SD card, SD card full, SD card error, network disconnection, IP conflict, illegal access, and voltage detection.
&gt; Supports max. 256 G Micro SD card;built in 1-channel MIC.
&gt; 12 VDC/PoE power supply, easy for installation.
&gt; IP67 protection.
&gt; SMD Plus.</t>
  </si>
  <si>
    <t>DH-IPC-HDW2541TP-S-0360B</t>
  </si>
  <si>
    <t>DH-IPC-HDW2541TP-S-0280B-S2</t>
  </si>
  <si>
    <t>5-MP 1/2.7" CMOS image sensor， (2960 × 1668) @20 fps, and supports 2688 ×1520 (2688 × 1520) @25/30 fps.
H.265 codec
Built-in IR LED, and the max. illumination distance is 30 m.
ROI, SMART H.264+/H.265+
Rotation mode, WDR, 3D NR, HLC, BLC
Supports max. 256 G Micro SD card; built in MIC.
12 VDC/PoE power supply.
IP67 protection.
SMD Plus.</t>
  </si>
  <si>
    <t>DH-IPC-HDW2541TP-S-0360B-S2</t>
  </si>
  <si>
    <t>DH-IPC-HDW2531TM-AS-S2</t>
  </si>
  <si>
    <t>DH-IPC-HDW2531TMN-AS-0280B-S2</t>
  </si>
  <si>
    <t>· 5MP (2592 × 1944) @20 fps, 1/2.7" CMOS image sensor
· SMART H.264+/H.265+
· 2.8/3.6 mm fixed lens
· Support Starlight，WDR
· max IR distance: 30 m
· Intelligent detection: Intrusion, tripwire
· Support Built-in Mic
· Supports max. 256 GB Micro SD card 
· 12V DC/POE power support 
· IP67</t>
  </si>
  <si>
    <t>DH-IPC-HDW2531TMN-AS-0360B-S2</t>
  </si>
  <si>
    <t>DH-IPC-HDBW2541E-S</t>
  </si>
  <si>
    <t>DH-IPC-HDBW2541EP-S-0280B-S2</t>
  </si>
  <si>
    <t>5MP IR Fixed-focal Dome WizSense Network Camera
&gt; 5-MP 1/2.7" CMOS image sensor, low luminance, and high definition image.
&gt; Outputs max. 5 MP (2592 × 1944) @20 fps, and supports 4 MP (2688 × 1520) @25/30 fps.
&gt; H.265 codec, high compression rate, ultra-low bit rate.
&gt; Built-in IR LED, and the max. illumination distance is 30 m.
&gt; ROI, SMART H.264+/H.265+, flexible coding, applicable to various bandwidth and storage environments.
&gt; Rotation mode, WDR, 3D NR, HLC, BLC, digital watermarking, applicable to various monitoring scenes.
&gt; Intelligent monitoring: Intrusion and tripwire(the two functions support the classification and accurate detection of vehicle and human).
&gt; Abnormality detection: Motion detection, video tampering, scene changing, audio detection, no SD card, SD card full, SD card error, network disconnection, IP conflict, illegal access, and voltage detection.
&gt; Supports max. 256 G Micro SD card;built in 1-channel MIC.
&gt; 12 VDC/PoE power supply, easy for installation.
&gt; IP67 and IK10 protection.
&gt; SMD Plus.</t>
  </si>
  <si>
    <t>DH-IPC-HDBW2541EP-S-0360B</t>
  </si>
  <si>
    <t>DH-IPC-HFW2531TN-ZS-S2</t>
  </si>
  <si>
    <t>DH-IPC-HFW2531TN-ZS-27135-S2</t>
  </si>
  <si>
    <t>· 5MP (2592 × 1944) @20 fps, 1/2.7" CMOS image sensor
· SMART H.264+/H.265+ 
· Motorized Vari-Focal Length 2.7~13.5mm
· Support Starlight，WDR
· max IR distance: 60 m
· Intelligent detection: Intrusion, tripwire
· Supports max. 256 GB Micro SD card 
· 12V DC/POE power support 
· IP67</t>
  </si>
  <si>
    <t>DH-IPC-HFW2531TN-ZAS-S2</t>
  </si>
  <si>
    <t>DH-IPC-HFW2531TN-ZAS-27135-S2</t>
  </si>
  <si>
    <t>· 5MP (2592 × 1944) @20 fps, 1/2.7" CMOS image sensor
· SMART H.264+/H.265+ 
· Motorized Vari-Focal Length 2.7~13.5mm
· Support Starlight，WDR
· max IR distance: 60 m
· Intelligent detection: Intrusion, tripwire
· Alarm: 1 in, 1 out; audio: 1 in, 1 out
· Supports max. 256 GB Micro SD card 
· 12V DC/POE power support 
· IP67</t>
  </si>
  <si>
    <t>DH-IPC-HDW2531TN-ZS-S2</t>
  </si>
  <si>
    <t>DH-IPC-HDW2531TN-ZS-27135-S2</t>
  </si>
  <si>
    <t>· 5MP (2592 × 1944) @20 fps, 1/2.7" CMOS image sensor
· SMART H.264+/H.265+ 
· Motorized Vari-Focal Length 2.7~13.5mm
· Support Starlight，WDR
· max IR distance: 40 m
· Intelligent detection: Intrusion, tripwire
· Support Built-in Mic
· Supports max. 256 GB Micro SD card 
· 12V DC/POE power support 
· IP67</t>
  </si>
  <si>
    <t>DH-IPC-HDBW2531RN-ZS-S2</t>
  </si>
  <si>
    <t>DH-IPC-HDBW2531RN-ZS-27135-S2</t>
  </si>
  <si>
    <t>· 5MP (2592 × 1944) @20 fps, 1/2.7" CMOS image sensor
· SMART H.264+/H.265+ 
· Motorized Vari-Focal Length 2.7~13.5mm
· Support Starlight，WDR
· max IR distance: 40 m
· Intelligent detection: Intrusion, tripwire
· Supports max. 256 GB Micro SD card 
· 12V DC/POE power support 
· IP67</t>
  </si>
  <si>
    <t>DH-IPC-HDBW2531RN-ZAS-S2</t>
  </si>
  <si>
    <t>DH-IPC-HDBW2531RN-ZAS-27135-S2</t>
  </si>
  <si>
    <t>· 5MP (2592 × 1944) @20 fps, 1/2.7" CMOS image sensor
· SMART H.264+/H.265+ 
· Motorized Vari-Focal Length 2.7~13.5mm
· Support Starlight，WDR
· max IR distance: 40 m
· Intelligent detection: Intrusion, tripwire
· Alarm: 1 in, 1 out; audio: 1 in, 1 out
· Supports max. 256 GB Micro SD card 
· 12V DC/POE power support 
· IP67</t>
  </si>
  <si>
    <t>DH-IPC-HFW2841SP-S-0360B</t>
  </si>
  <si>
    <t>8-MP 1/2.7" CMOS image sensor, low luminance, and high definition image.
Outputs max. 8 MP (3840 × 2160)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</si>
  <si>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DH-IPC-HFW2841T-AS</t>
  </si>
  <si>
    <t>DH-IPC-HFW2841TP-AS-0360B</t>
  </si>
  <si>
    <t>· 8MP (3840 × 2160) @15 fps, 1/2.7" CMOS image sensor
· SMART H.264+/H.265+ 
· 3.6/6.0 mm fixed lens
· Support Starlight，WDR
· max IR distance: 80 m
· Intelligent detection: Intrusion, tripwire
· Alarm: 1 in, 1 out; audio: 1 in, 1 out
· Supports max. 256 GB Micro SD card 
· 12V DC/POE power support 
· IP67</t>
  </si>
  <si>
    <t>DH-IPC-HFW2841TP-AS-0600B</t>
  </si>
  <si>
    <t>DH-IPC-HDW2841T-S</t>
  </si>
  <si>
    <t>DH-IPC-HDW2841TP-S-0280B</t>
  </si>
  <si>
    <t>8-MP 1/2.7" CMOS image sensor, low luminance, and high definition image.
Outputs max. 8 MP (3840 × 2160) @20 fps, and supports 2688×1520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</si>
  <si>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DH-IPC-HDW2841TM-S</t>
  </si>
  <si>
    <t>DH-IPC-HDW2841TMP-S-0280B</t>
  </si>
  <si>
    <t>8-MP 1/2.7" CMOS image sensor, low luminance, and high definition image.
Outputs max. 8 MP (3840 × 2160) @20 fps, and supports 2688 ×1520 (2688 × 1520) @25/30 fps
H.265 codec, high compression rate, ultra-low bit rate.
Built-in IR LED, and the max. illumination distance is 30 m.
ROI, SMART H.264+/H.265+, flexible coding, applicable to various bandwidth and storage environments.
Rotation mode, WDR, 3D</t>
  </si>
  <si>
    <t>DH-IPC-HDW2841TMP-S-0360B</t>
  </si>
  <si>
    <t>DH-IPC-HDBW2841E-S</t>
  </si>
  <si>
    <t>DH-IPC-HDBW2841EP-S-0280B</t>
  </si>
  <si>
    <t>8-MP 1/2.7" CMOS image sensor, low luminance, and high definition image.
Outputs max. 8 MP (3840 × 2160)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 IK10 protection.
SMD Plus.</t>
  </si>
  <si>
    <t>DH-IPC-HDBW2841EP-S-0360B</t>
  </si>
  <si>
    <t>DH-SD1A404DB-GNY</t>
  </si>
  <si>
    <t>1. IVS
2. Pan:80°/s; Tilt:40°/s
3. Pan range: 0°~355°; Tilt range: 5°~90° 
4. IP66, IK08</t>
  </si>
  <si>
    <t>DH-SD1A404DB-GNY-W</t>
  </si>
  <si>
    <t>1. IVS
2. Pan:80°/s; Tilt:40°/s
3. Pan range: 0°~355°; Tilt range: 5°~90° 
4. IP66, IK08
5. Support WiFi</t>
  </si>
  <si>
    <t>DH-SD1A203TN-GN</t>
  </si>
  <si>
    <t>DH-SD1A204DB-GNY</t>
  </si>
  <si>
    <t>1/2.8”2Megapixel CMOS
4x optical zoom
Starlight technology
Max. 25/30 fps@2MP
IR distance up to 20 m
SMD 3.0
IP66; IK08</t>
  </si>
  <si>
    <t>DH-SD1A203TN-GN-W</t>
  </si>
  <si>
    <t>DH-SD1A203TN-GN-W-S2</t>
  </si>
  <si>
    <t>DH-SD2A200HB-GN-AW-PV-S2</t>
  </si>
  <si>
    <t>DH-SD2A200HB-GN-AW-PV-0400-S2</t>
  </si>
  <si>
    <t>1/2.8" 2Megapixel STARVIS™ CMOS
Max. 25/30 fps@1080p
Human detection
Tripwire, intrusion
H.265 encoding
Wi-Fi
Two-way audio
Sound and light alarm
IR and white light, three night view modes
IP66</t>
  </si>
  <si>
    <t>DH-SD2A500HB-GN-AW-PV-S2</t>
  </si>
  <si>
    <t>DH-SD2A500HB-GN-AW-PV-0400-S2</t>
  </si>
  <si>
    <t>1/2.8" 5Megapixel STARVIS™ CMOS
Max. 20 fps@5MP
Human detection
Tripwire, intrusion
H.265 encoding
Wi-Fi
Two-way audio
Sound and light alarm
IR and white light, three night view modes
IP66</t>
  </si>
  <si>
    <t>DH-SD29204UEN-GN</t>
  </si>
  <si>
    <t>1.IVS
2.Pan:100°/s; Tilt:60°/s
3. Pan range: 0°~360° limited; Tilt range: 0°~90°
4.H.265
5.Starlight</t>
  </si>
  <si>
    <t>DH-SD29204UEN-GN-W</t>
  </si>
  <si>
    <t>1.IVS
2.Pan:100°/s; Tilt:60°/s
3. Pan range: 0°~360° limited; Tilt range: 0°~90° 
4.H.265
5.Starlight
6.Support WiFi</t>
  </si>
  <si>
    <t>DH-SD22404DB-GNY</t>
  </si>
  <si>
    <t>1. IVS
2. Pan:100°/s; Tilt:60°/s
3. Pan range: 0°~355°; Tilt range: 0°~90° 
4. IP66, IK10
5. Defog</t>
  </si>
  <si>
    <t>DH-SD22404DB-GNY-W</t>
  </si>
  <si>
    <t>DH-SD22204DB-GNY</t>
  </si>
  <si>
    <t>DH-SD22204DB-GNY-W</t>
  </si>
  <si>
    <t>1. IVS
2. Pan:100°/s; Tilt:60°/s
3. Pan range: 0°~355°; Tilt range: 0°~90° 
4. IP66, IK10
5. Defog
6. Support WiFi</t>
  </si>
  <si>
    <t>DH-SD3A200-GN-A-PV</t>
  </si>
  <si>
    <t>DH-SD3A200-GN-HI-A-PV-0400</t>
  </si>
  <si>
    <t>1.Pan: 0° to 345°；Tilt: 0° to +80°
2.IP66
3.PoE
4.IVS
5.Siren and Light Active Deterrence</t>
  </si>
  <si>
    <t>DH-SD3A205N-GNP-PV</t>
  </si>
  <si>
    <t>DH-SD3A205N-GNP-ZIZJ-PV</t>
  </si>
  <si>
    <t>1. Pan:81°/s; Tilt:43°/s
2. Pan range: 0°~355°; Tilt range: -15°~90° 
3. IP66</t>
  </si>
  <si>
    <t>DH-SD3A400-GN-A-PV</t>
  </si>
  <si>
    <t>DH-SD3A400-GN-HI-A-PV-0400</t>
  </si>
  <si>
    <t>DH-SD42212TN-HN</t>
  </si>
  <si>
    <t>DH-SD42212TN-HN-S2</t>
  </si>
  <si>
    <t>1. IVS
2. Tilt range: -2°~90° 
3. IP66, IK10
4. Defog</t>
  </si>
  <si>
    <t>DH-SD42C212TN-HN</t>
  </si>
  <si>
    <t>DH-SD42C212TN-HN-S2</t>
  </si>
  <si>
    <t>1. IVS
2. Tilt range: -2°~90° 
3. IK10
4. Defog</t>
  </si>
  <si>
    <t>DH-SD49425GB-HNR</t>
  </si>
  <si>
    <t>1/2.8” 4Megapixel STARVIS™ CMOS
25x optical zoom
Starlight technology
Max. 25/30 fps@4M
IR distance up to 100m
Perimeter protection
Face detection
SMD 4.0
IP66</t>
  </si>
  <si>
    <t>DH-SD49225DB-HNY</t>
  </si>
  <si>
    <t>1/2.8" 2Megapixel STARVIS™ CMOS
25× optical zoom
Starlight technology
Max. 25/30 fps@1080p
IR distance up to 100 m
H.265 encoding
Perimeter protection</t>
  </si>
  <si>
    <t>DH-SD5A432GB-HNR</t>
  </si>
  <si>
    <t>1. IVS,Auto-tracking
2. H.265+&amp;H.264+
3. Tilt range:-15°~90° 
4. IP67,IK10
5.Defog, EIS</t>
  </si>
  <si>
    <t>DH-SD5A232GB-HNR</t>
  </si>
  <si>
    <t>DH-SD5A225GB-HNR</t>
  </si>
  <si>
    <t>DH-SD50225DB-HNY</t>
  </si>
  <si>
    <t>1.Starlight
2. IVS,,Auto-tracking
3. H.265+&amp;H.264+
4. Tilt range:0°~90° 
5. IP67,IK10
6.Defog, EIS</t>
  </si>
  <si>
    <t>DH-SD52C225UN-HNI</t>
  </si>
  <si>
    <t>1.Starlight
2. IVS,,Auto-tracking
3. H.265+&amp;H.264+
4. Tilt range:0°~90° 
5. IK10
6.Defog, EIS</t>
  </si>
  <si>
    <t>DH-IPC-HFW2831TN-ZS-S2</t>
  </si>
  <si>
    <t>DH-IPC-HFW2831TN-ZS-27135-S2</t>
  </si>
  <si>
    <t>· 8MP (3840 × 2160) @15 fps, 1/2.7" CMOS image sensor
· SMART H.264+/H.265+ 
· Motorized Vari-Focal Length 2.7~13.5mm
· Support Starlight，WDR
· max IR distance: 60 m
· Intelligent detection: Intrusion, tripwire
· Supports max. 256 GB Micro SD card 
· 12V DC/POE power support 
· IP67</t>
  </si>
  <si>
    <t>DH-IPC-HFW2841T-ZS</t>
  </si>
  <si>
    <t>DH-IPC-HFW2841TP-ZS-27135</t>
  </si>
  <si>
    <t>8-MP 1/2.7" CMOS image sensor, low luminance, and high definition image.
Outputs max. 8 MP (3840 × 2160)@20 fps and supports 2688 × 1520 (2688 × 1520)@25/30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(optional) protection.
SMD Plus.</t>
  </si>
  <si>
    <t>DH-IPC-HFW2831TN-ZAS-S2</t>
  </si>
  <si>
    <t>DH-IPC-HFW2831TN-ZAS-27135-S2</t>
  </si>
  <si>
    <t>· 8MP (3840 × 2160) @15 fps, 1/2.7" CMOS image sensor
· SMART H.264+/H.265+ 
· Motorized Vari-Focal Length 2.7~13.5mm
· Support Starlight，WDR
·max IR distance: 60 m
· Intelligent detection: Intrusion, tripwire
· Alarm: 1 in, 1 out; audio: 1 in, 1 out
· Supports max. 256 GB Micro SD card 
· 12V DC/POE power support 
· IP67</t>
  </si>
  <si>
    <t>DH-IPC-HFW2841T-ZAS</t>
  </si>
  <si>
    <t>DH-IPC-HFW2841TP-ZAS-27135</t>
  </si>
  <si>
    <t>8-MP 1/2.7" CMOS image sensor, low luminance, and high definition image.
Outputs max. 8 MP (3840 × 2160) @20 fps, and supports 2688 ×1520 (2688 × 1520) @25/30 fps.
H.265 codec, high compression rate, ultra-low bit rate.
Built-in IR LED, and the max. illumination distance is 60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audio: 1 in, 1 out; supports max. 256 G Micro SD card; built in MIC.
12 VDC/PoE power supply, easy for installation.
IP67, IK10 (optional) protection.
SMD Plus.</t>
  </si>
  <si>
    <t>DH-IPC-HDW2841T-ZS</t>
  </si>
  <si>
    <t>DH-IPC-HDW2841TP-ZS-27135</t>
  </si>
  <si>
    <t>8-MP 1/2.7" CMOS image sensor, low luminance, and high definition image.
Outputs max. 8 MP (3840 × 2160)@20 fps and supports 2688 × 1520 (2688 × 1520)@25/30 fps
H.265 codec, high compression rate, ultra-low bit rate.
Built-in IR LED, and the max. illumination distance is 40 m.
ROI, SMART H.264+/H.265+, flexible coding, applicable to various bandwidth and storage environments.
Rotation mode, WDR, 3D NR, HLC, BLC, digital watermarking, applicable</t>
  </si>
  <si>
    <t>DH-IPC-HDBW2841R-ZS</t>
  </si>
  <si>
    <t>DH-IPC-HDBW2841RP-ZS-27135</t>
  </si>
  <si>
    <t>8-MP 1/2.7" CMOS image sensor, low luminance, and high definition image.
Outputs max. 8 MP (3840 × 2160) @20 fps, and supports 2688 ×1520 (2688 × 1520) @25/30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IK10 protection.
SMD Plus.</t>
  </si>
  <si>
    <t>DH-IPC-HDBW2841R-ZAS</t>
  </si>
  <si>
    <t>DH-IPC-HDBW2841RP-ZAS-27135</t>
  </si>
  <si>
    <t>PURCHASE AMOUNT
(HYE)</t>
  </si>
  <si>
    <t>PURCHASE AMOUNT
(GGDI)</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</si>
  <si>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</si>
  <si>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</si>
  <si>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</si>
  <si>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</si>
  <si>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</si>
  <si>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</si>
  <si>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C6N</t>
  </si>
  <si>
    <t>2MP INDOOR SMART WW-FI PAN &amp; TILT CAMERA</t>
  </si>
  <si>
    <t>encoded at kingdee</t>
  </si>
  <si>
    <t>4MP INDOOR SMART WW-FI PAN &amp; TILT CAMERA</t>
  </si>
  <si>
    <t>C6</t>
  </si>
  <si>
    <t>4MP 2K+ SMART HOME CAMERA</t>
  </si>
  <si>
    <t>C1C-B</t>
  </si>
  <si>
    <t>2MP 1080P INDOOR WI-FI CAMERA</t>
  </si>
  <si>
    <t>C3TN OUTPRO</t>
  </si>
  <si>
    <t>3MP COLOR NIGHT VISION OUTDOOR SMART WI-FI CAMERA</t>
  </si>
  <si>
    <t>C8C</t>
  </si>
  <si>
    <t>2MP OUTDOOR PAN &amp; TILT CAMERA</t>
  </si>
  <si>
    <t>C3TN</t>
  </si>
  <si>
    <t>2MP OUTDOOR SMART WI-FI CAMERA</t>
  </si>
  <si>
    <t>C3N</t>
  </si>
  <si>
    <t>2MP COLOR NIGHT VISION OUTDOOR SMART WI-FI CAMERA</t>
  </si>
  <si>
    <t>DP2C</t>
  </si>
  <si>
    <t xml:space="preserve">WIRE-FREE PEEPHOLE DOORBELL </t>
  </si>
  <si>
    <t>LC1C</t>
  </si>
  <si>
    <t xml:space="preserve">2MP BLACK &amp; WHITE TWO-IN-ONE OUTDOOR SECURITY SOLUTION </t>
  </si>
  <si>
    <t>C8PF</t>
  </si>
  <si>
    <t>2MP DUAL-LENS PAN &amp; TILT WI-FI CAMERA</t>
  </si>
  <si>
    <t>BC2</t>
  </si>
  <si>
    <t>2MP WIFI SMART HOME BATTERY CAMERA</t>
  </si>
  <si>
    <t>H6</t>
  </si>
  <si>
    <t>5MP SMART WIFI PAN AND TILT CAMERA</t>
  </si>
  <si>
    <t>OUTPRO 3MP COLOR NIGHT VISION OUTDOOR SMART WIFI CAMERA</t>
  </si>
  <si>
    <t>H8C</t>
  </si>
  <si>
    <t>2MP COLOR NIGHT VISION OUTDOOR PAN AND TILT WIFI CAMERA</t>
  </si>
  <si>
    <t>4 MP COLOR NIGHT VISION 2K+ OUTDOOR PAN AND TILT WIFI CAMERA</t>
  </si>
  <si>
    <t>C8PC</t>
  </si>
  <si>
    <t>2MP DUAL-LENS PAN AND TILT WIFI CAMERA</t>
  </si>
  <si>
    <t>DB2</t>
  </si>
  <si>
    <t>3MP BATTERY-POWERED VIDEO DOORBELL KIT</t>
  </si>
  <si>
    <t>CB1</t>
  </si>
  <si>
    <t>2MP (TYPE C) WIFI SMART HOME BATTERY CAMERA</t>
  </si>
  <si>
    <t>CB3</t>
  </si>
  <si>
    <t>2MP KIT (WITH SOLAR PANEL) STANDALONE SMART HOME BATTERY CAMERA</t>
  </si>
  <si>
    <t>LB1</t>
  </si>
  <si>
    <t>WHITE DIMMABLE WIFI LED BULB</t>
  </si>
  <si>
    <t>COLOR DIMMABLE WIFI LED BULB</t>
  </si>
  <si>
    <t>T30-A</t>
  </si>
  <si>
    <t>SMART PLUG</t>
  </si>
  <si>
    <t>T30-B</t>
  </si>
  <si>
    <t>32GB</t>
  </si>
  <si>
    <t>EZVIZ SMART MICROO SD CARDS</t>
  </si>
  <si>
    <t>64GB</t>
  </si>
  <si>
    <t>128GB</t>
  </si>
  <si>
    <t>WALL MOUNT BRACKET</t>
  </si>
  <si>
    <t>FOR PAN AND TILT CAMERAS</t>
  </si>
  <si>
    <t>PURCHASE AMOUNT</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</si>
  <si>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</si>
  <si>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</si>
  <si>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</si>
  <si>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</si>
  <si>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</si>
  <si>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</si>
  <si>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DIP-3042-4HD</t>
  </si>
  <si>
    <t>8TH HDD NVR</t>
  </si>
  <si>
    <t xml:space="preserve">DOME CAMERA </t>
  </si>
  <si>
    <t>NII-51022-V3</t>
  </si>
  <si>
    <t>Indoor Dome Camera</t>
  </si>
  <si>
    <t>NBE-4502-AL</t>
  </si>
  <si>
    <t>Outdoor Dome Camera, 2MP</t>
  </si>
  <si>
    <t>NII-40012-V3</t>
  </si>
  <si>
    <t>Indoor Dome Camera, 1.2MP</t>
  </si>
  <si>
    <t>BULLET CAMERA</t>
  </si>
  <si>
    <t xml:space="preserve">NTI-40012-A3 </t>
  </si>
  <si>
    <t>Outdoor Bullet Camera 1.3MP</t>
  </si>
  <si>
    <t>OTHER SUPPLIER</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</si>
  <si>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</si>
  <si>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</si>
  <si>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</si>
  <si>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</si>
  <si>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</si>
  <si>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</si>
  <si>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SRP, DP AND CP WERE BASED FROM THE AMOUNT IN ROW G</t>
  </si>
  <si>
    <t>NL408</t>
  </si>
  <si>
    <t>8ch NVR</t>
  </si>
  <si>
    <t>EW215</t>
  </si>
  <si>
    <t>2.0MP, Outdoor Dome, 3.6mm</t>
  </si>
  <si>
    <t>EF235</t>
  </si>
  <si>
    <t>2.0MP, Outdoor Box, 3.6mm</t>
  </si>
  <si>
    <t>Dome Camera</t>
  </si>
  <si>
    <t>K-EF235L03</t>
  </si>
  <si>
    <t>FULL HD WEATHERPROOF DOME NETWORK CAMERA</t>
  </si>
  <si>
    <t>WV-U1532L</t>
  </si>
  <si>
    <t>CCTV OUTDOOR CAMERA</t>
  </si>
  <si>
    <t>Smart Hybrid PBX</t>
  </si>
  <si>
    <t>KX-NS300</t>
  </si>
  <si>
    <t>WV-U2130L</t>
  </si>
  <si>
    <t>Indoor Dome, 2MP, Fixed Focal Lens, IR-LED</t>
  </si>
  <si>
    <t>Outdoor Bullet, 2MP, Varifocal Lens, IR-LED</t>
  </si>
  <si>
    <t>WV-U2140L</t>
  </si>
  <si>
    <t>Indoor Dome, 4MP, Fixed Focal Lens, IR-LED</t>
  </si>
  <si>
    <t>WV-U1542L</t>
  </si>
  <si>
    <t>Outdoor Bullet, 4MP, Varifocal Lens, IR-LED</t>
  </si>
  <si>
    <t>WJ-QJB500-W</t>
  </si>
  <si>
    <t>Mounting Bracket for Bullet Cameras</t>
  </si>
  <si>
    <t>WJ-NX200K/G Non-POE</t>
  </si>
  <si>
    <t>16channel NVR, Up to 2-SATA HDD Slots</t>
  </si>
  <si>
    <t>WJ-NX300K/G Non-POE</t>
  </si>
  <si>
    <t>16channel NVR, Up to 4-SATA HDD Slots</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</si>
  <si>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</si>
  <si>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</si>
  <si>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</si>
  <si>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</si>
  <si>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</si>
  <si>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</si>
  <si>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WIFI/CAMERA</t>
  </si>
  <si>
    <t>Cue 2-D</t>
  </si>
  <si>
    <t>IPC-C22EN-D</t>
  </si>
  <si>
    <t>Cue 2C-D</t>
  </si>
  <si>
    <t>IPC-C22CN-D</t>
  </si>
  <si>
    <t>Ranger 2-D</t>
  </si>
  <si>
    <t>IPC-A22EN-D</t>
  </si>
  <si>
    <t>Ranger 2 4MP-D</t>
  </si>
  <si>
    <t>IPC-A42N-D</t>
  </si>
  <si>
    <t>Ranger 2C-D</t>
  </si>
  <si>
    <t>IPC-TA22CN-D</t>
  </si>
  <si>
    <t>Ranger 2C 4MP-D</t>
  </si>
  <si>
    <t>IPC-TA42N-D</t>
  </si>
  <si>
    <t>Rex</t>
  </si>
  <si>
    <t>IPC-A26LN</t>
  </si>
  <si>
    <t>Rex 4MP-D</t>
  </si>
  <si>
    <t>IPC-A46LN-D</t>
  </si>
  <si>
    <t>Cube</t>
  </si>
  <si>
    <t>IPC-K22N-imou</t>
  </si>
  <si>
    <t>Cube 4MP</t>
  </si>
  <si>
    <t>IPC-K42N-imou</t>
  </si>
  <si>
    <t>Bullet 2C-D</t>
  </si>
  <si>
    <t>IPC-F22N-D</t>
  </si>
  <si>
    <t>Bullet 2C 4MP-D</t>
  </si>
  <si>
    <t>IPC-F42N-D</t>
  </si>
  <si>
    <t>Bullet 2E-D</t>
  </si>
  <si>
    <t>IPC-F22FN-D</t>
  </si>
  <si>
    <t>Bullet 2E 4MP-D</t>
  </si>
  <si>
    <t>IPC-F42FN-D</t>
  </si>
  <si>
    <t>Bullet 2-D</t>
  </si>
  <si>
    <t>IPC-F22FEN-D</t>
  </si>
  <si>
    <t>Bullet 2 4MP-D</t>
  </si>
  <si>
    <t>IPC-F42FEN-D</t>
  </si>
  <si>
    <t>Bullet 2 Pro 2MP</t>
  </si>
  <si>
    <t>IPC-F26FEN</t>
  </si>
  <si>
    <t>Bullet 2 Pro 4MP</t>
  </si>
  <si>
    <t>IPC-F46FEN-D</t>
  </si>
  <si>
    <t>Versa</t>
  </si>
  <si>
    <t>IPC-C22FN-C</t>
  </si>
  <si>
    <t>Turret</t>
  </si>
  <si>
    <t>IPC-T26EN</t>
  </si>
  <si>
    <t>Turret SE</t>
  </si>
  <si>
    <t>IPC-T22EN</t>
  </si>
  <si>
    <t>Turret SE 4MP</t>
  </si>
  <si>
    <t>IPC-T42EN</t>
  </si>
  <si>
    <t>Cruiser SE-WIFI 4MP</t>
  </si>
  <si>
    <t>IPC-S41FN</t>
  </si>
  <si>
    <t>Cruiser</t>
  </si>
  <si>
    <t>IPC-S22FN</t>
  </si>
  <si>
    <t>Cruiser 4MP-D</t>
  </si>
  <si>
    <t>IPC-S42FN</t>
  </si>
  <si>
    <t>BATTERY CAMERA</t>
  </si>
  <si>
    <t>Cell 2</t>
  </si>
  <si>
    <t>IPC-B46LN</t>
  </si>
  <si>
    <t>Cell 2 White</t>
  </si>
  <si>
    <t>IPC-B46LN-White</t>
  </si>
  <si>
    <t>Rechargeable Battery For Cell 2</t>
  </si>
  <si>
    <t>FRB20</t>
  </si>
  <si>
    <t>Solar Panel for Cell 2</t>
  </si>
  <si>
    <t>FSP11</t>
  </si>
  <si>
    <t>SD CARD</t>
  </si>
  <si>
    <t>SD 32G</t>
  </si>
  <si>
    <t>ST2-32-S1</t>
  </si>
  <si>
    <t>SD 64G</t>
  </si>
  <si>
    <t>ST2-64-S1</t>
  </si>
  <si>
    <t>SD 128G</t>
  </si>
  <si>
    <t>ST2-128-S1</t>
  </si>
  <si>
    <t>SD 256G</t>
  </si>
  <si>
    <t>ST2-256-S1</t>
  </si>
  <si>
    <t>Wi-Fi NVR &amp; Kit</t>
  </si>
  <si>
    <t>Wireless Recorder</t>
  </si>
  <si>
    <t>NVR1104HS-W-S2</t>
  </si>
  <si>
    <t>NVR1108HS-W-S2</t>
  </si>
  <si>
    <t>KIT 4*Bullet 2C+NVR8(no disk)</t>
  </si>
  <si>
    <t xml:space="preserve">KIT/NVR1108HS-W-S2-FCC/4-F22N-0280B   </t>
  </si>
  <si>
    <t>KIT 4*Bullet 2+NVR8(no disk)</t>
  </si>
  <si>
    <t>KIT/NVR1108HS-W-S2-FCC/4-F22FEN-0280B</t>
  </si>
  <si>
    <t>KIT/NVR1104HS-W-S2-FCC/4-F22N-0280B</t>
  </si>
  <si>
    <t>KIT/NVR1104HS-W-S2-FCC/4-F22FEN--0280B</t>
  </si>
  <si>
    <t>POE Camera &amp; Recorder</t>
  </si>
  <si>
    <t>Cruiser SE-POE 2MP</t>
  </si>
  <si>
    <t>IPC-S21FAN</t>
  </si>
  <si>
    <t>Cruiser SE-POE 4MP</t>
  </si>
  <si>
    <t>IPC-S41FAN</t>
  </si>
  <si>
    <t>IPC-T22A</t>
  </si>
  <si>
    <t>IPC-T22AN</t>
  </si>
  <si>
    <t>Turret SE POE</t>
  </si>
  <si>
    <t>IPC-T22EAN</t>
  </si>
  <si>
    <t>Turret SE POE 4MP</t>
  </si>
  <si>
    <t>IPC-T42EAN</t>
  </si>
  <si>
    <t>IPC-F22A</t>
  </si>
  <si>
    <t>IPC-F22AN</t>
  </si>
  <si>
    <t>Smart Lock</t>
  </si>
  <si>
    <t>K2C</t>
  </si>
  <si>
    <t>ASL-K2C-H(W)-B</t>
  </si>
  <si>
    <t>DB60 kit</t>
  </si>
  <si>
    <t>Doorbell Kit-A</t>
  </si>
  <si>
    <t>DB61i</t>
  </si>
  <si>
    <t>DB61i-W-D4N</t>
  </si>
  <si>
    <t>DS21</t>
  </si>
  <si>
    <t>DS21-W-W</t>
  </si>
  <si>
    <t>Smart Lighting</t>
  </si>
  <si>
    <t>CL1B-5-E27</t>
  </si>
  <si>
    <t>Robot</t>
  </si>
  <si>
    <t>RV-L11-A（欧标）</t>
  </si>
  <si>
    <t>RV-L11-A</t>
  </si>
  <si>
    <t>RVZB1 集尘袋</t>
  </si>
  <si>
    <t>RVPA1-6</t>
  </si>
  <si>
    <t>RV-L11 主刷</t>
  </si>
  <si>
    <t>RVPB1-1</t>
  </si>
  <si>
    <t>RV-L11 边刷</t>
  </si>
  <si>
    <t>RVPC1-2</t>
  </si>
  <si>
    <t>RV-L11 HEPA</t>
  </si>
  <si>
    <t>RVPD1-2</t>
  </si>
  <si>
    <t>RV-L11 一次性抹布</t>
  </si>
  <si>
    <t>RVPE1-30</t>
  </si>
  <si>
    <t>RV-L11 可水洗抹布</t>
  </si>
  <si>
    <t>RVPF1-2</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</si>
  <si>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</si>
  <si>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</si>
  <si>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</si>
  <si>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</si>
  <si>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</si>
  <si>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</si>
  <si>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PURCHASE AMOUNT (vat-ex)</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</si>
  <si>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</si>
  <si>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</si>
  <si>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</si>
  <si>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</si>
  <si>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</si>
  <si>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</si>
  <si>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IP</t>
  </si>
  <si>
    <t>DGM2203</t>
  </si>
  <si>
    <t>2MP Starlight IR Dome IP Camera</t>
  </si>
  <si>
    <t>DGM1104</t>
  </si>
  <si>
    <t>2MP IR Dome IP Camera</t>
  </si>
  <si>
    <t>AVM311</t>
  </si>
  <si>
    <t>1.3MP VANDAL-PROOF IP CAMERA</t>
  </si>
  <si>
    <t>AVM2220</t>
  </si>
  <si>
    <t>2.0MP IR Dome IP Camera</t>
  </si>
  <si>
    <t>AVM521CN</t>
  </si>
  <si>
    <t>AVM543</t>
  </si>
  <si>
    <t>AVM503</t>
  </si>
  <si>
    <t>2.0MP WDR Dome IP Camera</t>
  </si>
  <si>
    <t>AVM542FN</t>
  </si>
  <si>
    <t>2.0MP Outdoor WDR Dome IP Camera</t>
  </si>
  <si>
    <t>DGM5406</t>
  </si>
  <si>
    <t>5MP H.265 IR Dome IP Camera</t>
  </si>
  <si>
    <t>AVM358</t>
  </si>
  <si>
    <t>1.3MP IR Bullet IP Camera</t>
  </si>
  <si>
    <t>AVM365A</t>
  </si>
  <si>
    <t>1.3MP IR Network Camera</t>
  </si>
  <si>
    <t>AVM359AN</t>
  </si>
  <si>
    <t>1.3MP Vari-focal IP Camera</t>
  </si>
  <si>
    <t>DGM2103</t>
  </si>
  <si>
    <t>2MP Starlight IR Bullet IP Camera</t>
  </si>
  <si>
    <t>DGM1105</t>
  </si>
  <si>
    <t>2MP IR Bullet IP Camera</t>
  </si>
  <si>
    <t>DGM1306</t>
  </si>
  <si>
    <t>AVM2451</t>
  </si>
  <si>
    <t>AVN807</t>
  </si>
  <si>
    <t>1.3 Megapixel IR Network Camera</t>
  </si>
  <si>
    <t>AVM553JN</t>
  </si>
  <si>
    <t>2.0 MP IR Bullet IP Camera</t>
  </si>
  <si>
    <t>AVN263ZN</t>
  </si>
  <si>
    <t>Outdoor H.264 Network Camera</t>
  </si>
  <si>
    <t>AVN362</t>
  </si>
  <si>
    <t>1.3 Megapixel Outdoor HD IR Network Camera</t>
  </si>
  <si>
    <t>AVM561JN</t>
  </si>
  <si>
    <t>2MP 10X Zoom Vari-focal IP Camera</t>
  </si>
  <si>
    <t>AVM561N</t>
  </si>
  <si>
    <t>AVM565IR</t>
  </si>
  <si>
    <t>2.0 Megapixel IR Network Camera</t>
  </si>
  <si>
    <t>AVP561</t>
  </si>
  <si>
    <t>2MP 120dB WDR 10X Coaxial Solid Light Bullet</t>
  </si>
  <si>
    <t>DGM5606</t>
  </si>
  <si>
    <t>5MP H.265 IR Bullet IP Camera</t>
  </si>
  <si>
    <t>AVM571FN</t>
  </si>
  <si>
    <t>2MP 10X PTZ IP Camera</t>
  </si>
  <si>
    <t>AVP571</t>
  </si>
  <si>
    <t>2MP 20X PTZ IP Camera</t>
  </si>
  <si>
    <t>AVM2592L</t>
  </si>
  <si>
    <t>AVZ592</t>
  </si>
  <si>
    <t>Tribrid 2MP 20X Speed Dome Camera</t>
  </si>
  <si>
    <t>AVM583N</t>
  </si>
  <si>
    <t>AVH304EA</t>
  </si>
  <si>
    <t>4CH Push Video HD Video Recorder</t>
  </si>
  <si>
    <t>AVH0401</t>
  </si>
  <si>
    <t>4CH HD Video Recorder</t>
  </si>
  <si>
    <t>AVH408P</t>
  </si>
  <si>
    <t>8CH Push Video HD Video Recorder</t>
  </si>
  <si>
    <t>AVH1109</t>
  </si>
  <si>
    <t>9CH H.265 NVR w/ 8CH POE</t>
  </si>
  <si>
    <t>DGH1109</t>
  </si>
  <si>
    <t>AVH315</t>
  </si>
  <si>
    <t>16CH NETWORK VIDEO RECORDER</t>
  </si>
  <si>
    <t>AVH2116</t>
  </si>
  <si>
    <t>16CH H.265 NVR w/ 8CH POE</t>
  </si>
  <si>
    <t>DGH2115</t>
  </si>
  <si>
    <t>DGH2116</t>
  </si>
  <si>
    <t>AVH317</t>
  </si>
  <si>
    <t>16CH HD Video Recorder (HDMI &amp; VGA Video Output)</t>
  </si>
  <si>
    <t>AVH516B PUSH</t>
  </si>
  <si>
    <t>16CH 2MP Real-Time NVR</t>
  </si>
  <si>
    <t>AVH516 Plus</t>
  </si>
  <si>
    <t>16CH Industrial Redundancy NVR + 10-Bay Disk Array + Seamless Recording</t>
  </si>
  <si>
    <t>AVH516 FOS</t>
  </si>
  <si>
    <t>16CH Fail Over System NVR</t>
  </si>
  <si>
    <t>AVH8516</t>
  </si>
  <si>
    <t>8-Bay 16CH 5MP Real-time H.265 NVR</t>
  </si>
  <si>
    <t>AVH8536</t>
  </si>
  <si>
    <t>8-Bay 36CH 8MP Real-time H.265 NVR</t>
  </si>
  <si>
    <t>DGH8536</t>
  </si>
  <si>
    <t>AVH364</t>
  </si>
  <si>
    <t>64CH NVR (TV Wall Building)</t>
  </si>
  <si>
    <t>AVX912R6</t>
  </si>
  <si>
    <t>POC (Power over Coaxial) Converter</t>
  </si>
  <si>
    <t>AVX992</t>
  </si>
  <si>
    <t>10-Bay Disk Array</t>
  </si>
  <si>
    <t>AVX997</t>
  </si>
  <si>
    <t>10-Bay Disk Array (w/ RAID5)</t>
  </si>
  <si>
    <t>PV01</t>
  </si>
  <si>
    <t>This wireless kit includes an alarm receiver, a PIR sensor, magnetic contacts, and a remote controller. They're all paired already for quick setup and can be used with AVTECH Push
Video systems to get instant event notifications.</t>
  </si>
  <si>
    <t>AVX102</t>
  </si>
  <si>
    <t>USB PTZ Joystick</t>
  </si>
  <si>
    <t>VGA02B</t>
  </si>
  <si>
    <t>VGA Converter</t>
  </si>
  <si>
    <t>AVX912A KIT</t>
  </si>
  <si>
    <t>EoC (Ethernet over Coaxial) Converter</t>
  </si>
  <si>
    <t>AVX912R</t>
  </si>
  <si>
    <t>EoC RECEIVER (Coaxial &amp; LAN port; 22 Mbps Transmission Speed; LED Light Inidicator)</t>
  </si>
  <si>
    <t>AVX912T</t>
  </si>
  <si>
    <t>EoC TRANSMITTER (Coaxial &amp; LAN port; 22 Mbps Transmission Speed; LED Light Inidicator)</t>
  </si>
  <si>
    <t>AVX916T</t>
  </si>
  <si>
    <t>HD Video Extender</t>
  </si>
  <si>
    <t>AVX916R</t>
  </si>
  <si>
    <t>YGN2003</t>
  </si>
  <si>
    <t>Panoramic Navigation Pan/Tilt H.265 2MP Wireless Camera</t>
  </si>
  <si>
    <t>AVN701</t>
  </si>
  <si>
    <t>Network Camera</t>
  </si>
  <si>
    <t>AVN216Z</t>
  </si>
  <si>
    <t>AVM317B</t>
  </si>
  <si>
    <t>1.3 Megapixel Network Camera</t>
  </si>
  <si>
    <t>AVM417 ZAN</t>
  </si>
  <si>
    <t>2.0 Megapixel Network Camera</t>
  </si>
  <si>
    <t>AVM301Z</t>
  </si>
  <si>
    <t>ETS 1.3 Megapixel Network Camera</t>
  </si>
  <si>
    <t>AVN812</t>
  </si>
  <si>
    <t>1.3 Megapixel / Wireless Network Camera</t>
  </si>
  <si>
    <t>AVN815EZ</t>
  </si>
  <si>
    <t>1.3 Megapixel Wireless IP Camera</t>
  </si>
  <si>
    <t>AVN80X</t>
  </si>
  <si>
    <t>IVS 1.3 Megapixel Wireless IP Camera</t>
  </si>
  <si>
    <t>AVN805</t>
  </si>
  <si>
    <t>AVN808</t>
  </si>
  <si>
    <t>1.3 Megapixel IR Dome Network Camera</t>
  </si>
  <si>
    <t>AVN90X</t>
  </si>
  <si>
    <t>AVN801</t>
  </si>
  <si>
    <t>TVI</t>
  </si>
  <si>
    <t>DGC1004</t>
  </si>
  <si>
    <t>HD CCTV 1080P IR Dome Camera</t>
  </si>
  <si>
    <t>DGC1104</t>
  </si>
  <si>
    <t>DGC1302</t>
  </si>
  <si>
    <t>DGC1304</t>
  </si>
  <si>
    <t>AVT420</t>
  </si>
  <si>
    <t>AVT503</t>
  </si>
  <si>
    <t>HD CCTV 1080P Motorized-Pan IR Dome Camera</t>
  </si>
  <si>
    <t>DGC5205T</t>
  </si>
  <si>
    <t>HD CCTV 5MP IR Dome Camera</t>
  </si>
  <si>
    <t>DGC1005</t>
  </si>
  <si>
    <t>HD CCTV 1080P IR Bullet Camera</t>
  </si>
  <si>
    <t>DGC1105</t>
  </si>
  <si>
    <t>DGC1205</t>
  </si>
  <si>
    <t>DGC1305</t>
  </si>
  <si>
    <t>DGC1306</t>
  </si>
  <si>
    <t>AVT2406</t>
  </si>
  <si>
    <t>AVT452</t>
  </si>
  <si>
    <t>AVT553</t>
  </si>
  <si>
    <t>HD CCTV 1080P Motorized IR Bullet Camera</t>
  </si>
  <si>
    <t>DGC5105T</t>
  </si>
  <si>
    <t>HD CCTV 5MP IR Bullet Camera</t>
  </si>
  <si>
    <t>DGD1304</t>
  </si>
  <si>
    <t>TRIBRID 4-CH HD CCTV DVR</t>
  </si>
  <si>
    <t>AVZ404</t>
  </si>
  <si>
    <t>QUADBRID 4CH REAL-TIME HD CCTV DVR</t>
  </si>
  <si>
    <t>DGD1005</t>
  </si>
  <si>
    <t>H.265 5MP PENTABRID 4CH XVR</t>
  </si>
  <si>
    <t>AVZ1005</t>
  </si>
  <si>
    <t>DGD1008</t>
  </si>
  <si>
    <t>QUADBRID 8CH HD CCTV DVR</t>
  </si>
  <si>
    <t>DGD1009</t>
  </si>
  <si>
    <t>H.265 5MP PENTABRID 8CH XVR</t>
  </si>
  <si>
    <t>AVZ1009</t>
  </si>
  <si>
    <t>DGD1307</t>
  </si>
  <si>
    <t>TRIBRID 8CH HD CCTV DVR</t>
  </si>
  <si>
    <t>DGD1308</t>
  </si>
  <si>
    <t>AVZ308</t>
  </si>
  <si>
    <t>AVZ408</t>
  </si>
  <si>
    <t>QUADBRID 8CH REAL-TIME HD CCTV DVR</t>
  </si>
  <si>
    <t>DGD1316</t>
  </si>
  <si>
    <t>TRIBRID 16CH HD CCTV DVR</t>
  </si>
  <si>
    <t>AVZ2017</t>
  </si>
  <si>
    <t>H.265 5MP PENTABRID 16CH XVR</t>
  </si>
  <si>
    <t>AVZ316</t>
  </si>
  <si>
    <t>QUADBRID 16CH HD CCTV DVR</t>
  </si>
  <si>
    <t>AVZ416</t>
  </si>
  <si>
    <t>QUADBRID 16CH REAL-TIME HD CCTV DVR</t>
  </si>
  <si>
    <t>DGD1017</t>
  </si>
  <si>
    <t>DGD2017</t>
  </si>
  <si>
    <t>AVZ2116</t>
  </si>
  <si>
    <t>PENTABRID 16CH REAL-TIME XVR</t>
  </si>
  <si>
    <t>DGD8132</t>
  </si>
  <si>
    <t>8-BAY QUADBRID 32CH XVR</t>
  </si>
  <si>
    <t>AVZ8136</t>
  </si>
  <si>
    <t>8-BAY PENTABRID 36CH XVR</t>
  </si>
  <si>
    <t>HDM02</t>
  </si>
  <si>
    <t>Full HD Matrix</t>
  </si>
  <si>
    <t>AVX921L</t>
  </si>
  <si>
    <t>TVI Repeater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</si>
</sst>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0_);_(* \(#,##0.00\);_(* &quot;-&quot;??_);_(@_)"/>
    <numFmt numFmtId="165" formatCode="m/d/yyyy"/>
    <numFmt numFmtId="166" formatCode="M/d/yyyy"/>
    <numFmt numFmtId="167" formatCode="mm/dd/yy"/>
    <numFmt numFmtId="168" formatCode="mm/dd/yyyy"/>
  </numFmts>
  <fonts count="85">
    <font>
      <sz val="11.0"/>
      <color theme="1"/>
      <name val="Calibri"/>
      <scheme val="minor"/>
    </font>
    <font>
      <b/>
      <sz val="10.0"/>
      <color theme="1"/>
      <name val="Calibri"/>
    </font>
    <font>
      <b/>
      <sz val="11.0"/>
      <color theme="1"/>
      <name val="Calibri"/>
    </font>
    <font>
      <b/>
      <sz val="8.0"/>
      <color theme="1"/>
      <name val="Calibri"/>
    </font>
    <font/>
    <font>
      <b/>
      <sz val="11.0"/>
      <color theme="1"/>
      <name val="Bahnschrift semilight"/>
    </font>
    <font>
      <b/>
      <sz val="11.0"/>
      <color theme="1"/>
      <name val="Arial"/>
    </font>
    <font>
      <sz val="8.0"/>
      <color theme="1"/>
      <name val="Calibri"/>
    </font>
    <font>
      <sz val="10.0"/>
      <color theme="1"/>
      <name val="Arial"/>
    </font>
    <font>
      <sz val="10.0"/>
      <color rgb="FF0D0D0D"/>
      <name val="Arial"/>
    </font>
    <font>
      <sz val="10.0"/>
      <color theme="1"/>
      <name val="Calibri"/>
    </font>
    <font>
      <sz val="10.0"/>
      <color rgb="FF000000"/>
      <name val="Calibri"/>
    </font>
    <font>
      <sz val="11.0"/>
      <color rgb="FF595959"/>
      <name val="Calibri"/>
    </font>
    <font>
      <sz val="8.0"/>
      <color rgb="FF7F7F7F"/>
      <name val="Calibri"/>
    </font>
    <font>
      <sz val="11.0"/>
      <color theme="1"/>
      <name val="Bahnschrift semilight"/>
    </font>
    <font>
      <sz val="11.0"/>
      <color theme="1"/>
      <name val="Arial"/>
    </font>
    <font>
      <sz val="10.0"/>
      <color rgb="FF000000"/>
      <name val="Arial"/>
    </font>
    <font>
      <sz val="11.0"/>
      <color rgb="FF595959"/>
      <name val="Arial"/>
    </font>
    <font>
      <sz val="10.0"/>
      <color rgb="FF070707"/>
      <name val="Calibri"/>
    </font>
    <font>
      <sz val="11.0"/>
      <color rgb="FF000000"/>
      <name val="Arial"/>
    </font>
    <font>
      <b/>
      <sz val="9.0"/>
      <color theme="1"/>
      <name val="Calibri"/>
    </font>
    <font>
      <sz val="9.0"/>
      <color theme="1"/>
      <name val="Calibri"/>
    </font>
    <font>
      <sz val="9.0"/>
      <color theme="1"/>
      <name val="Bahnschrift semilight"/>
    </font>
    <font>
      <sz val="9.0"/>
      <color theme="1"/>
      <name val="Arial"/>
    </font>
    <font>
      <sz val="10.0"/>
      <color rgb="FF000000"/>
      <name val="Roboto"/>
    </font>
    <font>
      <sz val="10.0"/>
      <color rgb="FF0C0C0C"/>
      <name val="Arial"/>
    </font>
    <font>
      <sz val="10.0"/>
      <color rgb="FF36414C"/>
      <name val="Arial"/>
    </font>
    <font>
      <sz val="11.0"/>
      <color theme="1"/>
      <name val="Arial Narrow"/>
    </font>
    <font>
      <sz val="11.0"/>
      <color rgb="FF000000"/>
      <name val="Arial Narrow"/>
    </font>
    <font>
      <sz val="11.0"/>
      <color rgb="FF000000"/>
      <name val="Calibri"/>
    </font>
    <font>
      <sz val="8.0"/>
      <color rgb="FF000000"/>
      <name val="Arial"/>
    </font>
    <font>
      <sz val="8.0"/>
      <color theme="1"/>
      <name val="Arial"/>
    </font>
    <font>
      <sz val="10.0"/>
      <color rgb="FF0C0C0C"/>
      <name val="Calibri"/>
    </font>
    <font>
      <sz val="11.0"/>
      <color theme="1"/>
      <name val="Calibri"/>
    </font>
    <font>
      <sz val="10.0"/>
      <color rgb="FF0D0D0D"/>
      <name val="Calibri"/>
    </font>
    <font>
      <sz val="7.0"/>
      <color theme="1"/>
      <name val="Calibri"/>
    </font>
    <font>
      <sz val="10.0"/>
      <color rgb="FF222222"/>
      <name val="Calibri"/>
    </font>
    <font>
      <sz val="10.0"/>
      <color rgb="FFFF0000"/>
      <name val="Calibri"/>
    </font>
    <font>
      <b/>
      <sz val="11.0"/>
      <color rgb="FF7F7F7F"/>
      <name val="Calibri"/>
    </font>
    <font>
      <b/>
      <sz val="10.0"/>
      <color rgb="FF0C0C0C"/>
      <name val="Calibri"/>
    </font>
    <font>
      <b/>
      <sz val="10.0"/>
      <color rgb="FF000000"/>
      <name val="Calibri"/>
    </font>
    <font>
      <b/>
      <i/>
      <sz val="11.0"/>
      <color rgb="FF7F7F7F"/>
      <name val="Calibri"/>
    </font>
    <font>
      <sz val="10.0"/>
      <color rgb="FF505050"/>
      <name val="Calibri"/>
    </font>
    <font>
      <sz val="8.0"/>
      <color rgb="FF000000"/>
      <name val="Calibri"/>
    </font>
    <font>
      <sz val="6.0"/>
      <color theme="1"/>
      <name val="Calibri"/>
    </font>
    <font>
      <b/>
      <sz val="11.0"/>
      <color theme="1"/>
      <name val="Arial Narrow"/>
    </font>
    <font>
      <sz val="10.0"/>
      <color theme="1"/>
      <name val="Arial Narrow"/>
    </font>
    <font>
      <sz val="7.0"/>
      <color rgb="FF000000"/>
      <name val="Arial Narrow"/>
    </font>
    <font>
      <b/>
      <sz val="12.0"/>
      <color theme="1"/>
      <name val="Calibri"/>
    </font>
    <font>
      <sz val="6.0"/>
      <color theme="1"/>
      <name val="Arial"/>
    </font>
    <font>
      <sz val="9.0"/>
      <color rgb="FF000000"/>
      <name val="Arial Narrow"/>
    </font>
    <font>
      <sz val="8.0"/>
      <color rgb="FF666666"/>
      <name val="Calibri"/>
    </font>
    <font>
      <sz val="7.0"/>
      <color rgb="FFFF0000"/>
      <name val="Arial Narrow"/>
    </font>
    <font>
      <sz val="11.0"/>
      <color rgb="FFFF0000"/>
      <name val="Calibri"/>
    </font>
    <font>
      <b/>
      <sz val="10.0"/>
      <color rgb="FF7F7F7F"/>
      <name val="Calibri"/>
    </font>
    <font>
      <sz val="8.0"/>
      <color rgb="FFFF0000"/>
      <name val="Calibri"/>
    </font>
    <font>
      <b/>
      <i/>
      <sz val="10.0"/>
      <color rgb="FF7F7F7F"/>
      <name val="Calibri"/>
    </font>
    <font>
      <sz val="8.0"/>
      <color rgb="FF505050"/>
      <name val="Calibri"/>
    </font>
    <font>
      <sz val="9.0"/>
      <color rgb="FF000000"/>
      <name val="Arial"/>
    </font>
    <font>
      <sz val="4.0"/>
      <color rgb="FF000000"/>
      <name val="Arial"/>
    </font>
    <font>
      <sz val="8.0"/>
      <color rgb="FF7F7F7F"/>
      <name val="Arial"/>
    </font>
    <font>
      <sz val="8.0"/>
      <color rgb="FF333333"/>
      <name val="Arial"/>
    </font>
    <font>
      <sz val="8.0"/>
      <color rgb="FF0C0C0C"/>
      <name val="Arial"/>
    </font>
    <font>
      <sz val="4.0"/>
      <color theme="1"/>
      <name val="Arial"/>
    </font>
    <font>
      <sz val="8.0"/>
      <color rgb="FFFF0000"/>
      <name val="Arial"/>
    </font>
    <font>
      <color rgb="FF000000"/>
      <name val="Times New Roman"/>
    </font>
    <font>
      <sz val="4.0"/>
      <color rgb="FF000000"/>
      <name val="Times New Roman"/>
    </font>
    <font>
      <sz val="8.0"/>
      <color rgb="FF000000"/>
      <name val="Times New Roman"/>
    </font>
    <font>
      <sz val="6.0"/>
      <color rgb="FF000000"/>
      <name val="Times New Roman"/>
    </font>
    <font>
      <color theme="1"/>
      <name val="Calibri"/>
    </font>
    <font>
      <sz val="9.0"/>
      <color rgb="FF000000"/>
      <name val="Times New Roman"/>
    </font>
    <font>
      <sz val="7.0"/>
      <color rgb="FF000000"/>
      <name val="Times New Roman"/>
    </font>
    <font>
      <sz val="9.0"/>
      <color rgb="FFFF0000"/>
      <name val="Times New Roman"/>
    </font>
    <font>
      <sz val="4.0"/>
      <color theme="1"/>
      <name val="Calibri"/>
    </font>
    <font>
      <b/>
      <sz val="8.0"/>
      <color rgb="FF000000"/>
      <name val="Times New Roman"/>
    </font>
    <font>
      <b/>
      <sz val="9.0"/>
      <color rgb="FF000000"/>
      <name val="Times New Roman"/>
    </font>
    <font>
      <sz val="7.0"/>
      <color rgb="FFFF0000"/>
      <name val="Times New Roman"/>
    </font>
    <font>
      <sz val="9.0"/>
      <color rgb="FF000000"/>
      <name val="Calibri"/>
    </font>
    <font>
      <b/>
      <sz val="9.0"/>
      <color rgb="FF000000"/>
      <name val="Calibri"/>
    </font>
    <font>
      <b/>
      <sz val="8.0"/>
      <color rgb="FF000000"/>
      <name val="Calibri"/>
    </font>
    <font>
      <b/>
      <sz val="8.0"/>
      <color rgb="FF666666"/>
      <name val="Calibri"/>
    </font>
    <font>
      <i/>
      <sz val="9.0"/>
      <color rgb="FF000000"/>
      <name val="Verdana"/>
    </font>
    <font>
      <sz val="9.0"/>
      <color rgb="FF000000"/>
      <name val="Verdana"/>
    </font>
    <font>
      <sz val="8.0"/>
      <color rgb="FF666666"/>
      <name val="Arial"/>
    </font>
    <font>
      <sz val="12.0"/>
      <color theme="1"/>
      <name val="Arial"/>
    </font>
  </fonts>
  <fills count="12">
    <fill>
      <patternFill patternType="none"/>
    </fill>
    <fill>
      <patternFill patternType="lightGray"/>
    </fill>
    <fill>
      <patternFill patternType="solid">
        <fgColor rgb="FF8EAADB"/>
        <bgColor rgb="FF8EAADB"/>
      </patternFill>
    </fill>
    <fill>
      <patternFill patternType="solid">
        <fgColor rgb="FFFFE598"/>
        <bgColor rgb="FFFFE598"/>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EDEDED"/>
        <bgColor rgb="FFEDEDED"/>
      </patternFill>
    </fill>
    <fill>
      <patternFill patternType="solid">
        <fgColor rgb="FFD9D9D9"/>
        <bgColor rgb="FFD9D9D9"/>
      </patternFill>
    </fill>
  </fills>
  <borders count="48">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style="thin">
        <color rgb="FF000000"/>
      </left>
      <right style="medium">
        <color rgb="FF000000"/>
      </right>
      <bottom style="thin">
        <color rgb="FF000000"/>
      </bottom>
    </border>
    <border>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right/>
      <top/>
      <bottom/>
    </border>
    <border>
      <left style="thin">
        <color rgb="FF000000"/>
      </left>
      <right/>
      <top style="medium">
        <color rgb="FF000000"/>
      </top>
    </border>
    <border>
      <left style="thin">
        <color rgb="FF000000"/>
      </left>
      <right/>
      <bottom style="medium">
        <color rgb="FF000000"/>
      </bottom>
    </border>
    <border>
      <left style="medium">
        <color rgb="FF000000"/>
      </left>
      <right style="thin">
        <color rgb="FF000000"/>
      </right>
      <top/>
      <bottom style="thin">
        <color rgb="FF000000"/>
      </bottom>
    </border>
    <border>
      <left style="thin">
        <color rgb="FF000000"/>
      </left>
      <top style="thin">
        <color rgb="FF000000"/>
      </top>
      <bottom style="thin">
        <color rgb="FF000000"/>
      </bottom>
    </border>
    <border>
      <left style="medium">
        <color rgb="FF000000"/>
      </left>
      <bottom style="thin">
        <color rgb="FF000000"/>
      </bottom>
    </border>
    <border>
      <left/>
      <right/>
      <top/>
      <bottom style="thin">
        <color rgb="FF000000"/>
      </bottom>
    </border>
    <border>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medium">
        <color rgb="FF000000"/>
      </right>
      <top style="thin">
        <color rgb="FF000000"/>
      </top>
    </border>
    <border>
      <left/>
      <right style="thin">
        <color rgb="FF000000"/>
      </right>
      <top style="thin">
        <color rgb="FF000000"/>
      </top>
    </border>
    <border>
      <left style="medium">
        <color rgb="FF000000"/>
      </left>
      <right style="thin">
        <color rgb="FF000000"/>
      </right>
      <top style="thin">
        <color rgb="FF000000"/>
      </top>
    </border>
    <border>
      <left/>
      <right style="thin">
        <color rgb="FF000000"/>
      </right>
      <bottom style="thin">
        <color rgb="FF000000"/>
      </bottom>
    </border>
    <border>
      <top style="thin">
        <color rgb="FF000000"/>
      </top>
      <bottom style="thin">
        <color rgb="FF000000"/>
      </bottom>
    </border>
    <border>
      <left style="medium">
        <color rgb="FF000000"/>
      </left>
      <right/>
      <top style="medium">
        <color rgb="FF000000"/>
      </top>
    </border>
    <border>
      <right style="thin">
        <color rgb="FF000000"/>
      </right>
      <top style="medium">
        <color rgb="FF000000"/>
      </top>
    </border>
    <border>
      <left style="medium">
        <color rgb="FF000000"/>
      </left>
      <right/>
      <bottom style="medium">
        <color rgb="FF000000"/>
      </bottom>
    </border>
    <border>
      <right style="thin">
        <color rgb="FF000000"/>
      </right>
      <bottom style="medium">
        <color rgb="FF000000"/>
      </bottom>
    </border>
    <border>
      <right style="medium">
        <color rgb="FF000000"/>
      </right>
    </border>
  </borders>
  <cellStyleXfs count="1">
    <xf borderId="0" fillId="0" fontId="0" numFmtId="0" applyAlignment="1" applyFont="1"/>
  </cellStyleXfs>
  <cellXfs count="5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2" fillId="2" fontId="2" numFmtId="164" xfId="0" applyAlignment="1" applyBorder="1" applyFont="1" applyNumberFormat="1">
      <alignment horizontal="center" shrinkToFit="0" vertical="center" wrapText="1"/>
    </xf>
    <xf borderId="3" fillId="2" fontId="3" numFmtId="14" xfId="0" applyAlignment="1" applyBorder="1" applyFont="1" applyNumberFormat="1">
      <alignment horizontal="center" shrinkToFit="0" vertical="center" wrapText="1"/>
    </xf>
    <xf borderId="4" fillId="3" fontId="2" numFmtId="164" xfId="0" applyAlignment="1" applyBorder="1" applyFill="1" applyFont="1" applyNumberFormat="1">
      <alignment horizontal="center" shrinkToFit="0" vertical="center" wrapText="1"/>
    </xf>
    <xf borderId="5" fillId="0" fontId="4" numFmtId="0" xfId="0" applyBorder="1" applyFont="1"/>
    <xf borderId="6" fillId="4" fontId="2" numFmtId="164" xfId="0" applyAlignment="1" applyBorder="1" applyFill="1" applyFont="1" applyNumberFormat="1">
      <alignment horizontal="center" shrinkToFit="0" vertical="center" wrapText="1"/>
    </xf>
    <xf borderId="6" fillId="5" fontId="2" numFmtId="164" xfId="0" applyAlignment="1" applyBorder="1" applyFill="1" applyFont="1" applyNumberFormat="1">
      <alignment horizontal="center" shrinkToFit="0" vertical="center" wrapText="1"/>
    </xf>
    <xf borderId="7" fillId="0" fontId="1"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8" fillId="0" fontId="4" numFmtId="0" xfId="0" applyBorder="1" applyFont="1"/>
    <xf borderId="9" fillId="0" fontId="4" numFmtId="0" xfId="0" applyBorder="1" applyFont="1"/>
    <xf borderId="10" fillId="0" fontId="4" numFmtId="0" xfId="0" applyBorder="1" applyFont="1"/>
    <xf borderId="11" fillId="3" fontId="3" numFmtId="164" xfId="0" applyAlignment="1" applyBorder="1" applyFont="1" applyNumberFormat="1">
      <alignment horizontal="center" shrinkToFit="0" vertical="center" wrapText="1"/>
    </xf>
    <xf borderId="12" fillId="3" fontId="3" numFmtId="164" xfId="0" applyAlignment="1" applyBorder="1" applyFont="1" applyNumberFormat="1">
      <alignment horizontal="center" shrinkToFit="0" vertical="center" wrapText="1"/>
    </xf>
    <xf borderId="13" fillId="4" fontId="7" numFmtId="164" xfId="0" applyAlignment="1" applyBorder="1" applyFont="1" applyNumberFormat="1">
      <alignment horizontal="center" shrinkToFit="0" vertical="center" wrapText="1"/>
    </xf>
    <xf borderId="12" fillId="4" fontId="7" numFmtId="164" xfId="0" applyAlignment="1" applyBorder="1" applyFont="1" applyNumberFormat="1">
      <alignment horizontal="center" shrinkToFit="0" vertical="center" wrapText="1"/>
    </xf>
    <xf borderId="13" fillId="5" fontId="7" numFmtId="164" xfId="0" applyAlignment="1" applyBorder="1" applyFont="1" applyNumberFormat="1">
      <alignment horizontal="center" shrinkToFit="0" vertical="center" wrapText="1"/>
    </xf>
    <xf borderId="12" fillId="5" fontId="7" numFmtId="164" xfId="0" applyAlignment="1" applyBorder="1" applyFont="1" applyNumberFormat="1">
      <alignment horizontal="center" shrinkToFit="0" vertical="center" wrapText="1"/>
    </xf>
    <xf borderId="14" fillId="0" fontId="4" numFmtId="0" xfId="0" applyBorder="1" applyFont="1"/>
    <xf borderId="15" fillId="6" fontId="8" numFmtId="0" xfId="0" applyAlignment="1" applyBorder="1" applyFill="1" applyFont="1">
      <alignment horizontal="left"/>
    </xf>
    <xf borderId="15" fillId="6" fontId="8" numFmtId="0" xfId="0" applyAlignment="1" applyBorder="1" applyFont="1">
      <alignment horizontal="left" shrinkToFit="0" vertical="center" wrapText="1"/>
    </xf>
    <xf borderId="15" fillId="6" fontId="9" numFmtId="49" xfId="0" applyAlignment="1" applyBorder="1" applyFont="1" applyNumberFormat="1">
      <alignment horizontal="left"/>
    </xf>
    <xf borderId="15" fillId="6" fontId="10" numFmtId="49" xfId="0" applyAlignment="1" applyBorder="1" applyFont="1" applyNumberFormat="1">
      <alignment horizontal="left"/>
    </xf>
    <xf borderId="15" fillId="6" fontId="11" numFmtId="0" xfId="0" applyAlignment="1" applyBorder="1" applyFont="1">
      <alignment horizontal="left"/>
    </xf>
    <xf borderId="16" fillId="6" fontId="12" numFmtId="164" xfId="0" applyAlignment="1" applyBorder="1" applyFont="1" applyNumberFormat="1">
      <alignment horizontal="left"/>
    </xf>
    <xf borderId="17" fillId="0" fontId="13" numFmtId="14" xfId="0" applyAlignment="1" applyBorder="1" applyFont="1" applyNumberFormat="1">
      <alignment horizontal="center" vertical="center"/>
    </xf>
    <xf borderId="18" fillId="3" fontId="3" numFmtId="164" xfId="0" applyAlignment="1" applyBorder="1" applyFont="1" applyNumberFormat="1">
      <alignment horizontal="center" vertical="center"/>
    </xf>
    <xf borderId="19" fillId="3" fontId="3" numFmtId="164" xfId="0" applyAlignment="1" applyBorder="1" applyFont="1" applyNumberFormat="1">
      <alignment horizontal="center" vertical="center"/>
    </xf>
    <xf borderId="20" fillId="0" fontId="7" numFmtId="164" xfId="0" applyAlignment="1" applyBorder="1" applyFont="1" applyNumberFormat="1">
      <alignment horizontal="center" vertical="center"/>
    </xf>
    <xf borderId="17" fillId="0" fontId="7" numFmtId="164" xfId="0" applyAlignment="1" applyBorder="1" applyFont="1" applyNumberFormat="1">
      <alignment horizontal="center" vertical="center"/>
    </xf>
    <xf borderId="21" fillId="7" fontId="1" numFmtId="0" xfId="0" applyAlignment="1" applyBorder="1" applyFill="1" applyFont="1">
      <alignment horizontal="center" shrinkToFit="0" vertical="center" wrapText="1"/>
    </xf>
    <xf borderId="0" fillId="0" fontId="14" numFmtId="0" xfId="0" applyFont="1"/>
    <xf borderId="0" fillId="0" fontId="15" numFmtId="0" xfId="0" applyFont="1"/>
    <xf borderId="21" fillId="3" fontId="3" numFmtId="164" xfId="0" applyAlignment="1" applyBorder="1" applyFont="1" applyNumberFormat="1">
      <alignment horizontal="center" vertical="center"/>
    </xf>
    <xf borderId="22" fillId="3" fontId="3" numFmtId="164" xfId="0" applyAlignment="1" applyBorder="1" applyFont="1" applyNumberFormat="1">
      <alignment horizontal="center" vertical="center"/>
    </xf>
    <xf borderId="23" fillId="0" fontId="7" numFmtId="164" xfId="0" applyAlignment="1" applyBorder="1" applyFont="1" applyNumberFormat="1">
      <alignment horizontal="center" vertical="center"/>
    </xf>
    <xf borderId="22" fillId="0" fontId="7" numFmtId="164" xfId="0" applyAlignment="1" applyBorder="1" applyFont="1" applyNumberFormat="1">
      <alignment horizontal="center" vertical="center"/>
    </xf>
    <xf borderId="24" fillId="0" fontId="10" numFmtId="0" xfId="0" applyAlignment="1" applyBorder="1" applyFont="1">
      <alignment vertical="center"/>
    </xf>
    <xf borderId="15" fillId="6" fontId="11" numFmtId="49" xfId="0" applyAlignment="1" applyBorder="1" applyFont="1" applyNumberFormat="1">
      <alignment horizontal="left"/>
    </xf>
    <xf borderId="15" fillId="6" fontId="10" numFmtId="0" xfId="0" applyAlignment="1" applyBorder="1" applyFont="1">
      <alignment horizontal="left" shrinkToFit="0" vertical="center" wrapText="1"/>
    </xf>
    <xf borderId="15" fillId="6" fontId="10" numFmtId="0" xfId="0" applyAlignment="1" applyBorder="1" applyFont="1">
      <alignment horizontal="left"/>
    </xf>
    <xf borderId="15" fillId="6" fontId="8" numFmtId="0" xfId="0" applyAlignment="1" applyBorder="1" applyFont="1">
      <alignment horizontal="left" vertical="center"/>
    </xf>
    <xf borderId="15" fillId="6" fontId="8" numFmtId="49" xfId="0" applyAlignment="1" applyBorder="1" applyFont="1" applyNumberFormat="1">
      <alignment horizontal="left"/>
    </xf>
    <xf borderId="15" fillId="6" fontId="16" numFmtId="49" xfId="0" applyAlignment="1" applyBorder="1" applyFont="1" applyNumberFormat="1">
      <alignment horizontal="left"/>
    </xf>
    <xf borderId="16" fillId="6" fontId="17" numFmtId="164" xfId="0" applyAlignment="1" applyBorder="1" applyFont="1" applyNumberFormat="1">
      <alignment horizontal="left"/>
    </xf>
    <xf borderId="15" fillId="6" fontId="10" numFmtId="0" xfId="0" applyAlignment="1" applyBorder="1" applyFont="1">
      <alignment horizontal="left" vertical="center"/>
    </xf>
    <xf borderId="15" fillId="6" fontId="16" numFmtId="0" xfId="0" applyAlignment="1" applyBorder="1" applyFont="1">
      <alignment horizontal="left"/>
    </xf>
    <xf borderId="15" fillId="6" fontId="8" numFmtId="49" xfId="0" applyAlignment="1" applyBorder="1" applyFont="1" applyNumberFormat="1">
      <alignment horizontal="left" vertical="center"/>
    </xf>
    <xf borderId="15" fillId="6" fontId="18" numFmtId="0" xfId="0" applyAlignment="1" applyBorder="1" applyFont="1">
      <alignment horizontal="left"/>
    </xf>
    <xf borderId="25" fillId="6" fontId="19" numFmtId="164" xfId="0" applyAlignment="1" applyBorder="1" applyFont="1" applyNumberFormat="1">
      <alignment horizontal="right"/>
    </xf>
    <xf borderId="21" fillId="3" fontId="20" numFmtId="164" xfId="0" applyAlignment="1" applyBorder="1" applyFont="1" applyNumberFormat="1">
      <alignment horizontal="left" vertical="center"/>
    </xf>
    <xf borderId="22" fillId="3" fontId="20" numFmtId="164" xfId="0" applyAlignment="1" applyBorder="1" applyFont="1" applyNumberFormat="1">
      <alignment horizontal="left" vertical="center"/>
    </xf>
    <xf borderId="23" fillId="0" fontId="21" numFmtId="164" xfId="0" applyAlignment="1" applyBorder="1" applyFont="1" applyNumberFormat="1">
      <alignment horizontal="left" vertical="center"/>
    </xf>
    <xf borderId="22" fillId="0" fontId="21" numFmtId="164" xfId="0" applyAlignment="1" applyBorder="1" applyFont="1" applyNumberFormat="1">
      <alignment horizontal="left" vertical="center"/>
    </xf>
    <xf borderId="24" fillId="0" fontId="21" numFmtId="0" xfId="0" applyAlignment="1" applyBorder="1" applyFont="1">
      <alignment horizontal="left" vertical="center"/>
    </xf>
    <xf borderId="0" fillId="0" fontId="22" numFmtId="0" xfId="0" applyAlignment="1" applyFont="1">
      <alignment horizontal="left"/>
    </xf>
    <xf borderId="0" fillId="0" fontId="23" numFmtId="0" xfId="0" applyAlignment="1" applyFont="1">
      <alignment horizontal="left"/>
    </xf>
    <xf borderId="15" fillId="6" fontId="24" numFmtId="0" xfId="0" applyAlignment="1" applyBorder="1" applyFont="1">
      <alignment horizontal="left"/>
    </xf>
    <xf borderId="15" fillId="6" fontId="8" numFmtId="0" xfId="0" applyAlignment="1" applyBorder="1" applyFont="1">
      <alignment horizontal="left" shrinkToFit="0" wrapText="1"/>
    </xf>
    <xf borderId="25" fillId="6" fontId="15" numFmtId="164" xfId="0" applyAlignment="1" applyBorder="1" applyFont="1" applyNumberFormat="1">
      <alignment horizontal="right"/>
    </xf>
    <xf borderId="15" fillId="6" fontId="25" numFmtId="0" xfId="0" applyAlignment="1" applyBorder="1" applyFont="1">
      <alignment horizontal="left" shrinkToFit="0" vertical="center" wrapText="1"/>
    </xf>
    <xf borderId="15" fillId="6" fontId="26" numFmtId="49" xfId="0" applyAlignment="1" applyBorder="1" applyFont="1" applyNumberFormat="1">
      <alignment horizontal="left"/>
    </xf>
    <xf borderId="15" fillId="6" fontId="26" numFmtId="0" xfId="0" applyAlignment="1" applyBorder="1" applyFont="1">
      <alignment horizontal="left"/>
    </xf>
    <xf borderId="15" fillId="0" fontId="27" numFmtId="0" xfId="0" applyAlignment="1" applyBorder="1" applyFont="1">
      <alignment vertical="center"/>
    </xf>
    <xf borderId="26" fillId="0" fontId="28" numFmtId="4" xfId="0" applyAlignment="1" applyBorder="1" applyFont="1" applyNumberFormat="1">
      <alignment horizontal="right" vertical="center"/>
    </xf>
    <xf borderId="14" fillId="0" fontId="13" numFmtId="14" xfId="0" applyAlignment="1" applyBorder="1" applyFont="1" applyNumberFormat="1">
      <alignment horizontal="center" vertical="center"/>
    </xf>
    <xf borderId="15" fillId="0" fontId="27" numFmtId="49" xfId="0" applyAlignment="1" applyBorder="1" applyFont="1" applyNumberFormat="1">
      <alignment vertical="center"/>
    </xf>
    <xf borderId="26" fillId="6" fontId="29" numFmtId="164" xfId="0" applyAlignment="1" applyBorder="1" applyFont="1" applyNumberFormat="1">
      <alignment horizontal="right"/>
    </xf>
    <xf borderId="25" fillId="6" fontId="29" numFmtId="164" xfId="0" applyAlignment="1" applyBorder="1" applyFont="1" applyNumberFormat="1">
      <alignment horizontal="right"/>
    </xf>
    <xf borderId="15" fillId="0" fontId="30" numFmtId="49" xfId="0" applyBorder="1" applyFont="1" applyNumberFormat="1"/>
    <xf borderId="15" fillId="0" fontId="31" numFmtId="49" xfId="0" applyAlignment="1" applyBorder="1" applyFont="1" applyNumberFormat="1">
      <alignment horizontal="center"/>
    </xf>
    <xf borderId="26" fillId="0" fontId="30" numFmtId="49" xfId="0" applyBorder="1" applyFont="1" applyNumberFormat="1"/>
    <xf borderId="26" fillId="0" fontId="31" numFmtId="49" xfId="0" applyAlignment="1" applyBorder="1" applyFont="1" applyNumberFormat="1">
      <alignment horizontal="center"/>
    </xf>
    <xf borderId="0" fillId="0" fontId="15" numFmtId="0" xfId="0" applyAlignment="1" applyFont="1">
      <alignment vertical="center"/>
    </xf>
    <xf borderId="15" fillId="6" fontId="32" numFmtId="0" xfId="0" applyAlignment="1" applyBorder="1" applyFont="1">
      <alignment horizontal="left" shrinkToFit="0" vertical="center" wrapText="1"/>
    </xf>
    <xf borderId="0" fillId="0" fontId="14" numFmtId="0" xfId="0" applyAlignment="1" applyFont="1">
      <alignment vertical="center"/>
    </xf>
    <xf borderId="25" fillId="6" fontId="33" numFmtId="164" xfId="0" applyAlignment="1" applyBorder="1" applyFont="1" applyNumberFormat="1">
      <alignment horizontal="right"/>
    </xf>
    <xf borderId="15" fillId="6" fontId="34" numFmtId="49" xfId="0" applyAlignment="1" applyBorder="1" applyFont="1" applyNumberFormat="1">
      <alignment horizontal="left"/>
    </xf>
    <xf borderId="15" fillId="6" fontId="34" numFmtId="0" xfId="0" applyAlignment="1" applyBorder="1" applyFont="1">
      <alignment horizontal="left"/>
    </xf>
    <xf borderId="15" fillId="6" fontId="9" numFmtId="0" xfId="0" applyAlignment="1" applyBorder="1" applyFont="1">
      <alignment horizontal="left"/>
    </xf>
    <xf borderId="23" fillId="0" fontId="10" numFmtId="0" xfId="0" applyAlignment="1" applyBorder="1" applyFont="1">
      <alignment vertical="center"/>
    </xf>
    <xf borderId="24" fillId="0" fontId="7" numFmtId="0" xfId="0" applyAlignment="1" applyBorder="1" applyFont="1">
      <alignment vertical="center"/>
    </xf>
    <xf borderId="15" fillId="0" fontId="10" numFmtId="0" xfId="0" applyAlignment="1" applyBorder="1" applyFont="1">
      <alignment horizontal="left" shrinkToFit="0" vertical="center" wrapText="1"/>
    </xf>
    <xf borderId="15" fillId="0" fontId="35" numFmtId="0" xfId="0" applyAlignment="1" applyBorder="1" applyFont="1">
      <alignment horizontal="left" vertical="center"/>
    </xf>
    <xf borderId="15" fillId="0" fontId="33" numFmtId="164" xfId="0" applyAlignment="1" applyBorder="1" applyFont="1" applyNumberFormat="1">
      <alignment horizontal="right" vertical="center"/>
    </xf>
    <xf borderId="22" fillId="0" fontId="13" numFmtId="14" xfId="0" applyAlignment="1" applyBorder="1" applyFont="1" applyNumberFormat="1">
      <alignment horizontal="center" vertical="center"/>
    </xf>
    <xf borderId="15" fillId="0" fontId="11" numFmtId="0" xfId="0" applyAlignment="1" applyBorder="1" applyFont="1">
      <alignment horizontal="left" shrinkToFit="1" vertical="center" wrapText="0"/>
    </xf>
    <xf borderId="15" fillId="0" fontId="36" numFmtId="0" xfId="0" applyAlignment="1" applyBorder="1" applyFont="1">
      <alignment horizontal="left" shrinkToFit="0" vertical="center" wrapText="1"/>
    </xf>
    <xf borderId="15" fillId="0" fontId="33" numFmtId="164" xfId="0" applyAlignment="1" applyBorder="1" applyFont="1" applyNumberFormat="1">
      <alignment horizontal="right" shrinkToFit="0" vertical="center" wrapText="1"/>
    </xf>
    <xf borderId="15" fillId="0" fontId="33" numFmtId="164" xfId="0" applyAlignment="1" applyBorder="1" applyFont="1" applyNumberFormat="1">
      <alignment horizontal="center" shrinkToFit="0" vertical="center" wrapText="1"/>
    </xf>
    <xf borderId="15" fillId="6" fontId="33" numFmtId="164" xfId="0" applyAlignment="1" applyBorder="1" applyFont="1" applyNumberFormat="1">
      <alignment horizontal="right" vertical="center"/>
    </xf>
    <xf borderId="15" fillId="0" fontId="10" numFmtId="49" xfId="0" applyAlignment="1" applyBorder="1" applyFont="1" applyNumberFormat="1">
      <alignment shrinkToFit="0" vertical="center" wrapText="1"/>
    </xf>
    <xf borderId="15" fillId="0" fontId="35" numFmtId="0" xfId="0" applyAlignment="1" applyBorder="1" applyFont="1">
      <alignment horizontal="left" shrinkToFit="0" vertical="center" wrapText="1"/>
    </xf>
    <xf borderId="15" fillId="0" fontId="11" numFmtId="49" xfId="0" applyAlignment="1" applyBorder="1" applyFont="1" applyNumberFormat="1">
      <alignment vertical="center"/>
    </xf>
    <xf borderId="15" fillId="0" fontId="33" numFmtId="0" xfId="0" applyBorder="1" applyFont="1"/>
    <xf borderId="15" fillId="0" fontId="10" numFmtId="0" xfId="0" applyAlignment="1" applyBorder="1" applyFont="1">
      <alignment shrinkToFit="0" vertical="center" wrapText="1"/>
    </xf>
    <xf borderId="15" fillId="0" fontId="11" numFmtId="0" xfId="0" applyAlignment="1" applyBorder="1" applyFont="1">
      <alignment horizontal="left" shrinkToFit="0" vertical="center" wrapText="1"/>
    </xf>
    <xf borderId="15" fillId="0" fontId="10" numFmtId="49" xfId="0" applyAlignment="1" applyBorder="1" applyFont="1" applyNumberFormat="1">
      <alignment horizontal="left" shrinkToFit="0" vertical="center" wrapText="1"/>
    </xf>
    <xf borderId="15" fillId="0" fontId="11" numFmtId="49" xfId="0" applyAlignment="1" applyBorder="1" applyFont="1" applyNumberFormat="1">
      <alignment horizontal="left" shrinkToFit="0" vertical="center" wrapText="1"/>
    </xf>
    <xf borderId="15" fillId="0" fontId="10" numFmtId="0" xfId="0" applyAlignment="1" applyBorder="1" applyFont="1">
      <alignment horizontal="left" vertical="center"/>
    </xf>
    <xf borderId="15" fillId="0" fontId="10" numFmtId="49" xfId="0" applyAlignment="1" applyBorder="1" applyFont="1" applyNumberFormat="1">
      <alignment horizontal="left" vertical="center"/>
    </xf>
    <xf borderId="15" fillId="0" fontId="11" numFmtId="49" xfId="0" applyAlignment="1" applyBorder="1" applyFont="1" applyNumberFormat="1">
      <alignment horizontal="left" vertical="center"/>
    </xf>
    <xf borderId="15" fillId="0" fontId="37" numFmtId="0" xfId="0" applyAlignment="1" applyBorder="1" applyFont="1">
      <alignment horizontal="left" shrinkToFit="0" vertical="center" wrapText="1"/>
    </xf>
    <xf borderId="15" fillId="0" fontId="1" numFmtId="49" xfId="0" applyAlignment="1" applyBorder="1" applyFont="1" applyNumberFormat="1">
      <alignment horizontal="left" vertical="center"/>
    </xf>
    <xf borderId="15" fillId="0" fontId="38" numFmtId="164" xfId="0" applyAlignment="1" applyBorder="1" applyFont="1" applyNumberFormat="1">
      <alignment horizontal="right" vertical="center"/>
    </xf>
    <xf borderId="15" fillId="0" fontId="1" numFmtId="0" xfId="0" applyAlignment="1" applyBorder="1" applyFont="1">
      <alignment horizontal="left" vertical="center"/>
    </xf>
    <xf borderId="15" fillId="0" fontId="38" numFmtId="164" xfId="0" applyAlignment="1" applyBorder="1" applyFont="1" applyNumberFormat="1">
      <alignment horizontal="right" shrinkToFit="0" vertical="center" wrapText="1"/>
    </xf>
    <xf borderId="15" fillId="0" fontId="1" numFmtId="0" xfId="0" applyAlignment="1" applyBorder="1" applyFont="1">
      <alignment horizontal="left" shrinkToFit="0" vertical="center" wrapText="1"/>
    </xf>
    <xf borderId="15" fillId="0" fontId="39" numFmtId="49" xfId="0" applyAlignment="1" applyBorder="1" applyFont="1" applyNumberFormat="1">
      <alignment horizontal="left" vertical="center"/>
    </xf>
    <xf borderId="15" fillId="0" fontId="38" numFmtId="164" xfId="0" applyAlignment="1" applyBorder="1" applyFont="1" applyNumberFormat="1">
      <alignment horizontal="center" vertical="center"/>
    </xf>
    <xf borderId="15" fillId="0" fontId="39" numFmtId="49" xfId="0" applyAlignment="1" applyBorder="1" applyFont="1" applyNumberFormat="1">
      <alignment horizontal="left" shrinkToFit="0" vertical="center" wrapText="1"/>
    </xf>
    <xf borderId="15" fillId="0" fontId="38" numFmtId="164" xfId="0" applyAlignment="1" applyBorder="1" applyFont="1" applyNumberFormat="1">
      <alignment horizontal="center" shrinkToFit="0" vertical="center" wrapText="1"/>
    </xf>
    <xf borderId="15" fillId="0" fontId="40" numFmtId="49" xfId="0" applyAlignment="1" applyBorder="1" applyFont="1" applyNumberFormat="1">
      <alignment horizontal="left" vertical="center"/>
    </xf>
    <xf borderId="15" fillId="0" fontId="1" numFmtId="49" xfId="0" applyAlignment="1" applyBorder="1" applyFont="1" applyNumberFormat="1">
      <alignment horizontal="left" shrinkToFit="0" vertical="center" wrapText="1"/>
    </xf>
    <xf borderId="15" fillId="0" fontId="10" numFmtId="0" xfId="0" applyAlignment="1" applyBorder="1" applyFont="1">
      <alignment vertical="center"/>
    </xf>
    <xf borderId="15" fillId="0" fontId="38" numFmtId="4" xfId="0" applyAlignment="1" applyBorder="1" applyFont="1" applyNumberFormat="1">
      <alignment horizontal="right" vertical="center"/>
    </xf>
    <xf borderId="15" fillId="0" fontId="38" numFmtId="4" xfId="0" applyAlignment="1" applyBorder="1" applyFont="1" applyNumberFormat="1">
      <alignment horizontal="right" shrinkToFit="0" vertical="center" wrapText="1"/>
    </xf>
    <xf borderId="15" fillId="0" fontId="1" numFmtId="0" xfId="0" applyAlignment="1" applyBorder="1" applyFont="1">
      <alignment vertical="center"/>
    </xf>
    <xf borderId="15" fillId="0" fontId="41" numFmtId="4" xfId="0" applyAlignment="1" applyBorder="1" applyFont="1" applyNumberFormat="1">
      <alignment horizontal="right" shrinkToFit="0" vertical="center" wrapText="1"/>
    </xf>
    <xf borderId="15" fillId="0" fontId="42" numFmtId="0" xfId="0" applyAlignment="1" applyBorder="1" applyFont="1">
      <alignment horizontal="left" shrinkToFit="0" vertical="center" wrapText="1"/>
    </xf>
    <xf borderId="23" fillId="0" fontId="11" numFmtId="0" xfId="0" applyAlignment="1" applyBorder="1" applyFont="1">
      <alignment horizontal="left" shrinkToFit="0" vertical="center" wrapText="1"/>
    </xf>
    <xf borderId="24" fillId="0" fontId="43" numFmtId="0" xfId="0" applyAlignment="1" applyBorder="1" applyFont="1">
      <alignment horizontal="left" shrinkToFit="0" vertical="center" wrapText="1"/>
    </xf>
    <xf borderId="15" fillId="0" fontId="1" numFmtId="0" xfId="0" applyAlignment="1" applyBorder="1" applyFont="1">
      <alignment shrinkToFit="0" vertical="center" wrapText="1"/>
    </xf>
    <xf borderId="15" fillId="0" fontId="40" numFmtId="49" xfId="0" applyAlignment="1" applyBorder="1" applyFont="1" applyNumberFormat="1">
      <alignment horizontal="left" shrinkToFit="0" vertical="center" wrapText="1"/>
    </xf>
    <xf borderId="23" fillId="0" fontId="10" numFmtId="0" xfId="0" applyAlignment="1" applyBorder="1" applyFont="1">
      <alignment horizontal="left" shrinkToFit="0" vertical="center" wrapText="1"/>
    </xf>
    <xf borderId="24" fillId="0" fontId="7" numFmtId="0" xfId="0" applyAlignment="1" applyBorder="1" applyFont="1">
      <alignment horizontal="left" shrinkToFit="0" vertical="center" wrapText="1"/>
    </xf>
    <xf borderId="15" fillId="0" fontId="40" numFmtId="0" xfId="0" applyAlignment="1" applyBorder="1" applyFont="1">
      <alignment horizontal="left" shrinkToFit="1" vertical="center" wrapText="0"/>
    </xf>
    <xf borderId="23" fillId="0" fontId="10" numFmtId="49" xfId="0" applyAlignment="1" applyBorder="1" applyFont="1" applyNumberFormat="1">
      <alignment horizontal="left" shrinkToFit="0" vertical="center" wrapText="1"/>
    </xf>
    <xf borderId="24" fillId="0" fontId="7" numFmtId="49" xfId="0" applyAlignment="1" applyBorder="1" applyFont="1" applyNumberFormat="1">
      <alignment horizontal="left" shrinkToFit="0" vertical="center" wrapText="1"/>
    </xf>
    <xf borderId="15" fillId="6" fontId="1" numFmtId="0" xfId="0" applyAlignment="1" applyBorder="1" applyFont="1">
      <alignment horizontal="left" shrinkToFit="0" vertical="center" wrapText="1"/>
    </xf>
    <xf borderId="15" fillId="6" fontId="38" numFmtId="164" xfId="0" applyAlignment="1" applyBorder="1" applyFont="1" applyNumberFormat="1">
      <alignment horizontal="center" shrinkToFit="0" vertical="center" wrapText="1"/>
    </xf>
    <xf borderId="15" fillId="0" fontId="38" numFmtId="164" xfId="0" applyAlignment="1" applyBorder="1" applyFont="1" applyNumberFormat="1">
      <alignment shrinkToFit="0" vertical="center" wrapText="1"/>
    </xf>
    <xf borderId="15" fillId="0" fontId="38" numFmtId="164" xfId="0" applyAlignment="1" applyBorder="1" applyFont="1" applyNumberFormat="1">
      <alignment vertical="center"/>
    </xf>
    <xf borderId="0" fillId="0" fontId="10" numFmtId="0" xfId="0" applyAlignment="1" applyFont="1">
      <alignment vertical="center"/>
    </xf>
    <xf borderId="0" fillId="0" fontId="7" numFmtId="0" xfId="0" applyAlignment="1" applyFont="1">
      <alignment vertical="center"/>
    </xf>
    <xf borderId="0" fillId="0" fontId="1" numFmtId="0" xfId="0" applyAlignment="1" applyFont="1">
      <alignment vertical="center"/>
    </xf>
    <xf borderId="0" fillId="0" fontId="38" numFmtId="164" xfId="0" applyAlignment="1" applyFont="1" applyNumberFormat="1">
      <alignment vertical="center"/>
    </xf>
    <xf borderId="0" fillId="0" fontId="13" numFmtId="14" xfId="0" applyAlignment="1" applyFont="1" applyNumberFormat="1">
      <alignment horizontal="center" vertical="center"/>
    </xf>
    <xf borderId="27" fillId="3" fontId="3" numFmtId="164" xfId="0" applyAlignment="1" applyBorder="1" applyFont="1" applyNumberFormat="1">
      <alignment horizontal="center" vertical="center"/>
    </xf>
    <xf borderId="0" fillId="0" fontId="7" numFmtId="164" xfId="0" applyAlignment="1" applyFont="1" applyNumberFormat="1">
      <alignment horizontal="center" vertical="center"/>
    </xf>
    <xf borderId="2" fillId="2" fontId="40" numFmtId="164" xfId="0" applyAlignment="1" applyBorder="1" applyFont="1" applyNumberFormat="1">
      <alignment horizontal="center" shrinkToFit="0" vertical="center" wrapText="1"/>
    </xf>
    <xf borderId="28" fillId="2" fontId="3" numFmtId="14" xfId="0" applyAlignment="1" applyBorder="1" applyFont="1" applyNumberFormat="1">
      <alignment horizontal="center" shrinkToFit="0" vertical="center" wrapText="1"/>
    </xf>
    <xf borderId="6" fillId="3" fontId="2" numFmtId="164" xfId="0" applyAlignment="1" applyBorder="1" applyFont="1" applyNumberFormat="1">
      <alignment horizontal="center" shrinkToFit="0" vertical="center" wrapText="1"/>
    </xf>
    <xf borderId="29" fillId="0" fontId="4" numFmtId="0" xfId="0" applyBorder="1" applyFont="1"/>
    <xf borderId="13" fillId="3" fontId="3" numFmtId="164" xfId="0" applyAlignment="1" applyBorder="1" applyFont="1" applyNumberFormat="1">
      <alignment horizontal="center" shrinkToFit="0" vertical="center" wrapText="1"/>
    </xf>
    <xf borderId="15" fillId="0" fontId="27" numFmtId="49" xfId="0" applyAlignment="1" applyBorder="1" applyFont="1" applyNumberFormat="1">
      <alignment shrinkToFit="0" vertical="center" wrapText="1"/>
    </xf>
    <xf borderId="15" fillId="0" fontId="27" numFmtId="0" xfId="0" applyAlignment="1" applyBorder="1" applyFont="1">
      <alignment shrinkToFit="0" vertical="center" wrapText="1"/>
    </xf>
    <xf borderId="15" fillId="0" fontId="28" numFmtId="164" xfId="0" applyAlignment="1" applyBorder="1" applyFont="1" applyNumberFormat="1">
      <alignment vertical="center"/>
    </xf>
    <xf borderId="14" fillId="0" fontId="13" numFmtId="165" xfId="0" applyAlignment="1" applyBorder="1" applyFont="1" applyNumberFormat="1">
      <alignment horizontal="center" vertical="center"/>
    </xf>
    <xf borderId="30" fillId="3" fontId="3" numFmtId="164" xfId="0" applyAlignment="1" applyBorder="1" applyFont="1" applyNumberFormat="1">
      <alignment horizontal="center" vertical="center"/>
    </xf>
    <xf borderId="21" fillId="6" fontId="1" numFmtId="0" xfId="0" applyAlignment="1" applyBorder="1" applyFont="1">
      <alignment horizontal="center" shrinkToFit="0" vertical="center" wrapText="1"/>
    </xf>
    <xf borderId="26" fillId="0" fontId="28" numFmtId="164" xfId="0" applyAlignment="1" applyBorder="1" applyFont="1" applyNumberFormat="1">
      <alignment vertical="center"/>
    </xf>
    <xf borderId="23" fillId="3" fontId="3" numFmtId="164" xfId="0" applyAlignment="1" applyBorder="1" applyFont="1" applyNumberFormat="1">
      <alignment horizontal="center" vertical="center"/>
    </xf>
    <xf borderId="23" fillId="6" fontId="7" numFmtId="164" xfId="0" applyAlignment="1" applyBorder="1" applyFont="1" applyNumberFormat="1">
      <alignment horizontal="center" vertical="center"/>
    </xf>
    <xf borderId="22" fillId="6" fontId="7" numFmtId="164" xfId="0" applyAlignment="1" applyBorder="1" applyFont="1" applyNumberFormat="1">
      <alignment horizontal="center" vertical="center"/>
    </xf>
    <xf borderId="24" fillId="0" fontId="1" numFmtId="0" xfId="0" applyAlignment="1" applyBorder="1" applyFont="1">
      <alignment vertical="center"/>
    </xf>
    <xf borderId="25" fillId="8" fontId="28" numFmtId="164" xfId="0" applyAlignment="1" applyBorder="1" applyFill="1" applyFont="1" applyNumberFormat="1">
      <alignment vertical="center"/>
    </xf>
    <xf borderId="25" fillId="7" fontId="28" numFmtId="164" xfId="0" applyAlignment="1" applyBorder="1" applyFont="1" applyNumberFormat="1">
      <alignment vertical="center"/>
    </xf>
    <xf borderId="23" fillId="3" fontId="20" numFmtId="164" xfId="0" applyAlignment="1" applyBorder="1" applyFont="1" applyNumberFormat="1">
      <alignment horizontal="left" vertical="center"/>
    </xf>
    <xf borderId="0" fillId="0" fontId="27" numFmtId="2" xfId="0" applyAlignment="1" applyFont="1" applyNumberFormat="1">
      <alignment vertical="center"/>
    </xf>
    <xf borderId="0" fillId="0" fontId="33" numFmtId="0" xfId="0" applyAlignment="1" applyFont="1">
      <alignment horizontal="center" vertical="center"/>
    </xf>
    <xf borderId="0" fillId="0" fontId="33" numFmtId="0" xfId="0" applyFont="1"/>
    <xf borderId="0" fillId="0" fontId="33" numFmtId="0" xfId="0" applyAlignment="1" applyFont="1">
      <alignment shrinkToFit="0" wrapText="1"/>
    </xf>
    <xf borderId="25" fillId="6" fontId="28" numFmtId="164" xfId="0" applyAlignment="1" applyBorder="1" applyFont="1" applyNumberFormat="1">
      <alignment vertical="center"/>
    </xf>
    <xf borderId="15" fillId="0" fontId="27" numFmtId="0" xfId="0" applyAlignment="1" applyBorder="1" applyFont="1">
      <alignment shrinkToFit="0" wrapText="1"/>
    </xf>
    <xf borderId="15" fillId="8" fontId="27" numFmtId="0" xfId="0" applyAlignment="1" applyBorder="1" applyFont="1">
      <alignment vertical="center"/>
    </xf>
    <xf borderId="15" fillId="8" fontId="27" numFmtId="49" xfId="0" applyAlignment="1" applyBorder="1" applyFont="1" applyNumberFormat="1">
      <alignment vertical="center"/>
    </xf>
    <xf borderId="15" fillId="8" fontId="27" numFmtId="0" xfId="0" applyAlignment="1" applyBorder="1" applyFont="1">
      <alignment shrinkToFit="0" vertical="center" wrapText="1"/>
    </xf>
    <xf borderId="23" fillId="8" fontId="3" numFmtId="164" xfId="0" applyAlignment="1" applyBorder="1" applyFont="1" applyNumberFormat="1">
      <alignment horizontal="center" vertical="center"/>
    </xf>
    <xf borderId="22" fillId="8" fontId="3" numFmtId="164" xfId="0" applyAlignment="1" applyBorder="1" applyFont="1" applyNumberFormat="1">
      <alignment horizontal="center" vertical="center"/>
    </xf>
    <xf borderId="23" fillId="8" fontId="7" numFmtId="164" xfId="0" applyAlignment="1" applyBorder="1" applyFont="1" applyNumberFormat="1">
      <alignment horizontal="center" vertical="center"/>
    </xf>
    <xf borderId="22" fillId="8" fontId="7" numFmtId="164" xfId="0" applyAlignment="1" applyBorder="1" applyFont="1" applyNumberFormat="1">
      <alignment horizontal="center" vertical="center"/>
    </xf>
    <xf borderId="21" fillId="8" fontId="1" numFmtId="0" xfId="0" applyAlignment="1" applyBorder="1" applyFont="1">
      <alignment vertical="center"/>
    </xf>
    <xf borderId="27" fillId="8" fontId="14" numFmtId="0" xfId="0" applyBorder="1" applyFont="1"/>
    <xf borderId="27" fillId="8" fontId="15" numFmtId="0" xfId="0" applyBorder="1" applyFont="1"/>
    <xf borderId="15" fillId="0" fontId="27" numFmtId="0" xfId="0" applyAlignment="1" applyBorder="1" applyFont="1">
      <alignment horizontal="left" vertical="center"/>
    </xf>
    <xf borderId="15" fillId="0" fontId="27" numFmtId="49" xfId="0" applyAlignment="1" applyBorder="1" applyFont="1" applyNumberFormat="1">
      <alignment shrinkToFit="0" wrapText="1"/>
    </xf>
    <xf borderId="15" fillId="8" fontId="27" numFmtId="0" xfId="0" applyAlignment="1" applyBorder="1" applyFont="1">
      <alignment horizontal="left" vertical="center"/>
    </xf>
    <xf borderId="15" fillId="8" fontId="27" numFmtId="49" xfId="0" applyAlignment="1" applyBorder="1" applyFont="1" applyNumberFormat="1">
      <alignment shrinkToFit="0" vertical="center" wrapText="1"/>
    </xf>
    <xf borderId="15" fillId="6" fontId="33" numFmtId="0" xfId="0" applyBorder="1" applyFont="1"/>
    <xf borderId="15" fillId="0" fontId="11" numFmtId="164" xfId="0" applyAlignment="1" applyBorder="1" applyFont="1" applyNumberFormat="1">
      <alignment vertical="center"/>
    </xf>
    <xf borderId="26" fillId="6" fontId="33" numFmtId="0" xfId="0" applyBorder="1" applyFont="1"/>
    <xf borderId="25" fillId="6" fontId="33" numFmtId="0" xfId="0" applyBorder="1" applyFont="1"/>
    <xf borderId="15" fillId="0" fontId="30" numFmtId="0" xfId="0" applyAlignment="1" applyBorder="1" applyFont="1">
      <alignment shrinkToFit="0" wrapText="1"/>
    </xf>
    <xf borderId="15" fillId="0" fontId="7" numFmtId="0" xfId="0" applyAlignment="1" applyBorder="1" applyFont="1">
      <alignment shrinkToFit="0" vertical="center" wrapText="1"/>
    </xf>
    <xf borderId="15" fillId="0" fontId="43" numFmtId="164" xfId="0" applyAlignment="1" applyBorder="1" applyFont="1" applyNumberFormat="1">
      <alignment vertical="center"/>
    </xf>
    <xf borderId="15" fillId="6" fontId="33" numFmtId="0" xfId="0" applyAlignment="1" applyBorder="1" applyFont="1">
      <alignment vertical="center"/>
    </xf>
    <xf borderId="15" fillId="0" fontId="44" numFmtId="0" xfId="0" applyAlignment="1" applyBorder="1" applyFont="1">
      <alignment shrinkToFit="0" vertical="center" wrapText="1"/>
    </xf>
    <xf borderId="15" fillId="6" fontId="33" numFmtId="164" xfId="0" applyAlignment="1" applyBorder="1" applyFont="1" applyNumberFormat="1">
      <alignment vertical="center"/>
    </xf>
    <xf borderId="25" fillId="6" fontId="33" numFmtId="0" xfId="0" applyAlignment="1" applyBorder="1" applyFont="1">
      <alignment vertical="center"/>
    </xf>
    <xf borderId="25" fillId="6" fontId="33" numFmtId="164" xfId="0" applyAlignment="1" applyBorder="1" applyFont="1" applyNumberFormat="1">
      <alignment vertical="center"/>
    </xf>
    <xf borderId="15" fillId="0" fontId="40" numFmtId="164" xfId="0" applyAlignment="1" applyBorder="1" applyFont="1" applyNumberFormat="1">
      <alignment vertical="center"/>
    </xf>
    <xf borderId="23" fillId="0" fontId="27" numFmtId="0" xfId="0" applyAlignment="1" applyBorder="1" applyFont="1">
      <alignment vertical="center"/>
    </xf>
    <xf borderId="24" fillId="0" fontId="27" numFmtId="0" xfId="0" applyAlignment="1" applyBorder="1" applyFont="1">
      <alignment vertical="center"/>
    </xf>
    <xf borderId="15" fillId="0" fontId="45" numFmtId="0" xfId="0" applyAlignment="1" applyBorder="1" applyFont="1">
      <alignment vertical="center"/>
    </xf>
    <xf borderId="15" fillId="0" fontId="27" numFmtId="49" xfId="0" applyAlignment="1" applyBorder="1" applyFont="1" applyNumberFormat="1">
      <alignment horizontal="center" shrinkToFit="0" vertical="center" wrapText="1"/>
    </xf>
    <xf borderId="15" fillId="0" fontId="27" numFmtId="0" xfId="0" applyAlignment="1" applyBorder="1" applyFont="1">
      <alignment horizontal="center" shrinkToFit="0" vertical="center" wrapText="1"/>
    </xf>
    <xf borderId="25" fillId="7" fontId="28" numFmtId="4" xfId="0" applyAlignment="1" applyBorder="1" applyFont="1" applyNumberFormat="1">
      <alignment horizontal="right" vertical="center"/>
    </xf>
    <xf borderId="23" fillId="3" fontId="7" numFmtId="164" xfId="0" applyAlignment="1" applyBorder="1" applyFont="1" applyNumberFormat="1">
      <alignment horizontal="center" vertical="center"/>
    </xf>
    <xf borderId="22" fillId="3" fontId="7" numFmtId="164" xfId="0" applyAlignment="1" applyBorder="1" applyFont="1" applyNumberFormat="1">
      <alignment horizontal="center" vertical="center"/>
    </xf>
    <xf borderId="25" fillId="6" fontId="28" numFmtId="4" xfId="0" applyAlignment="1" applyBorder="1" applyFont="1" applyNumberFormat="1">
      <alignment horizontal="right" vertical="center"/>
    </xf>
    <xf borderId="15" fillId="0" fontId="27" numFmtId="49" xfId="0" applyAlignment="1" applyBorder="1" applyFont="1" applyNumberFormat="1">
      <alignment horizontal="left" vertical="center"/>
    </xf>
    <xf borderId="31" fillId="0" fontId="27" numFmtId="0" xfId="0" applyAlignment="1" applyBorder="1" applyFont="1">
      <alignment shrinkToFit="0" vertical="center" wrapText="1"/>
    </xf>
    <xf borderId="15" fillId="0" fontId="15" numFmtId="0" xfId="0" applyAlignment="1" applyBorder="1" applyFont="1">
      <alignment shrinkToFit="0" wrapText="1"/>
    </xf>
    <xf borderId="24" fillId="0" fontId="15" numFmtId="0" xfId="0" applyAlignment="1" applyBorder="1" applyFont="1">
      <alignment shrinkToFit="0" wrapText="1"/>
    </xf>
    <xf borderId="26" fillId="0" fontId="28" numFmtId="164" xfId="0" applyAlignment="1" applyBorder="1" applyFont="1" applyNumberFormat="1">
      <alignment horizontal="right" vertical="center"/>
    </xf>
    <xf borderId="23" fillId="0" fontId="46" numFmtId="0" xfId="0" applyAlignment="1" applyBorder="1" applyFont="1">
      <alignment vertical="center"/>
    </xf>
    <xf borderId="15" fillId="0" fontId="19" numFmtId="164" xfId="0" applyAlignment="1" applyBorder="1" applyFont="1" applyNumberFormat="1">
      <alignment vertical="center"/>
    </xf>
    <xf borderId="15" fillId="0" fontId="29" numFmtId="0" xfId="0" applyAlignment="1" applyBorder="1" applyFont="1">
      <alignment horizontal="left" shrinkToFit="0" vertical="center" wrapText="1"/>
    </xf>
    <xf borderId="15" fillId="0" fontId="43" numFmtId="0" xfId="0" applyAlignment="1" applyBorder="1" applyFont="1">
      <alignment shrinkToFit="0" vertical="center" wrapText="1"/>
    </xf>
    <xf borderId="15" fillId="0" fontId="47" numFmtId="164" xfId="0" applyAlignment="1" applyBorder="1" applyFont="1" applyNumberFormat="1">
      <alignment horizontal="center" shrinkToFit="0" vertical="center" wrapText="1"/>
    </xf>
    <xf borderId="15" fillId="0" fontId="29" numFmtId="164" xfId="0" applyAlignment="1" applyBorder="1" applyFont="1" applyNumberFormat="1">
      <alignment horizontal="center" shrinkToFit="0" vertical="center" wrapText="1"/>
    </xf>
    <xf borderId="0" fillId="0" fontId="10" numFmtId="0" xfId="0" applyAlignment="1" applyFont="1">
      <alignment shrinkToFit="0" vertical="center" wrapText="1"/>
    </xf>
    <xf borderId="0" fillId="0" fontId="40" numFmtId="164" xfId="0" applyAlignment="1" applyFont="1" applyNumberFormat="1">
      <alignment vertical="center"/>
    </xf>
    <xf borderId="1" fillId="2" fontId="2" numFmtId="0" xfId="0" applyAlignment="1" applyBorder="1" applyFont="1">
      <alignment horizontal="center" shrinkToFit="0" vertical="center" wrapText="1"/>
    </xf>
    <xf borderId="2" fillId="2" fontId="48" numFmtId="164" xfId="0" applyAlignment="1" applyBorder="1" applyFont="1" applyNumberFormat="1">
      <alignment horizontal="center" shrinkToFit="0" vertical="center" wrapText="1"/>
    </xf>
    <xf borderId="23" fillId="0" fontId="2" numFmtId="0" xfId="0" applyAlignment="1" applyBorder="1" applyFont="1">
      <alignment horizontal="center" shrinkToFit="0" vertical="center" wrapText="1"/>
    </xf>
    <xf borderId="18" fillId="7" fontId="1" numFmtId="0" xfId="0" applyAlignment="1" applyBorder="1" applyFont="1">
      <alignment horizontal="center" shrinkToFit="0" vertical="center" wrapText="1"/>
    </xf>
    <xf borderId="32" fillId="0" fontId="10" numFmtId="0" xfId="0" applyAlignment="1" applyBorder="1" applyFont="1">
      <alignment vertical="center"/>
    </xf>
    <xf borderId="15" fillId="0" fontId="49" numFmtId="0" xfId="0" applyAlignment="1" applyBorder="1" applyFont="1">
      <alignment horizontal="left" vertical="center"/>
    </xf>
    <xf borderId="15" fillId="0" fontId="7" numFmtId="0" xfId="0" applyAlignment="1" applyBorder="1" applyFont="1">
      <alignment horizontal="left" shrinkToFit="0" vertical="center" wrapText="1"/>
    </xf>
    <xf borderId="26" fillId="0" fontId="10" numFmtId="0" xfId="0" applyAlignment="1" applyBorder="1" applyFont="1">
      <alignment horizontal="left" shrinkToFit="0" vertical="center" wrapText="1"/>
    </xf>
    <xf borderId="15" fillId="0" fontId="33" numFmtId="164" xfId="0" applyAlignment="1" applyBorder="1" applyFont="1" applyNumberFormat="1">
      <alignment vertical="center"/>
    </xf>
    <xf borderId="22" fillId="0" fontId="13" numFmtId="166" xfId="0" applyAlignment="1" applyBorder="1" applyFont="1" applyNumberFormat="1">
      <alignment horizontal="center" vertical="center"/>
    </xf>
    <xf borderId="15" fillId="0" fontId="33" numFmtId="0" xfId="0" applyAlignment="1" applyBorder="1" applyFont="1">
      <alignment horizontal="left" shrinkToFit="0" vertical="center" wrapText="1"/>
    </xf>
    <xf borderId="15" fillId="0" fontId="33" numFmtId="0" xfId="0" applyAlignment="1" applyBorder="1" applyFont="1">
      <alignment horizontal="left" vertical="center"/>
    </xf>
    <xf borderId="15" fillId="0" fontId="50" numFmtId="164" xfId="0" applyAlignment="1" applyBorder="1" applyFont="1" applyNumberFormat="1">
      <alignment horizontal="left" shrinkToFit="0" vertical="center" wrapText="1"/>
    </xf>
    <xf borderId="15" fillId="0" fontId="51" numFmtId="167" xfId="0" applyAlignment="1" applyBorder="1" applyFont="1" applyNumberFormat="1">
      <alignment horizontal="center" vertical="center"/>
    </xf>
    <xf borderId="15" fillId="0" fontId="49" numFmtId="0" xfId="0" applyAlignment="1" applyBorder="1" applyFont="1">
      <alignment horizontal="left" shrinkToFit="0" vertical="center" wrapText="1"/>
    </xf>
    <xf borderId="15" fillId="0" fontId="33" numFmtId="167" xfId="0" applyAlignment="1" applyBorder="1" applyFont="1" applyNumberFormat="1">
      <alignment vertical="center"/>
    </xf>
    <xf borderId="15" fillId="0" fontId="43" numFmtId="0" xfId="0" applyAlignment="1" applyBorder="1" applyFont="1">
      <alignment horizontal="left" shrinkToFit="0" vertical="center" wrapText="1"/>
    </xf>
    <xf borderId="15" fillId="0" fontId="52" numFmtId="164" xfId="0" applyAlignment="1" applyBorder="1" applyFont="1" applyNumberFormat="1">
      <alignment horizontal="center" shrinkToFit="0" vertical="center" wrapText="1"/>
    </xf>
    <xf borderId="15" fillId="0" fontId="53" numFmtId="164" xfId="0" applyAlignment="1" applyBorder="1" applyFont="1" applyNumberFormat="1">
      <alignment horizontal="center" shrinkToFit="0" vertical="center" wrapText="1"/>
    </xf>
    <xf borderId="15" fillId="0" fontId="15" numFmtId="167" xfId="0" applyAlignment="1" applyBorder="1" applyFont="1" applyNumberFormat="1">
      <alignment vertical="center"/>
    </xf>
    <xf borderId="15" fillId="0" fontId="7" numFmtId="49" xfId="0" applyAlignment="1" applyBorder="1" applyFont="1" applyNumberFormat="1">
      <alignment horizontal="left" shrinkToFit="0" vertical="center" wrapText="1"/>
    </xf>
    <xf borderId="15" fillId="0" fontId="54" numFmtId="164" xfId="0" applyAlignment="1" applyBorder="1" applyFont="1" applyNumberFormat="1">
      <alignment horizontal="right" vertical="center"/>
    </xf>
    <xf borderId="15" fillId="0" fontId="54" numFmtId="164" xfId="0" applyAlignment="1" applyBorder="1" applyFont="1" applyNumberFormat="1">
      <alignment horizontal="right" shrinkToFit="0" vertical="center" wrapText="1"/>
    </xf>
    <xf borderId="15" fillId="0" fontId="55" numFmtId="0" xfId="0" applyAlignment="1" applyBorder="1" applyFont="1">
      <alignment horizontal="left" shrinkToFit="0" vertical="center" wrapText="1"/>
    </xf>
    <xf borderId="15" fillId="0" fontId="43" numFmtId="49" xfId="0" applyAlignment="1" applyBorder="1" applyFont="1" applyNumberFormat="1">
      <alignment horizontal="left" shrinkToFit="0" vertical="center" wrapText="1"/>
    </xf>
    <xf borderId="15" fillId="0" fontId="54" numFmtId="164" xfId="0" applyAlignment="1" applyBorder="1" applyFont="1" applyNumberFormat="1">
      <alignment horizontal="center" vertical="center"/>
    </xf>
    <xf borderId="15" fillId="0" fontId="54" numFmtId="164" xfId="0" applyAlignment="1" applyBorder="1" applyFont="1" applyNumberFormat="1">
      <alignment horizontal="center" shrinkToFit="0" vertical="center" wrapText="1"/>
    </xf>
    <xf borderId="15" fillId="0" fontId="54" numFmtId="4" xfId="0" applyAlignment="1" applyBorder="1" applyFont="1" applyNumberFormat="1">
      <alignment horizontal="right" vertical="center"/>
    </xf>
    <xf borderId="15" fillId="0" fontId="54" numFmtId="4" xfId="0" applyAlignment="1" applyBorder="1" applyFont="1" applyNumberFormat="1">
      <alignment horizontal="right" shrinkToFit="0" vertical="center" wrapText="1"/>
    </xf>
    <xf borderId="15" fillId="0" fontId="56" numFmtId="4" xfId="0" applyAlignment="1" applyBorder="1" applyFont="1" applyNumberFormat="1">
      <alignment horizontal="right" shrinkToFit="0" vertical="center" wrapText="1"/>
    </xf>
    <xf borderId="15" fillId="0" fontId="57" numFmtId="0" xfId="0" applyAlignment="1" applyBorder="1" applyFont="1">
      <alignment horizontal="left" shrinkToFit="0" vertical="center" wrapText="1"/>
    </xf>
    <xf borderId="15" fillId="6" fontId="54" numFmtId="164" xfId="0" applyAlignment="1" applyBorder="1" applyFont="1" applyNumberFormat="1">
      <alignment horizontal="center" shrinkToFit="0" vertical="center" wrapText="1"/>
    </xf>
    <xf borderId="15" fillId="0" fontId="54" numFmtId="164" xfId="0" applyAlignment="1" applyBorder="1" applyFont="1" applyNumberFormat="1">
      <alignment shrinkToFit="0" vertical="center" wrapText="1"/>
    </xf>
    <xf borderId="15" fillId="0" fontId="54" numFmtId="164" xfId="0" applyAlignment="1" applyBorder="1" applyFont="1" applyNumberFormat="1">
      <alignment vertical="center"/>
    </xf>
    <xf borderId="0" fillId="0" fontId="1" numFmtId="0" xfId="0" applyAlignment="1" applyFont="1">
      <alignment horizontal="left" vertical="center"/>
    </xf>
    <xf borderId="0" fillId="0" fontId="10" numFmtId="0" xfId="0" applyAlignment="1" applyFont="1">
      <alignment horizontal="left" shrinkToFit="0" vertical="center" wrapText="1"/>
    </xf>
    <xf borderId="0" fillId="0" fontId="54" numFmtId="164" xfId="0" applyAlignment="1" applyFont="1" applyNumberFormat="1">
      <alignment vertical="center"/>
    </xf>
    <xf borderId="1" fillId="2" fontId="31" numFmtId="0" xfId="0" applyAlignment="1" applyBorder="1" applyFont="1">
      <alignment horizontal="center" shrinkToFit="0" vertical="center" wrapText="1"/>
    </xf>
    <xf borderId="1" fillId="2" fontId="23" numFmtId="0" xfId="0" applyAlignment="1" applyBorder="1" applyFont="1">
      <alignment horizontal="center" shrinkToFit="0" vertical="center" wrapText="1"/>
    </xf>
    <xf borderId="2" fillId="2" fontId="31" numFmtId="0" xfId="0" applyAlignment="1" applyBorder="1" applyFont="1">
      <alignment horizontal="center" shrinkToFit="0" vertical="center" wrapText="1"/>
    </xf>
    <xf borderId="2" fillId="2" fontId="31" numFmtId="0" xfId="0" applyAlignment="1" applyBorder="1" applyFont="1">
      <alignment horizontal="center" shrinkToFit="0" vertical="center" wrapText="0"/>
    </xf>
    <xf borderId="2" fillId="2" fontId="58" numFmtId="164" xfId="0" applyAlignment="1" applyBorder="1" applyFont="1" applyNumberFormat="1">
      <alignment horizontal="center" shrinkToFit="0" vertical="center" wrapText="1"/>
    </xf>
    <xf borderId="3" fillId="2" fontId="31" numFmtId="14" xfId="0" applyAlignment="1" applyBorder="1" applyFont="1" applyNumberFormat="1">
      <alignment horizontal="center" shrinkToFit="0" vertical="center" wrapText="1"/>
    </xf>
    <xf borderId="4" fillId="3" fontId="31" numFmtId="164" xfId="0" applyAlignment="1" applyBorder="1" applyFont="1" applyNumberFormat="1">
      <alignment horizontal="center" shrinkToFit="0" vertical="center" wrapText="1"/>
    </xf>
    <xf borderId="6" fillId="4" fontId="31" numFmtId="164" xfId="0" applyAlignment="1" applyBorder="1" applyFont="1" applyNumberFormat="1">
      <alignment horizontal="center" shrinkToFit="0" vertical="center" wrapText="1"/>
    </xf>
    <xf borderId="6" fillId="5" fontId="31" numFmtId="164" xfId="0" applyAlignment="1" applyBorder="1" applyFont="1" applyNumberFormat="1">
      <alignment horizontal="center" shrinkToFit="0" vertical="center" wrapText="1"/>
    </xf>
    <xf borderId="7" fillId="0" fontId="31" numFmtId="0" xfId="0" applyAlignment="1" applyBorder="1" applyFont="1">
      <alignment horizontal="center" shrinkToFit="0" vertical="center" wrapText="1"/>
    </xf>
    <xf borderId="11" fillId="3" fontId="31" numFmtId="164" xfId="0" applyAlignment="1" applyBorder="1" applyFont="1" applyNumberFormat="1">
      <alignment horizontal="center" shrinkToFit="0" vertical="center" wrapText="1"/>
    </xf>
    <xf borderId="12" fillId="3" fontId="31" numFmtId="164" xfId="0" applyAlignment="1" applyBorder="1" applyFont="1" applyNumberFormat="1">
      <alignment horizontal="center" shrinkToFit="0" vertical="center" wrapText="1"/>
    </xf>
    <xf borderId="13" fillId="4" fontId="31" numFmtId="164" xfId="0" applyAlignment="1" applyBorder="1" applyFont="1" applyNumberFormat="1">
      <alignment horizontal="center" shrinkToFit="0" vertical="center" wrapText="1"/>
    </xf>
    <xf borderId="12" fillId="4" fontId="31" numFmtId="164" xfId="0" applyAlignment="1" applyBorder="1" applyFont="1" applyNumberFormat="1">
      <alignment horizontal="center" shrinkToFit="0" vertical="center" wrapText="1"/>
    </xf>
    <xf borderId="13" fillId="5" fontId="31" numFmtId="164" xfId="0" applyAlignment="1" applyBorder="1" applyFont="1" applyNumberFormat="1">
      <alignment horizontal="center" shrinkToFit="0" vertical="center" wrapText="1"/>
    </xf>
    <xf borderId="12" fillId="5" fontId="31" numFmtId="164" xfId="0" applyAlignment="1" applyBorder="1" applyFont="1" applyNumberFormat="1">
      <alignment horizontal="center" shrinkToFit="0" vertical="center" wrapText="1"/>
    </xf>
    <xf borderId="26" fillId="0" fontId="30" numFmtId="0" xfId="0" applyAlignment="1" applyBorder="1" applyFont="1">
      <alignment horizontal="left"/>
    </xf>
    <xf borderId="15" fillId="0" fontId="59" numFmtId="0" xfId="0" applyAlignment="1" applyBorder="1" applyFont="1">
      <alignment horizontal="left" vertical="center"/>
    </xf>
    <xf borderId="24" fillId="0" fontId="30" numFmtId="49" xfId="0" applyAlignment="1" applyBorder="1" applyFont="1" applyNumberFormat="1">
      <alignment horizontal="left"/>
    </xf>
    <xf borderId="15" fillId="0" fontId="30" numFmtId="0" xfId="0" applyAlignment="1" applyBorder="1" applyFont="1">
      <alignment horizontal="left" shrinkToFit="0" vertical="center" wrapText="0"/>
    </xf>
    <xf borderId="14" fillId="0" fontId="30" numFmtId="0" xfId="0" applyAlignment="1" applyBorder="1" applyFont="1">
      <alignment horizontal="left"/>
    </xf>
    <xf borderId="33" fillId="9" fontId="58" numFmtId="164" xfId="0" applyAlignment="1" applyBorder="1" applyFill="1" applyFont="1" applyNumberFormat="1">
      <alignment horizontal="right" vertical="center"/>
    </xf>
    <xf borderId="26" fillId="0" fontId="60" numFmtId="14" xfId="0" applyAlignment="1" applyBorder="1" applyFont="1" applyNumberFormat="1">
      <alignment horizontal="center"/>
    </xf>
    <xf borderId="18" fillId="3" fontId="31" numFmtId="164" xfId="0" applyAlignment="1" applyBorder="1" applyFont="1" applyNumberFormat="1">
      <alignment horizontal="center" vertical="center"/>
    </xf>
    <xf borderId="19" fillId="3" fontId="31" numFmtId="164" xfId="0" applyAlignment="1" applyBorder="1" applyFont="1" applyNumberFormat="1">
      <alignment horizontal="center" vertical="center"/>
    </xf>
    <xf borderId="20" fillId="0" fontId="31" numFmtId="164" xfId="0" applyAlignment="1" applyBorder="1" applyFont="1" applyNumberFormat="1">
      <alignment horizontal="center" vertical="center"/>
    </xf>
    <xf borderId="17" fillId="0" fontId="31" numFmtId="164" xfId="0" applyAlignment="1" applyBorder="1" applyFont="1" applyNumberFormat="1">
      <alignment horizontal="center" vertical="center"/>
    </xf>
    <xf borderId="24" fillId="0" fontId="31" numFmtId="0" xfId="0" applyAlignment="1" applyBorder="1" applyFont="1">
      <alignment vertical="center"/>
    </xf>
    <xf borderId="26" fillId="0" fontId="59" numFmtId="0" xfId="0" applyAlignment="1" applyBorder="1" applyFont="1">
      <alignment horizontal="left" vertical="center"/>
    </xf>
    <xf borderId="14" fillId="0" fontId="30" numFmtId="49" xfId="0" applyAlignment="1" applyBorder="1" applyFont="1" applyNumberFormat="1">
      <alignment horizontal="left"/>
    </xf>
    <xf borderId="26" fillId="0" fontId="30" numFmtId="0" xfId="0" applyAlignment="1" applyBorder="1" applyFont="1">
      <alignment horizontal="left" shrinkToFit="0" vertical="center" wrapText="0"/>
    </xf>
    <xf borderId="21" fillId="3" fontId="31" numFmtId="164" xfId="0" applyAlignment="1" applyBorder="1" applyFont="1" applyNumberFormat="1">
      <alignment horizontal="center" vertical="center"/>
    </xf>
    <xf borderId="22" fillId="3" fontId="31" numFmtId="164" xfId="0" applyAlignment="1" applyBorder="1" applyFont="1" applyNumberFormat="1">
      <alignment horizontal="center" vertical="center"/>
    </xf>
    <xf borderId="23" fillId="0" fontId="31" numFmtId="164" xfId="0" applyAlignment="1" applyBorder="1" applyFont="1" applyNumberFormat="1">
      <alignment horizontal="center" vertical="center"/>
    </xf>
    <xf borderId="22" fillId="0" fontId="31" numFmtId="164" xfId="0" applyAlignment="1" applyBorder="1" applyFont="1" applyNumberFormat="1">
      <alignment horizontal="center" vertical="center"/>
    </xf>
    <xf borderId="26" fillId="0" fontId="30" numFmtId="49" xfId="0" applyAlignment="1" applyBorder="1" applyFont="1" applyNumberFormat="1">
      <alignment horizontal="left" shrinkToFit="0" wrapText="0"/>
    </xf>
    <xf borderId="18" fillId="9" fontId="30" numFmtId="49" xfId="0" applyAlignment="1" applyBorder="1" applyFont="1" applyNumberFormat="1">
      <alignment horizontal="left"/>
    </xf>
    <xf borderId="14" fillId="0" fontId="58" numFmtId="164" xfId="0" applyAlignment="1" applyBorder="1" applyFont="1" applyNumberFormat="1">
      <alignment horizontal="right" vertical="center"/>
    </xf>
    <xf borderId="14" fillId="0" fontId="60" numFmtId="14" xfId="0" applyAlignment="1" applyBorder="1" applyFont="1" applyNumberFormat="1">
      <alignment horizontal="center"/>
    </xf>
    <xf borderId="0" fillId="0" fontId="30" numFmtId="0" xfId="0" applyAlignment="1" applyFont="1">
      <alignment horizontal="left" shrinkToFit="0" wrapText="0"/>
    </xf>
    <xf borderId="15" fillId="0" fontId="30" numFmtId="49" xfId="0" applyAlignment="1" applyBorder="1" applyFont="1" applyNumberFormat="1">
      <alignment horizontal="left" shrinkToFit="0" wrapText="0"/>
    </xf>
    <xf borderId="26" fillId="0" fontId="30" numFmtId="0" xfId="0" applyAlignment="1" applyBorder="1" applyFont="1">
      <alignment horizontal="left" shrinkToFit="0" wrapText="0"/>
    </xf>
    <xf borderId="25" fillId="9" fontId="30" numFmtId="0" xfId="0" applyAlignment="1" applyBorder="1" applyFont="1">
      <alignment horizontal="left" shrinkToFit="0" wrapText="0"/>
    </xf>
    <xf borderId="25" fillId="6" fontId="30" numFmtId="0" xfId="0" applyAlignment="1" applyBorder="1" applyFont="1">
      <alignment horizontal="left"/>
    </xf>
    <xf borderId="25" fillId="6" fontId="59" numFmtId="0" xfId="0" applyAlignment="1" applyBorder="1" applyFont="1">
      <alignment horizontal="left" vertical="center"/>
    </xf>
    <xf borderId="18" fillId="6" fontId="30" numFmtId="0" xfId="0" applyAlignment="1" applyBorder="1" applyFont="1">
      <alignment horizontal="left"/>
    </xf>
    <xf borderId="25" fillId="6" fontId="30" numFmtId="0" xfId="0" applyAlignment="1" applyBorder="1" applyFont="1">
      <alignment horizontal="left" shrinkToFit="0" wrapText="0"/>
    </xf>
    <xf borderId="18" fillId="6" fontId="58" numFmtId="164" xfId="0" applyAlignment="1" applyBorder="1" applyFont="1" applyNumberFormat="1">
      <alignment horizontal="right" vertical="center"/>
    </xf>
    <xf borderId="21" fillId="6" fontId="31" numFmtId="0" xfId="0" applyAlignment="1" applyBorder="1" applyFont="1">
      <alignment vertical="center"/>
    </xf>
    <xf borderId="27" fillId="6" fontId="14" numFmtId="0" xfId="0" applyBorder="1" applyFont="1"/>
    <xf borderId="27" fillId="6" fontId="15" numFmtId="0" xfId="0" applyBorder="1" applyFont="1"/>
    <xf borderId="16" fillId="10" fontId="59" numFmtId="0" xfId="0" applyAlignment="1" applyBorder="1" applyFill="1" applyFont="1">
      <alignment horizontal="left" vertical="center"/>
    </xf>
    <xf borderId="15" fillId="0" fontId="30" numFmtId="0" xfId="0" applyAlignment="1" applyBorder="1" applyFont="1">
      <alignment horizontal="left" shrinkToFit="0" wrapText="0"/>
    </xf>
    <xf borderId="24" fillId="0" fontId="30" numFmtId="0" xfId="0" applyAlignment="1" applyBorder="1" applyFont="1">
      <alignment horizontal="left"/>
    </xf>
    <xf borderId="34" fillId="0" fontId="58" numFmtId="164" xfId="0" applyAlignment="1" applyBorder="1" applyFont="1" applyNumberFormat="1">
      <alignment horizontal="right" vertical="center"/>
    </xf>
    <xf borderId="15" fillId="9" fontId="58" numFmtId="164" xfId="0" applyAlignment="1" applyBorder="1" applyFont="1" applyNumberFormat="1">
      <alignment horizontal="right" vertical="center"/>
    </xf>
    <xf borderId="25" fillId="9" fontId="58" numFmtId="164" xfId="0" applyAlignment="1" applyBorder="1" applyFont="1" applyNumberFormat="1">
      <alignment horizontal="right" vertical="center"/>
    </xf>
    <xf borderId="0" fillId="0" fontId="30" numFmtId="0" xfId="0" applyAlignment="1" applyFont="1">
      <alignment horizontal="left"/>
    </xf>
    <xf borderId="15" fillId="0" fontId="30" numFmtId="0" xfId="0" applyAlignment="1" applyBorder="1" applyFont="1">
      <alignment shrinkToFit="0" wrapText="0"/>
    </xf>
    <xf borderId="24" fillId="0" fontId="58" numFmtId="164" xfId="0" applyAlignment="1" applyBorder="1" applyFont="1" applyNumberFormat="1">
      <alignment horizontal="right" vertical="center"/>
    </xf>
    <xf borderId="26" fillId="0" fontId="30" numFmtId="0" xfId="0" applyAlignment="1" applyBorder="1" applyFont="1">
      <alignment shrinkToFit="0" wrapText="0"/>
    </xf>
    <xf borderId="26" fillId="0" fontId="58" numFmtId="164" xfId="0" applyAlignment="1" applyBorder="1" applyFont="1" applyNumberFormat="1">
      <alignment horizontal="right" vertical="center"/>
    </xf>
    <xf borderId="18" fillId="9" fontId="30" numFmtId="49" xfId="0" applyBorder="1" applyFont="1" applyNumberFormat="1"/>
    <xf borderId="26" fillId="0" fontId="61" numFmtId="0" xfId="0" applyAlignment="1" applyBorder="1" applyFont="1">
      <alignment shrinkToFit="0" wrapText="0"/>
    </xf>
    <xf borderId="15" fillId="0" fontId="30" numFmtId="49" xfId="0" applyAlignment="1" applyBorder="1" applyFont="1" applyNumberFormat="1">
      <alignment horizontal="left"/>
    </xf>
    <xf borderId="15" fillId="0" fontId="30" numFmtId="49" xfId="0" applyAlignment="1" applyBorder="1" applyFont="1" applyNumberFormat="1">
      <alignment shrinkToFit="0" wrapText="0"/>
    </xf>
    <xf borderId="15" fillId="0" fontId="30" numFmtId="0" xfId="0" applyAlignment="1" applyBorder="1" applyFont="1">
      <alignment horizontal="left" shrinkToFit="0" wrapText="1"/>
    </xf>
    <xf borderId="15" fillId="0" fontId="58" numFmtId="164" xfId="0" applyAlignment="1" applyBorder="1" applyFont="1" applyNumberFormat="1">
      <alignment horizontal="right" vertical="center"/>
    </xf>
    <xf borderId="26" fillId="0" fontId="30" numFmtId="49" xfId="0" applyAlignment="1" applyBorder="1" applyFont="1" applyNumberFormat="1">
      <alignment horizontal="left"/>
    </xf>
    <xf borderId="26" fillId="0" fontId="30" numFmtId="49" xfId="0" applyAlignment="1" applyBorder="1" applyFont="1" applyNumberFormat="1">
      <alignment shrinkToFit="0" wrapText="0"/>
    </xf>
    <xf borderId="26" fillId="0" fontId="30" numFmtId="0" xfId="0" applyAlignment="1" applyBorder="1" applyFont="1">
      <alignment horizontal="left" shrinkToFit="0" wrapText="1"/>
    </xf>
    <xf borderId="26" fillId="0" fontId="30" numFmtId="4" xfId="0" applyAlignment="1" applyBorder="1" applyFont="1" applyNumberFormat="1">
      <alignment horizontal="left" shrinkToFit="0" wrapText="0"/>
    </xf>
    <xf borderId="21" fillId="3" fontId="31" numFmtId="164" xfId="0" applyAlignment="1" applyBorder="1" applyFont="1" applyNumberFormat="1">
      <alignment horizontal="left" vertical="center"/>
    </xf>
    <xf borderId="22" fillId="3" fontId="31" numFmtId="164" xfId="0" applyAlignment="1" applyBorder="1" applyFont="1" applyNumberFormat="1">
      <alignment horizontal="left" vertical="center"/>
    </xf>
    <xf borderId="23" fillId="0" fontId="31" numFmtId="164" xfId="0" applyAlignment="1" applyBorder="1" applyFont="1" applyNumberFormat="1">
      <alignment horizontal="left" vertical="center"/>
    </xf>
    <xf borderId="22" fillId="0" fontId="31" numFmtId="164" xfId="0" applyAlignment="1" applyBorder="1" applyFont="1" applyNumberFormat="1">
      <alignment horizontal="left" vertical="center"/>
    </xf>
    <xf borderId="24" fillId="0" fontId="31" numFmtId="0" xfId="0" applyAlignment="1" applyBorder="1" applyFont="1">
      <alignment horizontal="left" vertical="center"/>
    </xf>
    <xf borderId="15" fillId="0" fontId="61" numFmtId="0" xfId="0" applyAlignment="1" applyBorder="1" applyFont="1">
      <alignment horizontal="left" shrinkToFit="0" wrapText="0"/>
    </xf>
    <xf borderId="26" fillId="0" fontId="61" numFmtId="0" xfId="0" applyAlignment="1" applyBorder="1" applyFont="1">
      <alignment horizontal="left" shrinkToFit="0" wrapText="0"/>
    </xf>
    <xf borderId="14" fillId="0" fontId="62" numFmtId="0" xfId="0" applyAlignment="1" applyBorder="1" applyFont="1">
      <alignment horizontal="left"/>
    </xf>
    <xf borderId="24" fillId="0" fontId="30" numFmtId="0" xfId="0" applyAlignment="1" applyBorder="1" applyFont="1">
      <alignment horizontal="left" shrinkToFit="0" wrapText="0"/>
    </xf>
    <xf borderId="7" fillId="0" fontId="30" numFmtId="0" xfId="0" applyAlignment="1" applyBorder="1" applyFont="1">
      <alignment horizontal="left"/>
    </xf>
    <xf borderId="14" fillId="0" fontId="30" numFmtId="49" xfId="0" applyAlignment="1" applyBorder="1" applyFont="1" applyNumberFormat="1">
      <alignment horizontal="left" shrinkToFit="0" wrapText="0"/>
    </xf>
    <xf borderId="14" fillId="0" fontId="30" numFmtId="0" xfId="0" applyAlignment="1" applyBorder="1" applyFont="1">
      <alignment horizontal="left" shrinkToFit="0" wrapText="0"/>
    </xf>
    <xf borderId="35" fillId="0" fontId="30" numFmtId="0" xfId="0" applyAlignment="1" applyBorder="1" applyFont="1">
      <alignment horizontal="left"/>
    </xf>
    <xf borderId="36" fillId="0" fontId="59" numFmtId="0" xfId="0" applyAlignment="1" applyBorder="1" applyFont="1">
      <alignment horizontal="left" vertical="center"/>
    </xf>
    <xf borderId="37" fillId="0" fontId="59" numFmtId="0" xfId="0" applyAlignment="1" applyBorder="1" applyFont="1">
      <alignment horizontal="left" vertical="center"/>
    </xf>
    <xf borderId="15" fillId="0" fontId="30" numFmtId="0" xfId="0" applyAlignment="1" applyBorder="1" applyFont="1">
      <alignment horizontal="left"/>
    </xf>
    <xf borderId="15" fillId="0" fontId="31" numFmtId="0" xfId="0" applyAlignment="1" applyBorder="1" applyFont="1">
      <alignment horizontal="left" shrinkToFit="0" vertical="center" wrapText="1"/>
    </xf>
    <xf borderId="15" fillId="0" fontId="31" numFmtId="0" xfId="0" applyAlignment="1" applyBorder="1" applyFont="1">
      <alignment horizontal="left"/>
    </xf>
    <xf borderId="15" fillId="0" fontId="30" numFmtId="49" xfId="0" applyAlignment="1" applyBorder="1" applyFont="1" applyNumberFormat="1">
      <alignment horizontal="left" shrinkToFit="0" vertical="center" wrapText="1"/>
    </xf>
    <xf borderId="24" fillId="0" fontId="30" numFmtId="49" xfId="0" applyAlignment="1" applyBorder="1" applyFont="1" applyNumberFormat="1">
      <alignment horizontal="left" shrinkToFit="0" wrapText="0"/>
    </xf>
    <xf borderId="24" fillId="0" fontId="62" numFmtId="0" xfId="0" applyAlignment="1" applyBorder="1" applyFont="1">
      <alignment horizontal="left"/>
    </xf>
    <xf borderId="26" fillId="0" fontId="59" numFmtId="49" xfId="0" applyAlignment="1" applyBorder="1" applyFont="1" applyNumberFormat="1">
      <alignment horizontal="left" vertical="center"/>
    </xf>
    <xf borderId="24" fillId="0" fontId="63" numFmtId="0" xfId="0" applyAlignment="1" applyBorder="1" applyFont="1">
      <alignment vertical="center"/>
    </xf>
    <xf borderId="15" fillId="0" fontId="30" numFmtId="49" xfId="0" applyAlignment="1" applyBorder="1" applyFont="1" applyNumberFormat="1">
      <alignment horizontal="left" vertical="center"/>
    </xf>
    <xf borderId="15" fillId="0" fontId="31" numFmtId="0" xfId="0" applyAlignment="1" applyBorder="1" applyFont="1">
      <alignment horizontal="left" shrinkToFit="0" vertical="center" wrapText="0"/>
    </xf>
    <xf borderId="15" fillId="0" fontId="64" numFmtId="0" xfId="0" applyAlignment="1" applyBorder="1" applyFont="1">
      <alignment horizontal="left" shrinkToFit="0" vertical="center" wrapText="1"/>
    </xf>
    <xf borderId="22" fillId="0" fontId="60" numFmtId="14" xfId="0" applyAlignment="1" applyBorder="1" applyFont="1" applyNumberFormat="1">
      <alignment horizontal="center" vertical="center"/>
    </xf>
    <xf borderId="23" fillId="0" fontId="31" numFmtId="0" xfId="0" applyAlignment="1" applyBorder="1" applyFont="1">
      <alignment horizontal="left" vertical="center"/>
    </xf>
    <xf borderId="15" fillId="0" fontId="31" numFmtId="0" xfId="0" applyAlignment="1" applyBorder="1" applyFont="1">
      <alignment horizontal="left" vertical="center"/>
    </xf>
    <xf borderId="15" fillId="0" fontId="31" numFmtId="49" xfId="0" applyAlignment="1" applyBorder="1" applyFont="1" applyNumberFormat="1">
      <alignment horizontal="left" shrinkToFit="0" vertical="center" wrapText="0"/>
    </xf>
    <xf borderId="15" fillId="0" fontId="31" numFmtId="49" xfId="0" applyAlignment="1" applyBorder="1" applyFont="1" applyNumberFormat="1">
      <alignment horizontal="left" vertical="center"/>
    </xf>
    <xf borderId="15" fillId="9" fontId="65" numFmtId="0" xfId="0" applyAlignment="1" applyBorder="1" applyFont="1">
      <alignment horizontal="left"/>
    </xf>
    <xf borderId="37" fillId="9" fontId="66" numFmtId="0" xfId="0" applyAlignment="1" applyBorder="1" applyFont="1">
      <alignment horizontal="center" vertical="center"/>
    </xf>
    <xf borderId="15" fillId="9" fontId="67" numFmtId="49" xfId="0" applyAlignment="1" applyBorder="1" applyFont="1" applyNumberFormat="1">
      <alignment horizontal="left"/>
    </xf>
    <xf borderId="38" fillId="9" fontId="68" numFmtId="0" xfId="0" applyAlignment="1" applyBorder="1" applyFont="1">
      <alignment horizontal="left"/>
    </xf>
    <xf borderId="0" fillId="9" fontId="69" numFmtId="0" xfId="0" applyFont="1"/>
    <xf borderId="37" fillId="9" fontId="70" numFmtId="164" xfId="0" applyAlignment="1" applyBorder="1" applyFont="1" applyNumberFormat="1">
      <alignment horizontal="right" shrinkToFit="0" vertical="center" wrapText="0"/>
    </xf>
    <xf borderId="0" fillId="0" fontId="69" numFmtId="168" xfId="0" applyFont="1" applyNumberFormat="1"/>
    <xf borderId="39" fillId="3" fontId="31" numFmtId="164" xfId="0" applyAlignment="1" applyBorder="1" applyFont="1" applyNumberFormat="1">
      <alignment horizontal="center" vertical="center"/>
    </xf>
    <xf borderId="38" fillId="3" fontId="31" numFmtId="164" xfId="0" applyAlignment="1" applyBorder="1" applyFont="1" applyNumberFormat="1">
      <alignment horizontal="center" vertical="center"/>
    </xf>
    <xf borderId="40" fillId="0" fontId="31" numFmtId="164" xfId="0" applyAlignment="1" applyBorder="1" applyFont="1" applyNumberFormat="1">
      <alignment horizontal="center" vertical="center"/>
    </xf>
    <xf borderId="38" fillId="0" fontId="31" numFmtId="164" xfId="0" applyAlignment="1" applyBorder="1" applyFont="1" applyNumberFormat="1">
      <alignment horizontal="center" vertical="center"/>
    </xf>
    <xf borderId="26" fillId="0" fontId="4" numFmtId="0" xfId="0" applyBorder="1" applyFont="1"/>
    <xf borderId="17" fillId="0" fontId="4" numFmtId="0" xfId="0" applyBorder="1" applyFont="1"/>
    <xf borderId="41" fillId="0" fontId="4" numFmtId="0" xfId="0" applyBorder="1" applyFont="1"/>
    <xf borderId="20" fillId="0" fontId="4" numFmtId="0" xfId="0" applyBorder="1" applyFont="1"/>
    <xf borderId="15" fillId="0" fontId="65" numFmtId="0" xfId="0" applyAlignment="1" applyBorder="1" applyFont="1">
      <alignment horizontal="left"/>
    </xf>
    <xf borderId="37" fillId="0" fontId="66" numFmtId="0" xfId="0" applyAlignment="1" applyBorder="1" applyFont="1">
      <alignment horizontal="center" vertical="center"/>
    </xf>
    <xf borderId="15" fillId="0" fontId="67" numFmtId="0" xfId="0" applyAlignment="1" applyBorder="1" applyFont="1">
      <alignment horizontal="left"/>
    </xf>
    <xf borderId="38" fillId="0" fontId="68" numFmtId="0" xfId="0" applyAlignment="1" applyBorder="1" applyFont="1">
      <alignment horizontal="left"/>
    </xf>
    <xf borderId="37" fillId="0" fontId="70" numFmtId="164" xfId="0" applyAlignment="1" applyBorder="1" applyFont="1" applyNumberFormat="1">
      <alignment horizontal="right" shrinkToFit="0" vertical="center" wrapText="0"/>
    </xf>
    <xf borderId="15" fillId="0" fontId="67" numFmtId="49" xfId="0" applyAlignment="1" applyBorder="1" applyFont="1" applyNumberFormat="1">
      <alignment horizontal="left"/>
    </xf>
    <xf borderId="15" fillId="9" fontId="67" numFmtId="0" xfId="0" applyAlignment="1" applyBorder="1" applyFont="1">
      <alignment horizontal="left"/>
    </xf>
    <xf borderId="15" fillId="0" fontId="65" numFmtId="49" xfId="0" applyAlignment="1" applyBorder="1" applyFont="1" applyNumberFormat="1">
      <alignment horizontal="left"/>
    </xf>
    <xf borderId="15" fillId="0" fontId="66" numFmtId="0" xfId="0" applyAlignment="1" applyBorder="1" applyFont="1">
      <alignment horizontal="left" vertical="center"/>
    </xf>
    <xf borderId="15" fillId="0" fontId="68" numFmtId="0" xfId="0" applyAlignment="1" applyBorder="1" applyFont="1">
      <alignment horizontal="left"/>
    </xf>
    <xf borderId="15" fillId="0" fontId="70" numFmtId="164" xfId="0" applyAlignment="1" applyBorder="1" applyFont="1" applyNumberFormat="1">
      <alignment horizontal="right" shrinkToFit="0" vertical="center" wrapText="0"/>
    </xf>
    <xf borderId="37" fillId="0" fontId="65" numFmtId="0" xfId="0" applyAlignment="1" applyBorder="1" applyFont="1">
      <alignment horizontal="left" shrinkToFit="0" wrapText="0"/>
    </xf>
    <xf borderId="15" fillId="0" fontId="71" numFmtId="49" xfId="0" applyBorder="1" applyFont="1" applyNumberFormat="1"/>
    <xf borderId="37" fillId="0" fontId="68" numFmtId="0" xfId="0" applyAlignment="1" applyBorder="1" applyFont="1">
      <alignment horizontal="left"/>
    </xf>
    <xf borderId="15" fillId="0" fontId="65" numFmtId="49" xfId="0" applyBorder="1" applyFont="1" applyNumberFormat="1"/>
    <xf borderId="37" fillId="0" fontId="70" numFmtId="164" xfId="0" applyAlignment="1" applyBorder="1" applyFont="1" applyNumberFormat="1">
      <alignment horizontal="right" vertical="center"/>
    </xf>
    <xf borderId="15" fillId="0" fontId="65" numFmtId="0" xfId="0" applyBorder="1" applyFont="1"/>
    <xf borderId="37" fillId="0" fontId="65" numFmtId="0" xfId="0" applyAlignment="1" applyBorder="1" applyFont="1">
      <alignment horizontal="left"/>
    </xf>
    <xf borderId="37" fillId="0" fontId="66" numFmtId="49" xfId="0" applyAlignment="1" applyBorder="1" applyFont="1" applyNumberFormat="1">
      <alignment horizontal="center" vertical="center"/>
    </xf>
    <xf borderId="37" fillId="9" fontId="65" numFmtId="0" xfId="0" applyAlignment="1" applyBorder="1" applyFont="1">
      <alignment horizontal="left"/>
    </xf>
    <xf borderId="15" fillId="9" fontId="71" numFmtId="49" xfId="0" applyBorder="1" applyFont="1" applyNumberFormat="1"/>
    <xf borderId="37" fillId="9" fontId="68" numFmtId="0" xfId="0" applyAlignment="1" applyBorder="1" applyFont="1">
      <alignment horizontal="left"/>
    </xf>
    <xf borderId="15" fillId="9" fontId="65" numFmtId="0" xfId="0" applyBorder="1" applyFont="1"/>
    <xf borderId="15" fillId="9" fontId="72" numFmtId="164" xfId="0" applyAlignment="1" applyBorder="1" applyFont="1" applyNumberFormat="1">
      <alignment horizontal="right" vertical="center"/>
    </xf>
    <xf borderId="36" fillId="0" fontId="4" numFmtId="0" xfId="0" applyBorder="1" applyFont="1"/>
    <xf borderId="15" fillId="9" fontId="70" numFmtId="164" xfId="0" applyAlignment="1" applyBorder="1" applyFont="1" applyNumberFormat="1">
      <alignment horizontal="right" vertical="center"/>
    </xf>
    <xf borderId="15" fillId="9" fontId="71" numFmtId="0" xfId="0" applyBorder="1" applyFont="1"/>
    <xf borderId="15" fillId="0" fontId="70" numFmtId="164" xfId="0" applyAlignment="1" applyBorder="1" applyFont="1" applyNumberFormat="1">
      <alignment horizontal="right" vertical="center"/>
    </xf>
    <xf borderId="15" fillId="0" fontId="71" numFmtId="0" xfId="0" applyBorder="1" applyFont="1"/>
    <xf borderId="37" fillId="0" fontId="71" numFmtId="0" xfId="0" applyAlignment="1" applyBorder="1" applyFont="1">
      <alignment horizontal="left"/>
    </xf>
    <xf borderId="15" fillId="0" fontId="71" numFmtId="0" xfId="0" applyAlignment="1" applyBorder="1" applyFont="1">
      <alignment horizontal="left"/>
    </xf>
    <xf borderId="15" fillId="0" fontId="31" numFmtId="0" xfId="0" applyAlignment="1" applyBorder="1" applyFont="1">
      <alignment vertical="center"/>
    </xf>
    <xf borderId="23" fillId="0" fontId="30" numFmtId="0" xfId="0" applyAlignment="1" applyBorder="1" applyFont="1">
      <alignment horizontal="left" shrinkToFit="0" vertical="center" wrapText="1"/>
    </xf>
    <xf borderId="24" fillId="0" fontId="59" numFmtId="0" xfId="0" applyAlignment="1" applyBorder="1" applyFont="1">
      <alignment horizontal="left" shrinkToFit="0" vertical="center" wrapText="1"/>
    </xf>
    <xf borderId="15" fillId="0" fontId="71" numFmtId="49" xfId="0" applyAlignment="1" applyBorder="1" applyFont="1" applyNumberFormat="1">
      <alignment horizontal="left"/>
    </xf>
    <xf borderId="37" fillId="0" fontId="71" numFmtId="49" xfId="0" applyAlignment="1" applyBorder="1" applyFont="1" applyNumberFormat="1">
      <alignment horizontal="left"/>
    </xf>
    <xf borderId="15" fillId="9" fontId="71" numFmtId="49" xfId="0" applyAlignment="1" applyBorder="1" applyFont="1" applyNumberFormat="1">
      <alignment horizontal="left"/>
    </xf>
    <xf borderId="37" fillId="9" fontId="71" numFmtId="49" xfId="0" applyAlignment="1" applyBorder="1" applyFont="1" applyNumberFormat="1">
      <alignment horizontal="left"/>
    </xf>
    <xf borderId="15" fillId="9" fontId="31" numFmtId="0" xfId="0" applyAlignment="1" applyBorder="1" applyFont="1">
      <alignment vertical="center"/>
    </xf>
    <xf borderId="37" fillId="9" fontId="72" numFmtId="164" xfId="0" applyAlignment="1" applyBorder="1" applyFont="1" applyNumberFormat="1">
      <alignment horizontal="right" shrinkToFit="0" vertical="center" wrapText="0"/>
    </xf>
    <xf borderId="15" fillId="9" fontId="71" numFmtId="0" xfId="0" applyAlignment="1" applyBorder="1" applyFont="1">
      <alignment horizontal="left"/>
    </xf>
    <xf borderId="23" fillId="0" fontId="31" numFmtId="0" xfId="0" applyAlignment="1" applyBorder="1" applyFont="1">
      <alignment horizontal="left" shrinkToFit="0" vertical="center" wrapText="1"/>
    </xf>
    <xf borderId="24" fillId="0" fontId="63" numFmtId="0" xfId="0" applyAlignment="1" applyBorder="1" applyFont="1">
      <alignment horizontal="left" shrinkToFit="0" vertical="center" wrapText="1"/>
    </xf>
    <xf borderId="37" fillId="9" fontId="71" numFmtId="0" xfId="0" applyAlignment="1" applyBorder="1" applyFont="1">
      <alignment horizontal="left"/>
    </xf>
    <xf borderId="15" fillId="0" fontId="71" numFmtId="49" xfId="0" applyAlignment="1" applyBorder="1" applyFont="1" applyNumberFormat="1">
      <alignment horizontal="left" shrinkToFit="0" wrapText="0"/>
    </xf>
    <xf borderId="37" fillId="9" fontId="70" numFmtId="164" xfId="0" applyAlignment="1" applyBorder="1" applyFont="1" applyNumberFormat="1">
      <alignment horizontal="right" vertical="center"/>
    </xf>
    <xf borderId="23" fillId="0" fontId="31" numFmtId="49" xfId="0" applyAlignment="1" applyBorder="1" applyFont="1" applyNumberFormat="1">
      <alignment horizontal="left" shrinkToFit="0" vertical="center" wrapText="1"/>
    </xf>
    <xf borderId="24" fillId="0" fontId="63" numFmtId="49" xfId="0" applyAlignment="1" applyBorder="1" applyFont="1" applyNumberFormat="1">
      <alignment horizontal="left" shrinkToFit="0" vertical="center" wrapText="1"/>
    </xf>
    <xf borderId="23" fillId="0" fontId="10" numFmtId="0" xfId="0" applyAlignment="1" applyBorder="1" applyFont="1">
      <alignment horizontal="left" vertical="center"/>
    </xf>
    <xf borderId="24" fillId="0" fontId="73" numFmtId="0" xfId="0" applyAlignment="1" applyBorder="1" applyFont="1">
      <alignment vertical="center"/>
    </xf>
    <xf borderId="15" fillId="0" fontId="67" numFmtId="0" xfId="0" applyAlignment="1" applyBorder="1" applyFont="1">
      <alignment horizontal="left" shrinkToFit="0" wrapText="0"/>
    </xf>
    <xf borderId="15" fillId="9" fontId="68" numFmtId="0" xfId="0" applyAlignment="1" applyBorder="1" applyFont="1">
      <alignment horizontal="left"/>
    </xf>
    <xf borderId="37" fillId="0" fontId="67" numFmtId="0" xfId="0" applyAlignment="1" applyBorder="1" applyFont="1">
      <alignment horizontal="left"/>
    </xf>
    <xf borderId="37" fillId="9" fontId="67" numFmtId="0" xfId="0" applyAlignment="1" applyBorder="1" applyFont="1">
      <alignment horizontal="left"/>
    </xf>
    <xf borderId="15" fillId="9" fontId="68" numFmtId="0" xfId="0" applyAlignment="1" applyBorder="1" applyFont="1">
      <alignment horizontal="left" shrinkToFit="0" wrapText="0"/>
    </xf>
    <xf borderId="15" fillId="9" fontId="67" numFmtId="0" xfId="0" applyBorder="1" applyFont="1"/>
    <xf borderId="31" fillId="9" fontId="67" numFmtId="0" xfId="0" applyBorder="1" applyFont="1"/>
    <xf borderId="15" fillId="9" fontId="7" numFmtId="0" xfId="0" applyAlignment="1" applyBorder="1" applyFont="1">
      <alignment vertical="center"/>
    </xf>
    <xf borderId="37" fillId="9" fontId="67" numFmtId="0" xfId="0" applyAlignment="1" applyBorder="1" applyFont="1">
      <alignment horizontal="center"/>
    </xf>
    <xf borderId="15" fillId="9" fontId="10" numFmtId="0" xfId="0" applyAlignment="1" applyBorder="1" applyFont="1">
      <alignment vertical="center"/>
    </xf>
    <xf borderId="37" fillId="9" fontId="72" numFmtId="164" xfId="0" applyAlignment="1" applyBorder="1" applyFont="1" applyNumberFormat="1">
      <alignment horizontal="right" vertical="center"/>
    </xf>
    <xf borderId="37" fillId="9" fontId="70" numFmtId="0" xfId="0" applyAlignment="1" applyBorder="1" applyFont="1">
      <alignment horizontal="center" shrinkToFit="0" wrapText="0"/>
    </xf>
    <xf borderId="37" fillId="9" fontId="70" numFmtId="0" xfId="0" applyAlignment="1" applyBorder="1" applyFont="1">
      <alignment horizontal="left" shrinkToFit="0" wrapText="0"/>
    </xf>
    <xf borderId="37" fillId="9" fontId="67" numFmtId="0" xfId="0" applyBorder="1" applyFont="1"/>
    <xf borderId="36" fillId="0" fontId="67" numFmtId="0" xfId="0" applyAlignment="1" applyBorder="1" applyFont="1">
      <alignment horizontal="center"/>
    </xf>
    <xf borderId="26" fillId="0" fontId="67" numFmtId="0" xfId="0" applyBorder="1" applyFont="1"/>
    <xf borderId="36" fillId="0" fontId="67" numFmtId="0" xfId="0" applyAlignment="1" applyBorder="1" applyFont="1">
      <alignment horizontal="left"/>
    </xf>
    <xf borderId="36" fillId="0" fontId="70" numFmtId="164" xfId="0" applyAlignment="1" applyBorder="1" applyFont="1" applyNumberFormat="1">
      <alignment horizontal="right" vertical="center"/>
    </xf>
    <xf borderId="15" fillId="0" fontId="67" numFmtId="0" xfId="0" applyBorder="1" applyFont="1"/>
    <xf borderId="37" fillId="0" fontId="67" numFmtId="0" xfId="0" applyAlignment="1" applyBorder="1" applyFont="1">
      <alignment horizontal="center"/>
    </xf>
    <xf borderId="42" fillId="9" fontId="74" numFmtId="0" xfId="0" applyAlignment="1" applyBorder="1" applyFont="1">
      <alignment horizontal="center" shrinkToFit="0" wrapText="0"/>
    </xf>
    <xf borderId="42" fillId="9" fontId="74" numFmtId="0" xfId="0" applyAlignment="1" applyBorder="1" applyFont="1">
      <alignment shrinkToFit="0" wrapText="0"/>
    </xf>
    <xf borderId="42" fillId="9" fontId="67" numFmtId="0" xfId="0" applyAlignment="1" applyBorder="1" applyFont="1">
      <alignment shrinkToFit="0" wrapText="0"/>
    </xf>
    <xf borderId="42" fillId="9" fontId="75" numFmtId="164" xfId="0" applyAlignment="1" applyBorder="1" applyFont="1" applyNumberFormat="1">
      <alignment horizontal="right" shrinkToFit="0" vertical="center" wrapText="0"/>
    </xf>
    <xf borderId="0" fillId="9" fontId="10" numFmtId="0" xfId="0" applyAlignment="1" applyFont="1">
      <alignment vertical="center"/>
    </xf>
    <xf borderId="37" fillId="9" fontId="67" numFmtId="0" xfId="0" applyAlignment="1" applyBorder="1" applyFont="1">
      <alignment horizontal="left" vertical="top"/>
    </xf>
    <xf borderId="37" fillId="0" fontId="67" numFmtId="0" xfId="0" applyAlignment="1" applyBorder="1" applyFont="1">
      <alignment horizontal="left" vertical="top"/>
    </xf>
    <xf borderId="15" fillId="0" fontId="67" numFmtId="0" xfId="0" applyAlignment="1" applyBorder="1" applyFont="1">
      <alignment horizontal="center"/>
    </xf>
    <xf borderId="15" fillId="0" fontId="67" numFmtId="0" xfId="0" applyAlignment="1" applyBorder="1" applyFont="1">
      <alignment vertical="top"/>
    </xf>
    <xf borderId="15" fillId="0" fontId="67" numFmtId="0" xfId="0" applyAlignment="1" applyBorder="1" applyFont="1">
      <alignment horizontal="left" vertical="top"/>
    </xf>
    <xf borderId="0" fillId="0" fontId="10" numFmtId="0" xfId="0" applyAlignment="1" applyFont="1">
      <alignment horizontal="left" vertical="center"/>
    </xf>
    <xf borderId="37" fillId="11" fontId="67" numFmtId="0" xfId="0" applyAlignment="1" applyBorder="1" applyFill="1" applyFont="1">
      <alignment horizontal="center"/>
    </xf>
    <xf borderId="15" fillId="11" fontId="67" numFmtId="0" xfId="0" applyBorder="1" applyFont="1"/>
    <xf borderId="37" fillId="11" fontId="67" numFmtId="0" xfId="0" applyAlignment="1" applyBorder="1" applyFont="1">
      <alignment horizontal="left" vertical="top"/>
    </xf>
    <xf borderId="37" fillId="11" fontId="70" numFmtId="164" xfId="0" applyAlignment="1" applyBorder="1" applyFont="1" applyNumberFormat="1">
      <alignment horizontal="right" vertical="center"/>
    </xf>
    <xf borderId="37" fillId="7" fontId="67" numFmtId="0" xfId="0" applyAlignment="1" applyBorder="1" applyFont="1">
      <alignment horizontal="center"/>
    </xf>
    <xf borderId="15" fillId="7" fontId="67" numFmtId="0" xfId="0" applyBorder="1" applyFont="1"/>
    <xf borderId="37" fillId="7" fontId="67" numFmtId="0" xfId="0" applyAlignment="1" applyBorder="1" applyFont="1">
      <alignment horizontal="left" vertical="top"/>
    </xf>
    <xf borderId="37" fillId="7" fontId="70" numFmtId="164" xfId="0" applyAlignment="1" applyBorder="1" applyFont="1" applyNumberFormat="1">
      <alignment horizontal="right" vertical="center"/>
    </xf>
    <xf borderId="37" fillId="11" fontId="67" numFmtId="0" xfId="0" applyAlignment="1" applyBorder="1" applyFont="1">
      <alignment horizontal="left"/>
    </xf>
    <xf borderId="15" fillId="11" fontId="67" numFmtId="0" xfId="0" applyAlignment="1" applyBorder="1" applyFont="1">
      <alignment horizontal="center"/>
    </xf>
    <xf borderId="15" fillId="11" fontId="67" numFmtId="0" xfId="0" applyAlignment="1" applyBorder="1" applyFont="1">
      <alignment horizontal="left"/>
    </xf>
    <xf borderId="15" fillId="11" fontId="70" numFmtId="164" xfId="0" applyAlignment="1" applyBorder="1" applyFont="1" applyNumberFormat="1">
      <alignment horizontal="right" vertical="center"/>
    </xf>
    <xf borderId="26" fillId="0" fontId="67" numFmtId="0" xfId="0" applyAlignment="1" applyBorder="1" applyFont="1">
      <alignment horizontal="center"/>
    </xf>
    <xf borderId="37" fillId="0" fontId="67" numFmtId="0" xfId="0" applyAlignment="1" applyBorder="1" applyFont="1">
      <alignment vertical="top"/>
    </xf>
    <xf borderId="15" fillId="0" fontId="70" numFmtId="4" xfId="0" applyAlignment="1" applyBorder="1" applyFont="1" applyNumberFormat="1">
      <alignment horizontal="right" vertical="center"/>
    </xf>
    <xf borderId="15" fillId="11" fontId="71" numFmtId="0" xfId="0" applyAlignment="1" applyBorder="1" applyFont="1">
      <alignment horizontal="left"/>
    </xf>
    <xf borderId="15" fillId="11" fontId="71" numFmtId="0" xfId="0" applyBorder="1" applyFont="1"/>
    <xf borderId="15" fillId="11" fontId="70" numFmtId="4" xfId="0" applyAlignment="1" applyBorder="1" applyFont="1" applyNumberFormat="1">
      <alignment horizontal="right" vertical="center"/>
    </xf>
    <xf borderId="15" fillId="7" fontId="71" numFmtId="0" xfId="0" applyAlignment="1" applyBorder="1" applyFont="1">
      <alignment horizontal="left"/>
    </xf>
    <xf borderId="15" fillId="7" fontId="71" numFmtId="0" xfId="0" applyBorder="1" applyFont="1"/>
    <xf borderId="15" fillId="7" fontId="70" numFmtId="4" xfId="0" applyAlignment="1" applyBorder="1" applyFont="1" applyNumberFormat="1">
      <alignment horizontal="right" vertical="center"/>
    </xf>
    <xf borderId="15" fillId="11" fontId="71" numFmtId="0" xfId="0" applyAlignment="1" applyBorder="1" applyFont="1">
      <alignment shrinkToFit="0" wrapText="0"/>
    </xf>
    <xf borderId="15" fillId="11" fontId="71" numFmtId="0" xfId="0" applyAlignment="1" applyBorder="1" applyFont="1">
      <alignment horizontal="left" vertical="top"/>
    </xf>
    <xf borderId="15" fillId="11" fontId="70" numFmtId="4" xfId="0" applyAlignment="1" applyBorder="1" applyFont="1" applyNumberFormat="1">
      <alignment horizontal="right" shrinkToFit="0" vertical="center" wrapText="0"/>
    </xf>
    <xf borderId="15" fillId="11" fontId="71" numFmtId="0" xfId="0" applyAlignment="1" applyBorder="1" applyFont="1">
      <alignment vertical="top"/>
    </xf>
    <xf borderId="15" fillId="0" fontId="76" numFmtId="0" xfId="0" applyAlignment="1" applyBorder="1" applyFont="1">
      <alignment horizontal="left"/>
    </xf>
    <xf borderId="15" fillId="0" fontId="76" numFmtId="0" xfId="0" applyBorder="1" applyFont="1"/>
    <xf borderId="15" fillId="0" fontId="72" numFmtId="4" xfId="0" applyAlignment="1" applyBorder="1" applyFont="1" applyNumberFormat="1">
      <alignment horizontal="right" vertical="center"/>
    </xf>
    <xf borderId="15" fillId="0" fontId="71" numFmtId="0" xfId="0" applyAlignment="1" applyBorder="1" applyFont="1">
      <alignment shrinkToFit="0" wrapText="0"/>
    </xf>
    <xf borderId="15" fillId="0" fontId="70" numFmtId="4" xfId="0" applyAlignment="1" applyBorder="1" applyFont="1" applyNumberFormat="1">
      <alignment horizontal="right" shrinkToFit="0" vertical="center" wrapText="0"/>
    </xf>
    <xf borderId="15" fillId="0" fontId="71" numFmtId="0" xfId="0" applyAlignment="1" applyBorder="1" applyFont="1">
      <alignment horizontal="left" vertical="top"/>
    </xf>
    <xf borderId="0" fillId="0" fontId="35" numFmtId="0" xfId="0" applyFont="1"/>
    <xf borderId="0" fillId="0" fontId="21" numFmtId="0" xfId="0" applyAlignment="1" applyFont="1">
      <alignment horizontal="right" vertical="center"/>
    </xf>
    <xf borderId="42" fillId="0" fontId="74" numFmtId="0" xfId="0" applyAlignment="1" applyBorder="1" applyFont="1">
      <alignment horizontal="center" shrinkToFit="0" wrapText="0"/>
    </xf>
    <xf borderId="42" fillId="0" fontId="74" numFmtId="0" xfId="0" applyAlignment="1" applyBorder="1" applyFont="1">
      <alignment shrinkToFit="0" wrapText="0"/>
    </xf>
    <xf borderId="42" fillId="0" fontId="67" numFmtId="0" xfId="0" applyAlignment="1" applyBorder="1" applyFont="1">
      <alignment shrinkToFit="0" wrapText="0"/>
    </xf>
    <xf borderId="42" fillId="0" fontId="75" numFmtId="164" xfId="0" applyAlignment="1" applyBorder="1" applyFont="1" applyNumberFormat="1">
      <alignment horizontal="right" shrinkToFit="0" vertical="center" wrapText="0"/>
    </xf>
    <xf borderId="15" fillId="7" fontId="67" numFmtId="0" xfId="0" applyAlignment="1" applyBorder="1" applyFont="1">
      <alignment horizontal="center"/>
    </xf>
    <xf borderId="15" fillId="7" fontId="67" numFmtId="0" xfId="0" applyAlignment="1" applyBorder="1" applyFont="1">
      <alignment horizontal="left" vertical="top"/>
    </xf>
    <xf borderId="15" fillId="7" fontId="70" numFmtId="164" xfId="0" applyAlignment="1" applyBorder="1" applyFont="1" applyNumberFormat="1">
      <alignment horizontal="right" vertical="center"/>
    </xf>
    <xf borderId="0" fillId="7" fontId="10" numFmtId="0" xfId="0" applyAlignment="1" applyFont="1">
      <alignment horizontal="left" vertical="center"/>
    </xf>
    <xf borderId="0" fillId="0" fontId="73" numFmtId="0" xfId="0" applyAlignment="1" applyFont="1">
      <alignment vertical="center"/>
    </xf>
    <xf borderId="0" fillId="0" fontId="10" numFmtId="0" xfId="0" applyAlignment="1" applyFont="1">
      <alignment shrinkToFit="0" vertical="center" wrapText="0"/>
    </xf>
    <xf borderId="0" fillId="0" fontId="77" numFmtId="164" xfId="0" applyAlignment="1" applyFont="1" applyNumberFormat="1">
      <alignment horizontal="right" vertical="center"/>
    </xf>
    <xf borderId="43" fillId="2" fontId="1" numFmtId="0" xfId="0" applyAlignment="1" applyBorder="1" applyFont="1">
      <alignment horizontal="center" shrinkToFit="0" vertical="center" wrapText="1"/>
    </xf>
    <xf borderId="3" fillId="2" fontId="78" numFmtId="14" xfId="0" applyAlignment="1" applyBorder="1" applyFont="1" applyNumberFormat="1">
      <alignment horizontal="center" shrinkToFit="0" vertical="center" wrapText="1"/>
    </xf>
    <xf borderId="44" fillId="2" fontId="48" numFmtId="164" xfId="0" applyAlignment="1" applyBorder="1" applyFont="1" applyNumberFormat="1">
      <alignment horizontal="center" shrinkToFit="0" vertical="center" wrapText="1"/>
    </xf>
    <xf borderId="45" fillId="0" fontId="4" numFmtId="0" xfId="0" applyBorder="1" applyFont="1"/>
    <xf borderId="46" fillId="0" fontId="4" numFmtId="0" xfId="0" applyBorder="1" applyFont="1"/>
    <xf borderId="26" fillId="0" fontId="49" numFmtId="0" xfId="0" applyAlignment="1" applyBorder="1" applyFont="1">
      <alignment horizontal="left" vertical="center"/>
    </xf>
    <xf borderId="26" fillId="0" fontId="7" numFmtId="0" xfId="0" applyAlignment="1" applyBorder="1" applyFont="1">
      <alignment horizontal="left" vertical="center"/>
    </xf>
    <xf borderId="26" fillId="0" fontId="7" numFmtId="0" xfId="0" applyAlignment="1" applyBorder="1" applyFont="1">
      <alignment horizontal="left" shrinkToFit="0" vertical="center" wrapText="1"/>
    </xf>
    <xf borderId="26" fillId="0" fontId="3" numFmtId="164" xfId="0" applyAlignment="1" applyBorder="1" applyFont="1" applyNumberFormat="1">
      <alignment vertical="center"/>
    </xf>
    <xf borderId="17" fillId="0" fontId="51" numFmtId="14" xfId="0" applyAlignment="1" applyBorder="1" applyFont="1" applyNumberFormat="1">
      <alignment horizontal="center" vertical="center"/>
    </xf>
    <xf borderId="34" fillId="0" fontId="79" numFmtId="4" xfId="0" applyAlignment="1" applyBorder="1" applyFont="1" applyNumberFormat="1">
      <alignment horizontal="center" vertical="center"/>
    </xf>
    <xf borderId="15" fillId="0" fontId="7" numFmtId="0" xfId="0" applyAlignment="1" applyBorder="1" applyFont="1">
      <alignment horizontal="left" vertical="center"/>
    </xf>
    <xf borderId="15" fillId="0" fontId="3" numFmtId="164" xfId="0" applyAlignment="1" applyBorder="1" applyFont="1" applyNumberFormat="1">
      <alignment vertical="center"/>
    </xf>
    <xf borderId="15" fillId="0" fontId="7" numFmtId="0" xfId="0" applyAlignment="1" applyBorder="1" applyFont="1">
      <alignment vertical="center"/>
    </xf>
    <xf borderId="15" fillId="0" fontId="43" numFmtId="164" xfId="0" applyAlignment="1" applyBorder="1" applyFont="1" applyNumberFormat="1">
      <alignment horizontal="center" shrinkToFit="0" vertical="center" wrapText="1"/>
    </xf>
    <xf borderId="15" fillId="0" fontId="79" numFmtId="164" xfId="0" applyAlignment="1" applyBorder="1" applyFont="1" applyNumberFormat="1">
      <alignment horizontal="center" shrinkToFit="0" vertical="center" wrapText="1"/>
    </xf>
    <xf borderId="14" fillId="0" fontId="43" numFmtId="0" xfId="0" applyBorder="1" applyFont="1"/>
    <xf borderId="35" fillId="0" fontId="43" numFmtId="0" xfId="0" applyBorder="1" applyFont="1"/>
    <xf borderId="17" fillId="0" fontId="51" numFmtId="4" xfId="0" applyAlignment="1" applyBorder="1" applyFont="1" applyNumberFormat="1">
      <alignment horizontal="center" vertical="center"/>
    </xf>
    <xf borderId="22" fillId="0" fontId="51" numFmtId="4" xfId="0" applyAlignment="1" applyBorder="1" applyFont="1" applyNumberFormat="1">
      <alignment horizontal="center" vertical="center"/>
    </xf>
    <xf borderId="24" fillId="0" fontId="79" numFmtId="4" xfId="0" applyAlignment="1" applyBorder="1" applyFont="1" applyNumberFormat="1">
      <alignment horizontal="center" vertical="center"/>
    </xf>
    <xf borderId="22" fillId="0" fontId="51" numFmtId="167" xfId="0" applyAlignment="1" applyBorder="1" applyFont="1" applyNumberFormat="1">
      <alignment horizontal="center" vertical="center"/>
    </xf>
    <xf borderId="24" fillId="0" fontId="79" numFmtId="167" xfId="0" applyAlignment="1" applyBorder="1" applyFont="1" applyNumberFormat="1">
      <alignment horizontal="center" vertical="center"/>
    </xf>
    <xf borderId="24" fillId="0" fontId="80" numFmtId="167" xfId="0" applyAlignment="1" applyBorder="1" applyFont="1" applyNumberFormat="1">
      <alignment horizontal="center" vertical="center"/>
    </xf>
    <xf borderId="15" fillId="0" fontId="55" numFmtId="164" xfId="0" applyAlignment="1" applyBorder="1" applyFont="1" applyNumberFormat="1">
      <alignment horizontal="center" shrinkToFit="0" vertical="center" wrapText="1"/>
    </xf>
    <xf borderId="24" fillId="0" fontId="51" numFmtId="167" xfId="0" applyAlignment="1" applyBorder="1" applyFont="1" applyNumberFormat="1">
      <alignment horizontal="center" vertical="center"/>
    </xf>
    <xf borderId="22" fillId="0" fontId="51" numFmtId="14" xfId="0" applyAlignment="1" applyBorder="1" applyFont="1" applyNumberFormat="1">
      <alignment horizontal="center" vertical="center"/>
    </xf>
    <xf borderId="42" fillId="0" fontId="51" numFmtId="14" xfId="0" applyAlignment="1" applyBorder="1" applyFont="1" applyNumberFormat="1">
      <alignment horizontal="center" vertical="center"/>
    </xf>
    <xf borderId="15" fillId="0" fontId="7" numFmtId="49" xfId="0" applyAlignment="1" applyBorder="1" applyFont="1" applyNumberFormat="1">
      <alignment horizontal="left" vertical="center"/>
    </xf>
    <xf borderId="47" fillId="0" fontId="51" numFmtId="14" xfId="0" applyAlignment="1" applyBorder="1" applyFont="1" applyNumberFormat="1">
      <alignment horizontal="center" vertical="center"/>
    </xf>
    <xf borderId="0" fillId="0" fontId="51" numFmtId="14" xfId="0" applyAlignment="1" applyFont="1" applyNumberFormat="1">
      <alignment horizontal="center" vertical="center"/>
    </xf>
    <xf borderId="15" fillId="0" fontId="33" numFmtId="0" xfId="0" applyAlignment="1" applyBorder="1" applyFont="1">
      <alignment vertical="center"/>
    </xf>
    <xf borderId="26" fillId="0" fontId="81" numFmtId="0" xfId="0" applyBorder="1" applyFont="1"/>
    <xf borderId="14" fillId="0" fontId="77" numFmtId="0" xfId="0" applyBorder="1" applyFont="1"/>
    <xf borderId="36" fillId="0" fontId="81" numFmtId="0" xfId="0" applyBorder="1" applyFont="1"/>
    <xf borderId="35" fillId="0" fontId="77" numFmtId="0" xfId="0" applyBorder="1" applyFont="1"/>
    <xf borderId="26" fillId="0" fontId="82" numFmtId="0" xfId="0" applyAlignment="1" applyBorder="1" applyFont="1">
      <alignment horizontal="left"/>
    </xf>
    <xf borderId="15" fillId="0" fontId="51" numFmtId="0" xfId="0" applyAlignment="1" applyBorder="1" applyFont="1">
      <alignment horizontal="center" vertical="center"/>
    </xf>
    <xf borderId="15" fillId="0" fontId="83" numFmtId="167" xfId="0" applyAlignment="1" applyBorder="1" applyFont="1" applyNumberFormat="1">
      <alignment horizontal="center" vertical="center"/>
    </xf>
    <xf borderId="15" fillId="0" fontId="8" numFmtId="0" xfId="0" applyAlignment="1" applyBorder="1" applyFont="1">
      <alignment horizontal="center" shrinkToFit="0" vertical="center" wrapText="1"/>
    </xf>
    <xf borderId="15" fillId="0" fontId="84" numFmtId="0" xfId="0" applyAlignment="1" applyBorder="1" applyFont="1">
      <alignment horizontal="center" shrinkToFit="0" vertical="center" wrapText="1"/>
    </xf>
    <xf borderId="37" fillId="0" fontId="8" numFmtId="0" xfId="0" applyAlignment="1" applyBorder="1" applyFont="1">
      <alignment horizontal="center" shrinkToFit="0" vertical="center" wrapText="1"/>
    </xf>
    <xf borderId="37" fillId="0" fontId="31" numFmtId="0" xfId="0" applyAlignment="1" applyBorder="1" applyFont="1">
      <alignment horizontal="left" shrinkToFit="0" vertical="center" wrapText="1"/>
    </xf>
    <xf borderId="15" fillId="0" fontId="21" numFmtId="0" xfId="0" applyAlignment="1" applyBorder="1" applyFont="1">
      <alignment horizontal="left" shrinkToFit="0" vertical="center" wrapText="1"/>
    </xf>
    <xf borderId="0" fillId="0" fontId="21" numFmtId="0" xfId="0" applyFont="1"/>
    <xf borderId="15" fillId="0" fontId="69" numFmtId="0" xfId="0" applyBorder="1" applyFont="1"/>
    <xf borderId="15" fillId="0" fontId="7" numFmtId="0" xfId="0" applyBorder="1" applyFont="1"/>
    <xf borderId="15" fillId="0" fontId="77" numFmtId="0" xfId="0" applyBorder="1" applyFont="1"/>
    <xf borderId="15" fillId="0" fontId="47" numFmtId="164" xfId="0" applyAlignment="1" applyBorder="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91</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91</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92</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92</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45</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33</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33</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105</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105</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9525"/>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158</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158</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158</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159</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159</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159</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159</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159</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159</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159</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159</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160</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160</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160</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160</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160</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160</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160</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9525"/>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9525"/>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0</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157</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161</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162</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163</xdr:row>
      <xdr:rowOff>600075</xdr:rowOff>
    </xdr:from>
    <xdr:ext cx="1066800" cy="0"/>
    <xdr:pic>
      <xdr:nvPicPr>
        <xdr:cNvPr descr="XVR5232AN1_thumb.png"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52</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52</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52</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52</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52</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55</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42</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42</xdr:row>
      <xdr:rowOff>0</xdr:rowOff>
    </xdr:from>
    <xdr:ext cx="3714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7.86"/>
    <col customWidth="1" min="3" max="3" width="24.86"/>
    <col customWidth="1" min="4" max="4" width="42.14"/>
    <col customWidth="1" min="5" max="5" width="18.0"/>
    <col customWidth="1" hidden="1" min="6" max="6" width="16.29"/>
    <col customWidth="1" min="7" max="7" width="16.71"/>
    <col customWidth="1" min="8" max="8" width="11.14"/>
    <col customWidth="1" min="9" max="14" width="13.0"/>
    <col customWidth="1" min="15" max="15" width="29.14"/>
    <col customWidth="1" min="16" max="16" width="13.57"/>
    <col customWidth="1" min="17" max="17" width="15.14"/>
    <col customWidth="1" min="18" max="18" width="43.0"/>
    <col customWidth="1" min="19" max="27" width="9.86"/>
  </cols>
  <sheetData>
    <row r="1" ht="14.25" customHeight="1">
      <c r="A1" s="1" t="s">
        <v>0</v>
      </c>
      <c r="B1" s="1" t="s">
        <v>1</v>
      </c>
      <c r="C1" s="2" t="s">
        <v>2</v>
      </c>
      <c r="D1" s="2" t="s">
        <v>3</v>
      </c>
      <c r="E1" s="2" t="s">
        <v>4</v>
      </c>
      <c r="F1" s="3" t="s">
        <v>5</v>
      </c>
      <c r="G1" s="3" t="s">
        <v>6</v>
      </c>
      <c r="H1" s="4" t="s">
        <v>7</v>
      </c>
      <c r="I1" s="5" t="s">
        <v>8</v>
      </c>
      <c r="J1" s="6"/>
      <c r="K1" s="7" t="s">
        <v>9</v>
      </c>
      <c r="L1" s="6"/>
      <c r="M1" s="8" t="s">
        <v>10</v>
      </c>
      <c r="N1" s="6"/>
      <c r="O1" s="9" t="s">
        <v>11</v>
      </c>
      <c r="P1" s="10"/>
      <c r="Q1" s="11"/>
      <c r="R1" s="11"/>
      <c r="S1" s="11"/>
      <c r="T1" s="11"/>
      <c r="U1" s="11"/>
      <c r="V1" s="11"/>
      <c r="W1" s="11"/>
      <c r="X1" s="11"/>
      <c r="Y1" s="11"/>
      <c r="Z1" s="11"/>
      <c r="AA1" s="11"/>
    </row>
    <row r="2" ht="31.5" customHeight="1">
      <c r="A2" s="12"/>
      <c r="B2" s="12"/>
      <c r="C2" s="13"/>
      <c r="D2" s="13"/>
      <c r="E2" s="13"/>
      <c r="F2" s="13"/>
      <c r="G2" s="13"/>
      <c r="H2" s="14"/>
      <c r="I2" s="15" t="s">
        <v>12</v>
      </c>
      <c r="J2" s="16" t="s">
        <v>13</v>
      </c>
      <c r="K2" s="17" t="s">
        <v>14</v>
      </c>
      <c r="L2" s="18" t="s">
        <v>15</v>
      </c>
      <c r="M2" s="19" t="s">
        <v>16</v>
      </c>
      <c r="N2" s="20" t="s">
        <v>17</v>
      </c>
      <c r="O2" s="21"/>
      <c r="P2" s="11" t="s">
        <v>18</v>
      </c>
      <c r="Q2" s="11"/>
      <c r="R2" s="11"/>
      <c r="S2" s="11"/>
      <c r="T2" s="11"/>
      <c r="U2" s="11"/>
      <c r="V2" s="11"/>
      <c r="W2" s="11"/>
      <c r="X2" s="11"/>
      <c r="Y2" s="11"/>
      <c r="Z2" s="11"/>
      <c r="AA2" s="11"/>
    </row>
    <row r="3" ht="14.25" customHeight="1">
      <c r="A3" s="22" t="s">
        <v>19</v>
      </c>
      <c r="B3" s="23"/>
      <c r="C3" s="24" t="s">
        <v>20</v>
      </c>
      <c r="D3" s="25" t="s">
        <v>21</v>
      </c>
      <c r="E3" s="26" t="s">
        <v>22</v>
      </c>
      <c r="F3" s="27">
        <v>4400.0</v>
      </c>
      <c r="G3" s="27">
        <f t="shared" ref="G3:G96" si="1">F3*0.25+F3</f>
        <v>5500</v>
      </c>
      <c r="H3" s="28">
        <v>44593.0</v>
      </c>
      <c r="I3" s="29">
        <f t="shared" ref="I3:I90" si="2">G3*0.5+G3</f>
        <v>8250</v>
      </c>
      <c r="J3" s="30">
        <f t="shared" ref="J3:J90" si="3">G3*0.3+G3</f>
        <v>7150</v>
      </c>
      <c r="K3" s="31">
        <f t="shared" ref="K3:K90" si="4">G3*0.3+G3</f>
        <v>7150</v>
      </c>
      <c r="L3" s="32">
        <f t="shared" ref="L3:L90" si="5">G3*0.2+G3</f>
        <v>6600</v>
      </c>
      <c r="M3" s="31">
        <f t="shared" ref="M3:M90" si="6">G3*0.15+G3</f>
        <v>6325</v>
      </c>
      <c r="N3" s="32">
        <f t="shared" ref="N3:N90" si="7">G3*0.1+G3</f>
        <v>6050</v>
      </c>
      <c r="O3" s="33"/>
      <c r="P3" s="34"/>
      <c r="Q3" s="35"/>
      <c r="R3" s="35"/>
      <c r="S3" s="35"/>
      <c r="T3" s="35"/>
      <c r="U3" s="35"/>
      <c r="V3" s="35"/>
      <c r="W3" s="35"/>
      <c r="X3" s="35"/>
      <c r="Y3" s="35"/>
      <c r="Z3" s="35"/>
      <c r="AA3" s="35"/>
    </row>
    <row r="4" ht="14.25" customHeight="1">
      <c r="A4" s="22" t="s">
        <v>19</v>
      </c>
      <c r="B4" s="23"/>
      <c r="C4" s="24" t="s">
        <v>23</v>
      </c>
      <c r="D4" s="25" t="s">
        <v>24</v>
      </c>
      <c r="E4" s="26" t="s">
        <v>22</v>
      </c>
      <c r="F4" s="27">
        <v>3680.0</v>
      </c>
      <c r="G4" s="27">
        <f t="shared" si="1"/>
        <v>4600</v>
      </c>
      <c r="H4" s="28">
        <v>44593.0</v>
      </c>
      <c r="I4" s="36">
        <f t="shared" si="2"/>
        <v>6900</v>
      </c>
      <c r="J4" s="37">
        <f t="shared" si="3"/>
        <v>5980</v>
      </c>
      <c r="K4" s="38">
        <f t="shared" si="4"/>
        <v>5980</v>
      </c>
      <c r="L4" s="39">
        <f t="shared" si="5"/>
        <v>5520</v>
      </c>
      <c r="M4" s="38">
        <f t="shared" si="6"/>
        <v>5290</v>
      </c>
      <c r="N4" s="39">
        <f t="shared" si="7"/>
        <v>5060</v>
      </c>
      <c r="O4" s="40"/>
      <c r="P4" s="34"/>
      <c r="Q4" s="35"/>
      <c r="R4" s="35"/>
      <c r="S4" s="35"/>
      <c r="T4" s="35"/>
      <c r="U4" s="35"/>
      <c r="V4" s="35"/>
      <c r="W4" s="35"/>
      <c r="X4" s="35"/>
      <c r="Y4" s="35"/>
      <c r="Z4" s="35"/>
      <c r="AA4" s="35"/>
    </row>
    <row r="5" ht="14.25" customHeight="1">
      <c r="A5" s="22" t="s">
        <v>19</v>
      </c>
      <c r="B5" s="23"/>
      <c r="C5" s="41" t="s">
        <v>25</v>
      </c>
      <c r="D5" s="41" t="s">
        <v>26</v>
      </c>
      <c r="E5" s="26" t="s">
        <v>27</v>
      </c>
      <c r="F5" s="27">
        <v>1150.0</v>
      </c>
      <c r="G5" s="27">
        <f t="shared" si="1"/>
        <v>1437.5</v>
      </c>
      <c r="H5" s="28">
        <v>44593.0</v>
      </c>
      <c r="I5" s="36">
        <f t="shared" si="2"/>
        <v>2156.25</v>
      </c>
      <c r="J5" s="37">
        <f t="shared" si="3"/>
        <v>1868.75</v>
      </c>
      <c r="K5" s="38">
        <f t="shared" si="4"/>
        <v>1868.75</v>
      </c>
      <c r="L5" s="39">
        <f t="shared" si="5"/>
        <v>1725</v>
      </c>
      <c r="M5" s="38">
        <f t="shared" si="6"/>
        <v>1653.125</v>
      </c>
      <c r="N5" s="39">
        <f t="shared" si="7"/>
        <v>1581.25</v>
      </c>
      <c r="O5" s="40"/>
      <c r="P5" s="34"/>
      <c r="Q5" s="35"/>
      <c r="R5" s="35"/>
      <c r="S5" s="35"/>
      <c r="T5" s="35"/>
      <c r="U5" s="35"/>
      <c r="V5" s="35"/>
      <c r="W5" s="35"/>
      <c r="X5" s="35"/>
      <c r="Y5" s="35"/>
      <c r="Z5" s="35"/>
      <c r="AA5" s="35"/>
    </row>
    <row r="6" ht="14.25" customHeight="1">
      <c r="A6" s="22" t="s">
        <v>19</v>
      </c>
      <c r="B6" s="23"/>
      <c r="C6" s="24" t="s">
        <v>28</v>
      </c>
      <c r="D6" s="25" t="s">
        <v>29</v>
      </c>
      <c r="E6" s="26" t="s">
        <v>30</v>
      </c>
      <c r="F6" s="27">
        <v>5680.0</v>
      </c>
      <c r="G6" s="27">
        <f t="shared" si="1"/>
        <v>7100</v>
      </c>
      <c r="H6" s="28">
        <v>44593.0</v>
      </c>
      <c r="I6" s="36">
        <f t="shared" si="2"/>
        <v>10650</v>
      </c>
      <c r="J6" s="37">
        <f t="shared" si="3"/>
        <v>9230</v>
      </c>
      <c r="K6" s="38">
        <f t="shared" si="4"/>
        <v>9230</v>
      </c>
      <c r="L6" s="39">
        <f t="shared" si="5"/>
        <v>8520</v>
      </c>
      <c r="M6" s="38">
        <f t="shared" si="6"/>
        <v>8165</v>
      </c>
      <c r="N6" s="39">
        <f t="shared" si="7"/>
        <v>7810</v>
      </c>
      <c r="O6" s="40"/>
      <c r="P6" s="34"/>
      <c r="Q6" s="35"/>
      <c r="R6" s="35"/>
      <c r="S6" s="35"/>
      <c r="T6" s="35"/>
      <c r="U6" s="35"/>
      <c r="V6" s="35"/>
      <c r="W6" s="35"/>
      <c r="X6" s="35"/>
      <c r="Y6" s="35"/>
      <c r="Z6" s="35"/>
      <c r="AA6" s="35"/>
    </row>
    <row r="7" ht="14.25" customHeight="1">
      <c r="A7" s="22" t="s">
        <v>19</v>
      </c>
      <c r="B7" s="23"/>
      <c r="C7" s="24" t="s">
        <v>31</v>
      </c>
      <c r="D7" s="25" t="s">
        <v>32</v>
      </c>
      <c r="E7" s="42"/>
      <c r="F7" s="27">
        <v>4970.0</v>
      </c>
      <c r="G7" s="27">
        <f t="shared" si="1"/>
        <v>6212.5</v>
      </c>
      <c r="H7" s="28">
        <v>44593.0</v>
      </c>
      <c r="I7" s="36">
        <f t="shared" si="2"/>
        <v>9318.75</v>
      </c>
      <c r="J7" s="37">
        <f t="shared" si="3"/>
        <v>8076.25</v>
      </c>
      <c r="K7" s="38">
        <f t="shared" si="4"/>
        <v>8076.25</v>
      </c>
      <c r="L7" s="39">
        <f t="shared" si="5"/>
        <v>7455</v>
      </c>
      <c r="M7" s="38">
        <f t="shared" si="6"/>
        <v>7144.375</v>
      </c>
      <c r="N7" s="39">
        <f t="shared" si="7"/>
        <v>6833.75</v>
      </c>
      <c r="O7" s="40"/>
      <c r="P7" s="34"/>
      <c r="Q7" s="35"/>
      <c r="R7" s="35"/>
      <c r="S7" s="35"/>
      <c r="T7" s="35"/>
      <c r="U7" s="35"/>
      <c r="V7" s="35"/>
      <c r="W7" s="35"/>
      <c r="X7" s="35"/>
      <c r="Y7" s="35"/>
      <c r="Z7" s="35"/>
      <c r="AA7" s="35"/>
    </row>
    <row r="8" ht="14.25" customHeight="1">
      <c r="A8" s="22" t="s">
        <v>19</v>
      </c>
      <c r="B8" s="23"/>
      <c r="C8" s="24" t="s">
        <v>33</v>
      </c>
      <c r="D8" s="43" t="s">
        <v>34</v>
      </c>
      <c r="E8" s="44"/>
      <c r="F8" s="27">
        <v>7610.0</v>
      </c>
      <c r="G8" s="27">
        <f t="shared" si="1"/>
        <v>9512.5</v>
      </c>
      <c r="H8" s="28">
        <v>44593.0</v>
      </c>
      <c r="I8" s="36">
        <f t="shared" si="2"/>
        <v>14268.75</v>
      </c>
      <c r="J8" s="37">
        <f t="shared" si="3"/>
        <v>12366.25</v>
      </c>
      <c r="K8" s="38">
        <f t="shared" si="4"/>
        <v>12366.25</v>
      </c>
      <c r="L8" s="39">
        <f t="shared" si="5"/>
        <v>11415</v>
      </c>
      <c r="M8" s="38">
        <f t="shared" si="6"/>
        <v>10939.375</v>
      </c>
      <c r="N8" s="39">
        <f t="shared" si="7"/>
        <v>10463.75</v>
      </c>
      <c r="O8" s="40"/>
      <c r="P8" s="34"/>
      <c r="Q8" s="35"/>
      <c r="R8" s="35"/>
      <c r="S8" s="35"/>
      <c r="T8" s="35"/>
      <c r="U8" s="35"/>
      <c r="V8" s="35"/>
      <c r="W8" s="35"/>
      <c r="X8" s="35"/>
      <c r="Y8" s="35"/>
      <c r="Z8" s="35"/>
      <c r="AA8" s="35"/>
    </row>
    <row r="9" ht="14.25" customHeight="1">
      <c r="A9" s="22" t="s">
        <v>19</v>
      </c>
      <c r="B9" s="23"/>
      <c r="C9" s="26" t="s">
        <v>35</v>
      </c>
      <c r="D9" s="43" t="s">
        <v>36</v>
      </c>
      <c r="E9" s="26" t="s">
        <v>30</v>
      </c>
      <c r="F9" s="27">
        <v>7570.0</v>
      </c>
      <c r="G9" s="27">
        <f t="shared" si="1"/>
        <v>9462.5</v>
      </c>
      <c r="H9" s="28">
        <v>44593.0</v>
      </c>
      <c r="I9" s="36">
        <f t="shared" si="2"/>
        <v>14193.75</v>
      </c>
      <c r="J9" s="37">
        <f t="shared" si="3"/>
        <v>12301.25</v>
      </c>
      <c r="K9" s="38">
        <f t="shared" si="4"/>
        <v>12301.25</v>
      </c>
      <c r="L9" s="39">
        <f t="shared" si="5"/>
        <v>11355</v>
      </c>
      <c r="M9" s="38">
        <f t="shared" si="6"/>
        <v>10881.875</v>
      </c>
      <c r="N9" s="39">
        <f t="shared" si="7"/>
        <v>10408.75</v>
      </c>
      <c r="O9" s="40"/>
      <c r="P9" s="34"/>
      <c r="Q9" s="35"/>
      <c r="R9" s="35"/>
      <c r="S9" s="35"/>
      <c r="T9" s="35"/>
      <c r="U9" s="35"/>
      <c r="V9" s="35"/>
      <c r="W9" s="35"/>
      <c r="X9" s="35"/>
      <c r="Y9" s="35"/>
      <c r="Z9" s="35"/>
      <c r="AA9" s="35"/>
    </row>
    <row r="10" ht="14.25" customHeight="1">
      <c r="A10" s="22" t="s">
        <v>19</v>
      </c>
      <c r="B10" s="23"/>
      <c r="C10" s="24" t="s">
        <v>37</v>
      </c>
      <c r="D10" s="43" t="s">
        <v>38</v>
      </c>
      <c r="E10" s="23"/>
      <c r="F10" s="27">
        <v>180.0</v>
      </c>
      <c r="G10" s="27">
        <f t="shared" si="1"/>
        <v>225</v>
      </c>
      <c r="H10" s="28">
        <v>44593.0</v>
      </c>
      <c r="I10" s="36">
        <f t="shared" si="2"/>
        <v>337.5</v>
      </c>
      <c r="J10" s="37">
        <f t="shared" si="3"/>
        <v>292.5</v>
      </c>
      <c r="K10" s="38">
        <f t="shared" si="4"/>
        <v>292.5</v>
      </c>
      <c r="L10" s="39">
        <f t="shared" si="5"/>
        <v>270</v>
      </c>
      <c r="M10" s="38">
        <f t="shared" si="6"/>
        <v>258.75</v>
      </c>
      <c r="N10" s="39">
        <f t="shared" si="7"/>
        <v>247.5</v>
      </c>
      <c r="O10" s="40"/>
      <c r="P10" s="34"/>
      <c r="Q10" s="35"/>
      <c r="R10" s="35"/>
      <c r="S10" s="35"/>
      <c r="T10" s="35"/>
      <c r="U10" s="35"/>
      <c r="V10" s="35"/>
      <c r="W10" s="35"/>
      <c r="X10" s="35"/>
      <c r="Y10" s="35"/>
      <c r="Z10" s="35"/>
      <c r="AA10" s="35"/>
    </row>
    <row r="11" ht="14.25" customHeight="1">
      <c r="A11" s="22" t="s">
        <v>19</v>
      </c>
      <c r="B11" s="23"/>
      <c r="C11" s="24" t="s">
        <v>39</v>
      </c>
      <c r="D11" s="43" t="s">
        <v>40</v>
      </c>
      <c r="E11" s="23"/>
      <c r="F11" s="27">
        <v>250.0</v>
      </c>
      <c r="G11" s="27">
        <f t="shared" si="1"/>
        <v>312.5</v>
      </c>
      <c r="H11" s="28">
        <v>44593.0</v>
      </c>
      <c r="I11" s="36">
        <f t="shared" si="2"/>
        <v>468.75</v>
      </c>
      <c r="J11" s="37">
        <f t="shared" si="3"/>
        <v>406.25</v>
      </c>
      <c r="K11" s="38">
        <f t="shared" si="4"/>
        <v>406.25</v>
      </c>
      <c r="L11" s="39">
        <f t="shared" si="5"/>
        <v>375</v>
      </c>
      <c r="M11" s="38">
        <f t="shared" si="6"/>
        <v>359.375</v>
      </c>
      <c r="N11" s="39">
        <f t="shared" si="7"/>
        <v>343.75</v>
      </c>
      <c r="O11" s="40"/>
      <c r="P11" s="34"/>
      <c r="Q11" s="35"/>
      <c r="R11" s="35"/>
      <c r="S11" s="35"/>
      <c r="T11" s="35"/>
      <c r="U11" s="35"/>
      <c r="V11" s="35"/>
      <c r="W11" s="35"/>
      <c r="X11" s="35"/>
      <c r="Y11" s="35"/>
      <c r="Z11" s="35"/>
      <c r="AA11" s="35"/>
    </row>
    <row r="12" ht="14.25" customHeight="1">
      <c r="A12" s="22" t="s">
        <v>19</v>
      </c>
      <c r="B12" s="23"/>
      <c r="C12" s="24" t="s">
        <v>41</v>
      </c>
      <c r="D12" s="43" t="s">
        <v>42</v>
      </c>
      <c r="E12" s="23"/>
      <c r="F12" s="27">
        <v>300.0</v>
      </c>
      <c r="G12" s="27">
        <f t="shared" si="1"/>
        <v>375</v>
      </c>
      <c r="H12" s="28">
        <v>44593.0</v>
      </c>
      <c r="I12" s="36">
        <f t="shared" si="2"/>
        <v>562.5</v>
      </c>
      <c r="J12" s="37">
        <f t="shared" si="3"/>
        <v>487.5</v>
      </c>
      <c r="K12" s="38">
        <f t="shared" si="4"/>
        <v>487.5</v>
      </c>
      <c r="L12" s="39">
        <f t="shared" si="5"/>
        <v>450</v>
      </c>
      <c r="M12" s="38">
        <f t="shared" si="6"/>
        <v>431.25</v>
      </c>
      <c r="N12" s="39">
        <f t="shared" si="7"/>
        <v>412.5</v>
      </c>
      <c r="O12" s="40"/>
      <c r="P12" s="34"/>
      <c r="Q12" s="35"/>
      <c r="R12" s="35"/>
      <c r="S12" s="35"/>
      <c r="T12" s="35"/>
      <c r="U12" s="35"/>
      <c r="V12" s="35"/>
      <c r="W12" s="35"/>
      <c r="X12" s="35"/>
      <c r="Y12" s="35"/>
      <c r="Z12" s="35"/>
      <c r="AA12" s="35"/>
    </row>
    <row r="13" ht="14.25" customHeight="1">
      <c r="A13" s="22" t="s">
        <v>19</v>
      </c>
      <c r="B13" s="23"/>
      <c r="C13" s="24" t="s">
        <v>43</v>
      </c>
      <c r="D13" s="43" t="s">
        <v>44</v>
      </c>
      <c r="E13" s="23"/>
      <c r="F13" s="27">
        <v>480.0</v>
      </c>
      <c r="G13" s="27">
        <f t="shared" si="1"/>
        <v>600</v>
      </c>
      <c r="H13" s="28">
        <v>44593.0</v>
      </c>
      <c r="I13" s="36">
        <f t="shared" si="2"/>
        <v>900</v>
      </c>
      <c r="J13" s="37">
        <f t="shared" si="3"/>
        <v>780</v>
      </c>
      <c r="K13" s="38">
        <f t="shared" si="4"/>
        <v>780</v>
      </c>
      <c r="L13" s="39">
        <f t="shared" si="5"/>
        <v>720</v>
      </c>
      <c r="M13" s="38">
        <f t="shared" si="6"/>
        <v>690</v>
      </c>
      <c r="N13" s="39">
        <f t="shared" si="7"/>
        <v>660</v>
      </c>
      <c r="O13" s="40"/>
      <c r="P13" s="34"/>
      <c r="Q13" s="35"/>
      <c r="R13" s="35"/>
      <c r="S13" s="35"/>
      <c r="T13" s="35"/>
      <c r="U13" s="35"/>
      <c r="V13" s="35"/>
      <c r="W13" s="35"/>
      <c r="X13" s="35"/>
      <c r="Y13" s="35"/>
      <c r="Z13" s="35"/>
      <c r="AA13" s="35"/>
    </row>
    <row r="14" ht="14.25" customHeight="1">
      <c r="A14" s="22" t="s">
        <v>19</v>
      </c>
      <c r="B14" s="23"/>
      <c r="C14" s="24" t="s">
        <v>45</v>
      </c>
      <c r="D14" s="43" t="s">
        <v>46</v>
      </c>
      <c r="E14" s="26" t="s">
        <v>47</v>
      </c>
      <c r="F14" s="27">
        <v>49500.0</v>
      </c>
      <c r="G14" s="27">
        <f t="shared" si="1"/>
        <v>61875</v>
      </c>
      <c r="H14" s="28">
        <v>44593.0</v>
      </c>
      <c r="I14" s="36">
        <f t="shared" si="2"/>
        <v>92812.5</v>
      </c>
      <c r="J14" s="37">
        <f t="shared" si="3"/>
        <v>80437.5</v>
      </c>
      <c r="K14" s="38">
        <f t="shared" si="4"/>
        <v>80437.5</v>
      </c>
      <c r="L14" s="39">
        <f t="shared" si="5"/>
        <v>74250</v>
      </c>
      <c r="M14" s="38">
        <f t="shared" si="6"/>
        <v>71156.25</v>
      </c>
      <c r="N14" s="39">
        <f t="shared" si="7"/>
        <v>68062.5</v>
      </c>
      <c r="O14" s="40"/>
      <c r="P14" s="34"/>
      <c r="Q14" s="35"/>
      <c r="R14" s="35"/>
      <c r="S14" s="35"/>
      <c r="T14" s="35"/>
      <c r="U14" s="35"/>
      <c r="V14" s="35"/>
      <c r="W14" s="35"/>
      <c r="X14" s="35"/>
      <c r="Y14" s="35"/>
      <c r="Z14" s="35"/>
      <c r="AA14" s="35"/>
    </row>
    <row r="15" ht="14.25" customHeight="1">
      <c r="A15" s="22" t="s">
        <v>19</v>
      </c>
      <c r="B15" s="23"/>
      <c r="C15" s="24" t="s">
        <v>48</v>
      </c>
      <c r="D15" s="43" t="s">
        <v>49</v>
      </c>
      <c r="E15" s="26" t="s">
        <v>47</v>
      </c>
      <c r="F15" s="27">
        <v>32750.0</v>
      </c>
      <c r="G15" s="27">
        <f t="shared" si="1"/>
        <v>40937.5</v>
      </c>
      <c r="H15" s="28">
        <v>44593.0</v>
      </c>
      <c r="I15" s="36">
        <f t="shared" si="2"/>
        <v>61406.25</v>
      </c>
      <c r="J15" s="37">
        <f t="shared" si="3"/>
        <v>53218.75</v>
      </c>
      <c r="K15" s="38">
        <f t="shared" si="4"/>
        <v>53218.75</v>
      </c>
      <c r="L15" s="39">
        <f t="shared" si="5"/>
        <v>49125</v>
      </c>
      <c r="M15" s="38">
        <f t="shared" si="6"/>
        <v>47078.125</v>
      </c>
      <c r="N15" s="39">
        <f t="shared" si="7"/>
        <v>45031.25</v>
      </c>
      <c r="O15" s="40"/>
      <c r="P15" s="34"/>
      <c r="Q15" s="35"/>
      <c r="R15" s="35"/>
      <c r="S15" s="35"/>
      <c r="T15" s="35"/>
      <c r="U15" s="35"/>
      <c r="V15" s="35"/>
      <c r="W15" s="35"/>
      <c r="X15" s="35"/>
      <c r="Y15" s="35"/>
      <c r="Z15" s="35"/>
      <c r="AA15" s="35"/>
    </row>
    <row r="16" ht="14.25" customHeight="1">
      <c r="A16" s="22" t="s">
        <v>19</v>
      </c>
      <c r="B16" s="23"/>
      <c r="C16" s="24" t="s">
        <v>50</v>
      </c>
      <c r="D16" s="25" t="s">
        <v>51</v>
      </c>
      <c r="E16" s="26" t="s">
        <v>52</v>
      </c>
      <c r="F16" s="27">
        <v>40500.0</v>
      </c>
      <c r="G16" s="27">
        <f t="shared" si="1"/>
        <v>50625</v>
      </c>
      <c r="H16" s="28">
        <v>44593.0</v>
      </c>
      <c r="I16" s="36">
        <f t="shared" si="2"/>
        <v>75937.5</v>
      </c>
      <c r="J16" s="37">
        <f t="shared" si="3"/>
        <v>65812.5</v>
      </c>
      <c r="K16" s="38">
        <f t="shared" si="4"/>
        <v>65812.5</v>
      </c>
      <c r="L16" s="39">
        <f t="shared" si="5"/>
        <v>60750</v>
      </c>
      <c r="M16" s="38">
        <f t="shared" si="6"/>
        <v>58218.75</v>
      </c>
      <c r="N16" s="39">
        <f t="shared" si="7"/>
        <v>55687.5</v>
      </c>
      <c r="O16" s="40"/>
      <c r="P16" s="34"/>
      <c r="Q16" s="35"/>
      <c r="R16" s="35"/>
      <c r="S16" s="35"/>
      <c r="T16" s="35"/>
      <c r="U16" s="35"/>
      <c r="V16" s="35"/>
      <c r="W16" s="35"/>
      <c r="X16" s="35"/>
      <c r="Y16" s="35"/>
      <c r="Z16" s="35"/>
      <c r="AA16" s="35"/>
    </row>
    <row r="17" ht="14.25" customHeight="1">
      <c r="A17" s="22" t="s">
        <v>19</v>
      </c>
      <c r="B17" s="23"/>
      <c r="C17" s="24" t="s">
        <v>53</v>
      </c>
      <c r="D17" s="43" t="s">
        <v>54</v>
      </c>
      <c r="E17" s="42"/>
      <c r="F17" s="27">
        <v>50.0</v>
      </c>
      <c r="G17" s="27">
        <f t="shared" si="1"/>
        <v>62.5</v>
      </c>
      <c r="H17" s="28"/>
      <c r="I17" s="36">
        <f t="shared" si="2"/>
        <v>93.75</v>
      </c>
      <c r="J17" s="37">
        <f t="shared" si="3"/>
        <v>81.25</v>
      </c>
      <c r="K17" s="38">
        <f t="shared" si="4"/>
        <v>81.25</v>
      </c>
      <c r="L17" s="39">
        <f t="shared" si="5"/>
        <v>75</v>
      </c>
      <c r="M17" s="38">
        <f t="shared" si="6"/>
        <v>71.875</v>
      </c>
      <c r="N17" s="39">
        <f t="shared" si="7"/>
        <v>68.75</v>
      </c>
      <c r="O17" s="40"/>
      <c r="P17" s="34"/>
      <c r="Q17" s="35"/>
      <c r="R17" s="35"/>
      <c r="S17" s="35"/>
      <c r="T17" s="35"/>
      <c r="U17" s="35"/>
      <c r="V17" s="35"/>
      <c r="W17" s="35"/>
      <c r="X17" s="35"/>
      <c r="Y17" s="35"/>
      <c r="Z17" s="35"/>
      <c r="AA17" s="35"/>
    </row>
    <row r="18" ht="14.25" customHeight="1">
      <c r="A18" s="22" t="s">
        <v>19</v>
      </c>
      <c r="B18" s="23"/>
      <c r="C18" s="24" t="s">
        <v>55</v>
      </c>
      <c r="D18" s="43" t="s">
        <v>56</v>
      </c>
      <c r="E18" s="42"/>
      <c r="F18" s="27">
        <v>75.0</v>
      </c>
      <c r="G18" s="27">
        <f t="shared" si="1"/>
        <v>93.75</v>
      </c>
      <c r="H18" s="28"/>
      <c r="I18" s="36">
        <f t="shared" si="2"/>
        <v>140.625</v>
      </c>
      <c r="J18" s="37">
        <f t="shared" si="3"/>
        <v>121.875</v>
      </c>
      <c r="K18" s="38">
        <f t="shared" si="4"/>
        <v>121.875</v>
      </c>
      <c r="L18" s="39">
        <f t="shared" si="5"/>
        <v>112.5</v>
      </c>
      <c r="M18" s="38">
        <f t="shared" si="6"/>
        <v>107.8125</v>
      </c>
      <c r="N18" s="39">
        <f t="shared" si="7"/>
        <v>103.125</v>
      </c>
      <c r="O18" s="40"/>
      <c r="P18" s="34"/>
      <c r="Q18" s="35"/>
      <c r="R18" s="35"/>
      <c r="S18" s="35"/>
      <c r="T18" s="35"/>
      <c r="U18" s="35"/>
      <c r="V18" s="35"/>
      <c r="W18" s="35"/>
      <c r="X18" s="35"/>
      <c r="Y18" s="35"/>
      <c r="Z18" s="35"/>
      <c r="AA18" s="35"/>
    </row>
    <row r="19" ht="14.25" customHeight="1">
      <c r="A19" s="22" t="s">
        <v>57</v>
      </c>
      <c r="B19" s="23"/>
      <c r="C19" s="24" t="s">
        <v>58</v>
      </c>
      <c r="D19" s="43" t="s">
        <v>59</v>
      </c>
      <c r="E19" s="42"/>
      <c r="F19" s="27">
        <v>110.0</v>
      </c>
      <c r="G19" s="27">
        <f t="shared" si="1"/>
        <v>137.5</v>
      </c>
      <c r="H19" s="28">
        <v>44593.0</v>
      </c>
      <c r="I19" s="36">
        <f t="shared" si="2"/>
        <v>206.25</v>
      </c>
      <c r="J19" s="37">
        <f t="shared" si="3"/>
        <v>178.75</v>
      </c>
      <c r="K19" s="38">
        <f t="shared" si="4"/>
        <v>178.75</v>
      </c>
      <c r="L19" s="39">
        <f t="shared" si="5"/>
        <v>165</v>
      </c>
      <c r="M19" s="38">
        <f t="shared" si="6"/>
        <v>158.125</v>
      </c>
      <c r="N19" s="39">
        <f t="shared" si="7"/>
        <v>151.25</v>
      </c>
      <c r="O19" s="40"/>
      <c r="P19" s="34"/>
      <c r="Q19" s="35"/>
      <c r="R19" s="35"/>
      <c r="S19" s="35"/>
      <c r="T19" s="35"/>
      <c r="U19" s="35"/>
      <c r="V19" s="35"/>
      <c r="W19" s="35"/>
      <c r="X19" s="35"/>
      <c r="Y19" s="35"/>
      <c r="Z19" s="35"/>
      <c r="AA19" s="35"/>
    </row>
    <row r="20" ht="14.25" customHeight="1">
      <c r="A20" s="22" t="s">
        <v>57</v>
      </c>
      <c r="B20" s="23"/>
      <c r="C20" s="45" t="s">
        <v>60</v>
      </c>
      <c r="D20" s="43" t="s">
        <v>61</v>
      </c>
      <c r="E20" s="42"/>
      <c r="F20" s="27">
        <v>350.0</v>
      </c>
      <c r="G20" s="27">
        <f t="shared" si="1"/>
        <v>437.5</v>
      </c>
      <c r="H20" s="28">
        <v>44593.0</v>
      </c>
      <c r="I20" s="36">
        <f t="shared" si="2"/>
        <v>656.25</v>
      </c>
      <c r="J20" s="37">
        <f t="shared" si="3"/>
        <v>568.75</v>
      </c>
      <c r="K20" s="38">
        <f t="shared" si="4"/>
        <v>568.75</v>
      </c>
      <c r="L20" s="39">
        <f t="shared" si="5"/>
        <v>525</v>
      </c>
      <c r="M20" s="38">
        <f t="shared" si="6"/>
        <v>503.125</v>
      </c>
      <c r="N20" s="39">
        <f t="shared" si="7"/>
        <v>481.25</v>
      </c>
      <c r="O20" s="40"/>
      <c r="P20" s="34"/>
      <c r="Q20" s="35"/>
      <c r="R20" s="35"/>
      <c r="S20" s="35"/>
      <c r="T20" s="35"/>
      <c r="U20" s="35"/>
      <c r="V20" s="35"/>
      <c r="W20" s="35"/>
      <c r="X20" s="35"/>
      <c r="Y20" s="35"/>
      <c r="Z20" s="35"/>
      <c r="AA20" s="35"/>
    </row>
    <row r="21" ht="14.25" customHeight="1">
      <c r="A21" s="22" t="s">
        <v>57</v>
      </c>
      <c r="B21" s="23"/>
      <c r="C21" s="46" t="s">
        <v>62</v>
      </c>
      <c r="D21" s="43" t="s">
        <v>63</v>
      </c>
      <c r="E21" s="42"/>
      <c r="F21" s="27">
        <v>130.0</v>
      </c>
      <c r="G21" s="27">
        <f t="shared" si="1"/>
        <v>162.5</v>
      </c>
      <c r="H21" s="28">
        <v>44593.0</v>
      </c>
      <c r="I21" s="36">
        <f t="shared" si="2"/>
        <v>243.75</v>
      </c>
      <c r="J21" s="37">
        <f t="shared" si="3"/>
        <v>211.25</v>
      </c>
      <c r="K21" s="38">
        <f t="shared" si="4"/>
        <v>211.25</v>
      </c>
      <c r="L21" s="39">
        <f t="shared" si="5"/>
        <v>195</v>
      </c>
      <c r="M21" s="38">
        <f t="shared" si="6"/>
        <v>186.875</v>
      </c>
      <c r="N21" s="39">
        <f t="shared" si="7"/>
        <v>178.75</v>
      </c>
      <c r="O21" s="40"/>
      <c r="P21" s="34"/>
      <c r="Q21" s="35"/>
      <c r="R21" s="35"/>
      <c r="S21" s="35"/>
      <c r="T21" s="35"/>
      <c r="U21" s="35"/>
      <c r="V21" s="35"/>
      <c r="W21" s="35"/>
      <c r="X21" s="35"/>
      <c r="Y21" s="35"/>
      <c r="Z21" s="35"/>
      <c r="AA21" s="35"/>
    </row>
    <row r="22" ht="14.25" customHeight="1">
      <c r="A22" s="22" t="s">
        <v>64</v>
      </c>
      <c r="B22" s="23"/>
      <c r="C22" s="45" t="s">
        <v>65</v>
      </c>
      <c r="D22" s="43" t="s">
        <v>66</v>
      </c>
      <c r="E22" s="42"/>
      <c r="F22" s="27">
        <v>10.0</v>
      </c>
      <c r="G22" s="27">
        <f t="shared" si="1"/>
        <v>12.5</v>
      </c>
      <c r="H22" s="28">
        <v>44593.0</v>
      </c>
      <c r="I22" s="36">
        <f t="shared" si="2"/>
        <v>18.75</v>
      </c>
      <c r="J22" s="37">
        <f t="shared" si="3"/>
        <v>16.25</v>
      </c>
      <c r="K22" s="38">
        <f t="shared" si="4"/>
        <v>16.25</v>
      </c>
      <c r="L22" s="39">
        <f t="shared" si="5"/>
        <v>15</v>
      </c>
      <c r="M22" s="38">
        <f t="shared" si="6"/>
        <v>14.375</v>
      </c>
      <c r="N22" s="39">
        <f t="shared" si="7"/>
        <v>13.75</v>
      </c>
      <c r="O22" s="40"/>
      <c r="P22" s="34"/>
      <c r="Q22" s="35"/>
      <c r="R22" s="35"/>
      <c r="S22" s="35"/>
      <c r="T22" s="35"/>
      <c r="U22" s="35"/>
      <c r="V22" s="35"/>
      <c r="W22" s="35"/>
      <c r="X22" s="35"/>
      <c r="Y22" s="35"/>
      <c r="Z22" s="35"/>
      <c r="AA22" s="35"/>
    </row>
    <row r="23" ht="14.25" customHeight="1">
      <c r="A23" s="22" t="s">
        <v>64</v>
      </c>
      <c r="B23" s="23"/>
      <c r="C23" s="45" t="s">
        <v>67</v>
      </c>
      <c r="D23" s="43" t="s">
        <v>68</v>
      </c>
      <c r="E23" s="42"/>
      <c r="F23" s="27">
        <v>12.5</v>
      </c>
      <c r="G23" s="27">
        <f t="shared" si="1"/>
        <v>15.625</v>
      </c>
      <c r="H23" s="28">
        <v>44593.0</v>
      </c>
      <c r="I23" s="36">
        <f t="shared" si="2"/>
        <v>23.4375</v>
      </c>
      <c r="J23" s="37">
        <f t="shared" si="3"/>
        <v>20.3125</v>
      </c>
      <c r="K23" s="38">
        <f t="shared" si="4"/>
        <v>20.3125</v>
      </c>
      <c r="L23" s="39">
        <f t="shared" si="5"/>
        <v>18.75</v>
      </c>
      <c r="M23" s="38">
        <f t="shared" si="6"/>
        <v>17.96875</v>
      </c>
      <c r="N23" s="39">
        <f t="shared" si="7"/>
        <v>17.1875</v>
      </c>
      <c r="O23" s="40"/>
      <c r="P23" s="34"/>
      <c r="Q23" s="35"/>
      <c r="R23" s="35"/>
      <c r="S23" s="35"/>
      <c r="T23" s="35"/>
      <c r="U23" s="35"/>
      <c r="V23" s="35"/>
      <c r="W23" s="35"/>
      <c r="X23" s="35"/>
      <c r="Y23" s="35"/>
      <c r="Z23" s="35"/>
      <c r="AA23" s="35"/>
    </row>
    <row r="24" ht="14.25" customHeight="1">
      <c r="A24" s="22" t="s">
        <v>64</v>
      </c>
      <c r="B24" s="23"/>
      <c r="C24" s="45" t="s">
        <v>69</v>
      </c>
      <c r="D24" s="43" t="s">
        <v>70</v>
      </c>
      <c r="E24" s="42"/>
      <c r="F24" s="27">
        <v>15.0</v>
      </c>
      <c r="G24" s="27">
        <f t="shared" si="1"/>
        <v>18.75</v>
      </c>
      <c r="H24" s="28">
        <v>44593.0</v>
      </c>
      <c r="I24" s="36">
        <f t="shared" si="2"/>
        <v>28.125</v>
      </c>
      <c r="J24" s="37">
        <f t="shared" si="3"/>
        <v>24.375</v>
      </c>
      <c r="K24" s="38">
        <f t="shared" si="4"/>
        <v>24.375</v>
      </c>
      <c r="L24" s="39">
        <f t="shared" si="5"/>
        <v>22.5</v>
      </c>
      <c r="M24" s="38">
        <f t="shared" si="6"/>
        <v>21.5625</v>
      </c>
      <c r="N24" s="39">
        <f t="shared" si="7"/>
        <v>20.625</v>
      </c>
      <c r="O24" s="40"/>
      <c r="P24" s="34"/>
      <c r="Q24" s="35"/>
      <c r="R24" s="35"/>
      <c r="S24" s="35"/>
      <c r="T24" s="35"/>
      <c r="U24" s="35"/>
      <c r="V24" s="35"/>
      <c r="W24" s="35"/>
      <c r="X24" s="35"/>
      <c r="Y24" s="35"/>
      <c r="Z24" s="35"/>
      <c r="AA24" s="35"/>
    </row>
    <row r="25" ht="14.25" customHeight="1">
      <c r="A25" s="22" t="s">
        <v>64</v>
      </c>
      <c r="B25" s="23"/>
      <c r="C25" s="45" t="s">
        <v>71</v>
      </c>
      <c r="D25" s="43" t="s">
        <v>72</v>
      </c>
      <c r="E25" s="42"/>
      <c r="F25" s="47">
        <v>10.0</v>
      </c>
      <c r="G25" s="27">
        <f t="shared" si="1"/>
        <v>12.5</v>
      </c>
      <c r="H25" s="28">
        <v>44593.0</v>
      </c>
      <c r="I25" s="36">
        <f t="shared" si="2"/>
        <v>18.75</v>
      </c>
      <c r="J25" s="37">
        <f t="shared" si="3"/>
        <v>16.25</v>
      </c>
      <c r="K25" s="38">
        <f t="shared" si="4"/>
        <v>16.25</v>
      </c>
      <c r="L25" s="39">
        <f t="shared" si="5"/>
        <v>15</v>
      </c>
      <c r="M25" s="38">
        <f t="shared" si="6"/>
        <v>14.375</v>
      </c>
      <c r="N25" s="39">
        <f t="shared" si="7"/>
        <v>13.75</v>
      </c>
      <c r="O25" s="40"/>
      <c r="P25" s="34"/>
      <c r="Q25" s="35"/>
      <c r="R25" s="35"/>
      <c r="S25" s="35"/>
      <c r="T25" s="35"/>
      <c r="U25" s="35"/>
      <c r="V25" s="35"/>
      <c r="W25" s="35"/>
      <c r="X25" s="35"/>
      <c r="Y25" s="35"/>
      <c r="Z25" s="35"/>
      <c r="AA25" s="35"/>
    </row>
    <row r="26" ht="14.25" customHeight="1">
      <c r="A26" s="22" t="s">
        <v>64</v>
      </c>
      <c r="B26" s="23"/>
      <c r="C26" s="22" t="s">
        <v>73</v>
      </c>
      <c r="D26" s="43" t="s">
        <v>74</v>
      </c>
      <c r="E26" s="42"/>
      <c r="F26" s="47">
        <v>11.0</v>
      </c>
      <c r="G26" s="27">
        <f t="shared" si="1"/>
        <v>13.75</v>
      </c>
      <c r="H26" s="28">
        <v>44593.0</v>
      </c>
      <c r="I26" s="36">
        <f t="shared" si="2"/>
        <v>20.625</v>
      </c>
      <c r="J26" s="37">
        <f t="shared" si="3"/>
        <v>17.875</v>
      </c>
      <c r="K26" s="38">
        <f t="shared" si="4"/>
        <v>17.875</v>
      </c>
      <c r="L26" s="39">
        <f t="shared" si="5"/>
        <v>16.5</v>
      </c>
      <c r="M26" s="38">
        <f t="shared" si="6"/>
        <v>15.8125</v>
      </c>
      <c r="N26" s="39">
        <f t="shared" si="7"/>
        <v>15.125</v>
      </c>
      <c r="O26" s="40"/>
      <c r="P26" s="34"/>
      <c r="Q26" s="35"/>
      <c r="R26" s="35"/>
      <c r="S26" s="35"/>
      <c r="T26" s="35"/>
      <c r="U26" s="35"/>
      <c r="V26" s="35"/>
      <c r="W26" s="35"/>
      <c r="X26" s="35"/>
      <c r="Y26" s="35"/>
      <c r="Z26" s="35"/>
      <c r="AA26" s="35"/>
    </row>
    <row r="27" ht="14.25" customHeight="1">
      <c r="A27" s="22" t="s">
        <v>64</v>
      </c>
      <c r="B27" s="23"/>
      <c r="C27" s="22" t="s">
        <v>75</v>
      </c>
      <c r="D27" s="43" t="s">
        <v>76</v>
      </c>
      <c r="E27" s="42"/>
      <c r="F27" s="47">
        <v>7.5</v>
      </c>
      <c r="G27" s="27">
        <f t="shared" si="1"/>
        <v>9.375</v>
      </c>
      <c r="H27" s="28">
        <v>44593.0</v>
      </c>
      <c r="I27" s="36">
        <f t="shared" si="2"/>
        <v>14.0625</v>
      </c>
      <c r="J27" s="37">
        <f t="shared" si="3"/>
        <v>12.1875</v>
      </c>
      <c r="K27" s="38">
        <f t="shared" si="4"/>
        <v>12.1875</v>
      </c>
      <c r="L27" s="39">
        <f t="shared" si="5"/>
        <v>11.25</v>
      </c>
      <c r="M27" s="38">
        <f t="shared" si="6"/>
        <v>10.78125</v>
      </c>
      <c r="N27" s="39">
        <f t="shared" si="7"/>
        <v>10.3125</v>
      </c>
      <c r="O27" s="40"/>
      <c r="P27" s="34"/>
      <c r="Q27" s="35"/>
      <c r="R27" s="35"/>
      <c r="S27" s="35"/>
      <c r="T27" s="35"/>
      <c r="U27" s="35"/>
      <c r="V27" s="35"/>
      <c r="W27" s="35"/>
      <c r="X27" s="35"/>
      <c r="Y27" s="35"/>
      <c r="Z27" s="35"/>
      <c r="AA27" s="35"/>
    </row>
    <row r="28" ht="14.25" customHeight="1">
      <c r="A28" s="22" t="s">
        <v>64</v>
      </c>
      <c r="B28" s="23"/>
      <c r="C28" s="22" t="s">
        <v>77</v>
      </c>
      <c r="D28" s="43" t="s">
        <v>78</v>
      </c>
      <c r="E28" s="42"/>
      <c r="F28" s="47">
        <v>8.0</v>
      </c>
      <c r="G28" s="27">
        <f t="shared" si="1"/>
        <v>10</v>
      </c>
      <c r="H28" s="28">
        <v>44593.0</v>
      </c>
      <c r="I28" s="36">
        <f t="shared" si="2"/>
        <v>15</v>
      </c>
      <c r="J28" s="37">
        <f t="shared" si="3"/>
        <v>13</v>
      </c>
      <c r="K28" s="38">
        <f t="shared" si="4"/>
        <v>13</v>
      </c>
      <c r="L28" s="39">
        <f t="shared" si="5"/>
        <v>12</v>
      </c>
      <c r="M28" s="38">
        <f t="shared" si="6"/>
        <v>11.5</v>
      </c>
      <c r="N28" s="39">
        <f t="shared" si="7"/>
        <v>11</v>
      </c>
      <c r="O28" s="40"/>
      <c r="P28" s="34"/>
      <c r="Q28" s="35"/>
      <c r="R28" s="35"/>
      <c r="S28" s="35"/>
      <c r="T28" s="35"/>
      <c r="U28" s="35"/>
      <c r="V28" s="35"/>
      <c r="W28" s="35"/>
      <c r="X28" s="35"/>
      <c r="Y28" s="35"/>
      <c r="Z28" s="35"/>
      <c r="AA28" s="35"/>
    </row>
    <row r="29" ht="14.25" customHeight="1">
      <c r="A29" s="22" t="s">
        <v>64</v>
      </c>
      <c r="B29" s="23"/>
      <c r="C29" s="45" t="s">
        <v>79</v>
      </c>
      <c r="D29" s="43" t="s">
        <v>80</v>
      </c>
      <c r="E29" s="42"/>
      <c r="F29" s="47">
        <v>8.0</v>
      </c>
      <c r="G29" s="27">
        <f t="shared" si="1"/>
        <v>10</v>
      </c>
      <c r="H29" s="28"/>
      <c r="I29" s="36">
        <f t="shared" si="2"/>
        <v>15</v>
      </c>
      <c r="J29" s="37">
        <f t="shared" si="3"/>
        <v>13</v>
      </c>
      <c r="K29" s="38">
        <f t="shared" si="4"/>
        <v>13</v>
      </c>
      <c r="L29" s="39">
        <f t="shared" si="5"/>
        <v>12</v>
      </c>
      <c r="M29" s="38">
        <f t="shared" si="6"/>
        <v>11.5</v>
      </c>
      <c r="N29" s="39">
        <f t="shared" si="7"/>
        <v>11</v>
      </c>
      <c r="O29" s="40"/>
      <c r="P29" s="34"/>
      <c r="Q29" s="35"/>
      <c r="R29" s="35"/>
      <c r="S29" s="35"/>
      <c r="T29" s="35"/>
      <c r="U29" s="35"/>
      <c r="V29" s="35"/>
      <c r="W29" s="35"/>
      <c r="X29" s="35"/>
      <c r="Y29" s="35"/>
      <c r="Z29" s="35"/>
      <c r="AA29" s="35"/>
    </row>
    <row r="30" ht="14.25" customHeight="1">
      <c r="A30" s="22" t="s">
        <v>64</v>
      </c>
      <c r="B30" s="23"/>
      <c r="C30" s="45" t="s">
        <v>81</v>
      </c>
      <c r="D30" s="43" t="s">
        <v>82</v>
      </c>
      <c r="E30" s="42"/>
      <c r="F30" s="47">
        <v>8.0</v>
      </c>
      <c r="G30" s="27">
        <f t="shared" si="1"/>
        <v>10</v>
      </c>
      <c r="H30" s="28"/>
      <c r="I30" s="36">
        <f t="shared" si="2"/>
        <v>15</v>
      </c>
      <c r="J30" s="37">
        <f t="shared" si="3"/>
        <v>13</v>
      </c>
      <c r="K30" s="38">
        <f t="shared" si="4"/>
        <v>13</v>
      </c>
      <c r="L30" s="39">
        <f t="shared" si="5"/>
        <v>12</v>
      </c>
      <c r="M30" s="38">
        <f t="shared" si="6"/>
        <v>11.5</v>
      </c>
      <c r="N30" s="39">
        <f t="shared" si="7"/>
        <v>11</v>
      </c>
      <c r="O30" s="40"/>
      <c r="P30" s="34"/>
      <c r="Q30" s="35"/>
      <c r="R30" s="35"/>
      <c r="S30" s="35"/>
      <c r="T30" s="35"/>
      <c r="U30" s="35"/>
      <c r="V30" s="35"/>
      <c r="W30" s="35"/>
      <c r="X30" s="35"/>
      <c r="Y30" s="35"/>
      <c r="Z30" s="35"/>
      <c r="AA30" s="35"/>
    </row>
    <row r="31" ht="14.25" customHeight="1">
      <c r="A31" s="22" t="s">
        <v>64</v>
      </c>
      <c r="B31" s="23"/>
      <c r="C31" s="45" t="s">
        <v>83</v>
      </c>
      <c r="D31" s="43" t="s">
        <v>84</v>
      </c>
      <c r="E31" s="42"/>
      <c r="F31" s="47">
        <v>5.0</v>
      </c>
      <c r="G31" s="27">
        <f t="shared" si="1"/>
        <v>6.25</v>
      </c>
      <c r="H31" s="28">
        <v>44593.0</v>
      </c>
      <c r="I31" s="36">
        <f t="shared" si="2"/>
        <v>9.375</v>
      </c>
      <c r="J31" s="37">
        <f t="shared" si="3"/>
        <v>8.125</v>
      </c>
      <c r="K31" s="38">
        <f t="shared" si="4"/>
        <v>8.125</v>
      </c>
      <c r="L31" s="39">
        <f t="shared" si="5"/>
        <v>7.5</v>
      </c>
      <c r="M31" s="38">
        <f t="shared" si="6"/>
        <v>7.1875</v>
      </c>
      <c r="N31" s="39">
        <f t="shared" si="7"/>
        <v>6.875</v>
      </c>
      <c r="O31" s="40"/>
      <c r="P31" s="34"/>
      <c r="Q31" s="35"/>
      <c r="R31" s="35"/>
      <c r="S31" s="35"/>
      <c r="T31" s="35"/>
      <c r="U31" s="35"/>
      <c r="V31" s="35"/>
      <c r="W31" s="35"/>
      <c r="X31" s="35"/>
      <c r="Y31" s="35"/>
      <c r="Z31" s="35"/>
      <c r="AA31" s="35"/>
    </row>
    <row r="32" ht="14.25" customHeight="1">
      <c r="A32" s="22" t="s">
        <v>64</v>
      </c>
      <c r="B32" s="23"/>
      <c r="C32" s="45" t="s">
        <v>85</v>
      </c>
      <c r="D32" s="43" t="s">
        <v>86</v>
      </c>
      <c r="E32" s="42"/>
      <c r="F32" s="47">
        <v>7.0</v>
      </c>
      <c r="G32" s="27">
        <f t="shared" si="1"/>
        <v>8.75</v>
      </c>
      <c r="H32" s="28">
        <v>44593.0</v>
      </c>
      <c r="I32" s="36">
        <f t="shared" si="2"/>
        <v>13.125</v>
      </c>
      <c r="J32" s="37">
        <f t="shared" si="3"/>
        <v>11.375</v>
      </c>
      <c r="K32" s="38">
        <f t="shared" si="4"/>
        <v>11.375</v>
      </c>
      <c r="L32" s="39">
        <f t="shared" si="5"/>
        <v>10.5</v>
      </c>
      <c r="M32" s="38">
        <f t="shared" si="6"/>
        <v>10.0625</v>
      </c>
      <c r="N32" s="39">
        <f t="shared" si="7"/>
        <v>9.625</v>
      </c>
      <c r="O32" s="40"/>
      <c r="P32" s="34"/>
      <c r="Q32" s="35"/>
      <c r="R32" s="35"/>
      <c r="S32" s="35"/>
      <c r="T32" s="35"/>
      <c r="U32" s="35"/>
      <c r="V32" s="35"/>
      <c r="W32" s="35"/>
      <c r="X32" s="35"/>
      <c r="Y32" s="35"/>
      <c r="Z32" s="35"/>
      <c r="AA32" s="35"/>
    </row>
    <row r="33" ht="14.25" customHeight="1">
      <c r="A33" s="22" t="s">
        <v>64</v>
      </c>
      <c r="B33" s="23"/>
      <c r="C33" s="41" t="s">
        <v>87</v>
      </c>
      <c r="D33" s="26" t="s">
        <v>88</v>
      </c>
      <c r="E33" s="42"/>
      <c r="F33" s="47">
        <v>65.0</v>
      </c>
      <c r="G33" s="27">
        <f t="shared" si="1"/>
        <v>81.25</v>
      </c>
      <c r="H33" s="28">
        <v>44593.0</v>
      </c>
      <c r="I33" s="36">
        <f t="shared" si="2"/>
        <v>121.875</v>
      </c>
      <c r="J33" s="37">
        <f t="shared" si="3"/>
        <v>105.625</v>
      </c>
      <c r="K33" s="38">
        <f t="shared" si="4"/>
        <v>105.625</v>
      </c>
      <c r="L33" s="39">
        <f t="shared" si="5"/>
        <v>97.5</v>
      </c>
      <c r="M33" s="38">
        <f t="shared" si="6"/>
        <v>93.4375</v>
      </c>
      <c r="N33" s="39">
        <f t="shared" si="7"/>
        <v>89.375</v>
      </c>
      <c r="O33" s="40"/>
      <c r="P33" s="34"/>
      <c r="Q33" s="35"/>
      <c r="R33" s="35"/>
      <c r="S33" s="35"/>
      <c r="T33" s="35"/>
      <c r="U33" s="35"/>
      <c r="V33" s="35"/>
      <c r="W33" s="35"/>
      <c r="X33" s="35"/>
      <c r="Y33" s="35"/>
      <c r="Z33" s="35"/>
      <c r="AA33" s="35"/>
    </row>
    <row r="34" ht="14.25" customHeight="1">
      <c r="A34" s="22" t="s">
        <v>64</v>
      </c>
      <c r="B34" s="23"/>
      <c r="C34" s="41" t="s">
        <v>89</v>
      </c>
      <c r="D34" s="26" t="s">
        <v>90</v>
      </c>
      <c r="E34" s="42"/>
      <c r="F34" s="47">
        <v>35.0</v>
      </c>
      <c r="G34" s="27">
        <f t="shared" si="1"/>
        <v>43.75</v>
      </c>
      <c r="H34" s="28">
        <v>44593.0</v>
      </c>
      <c r="I34" s="36">
        <f t="shared" si="2"/>
        <v>65.625</v>
      </c>
      <c r="J34" s="37">
        <f t="shared" si="3"/>
        <v>56.875</v>
      </c>
      <c r="K34" s="38">
        <f t="shared" si="4"/>
        <v>56.875</v>
      </c>
      <c r="L34" s="39">
        <f t="shared" si="5"/>
        <v>52.5</v>
      </c>
      <c r="M34" s="38">
        <f t="shared" si="6"/>
        <v>50.3125</v>
      </c>
      <c r="N34" s="39">
        <f t="shared" si="7"/>
        <v>48.125</v>
      </c>
      <c r="O34" s="40"/>
      <c r="P34" s="34"/>
      <c r="Q34" s="35"/>
      <c r="R34" s="35"/>
      <c r="S34" s="35"/>
      <c r="T34" s="35"/>
      <c r="U34" s="35"/>
      <c r="V34" s="35"/>
      <c r="W34" s="35"/>
      <c r="X34" s="35"/>
      <c r="Y34" s="35"/>
      <c r="Z34" s="35"/>
      <c r="AA34" s="35"/>
    </row>
    <row r="35" ht="14.25" customHeight="1">
      <c r="A35" s="22" t="s">
        <v>64</v>
      </c>
      <c r="B35" s="23"/>
      <c r="C35" s="41" t="s">
        <v>91</v>
      </c>
      <c r="D35" s="26" t="s">
        <v>92</v>
      </c>
      <c r="E35" s="42"/>
      <c r="F35" s="47">
        <v>25.0</v>
      </c>
      <c r="G35" s="27">
        <f t="shared" si="1"/>
        <v>31.25</v>
      </c>
      <c r="H35" s="28">
        <v>44593.0</v>
      </c>
      <c r="I35" s="36">
        <f t="shared" si="2"/>
        <v>46.875</v>
      </c>
      <c r="J35" s="37">
        <f t="shared" si="3"/>
        <v>40.625</v>
      </c>
      <c r="K35" s="38">
        <f t="shared" si="4"/>
        <v>40.625</v>
      </c>
      <c r="L35" s="39">
        <f t="shared" si="5"/>
        <v>37.5</v>
      </c>
      <c r="M35" s="38">
        <f t="shared" si="6"/>
        <v>35.9375</v>
      </c>
      <c r="N35" s="39">
        <f t="shared" si="7"/>
        <v>34.375</v>
      </c>
      <c r="O35" s="40"/>
      <c r="P35" s="34"/>
      <c r="Q35" s="35"/>
      <c r="R35" s="35"/>
      <c r="S35" s="35"/>
      <c r="T35" s="35"/>
      <c r="U35" s="35"/>
      <c r="V35" s="35"/>
      <c r="W35" s="35"/>
      <c r="X35" s="35"/>
      <c r="Y35" s="35"/>
      <c r="Z35" s="35"/>
      <c r="AA35" s="35"/>
    </row>
    <row r="36" ht="14.25" customHeight="1">
      <c r="A36" s="22" t="s">
        <v>93</v>
      </c>
      <c r="B36" s="23"/>
      <c r="C36" s="45" t="s">
        <v>94</v>
      </c>
      <c r="D36" s="25" t="s">
        <v>95</v>
      </c>
      <c r="E36" s="42"/>
      <c r="F36" s="47">
        <v>125.0</v>
      </c>
      <c r="G36" s="27">
        <f t="shared" si="1"/>
        <v>156.25</v>
      </c>
      <c r="H36" s="28">
        <v>44593.0</v>
      </c>
      <c r="I36" s="36">
        <f t="shared" si="2"/>
        <v>234.375</v>
      </c>
      <c r="J36" s="37">
        <f t="shared" si="3"/>
        <v>203.125</v>
      </c>
      <c r="K36" s="38">
        <f t="shared" si="4"/>
        <v>203.125</v>
      </c>
      <c r="L36" s="39">
        <f t="shared" si="5"/>
        <v>187.5</v>
      </c>
      <c r="M36" s="38">
        <f t="shared" si="6"/>
        <v>179.6875</v>
      </c>
      <c r="N36" s="39">
        <f t="shared" si="7"/>
        <v>171.875</v>
      </c>
      <c r="O36" s="40"/>
      <c r="P36" s="34"/>
      <c r="Q36" s="35"/>
      <c r="R36" s="35"/>
      <c r="S36" s="35"/>
      <c r="T36" s="35"/>
      <c r="U36" s="35"/>
      <c r="V36" s="35"/>
      <c r="W36" s="35"/>
      <c r="X36" s="35"/>
      <c r="Y36" s="35"/>
      <c r="Z36" s="35"/>
      <c r="AA36" s="35"/>
    </row>
    <row r="37" ht="14.25" customHeight="1">
      <c r="A37" s="22" t="s">
        <v>93</v>
      </c>
      <c r="B37" s="23"/>
      <c r="C37" s="46" t="s">
        <v>96</v>
      </c>
      <c r="D37" s="26" t="s">
        <v>97</v>
      </c>
      <c r="E37" s="42"/>
      <c r="F37" s="47">
        <v>100.0</v>
      </c>
      <c r="G37" s="27">
        <f t="shared" si="1"/>
        <v>125</v>
      </c>
      <c r="H37" s="28">
        <v>44593.0</v>
      </c>
      <c r="I37" s="36">
        <f t="shared" si="2"/>
        <v>187.5</v>
      </c>
      <c r="J37" s="37">
        <f t="shared" si="3"/>
        <v>162.5</v>
      </c>
      <c r="K37" s="38">
        <f t="shared" si="4"/>
        <v>162.5</v>
      </c>
      <c r="L37" s="39">
        <f t="shared" si="5"/>
        <v>150</v>
      </c>
      <c r="M37" s="38">
        <f t="shared" si="6"/>
        <v>143.75</v>
      </c>
      <c r="N37" s="39">
        <f t="shared" si="7"/>
        <v>137.5</v>
      </c>
      <c r="O37" s="40" t="s">
        <v>98</v>
      </c>
      <c r="P37" s="34"/>
      <c r="Q37" s="35"/>
      <c r="R37" s="35"/>
      <c r="S37" s="35"/>
      <c r="T37" s="35"/>
      <c r="U37" s="35"/>
      <c r="V37" s="35"/>
      <c r="W37" s="35"/>
      <c r="X37" s="35"/>
      <c r="Y37" s="35"/>
      <c r="Z37" s="35"/>
      <c r="AA37" s="35"/>
    </row>
    <row r="38" ht="14.25" customHeight="1">
      <c r="A38" s="22" t="s">
        <v>99</v>
      </c>
      <c r="B38" s="23"/>
      <c r="C38" s="46" t="s">
        <v>100</v>
      </c>
      <c r="D38" s="26" t="s">
        <v>101</v>
      </c>
      <c r="E38" s="42"/>
      <c r="F38" s="47">
        <v>129000.0</v>
      </c>
      <c r="G38" s="27">
        <f t="shared" si="1"/>
        <v>161250</v>
      </c>
      <c r="H38" s="28">
        <v>44593.0</v>
      </c>
      <c r="I38" s="36">
        <f t="shared" si="2"/>
        <v>241875</v>
      </c>
      <c r="J38" s="37">
        <f t="shared" si="3"/>
        <v>209625</v>
      </c>
      <c r="K38" s="38">
        <f t="shared" si="4"/>
        <v>209625</v>
      </c>
      <c r="L38" s="39">
        <f t="shared" si="5"/>
        <v>193500</v>
      </c>
      <c r="M38" s="38">
        <f t="shared" si="6"/>
        <v>185437.5</v>
      </c>
      <c r="N38" s="39">
        <f t="shared" si="7"/>
        <v>177375</v>
      </c>
      <c r="O38" s="40"/>
      <c r="P38" s="34"/>
      <c r="Q38" s="35"/>
      <c r="R38" s="35"/>
      <c r="S38" s="35"/>
      <c r="T38" s="35"/>
      <c r="U38" s="35"/>
      <c r="V38" s="35"/>
      <c r="W38" s="35"/>
      <c r="X38" s="35"/>
      <c r="Y38" s="35"/>
      <c r="Z38" s="35"/>
      <c r="AA38" s="35"/>
    </row>
    <row r="39" ht="14.25" customHeight="1">
      <c r="A39" s="48" t="s">
        <v>102</v>
      </c>
      <c r="B39" s="23"/>
      <c r="C39" s="46" t="s">
        <v>103</v>
      </c>
      <c r="D39" s="49" t="s">
        <v>104</v>
      </c>
      <c r="E39" s="42"/>
      <c r="F39" s="47">
        <v>250.0</v>
      </c>
      <c r="G39" s="27">
        <f t="shared" si="1"/>
        <v>312.5</v>
      </c>
      <c r="H39" s="28">
        <v>44593.0</v>
      </c>
      <c r="I39" s="36">
        <f t="shared" si="2"/>
        <v>468.75</v>
      </c>
      <c r="J39" s="37">
        <f t="shared" si="3"/>
        <v>406.25</v>
      </c>
      <c r="K39" s="38">
        <f t="shared" si="4"/>
        <v>406.25</v>
      </c>
      <c r="L39" s="39">
        <f t="shared" si="5"/>
        <v>375</v>
      </c>
      <c r="M39" s="38">
        <f t="shared" si="6"/>
        <v>359.375</v>
      </c>
      <c r="N39" s="39">
        <f t="shared" si="7"/>
        <v>343.75</v>
      </c>
      <c r="O39" s="40"/>
      <c r="P39" s="34"/>
      <c r="Q39" s="35"/>
      <c r="R39" s="35"/>
      <c r="S39" s="35"/>
      <c r="T39" s="35"/>
      <c r="U39" s="35"/>
      <c r="V39" s="35"/>
      <c r="W39" s="35"/>
      <c r="X39" s="35"/>
      <c r="Y39" s="35"/>
      <c r="Z39" s="35"/>
      <c r="AA39" s="35"/>
    </row>
    <row r="40" ht="14.25" customHeight="1">
      <c r="A40" s="48" t="s">
        <v>102</v>
      </c>
      <c r="B40" s="23"/>
      <c r="C40" s="46" t="s">
        <v>105</v>
      </c>
      <c r="D40" s="41" t="s">
        <v>106</v>
      </c>
      <c r="E40" s="42"/>
      <c r="F40" s="47">
        <v>300.0</v>
      </c>
      <c r="G40" s="27">
        <f t="shared" si="1"/>
        <v>375</v>
      </c>
      <c r="H40" s="28">
        <v>44593.0</v>
      </c>
      <c r="I40" s="36">
        <f t="shared" si="2"/>
        <v>562.5</v>
      </c>
      <c r="J40" s="37">
        <f t="shared" si="3"/>
        <v>487.5</v>
      </c>
      <c r="K40" s="38">
        <f t="shared" si="4"/>
        <v>487.5</v>
      </c>
      <c r="L40" s="39">
        <f t="shared" si="5"/>
        <v>450</v>
      </c>
      <c r="M40" s="38">
        <f t="shared" si="6"/>
        <v>431.25</v>
      </c>
      <c r="N40" s="39">
        <f t="shared" si="7"/>
        <v>412.5</v>
      </c>
      <c r="O40" s="40"/>
      <c r="P40" s="34"/>
      <c r="Q40" s="35"/>
      <c r="R40" s="35"/>
      <c r="S40" s="35"/>
      <c r="T40" s="35"/>
      <c r="U40" s="35"/>
      <c r="V40" s="35"/>
      <c r="W40" s="35"/>
      <c r="X40" s="35"/>
      <c r="Y40" s="35"/>
      <c r="Z40" s="35"/>
      <c r="AA40" s="35"/>
    </row>
    <row r="41" ht="14.25" customHeight="1">
      <c r="A41" s="48" t="s">
        <v>102</v>
      </c>
      <c r="B41" s="23"/>
      <c r="C41" s="46" t="s">
        <v>107</v>
      </c>
      <c r="D41" s="41" t="s">
        <v>108</v>
      </c>
      <c r="E41" s="42"/>
      <c r="F41" s="47">
        <v>600.0</v>
      </c>
      <c r="G41" s="27">
        <f t="shared" si="1"/>
        <v>750</v>
      </c>
      <c r="H41" s="28">
        <v>44593.0</v>
      </c>
      <c r="I41" s="36">
        <f t="shared" si="2"/>
        <v>1125</v>
      </c>
      <c r="J41" s="37">
        <f t="shared" si="3"/>
        <v>975</v>
      </c>
      <c r="K41" s="38">
        <f t="shared" si="4"/>
        <v>975</v>
      </c>
      <c r="L41" s="39">
        <f t="shared" si="5"/>
        <v>900</v>
      </c>
      <c r="M41" s="38">
        <f t="shared" si="6"/>
        <v>862.5</v>
      </c>
      <c r="N41" s="39">
        <f t="shared" si="7"/>
        <v>825</v>
      </c>
      <c r="O41" s="40"/>
      <c r="P41" s="34"/>
      <c r="Q41" s="35"/>
      <c r="R41" s="35"/>
      <c r="S41" s="35"/>
      <c r="T41" s="35"/>
      <c r="U41" s="35"/>
      <c r="V41" s="35"/>
      <c r="W41" s="35"/>
      <c r="X41" s="35"/>
      <c r="Y41" s="35"/>
      <c r="Z41" s="35"/>
      <c r="AA41" s="35"/>
    </row>
    <row r="42" ht="14.25" customHeight="1">
      <c r="A42" s="22" t="s">
        <v>109</v>
      </c>
      <c r="B42" s="23"/>
      <c r="C42" s="24" t="s">
        <v>110</v>
      </c>
      <c r="D42" s="25" t="s">
        <v>111</v>
      </c>
      <c r="E42" s="42"/>
      <c r="F42" s="47">
        <v>1160.0</v>
      </c>
      <c r="G42" s="27">
        <f t="shared" si="1"/>
        <v>1450</v>
      </c>
      <c r="H42" s="28">
        <v>44593.0</v>
      </c>
      <c r="I42" s="36">
        <f t="shared" si="2"/>
        <v>2175</v>
      </c>
      <c r="J42" s="37">
        <f t="shared" si="3"/>
        <v>1885</v>
      </c>
      <c r="K42" s="38">
        <f t="shared" si="4"/>
        <v>1885</v>
      </c>
      <c r="L42" s="39">
        <f t="shared" si="5"/>
        <v>1740</v>
      </c>
      <c r="M42" s="38">
        <f t="shared" si="6"/>
        <v>1667.5</v>
      </c>
      <c r="N42" s="39">
        <f t="shared" si="7"/>
        <v>1595</v>
      </c>
      <c r="O42" s="40"/>
      <c r="P42" s="34"/>
      <c r="Q42" s="35"/>
      <c r="R42" s="35"/>
      <c r="S42" s="35"/>
      <c r="T42" s="35"/>
      <c r="U42" s="35"/>
      <c r="V42" s="35"/>
      <c r="W42" s="35"/>
      <c r="X42" s="35"/>
      <c r="Y42" s="35"/>
      <c r="Z42" s="35"/>
      <c r="AA42" s="35"/>
    </row>
    <row r="43" ht="14.25" customHeight="1">
      <c r="A43" s="22" t="s">
        <v>112</v>
      </c>
      <c r="B43" s="23"/>
      <c r="C43" s="24" t="s">
        <v>113</v>
      </c>
      <c r="D43" s="25" t="s">
        <v>114</v>
      </c>
      <c r="E43" s="42"/>
      <c r="F43" s="47">
        <v>1250.0</v>
      </c>
      <c r="G43" s="27">
        <f t="shared" si="1"/>
        <v>1562.5</v>
      </c>
      <c r="H43" s="28">
        <v>44593.0</v>
      </c>
      <c r="I43" s="36">
        <f t="shared" si="2"/>
        <v>2343.75</v>
      </c>
      <c r="J43" s="37">
        <f t="shared" si="3"/>
        <v>2031.25</v>
      </c>
      <c r="K43" s="38">
        <f t="shared" si="4"/>
        <v>2031.25</v>
      </c>
      <c r="L43" s="39">
        <f t="shared" si="5"/>
        <v>1875</v>
      </c>
      <c r="M43" s="38">
        <f t="shared" si="6"/>
        <v>1796.875</v>
      </c>
      <c r="N43" s="39">
        <f t="shared" si="7"/>
        <v>1718.75</v>
      </c>
      <c r="O43" s="40"/>
      <c r="P43" s="34"/>
      <c r="Q43" s="35"/>
      <c r="R43" s="35"/>
      <c r="S43" s="35"/>
      <c r="T43" s="35"/>
      <c r="U43" s="35"/>
      <c r="V43" s="35"/>
      <c r="W43" s="35"/>
      <c r="X43" s="35"/>
      <c r="Y43" s="35"/>
      <c r="Z43" s="35"/>
      <c r="AA43" s="35"/>
    </row>
    <row r="44" ht="14.25" customHeight="1">
      <c r="A44" s="49" t="s">
        <v>115</v>
      </c>
      <c r="B44" s="23"/>
      <c r="C44" s="46" t="s">
        <v>115</v>
      </c>
      <c r="D44" s="41" t="s">
        <v>116</v>
      </c>
      <c r="E44" s="42"/>
      <c r="F44" s="47">
        <v>5990.0</v>
      </c>
      <c r="G44" s="27">
        <f t="shared" si="1"/>
        <v>7487.5</v>
      </c>
      <c r="H44" s="28">
        <v>44593.0</v>
      </c>
      <c r="I44" s="36">
        <f t="shared" si="2"/>
        <v>11231.25</v>
      </c>
      <c r="J44" s="37">
        <f t="shared" si="3"/>
        <v>9733.75</v>
      </c>
      <c r="K44" s="38">
        <f t="shared" si="4"/>
        <v>9733.75</v>
      </c>
      <c r="L44" s="39">
        <f t="shared" si="5"/>
        <v>8985</v>
      </c>
      <c r="M44" s="38">
        <f t="shared" si="6"/>
        <v>8610.625</v>
      </c>
      <c r="N44" s="39">
        <f t="shared" si="7"/>
        <v>8236.25</v>
      </c>
      <c r="O44" s="40"/>
      <c r="P44" s="34"/>
      <c r="Q44" s="35"/>
      <c r="R44" s="35"/>
      <c r="S44" s="35"/>
      <c r="T44" s="35"/>
      <c r="U44" s="35"/>
      <c r="V44" s="35"/>
      <c r="W44" s="35"/>
      <c r="X44" s="35"/>
      <c r="Y44" s="35"/>
      <c r="Z44" s="35"/>
      <c r="AA44" s="35"/>
    </row>
    <row r="45" ht="14.25" customHeight="1">
      <c r="A45" s="44" t="s">
        <v>117</v>
      </c>
      <c r="B45" s="23"/>
      <c r="C45" s="46" t="s">
        <v>118</v>
      </c>
      <c r="D45" s="42" t="s">
        <v>119</v>
      </c>
      <c r="E45" s="42"/>
      <c r="F45" s="47">
        <v>1900.0</v>
      </c>
      <c r="G45" s="27">
        <f t="shared" si="1"/>
        <v>2375</v>
      </c>
      <c r="H45" s="28">
        <v>44593.0</v>
      </c>
      <c r="I45" s="36">
        <f t="shared" si="2"/>
        <v>3562.5</v>
      </c>
      <c r="J45" s="37">
        <f t="shared" si="3"/>
        <v>3087.5</v>
      </c>
      <c r="K45" s="38">
        <f t="shared" si="4"/>
        <v>3087.5</v>
      </c>
      <c r="L45" s="39">
        <f t="shared" si="5"/>
        <v>2850</v>
      </c>
      <c r="M45" s="38">
        <f t="shared" si="6"/>
        <v>2731.25</v>
      </c>
      <c r="N45" s="39">
        <f t="shared" si="7"/>
        <v>2612.5</v>
      </c>
      <c r="O45" s="40"/>
      <c r="P45" s="34"/>
      <c r="Q45" s="35"/>
      <c r="R45" s="35"/>
      <c r="S45" s="35"/>
      <c r="T45" s="35"/>
      <c r="U45" s="35"/>
      <c r="V45" s="35"/>
      <c r="W45" s="35"/>
      <c r="X45" s="35"/>
      <c r="Y45" s="35"/>
      <c r="Z45" s="35"/>
      <c r="AA45" s="35"/>
    </row>
    <row r="46" ht="14.25" customHeight="1">
      <c r="A46" s="44" t="s">
        <v>117</v>
      </c>
      <c r="B46" s="23"/>
      <c r="C46" s="46" t="s">
        <v>120</v>
      </c>
      <c r="D46" s="42" t="s">
        <v>119</v>
      </c>
      <c r="E46" s="42"/>
      <c r="F46" s="47">
        <v>1000.0</v>
      </c>
      <c r="G46" s="27">
        <f t="shared" si="1"/>
        <v>1250</v>
      </c>
      <c r="H46" s="28">
        <v>44593.0</v>
      </c>
      <c r="I46" s="36">
        <f t="shared" si="2"/>
        <v>1875</v>
      </c>
      <c r="J46" s="37">
        <f t="shared" si="3"/>
        <v>1625</v>
      </c>
      <c r="K46" s="38">
        <f t="shared" si="4"/>
        <v>1625</v>
      </c>
      <c r="L46" s="39">
        <f t="shared" si="5"/>
        <v>1500</v>
      </c>
      <c r="M46" s="38">
        <f t="shared" si="6"/>
        <v>1437.5</v>
      </c>
      <c r="N46" s="39">
        <f t="shared" si="7"/>
        <v>1375</v>
      </c>
      <c r="O46" s="40"/>
      <c r="P46" s="34"/>
      <c r="Q46" s="35"/>
      <c r="R46" s="35"/>
      <c r="S46" s="35"/>
      <c r="T46" s="35"/>
      <c r="U46" s="35"/>
      <c r="V46" s="35"/>
      <c r="W46" s="35"/>
      <c r="X46" s="35"/>
      <c r="Y46" s="35"/>
      <c r="Z46" s="35"/>
      <c r="AA46" s="35"/>
    </row>
    <row r="47" ht="14.25" customHeight="1">
      <c r="A47" s="49" t="s">
        <v>121</v>
      </c>
      <c r="B47" s="23"/>
      <c r="C47" s="45" t="s">
        <v>122</v>
      </c>
      <c r="D47" s="49" t="s">
        <v>123</v>
      </c>
      <c r="E47" s="42"/>
      <c r="F47" s="47">
        <v>98990.0</v>
      </c>
      <c r="G47" s="27">
        <f t="shared" si="1"/>
        <v>123737.5</v>
      </c>
      <c r="H47" s="28">
        <v>44593.0</v>
      </c>
      <c r="I47" s="36">
        <f t="shared" si="2"/>
        <v>185606.25</v>
      </c>
      <c r="J47" s="37">
        <f t="shared" si="3"/>
        <v>160858.75</v>
      </c>
      <c r="K47" s="38">
        <f t="shared" si="4"/>
        <v>160858.75</v>
      </c>
      <c r="L47" s="39">
        <f t="shared" si="5"/>
        <v>148485</v>
      </c>
      <c r="M47" s="38">
        <f t="shared" si="6"/>
        <v>142298.125</v>
      </c>
      <c r="N47" s="39">
        <f t="shared" si="7"/>
        <v>136111.25</v>
      </c>
      <c r="O47" s="40"/>
      <c r="P47" s="34"/>
      <c r="Q47" s="35"/>
      <c r="R47" s="35"/>
      <c r="S47" s="35"/>
      <c r="T47" s="35"/>
      <c r="U47" s="35"/>
      <c r="V47" s="35"/>
      <c r="W47" s="35"/>
      <c r="X47" s="35"/>
      <c r="Y47" s="35"/>
      <c r="Z47" s="35"/>
      <c r="AA47" s="35"/>
    </row>
    <row r="48" ht="14.25" customHeight="1">
      <c r="A48" s="49" t="s">
        <v>121</v>
      </c>
      <c r="B48" s="23"/>
      <c r="C48" s="45" t="s">
        <v>124</v>
      </c>
      <c r="D48" s="46" t="s">
        <v>125</v>
      </c>
      <c r="E48" s="42"/>
      <c r="F48" s="47">
        <v>77530.0</v>
      </c>
      <c r="G48" s="27">
        <f t="shared" si="1"/>
        <v>96912.5</v>
      </c>
      <c r="H48" s="28">
        <v>44593.0</v>
      </c>
      <c r="I48" s="36">
        <f t="shared" si="2"/>
        <v>145368.75</v>
      </c>
      <c r="J48" s="37">
        <f t="shared" si="3"/>
        <v>125986.25</v>
      </c>
      <c r="K48" s="38">
        <f t="shared" si="4"/>
        <v>125986.25</v>
      </c>
      <c r="L48" s="39">
        <f t="shared" si="5"/>
        <v>116295</v>
      </c>
      <c r="M48" s="38">
        <f t="shared" si="6"/>
        <v>111449.375</v>
      </c>
      <c r="N48" s="39">
        <f t="shared" si="7"/>
        <v>106603.75</v>
      </c>
      <c r="O48" s="40"/>
      <c r="P48" s="34"/>
      <c r="Q48" s="35"/>
      <c r="R48" s="35"/>
      <c r="S48" s="35"/>
      <c r="T48" s="35"/>
      <c r="U48" s="35"/>
      <c r="V48" s="35"/>
      <c r="W48" s="35"/>
      <c r="X48" s="35"/>
      <c r="Y48" s="35"/>
      <c r="Z48" s="35"/>
      <c r="AA48" s="35"/>
    </row>
    <row r="49" ht="14.25" customHeight="1">
      <c r="A49" s="49" t="s">
        <v>121</v>
      </c>
      <c r="B49" s="23"/>
      <c r="C49" s="46" t="s">
        <v>126</v>
      </c>
      <c r="D49" s="46" t="s">
        <v>127</v>
      </c>
      <c r="E49" s="42"/>
      <c r="F49" s="27">
        <v>9880.0</v>
      </c>
      <c r="G49" s="27">
        <f t="shared" si="1"/>
        <v>12350</v>
      </c>
      <c r="H49" s="28">
        <v>44593.0</v>
      </c>
      <c r="I49" s="36">
        <f t="shared" si="2"/>
        <v>18525</v>
      </c>
      <c r="J49" s="37">
        <f t="shared" si="3"/>
        <v>16055</v>
      </c>
      <c r="K49" s="38">
        <f t="shared" si="4"/>
        <v>16055</v>
      </c>
      <c r="L49" s="39">
        <f t="shared" si="5"/>
        <v>14820</v>
      </c>
      <c r="M49" s="38">
        <f t="shared" si="6"/>
        <v>14202.5</v>
      </c>
      <c r="N49" s="39">
        <f t="shared" si="7"/>
        <v>13585</v>
      </c>
      <c r="O49" s="40"/>
      <c r="P49" s="34"/>
      <c r="Q49" s="35"/>
      <c r="R49" s="35"/>
      <c r="S49" s="35"/>
      <c r="T49" s="35"/>
      <c r="U49" s="35"/>
      <c r="V49" s="35"/>
      <c r="W49" s="35"/>
      <c r="X49" s="35"/>
      <c r="Y49" s="35"/>
      <c r="Z49" s="35"/>
      <c r="AA49" s="35"/>
    </row>
    <row r="50" ht="14.25" customHeight="1">
      <c r="A50" s="49" t="s">
        <v>121</v>
      </c>
      <c r="B50" s="23"/>
      <c r="C50" s="46" t="s">
        <v>128</v>
      </c>
      <c r="D50" s="46" t="s">
        <v>129</v>
      </c>
      <c r="E50" s="42"/>
      <c r="F50" s="27">
        <v>5650.0</v>
      </c>
      <c r="G50" s="27">
        <f t="shared" si="1"/>
        <v>7062.5</v>
      </c>
      <c r="H50" s="28">
        <v>44593.0</v>
      </c>
      <c r="I50" s="36">
        <f t="shared" si="2"/>
        <v>10593.75</v>
      </c>
      <c r="J50" s="37">
        <f t="shared" si="3"/>
        <v>9181.25</v>
      </c>
      <c r="K50" s="38">
        <f t="shared" si="4"/>
        <v>9181.25</v>
      </c>
      <c r="L50" s="39">
        <f t="shared" si="5"/>
        <v>8475</v>
      </c>
      <c r="M50" s="38">
        <f t="shared" si="6"/>
        <v>8121.875</v>
      </c>
      <c r="N50" s="39">
        <f t="shared" si="7"/>
        <v>7768.75</v>
      </c>
      <c r="O50" s="40"/>
      <c r="P50" s="34"/>
      <c r="Q50" s="35"/>
      <c r="R50" s="35"/>
      <c r="S50" s="35"/>
      <c r="T50" s="35"/>
      <c r="U50" s="35"/>
      <c r="V50" s="35"/>
      <c r="W50" s="35"/>
      <c r="X50" s="35"/>
      <c r="Y50" s="35"/>
      <c r="Z50" s="35"/>
      <c r="AA50" s="35"/>
    </row>
    <row r="51" ht="14.25" customHeight="1">
      <c r="A51" s="49" t="s">
        <v>121</v>
      </c>
      <c r="B51" s="23"/>
      <c r="C51" s="46" t="s">
        <v>130</v>
      </c>
      <c r="D51" s="46" t="s">
        <v>131</v>
      </c>
      <c r="E51" s="42"/>
      <c r="F51" s="27">
        <v>5600.0</v>
      </c>
      <c r="G51" s="27">
        <f t="shared" si="1"/>
        <v>7000</v>
      </c>
      <c r="H51" s="28">
        <v>44593.0</v>
      </c>
      <c r="I51" s="36">
        <f t="shared" si="2"/>
        <v>10500</v>
      </c>
      <c r="J51" s="37">
        <f t="shared" si="3"/>
        <v>9100</v>
      </c>
      <c r="K51" s="38">
        <f t="shared" si="4"/>
        <v>9100</v>
      </c>
      <c r="L51" s="39">
        <f t="shared" si="5"/>
        <v>8400</v>
      </c>
      <c r="M51" s="38">
        <f t="shared" si="6"/>
        <v>8050</v>
      </c>
      <c r="N51" s="39">
        <f t="shared" si="7"/>
        <v>7700</v>
      </c>
      <c r="O51" s="40"/>
      <c r="P51" s="34"/>
      <c r="Q51" s="35"/>
      <c r="R51" s="35"/>
      <c r="S51" s="35"/>
      <c r="T51" s="35"/>
      <c r="U51" s="35"/>
      <c r="V51" s="35"/>
      <c r="W51" s="35"/>
      <c r="X51" s="35"/>
      <c r="Y51" s="35"/>
      <c r="Z51" s="35"/>
      <c r="AA51" s="35"/>
    </row>
    <row r="52" ht="14.25" customHeight="1">
      <c r="A52" s="49" t="s">
        <v>121</v>
      </c>
      <c r="B52" s="23"/>
      <c r="C52" s="50" t="s">
        <v>132</v>
      </c>
      <c r="D52" s="51" t="s">
        <v>133</v>
      </c>
      <c r="E52" s="23"/>
      <c r="F52" s="27">
        <v>29920.0</v>
      </c>
      <c r="G52" s="27">
        <f t="shared" si="1"/>
        <v>37400</v>
      </c>
      <c r="H52" s="28">
        <v>44593.0</v>
      </c>
      <c r="I52" s="36">
        <f t="shared" si="2"/>
        <v>56100</v>
      </c>
      <c r="J52" s="37">
        <f t="shared" si="3"/>
        <v>48620</v>
      </c>
      <c r="K52" s="38">
        <f t="shared" si="4"/>
        <v>48620</v>
      </c>
      <c r="L52" s="39">
        <f t="shared" si="5"/>
        <v>44880</v>
      </c>
      <c r="M52" s="38">
        <f t="shared" si="6"/>
        <v>43010</v>
      </c>
      <c r="N52" s="39">
        <f t="shared" si="7"/>
        <v>41140</v>
      </c>
      <c r="O52" s="40"/>
      <c r="P52" s="34"/>
      <c r="Q52" s="35"/>
      <c r="R52" s="35"/>
      <c r="S52" s="35"/>
      <c r="T52" s="35"/>
      <c r="U52" s="35"/>
      <c r="V52" s="35"/>
      <c r="W52" s="35"/>
      <c r="X52" s="35"/>
      <c r="Y52" s="35"/>
      <c r="Z52" s="35"/>
      <c r="AA52" s="35"/>
    </row>
    <row r="53" ht="14.25" customHeight="1">
      <c r="A53" s="49" t="s">
        <v>134</v>
      </c>
      <c r="B53" s="23"/>
      <c r="C53" s="45" t="s">
        <v>135</v>
      </c>
      <c r="D53" s="49" t="s">
        <v>136</v>
      </c>
      <c r="E53" s="42"/>
      <c r="F53" s="27">
        <v>9875.0</v>
      </c>
      <c r="G53" s="27">
        <f t="shared" si="1"/>
        <v>12343.75</v>
      </c>
      <c r="H53" s="28">
        <v>44593.0</v>
      </c>
      <c r="I53" s="36">
        <f t="shared" si="2"/>
        <v>18515.625</v>
      </c>
      <c r="J53" s="37">
        <f t="shared" si="3"/>
        <v>16046.875</v>
      </c>
      <c r="K53" s="38">
        <f t="shared" si="4"/>
        <v>16046.875</v>
      </c>
      <c r="L53" s="39">
        <f t="shared" si="5"/>
        <v>14812.5</v>
      </c>
      <c r="M53" s="38">
        <f t="shared" si="6"/>
        <v>14195.3125</v>
      </c>
      <c r="N53" s="39">
        <f t="shared" si="7"/>
        <v>13578.125</v>
      </c>
      <c r="O53" s="40"/>
      <c r="P53" s="34"/>
      <c r="Q53" s="35"/>
      <c r="R53" s="35"/>
      <c r="S53" s="35"/>
      <c r="T53" s="35"/>
      <c r="U53" s="35"/>
      <c r="V53" s="35"/>
      <c r="W53" s="35"/>
      <c r="X53" s="35"/>
      <c r="Y53" s="35"/>
      <c r="Z53" s="35"/>
      <c r="AA53" s="35"/>
    </row>
    <row r="54" ht="14.25" customHeight="1">
      <c r="A54" s="49" t="s">
        <v>134</v>
      </c>
      <c r="B54" s="23"/>
      <c r="C54" s="22" t="s">
        <v>137</v>
      </c>
      <c r="D54" s="49" t="s">
        <v>136</v>
      </c>
      <c r="E54" s="23"/>
      <c r="F54" s="52">
        <v>8750.0</v>
      </c>
      <c r="G54" s="27">
        <f t="shared" si="1"/>
        <v>10937.5</v>
      </c>
      <c r="H54" s="28">
        <v>44593.0</v>
      </c>
      <c r="I54" s="36">
        <f t="shared" si="2"/>
        <v>16406.25</v>
      </c>
      <c r="J54" s="37">
        <f t="shared" si="3"/>
        <v>14218.75</v>
      </c>
      <c r="K54" s="38">
        <f t="shared" si="4"/>
        <v>14218.75</v>
      </c>
      <c r="L54" s="39">
        <f t="shared" si="5"/>
        <v>13125</v>
      </c>
      <c r="M54" s="38">
        <f t="shared" si="6"/>
        <v>12578.125</v>
      </c>
      <c r="N54" s="39">
        <f t="shared" si="7"/>
        <v>12031.25</v>
      </c>
      <c r="O54" s="40"/>
      <c r="P54" s="34"/>
      <c r="Q54" s="35"/>
      <c r="R54" s="35"/>
      <c r="S54" s="35"/>
      <c r="T54" s="35"/>
      <c r="U54" s="35"/>
      <c r="V54" s="35"/>
      <c r="W54" s="35"/>
      <c r="X54" s="35"/>
      <c r="Y54" s="35"/>
      <c r="Z54" s="35"/>
      <c r="AA54" s="35"/>
    </row>
    <row r="55" ht="14.25" customHeight="1">
      <c r="A55" s="49" t="s">
        <v>138</v>
      </c>
      <c r="B55" s="23"/>
      <c r="C55" s="22" t="s">
        <v>139</v>
      </c>
      <c r="D55" s="49" t="s">
        <v>138</v>
      </c>
      <c r="E55" s="23"/>
      <c r="F55" s="52">
        <v>12500.0</v>
      </c>
      <c r="G55" s="27">
        <f t="shared" si="1"/>
        <v>15625</v>
      </c>
      <c r="H55" s="28">
        <v>44593.0</v>
      </c>
      <c r="I55" s="36">
        <f t="shared" si="2"/>
        <v>23437.5</v>
      </c>
      <c r="J55" s="37">
        <f t="shared" si="3"/>
        <v>20312.5</v>
      </c>
      <c r="K55" s="38">
        <f t="shared" si="4"/>
        <v>20312.5</v>
      </c>
      <c r="L55" s="39">
        <f t="shared" si="5"/>
        <v>18750</v>
      </c>
      <c r="M55" s="38">
        <f t="shared" si="6"/>
        <v>17968.75</v>
      </c>
      <c r="N55" s="39">
        <f t="shared" si="7"/>
        <v>17187.5</v>
      </c>
      <c r="O55" s="40"/>
      <c r="P55" s="34"/>
      <c r="Q55" s="35"/>
      <c r="R55" s="35"/>
      <c r="S55" s="35"/>
      <c r="T55" s="35"/>
      <c r="U55" s="35"/>
      <c r="V55" s="35"/>
      <c r="W55" s="35"/>
      <c r="X55" s="35"/>
      <c r="Y55" s="35"/>
      <c r="Z55" s="35"/>
      <c r="AA55" s="35"/>
    </row>
    <row r="56" ht="14.25" customHeight="1">
      <c r="A56" s="49" t="s">
        <v>138</v>
      </c>
      <c r="B56" s="23"/>
      <c r="C56" s="22" t="s">
        <v>140</v>
      </c>
      <c r="D56" s="49" t="s">
        <v>138</v>
      </c>
      <c r="E56" s="23"/>
      <c r="F56" s="52">
        <v>17000.0</v>
      </c>
      <c r="G56" s="27">
        <f t="shared" si="1"/>
        <v>21250</v>
      </c>
      <c r="H56" s="28">
        <v>44593.0</v>
      </c>
      <c r="I56" s="36">
        <f t="shared" si="2"/>
        <v>31875</v>
      </c>
      <c r="J56" s="37">
        <f t="shared" si="3"/>
        <v>27625</v>
      </c>
      <c r="K56" s="38">
        <f t="shared" si="4"/>
        <v>27625</v>
      </c>
      <c r="L56" s="39">
        <f t="shared" si="5"/>
        <v>25500</v>
      </c>
      <c r="M56" s="38">
        <f t="shared" si="6"/>
        <v>24437.5</v>
      </c>
      <c r="N56" s="39">
        <f t="shared" si="7"/>
        <v>23375</v>
      </c>
      <c r="O56" s="40"/>
      <c r="P56" s="34"/>
      <c r="Q56" s="35"/>
      <c r="R56" s="35"/>
      <c r="S56" s="35"/>
      <c r="T56" s="35"/>
      <c r="U56" s="35"/>
      <c r="V56" s="35"/>
      <c r="W56" s="35"/>
      <c r="X56" s="35"/>
      <c r="Y56" s="35"/>
      <c r="Z56" s="35"/>
      <c r="AA56" s="35"/>
    </row>
    <row r="57" ht="14.25" customHeight="1">
      <c r="A57" s="49" t="s">
        <v>138</v>
      </c>
      <c r="B57" s="23"/>
      <c r="C57" s="45" t="s">
        <v>141</v>
      </c>
      <c r="D57" s="49" t="s">
        <v>138</v>
      </c>
      <c r="E57" s="42"/>
      <c r="F57" s="52">
        <v>11450.0</v>
      </c>
      <c r="G57" s="27">
        <f t="shared" si="1"/>
        <v>14312.5</v>
      </c>
      <c r="H57" s="28">
        <v>44593.0</v>
      </c>
      <c r="I57" s="36">
        <f t="shared" si="2"/>
        <v>21468.75</v>
      </c>
      <c r="J57" s="37">
        <f t="shared" si="3"/>
        <v>18606.25</v>
      </c>
      <c r="K57" s="38">
        <f t="shared" si="4"/>
        <v>18606.25</v>
      </c>
      <c r="L57" s="39">
        <f t="shared" si="5"/>
        <v>17175</v>
      </c>
      <c r="M57" s="38">
        <f t="shared" si="6"/>
        <v>16459.375</v>
      </c>
      <c r="N57" s="39">
        <f t="shared" si="7"/>
        <v>15743.75</v>
      </c>
      <c r="O57" s="40"/>
      <c r="P57" s="34"/>
      <c r="Q57" s="35"/>
      <c r="R57" s="35"/>
      <c r="S57" s="35"/>
      <c r="T57" s="35"/>
      <c r="U57" s="35"/>
      <c r="V57" s="35"/>
      <c r="W57" s="35"/>
      <c r="X57" s="35"/>
      <c r="Y57" s="35"/>
      <c r="Z57" s="35"/>
      <c r="AA57" s="35"/>
    </row>
    <row r="58" ht="14.25" customHeight="1">
      <c r="A58" s="49" t="s">
        <v>142</v>
      </c>
      <c r="B58" s="23"/>
      <c r="C58" s="49" t="s">
        <v>143</v>
      </c>
      <c r="D58" s="49" t="s">
        <v>144</v>
      </c>
      <c r="E58" s="49" t="s">
        <v>145</v>
      </c>
      <c r="F58" s="52">
        <v>15000.0</v>
      </c>
      <c r="G58" s="27">
        <f t="shared" si="1"/>
        <v>18750</v>
      </c>
      <c r="H58" s="28">
        <v>44593.0</v>
      </c>
      <c r="I58" s="36">
        <f t="shared" si="2"/>
        <v>28125</v>
      </c>
      <c r="J58" s="37">
        <f t="shared" si="3"/>
        <v>24375</v>
      </c>
      <c r="K58" s="38">
        <f t="shared" si="4"/>
        <v>24375</v>
      </c>
      <c r="L58" s="39">
        <f t="shared" si="5"/>
        <v>22500</v>
      </c>
      <c r="M58" s="38">
        <f t="shared" si="6"/>
        <v>21562.5</v>
      </c>
      <c r="N58" s="39">
        <f t="shared" si="7"/>
        <v>20625</v>
      </c>
      <c r="O58" s="40"/>
      <c r="P58" s="34"/>
      <c r="Q58" s="35"/>
      <c r="R58" s="35"/>
      <c r="S58" s="35"/>
      <c r="T58" s="35"/>
      <c r="U58" s="35"/>
      <c r="V58" s="35"/>
      <c r="W58" s="35"/>
      <c r="X58" s="35"/>
      <c r="Y58" s="35"/>
      <c r="Z58" s="35"/>
      <c r="AA58" s="35"/>
    </row>
    <row r="59" ht="14.25" customHeight="1">
      <c r="A59" s="49" t="s">
        <v>142</v>
      </c>
      <c r="B59" s="23"/>
      <c r="C59" s="49" t="s">
        <v>146</v>
      </c>
      <c r="D59" s="49" t="s">
        <v>147</v>
      </c>
      <c r="E59" s="42"/>
      <c r="F59" s="52">
        <v>10850.0</v>
      </c>
      <c r="G59" s="27">
        <f t="shared" si="1"/>
        <v>13562.5</v>
      </c>
      <c r="H59" s="28">
        <v>44593.0</v>
      </c>
      <c r="I59" s="36">
        <f t="shared" si="2"/>
        <v>20343.75</v>
      </c>
      <c r="J59" s="37">
        <f t="shared" si="3"/>
        <v>17631.25</v>
      </c>
      <c r="K59" s="38">
        <f t="shared" si="4"/>
        <v>17631.25</v>
      </c>
      <c r="L59" s="39">
        <f t="shared" si="5"/>
        <v>16275</v>
      </c>
      <c r="M59" s="38">
        <f t="shared" si="6"/>
        <v>15596.875</v>
      </c>
      <c r="N59" s="39">
        <f t="shared" si="7"/>
        <v>14918.75</v>
      </c>
      <c r="O59" s="40"/>
      <c r="P59" s="34"/>
      <c r="Q59" s="35"/>
      <c r="R59" s="35"/>
      <c r="S59" s="35"/>
      <c r="T59" s="35"/>
      <c r="U59" s="35"/>
      <c r="V59" s="35"/>
      <c r="W59" s="35"/>
      <c r="X59" s="35"/>
      <c r="Y59" s="35"/>
      <c r="Z59" s="35"/>
      <c r="AA59" s="35"/>
    </row>
    <row r="60" ht="14.25" customHeight="1">
      <c r="A60" s="49" t="s">
        <v>142</v>
      </c>
      <c r="B60" s="23"/>
      <c r="C60" s="49" t="s">
        <v>148</v>
      </c>
      <c r="D60" s="49" t="s">
        <v>147</v>
      </c>
      <c r="E60" s="42"/>
      <c r="F60" s="52">
        <v>6700.0</v>
      </c>
      <c r="G60" s="27">
        <f t="shared" si="1"/>
        <v>8375</v>
      </c>
      <c r="H60" s="28">
        <v>44593.0</v>
      </c>
      <c r="I60" s="36">
        <f t="shared" si="2"/>
        <v>12562.5</v>
      </c>
      <c r="J60" s="37">
        <f t="shared" si="3"/>
        <v>10887.5</v>
      </c>
      <c r="K60" s="38">
        <f t="shared" si="4"/>
        <v>10887.5</v>
      </c>
      <c r="L60" s="39">
        <f t="shared" si="5"/>
        <v>10050</v>
      </c>
      <c r="M60" s="38">
        <f t="shared" si="6"/>
        <v>9631.25</v>
      </c>
      <c r="N60" s="39">
        <f t="shared" si="7"/>
        <v>9212.5</v>
      </c>
      <c r="O60" s="40"/>
      <c r="P60" s="34"/>
      <c r="Q60" s="35"/>
      <c r="R60" s="35"/>
      <c r="S60" s="35"/>
      <c r="T60" s="35"/>
      <c r="U60" s="35"/>
      <c r="V60" s="35"/>
      <c r="W60" s="35"/>
      <c r="X60" s="35"/>
      <c r="Y60" s="35"/>
      <c r="Z60" s="35"/>
      <c r="AA60" s="35"/>
    </row>
    <row r="61" ht="14.25" customHeight="1">
      <c r="A61" s="49" t="s">
        <v>149</v>
      </c>
      <c r="B61" s="23"/>
      <c r="C61" s="46" t="s">
        <v>150</v>
      </c>
      <c r="D61" s="46" t="s">
        <v>151</v>
      </c>
      <c r="E61" s="49" t="s">
        <v>152</v>
      </c>
      <c r="F61" s="52">
        <v>3400.0</v>
      </c>
      <c r="G61" s="27">
        <f t="shared" si="1"/>
        <v>4250</v>
      </c>
      <c r="H61" s="28">
        <v>44593.0</v>
      </c>
      <c r="I61" s="36">
        <f t="shared" si="2"/>
        <v>6375</v>
      </c>
      <c r="J61" s="37">
        <f t="shared" si="3"/>
        <v>5525</v>
      </c>
      <c r="K61" s="38">
        <f t="shared" si="4"/>
        <v>5525</v>
      </c>
      <c r="L61" s="39">
        <f t="shared" si="5"/>
        <v>5100</v>
      </c>
      <c r="M61" s="38">
        <f t="shared" si="6"/>
        <v>4887.5</v>
      </c>
      <c r="N61" s="39">
        <f t="shared" si="7"/>
        <v>4675</v>
      </c>
      <c r="O61" s="40"/>
      <c r="P61" s="34"/>
      <c r="Q61" s="35"/>
      <c r="R61" s="35"/>
      <c r="S61" s="35"/>
      <c r="T61" s="35"/>
      <c r="U61" s="35"/>
      <c r="V61" s="35"/>
      <c r="W61" s="35"/>
      <c r="X61" s="35"/>
      <c r="Y61" s="35"/>
      <c r="Z61" s="35"/>
      <c r="AA61" s="35"/>
    </row>
    <row r="62" ht="14.25" customHeight="1">
      <c r="A62" s="49" t="s">
        <v>149</v>
      </c>
      <c r="B62" s="23"/>
      <c r="C62" s="49" t="s">
        <v>153</v>
      </c>
      <c r="D62" s="49" t="s">
        <v>154</v>
      </c>
      <c r="E62" s="49" t="s">
        <v>155</v>
      </c>
      <c r="F62" s="52">
        <v>4590.0</v>
      </c>
      <c r="G62" s="27">
        <f t="shared" si="1"/>
        <v>5737.5</v>
      </c>
      <c r="H62" s="28">
        <v>44593.0</v>
      </c>
      <c r="I62" s="53">
        <f t="shared" si="2"/>
        <v>8606.25</v>
      </c>
      <c r="J62" s="54">
        <f t="shared" si="3"/>
        <v>7458.75</v>
      </c>
      <c r="K62" s="55">
        <f t="shared" si="4"/>
        <v>7458.75</v>
      </c>
      <c r="L62" s="56">
        <f t="shared" si="5"/>
        <v>6885</v>
      </c>
      <c r="M62" s="55">
        <f t="shared" si="6"/>
        <v>6598.125</v>
      </c>
      <c r="N62" s="56">
        <f t="shared" si="7"/>
        <v>6311.25</v>
      </c>
      <c r="O62" s="57"/>
      <c r="P62" s="58"/>
      <c r="Q62" s="59"/>
      <c r="R62" s="59"/>
      <c r="S62" s="59"/>
      <c r="T62" s="59"/>
      <c r="U62" s="59"/>
      <c r="V62" s="59"/>
      <c r="W62" s="59"/>
      <c r="X62" s="59"/>
      <c r="Y62" s="59"/>
      <c r="Z62" s="59"/>
      <c r="AA62" s="59"/>
    </row>
    <row r="63" ht="14.25" customHeight="1">
      <c r="A63" s="49" t="s">
        <v>149</v>
      </c>
      <c r="B63" s="23"/>
      <c r="C63" s="49" t="s">
        <v>156</v>
      </c>
      <c r="D63" s="49" t="s">
        <v>157</v>
      </c>
      <c r="E63" s="42"/>
      <c r="F63" s="52">
        <v>5600.0</v>
      </c>
      <c r="G63" s="27">
        <f t="shared" si="1"/>
        <v>7000</v>
      </c>
      <c r="H63" s="28">
        <v>44593.0</v>
      </c>
      <c r="I63" s="53">
        <f t="shared" si="2"/>
        <v>10500</v>
      </c>
      <c r="J63" s="54">
        <f t="shared" si="3"/>
        <v>9100</v>
      </c>
      <c r="K63" s="55">
        <f t="shared" si="4"/>
        <v>9100</v>
      </c>
      <c r="L63" s="56">
        <f t="shared" si="5"/>
        <v>8400</v>
      </c>
      <c r="M63" s="55">
        <f t="shared" si="6"/>
        <v>8050</v>
      </c>
      <c r="N63" s="56">
        <f t="shared" si="7"/>
        <v>7700</v>
      </c>
      <c r="O63" s="57"/>
      <c r="P63" s="58"/>
      <c r="Q63" s="59"/>
      <c r="R63" s="59"/>
      <c r="S63" s="59"/>
      <c r="T63" s="59"/>
      <c r="U63" s="59"/>
      <c r="V63" s="59"/>
      <c r="W63" s="59"/>
      <c r="X63" s="59"/>
      <c r="Y63" s="59"/>
      <c r="Z63" s="59"/>
      <c r="AA63" s="59"/>
    </row>
    <row r="64" ht="14.25" customHeight="1">
      <c r="A64" s="49" t="s">
        <v>149</v>
      </c>
      <c r="B64" s="23"/>
      <c r="C64" s="49" t="s">
        <v>158</v>
      </c>
      <c r="D64" s="49" t="s">
        <v>159</v>
      </c>
      <c r="E64" s="42"/>
      <c r="F64" s="52">
        <v>5610.0</v>
      </c>
      <c r="G64" s="27">
        <f t="shared" si="1"/>
        <v>7012.5</v>
      </c>
      <c r="H64" s="28">
        <v>44593.0</v>
      </c>
      <c r="I64" s="36">
        <f t="shared" si="2"/>
        <v>10518.75</v>
      </c>
      <c r="J64" s="37">
        <f t="shared" si="3"/>
        <v>9116.25</v>
      </c>
      <c r="K64" s="38">
        <f t="shared" si="4"/>
        <v>9116.25</v>
      </c>
      <c r="L64" s="39">
        <f t="shared" si="5"/>
        <v>8415</v>
      </c>
      <c r="M64" s="38">
        <f t="shared" si="6"/>
        <v>8064.375</v>
      </c>
      <c r="N64" s="39">
        <f t="shared" si="7"/>
        <v>7713.75</v>
      </c>
      <c r="O64" s="40"/>
      <c r="P64" s="34"/>
      <c r="Q64" s="35"/>
      <c r="R64" s="35"/>
      <c r="S64" s="35"/>
      <c r="T64" s="35"/>
      <c r="U64" s="35"/>
      <c r="V64" s="35"/>
      <c r="W64" s="35"/>
      <c r="X64" s="35"/>
      <c r="Y64" s="35"/>
      <c r="Z64" s="35"/>
      <c r="AA64" s="35"/>
    </row>
    <row r="65" ht="14.25" customHeight="1">
      <c r="A65" s="49" t="s">
        <v>160</v>
      </c>
      <c r="B65" s="23"/>
      <c r="C65" s="49" t="s">
        <v>161</v>
      </c>
      <c r="D65" s="49" t="s">
        <v>162</v>
      </c>
      <c r="E65" s="42"/>
      <c r="F65" s="52">
        <v>5545.0</v>
      </c>
      <c r="G65" s="27">
        <f t="shared" si="1"/>
        <v>6931.25</v>
      </c>
      <c r="H65" s="28">
        <v>44593.0</v>
      </c>
      <c r="I65" s="53">
        <f t="shared" si="2"/>
        <v>10396.875</v>
      </c>
      <c r="J65" s="54">
        <f t="shared" si="3"/>
        <v>9010.625</v>
      </c>
      <c r="K65" s="55">
        <f t="shared" si="4"/>
        <v>9010.625</v>
      </c>
      <c r="L65" s="56">
        <f t="shared" si="5"/>
        <v>8317.5</v>
      </c>
      <c r="M65" s="55">
        <f t="shared" si="6"/>
        <v>7970.9375</v>
      </c>
      <c r="N65" s="56">
        <f t="shared" si="7"/>
        <v>7624.375</v>
      </c>
      <c r="O65" s="40"/>
      <c r="P65" s="34"/>
      <c r="Q65" s="35"/>
      <c r="R65" s="35"/>
      <c r="S65" s="35"/>
      <c r="T65" s="35"/>
      <c r="U65" s="35"/>
      <c r="V65" s="35"/>
      <c r="W65" s="35"/>
      <c r="X65" s="35"/>
      <c r="Y65" s="35"/>
      <c r="Z65" s="35"/>
      <c r="AA65" s="35"/>
    </row>
    <row r="66" ht="14.25" customHeight="1">
      <c r="A66" s="49" t="s">
        <v>160</v>
      </c>
      <c r="B66" s="23"/>
      <c r="C66" s="49" t="s">
        <v>163</v>
      </c>
      <c r="D66" s="49" t="s">
        <v>164</v>
      </c>
      <c r="E66" s="42"/>
      <c r="F66" s="52">
        <v>3150.0</v>
      </c>
      <c r="G66" s="27">
        <f t="shared" si="1"/>
        <v>3937.5</v>
      </c>
      <c r="H66" s="28">
        <v>44593.0</v>
      </c>
      <c r="I66" s="53">
        <f t="shared" si="2"/>
        <v>5906.25</v>
      </c>
      <c r="J66" s="54">
        <f t="shared" si="3"/>
        <v>5118.75</v>
      </c>
      <c r="K66" s="55">
        <f t="shared" si="4"/>
        <v>5118.75</v>
      </c>
      <c r="L66" s="56">
        <f t="shared" si="5"/>
        <v>4725</v>
      </c>
      <c r="M66" s="55">
        <f t="shared" si="6"/>
        <v>4528.125</v>
      </c>
      <c r="N66" s="56">
        <f t="shared" si="7"/>
        <v>4331.25</v>
      </c>
      <c r="O66" s="40"/>
      <c r="P66" s="34"/>
      <c r="Q66" s="35"/>
      <c r="R66" s="35"/>
      <c r="S66" s="35"/>
      <c r="T66" s="35"/>
      <c r="U66" s="35"/>
      <c r="V66" s="35"/>
      <c r="W66" s="35"/>
      <c r="X66" s="35"/>
      <c r="Y66" s="35"/>
      <c r="Z66" s="35"/>
      <c r="AA66" s="35"/>
    </row>
    <row r="67" ht="14.25" customHeight="1">
      <c r="A67" s="49" t="s">
        <v>160</v>
      </c>
      <c r="B67" s="23"/>
      <c r="C67" s="49" t="s">
        <v>165</v>
      </c>
      <c r="D67" s="49" t="s">
        <v>166</v>
      </c>
      <c r="E67" s="23"/>
      <c r="F67" s="52">
        <v>4375.0</v>
      </c>
      <c r="G67" s="27">
        <f t="shared" si="1"/>
        <v>5468.75</v>
      </c>
      <c r="H67" s="28">
        <v>44593.0</v>
      </c>
      <c r="I67" s="36">
        <f t="shared" si="2"/>
        <v>8203.125</v>
      </c>
      <c r="J67" s="37">
        <f t="shared" si="3"/>
        <v>7109.375</v>
      </c>
      <c r="K67" s="38">
        <f t="shared" si="4"/>
        <v>7109.375</v>
      </c>
      <c r="L67" s="39">
        <f t="shared" si="5"/>
        <v>6562.5</v>
      </c>
      <c r="M67" s="38">
        <f t="shared" si="6"/>
        <v>6289.0625</v>
      </c>
      <c r="N67" s="39">
        <f t="shared" si="7"/>
        <v>6015.625</v>
      </c>
      <c r="O67" s="40"/>
      <c r="P67" s="34"/>
      <c r="Q67" s="35"/>
      <c r="R67" s="35"/>
      <c r="S67" s="35"/>
      <c r="T67" s="35"/>
      <c r="U67" s="35"/>
      <c r="V67" s="35"/>
      <c r="W67" s="35"/>
      <c r="X67" s="35"/>
      <c r="Y67" s="35"/>
      <c r="Z67" s="35"/>
      <c r="AA67" s="35"/>
    </row>
    <row r="68" ht="14.25" customHeight="1">
      <c r="A68" s="49" t="s">
        <v>160</v>
      </c>
      <c r="B68" s="23"/>
      <c r="C68" s="26" t="s">
        <v>167</v>
      </c>
      <c r="D68" s="26" t="s">
        <v>168</v>
      </c>
      <c r="E68" s="42"/>
      <c r="F68" s="52">
        <v>6910.0</v>
      </c>
      <c r="G68" s="27">
        <f t="shared" si="1"/>
        <v>8637.5</v>
      </c>
      <c r="H68" s="28">
        <v>44593.0</v>
      </c>
      <c r="I68" s="36">
        <f t="shared" si="2"/>
        <v>12956.25</v>
      </c>
      <c r="J68" s="37">
        <f t="shared" si="3"/>
        <v>11228.75</v>
      </c>
      <c r="K68" s="38">
        <f t="shared" si="4"/>
        <v>11228.75</v>
      </c>
      <c r="L68" s="39">
        <f t="shared" si="5"/>
        <v>10365</v>
      </c>
      <c r="M68" s="38">
        <f t="shared" si="6"/>
        <v>9933.125</v>
      </c>
      <c r="N68" s="39">
        <f t="shared" si="7"/>
        <v>9501.25</v>
      </c>
      <c r="O68" s="40"/>
      <c r="P68" s="34"/>
      <c r="Q68" s="35"/>
      <c r="R68" s="35"/>
      <c r="S68" s="35"/>
      <c r="T68" s="35"/>
      <c r="U68" s="35"/>
      <c r="V68" s="35"/>
      <c r="W68" s="35"/>
      <c r="X68" s="35"/>
      <c r="Y68" s="35"/>
      <c r="Z68" s="35"/>
      <c r="AA68" s="35"/>
    </row>
    <row r="69" ht="14.25" customHeight="1">
      <c r="A69" s="49" t="s">
        <v>169</v>
      </c>
      <c r="B69" s="23"/>
      <c r="C69" s="46" t="s">
        <v>170</v>
      </c>
      <c r="D69" s="46" t="s">
        <v>171</v>
      </c>
      <c r="E69" s="42"/>
      <c r="F69" s="52">
        <v>5900.0</v>
      </c>
      <c r="G69" s="27">
        <f t="shared" si="1"/>
        <v>7375</v>
      </c>
      <c r="H69" s="28">
        <v>44593.0</v>
      </c>
      <c r="I69" s="53">
        <f t="shared" si="2"/>
        <v>11062.5</v>
      </c>
      <c r="J69" s="54">
        <f t="shared" si="3"/>
        <v>9587.5</v>
      </c>
      <c r="K69" s="55">
        <f t="shared" si="4"/>
        <v>9587.5</v>
      </c>
      <c r="L69" s="56">
        <f t="shared" si="5"/>
        <v>8850</v>
      </c>
      <c r="M69" s="55">
        <f t="shared" si="6"/>
        <v>8481.25</v>
      </c>
      <c r="N69" s="56">
        <f t="shared" si="7"/>
        <v>8112.5</v>
      </c>
      <c r="O69" s="40"/>
      <c r="P69" s="34"/>
      <c r="Q69" s="35"/>
      <c r="R69" s="35"/>
      <c r="S69" s="35"/>
      <c r="T69" s="35"/>
      <c r="U69" s="35"/>
      <c r="V69" s="35"/>
      <c r="W69" s="35"/>
      <c r="X69" s="35"/>
      <c r="Y69" s="35"/>
      <c r="Z69" s="35"/>
      <c r="AA69" s="35"/>
    </row>
    <row r="70" ht="14.25" customHeight="1">
      <c r="A70" s="49" t="s">
        <v>172</v>
      </c>
      <c r="B70" s="23"/>
      <c r="C70" s="46" t="s">
        <v>173</v>
      </c>
      <c r="D70" s="49" t="s">
        <v>174</v>
      </c>
      <c r="E70" s="42"/>
      <c r="F70" s="52">
        <v>8550.0</v>
      </c>
      <c r="G70" s="27">
        <f t="shared" si="1"/>
        <v>10687.5</v>
      </c>
      <c r="H70" s="28">
        <v>44593.0</v>
      </c>
      <c r="I70" s="53">
        <f t="shared" si="2"/>
        <v>16031.25</v>
      </c>
      <c r="J70" s="54">
        <f t="shared" si="3"/>
        <v>13893.75</v>
      </c>
      <c r="K70" s="55">
        <f t="shared" si="4"/>
        <v>13893.75</v>
      </c>
      <c r="L70" s="56">
        <f t="shared" si="5"/>
        <v>12825</v>
      </c>
      <c r="M70" s="55">
        <f t="shared" si="6"/>
        <v>12290.625</v>
      </c>
      <c r="N70" s="56">
        <f t="shared" si="7"/>
        <v>11756.25</v>
      </c>
      <c r="O70" s="40"/>
      <c r="P70" s="34"/>
      <c r="Q70" s="35"/>
      <c r="R70" s="35"/>
      <c r="S70" s="35"/>
      <c r="T70" s="35"/>
      <c r="U70" s="35"/>
      <c r="V70" s="35"/>
      <c r="W70" s="35"/>
      <c r="X70" s="35"/>
      <c r="Y70" s="35"/>
      <c r="Z70" s="35"/>
      <c r="AA70" s="35"/>
    </row>
    <row r="71" ht="14.25" customHeight="1">
      <c r="A71" s="49" t="s">
        <v>172</v>
      </c>
      <c r="B71" s="23"/>
      <c r="C71" s="46" t="s">
        <v>175</v>
      </c>
      <c r="D71" s="49" t="s">
        <v>176</v>
      </c>
      <c r="E71" s="42"/>
      <c r="F71" s="52">
        <v>17650.0</v>
      </c>
      <c r="G71" s="27">
        <f t="shared" si="1"/>
        <v>22062.5</v>
      </c>
      <c r="H71" s="28">
        <v>44593.0</v>
      </c>
      <c r="I71" s="36">
        <f t="shared" si="2"/>
        <v>33093.75</v>
      </c>
      <c r="J71" s="37">
        <f t="shared" si="3"/>
        <v>28681.25</v>
      </c>
      <c r="K71" s="38">
        <f t="shared" si="4"/>
        <v>28681.25</v>
      </c>
      <c r="L71" s="39">
        <f t="shared" si="5"/>
        <v>26475</v>
      </c>
      <c r="M71" s="38">
        <f t="shared" si="6"/>
        <v>25371.875</v>
      </c>
      <c r="N71" s="39">
        <f t="shared" si="7"/>
        <v>24268.75</v>
      </c>
      <c r="O71" s="40"/>
      <c r="P71" s="34"/>
      <c r="Q71" s="35"/>
      <c r="R71" s="35"/>
      <c r="S71" s="35"/>
      <c r="T71" s="35"/>
      <c r="U71" s="35"/>
      <c r="V71" s="35"/>
      <c r="W71" s="35"/>
      <c r="X71" s="35"/>
      <c r="Y71" s="35"/>
      <c r="Z71" s="35"/>
      <c r="AA71" s="35"/>
    </row>
    <row r="72" ht="14.25" customHeight="1">
      <c r="A72" s="49" t="s">
        <v>172</v>
      </c>
      <c r="B72" s="23"/>
      <c r="C72" s="46" t="s">
        <v>177</v>
      </c>
      <c r="D72" s="49" t="s">
        <v>178</v>
      </c>
      <c r="E72" s="42"/>
      <c r="F72" s="52">
        <v>16800.0</v>
      </c>
      <c r="G72" s="27">
        <f t="shared" si="1"/>
        <v>21000</v>
      </c>
      <c r="H72" s="28">
        <v>44593.0</v>
      </c>
      <c r="I72" s="53">
        <f t="shared" si="2"/>
        <v>31500</v>
      </c>
      <c r="J72" s="54">
        <f t="shared" si="3"/>
        <v>27300</v>
      </c>
      <c r="K72" s="55">
        <f t="shared" si="4"/>
        <v>27300</v>
      </c>
      <c r="L72" s="56">
        <f t="shared" si="5"/>
        <v>25200</v>
      </c>
      <c r="M72" s="55">
        <f t="shared" si="6"/>
        <v>24150</v>
      </c>
      <c r="N72" s="56">
        <f t="shared" si="7"/>
        <v>23100</v>
      </c>
      <c r="O72" s="40"/>
      <c r="P72" s="34"/>
      <c r="Q72" s="35"/>
      <c r="R72" s="35"/>
      <c r="S72" s="35"/>
      <c r="T72" s="35"/>
      <c r="U72" s="35"/>
      <c r="V72" s="35"/>
      <c r="W72" s="35"/>
      <c r="X72" s="35"/>
      <c r="Y72" s="35"/>
      <c r="Z72" s="35"/>
      <c r="AA72" s="35"/>
    </row>
    <row r="73" ht="14.25" customHeight="1">
      <c r="A73" s="49" t="s">
        <v>179</v>
      </c>
      <c r="B73" s="23"/>
      <c r="C73" s="49" t="s">
        <v>180</v>
      </c>
      <c r="D73" s="49" t="s">
        <v>181</v>
      </c>
      <c r="E73" s="42"/>
      <c r="F73" s="52">
        <v>6000.0</v>
      </c>
      <c r="G73" s="27">
        <f t="shared" si="1"/>
        <v>7500</v>
      </c>
      <c r="H73" s="28">
        <v>44593.0</v>
      </c>
      <c r="I73" s="36">
        <f t="shared" si="2"/>
        <v>11250</v>
      </c>
      <c r="J73" s="37">
        <f t="shared" si="3"/>
        <v>9750</v>
      </c>
      <c r="K73" s="38">
        <f t="shared" si="4"/>
        <v>9750</v>
      </c>
      <c r="L73" s="39">
        <f t="shared" si="5"/>
        <v>9000</v>
      </c>
      <c r="M73" s="38">
        <f t="shared" si="6"/>
        <v>8625</v>
      </c>
      <c r="N73" s="39">
        <f t="shared" si="7"/>
        <v>8250</v>
      </c>
      <c r="O73" s="40"/>
      <c r="P73" s="34"/>
      <c r="Q73" s="35"/>
      <c r="R73" s="35"/>
      <c r="S73" s="35"/>
      <c r="T73" s="35"/>
      <c r="U73" s="35"/>
      <c r="V73" s="35"/>
      <c r="W73" s="35"/>
      <c r="X73" s="35"/>
      <c r="Y73" s="35"/>
      <c r="Z73" s="35"/>
      <c r="AA73" s="35"/>
    </row>
    <row r="74" ht="14.25" customHeight="1">
      <c r="A74" s="49" t="s">
        <v>179</v>
      </c>
      <c r="B74" s="23"/>
      <c r="C74" s="46" t="s">
        <v>182</v>
      </c>
      <c r="D74" s="49" t="s">
        <v>183</v>
      </c>
      <c r="E74" s="42"/>
      <c r="F74" s="52">
        <v>7400.0</v>
      </c>
      <c r="G74" s="27">
        <f t="shared" si="1"/>
        <v>9250</v>
      </c>
      <c r="H74" s="28">
        <v>44593.0</v>
      </c>
      <c r="I74" s="36">
        <f t="shared" si="2"/>
        <v>13875</v>
      </c>
      <c r="J74" s="37">
        <f t="shared" si="3"/>
        <v>12025</v>
      </c>
      <c r="K74" s="38">
        <f t="shared" si="4"/>
        <v>12025</v>
      </c>
      <c r="L74" s="39">
        <f t="shared" si="5"/>
        <v>11100</v>
      </c>
      <c r="M74" s="38">
        <f t="shared" si="6"/>
        <v>10637.5</v>
      </c>
      <c r="N74" s="39">
        <f t="shared" si="7"/>
        <v>10175</v>
      </c>
      <c r="O74" s="40"/>
      <c r="P74" s="34"/>
      <c r="Q74" s="35"/>
      <c r="R74" s="35"/>
      <c r="S74" s="35"/>
      <c r="T74" s="35"/>
      <c r="U74" s="35"/>
      <c r="V74" s="35"/>
      <c r="W74" s="35"/>
      <c r="X74" s="35"/>
      <c r="Y74" s="35"/>
      <c r="Z74" s="35"/>
      <c r="AA74" s="35"/>
    </row>
    <row r="75" ht="14.25" customHeight="1">
      <c r="A75" s="49" t="s">
        <v>184</v>
      </c>
      <c r="B75" s="23"/>
      <c r="C75" s="49" t="s">
        <v>185</v>
      </c>
      <c r="D75" s="49" t="s">
        <v>186</v>
      </c>
      <c r="E75" s="42"/>
      <c r="F75" s="52">
        <v>15480.0</v>
      </c>
      <c r="G75" s="27">
        <f t="shared" si="1"/>
        <v>19350</v>
      </c>
      <c r="H75" s="28">
        <v>44593.0</v>
      </c>
      <c r="I75" s="36">
        <f t="shared" si="2"/>
        <v>29025</v>
      </c>
      <c r="J75" s="37">
        <f t="shared" si="3"/>
        <v>25155</v>
      </c>
      <c r="K75" s="38">
        <f t="shared" si="4"/>
        <v>25155</v>
      </c>
      <c r="L75" s="39">
        <f t="shared" si="5"/>
        <v>23220</v>
      </c>
      <c r="M75" s="38">
        <f t="shared" si="6"/>
        <v>22252.5</v>
      </c>
      <c r="N75" s="39">
        <f t="shared" si="7"/>
        <v>21285</v>
      </c>
      <c r="O75" s="40"/>
      <c r="P75" s="34"/>
      <c r="Q75" s="35"/>
      <c r="R75" s="35"/>
      <c r="S75" s="35"/>
      <c r="T75" s="35"/>
      <c r="U75" s="35"/>
      <c r="V75" s="35"/>
      <c r="W75" s="35"/>
      <c r="X75" s="35"/>
      <c r="Y75" s="35"/>
      <c r="Z75" s="35"/>
      <c r="AA75" s="35"/>
    </row>
    <row r="76" ht="14.25" customHeight="1">
      <c r="A76" s="49" t="s">
        <v>184</v>
      </c>
      <c r="B76" s="23"/>
      <c r="C76" s="46" t="s">
        <v>187</v>
      </c>
      <c r="D76" s="49" t="s">
        <v>188</v>
      </c>
      <c r="E76" s="42"/>
      <c r="F76" s="52">
        <v>16750.0</v>
      </c>
      <c r="G76" s="27">
        <f t="shared" si="1"/>
        <v>20937.5</v>
      </c>
      <c r="H76" s="28">
        <v>44593.0</v>
      </c>
      <c r="I76" s="36">
        <f t="shared" si="2"/>
        <v>31406.25</v>
      </c>
      <c r="J76" s="37">
        <f t="shared" si="3"/>
        <v>27218.75</v>
      </c>
      <c r="K76" s="38">
        <f t="shared" si="4"/>
        <v>27218.75</v>
      </c>
      <c r="L76" s="39">
        <f t="shared" si="5"/>
        <v>25125</v>
      </c>
      <c r="M76" s="38">
        <f t="shared" si="6"/>
        <v>24078.125</v>
      </c>
      <c r="N76" s="39">
        <f t="shared" si="7"/>
        <v>23031.25</v>
      </c>
      <c r="O76" s="40"/>
      <c r="P76" s="34"/>
      <c r="Q76" s="35"/>
      <c r="R76" s="35"/>
      <c r="S76" s="35"/>
      <c r="T76" s="35"/>
      <c r="U76" s="35"/>
      <c r="V76" s="35"/>
      <c r="W76" s="35"/>
      <c r="X76" s="35"/>
      <c r="Y76" s="35"/>
      <c r="Z76" s="35"/>
      <c r="AA76" s="35"/>
    </row>
    <row r="77" ht="14.25" customHeight="1">
      <c r="A77" s="49" t="s">
        <v>189</v>
      </c>
      <c r="B77" s="23"/>
      <c r="C77" s="46" t="s">
        <v>190</v>
      </c>
      <c r="D77" s="49" t="s">
        <v>191</v>
      </c>
      <c r="E77" s="42"/>
      <c r="F77" s="52">
        <v>6885.0</v>
      </c>
      <c r="G77" s="27">
        <f t="shared" si="1"/>
        <v>8606.25</v>
      </c>
      <c r="H77" s="28">
        <v>44593.0</v>
      </c>
      <c r="I77" s="36">
        <f t="shared" si="2"/>
        <v>12909.375</v>
      </c>
      <c r="J77" s="37">
        <f t="shared" si="3"/>
        <v>11188.125</v>
      </c>
      <c r="K77" s="38">
        <f t="shared" si="4"/>
        <v>11188.125</v>
      </c>
      <c r="L77" s="39">
        <f t="shared" si="5"/>
        <v>10327.5</v>
      </c>
      <c r="M77" s="38">
        <f t="shared" si="6"/>
        <v>9897.1875</v>
      </c>
      <c r="N77" s="39">
        <f t="shared" si="7"/>
        <v>9466.875</v>
      </c>
      <c r="O77" s="40"/>
      <c r="P77" s="34"/>
      <c r="Q77" s="35"/>
      <c r="R77" s="35"/>
      <c r="S77" s="35"/>
      <c r="T77" s="35"/>
      <c r="U77" s="35"/>
      <c r="V77" s="35"/>
      <c r="W77" s="35"/>
      <c r="X77" s="35"/>
      <c r="Y77" s="35"/>
      <c r="Z77" s="35"/>
      <c r="AA77" s="35"/>
    </row>
    <row r="78" ht="14.25" customHeight="1">
      <c r="A78" s="49" t="s">
        <v>189</v>
      </c>
      <c r="B78" s="23"/>
      <c r="C78" s="22" t="s">
        <v>192</v>
      </c>
      <c r="D78" s="49" t="s">
        <v>191</v>
      </c>
      <c r="E78" s="42"/>
      <c r="F78" s="52">
        <v>13440.0</v>
      </c>
      <c r="G78" s="27">
        <f t="shared" si="1"/>
        <v>16800</v>
      </c>
      <c r="H78" s="28">
        <v>44593.0</v>
      </c>
      <c r="I78" s="36">
        <f t="shared" si="2"/>
        <v>25200</v>
      </c>
      <c r="J78" s="37">
        <f t="shared" si="3"/>
        <v>21840</v>
      </c>
      <c r="K78" s="38">
        <f t="shared" si="4"/>
        <v>21840</v>
      </c>
      <c r="L78" s="39">
        <f t="shared" si="5"/>
        <v>20160</v>
      </c>
      <c r="M78" s="38">
        <f t="shared" si="6"/>
        <v>19320</v>
      </c>
      <c r="N78" s="39">
        <f t="shared" si="7"/>
        <v>18480</v>
      </c>
      <c r="O78" s="40"/>
      <c r="P78" s="34"/>
      <c r="Q78" s="35"/>
      <c r="R78" s="35"/>
      <c r="S78" s="35"/>
      <c r="T78" s="35"/>
      <c r="U78" s="35"/>
      <c r="V78" s="35"/>
      <c r="W78" s="35"/>
      <c r="X78" s="35"/>
      <c r="Y78" s="35"/>
      <c r="Z78" s="35"/>
      <c r="AA78" s="35"/>
    </row>
    <row r="79" ht="14.25" customHeight="1">
      <c r="A79" s="49" t="s">
        <v>193</v>
      </c>
      <c r="B79" s="23"/>
      <c r="C79" s="46" t="s">
        <v>194</v>
      </c>
      <c r="D79" s="49" t="s">
        <v>195</v>
      </c>
      <c r="E79" s="42"/>
      <c r="F79" s="52">
        <v>7500.0</v>
      </c>
      <c r="G79" s="27">
        <f t="shared" si="1"/>
        <v>9375</v>
      </c>
      <c r="H79" s="28">
        <v>44593.0</v>
      </c>
      <c r="I79" s="36">
        <f t="shared" si="2"/>
        <v>14062.5</v>
      </c>
      <c r="J79" s="37">
        <f t="shared" si="3"/>
        <v>12187.5</v>
      </c>
      <c r="K79" s="38">
        <f t="shared" si="4"/>
        <v>12187.5</v>
      </c>
      <c r="L79" s="39">
        <f t="shared" si="5"/>
        <v>11250</v>
      </c>
      <c r="M79" s="38">
        <f t="shared" si="6"/>
        <v>10781.25</v>
      </c>
      <c r="N79" s="39">
        <f t="shared" si="7"/>
        <v>10312.5</v>
      </c>
      <c r="O79" s="40"/>
      <c r="P79" s="34"/>
      <c r="Q79" s="35"/>
      <c r="R79" s="35"/>
      <c r="S79" s="35"/>
      <c r="T79" s="35"/>
      <c r="U79" s="35"/>
      <c r="V79" s="35"/>
      <c r="W79" s="35"/>
      <c r="X79" s="35"/>
      <c r="Y79" s="35"/>
      <c r="Z79" s="35"/>
      <c r="AA79" s="35"/>
    </row>
    <row r="80" ht="14.25" customHeight="1">
      <c r="A80" s="49" t="s">
        <v>196</v>
      </c>
      <c r="B80" s="23"/>
      <c r="C80" s="46" t="s">
        <v>197</v>
      </c>
      <c r="D80" s="49" t="s">
        <v>198</v>
      </c>
      <c r="E80" s="60" t="s">
        <v>199</v>
      </c>
      <c r="F80" s="52">
        <v>30230.0</v>
      </c>
      <c r="G80" s="27">
        <f t="shared" si="1"/>
        <v>37787.5</v>
      </c>
      <c r="H80" s="28">
        <v>44593.0</v>
      </c>
      <c r="I80" s="36">
        <f t="shared" si="2"/>
        <v>56681.25</v>
      </c>
      <c r="J80" s="37">
        <f t="shared" si="3"/>
        <v>49123.75</v>
      </c>
      <c r="K80" s="38">
        <f t="shared" si="4"/>
        <v>49123.75</v>
      </c>
      <c r="L80" s="39">
        <f t="shared" si="5"/>
        <v>45345</v>
      </c>
      <c r="M80" s="38">
        <f t="shared" si="6"/>
        <v>43455.625</v>
      </c>
      <c r="N80" s="39">
        <f t="shared" si="7"/>
        <v>41566.25</v>
      </c>
      <c r="O80" s="40"/>
      <c r="P80" s="34"/>
      <c r="Q80" s="35"/>
      <c r="R80" s="35"/>
      <c r="S80" s="35"/>
      <c r="T80" s="35"/>
      <c r="U80" s="35"/>
      <c r="V80" s="35"/>
      <c r="W80" s="35"/>
      <c r="X80" s="35"/>
      <c r="Y80" s="35"/>
      <c r="Z80" s="35"/>
      <c r="AA80" s="35"/>
    </row>
    <row r="81" ht="14.25" customHeight="1">
      <c r="A81" s="49" t="s">
        <v>200</v>
      </c>
      <c r="B81" s="23"/>
      <c r="C81" s="49" t="s">
        <v>201</v>
      </c>
      <c r="D81" s="46" t="s">
        <v>202</v>
      </c>
      <c r="E81" s="23"/>
      <c r="F81" s="52">
        <v>550.0</v>
      </c>
      <c r="G81" s="27">
        <f t="shared" si="1"/>
        <v>687.5</v>
      </c>
      <c r="H81" s="28">
        <v>44593.0</v>
      </c>
      <c r="I81" s="36">
        <f t="shared" si="2"/>
        <v>1031.25</v>
      </c>
      <c r="J81" s="37">
        <f t="shared" si="3"/>
        <v>893.75</v>
      </c>
      <c r="K81" s="38">
        <f t="shared" si="4"/>
        <v>893.75</v>
      </c>
      <c r="L81" s="39">
        <f t="shared" si="5"/>
        <v>825</v>
      </c>
      <c r="M81" s="38">
        <f t="shared" si="6"/>
        <v>790.625</v>
      </c>
      <c r="N81" s="39">
        <f t="shared" si="7"/>
        <v>756.25</v>
      </c>
      <c r="O81" s="40"/>
      <c r="P81" s="34"/>
      <c r="Q81" s="35"/>
      <c r="R81" s="35"/>
      <c r="S81" s="35"/>
      <c r="T81" s="35"/>
      <c r="U81" s="35"/>
      <c r="V81" s="35"/>
      <c r="W81" s="35"/>
      <c r="X81" s="35"/>
      <c r="Y81" s="35"/>
      <c r="Z81" s="35"/>
      <c r="AA81" s="35"/>
    </row>
    <row r="82" ht="14.25" customHeight="1">
      <c r="A82" s="49" t="s">
        <v>200</v>
      </c>
      <c r="B82" s="23"/>
      <c r="C82" s="49" t="s">
        <v>203</v>
      </c>
      <c r="D82" s="49" t="s">
        <v>204</v>
      </c>
      <c r="E82" s="23"/>
      <c r="F82" s="52">
        <v>550.0</v>
      </c>
      <c r="G82" s="27">
        <f t="shared" si="1"/>
        <v>687.5</v>
      </c>
      <c r="H82" s="28">
        <v>44593.0</v>
      </c>
      <c r="I82" s="36">
        <f t="shared" si="2"/>
        <v>1031.25</v>
      </c>
      <c r="J82" s="37">
        <f t="shared" si="3"/>
        <v>893.75</v>
      </c>
      <c r="K82" s="38">
        <f t="shared" si="4"/>
        <v>893.75</v>
      </c>
      <c r="L82" s="39">
        <f t="shared" si="5"/>
        <v>825</v>
      </c>
      <c r="M82" s="38">
        <f t="shared" si="6"/>
        <v>790.625</v>
      </c>
      <c r="N82" s="39">
        <f t="shared" si="7"/>
        <v>756.25</v>
      </c>
      <c r="O82" s="40"/>
      <c r="P82" s="34"/>
      <c r="Q82" s="35"/>
      <c r="R82" s="35"/>
      <c r="S82" s="35"/>
      <c r="T82" s="35"/>
      <c r="U82" s="35"/>
      <c r="V82" s="35"/>
      <c r="W82" s="35"/>
      <c r="X82" s="35"/>
      <c r="Y82" s="35"/>
      <c r="Z82" s="35"/>
      <c r="AA82" s="35"/>
    </row>
    <row r="83" ht="14.25" customHeight="1">
      <c r="A83" s="49" t="s">
        <v>200</v>
      </c>
      <c r="B83" s="23"/>
      <c r="C83" s="49" t="s">
        <v>205</v>
      </c>
      <c r="D83" s="49" t="s">
        <v>206</v>
      </c>
      <c r="E83" s="23"/>
      <c r="F83" s="52">
        <v>900.0</v>
      </c>
      <c r="G83" s="27">
        <f t="shared" si="1"/>
        <v>1125</v>
      </c>
      <c r="H83" s="28">
        <v>44593.0</v>
      </c>
      <c r="I83" s="36">
        <f t="shared" si="2"/>
        <v>1687.5</v>
      </c>
      <c r="J83" s="37">
        <f t="shared" si="3"/>
        <v>1462.5</v>
      </c>
      <c r="K83" s="38">
        <f t="shared" si="4"/>
        <v>1462.5</v>
      </c>
      <c r="L83" s="39">
        <f t="shared" si="5"/>
        <v>1350</v>
      </c>
      <c r="M83" s="38">
        <f t="shared" si="6"/>
        <v>1293.75</v>
      </c>
      <c r="N83" s="39">
        <f t="shared" si="7"/>
        <v>1237.5</v>
      </c>
      <c r="O83" s="40"/>
      <c r="P83" s="34"/>
      <c r="Q83" s="35"/>
      <c r="R83" s="35"/>
      <c r="S83" s="35"/>
      <c r="T83" s="35"/>
      <c r="U83" s="35"/>
      <c r="V83" s="35"/>
      <c r="W83" s="35"/>
      <c r="X83" s="35"/>
      <c r="Y83" s="35"/>
      <c r="Z83" s="35"/>
      <c r="AA83" s="35"/>
    </row>
    <row r="84" ht="14.25" customHeight="1">
      <c r="A84" s="49" t="s">
        <v>200</v>
      </c>
      <c r="B84" s="23"/>
      <c r="C84" s="49" t="s">
        <v>207</v>
      </c>
      <c r="D84" s="49" t="s">
        <v>208</v>
      </c>
      <c r="E84" s="61"/>
      <c r="F84" s="52">
        <v>1050.0</v>
      </c>
      <c r="G84" s="27">
        <f t="shared" si="1"/>
        <v>1312.5</v>
      </c>
      <c r="H84" s="28">
        <v>44593.0</v>
      </c>
      <c r="I84" s="36">
        <f t="shared" si="2"/>
        <v>1968.75</v>
      </c>
      <c r="J84" s="37">
        <f t="shared" si="3"/>
        <v>1706.25</v>
      </c>
      <c r="K84" s="38">
        <f t="shared" si="4"/>
        <v>1706.25</v>
      </c>
      <c r="L84" s="39">
        <f t="shared" si="5"/>
        <v>1575</v>
      </c>
      <c r="M84" s="38">
        <f t="shared" si="6"/>
        <v>1509.375</v>
      </c>
      <c r="N84" s="39">
        <f t="shared" si="7"/>
        <v>1443.75</v>
      </c>
      <c r="O84" s="40"/>
      <c r="P84" s="34"/>
      <c r="Q84" s="35"/>
      <c r="R84" s="35"/>
      <c r="S84" s="35"/>
      <c r="T84" s="35"/>
      <c r="U84" s="35"/>
      <c r="V84" s="35"/>
      <c r="W84" s="35"/>
      <c r="X84" s="35"/>
      <c r="Y84" s="35"/>
      <c r="Z84" s="35"/>
      <c r="AA84" s="35"/>
    </row>
    <row r="85" ht="14.25" customHeight="1">
      <c r="A85" s="49" t="s">
        <v>209</v>
      </c>
      <c r="B85" s="23"/>
      <c r="C85" s="22" t="s">
        <v>210</v>
      </c>
      <c r="D85" s="49" t="s">
        <v>211</v>
      </c>
      <c r="E85" s="23"/>
      <c r="F85" s="62">
        <v>900.0</v>
      </c>
      <c r="G85" s="27">
        <f t="shared" si="1"/>
        <v>1125</v>
      </c>
      <c r="H85" s="28">
        <v>44593.0</v>
      </c>
      <c r="I85" s="36">
        <f t="shared" si="2"/>
        <v>1687.5</v>
      </c>
      <c r="J85" s="37">
        <f t="shared" si="3"/>
        <v>1462.5</v>
      </c>
      <c r="K85" s="38">
        <f t="shared" si="4"/>
        <v>1462.5</v>
      </c>
      <c r="L85" s="39">
        <f t="shared" si="5"/>
        <v>1350</v>
      </c>
      <c r="M85" s="38">
        <f t="shared" si="6"/>
        <v>1293.75</v>
      </c>
      <c r="N85" s="39">
        <f t="shared" si="7"/>
        <v>1237.5</v>
      </c>
      <c r="O85" s="40"/>
      <c r="P85" s="34"/>
      <c r="Q85" s="35"/>
      <c r="R85" s="35"/>
      <c r="S85" s="35"/>
      <c r="T85" s="35"/>
      <c r="U85" s="35"/>
      <c r="V85" s="35"/>
      <c r="W85" s="35"/>
      <c r="X85" s="35"/>
      <c r="Y85" s="35"/>
      <c r="Z85" s="35"/>
      <c r="AA85" s="35"/>
    </row>
    <row r="86" ht="14.25" customHeight="1">
      <c r="A86" s="49" t="s">
        <v>209</v>
      </c>
      <c r="B86" s="23"/>
      <c r="C86" s="22" t="s">
        <v>212</v>
      </c>
      <c r="D86" s="22" t="s">
        <v>213</v>
      </c>
      <c r="E86" s="61"/>
      <c r="F86" s="52">
        <v>350.0</v>
      </c>
      <c r="G86" s="27">
        <f t="shared" si="1"/>
        <v>437.5</v>
      </c>
      <c r="H86" s="28">
        <v>44593.0</v>
      </c>
      <c r="I86" s="36">
        <f t="shared" si="2"/>
        <v>656.25</v>
      </c>
      <c r="J86" s="37">
        <f t="shared" si="3"/>
        <v>568.75</v>
      </c>
      <c r="K86" s="38">
        <f t="shared" si="4"/>
        <v>568.75</v>
      </c>
      <c r="L86" s="39">
        <f t="shared" si="5"/>
        <v>525</v>
      </c>
      <c r="M86" s="38">
        <f t="shared" si="6"/>
        <v>503.125</v>
      </c>
      <c r="N86" s="39">
        <f t="shared" si="7"/>
        <v>481.25</v>
      </c>
      <c r="O86" s="40"/>
      <c r="P86" s="34"/>
      <c r="Q86" s="35"/>
      <c r="R86" s="35"/>
      <c r="S86" s="35"/>
      <c r="T86" s="35"/>
      <c r="U86" s="35"/>
      <c r="V86" s="35"/>
      <c r="W86" s="35"/>
      <c r="X86" s="35"/>
      <c r="Y86" s="35"/>
      <c r="Z86" s="35"/>
      <c r="AA86" s="35"/>
    </row>
    <row r="87" ht="14.25" customHeight="1">
      <c r="A87" s="49" t="s">
        <v>214</v>
      </c>
      <c r="B87" s="23"/>
      <c r="C87" s="49" t="s">
        <v>215</v>
      </c>
      <c r="D87" s="49" t="s">
        <v>216</v>
      </c>
      <c r="E87" s="63"/>
      <c r="F87" s="52">
        <v>550.0</v>
      </c>
      <c r="G87" s="27">
        <f t="shared" si="1"/>
        <v>687.5</v>
      </c>
      <c r="H87" s="28">
        <v>44593.0</v>
      </c>
      <c r="I87" s="36">
        <f t="shared" si="2"/>
        <v>1031.25</v>
      </c>
      <c r="J87" s="37">
        <f t="shared" si="3"/>
        <v>893.75</v>
      </c>
      <c r="K87" s="38">
        <f t="shared" si="4"/>
        <v>893.75</v>
      </c>
      <c r="L87" s="39">
        <f t="shared" si="5"/>
        <v>825</v>
      </c>
      <c r="M87" s="38">
        <f t="shared" si="6"/>
        <v>790.625</v>
      </c>
      <c r="N87" s="39">
        <f t="shared" si="7"/>
        <v>756.25</v>
      </c>
      <c r="O87" s="40"/>
      <c r="P87" s="34"/>
      <c r="Q87" s="35"/>
      <c r="R87" s="35"/>
      <c r="S87" s="35"/>
      <c r="T87" s="35"/>
      <c r="U87" s="35"/>
      <c r="V87" s="35"/>
      <c r="W87" s="35"/>
      <c r="X87" s="35"/>
      <c r="Y87" s="35"/>
      <c r="Z87" s="35"/>
      <c r="AA87" s="35"/>
    </row>
    <row r="88" ht="14.25" customHeight="1">
      <c r="A88" s="49" t="s">
        <v>217</v>
      </c>
      <c r="B88" s="23"/>
      <c r="C88" s="49" t="s">
        <v>218</v>
      </c>
      <c r="D88" s="49" t="s">
        <v>219</v>
      </c>
      <c r="E88" s="63"/>
      <c r="F88" s="52">
        <v>4100.0</v>
      </c>
      <c r="G88" s="27">
        <f t="shared" si="1"/>
        <v>5125</v>
      </c>
      <c r="H88" s="28">
        <v>44593.0</v>
      </c>
      <c r="I88" s="36">
        <f t="shared" si="2"/>
        <v>7687.5</v>
      </c>
      <c r="J88" s="37">
        <f t="shared" si="3"/>
        <v>6662.5</v>
      </c>
      <c r="K88" s="38">
        <f t="shared" si="4"/>
        <v>6662.5</v>
      </c>
      <c r="L88" s="39">
        <f t="shared" si="5"/>
        <v>6150</v>
      </c>
      <c r="M88" s="38">
        <f t="shared" si="6"/>
        <v>5893.75</v>
      </c>
      <c r="N88" s="39">
        <f t="shared" si="7"/>
        <v>5637.5</v>
      </c>
      <c r="O88" s="40"/>
      <c r="P88" s="34"/>
      <c r="Q88" s="35"/>
      <c r="R88" s="35"/>
      <c r="S88" s="35"/>
      <c r="T88" s="35"/>
      <c r="U88" s="35"/>
      <c r="V88" s="35"/>
      <c r="W88" s="35"/>
      <c r="X88" s="35"/>
      <c r="Y88" s="35"/>
      <c r="Z88" s="35"/>
      <c r="AA88" s="35"/>
    </row>
    <row r="89" ht="14.25" customHeight="1">
      <c r="A89" s="49" t="s">
        <v>220</v>
      </c>
      <c r="B89" s="23"/>
      <c r="C89" s="26" t="s">
        <v>221</v>
      </c>
      <c r="D89" s="26" t="s">
        <v>222</v>
      </c>
      <c r="E89" s="23"/>
      <c r="F89" s="52">
        <v>29500.0</v>
      </c>
      <c r="G89" s="27">
        <f t="shared" si="1"/>
        <v>36875</v>
      </c>
      <c r="H89" s="28">
        <v>44593.0</v>
      </c>
      <c r="I89" s="36">
        <f t="shared" si="2"/>
        <v>55312.5</v>
      </c>
      <c r="J89" s="37">
        <f t="shared" si="3"/>
        <v>47937.5</v>
      </c>
      <c r="K89" s="38">
        <f t="shared" si="4"/>
        <v>47937.5</v>
      </c>
      <c r="L89" s="39">
        <f t="shared" si="5"/>
        <v>44250</v>
      </c>
      <c r="M89" s="38">
        <f t="shared" si="6"/>
        <v>42406.25</v>
      </c>
      <c r="N89" s="39">
        <f t="shared" si="7"/>
        <v>40562.5</v>
      </c>
      <c r="O89" s="40"/>
      <c r="P89" s="34"/>
      <c r="Q89" s="35"/>
      <c r="R89" s="35"/>
      <c r="S89" s="35"/>
      <c r="T89" s="35"/>
      <c r="U89" s="35"/>
      <c r="V89" s="35"/>
      <c r="W89" s="35"/>
      <c r="X89" s="35"/>
      <c r="Y89" s="35"/>
      <c r="Z89" s="35"/>
      <c r="AA89" s="35"/>
    </row>
    <row r="90" ht="14.25" customHeight="1">
      <c r="A90" s="48"/>
      <c r="B90" s="23"/>
      <c r="C90" s="49" t="s">
        <v>223</v>
      </c>
      <c r="D90" s="26" t="s">
        <v>224</v>
      </c>
      <c r="E90" s="23"/>
      <c r="F90" s="52">
        <v>14420.0</v>
      </c>
      <c r="G90" s="27">
        <f t="shared" si="1"/>
        <v>18025</v>
      </c>
      <c r="H90" s="28">
        <v>44593.0</v>
      </c>
      <c r="I90" s="36">
        <f t="shared" si="2"/>
        <v>27037.5</v>
      </c>
      <c r="J90" s="37">
        <f t="shared" si="3"/>
        <v>23432.5</v>
      </c>
      <c r="K90" s="38">
        <f t="shared" si="4"/>
        <v>23432.5</v>
      </c>
      <c r="L90" s="39">
        <f t="shared" si="5"/>
        <v>21630</v>
      </c>
      <c r="M90" s="38">
        <f t="shared" si="6"/>
        <v>20728.75</v>
      </c>
      <c r="N90" s="39">
        <f t="shared" si="7"/>
        <v>19827.5</v>
      </c>
      <c r="O90" s="40"/>
      <c r="P90" s="34"/>
      <c r="Q90" s="35"/>
      <c r="R90" s="35"/>
      <c r="S90" s="35"/>
      <c r="T90" s="35"/>
      <c r="U90" s="35"/>
      <c r="V90" s="35"/>
      <c r="W90" s="35"/>
      <c r="X90" s="35"/>
      <c r="Y90" s="35"/>
      <c r="Z90" s="35"/>
      <c r="AA90" s="35"/>
    </row>
    <row r="91" ht="14.25" customHeight="1">
      <c r="A91" s="48"/>
      <c r="B91" s="23"/>
      <c r="C91" s="49" t="s">
        <v>225</v>
      </c>
      <c r="D91" s="26" t="s">
        <v>226</v>
      </c>
      <c r="E91" s="23"/>
      <c r="F91" s="52">
        <v>1600.0</v>
      </c>
      <c r="G91" s="27">
        <f t="shared" si="1"/>
        <v>2000</v>
      </c>
      <c r="H91" s="28">
        <v>44593.0</v>
      </c>
      <c r="I91" s="36"/>
      <c r="J91" s="37"/>
      <c r="K91" s="38"/>
      <c r="L91" s="39"/>
      <c r="M91" s="38"/>
      <c r="N91" s="39"/>
      <c r="O91" s="40"/>
      <c r="P91" s="34"/>
      <c r="Q91" s="35"/>
      <c r="R91" s="35"/>
      <c r="S91" s="35"/>
      <c r="T91" s="35"/>
      <c r="U91" s="35"/>
      <c r="V91" s="35"/>
      <c r="W91" s="35"/>
      <c r="X91" s="35"/>
      <c r="Y91" s="35"/>
      <c r="Z91" s="35"/>
      <c r="AA91" s="35"/>
    </row>
    <row r="92" ht="14.25" customHeight="1">
      <c r="A92" s="48"/>
      <c r="B92" s="23"/>
      <c r="C92" s="49" t="s">
        <v>227</v>
      </c>
      <c r="D92" s="26" t="s">
        <v>228</v>
      </c>
      <c r="E92" s="23"/>
      <c r="F92" s="52">
        <v>12620.0</v>
      </c>
      <c r="G92" s="27">
        <f t="shared" si="1"/>
        <v>15775</v>
      </c>
      <c r="H92" s="28">
        <v>44593.0</v>
      </c>
      <c r="I92" s="36">
        <f t="shared" ref="I92:I399" si="8">G92*0.5+G92</f>
        <v>23662.5</v>
      </c>
      <c r="J92" s="37">
        <f t="shared" ref="J92:J399" si="9">G92*0.3+G92</f>
        <v>20507.5</v>
      </c>
      <c r="K92" s="38">
        <f t="shared" ref="K92:K399" si="10">G92*0.3+G92</f>
        <v>20507.5</v>
      </c>
      <c r="L92" s="39">
        <f t="shared" ref="L92:L399" si="11">G92*0.2+G92</f>
        <v>18930</v>
      </c>
      <c r="M92" s="38">
        <f t="shared" ref="M92:M399" si="12">G92*0.15+G92</f>
        <v>18141.25</v>
      </c>
      <c r="N92" s="39">
        <f t="shared" ref="N92:N223" si="13">G92*0.1+G92</f>
        <v>17352.5</v>
      </c>
      <c r="O92" s="40"/>
      <c r="P92" s="34"/>
      <c r="Q92" s="35"/>
      <c r="R92" s="35"/>
      <c r="S92" s="35"/>
      <c r="T92" s="35"/>
      <c r="U92" s="35"/>
      <c r="V92" s="35"/>
      <c r="W92" s="35"/>
      <c r="X92" s="35"/>
      <c r="Y92" s="35"/>
      <c r="Z92" s="35"/>
      <c r="AA92" s="35"/>
    </row>
    <row r="93" ht="14.25" customHeight="1">
      <c r="A93" s="48"/>
      <c r="B93" s="23"/>
      <c r="C93" s="49" t="s">
        <v>229</v>
      </c>
      <c r="D93" s="26" t="s">
        <v>230</v>
      </c>
      <c r="E93" s="23"/>
      <c r="F93" s="52">
        <v>35150.0</v>
      </c>
      <c r="G93" s="27">
        <f t="shared" si="1"/>
        <v>43937.5</v>
      </c>
      <c r="H93" s="28">
        <v>44593.0</v>
      </c>
      <c r="I93" s="36">
        <f t="shared" si="8"/>
        <v>65906.25</v>
      </c>
      <c r="J93" s="37">
        <f t="shared" si="9"/>
        <v>57118.75</v>
      </c>
      <c r="K93" s="38">
        <f t="shared" si="10"/>
        <v>57118.75</v>
      </c>
      <c r="L93" s="39">
        <f t="shared" si="11"/>
        <v>52725</v>
      </c>
      <c r="M93" s="38">
        <f t="shared" si="12"/>
        <v>50528.125</v>
      </c>
      <c r="N93" s="39">
        <f t="shared" si="13"/>
        <v>48331.25</v>
      </c>
      <c r="O93" s="40"/>
      <c r="P93" s="34"/>
      <c r="Q93" s="35"/>
      <c r="R93" s="35"/>
      <c r="S93" s="35"/>
      <c r="T93" s="35"/>
      <c r="U93" s="35"/>
      <c r="V93" s="35"/>
      <c r="W93" s="35"/>
      <c r="X93" s="35"/>
      <c r="Y93" s="35"/>
      <c r="Z93" s="35"/>
      <c r="AA93" s="35"/>
    </row>
    <row r="94" ht="14.25" customHeight="1">
      <c r="A94" s="48"/>
      <c r="B94" s="23"/>
      <c r="C94" s="49" t="s">
        <v>231</v>
      </c>
      <c r="D94" s="26" t="s">
        <v>232</v>
      </c>
      <c r="E94" s="23"/>
      <c r="F94" s="52">
        <v>4240.0</v>
      </c>
      <c r="G94" s="27">
        <f t="shared" si="1"/>
        <v>5300</v>
      </c>
      <c r="H94" s="28">
        <v>44593.0</v>
      </c>
      <c r="I94" s="36">
        <f t="shared" si="8"/>
        <v>7950</v>
      </c>
      <c r="J94" s="37">
        <f t="shared" si="9"/>
        <v>6890</v>
      </c>
      <c r="K94" s="38">
        <f t="shared" si="10"/>
        <v>6890</v>
      </c>
      <c r="L94" s="39">
        <f t="shared" si="11"/>
        <v>6360</v>
      </c>
      <c r="M94" s="38">
        <f t="shared" si="12"/>
        <v>6095</v>
      </c>
      <c r="N94" s="39">
        <f t="shared" si="13"/>
        <v>5830</v>
      </c>
      <c r="O94" s="40"/>
      <c r="P94" s="34"/>
      <c r="Q94" s="35"/>
      <c r="R94" s="35"/>
      <c r="S94" s="35"/>
      <c r="T94" s="35"/>
      <c r="U94" s="35"/>
      <c r="V94" s="35"/>
      <c r="W94" s="35"/>
      <c r="X94" s="35"/>
      <c r="Y94" s="35"/>
      <c r="Z94" s="35"/>
      <c r="AA94" s="35"/>
    </row>
    <row r="95" ht="14.25" customHeight="1">
      <c r="A95" s="48"/>
      <c r="B95" s="23"/>
      <c r="C95" s="64" t="s">
        <v>223</v>
      </c>
      <c r="D95" s="26" t="s">
        <v>224</v>
      </c>
      <c r="E95" s="23"/>
      <c r="F95" s="52">
        <v>14420.0</v>
      </c>
      <c r="G95" s="27">
        <f t="shared" si="1"/>
        <v>18025</v>
      </c>
      <c r="H95" s="28">
        <v>44593.0</v>
      </c>
      <c r="I95" s="36">
        <f t="shared" si="8"/>
        <v>27037.5</v>
      </c>
      <c r="J95" s="37">
        <f t="shared" si="9"/>
        <v>23432.5</v>
      </c>
      <c r="K95" s="38">
        <f t="shared" si="10"/>
        <v>23432.5</v>
      </c>
      <c r="L95" s="39">
        <f t="shared" si="11"/>
        <v>21630</v>
      </c>
      <c r="M95" s="38">
        <f t="shared" si="12"/>
        <v>20728.75</v>
      </c>
      <c r="N95" s="39">
        <f t="shared" si="13"/>
        <v>19827.5</v>
      </c>
      <c r="O95" s="40"/>
      <c r="P95" s="34"/>
      <c r="Q95" s="35"/>
      <c r="R95" s="35"/>
      <c r="S95" s="35"/>
      <c r="T95" s="35"/>
      <c r="U95" s="35"/>
      <c r="V95" s="35"/>
      <c r="W95" s="35"/>
      <c r="X95" s="35"/>
      <c r="Y95" s="35"/>
      <c r="Z95" s="35"/>
      <c r="AA95" s="35"/>
    </row>
    <row r="96" ht="14.25" customHeight="1">
      <c r="A96" s="48"/>
      <c r="B96" s="23"/>
      <c r="C96" s="65" t="s">
        <v>233</v>
      </c>
      <c r="D96" s="26" t="s">
        <v>234</v>
      </c>
      <c r="E96" s="48"/>
      <c r="F96" s="52">
        <v>23910.0</v>
      </c>
      <c r="G96" s="27">
        <f t="shared" si="1"/>
        <v>29887.5</v>
      </c>
      <c r="H96" s="28">
        <v>44593.0</v>
      </c>
      <c r="I96" s="36">
        <f t="shared" si="8"/>
        <v>44831.25</v>
      </c>
      <c r="J96" s="37">
        <f t="shared" si="9"/>
        <v>38853.75</v>
      </c>
      <c r="K96" s="38">
        <f t="shared" si="10"/>
        <v>38853.75</v>
      </c>
      <c r="L96" s="39">
        <f t="shared" si="11"/>
        <v>35865</v>
      </c>
      <c r="M96" s="38">
        <f t="shared" si="12"/>
        <v>34370.625</v>
      </c>
      <c r="N96" s="39">
        <f t="shared" si="13"/>
        <v>32876.25</v>
      </c>
      <c r="O96" s="40"/>
      <c r="P96" s="34"/>
      <c r="Q96" s="35"/>
      <c r="R96" s="35"/>
      <c r="S96" s="35"/>
      <c r="T96" s="35"/>
      <c r="U96" s="35"/>
      <c r="V96" s="35"/>
      <c r="W96" s="35"/>
      <c r="X96" s="35"/>
      <c r="Y96" s="35"/>
      <c r="Z96" s="35"/>
      <c r="AA96" s="35"/>
    </row>
    <row r="97" ht="14.25" customHeight="1">
      <c r="A97" s="22" t="s">
        <v>235</v>
      </c>
      <c r="B97" s="23"/>
      <c r="C97" s="66" t="s">
        <v>236</v>
      </c>
      <c r="D97" s="66" t="s">
        <v>237</v>
      </c>
      <c r="E97" s="66"/>
      <c r="F97" s="67">
        <v>2300.0</v>
      </c>
      <c r="G97" s="67">
        <v>2300.0</v>
      </c>
      <c r="H97" s="68">
        <v>44774.0</v>
      </c>
      <c r="I97" s="36">
        <f t="shared" si="8"/>
        <v>3450</v>
      </c>
      <c r="J97" s="37">
        <f t="shared" si="9"/>
        <v>2990</v>
      </c>
      <c r="K97" s="38">
        <f t="shared" si="10"/>
        <v>2990</v>
      </c>
      <c r="L97" s="39">
        <f t="shared" si="11"/>
        <v>2760</v>
      </c>
      <c r="M97" s="38">
        <f t="shared" si="12"/>
        <v>2645</v>
      </c>
      <c r="N97" s="39">
        <f t="shared" si="13"/>
        <v>2530</v>
      </c>
      <c r="O97" s="40"/>
      <c r="P97" s="35" t="s">
        <v>238</v>
      </c>
      <c r="Q97" s="35"/>
      <c r="R97" s="35"/>
      <c r="S97" s="35"/>
      <c r="T97" s="35"/>
      <c r="U97" s="35"/>
      <c r="V97" s="35"/>
      <c r="W97" s="35"/>
      <c r="X97" s="35"/>
      <c r="Y97" s="35"/>
      <c r="Z97" s="35"/>
      <c r="AA97" s="35"/>
    </row>
    <row r="98" ht="14.25" customHeight="1">
      <c r="A98" s="22" t="s">
        <v>235</v>
      </c>
      <c r="B98" s="23"/>
      <c r="C98" s="66" t="s">
        <v>239</v>
      </c>
      <c r="D98" s="66" t="s">
        <v>240</v>
      </c>
      <c r="E98" s="66"/>
      <c r="F98" s="67">
        <v>3200.0</v>
      </c>
      <c r="G98" s="67">
        <v>3200.0</v>
      </c>
      <c r="H98" s="68">
        <v>44774.0</v>
      </c>
      <c r="I98" s="36">
        <f t="shared" si="8"/>
        <v>4800</v>
      </c>
      <c r="J98" s="37">
        <f t="shared" si="9"/>
        <v>4160</v>
      </c>
      <c r="K98" s="38">
        <f t="shared" si="10"/>
        <v>4160</v>
      </c>
      <c r="L98" s="39">
        <f t="shared" si="11"/>
        <v>3840</v>
      </c>
      <c r="M98" s="38">
        <f t="shared" si="12"/>
        <v>3680</v>
      </c>
      <c r="N98" s="39">
        <f t="shared" si="13"/>
        <v>3520</v>
      </c>
      <c r="O98" s="40"/>
      <c r="P98" s="35" t="s">
        <v>238</v>
      </c>
      <c r="Q98" s="35"/>
      <c r="R98" s="35"/>
      <c r="S98" s="35"/>
      <c r="T98" s="35"/>
      <c r="U98" s="35"/>
      <c r="V98" s="35"/>
      <c r="W98" s="35"/>
      <c r="X98" s="35"/>
      <c r="Y98" s="35"/>
      <c r="Z98" s="35"/>
      <c r="AA98" s="35"/>
    </row>
    <row r="99" ht="14.25" customHeight="1">
      <c r="A99" s="22" t="s">
        <v>235</v>
      </c>
      <c r="B99" s="23"/>
      <c r="C99" s="66" t="s">
        <v>241</v>
      </c>
      <c r="D99" s="69" t="s">
        <v>242</v>
      </c>
      <c r="E99" s="66"/>
      <c r="F99" s="67">
        <v>4500.0</v>
      </c>
      <c r="G99" s="67">
        <v>4500.0</v>
      </c>
      <c r="H99" s="68">
        <v>44774.0</v>
      </c>
      <c r="I99" s="36">
        <f t="shared" si="8"/>
        <v>6750</v>
      </c>
      <c r="J99" s="37">
        <f t="shared" si="9"/>
        <v>5850</v>
      </c>
      <c r="K99" s="38">
        <f t="shared" si="10"/>
        <v>5850</v>
      </c>
      <c r="L99" s="39">
        <f t="shared" si="11"/>
        <v>5400</v>
      </c>
      <c r="M99" s="38">
        <f t="shared" si="12"/>
        <v>5175</v>
      </c>
      <c r="N99" s="39">
        <f t="shared" si="13"/>
        <v>4950</v>
      </c>
      <c r="O99" s="40"/>
      <c r="P99" s="35" t="s">
        <v>238</v>
      </c>
      <c r="Q99" s="35"/>
      <c r="R99" s="35"/>
      <c r="S99" s="35"/>
      <c r="T99" s="35"/>
      <c r="U99" s="35"/>
      <c r="V99" s="35"/>
      <c r="W99" s="35"/>
      <c r="X99" s="35"/>
      <c r="Y99" s="35"/>
      <c r="Z99" s="35"/>
      <c r="AA99" s="35"/>
    </row>
    <row r="100" ht="14.25" customHeight="1">
      <c r="A100" s="22" t="s">
        <v>235</v>
      </c>
      <c r="B100" s="23"/>
      <c r="C100" s="69" t="s">
        <v>243</v>
      </c>
      <c r="D100" s="69" t="s">
        <v>244</v>
      </c>
      <c r="E100" s="66"/>
      <c r="F100" s="67">
        <v>4900.0</v>
      </c>
      <c r="G100" s="67">
        <v>4900.0</v>
      </c>
      <c r="H100" s="68">
        <v>45264.0</v>
      </c>
      <c r="I100" s="36">
        <f t="shared" si="8"/>
        <v>7350</v>
      </c>
      <c r="J100" s="37">
        <f t="shared" si="9"/>
        <v>6370</v>
      </c>
      <c r="K100" s="38">
        <f t="shared" si="10"/>
        <v>6370</v>
      </c>
      <c r="L100" s="39">
        <f t="shared" si="11"/>
        <v>5880</v>
      </c>
      <c r="M100" s="38">
        <f t="shared" si="12"/>
        <v>5635</v>
      </c>
      <c r="N100" s="39">
        <f t="shared" si="13"/>
        <v>5390</v>
      </c>
      <c r="O100" s="40"/>
      <c r="P100" s="35" t="s">
        <v>238</v>
      </c>
      <c r="Q100" s="35"/>
      <c r="R100" s="35"/>
      <c r="S100" s="35"/>
      <c r="T100" s="35"/>
      <c r="U100" s="35"/>
      <c r="V100" s="35"/>
      <c r="W100" s="35"/>
      <c r="X100" s="35"/>
      <c r="Y100" s="35"/>
      <c r="Z100" s="35"/>
      <c r="AA100" s="35"/>
    </row>
    <row r="101" ht="14.25" customHeight="1">
      <c r="A101" s="22" t="s">
        <v>235</v>
      </c>
      <c r="B101" s="23"/>
      <c r="C101" s="69" t="s">
        <v>245</v>
      </c>
      <c r="D101" s="69" t="s">
        <v>246</v>
      </c>
      <c r="E101" s="66"/>
      <c r="F101" s="67">
        <v>8100.0</v>
      </c>
      <c r="G101" s="67">
        <v>8100.0</v>
      </c>
      <c r="H101" s="68">
        <v>44774.0</v>
      </c>
      <c r="I101" s="36">
        <f t="shared" si="8"/>
        <v>12150</v>
      </c>
      <c r="J101" s="37">
        <f t="shared" si="9"/>
        <v>10530</v>
      </c>
      <c r="K101" s="38">
        <f t="shared" si="10"/>
        <v>10530</v>
      </c>
      <c r="L101" s="39">
        <f t="shared" si="11"/>
        <v>9720</v>
      </c>
      <c r="M101" s="38">
        <f t="shared" si="12"/>
        <v>9315</v>
      </c>
      <c r="N101" s="39">
        <f t="shared" si="13"/>
        <v>8910</v>
      </c>
      <c r="O101" s="40"/>
      <c r="P101" s="35" t="s">
        <v>238</v>
      </c>
      <c r="Q101" s="35"/>
      <c r="R101" s="35"/>
      <c r="S101" s="35"/>
      <c r="T101" s="35"/>
      <c r="U101" s="35"/>
      <c r="V101" s="35"/>
      <c r="W101" s="35"/>
      <c r="X101" s="35"/>
      <c r="Y101" s="35"/>
      <c r="Z101" s="35"/>
      <c r="AA101" s="35"/>
    </row>
    <row r="102" ht="14.25" customHeight="1">
      <c r="A102" s="22" t="s">
        <v>235</v>
      </c>
      <c r="B102" s="23"/>
      <c r="C102" s="69" t="s">
        <v>247</v>
      </c>
      <c r="D102" s="69" t="s">
        <v>248</v>
      </c>
      <c r="E102" s="66"/>
      <c r="F102" s="67">
        <v>11200.0</v>
      </c>
      <c r="G102" s="67">
        <v>11200.0</v>
      </c>
      <c r="H102" s="68">
        <v>44774.0</v>
      </c>
      <c r="I102" s="36">
        <f t="shared" si="8"/>
        <v>16800</v>
      </c>
      <c r="J102" s="37">
        <f t="shared" si="9"/>
        <v>14560</v>
      </c>
      <c r="K102" s="38">
        <f t="shared" si="10"/>
        <v>14560</v>
      </c>
      <c r="L102" s="39">
        <f t="shared" si="11"/>
        <v>13440</v>
      </c>
      <c r="M102" s="38">
        <f t="shared" si="12"/>
        <v>12880</v>
      </c>
      <c r="N102" s="39">
        <f t="shared" si="13"/>
        <v>12320</v>
      </c>
      <c r="O102" s="40"/>
      <c r="P102" s="35" t="s">
        <v>238</v>
      </c>
      <c r="Q102" s="35"/>
      <c r="R102" s="35"/>
      <c r="S102" s="35"/>
      <c r="T102" s="35"/>
      <c r="U102" s="35"/>
      <c r="V102" s="35"/>
      <c r="W102" s="35"/>
      <c r="X102" s="35"/>
      <c r="Y102" s="35"/>
      <c r="Z102" s="35"/>
      <c r="AA102" s="35"/>
    </row>
    <row r="103" ht="14.25" customHeight="1">
      <c r="A103" s="22" t="s">
        <v>235</v>
      </c>
      <c r="B103" s="23"/>
      <c r="C103" s="69" t="s">
        <v>249</v>
      </c>
      <c r="D103" s="69" t="s">
        <v>250</v>
      </c>
      <c r="E103" s="66"/>
      <c r="F103" s="67">
        <v>2200.0</v>
      </c>
      <c r="G103" s="67">
        <v>2200.0</v>
      </c>
      <c r="H103" s="68">
        <v>44986.0</v>
      </c>
      <c r="I103" s="36">
        <f t="shared" si="8"/>
        <v>3300</v>
      </c>
      <c r="J103" s="37">
        <f t="shared" si="9"/>
        <v>2860</v>
      </c>
      <c r="K103" s="38">
        <f t="shared" si="10"/>
        <v>2860</v>
      </c>
      <c r="L103" s="39">
        <f t="shared" si="11"/>
        <v>2640</v>
      </c>
      <c r="M103" s="38">
        <f t="shared" si="12"/>
        <v>2530</v>
      </c>
      <c r="N103" s="39">
        <f t="shared" si="13"/>
        <v>2420</v>
      </c>
      <c r="O103" s="40"/>
      <c r="P103" s="35" t="s">
        <v>238</v>
      </c>
      <c r="Q103" s="35"/>
      <c r="R103" s="35"/>
      <c r="S103" s="35"/>
      <c r="T103" s="35"/>
      <c r="U103" s="35"/>
      <c r="V103" s="35"/>
      <c r="W103" s="35"/>
      <c r="X103" s="35"/>
      <c r="Y103" s="35"/>
      <c r="Z103" s="35"/>
      <c r="AA103" s="35"/>
    </row>
    <row r="104" ht="14.25" customHeight="1">
      <c r="A104" s="22" t="s">
        <v>235</v>
      </c>
      <c r="B104" s="23"/>
      <c r="C104" s="69" t="s">
        <v>251</v>
      </c>
      <c r="D104" s="69" t="s">
        <v>252</v>
      </c>
      <c r="E104" s="66"/>
      <c r="F104" s="67">
        <v>2950.0</v>
      </c>
      <c r="G104" s="67">
        <v>2900.0</v>
      </c>
      <c r="H104" s="68">
        <v>44986.0</v>
      </c>
      <c r="I104" s="36">
        <f t="shared" si="8"/>
        <v>4350</v>
      </c>
      <c r="J104" s="37">
        <f t="shared" si="9"/>
        <v>3770</v>
      </c>
      <c r="K104" s="38">
        <f t="shared" si="10"/>
        <v>3770</v>
      </c>
      <c r="L104" s="39">
        <f t="shared" si="11"/>
        <v>3480</v>
      </c>
      <c r="M104" s="38">
        <f t="shared" si="12"/>
        <v>3335</v>
      </c>
      <c r="N104" s="39">
        <f t="shared" si="13"/>
        <v>3190</v>
      </c>
      <c r="O104" s="40"/>
      <c r="P104" s="35" t="s">
        <v>238</v>
      </c>
      <c r="Q104" s="35"/>
      <c r="R104" s="35"/>
      <c r="S104" s="35"/>
      <c r="T104" s="35"/>
      <c r="U104" s="35"/>
      <c r="V104" s="35"/>
      <c r="W104" s="35"/>
      <c r="X104" s="35"/>
      <c r="Y104" s="35"/>
      <c r="Z104" s="35"/>
      <c r="AA104" s="35"/>
    </row>
    <row r="105" ht="14.25" customHeight="1">
      <c r="A105" s="22" t="s">
        <v>235</v>
      </c>
      <c r="B105" s="23"/>
      <c r="C105" s="69" t="s">
        <v>253</v>
      </c>
      <c r="D105" s="69" t="s">
        <v>254</v>
      </c>
      <c r="E105" s="66"/>
      <c r="F105" s="67">
        <v>4800.0</v>
      </c>
      <c r="G105" s="67">
        <v>4900.0</v>
      </c>
      <c r="H105" s="68">
        <v>44986.0</v>
      </c>
      <c r="I105" s="36">
        <f t="shared" si="8"/>
        <v>7350</v>
      </c>
      <c r="J105" s="37">
        <f t="shared" si="9"/>
        <v>6370</v>
      </c>
      <c r="K105" s="38">
        <f t="shared" si="10"/>
        <v>6370</v>
      </c>
      <c r="L105" s="39">
        <f t="shared" si="11"/>
        <v>5880</v>
      </c>
      <c r="M105" s="38">
        <f t="shared" si="12"/>
        <v>5635</v>
      </c>
      <c r="N105" s="39">
        <f t="shared" si="13"/>
        <v>5390</v>
      </c>
      <c r="O105" s="40"/>
      <c r="P105" s="35" t="s">
        <v>238</v>
      </c>
      <c r="Q105" s="35"/>
      <c r="R105" s="35"/>
      <c r="S105" s="35"/>
      <c r="T105" s="35"/>
      <c r="U105" s="35"/>
      <c r="V105" s="35"/>
      <c r="W105" s="35"/>
      <c r="X105" s="35"/>
      <c r="Y105" s="35"/>
      <c r="Z105" s="35"/>
      <c r="AA105" s="35"/>
    </row>
    <row r="106" ht="14.25" customHeight="1">
      <c r="A106" s="22" t="s">
        <v>235</v>
      </c>
      <c r="B106" s="23"/>
      <c r="C106" s="69" t="s">
        <v>255</v>
      </c>
      <c r="D106" s="69" t="s">
        <v>256</v>
      </c>
      <c r="E106" s="66"/>
      <c r="F106" s="67">
        <v>8000.0</v>
      </c>
      <c r="G106" s="67">
        <v>7600.0</v>
      </c>
      <c r="H106" s="68">
        <v>44986.0</v>
      </c>
      <c r="I106" s="36">
        <f t="shared" si="8"/>
        <v>11400</v>
      </c>
      <c r="J106" s="37">
        <f t="shared" si="9"/>
        <v>9880</v>
      </c>
      <c r="K106" s="38">
        <f t="shared" si="10"/>
        <v>9880</v>
      </c>
      <c r="L106" s="39">
        <f t="shared" si="11"/>
        <v>9120</v>
      </c>
      <c r="M106" s="38">
        <f t="shared" si="12"/>
        <v>8740</v>
      </c>
      <c r="N106" s="39">
        <f t="shared" si="13"/>
        <v>8360</v>
      </c>
      <c r="O106" s="40"/>
      <c r="P106" s="35" t="s">
        <v>238</v>
      </c>
      <c r="Q106" s="35"/>
      <c r="R106" s="35"/>
      <c r="S106" s="35"/>
      <c r="T106" s="35"/>
      <c r="U106" s="35"/>
      <c r="V106" s="35"/>
      <c r="W106" s="35"/>
      <c r="X106" s="35"/>
      <c r="Y106" s="35"/>
      <c r="Z106" s="35"/>
      <c r="AA106" s="35"/>
    </row>
    <row r="107" ht="14.25" customHeight="1">
      <c r="A107" s="22" t="s">
        <v>235</v>
      </c>
      <c r="B107" s="23"/>
      <c r="C107" s="69" t="s">
        <v>257</v>
      </c>
      <c r="D107" s="69" t="s">
        <v>258</v>
      </c>
      <c r="E107" s="66"/>
      <c r="F107" s="67">
        <v>2200.0</v>
      </c>
      <c r="G107" s="67">
        <v>11900.0</v>
      </c>
      <c r="H107" s="68">
        <v>45348.0</v>
      </c>
      <c r="I107" s="36">
        <f t="shared" si="8"/>
        <v>17850</v>
      </c>
      <c r="J107" s="37">
        <f t="shared" si="9"/>
        <v>15470</v>
      </c>
      <c r="K107" s="38">
        <f t="shared" si="10"/>
        <v>15470</v>
      </c>
      <c r="L107" s="39">
        <f t="shared" si="11"/>
        <v>14280</v>
      </c>
      <c r="M107" s="38">
        <f t="shared" si="12"/>
        <v>13685</v>
      </c>
      <c r="N107" s="39">
        <f t="shared" si="13"/>
        <v>13090</v>
      </c>
      <c r="O107" s="40"/>
      <c r="P107" s="35" t="s">
        <v>238</v>
      </c>
      <c r="Q107" s="35"/>
      <c r="R107" s="35"/>
      <c r="S107" s="35"/>
      <c r="T107" s="35"/>
      <c r="U107" s="35"/>
      <c r="V107" s="35"/>
      <c r="W107" s="35"/>
      <c r="X107" s="35"/>
      <c r="Y107" s="35"/>
      <c r="Z107" s="35"/>
      <c r="AA107" s="35"/>
    </row>
    <row r="108" ht="14.25" customHeight="1">
      <c r="A108" s="22" t="s">
        <v>235</v>
      </c>
      <c r="B108" s="23"/>
      <c r="C108" s="69" t="s">
        <v>259</v>
      </c>
      <c r="D108" s="69" t="s">
        <v>260</v>
      </c>
      <c r="E108" s="66"/>
      <c r="F108" s="67">
        <v>2950.0</v>
      </c>
      <c r="G108" s="67">
        <v>17800.0</v>
      </c>
      <c r="H108" s="68">
        <v>45930.0</v>
      </c>
      <c r="I108" s="36">
        <f t="shared" si="8"/>
        <v>26700</v>
      </c>
      <c r="J108" s="37">
        <f t="shared" si="9"/>
        <v>23140</v>
      </c>
      <c r="K108" s="38">
        <f t="shared" si="10"/>
        <v>23140</v>
      </c>
      <c r="L108" s="39">
        <f t="shared" si="11"/>
        <v>21360</v>
      </c>
      <c r="M108" s="38">
        <f t="shared" si="12"/>
        <v>20470</v>
      </c>
      <c r="N108" s="39">
        <f t="shared" si="13"/>
        <v>19580</v>
      </c>
      <c r="O108" s="40"/>
      <c r="P108" s="35" t="s">
        <v>238</v>
      </c>
      <c r="Q108" s="35"/>
      <c r="R108" s="35"/>
      <c r="S108" s="35"/>
      <c r="T108" s="35"/>
      <c r="U108" s="35"/>
      <c r="V108" s="35"/>
      <c r="W108" s="35"/>
      <c r="X108" s="35"/>
      <c r="Y108" s="35"/>
      <c r="Z108" s="35"/>
      <c r="AA108" s="35"/>
    </row>
    <row r="109" ht="14.25" customHeight="1">
      <c r="A109" s="22" t="s">
        <v>235</v>
      </c>
      <c r="B109" s="23"/>
      <c r="C109" s="69" t="s">
        <v>261</v>
      </c>
      <c r="D109" s="69" t="s">
        <v>262</v>
      </c>
      <c r="E109" s="66"/>
      <c r="F109" s="67">
        <v>4800.0</v>
      </c>
      <c r="G109" s="67">
        <v>23368.0</v>
      </c>
      <c r="H109" s="68">
        <v>44986.0</v>
      </c>
      <c r="I109" s="36">
        <f t="shared" si="8"/>
        <v>35052</v>
      </c>
      <c r="J109" s="37">
        <f t="shared" si="9"/>
        <v>30378.4</v>
      </c>
      <c r="K109" s="38">
        <f t="shared" si="10"/>
        <v>30378.4</v>
      </c>
      <c r="L109" s="39">
        <f t="shared" si="11"/>
        <v>28041.6</v>
      </c>
      <c r="M109" s="38">
        <f t="shared" si="12"/>
        <v>26873.2</v>
      </c>
      <c r="N109" s="39">
        <f t="shared" si="13"/>
        <v>25704.8</v>
      </c>
      <c r="O109" s="40"/>
      <c r="P109" s="35" t="s">
        <v>238</v>
      </c>
      <c r="Q109" s="35"/>
      <c r="R109" s="35"/>
      <c r="S109" s="35"/>
      <c r="T109" s="35"/>
      <c r="U109" s="35"/>
      <c r="V109" s="35"/>
      <c r="W109" s="35"/>
      <c r="X109" s="35"/>
      <c r="Y109" s="35"/>
      <c r="Z109" s="35"/>
      <c r="AA109" s="35"/>
    </row>
    <row r="110" ht="14.25" customHeight="1">
      <c r="A110" s="22" t="s">
        <v>235</v>
      </c>
      <c r="B110" s="23"/>
      <c r="C110" s="69" t="s">
        <v>263</v>
      </c>
      <c r="D110" s="69" t="s">
        <v>264</v>
      </c>
      <c r="E110" s="66"/>
      <c r="F110" s="67">
        <v>8000.0</v>
      </c>
      <c r="G110" s="67">
        <v>27740.0</v>
      </c>
      <c r="H110" s="68">
        <v>44986.0</v>
      </c>
      <c r="I110" s="36">
        <f t="shared" si="8"/>
        <v>41610</v>
      </c>
      <c r="J110" s="37">
        <f t="shared" si="9"/>
        <v>36062</v>
      </c>
      <c r="K110" s="38">
        <f t="shared" si="10"/>
        <v>36062</v>
      </c>
      <c r="L110" s="39">
        <f t="shared" si="11"/>
        <v>33288</v>
      </c>
      <c r="M110" s="38">
        <f t="shared" si="12"/>
        <v>31901</v>
      </c>
      <c r="N110" s="39">
        <f t="shared" si="13"/>
        <v>30514</v>
      </c>
      <c r="O110" s="40"/>
      <c r="P110" s="35" t="s">
        <v>238</v>
      </c>
      <c r="Q110" s="35"/>
      <c r="R110" s="35"/>
      <c r="S110" s="35"/>
      <c r="T110" s="35"/>
      <c r="U110" s="35"/>
      <c r="V110" s="35"/>
      <c r="W110" s="35"/>
      <c r="X110" s="35"/>
      <c r="Y110" s="35"/>
      <c r="Z110" s="35"/>
      <c r="AA110" s="35"/>
    </row>
    <row r="111" ht="14.25" customHeight="1">
      <c r="A111" s="22" t="s">
        <v>235</v>
      </c>
      <c r="B111" s="23"/>
      <c r="C111" s="25" t="s">
        <v>265</v>
      </c>
      <c r="D111" s="69" t="s">
        <v>266</v>
      </c>
      <c r="E111" s="48"/>
      <c r="F111" s="70"/>
      <c r="G111" s="67">
        <v>32500.0</v>
      </c>
      <c r="H111" s="68">
        <v>44986.0</v>
      </c>
      <c r="I111" s="36">
        <f t="shared" si="8"/>
        <v>48750</v>
      </c>
      <c r="J111" s="37">
        <f t="shared" si="9"/>
        <v>42250</v>
      </c>
      <c r="K111" s="38">
        <f t="shared" si="10"/>
        <v>42250</v>
      </c>
      <c r="L111" s="39">
        <f t="shared" si="11"/>
        <v>39000</v>
      </c>
      <c r="M111" s="38">
        <f t="shared" si="12"/>
        <v>37375</v>
      </c>
      <c r="N111" s="39">
        <f t="shared" si="13"/>
        <v>35750</v>
      </c>
      <c r="O111" s="40"/>
      <c r="P111" s="35" t="s">
        <v>238</v>
      </c>
      <c r="Q111" s="35"/>
      <c r="R111" s="35"/>
      <c r="S111" s="35"/>
      <c r="T111" s="35"/>
      <c r="U111" s="35"/>
      <c r="V111" s="35"/>
      <c r="W111" s="35"/>
      <c r="X111" s="35"/>
      <c r="Y111" s="35"/>
      <c r="Z111" s="35"/>
      <c r="AA111" s="35"/>
    </row>
    <row r="112" ht="14.25" customHeight="1">
      <c r="A112" s="22" t="s">
        <v>235</v>
      </c>
      <c r="B112" s="23"/>
      <c r="C112" s="25" t="s">
        <v>267</v>
      </c>
      <c r="D112" s="69" t="s">
        <v>268</v>
      </c>
      <c r="E112" s="48"/>
      <c r="F112" s="70"/>
      <c r="G112" s="67">
        <v>33975.0</v>
      </c>
      <c r="H112" s="68">
        <v>44986.0</v>
      </c>
      <c r="I112" s="36">
        <f t="shared" si="8"/>
        <v>50962.5</v>
      </c>
      <c r="J112" s="37">
        <f t="shared" si="9"/>
        <v>44167.5</v>
      </c>
      <c r="K112" s="38">
        <f t="shared" si="10"/>
        <v>44167.5</v>
      </c>
      <c r="L112" s="39">
        <f t="shared" si="11"/>
        <v>40770</v>
      </c>
      <c r="M112" s="38">
        <f t="shared" si="12"/>
        <v>39071.25</v>
      </c>
      <c r="N112" s="39">
        <f t="shared" si="13"/>
        <v>37372.5</v>
      </c>
      <c r="O112" s="40"/>
      <c r="P112" s="35" t="s">
        <v>238</v>
      </c>
      <c r="Q112" s="35"/>
      <c r="R112" s="35"/>
      <c r="S112" s="35"/>
      <c r="T112" s="35"/>
      <c r="U112" s="35"/>
      <c r="V112" s="35"/>
      <c r="W112" s="35"/>
      <c r="X112" s="35"/>
      <c r="Y112" s="35"/>
      <c r="Z112" s="35"/>
      <c r="AA112" s="35"/>
    </row>
    <row r="113" ht="14.25" customHeight="1">
      <c r="A113" s="22" t="s">
        <v>269</v>
      </c>
      <c r="B113" s="23"/>
      <c r="C113" s="25" t="s">
        <v>270</v>
      </c>
      <c r="D113" s="43" t="s">
        <v>271</v>
      </c>
      <c r="E113" s="48"/>
      <c r="F113" s="71">
        <v>1250.0</v>
      </c>
      <c r="G113" s="27">
        <f t="shared" ref="G113:G114" si="14">F113*0.25+F113</f>
        <v>1562.5</v>
      </c>
      <c r="H113" s="28">
        <v>44593.0</v>
      </c>
      <c r="I113" s="36">
        <f t="shared" si="8"/>
        <v>2343.75</v>
      </c>
      <c r="J113" s="37">
        <f t="shared" si="9"/>
        <v>2031.25</v>
      </c>
      <c r="K113" s="38">
        <f t="shared" si="10"/>
        <v>2031.25</v>
      </c>
      <c r="L113" s="39">
        <f t="shared" si="11"/>
        <v>1875</v>
      </c>
      <c r="M113" s="38">
        <f t="shared" si="12"/>
        <v>1796.875</v>
      </c>
      <c r="N113" s="39">
        <f t="shared" si="13"/>
        <v>1718.75</v>
      </c>
      <c r="O113" s="40"/>
      <c r="P113" s="35" t="s">
        <v>272</v>
      </c>
      <c r="Q113" s="35"/>
      <c r="R113" s="35"/>
      <c r="S113" s="35"/>
      <c r="T113" s="35"/>
      <c r="U113" s="35"/>
      <c r="V113" s="35"/>
      <c r="W113" s="35"/>
      <c r="X113" s="35"/>
      <c r="Y113" s="35"/>
      <c r="Z113" s="35"/>
      <c r="AA113" s="35"/>
    </row>
    <row r="114" ht="14.25" customHeight="1">
      <c r="A114" s="22" t="s">
        <v>269</v>
      </c>
      <c r="B114" s="23"/>
      <c r="C114" s="25" t="s">
        <v>273</v>
      </c>
      <c r="D114" s="25" t="s">
        <v>274</v>
      </c>
      <c r="E114" s="48"/>
      <c r="F114" s="71">
        <v>1450.0</v>
      </c>
      <c r="G114" s="27">
        <f t="shared" si="14"/>
        <v>1812.5</v>
      </c>
      <c r="H114" s="28">
        <v>44593.0</v>
      </c>
      <c r="I114" s="36">
        <f t="shared" si="8"/>
        <v>2718.75</v>
      </c>
      <c r="J114" s="37">
        <f t="shared" si="9"/>
        <v>2356.25</v>
      </c>
      <c r="K114" s="38">
        <f t="shared" si="10"/>
        <v>2356.25</v>
      </c>
      <c r="L114" s="39">
        <f t="shared" si="11"/>
        <v>2175</v>
      </c>
      <c r="M114" s="38">
        <f t="shared" si="12"/>
        <v>2084.375</v>
      </c>
      <c r="N114" s="39">
        <f t="shared" si="13"/>
        <v>1993.75</v>
      </c>
      <c r="O114" s="40"/>
      <c r="P114" s="35" t="s">
        <v>272</v>
      </c>
      <c r="Q114" s="35"/>
      <c r="R114" s="35"/>
      <c r="S114" s="35"/>
      <c r="T114" s="35"/>
      <c r="U114" s="35"/>
      <c r="V114" s="35"/>
      <c r="W114" s="35"/>
      <c r="X114" s="35"/>
      <c r="Y114" s="35"/>
      <c r="Z114" s="35"/>
      <c r="AA114" s="35"/>
    </row>
    <row r="115" ht="14.25" customHeight="1">
      <c r="A115" s="22" t="s">
        <v>269</v>
      </c>
      <c r="B115" s="23"/>
      <c r="C115" s="25" t="s">
        <v>275</v>
      </c>
      <c r="D115" s="43" t="s">
        <v>276</v>
      </c>
      <c r="E115" s="48"/>
      <c r="F115" s="71">
        <v>2100.0</v>
      </c>
      <c r="G115" s="27">
        <f>4400*0.1+F115</f>
        <v>2540</v>
      </c>
      <c r="H115" s="28">
        <v>44593.0</v>
      </c>
      <c r="I115" s="36">
        <f t="shared" si="8"/>
        <v>3810</v>
      </c>
      <c r="J115" s="37">
        <f t="shared" si="9"/>
        <v>3302</v>
      </c>
      <c r="K115" s="38">
        <f t="shared" si="10"/>
        <v>3302</v>
      </c>
      <c r="L115" s="39">
        <f t="shared" si="11"/>
        <v>3048</v>
      </c>
      <c r="M115" s="38">
        <f t="shared" si="12"/>
        <v>2921</v>
      </c>
      <c r="N115" s="39">
        <f t="shared" si="13"/>
        <v>2794</v>
      </c>
      <c r="O115" s="40"/>
      <c r="P115" s="35" t="s">
        <v>272</v>
      </c>
      <c r="Q115" s="35"/>
      <c r="R115" s="35"/>
      <c r="S115" s="35"/>
      <c r="T115" s="35"/>
      <c r="U115" s="35"/>
      <c r="V115" s="35"/>
      <c r="W115" s="35"/>
      <c r="X115" s="35"/>
      <c r="Y115" s="35"/>
      <c r="Z115" s="35"/>
      <c r="AA115" s="35"/>
    </row>
    <row r="116" ht="14.25" customHeight="1">
      <c r="A116" s="22" t="s">
        <v>269</v>
      </c>
      <c r="B116" s="23"/>
      <c r="C116" s="25" t="s">
        <v>277</v>
      </c>
      <c r="D116" s="25" t="s">
        <v>278</v>
      </c>
      <c r="E116" s="48"/>
      <c r="F116" s="71">
        <v>600.0</v>
      </c>
      <c r="G116" s="27">
        <f t="shared" ref="G116:G117" si="15">F116*0.25+F116</f>
        <v>750</v>
      </c>
      <c r="H116" s="28"/>
      <c r="I116" s="36">
        <f t="shared" si="8"/>
        <v>1125</v>
      </c>
      <c r="J116" s="37">
        <f t="shared" si="9"/>
        <v>975</v>
      </c>
      <c r="K116" s="38">
        <f t="shared" si="10"/>
        <v>975</v>
      </c>
      <c r="L116" s="39">
        <f t="shared" si="11"/>
        <v>900</v>
      </c>
      <c r="M116" s="38">
        <f t="shared" si="12"/>
        <v>862.5</v>
      </c>
      <c r="N116" s="39">
        <f t="shared" si="13"/>
        <v>825</v>
      </c>
      <c r="O116" s="40"/>
      <c r="P116" s="35" t="s">
        <v>238</v>
      </c>
      <c r="Q116" s="35"/>
      <c r="R116" s="35"/>
      <c r="S116" s="35"/>
      <c r="T116" s="35"/>
      <c r="U116" s="35"/>
      <c r="V116" s="35"/>
      <c r="W116" s="35"/>
      <c r="X116" s="35"/>
      <c r="Y116" s="35"/>
      <c r="Z116" s="35"/>
      <c r="AA116" s="35"/>
    </row>
    <row r="117" ht="14.25" customHeight="1">
      <c r="A117" s="22" t="s">
        <v>269</v>
      </c>
      <c r="B117" s="23"/>
      <c r="C117" s="25" t="s">
        <v>279</v>
      </c>
      <c r="D117" s="25" t="s">
        <v>280</v>
      </c>
      <c r="E117" s="48"/>
      <c r="F117" s="71">
        <v>1000.0</v>
      </c>
      <c r="G117" s="27">
        <f t="shared" si="15"/>
        <v>1250</v>
      </c>
      <c r="H117" s="28"/>
      <c r="I117" s="36">
        <f t="shared" si="8"/>
        <v>1875</v>
      </c>
      <c r="J117" s="37">
        <f t="shared" si="9"/>
        <v>1625</v>
      </c>
      <c r="K117" s="38">
        <f t="shared" si="10"/>
        <v>1625</v>
      </c>
      <c r="L117" s="39">
        <f t="shared" si="11"/>
        <v>1500</v>
      </c>
      <c r="M117" s="38">
        <f t="shared" si="12"/>
        <v>1437.5</v>
      </c>
      <c r="N117" s="39">
        <f t="shared" si="13"/>
        <v>1375</v>
      </c>
      <c r="O117" s="40"/>
      <c r="P117" s="35" t="s">
        <v>238</v>
      </c>
      <c r="Q117" s="35"/>
      <c r="R117" s="35"/>
      <c r="S117" s="35"/>
      <c r="T117" s="35"/>
      <c r="U117" s="35"/>
      <c r="V117" s="35"/>
      <c r="W117" s="35"/>
      <c r="X117" s="35"/>
      <c r="Y117" s="35"/>
      <c r="Z117" s="35"/>
      <c r="AA117" s="35"/>
    </row>
    <row r="118" ht="14.25" customHeight="1">
      <c r="A118" s="22" t="s">
        <v>269</v>
      </c>
      <c r="B118" s="23"/>
      <c r="C118" s="25" t="s">
        <v>281</v>
      </c>
      <c r="D118" s="25" t="s">
        <v>282</v>
      </c>
      <c r="E118" s="48"/>
      <c r="F118" s="71">
        <v>1200.0</v>
      </c>
      <c r="G118" s="27">
        <v>1300.0</v>
      </c>
      <c r="H118" s="28">
        <v>45309.0</v>
      </c>
      <c r="I118" s="36">
        <f t="shared" si="8"/>
        <v>1950</v>
      </c>
      <c r="J118" s="37">
        <f t="shared" si="9"/>
        <v>1690</v>
      </c>
      <c r="K118" s="38">
        <f t="shared" si="10"/>
        <v>1690</v>
      </c>
      <c r="L118" s="39">
        <f t="shared" si="11"/>
        <v>1560</v>
      </c>
      <c r="M118" s="38">
        <f t="shared" si="12"/>
        <v>1495</v>
      </c>
      <c r="N118" s="39">
        <f t="shared" si="13"/>
        <v>1430</v>
      </c>
      <c r="O118" s="40"/>
      <c r="P118" s="35" t="s">
        <v>238</v>
      </c>
      <c r="Q118" s="35"/>
      <c r="R118" s="35"/>
      <c r="S118" s="35"/>
      <c r="T118" s="35"/>
      <c r="U118" s="35"/>
      <c r="V118" s="35"/>
      <c r="W118" s="35"/>
      <c r="X118" s="35"/>
      <c r="Y118" s="35"/>
      <c r="Z118" s="35"/>
      <c r="AA118" s="35"/>
    </row>
    <row r="119" ht="14.25" customHeight="1">
      <c r="A119" s="22" t="s">
        <v>269</v>
      </c>
      <c r="B119" s="23"/>
      <c r="C119" s="25" t="s">
        <v>283</v>
      </c>
      <c r="D119" s="25" t="s">
        <v>284</v>
      </c>
      <c r="E119" s="48"/>
      <c r="F119" s="71">
        <v>1500.0</v>
      </c>
      <c r="G119" s="27">
        <v>1600.0</v>
      </c>
      <c r="H119" s="28">
        <v>45309.0</v>
      </c>
      <c r="I119" s="36">
        <f t="shared" si="8"/>
        <v>2400</v>
      </c>
      <c r="J119" s="37">
        <f t="shared" si="9"/>
        <v>2080</v>
      </c>
      <c r="K119" s="38">
        <f t="shared" si="10"/>
        <v>2080</v>
      </c>
      <c r="L119" s="39">
        <f t="shared" si="11"/>
        <v>1920</v>
      </c>
      <c r="M119" s="38">
        <f t="shared" si="12"/>
        <v>1840</v>
      </c>
      <c r="N119" s="39">
        <f t="shared" si="13"/>
        <v>1760</v>
      </c>
      <c r="O119" s="40"/>
      <c r="P119" s="35" t="s">
        <v>238</v>
      </c>
      <c r="Q119" s="35"/>
      <c r="R119" s="35"/>
      <c r="S119" s="35"/>
      <c r="T119" s="35"/>
      <c r="U119" s="35"/>
      <c r="V119" s="35"/>
      <c r="W119" s="35"/>
      <c r="X119" s="35"/>
      <c r="Y119" s="35"/>
      <c r="Z119" s="35"/>
      <c r="AA119" s="35"/>
    </row>
    <row r="120" ht="14.25" hidden="1" customHeight="1">
      <c r="A120" s="22" t="s">
        <v>269</v>
      </c>
      <c r="B120" s="23"/>
      <c r="C120" s="72" t="s">
        <v>285</v>
      </c>
      <c r="D120" s="73" t="s">
        <v>286</v>
      </c>
      <c r="E120" s="48"/>
      <c r="F120" s="71">
        <v>500.0</v>
      </c>
      <c r="G120" s="27">
        <f>F120*0.25+F120</f>
        <v>625</v>
      </c>
      <c r="H120" s="28"/>
      <c r="I120" s="36">
        <f t="shared" si="8"/>
        <v>937.5</v>
      </c>
      <c r="J120" s="37">
        <f t="shared" si="9"/>
        <v>812.5</v>
      </c>
      <c r="K120" s="38">
        <f t="shared" si="10"/>
        <v>812.5</v>
      </c>
      <c r="L120" s="39">
        <f t="shared" si="11"/>
        <v>750</v>
      </c>
      <c r="M120" s="38">
        <f t="shared" si="12"/>
        <v>718.75</v>
      </c>
      <c r="N120" s="39">
        <f t="shared" si="13"/>
        <v>687.5</v>
      </c>
      <c r="O120" s="40"/>
      <c r="P120" s="35" t="s">
        <v>287</v>
      </c>
      <c r="Q120" s="35"/>
      <c r="R120" s="35"/>
      <c r="S120" s="35"/>
      <c r="T120" s="35"/>
      <c r="U120" s="35"/>
      <c r="V120" s="35"/>
      <c r="W120" s="35"/>
      <c r="X120" s="35"/>
      <c r="Y120" s="35"/>
      <c r="Z120" s="35"/>
      <c r="AA120" s="35"/>
    </row>
    <row r="121" ht="14.25" hidden="1" customHeight="1">
      <c r="A121" s="22" t="s">
        <v>269</v>
      </c>
      <c r="B121" s="23"/>
      <c r="C121" s="74" t="s">
        <v>288</v>
      </c>
      <c r="D121" s="75" t="s">
        <v>289</v>
      </c>
      <c r="E121" s="48"/>
      <c r="F121" s="71">
        <v>800.0</v>
      </c>
      <c r="G121" s="27">
        <f>4400*0.1+F121</f>
        <v>1240</v>
      </c>
      <c r="H121" s="28"/>
      <c r="I121" s="36">
        <f t="shared" si="8"/>
        <v>1860</v>
      </c>
      <c r="J121" s="37">
        <f t="shared" si="9"/>
        <v>1612</v>
      </c>
      <c r="K121" s="38">
        <f t="shared" si="10"/>
        <v>1612</v>
      </c>
      <c r="L121" s="39">
        <f t="shared" si="11"/>
        <v>1488</v>
      </c>
      <c r="M121" s="38">
        <f t="shared" si="12"/>
        <v>1426</v>
      </c>
      <c r="N121" s="39">
        <f t="shared" si="13"/>
        <v>1364</v>
      </c>
      <c r="O121" s="40"/>
      <c r="P121" s="35" t="s">
        <v>287</v>
      </c>
      <c r="Q121" s="35"/>
      <c r="R121" s="35"/>
      <c r="S121" s="35"/>
      <c r="T121" s="35"/>
      <c r="U121" s="35"/>
      <c r="V121" s="35"/>
      <c r="W121" s="35"/>
      <c r="X121" s="35"/>
      <c r="Y121" s="35"/>
      <c r="Z121" s="35"/>
      <c r="AA121" s="35"/>
    </row>
    <row r="122" ht="14.25" hidden="1" customHeight="1">
      <c r="A122" s="22" t="s">
        <v>269</v>
      </c>
      <c r="B122" s="23"/>
      <c r="C122" s="74" t="s">
        <v>290</v>
      </c>
      <c r="D122" s="75" t="s">
        <v>291</v>
      </c>
      <c r="E122" s="48"/>
      <c r="F122" s="71">
        <v>1000.0</v>
      </c>
      <c r="G122" s="27">
        <f t="shared" ref="G122:G123" si="16">F122*0.25+F122</f>
        <v>1250</v>
      </c>
      <c r="H122" s="28"/>
      <c r="I122" s="36">
        <f t="shared" si="8"/>
        <v>1875</v>
      </c>
      <c r="J122" s="37">
        <f t="shared" si="9"/>
        <v>1625</v>
      </c>
      <c r="K122" s="38">
        <f t="shared" si="10"/>
        <v>1625</v>
      </c>
      <c r="L122" s="39">
        <f t="shared" si="11"/>
        <v>1500</v>
      </c>
      <c r="M122" s="38">
        <f t="shared" si="12"/>
        <v>1437.5</v>
      </c>
      <c r="N122" s="39">
        <f t="shared" si="13"/>
        <v>1375</v>
      </c>
      <c r="O122" s="40"/>
      <c r="P122" s="35" t="s">
        <v>287</v>
      </c>
      <c r="Q122" s="35"/>
      <c r="R122" s="35"/>
      <c r="S122" s="35"/>
      <c r="T122" s="35"/>
      <c r="U122" s="35"/>
      <c r="V122" s="35"/>
      <c r="W122" s="35"/>
      <c r="X122" s="35"/>
      <c r="Y122" s="35"/>
      <c r="Z122" s="35"/>
      <c r="AA122" s="35"/>
    </row>
    <row r="123" ht="14.25" hidden="1" customHeight="1">
      <c r="A123" s="22" t="s">
        <v>269</v>
      </c>
      <c r="B123" s="23"/>
      <c r="C123" s="74" t="s">
        <v>292</v>
      </c>
      <c r="D123" s="75" t="s">
        <v>291</v>
      </c>
      <c r="E123" s="48"/>
      <c r="F123" s="71">
        <v>1150.0</v>
      </c>
      <c r="G123" s="27">
        <f t="shared" si="16"/>
        <v>1437.5</v>
      </c>
      <c r="H123" s="28"/>
      <c r="I123" s="36">
        <f t="shared" si="8"/>
        <v>2156.25</v>
      </c>
      <c r="J123" s="37">
        <f t="shared" si="9"/>
        <v>1868.75</v>
      </c>
      <c r="K123" s="38">
        <f t="shared" si="10"/>
        <v>1868.75</v>
      </c>
      <c r="L123" s="39">
        <f t="shared" si="11"/>
        <v>1725</v>
      </c>
      <c r="M123" s="38">
        <f t="shared" si="12"/>
        <v>1653.125</v>
      </c>
      <c r="N123" s="39">
        <f t="shared" si="13"/>
        <v>1581.25</v>
      </c>
      <c r="O123" s="40"/>
      <c r="P123" s="35" t="s">
        <v>287</v>
      </c>
      <c r="Q123" s="35"/>
      <c r="R123" s="35"/>
      <c r="S123" s="35"/>
      <c r="T123" s="35"/>
      <c r="U123" s="35"/>
      <c r="V123" s="35"/>
      <c r="W123" s="35"/>
      <c r="X123" s="35"/>
      <c r="Y123" s="35"/>
      <c r="Z123" s="35"/>
      <c r="AA123" s="35"/>
    </row>
    <row r="124" ht="14.25" hidden="1" customHeight="1">
      <c r="A124" s="22" t="s">
        <v>269</v>
      </c>
      <c r="B124" s="23"/>
      <c r="C124" s="74" t="s">
        <v>293</v>
      </c>
      <c r="D124" s="75" t="s">
        <v>294</v>
      </c>
      <c r="E124" s="48"/>
      <c r="F124" s="71">
        <v>1350.0</v>
      </c>
      <c r="G124" s="27">
        <f>4400*0.1+F124</f>
        <v>1790</v>
      </c>
      <c r="H124" s="28"/>
      <c r="I124" s="36">
        <f t="shared" si="8"/>
        <v>2685</v>
      </c>
      <c r="J124" s="37">
        <f t="shared" si="9"/>
        <v>2327</v>
      </c>
      <c r="K124" s="38">
        <f t="shared" si="10"/>
        <v>2327</v>
      </c>
      <c r="L124" s="39">
        <f t="shared" si="11"/>
        <v>2148</v>
      </c>
      <c r="M124" s="38">
        <f t="shared" si="12"/>
        <v>2058.5</v>
      </c>
      <c r="N124" s="39">
        <f t="shared" si="13"/>
        <v>1969</v>
      </c>
      <c r="O124" s="40"/>
      <c r="P124" s="35" t="s">
        <v>287</v>
      </c>
      <c r="Q124" s="35"/>
      <c r="R124" s="35"/>
      <c r="S124" s="35"/>
      <c r="T124" s="35"/>
      <c r="U124" s="35"/>
      <c r="V124" s="35"/>
      <c r="W124" s="35"/>
      <c r="X124" s="35"/>
      <c r="Y124" s="35"/>
      <c r="Z124" s="35"/>
      <c r="AA124" s="35"/>
    </row>
    <row r="125" ht="14.25" customHeight="1">
      <c r="A125" s="22" t="s">
        <v>295</v>
      </c>
      <c r="B125" s="23"/>
      <c r="C125" s="25" t="s">
        <v>296</v>
      </c>
      <c r="D125" s="25" t="s">
        <v>297</v>
      </c>
      <c r="E125" s="48"/>
      <c r="F125" s="71">
        <v>170.0</v>
      </c>
      <c r="G125" s="27">
        <f>F125*0.25+F125</f>
        <v>212.5</v>
      </c>
      <c r="H125" s="28">
        <v>44593.0</v>
      </c>
      <c r="I125" s="36">
        <f t="shared" si="8"/>
        <v>318.75</v>
      </c>
      <c r="J125" s="37">
        <f t="shared" si="9"/>
        <v>276.25</v>
      </c>
      <c r="K125" s="38">
        <f t="shared" si="10"/>
        <v>276.25</v>
      </c>
      <c r="L125" s="39">
        <f t="shared" si="11"/>
        <v>255</v>
      </c>
      <c r="M125" s="38">
        <f t="shared" si="12"/>
        <v>244.375</v>
      </c>
      <c r="N125" s="39">
        <f t="shared" si="13"/>
        <v>233.75</v>
      </c>
      <c r="O125" s="40"/>
      <c r="P125" s="34"/>
      <c r="Q125" s="35"/>
      <c r="R125" s="35"/>
      <c r="S125" s="35"/>
      <c r="T125" s="35"/>
      <c r="U125" s="35"/>
      <c r="V125" s="35"/>
      <c r="W125" s="35"/>
      <c r="X125" s="35"/>
      <c r="Y125" s="35"/>
      <c r="Z125" s="35"/>
      <c r="AA125" s="35"/>
    </row>
    <row r="126" ht="14.25" customHeight="1">
      <c r="A126" s="22" t="s">
        <v>295</v>
      </c>
      <c r="B126" s="23"/>
      <c r="C126" s="25" t="s">
        <v>298</v>
      </c>
      <c r="D126" s="25" t="s">
        <v>299</v>
      </c>
      <c r="E126" s="48"/>
      <c r="F126" s="71">
        <v>120.0</v>
      </c>
      <c r="G126" s="27">
        <v>120.0</v>
      </c>
      <c r="H126" s="28">
        <v>45146.0</v>
      </c>
      <c r="I126" s="36">
        <f t="shared" si="8"/>
        <v>180</v>
      </c>
      <c r="J126" s="37">
        <f t="shared" si="9"/>
        <v>156</v>
      </c>
      <c r="K126" s="38">
        <f t="shared" si="10"/>
        <v>156</v>
      </c>
      <c r="L126" s="39">
        <f t="shared" si="11"/>
        <v>144</v>
      </c>
      <c r="M126" s="38">
        <f t="shared" si="12"/>
        <v>138</v>
      </c>
      <c r="N126" s="39">
        <f t="shared" si="13"/>
        <v>132</v>
      </c>
      <c r="O126" s="40"/>
      <c r="P126" s="35" t="s">
        <v>238</v>
      </c>
      <c r="Q126" s="35"/>
      <c r="R126" s="35"/>
      <c r="S126" s="35"/>
      <c r="T126" s="35"/>
      <c r="U126" s="35"/>
      <c r="V126" s="35"/>
      <c r="W126" s="35"/>
      <c r="X126" s="35"/>
      <c r="Y126" s="35"/>
      <c r="Z126" s="35"/>
      <c r="AA126" s="35"/>
    </row>
    <row r="127" ht="14.25" customHeight="1">
      <c r="A127" s="22" t="s">
        <v>295</v>
      </c>
      <c r="B127" s="23"/>
      <c r="C127" s="25" t="s">
        <v>300</v>
      </c>
      <c r="D127" s="43" t="s">
        <v>301</v>
      </c>
      <c r="E127" s="48"/>
      <c r="F127" s="71">
        <v>100.0</v>
      </c>
      <c r="G127" s="27">
        <f t="shared" ref="G127:G132" si="17">F127*0.25+F127</f>
        <v>125</v>
      </c>
      <c r="H127" s="28"/>
      <c r="I127" s="36">
        <f t="shared" si="8"/>
        <v>187.5</v>
      </c>
      <c r="J127" s="37">
        <f t="shared" si="9"/>
        <v>162.5</v>
      </c>
      <c r="K127" s="38">
        <f t="shared" si="10"/>
        <v>162.5</v>
      </c>
      <c r="L127" s="39">
        <f t="shared" si="11"/>
        <v>150</v>
      </c>
      <c r="M127" s="38">
        <f t="shared" si="12"/>
        <v>143.75</v>
      </c>
      <c r="N127" s="39">
        <f t="shared" si="13"/>
        <v>137.5</v>
      </c>
      <c r="O127" s="40"/>
      <c r="P127" s="35" t="s">
        <v>238</v>
      </c>
      <c r="Q127" s="35"/>
      <c r="R127" s="35"/>
      <c r="S127" s="35"/>
      <c r="T127" s="35"/>
      <c r="U127" s="35"/>
      <c r="V127" s="35"/>
      <c r="W127" s="35"/>
      <c r="X127" s="35"/>
      <c r="Y127" s="35"/>
      <c r="Z127" s="35"/>
      <c r="AA127" s="35"/>
    </row>
    <row r="128" ht="14.25" customHeight="1">
      <c r="A128" s="22" t="s">
        <v>295</v>
      </c>
      <c r="B128" s="23"/>
      <c r="C128" s="25" t="s">
        <v>302</v>
      </c>
      <c r="D128" s="43" t="s">
        <v>303</v>
      </c>
      <c r="E128" s="48"/>
      <c r="F128" s="71">
        <v>300.0</v>
      </c>
      <c r="G128" s="27">
        <f t="shared" si="17"/>
        <v>375</v>
      </c>
      <c r="H128" s="28"/>
      <c r="I128" s="36">
        <f t="shared" si="8"/>
        <v>562.5</v>
      </c>
      <c r="J128" s="37">
        <f t="shared" si="9"/>
        <v>487.5</v>
      </c>
      <c r="K128" s="38">
        <f t="shared" si="10"/>
        <v>487.5</v>
      </c>
      <c r="L128" s="39">
        <f t="shared" si="11"/>
        <v>450</v>
      </c>
      <c r="M128" s="38">
        <f t="shared" si="12"/>
        <v>431.25</v>
      </c>
      <c r="N128" s="39">
        <f t="shared" si="13"/>
        <v>412.5</v>
      </c>
      <c r="O128" s="40"/>
      <c r="P128" s="35" t="s">
        <v>238</v>
      </c>
      <c r="Q128" s="35"/>
      <c r="R128" s="35"/>
      <c r="S128" s="35"/>
      <c r="T128" s="35"/>
      <c r="U128" s="35"/>
      <c r="V128" s="35"/>
      <c r="W128" s="35"/>
      <c r="X128" s="35"/>
      <c r="Y128" s="35"/>
      <c r="Z128" s="35"/>
      <c r="AA128" s="35"/>
    </row>
    <row r="129" ht="14.25" customHeight="1">
      <c r="A129" s="22" t="s">
        <v>304</v>
      </c>
      <c r="B129" s="23"/>
      <c r="C129" s="25" t="s">
        <v>305</v>
      </c>
      <c r="D129" s="43" t="s">
        <v>306</v>
      </c>
      <c r="E129" s="48"/>
      <c r="F129" s="71">
        <v>45000.0</v>
      </c>
      <c r="G129" s="27">
        <f t="shared" si="17"/>
        <v>56250</v>
      </c>
      <c r="H129" s="28">
        <v>44593.0</v>
      </c>
      <c r="I129" s="36">
        <f t="shared" si="8"/>
        <v>84375</v>
      </c>
      <c r="J129" s="37">
        <f t="shared" si="9"/>
        <v>73125</v>
      </c>
      <c r="K129" s="38">
        <f t="shared" si="10"/>
        <v>73125</v>
      </c>
      <c r="L129" s="39">
        <f t="shared" si="11"/>
        <v>67500</v>
      </c>
      <c r="M129" s="38">
        <f t="shared" si="12"/>
        <v>64687.5</v>
      </c>
      <c r="N129" s="39">
        <f t="shared" si="13"/>
        <v>61875</v>
      </c>
      <c r="O129" s="40"/>
      <c r="P129" s="34"/>
      <c r="Q129" s="35"/>
      <c r="R129" s="35"/>
      <c r="S129" s="35"/>
      <c r="T129" s="35"/>
      <c r="U129" s="35"/>
      <c r="V129" s="35"/>
      <c r="W129" s="35"/>
      <c r="X129" s="35"/>
      <c r="Y129" s="35"/>
      <c r="Z129" s="35"/>
      <c r="AA129" s="35"/>
    </row>
    <row r="130" ht="14.25" customHeight="1">
      <c r="A130" s="22" t="s">
        <v>304</v>
      </c>
      <c r="B130" s="23"/>
      <c r="C130" s="25" t="s">
        <v>307</v>
      </c>
      <c r="D130" s="25" t="s">
        <v>308</v>
      </c>
      <c r="E130" s="48"/>
      <c r="F130" s="71">
        <v>15860.0</v>
      </c>
      <c r="G130" s="27">
        <f t="shared" si="17"/>
        <v>19825</v>
      </c>
      <c r="H130" s="28">
        <v>44593.0</v>
      </c>
      <c r="I130" s="36">
        <f t="shared" si="8"/>
        <v>29737.5</v>
      </c>
      <c r="J130" s="37">
        <f t="shared" si="9"/>
        <v>25772.5</v>
      </c>
      <c r="K130" s="38">
        <f t="shared" si="10"/>
        <v>25772.5</v>
      </c>
      <c r="L130" s="39">
        <f t="shared" si="11"/>
        <v>23790</v>
      </c>
      <c r="M130" s="38">
        <f t="shared" si="12"/>
        <v>22798.75</v>
      </c>
      <c r="N130" s="39">
        <f t="shared" si="13"/>
        <v>21807.5</v>
      </c>
      <c r="O130" s="40"/>
      <c r="P130" s="34"/>
      <c r="R130" s="76"/>
      <c r="S130" s="76"/>
      <c r="T130" s="76"/>
      <c r="U130" s="76"/>
      <c r="V130" s="76"/>
      <c r="W130" s="76"/>
      <c r="X130" s="76"/>
      <c r="Y130" s="76"/>
      <c r="Z130" s="76"/>
      <c r="AA130" s="76"/>
    </row>
    <row r="131" ht="14.25" customHeight="1">
      <c r="A131" s="22" t="s">
        <v>304</v>
      </c>
      <c r="B131" s="23"/>
      <c r="C131" s="25" t="s">
        <v>309</v>
      </c>
      <c r="D131" s="43" t="s">
        <v>310</v>
      </c>
      <c r="E131" s="48"/>
      <c r="F131" s="71">
        <v>18000.0</v>
      </c>
      <c r="G131" s="27">
        <f t="shared" si="17"/>
        <v>22500</v>
      </c>
      <c r="H131" s="28">
        <v>44593.0</v>
      </c>
      <c r="I131" s="36">
        <f t="shared" si="8"/>
        <v>33750</v>
      </c>
      <c r="J131" s="37">
        <f t="shared" si="9"/>
        <v>29250</v>
      </c>
      <c r="K131" s="38">
        <f t="shared" si="10"/>
        <v>29250</v>
      </c>
      <c r="L131" s="39">
        <f t="shared" si="11"/>
        <v>27000</v>
      </c>
      <c r="M131" s="38">
        <f t="shared" si="12"/>
        <v>25875</v>
      </c>
      <c r="N131" s="39">
        <f t="shared" si="13"/>
        <v>24750</v>
      </c>
      <c r="O131" s="40"/>
      <c r="P131" s="34"/>
      <c r="Q131" s="35"/>
      <c r="R131" s="35"/>
      <c r="S131" s="35"/>
      <c r="T131" s="35"/>
      <c r="U131" s="35"/>
      <c r="V131" s="35"/>
      <c r="W131" s="35"/>
      <c r="X131" s="35"/>
      <c r="Y131" s="35"/>
      <c r="Z131" s="35"/>
      <c r="AA131" s="35"/>
    </row>
    <row r="132" ht="14.25" customHeight="1">
      <c r="A132" s="22" t="s">
        <v>304</v>
      </c>
      <c r="B132" s="23"/>
      <c r="C132" s="25" t="s">
        <v>311</v>
      </c>
      <c r="D132" s="43" t="s">
        <v>312</v>
      </c>
      <c r="E132" s="48"/>
      <c r="F132" s="71">
        <v>29500.0</v>
      </c>
      <c r="G132" s="27">
        <f t="shared" si="17"/>
        <v>36875</v>
      </c>
      <c r="H132" s="28">
        <v>44593.0</v>
      </c>
      <c r="I132" s="36">
        <f t="shared" si="8"/>
        <v>55312.5</v>
      </c>
      <c r="J132" s="37">
        <f t="shared" si="9"/>
        <v>47937.5</v>
      </c>
      <c r="K132" s="38">
        <f t="shared" si="10"/>
        <v>47937.5</v>
      </c>
      <c r="L132" s="39">
        <f t="shared" si="11"/>
        <v>44250</v>
      </c>
      <c r="M132" s="38">
        <f t="shared" si="12"/>
        <v>42406.25</v>
      </c>
      <c r="N132" s="39">
        <f t="shared" si="13"/>
        <v>40562.5</v>
      </c>
      <c r="O132" s="40"/>
      <c r="P132" s="34"/>
      <c r="R132" s="76"/>
      <c r="S132" s="76"/>
      <c r="T132" s="76"/>
      <c r="U132" s="76"/>
      <c r="V132" s="76"/>
      <c r="W132" s="76"/>
      <c r="X132" s="76"/>
      <c r="Y132" s="76"/>
      <c r="Z132" s="76"/>
      <c r="AA132" s="76"/>
    </row>
    <row r="133" ht="14.25" customHeight="1">
      <c r="A133" s="22" t="s">
        <v>313</v>
      </c>
      <c r="B133" s="23"/>
      <c r="C133" s="43" t="s">
        <v>314</v>
      </c>
      <c r="D133" s="43" t="s">
        <v>315</v>
      </c>
      <c r="E133" s="77"/>
      <c r="F133" s="71">
        <v>180.0</v>
      </c>
      <c r="G133" s="27">
        <f>4400*0.1+F133</f>
        <v>620</v>
      </c>
      <c r="H133" s="28">
        <v>44593.0</v>
      </c>
      <c r="I133" s="36">
        <f t="shared" si="8"/>
        <v>930</v>
      </c>
      <c r="J133" s="37">
        <f t="shared" si="9"/>
        <v>806</v>
      </c>
      <c r="K133" s="38">
        <f t="shared" si="10"/>
        <v>806</v>
      </c>
      <c r="L133" s="39">
        <f t="shared" si="11"/>
        <v>744</v>
      </c>
      <c r="M133" s="38">
        <f t="shared" si="12"/>
        <v>713</v>
      </c>
      <c r="N133" s="39">
        <f t="shared" si="13"/>
        <v>682</v>
      </c>
      <c r="O133" s="40"/>
      <c r="P133" s="34"/>
      <c r="Q133" s="35"/>
      <c r="R133" s="35"/>
      <c r="S133" s="35"/>
      <c r="T133" s="35"/>
      <c r="U133" s="35"/>
      <c r="V133" s="35"/>
      <c r="W133" s="35"/>
      <c r="X133" s="35"/>
      <c r="Y133" s="35"/>
      <c r="Z133" s="35"/>
      <c r="AA133" s="35"/>
    </row>
    <row r="134" ht="14.25" customHeight="1">
      <c r="A134" s="22" t="s">
        <v>313</v>
      </c>
      <c r="B134" s="23"/>
      <c r="C134" s="43" t="s">
        <v>316</v>
      </c>
      <c r="D134" s="43" t="s">
        <v>317</v>
      </c>
      <c r="E134" s="77"/>
      <c r="F134" s="71">
        <v>195.0</v>
      </c>
      <c r="G134" s="27">
        <f t="shared" ref="G134:G135" si="18">F134*0.25+F134</f>
        <v>243.75</v>
      </c>
      <c r="H134" s="28">
        <v>44593.0</v>
      </c>
      <c r="I134" s="36">
        <f t="shared" si="8"/>
        <v>365.625</v>
      </c>
      <c r="J134" s="37">
        <f t="shared" si="9"/>
        <v>316.875</v>
      </c>
      <c r="K134" s="38">
        <f t="shared" si="10"/>
        <v>316.875</v>
      </c>
      <c r="L134" s="39">
        <f t="shared" si="11"/>
        <v>292.5</v>
      </c>
      <c r="M134" s="38">
        <f t="shared" si="12"/>
        <v>280.3125</v>
      </c>
      <c r="N134" s="39">
        <f t="shared" si="13"/>
        <v>268.125</v>
      </c>
      <c r="O134" s="40"/>
      <c r="P134" s="34"/>
      <c r="Q134" s="35"/>
      <c r="R134" s="35"/>
      <c r="S134" s="35"/>
      <c r="T134" s="35"/>
      <c r="U134" s="35"/>
      <c r="V134" s="35"/>
      <c r="W134" s="35"/>
      <c r="X134" s="35"/>
      <c r="Y134" s="35"/>
      <c r="Z134" s="35"/>
      <c r="AA134" s="35"/>
    </row>
    <row r="135" ht="14.25" customHeight="1">
      <c r="A135" s="22" t="s">
        <v>313</v>
      </c>
      <c r="B135" s="23"/>
      <c r="C135" s="43" t="s">
        <v>318</v>
      </c>
      <c r="D135" s="43" t="s">
        <v>319</v>
      </c>
      <c r="E135" s="77"/>
      <c r="F135" s="71">
        <v>200.0</v>
      </c>
      <c r="G135" s="27">
        <f t="shared" si="18"/>
        <v>250</v>
      </c>
      <c r="H135" s="28">
        <v>44593.0</v>
      </c>
      <c r="I135" s="36">
        <f t="shared" si="8"/>
        <v>375</v>
      </c>
      <c r="J135" s="37">
        <f t="shared" si="9"/>
        <v>325</v>
      </c>
      <c r="K135" s="38">
        <f t="shared" si="10"/>
        <v>325</v>
      </c>
      <c r="L135" s="39">
        <f t="shared" si="11"/>
        <v>300</v>
      </c>
      <c r="M135" s="38">
        <f t="shared" si="12"/>
        <v>287.5</v>
      </c>
      <c r="N135" s="39">
        <f t="shared" si="13"/>
        <v>275</v>
      </c>
      <c r="O135" s="40"/>
      <c r="P135" s="34"/>
      <c r="Q135" s="35"/>
      <c r="R135" s="35"/>
      <c r="S135" s="35"/>
      <c r="T135" s="35"/>
      <c r="U135" s="35"/>
      <c r="V135" s="35"/>
      <c r="W135" s="35"/>
      <c r="X135" s="35"/>
      <c r="Y135" s="35"/>
      <c r="Z135" s="35"/>
      <c r="AA135" s="35"/>
    </row>
    <row r="136" ht="14.25" customHeight="1">
      <c r="A136" s="22" t="s">
        <v>313</v>
      </c>
      <c r="B136" s="23"/>
      <c r="C136" s="43" t="s">
        <v>320</v>
      </c>
      <c r="D136" s="43" t="s">
        <v>321</v>
      </c>
      <c r="E136" s="77"/>
      <c r="F136" s="71">
        <v>210.0</v>
      </c>
      <c r="G136" s="27">
        <f>4400*0.1+F136</f>
        <v>650</v>
      </c>
      <c r="H136" s="28">
        <v>44593.0</v>
      </c>
      <c r="I136" s="36">
        <f t="shared" si="8"/>
        <v>975</v>
      </c>
      <c r="J136" s="37">
        <f t="shared" si="9"/>
        <v>845</v>
      </c>
      <c r="K136" s="38">
        <f t="shared" si="10"/>
        <v>845</v>
      </c>
      <c r="L136" s="39">
        <f t="shared" si="11"/>
        <v>780</v>
      </c>
      <c r="M136" s="38">
        <f t="shared" si="12"/>
        <v>747.5</v>
      </c>
      <c r="N136" s="39">
        <f t="shared" si="13"/>
        <v>715</v>
      </c>
      <c r="O136" s="40"/>
      <c r="P136" s="34"/>
      <c r="Q136" s="35"/>
      <c r="R136" s="35"/>
      <c r="S136" s="35"/>
      <c r="T136" s="35"/>
      <c r="U136" s="35"/>
      <c r="V136" s="35"/>
      <c r="W136" s="35"/>
      <c r="X136" s="35"/>
      <c r="Y136" s="35"/>
      <c r="Z136" s="35"/>
      <c r="AA136" s="35"/>
    </row>
    <row r="137" ht="14.25" customHeight="1">
      <c r="A137" s="49" t="s">
        <v>322</v>
      </c>
      <c r="B137" s="23"/>
      <c r="C137" s="43" t="s">
        <v>323</v>
      </c>
      <c r="D137" s="43" t="s">
        <v>324</v>
      </c>
      <c r="E137" s="77"/>
      <c r="F137" s="71">
        <v>850.0</v>
      </c>
      <c r="G137" s="27">
        <f t="shared" ref="G137:G176" si="19">F137*0.25+F137</f>
        <v>1062.5</v>
      </c>
      <c r="H137" s="28">
        <v>44593.0</v>
      </c>
      <c r="I137" s="36">
        <f t="shared" si="8"/>
        <v>1593.75</v>
      </c>
      <c r="J137" s="37">
        <f t="shared" si="9"/>
        <v>1381.25</v>
      </c>
      <c r="K137" s="38">
        <f t="shared" si="10"/>
        <v>1381.25</v>
      </c>
      <c r="L137" s="39">
        <f t="shared" si="11"/>
        <v>1275</v>
      </c>
      <c r="M137" s="38">
        <f t="shared" si="12"/>
        <v>1221.875</v>
      </c>
      <c r="N137" s="39">
        <f t="shared" si="13"/>
        <v>1168.75</v>
      </c>
      <c r="O137" s="40"/>
      <c r="P137" s="34"/>
      <c r="Q137" s="35"/>
      <c r="R137" s="35"/>
      <c r="S137" s="35"/>
      <c r="T137" s="35"/>
      <c r="U137" s="35"/>
      <c r="V137" s="35"/>
      <c r="W137" s="35"/>
      <c r="X137" s="35"/>
      <c r="Y137" s="35"/>
      <c r="Z137" s="35"/>
      <c r="AA137" s="35"/>
    </row>
    <row r="138" ht="14.25" customHeight="1">
      <c r="A138" s="22" t="s">
        <v>325</v>
      </c>
      <c r="B138" s="23"/>
      <c r="C138" s="43" t="s">
        <v>326</v>
      </c>
      <c r="D138" s="43" t="s">
        <v>327</v>
      </c>
      <c r="E138" s="77"/>
      <c r="F138" s="71">
        <v>110.0</v>
      </c>
      <c r="G138" s="27">
        <f t="shared" si="19"/>
        <v>137.5</v>
      </c>
      <c r="H138" s="28">
        <v>44593.0</v>
      </c>
      <c r="I138" s="36">
        <f t="shared" si="8"/>
        <v>206.25</v>
      </c>
      <c r="J138" s="37">
        <f t="shared" si="9"/>
        <v>178.75</v>
      </c>
      <c r="K138" s="38">
        <f t="shared" si="10"/>
        <v>178.75</v>
      </c>
      <c r="L138" s="39">
        <f t="shared" si="11"/>
        <v>165</v>
      </c>
      <c r="M138" s="38">
        <f t="shared" si="12"/>
        <v>158.125</v>
      </c>
      <c r="N138" s="39">
        <f t="shared" si="13"/>
        <v>151.25</v>
      </c>
      <c r="O138" s="40"/>
      <c r="P138" s="34"/>
      <c r="Q138" s="35"/>
      <c r="R138" s="35"/>
      <c r="S138" s="35"/>
      <c r="T138" s="35"/>
      <c r="U138" s="35"/>
      <c r="V138" s="35"/>
      <c r="W138" s="35"/>
      <c r="X138" s="35"/>
      <c r="Y138" s="35"/>
      <c r="Z138" s="35"/>
      <c r="AA138" s="35"/>
    </row>
    <row r="139" ht="14.25" customHeight="1">
      <c r="A139" s="22" t="s">
        <v>328</v>
      </c>
      <c r="B139" s="23"/>
      <c r="C139" s="43" t="s">
        <v>329</v>
      </c>
      <c r="D139" s="43" t="s">
        <v>330</v>
      </c>
      <c r="E139" s="48"/>
      <c r="F139" s="71">
        <v>1900.0</v>
      </c>
      <c r="G139" s="27">
        <f t="shared" si="19"/>
        <v>2375</v>
      </c>
      <c r="H139" s="28">
        <v>44593.0</v>
      </c>
      <c r="I139" s="36">
        <f t="shared" si="8"/>
        <v>3562.5</v>
      </c>
      <c r="J139" s="37">
        <f t="shared" si="9"/>
        <v>3087.5</v>
      </c>
      <c r="K139" s="38">
        <f t="shared" si="10"/>
        <v>3087.5</v>
      </c>
      <c r="L139" s="39">
        <f t="shared" si="11"/>
        <v>2850</v>
      </c>
      <c r="M139" s="38">
        <f t="shared" si="12"/>
        <v>2731.25</v>
      </c>
      <c r="N139" s="39">
        <f t="shared" si="13"/>
        <v>2612.5</v>
      </c>
      <c r="O139" s="40"/>
      <c r="P139" s="34"/>
      <c r="Q139" s="35"/>
      <c r="R139" s="35"/>
      <c r="S139" s="35"/>
      <c r="T139" s="35"/>
      <c r="U139" s="35"/>
      <c r="V139" s="35"/>
      <c r="W139" s="35"/>
      <c r="X139" s="35"/>
      <c r="Y139" s="35"/>
      <c r="Z139" s="35"/>
      <c r="AA139" s="35"/>
    </row>
    <row r="140" ht="14.25" customHeight="1">
      <c r="A140" s="22" t="s">
        <v>331</v>
      </c>
      <c r="B140" s="23"/>
      <c r="C140" s="43" t="s">
        <v>332</v>
      </c>
      <c r="D140" s="43" t="s">
        <v>333</v>
      </c>
      <c r="E140" s="26" t="s">
        <v>334</v>
      </c>
      <c r="F140" s="71">
        <v>1150.0</v>
      </c>
      <c r="G140" s="27">
        <f t="shared" si="19"/>
        <v>1437.5</v>
      </c>
      <c r="H140" s="28">
        <v>44593.0</v>
      </c>
      <c r="I140" s="36">
        <f t="shared" si="8"/>
        <v>2156.25</v>
      </c>
      <c r="J140" s="37">
        <f t="shared" si="9"/>
        <v>1868.75</v>
      </c>
      <c r="K140" s="38">
        <f t="shared" si="10"/>
        <v>1868.75</v>
      </c>
      <c r="L140" s="39">
        <f t="shared" si="11"/>
        <v>1725</v>
      </c>
      <c r="M140" s="38">
        <f t="shared" si="12"/>
        <v>1653.125</v>
      </c>
      <c r="N140" s="39">
        <f t="shared" si="13"/>
        <v>1581.25</v>
      </c>
      <c r="O140" s="40"/>
      <c r="P140" s="34"/>
      <c r="Q140" s="35"/>
      <c r="R140" s="35"/>
      <c r="S140" s="35"/>
      <c r="T140" s="35"/>
      <c r="U140" s="35"/>
      <c r="V140" s="35"/>
      <c r="W140" s="35"/>
      <c r="X140" s="35"/>
      <c r="Y140" s="35"/>
      <c r="Z140" s="35"/>
      <c r="AA140" s="35"/>
    </row>
    <row r="141" ht="14.25" customHeight="1">
      <c r="A141" s="44" t="s">
        <v>335</v>
      </c>
      <c r="B141" s="23"/>
      <c r="C141" s="46" t="s">
        <v>336</v>
      </c>
      <c r="D141" s="41" t="s">
        <v>337</v>
      </c>
      <c r="E141" s="48"/>
      <c r="F141" s="52">
        <v>335.0</v>
      </c>
      <c r="G141" s="27">
        <f t="shared" si="19"/>
        <v>418.75</v>
      </c>
      <c r="H141" s="28">
        <v>44593.0</v>
      </c>
      <c r="I141" s="36">
        <f t="shared" si="8"/>
        <v>628.125</v>
      </c>
      <c r="J141" s="37">
        <f t="shared" si="9"/>
        <v>544.375</v>
      </c>
      <c r="K141" s="38">
        <f t="shared" si="10"/>
        <v>544.375</v>
      </c>
      <c r="L141" s="39">
        <f t="shared" si="11"/>
        <v>502.5</v>
      </c>
      <c r="M141" s="38">
        <f t="shared" si="12"/>
        <v>481.5625</v>
      </c>
      <c r="N141" s="39">
        <f t="shared" si="13"/>
        <v>460.625</v>
      </c>
      <c r="O141" s="40"/>
      <c r="P141" s="34"/>
      <c r="Q141" s="35"/>
      <c r="R141" s="35"/>
      <c r="S141" s="35"/>
      <c r="T141" s="35"/>
      <c r="U141" s="35"/>
      <c r="V141" s="35"/>
      <c r="W141" s="35"/>
      <c r="X141" s="35"/>
      <c r="Y141" s="35"/>
      <c r="Z141" s="35"/>
      <c r="AA141" s="35"/>
    </row>
    <row r="142" ht="14.25" customHeight="1">
      <c r="A142" s="44" t="s">
        <v>335</v>
      </c>
      <c r="B142" s="23"/>
      <c r="C142" s="46" t="s">
        <v>338</v>
      </c>
      <c r="D142" s="41" t="s">
        <v>339</v>
      </c>
      <c r="E142" s="48"/>
      <c r="F142" s="52">
        <v>600.0</v>
      </c>
      <c r="G142" s="27">
        <f t="shared" si="19"/>
        <v>750</v>
      </c>
      <c r="H142" s="28">
        <v>44593.0</v>
      </c>
      <c r="I142" s="36">
        <f t="shared" si="8"/>
        <v>1125</v>
      </c>
      <c r="J142" s="37">
        <f t="shared" si="9"/>
        <v>975</v>
      </c>
      <c r="K142" s="38">
        <f t="shared" si="10"/>
        <v>975</v>
      </c>
      <c r="L142" s="39">
        <f t="shared" si="11"/>
        <v>900</v>
      </c>
      <c r="M142" s="38">
        <f t="shared" si="12"/>
        <v>862.5</v>
      </c>
      <c r="N142" s="39">
        <f t="shared" si="13"/>
        <v>825</v>
      </c>
      <c r="O142" s="40"/>
      <c r="P142" s="34"/>
      <c r="Q142" s="35"/>
      <c r="R142" s="35"/>
      <c r="S142" s="35"/>
      <c r="T142" s="35"/>
      <c r="U142" s="35"/>
      <c r="V142" s="35"/>
      <c r="W142" s="35"/>
      <c r="X142" s="35"/>
      <c r="Y142" s="35"/>
      <c r="Z142" s="35"/>
      <c r="AA142" s="35"/>
    </row>
    <row r="143" ht="14.25" customHeight="1">
      <c r="A143" s="44" t="s">
        <v>335</v>
      </c>
      <c r="B143" s="23"/>
      <c r="C143" s="46" t="s">
        <v>340</v>
      </c>
      <c r="D143" s="26" t="s">
        <v>341</v>
      </c>
      <c r="E143" s="48"/>
      <c r="F143" s="52">
        <v>335.0</v>
      </c>
      <c r="G143" s="27">
        <f t="shared" si="19"/>
        <v>418.75</v>
      </c>
      <c r="H143" s="28">
        <v>44593.0</v>
      </c>
      <c r="I143" s="36">
        <f t="shared" si="8"/>
        <v>628.125</v>
      </c>
      <c r="J143" s="37">
        <f t="shared" si="9"/>
        <v>544.375</v>
      </c>
      <c r="K143" s="38">
        <f t="shared" si="10"/>
        <v>544.375</v>
      </c>
      <c r="L143" s="39">
        <f t="shared" si="11"/>
        <v>502.5</v>
      </c>
      <c r="M143" s="38">
        <f t="shared" si="12"/>
        <v>481.5625</v>
      </c>
      <c r="N143" s="39">
        <f t="shared" si="13"/>
        <v>460.625</v>
      </c>
      <c r="O143" s="40"/>
      <c r="P143" s="34"/>
      <c r="Q143" s="35"/>
      <c r="R143" s="35"/>
      <c r="S143" s="35"/>
      <c r="T143" s="35"/>
      <c r="U143" s="35"/>
      <c r="V143" s="35"/>
      <c r="W143" s="35"/>
      <c r="X143" s="35"/>
      <c r="Y143" s="35"/>
      <c r="Z143" s="35"/>
      <c r="AA143" s="35"/>
    </row>
    <row r="144" ht="14.25" hidden="1" customHeight="1">
      <c r="A144" s="49" t="s">
        <v>342</v>
      </c>
      <c r="B144" s="48"/>
      <c r="C144" s="46" t="s">
        <v>343</v>
      </c>
      <c r="D144" s="26" t="s">
        <v>344</v>
      </c>
      <c r="E144" s="48"/>
      <c r="F144" s="71">
        <v>990.0</v>
      </c>
      <c r="G144" s="27">
        <f t="shared" si="19"/>
        <v>1237.5</v>
      </c>
      <c r="H144" s="28">
        <v>44593.0</v>
      </c>
      <c r="I144" s="36">
        <f t="shared" si="8"/>
        <v>1856.25</v>
      </c>
      <c r="J144" s="37">
        <f t="shared" si="9"/>
        <v>1608.75</v>
      </c>
      <c r="K144" s="38">
        <f t="shared" si="10"/>
        <v>1608.75</v>
      </c>
      <c r="L144" s="39">
        <f t="shared" si="11"/>
        <v>1485</v>
      </c>
      <c r="M144" s="38">
        <f t="shared" si="12"/>
        <v>1423.125</v>
      </c>
      <c r="N144" s="39">
        <f t="shared" si="13"/>
        <v>1361.25</v>
      </c>
      <c r="O144" s="40"/>
      <c r="P144" s="34"/>
      <c r="Q144" s="35"/>
      <c r="R144" s="35"/>
      <c r="S144" s="35"/>
      <c r="T144" s="35"/>
      <c r="U144" s="35"/>
      <c r="V144" s="35"/>
      <c r="W144" s="35"/>
      <c r="X144" s="35"/>
      <c r="Y144" s="35"/>
      <c r="Z144" s="35"/>
      <c r="AA144" s="35"/>
    </row>
    <row r="145" ht="14.25" hidden="1" customHeight="1">
      <c r="A145" s="49" t="s">
        <v>342</v>
      </c>
      <c r="B145" s="48"/>
      <c r="C145" s="46" t="s">
        <v>345</v>
      </c>
      <c r="D145" s="26" t="s">
        <v>346</v>
      </c>
      <c r="E145" s="48"/>
      <c r="F145" s="71">
        <v>1420.0</v>
      </c>
      <c r="G145" s="27">
        <f t="shared" si="19"/>
        <v>1775</v>
      </c>
      <c r="H145" s="28">
        <v>44593.0</v>
      </c>
      <c r="I145" s="36">
        <f t="shared" si="8"/>
        <v>2662.5</v>
      </c>
      <c r="J145" s="37">
        <f t="shared" si="9"/>
        <v>2307.5</v>
      </c>
      <c r="K145" s="38">
        <f t="shared" si="10"/>
        <v>2307.5</v>
      </c>
      <c r="L145" s="39">
        <f t="shared" si="11"/>
        <v>2130</v>
      </c>
      <c r="M145" s="38">
        <f t="shared" si="12"/>
        <v>2041.25</v>
      </c>
      <c r="N145" s="39">
        <f t="shared" si="13"/>
        <v>1952.5</v>
      </c>
      <c r="O145" s="40"/>
      <c r="P145" s="34"/>
      <c r="Q145" s="35"/>
      <c r="R145" s="35"/>
      <c r="S145" s="35"/>
      <c r="T145" s="35"/>
      <c r="U145" s="35"/>
      <c r="V145" s="35"/>
      <c r="W145" s="35"/>
      <c r="X145" s="35"/>
      <c r="Y145" s="35"/>
      <c r="Z145" s="35"/>
      <c r="AA145" s="35"/>
    </row>
    <row r="146" ht="14.25" hidden="1" customHeight="1">
      <c r="A146" s="49" t="s">
        <v>342</v>
      </c>
      <c r="B146" s="48"/>
      <c r="C146" s="46" t="s">
        <v>347</v>
      </c>
      <c r="D146" s="26" t="s">
        <v>348</v>
      </c>
      <c r="E146" s="42"/>
      <c r="F146" s="71">
        <v>1800.0</v>
      </c>
      <c r="G146" s="27">
        <f t="shared" si="19"/>
        <v>2250</v>
      </c>
      <c r="H146" s="28">
        <v>44593.0</v>
      </c>
      <c r="I146" s="36">
        <f t="shared" si="8"/>
        <v>3375</v>
      </c>
      <c r="J146" s="37">
        <f t="shared" si="9"/>
        <v>2925</v>
      </c>
      <c r="K146" s="38">
        <f t="shared" si="10"/>
        <v>2925</v>
      </c>
      <c r="L146" s="39">
        <f t="shared" si="11"/>
        <v>2700</v>
      </c>
      <c r="M146" s="38">
        <f t="shared" si="12"/>
        <v>2587.5</v>
      </c>
      <c r="N146" s="39">
        <f t="shared" si="13"/>
        <v>2475</v>
      </c>
      <c r="O146" s="40"/>
      <c r="P146" s="34"/>
      <c r="Q146" s="35"/>
      <c r="R146" s="35"/>
      <c r="S146" s="35"/>
      <c r="T146" s="35"/>
      <c r="U146" s="35"/>
      <c r="V146" s="35"/>
      <c r="W146" s="35"/>
      <c r="X146" s="35"/>
      <c r="Y146" s="35"/>
      <c r="Z146" s="35"/>
      <c r="AA146" s="35"/>
    </row>
    <row r="147" ht="14.25" hidden="1" customHeight="1">
      <c r="A147" s="49" t="s">
        <v>342</v>
      </c>
      <c r="B147" s="48"/>
      <c r="C147" s="46" t="s">
        <v>349</v>
      </c>
      <c r="D147" s="26" t="s">
        <v>350</v>
      </c>
      <c r="E147" s="48"/>
      <c r="F147" s="71">
        <v>950.0</v>
      </c>
      <c r="G147" s="27">
        <f t="shared" si="19"/>
        <v>1187.5</v>
      </c>
      <c r="H147" s="28">
        <v>44593.0</v>
      </c>
      <c r="I147" s="36">
        <f t="shared" si="8"/>
        <v>1781.25</v>
      </c>
      <c r="J147" s="37">
        <f t="shared" si="9"/>
        <v>1543.75</v>
      </c>
      <c r="K147" s="38">
        <f t="shared" si="10"/>
        <v>1543.75</v>
      </c>
      <c r="L147" s="39">
        <f t="shared" si="11"/>
        <v>1425</v>
      </c>
      <c r="M147" s="38">
        <f t="shared" si="12"/>
        <v>1365.625</v>
      </c>
      <c r="N147" s="39">
        <f t="shared" si="13"/>
        <v>1306.25</v>
      </c>
      <c r="O147" s="40"/>
      <c r="P147" s="78"/>
      <c r="Q147" s="76"/>
      <c r="R147" s="76"/>
      <c r="S147" s="76"/>
      <c r="T147" s="76"/>
      <c r="U147" s="76"/>
      <c r="V147" s="76"/>
      <c r="W147" s="76"/>
      <c r="X147" s="76"/>
      <c r="Y147" s="76"/>
      <c r="Z147" s="76"/>
      <c r="AA147" s="76"/>
    </row>
    <row r="148" ht="14.25" hidden="1" customHeight="1">
      <c r="A148" s="49" t="s">
        <v>342</v>
      </c>
      <c r="B148" s="48"/>
      <c r="C148" s="49" t="s">
        <v>351</v>
      </c>
      <c r="D148" s="41" t="s">
        <v>350</v>
      </c>
      <c r="E148" s="48"/>
      <c r="F148" s="71">
        <v>950.0</v>
      </c>
      <c r="G148" s="27">
        <f t="shared" si="19"/>
        <v>1187.5</v>
      </c>
      <c r="H148" s="28">
        <v>44593.0</v>
      </c>
      <c r="I148" s="36">
        <f t="shared" si="8"/>
        <v>1781.25</v>
      </c>
      <c r="J148" s="37">
        <f t="shared" si="9"/>
        <v>1543.75</v>
      </c>
      <c r="K148" s="38">
        <f t="shared" si="10"/>
        <v>1543.75</v>
      </c>
      <c r="L148" s="39">
        <f t="shared" si="11"/>
        <v>1425</v>
      </c>
      <c r="M148" s="38">
        <f t="shared" si="12"/>
        <v>1365.625</v>
      </c>
      <c r="N148" s="39">
        <f t="shared" si="13"/>
        <v>1306.25</v>
      </c>
      <c r="O148" s="40"/>
      <c r="P148" s="78"/>
      <c r="Q148" s="35"/>
      <c r="R148" s="35"/>
      <c r="S148" s="35"/>
      <c r="T148" s="35"/>
      <c r="U148" s="35"/>
      <c r="V148" s="35"/>
      <c r="W148" s="35"/>
      <c r="X148" s="35"/>
      <c r="Y148" s="35"/>
      <c r="Z148" s="35"/>
      <c r="AA148" s="35"/>
    </row>
    <row r="149" ht="14.25" hidden="1" customHeight="1">
      <c r="A149" s="49" t="s">
        <v>342</v>
      </c>
      <c r="B149" s="48"/>
      <c r="C149" s="49" t="s">
        <v>347</v>
      </c>
      <c r="D149" s="26" t="s">
        <v>348</v>
      </c>
      <c r="E149" s="48"/>
      <c r="F149" s="71">
        <v>1800.0</v>
      </c>
      <c r="G149" s="27">
        <f t="shared" si="19"/>
        <v>2250</v>
      </c>
      <c r="H149" s="28">
        <v>44593.0</v>
      </c>
      <c r="I149" s="36">
        <f t="shared" si="8"/>
        <v>3375</v>
      </c>
      <c r="J149" s="37">
        <f t="shared" si="9"/>
        <v>2925</v>
      </c>
      <c r="K149" s="38">
        <f t="shared" si="10"/>
        <v>2925</v>
      </c>
      <c r="L149" s="39">
        <f t="shared" si="11"/>
        <v>2700</v>
      </c>
      <c r="M149" s="38">
        <f t="shared" si="12"/>
        <v>2587.5</v>
      </c>
      <c r="N149" s="39">
        <f t="shared" si="13"/>
        <v>2475</v>
      </c>
      <c r="O149" s="40"/>
      <c r="P149" s="78"/>
      <c r="Q149" s="35"/>
      <c r="R149" s="35"/>
      <c r="S149" s="35"/>
      <c r="T149" s="35"/>
      <c r="U149" s="35"/>
      <c r="V149" s="35"/>
      <c r="W149" s="35"/>
      <c r="X149" s="35"/>
      <c r="Y149" s="35"/>
      <c r="Z149" s="35"/>
      <c r="AA149" s="35"/>
    </row>
    <row r="150" ht="14.25" hidden="1" customHeight="1">
      <c r="A150" s="49" t="s">
        <v>342</v>
      </c>
      <c r="B150" s="48"/>
      <c r="C150" s="46" t="s">
        <v>345</v>
      </c>
      <c r="D150" s="26" t="s">
        <v>352</v>
      </c>
      <c r="E150" s="42"/>
      <c r="F150" s="71">
        <v>1420.0</v>
      </c>
      <c r="G150" s="27">
        <f t="shared" si="19"/>
        <v>1775</v>
      </c>
      <c r="H150" s="28">
        <v>44593.0</v>
      </c>
      <c r="I150" s="36">
        <f t="shared" si="8"/>
        <v>2662.5</v>
      </c>
      <c r="J150" s="37">
        <f t="shared" si="9"/>
        <v>2307.5</v>
      </c>
      <c r="K150" s="38">
        <f t="shared" si="10"/>
        <v>2307.5</v>
      </c>
      <c r="L150" s="39">
        <f t="shared" si="11"/>
        <v>2130</v>
      </c>
      <c r="M150" s="38">
        <f t="shared" si="12"/>
        <v>2041.25</v>
      </c>
      <c r="N150" s="39">
        <f t="shared" si="13"/>
        <v>1952.5</v>
      </c>
      <c r="O150" s="40"/>
      <c r="P150" s="34"/>
      <c r="Q150" s="35"/>
      <c r="R150" s="35"/>
      <c r="S150" s="35"/>
      <c r="T150" s="35"/>
      <c r="U150" s="35"/>
      <c r="V150" s="35"/>
      <c r="W150" s="35"/>
      <c r="X150" s="35"/>
      <c r="Y150" s="35"/>
      <c r="Z150" s="35"/>
      <c r="AA150" s="35"/>
    </row>
    <row r="151" ht="14.25" hidden="1" customHeight="1">
      <c r="A151" s="49" t="s">
        <v>214</v>
      </c>
      <c r="B151" s="48"/>
      <c r="C151" s="49" t="s">
        <v>353</v>
      </c>
      <c r="D151" s="26" t="s">
        <v>354</v>
      </c>
      <c r="E151" s="42"/>
      <c r="F151" s="71">
        <v>300.0</v>
      </c>
      <c r="G151" s="27">
        <f t="shared" si="19"/>
        <v>375</v>
      </c>
      <c r="H151" s="28">
        <v>44593.0</v>
      </c>
      <c r="I151" s="36">
        <f t="shared" si="8"/>
        <v>562.5</v>
      </c>
      <c r="J151" s="37">
        <f t="shared" si="9"/>
        <v>487.5</v>
      </c>
      <c r="K151" s="38">
        <f t="shared" si="10"/>
        <v>487.5</v>
      </c>
      <c r="L151" s="39">
        <f t="shared" si="11"/>
        <v>450</v>
      </c>
      <c r="M151" s="38">
        <f t="shared" si="12"/>
        <v>431.25</v>
      </c>
      <c r="N151" s="39">
        <f t="shared" si="13"/>
        <v>412.5</v>
      </c>
      <c r="O151" s="40"/>
      <c r="P151" s="78"/>
      <c r="Q151" s="35"/>
      <c r="R151" s="35"/>
      <c r="S151" s="35"/>
      <c r="T151" s="35"/>
      <c r="U151" s="35"/>
      <c r="V151" s="35"/>
      <c r="W151" s="35"/>
      <c r="X151" s="35"/>
      <c r="Y151" s="35"/>
      <c r="Z151" s="35"/>
      <c r="AA151" s="35"/>
    </row>
    <row r="152" ht="14.25" hidden="1" customHeight="1">
      <c r="A152" s="49" t="s">
        <v>214</v>
      </c>
      <c r="B152" s="48"/>
      <c r="C152" s="46" t="s">
        <v>355</v>
      </c>
      <c r="D152" s="41" t="s">
        <v>356</v>
      </c>
      <c r="E152" s="42"/>
      <c r="F152" s="71">
        <v>480.0</v>
      </c>
      <c r="G152" s="27">
        <f t="shared" si="19"/>
        <v>600</v>
      </c>
      <c r="H152" s="28">
        <v>44593.0</v>
      </c>
      <c r="I152" s="36">
        <f t="shared" si="8"/>
        <v>900</v>
      </c>
      <c r="J152" s="37">
        <f t="shared" si="9"/>
        <v>780</v>
      </c>
      <c r="K152" s="38">
        <f t="shared" si="10"/>
        <v>780</v>
      </c>
      <c r="L152" s="39">
        <f t="shared" si="11"/>
        <v>720</v>
      </c>
      <c r="M152" s="38">
        <f t="shared" si="12"/>
        <v>690</v>
      </c>
      <c r="N152" s="39">
        <f t="shared" si="13"/>
        <v>660</v>
      </c>
      <c r="O152" s="40"/>
      <c r="P152" s="34"/>
      <c r="Q152" s="35"/>
      <c r="R152" s="35"/>
      <c r="S152" s="35"/>
      <c r="T152" s="35"/>
      <c r="U152" s="35"/>
      <c r="V152" s="35"/>
      <c r="W152" s="35"/>
      <c r="X152" s="35"/>
      <c r="Y152" s="35"/>
      <c r="Z152" s="35"/>
      <c r="AA152" s="35"/>
    </row>
    <row r="153" ht="14.25" hidden="1" customHeight="1">
      <c r="A153" s="49" t="s">
        <v>214</v>
      </c>
      <c r="B153" s="48"/>
      <c r="C153" s="46" t="s">
        <v>357</v>
      </c>
      <c r="D153" s="26" t="s">
        <v>358</v>
      </c>
      <c r="E153" s="48"/>
      <c r="F153" s="71">
        <v>395.0</v>
      </c>
      <c r="G153" s="27">
        <f t="shared" si="19"/>
        <v>493.75</v>
      </c>
      <c r="H153" s="28">
        <v>44593.0</v>
      </c>
      <c r="I153" s="36">
        <f t="shared" si="8"/>
        <v>740.625</v>
      </c>
      <c r="J153" s="37">
        <f t="shared" si="9"/>
        <v>641.875</v>
      </c>
      <c r="K153" s="38">
        <f t="shared" si="10"/>
        <v>641.875</v>
      </c>
      <c r="L153" s="39">
        <f t="shared" si="11"/>
        <v>592.5</v>
      </c>
      <c r="M153" s="38">
        <f t="shared" si="12"/>
        <v>567.8125</v>
      </c>
      <c r="N153" s="39">
        <f t="shared" si="13"/>
        <v>543.125</v>
      </c>
      <c r="O153" s="40"/>
      <c r="P153" s="78"/>
      <c r="Q153" s="35"/>
      <c r="R153" s="35"/>
      <c r="S153" s="35"/>
      <c r="T153" s="35"/>
      <c r="U153" s="35"/>
      <c r="V153" s="35"/>
      <c r="W153" s="35"/>
      <c r="X153" s="35"/>
      <c r="Y153" s="35"/>
      <c r="Z153" s="35"/>
      <c r="AA153" s="35"/>
    </row>
    <row r="154" ht="14.25" hidden="1" customHeight="1">
      <c r="A154" s="49" t="s">
        <v>214</v>
      </c>
      <c r="B154" s="48"/>
      <c r="C154" s="46" t="s">
        <v>359</v>
      </c>
      <c r="D154" s="26" t="s">
        <v>356</v>
      </c>
      <c r="E154" s="48"/>
      <c r="F154" s="71">
        <v>595.0</v>
      </c>
      <c r="G154" s="27">
        <f t="shared" si="19"/>
        <v>743.75</v>
      </c>
      <c r="H154" s="28">
        <v>44593.0</v>
      </c>
      <c r="I154" s="36">
        <f t="shared" si="8"/>
        <v>1115.625</v>
      </c>
      <c r="J154" s="37">
        <f t="shared" si="9"/>
        <v>966.875</v>
      </c>
      <c r="K154" s="38">
        <f t="shared" si="10"/>
        <v>966.875</v>
      </c>
      <c r="L154" s="39">
        <f t="shared" si="11"/>
        <v>892.5</v>
      </c>
      <c r="M154" s="38">
        <f t="shared" si="12"/>
        <v>855.3125</v>
      </c>
      <c r="N154" s="39">
        <f t="shared" si="13"/>
        <v>818.125</v>
      </c>
      <c r="O154" s="40"/>
      <c r="P154" s="78"/>
      <c r="Q154" s="35"/>
      <c r="R154" s="35"/>
      <c r="S154" s="35"/>
      <c r="T154" s="35"/>
      <c r="U154" s="35"/>
      <c r="V154" s="35"/>
      <c r="W154" s="35"/>
      <c r="X154" s="35"/>
      <c r="Y154" s="35"/>
      <c r="Z154" s="35"/>
      <c r="AA154" s="35"/>
    </row>
    <row r="155" ht="14.25" hidden="1" customHeight="1">
      <c r="A155" s="49" t="s">
        <v>360</v>
      </c>
      <c r="B155" s="48"/>
      <c r="C155" s="46" t="s">
        <v>361</v>
      </c>
      <c r="D155" s="26" t="s">
        <v>362</v>
      </c>
      <c r="E155" s="26"/>
      <c r="F155" s="71">
        <v>225.0</v>
      </c>
      <c r="G155" s="27">
        <f t="shared" si="19"/>
        <v>281.25</v>
      </c>
      <c r="H155" s="28">
        <v>44593.0</v>
      </c>
      <c r="I155" s="36">
        <f t="shared" si="8"/>
        <v>421.875</v>
      </c>
      <c r="J155" s="37">
        <f t="shared" si="9"/>
        <v>365.625</v>
      </c>
      <c r="K155" s="38">
        <f t="shared" si="10"/>
        <v>365.625</v>
      </c>
      <c r="L155" s="39">
        <f t="shared" si="11"/>
        <v>337.5</v>
      </c>
      <c r="M155" s="38">
        <f t="shared" si="12"/>
        <v>323.4375</v>
      </c>
      <c r="N155" s="39">
        <f t="shared" si="13"/>
        <v>309.375</v>
      </c>
      <c r="O155" s="40"/>
      <c r="P155" s="78"/>
      <c r="Q155" s="35"/>
      <c r="R155" s="35"/>
      <c r="S155" s="35"/>
      <c r="T155" s="35"/>
      <c r="U155" s="35"/>
      <c r="V155" s="35"/>
      <c r="W155" s="35"/>
      <c r="X155" s="35"/>
      <c r="Y155" s="35"/>
      <c r="Z155" s="35"/>
      <c r="AA155" s="35"/>
    </row>
    <row r="156" ht="14.25" hidden="1" customHeight="1">
      <c r="A156" s="49" t="s">
        <v>360</v>
      </c>
      <c r="B156" s="48"/>
      <c r="C156" s="46" t="s">
        <v>363</v>
      </c>
      <c r="D156" s="26" t="s">
        <v>364</v>
      </c>
      <c r="E156" s="42"/>
      <c r="F156" s="71">
        <v>290.0</v>
      </c>
      <c r="G156" s="27">
        <f t="shared" si="19"/>
        <v>362.5</v>
      </c>
      <c r="H156" s="28">
        <v>44593.0</v>
      </c>
      <c r="I156" s="36">
        <f t="shared" si="8"/>
        <v>543.75</v>
      </c>
      <c r="J156" s="37">
        <f t="shared" si="9"/>
        <v>471.25</v>
      </c>
      <c r="K156" s="38">
        <f t="shared" si="10"/>
        <v>471.25</v>
      </c>
      <c r="L156" s="39">
        <f t="shared" si="11"/>
        <v>435</v>
      </c>
      <c r="M156" s="38">
        <f t="shared" si="12"/>
        <v>416.875</v>
      </c>
      <c r="N156" s="39">
        <f t="shared" si="13"/>
        <v>398.75</v>
      </c>
      <c r="O156" s="40"/>
      <c r="P156" s="34"/>
      <c r="Q156" s="35"/>
      <c r="R156" s="35"/>
      <c r="S156" s="35"/>
      <c r="T156" s="35"/>
      <c r="U156" s="35"/>
      <c r="V156" s="35"/>
      <c r="W156" s="35"/>
      <c r="X156" s="35"/>
      <c r="Y156" s="35"/>
      <c r="Z156" s="35"/>
      <c r="AA156" s="35"/>
    </row>
    <row r="157" ht="14.25" customHeight="1">
      <c r="A157" s="49" t="s">
        <v>365</v>
      </c>
      <c r="B157" s="48"/>
      <c r="C157" s="43" t="s">
        <v>366</v>
      </c>
      <c r="D157" s="26" t="s">
        <v>367</v>
      </c>
      <c r="E157" s="42"/>
      <c r="F157" s="79">
        <v>3.0</v>
      </c>
      <c r="G157" s="27">
        <f t="shared" si="19"/>
        <v>3.75</v>
      </c>
      <c r="H157" s="28">
        <v>44593.0</v>
      </c>
      <c r="I157" s="36">
        <f t="shared" si="8"/>
        <v>5.625</v>
      </c>
      <c r="J157" s="37">
        <f t="shared" si="9"/>
        <v>4.875</v>
      </c>
      <c r="K157" s="38">
        <f t="shared" si="10"/>
        <v>4.875</v>
      </c>
      <c r="L157" s="39">
        <f t="shared" si="11"/>
        <v>4.5</v>
      </c>
      <c r="M157" s="38">
        <f t="shared" si="12"/>
        <v>4.3125</v>
      </c>
      <c r="N157" s="39">
        <f t="shared" si="13"/>
        <v>4.125</v>
      </c>
      <c r="O157" s="40"/>
      <c r="P157" s="34"/>
      <c r="Q157" s="35"/>
      <c r="R157" s="35"/>
      <c r="S157" s="35"/>
      <c r="T157" s="35"/>
      <c r="U157" s="35"/>
      <c r="V157" s="35"/>
      <c r="W157" s="35"/>
      <c r="X157" s="35"/>
      <c r="Y157" s="35"/>
      <c r="Z157" s="35"/>
      <c r="AA157" s="35"/>
    </row>
    <row r="158" ht="14.25" customHeight="1">
      <c r="A158" s="49" t="s">
        <v>365</v>
      </c>
      <c r="B158" s="48"/>
      <c r="C158" s="25" t="s">
        <v>368</v>
      </c>
      <c r="D158" s="26" t="s">
        <v>369</v>
      </c>
      <c r="E158" s="42"/>
      <c r="F158" s="79">
        <v>6.0</v>
      </c>
      <c r="G158" s="27">
        <f t="shared" si="19"/>
        <v>7.5</v>
      </c>
      <c r="H158" s="28">
        <v>44593.0</v>
      </c>
      <c r="I158" s="36">
        <f t="shared" si="8"/>
        <v>11.25</v>
      </c>
      <c r="J158" s="37">
        <f t="shared" si="9"/>
        <v>9.75</v>
      </c>
      <c r="K158" s="38">
        <f t="shared" si="10"/>
        <v>9.75</v>
      </c>
      <c r="L158" s="39">
        <f t="shared" si="11"/>
        <v>9</v>
      </c>
      <c r="M158" s="38">
        <f t="shared" si="12"/>
        <v>8.625</v>
      </c>
      <c r="N158" s="39">
        <f t="shared" si="13"/>
        <v>8.25</v>
      </c>
      <c r="O158" s="40"/>
      <c r="P158" s="34"/>
      <c r="Q158" s="35"/>
      <c r="R158" s="35"/>
      <c r="S158" s="35"/>
      <c r="T158" s="35"/>
      <c r="U158" s="35"/>
      <c r="V158" s="35"/>
      <c r="W158" s="35"/>
      <c r="X158" s="35"/>
      <c r="Y158" s="35"/>
      <c r="Z158" s="35"/>
      <c r="AA158" s="35"/>
    </row>
    <row r="159" ht="14.25" customHeight="1">
      <c r="A159" s="49" t="s">
        <v>365</v>
      </c>
      <c r="B159" s="48"/>
      <c r="C159" s="25" t="s">
        <v>370</v>
      </c>
      <c r="D159" s="26" t="s">
        <v>371</v>
      </c>
      <c r="E159" s="42"/>
      <c r="F159" s="79">
        <v>8.5</v>
      </c>
      <c r="G159" s="27">
        <f t="shared" si="19"/>
        <v>10.625</v>
      </c>
      <c r="H159" s="28">
        <v>44593.0</v>
      </c>
      <c r="I159" s="36">
        <f t="shared" si="8"/>
        <v>15.9375</v>
      </c>
      <c r="J159" s="37">
        <f t="shared" si="9"/>
        <v>13.8125</v>
      </c>
      <c r="K159" s="38">
        <f t="shared" si="10"/>
        <v>13.8125</v>
      </c>
      <c r="L159" s="39">
        <f t="shared" si="11"/>
        <v>12.75</v>
      </c>
      <c r="M159" s="38">
        <f t="shared" si="12"/>
        <v>12.21875</v>
      </c>
      <c r="N159" s="39">
        <f t="shared" si="13"/>
        <v>11.6875</v>
      </c>
      <c r="O159" s="40"/>
      <c r="P159" s="34"/>
      <c r="Q159" s="35"/>
      <c r="R159" s="35"/>
      <c r="S159" s="35"/>
      <c r="T159" s="35"/>
      <c r="U159" s="35"/>
      <c r="V159" s="35"/>
      <c r="W159" s="35"/>
      <c r="X159" s="35"/>
      <c r="Y159" s="35"/>
      <c r="Z159" s="35"/>
      <c r="AA159" s="35"/>
    </row>
    <row r="160" ht="14.25" customHeight="1">
      <c r="A160" s="49" t="s">
        <v>365</v>
      </c>
      <c r="B160" s="48"/>
      <c r="C160" s="25" t="s">
        <v>372</v>
      </c>
      <c r="D160" s="26" t="s">
        <v>373</v>
      </c>
      <c r="E160" s="42"/>
      <c r="F160" s="79">
        <v>60.0</v>
      </c>
      <c r="G160" s="27">
        <f t="shared" si="19"/>
        <v>75</v>
      </c>
      <c r="H160" s="28">
        <v>44593.0</v>
      </c>
      <c r="I160" s="36">
        <f t="shared" si="8"/>
        <v>112.5</v>
      </c>
      <c r="J160" s="37">
        <f t="shared" si="9"/>
        <v>97.5</v>
      </c>
      <c r="K160" s="38">
        <f t="shared" si="10"/>
        <v>97.5</v>
      </c>
      <c r="L160" s="39">
        <f t="shared" si="11"/>
        <v>90</v>
      </c>
      <c r="M160" s="38">
        <f t="shared" si="12"/>
        <v>86.25</v>
      </c>
      <c r="N160" s="39">
        <f t="shared" si="13"/>
        <v>82.5</v>
      </c>
      <c r="O160" s="40"/>
      <c r="P160" s="34"/>
      <c r="Q160" s="35"/>
      <c r="R160" s="35"/>
      <c r="S160" s="35"/>
      <c r="T160" s="35"/>
      <c r="U160" s="35"/>
      <c r="V160" s="35"/>
      <c r="W160" s="35"/>
      <c r="X160" s="35"/>
      <c r="Y160" s="35"/>
      <c r="Z160" s="35"/>
      <c r="AA160" s="35"/>
    </row>
    <row r="161" ht="14.25" customHeight="1">
      <c r="A161" s="49" t="s">
        <v>365</v>
      </c>
      <c r="B161" s="48"/>
      <c r="C161" s="25" t="s">
        <v>374</v>
      </c>
      <c r="D161" s="26" t="s">
        <v>375</v>
      </c>
      <c r="E161" s="42"/>
      <c r="F161" s="79">
        <v>75.0</v>
      </c>
      <c r="G161" s="27">
        <f t="shared" si="19"/>
        <v>93.75</v>
      </c>
      <c r="H161" s="28">
        <v>44593.0</v>
      </c>
      <c r="I161" s="36">
        <f t="shared" si="8"/>
        <v>140.625</v>
      </c>
      <c r="J161" s="37">
        <f t="shared" si="9"/>
        <v>121.875</v>
      </c>
      <c r="K161" s="38">
        <f t="shared" si="10"/>
        <v>121.875</v>
      </c>
      <c r="L161" s="39">
        <f t="shared" si="11"/>
        <v>112.5</v>
      </c>
      <c r="M161" s="38">
        <f t="shared" si="12"/>
        <v>107.8125</v>
      </c>
      <c r="N161" s="39">
        <f t="shared" si="13"/>
        <v>103.125</v>
      </c>
      <c r="O161" s="40"/>
      <c r="P161" s="34"/>
      <c r="Q161" s="35"/>
      <c r="R161" s="35"/>
      <c r="S161" s="35"/>
      <c r="T161" s="35"/>
      <c r="U161" s="35"/>
      <c r="V161" s="35"/>
      <c r="W161" s="35"/>
      <c r="X161" s="35"/>
      <c r="Y161" s="35"/>
      <c r="Z161" s="35"/>
      <c r="AA161" s="35"/>
    </row>
    <row r="162" ht="14.25" customHeight="1">
      <c r="A162" s="49" t="s">
        <v>365</v>
      </c>
      <c r="B162" s="48"/>
      <c r="C162" s="25" t="s">
        <v>376</v>
      </c>
      <c r="D162" s="41" t="s">
        <v>377</v>
      </c>
      <c r="E162" s="42"/>
      <c r="F162" s="79">
        <v>110.0</v>
      </c>
      <c r="G162" s="27">
        <f t="shared" si="19"/>
        <v>137.5</v>
      </c>
      <c r="H162" s="28">
        <v>44593.0</v>
      </c>
      <c r="I162" s="36">
        <f t="shared" si="8"/>
        <v>206.25</v>
      </c>
      <c r="J162" s="37">
        <f t="shared" si="9"/>
        <v>178.75</v>
      </c>
      <c r="K162" s="38">
        <f t="shared" si="10"/>
        <v>178.75</v>
      </c>
      <c r="L162" s="39">
        <f t="shared" si="11"/>
        <v>165</v>
      </c>
      <c r="M162" s="38">
        <f t="shared" si="12"/>
        <v>158.125</v>
      </c>
      <c r="N162" s="39">
        <f t="shared" si="13"/>
        <v>151.25</v>
      </c>
      <c r="O162" s="40"/>
      <c r="P162" s="34"/>
      <c r="Q162" s="35"/>
      <c r="R162" s="35"/>
      <c r="S162" s="35"/>
      <c r="T162" s="35"/>
      <c r="U162" s="35"/>
      <c r="V162" s="35"/>
      <c r="W162" s="35"/>
      <c r="X162" s="35"/>
      <c r="Y162" s="35"/>
      <c r="Z162" s="35"/>
      <c r="AA162" s="35"/>
    </row>
    <row r="163" ht="14.25" customHeight="1">
      <c r="A163" s="49" t="s">
        <v>365</v>
      </c>
      <c r="B163" s="48"/>
      <c r="C163" s="25" t="s">
        <v>378</v>
      </c>
      <c r="D163" s="26" t="s">
        <v>379</v>
      </c>
      <c r="E163" s="42"/>
      <c r="F163" s="79">
        <v>145.0</v>
      </c>
      <c r="G163" s="27">
        <f t="shared" si="19"/>
        <v>181.25</v>
      </c>
      <c r="H163" s="28">
        <v>44593.0</v>
      </c>
      <c r="I163" s="36">
        <f t="shared" si="8"/>
        <v>271.875</v>
      </c>
      <c r="J163" s="37">
        <f t="shared" si="9"/>
        <v>235.625</v>
      </c>
      <c r="K163" s="38">
        <f t="shared" si="10"/>
        <v>235.625</v>
      </c>
      <c r="L163" s="39">
        <f t="shared" si="11"/>
        <v>217.5</v>
      </c>
      <c r="M163" s="38">
        <f t="shared" si="12"/>
        <v>208.4375</v>
      </c>
      <c r="N163" s="39">
        <f t="shared" si="13"/>
        <v>199.375</v>
      </c>
      <c r="O163" s="40"/>
      <c r="P163" s="78"/>
      <c r="Q163" s="35"/>
      <c r="R163" s="35"/>
      <c r="S163" s="35"/>
      <c r="T163" s="35"/>
      <c r="U163" s="35"/>
      <c r="V163" s="35"/>
      <c r="W163" s="35"/>
      <c r="X163" s="35"/>
      <c r="Y163" s="35"/>
      <c r="Z163" s="35"/>
      <c r="AA163" s="35"/>
    </row>
    <row r="164" ht="14.25" customHeight="1">
      <c r="A164" s="49" t="s">
        <v>365</v>
      </c>
      <c r="B164" s="48"/>
      <c r="C164" s="25" t="s">
        <v>380</v>
      </c>
      <c r="D164" s="41" t="s">
        <v>381</v>
      </c>
      <c r="E164" s="77"/>
      <c r="F164" s="79">
        <v>90.0</v>
      </c>
      <c r="G164" s="27">
        <f t="shared" si="19"/>
        <v>112.5</v>
      </c>
      <c r="H164" s="28">
        <v>44593.0</v>
      </c>
      <c r="I164" s="36">
        <f t="shared" si="8"/>
        <v>168.75</v>
      </c>
      <c r="J164" s="37">
        <f t="shared" si="9"/>
        <v>146.25</v>
      </c>
      <c r="K164" s="38">
        <f t="shared" si="10"/>
        <v>146.25</v>
      </c>
      <c r="L164" s="39">
        <f t="shared" si="11"/>
        <v>135</v>
      </c>
      <c r="M164" s="38">
        <f t="shared" si="12"/>
        <v>129.375</v>
      </c>
      <c r="N164" s="39">
        <f t="shared" si="13"/>
        <v>123.75</v>
      </c>
      <c r="O164" s="40"/>
      <c r="P164" s="78"/>
      <c r="Q164" s="35"/>
      <c r="R164" s="35"/>
      <c r="S164" s="35"/>
      <c r="T164" s="35"/>
      <c r="U164" s="35"/>
      <c r="V164" s="35"/>
      <c r="W164" s="35"/>
      <c r="X164" s="35"/>
      <c r="Y164" s="35"/>
      <c r="Z164" s="35"/>
      <c r="AA164" s="35"/>
    </row>
    <row r="165" ht="14.25" customHeight="1">
      <c r="A165" s="49" t="s">
        <v>365</v>
      </c>
      <c r="B165" s="48"/>
      <c r="C165" s="25" t="s">
        <v>382</v>
      </c>
      <c r="D165" s="26" t="s">
        <v>383</v>
      </c>
      <c r="E165" s="77"/>
      <c r="F165" s="79">
        <v>115.0</v>
      </c>
      <c r="G165" s="27">
        <f t="shared" si="19"/>
        <v>143.75</v>
      </c>
      <c r="H165" s="28">
        <v>44593.0</v>
      </c>
      <c r="I165" s="36">
        <f t="shared" si="8"/>
        <v>215.625</v>
      </c>
      <c r="J165" s="37">
        <f t="shared" si="9"/>
        <v>186.875</v>
      </c>
      <c r="K165" s="38">
        <f t="shared" si="10"/>
        <v>186.875</v>
      </c>
      <c r="L165" s="39">
        <f t="shared" si="11"/>
        <v>172.5</v>
      </c>
      <c r="M165" s="38">
        <f t="shared" si="12"/>
        <v>165.3125</v>
      </c>
      <c r="N165" s="39">
        <f t="shared" si="13"/>
        <v>158.125</v>
      </c>
      <c r="O165" s="40"/>
      <c r="P165" s="78"/>
      <c r="Q165" s="35"/>
      <c r="R165" s="35"/>
      <c r="S165" s="35"/>
      <c r="T165" s="35"/>
      <c r="U165" s="35"/>
      <c r="V165" s="35"/>
      <c r="W165" s="35"/>
      <c r="X165" s="35"/>
      <c r="Y165" s="35"/>
      <c r="Z165" s="35"/>
      <c r="AA165" s="35"/>
    </row>
    <row r="166" ht="14.25" customHeight="1">
      <c r="A166" s="49" t="s">
        <v>365</v>
      </c>
      <c r="B166" s="48"/>
      <c r="C166" s="25" t="s">
        <v>384</v>
      </c>
      <c r="D166" s="41" t="s">
        <v>385</v>
      </c>
      <c r="E166" s="77"/>
      <c r="F166" s="79">
        <v>26.0</v>
      </c>
      <c r="G166" s="27">
        <f t="shared" si="19"/>
        <v>32.5</v>
      </c>
      <c r="H166" s="28">
        <v>44593.0</v>
      </c>
      <c r="I166" s="36">
        <f t="shared" si="8"/>
        <v>48.75</v>
      </c>
      <c r="J166" s="37">
        <f t="shared" si="9"/>
        <v>42.25</v>
      </c>
      <c r="K166" s="38">
        <f t="shared" si="10"/>
        <v>42.25</v>
      </c>
      <c r="L166" s="39">
        <f t="shared" si="11"/>
        <v>39</v>
      </c>
      <c r="M166" s="38">
        <f t="shared" si="12"/>
        <v>37.375</v>
      </c>
      <c r="N166" s="39">
        <f t="shared" si="13"/>
        <v>35.75</v>
      </c>
      <c r="O166" s="40"/>
      <c r="P166" s="78"/>
      <c r="Q166" s="35"/>
      <c r="R166" s="35"/>
      <c r="S166" s="35"/>
      <c r="T166" s="35"/>
      <c r="U166" s="35"/>
      <c r="V166" s="35"/>
      <c r="W166" s="35"/>
      <c r="X166" s="35"/>
      <c r="Y166" s="35"/>
      <c r="Z166" s="35"/>
      <c r="AA166" s="35"/>
    </row>
    <row r="167" ht="14.25" customHeight="1">
      <c r="A167" s="49" t="s">
        <v>365</v>
      </c>
      <c r="B167" s="48"/>
      <c r="C167" s="25" t="s">
        <v>386</v>
      </c>
      <c r="D167" s="41" t="s">
        <v>387</v>
      </c>
      <c r="E167" s="77"/>
      <c r="F167" s="79">
        <v>35.0</v>
      </c>
      <c r="G167" s="27">
        <f t="shared" si="19"/>
        <v>43.75</v>
      </c>
      <c r="H167" s="28">
        <v>44593.0</v>
      </c>
      <c r="I167" s="36">
        <f t="shared" si="8"/>
        <v>65.625</v>
      </c>
      <c r="J167" s="37">
        <f t="shared" si="9"/>
        <v>56.875</v>
      </c>
      <c r="K167" s="38">
        <f t="shared" si="10"/>
        <v>56.875</v>
      </c>
      <c r="L167" s="39">
        <f t="shared" si="11"/>
        <v>52.5</v>
      </c>
      <c r="M167" s="38">
        <f t="shared" si="12"/>
        <v>50.3125</v>
      </c>
      <c r="N167" s="39">
        <f t="shared" si="13"/>
        <v>48.125</v>
      </c>
      <c r="O167" s="40"/>
      <c r="P167" s="78"/>
      <c r="Q167" s="35"/>
      <c r="R167" s="35"/>
      <c r="S167" s="35"/>
      <c r="T167" s="35"/>
      <c r="U167" s="35"/>
      <c r="V167" s="35"/>
      <c r="W167" s="35"/>
      <c r="X167" s="35"/>
      <c r="Y167" s="35"/>
      <c r="Z167" s="35"/>
      <c r="AA167" s="35"/>
    </row>
    <row r="168" ht="14.25" customHeight="1">
      <c r="A168" s="49" t="s">
        <v>365</v>
      </c>
      <c r="B168" s="48"/>
      <c r="C168" s="25" t="s">
        <v>388</v>
      </c>
      <c r="D168" s="41" t="s">
        <v>389</v>
      </c>
      <c r="E168" s="77"/>
      <c r="F168" s="79">
        <v>40.0</v>
      </c>
      <c r="G168" s="27">
        <f t="shared" si="19"/>
        <v>50</v>
      </c>
      <c r="H168" s="28">
        <v>44593.0</v>
      </c>
      <c r="I168" s="36">
        <f t="shared" si="8"/>
        <v>75</v>
      </c>
      <c r="J168" s="37">
        <f t="shared" si="9"/>
        <v>65</v>
      </c>
      <c r="K168" s="38">
        <f t="shared" si="10"/>
        <v>65</v>
      </c>
      <c r="L168" s="39">
        <f t="shared" si="11"/>
        <v>60</v>
      </c>
      <c r="M168" s="38">
        <f t="shared" si="12"/>
        <v>57.5</v>
      </c>
      <c r="N168" s="39">
        <f t="shared" si="13"/>
        <v>55</v>
      </c>
      <c r="O168" s="40"/>
      <c r="P168" s="78"/>
      <c r="Q168" s="35"/>
      <c r="R168" s="35"/>
      <c r="S168" s="35"/>
      <c r="T168" s="35"/>
      <c r="U168" s="35"/>
      <c r="V168" s="35"/>
      <c r="W168" s="35"/>
      <c r="X168" s="35"/>
      <c r="Y168" s="35"/>
      <c r="Z168" s="35"/>
      <c r="AA168" s="35"/>
    </row>
    <row r="169" ht="14.25" customHeight="1">
      <c r="A169" s="49" t="s">
        <v>365</v>
      </c>
      <c r="B169" s="48"/>
      <c r="C169" s="25" t="s">
        <v>390</v>
      </c>
      <c r="D169" s="41" t="s">
        <v>391</v>
      </c>
      <c r="E169" s="77"/>
      <c r="F169" s="79">
        <v>145.0</v>
      </c>
      <c r="G169" s="27">
        <f t="shared" si="19"/>
        <v>181.25</v>
      </c>
      <c r="H169" s="28">
        <v>44593.0</v>
      </c>
      <c r="I169" s="36">
        <f t="shared" si="8"/>
        <v>271.875</v>
      </c>
      <c r="J169" s="37">
        <f t="shared" si="9"/>
        <v>235.625</v>
      </c>
      <c r="K169" s="38">
        <f t="shared" si="10"/>
        <v>235.625</v>
      </c>
      <c r="L169" s="39">
        <f t="shared" si="11"/>
        <v>217.5</v>
      </c>
      <c r="M169" s="38">
        <f t="shared" si="12"/>
        <v>208.4375</v>
      </c>
      <c r="N169" s="39">
        <f t="shared" si="13"/>
        <v>199.375</v>
      </c>
      <c r="O169" s="40"/>
      <c r="P169" s="78"/>
      <c r="Q169" s="35"/>
      <c r="R169" s="35"/>
      <c r="S169" s="35"/>
      <c r="T169" s="35"/>
      <c r="U169" s="35"/>
      <c r="V169" s="35"/>
      <c r="W169" s="35"/>
      <c r="X169" s="35"/>
      <c r="Y169" s="35"/>
      <c r="Z169" s="35"/>
      <c r="AA169" s="35"/>
    </row>
    <row r="170" ht="14.25" customHeight="1">
      <c r="A170" s="49" t="s">
        <v>365</v>
      </c>
      <c r="B170" s="48"/>
      <c r="C170" s="41" t="s">
        <v>392</v>
      </c>
      <c r="D170" s="41" t="s">
        <v>393</v>
      </c>
      <c r="E170" s="77"/>
      <c r="F170" s="71">
        <v>6.0</v>
      </c>
      <c r="G170" s="27">
        <f t="shared" si="19"/>
        <v>7.5</v>
      </c>
      <c r="H170" s="28">
        <v>44593.0</v>
      </c>
      <c r="I170" s="36">
        <f t="shared" si="8"/>
        <v>11.25</v>
      </c>
      <c r="J170" s="37">
        <f t="shared" si="9"/>
        <v>9.75</v>
      </c>
      <c r="K170" s="38">
        <f t="shared" si="10"/>
        <v>9.75</v>
      </c>
      <c r="L170" s="39">
        <f t="shared" si="11"/>
        <v>9</v>
      </c>
      <c r="M170" s="38">
        <f t="shared" si="12"/>
        <v>8.625</v>
      </c>
      <c r="N170" s="39">
        <f t="shared" si="13"/>
        <v>8.25</v>
      </c>
      <c r="O170" s="40"/>
      <c r="P170" s="78"/>
      <c r="Q170" s="35"/>
      <c r="R170" s="35"/>
      <c r="S170" s="35"/>
      <c r="T170" s="35"/>
      <c r="U170" s="35"/>
      <c r="V170" s="35"/>
      <c r="W170" s="35"/>
      <c r="X170" s="35"/>
      <c r="Y170" s="35"/>
      <c r="Z170" s="35"/>
      <c r="AA170" s="35"/>
    </row>
    <row r="171" ht="14.25" customHeight="1">
      <c r="A171" s="49" t="s">
        <v>365</v>
      </c>
      <c r="B171" s="48"/>
      <c r="C171" s="41" t="s">
        <v>394</v>
      </c>
      <c r="D171" s="41" t="s">
        <v>395</v>
      </c>
      <c r="E171" s="77"/>
      <c r="F171" s="71">
        <v>12.0</v>
      </c>
      <c r="G171" s="27">
        <f t="shared" si="19"/>
        <v>15</v>
      </c>
      <c r="H171" s="28">
        <v>44593.0</v>
      </c>
      <c r="I171" s="36">
        <f t="shared" si="8"/>
        <v>22.5</v>
      </c>
      <c r="J171" s="37">
        <f t="shared" si="9"/>
        <v>19.5</v>
      </c>
      <c r="K171" s="38">
        <f t="shared" si="10"/>
        <v>19.5</v>
      </c>
      <c r="L171" s="39">
        <f t="shared" si="11"/>
        <v>18</v>
      </c>
      <c r="M171" s="38">
        <f t="shared" si="12"/>
        <v>17.25</v>
      </c>
      <c r="N171" s="39">
        <f t="shared" si="13"/>
        <v>16.5</v>
      </c>
      <c r="O171" s="40"/>
      <c r="P171" s="78"/>
      <c r="Q171" s="35"/>
      <c r="R171" s="35"/>
      <c r="S171" s="35"/>
      <c r="T171" s="35"/>
      <c r="U171" s="35"/>
      <c r="V171" s="35"/>
      <c r="W171" s="35"/>
      <c r="X171" s="35"/>
      <c r="Y171" s="35"/>
      <c r="Z171" s="35"/>
      <c r="AA171" s="35"/>
    </row>
    <row r="172" ht="14.25" customHeight="1">
      <c r="A172" s="49" t="s">
        <v>365</v>
      </c>
      <c r="B172" s="48"/>
      <c r="C172" s="41" t="s">
        <v>396</v>
      </c>
      <c r="D172" s="41" t="s">
        <v>397</v>
      </c>
      <c r="E172" s="48"/>
      <c r="F172" s="71">
        <v>15.0</v>
      </c>
      <c r="G172" s="27">
        <f t="shared" si="19"/>
        <v>18.75</v>
      </c>
      <c r="H172" s="28">
        <v>44593.0</v>
      </c>
      <c r="I172" s="36">
        <f t="shared" si="8"/>
        <v>28.125</v>
      </c>
      <c r="J172" s="37">
        <f t="shared" si="9"/>
        <v>24.375</v>
      </c>
      <c r="K172" s="38">
        <f t="shared" si="10"/>
        <v>24.375</v>
      </c>
      <c r="L172" s="39">
        <f t="shared" si="11"/>
        <v>22.5</v>
      </c>
      <c r="M172" s="38">
        <f t="shared" si="12"/>
        <v>21.5625</v>
      </c>
      <c r="N172" s="39">
        <f t="shared" si="13"/>
        <v>20.625</v>
      </c>
      <c r="O172" s="40"/>
      <c r="P172" s="78"/>
      <c r="Q172" s="35"/>
      <c r="R172" s="35"/>
      <c r="S172" s="35"/>
      <c r="T172" s="35"/>
      <c r="U172" s="35"/>
      <c r="V172" s="35"/>
      <c r="W172" s="35"/>
      <c r="X172" s="35"/>
      <c r="Y172" s="35"/>
      <c r="Z172" s="35"/>
      <c r="AA172" s="35"/>
    </row>
    <row r="173" ht="14.25" customHeight="1">
      <c r="A173" s="49" t="s">
        <v>365</v>
      </c>
      <c r="B173" s="48"/>
      <c r="C173" s="41" t="s">
        <v>398</v>
      </c>
      <c r="D173" s="41" t="s">
        <v>399</v>
      </c>
      <c r="E173" s="42"/>
      <c r="F173" s="71">
        <v>200.0</v>
      </c>
      <c r="G173" s="27">
        <f t="shared" si="19"/>
        <v>250</v>
      </c>
      <c r="H173" s="28">
        <v>44593.0</v>
      </c>
      <c r="I173" s="36">
        <f t="shared" si="8"/>
        <v>375</v>
      </c>
      <c r="J173" s="37">
        <f t="shared" si="9"/>
        <v>325</v>
      </c>
      <c r="K173" s="38">
        <f t="shared" si="10"/>
        <v>325</v>
      </c>
      <c r="L173" s="39">
        <f t="shared" si="11"/>
        <v>300</v>
      </c>
      <c r="M173" s="38">
        <f t="shared" si="12"/>
        <v>287.5</v>
      </c>
      <c r="N173" s="39">
        <f t="shared" si="13"/>
        <v>275</v>
      </c>
      <c r="O173" s="40"/>
      <c r="P173" s="78"/>
      <c r="Q173" s="35"/>
      <c r="R173" s="35"/>
      <c r="S173" s="35"/>
      <c r="T173" s="35"/>
      <c r="U173" s="35"/>
      <c r="V173" s="35"/>
      <c r="W173" s="35"/>
      <c r="X173" s="35"/>
      <c r="Y173" s="35"/>
      <c r="Z173" s="35"/>
      <c r="AA173" s="35"/>
    </row>
    <row r="174" ht="14.25" customHeight="1">
      <c r="A174" s="22" t="s">
        <v>400</v>
      </c>
      <c r="B174" s="48"/>
      <c r="C174" s="45" t="s">
        <v>401</v>
      </c>
      <c r="D174" s="25" t="s">
        <v>402</v>
      </c>
      <c r="E174" s="26" t="s">
        <v>403</v>
      </c>
      <c r="F174" s="79">
        <v>1190.0</v>
      </c>
      <c r="G174" s="27">
        <f t="shared" si="19"/>
        <v>1487.5</v>
      </c>
      <c r="H174" s="28">
        <v>44593.0</v>
      </c>
      <c r="I174" s="36">
        <f t="shared" si="8"/>
        <v>2231.25</v>
      </c>
      <c r="J174" s="37">
        <f t="shared" si="9"/>
        <v>1933.75</v>
      </c>
      <c r="K174" s="38">
        <f t="shared" si="10"/>
        <v>1933.75</v>
      </c>
      <c r="L174" s="39">
        <f t="shared" si="11"/>
        <v>1785</v>
      </c>
      <c r="M174" s="38">
        <f t="shared" si="12"/>
        <v>1710.625</v>
      </c>
      <c r="N174" s="39">
        <f t="shared" si="13"/>
        <v>1636.25</v>
      </c>
      <c r="O174" s="40"/>
      <c r="P174" s="78"/>
      <c r="Q174" s="35"/>
      <c r="R174" s="35"/>
      <c r="S174" s="35"/>
      <c r="T174" s="35"/>
      <c r="U174" s="35"/>
      <c r="V174" s="35"/>
      <c r="W174" s="35"/>
      <c r="X174" s="35"/>
      <c r="Y174" s="35"/>
      <c r="Z174" s="35"/>
      <c r="AA174" s="35"/>
    </row>
    <row r="175" ht="14.25" customHeight="1">
      <c r="A175" s="22" t="s">
        <v>400</v>
      </c>
      <c r="B175" s="48"/>
      <c r="C175" s="45" t="s">
        <v>404</v>
      </c>
      <c r="D175" s="43" t="s">
        <v>405</v>
      </c>
      <c r="E175" s="77"/>
      <c r="F175" s="79">
        <v>190.0</v>
      </c>
      <c r="G175" s="27">
        <f t="shared" si="19"/>
        <v>237.5</v>
      </c>
      <c r="H175" s="28">
        <v>44593.0</v>
      </c>
      <c r="I175" s="36">
        <f t="shared" si="8"/>
        <v>356.25</v>
      </c>
      <c r="J175" s="37">
        <f t="shared" si="9"/>
        <v>308.75</v>
      </c>
      <c r="K175" s="38">
        <f t="shared" si="10"/>
        <v>308.75</v>
      </c>
      <c r="L175" s="39">
        <f t="shared" si="11"/>
        <v>285</v>
      </c>
      <c r="M175" s="38">
        <f t="shared" si="12"/>
        <v>273.125</v>
      </c>
      <c r="N175" s="39">
        <f t="shared" si="13"/>
        <v>261.25</v>
      </c>
      <c r="O175" s="40"/>
      <c r="P175" s="78"/>
      <c r="Q175" s="35"/>
      <c r="R175" s="35"/>
      <c r="S175" s="35"/>
      <c r="T175" s="35"/>
      <c r="U175" s="35"/>
      <c r="V175" s="35"/>
      <c r="W175" s="35"/>
      <c r="X175" s="35"/>
      <c r="Y175" s="35"/>
      <c r="Z175" s="35"/>
      <c r="AA175" s="35"/>
    </row>
    <row r="176" ht="14.25" customHeight="1">
      <c r="A176" s="22" t="s">
        <v>400</v>
      </c>
      <c r="B176" s="48"/>
      <c r="C176" s="22" t="s">
        <v>406</v>
      </c>
      <c r="D176" s="43" t="s">
        <v>407</v>
      </c>
      <c r="E176" s="77"/>
      <c r="F176" s="79">
        <v>120.0</v>
      </c>
      <c r="G176" s="27">
        <f t="shared" si="19"/>
        <v>150</v>
      </c>
      <c r="H176" s="28">
        <v>44593.0</v>
      </c>
      <c r="I176" s="36">
        <f t="shared" si="8"/>
        <v>225</v>
      </c>
      <c r="J176" s="37">
        <f t="shared" si="9"/>
        <v>195</v>
      </c>
      <c r="K176" s="38">
        <f t="shared" si="10"/>
        <v>195</v>
      </c>
      <c r="L176" s="39">
        <f t="shared" si="11"/>
        <v>180</v>
      </c>
      <c r="M176" s="38">
        <f t="shared" si="12"/>
        <v>172.5</v>
      </c>
      <c r="N176" s="39">
        <f t="shared" si="13"/>
        <v>165</v>
      </c>
      <c r="O176" s="40"/>
      <c r="P176" s="78"/>
      <c r="Q176" s="35"/>
      <c r="R176" s="35"/>
      <c r="S176" s="35"/>
      <c r="T176" s="35"/>
      <c r="U176" s="35"/>
      <c r="V176" s="35"/>
      <c r="W176" s="35"/>
      <c r="X176" s="35"/>
      <c r="Y176" s="35"/>
      <c r="Z176" s="35"/>
      <c r="AA176" s="35"/>
    </row>
    <row r="177" ht="14.25" customHeight="1">
      <c r="A177" s="22" t="s">
        <v>400</v>
      </c>
      <c r="B177" s="48"/>
      <c r="C177" s="22" t="s">
        <v>408</v>
      </c>
      <c r="D177" s="43" t="s">
        <v>409</v>
      </c>
      <c r="E177" s="77"/>
      <c r="F177" s="79"/>
      <c r="G177" s="27">
        <v>120.0</v>
      </c>
      <c r="H177" s="28">
        <v>45149.0</v>
      </c>
      <c r="I177" s="36">
        <f t="shared" si="8"/>
        <v>180</v>
      </c>
      <c r="J177" s="37">
        <f t="shared" si="9"/>
        <v>156</v>
      </c>
      <c r="K177" s="38">
        <f t="shared" si="10"/>
        <v>156</v>
      </c>
      <c r="L177" s="39">
        <f t="shared" si="11"/>
        <v>144</v>
      </c>
      <c r="M177" s="38">
        <f t="shared" si="12"/>
        <v>138</v>
      </c>
      <c r="N177" s="39">
        <f t="shared" si="13"/>
        <v>132</v>
      </c>
      <c r="O177" s="40"/>
      <c r="P177" s="78"/>
      <c r="Q177" s="35"/>
      <c r="R177" s="35"/>
      <c r="S177" s="35"/>
      <c r="T177" s="35"/>
      <c r="U177" s="35"/>
      <c r="V177" s="35"/>
      <c r="W177" s="35"/>
      <c r="X177" s="35"/>
      <c r="Y177" s="35"/>
      <c r="Z177" s="35"/>
      <c r="AA177" s="35"/>
    </row>
    <row r="178" ht="14.25" customHeight="1">
      <c r="A178" s="49" t="s">
        <v>410</v>
      </c>
      <c r="B178" s="48"/>
      <c r="C178" s="80" t="s">
        <v>411</v>
      </c>
      <c r="D178" s="41" t="s">
        <v>412</v>
      </c>
      <c r="E178" s="60" t="s">
        <v>413</v>
      </c>
      <c r="F178" s="79">
        <v>550.0</v>
      </c>
      <c r="G178" s="27">
        <f t="shared" ref="G178:G204" si="20">F178*0.25+F178</f>
        <v>687.5</v>
      </c>
      <c r="H178" s="28">
        <v>44593.0</v>
      </c>
      <c r="I178" s="36">
        <f t="shared" si="8"/>
        <v>1031.25</v>
      </c>
      <c r="J178" s="37">
        <f t="shared" si="9"/>
        <v>893.75</v>
      </c>
      <c r="K178" s="38">
        <f t="shared" si="10"/>
        <v>893.75</v>
      </c>
      <c r="L178" s="39">
        <f t="shared" si="11"/>
        <v>825</v>
      </c>
      <c r="M178" s="38">
        <f t="shared" si="12"/>
        <v>790.625</v>
      </c>
      <c r="N178" s="39">
        <f t="shared" si="13"/>
        <v>756.25</v>
      </c>
      <c r="O178" s="40"/>
      <c r="P178" s="78"/>
      <c r="Q178" s="35"/>
      <c r="R178" s="35"/>
      <c r="S178" s="35"/>
      <c r="T178" s="35"/>
      <c r="U178" s="35"/>
      <c r="V178" s="35"/>
      <c r="W178" s="35"/>
      <c r="X178" s="35"/>
      <c r="Y178" s="35"/>
      <c r="Z178" s="35"/>
      <c r="AA178" s="35"/>
    </row>
    <row r="179" ht="14.25" customHeight="1">
      <c r="A179" s="49" t="s">
        <v>410</v>
      </c>
      <c r="B179" s="48"/>
      <c r="C179" s="81" t="s">
        <v>414</v>
      </c>
      <c r="D179" s="26" t="s">
        <v>412</v>
      </c>
      <c r="E179" s="60" t="s">
        <v>413</v>
      </c>
      <c r="F179" s="79">
        <v>750.0</v>
      </c>
      <c r="G179" s="27">
        <f t="shared" si="20"/>
        <v>937.5</v>
      </c>
      <c r="H179" s="28">
        <v>44593.0</v>
      </c>
      <c r="I179" s="36">
        <f t="shared" si="8"/>
        <v>1406.25</v>
      </c>
      <c r="J179" s="37">
        <f t="shared" si="9"/>
        <v>1218.75</v>
      </c>
      <c r="K179" s="38">
        <f t="shared" si="10"/>
        <v>1218.75</v>
      </c>
      <c r="L179" s="39">
        <f t="shared" si="11"/>
        <v>1125</v>
      </c>
      <c r="M179" s="38">
        <f t="shared" si="12"/>
        <v>1078.125</v>
      </c>
      <c r="N179" s="39">
        <f t="shared" si="13"/>
        <v>1031.25</v>
      </c>
      <c r="O179" s="40"/>
      <c r="P179" s="78"/>
      <c r="Q179" s="35"/>
      <c r="R179" s="35"/>
      <c r="S179" s="35"/>
      <c r="T179" s="35"/>
      <c r="U179" s="35"/>
      <c r="V179" s="35"/>
      <c r="W179" s="35"/>
      <c r="X179" s="35"/>
      <c r="Y179" s="35"/>
      <c r="Z179" s="35"/>
      <c r="AA179" s="35"/>
    </row>
    <row r="180" ht="14.25" customHeight="1">
      <c r="A180" s="49" t="s">
        <v>410</v>
      </c>
      <c r="B180" s="48"/>
      <c r="C180" s="81" t="s">
        <v>415</v>
      </c>
      <c r="D180" s="26" t="s">
        <v>416</v>
      </c>
      <c r="E180" s="77"/>
      <c r="F180" s="79">
        <v>110.0</v>
      </c>
      <c r="G180" s="27">
        <f t="shared" si="20"/>
        <v>137.5</v>
      </c>
      <c r="H180" s="28">
        <v>44593.0</v>
      </c>
      <c r="I180" s="36">
        <f t="shared" si="8"/>
        <v>206.25</v>
      </c>
      <c r="J180" s="37">
        <f t="shared" si="9"/>
        <v>178.75</v>
      </c>
      <c r="K180" s="38">
        <f t="shared" si="10"/>
        <v>178.75</v>
      </c>
      <c r="L180" s="39">
        <f t="shared" si="11"/>
        <v>165</v>
      </c>
      <c r="M180" s="38">
        <f t="shared" si="12"/>
        <v>158.125</v>
      </c>
      <c r="N180" s="39">
        <f t="shared" si="13"/>
        <v>151.25</v>
      </c>
      <c r="O180" s="40"/>
      <c r="P180" s="78"/>
      <c r="Q180" s="35"/>
      <c r="R180" s="35"/>
      <c r="S180" s="35"/>
      <c r="T180" s="35"/>
      <c r="U180" s="35"/>
      <c r="V180" s="35"/>
      <c r="W180" s="35"/>
      <c r="X180" s="35"/>
      <c r="Y180" s="35"/>
      <c r="Z180" s="35"/>
      <c r="AA180" s="35"/>
    </row>
    <row r="181" ht="14.25" customHeight="1">
      <c r="A181" s="49" t="s">
        <v>410</v>
      </c>
      <c r="B181" s="48"/>
      <c r="C181" s="81" t="s">
        <v>417</v>
      </c>
      <c r="D181" s="26" t="s">
        <v>418</v>
      </c>
      <c r="E181" s="77"/>
      <c r="F181" s="79">
        <v>85.0</v>
      </c>
      <c r="G181" s="27">
        <f t="shared" si="20"/>
        <v>106.25</v>
      </c>
      <c r="H181" s="28">
        <v>44593.0</v>
      </c>
      <c r="I181" s="36">
        <f t="shared" si="8"/>
        <v>159.375</v>
      </c>
      <c r="J181" s="37">
        <f t="shared" si="9"/>
        <v>138.125</v>
      </c>
      <c r="K181" s="38">
        <f t="shared" si="10"/>
        <v>138.125</v>
      </c>
      <c r="L181" s="39">
        <f t="shared" si="11"/>
        <v>127.5</v>
      </c>
      <c r="M181" s="38">
        <f t="shared" si="12"/>
        <v>122.1875</v>
      </c>
      <c r="N181" s="39">
        <f t="shared" si="13"/>
        <v>116.875</v>
      </c>
      <c r="O181" s="40"/>
      <c r="P181" s="78"/>
      <c r="Q181" s="35"/>
      <c r="R181" s="35"/>
      <c r="S181" s="35"/>
      <c r="T181" s="35"/>
      <c r="U181" s="35"/>
      <c r="V181" s="35"/>
      <c r="W181" s="35"/>
      <c r="X181" s="35"/>
      <c r="Y181" s="35"/>
      <c r="Z181" s="35"/>
      <c r="AA181" s="35"/>
    </row>
    <row r="182" ht="14.25" customHeight="1">
      <c r="A182" s="49" t="s">
        <v>410</v>
      </c>
      <c r="B182" s="48"/>
      <c r="C182" s="81" t="s">
        <v>419</v>
      </c>
      <c r="D182" s="26" t="s">
        <v>420</v>
      </c>
      <c r="E182" s="77"/>
      <c r="F182" s="79">
        <v>80.0</v>
      </c>
      <c r="G182" s="27">
        <f t="shared" si="20"/>
        <v>100</v>
      </c>
      <c r="H182" s="28">
        <v>44593.0</v>
      </c>
      <c r="I182" s="36">
        <f t="shared" si="8"/>
        <v>150</v>
      </c>
      <c r="J182" s="37">
        <f t="shared" si="9"/>
        <v>130</v>
      </c>
      <c r="K182" s="38">
        <f t="shared" si="10"/>
        <v>130</v>
      </c>
      <c r="L182" s="39">
        <f t="shared" si="11"/>
        <v>120</v>
      </c>
      <c r="M182" s="38">
        <f t="shared" si="12"/>
        <v>115</v>
      </c>
      <c r="N182" s="39">
        <f t="shared" si="13"/>
        <v>110</v>
      </c>
      <c r="O182" s="40"/>
      <c r="P182" s="78"/>
      <c r="Q182" s="35"/>
      <c r="R182" s="35"/>
      <c r="S182" s="35"/>
      <c r="T182" s="35"/>
      <c r="U182" s="35"/>
      <c r="V182" s="35"/>
      <c r="W182" s="35"/>
      <c r="X182" s="35"/>
      <c r="Y182" s="35"/>
      <c r="Z182" s="35"/>
      <c r="AA182" s="35"/>
    </row>
    <row r="183" ht="14.25" customHeight="1">
      <c r="A183" s="49" t="s">
        <v>410</v>
      </c>
      <c r="B183" s="48"/>
      <c r="C183" s="81" t="s">
        <v>421</v>
      </c>
      <c r="D183" s="26" t="s">
        <v>422</v>
      </c>
      <c r="E183" s="77"/>
      <c r="F183" s="79">
        <v>250.0</v>
      </c>
      <c r="G183" s="27">
        <f t="shared" si="20"/>
        <v>312.5</v>
      </c>
      <c r="H183" s="28">
        <v>44593.0</v>
      </c>
      <c r="I183" s="36">
        <f t="shared" si="8"/>
        <v>468.75</v>
      </c>
      <c r="J183" s="37">
        <f t="shared" si="9"/>
        <v>406.25</v>
      </c>
      <c r="K183" s="38">
        <f t="shared" si="10"/>
        <v>406.25</v>
      </c>
      <c r="L183" s="39">
        <f t="shared" si="11"/>
        <v>375</v>
      </c>
      <c r="M183" s="38">
        <f t="shared" si="12"/>
        <v>359.375</v>
      </c>
      <c r="N183" s="39">
        <f t="shared" si="13"/>
        <v>343.75</v>
      </c>
      <c r="O183" s="40"/>
      <c r="P183" s="78"/>
      <c r="Q183" s="35"/>
      <c r="R183" s="35"/>
      <c r="S183" s="35"/>
      <c r="T183" s="35"/>
      <c r="U183" s="35"/>
      <c r="V183" s="35"/>
      <c r="W183" s="35"/>
      <c r="X183" s="35"/>
      <c r="Y183" s="35"/>
      <c r="Z183" s="35"/>
      <c r="AA183" s="35"/>
    </row>
    <row r="184" ht="14.25" customHeight="1">
      <c r="A184" s="49" t="s">
        <v>410</v>
      </c>
      <c r="B184" s="48"/>
      <c r="C184" s="81" t="s">
        <v>423</v>
      </c>
      <c r="D184" s="26" t="s">
        <v>424</v>
      </c>
      <c r="E184" s="77"/>
      <c r="F184" s="79">
        <v>250.0</v>
      </c>
      <c r="G184" s="27">
        <f t="shared" si="20"/>
        <v>312.5</v>
      </c>
      <c r="H184" s="28">
        <v>44593.0</v>
      </c>
      <c r="I184" s="36">
        <f t="shared" si="8"/>
        <v>468.75</v>
      </c>
      <c r="J184" s="37">
        <f t="shared" si="9"/>
        <v>406.25</v>
      </c>
      <c r="K184" s="38">
        <f t="shared" si="10"/>
        <v>406.25</v>
      </c>
      <c r="L184" s="39">
        <f t="shared" si="11"/>
        <v>375</v>
      </c>
      <c r="M184" s="38">
        <f t="shared" si="12"/>
        <v>359.375</v>
      </c>
      <c r="N184" s="39">
        <f t="shared" si="13"/>
        <v>343.75</v>
      </c>
      <c r="O184" s="40"/>
      <c r="P184" s="78"/>
      <c r="Q184" s="35"/>
      <c r="R184" s="35"/>
      <c r="S184" s="35"/>
      <c r="T184" s="35"/>
      <c r="U184" s="35"/>
      <c r="V184" s="35"/>
      <c r="W184" s="35"/>
      <c r="X184" s="35"/>
      <c r="Y184" s="35"/>
      <c r="Z184" s="35"/>
      <c r="AA184" s="35"/>
    </row>
    <row r="185" ht="14.25" customHeight="1">
      <c r="A185" s="49" t="s">
        <v>410</v>
      </c>
      <c r="B185" s="48"/>
      <c r="C185" s="81" t="s">
        <v>425</v>
      </c>
      <c r="D185" s="26" t="s">
        <v>426</v>
      </c>
      <c r="E185" s="77"/>
      <c r="F185" s="79">
        <v>245.0</v>
      </c>
      <c r="G185" s="27">
        <f t="shared" si="20"/>
        <v>306.25</v>
      </c>
      <c r="H185" s="28">
        <v>44593.0</v>
      </c>
      <c r="I185" s="36">
        <f t="shared" si="8"/>
        <v>459.375</v>
      </c>
      <c r="J185" s="37">
        <f t="shared" si="9"/>
        <v>398.125</v>
      </c>
      <c r="K185" s="38">
        <f t="shared" si="10"/>
        <v>398.125</v>
      </c>
      <c r="L185" s="39">
        <f t="shared" si="11"/>
        <v>367.5</v>
      </c>
      <c r="M185" s="38">
        <f t="shared" si="12"/>
        <v>352.1875</v>
      </c>
      <c r="N185" s="39">
        <f t="shared" si="13"/>
        <v>336.875</v>
      </c>
      <c r="O185" s="40"/>
      <c r="P185" s="78"/>
      <c r="Q185" s="35"/>
      <c r="R185" s="35"/>
      <c r="S185" s="35"/>
      <c r="T185" s="35"/>
      <c r="U185" s="35"/>
      <c r="V185" s="35"/>
      <c r="W185" s="35"/>
      <c r="X185" s="35"/>
      <c r="Y185" s="35"/>
      <c r="Z185" s="35"/>
      <c r="AA185" s="35"/>
    </row>
    <row r="186" ht="14.25" customHeight="1">
      <c r="A186" s="49" t="s">
        <v>410</v>
      </c>
      <c r="B186" s="48"/>
      <c r="C186" s="81" t="s">
        <v>427</v>
      </c>
      <c r="D186" s="26" t="s">
        <v>428</v>
      </c>
      <c r="E186" s="77"/>
      <c r="F186" s="79">
        <v>350.0</v>
      </c>
      <c r="G186" s="27">
        <f t="shared" si="20"/>
        <v>437.5</v>
      </c>
      <c r="H186" s="28">
        <v>44593.0</v>
      </c>
      <c r="I186" s="36">
        <f t="shared" si="8"/>
        <v>656.25</v>
      </c>
      <c r="J186" s="37">
        <f t="shared" si="9"/>
        <v>568.75</v>
      </c>
      <c r="K186" s="38">
        <f t="shared" si="10"/>
        <v>568.75</v>
      </c>
      <c r="L186" s="39">
        <f t="shared" si="11"/>
        <v>525</v>
      </c>
      <c r="M186" s="38">
        <f t="shared" si="12"/>
        <v>503.125</v>
      </c>
      <c r="N186" s="39">
        <f t="shared" si="13"/>
        <v>481.25</v>
      </c>
      <c r="O186" s="40"/>
      <c r="P186" s="78"/>
      <c r="Q186" s="35"/>
      <c r="R186" s="35"/>
      <c r="S186" s="35"/>
      <c r="T186" s="35"/>
      <c r="U186" s="35"/>
      <c r="V186" s="35"/>
      <c r="W186" s="35"/>
      <c r="X186" s="35"/>
      <c r="Y186" s="35"/>
      <c r="Z186" s="35"/>
      <c r="AA186" s="35"/>
    </row>
    <row r="187" ht="14.25" customHeight="1">
      <c r="A187" s="49" t="s">
        <v>410</v>
      </c>
      <c r="B187" s="48"/>
      <c r="C187" s="81" t="s">
        <v>429</v>
      </c>
      <c r="D187" s="26" t="s">
        <v>430</v>
      </c>
      <c r="E187" s="77"/>
      <c r="F187" s="79">
        <v>170.0</v>
      </c>
      <c r="G187" s="27">
        <f t="shared" si="20"/>
        <v>212.5</v>
      </c>
      <c r="H187" s="28">
        <v>44593.0</v>
      </c>
      <c r="I187" s="36">
        <f t="shared" si="8"/>
        <v>318.75</v>
      </c>
      <c r="J187" s="37">
        <f t="shared" si="9"/>
        <v>276.25</v>
      </c>
      <c r="K187" s="38">
        <f t="shared" si="10"/>
        <v>276.25</v>
      </c>
      <c r="L187" s="39">
        <f t="shared" si="11"/>
        <v>255</v>
      </c>
      <c r="M187" s="38">
        <f t="shared" si="12"/>
        <v>244.375</v>
      </c>
      <c r="N187" s="39">
        <f t="shared" si="13"/>
        <v>233.75</v>
      </c>
      <c r="O187" s="40"/>
      <c r="P187" s="78"/>
      <c r="Q187" s="35"/>
      <c r="R187" s="35"/>
      <c r="S187" s="35"/>
      <c r="T187" s="35"/>
      <c r="U187" s="35"/>
      <c r="V187" s="35"/>
      <c r="W187" s="35"/>
      <c r="X187" s="35"/>
      <c r="Y187" s="35"/>
      <c r="Z187" s="35"/>
      <c r="AA187" s="35"/>
    </row>
    <row r="188" ht="14.25" customHeight="1">
      <c r="A188" s="49" t="s">
        <v>410</v>
      </c>
      <c r="B188" s="48"/>
      <c r="C188" s="81" t="s">
        <v>431</v>
      </c>
      <c r="D188" s="26" t="s">
        <v>432</v>
      </c>
      <c r="E188" s="77"/>
      <c r="F188" s="79">
        <v>330.0</v>
      </c>
      <c r="G188" s="27">
        <f t="shared" si="20"/>
        <v>412.5</v>
      </c>
      <c r="H188" s="28">
        <v>44593.0</v>
      </c>
      <c r="I188" s="36">
        <f t="shared" si="8"/>
        <v>618.75</v>
      </c>
      <c r="J188" s="37">
        <f t="shared" si="9"/>
        <v>536.25</v>
      </c>
      <c r="K188" s="38">
        <f t="shared" si="10"/>
        <v>536.25</v>
      </c>
      <c r="L188" s="39">
        <f t="shared" si="11"/>
        <v>495</v>
      </c>
      <c r="M188" s="38">
        <f t="shared" si="12"/>
        <v>474.375</v>
      </c>
      <c r="N188" s="39">
        <f t="shared" si="13"/>
        <v>453.75</v>
      </c>
      <c r="O188" s="40"/>
      <c r="P188" s="78"/>
      <c r="Q188" s="35"/>
      <c r="R188" s="35"/>
      <c r="S188" s="35"/>
      <c r="T188" s="35"/>
      <c r="U188" s="35"/>
      <c r="V188" s="35"/>
      <c r="W188" s="35"/>
      <c r="X188" s="35"/>
      <c r="Y188" s="35"/>
      <c r="Z188" s="35"/>
      <c r="AA188" s="35"/>
    </row>
    <row r="189" ht="14.25" customHeight="1">
      <c r="A189" s="49" t="s">
        <v>410</v>
      </c>
      <c r="B189" s="48"/>
      <c r="C189" s="81" t="s">
        <v>433</v>
      </c>
      <c r="D189" s="26" t="s">
        <v>434</v>
      </c>
      <c r="E189" s="77"/>
      <c r="F189" s="79">
        <v>600.0</v>
      </c>
      <c r="G189" s="27">
        <f t="shared" si="20"/>
        <v>750</v>
      </c>
      <c r="H189" s="28">
        <v>44593.0</v>
      </c>
      <c r="I189" s="36">
        <f t="shared" si="8"/>
        <v>1125</v>
      </c>
      <c r="J189" s="37">
        <f t="shared" si="9"/>
        <v>975</v>
      </c>
      <c r="K189" s="38">
        <f t="shared" si="10"/>
        <v>975</v>
      </c>
      <c r="L189" s="39">
        <f t="shared" si="11"/>
        <v>900</v>
      </c>
      <c r="M189" s="38">
        <f t="shared" si="12"/>
        <v>862.5</v>
      </c>
      <c r="N189" s="39">
        <f t="shared" si="13"/>
        <v>825</v>
      </c>
      <c r="O189" s="40"/>
      <c r="P189" s="78"/>
      <c r="Q189" s="35"/>
      <c r="R189" s="35"/>
      <c r="S189" s="35"/>
      <c r="T189" s="35"/>
      <c r="U189" s="35"/>
      <c r="V189" s="35"/>
      <c r="W189" s="35"/>
      <c r="X189" s="35"/>
      <c r="Y189" s="35"/>
      <c r="Z189" s="35"/>
      <c r="AA189" s="35"/>
    </row>
    <row r="190" ht="14.25" customHeight="1">
      <c r="A190" s="49" t="s">
        <v>435</v>
      </c>
      <c r="B190" s="48"/>
      <c r="C190" s="26" t="s">
        <v>436</v>
      </c>
      <c r="D190" s="26" t="s">
        <v>437</v>
      </c>
      <c r="E190" s="77"/>
      <c r="F190" s="71">
        <v>150.0</v>
      </c>
      <c r="G190" s="27">
        <f t="shared" si="20"/>
        <v>187.5</v>
      </c>
      <c r="H190" s="28">
        <v>44593.0</v>
      </c>
      <c r="I190" s="36">
        <f t="shared" si="8"/>
        <v>281.25</v>
      </c>
      <c r="J190" s="37">
        <f t="shared" si="9"/>
        <v>243.75</v>
      </c>
      <c r="K190" s="38">
        <f t="shared" si="10"/>
        <v>243.75</v>
      </c>
      <c r="L190" s="39">
        <f t="shared" si="11"/>
        <v>225</v>
      </c>
      <c r="M190" s="38">
        <f t="shared" si="12"/>
        <v>215.625</v>
      </c>
      <c r="N190" s="39">
        <f t="shared" si="13"/>
        <v>206.25</v>
      </c>
      <c r="O190" s="40"/>
      <c r="P190" s="78"/>
      <c r="Q190" s="35"/>
      <c r="R190" s="35"/>
      <c r="S190" s="35"/>
      <c r="T190" s="35"/>
      <c r="U190" s="35"/>
      <c r="V190" s="35"/>
      <c r="W190" s="35"/>
      <c r="X190" s="35"/>
      <c r="Y190" s="35"/>
      <c r="Z190" s="35"/>
      <c r="AA190" s="35"/>
    </row>
    <row r="191" ht="14.25" customHeight="1">
      <c r="A191" s="49" t="s">
        <v>435</v>
      </c>
      <c r="B191" s="48"/>
      <c r="C191" s="26" t="s">
        <v>438</v>
      </c>
      <c r="D191" s="26" t="s">
        <v>439</v>
      </c>
      <c r="E191" s="48"/>
      <c r="F191" s="71">
        <v>180.0</v>
      </c>
      <c r="G191" s="27">
        <f t="shared" si="20"/>
        <v>225</v>
      </c>
      <c r="H191" s="28">
        <v>44593.0</v>
      </c>
      <c r="I191" s="36">
        <f t="shared" si="8"/>
        <v>337.5</v>
      </c>
      <c r="J191" s="37">
        <f t="shared" si="9"/>
        <v>292.5</v>
      </c>
      <c r="K191" s="38">
        <f t="shared" si="10"/>
        <v>292.5</v>
      </c>
      <c r="L191" s="39">
        <f t="shared" si="11"/>
        <v>270</v>
      </c>
      <c r="M191" s="38">
        <f t="shared" si="12"/>
        <v>258.75</v>
      </c>
      <c r="N191" s="39">
        <f t="shared" si="13"/>
        <v>247.5</v>
      </c>
      <c r="O191" s="40"/>
      <c r="P191" s="78"/>
      <c r="Q191" s="35"/>
      <c r="R191" s="35"/>
      <c r="S191" s="35"/>
      <c r="T191" s="35"/>
      <c r="U191" s="35"/>
      <c r="V191" s="35"/>
      <c r="W191" s="35"/>
      <c r="X191" s="35"/>
      <c r="Y191" s="35"/>
      <c r="Z191" s="35"/>
      <c r="AA191" s="35"/>
    </row>
    <row r="192" ht="14.25" customHeight="1">
      <c r="A192" s="49" t="s">
        <v>435</v>
      </c>
      <c r="B192" s="48"/>
      <c r="C192" s="26" t="s">
        <v>440</v>
      </c>
      <c r="D192" s="26" t="s">
        <v>441</v>
      </c>
      <c r="E192" s="77"/>
      <c r="F192" s="71">
        <v>260.0</v>
      </c>
      <c r="G192" s="27">
        <f t="shared" si="20"/>
        <v>325</v>
      </c>
      <c r="H192" s="28">
        <v>44593.0</v>
      </c>
      <c r="I192" s="36">
        <f t="shared" si="8"/>
        <v>487.5</v>
      </c>
      <c r="J192" s="37">
        <f t="shared" si="9"/>
        <v>422.5</v>
      </c>
      <c r="K192" s="38">
        <f t="shared" si="10"/>
        <v>422.5</v>
      </c>
      <c r="L192" s="39">
        <f t="shared" si="11"/>
        <v>390</v>
      </c>
      <c r="M192" s="38">
        <f t="shared" si="12"/>
        <v>373.75</v>
      </c>
      <c r="N192" s="39">
        <f t="shared" si="13"/>
        <v>357.5</v>
      </c>
      <c r="O192" s="40"/>
      <c r="P192" s="78"/>
      <c r="Q192" s="35"/>
      <c r="R192" s="35"/>
      <c r="S192" s="35"/>
      <c r="T192" s="35"/>
      <c r="U192" s="35"/>
      <c r="V192" s="35"/>
      <c r="W192" s="35"/>
      <c r="X192" s="35"/>
      <c r="Y192" s="35"/>
      <c r="Z192" s="35"/>
      <c r="AA192" s="35"/>
    </row>
    <row r="193" ht="14.25" customHeight="1">
      <c r="A193" s="82" t="s">
        <v>442</v>
      </c>
      <c r="B193" s="48"/>
      <c r="C193" s="81" t="s">
        <v>443</v>
      </c>
      <c r="D193" s="43" t="s">
        <v>444</v>
      </c>
      <c r="E193" s="42"/>
      <c r="F193" s="71">
        <v>2600.0</v>
      </c>
      <c r="G193" s="27">
        <f t="shared" si="20"/>
        <v>3250</v>
      </c>
      <c r="H193" s="28">
        <v>44593.0</v>
      </c>
      <c r="I193" s="36">
        <f t="shared" si="8"/>
        <v>4875</v>
      </c>
      <c r="J193" s="37">
        <f t="shared" si="9"/>
        <v>4225</v>
      </c>
      <c r="K193" s="38">
        <f t="shared" si="10"/>
        <v>4225</v>
      </c>
      <c r="L193" s="39">
        <f t="shared" si="11"/>
        <v>3900</v>
      </c>
      <c r="M193" s="38">
        <f t="shared" si="12"/>
        <v>3737.5</v>
      </c>
      <c r="N193" s="39">
        <f t="shared" si="13"/>
        <v>3575</v>
      </c>
      <c r="O193" s="40"/>
      <c r="P193" s="78"/>
      <c r="Q193" s="35"/>
      <c r="R193" s="35"/>
      <c r="S193" s="35"/>
      <c r="T193" s="35"/>
      <c r="U193" s="35"/>
      <c r="V193" s="35"/>
      <c r="W193" s="35"/>
      <c r="X193" s="35"/>
      <c r="Y193" s="35"/>
      <c r="Z193" s="35"/>
      <c r="AA193" s="35"/>
    </row>
    <row r="194" ht="14.25" customHeight="1">
      <c r="A194" s="82" t="s">
        <v>442</v>
      </c>
      <c r="B194" s="48"/>
      <c r="C194" s="81" t="s">
        <v>445</v>
      </c>
      <c r="D194" s="43" t="s">
        <v>446</v>
      </c>
      <c r="E194" s="77"/>
      <c r="F194" s="71">
        <v>7260.0</v>
      </c>
      <c r="G194" s="27">
        <f t="shared" si="20"/>
        <v>9075</v>
      </c>
      <c r="H194" s="28">
        <v>44593.0</v>
      </c>
      <c r="I194" s="36">
        <f t="shared" si="8"/>
        <v>13612.5</v>
      </c>
      <c r="J194" s="37">
        <f t="shared" si="9"/>
        <v>11797.5</v>
      </c>
      <c r="K194" s="38">
        <f t="shared" si="10"/>
        <v>11797.5</v>
      </c>
      <c r="L194" s="39">
        <f t="shared" si="11"/>
        <v>10890</v>
      </c>
      <c r="M194" s="38">
        <f t="shared" si="12"/>
        <v>10436.25</v>
      </c>
      <c r="N194" s="39">
        <f t="shared" si="13"/>
        <v>9982.5</v>
      </c>
      <c r="O194" s="40"/>
      <c r="P194" s="78"/>
      <c r="Q194" s="35"/>
      <c r="R194" s="35"/>
      <c r="S194" s="35"/>
      <c r="T194" s="35"/>
      <c r="U194" s="35"/>
      <c r="V194" s="35"/>
      <c r="W194" s="35"/>
      <c r="X194" s="35"/>
      <c r="Y194" s="35"/>
      <c r="Z194" s="35"/>
      <c r="AA194" s="35"/>
    </row>
    <row r="195" ht="14.25" customHeight="1">
      <c r="A195" s="82" t="s">
        <v>442</v>
      </c>
      <c r="B195" s="48"/>
      <c r="C195" s="49" t="s">
        <v>447</v>
      </c>
      <c r="D195" s="26" t="s">
        <v>448</v>
      </c>
      <c r="E195" s="77"/>
      <c r="F195" s="71">
        <v>5100.0</v>
      </c>
      <c r="G195" s="27">
        <f t="shared" si="20"/>
        <v>6375</v>
      </c>
      <c r="H195" s="28">
        <v>44593.0</v>
      </c>
      <c r="I195" s="36">
        <f t="shared" si="8"/>
        <v>9562.5</v>
      </c>
      <c r="J195" s="37">
        <f t="shared" si="9"/>
        <v>8287.5</v>
      </c>
      <c r="K195" s="38">
        <f t="shared" si="10"/>
        <v>8287.5</v>
      </c>
      <c r="L195" s="39">
        <f t="shared" si="11"/>
        <v>7650</v>
      </c>
      <c r="M195" s="38">
        <f t="shared" si="12"/>
        <v>7331.25</v>
      </c>
      <c r="N195" s="39">
        <f t="shared" si="13"/>
        <v>7012.5</v>
      </c>
      <c r="O195" s="40"/>
      <c r="P195" s="78"/>
      <c r="Q195" s="35"/>
      <c r="R195" s="35"/>
      <c r="S195" s="35"/>
      <c r="T195" s="35"/>
      <c r="U195" s="35"/>
      <c r="V195" s="35"/>
      <c r="W195" s="35"/>
      <c r="X195" s="35"/>
      <c r="Y195" s="35"/>
      <c r="Z195" s="35"/>
      <c r="AA195" s="35"/>
    </row>
    <row r="196" ht="14.25" customHeight="1">
      <c r="A196" s="82" t="s">
        <v>442</v>
      </c>
      <c r="B196" s="48"/>
      <c r="C196" s="81" t="s">
        <v>449</v>
      </c>
      <c r="D196" s="43" t="s">
        <v>450</v>
      </c>
      <c r="E196" s="77"/>
      <c r="F196" s="71">
        <v>6250.0</v>
      </c>
      <c r="G196" s="27">
        <f t="shared" si="20"/>
        <v>7812.5</v>
      </c>
      <c r="H196" s="28">
        <v>44593.0</v>
      </c>
      <c r="I196" s="36">
        <f t="shared" si="8"/>
        <v>11718.75</v>
      </c>
      <c r="J196" s="37">
        <f t="shared" si="9"/>
        <v>10156.25</v>
      </c>
      <c r="K196" s="38">
        <f t="shared" si="10"/>
        <v>10156.25</v>
      </c>
      <c r="L196" s="39">
        <f t="shared" si="11"/>
        <v>9375</v>
      </c>
      <c r="M196" s="38">
        <f t="shared" si="12"/>
        <v>8984.375</v>
      </c>
      <c r="N196" s="39">
        <f t="shared" si="13"/>
        <v>8593.75</v>
      </c>
      <c r="O196" s="40"/>
      <c r="P196" s="78"/>
      <c r="Q196" s="35"/>
      <c r="R196" s="35"/>
      <c r="S196" s="35"/>
      <c r="T196" s="35"/>
      <c r="U196" s="35"/>
      <c r="V196" s="35"/>
      <c r="W196" s="35"/>
      <c r="X196" s="35"/>
      <c r="Y196" s="35"/>
      <c r="Z196" s="35"/>
      <c r="AA196" s="35"/>
    </row>
    <row r="197" ht="14.25" customHeight="1">
      <c r="A197" s="82" t="s">
        <v>442</v>
      </c>
      <c r="B197" s="48"/>
      <c r="C197" s="81" t="s">
        <v>451</v>
      </c>
      <c r="D197" s="43" t="s">
        <v>452</v>
      </c>
      <c r="E197" s="77"/>
      <c r="F197" s="71">
        <v>18000.0</v>
      </c>
      <c r="G197" s="27">
        <f t="shared" si="20"/>
        <v>22500</v>
      </c>
      <c r="H197" s="28">
        <v>44593.0</v>
      </c>
      <c r="I197" s="36">
        <f t="shared" si="8"/>
        <v>33750</v>
      </c>
      <c r="J197" s="37">
        <f t="shared" si="9"/>
        <v>29250</v>
      </c>
      <c r="K197" s="38">
        <f t="shared" si="10"/>
        <v>29250</v>
      </c>
      <c r="L197" s="39">
        <f t="shared" si="11"/>
        <v>27000</v>
      </c>
      <c r="M197" s="38">
        <f t="shared" si="12"/>
        <v>25875</v>
      </c>
      <c r="N197" s="39">
        <f t="shared" si="13"/>
        <v>24750</v>
      </c>
      <c r="O197" s="40"/>
      <c r="P197" s="78"/>
      <c r="Q197" s="35"/>
      <c r="R197" s="35"/>
      <c r="S197" s="35"/>
      <c r="T197" s="35"/>
      <c r="U197" s="35"/>
      <c r="V197" s="35"/>
      <c r="W197" s="35"/>
      <c r="X197" s="35"/>
      <c r="Y197" s="35"/>
      <c r="Z197" s="35"/>
      <c r="AA197" s="35"/>
    </row>
    <row r="198" ht="14.25" customHeight="1">
      <c r="A198" s="82" t="s">
        <v>442</v>
      </c>
      <c r="B198" s="48"/>
      <c r="C198" s="81" t="s">
        <v>453</v>
      </c>
      <c r="D198" s="43" t="s">
        <v>454</v>
      </c>
      <c r="E198" s="48"/>
      <c r="F198" s="71">
        <v>30250.0</v>
      </c>
      <c r="G198" s="27">
        <f t="shared" si="20"/>
        <v>37812.5</v>
      </c>
      <c r="H198" s="28">
        <v>44593.0</v>
      </c>
      <c r="I198" s="36">
        <f t="shared" si="8"/>
        <v>56718.75</v>
      </c>
      <c r="J198" s="37">
        <f t="shared" si="9"/>
        <v>49156.25</v>
      </c>
      <c r="K198" s="38">
        <f t="shared" si="10"/>
        <v>49156.25</v>
      </c>
      <c r="L198" s="39">
        <f t="shared" si="11"/>
        <v>45375</v>
      </c>
      <c r="M198" s="38">
        <f t="shared" si="12"/>
        <v>43484.375</v>
      </c>
      <c r="N198" s="39">
        <f t="shared" si="13"/>
        <v>41593.75</v>
      </c>
      <c r="O198" s="40"/>
      <c r="P198" s="78"/>
      <c r="Q198" s="35"/>
      <c r="R198" s="35"/>
      <c r="S198" s="35"/>
      <c r="T198" s="35"/>
      <c r="U198" s="35"/>
      <c r="V198" s="35"/>
      <c r="W198" s="35"/>
      <c r="X198" s="35"/>
      <c r="Y198" s="35"/>
      <c r="Z198" s="35"/>
      <c r="AA198" s="35"/>
    </row>
    <row r="199" ht="14.25" customHeight="1">
      <c r="A199" s="49" t="s">
        <v>455</v>
      </c>
      <c r="B199" s="48"/>
      <c r="C199" s="43" t="s">
        <v>456</v>
      </c>
      <c r="D199" s="26" t="s">
        <v>457</v>
      </c>
      <c r="E199" s="48"/>
      <c r="F199" s="71">
        <v>200.0</v>
      </c>
      <c r="G199" s="27">
        <f t="shared" si="20"/>
        <v>250</v>
      </c>
      <c r="H199" s="28">
        <v>44593.0</v>
      </c>
      <c r="I199" s="36">
        <f t="shared" si="8"/>
        <v>375</v>
      </c>
      <c r="J199" s="37">
        <f t="shared" si="9"/>
        <v>325</v>
      </c>
      <c r="K199" s="38">
        <f t="shared" si="10"/>
        <v>325</v>
      </c>
      <c r="L199" s="39">
        <f t="shared" si="11"/>
        <v>300</v>
      </c>
      <c r="M199" s="38">
        <f t="shared" si="12"/>
        <v>287.5</v>
      </c>
      <c r="N199" s="39">
        <f t="shared" si="13"/>
        <v>275</v>
      </c>
      <c r="O199" s="40"/>
      <c r="P199" s="78"/>
      <c r="Q199" s="35"/>
      <c r="R199" s="35"/>
      <c r="S199" s="35"/>
      <c r="T199" s="35"/>
      <c r="U199" s="35"/>
      <c r="V199" s="35"/>
      <c r="W199" s="35"/>
      <c r="X199" s="35"/>
      <c r="Y199" s="35"/>
      <c r="Z199" s="35"/>
      <c r="AA199" s="35"/>
    </row>
    <row r="200" ht="14.25" customHeight="1">
      <c r="A200" s="49" t="s">
        <v>458</v>
      </c>
      <c r="B200" s="48"/>
      <c r="C200" s="43" t="s">
        <v>459</v>
      </c>
      <c r="D200" s="26" t="s">
        <v>460</v>
      </c>
      <c r="E200" s="48"/>
      <c r="F200" s="71">
        <v>450.0</v>
      </c>
      <c r="G200" s="27">
        <f t="shared" si="20"/>
        <v>562.5</v>
      </c>
      <c r="H200" s="28">
        <v>44593.0</v>
      </c>
      <c r="I200" s="36">
        <f t="shared" si="8"/>
        <v>843.75</v>
      </c>
      <c r="J200" s="37">
        <f t="shared" si="9"/>
        <v>731.25</v>
      </c>
      <c r="K200" s="38">
        <f t="shared" si="10"/>
        <v>731.25</v>
      </c>
      <c r="L200" s="39">
        <f t="shared" si="11"/>
        <v>675</v>
      </c>
      <c r="M200" s="38">
        <f t="shared" si="12"/>
        <v>646.875</v>
      </c>
      <c r="N200" s="39">
        <f t="shared" si="13"/>
        <v>618.75</v>
      </c>
      <c r="O200" s="40"/>
      <c r="P200" s="78"/>
      <c r="Q200" s="35"/>
      <c r="R200" s="35"/>
      <c r="S200" s="35"/>
      <c r="T200" s="35"/>
      <c r="U200" s="35"/>
      <c r="V200" s="35"/>
      <c r="W200" s="35"/>
      <c r="X200" s="35"/>
      <c r="Y200" s="35"/>
      <c r="Z200" s="35"/>
      <c r="AA200" s="35"/>
    </row>
    <row r="201" ht="14.25" customHeight="1">
      <c r="A201" s="49" t="s">
        <v>458</v>
      </c>
      <c r="B201" s="48"/>
      <c r="C201" s="43" t="s">
        <v>461</v>
      </c>
      <c r="D201" s="26" t="s">
        <v>462</v>
      </c>
      <c r="E201" s="48"/>
      <c r="F201" s="71">
        <v>400.0</v>
      </c>
      <c r="G201" s="27">
        <f t="shared" si="20"/>
        <v>500</v>
      </c>
      <c r="H201" s="28">
        <v>44593.0</v>
      </c>
      <c r="I201" s="36">
        <f t="shared" si="8"/>
        <v>750</v>
      </c>
      <c r="J201" s="37">
        <f t="shared" si="9"/>
        <v>650</v>
      </c>
      <c r="K201" s="38">
        <f t="shared" si="10"/>
        <v>650</v>
      </c>
      <c r="L201" s="39">
        <f t="shared" si="11"/>
        <v>600</v>
      </c>
      <c r="M201" s="38">
        <f t="shared" si="12"/>
        <v>575</v>
      </c>
      <c r="N201" s="39">
        <f t="shared" si="13"/>
        <v>550</v>
      </c>
      <c r="O201" s="40"/>
      <c r="P201" s="78"/>
      <c r="Q201" s="35"/>
      <c r="R201" s="35"/>
      <c r="S201" s="35"/>
      <c r="T201" s="35"/>
      <c r="U201" s="35"/>
      <c r="V201" s="35"/>
      <c r="W201" s="35"/>
      <c r="X201" s="35"/>
      <c r="Y201" s="35"/>
      <c r="Z201" s="35"/>
      <c r="AA201" s="35"/>
    </row>
    <row r="202" ht="14.25" customHeight="1">
      <c r="A202" s="49" t="s">
        <v>458</v>
      </c>
      <c r="B202" s="48"/>
      <c r="C202" s="43" t="s">
        <v>463</v>
      </c>
      <c r="D202" s="26" t="s">
        <v>464</v>
      </c>
      <c r="E202" s="48"/>
      <c r="F202" s="71">
        <v>350.0</v>
      </c>
      <c r="G202" s="27">
        <f t="shared" si="20"/>
        <v>437.5</v>
      </c>
      <c r="H202" s="28">
        <v>44593.0</v>
      </c>
      <c r="I202" s="36">
        <f t="shared" si="8"/>
        <v>656.25</v>
      </c>
      <c r="J202" s="37">
        <f t="shared" si="9"/>
        <v>568.75</v>
      </c>
      <c r="K202" s="38">
        <f t="shared" si="10"/>
        <v>568.75</v>
      </c>
      <c r="L202" s="39">
        <f t="shared" si="11"/>
        <v>525</v>
      </c>
      <c r="M202" s="38">
        <f t="shared" si="12"/>
        <v>503.125</v>
      </c>
      <c r="N202" s="39">
        <f t="shared" si="13"/>
        <v>481.25</v>
      </c>
      <c r="O202" s="40"/>
      <c r="P202" s="78"/>
      <c r="Q202" s="35"/>
      <c r="R202" s="35"/>
      <c r="S202" s="35"/>
      <c r="T202" s="35"/>
      <c r="U202" s="35"/>
      <c r="V202" s="35"/>
      <c r="W202" s="35"/>
      <c r="X202" s="35"/>
      <c r="Y202" s="35"/>
      <c r="Z202" s="35"/>
      <c r="AA202" s="35"/>
    </row>
    <row r="203" ht="14.25" customHeight="1">
      <c r="A203" s="44" t="s">
        <v>465</v>
      </c>
      <c r="B203" s="48"/>
      <c r="C203" s="26" t="s">
        <v>466</v>
      </c>
      <c r="D203" s="49" t="s">
        <v>466</v>
      </c>
      <c r="E203" s="48"/>
      <c r="F203" s="52">
        <v>3960.0</v>
      </c>
      <c r="G203" s="27">
        <f t="shared" si="20"/>
        <v>4950</v>
      </c>
      <c r="H203" s="28">
        <v>44593.0</v>
      </c>
      <c r="I203" s="36">
        <f t="shared" si="8"/>
        <v>7425</v>
      </c>
      <c r="J203" s="37">
        <f t="shared" si="9"/>
        <v>6435</v>
      </c>
      <c r="K203" s="38">
        <f t="shared" si="10"/>
        <v>6435</v>
      </c>
      <c r="L203" s="39">
        <f t="shared" si="11"/>
        <v>5940</v>
      </c>
      <c r="M203" s="38">
        <f t="shared" si="12"/>
        <v>5692.5</v>
      </c>
      <c r="N203" s="39">
        <f t="shared" si="13"/>
        <v>5445</v>
      </c>
      <c r="O203" s="40"/>
      <c r="P203" s="78"/>
      <c r="Q203" s="35"/>
      <c r="R203" s="35"/>
      <c r="S203" s="35"/>
      <c r="T203" s="35"/>
      <c r="U203" s="35"/>
      <c r="V203" s="35"/>
      <c r="W203" s="35"/>
      <c r="X203" s="35"/>
      <c r="Y203" s="35"/>
      <c r="Z203" s="35"/>
      <c r="AA203" s="35"/>
    </row>
    <row r="204" ht="14.25" customHeight="1">
      <c r="A204" s="44" t="s">
        <v>465</v>
      </c>
      <c r="B204" s="48"/>
      <c r="C204" s="26" t="s">
        <v>467</v>
      </c>
      <c r="D204" s="49" t="s">
        <v>467</v>
      </c>
      <c r="E204" s="48"/>
      <c r="F204" s="52">
        <v>1230.0</v>
      </c>
      <c r="G204" s="27">
        <f t="shared" si="20"/>
        <v>1537.5</v>
      </c>
      <c r="H204" s="28">
        <v>44593.0</v>
      </c>
      <c r="I204" s="36">
        <f t="shared" si="8"/>
        <v>2306.25</v>
      </c>
      <c r="J204" s="37">
        <f t="shared" si="9"/>
        <v>1998.75</v>
      </c>
      <c r="K204" s="38">
        <f t="shared" si="10"/>
        <v>1998.75</v>
      </c>
      <c r="L204" s="39">
        <f t="shared" si="11"/>
        <v>1845</v>
      </c>
      <c r="M204" s="38">
        <f t="shared" si="12"/>
        <v>1768.125</v>
      </c>
      <c r="N204" s="39">
        <f t="shared" si="13"/>
        <v>1691.25</v>
      </c>
      <c r="O204" s="40"/>
      <c r="P204" s="78"/>
      <c r="Q204" s="35"/>
      <c r="R204" s="35"/>
      <c r="S204" s="35"/>
      <c r="T204" s="35"/>
      <c r="U204" s="35"/>
      <c r="V204" s="35"/>
      <c r="W204" s="35"/>
      <c r="X204" s="35"/>
      <c r="Y204" s="35"/>
      <c r="Z204" s="35"/>
      <c r="AA204" s="35"/>
    </row>
    <row r="205" ht="33.0" customHeight="1">
      <c r="A205" s="83" t="s">
        <v>304</v>
      </c>
      <c r="B205" s="84" t="s">
        <v>468</v>
      </c>
      <c r="C205" s="85" t="s">
        <v>469</v>
      </c>
      <c r="D205" s="85" t="s">
        <v>470</v>
      </c>
      <c r="E205" s="86" t="s">
        <v>471</v>
      </c>
      <c r="F205" s="87">
        <v>2300.0</v>
      </c>
      <c r="G205" s="87">
        <v>2300.0</v>
      </c>
      <c r="H205" s="88">
        <v>44967.0</v>
      </c>
      <c r="I205" s="36">
        <f t="shared" si="8"/>
        <v>3450</v>
      </c>
      <c r="J205" s="37">
        <f t="shared" si="9"/>
        <v>2990</v>
      </c>
      <c r="K205" s="38">
        <f t="shared" si="10"/>
        <v>2990</v>
      </c>
      <c r="L205" s="39">
        <f t="shared" si="11"/>
        <v>2760</v>
      </c>
      <c r="M205" s="38">
        <f t="shared" si="12"/>
        <v>2645</v>
      </c>
      <c r="N205" s="39">
        <f t="shared" si="13"/>
        <v>2530</v>
      </c>
      <c r="O205" s="40"/>
      <c r="P205" s="76" t="s">
        <v>472</v>
      </c>
      <c r="Q205" s="35" t="s">
        <v>473</v>
      </c>
      <c r="R205" s="35"/>
      <c r="S205" s="35"/>
      <c r="T205" s="35"/>
      <c r="U205" s="35"/>
      <c r="V205" s="35"/>
      <c r="W205" s="35"/>
      <c r="X205" s="35"/>
      <c r="Y205" s="35"/>
      <c r="Z205" s="35"/>
      <c r="AA205" s="35"/>
    </row>
    <row r="206" ht="33.0" customHeight="1">
      <c r="A206" s="83" t="s">
        <v>304</v>
      </c>
      <c r="B206" s="84" t="s">
        <v>468</v>
      </c>
      <c r="C206" s="89" t="s">
        <v>474</v>
      </c>
      <c r="D206" s="90" t="s">
        <v>475</v>
      </c>
      <c r="E206" s="86" t="s">
        <v>476</v>
      </c>
      <c r="F206" s="91">
        <v>5100.0</v>
      </c>
      <c r="G206" s="91">
        <v>5100.0</v>
      </c>
      <c r="H206" s="88">
        <v>44757.0</v>
      </c>
      <c r="I206" s="36">
        <f t="shared" si="8"/>
        <v>7650</v>
      </c>
      <c r="J206" s="37">
        <f t="shared" si="9"/>
        <v>6630</v>
      </c>
      <c r="K206" s="38">
        <f t="shared" si="10"/>
        <v>6630</v>
      </c>
      <c r="L206" s="39">
        <f t="shared" si="11"/>
        <v>6120</v>
      </c>
      <c r="M206" s="38">
        <f t="shared" si="12"/>
        <v>5865</v>
      </c>
      <c r="N206" s="39">
        <f t="shared" si="13"/>
        <v>5610</v>
      </c>
      <c r="O206" s="40"/>
      <c r="P206" s="76" t="s">
        <v>472</v>
      </c>
      <c r="Q206" s="35"/>
      <c r="R206" s="35"/>
      <c r="S206" s="35"/>
      <c r="T206" s="35"/>
      <c r="U206" s="35"/>
      <c r="V206" s="35"/>
      <c r="W206" s="35"/>
      <c r="X206" s="35"/>
      <c r="Y206" s="35"/>
      <c r="Z206" s="35"/>
      <c r="AA206" s="35"/>
    </row>
    <row r="207" ht="33.0" customHeight="1">
      <c r="A207" s="83" t="s">
        <v>304</v>
      </c>
      <c r="B207" s="84" t="s">
        <v>468</v>
      </c>
      <c r="C207" s="85" t="s">
        <v>477</v>
      </c>
      <c r="D207" s="85" t="s">
        <v>478</v>
      </c>
      <c r="E207" s="86" t="s">
        <v>479</v>
      </c>
      <c r="F207" s="87">
        <v>6700.0</v>
      </c>
      <c r="G207" s="87">
        <v>6700.0</v>
      </c>
      <c r="H207" s="88">
        <v>44757.0</v>
      </c>
      <c r="I207" s="36">
        <f t="shared" si="8"/>
        <v>10050</v>
      </c>
      <c r="J207" s="37">
        <f t="shared" si="9"/>
        <v>8710</v>
      </c>
      <c r="K207" s="38">
        <f t="shared" si="10"/>
        <v>8710</v>
      </c>
      <c r="L207" s="39">
        <f t="shared" si="11"/>
        <v>8040</v>
      </c>
      <c r="M207" s="38">
        <f t="shared" si="12"/>
        <v>7705</v>
      </c>
      <c r="N207" s="39">
        <f t="shared" si="13"/>
        <v>7370</v>
      </c>
      <c r="O207" s="40"/>
      <c r="P207" s="76" t="s">
        <v>472</v>
      </c>
      <c r="Q207" s="35"/>
      <c r="R207" s="35"/>
      <c r="S207" s="35"/>
      <c r="T207" s="35"/>
      <c r="U207" s="35"/>
      <c r="V207" s="35"/>
      <c r="W207" s="35"/>
      <c r="X207" s="35"/>
      <c r="Y207" s="35"/>
      <c r="Z207" s="35"/>
      <c r="AA207" s="35"/>
    </row>
    <row r="208" ht="33.0" customHeight="1">
      <c r="A208" s="83" t="s">
        <v>304</v>
      </c>
      <c r="B208" s="84" t="s">
        <v>468</v>
      </c>
      <c r="C208" s="85" t="s">
        <v>480</v>
      </c>
      <c r="D208" s="85" t="s">
        <v>481</v>
      </c>
      <c r="E208" s="86" t="s">
        <v>482</v>
      </c>
      <c r="F208" s="87">
        <v>7800.0</v>
      </c>
      <c r="G208" s="87">
        <v>7800.0</v>
      </c>
      <c r="H208" s="88">
        <v>44757.0</v>
      </c>
      <c r="I208" s="36">
        <f t="shared" si="8"/>
        <v>11700</v>
      </c>
      <c r="J208" s="37">
        <f t="shared" si="9"/>
        <v>10140</v>
      </c>
      <c r="K208" s="38">
        <f t="shared" si="10"/>
        <v>10140</v>
      </c>
      <c r="L208" s="39">
        <f t="shared" si="11"/>
        <v>9360</v>
      </c>
      <c r="M208" s="38">
        <f t="shared" si="12"/>
        <v>8970</v>
      </c>
      <c r="N208" s="39">
        <f t="shared" si="13"/>
        <v>8580</v>
      </c>
      <c r="O208" s="40"/>
      <c r="P208" s="76" t="s">
        <v>472</v>
      </c>
      <c r="Q208" s="35"/>
      <c r="R208" s="35"/>
      <c r="S208" s="35"/>
      <c r="T208" s="35"/>
      <c r="U208" s="35"/>
      <c r="V208" s="35"/>
      <c r="W208" s="35"/>
      <c r="X208" s="35"/>
      <c r="Y208" s="35"/>
      <c r="Z208" s="35"/>
      <c r="AA208" s="35"/>
    </row>
    <row r="209" ht="33.0" customHeight="1">
      <c r="A209" s="83" t="s">
        <v>304</v>
      </c>
      <c r="B209" s="84" t="s">
        <v>468</v>
      </c>
      <c r="C209" s="85" t="s">
        <v>483</v>
      </c>
      <c r="D209" s="85" t="s">
        <v>484</v>
      </c>
      <c r="E209" s="86" t="s">
        <v>471</v>
      </c>
      <c r="F209" s="91">
        <v>2100.0</v>
      </c>
      <c r="G209" s="91">
        <v>2100.0</v>
      </c>
      <c r="H209" s="88">
        <v>44757.0</v>
      </c>
      <c r="I209" s="36">
        <f t="shared" si="8"/>
        <v>3150</v>
      </c>
      <c r="J209" s="37">
        <f t="shared" si="9"/>
        <v>2730</v>
      </c>
      <c r="K209" s="38">
        <f t="shared" si="10"/>
        <v>2730</v>
      </c>
      <c r="L209" s="39">
        <f t="shared" si="11"/>
        <v>2520</v>
      </c>
      <c r="M209" s="38">
        <f t="shared" si="12"/>
        <v>2415</v>
      </c>
      <c r="N209" s="39">
        <f t="shared" si="13"/>
        <v>2310</v>
      </c>
      <c r="O209" s="40"/>
      <c r="P209" s="76" t="s">
        <v>472</v>
      </c>
      <c r="Q209" s="35"/>
      <c r="R209" s="35"/>
      <c r="S209" s="35"/>
      <c r="T209" s="35"/>
      <c r="U209" s="35"/>
      <c r="V209" s="35"/>
      <c r="W209" s="35"/>
      <c r="X209" s="35"/>
      <c r="Y209" s="35"/>
      <c r="Z209" s="35"/>
      <c r="AA209" s="35"/>
    </row>
    <row r="210" ht="33.0" customHeight="1">
      <c r="A210" s="83" t="s">
        <v>304</v>
      </c>
      <c r="B210" s="84" t="s">
        <v>468</v>
      </c>
      <c r="C210" s="85" t="s">
        <v>485</v>
      </c>
      <c r="D210" s="85" t="s">
        <v>486</v>
      </c>
      <c r="E210" s="86" t="s">
        <v>487</v>
      </c>
      <c r="F210" s="87">
        <v>3700.0</v>
      </c>
      <c r="G210" s="87">
        <v>3700.0</v>
      </c>
      <c r="H210" s="88">
        <v>44757.0</v>
      </c>
      <c r="I210" s="36">
        <f t="shared" si="8"/>
        <v>5550</v>
      </c>
      <c r="J210" s="37">
        <f t="shared" si="9"/>
        <v>4810</v>
      </c>
      <c r="K210" s="38">
        <f t="shared" si="10"/>
        <v>4810</v>
      </c>
      <c r="L210" s="39">
        <f t="shared" si="11"/>
        <v>4440</v>
      </c>
      <c r="M210" s="38">
        <f t="shared" si="12"/>
        <v>4255</v>
      </c>
      <c r="N210" s="39">
        <f t="shared" si="13"/>
        <v>4070</v>
      </c>
      <c r="O210" s="40"/>
      <c r="P210" s="76" t="s">
        <v>472</v>
      </c>
      <c r="Q210" s="35"/>
      <c r="R210" s="35"/>
      <c r="S210" s="35"/>
      <c r="T210" s="35"/>
      <c r="U210" s="35"/>
      <c r="V210" s="35"/>
      <c r="W210" s="35"/>
      <c r="X210" s="35"/>
      <c r="Y210" s="35"/>
      <c r="Z210" s="35"/>
      <c r="AA210" s="35"/>
    </row>
    <row r="211" ht="33.0" customHeight="1">
      <c r="A211" s="83" t="s">
        <v>304</v>
      </c>
      <c r="B211" s="84" t="s">
        <v>468</v>
      </c>
      <c r="C211" s="85" t="s">
        <v>488</v>
      </c>
      <c r="D211" s="85" t="s">
        <v>489</v>
      </c>
      <c r="E211" s="86" t="s">
        <v>471</v>
      </c>
      <c r="F211" s="87">
        <v>13000.0</v>
      </c>
      <c r="G211" s="87">
        <v>13000.0</v>
      </c>
      <c r="H211" s="88">
        <v>44757.0</v>
      </c>
      <c r="I211" s="36">
        <f t="shared" si="8"/>
        <v>19500</v>
      </c>
      <c r="J211" s="37">
        <f t="shared" si="9"/>
        <v>16900</v>
      </c>
      <c r="K211" s="38">
        <f t="shared" si="10"/>
        <v>16900</v>
      </c>
      <c r="L211" s="39">
        <f t="shared" si="11"/>
        <v>15600</v>
      </c>
      <c r="M211" s="38">
        <f t="shared" si="12"/>
        <v>14950</v>
      </c>
      <c r="N211" s="39">
        <f t="shared" si="13"/>
        <v>14300</v>
      </c>
      <c r="O211" s="40"/>
      <c r="P211" s="76" t="s">
        <v>472</v>
      </c>
      <c r="Q211" s="35"/>
      <c r="R211" s="35"/>
      <c r="S211" s="35"/>
      <c r="T211" s="35"/>
      <c r="U211" s="35"/>
      <c r="V211" s="35"/>
      <c r="W211" s="35"/>
      <c r="X211" s="35"/>
      <c r="Y211" s="35"/>
      <c r="Z211" s="35"/>
      <c r="AA211" s="35"/>
    </row>
    <row r="212" ht="33.0" customHeight="1">
      <c r="A212" s="83" t="s">
        <v>304</v>
      </c>
      <c r="B212" s="84" t="s">
        <v>468</v>
      </c>
      <c r="C212" s="85" t="s">
        <v>490</v>
      </c>
      <c r="D212" s="85" t="s">
        <v>491</v>
      </c>
      <c r="E212" s="86" t="s">
        <v>471</v>
      </c>
      <c r="F212" s="92">
        <v>19500.0</v>
      </c>
      <c r="G212" s="92">
        <v>19500.0</v>
      </c>
      <c r="H212" s="88">
        <v>44757.0</v>
      </c>
      <c r="I212" s="36">
        <f t="shared" si="8"/>
        <v>29250</v>
      </c>
      <c r="J212" s="37">
        <f t="shared" si="9"/>
        <v>25350</v>
      </c>
      <c r="K212" s="38">
        <f t="shared" si="10"/>
        <v>25350</v>
      </c>
      <c r="L212" s="39">
        <f t="shared" si="11"/>
        <v>23400</v>
      </c>
      <c r="M212" s="38">
        <f t="shared" si="12"/>
        <v>22425</v>
      </c>
      <c r="N212" s="39">
        <f t="shared" si="13"/>
        <v>21450</v>
      </c>
      <c r="O212" s="40"/>
      <c r="P212" s="76" t="s">
        <v>472</v>
      </c>
      <c r="Q212" s="35"/>
      <c r="R212" s="35"/>
      <c r="S212" s="35"/>
      <c r="T212" s="35"/>
      <c r="U212" s="35"/>
      <c r="V212" s="35"/>
      <c r="W212" s="35"/>
      <c r="X212" s="35"/>
      <c r="Y212" s="35"/>
      <c r="Z212" s="35"/>
      <c r="AA212" s="35"/>
    </row>
    <row r="213" ht="33.0" customHeight="1">
      <c r="A213" s="83" t="s">
        <v>304</v>
      </c>
      <c r="B213" s="84" t="s">
        <v>468</v>
      </c>
      <c r="C213" s="85" t="s">
        <v>492</v>
      </c>
      <c r="D213" s="85" t="s">
        <v>493</v>
      </c>
      <c r="E213" s="86" t="s">
        <v>471</v>
      </c>
      <c r="F213" s="93">
        <v>24800.0</v>
      </c>
      <c r="G213" s="93">
        <v>24800.0</v>
      </c>
      <c r="H213" s="88">
        <v>44757.0</v>
      </c>
      <c r="I213" s="36">
        <f t="shared" si="8"/>
        <v>37200</v>
      </c>
      <c r="J213" s="37">
        <f t="shared" si="9"/>
        <v>32240</v>
      </c>
      <c r="K213" s="38">
        <f t="shared" si="10"/>
        <v>32240</v>
      </c>
      <c r="L213" s="39">
        <f t="shared" si="11"/>
        <v>29760</v>
      </c>
      <c r="M213" s="38">
        <f t="shared" si="12"/>
        <v>28520</v>
      </c>
      <c r="N213" s="39">
        <f t="shared" si="13"/>
        <v>27280</v>
      </c>
      <c r="O213" s="40"/>
      <c r="P213" s="76" t="s">
        <v>472</v>
      </c>
      <c r="Q213" s="35"/>
      <c r="R213" s="35"/>
      <c r="S213" s="35"/>
      <c r="T213" s="35"/>
      <c r="U213" s="35"/>
      <c r="V213" s="35"/>
      <c r="W213" s="35"/>
      <c r="X213" s="35"/>
      <c r="Y213" s="35"/>
      <c r="Z213" s="35"/>
      <c r="AA213" s="35"/>
    </row>
    <row r="214" ht="33.0" customHeight="1">
      <c r="A214" s="94" t="s">
        <v>494</v>
      </c>
      <c r="B214" s="84" t="s">
        <v>468</v>
      </c>
      <c r="C214" s="94" t="s">
        <v>494</v>
      </c>
      <c r="D214" s="85" t="s">
        <v>495</v>
      </c>
      <c r="E214" s="95"/>
      <c r="F214" s="91">
        <v>9200.0</v>
      </c>
      <c r="G214" s="91">
        <v>9200.0</v>
      </c>
      <c r="H214" s="88">
        <v>44757.0</v>
      </c>
      <c r="I214" s="36">
        <f t="shared" si="8"/>
        <v>13800</v>
      </c>
      <c r="J214" s="37">
        <f t="shared" si="9"/>
        <v>11960</v>
      </c>
      <c r="K214" s="38">
        <f t="shared" si="10"/>
        <v>11960</v>
      </c>
      <c r="L214" s="39">
        <f t="shared" si="11"/>
        <v>11040</v>
      </c>
      <c r="M214" s="38">
        <f t="shared" si="12"/>
        <v>10580</v>
      </c>
      <c r="N214" s="39">
        <f t="shared" si="13"/>
        <v>10120</v>
      </c>
      <c r="O214" s="40"/>
      <c r="P214" s="76" t="s">
        <v>472</v>
      </c>
      <c r="Q214" s="35"/>
      <c r="R214" s="35"/>
      <c r="S214" s="35"/>
      <c r="T214" s="35"/>
      <c r="U214" s="35"/>
      <c r="V214" s="35"/>
      <c r="W214" s="35"/>
      <c r="X214" s="35"/>
      <c r="Y214" s="35"/>
      <c r="Z214" s="35"/>
      <c r="AA214" s="35"/>
    </row>
    <row r="215" ht="33.0" customHeight="1">
      <c r="A215" s="83" t="s">
        <v>304</v>
      </c>
      <c r="B215" s="84" t="s">
        <v>468</v>
      </c>
      <c r="C215" s="96" t="s">
        <v>496</v>
      </c>
      <c r="D215" s="85" t="s">
        <v>497</v>
      </c>
      <c r="E215" s="86" t="s">
        <v>498</v>
      </c>
      <c r="F215" s="91">
        <v>72500.0</v>
      </c>
      <c r="G215" s="91">
        <v>72500.0</v>
      </c>
      <c r="H215" s="88">
        <v>44757.0</v>
      </c>
      <c r="I215" s="36">
        <f t="shared" si="8"/>
        <v>108750</v>
      </c>
      <c r="J215" s="37">
        <f t="shared" si="9"/>
        <v>94250</v>
      </c>
      <c r="K215" s="38">
        <f t="shared" si="10"/>
        <v>94250</v>
      </c>
      <c r="L215" s="39">
        <f t="shared" si="11"/>
        <v>87000</v>
      </c>
      <c r="M215" s="38">
        <f t="shared" si="12"/>
        <v>83375</v>
      </c>
      <c r="N215" s="39">
        <f t="shared" si="13"/>
        <v>79750</v>
      </c>
      <c r="O215" s="40"/>
      <c r="P215" s="76" t="s">
        <v>472</v>
      </c>
      <c r="Q215" s="35"/>
      <c r="R215" s="35"/>
      <c r="S215" s="35"/>
      <c r="T215" s="35"/>
      <c r="U215" s="35"/>
      <c r="V215" s="35"/>
      <c r="W215" s="35"/>
      <c r="X215" s="35"/>
      <c r="Y215" s="35"/>
      <c r="Z215" s="35"/>
      <c r="AA215" s="35"/>
    </row>
    <row r="216" ht="33.0" customHeight="1">
      <c r="A216" s="83" t="s">
        <v>304</v>
      </c>
      <c r="B216" s="84" t="s">
        <v>468</v>
      </c>
      <c r="C216" s="96" t="s">
        <v>499</v>
      </c>
      <c r="D216" s="85" t="s">
        <v>500</v>
      </c>
      <c r="E216" s="86" t="s">
        <v>498</v>
      </c>
      <c r="F216" s="91">
        <v>86500.0</v>
      </c>
      <c r="G216" s="91">
        <v>86500.0</v>
      </c>
      <c r="H216" s="88">
        <v>44757.0</v>
      </c>
      <c r="I216" s="36">
        <f t="shared" si="8"/>
        <v>129750</v>
      </c>
      <c r="J216" s="37">
        <f t="shared" si="9"/>
        <v>112450</v>
      </c>
      <c r="K216" s="38">
        <f t="shared" si="10"/>
        <v>112450</v>
      </c>
      <c r="L216" s="39">
        <f t="shared" si="11"/>
        <v>103800</v>
      </c>
      <c r="M216" s="38">
        <f t="shared" si="12"/>
        <v>99475</v>
      </c>
      <c r="N216" s="39">
        <f t="shared" si="13"/>
        <v>95150</v>
      </c>
      <c r="O216" s="40"/>
      <c r="P216" s="76" t="s">
        <v>472</v>
      </c>
      <c r="Q216" s="35"/>
      <c r="R216" s="35"/>
      <c r="S216" s="35"/>
      <c r="T216" s="35"/>
      <c r="U216" s="35"/>
      <c r="V216" s="35"/>
      <c r="W216" s="35"/>
      <c r="X216" s="35"/>
      <c r="Y216" s="35"/>
      <c r="Z216" s="35"/>
      <c r="AA216" s="35"/>
    </row>
    <row r="217" ht="33.0" customHeight="1">
      <c r="A217" s="83" t="s">
        <v>304</v>
      </c>
      <c r="B217" s="84" t="s">
        <v>468</v>
      </c>
      <c r="C217" s="97" t="s">
        <v>501</v>
      </c>
      <c r="D217" s="85" t="s">
        <v>502</v>
      </c>
      <c r="E217" s="86" t="s">
        <v>503</v>
      </c>
      <c r="F217" s="91">
        <v>21100.0</v>
      </c>
      <c r="G217" s="91">
        <v>21100.0</v>
      </c>
      <c r="H217" s="88">
        <v>44757.0</v>
      </c>
      <c r="I217" s="36">
        <f t="shared" si="8"/>
        <v>31650</v>
      </c>
      <c r="J217" s="37">
        <f t="shared" si="9"/>
        <v>27430</v>
      </c>
      <c r="K217" s="38">
        <f t="shared" si="10"/>
        <v>27430</v>
      </c>
      <c r="L217" s="39">
        <f t="shared" si="11"/>
        <v>25320</v>
      </c>
      <c r="M217" s="38">
        <f t="shared" si="12"/>
        <v>24265</v>
      </c>
      <c r="N217" s="39">
        <f t="shared" si="13"/>
        <v>23210</v>
      </c>
      <c r="O217" s="40"/>
      <c r="P217" s="76" t="s">
        <v>472</v>
      </c>
      <c r="Q217" s="35"/>
      <c r="R217" s="35"/>
      <c r="S217" s="35"/>
      <c r="T217" s="35"/>
      <c r="U217" s="35"/>
      <c r="V217" s="35"/>
      <c r="W217" s="35"/>
      <c r="X217" s="35"/>
      <c r="Y217" s="35"/>
      <c r="Z217" s="35"/>
      <c r="AA217" s="35"/>
    </row>
    <row r="218" ht="33.0" customHeight="1">
      <c r="A218" s="83" t="s">
        <v>304</v>
      </c>
      <c r="B218" s="84" t="s">
        <v>468</v>
      </c>
      <c r="C218" s="97" t="s">
        <v>504</v>
      </c>
      <c r="D218" s="85" t="s">
        <v>505</v>
      </c>
      <c r="E218" s="86" t="s">
        <v>503</v>
      </c>
      <c r="F218" s="91">
        <v>28000.0</v>
      </c>
      <c r="G218" s="91">
        <v>28000.0</v>
      </c>
      <c r="H218" s="88">
        <v>44757.0</v>
      </c>
      <c r="I218" s="36">
        <f t="shared" si="8"/>
        <v>42000</v>
      </c>
      <c r="J218" s="37">
        <f t="shared" si="9"/>
        <v>36400</v>
      </c>
      <c r="K218" s="38">
        <f t="shared" si="10"/>
        <v>36400</v>
      </c>
      <c r="L218" s="39">
        <f t="shared" si="11"/>
        <v>33600</v>
      </c>
      <c r="M218" s="38">
        <f t="shared" si="12"/>
        <v>32200</v>
      </c>
      <c r="N218" s="39">
        <f t="shared" si="13"/>
        <v>30800</v>
      </c>
      <c r="O218" s="40"/>
      <c r="P218" s="76" t="s">
        <v>472</v>
      </c>
      <c r="Q218" s="35"/>
      <c r="R218" s="35"/>
      <c r="S218" s="35"/>
      <c r="T218" s="35"/>
      <c r="U218" s="35"/>
      <c r="V218" s="35"/>
      <c r="W218" s="35"/>
      <c r="X218" s="35"/>
      <c r="Y218" s="35"/>
      <c r="Z218" s="35"/>
      <c r="AA218" s="35"/>
    </row>
    <row r="219" ht="33.0" customHeight="1">
      <c r="A219" s="83" t="s">
        <v>304</v>
      </c>
      <c r="B219" s="84" t="s">
        <v>468</v>
      </c>
      <c r="C219" s="97" t="s">
        <v>506</v>
      </c>
      <c r="D219" s="85" t="s">
        <v>507</v>
      </c>
      <c r="E219" s="86" t="s">
        <v>503</v>
      </c>
      <c r="F219" s="91">
        <v>32500.0</v>
      </c>
      <c r="G219" s="91">
        <v>32500.0</v>
      </c>
      <c r="H219" s="88">
        <v>44757.0</v>
      </c>
      <c r="I219" s="36">
        <f t="shared" si="8"/>
        <v>48750</v>
      </c>
      <c r="J219" s="37">
        <f t="shared" si="9"/>
        <v>42250</v>
      </c>
      <c r="K219" s="38">
        <f t="shared" si="10"/>
        <v>42250</v>
      </c>
      <c r="L219" s="39">
        <f t="shared" si="11"/>
        <v>39000</v>
      </c>
      <c r="M219" s="38">
        <f t="shared" si="12"/>
        <v>37375</v>
      </c>
      <c r="N219" s="39">
        <f t="shared" si="13"/>
        <v>35750</v>
      </c>
      <c r="O219" s="40"/>
      <c r="P219" s="76" t="s">
        <v>472</v>
      </c>
      <c r="Q219" s="35"/>
      <c r="R219" s="35"/>
      <c r="S219" s="35"/>
      <c r="T219" s="35"/>
      <c r="U219" s="35"/>
      <c r="V219" s="35"/>
      <c r="W219" s="35"/>
      <c r="X219" s="35"/>
      <c r="Y219" s="35"/>
      <c r="Z219" s="35"/>
      <c r="AA219" s="35"/>
    </row>
    <row r="220" ht="33.0" customHeight="1">
      <c r="A220" s="83" t="s">
        <v>304</v>
      </c>
      <c r="B220" s="84" t="s">
        <v>468</v>
      </c>
      <c r="C220" s="98" t="s">
        <v>494</v>
      </c>
      <c r="D220" s="85" t="s">
        <v>508</v>
      </c>
      <c r="E220" s="86" t="s">
        <v>503</v>
      </c>
      <c r="F220" s="91">
        <v>9200.0</v>
      </c>
      <c r="G220" s="91">
        <v>9200.0</v>
      </c>
      <c r="H220" s="88">
        <v>44757.0</v>
      </c>
      <c r="I220" s="36">
        <f t="shared" si="8"/>
        <v>13800</v>
      </c>
      <c r="J220" s="37">
        <f t="shared" si="9"/>
        <v>11960</v>
      </c>
      <c r="K220" s="38">
        <f t="shared" si="10"/>
        <v>11960</v>
      </c>
      <c r="L220" s="39">
        <f t="shared" si="11"/>
        <v>11040</v>
      </c>
      <c r="M220" s="38">
        <f t="shared" si="12"/>
        <v>10580</v>
      </c>
      <c r="N220" s="39">
        <f t="shared" si="13"/>
        <v>10120</v>
      </c>
      <c r="O220" s="40"/>
      <c r="P220" s="76" t="s">
        <v>472</v>
      </c>
      <c r="Q220" s="35"/>
      <c r="R220" s="35"/>
      <c r="S220" s="35"/>
      <c r="T220" s="35"/>
      <c r="U220" s="35"/>
      <c r="V220" s="35"/>
      <c r="W220" s="35"/>
      <c r="X220" s="35"/>
      <c r="Y220" s="35"/>
      <c r="Z220" s="35"/>
      <c r="AA220" s="35"/>
    </row>
    <row r="221" ht="33.0" customHeight="1">
      <c r="A221" s="83" t="s">
        <v>304</v>
      </c>
      <c r="B221" s="84" t="s">
        <v>468</v>
      </c>
      <c r="C221" s="98" t="s">
        <v>509</v>
      </c>
      <c r="D221" s="85" t="s">
        <v>510</v>
      </c>
      <c r="E221" s="86" t="s">
        <v>498</v>
      </c>
      <c r="F221" s="91">
        <v>98000.0</v>
      </c>
      <c r="G221" s="91">
        <v>98000.0</v>
      </c>
      <c r="H221" s="88">
        <v>44757.0</v>
      </c>
      <c r="I221" s="36">
        <f t="shared" si="8"/>
        <v>147000</v>
      </c>
      <c r="J221" s="37">
        <f t="shared" si="9"/>
        <v>127400</v>
      </c>
      <c r="K221" s="38">
        <f t="shared" si="10"/>
        <v>127400</v>
      </c>
      <c r="L221" s="39">
        <f t="shared" si="11"/>
        <v>117600</v>
      </c>
      <c r="M221" s="38">
        <f t="shared" si="12"/>
        <v>112700</v>
      </c>
      <c r="N221" s="39">
        <f t="shared" si="13"/>
        <v>107800</v>
      </c>
      <c r="O221" s="40"/>
      <c r="P221" s="76" t="s">
        <v>472</v>
      </c>
      <c r="Q221" s="35"/>
      <c r="R221" s="35"/>
      <c r="S221" s="35"/>
      <c r="T221" s="35"/>
      <c r="U221" s="35"/>
      <c r="V221" s="35"/>
      <c r="W221" s="35"/>
      <c r="X221" s="35"/>
      <c r="Y221" s="35"/>
      <c r="Z221" s="35"/>
      <c r="AA221" s="35"/>
    </row>
    <row r="222" ht="33.0" customHeight="1">
      <c r="A222" s="83" t="s">
        <v>304</v>
      </c>
      <c r="B222" s="84" t="s">
        <v>468</v>
      </c>
      <c r="C222" s="98" t="s">
        <v>511</v>
      </c>
      <c r="D222" s="85" t="s">
        <v>512</v>
      </c>
      <c r="E222" s="86" t="s">
        <v>498</v>
      </c>
      <c r="F222" s="91">
        <v>109000.0</v>
      </c>
      <c r="G222" s="91">
        <v>109000.0</v>
      </c>
      <c r="H222" s="88">
        <v>44757.0</v>
      </c>
      <c r="I222" s="36">
        <f t="shared" si="8"/>
        <v>163500</v>
      </c>
      <c r="J222" s="37">
        <f t="shared" si="9"/>
        <v>141700</v>
      </c>
      <c r="K222" s="38">
        <f t="shared" si="10"/>
        <v>141700</v>
      </c>
      <c r="L222" s="39">
        <f t="shared" si="11"/>
        <v>130800</v>
      </c>
      <c r="M222" s="38">
        <f t="shared" si="12"/>
        <v>125350</v>
      </c>
      <c r="N222" s="39">
        <f t="shared" si="13"/>
        <v>119900</v>
      </c>
      <c r="O222" s="40"/>
      <c r="P222" s="76" t="s">
        <v>472</v>
      </c>
      <c r="Q222" s="35"/>
      <c r="R222" s="35"/>
      <c r="S222" s="35"/>
      <c r="T222" s="35"/>
      <c r="U222" s="35"/>
      <c r="V222" s="35"/>
      <c r="W222" s="35"/>
      <c r="X222" s="35"/>
      <c r="Y222" s="35"/>
      <c r="Z222" s="35"/>
      <c r="AA222" s="35"/>
    </row>
    <row r="223" ht="14.25" customHeight="1">
      <c r="A223" s="83" t="s">
        <v>304</v>
      </c>
      <c r="B223" s="84" t="s">
        <v>468</v>
      </c>
      <c r="C223" s="98" t="s">
        <v>494</v>
      </c>
      <c r="D223" s="85" t="s">
        <v>513</v>
      </c>
      <c r="E223" s="85"/>
      <c r="F223" s="91">
        <v>9200.0</v>
      </c>
      <c r="G223" s="91">
        <v>9200.0</v>
      </c>
      <c r="H223" s="88">
        <v>44757.0</v>
      </c>
      <c r="I223" s="36">
        <f t="shared" si="8"/>
        <v>13800</v>
      </c>
      <c r="J223" s="37">
        <f t="shared" si="9"/>
        <v>11960</v>
      </c>
      <c r="K223" s="38">
        <f t="shared" si="10"/>
        <v>11960</v>
      </c>
      <c r="L223" s="39">
        <f t="shared" si="11"/>
        <v>11040</v>
      </c>
      <c r="M223" s="38">
        <f t="shared" si="12"/>
        <v>10580</v>
      </c>
      <c r="N223" s="39">
        <f t="shared" si="13"/>
        <v>10120</v>
      </c>
      <c r="O223" s="40"/>
      <c r="P223" s="76" t="s">
        <v>472</v>
      </c>
      <c r="Q223" s="35"/>
      <c r="R223" s="35"/>
      <c r="S223" s="35"/>
      <c r="T223" s="35"/>
      <c r="U223" s="35"/>
      <c r="V223" s="35"/>
      <c r="W223" s="35"/>
      <c r="X223" s="35"/>
      <c r="Y223" s="35"/>
      <c r="Z223" s="35"/>
      <c r="AA223" s="35"/>
    </row>
    <row r="224" ht="14.25" customHeight="1">
      <c r="A224" s="83" t="s">
        <v>304</v>
      </c>
      <c r="B224" s="84" t="s">
        <v>514</v>
      </c>
      <c r="C224" s="98" t="s">
        <v>515</v>
      </c>
      <c r="D224" s="85" t="s">
        <v>516</v>
      </c>
      <c r="E224" s="85"/>
      <c r="F224" s="91">
        <v>2350.0</v>
      </c>
      <c r="G224" s="91">
        <v>2350.0</v>
      </c>
      <c r="H224" s="88">
        <v>44682.0</v>
      </c>
      <c r="I224" s="36">
        <f t="shared" si="8"/>
        <v>3525</v>
      </c>
      <c r="J224" s="37">
        <f t="shared" si="9"/>
        <v>3055</v>
      </c>
      <c r="K224" s="38">
        <f t="shared" si="10"/>
        <v>3055</v>
      </c>
      <c r="L224" s="39">
        <f t="shared" si="11"/>
        <v>2820</v>
      </c>
      <c r="M224" s="38">
        <f t="shared" si="12"/>
        <v>2702.5</v>
      </c>
      <c r="N224" s="39"/>
      <c r="O224" s="40"/>
      <c r="P224" s="76" t="s">
        <v>472</v>
      </c>
      <c r="Q224" s="35"/>
      <c r="R224" s="35"/>
      <c r="S224" s="35"/>
      <c r="T224" s="35"/>
      <c r="U224" s="35"/>
      <c r="V224" s="35"/>
      <c r="W224" s="35"/>
      <c r="X224" s="35"/>
      <c r="Y224" s="35"/>
      <c r="Z224" s="35"/>
      <c r="AA224" s="35"/>
    </row>
    <row r="225" ht="14.25" customHeight="1">
      <c r="A225" s="83" t="s">
        <v>304</v>
      </c>
      <c r="B225" s="84" t="s">
        <v>514</v>
      </c>
      <c r="C225" s="98" t="s">
        <v>517</v>
      </c>
      <c r="D225" s="85" t="s">
        <v>518</v>
      </c>
      <c r="E225" s="85"/>
      <c r="F225" s="91">
        <v>3100.0</v>
      </c>
      <c r="G225" s="91">
        <v>3100.0</v>
      </c>
      <c r="H225" s="88">
        <v>44682.0</v>
      </c>
      <c r="I225" s="36">
        <f t="shared" si="8"/>
        <v>4650</v>
      </c>
      <c r="J225" s="37">
        <f t="shared" si="9"/>
        <v>4030</v>
      </c>
      <c r="K225" s="38">
        <f t="shared" si="10"/>
        <v>4030</v>
      </c>
      <c r="L225" s="39">
        <f t="shared" si="11"/>
        <v>3720</v>
      </c>
      <c r="M225" s="38">
        <f t="shared" si="12"/>
        <v>3565</v>
      </c>
      <c r="N225" s="39"/>
      <c r="O225" s="40"/>
      <c r="P225" s="76" t="s">
        <v>472</v>
      </c>
      <c r="Q225" s="35"/>
      <c r="R225" s="35"/>
      <c r="S225" s="35"/>
      <c r="T225" s="35"/>
      <c r="U225" s="35"/>
      <c r="V225" s="35"/>
      <c r="W225" s="35"/>
      <c r="X225" s="35"/>
      <c r="Y225" s="35"/>
      <c r="Z225" s="35"/>
      <c r="AA225" s="35"/>
    </row>
    <row r="226" ht="14.25" customHeight="1">
      <c r="A226" s="83" t="s">
        <v>304</v>
      </c>
      <c r="B226" s="84" t="s">
        <v>514</v>
      </c>
      <c r="C226" s="98" t="s">
        <v>519</v>
      </c>
      <c r="D226" s="85" t="s">
        <v>520</v>
      </c>
      <c r="E226" s="85"/>
      <c r="F226" s="91">
        <v>5400.0</v>
      </c>
      <c r="G226" s="91">
        <v>5400.0</v>
      </c>
      <c r="H226" s="88">
        <v>44682.0</v>
      </c>
      <c r="I226" s="36">
        <f t="shared" si="8"/>
        <v>8100</v>
      </c>
      <c r="J226" s="37">
        <f t="shared" si="9"/>
        <v>7020</v>
      </c>
      <c r="K226" s="38">
        <f t="shared" si="10"/>
        <v>7020</v>
      </c>
      <c r="L226" s="39">
        <f t="shared" si="11"/>
        <v>6480</v>
      </c>
      <c r="M226" s="38">
        <f t="shared" si="12"/>
        <v>6210</v>
      </c>
      <c r="N226" s="39"/>
      <c r="O226" s="40"/>
      <c r="P226" s="76" t="s">
        <v>472</v>
      </c>
      <c r="Q226" s="35"/>
      <c r="R226" s="35"/>
      <c r="S226" s="35"/>
      <c r="T226" s="35"/>
      <c r="U226" s="35"/>
      <c r="V226" s="35"/>
      <c r="W226" s="35"/>
      <c r="X226" s="35"/>
      <c r="Y226" s="35"/>
      <c r="Z226" s="35"/>
      <c r="AA226" s="35"/>
    </row>
    <row r="227" ht="14.25" customHeight="1">
      <c r="A227" s="83" t="s">
        <v>304</v>
      </c>
      <c r="B227" s="84" t="s">
        <v>514</v>
      </c>
      <c r="C227" s="98" t="s">
        <v>521</v>
      </c>
      <c r="D227" s="85" t="s">
        <v>522</v>
      </c>
      <c r="E227" s="85"/>
      <c r="F227" s="91">
        <v>6200.0</v>
      </c>
      <c r="G227" s="91">
        <v>6200.0</v>
      </c>
      <c r="H227" s="88">
        <v>44682.0</v>
      </c>
      <c r="I227" s="36">
        <f t="shared" si="8"/>
        <v>9300</v>
      </c>
      <c r="J227" s="37">
        <f t="shared" si="9"/>
        <v>8060</v>
      </c>
      <c r="K227" s="38">
        <f t="shared" si="10"/>
        <v>8060</v>
      </c>
      <c r="L227" s="39">
        <f t="shared" si="11"/>
        <v>7440</v>
      </c>
      <c r="M227" s="38">
        <f t="shared" si="12"/>
        <v>7130</v>
      </c>
      <c r="N227" s="39"/>
      <c r="O227" s="40"/>
      <c r="P227" s="76" t="s">
        <v>472</v>
      </c>
      <c r="Q227" s="35"/>
      <c r="R227" s="35"/>
      <c r="S227" s="35"/>
      <c r="T227" s="35"/>
      <c r="U227" s="35"/>
      <c r="V227" s="35"/>
      <c r="W227" s="35"/>
      <c r="X227" s="35"/>
      <c r="Y227" s="35"/>
      <c r="Z227" s="35"/>
      <c r="AA227" s="35"/>
    </row>
    <row r="228" ht="14.25" hidden="1" customHeight="1">
      <c r="A228" s="83" t="s">
        <v>523</v>
      </c>
      <c r="B228" s="84"/>
      <c r="C228" s="98" t="s">
        <v>524</v>
      </c>
      <c r="D228" s="85" t="s">
        <v>525</v>
      </c>
      <c r="E228" s="85"/>
      <c r="F228" s="91">
        <v>2250.0</v>
      </c>
      <c r="G228" s="91">
        <v>2250.0</v>
      </c>
      <c r="H228" s="88"/>
      <c r="I228" s="36">
        <f t="shared" si="8"/>
        <v>3375</v>
      </c>
      <c r="J228" s="37">
        <f t="shared" si="9"/>
        <v>2925</v>
      </c>
      <c r="K228" s="38">
        <f t="shared" si="10"/>
        <v>2925</v>
      </c>
      <c r="L228" s="39">
        <f t="shared" si="11"/>
        <v>2700</v>
      </c>
      <c r="M228" s="38">
        <f t="shared" si="12"/>
        <v>2587.5</v>
      </c>
      <c r="N228" s="39">
        <f t="shared" ref="N228:N399" si="21">G228*0.1+G228</f>
        <v>2475</v>
      </c>
      <c r="O228" s="40"/>
      <c r="P228" s="76" t="s">
        <v>526</v>
      </c>
      <c r="Q228" s="35"/>
      <c r="R228" s="35"/>
      <c r="S228" s="35"/>
      <c r="T228" s="35"/>
      <c r="U228" s="35"/>
      <c r="V228" s="35"/>
      <c r="W228" s="35"/>
      <c r="X228" s="35"/>
      <c r="Y228" s="35"/>
      <c r="Z228" s="35"/>
      <c r="AA228" s="35"/>
    </row>
    <row r="229" ht="14.25" hidden="1" customHeight="1">
      <c r="A229" s="83" t="s">
        <v>523</v>
      </c>
      <c r="B229" s="84"/>
      <c r="C229" s="98" t="s">
        <v>527</v>
      </c>
      <c r="D229" s="85" t="s">
        <v>525</v>
      </c>
      <c r="E229" s="85"/>
      <c r="F229" s="91">
        <v>3800.0</v>
      </c>
      <c r="G229" s="91">
        <v>3800.0</v>
      </c>
      <c r="H229" s="88"/>
      <c r="I229" s="36">
        <f t="shared" si="8"/>
        <v>5700</v>
      </c>
      <c r="J229" s="37">
        <f t="shared" si="9"/>
        <v>4940</v>
      </c>
      <c r="K229" s="38">
        <f t="shared" si="10"/>
        <v>4940</v>
      </c>
      <c r="L229" s="39">
        <f t="shared" si="11"/>
        <v>4560</v>
      </c>
      <c r="M229" s="38">
        <f t="shared" si="12"/>
        <v>4370</v>
      </c>
      <c r="N229" s="39">
        <f t="shared" si="21"/>
        <v>4180</v>
      </c>
      <c r="O229" s="40"/>
      <c r="P229" s="76" t="s">
        <v>526</v>
      </c>
      <c r="Q229" s="35"/>
      <c r="R229" s="35"/>
      <c r="S229" s="35"/>
      <c r="T229" s="35"/>
      <c r="U229" s="35"/>
      <c r="V229" s="35"/>
      <c r="W229" s="35"/>
      <c r="X229" s="35"/>
      <c r="Y229" s="35"/>
      <c r="Z229" s="35"/>
      <c r="AA229" s="35"/>
    </row>
    <row r="230" ht="14.25" hidden="1" customHeight="1">
      <c r="A230" s="83" t="s">
        <v>523</v>
      </c>
      <c r="B230" s="84"/>
      <c r="C230" s="98" t="s">
        <v>528</v>
      </c>
      <c r="D230" s="85" t="s">
        <v>525</v>
      </c>
      <c r="E230" s="85"/>
      <c r="F230" s="87">
        <v>5000.0</v>
      </c>
      <c r="G230" s="87">
        <v>5000.0</v>
      </c>
      <c r="H230" s="88"/>
      <c r="I230" s="36">
        <f t="shared" si="8"/>
        <v>7500</v>
      </c>
      <c r="J230" s="37">
        <f t="shared" si="9"/>
        <v>6500</v>
      </c>
      <c r="K230" s="38">
        <f t="shared" si="10"/>
        <v>6500</v>
      </c>
      <c r="L230" s="39">
        <f t="shared" si="11"/>
        <v>6000</v>
      </c>
      <c r="M230" s="38">
        <f t="shared" si="12"/>
        <v>5750</v>
      </c>
      <c r="N230" s="39">
        <f t="shared" si="21"/>
        <v>5500</v>
      </c>
      <c r="O230" s="40"/>
      <c r="P230" s="76" t="s">
        <v>526</v>
      </c>
      <c r="Q230" s="35"/>
      <c r="R230" s="35"/>
      <c r="S230" s="35"/>
      <c r="T230" s="35"/>
      <c r="U230" s="35"/>
      <c r="V230" s="35"/>
      <c r="W230" s="35"/>
      <c r="X230" s="35"/>
      <c r="Y230" s="35"/>
      <c r="Z230" s="35"/>
      <c r="AA230" s="35"/>
    </row>
    <row r="231" ht="14.25" hidden="1" customHeight="1">
      <c r="A231" s="83" t="s">
        <v>523</v>
      </c>
      <c r="B231" s="84"/>
      <c r="C231" s="94" t="s">
        <v>529</v>
      </c>
      <c r="D231" s="85" t="s">
        <v>525</v>
      </c>
      <c r="E231" s="85"/>
      <c r="F231" s="87">
        <v>5850.0</v>
      </c>
      <c r="G231" s="87">
        <v>5850.0</v>
      </c>
      <c r="H231" s="88"/>
      <c r="I231" s="36">
        <f t="shared" si="8"/>
        <v>8775</v>
      </c>
      <c r="J231" s="37">
        <f t="shared" si="9"/>
        <v>7605</v>
      </c>
      <c r="K231" s="38">
        <f t="shared" si="10"/>
        <v>7605</v>
      </c>
      <c r="L231" s="39">
        <f t="shared" si="11"/>
        <v>7020</v>
      </c>
      <c r="M231" s="38">
        <f t="shared" si="12"/>
        <v>6727.5</v>
      </c>
      <c r="N231" s="39">
        <f t="shared" si="21"/>
        <v>6435</v>
      </c>
      <c r="O231" s="40"/>
      <c r="P231" s="76" t="s">
        <v>526</v>
      </c>
      <c r="Q231" s="35"/>
      <c r="R231" s="35"/>
      <c r="S231" s="35"/>
      <c r="T231" s="35"/>
      <c r="U231" s="35"/>
      <c r="V231" s="35"/>
      <c r="W231" s="35"/>
      <c r="X231" s="35"/>
      <c r="Y231" s="35"/>
      <c r="Z231" s="35"/>
      <c r="AA231" s="35"/>
    </row>
    <row r="232" ht="14.25" hidden="1" customHeight="1">
      <c r="A232" s="83" t="s">
        <v>523</v>
      </c>
      <c r="B232" s="84"/>
      <c r="C232" s="94" t="s">
        <v>530</v>
      </c>
      <c r="D232" s="85" t="s">
        <v>525</v>
      </c>
      <c r="E232" s="85"/>
      <c r="F232" s="87">
        <v>7000.0</v>
      </c>
      <c r="G232" s="87">
        <v>7000.0</v>
      </c>
      <c r="H232" s="88"/>
      <c r="I232" s="36">
        <f t="shared" si="8"/>
        <v>10500</v>
      </c>
      <c r="J232" s="37">
        <f t="shared" si="9"/>
        <v>9100</v>
      </c>
      <c r="K232" s="38">
        <f t="shared" si="10"/>
        <v>9100</v>
      </c>
      <c r="L232" s="39">
        <f t="shared" si="11"/>
        <v>8400</v>
      </c>
      <c r="M232" s="38">
        <f t="shared" si="12"/>
        <v>8050</v>
      </c>
      <c r="N232" s="39">
        <f t="shared" si="21"/>
        <v>7700</v>
      </c>
      <c r="O232" s="40"/>
      <c r="P232" s="76" t="s">
        <v>526</v>
      </c>
      <c r="Q232" s="35"/>
      <c r="R232" s="35"/>
      <c r="S232" s="35"/>
      <c r="T232" s="35"/>
      <c r="U232" s="35"/>
      <c r="V232" s="35"/>
      <c r="W232" s="35"/>
      <c r="X232" s="35"/>
      <c r="Y232" s="35"/>
      <c r="Z232" s="35"/>
      <c r="AA232" s="35"/>
    </row>
    <row r="233" ht="14.25" hidden="1" customHeight="1">
      <c r="A233" s="83" t="s">
        <v>523</v>
      </c>
      <c r="B233" s="84"/>
      <c r="C233" s="94" t="s">
        <v>531</v>
      </c>
      <c r="D233" s="85" t="s">
        <v>532</v>
      </c>
      <c r="E233" s="99"/>
      <c r="F233" s="87">
        <v>13500.0</v>
      </c>
      <c r="G233" s="87">
        <v>13500.0</v>
      </c>
      <c r="H233" s="88"/>
      <c r="I233" s="36">
        <f t="shared" si="8"/>
        <v>20250</v>
      </c>
      <c r="J233" s="37">
        <f t="shared" si="9"/>
        <v>17550</v>
      </c>
      <c r="K233" s="38">
        <f t="shared" si="10"/>
        <v>17550</v>
      </c>
      <c r="L233" s="39">
        <f t="shared" si="11"/>
        <v>16200</v>
      </c>
      <c r="M233" s="38">
        <f t="shared" si="12"/>
        <v>15525</v>
      </c>
      <c r="N233" s="39">
        <f t="shared" si="21"/>
        <v>14850</v>
      </c>
      <c r="O233" s="40"/>
      <c r="P233" s="76" t="s">
        <v>526</v>
      </c>
      <c r="Q233" s="35"/>
      <c r="R233" s="35"/>
      <c r="S233" s="35"/>
      <c r="T233" s="35"/>
      <c r="U233" s="35"/>
      <c r="V233" s="35"/>
      <c r="W233" s="35"/>
      <c r="X233" s="35"/>
      <c r="Y233" s="35"/>
      <c r="Z233" s="35"/>
      <c r="AA233" s="35"/>
    </row>
    <row r="234" ht="14.25" hidden="1" customHeight="1">
      <c r="A234" s="83" t="s">
        <v>523</v>
      </c>
      <c r="B234" s="84"/>
      <c r="C234" s="94" t="s">
        <v>533</v>
      </c>
      <c r="D234" s="85" t="s">
        <v>532</v>
      </c>
      <c r="E234" s="85"/>
      <c r="F234" s="87">
        <v>18000.0</v>
      </c>
      <c r="G234" s="87">
        <v>18000.0</v>
      </c>
      <c r="H234" s="88"/>
      <c r="I234" s="36">
        <f t="shared" si="8"/>
        <v>27000</v>
      </c>
      <c r="J234" s="37">
        <f t="shared" si="9"/>
        <v>23400</v>
      </c>
      <c r="K234" s="38">
        <f t="shared" si="10"/>
        <v>23400</v>
      </c>
      <c r="L234" s="39">
        <f t="shared" si="11"/>
        <v>21600</v>
      </c>
      <c r="M234" s="38">
        <f t="shared" si="12"/>
        <v>20700</v>
      </c>
      <c r="N234" s="39">
        <f t="shared" si="21"/>
        <v>19800</v>
      </c>
      <c r="O234" s="40"/>
      <c r="P234" s="76" t="s">
        <v>526</v>
      </c>
      <c r="Q234" s="35"/>
      <c r="R234" s="35"/>
      <c r="S234" s="35"/>
      <c r="T234" s="35"/>
      <c r="U234" s="35"/>
      <c r="V234" s="35"/>
      <c r="W234" s="35"/>
      <c r="X234" s="35"/>
      <c r="Y234" s="35"/>
      <c r="Z234" s="35"/>
      <c r="AA234" s="35"/>
    </row>
    <row r="235" ht="14.25" hidden="1" customHeight="1">
      <c r="A235" s="83" t="s">
        <v>523</v>
      </c>
      <c r="B235" s="84"/>
      <c r="C235" s="100" t="s">
        <v>534</v>
      </c>
      <c r="D235" s="85" t="s">
        <v>532</v>
      </c>
      <c r="E235" s="85"/>
      <c r="F235" s="87">
        <v>27500.0</v>
      </c>
      <c r="G235" s="87">
        <v>27500.0</v>
      </c>
      <c r="H235" s="88"/>
      <c r="I235" s="36">
        <f t="shared" si="8"/>
        <v>41250</v>
      </c>
      <c r="J235" s="37">
        <f t="shared" si="9"/>
        <v>35750</v>
      </c>
      <c r="K235" s="38">
        <f t="shared" si="10"/>
        <v>35750</v>
      </c>
      <c r="L235" s="39">
        <f t="shared" si="11"/>
        <v>33000</v>
      </c>
      <c r="M235" s="38">
        <f t="shared" si="12"/>
        <v>31625</v>
      </c>
      <c r="N235" s="39">
        <f t="shared" si="21"/>
        <v>30250</v>
      </c>
      <c r="O235" s="40"/>
      <c r="P235" s="76" t="s">
        <v>526</v>
      </c>
      <c r="Q235" s="35"/>
      <c r="R235" s="35"/>
      <c r="S235" s="35"/>
      <c r="T235" s="35"/>
      <c r="U235" s="35"/>
      <c r="V235" s="35"/>
      <c r="W235" s="35"/>
      <c r="X235" s="35"/>
      <c r="Y235" s="35"/>
      <c r="Z235" s="35"/>
      <c r="AA235" s="35"/>
    </row>
    <row r="236" ht="14.25" hidden="1" customHeight="1">
      <c r="A236" s="83" t="s">
        <v>523</v>
      </c>
      <c r="B236" s="84"/>
      <c r="C236" s="100" t="s">
        <v>535</v>
      </c>
      <c r="D236" s="85"/>
      <c r="E236" s="85"/>
      <c r="F236" s="87">
        <v>13500.0</v>
      </c>
      <c r="G236" s="87">
        <v>13500.0</v>
      </c>
      <c r="H236" s="88"/>
      <c r="I236" s="36">
        <f t="shared" si="8"/>
        <v>20250</v>
      </c>
      <c r="J236" s="37">
        <f t="shared" si="9"/>
        <v>17550</v>
      </c>
      <c r="K236" s="38">
        <f t="shared" si="10"/>
        <v>17550</v>
      </c>
      <c r="L236" s="39">
        <f t="shared" si="11"/>
        <v>16200</v>
      </c>
      <c r="M236" s="38">
        <f t="shared" si="12"/>
        <v>15525</v>
      </c>
      <c r="N236" s="39">
        <f t="shared" si="21"/>
        <v>14850</v>
      </c>
      <c r="O236" s="40"/>
      <c r="P236" s="76" t="s">
        <v>526</v>
      </c>
      <c r="Q236" s="35"/>
      <c r="R236" s="35"/>
      <c r="S236" s="35"/>
      <c r="T236" s="35"/>
      <c r="U236" s="35"/>
      <c r="V236" s="35"/>
      <c r="W236" s="35"/>
      <c r="X236" s="35"/>
      <c r="Y236" s="35"/>
      <c r="Z236" s="35"/>
      <c r="AA236" s="35"/>
    </row>
    <row r="237" ht="14.25" hidden="1" customHeight="1">
      <c r="A237" s="83" t="s">
        <v>523</v>
      </c>
      <c r="B237" s="84"/>
      <c r="C237" s="100" t="s">
        <v>536</v>
      </c>
      <c r="D237" s="85"/>
      <c r="E237" s="85"/>
      <c r="F237" s="87">
        <v>350.0</v>
      </c>
      <c r="G237" s="27">
        <f>F237*0.25+F237</f>
        <v>437.5</v>
      </c>
      <c r="H237" s="88"/>
      <c r="I237" s="36">
        <f t="shared" si="8"/>
        <v>656.25</v>
      </c>
      <c r="J237" s="37">
        <f t="shared" si="9"/>
        <v>568.75</v>
      </c>
      <c r="K237" s="38">
        <f t="shared" si="10"/>
        <v>568.75</v>
      </c>
      <c r="L237" s="39">
        <f t="shared" si="11"/>
        <v>525</v>
      </c>
      <c r="M237" s="38">
        <f t="shared" si="12"/>
        <v>503.125</v>
      </c>
      <c r="N237" s="39">
        <f t="shared" si="21"/>
        <v>481.25</v>
      </c>
      <c r="O237" s="40"/>
      <c r="P237" s="76" t="s">
        <v>526</v>
      </c>
      <c r="Q237" s="35"/>
      <c r="R237" s="35"/>
      <c r="S237" s="35"/>
      <c r="T237" s="35"/>
      <c r="U237" s="35"/>
      <c r="V237" s="35"/>
      <c r="W237" s="35"/>
      <c r="X237" s="35"/>
      <c r="Y237" s="35"/>
      <c r="Z237" s="35"/>
      <c r="AA237" s="35"/>
    </row>
    <row r="238" ht="14.25" hidden="1" customHeight="1">
      <c r="A238" s="83" t="s">
        <v>523</v>
      </c>
      <c r="B238" s="84"/>
      <c r="C238" s="101" t="s">
        <v>537</v>
      </c>
      <c r="D238" s="48" t="s">
        <v>538</v>
      </c>
      <c r="E238" s="48"/>
      <c r="F238" s="93">
        <v>400.0</v>
      </c>
      <c r="G238" s="27">
        <f>4400*0.1+F238</f>
        <v>840</v>
      </c>
      <c r="H238" s="88"/>
      <c r="I238" s="36">
        <f t="shared" si="8"/>
        <v>1260</v>
      </c>
      <c r="J238" s="37">
        <f t="shared" si="9"/>
        <v>1092</v>
      </c>
      <c r="K238" s="38">
        <f t="shared" si="10"/>
        <v>1092</v>
      </c>
      <c r="L238" s="39">
        <f t="shared" si="11"/>
        <v>1008</v>
      </c>
      <c r="M238" s="38">
        <f t="shared" si="12"/>
        <v>966</v>
      </c>
      <c r="N238" s="39">
        <f t="shared" si="21"/>
        <v>924</v>
      </c>
      <c r="O238" s="40"/>
      <c r="P238" s="76" t="s">
        <v>526</v>
      </c>
      <c r="Q238" s="35"/>
      <c r="R238" s="35"/>
      <c r="S238" s="35"/>
      <c r="T238" s="35"/>
      <c r="U238" s="35"/>
      <c r="V238" s="35"/>
      <c r="W238" s="35"/>
      <c r="X238" s="35"/>
      <c r="Y238" s="35"/>
      <c r="Z238" s="35"/>
      <c r="AA238" s="35"/>
    </row>
    <row r="239" ht="14.25" hidden="1" customHeight="1">
      <c r="A239" s="83" t="s">
        <v>523</v>
      </c>
      <c r="B239" s="84"/>
      <c r="C239" s="101" t="s">
        <v>539</v>
      </c>
      <c r="D239" s="85" t="s">
        <v>540</v>
      </c>
      <c r="E239" s="85"/>
      <c r="F239" s="87">
        <v>450.0</v>
      </c>
      <c r="G239" s="27">
        <f>F239*0.25+F239</f>
        <v>562.5</v>
      </c>
      <c r="H239" s="88"/>
      <c r="I239" s="36">
        <f t="shared" si="8"/>
        <v>843.75</v>
      </c>
      <c r="J239" s="37">
        <f t="shared" si="9"/>
        <v>731.25</v>
      </c>
      <c r="K239" s="38">
        <f t="shared" si="10"/>
        <v>731.25</v>
      </c>
      <c r="L239" s="39">
        <f t="shared" si="11"/>
        <v>675</v>
      </c>
      <c r="M239" s="38">
        <f t="shared" si="12"/>
        <v>646.875</v>
      </c>
      <c r="N239" s="39">
        <f t="shared" si="21"/>
        <v>618.75</v>
      </c>
      <c r="O239" s="40"/>
      <c r="P239" s="76" t="s">
        <v>526</v>
      </c>
      <c r="Q239" s="35"/>
      <c r="R239" s="35"/>
      <c r="S239" s="35"/>
      <c r="T239" s="35"/>
      <c r="U239" s="35"/>
      <c r="V239" s="35"/>
      <c r="W239" s="35"/>
      <c r="X239" s="35"/>
      <c r="Y239" s="35"/>
      <c r="Z239" s="35"/>
      <c r="AA239" s="35"/>
    </row>
    <row r="240" ht="14.25" hidden="1" customHeight="1">
      <c r="A240" s="83" t="s">
        <v>523</v>
      </c>
      <c r="B240" s="84"/>
      <c r="C240" s="101" t="s">
        <v>541</v>
      </c>
      <c r="D240" s="85" t="s">
        <v>542</v>
      </c>
      <c r="E240" s="85"/>
      <c r="F240" s="87">
        <v>450.0</v>
      </c>
      <c r="G240" s="27">
        <f>4400*0.1+F240</f>
        <v>890</v>
      </c>
      <c r="H240" s="88"/>
      <c r="I240" s="36">
        <f t="shared" si="8"/>
        <v>1335</v>
      </c>
      <c r="J240" s="37">
        <f t="shared" si="9"/>
        <v>1157</v>
      </c>
      <c r="K240" s="38">
        <f t="shared" si="10"/>
        <v>1157</v>
      </c>
      <c r="L240" s="39">
        <f t="shared" si="11"/>
        <v>1068</v>
      </c>
      <c r="M240" s="38">
        <f t="shared" si="12"/>
        <v>1023.5</v>
      </c>
      <c r="N240" s="39">
        <f t="shared" si="21"/>
        <v>979</v>
      </c>
      <c r="O240" s="40"/>
      <c r="P240" s="76" t="s">
        <v>526</v>
      </c>
      <c r="Q240" s="35"/>
      <c r="R240" s="35"/>
      <c r="S240" s="35"/>
      <c r="T240" s="35"/>
      <c r="U240" s="35"/>
      <c r="V240" s="35"/>
      <c r="W240" s="35"/>
      <c r="X240" s="35"/>
      <c r="Y240" s="35"/>
      <c r="Z240" s="35"/>
      <c r="AA240" s="35"/>
    </row>
    <row r="241" ht="14.25" hidden="1" customHeight="1">
      <c r="A241" s="83" t="s">
        <v>523</v>
      </c>
      <c r="B241" s="84"/>
      <c r="C241" s="100" t="s">
        <v>543</v>
      </c>
      <c r="D241" s="85" t="s">
        <v>544</v>
      </c>
      <c r="E241" s="85"/>
      <c r="F241" s="87">
        <v>550.0</v>
      </c>
      <c r="G241" s="27">
        <f>F241*0.25+F241</f>
        <v>687.5</v>
      </c>
      <c r="H241" s="88"/>
      <c r="I241" s="36">
        <f t="shared" si="8"/>
        <v>1031.25</v>
      </c>
      <c r="J241" s="37">
        <f t="shared" si="9"/>
        <v>893.75</v>
      </c>
      <c r="K241" s="38">
        <f t="shared" si="10"/>
        <v>893.75</v>
      </c>
      <c r="L241" s="39">
        <f t="shared" si="11"/>
        <v>825</v>
      </c>
      <c r="M241" s="38">
        <f t="shared" si="12"/>
        <v>790.625</v>
      </c>
      <c r="N241" s="39">
        <f t="shared" si="21"/>
        <v>756.25</v>
      </c>
      <c r="O241" s="40"/>
      <c r="P241" s="76" t="s">
        <v>526</v>
      </c>
      <c r="Q241" s="35"/>
      <c r="R241" s="35"/>
      <c r="S241" s="35"/>
      <c r="T241" s="35"/>
      <c r="U241" s="35"/>
      <c r="V241" s="35"/>
      <c r="W241" s="35"/>
      <c r="X241" s="35"/>
      <c r="Y241" s="35"/>
      <c r="Z241" s="35"/>
      <c r="AA241" s="35"/>
    </row>
    <row r="242" ht="14.25" hidden="1" customHeight="1">
      <c r="A242" s="83" t="s">
        <v>523</v>
      </c>
      <c r="B242" s="84"/>
      <c r="C242" s="100" t="s">
        <v>545</v>
      </c>
      <c r="D242" s="85" t="s">
        <v>546</v>
      </c>
      <c r="E242" s="85"/>
      <c r="F242" s="87">
        <v>750.0</v>
      </c>
      <c r="G242" s="27">
        <f>4400*0.1+F242</f>
        <v>1190</v>
      </c>
      <c r="H242" s="88"/>
      <c r="I242" s="36">
        <f t="shared" si="8"/>
        <v>1785</v>
      </c>
      <c r="J242" s="37">
        <f t="shared" si="9"/>
        <v>1547</v>
      </c>
      <c r="K242" s="38">
        <f t="shared" si="10"/>
        <v>1547</v>
      </c>
      <c r="L242" s="39">
        <f t="shared" si="11"/>
        <v>1428</v>
      </c>
      <c r="M242" s="38">
        <f t="shared" si="12"/>
        <v>1368.5</v>
      </c>
      <c r="N242" s="39">
        <f t="shared" si="21"/>
        <v>1309</v>
      </c>
      <c r="O242" s="40"/>
      <c r="P242" s="76" t="s">
        <v>526</v>
      </c>
      <c r="Q242" s="35"/>
      <c r="R242" s="35"/>
      <c r="S242" s="35"/>
      <c r="T242" s="35"/>
      <c r="U242" s="35"/>
      <c r="V242" s="35"/>
      <c r="W242" s="35"/>
      <c r="X242" s="35"/>
      <c r="Y242" s="35"/>
      <c r="Z242" s="35"/>
      <c r="AA242" s="35"/>
    </row>
    <row r="243" ht="14.25" hidden="1" customHeight="1">
      <c r="A243" s="83" t="s">
        <v>523</v>
      </c>
      <c r="B243" s="84"/>
      <c r="C243" s="102" t="s">
        <v>547</v>
      </c>
      <c r="D243" s="42" t="s">
        <v>548</v>
      </c>
      <c r="E243" s="42"/>
      <c r="F243" s="91">
        <v>1500.0</v>
      </c>
      <c r="G243" s="27">
        <f>F243*0.25+F243</f>
        <v>1875</v>
      </c>
      <c r="H243" s="88"/>
      <c r="I243" s="36">
        <f t="shared" si="8"/>
        <v>2812.5</v>
      </c>
      <c r="J243" s="37">
        <f t="shared" si="9"/>
        <v>2437.5</v>
      </c>
      <c r="K243" s="38">
        <f t="shared" si="10"/>
        <v>2437.5</v>
      </c>
      <c r="L243" s="39">
        <f t="shared" si="11"/>
        <v>2250</v>
      </c>
      <c r="M243" s="38">
        <f t="shared" si="12"/>
        <v>2156.25</v>
      </c>
      <c r="N243" s="39">
        <f t="shared" si="21"/>
        <v>2062.5</v>
      </c>
      <c r="O243" s="40"/>
      <c r="P243" s="76" t="s">
        <v>526</v>
      </c>
      <c r="Q243" s="35"/>
      <c r="R243" s="35"/>
      <c r="S243" s="35"/>
      <c r="T243" s="35"/>
      <c r="U243" s="35"/>
      <c r="V243" s="35"/>
      <c r="W243" s="35"/>
      <c r="X243" s="35"/>
      <c r="Y243" s="35"/>
      <c r="Z243" s="35"/>
      <c r="AA243" s="35"/>
    </row>
    <row r="244" ht="14.25" hidden="1" customHeight="1">
      <c r="A244" s="83" t="s">
        <v>523</v>
      </c>
      <c r="B244" s="84"/>
      <c r="C244" s="103" t="s">
        <v>549</v>
      </c>
      <c r="D244" s="85" t="s">
        <v>550</v>
      </c>
      <c r="E244" s="85"/>
      <c r="F244" s="87">
        <v>600.0</v>
      </c>
      <c r="G244" s="27">
        <f>4400*0.1+F244</f>
        <v>1040</v>
      </c>
      <c r="H244" s="88"/>
      <c r="I244" s="36">
        <f t="shared" si="8"/>
        <v>1560</v>
      </c>
      <c r="J244" s="37">
        <f t="shared" si="9"/>
        <v>1352</v>
      </c>
      <c r="K244" s="38">
        <f t="shared" si="10"/>
        <v>1352</v>
      </c>
      <c r="L244" s="39">
        <f t="shared" si="11"/>
        <v>1248</v>
      </c>
      <c r="M244" s="38">
        <f t="shared" si="12"/>
        <v>1196</v>
      </c>
      <c r="N244" s="39">
        <f t="shared" si="21"/>
        <v>1144</v>
      </c>
      <c r="O244" s="40"/>
      <c r="P244" s="76" t="s">
        <v>526</v>
      </c>
      <c r="Q244" s="35"/>
      <c r="R244" s="35"/>
      <c r="S244" s="35"/>
      <c r="T244" s="35"/>
      <c r="U244" s="35"/>
      <c r="V244" s="35"/>
      <c r="W244" s="35"/>
      <c r="X244" s="35"/>
      <c r="Y244" s="35"/>
      <c r="Z244" s="35"/>
      <c r="AA244" s="35"/>
    </row>
    <row r="245" ht="14.25" customHeight="1">
      <c r="A245" s="83" t="s">
        <v>551</v>
      </c>
      <c r="B245" s="84"/>
      <c r="C245" s="104" t="s">
        <v>552</v>
      </c>
      <c r="D245" s="85" t="s">
        <v>553</v>
      </c>
      <c r="E245" s="105"/>
      <c r="F245" s="105"/>
      <c r="G245" s="87">
        <v>225.0</v>
      </c>
      <c r="H245" s="88">
        <v>45264.0</v>
      </c>
      <c r="I245" s="36">
        <f t="shared" si="8"/>
        <v>337.5</v>
      </c>
      <c r="J245" s="37">
        <f t="shared" si="9"/>
        <v>292.5</v>
      </c>
      <c r="K245" s="38">
        <f t="shared" si="10"/>
        <v>292.5</v>
      </c>
      <c r="L245" s="39">
        <f t="shared" si="11"/>
        <v>270</v>
      </c>
      <c r="M245" s="38">
        <f t="shared" si="12"/>
        <v>258.75</v>
      </c>
      <c r="N245" s="39">
        <f t="shared" si="21"/>
        <v>247.5</v>
      </c>
      <c r="O245" s="40"/>
      <c r="P245" s="35" t="s">
        <v>554</v>
      </c>
      <c r="Q245" s="35"/>
      <c r="R245" s="35"/>
      <c r="S245" s="35"/>
      <c r="T245" s="35"/>
      <c r="U245" s="35"/>
      <c r="V245" s="35"/>
      <c r="W245" s="35"/>
      <c r="X245" s="35"/>
      <c r="Y245" s="35"/>
      <c r="Z245" s="35"/>
      <c r="AA245" s="35"/>
    </row>
    <row r="246" ht="14.25" customHeight="1">
      <c r="A246" s="83"/>
      <c r="B246" s="84"/>
      <c r="C246" s="103"/>
      <c r="D246" s="85"/>
      <c r="E246" s="85"/>
      <c r="F246" s="85"/>
      <c r="G246" s="87"/>
      <c r="H246" s="88"/>
      <c r="I246" s="36">
        <f t="shared" si="8"/>
        <v>0</v>
      </c>
      <c r="J246" s="37">
        <f t="shared" si="9"/>
        <v>0</v>
      </c>
      <c r="K246" s="38">
        <f t="shared" si="10"/>
        <v>0</v>
      </c>
      <c r="L246" s="39">
        <f t="shared" si="11"/>
        <v>0</v>
      </c>
      <c r="M246" s="38">
        <f t="shared" si="12"/>
        <v>0</v>
      </c>
      <c r="N246" s="39">
        <f t="shared" si="21"/>
        <v>0</v>
      </c>
      <c r="O246" s="40"/>
      <c r="P246" s="35"/>
      <c r="Q246" s="35"/>
      <c r="R246" s="35"/>
      <c r="S246" s="35"/>
      <c r="T246" s="35"/>
      <c r="U246" s="35"/>
      <c r="V246" s="35"/>
      <c r="W246" s="35"/>
      <c r="X246" s="35"/>
      <c r="Y246" s="35"/>
      <c r="Z246" s="35"/>
      <c r="AA246" s="35"/>
    </row>
    <row r="247" ht="14.25" customHeight="1">
      <c r="A247" s="83"/>
      <c r="B247" s="84"/>
      <c r="C247" s="102"/>
      <c r="D247" s="103"/>
      <c r="E247" s="85"/>
      <c r="F247" s="85"/>
      <c r="G247" s="87"/>
      <c r="H247" s="88"/>
      <c r="I247" s="36">
        <f t="shared" si="8"/>
        <v>0</v>
      </c>
      <c r="J247" s="37">
        <f t="shared" si="9"/>
        <v>0</v>
      </c>
      <c r="K247" s="38">
        <f t="shared" si="10"/>
        <v>0</v>
      </c>
      <c r="L247" s="39">
        <f t="shared" si="11"/>
        <v>0</v>
      </c>
      <c r="M247" s="38">
        <f t="shared" si="12"/>
        <v>0</v>
      </c>
      <c r="N247" s="39">
        <f t="shared" si="21"/>
        <v>0</v>
      </c>
      <c r="O247" s="40"/>
      <c r="P247" s="35"/>
      <c r="Q247" s="35"/>
      <c r="R247" s="35"/>
      <c r="S247" s="35"/>
      <c r="T247" s="35"/>
      <c r="U247" s="35"/>
      <c r="V247" s="35"/>
      <c r="W247" s="35"/>
      <c r="X247" s="35"/>
      <c r="Y247" s="35"/>
      <c r="Z247" s="35"/>
      <c r="AA247" s="35"/>
    </row>
    <row r="248" ht="14.25" customHeight="1">
      <c r="A248" s="83"/>
      <c r="B248" s="84"/>
      <c r="C248" s="104"/>
      <c r="D248" s="85"/>
      <c r="E248" s="85"/>
      <c r="F248" s="85"/>
      <c r="G248" s="87"/>
      <c r="H248" s="88"/>
      <c r="I248" s="36">
        <f t="shared" si="8"/>
        <v>0</v>
      </c>
      <c r="J248" s="37">
        <f t="shared" si="9"/>
        <v>0</v>
      </c>
      <c r="K248" s="38">
        <f t="shared" si="10"/>
        <v>0</v>
      </c>
      <c r="L248" s="39">
        <f t="shared" si="11"/>
        <v>0</v>
      </c>
      <c r="M248" s="38">
        <f t="shared" si="12"/>
        <v>0</v>
      </c>
      <c r="N248" s="39">
        <f t="shared" si="21"/>
        <v>0</v>
      </c>
      <c r="O248" s="40"/>
      <c r="P248" s="35"/>
      <c r="Q248" s="35"/>
      <c r="R248" s="35"/>
      <c r="S248" s="35"/>
      <c r="T248" s="35"/>
      <c r="U248" s="35"/>
      <c r="V248" s="35"/>
      <c r="W248" s="35"/>
      <c r="X248" s="35"/>
      <c r="Y248" s="35"/>
      <c r="Z248" s="35"/>
      <c r="AA248" s="35"/>
    </row>
    <row r="249" ht="14.25" customHeight="1">
      <c r="A249" s="83"/>
      <c r="B249" s="84"/>
      <c r="C249" s="104"/>
      <c r="D249" s="85"/>
      <c r="E249" s="85"/>
      <c r="F249" s="85"/>
      <c r="G249" s="87"/>
      <c r="H249" s="88"/>
      <c r="I249" s="36">
        <f t="shared" si="8"/>
        <v>0</v>
      </c>
      <c r="J249" s="37">
        <f t="shared" si="9"/>
        <v>0</v>
      </c>
      <c r="K249" s="38">
        <f t="shared" si="10"/>
        <v>0</v>
      </c>
      <c r="L249" s="39">
        <f t="shared" si="11"/>
        <v>0</v>
      </c>
      <c r="M249" s="38">
        <f t="shared" si="12"/>
        <v>0</v>
      </c>
      <c r="N249" s="39">
        <f t="shared" si="21"/>
        <v>0</v>
      </c>
      <c r="O249" s="40"/>
      <c r="P249" s="34"/>
      <c r="Q249" s="35"/>
      <c r="R249" s="35"/>
      <c r="S249" s="35"/>
      <c r="T249" s="35"/>
      <c r="U249" s="35"/>
      <c r="V249" s="35"/>
      <c r="W249" s="35"/>
      <c r="X249" s="35"/>
      <c r="Y249" s="35"/>
      <c r="Z249" s="35"/>
      <c r="AA249" s="35"/>
    </row>
    <row r="250" ht="14.25" customHeight="1">
      <c r="A250" s="83"/>
      <c r="B250" s="84"/>
      <c r="C250" s="104"/>
      <c r="D250" s="85"/>
      <c r="E250" s="85"/>
      <c r="F250" s="85"/>
      <c r="G250" s="87"/>
      <c r="H250" s="88"/>
      <c r="I250" s="36">
        <f t="shared" si="8"/>
        <v>0</v>
      </c>
      <c r="J250" s="37">
        <f t="shared" si="9"/>
        <v>0</v>
      </c>
      <c r="K250" s="38">
        <f t="shared" si="10"/>
        <v>0</v>
      </c>
      <c r="L250" s="39">
        <f t="shared" si="11"/>
        <v>0</v>
      </c>
      <c r="M250" s="38">
        <f t="shared" si="12"/>
        <v>0</v>
      </c>
      <c r="N250" s="39">
        <f t="shared" si="21"/>
        <v>0</v>
      </c>
      <c r="O250" s="40"/>
      <c r="P250" s="34"/>
      <c r="Q250" s="35"/>
      <c r="R250" s="35"/>
      <c r="S250" s="35"/>
      <c r="T250" s="35"/>
      <c r="U250" s="35"/>
      <c r="V250" s="35"/>
      <c r="W250" s="35"/>
      <c r="X250" s="35"/>
      <c r="Y250" s="35"/>
      <c r="Z250" s="35"/>
      <c r="AA250" s="35"/>
    </row>
    <row r="251" ht="14.25" customHeight="1">
      <c r="A251" s="83"/>
      <c r="B251" s="84"/>
      <c r="C251" s="103"/>
      <c r="D251" s="85"/>
      <c r="E251" s="85"/>
      <c r="F251" s="85"/>
      <c r="G251" s="87"/>
      <c r="H251" s="88"/>
      <c r="I251" s="36">
        <f t="shared" si="8"/>
        <v>0</v>
      </c>
      <c r="J251" s="37">
        <f t="shared" si="9"/>
        <v>0</v>
      </c>
      <c r="K251" s="38">
        <f t="shared" si="10"/>
        <v>0</v>
      </c>
      <c r="L251" s="39">
        <f t="shared" si="11"/>
        <v>0</v>
      </c>
      <c r="M251" s="38">
        <f t="shared" si="12"/>
        <v>0</v>
      </c>
      <c r="N251" s="39">
        <f t="shared" si="21"/>
        <v>0</v>
      </c>
      <c r="O251" s="40"/>
      <c r="P251" s="34"/>
      <c r="Q251" s="35"/>
      <c r="R251" s="35"/>
      <c r="S251" s="35"/>
      <c r="T251" s="35"/>
      <c r="U251" s="35"/>
      <c r="V251" s="35"/>
      <c r="W251" s="35"/>
      <c r="X251" s="35"/>
      <c r="Y251" s="35"/>
      <c r="Z251" s="35"/>
      <c r="AA251" s="35"/>
    </row>
    <row r="252" ht="14.25" customHeight="1">
      <c r="A252" s="83"/>
      <c r="B252" s="84"/>
      <c r="C252" s="103"/>
      <c r="D252" s="85"/>
      <c r="E252" s="85"/>
      <c r="F252" s="85"/>
      <c r="G252" s="87"/>
      <c r="H252" s="88"/>
      <c r="I252" s="36">
        <f t="shared" si="8"/>
        <v>0</v>
      </c>
      <c r="J252" s="37">
        <f t="shared" si="9"/>
        <v>0</v>
      </c>
      <c r="K252" s="38">
        <f t="shared" si="10"/>
        <v>0</v>
      </c>
      <c r="L252" s="39">
        <f t="shared" si="11"/>
        <v>0</v>
      </c>
      <c r="M252" s="38">
        <f t="shared" si="12"/>
        <v>0</v>
      </c>
      <c r="N252" s="39">
        <f t="shared" si="21"/>
        <v>0</v>
      </c>
      <c r="O252" s="40"/>
      <c r="P252" s="34"/>
      <c r="Q252" s="35"/>
      <c r="R252" s="35"/>
      <c r="S252" s="35"/>
      <c r="T252" s="35"/>
      <c r="U252" s="35"/>
      <c r="V252" s="35"/>
      <c r="W252" s="35"/>
      <c r="X252" s="35"/>
      <c r="Y252" s="35"/>
      <c r="Z252" s="35"/>
      <c r="AA252" s="35"/>
    </row>
    <row r="253" ht="14.25" customHeight="1">
      <c r="A253" s="83"/>
      <c r="B253" s="84"/>
      <c r="C253" s="103"/>
      <c r="D253" s="85"/>
      <c r="E253" s="85"/>
      <c r="F253" s="85"/>
      <c r="G253" s="87"/>
      <c r="H253" s="88"/>
      <c r="I253" s="36">
        <f t="shared" si="8"/>
        <v>0</v>
      </c>
      <c r="J253" s="37">
        <f t="shared" si="9"/>
        <v>0</v>
      </c>
      <c r="K253" s="38">
        <f t="shared" si="10"/>
        <v>0</v>
      </c>
      <c r="L253" s="39">
        <f t="shared" si="11"/>
        <v>0</v>
      </c>
      <c r="M253" s="38">
        <f t="shared" si="12"/>
        <v>0</v>
      </c>
      <c r="N253" s="39">
        <f t="shared" si="21"/>
        <v>0</v>
      </c>
      <c r="O253" s="40"/>
      <c r="P253" s="34"/>
      <c r="Q253" s="35"/>
      <c r="R253" s="35"/>
      <c r="S253" s="35"/>
      <c r="T253" s="35"/>
      <c r="U253" s="35"/>
      <c r="V253" s="35"/>
      <c r="W253" s="35"/>
      <c r="X253" s="35"/>
      <c r="Y253" s="35"/>
      <c r="Z253" s="35"/>
      <c r="AA253" s="35"/>
    </row>
    <row r="254" ht="14.25" customHeight="1">
      <c r="A254" s="83"/>
      <c r="B254" s="84"/>
      <c r="C254" s="104"/>
      <c r="D254" s="85"/>
      <c r="E254" s="85"/>
      <c r="F254" s="85"/>
      <c r="G254" s="87"/>
      <c r="H254" s="88"/>
      <c r="I254" s="36">
        <f t="shared" si="8"/>
        <v>0</v>
      </c>
      <c r="J254" s="37">
        <f t="shared" si="9"/>
        <v>0</v>
      </c>
      <c r="K254" s="38">
        <f t="shared" si="10"/>
        <v>0</v>
      </c>
      <c r="L254" s="39">
        <f t="shared" si="11"/>
        <v>0</v>
      </c>
      <c r="M254" s="38">
        <f t="shared" si="12"/>
        <v>0</v>
      </c>
      <c r="N254" s="39">
        <f t="shared" si="21"/>
        <v>0</v>
      </c>
      <c r="O254" s="40"/>
      <c r="P254" s="34"/>
      <c r="Q254" s="35"/>
      <c r="R254" s="35"/>
      <c r="S254" s="35"/>
      <c r="T254" s="35"/>
      <c r="U254" s="35"/>
      <c r="V254" s="35"/>
      <c r="W254" s="35"/>
      <c r="X254" s="35"/>
      <c r="Y254" s="35"/>
      <c r="Z254" s="35"/>
      <c r="AA254" s="35"/>
    </row>
    <row r="255" ht="14.25" customHeight="1">
      <c r="A255" s="83"/>
      <c r="B255" s="84"/>
      <c r="C255" s="103"/>
      <c r="D255" s="85"/>
      <c r="E255" s="85"/>
      <c r="F255" s="85"/>
      <c r="G255" s="87"/>
      <c r="H255" s="88"/>
      <c r="I255" s="36">
        <f t="shared" si="8"/>
        <v>0</v>
      </c>
      <c r="J255" s="37">
        <f t="shared" si="9"/>
        <v>0</v>
      </c>
      <c r="K255" s="38">
        <f t="shared" si="10"/>
        <v>0</v>
      </c>
      <c r="L255" s="39">
        <f t="shared" si="11"/>
        <v>0</v>
      </c>
      <c r="M255" s="38">
        <f t="shared" si="12"/>
        <v>0</v>
      </c>
      <c r="N255" s="39">
        <f t="shared" si="21"/>
        <v>0</v>
      </c>
      <c r="O255" s="40"/>
      <c r="P255" s="34"/>
      <c r="Q255" s="35"/>
      <c r="R255" s="35"/>
      <c r="S255" s="35"/>
      <c r="T255" s="35"/>
      <c r="U255" s="35"/>
      <c r="V255" s="35"/>
      <c r="W255" s="35"/>
      <c r="X255" s="35"/>
      <c r="Y255" s="35"/>
      <c r="Z255" s="35"/>
      <c r="AA255" s="35"/>
    </row>
    <row r="256" ht="14.25" customHeight="1">
      <c r="A256" s="83"/>
      <c r="B256" s="84"/>
      <c r="C256" s="106"/>
      <c r="D256" s="85"/>
      <c r="E256" s="85"/>
      <c r="F256" s="85"/>
      <c r="G256" s="87"/>
      <c r="H256" s="88"/>
      <c r="I256" s="36">
        <f t="shared" si="8"/>
        <v>0</v>
      </c>
      <c r="J256" s="37">
        <f t="shared" si="9"/>
        <v>0</v>
      </c>
      <c r="K256" s="38">
        <f t="shared" si="10"/>
        <v>0</v>
      </c>
      <c r="L256" s="39">
        <f t="shared" si="11"/>
        <v>0</v>
      </c>
      <c r="M256" s="38">
        <f t="shared" si="12"/>
        <v>0</v>
      </c>
      <c r="N256" s="39">
        <f t="shared" si="21"/>
        <v>0</v>
      </c>
      <c r="O256" s="40"/>
      <c r="P256" s="34"/>
      <c r="Q256" s="35"/>
      <c r="R256" s="35"/>
      <c r="S256" s="35"/>
      <c r="T256" s="35"/>
      <c r="U256" s="35"/>
      <c r="V256" s="35"/>
      <c r="W256" s="35"/>
      <c r="X256" s="35"/>
      <c r="Y256" s="35"/>
      <c r="Z256" s="35"/>
      <c r="AA256" s="35"/>
    </row>
    <row r="257" ht="14.25" customHeight="1">
      <c r="A257" s="83"/>
      <c r="B257" s="84"/>
      <c r="C257" s="106"/>
      <c r="D257" s="85"/>
      <c r="E257" s="85"/>
      <c r="F257" s="85"/>
      <c r="G257" s="87"/>
      <c r="H257" s="88"/>
      <c r="I257" s="36">
        <f t="shared" si="8"/>
        <v>0</v>
      </c>
      <c r="J257" s="37">
        <f t="shared" si="9"/>
        <v>0</v>
      </c>
      <c r="K257" s="38">
        <f t="shared" si="10"/>
        <v>0</v>
      </c>
      <c r="L257" s="39">
        <f t="shared" si="11"/>
        <v>0</v>
      </c>
      <c r="M257" s="38">
        <f t="shared" si="12"/>
        <v>0</v>
      </c>
      <c r="N257" s="39">
        <f t="shared" si="21"/>
        <v>0</v>
      </c>
      <c r="O257" s="40"/>
      <c r="P257" s="34"/>
      <c r="Q257" s="35"/>
      <c r="R257" s="35"/>
      <c r="S257" s="35"/>
      <c r="T257" s="35"/>
      <c r="U257" s="35"/>
      <c r="V257" s="35"/>
      <c r="W257" s="35"/>
      <c r="X257" s="35"/>
      <c r="Y257" s="35"/>
      <c r="Z257" s="35"/>
      <c r="AA257" s="35"/>
    </row>
    <row r="258" ht="14.25" customHeight="1">
      <c r="A258" s="83"/>
      <c r="B258" s="84"/>
      <c r="C258" s="106"/>
      <c r="D258" s="85"/>
      <c r="E258" s="85"/>
      <c r="F258" s="85"/>
      <c r="G258" s="87"/>
      <c r="H258" s="88"/>
      <c r="I258" s="36">
        <f t="shared" si="8"/>
        <v>0</v>
      </c>
      <c r="J258" s="37">
        <f t="shared" si="9"/>
        <v>0</v>
      </c>
      <c r="K258" s="38">
        <f t="shared" si="10"/>
        <v>0</v>
      </c>
      <c r="L258" s="39">
        <f t="shared" si="11"/>
        <v>0</v>
      </c>
      <c r="M258" s="38">
        <f t="shared" si="12"/>
        <v>0</v>
      </c>
      <c r="N258" s="39">
        <f t="shared" si="21"/>
        <v>0</v>
      </c>
      <c r="O258" s="40"/>
      <c r="P258" s="34"/>
      <c r="Q258" s="35"/>
      <c r="R258" s="35"/>
      <c r="S258" s="35"/>
      <c r="T258" s="35"/>
      <c r="U258" s="35"/>
      <c r="V258" s="35"/>
      <c r="W258" s="35"/>
      <c r="X258" s="35"/>
      <c r="Y258" s="35"/>
      <c r="Z258" s="35"/>
      <c r="AA258" s="35"/>
    </row>
    <row r="259" ht="14.25" customHeight="1">
      <c r="A259" s="83"/>
      <c r="B259" s="84"/>
      <c r="C259" s="106"/>
      <c r="D259" s="85"/>
      <c r="E259" s="85"/>
      <c r="F259" s="85"/>
      <c r="G259" s="87"/>
      <c r="H259" s="88"/>
      <c r="I259" s="36">
        <f t="shared" si="8"/>
        <v>0</v>
      </c>
      <c r="J259" s="37">
        <f t="shared" si="9"/>
        <v>0</v>
      </c>
      <c r="K259" s="38">
        <f t="shared" si="10"/>
        <v>0</v>
      </c>
      <c r="L259" s="39">
        <f t="shared" si="11"/>
        <v>0</v>
      </c>
      <c r="M259" s="38">
        <f t="shared" si="12"/>
        <v>0</v>
      </c>
      <c r="N259" s="39">
        <f t="shared" si="21"/>
        <v>0</v>
      </c>
      <c r="O259" s="40"/>
      <c r="P259" s="34"/>
      <c r="Q259" s="35"/>
      <c r="R259" s="35"/>
      <c r="S259" s="35"/>
      <c r="T259" s="35"/>
      <c r="U259" s="35"/>
      <c r="V259" s="35"/>
      <c r="W259" s="35"/>
      <c r="X259" s="35"/>
      <c r="Y259" s="35"/>
      <c r="Z259" s="35"/>
      <c r="AA259" s="35"/>
    </row>
    <row r="260" ht="14.25" customHeight="1">
      <c r="A260" s="83"/>
      <c r="B260" s="84"/>
      <c r="C260" s="106"/>
      <c r="D260" s="85"/>
      <c r="E260" s="85"/>
      <c r="F260" s="85"/>
      <c r="G260" s="87"/>
      <c r="H260" s="88"/>
      <c r="I260" s="36">
        <f t="shared" si="8"/>
        <v>0</v>
      </c>
      <c r="J260" s="37">
        <f t="shared" si="9"/>
        <v>0</v>
      </c>
      <c r="K260" s="38">
        <f t="shared" si="10"/>
        <v>0</v>
      </c>
      <c r="L260" s="39">
        <f t="shared" si="11"/>
        <v>0</v>
      </c>
      <c r="M260" s="38">
        <f t="shared" si="12"/>
        <v>0</v>
      </c>
      <c r="N260" s="39">
        <f t="shared" si="21"/>
        <v>0</v>
      </c>
      <c r="O260" s="40"/>
      <c r="P260" s="34"/>
      <c r="Q260" s="35"/>
      <c r="R260" s="35"/>
      <c r="S260" s="35"/>
      <c r="T260" s="35"/>
      <c r="U260" s="35"/>
      <c r="V260" s="35"/>
      <c r="W260" s="35"/>
      <c r="X260" s="35"/>
      <c r="Y260" s="35"/>
      <c r="Z260" s="35"/>
      <c r="AA260" s="35"/>
    </row>
    <row r="261" ht="14.25" customHeight="1">
      <c r="A261" s="83"/>
      <c r="B261" s="84"/>
      <c r="C261" s="106"/>
      <c r="D261" s="85"/>
      <c r="E261" s="85"/>
      <c r="F261" s="85"/>
      <c r="G261" s="87"/>
      <c r="H261" s="88"/>
      <c r="I261" s="36">
        <f t="shared" si="8"/>
        <v>0</v>
      </c>
      <c r="J261" s="37">
        <f t="shared" si="9"/>
        <v>0</v>
      </c>
      <c r="K261" s="38">
        <f t="shared" si="10"/>
        <v>0</v>
      </c>
      <c r="L261" s="39">
        <f t="shared" si="11"/>
        <v>0</v>
      </c>
      <c r="M261" s="38">
        <f t="shared" si="12"/>
        <v>0</v>
      </c>
      <c r="N261" s="39">
        <f t="shared" si="21"/>
        <v>0</v>
      </c>
      <c r="O261" s="40"/>
      <c r="P261" s="34"/>
      <c r="Q261" s="35"/>
      <c r="R261" s="35"/>
      <c r="S261" s="35"/>
      <c r="T261" s="35"/>
      <c r="U261" s="35"/>
      <c r="V261" s="35"/>
      <c r="W261" s="35"/>
      <c r="X261" s="35"/>
      <c r="Y261" s="35"/>
      <c r="Z261" s="35"/>
      <c r="AA261" s="35"/>
    </row>
    <row r="262" ht="14.25" customHeight="1">
      <c r="A262" s="83"/>
      <c r="B262" s="84"/>
      <c r="C262" s="106"/>
      <c r="D262" s="85"/>
      <c r="E262" s="85"/>
      <c r="F262" s="85"/>
      <c r="G262" s="107"/>
      <c r="H262" s="88"/>
      <c r="I262" s="36">
        <f t="shared" si="8"/>
        <v>0</v>
      </c>
      <c r="J262" s="37">
        <f t="shared" si="9"/>
        <v>0</v>
      </c>
      <c r="K262" s="38">
        <f t="shared" si="10"/>
        <v>0</v>
      </c>
      <c r="L262" s="39">
        <f t="shared" si="11"/>
        <v>0</v>
      </c>
      <c r="M262" s="38">
        <f t="shared" si="12"/>
        <v>0</v>
      </c>
      <c r="N262" s="39">
        <f t="shared" si="21"/>
        <v>0</v>
      </c>
      <c r="O262" s="40"/>
      <c r="P262" s="34"/>
      <c r="Q262" s="35"/>
      <c r="R262" s="35"/>
      <c r="S262" s="35"/>
      <c r="T262" s="35"/>
      <c r="U262" s="35"/>
      <c r="V262" s="35"/>
      <c r="W262" s="35"/>
      <c r="X262" s="35"/>
      <c r="Y262" s="35"/>
      <c r="Z262" s="35"/>
      <c r="AA262" s="35"/>
    </row>
    <row r="263" ht="14.25" customHeight="1">
      <c r="A263" s="83"/>
      <c r="B263" s="84"/>
      <c r="C263" s="108"/>
      <c r="D263" s="103"/>
      <c r="E263" s="85"/>
      <c r="F263" s="85"/>
      <c r="G263" s="107"/>
      <c r="H263" s="88"/>
      <c r="I263" s="36">
        <f t="shared" si="8"/>
        <v>0</v>
      </c>
      <c r="J263" s="37">
        <f t="shared" si="9"/>
        <v>0</v>
      </c>
      <c r="K263" s="38">
        <f t="shared" si="10"/>
        <v>0</v>
      </c>
      <c r="L263" s="39">
        <f t="shared" si="11"/>
        <v>0</v>
      </c>
      <c r="M263" s="38">
        <f t="shared" si="12"/>
        <v>0</v>
      </c>
      <c r="N263" s="39">
        <f t="shared" si="21"/>
        <v>0</v>
      </c>
      <c r="O263" s="40"/>
      <c r="P263" s="34"/>
      <c r="Q263" s="35"/>
      <c r="R263" s="35"/>
      <c r="S263" s="35"/>
      <c r="T263" s="35"/>
      <c r="U263" s="35"/>
      <c r="V263" s="35"/>
      <c r="W263" s="35"/>
      <c r="X263" s="35"/>
      <c r="Y263" s="35"/>
      <c r="Z263" s="35"/>
      <c r="AA263" s="35"/>
    </row>
    <row r="264" ht="14.25" customHeight="1">
      <c r="A264" s="83"/>
      <c r="B264" s="84"/>
      <c r="C264" s="108"/>
      <c r="D264" s="103"/>
      <c r="E264" s="85"/>
      <c r="F264" s="85"/>
      <c r="G264" s="107"/>
      <c r="H264" s="88"/>
      <c r="I264" s="36">
        <f t="shared" si="8"/>
        <v>0</v>
      </c>
      <c r="J264" s="37">
        <f t="shared" si="9"/>
        <v>0</v>
      </c>
      <c r="K264" s="38">
        <f t="shared" si="10"/>
        <v>0</v>
      </c>
      <c r="L264" s="39">
        <f t="shared" si="11"/>
        <v>0</v>
      </c>
      <c r="M264" s="38">
        <f t="shared" si="12"/>
        <v>0</v>
      </c>
      <c r="N264" s="39">
        <f t="shared" si="21"/>
        <v>0</v>
      </c>
      <c r="O264" s="40"/>
      <c r="P264" s="34"/>
      <c r="Q264" s="35"/>
      <c r="R264" s="35"/>
      <c r="S264" s="35"/>
      <c r="T264" s="35"/>
      <c r="U264" s="35"/>
      <c r="V264" s="35"/>
      <c r="W264" s="35"/>
      <c r="X264" s="35"/>
      <c r="Y264" s="35"/>
      <c r="Z264" s="35"/>
      <c r="AA264" s="35"/>
    </row>
    <row r="265" ht="14.25" customHeight="1">
      <c r="A265" s="83"/>
      <c r="B265" s="84"/>
      <c r="C265" s="106"/>
      <c r="D265" s="85"/>
      <c r="E265" s="85"/>
      <c r="F265" s="85"/>
      <c r="G265" s="107"/>
      <c r="H265" s="88"/>
      <c r="I265" s="36">
        <f t="shared" si="8"/>
        <v>0</v>
      </c>
      <c r="J265" s="37">
        <f t="shared" si="9"/>
        <v>0</v>
      </c>
      <c r="K265" s="38">
        <f t="shared" si="10"/>
        <v>0</v>
      </c>
      <c r="L265" s="39">
        <f t="shared" si="11"/>
        <v>0</v>
      </c>
      <c r="M265" s="38">
        <f t="shared" si="12"/>
        <v>0</v>
      </c>
      <c r="N265" s="39">
        <f t="shared" si="21"/>
        <v>0</v>
      </c>
      <c r="O265" s="40"/>
      <c r="P265" s="34"/>
      <c r="Q265" s="35"/>
      <c r="R265" s="35"/>
      <c r="S265" s="35"/>
      <c r="T265" s="35"/>
      <c r="U265" s="35"/>
      <c r="V265" s="35"/>
      <c r="W265" s="35"/>
      <c r="X265" s="35"/>
      <c r="Y265" s="35"/>
      <c r="Z265" s="35"/>
      <c r="AA265" s="35"/>
    </row>
    <row r="266" ht="14.25" customHeight="1">
      <c r="A266" s="83"/>
      <c r="B266" s="84"/>
      <c r="C266" s="106"/>
      <c r="D266" s="85"/>
      <c r="E266" s="85"/>
      <c r="F266" s="85"/>
      <c r="G266" s="107"/>
      <c r="H266" s="88"/>
      <c r="I266" s="36">
        <f t="shared" si="8"/>
        <v>0</v>
      </c>
      <c r="J266" s="37">
        <f t="shared" si="9"/>
        <v>0</v>
      </c>
      <c r="K266" s="38">
        <f t="shared" si="10"/>
        <v>0</v>
      </c>
      <c r="L266" s="39">
        <f t="shared" si="11"/>
        <v>0</v>
      </c>
      <c r="M266" s="38">
        <f t="shared" si="12"/>
        <v>0</v>
      </c>
      <c r="N266" s="39">
        <f t="shared" si="21"/>
        <v>0</v>
      </c>
      <c r="O266" s="40"/>
      <c r="P266" s="34"/>
      <c r="Q266" s="35"/>
      <c r="R266" s="35"/>
      <c r="S266" s="35"/>
      <c r="T266" s="35"/>
      <c r="U266" s="35"/>
      <c r="V266" s="35"/>
      <c r="W266" s="35"/>
      <c r="X266" s="35"/>
      <c r="Y266" s="35"/>
      <c r="Z266" s="35"/>
      <c r="AA266" s="35"/>
    </row>
    <row r="267" ht="14.25" customHeight="1">
      <c r="A267" s="83"/>
      <c r="B267" s="84"/>
      <c r="C267" s="106"/>
      <c r="D267" s="85"/>
      <c r="E267" s="85"/>
      <c r="F267" s="85"/>
      <c r="G267" s="107"/>
      <c r="H267" s="88"/>
      <c r="I267" s="36">
        <f t="shared" si="8"/>
        <v>0</v>
      </c>
      <c r="J267" s="37">
        <f t="shared" si="9"/>
        <v>0</v>
      </c>
      <c r="K267" s="38">
        <f t="shared" si="10"/>
        <v>0</v>
      </c>
      <c r="L267" s="39">
        <f t="shared" si="11"/>
        <v>0</v>
      </c>
      <c r="M267" s="38">
        <f t="shared" si="12"/>
        <v>0</v>
      </c>
      <c r="N267" s="39">
        <f t="shared" si="21"/>
        <v>0</v>
      </c>
      <c r="O267" s="40"/>
      <c r="P267" s="34"/>
      <c r="Q267" s="35"/>
      <c r="R267" s="35"/>
      <c r="S267" s="35"/>
      <c r="T267" s="35"/>
      <c r="U267" s="35"/>
      <c r="V267" s="35"/>
      <c r="W267" s="35"/>
      <c r="X267" s="35"/>
      <c r="Y267" s="35"/>
      <c r="Z267" s="35"/>
      <c r="AA267" s="35"/>
    </row>
    <row r="268" ht="14.25" customHeight="1">
      <c r="A268" s="83"/>
      <c r="B268" s="84"/>
      <c r="C268" s="106"/>
      <c r="D268" s="85"/>
      <c r="E268" s="85"/>
      <c r="F268" s="85"/>
      <c r="G268" s="107"/>
      <c r="H268" s="88"/>
      <c r="I268" s="36">
        <f t="shared" si="8"/>
        <v>0</v>
      </c>
      <c r="J268" s="37">
        <f t="shared" si="9"/>
        <v>0</v>
      </c>
      <c r="K268" s="38">
        <f t="shared" si="10"/>
        <v>0</v>
      </c>
      <c r="L268" s="39">
        <f t="shared" si="11"/>
        <v>0</v>
      </c>
      <c r="M268" s="38">
        <f t="shared" si="12"/>
        <v>0</v>
      </c>
      <c r="N268" s="39">
        <f t="shared" si="21"/>
        <v>0</v>
      </c>
      <c r="O268" s="40"/>
      <c r="P268" s="34"/>
      <c r="Q268" s="35"/>
      <c r="R268" s="35"/>
      <c r="S268" s="35"/>
      <c r="T268" s="35"/>
      <c r="U268" s="35"/>
      <c r="V268" s="35"/>
      <c r="W268" s="35"/>
      <c r="X268" s="35"/>
      <c r="Y268" s="35"/>
      <c r="Z268" s="35"/>
      <c r="AA268" s="35"/>
    </row>
    <row r="269" ht="14.25" customHeight="1">
      <c r="A269" s="83"/>
      <c r="B269" s="84"/>
      <c r="C269" s="106"/>
      <c r="D269" s="85"/>
      <c r="E269" s="85"/>
      <c r="F269" s="85"/>
      <c r="G269" s="107"/>
      <c r="H269" s="88"/>
      <c r="I269" s="36">
        <f t="shared" si="8"/>
        <v>0</v>
      </c>
      <c r="J269" s="37">
        <f t="shared" si="9"/>
        <v>0</v>
      </c>
      <c r="K269" s="38">
        <f t="shared" si="10"/>
        <v>0</v>
      </c>
      <c r="L269" s="39">
        <f t="shared" si="11"/>
        <v>0</v>
      </c>
      <c r="M269" s="38">
        <f t="shared" si="12"/>
        <v>0</v>
      </c>
      <c r="N269" s="39">
        <f t="shared" si="21"/>
        <v>0</v>
      </c>
      <c r="O269" s="40"/>
      <c r="P269" s="34"/>
      <c r="Q269" s="35"/>
      <c r="R269" s="35"/>
      <c r="S269" s="35"/>
      <c r="T269" s="35"/>
      <c r="U269" s="35"/>
      <c r="V269" s="35"/>
      <c r="W269" s="35"/>
      <c r="X269" s="35"/>
      <c r="Y269" s="35"/>
      <c r="Z269" s="35"/>
      <c r="AA269" s="35"/>
    </row>
    <row r="270" ht="14.25" customHeight="1">
      <c r="A270" s="83"/>
      <c r="B270" s="84"/>
      <c r="C270" s="108"/>
      <c r="D270" s="85"/>
      <c r="E270" s="85"/>
      <c r="F270" s="85"/>
      <c r="G270" s="109"/>
      <c r="H270" s="88"/>
      <c r="I270" s="36">
        <f t="shared" si="8"/>
        <v>0</v>
      </c>
      <c r="J270" s="37">
        <f t="shared" si="9"/>
        <v>0</v>
      </c>
      <c r="K270" s="38">
        <f t="shared" si="10"/>
        <v>0</v>
      </c>
      <c r="L270" s="39">
        <f t="shared" si="11"/>
        <v>0</v>
      </c>
      <c r="M270" s="38">
        <f t="shared" si="12"/>
        <v>0</v>
      </c>
      <c r="N270" s="39">
        <f t="shared" si="21"/>
        <v>0</v>
      </c>
      <c r="O270" s="40"/>
      <c r="P270" s="34"/>
      <c r="Q270" s="35"/>
      <c r="R270" s="35"/>
      <c r="S270" s="35"/>
      <c r="T270" s="35"/>
      <c r="U270" s="35"/>
      <c r="V270" s="35"/>
      <c r="W270" s="35"/>
      <c r="X270" s="35"/>
      <c r="Y270" s="35"/>
      <c r="Z270" s="35"/>
      <c r="AA270" s="35"/>
    </row>
    <row r="271" ht="14.25" customHeight="1">
      <c r="A271" s="83"/>
      <c r="B271" s="84"/>
      <c r="C271" s="106"/>
      <c r="D271" s="105"/>
      <c r="E271" s="85"/>
      <c r="F271" s="85"/>
      <c r="G271" s="107"/>
      <c r="H271" s="88"/>
      <c r="I271" s="36">
        <f t="shared" si="8"/>
        <v>0</v>
      </c>
      <c r="J271" s="37">
        <f t="shared" si="9"/>
        <v>0</v>
      </c>
      <c r="K271" s="38">
        <f t="shared" si="10"/>
        <v>0</v>
      </c>
      <c r="L271" s="39">
        <f t="shared" si="11"/>
        <v>0</v>
      </c>
      <c r="M271" s="38">
        <f t="shared" si="12"/>
        <v>0</v>
      </c>
      <c r="N271" s="39">
        <f t="shared" si="21"/>
        <v>0</v>
      </c>
      <c r="O271" s="40"/>
      <c r="P271" s="34"/>
      <c r="Q271" s="35"/>
      <c r="R271" s="35"/>
      <c r="S271" s="35"/>
      <c r="T271" s="35"/>
      <c r="U271" s="35"/>
      <c r="V271" s="35"/>
      <c r="W271" s="35"/>
      <c r="X271" s="35"/>
      <c r="Y271" s="35"/>
      <c r="Z271" s="35"/>
      <c r="AA271" s="35"/>
    </row>
    <row r="272" ht="14.25" customHeight="1">
      <c r="A272" s="83"/>
      <c r="B272" s="84"/>
      <c r="C272" s="106"/>
      <c r="D272" s="105"/>
      <c r="E272" s="85"/>
      <c r="F272" s="85"/>
      <c r="G272" s="107"/>
      <c r="H272" s="88"/>
      <c r="I272" s="36">
        <f t="shared" si="8"/>
        <v>0</v>
      </c>
      <c r="J272" s="37">
        <f t="shared" si="9"/>
        <v>0</v>
      </c>
      <c r="K272" s="38">
        <f t="shared" si="10"/>
        <v>0</v>
      </c>
      <c r="L272" s="39">
        <f t="shared" si="11"/>
        <v>0</v>
      </c>
      <c r="M272" s="38">
        <f t="shared" si="12"/>
        <v>0</v>
      </c>
      <c r="N272" s="39">
        <f t="shared" si="21"/>
        <v>0</v>
      </c>
      <c r="O272" s="40"/>
      <c r="P272" s="34"/>
      <c r="Q272" s="35"/>
      <c r="R272" s="35"/>
      <c r="S272" s="35"/>
      <c r="T272" s="35"/>
      <c r="U272" s="35"/>
      <c r="V272" s="35"/>
      <c r="W272" s="35"/>
      <c r="X272" s="35"/>
      <c r="Y272" s="35"/>
      <c r="Z272" s="35"/>
      <c r="AA272" s="35"/>
    </row>
    <row r="273" ht="14.25" customHeight="1">
      <c r="A273" s="83"/>
      <c r="B273" s="84"/>
      <c r="C273" s="106"/>
      <c r="D273" s="103"/>
      <c r="E273" s="110"/>
      <c r="F273" s="110"/>
      <c r="G273" s="107"/>
      <c r="H273" s="88"/>
      <c r="I273" s="36">
        <f t="shared" si="8"/>
        <v>0</v>
      </c>
      <c r="J273" s="37">
        <f t="shared" si="9"/>
        <v>0</v>
      </c>
      <c r="K273" s="38">
        <f t="shared" si="10"/>
        <v>0</v>
      </c>
      <c r="L273" s="39">
        <f t="shared" si="11"/>
        <v>0</v>
      </c>
      <c r="M273" s="38">
        <f t="shared" si="12"/>
        <v>0</v>
      </c>
      <c r="N273" s="39">
        <f t="shared" si="21"/>
        <v>0</v>
      </c>
      <c r="O273" s="40"/>
      <c r="P273" s="34"/>
      <c r="Q273" s="35"/>
      <c r="R273" s="35"/>
      <c r="S273" s="35"/>
      <c r="T273" s="35"/>
      <c r="U273" s="35"/>
      <c r="V273" s="35"/>
      <c r="W273" s="35"/>
      <c r="X273" s="35"/>
      <c r="Y273" s="35"/>
      <c r="Z273" s="35"/>
      <c r="AA273" s="35"/>
    </row>
    <row r="274" ht="14.25" customHeight="1">
      <c r="A274" s="83"/>
      <c r="B274" s="84"/>
      <c r="C274" s="108"/>
      <c r="D274" s="103"/>
      <c r="E274" s="85"/>
      <c r="F274" s="85"/>
      <c r="G274" s="107"/>
      <c r="H274" s="88"/>
      <c r="I274" s="36">
        <f t="shared" si="8"/>
        <v>0</v>
      </c>
      <c r="J274" s="37">
        <f t="shared" si="9"/>
        <v>0</v>
      </c>
      <c r="K274" s="38">
        <f t="shared" si="10"/>
        <v>0</v>
      </c>
      <c r="L274" s="39">
        <f t="shared" si="11"/>
        <v>0</v>
      </c>
      <c r="M274" s="38">
        <f t="shared" si="12"/>
        <v>0</v>
      </c>
      <c r="N274" s="39">
        <f t="shared" si="21"/>
        <v>0</v>
      </c>
      <c r="O274" s="40"/>
      <c r="P274" s="34"/>
      <c r="Q274" s="35"/>
      <c r="R274" s="35"/>
      <c r="S274" s="35"/>
      <c r="T274" s="35"/>
      <c r="U274" s="35"/>
      <c r="V274" s="35"/>
      <c r="W274" s="35"/>
      <c r="X274" s="35"/>
      <c r="Y274" s="35"/>
      <c r="Z274" s="35"/>
      <c r="AA274" s="35"/>
    </row>
    <row r="275" ht="14.25" customHeight="1">
      <c r="A275" s="83"/>
      <c r="B275" s="84"/>
      <c r="C275" s="108"/>
      <c r="D275" s="103"/>
      <c r="E275" s="85"/>
      <c r="F275" s="85"/>
      <c r="G275" s="107"/>
      <c r="H275" s="88"/>
      <c r="I275" s="36">
        <f t="shared" si="8"/>
        <v>0</v>
      </c>
      <c r="J275" s="37">
        <f t="shared" si="9"/>
        <v>0</v>
      </c>
      <c r="K275" s="38">
        <f t="shared" si="10"/>
        <v>0</v>
      </c>
      <c r="L275" s="39">
        <f t="shared" si="11"/>
        <v>0</v>
      </c>
      <c r="M275" s="38">
        <f t="shared" si="12"/>
        <v>0</v>
      </c>
      <c r="N275" s="39">
        <f t="shared" si="21"/>
        <v>0</v>
      </c>
      <c r="O275" s="40"/>
      <c r="P275" s="34"/>
      <c r="Q275" s="35"/>
      <c r="R275" s="35"/>
      <c r="S275" s="35"/>
      <c r="T275" s="35"/>
      <c r="U275" s="35"/>
      <c r="V275" s="35"/>
      <c r="W275" s="35"/>
      <c r="X275" s="35"/>
      <c r="Y275" s="35"/>
      <c r="Z275" s="35"/>
      <c r="AA275" s="35"/>
    </row>
    <row r="276" ht="14.25" customHeight="1">
      <c r="A276" s="83"/>
      <c r="B276" s="84"/>
      <c r="C276" s="111"/>
      <c r="D276" s="101"/>
      <c r="E276" s="85"/>
      <c r="F276" s="85"/>
      <c r="G276" s="112"/>
      <c r="H276" s="88"/>
      <c r="I276" s="36">
        <f t="shared" si="8"/>
        <v>0</v>
      </c>
      <c r="J276" s="37">
        <f t="shared" si="9"/>
        <v>0</v>
      </c>
      <c r="K276" s="38">
        <f t="shared" si="10"/>
        <v>0</v>
      </c>
      <c r="L276" s="39">
        <f t="shared" si="11"/>
        <v>0</v>
      </c>
      <c r="M276" s="38">
        <f t="shared" si="12"/>
        <v>0</v>
      </c>
      <c r="N276" s="39">
        <f t="shared" si="21"/>
        <v>0</v>
      </c>
      <c r="O276" s="40"/>
      <c r="P276" s="34"/>
      <c r="Q276" s="35"/>
      <c r="R276" s="35"/>
      <c r="S276" s="35"/>
      <c r="T276" s="35"/>
      <c r="U276" s="35"/>
      <c r="V276" s="35"/>
      <c r="W276" s="35"/>
      <c r="X276" s="35"/>
      <c r="Y276" s="35"/>
      <c r="Z276" s="35"/>
      <c r="AA276" s="35"/>
    </row>
    <row r="277" ht="14.25" customHeight="1">
      <c r="A277" s="83"/>
      <c r="B277" s="84"/>
      <c r="C277" s="111"/>
      <c r="D277" s="101"/>
      <c r="E277" s="85"/>
      <c r="F277" s="85"/>
      <c r="G277" s="112"/>
      <c r="H277" s="88"/>
      <c r="I277" s="36">
        <f t="shared" si="8"/>
        <v>0</v>
      </c>
      <c r="J277" s="37">
        <f t="shared" si="9"/>
        <v>0</v>
      </c>
      <c r="K277" s="38">
        <f t="shared" si="10"/>
        <v>0</v>
      </c>
      <c r="L277" s="39">
        <f t="shared" si="11"/>
        <v>0</v>
      </c>
      <c r="M277" s="38">
        <f t="shared" si="12"/>
        <v>0</v>
      </c>
      <c r="N277" s="39">
        <f t="shared" si="21"/>
        <v>0</v>
      </c>
      <c r="O277" s="40"/>
      <c r="P277" s="34"/>
      <c r="Q277" s="35"/>
      <c r="R277" s="35"/>
      <c r="S277" s="35"/>
      <c r="T277" s="35"/>
      <c r="U277" s="35"/>
      <c r="V277" s="35"/>
      <c r="W277" s="35"/>
      <c r="X277" s="35"/>
      <c r="Y277" s="35"/>
      <c r="Z277" s="35"/>
      <c r="AA277" s="35"/>
    </row>
    <row r="278" ht="14.25" customHeight="1">
      <c r="A278" s="83"/>
      <c r="B278" s="84"/>
      <c r="C278" s="111"/>
      <c r="D278" s="101"/>
      <c r="E278" s="85"/>
      <c r="F278" s="85"/>
      <c r="G278" s="112"/>
      <c r="H278" s="88"/>
      <c r="I278" s="36">
        <f t="shared" si="8"/>
        <v>0</v>
      </c>
      <c r="J278" s="37">
        <f t="shared" si="9"/>
        <v>0</v>
      </c>
      <c r="K278" s="38">
        <f t="shared" si="10"/>
        <v>0</v>
      </c>
      <c r="L278" s="39">
        <f t="shared" si="11"/>
        <v>0</v>
      </c>
      <c r="M278" s="38">
        <f t="shared" si="12"/>
        <v>0</v>
      </c>
      <c r="N278" s="39">
        <f t="shared" si="21"/>
        <v>0</v>
      </c>
      <c r="O278" s="40"/>
      <c r="P278" s="34"/>
      <c r="Q278" s="35"/>
      <c r="R278" s="35"/>
      <c r="S278" s="35"/>
      <c r="T278" s="35"/>
      <c r="U278" s="35"/>
      <c r="V278" s="35"/>
      <c r="W278" s="35"/>
      <c r="X278" s="35"/>
      <c r="Y278" s="35"/>
      <c r="Z278" s="35"/>
      <c r="AA278" s="35"/>
    </row>
    <row r="279" ht="14.25" customHeight="1">
      <c r="A279" s="83"/>
      <c r="B279" s="84"/>
      <c r="C279" s="111"/>
      <c r="D279" s="101"/>
      <c r="E279" s="85"/>
      <c r="F279" s="85"/>
      <c r="G279" s="112"/>
      <c r="H279" s="88"/>
      <c r="I279" s="36">
        <f t="shared" si="8"/>
        <v>0</v>
      </c>
      <c r="J279" s="37">
        <f t="shared" si="9"/>
        <v>0</v>
      </c>
      <c r="K279" s="38">
        <f t="shared" si="10"/>
        <v>0</v>
      </c>
      <c r="L279" s="39">
        <f t="shared" si="11"/>
        <v>0</v>
      </c>
      <c r="M279" s="38">
        <f t="shared" si="12"/>
        <v>0</v>
      </c>
      <c r="N279" s="39">
        <f t="shared" si="21"/>
        <v>0</v>
      </c>
      <c r="O279" s="40"/>
      <c r="P279" s="34"/>
      <c r="Q279" s="35"/>
      <c r="R279" s="35"/>
      <c r="S279" s="35"/>
      <c r="T279" s="35"/>
      <c r="U279" s="35"/>
      <c r="V279" s="35"/>
      <c r="W279" s="35"/>
      <c r="X279" s="35"/>
      <c r="Y279" s="35"/>
      <c r="Z279" s="35"/>
      <c r="AA279" s="35"/>
    </row>
    <row r="280" ht="14.25" customHeight="1">
      <c r="A280" s="83"/>
      <c r="B280" s="84"/>
      <c r="C280" s="111"/>
      <c r="D280" s="101"/>
      <c r="E280" s="85"/>
      <c r="F280" s="85"/>
      <c r="G280" s="112"/>
      <c r="H280" s="88"/>
      <c r="I280" s="36">
        <f t="shared" si="8"/>
        <v>0</v>
      </c>
      <c r="J280" s="37">
        <f t="shared" si="9"/>
        <v>0</v>
      </c>
      <c r="K280" s="38">
        <f t="shared" si="10"/>
        <v>0</v>
      </c>
      <c r="L280" s="39">
        <f t="shared" si="11"/>
        <v>0</v>
      </c>
      <c r="M280" s="38">
        <f t="shared" si="12"/>
        <v>0</v>
      </c>
      <c r="N280" s="39">
        <f t="shared" si="21"/>
        <v>0</v>
      </c>
      <c r="O280" s="40"/>
      <c r="P280" s="34"/>
      <c r="Q280" s="35"/>
      <c r="R280" s="35"/>
      <c r="S280" s="35"/>
      <c r="T280" s="35"/>
      <c r="U280" s="35"/>
      <c r="V280" s="35"/>
      <c r="W280" s="35"/>
      <c r="X280" s="35"/>
      <c r="Y280" s="35"/>
      <c r="Z280" s="35"/>
      <c r="AA280" s="35"/>
    </row>
    <row r="281" ht="14.25" customHeight="1">
      <c r="A281" s="83"/>
      <c r="B281" s="84"/>
      <c r="C281" s="111"/>
      <c r="D281" s="101"/>
      <c r="E281" s="85"/>
      <c r="F281" s="85"/>
      <c r="G281" s="112"/>
      <c r="H281" s="88"/>
      <c r="I281" s="36">
        <f t="shared" si="8"/>
        <v>0</v>
      </c>
      <c r="J281" s="37">
        <f t="shared" si="9"/>
        <v>0</v>
      </c>
      <c r="K281" s="38">
        <f t="shared" si="10"/>
        <v>0</v>
      </c>
      <c r="L281" s="39">
        <f t="shared" si="11"/>
        <v>0</v>
      </c>
      <c r="M281" s="38">
        <f t="shared" si="12"/>
        <v>0</v>
      </c>
      <c r="N281" s="39">
        <f t="shared" si="21"/>
        <v>0</v>
      </c>
      <c r="O281" s="40"/>
      <c r="P281" s="34"/>
      <c r="Q281" s="35"/>
      <c r="R281" s="35"/>
      <c r="S281" s="35"/>
      <c r="T281" s="35"/>
      <c r="U281" s="35"/>
      <c r="V281" s="35"/>
      <c r="W281" s="35"/>
      <c r="X281" s="35"/>
      <c r="Y281" s="35"/>
      <c r="Z281" s="35"/>
      <c r="AA281" s="35"/>
    </row>
    <row r="282" ht="14.25" customHeight="1">
      <c r="A282" s="83"/>
      <c r="B282" s="84"/>
      <c r="C282" s="111"/>
      <c r="D282" s="101"/>
      <c r="E282" s="85"/>
      <c r="F282" s="85"/>
      <c r="G282" s="112"/>
      <c r="H282" s="88"/>
      <c r="I282" s="36">
        <f t="shared" si="8"/>
        <v>0</v>
      </c>
      <c r="J282" s="37">
        <f t="shared" si="9"/>
        <v>0</v>
      </c>
      <c r="K282" s="38">
        <f t="shared" si="10"/>
        <v>0</v>
      </c>
      <c r="L282" s="39">
        <f t="shared" si="11"/>
        <v>0</v>
      </c>
      <c r="M282" s="38">
        <f t="shared" si="12"/>
        <v>0</v>
      </c>
      <c r="N282" s="39">
        <f t="shared" si="21"/>
        <v>0</v>
      </c>
      <c r="O282" s="40"/>
      <c r="P282" s="34"/>
      <c r="Q282" s="35"/>
      <c r="R282" s="35"/>
      <c r="S282" s="35"/>
      <c r="T282" s="35"/>
      <c r="U282" s="35"/>
      <c r="V282" s="35"/>
      <c r="W282" s="35"/>
      <c r="X282" s="35"/>
      <c r="Y282" s="35"/>
      <c r="Z282" s="35"/>
      <c r="AA282" s="35"/>
    </row>
    <row r="283" ht="14.25" customHeight="1">
      <c r="A283" s="83"/>
      <c r="B283" s="84"/>
      <c r="C283" s="111"/>
      <c r="D283" s="101"/>
      <c r="E283" s="85"/>
      <c r="F283" s="85"/>
      <c r="G283" s="112"/>
      <c r="H283" s="88"/>
      <c r="I283" s="36">
        <f t="shared" si="8"/>
        <v>0</v>
      </c>
      <c r="J283" s="37">
        <f t="shared" si="9"/>
        <v>0</v>
      </c>
      <c r="K283" s="38">
        <f t="shared" si="10"/>
        <v>0</v>
      </c>
      <c r="L283" s="39">
        <f t="shared" si="11"/>
        <v>0</v>
      </c>
      <c r="M283" s="38">
        <f t="shared" si="12"/>
        <v>0</v>
      </c>
      <c r="N283" s="39">
        <f t="shared" si="21"/>
        <v>0</v>
      </c>
      <c r="O283" s="40"/>
      <c r="P283" s="34"/>
      <c r="Q283" s="35"/>
      <c r="R283" s="35"/>
      <c r="S283" s="35"/>
      <c r="T283" s="35"/>
      <c r="U283" s="35"/>
      <c r="V283" s="35"/>
      <c r="W283" s="35"/>
      <c r="X283" s="35"/>
      <c r="Y283" s="35"/>
      <c r="Z283" s="35"/>
      <c r="AA283" s="35"/>
    </row>
    <row r="284" ht="14.25" customHeight="1">
      <c r="A284" s="83"/>
      <c r="B284" s="84"/>
      <c r="C284" s="111"/>
      <c r="D284" s="101"/>
      <c r="E284" s="85"/>
      <c r="F284" s="85"/>
      <c r="G284" s="112"/>
      <c r="H284" s="88"/>
      <c r="I284" s="36">
        <f t="shared" si="8"/>
        <v>0</v>
      </c>
      <c r="J284" s="37">
        <f t="shared" si="9"/>
        <v>0</v>
      </c>
      <c r="K284" s="38">
        <f t="shared" si="10"/>
        <v>0</v>
      </c>
      <c r="L284" s="39">
        <f t="shared" si="11"/>
        <v>0</v>
      </c>
      <c r="M284" s="38">
        <f t="shared" si="12"/>
        <v>0</v>
      </c>
      <c r="N284" s="39">
        <f t="shared" si="21"/>
        <v>0</v>
      </c>
      <c r="O284" s="40"/>
      <c r="P284" s="34"/>
      <c r="Q284" s="35"/>
      <c r="R284" s="35"/>
      <c r="S284" s="35"/>
      <c r="T284" s="35"/>
      <c r="U284" s="35"/>
      <c r="V284" s="35"/>
      <c r="W284" s="35"/>
      <c r="X284" s="35"/>
      <c r="Y284" s="35"/>
      <c r="Z284" s="35"/>
      <c r="AA284" s="35"/>
    </row>
    <row r="285" ht="14.25" customHeight="1">
      <c r="A285" s="83"/>
      <c r="B285" s="84"/>
      <c r="C285" s="111"/>
      <c r="D285" s="101"/>
      <c r="E285" s="85"/>
      <c r="F285" s="85"/>
      <c r="G285" s="112"/>
      <c r="H285" s="88"/>
      <c r="I285" s="36">
        <f t="shared" si="8"/>
        <v>0</v>
      </c>
      <c r="J285" s="37">
        <f t="shared" si="9"/>
        <v>0</v>
      </c>
      <c r="K285" s="38">
        <f t="shared" si="10"/>
        <v>0</v>
      </c>
      <c r="L285" s="39">
        <f t="shared" si="11"/>
        <v>0</v>
      </c>
      <c r="M285" s="38">
        <f t="shared" si="12"/>
        <v>0</v>
      </c>
      <c r="N285" s="39">
        <f t="shared" si="21"/>
        <v>0</v>
      </c>
      <c r="O285" s="40"/>
      <c r="P285" s="34"/>
      <c r="Q285" s="35"/>
      <c r="R285" s="35"/>
      <c r="S285" s="35"/>
      <c r="T285" s="35"/>
      <c r="U285" s="35"/>
      <c r="V285" s="35"/>
      <c r="W285" s="35"/>
      <c r="X285" s="35"/>
      <c r="Y285" s="35"/>
      <c r="Z285" s="35"/>
      <c r="AA285" s="35"/>
    </row>
    <row r="286" ht="14.25" customHeight="1">
      <c r="A286" s="83"/>
      <c r="B286" s="84"/>
      <c r="C286" s="111"/>
      <c r="D286" s="101"/>
      <c r="E286" s="85"/>
      <c r="F286" s="85"/>
      <c r="G286" s="112"/>
      <c r="H286" s="88"/>
      <c r="I286" s="36">
        <f t="shared" si="8"/>
        <v>0</v>
      </c>
      <c r="J286" s="37">
        <f t="shared" si="9"/>
        <v>0</v>
      </c>
      <c r="K286" s="38">
        <f t="shared" si="10"/>
        <v>0</v>
      </c>
      <c r="L286" s="39">
        <f t="shared" si="11"/>
        <v>0</v>
      </c>
      <c r="M286" s="38">
        <f t="shared" si="12"/>
        <v>0</v>
      </c>
      <c r="N286" s="39">
        <f t="shared" si="21"/>
        <v>0</v>
      </c>
      <c r="O286" s="40"/>
      <c r="P286" s="34"/>
      <c r="Q286" s="35"/>
      <c r="R286" s="35"/>
      <c r="S286" s="35"/>
      <c r="T286" s="35"/>
      <c r="U286" s="35"/>
      <c r="V286" s="35"/>
      <c r="W286" s="35"/>
      <c r="X286" s="35"/>
      <c r="Y286" s="35"/>
      <c r="Z286" s="35"/>
      <c r="AA286" s="35"/>
    </row>
    <row r="287" ht="14.25" customHeight="1">
      <c r="A287" s="83"/>
      <c r="B287" s="84"/>
      <c r="C287" s="113"/>
      <c r="D287" s="101"/>
      <c r="E287" s="85"/>
      <c r="F287" s="85"/>
      <c r="G287" s="114"/>
      <c r="H287" s="88"/>
      <c r="I287" s="36">
        <f t="shared" si="8"/>
        <v>0</v>
      </c>
      <c r="J287" s="37">
        <f t="shared" si="9"/>
        <v>0</v>
      </c>
      <c r="K287" s="38">
        <f t="shared" si="10"/>
        <v>0</v>
      </c>
      <c r="L287" s="39">
        <f t="shared" si="11"/>
        <v>0</v>
      </c>
      <c r="M287" s="38">
        <f t="shared" si="12"/>
        <v>0</v>
      </c>
      <c r="N287" s="39">
        <f t="shared" si="21"/>
        <v>0</v>
      </c>
      <c r="O287" s="40"/>
      <c r="P287" s="34"/>
      <c r="Q287" s="35"/>
      <c r="R287" s="35"/>
      <c r="S287" s="35"/>
      <c r="T287" s="35"/>
      <c r="U287" s="35"/>
      <c r="V287" s="35"/>
      <c r="W287" s="35"/>
      <c r="X287" s="35"/>
      <c r="Y287" s="35"/>
      <c r="Z287" s="35"/>
      <c r="AA287" s="35"/>
    </row>
    <row r="288" ht="14.25" customHeight="1">
      <c r="A288" s="83"/>
      <c r="B288" s="84"/>
      <c r="C288" s="108"/>
      <c r="D288" s="101"/>
      <c r="E288" s="85"/>
      <c r="F288" s="85"/>
      <c r="G288" s="112"/>
      <c r="H288" s="88"/>
      <c r="I288" s="36">
        <f t="shared" si="8"/>
        <v>0</v>
      </c>
      <c r="J288" s="37">
        <f t="shared" si="9"/>
        <v>0</v>
      </c>
      <c r="K288" s="38">
        <f t="shared" si="10"/>
        <v>0</v>
      </c>
      <c r="L288" s="39">
        <f t="shared" si="11"/>
        <v>0</v>
      </c>
      <c r="M288" s="38">
        <f t="shared" si="12"/>
        <v>0</v>
      </c>
      <c r="N288" s="39">
        <f t="shared" si="21"/>
        <v>0</v>
      </c>
      <c r="O288" s="40"/>
      <c r="P288" s="34"/>
      <c r="Q288" s="35"/>
      <c r="R288" s="35"/>
      <c r="S288" s="35"/>
      <c r="T288" s="35"/>
      <c r="U288" s="35"/>
      <c r="V288" s="35"/>
      <c r="W288" s="35"/>
      <c r="X288" s="35"/>
      <c r="Y288" s="35"/>
      <c r="Z288" s="35"/>
      <c r="AA288" s="35"/>
    </row>
    <row r="289" ht="14.25" customHeight="1">
      <c r="A289" s="83"/>
      <c r="B289" s="84"/>
      <c r="C289" s="108"/>
      <c r="D289" s="101"/>
      <c r="E289" s="101"/>
      <c r="F289" s="101"/>
      <c r="G289" s="112"/>
      <c r="H289" s="88"/>
      <c r="I289" s="36">
        <f t="shared" si="8"/>
        <v>0</v>
      </c>
      <c r="J289" s="37">
        <f t="shared" si="9"/>
        <v>0</v>
      </c>
      <c r="K289" s="38">
        <f t="shared" si="10"/>
        <v>0</v>
      </c>
      <c r="L289" s="39">
        <f t="shared" si="11"/>
        <v>0</v>
      </c>
      <c r="M289" s="38">
        <f t="shared" si="12"/>
        <v>0</v>
      </c>
      <c r="N289" s="39">
        <f t="shared" si="21"/>
        <v>0</v>
      </c>
      <c r="O289" s="40"/>
      <c r="P289" s="34"/>
      <c r="Q289" s="35"/>
      <c r="R289" s="35"/>
      <c r="S289" s="35"/>
      <c r="T289" s="35"/>
      <c r="U289" s="35"/>
      <c r="V289" s="35"/>
      <c r="W289" s="35"/>
      <c r="X289" s="35"/>
      <c r="Y289" s="35"/>
      <c r="Z289" s="35"/>
      <c r="AA289" s="35"/>
    </row>
    <row r="290" ht="14.25" customHeight="1">
      <c r="A290" s="83"/>
      <c r="B290" s="84"/>
      <c r="C290" s="108"/>
      <c r="D290" s="101"/>
      <c r="E290" s="101"/>
      <c r="F290" s="101"/>
      <c r="G290" s="112"/>
      <c r="H290" s="88"/>
      <c r="I290" s="36">
        <f t="shared" si="8"/>
        <v>0</v>
      </c>
      <c r="J290" s="37">
        <f t="shared" si="9"/>
        <v>0</v>
      </c>
      <c r="K290" s="38">
        <f t="shared" si="10"/>
        <v>0</v>
      </c>
      <c r="L290" s="39">
        <f t="shared" si="11"/>
        <v>0</v>
      </c>
      <c r="M290" s="38">
        <f t="shared" si="12"/>
        <v>0</v>
      </c>
      <c r="N290" s="39">
        <f t="shared" si="21"/>
        <v>0</v>
      </c>
      <c r="O290" s="40"/>
      <c r="P290" s="34"/>
      <c r="Q290" s="35"/>
      <c r="R290" s="35"/>
      <c r="S290" s="35"/>
      <c r="T290" s="35"/>
      <c r="U290" s="35"/>
      <c r="V290" s="35"/>
      <c r="W290" s="35"/>
      <c r="X290" s="35"/>
      <c r="Y290" s="35"/>
      <c r="Z290" s="35"/>
      <c r="AA290" s="35"/>
    </row>
    <row r="291" ht="14.25" customHeight="1">
      <c r="A291" s="83"/>
      <c r="B291" s="84"/>
      <c r="C291" s="108"/>
      <c r="D291" s="101"/>
      <c r="E291" s="101"/>
      <c r="F291" s="101"/>
      <c r="G291" s="112"/>
      <c r="H291" s="88"/>
      <c r="I291" s="36">
        <f t="shared" si="8"/>
        <v>0</v>
      </c>
      <c r="J291" s="37">
        <f t="shared" si="9"/>
        <v>0</v>
      </c>
      <c r="K291" s="38">
        <f t="shared" si="10"/>
        <v>0</v>
      </c>
      <c r="L291" s="39">
        <f t="shared" si="11"/>
        <v>0</v>
      </c>
      <c r="M291" s="38">
        <f t="shared" si="12"/>
        <v>0</v>
      </c>
      <c r="N291" s="39">
        <f t="shared" si="21"/>
        <v>0</v>
      </c>
      <c r="O291" s="40"/>
      <c r="P291" s="34"/>
      <c r="Q291" s="35"/>
      <c r="R291" s="35"/>
      <c r="S291" s="35"/>
      <c r="T291" s="35"/>
      <c r="U291" s="35"/>
      <c r="V291" s="35"/>
      <c r="W291" s="35"/>
      <c r="X291" s="35"/>
      <c r="Y291" s="35"/>
      <c r="Z291" s="35"/>
      <c r="AA291" s="35"/>
    </row>
    <row r="292" ht="14.25" customHeight="1">
      <c r="A292" s="83"/>
      <c r="B292" s="84"/>
      <c r="C292" s="108"/>
      <c r="D292" s="101"/>
      <c r="E292" s="101"/>
      <c r="F292" s="101"/>
      <c r="G292" s="112"/>
      <c r="H292" s="88"/>
      <c r="I292" s="36">
        <f t="shared" si="8"/>
        <v>0</v>
      </c>
      <c r="J292" s="37">
        <f t="shared" si="9"/>
        <v>0</v>
      </c>
      <c r="K292" s="38">
        <f t="shared" si="10"/>
        <v>0</v>
      </c>
      <c r="L292" s="39">
        <f t="shared" si="11"/>
        <v>0</v>
      </c>
      <c r="M292" s="38">
        <f t="shared" si="12"/>
        <v>0</v>
      </c>
      <c r="N292" s="39">
        <f t="shared" si="21"/>
        <v>0</v>
      </c>
      <c r="O292" s="40"/>
      <c r="P292" s="34"/>
      <c r="Q292" s="35"/>
      <c r="R292" s="35"/>
      <c r="S292" s="35"/>
      <c r="T292" s="35"/>
      <c r="U292" s="35"/>
      <c r="V292" s="35"/>
      <c r="W292" s="35"/>
      <c r="X292" s="35"/>
      <c r="Y292" s="35"/>
      <c r="Z292" s="35"/>
      <c r="AA292" s="35"/>
    </row>
    <row r="293" ht="14.25" customHeight="1">
      <c r="A293" s="83"/>
      <c r="B293" s="84"/>
      <c r="C293" s="115"/>
      <c r="D293" s="100"/>
      <c r="E293" s="101"/>
      <c r="F293" s="101"/>
      <c r="G293" s="114"/>
      <c r="H293" s="88"/>
      <c r="I293" s="36">
        <f t="shared" si="8"/>
        <v>0</v>
      </c>
      <c r="J293" s="37">
        <f t="shared" si="9"/>
        <v>0</v>
      </c>
      <c r="K293" s="38">
        <f t="shared" si="10"/>
        <v>0</v>
      </c>
      <c r="L293" s="39">
        <f t="shared" si="11"/>
        <v>0</v>
      </c>
      <c r="M293" s="38">
        <f t="shared" si="12"/>
        <v>0</v>
      </c>
      <c r="N293" s="39">
        <f t="shared" si="21"/>
        <v>0</v>
      </c>
      <c r="O293" s="40"/>
      <c r="P293" s="34"/>
      <c r="Q293" s="35"/>
      <c r="R293" s="35"/>
      <c r="S293" s="35"/>
      <c r="T293" s="35"/>
      <c r="U293" s="35"/>
      <c r="V293" s="35"/>
      <c r="W293" s="35"/>
      <c r="X293" s="35"/>
      <c r="Y293" s="35"/>
      <c r="Z293" s="35"/>
      <c r="AA293" s="35"/>
    </row>
    <row r="294" ht="14.25" customHeight="1">
      <c r="A294" s="83"/>
      <c r="B294" s="84"/>
      <c r="C294" s="113"/>
      <c r="D294" s="100"/>
      <c r="E294" s="101"/>
      <c r="F294" s="101"/>
      <c r="G294" s="114"/>
      <c r="H294" s="88"/>
      <c r="I294" s="36">
        <f t="shared" si="8"/>
        <v>0</v>
      </c>
      <c r="J294" s="37">
        <f t="shared" si="9"/>
        <v>0</v>
      </c>
      <c r="K294" s="38">
        <f t="shared" si="10"/>
        <v>0</v>
      </c>
      <c r="L294" s="39">
        <f t="shared" si="11"/>
        <v>0</v>
      </c>
      <c r="M294" s="38">
        <f t="shared" si="12"/>
        <v>0</v>
      </c>
      <c r="N294" s="39">
        <f t="shared" si="21"/>
        <v>0</v>
      </c>
      <c r="O294" s="40"/>
      <c r="P294" s="34"/>
      <c r="Q294" s="35"/>
      <c r="R294" s="35"/>
      <c r="S294" s="35"/>
      <c r="T294" s="35"/>
      <c r="U294" s="35"/>
      <c r="V294" s="35"/>
      <c r="W294" s="35"/>
      <c r="X294" s="35"/>
      <c r="Y294" s="35"/>
      <c r="Z294" s="35"/>
      <c r="AA294" s="35"/>
    </row>
    <row r="295" ht="14.25" customHeight="1">
      <c r="A295" s="83"/>
      <c r="B295" s="84"/>
      <c r="C295" s="113"/>
      <c r="D295" s="100"/>
      <c r="E295" s="100"/>
      <c r="F295" s="100"/>
      <c r="G295" s="114"/>
      <c r="H295" s="88"/>
      <c r="I295" s="36">
        <f t="shared" si="8"/>
        <v>0</v>
      </c>
      <c r="J295" s="37">
        <f t="shared" si="9"/>
        <v>0</v>
      </c>
      <c r="K295" s="38">
        <f t="shared" si="10"/>
        <v>0</v>
      </c>
      <c r="L295" s="39">
        <f t="shared" si="11"/>
        <v>0</v>
      </c>
      <c r="M295" s="38">
        <f t="shared" si="12"/>
        <v>0</v>
      </c>
      <c r="N295" s="39">
        <f t="shared" si="21"/>
        <v>0</v>
      </c>
      <c r="O295" s="40"/>
      <c r="P295" s="34"/>
      <c r="Q295" s="35"/>
      <c r="R295" s="35"/>
      <c r="S295" s="35"/>
      <c r="T295" s="35"/>
      <c r="U295" s="35"/>
      <c r="V295" s="35"/>
      <c r="W295" s="35"/>
      <c r="X295" s="35"/>
      <c r="Y295" s="35"/>
      <c r="Z295" s="35"/>
      <c r="AA295" s="35"/>
    </row>
    <row r="296" ht="14.25" customHeight="1">
      <c r="A296" s="83"/>
      <c r="B296" s="84"/>
      <c r="C296" s="111"/>
      <c r="D296" s="100"/>
      <c r="E296" s="101"/>
      <c r="F296" s="101"/>
      <c r="G296" s="112"/>
      <c r="H296" s="88"/>
      <c r="I296" s="36">
        <f t="shared" si="8"/>
        <v>0</v>
      </c>
      <c r="J296" s="37">
        <f t="shared" si="9"/>
        <v>0</v>
      </c>
      <c r="K296" s="38">
        <f t="shared" si="10"/>
        <v>0</v>
      </c>
      <c r="L296" s="39">
        <f t="shared" si="11"/>
        <v>0</v>
      </c>
      <c r="M296" s="38">
        <f t="shared" si="12"/>
        <v>0</v>
      </c>
      <c r="N296" s="39">
        <f t="shared" si="21"/>
        <v>0</v>
      </c>
      <c r="O296" s="40"/>
      <c r="P296" s="34"/>
      <c r="Q296" s="35"/>
      <c r="R296" s="35"/>
      <c r="S296" s="35"/>
      <c r="T296" s="35"/>
      <c r="U296" s="35"/>
      <c r="V296" s="35"/>
      <c r="W296" s="35"/>
      <c r="X296" s="35"/>
      <c r="Y296" s="35"/>
      <c r="Z296" s="35"/>
      <c r="AA296" s="35"/>
    </row>
    <row r="297" ht="14.25" customHeight="1">
      <c r="A297" s="83"/>
      <c r="B297" s="84"/>
      <c r="C297" s="115"/>
      <c r="D297" s="100"/>
      <c r="E297" s="101"/>
      <c r="F297" s="101"/>
      <c r="G297" s="114"/>
      <c r="H297" s="88"/>
      <c r="I297" s="36">
        <f t="shared" si="8"/>
        <v>0</v>
      </c>
      <c r="J297" s="37">
        <f t="shared" si="9"/>
        <v>0</v>
      </c>
      <c r="K297" s="38">
        <f t="shared" si="10"/>
        <v>0</v>
      </c>
      <c r="L297" s="39">
        <f t="shared" si="11"/>
        <v>0</v>
      </c>
      <c r="M297" s="38">
        <f t="shared" si="12"/>
        <v>0</v>
      </c>
      <c r="N297" s="39">
        <f t="shared" si="21"/>
        <v>0</v>
      </c>
      <c r="O297" s="40"/>
      <c r="P297" s="34"/>
      <c r="Q297" s="35"/>
      <c r="R297" s="35"/>
      <c r="S297" s="35"/>
      <c r="T297" s="35"/>
      <c r="U297" s="35"/>
      <c r="V297" s="35"/>
      <c r="W297" s="35"/>
      <c r="X297" s="35"/>
      <c r="Y297" s="35"/>
      <c r="Z297" s="35"/>
      <c r="AA297" s="35"/>
    </row>
    <row r="298" ht="14.25" customHeight="1">
      <c r="A298" s="83"/>
      <c r="B298" s="84"/>
      <c r="C298" s="113"/>
      <c r="D298" s="100"/>
      <c r="E298" s="101"/>
      <c r="F298" s="101"/>
      <c r="G298" s="112"/>
      <c r="H298" s="88"/>
      <c r="I298" s="36">
        <f t="shared" si="8"/>
        <v>0</v>
      </c>
      <c r="J298" s="37">
        <f t="shared" si="9"/>
        <v>0</v>
      </c>
      <c r="K298" s="38">
        <f t="shared" si="10"/>
        <v>0</v>
      </c>
      <c r="L298" s="39">
        <f t="shared" si="11"/>
        <v>0</v>
      </c>
      <c r="M298" s="38">
        <f t="shared" si="12"/>
        <v>0</v>
      </c>
      <c r="N298" s="39">
        <f t="shared" si="21"/>
        <v>0</v>
      </c>
      <c r="O298" s="40"/>
      <c r="P298" s="34"/>
      <c r="Q298" s="35"/>
      <c r="R298" s="35"/>
      <c r="S298" s="35"/>
      <c r="T298" s="35"/>
      <c r="U298" s="35"/>
      <c r="V298" s="35"/>
      <c r="W298" s="35"/>
      <c r="X298" s="35"/>
      <c r="Y298" s="35"/>
      <c r="Z298" s="35"/>
      <c r="AA298" s="35"/>
    </row>
    <row r="299" ht="14.25" customHeight="1">
      <c r="A299" s="83"/>
      <c r="B299" s="84"/>
      <c r="C299" s="113"/>
      <c r="D299" s="100"/>
      <c r="E299" s="101"/>
      <c r="F299" s="101"/>
      <c r="G299" s="114"/>
      <c r="H299" s="88"/>
      <c r="I299" s="36">
        <f t="shared" si="8"/>
        <v>0</v>
      </c>
      <c r="J299" s="37">
        <f t="shared" si="9"/>
        <v>0</v>
      </c>
      <c r="K299" s="38">
        <f t="shared" si="10"/>
        <v>0</v>
      </c>
      <c r="L299" s="39">
        <f t="shared" si="11"/>
        <v>0</v>
      </c>
      <c r="M299" s="38">
        <f t="shared" si="12"/>
        <v>0</v>
      </c>
      <c r="N299" s="39">
        <f t="shared" si="21"/>
        <v>0</v>
      </c>
      <c r="O299" s="40"/>
      <c r="P299" s="34"/>
      <c r="Q299" s="35"/>
      <c r="R299" s="35"/>
      <c r="S299" s="35"/>
      <c r="T299" s="35"/>
      <c r="U299" s="35"/>
      <c r="V299" s="35"/>
      <c r="W299" s="35"/>
      <c r="X299" s="35"/>
      <c r="Y299" s="35"/>
      <c r="Z299" s="35"/>
      <c r="AA299" s="35"/>
    </row>
    <row r="300" ht="14.25" customHeight="1">
      <c r="A300" s="83"/>
      <c r="B300" s="84"/>
      <c r="C300" s="108"/>
      <c r="D300" s="100"/>
      <c r="E300" s="101"/>
      <c r="F300" s="101"/>
      <c r="G300" s="107"/>
      <c r="H300" s="88"/>
      <c r="I300" s="36">
        <f t="shared" si="8"/>
        <v>0</v>
      </c>
      <c r="J300" s="37">
        <f t="shared" si="9"/>
        <v>0</v>
      </c>
      <c r="K300" s="38">
        <f t="shared" si="10"/>
        <v>0</v>
      </c>
      <c r="L300" s="39">
        <f t="shared" si="11"/>
        <v>0</v>
      </c>
      <c r="M300" s="38">
        <f t="shared" si="12"/>
        <v>0</v>
      </c>
      <c r="N300" s="39">
        <f t="shared" si="21"/>
        <v>0</v>
      </c>
      <c r="O300" s="40"/>
      <c r="P300" s="34"/>
      <c r="Q300" s="35"/>
      <c r="R300" s="35"/>
      <c r="S300" s="35"/>
      <c r="T300" s="35"/>
      <c r="U300" s="35"/>
      <c r="V300" s="35"/>
      <c r="W300" s="35"/>
      <c r="X300" s="35"/>
      <c r="Y300" s="35"/>
      <c r="Z300" s="35"/>
      <c r="AA300" s="35"/>
    </row>
    <row r="301" ht="14.25" customHeight="1">
      <c r="A301" s="83"/>
      <c r="B301" s="84"/>
      <c r="C301" s="108"/>
      <c r="D301" s="100"/>
      <c r="E301" s="101"/>
      <c r="F301" s="101"/>
      <c r="G301" s="114"/>
      <c r="H301" s="88"/>
      <c r="I301" s="36">
        <f t="shared" si="8"/>
        <v>0</v>
      </c>
      <c r="J301" s="37">
        <f t="shared" si="9"/>
        <v>0</v>
      </c>
      <c r="K301" s="38">
        <f t="shared" si="10"/>
        <v>0</v>
      </c>
      <c r="L301" s="39">
        <f t="shared" si="11"/>
        <v>0</v>
      </c>
      <c r="M301" s="38">
        <f t="shared" si="12"/>
        <v>0</v>
      </c>
      <c r="N301" s="39">
        <f t="shared" si="21"/>
        <v>0</v>
      </c>
      <c r="O301" s="40"/>
      <c r="P301" s="34"/>
      <c r="Q301" s="35"/>
      <c r="R301" s="35"/>
      <c r="S301" s="35"/>
      <c r="T301" s="35"/>
      <c r="U301" s="35"/>
      <c r="V301" s="35"/>
      <c r="W301" s="35"/>
      <c r="X301" s="35"/>
      <c r="Y301" s="35"/>
      <c r="Z301" s="35"/>
      <c r="AA301" s="35"/>
    </row>
    <row r="302" ht="14.25" customHeight="1">
      <c r="A302" s="83"/>
      <c r="B302" s="84"/>
      <c r="C302" s="113"/>
      <c r="D302" s="100"/>
      <c r="E302" s="101"/>
      <c r="F302" s="101"/>
      <c r="G302" s="112"/>
      <c r="H302" s="88"/>
      <c r="I302" s="36">
        <f t="shared" si="8"/>
        <v>0</v>
      </c>
      <c r="J302" s="37">
        <f t="shared" si="9"/>
        <v>0</v>
      </c>
      <c r="K302" s="38">
        <f t="shared" si="10"/>
        <v>0</v>
      </c>
      <c r="L302" s="39">
        <f t="shared" si="11"/>
        <v>0</v>
      </c>
      <c r="M302" s="38">
        <f t="shared" si="12"/>
        <v>0</v>
      </c>
      <c r="N302" s="39">
        <f t="shared" si="21"/>
        <v>0</v>
      </c>
      <c r="O302" s="40"/>
      <c r="P302" s="34"/>
      <c r="Q302" s="35"/>
      <c r="R302" s="35"/>
      <c r="S302" s="35"/>
      <c r="T302" s="35"/>
      <c r="U302" s="35"/>
      <c r="V302" s="35"/>
      <c r="W302" s="35"/>
      <c r="X302" s="35"/>
      <c r="Y302" s="35"/>
      <c r="Z302" s="35"/>
      <c r="AA302" s="35"/>
    </row>
    <row r="303" ht="14.25" customHeight="1">
      <c r="A303" s="83"/>
      <c r="B303" s="84"/>
      <c r="C303" s="108"/>
      <c r="D303" s="101"/>
      <c r="E303" s="101"/>
      <c r="F303" s="101"/>
      <c r="G303" s="112"/>
      <c r="H303" s="88"/>
      <c r="I303" s="36">
        <f t="shared" si="8"/>
        <v>0</v>
      </c>
      <c r="J303" s="37">
        <f t="shared" si="9"/>
        <v>0</v>
      </c>
      <c r="K303" s="38">
        <f t="shared" si="10"/>
        <v>0</v>
      </c>
      <c r="L303" s="39">
        <f t="shared" si="11"/>
        <v>0</v>
      </c>
      <c r="M303" s="38">
        <f t="shared" si="12"/>
        <v>0</v>
      </c>
      <c r="N303" s="39">
        <f t="shared" si="21"/>
        <v>0</v>
      </c>
      <c r="O303" s="40"/>
      <c r="P303" s="34"/>
      <c r="Q303" s="35"/>
      <c r="R303" s="35"/>
      <c r="S303" s="35"/>
      <c r="T303" s="35"/>
      <c r="U303" s="35"/>
      <c r="V303" s="35"/>
      <c r="W303" s="35"/>
      <c r="X303" s="35"/>
      <c r="Y303" s="35"/>
      <c r="Z303" s="35"/>
      <c r="AA303" s="35"/>
    </row>
    <row r="304" ht="14.25" customHeight="1">
      <c r="A304" s="83"/>
      <c r="B304" s="84"/>
      <c r="C304" s="108"/>
      <c r="D304" s="101"/>
      <c r="E304" s="101"/>
      <c r="F304" s="101"/>
      <c r="G304" s="112"/>
      <c r="H304" s="88"/>
      <c r="I304" s="36">
        <f t="shared" si="8"/>
        <v>0</v>
      </c>
      <c r="J304" s="37">
        <f t="shared" si="9"/>
        <v>0</v>
      </c>
      <c r="K304" s="38">
        <f t="shared" si="10"/>
        <v>0</v>
      </c>
      <c r="L304" s="39">
        <f t="shared" si="11"/>
        <v>0</v>
      </c>
      <c r="M304" s="38">
        <f t="shared" si="12"/>
        <v>0</v>
      </c>
      <c r="N304" s="39">
        <f t="shared" si="21"/>
        <v>0</v>
      </c>
      <c r="O304" s="40"/>
      <c r="P304" s="34"/>
      <c r="Q304" s="35"/>
      <c r="R304" s="35"/>
      <c r="S304" s="35"/>
      <c r="T304" s="35"/>
      <c r="U304" s="35"/>
      <c r="V304" s="35"/>
      <c r="W304" s="35"/>
      <c r="X304" s="35"/>
      <c r="Y304" s="35"/>
      <c r="Z304" s="35"/>
      <c r="AA304" s="35"/>
    </row>
    <row r="305" ht="14.25" customHeight="1">
      <c r="A305" s="83"/>
      <c r="B305" s="84"/>
      <c r="C305" s="108"/>
      <c r="D305" s="101"/>
      <c r="E305" s="101"/>
      <c r="F305" s="101"/>
      <c r="G305" s="112"/>
      <c r="H305" s="88"/>
      <c r="I305" s="36">
        <f t="shared" si="8"/>
        <v>0</v>
      </c>
      <c r="J305" s="37">
        <f t="shared" si="9"/>
        <v>0</v>
      </c>
      <c r="K305" s="38">
        <f t="shared" si="10"/>
        <v>0</v>
      </c>
      <c r="L305" s="39">
        <f t="shared" si="11"/>
        <v>0</v>
      </c>
      <c r="M305" s="38">
        <f t="shared" si="12"/>
        <v>0</v>
      </c>
      <c r="N305" s="39">
        <f t="shared" si="21"/>
        <v>0</v>
      </c>
      <c r="O305" s="40"/>
      <c r="P305" s="34"/>
      <c r="Q305" s="35"/>
      <c r="R305" s="35"/>
      <c r="S305" s="35"/>
      <c r="T305" s="35"/>
      <c r="U305" s="35"/>
      <c r="V305" s="35"/>
      <c r="W305" s="35"/>
      <c r="X305" s="35"/>
      <c r="Y305" s="35"/>
      <c r="Z305" s="35"/>
      <c r="AA305" s="35"/>
    </row>
    <row r="306" ht="14.25" customHeight="1">
      <c r="A306" s="83"/>
      <c r="B306" s="84"/>
      <c r="C306" s="116"/>
      <c r="D306" s="100"/>
      <c r="E306" s="117"/>
      <c r="F306" s="117"/>
      <c r="G306" s="118"/>
      <c r="H306" s="88"/>
      <c r="I306" s="36">
        <f t="shared" si="8"/>
        <v>0</v>
      </c>
      <c r="J306" s="37">
        <f t="shared" si="9"/>
        <v>0</v>
      </c>
      <c r="K306" s="38">
        <f t="shared" si="10"/>
        <v>0</v>
      </c>
      <c r="L306" s="39">
        <f t="shared" si="11"/>
        <v>0</v>
      </c>
      <c r="M306" s="38">
        <f t="shared" si="12"/>
        <v>0</v>
      </c>
      <c r="N306" s="39">
        <f t="shared" si="21"/>
        <v>0</v>
      </c>
      <c r="O306" s="40"/>
      <c r="P306" s="34"/>
      <c r="Q306" s="35"/>
      <c r="R306" s="35"/>
      <c r="S306" s="35"/>
      <c r="T306" s="35"/>
      <c r="U306" s="35"/>
      <c r="V306" s="35"/>
      <c r="W306" s="35"/>
      <c r="X306" s="35"/>
      <c r="Y306" s="35"/>
      <c r="Z306" s="35"/>
      <c r="AA306" s="35"/>
    </row>
    <row r="307" ht="14.25" customHeight="1">
      <c r="A307" s="83"/>
      <c r="B307" s="84"/>
      <c r="C307" s="116"/>
      <c r="D307" s="100"/>
      <c r="E307" s="117"/>
      <c r="F307" s="117"/>
      <c r="G307" s="118"/>
      <c r="H307" s="88"/>
      <c r="I307" s="36">
        <f t="shared" si="8"/>
        <v>0</v>
      </c>
      <c r="J307" s="37">
        <f t="shared" si="9"/>
        <v>0</v>
      </c>
      <c r="K307" s="38">
        <f t="shared" si="10"/>
        <v>0</v>
      </c>
      <c r="L307" s="39">
        <f t="shared" si="11"/>
        <v>0</v>
      </c>
      <c r="M307" s="38">
        <f t="shared" si="12"/>
        <v>0</v>
      </c>
      <c r="N307" s="39">
        <f t="shared" si="21"/>
        <v>0</v>
      </c>
      <c r="O307" s="40"/>
      <c r="P307" s="34"/>
      <c r="Q307" s="35"/>
      <c r="R307" s="35"/>
      <c r="S307" s="35"/>
      <c r="T307" s="35"/>
      <c r="U307" s="35"/>
      <c r="V307" s="35"/>
      <c r="W307" s="35"/>
      <c r="X307" s="35"/>
      <c r="Y307" s="35"/>
      <c r="Z307" s="35"/>
      <c r="AA307" s="35"/>
    </row>
    <row r="308" ht="14.25" customHeight="1">
      <c r="A308" s="83"/>
      <c r="B308" s="84"/>
      <c r="C308" s="116"/>
      <c r="D308" s="100"/>
      <c r="E308" s="117"/>
      <c r="F308" s="117"/>
      <c r="G308" s="118"/>
      <c r="H308" s="88"/>
      <c r="I308" s="36">
        <f t="shared" si="8"/>
        <v>0</v>
      </c>
      <c r="J308" s="37">
        <f t="shared" si="9"/>
        <v>0</v>
      </c>
      <c r="K308" s="38">
        <f t="shared" si="10"/>
        <v>0</v>
      </c>
      <c r="L308" s="39">
        <f t="shared" si="11"/>
        <v>0</v>
      </c>
      <c r="M308" s="38">
        <f t="shared" si="12"/>
        <v>0</v>
      </c>
      <c r="N308" s="39">
        <f t="shared" si="21"/>
        <v>0</v>
      </c>
      <c r="O308" s="40"/>
      <c r="P308" s="34"/>
      <c r="Q308" s="35"/>
      <c r="R308" s="35"/>
      <c r="S308" s="35"/>
      <c r="T308" s="35"/>
      <c r="U308" s="35"/>
      <c r="V308" s="35"/>
      <c r="W308" s="35"/>
      <c r="X308" s="35"/>
      <c r="Y308" s="35"/>
      <c r="Z308" s="35"/>
      <c r="AA308" s="35"/>
    </row>
    <row r="309" ht="14.25" customHeight="1">
      <c r="A309" s="83"/>
      <c r="B309" s="84"/>
      <c r="C309" s="116"/>
      <c r="D309" s="100"/>
      <c r="E309" s="117"/>
      <c r="F309" s="117"/>
      <c r="G309" s="118"/>
      <c r="H309" s="88"/>
      <c r="I309" s="36">
        <f t="shared" si="8"/>
        <v>0</v>
      </c>
      <c r="J309" s="37">
        <f t="shared" si="9"/>
        <v>0</v>
      </c>
      <c r="K309" s="38">
        <f t="shared" si="10"/>
        <v>0</v>
      </c>
      <c r="L309" s="39">
        <f t="shared" si="11"/>
        <v>0</v>
      </c>
      <c r="M309" s="38">
        <f t="shared" si="12"/>
        <v>0</v>
      </c>
      <c r="N309" s="39">
        <f t="shared" si="21"/>
        <v>0</v>
      </c>
      <c r="O309" s="40"/>
      <c r="P309" s="34"/>
      <c r="Q309" s="35"/>
      <c r="R309" s="35"/>
      <c r="S309" s="35"/>
      <c r="T309" s="35"/>
      <c r="U309" s="35"/>
      <c r="V309" s="35"/>
      <c r="W309" s="35"/>
      <c r="X309" s="35"/>
      <c r="Y309" s="35"/>
      <c r="Z309" s="35"/>
      <c r="AA309" s="35"/>
    </row>
    <row r="310" ht="14.25" customHeight="1">
      <c r="A310" s="83"/>
      <c r="B310" s="84"/>
      <c r="C310" s="116"/>
      <c r="D310" s="100"/>
      <c r="E310" s="117"/>
      <c r="F310" s="117"/>
      <c r="G310" s="118"/>
      <c r="H310" s="88"/>
      <c r="I310" s="36">
        <f t="shared" si="8"/>
        <v>0</v>
      </c>
      <c r="J310" s="37">
        <f t="shared" si="9"/>
        <v>0</v>
      </c>
      <c r="K310" s="38">
        <f t="shared" si="10"/>
        <v>0</v>
      </c>
      <c r="L310" s="39">
        <f t="shared" si="11"/>
        <v>0</v>
      </c>
      <c r="M310" s="38">
        <f t="shared" si="12"/>
        <v>0</v>
      </c>
      <c r="N310" s="39">
        <f t="shared" si="21"/>
        <v>0</v>
      </c>
      <c r="O310" s="40"/>
      <c r="P310" s="34"/>
      <c r="Q310" s="35"/>
      <c r="R310" s="35"/>
      <c r="S310" s="35"/>
      <c r="T310" s="35"/>
      <c r="U310" s="35"/>
      <c r="V310" s="35"/>
      <c r="W310" s="35"/>
      <c r="X310" s="35"/>
      <c r="Y310" s="35"/>
      <c r="Z310" s="35"/>
      <c r="AA310" s="35"/>
    </row>
    <row r="311" ht="14.25" customHeight="1">
      <c r="A311" s="83"/>
      <c r="B311" s="84"/>
      <c r="C311" s="116"/>
      <c r="D311" s="100"/>
      <c r="E311" s="117"/>
      <c r="F311" s="117"/>
      <c r="G311" s="118"/>
      <c r="H311" s="88"/>
      <c r="I311" s="36">
        <f t="shared" si="8"/>
        <v>0</v>
      </c>
      <c r="J311" s="37">
        <f t="shared" si="9"/>
        <v>0</v>
      </c>
      <c r="K311" s="38">
        <f t="shared" si="10"/>
        <v>0</v>
      </c>
      <c r="L311" s="39">
        <f t="shared" si="11"/>
        <v>0</v>
      </c>
      <c r="M311" s="38">
        <f t="shared" si="12"/>
        <v>0</v>
      </c>
      <c r="N311" s="39">
        <f t="shared" si="21"/>
        <v>0</v>
      </c>
      <c r="O311" s="40"/>
      <c r="P311" s="34"/>
      <c r="Q311" s="35"/>
      <c r="R311" s="35"/>
      <c r="S311" s="35"/>
      <c r="T311" s="35"/>
      <c r="U311" s="35"/>
      <c r="V311" s="35"/>
      <c r="W311" s="35"/>
      <c r="X311" s="35"/>
      <c r="Y311" s="35"/>
      <c r="Z311" s="35"/>
      <c r="AA311" s="35"/>
    </row>
    <row r="312" ht="14.25" customHeight="1">
      <c r="A312" s="83"/>
      <c r="B312" s="84"/>
      <c r="C312" s="116"/>
      <c r="D312" s="100"/>
      <c r="E312" s="117"/>
      <c r="F312" s="117"/>
      <c r="G312" s="118"/>
      <c r="H312" s="88"/>
      <c r="I312" s="36">
        <f t="shared" si="8"/>
        <v>0</v>
      </c>
      <c r="J312" s="37">
        <f t="shared" si="9"/>
        <v>0</v>
      </c>
      <c r="K312" s="38">
        <f t="shared" si="10"/>
        <v>0</v>
      </c>
      <c r="L312" s="39">
        <f t="shared" si="11"/>
        <v>0</v>
      </c>
      <c r="M312" s="38">
        <f t="shared" si="12"/>
        <v>0</v>
      </c>
      <c r="N312" s="39">
        <f t="shared" si="21"/>
        <v>0</v>
      </c>
      <c r="O312" s="40"/>
      <c r="P312" s="34"/>
      <c r="Q312" s="35"/>
      <c r="R312" s="35"/>
      <c r="S312" s="35"/>
      <c r="T312" s="35"/>
      <c r="U312" s="35"/>
      <c r="V312" s="35"/>
      <c r="W312" s="35"/>
      <c r="X312" s="35"/>
      <c r="Y312" s="35"/>
      <c r="Z312" s="35"/>
      <c r="AA312" s="35"/>
    </row>
    <row r="313" ht="14.25" customHeight="1">
      <c r="A313" s="83"/>
      <c r="B313" s="84"/>
      <c r="C313" s="115"/>
      <c r="D313" s="100"/>
      <c r="E313" s="117"/>
      <c r="F313" s="117"/>
      <c r="G313" s="118"/>
      <c r="H313" s="88"/>
      <c r="I313" s="36">
        <f t="shared" si="8"/>
        <v>0</v>
      </c>
      <c r="J313" s="37">
        <f t="shared" si="9"/>
        <v>0</v>
      </c>
      <c r="K313" s="38">
        <f t="shared" si="10"/>
        <v>0</v>
      </c>
      <c r="L313" s="39">
        <f t="shared" si="11"/>
        <v>0</v>
      </c>
      <c r="M313" s="38">
        <f t="shared" si="12"/>
        <v>0</v>
      </c>
      <c r="N313" s="39">
        <f t="shared" si="21"/>
        <v>0</v>
      </c>
      <c r="O313" s="40"/>
      <c r="P313" s="34"/>
      <c r="Q313" s="35"/>
      <c r="R313" s="35"/>
      <c r="S313" s="35"/>
      <c r="T313" s="35"/>
      <c r="U313" s="35"/>
      <c r="V313" s="35"/>
      <c r="W313" s="35"/>
      <c r="X313" s="35"/>
      <c r="Y313" s="35"/>
      <c r="Z313" s="35"/>
      <c r="AA313" s="35"/>
    </row>
    <row r="314" ht="14.25" customHeight="1">
      <c r="A314" s="83"/>
      <c r="B314" s="84"/>
      <c r="C314" s="108"/>
      <c r="D314" s="100"/>
      <c r="E314" s="117"/>
      <c r="F314" s="117"/>
      <c r="G314" s="119"/>
      <c r="H314" s="88"/>
      <c r="I314" s="36">
        <f t="shared" si="8"/>
        <v>0</v>
      </c>
      <c r="J314" s="37">
        <f t="shared" si="9"/>
        <v>0</v>
      </c>
      <c r="K314" s="38">
        <f t="shared" si="10"/>
        <v>0</v>
      </c>
      <c r="L314" s="39">
        <f t="shared" si="11"/>
        <v>0</v>
      </c>
      <c r="M314" s="38">
        <f t="shared" si="12"/>
        <v>0</v>
      </c>
      <c r="N314" s="39">
        <f t="shared" si="21"/>
        <v>0</v>
      </c>
      <c r="O314" s="40"/>
      <c r="P314" s="34"/>
      <c r="Q314" s="35"/>
      <c r="R314" s="35"/>
      <c r="S314" s="35"/>
      <c r="T314" s="35"/>
      <c r="U314" s="35"/>
      <c r="V314" s="35"/>
      <c r="W314" s="35"/>
      <c r="X314" s="35"/>
      <c r="Y314" s="35"/>
      <c r="Z314" s="35"/>
      <c r="AA314" s="35"/>
    </row>
    <row r="315" ht="14.25" customHeight="1">
      <c r="A315" s="83"/>
      <c r="B315" s="84"/>
      <c r="C315" s="108"/>
      <c r="D315" s="100"/>
      <c r="E315" s="117"/>
      <c r="F315" s="117"/>
      <c r="G315" s="119"/>
      <c r="H315" s="88"/>
      <c r="I315" s="36">
        <f t="shared" si="8"/>
        <v>0</v>
      </c>
      <c r="J315" s="37">
        <f t="shared" si="9"/>
        <v>0</v>
      </c>
      <c r="K315" s="38">
        <f t="shared" si="10"/>
        <v>0</v>
      </c>
      <c r="L315" s="39">
        <f t="shared" si="11"/>
        <v>0</v>
      </c>
      <c r="M315" s="38">
        <f t="shared" si="12"/>
        <v>0</v>
      </c>
      <c r="N315" s="39">
        <f t="shared" si="21"/>
        <v>0</v>
      </c>
      <c r="O315" s="40"/>
      <c r="P315" s="34"/>
      <c r="Q315" s="35"/>
      <c r="R315" s="35"/>
      <c r="S315" s="35"/>
      <c r="T315" s="35"/>
      <c r="U315" s="35"/>
      <c r="V315" s="35"/>
      <c r="W315" s="35"/>
      <c r="X315" s="35"/>
      <c r="Y315" s="35"/>
      <c r="Z315" s="35"/>
      <c r="AA315" s="35"/>
    </row>
    <row r="316" ht="14.25" customHeight="1">
      <c r="A316" s="83"/>
      <c r="B316" s="84"/>
      <c r="C316" s="108"/>
      <c r="D316" s="100"/>
      <c r="E316" s="117"/>
      <c r="F316" s="117"/>
      <c r="G316" s="119"/>
      <c r="H316" s="88"/>
      <c r="I316" s="36">
        <f t="shared" si="8"/>
        <v>0</v>
      </c>
      <c r="J316" s="37">
        <f t="shared" si="9"/>
        <v>0</v>
      </c>
      <c r="K316" s="38">
        <f t="shared" si="10"/>
        <v>0</v>
      </c>
      <c r="L316" s="39">
        <f t="shared" si="11"/>
        <v>0</v>
      </c>
      <c r="M316" s="38">
        <f t="shared" si="12"/>
        <v>0</v>
      </c>
      <c r="N316" s="39">
        <f t="shared" si="21"/>
        <v>0</v>
      </c>
      <c r="O316" s="40"/>
      <c r="P316" s="34"/>
      <c r="Q316" s="35"/>
      <c r="R316" s="35"/>
      <c r="S316" s="35"/>
      <c r="T316" s="35"/>
      <c r="U316" s="35"/>
      <c r="V316" s="35"/>
      <c r="W316" s="35"/>
      <c r="X316" s="35"/>
      <c r="Y316" s="35"/>
      <c r="Z316" s="35"/>
      <c r="AA316" s="35"/>
    </row>
    <row r="317" ht="14.25" customHeight="1">
      <c r="A317" s="83"/>
      <c r="B317" s="84"/>
      <c r="C317" s="108"/>
      <c r="D317" s="85"/>
      <c r="E317" s="117"/>
      <c r="F317" s="117"/>
      <c r="G317" s="119"/>
      <c r="H317" s="88"/>
      <c r="I317" s="36">
        <f t="shared" si="8"/>
        <v>0</v>
      </c>
      <c r="J317" s="37">
        <f t="shared" si="9"/>
        <v>0</v>
      </c>
      <c r="K317" s="38">
        <f t="shared" si="10"/>
        <v>0</v>
      </c>
      <c r="L317" s="39">
        <f t="shared" si="11"/>
        <v>0</v>
      </c>
      <c r="M317" s="38">
        <f t="shared" si="12"/>
        <v>0</v>
      </c>
      <c r="N317" s="39">
        <f t="shared" si="21"/>
        <v>0</v>
      </c>
      <c r="O317" s="40"/>
      <c r="P317" s="34"/>
      <c r="Q317" s="35"/>
      <c r="R317" s="35"/>
      <c r="S317" s="35"/>
      <c r="T317" s="35"/>
      <c r="U317" s="35"/>
      <c r="V317" s="35"/>
      <c r="W317" s="35"/>
      <c r="X317" s="35"/>
      <c r="Y317" s="35"/>
      <c r="Z317" s="35"/>
      <c r="AA317" s="35"/>
    </row>
    <row r="318" ht="14.25" customHeight="1">
      <c r="A318" s="83"/>
      <c r="B318" s="84"/>
      <c r="C318" s="108"/>
      <c r="D318" s="100"/>
      <c r="E318" s="117"/>
      <c r="F318" s="117"/>
      <c r="G318" s="119"/>
      <c r="H318" s="88"/>
      <c r="I318" s="36">
        <f t="shared" si="8"/>
        <v>0</v>
      </c>
      <c r="J318" s="37">
        <f t="shared" si="9"/>
        <v>0</v>
      </c>
      <c r="K318" s="38">
        <f t="shared" si="10"/>
        <v>0</v>
      </c>
      <c r="L318" s="39">
        <f t="shared" si="11"/>
        <v>0</v>
      </c>
      <c r="M318" s="38">
        <f t="shared" si="12"/>
        <v>0</v>
      </c>
      <c r="N318" s="39">
        <f t="shared" si="21"/>
        <v>0</v>
      </c>
      <c r="O318" s="40"/>
      <c r="P318" s="34"/>
      <c r="Q318" s="35"/>
      <c r="R318" s="35"/>
      <c r="S318" s="35"/>
      <c r="T318" s="35"/>
      <c r="U318" s="35"/>
      <c r="V318" s="35"/>
      <c r="W318" s="35"/>
      <c r="X318" s="35"/>
      <c r="Y318" s="35"/>
      <c r="Z318" s="35"/>
      <c r="AA318" s="35"/>
    </row>
    <row r="319" ht="14.25" customHeight="1">
      <c r="A319" s="83"/>
      <c r="B319" s="84"/>
      <c r="C319" s="108"/>
      <c r="D319" s="100"/>
      <c r="E319" s="117"/>
      <c r="F319" s="117"/>
      <c r="G319" s="119"/>
      <c r="H319" s="88"/>
      <c r="I319" s="36">
        <f t="shared" si="8"/>
        <v>0</v>
      </c>
      <c r="J319" s="37">
        <f t="shared" si="9"/>
        <v>0</v>
      </c>
      <c r="K319" s="38">
        <f t="shared" si="10"/>
        <v>0</v>
      </c>
      <c r="L319" s="39">
        <f t="shared" si="11"/>
        <v>0</v>
      </c>
      <c r="M319" s="38">
        <f t="shared" si="12"/>
        <v>0</v>
      </c>
      <c r="N319" s="39">
        <f t="shared" si="21"/>
        <v>0</v>
      </c>
      <c r="O319" s="40"/>
      <c r="P319" s="34"/>
      <c r="Q319" s="35"/>
      <c r="R319" s="35"/>
      <c r="S319" s="35"/>
      <c r="T319" s="35"/>
      <c r="U319" s="35"/>
      <c r="V319" s="35"/>
      <c r="W319" s="35"/>
      <c r="X319" s="35"/>
      <c r="Y319" s="35"/>
      <c r="Z319" s="35"/>
      <c r="AA319" s="35"/>
    </row>
    <row r="320" ht="14.25" customHeight="1">
      <c r="A320" s="83"/>
      <c r="B320" s="84"/>
      <c r="C320" s="108"/>
      <c r="D320" s="100"/>
      <c r="E320" s="117"/>
      <c r="F320" s="117"/>
      <c r="G320" s="119"/>
      <c r="H320" s="88"/>
      <c r="I320" s="36">
        <f t="shared" si="8"/>
        <v>0</v>
      </c>
      <c r="J320" s="37">
        <f t="shared" si="9"/>
        <v>0</v>
      </c>
      <c r="K320" s="38">
        <f t="shared" si="10"/>
        <v>0</v>
      </c>
      <c r="L320" s="39">
        <f t="shared" si="11"/>
        <v>0</v>
      </c>
      <c r="M320" s="38">
        <f t="shared" si="12"/>
        <v>0</v>
      </c>
      <c r="N320" s="39">
        <f t="shared" si="21"/>
        <v>0</v>
      </c>
      <c r="O320" s="40"/>
      <c r="P320" s="34"/>
      <c r="Q320" s="35"/>
      <c r="R320" s="35"/>
      <c r="S320" s="35"/>
      <c r="T320" s="35"/>
      <c r="U320" s="35"/>
      <c r="V320" s="35"/>
      <c r="W320" s="35"/>
      <c r="X320" s="35"/>
      <c r="Y320" s="35"/>
      <c r="Z320" s="35"/>
      <c r="AA320" s="35"/>
    </row>
    <row r="321" ht="14.25" customHeight="1">
      <c r="A321" s="83"/>
      <c r="B321" s="84"/>
      <c r="C321" s="108"/>
      <c r="D321" s="100"/>
      <c r="E321" s="117"/>
      <c r="F321" s="117"/>
      <c r="G321" s="119"/>
      <c r="H321" s="88"/>
      <c r="I321" s="36">
        <f t="shared" si="8"/>
        <v>0</v>
      </c>
      <c r="J321" s="37">
        <f t="shared" si="9"/>
        <v>0</v>
      </c>
      <c r="K321" s="38">
        <f t="shared" si="10"/>
        <v>0</v>
      </c>
      <c r="L321" s="39">
        <f t="shared" si="11"/>
        <v>0</v>
      </c>
      <c r="M321" s="38">
        <f t="shared" si="12"/>
        <v>0</v>
      </c>
      <c r="N321" s="39">
        <f t="shared" si="21"/>
        <v>0</v>
      </c>
      <c r="O321" s="40"/>
      <c r="P321" s="34"/>
      <c r="Q321" s="35"/>
      <c r="R321" s="35"/>
      <c r="S321" s="35"/>
      <c r="T321" s="35"/>
      <c r="U321" s="35"/>
      <c r="V321" s="35"/>
      <c r="W321" s="35"/>
      <c r="X321" s="35"/>
      <c r="Y321" s="35"/>
      <c r="Z321" s="35"/>
      <c r="AA321" s="35"/>
    </row>
    <row r="322" ht="14.25" customHeight="1">
      <c r="A322" s="83"/>
      <c r="B322" s="84"/>
      <c r="C322" s="108"/>
      <c r="D322" s="100"/>
      <c r="E322" s="117"/>
      <c r="F322" s="117"/>
      <c r="G322" s="119"/>
      <c r="H322" s="88"/>
      <c r="I322" s="36">
        <f t="shared" si="8"/>
        <v>0</v>
      </c>
      <c r="J322" s="37">
        <f t="shared" si="9"/>
        <v>0</v>
      </c>
      <c r="K322" s="38">
        <f t="shared" si="10"/>
        <v>0</v>
      </c>
      <c r="L322" s="39">
        <f t="shared" si="11"/>
        <v>0</v>
      </c>
      <c r="M322" s="38">
        <f t="shared" si="12"/>
        <v>0</v>
      </c>
      <c r="N322" s="39">
        <f t="shared" si="21"/>
        <v>0</v>
      </c>
      <c r="O322" s="40"/>
      <c r="P322" s="34"/>
      <c r="Q322" s="35"/>
      <c r="R322" s="35"/>
      <c r="S322" s="35"/>
      <c r="T322" s="35"/>
      <c r="U322" s="35"/>
      <c r="V322" s="35"/>
      <c r="W322" s="35"/>
      <c r="X322" s="35"/>
      <c r="Y322" s="35"/>
      <c r="Z322" s="35"/>
      <c r="AA322" s="35"/>
    </row>
    <row r="323" ht="14.25" customHeight="1">
      <c r="A323" s="83"/>
      <c r="B323" s="84"/>
      <c r="C323" s="120"/>
      <c r="D323" s="94"/>
      <c r="E323" s="117"/>
      <c r="F323" s="117"/>
      <c r="G323" s="119"/>
      <c r="H323" s="88"/>
      <c r="I323" s="36">
        <f t="shared" si="8"/>
        <v>0</v>
      </c>
      <c r="J323" s="37">
        <f t="shared" si="9"/>
        <v>0</v>
      </c>
      <c r="K323" s="38">
        <f t="shared" si="10"/>
        <v>0</v>
      </c>
      <c r="L323" s="39">
        <f t="shared" si="11"/>
        <v>0</v>
      </c>
      <c r="M323" s="38">
        <f t="shared" si="12"/>
        <v>0</v>
      </c>
      <c r="N323" s="39">
        <f t="shared" si="21"/>
        <v>0</v>
      </c>
      <c r="O323" s="40"/>
      <c r="P323" s="34"/>
      <c r="Q323" s="35"/>
      <c r="R323" s="35"/>
      <c r="S323" s="35"/>
      <c r="T323" s="35"/>
      <c r="U323" s="35"/>
      <c r="V323" s="35"/>
      <c r="W323" s="35"/>
      <c r="X323" s="35"/>
      <c r="Y323" s="35"/>
      <c r="Z323" s="35"/>
      <c r="AA323" s="35"/>
    </row>
    <row r="324" ht="14.25" customHeight="1">
      <c r="A324" s="83"/>
      <c r="B324" s="84"/>
      <c r="C324" s="108"/>
      <c r="D324" s="94"/>
      <c r="E324" s="117"/>
      <c r="F324" s="117"/>
      <c r="G324" s="118"/>
      <c r="H324" s="88"/>
      <c r="I324" s="36">
        <f t="shared" si="8"/>
        <v>0</v>
      </c>
      <c r="J324" s="37">
        <f t="shared" si="9"/>
        <v>0</v>
      </c>
      <c r="K324" s="38">
        <f t="shared" si="10"/>
        <v>0</v>
      </c>
      <c r="L324" s="39">
        <f t="shared" si="11"/>
        <v>0</v>
      </c>
      <c r="M324" s="38">
        <f t="shared" si="12"/>
        <v>0</v>
      </c>
      <c r="N324" s="39">
        <f t="shared" si="21"/>
        <v>0</v>
      </c>
      <c r="O324" s="40"/>
      <c r="P324" s="34"/>
      <c r="Q324" s="35"/>
      <c r="R324" s="35"/>
      <c r="S324" s="35"/>
      <c r="T324" s="35"/>
      <c r="U324" s="35"/>
      <c r="V324" s="35"/>
      <c r="W324" s="35"/>
      <c r="X324" s="35"/>
      <c r="Y324" s="35"/>
      <c r="Z324" s="35"/>
      <c r="AA324" s="35"/>
    </row>
    <row r="325" ht="14.25" customHeight="1">
      <c r="A325" s="83"/>
      <c r="B325" s="84"/>
      <c r="C325" s="120"/>
      <c r="D325" s="85"/>
      <c r="E325" s="117"/>
      <c r="F325" s="117"/>
      <c r="G325" s="121"/>
      <c r="H325" s="88"/>
      <c r="I325" s="36">
        <f t="shared" si="8"/>
        <v>0</v>
      </c>
      <c r="J325" s="37">
        <f t="shared" si="9"/>
        <v>0</v>
      </c>
      <c r="K325" s="38">
        <f t="shared" si="10"/>
        <v>0</v>
      </c>
      <c r="L325" s="39">
        <f t="shared" si="11"/>
        <v>0</v>
      </c>
      <c r="M325" s="38">
        <f t="shared" si="12"/>
        <v>0</v>
      </c>
      <c r="N325" s="39">
        <f t="shared" si="21"/>
        <v>0</v>
      </c>
      <c r="O325" s="40"/>
      <c r="P325" s="34"/>
      <c r="Q325" s="35"/>
      <c r="R325" s="35"/>
      <c r="S325" s="35"/>
      <c r="T325" s="35"/>
      <c r="U325" s="35"/>
      <c r="V325" s="35"/>
      <c r="W325" s="35"/>
      <c r="X325" s="35"/>
      <c r="Y325" s="35"/>
      <c r="Z325" s="35"/>
      <c r="AA325" s="35"/>
    </row>
    <row r="326" ht="14.25" customHeight="1">
      <c r="A326" s="83"/>
      <c r="B326" s="84"/>
      <c r="C326" s="120"/>
      <c r="D326" s="122"/>
      <c r="E326" s="117"/>
      <c r="F326" s="117"/>
      <c r="G326" s="121"/>
      <c r="H326" s="88"/>
      <c r="I326" s="36">
        <f t="shared" si="8"/>
        <v>0</v>
      </c>
      <c r="J326" s="37">
        <f t="shared" si="9"/>
        <v>0</v>
      </c>
      <c r="K326" s="38">
        <f t="shared" si="10"/>
        <v>0</v>
      </c>
      <c r="L326" s="39">
        <f t="shared" si="11"/>
        <v>0</v>
      </c>
      <c r="M326" s="38">
        <f t="shared" si="12"/>
        <v>0</v>
      </c>
      <c r="N326" s="39">
        <f t="shared" si="21"/>
        <v>0</v>
      </c>
      <c r="O326" s="40"/>
      <c r="P326" s="34"/>
      <c r="Q326" s="35"/>
      <c r="R326" s="35"/>
      <c r="S326" s="35"/>
      <c r="T326" s="35"/>
      <c r="U326" s="35"/>
      <c r="V326" s="35"/>
      <c r="W326" s="35"/>
      <c r="X326" s="35"/>
      <c r="Y326" s="35"/>
      <c r="Z326" s="35"/>
      <c r="AA326" s="35"/>
    </row>
    <row r="327" ht="14.25" customHeight="1">
      <c r="A327" s="83"/>
      <c r="B327" s="84"/>
      <c r="C327" s="120"/>
      <c r="D327" s="85"/>
      <c r="E327" s="117"/>
      <c r="F327" s="117"/>
      <c r="G327" s="121"/>
      <c r="H327" s="88"/>
      <c r="I327" s="36">
        <f t="shared" si="8"/>
        <v>0</v>
      </c>
      <c r="J327" s="37">
        <f t="shared" si="9"/>
        <v>0</v>
      </c>
      <c r="K327" s="38">
        <f t="shared" si="10"/>
        <v>0</v>
      </c>
      <c r="L327" s="39">
        <f t="shared" si="11"/>
        <v>0</v>
      </c>
      <c r="M327" s="38">
        <f t="shared" si="12"/>
        <v>0</v>
      </c>
      <c r="N327" s="39">
        <f t="shared" si="21"/>
        <v>0</v>
      </c>
      <c r="O327" s="40"/>
      <c r="P327" s="34"/>
      <c r="Q327" s="35"/>
      <c r="R327" s="35"/>
      <c r="S327" s="35"/>
      <c r="T327" s="35"/>
      <c r="U327" s="35"/>
      <c r="V327" s="35"/>
      <c r="W327" s="35"/>
      <c r="X327" s="35"/>
      <c r="Y327" s="35"/>
      <c r="Z327" s="35"/>
      <c r="AA327" s="35"/>
    </row>
    <row r="328" ht="14.25" customHeight="1">
      <c r="A328" s="83"/>
      <c r="B328" s="84"/>
      <c r="C328" s="120"/>
      <c r="D328" s="85"/>
      <c r="E328" s="117"/>
      <c r="F328" s="117"/>
      <c r="G328" s="121"/>
      <c r="H328" s="88"/>
      <c r="I328" s="36">
        <f t="shared" si="8"/>
        <v>0</v>
      </c>
      <c r="J328" s="37">
        <f t="shared" si="9"/>
        <v>0</v>
      </c>
      <c r="K328" s="38">
        <f t="shared" si="10"/>
        <v>0</v>
      </c>
      <c r="L328" s="39">
        <f t="shared" si="11"/>
        <v>0</v>
      </c>
      <c r="M328" s="38">
        <f t="shared" si="12"/>
        <v>0</v>
      </c>
      <c r="N328" s="39">
        <f t="shared" si="21"/>
        <v>0</v>
      </c>
      <c r="O328" s="40"/>
      <c r="P328" s="34"/>
      <c r="Q328" s="35"/>
      <c r="R328" s="35"/>
      <c r="S328" s="35"/>
      <c r="T328" s="35"/>
      <c r="U328" s="35"/>
      <c r="V328" s="35"/>
      <c r="W328" s="35"/>
      <c r="X328" s="35"/>
      <c r="Y328" s="35"/>
      <c r="Z328" s="35"/>
      <c r="AA328" s="35"/>
    </row>
    <row r="329" ht="14.25" customHeight="1">
      <c r="A329" s="83"/>
      <c r="B329" s="84"/>
      <c r="C329" s="120"/>
      <c r="D329" s="85"/>
      <c r="E329" s="117"/>
      <c r="F329" s="117"/>
      <c r="G329" s="121"/>
      <c r="H329" s="88"/>
      <c r="I329" s="36">
        <f t="shared" si="8"/>
        <v>0</v>
      </c>
      <c r="J329" s="37">
        <f t="shared" si="9"/>
        <v>0</v>
      </c>
      <c r="K329" s="38">
        <f t="shared" si="10"/>
        <v>0</v>
      </c>
      <c r="L329" s="39">
        <f t="shared" si="11"/>
        <v>0</v>
      </c>
      <c r="M329" s="38">
        <f t="shared" si="12"/>
        <v>0</v>
      </c>
      <c r="N329" s="39">
        <f t="shared" si="21"/>
        <v>0</v>
      </c>
      <c r="O329" s="40"/>
      <c r="P329" s="34"/>
      <c r="Q329" s="35"/>
      <c r="R329" s="35"/>
      <c r="S329" s="35"/>
      <c r="T329" s="35"/>
      <c r="U329" s="35"/>
      <c r="V329" s="35"/>
      <c r="W329" s="35"/>
      <c r="X329" s="35"/>
      <c r="Y329" s="35"/>
      <c r="Z329" s="35"/>
      <c r="AA329" s="35"/>
    </row>
    <row r="330" ht="14.25" customHeight="1">
      <c r="A330" s="83"/>
      <c r="B330" s="84"/>
      <c r="C330" s="120"/>
      <c r="D330" s="85"/>
      <c r="E330" s="117"/>
      <c r="F330" s="117"/>
      <c r="G330" s="121"/>
      <c r="H330" s="88"/>
      <c r="I330" s="36">
        <f t="shared" si="8"/>
        <v>0</v>
      </c>
      <c r="J330" s="37">
        <f t="shared" si="9"/>
        <v>0</v>
      </c>
      <c r="K330" s="38">
        <f t="shared" si="10"/>
        <v>0</v>
      </c>
      <c r="L330" s="39">
        <f t="shared" si="11"/>
        <v>0</v>
      </c>
      <c r="M330" s="38">
        <f t="shared" si="12"/>
        <v>0</v>
      </c>
      <c r="N330" s="39">
        <f t="shared" si="21"/>
        <v>0</v>
      </c>
      <c r="O330" s="40"/>
      <c r="P330" s="34"/>
      <c r="Q330" s="35"/>
      <c r="R330" s="35"/>
      <c r="S330" s="35"/>
      <c r="T330" s="35"/>
      <c r="U330" s="35"/>
      <c r="V330" s="35"/>
      <c r="W330" s="35"/>
      <c r="X330" s="35"/>
      <c r="Y330" s="35"/>
      <c r="Z330" s="35"/>
      <c r="AA330" s="35"/>
    </row>
    <row r="331" ht="14.25" customHeight="1">
      <c r="A331" s="83"/>
      <c r="B331" s="84"/>
      <c r="C331" s="120"/>
      <c r="D331" s="85"/>
      <c r="E331" s="117"/>
      <c r="F331" s="117"/>
      <c r="G331" s="119"/>
      <c r="H331" s="88"/>
      <c r="I331" s="36">
        <f t="shared" si="8"/>
        <v>0</v>
      </c>
      <c r="J331" s="37">
        <f t="shared" si="9"/>
        <v>0</v>
      </c>
      <c r="K331" s="38">
        <f t="shared" si="10"/>
        <v>0</v>
      </c>
      <c r="L331" s="39">
        <f t="shared" si="11"/>
        <v>0</v>
      </c>
      <c r="M331" s="38">
        <f t="shared" si="12"/>
        <v>0</v>
      </c>
      <c r="N331" s="39">
        <f t="shared" si="21"/>
        <v>0</v>
      </c>
      <c r="O331" s="40"/>
      <c r="P331" s="34"/>
      <c r="Q331" s="35"/>
      <c r="R331" s="35"/>
      <c r="S331" s="35"/>
      <c r="T331" s="35"/>
      <c r="U331" s="35"/>
      <c r="V331" s="35"/>
      <c r="W331" s="35"/>
      <c r="X331" s="35"/>
      <c r="Y331" s="35"/>
      <c r="Z331" s="35"/>
      <c r="AA331" s="35"/>
    </row>
    <row r="332" ht="14.25" customHeight="1">
      <c r="A332" s="123"/>
      <c r="B332" s="124"/>
      <c r="C332" s="125"/>
      <c r="D332" s="85"/>
      <c r="E332" s="117"/>
      <c r="F332" s="117"/>
      <c r="G332" s="119"/>
      <c r="H332" s="88"/>
      <c r="I332" s="36">
        <f t="shared" si="8"/>
        <v>0</v>
      </c>
      <c r="J332" s="37">
        <f t="shared" si="9"/>
        <v>0</v>
      </c>
      <c r="K332" s="38">
        <f t="shared" si="10"/>
        <v>0</v>
      </c>
      <c r="L332" s="39">
        <f t="shared" si="11"/>
        <v>0</v>
      </c>
      <c r="M332" s="38">
        <f t="shared" si="12"/>
        <v>0</v>
      </c>
      <c r="N332" s="39">
        <f t="shared" si="21"/>
        <v>0</v>
      </c>
      <c r="O332" s="40"/>
      <c r="P332" s="34"/>
      <c r="Q332" s="35"/>
      <c r="R332" s="35"/>
      <c r="S332" s="35"/>
      <c r="T332" s="35"/>
      <c r="U332" s="35"/>
      <c r="V332" s="35"/>
      <c r="W332" s="35"/>
      <c r="X332" s="35"/>
      <c r="Y332" s="35"/>
      <c r="Z332" s="35"/>
      <c r="AA332" s="35"/>
    </row>
    <row r="333" ht="14.25" customHeight="1">
      <c r="A333" s="123"/>
      <c r="B333" s="124"/>
      <c r="C333" s="115"/>
      <c r="D333" s="100"/>
      <c r="E333" s="117"/>
      <c r="F333" s="117"/>
      <c r="G333" s="119"/>
      <c r="H333" s="88"/>
      <c r="I333" s="36">
        <f t="shared" si="8"/>
        <v>0</v>
      </c>
      <c r="J333" s="37">
        <f t="shared" si="9"/>
        <v>0</v>
      </c>
      <c r="K333" s="38">
        <f t="shared" si="10"/>
        <v>0</v>
      </c>
      <c r="L333" s="39">
        <f t="shared" si="11"/>
        <v>0</v>
      </c>
      <c r="M333" s="38">
        <f t="shared" si="12"/>
        <v>0</v>
      </c>
      <c r="N333" s="39">
        <f t="shared" si="21"/>
        <v>0</v>
      </c>
      <c r="O333" s="40"/>
      <c r="P333" s="34"/>
      <c r="Q333" s="35"/>
      <c r="R333" s="35"/>
      <c r="S333" s="35"/>
      <c r="T333" s="35"/>
      <c r="U333" s="35"/>
      <c r="V333" s="35"/>
      <c r="W333" s="35"/>
      <c r="X333" s="35"/>
      <c r="Y333" s="35"/>
      <c r="Z333" s="35"/>
      <c r="AA333" s="35"/>
    </row>
    <row r="334" ht="14.25" customHeight="1">
      <c r="A334" s="123"/>
      <c r="B334" s="124"/>
      <c r="C334" s="115"/>
      <c r="D334" s="100"/>
      <c r="E334" s="117"/>
      <c r="F334" s="117"/>
      <c r="G334" s="119"/>
      <c r="H334" s="88"/>
      <c r="I334" s="36">
        <f t="shared" si="8"/>
        <v>0</v>
      </c>
      <c r="J334" s="37">
        <f t="shared" si="9"/>
        <v>0</v>
      </c>
      <c r="K334" s="38">
        <f t="shared" si="10"/>
        <v>0</v>
      </c>
      <c r="L334" s="39">
        <f t="shared" si="11"/>
        <v>0</v>
      </c>
      <c r="M334" s="38">
        <f t="shared" si="12"/>
        <v>0</v>
      </c>
      <c r="N334" s="39">
        <f t="shared" si="21"/>
        <v>0</v>
      </c>
      <c r="O334" s="40"/>
      <c r="P334" s="34"/>
      <c r="Q334" s="35"/>
      <c r="R334" s="35"/>
      <c r="S334" s="35"/>
      <c r="T334" s="35"/>
      <c r="U334" s="35"/>
      <c r="V334" s="35"/>
      <c r="W334" s="35"/>
      <c r="X334" s="35"/>
      <c r="Y334" s="35"/>
      <c r="Z334" s="35"/>
      <c r="AA334" s="35"/>
    </row>
    <row r="335" ht="14.25" customHeight="1">
      <c r="A335" s="123"/>
      <c r="B335" s="124"/>
      <c r="C335" s="115"/>
      <c r="D335" s="100"/>
      <c r="E335" s="117"/>
      <c r="F335" s="117"/>
      <c r="G335" s="119"/>
      <c r="H335" s="88"/>
      <c r="I335" s="36">
        <f t="shared" si="8"/>
        <v>0</v>
      </c>
      <c r="J335" s="37">
        <f t="shared" si="9"/>
        <v>0</v>
      </c>
      <c r="K335" s="38">
        <f t="shared" si="10"/>
        <v>0</v>
      </c>
      <c r="L335" s="39">
        <f t="shared" si="11"/>
        <v>0</v>
      </c>
      <c r="M335" s="38">
        <f t="shared" si="12"/>
        <v>0</v>
      </c>
      <c r="N335" s="39">
        <f t="shared" si="21"/>
        <v>0</v>
      </c>
      <c r="O335" s="40"/>
      <c r="P335" s="34"/>
      <c r="Q335" s="35"/>
      <c r="R335" s="35"/>
      <c r="S335" s="35"/>
      <c r="T335" s="35"/>
      <c r="U335" s="35"/>
      <c r="V335" s="35"/>
      <c r="W335" s="35"/>
      <c r="X335" s="35"/>
      <c r="Y335" s="35"/>
      <c r="Z335" s="35"/>
      <c r="AA335" s="35"/>
    </row>
    <row r="336" ht="14.25" customHeight="1">
      <c r="A336" s="123"/>
      <c r="B336" s="124"/>
      <c r="C336" s="115"/>
      <c r="D336" s="100"/>
      <c r="E336" s="117"/>
      <c r="F336" s="117"/>
      <c r="G336" s="119"/>
      <c r="H336" s="88"/>
      <c r="I336" s="36">
        <f t="shared" si="8"/>
        <v>0</v>
      </c>
      <c r="J336" s="37">
        <f t="shared" si="9"/>
        <v>0</v>
      </c>
      <c r="K336" s="38">
        <f t="shared" si="10"/>
        <v>0</v>
      </c>
      <c r="L336" s="39">
        <f t="shared" si="11"/>
        <v>0</v>
      </c>
      <c r="M336" s="38">
        <f t="shared" si="12"/>
        <v>0</v>
      </c>
      <c r="N336" s="39">
        <f t="shared" si="21"/>
        <v>0</v>
      </c>
      <c r="O336" s="40"/>
      <c r="P336" s="34"/>
      <c r="Q336" s="35"/>
      <c r="R336" s="35"/>
      <c r="S336" s="35"/>
      <c r="T336" s="35"/>
      <c r="U336" s="35"/>
      <c r="V336" s="35"/>
      <c r="W336" s="35"/>
      <c r="X336" s="35"/>
      <c r="Y336" s="35"/>
      <c r="Z336" s="35"/>
      <c r="AA336" s="35"/>
    </row>
    <row r="337" ht="14.25" customHeight="1">
      <c r="A337" s="123"/>
      <c r="B337" s="124"/>
      <c r="C337" s="108"/>
      <c r="D337" s="100"/>
      <c r="E337" s="117"/>
      <c r="F337" s="117"/>
      <c r="G337" s="119"/>
      <c r="H337" s="88"/>
      <c r="I337" s="36">
        <f t="shared" si="8"/>
        <v>0</v>
      </c>
      <c r="J337" s="37">
        <f t="shared" si="9"/>
        <v>0</v>
      </c>
      <c r="K337" s="38">
        <f t="shared" si="10"/>
        <v>0</v>
      </c>
      <c r="L337" s="39">
        <f t="shared" si="11"/>
        <v>0</v>
      </c>
      <c r="M337" s="38">
        <f t="shared" si="12"/>
        <v>0</v>
      </c>
      <c r="N337" s="39">
        <f t="shared" si="21"/>
        <v>0</v>
      </c>
      <c r="O337" s="40"/>
      <c r="P337" s="34"/>
      <c r="Q337" s="35"/>
      <c r="R337" s="35"/>
      <c r="S337" s="35"/>
      <c r="T337" s="35"/>
      <c r="U337" s="35"/>
      <c r="V337" s="35"/>
      <c r="W337" s="35"/>
      <c r="X337" s="35"/>
      <c r="Y337" s="35"/>
      <c r="Z337" s="35"/>
      <c r="AA337" s="35"/>
    </row>
    <row r="338" ht="14.25" customHeight="1">
      <c r="A338" s="123"/>
      <c r="B338" s="124"/>
      <c r="C338" s="116"/>
      <c r="D338" s="100"/>
      <c r="E338" s="117"/>
      <c r="F338" s="117"/>
      <c r="G338" s="119"/>
      <c r="H338" s="88"/>
      <c r="I338" s="36">
        <f t="shared" si="8"/>
        <v>0</v>
      </c>
      <c r="J338" s="37">
        <f t="shared" si="9"/>
        <v>0</v>
      </c>
      <c r="K338" s="38">
        <f t="shared" si="10"/>
        <v>0</v>
      </c>
      <c r="L338" s="39">
        <f t="shared" si="11"/>
        <v>0</v>
      </c>
      <c r="M338" s="38">
        <f t="shared" si="12"/>
        <v>0</v>
      </c>
      <c r="N338" s="39">
        <f t="shared" si="21"/>
        <v>0</v>
      </c>
      <c r="O338" s="40"/>
      <c r="P338" s="34"/>
      <c r="Q338" s="35"/>
      <c r="R338" s="35"/>
      <c r="S338" s="35"/>
      <c r="T338" s="35"/>
      <c r="U338" s="35"/>
      <c r="V338" s="35"/>
      <c r="W338" s="35"/>
      <c r="X338" s="35"/>
      <c r="Y338" s="35"/>
      <c r="Z338" s="35"/>
      <c r="AA338" s="35"/>
    </row>
    <row r="339" ht="14.25" customHeight="1">
      <c r="A339" s="123"/>
      <c r="B339" s="124"/>
      <c r="C339" s="126"/>
      <c r="D339" s="100"/>
      <c r="E339" s="117"/>
      <c r="F339" s="117"/>
      <c r="G339" s="119"/>
      <c r="H339" s="88"/>
      <c r="I339" s="36">
        <f t="shared" si="8"/>
        <v>0</v>
      </c>
      <c r="J339" s="37">
        <f t="shared" si="9"/>
        <v>0</v>
      </c>
      <c r="K339" s="38">
        <f t="shared" si="10"/>
        <v>0</v>
      </c>
      <c r="L339" s="39">
        <f t="shared" si="11"/>
        <v>0</v>
      </c>
      <c r="M339" s="38">
        <f t="shared" si="12"/>
        <v>0</v>
      </c>
      <c r="N339" s="39">
        <f t="shared" si="21"/>
        <v>0</v>
      </c>
      <c r="O339" s="40"/>
      <c r="P339" s="34"/>
      <c r="Q339" s="35"/>
      <c r="R339" s="35"/>
      <c r="S339" s="35"/>
      <c r="T339" s="35"/>
      <c r="U339" s="35"/>
      <c r="V339" s="35"/>
      <c r="W339" s="35"/>
      <c r="X339" s="35"/>
      <c r="Y339" s="35"/>
      <c r="Z339" s="35"/>
      <c r="AA339" s="35"/>
    </row>
    <row r="340" ht="14.25" customHeight="1">
      <c r="A340" s="123"/>
      <c r="B340" s="124"/>
      <c r="C340" s="115"/>
      <c r="D340" s="100"/>
      <c r="E340" s="117"/>
      <c r="F340" s="117"/>
      <c r="G340" s="119"/>
      <c r="H340" s="88"/>
      <c r="I340" s="36">
        <f t="shared" si="8"/>
        <v>0</v>
      </c>
      <c r="J340" s="37">
        <f t="shared" si="9"/>
        <v>0</v>
      </c>
      <c r="K340" s="38">
        <f t="shared" si="10"/>
        <v>0</v>
      </c>
      <c r="L340" s="39">
        <f t="shared" si="11"/>
        <v>0</v>
      </c>
      <c r="M340" s="38">
        <f t="shared" si="12"/>
        <v>0</v>
      </c>
      <c r="N340" s="39">
        <f t="shared" si="21"/>
        <v>0</v>
      </c>
      <c r="O340" s="40"/>
      <c r="P340" s="34"/>
      <c r="Q340" s="35"/>
      <c r="R340" s="35"/>
      <c r="S340" s="35"/>
      <c r="T340" s="35"/>
      <c r="U340" s="35"/>
      <c r="V340" s="35"/>
      <c r="W340" s="35"/>
      <c r="X340" s="35"/>
      <c r="Y340" s="35"/>
      <c r="Z340" s="35"/>
      <c r="AA340" s="35"/>
    </row>
    <row r="341" ht="14.25" customHeight="1">
      <c r="A341" s="123"/>
      <c r="B341" s="124"/>
      <c r="C341" s="116"/>
      <c r="D341" s="100"/>
      <c r="E341" s="117"/>
      <c r="F341" s="117"/>
      <c r="G341" s="119"/>
      <c r="H341" s="88"/>
      <c r="I341" s="36">
        <f t="shared" si="8"/>
        <v>0</v>
      </c>
      <c r="J341" s="37">
        <f t="shared" si="9"/>
        <v>0</v>
      </c>
      <c r="K341" s="38">
        <f t="shared" si="10"/>
        <v>0</v>
      </c>
      <c r="L341" s="39">
        <f t="shared" si="11"/>
        <v>0</v>
      </c>
      <c r="M341" s="38">
        <f t="shared" si="12"/>
        <v>0</v>
      </c>
      <c r="N341" s="39">
        <f t="shared" si="21"/>
        <v>0</v>
      </c>
      <c r="O341" s="40"/>
      <c r="P341" s="34"/>
      <c r="Q341" s="35"/>
      <c r="R341" s="35"/>
      <c r="S341" s="35"/>
      <c r="T341" s="35"/>
      <c r="U341" s="35"/>
      <c r="V341" s="35"/>
      <c r="W341" s="35"/>
      <c r="X341" s="35"/>
      <c r="Y341" s="35"/>
      <c r="Z341" s="35"/>
      <c r="AA341" s="35"/>
    </row>
    <row r="342" ht="14.25" customHeight="1">
      <c r="A342" s="123"/>
      <c r="B342" s="124"/>
      <c r="C342" s="116"/>
      <c r="D342" s="100"/>
      <c r="E342" s="117"/>
      <c r="F342" s="117"/>
      <c r="G342" s="119"/>
      <c r="H342" s="88"/>
      <c r="I342" s="36">
        <f t="shared" si="8"/>
        <v>0</v>
      </c>
      <c r="J342" s="37">
        <f t="shared" si="9"/>
        <v>0</v>
      </c>
      <c r="K342" s="38">
        <f t="shared" si="10"/>
        <v>0</v>
      </c>
      <c r="L342" s="39">
        <f t="shared" si="11"/>
        <v>0</v>
      </c>
      <c r="M342" s="38">
        <f t="shared" si="12"/>
        <v>0</v>
      </c>
      <c r="N342" s="39">
        <f t="shared" si="21"/>
        <v>0</v>
      </c>
      <c r="O342" s="40"/>
      <c r="P342" s="34"/>
      <c r="Q342" s="35"/>
      <c r="R342" s="35"/>
      <c r="S342" s="35"/>
      <c r="T342" s="35"/>
      <c r="U342" s="35"/>
      <c r="V342" s="35"/>
      <c r="W342" s="35"/>
      <c r="X342" s="35"/>
      <c r="Y342" s="35"/>
      <c r="Z342" s="35"/>
      <c r="AA342" s="35"/>
    </row>
    <row r="343" ht="14.25" customHeight="1">
      <c r="A343" s="123"/>
      <c r="B343" s="124"/>
      <c r="C343" s="116"/>
      <c r="D343" s="100"/>
      <c r="E343" s="117"/>
      <c r="F343" s="117"/>
      <c r="G343" s="119"/>
      <c r="H343" s="88"/>
      <c r="I343" s="36">
        <f t="shared" si="8"/>
        <v>0</v>
      </c>
      <c r="J343" s="37">
        <f t="shared" si="9"/>
        <v>0</v>
      </c>
      <c r="K343" s="38">
        <f t="shared" si="10"/>
        <v>0</v>
      </c>
      <c r="L343" s="39">
        <f t="shared" si="11"/>
        <v>0</v>
      </c>
      <c r="M343" s="38">
        <f t="shared" si="12"/>
        <v>0</v>
      </c>
      <c r="N343" s="39">
        <f t="shared" si="21"/>
        <v>0</v>
      </c>
      <c r="O343" s="40"/>
      <c r="P343" s="34"/>
      <c r="Q343" s="35"/>
      <c r="R343" s="35"/>
      <c r="S343" s="35"/>
      <c r="T343" s="35"/>
      <c r="U343" s="35"/>
      <c r="V343" s="35"/>
      <c r="W343" s="35"/>
      <c r="X343" s="35"/>
      <c r="Y343" s="35"/>
      <c r="Z343" s="35"/>
      <c r="AA343" s="35"/>
    </row>
    <row r="344" ht="14.25" customHeight="1">
      <c r="A344" s="127"/>
      <c r="B344" s="128"/>
      <c r="C344" s="116"/>
      <c r="D344" s="100"/>
      <c r="E344" s="117"/>
      <c r="F344" s="117"/>
      <c r="G344" s="119"/>
      <c r="H344" s="88"/>
      <c r="I344" s="36">
        <f t="shared" si="8"/>
        <v>0</v>
      </c>
      <c r="J344" s="37">
        <f t="shared" si="9"/>
        <v>0</v>
      </c>
      <c r="K344" s="38">
        <f t="shared" si="10"/>
        <v>0</v>
      </c>
      <c r="L344" s="39">
        <f t="shared" si="11"/>
        <v>0</v>
      </c>
      <c r="M344" s="38">
        <f t="shared" si="12"/>
        <v>0</v>
      </c>
      <c r="N344" s="39">
        <f t="shared" si="21"/>
        <v>0</v>
      </c>
      <c r="O344" s="40"/>
      <c r="P344" s="34"/>
      <c r="Q344" s="35"/>
      <c r="R344" s="35"/>
      <c r="S344" s="35"/>
      <c r="T344" s="35"/>
      <c r="U344" s="35"/>
      <c r="V344" s="35"/>
      <c r="W344" s="35"/>
      <c r="X344" s="35"/>
      <c r="Y344" s="35"/>
      <c r="Z344" s="35"/>
      <c r="AA344" s="35"/>
    </row>
    <row r="345" ht="14.25" customHeight="1">
      <c r="A345" s="127"/>
      <c r="B345" s="128"/>
      <c r="C345" s="116"/>
      <c r="D345" s="100"/>
      <c r="E345" s="117"/>
      <c r="F345" s="117"/>
      <c r="G345" s="119"/>
      <c r="H345" s="88"/>
      <c r="I345" s="36">
        <f t="shared" si="8"/>
        <v>0</v>
      </c>
      <c r="J345" s="37">
        <f t="shared" si="9"/>
        <v>0</v>
      </c>
      <c r="K345" s="38">
        <f t="shared" si="10"/>
        <v>0</v>
      </c>
      <c r="L345" s="39">
        <f t="shared" si="11"/>
        <v>0</v>
      </c>
      <c r="M345" s="38">
        <f t="shared" si="12"/>
        <v>0</v>
      </c>
      <c r="N345" s="39">
        <f t="shared" si="21"/>
        <v>0</v>
      </c>
      <c r="O345" s="40"/>
      <c r="P345" s="34"/>
      <c r="Q345" s="35"/>
      <c r="R345" s="35"/>
      <c r="S345" s="35"/>
      <c r="T345" s="35"/>
      <c r="U345" s="35"/>
      <c r="V345" s="35"/>
      <c r="W345" s="35"/>
      <c r="X345" s="35"/>
      <c r="Y345" s="35"/>
      <c r="Z345" s="35"/>
      <c r="AA345" s="35"/>
    </row>
    <row r="346" ht="14.25" customHeight="1">
      <c r="A346" s="127"/>
      <c r="B346" s="128"/>
      <c r="C346" s="116"/>
      <c r="D346" s="100"/>
      <c r="E346" s="117"/>
      <c r="F346" s="117"/>
      <c r="G346" s="119"/>
      <c r="H346" s="88"/>
      <c r="I346" s="36">
        <f t="shared" si="8"/>
        <v>0</v>
      </c>
      <c r="J346" s="37">
        <f t="shared" si="9"/>
        <v>0</v>
      </c>
      <c r="K346" s="38">
        <f t="shared" si="10"/>
        <v>0</v>
      </c>
      <c r="L346" s="39">
        <f t="shared" si="11"/>
        <v>0</v>
      </c>
      <c r="M346" s="38">
        <f t="shared" si="12"/>
        <v>0</v>
      </c>
      <c r="N346" s="39">
        <f t="shared" si="21"/>
        <v>0</v>
      </c>
      <c r="O346" s="40"/>
      <c r="P346" s="34"/>
      <c r="Q346" s="35"/>
      <c r="R346" s="35"/>
      <c r="S346" s="35"/>
      <c r="T346" s="35"/>
      <c r="U346" s="35"/>
      <c r="V346" s="35"/>
      <c r="W346" s="35"/>
      <c r="X346" s="35"/>
      <c r="Y346" s="35"/>
      <c r="Z346" s="35"/>
      <c r="AA346" s="35"/>
    </row>
    <row r="347" ht="14.25" customHeight="1">
      <c r="A347" s="127"/>
      <c r="B347" s="128"/>
      <c r="C347" s="116"/>
      <c r="D347" s="100"/>
      <c r="E347" s="117"/>
      <c r="F347" s="117"/>
      <c r="G347" s="119"/>
      <c r="H347" s="88"/>
      <c r="I347" s="36">
        <f t="shared" si="8"/>
        <v>0</v>
      </c>
      <c r="J347" s="37">
        <f t="shared" si="9"/>
        <v>0</v>
      </c>
      <c r="K347" s="38">
        <f t="shared" si="10"/>
        <v>0</v>
      </c>
      <c r="L347" s="39">
        <f t="shared" si="11"/>
        <v>0</v>
      </c>
      <c r="M347" s="38">
        <f t="shared" si="12"/>
        <v>0</v>
      </c>
      <c r="N347" s="39">
        <f t="shared" si="21"/>
        <v>0</v>
      </c>
      <c r="O347" s="40"/>
      <c r="P347" s="34"/>
      <c r="Q347" s="35"/>
      <c r="R347" s="35"/>
      <c r="S347" s="35"/>
      <c r="T347" s="35"/>
      <c r="U347" s="35"/>
      <c r="V347" s="35"/>
      <c r="W347" s="35"/>
      <c r="X347" s="35"/>
      <c r="Y347" s="35"/>
      <c r="Z347" s="35"/>
      <c r="AA347" s="35"/>
    </row>
    <row r="348" ht="14.25" customHeight="1">
      <c r="A348" s="127"/>
      <c r="B348" s="128"/>
      <c r="C348" s="116"/>
      <c r="D348" s="100"/>
      <c r="E348" s="117"/>
      <c r="F348" s="117"/>
      <c r="G348" s="119"/>
      <c r="H348" s="88"/>
      <c r="I348" s="36">
        <f t="shared" si="8"/>
        <v>0</v>
      </c>
      <c r="J348" s="37">
        <f t="shared" si="9"/>
        <v>0</v>
      </c>
      <c r="K348" s="38">
        <f t="shared" si="10"/>
        <v>0</v>
      </c>
      <c r="L348" s="39">
        <f t="shared" si="11"/>
        <v>0</v>
      </c>
      <c r="M348" s="38">
        <f t="shared" si="12"/>
        <v>0</v>
      </c>
      <c r="N348" s="39">
        <f t="shared" si="21"/>
        <v>0</v>
      </c>
      <c r="O348" s="40"/>
      <c r="P348" s="34"/>
      <c r="Q348" s="35"/>
      <c r="R348" s="35"/>
      <c r="S348" s="35"/>
      <c r="T348" s="35"/>
      <c r="U348" s="35"/>
      <c r="V348" s="35"/>
      <c r="W348" s="35"/>
      <c r="X348" s="35"/>
      <c r="Y348" s="35"/>
      <c r="Z348" s="35"/>
      <c r="AA348" s="35"/>
    </row>
    <row r="349" ht="14.25" customHeight="1">
      <c r="A349" s="127"/>
      <c r="B349" s="128"/>
      <c r="C349" s="116"/>
      <c r="D349" s="100"/>
      <c r="E349" s="117"/>
      <c r="F349" s="117"/>
      <c r="G349" s="119"/>
      <c r="H349" s="88"/>
      <c r="I349" s="36">
        <f t="shared" si="8"/>
        <v>0</v>
      </c>
      <c r="J349" s="37">
        <f t="shared" si="9"/>
        <v>0</v>
      </c>
      <c r="K349" s="38">
        <f t="shared" si="10"/>
        <v>0</v>
      </c>
      <c r="L349" s="39">
        <f t="shared" si="11"/>
        <v>0</v>
      </c>
      <c r="M349" s="38">
        <f t="shared" si="12"/>
        <v>0</v>
      </c>
      <c r="N349" s="39">
        <f t="shared" si="21"/>
        <v>0</v>
      </c>
      <c r="O349" s="40"/>
      <c r="P349" s="34"/>
      <c r="Q349" s="35"/>
      <c r="R349" s="35"/>
      <c r="S349" s="35"/>
      <c r="T349" s="35"/>
      <c r="U349" s="35"/>
      <c r="V349" s="35"/>
      <c r="W349" s="35"/>
      <c r="X349" s="35"/>
      <c r="Y349" s="35"/>
      <c r="Z349" s="35"/>
      <c r="AA349" s="35"/>
    </row>
    <row r="350" ht="14.25" customHeight="1">
      <c r="A350" s="127"/>
      <c r="B350" s="128"/>
      <c r="C350" s="116"/>
      <c r="D350" s="100"/>
      <c r="E350" s="117"/>
      <c r="F350" s="117"/>
      <c r="G350" s="119"/>
      <c r="H350" s="88"/>
      <c r="I350" s="36">
        <f t="shared" si="8"/>
        <v>0</v>
      </c>
      <c r="J350" s="37">
        <f t="shared" si="9"/>
        <v>0</v>
      </c>
      <c r="K350" s="38">
        <f t="shared" si="10"/>
        <v>0</v>
      </c>
      <c r="L350" s="39">
        <f t="shared" si="11"/>
        <v>0</v>
      </c>
      <c r="M350" s="38">
        <f t="shared" si="12"/>
        <v>0</v>
      </c>
      <c r="N350" s="39">
        <f t="shared" si="21"/>
        <v>0</v>
      </c>
      <c r="O350" s="40"/>
      <c r="P350" s="34"/>
      <c r="Q350" s="35"/>
      <c r="R350" s="35"/>
      <c r="S350" s="35"/>
      <c r="T350" s="35"/>
      <c r="U350" s="35"/>
      <c r="V350" s="35"/>
      <c r="W350" s="35"/>
      <c r="X350" s="35"/>
      <c r="Y350" s="35"/>
      <c r="Z350" s="35"/>
      <c r="AA350" s="35"/>
    </row>
    <row r="351" ht="14.25" customHeight="1">
      <c r="A351" s="127"/>
      <c r="B351" s="128"/>
      <c r="C351" s="116"/>
      <c r="D351" s="100"/>
      <c r="E351" s="117"/>
      <c r="F351" s="117"/>
      <c r="G351" s="119"/>
      <c r="H351" s="88"/>
      <c r="I351" s="36">
        <f t="shared" si="8"/>
        <v>0</v>
      </c>
      <c r="J351" s="37">
        <f t="shared" si="9"/>
        <v>0</v>
      </c>
      <c r="K351" s="38">
        <f t="shared" si="10"/>
        <v>0</v>
      </c>
      <c r="L351" s="39">
        <f t="shared" si="11"/>
        <v>0</v>
      </c>
      <c r="M351" s="38">
        <f t="shared" si="12"/>
        <v>0</v>
      </c>
      <c r="N351" s="39">
        <f t="shared" si="21"/>
        <v>0</v>
      </c>
      <c r="O351" s="40"/>
      <c r="P351" s="34"/>
      <c r="Q351" s="35"/>
      <c r="R351" s="35"/>
      <c r="S351" s="35"/>
      <c r="T351" s="35"/>
      <c r="U351" s="35"/>
      <c r="V351" s="35"/>
      <c r="W351" s="35"/>
      <c r="X351" s="35"/>
      <c r="Y351" s="35"/>
      <c r="Z351" s="35"/>
      <c r="AA351" s="35"/>
    </row>
    <row r="352" ht="14.25" customHeight="1">
      <c r="A352" s="127"/>
      <c r="B352" s="128"/>
      <c r="C352" s="108"/>
      <c r="D352" s="100"/>
      <c r="E352" s="117"/>
      <c r="F352" s="117"/>
      <c r="G352" s="119"/>
      <c r="H352" s="88"/>
      <c r="I352" s="36">
        <f t="shared" si="8"/>
        <v>0</v>
      </c>
      <c r="J352" s="37">
        <f t="shared" si="9"/>
        <v>0</v>
      </c>
      <c r="K352" s="38">
        <f t="shared" si="10"/>
        <v>0</v>
      </c>
      <c r="L352" s="39">
        <f t="shared" si="11"/>
        <v>0</v>
      </c>
      <c r="M352" s="38">
        <f t="shared" si="12"/>
        <v>0</v>
      </c>
      <c r="N352" s="39">
        <f t="shared" si="21"/>
        <v>0</v>
      </c>
      <c r="O352" s="40"/>
      <c r="P352" s="34"/>
      <c r="Q352" s="35"/>
      <c r="R352" s="35"/>
      <c r="S352" s="35"/>
      <c r="T352" s="35"/>
      <c r="U352" s="35"/>
      <c r="V352" s="35"/>
      <c r="W352" s="35"/>
      <c r="X352" s="35"/>
      <c r="Y352" s="35"/>
      <c r="Z352" s="35"/>
      <c r="AA352" s="35"/>
    </row>
    <row r="353" ht="14.25" customHeight="1">
      <c r="A353" s="127"/>
      <c r="B353" s="128"/>
      <c r="C353" s="108"/>
      <c r="D353" s="85"/>
      <c r="E353" s="117"/>
      <c r="F353" s="117"/>
      <c r="G353" s="119"/>
      <c r="H353" s="88"/>
      <c r="I353" s="36">
        <f t="shared" si="8"/>
        <v>0</v>
      </c>
      <c r="J353" s="37">
        <f t="shared" si="9"/>
        <v>0</v>
      </c>
      <c r="K353" s="38">
        <f t="shared" si="10"/>
        <v>0</v>
      </c>
      <c r="L353" s="39">
        <f t="shared" si="11"/>
        <v>0</v>
      </c>
      <c r="M353" s="38">
        <f t="shared" si="12"/>
        <v>0</v>
      </c>
      <c r="N353" s="39">
        <f t="shared" si="21"/>
        <v>0</v>
      </c>
      <c r="O353" s="40"/>
      <c r="P353" s="34"/>
      <c r="Q353" s="35"/>
      <c r="R353" s="35"/>
      <c r="S353" s="35"/>
      <c r="T353" s="35"/>
      <c r="U353" s="35"/>
      <c r="V353" s="35"/>
      <c r="W353" s="35"/>
      <c r="X353" s="35"/>
      <c r="Y353" s="35"/>
      <c r="Z353" s="35"/>
      <c r="AA353" s="35"/>
    </row>
    <row r="354" ht="14.25" customHeight="1">
      <c r="A354" s="127"/>
      <c r="B354" s="128"/>
      <c r="C354" s="108"/>
      <c r="D354" s="85"/>
      <c r="E354" s="117"/>
      <c r="F354" s="117"/>
      <c r="G354" s="119"/>
      <c r="H354" s="88"/>
      <c r="I354" s="36">
        <f t="shared" si="8"/>
        <v>0</v>
      </c>
      <c r="J354" s="37">
        <f t="shared" si="9"/>
        <v>0</v>
      </c>
      <c r="K354" s="38">
        <f t="shared" si="10"/>
        <v>0</v>
      </c>
      <c r="L354" s="39">
        <f t="shared" si="11"/>
        <v>0</v>
      </c>
      <c r="M354" s="38">
        <f t="shared" si="12"/>
        <v>0</v>
      </c>
      <c r="N354" s="39">
        <f t="shared" si="21"/>
        <v>0</v>
      </c>
      <c r="O354" s="40"/>
      <c r="P354" s="34"/>
      <c r="Q354" s="35"/>
      <c r="R354" s="35"/>
      <c r="S354" s="35"/>
      <c r="T354" s="35"/>
      <c r="U354" s="35"/>
      <c r="V354" s="35"/>
      <c r="W354" s="35"/>
      <c r="X354" s="35"/>
      <c r="Y354" s="35"/>
      <c r="Z354" s="35"/>
      <c r="AA354" s="35"/>
    </row>
    <row r="355" ht="14.25" customHeight="1">
      <c r="A355" s="127"/>
      <c r="B355" s="128"/>
      <c r="C355" s="108"/>
      <c r="D355" s="100"/>
      <c r="E355" s="117"/>
      <c r="F355" s="117"/>
      <c r="G355" s="119"/>
      <c r="H355" s="88"/>
      <c r="I355" s="36">
        <f t="shared" si="8"/>
        <v>0</v>
      </c>
      <c r="J355" s="37">
        <f t="shared" si="9"/>
        <v>0</v>
      </c>
      <c r="K355" s="38">
        <f t="shared" si="10"/>
        <v>0</v>
      </c>
      <c r="L355" s="39">
        <f t="shared" si="11"/>
        <v>0</v>
      </c>
      <c r="M355" s="38">
        <f t="shared" si="12"/>
        <v>0</v>
      </c>
      <c r="N355" s="39">
        <f t="shared" si="21"/>
        <v>0</v>
      </c>
      <c r="O355" s="40"/>
      <c r="P355" s="34"/>
      <c r="Q355" s="35"/>
      <c r="R355" s="35"/>
      <c r="S355" s="35"/>
      <c r="T355" s="35"/>
      <c r="U355" s="35"/>
      <c r="V355" s="35"/>
      <c r="W355" s="35"/>
      <c r="X355" s="35"/>
      <c r="Y355" s="35"/>
      <c r="Z355" s="35"/>
      <c r="AA355" s="35"/>
    </row>
    <row r="356" ht="14.25" customHeight="1">
      <c r="A356" s="127"/>
      <c r="B356" s="128"/>
      <c r="C356" s="116"/>
      <c r="D356" s="100"/>
      <c r="E356" s="117"/>
      <c r="F356" s="117"/>
      <c r="G356" s="119"/>
      <c r="H356" s="88"/>
      <c r="I356" s="36">
        <f t="shared" si="8"/>
        <v>0</v>
      </c>
      <c r="J356" s="37">
        <f t="shared" si="9"/>
        <v>0</v>
      </c>
      <c r="K356" s="38">
        <f t="shared" si="10"/>
        <v>0</v>
      </c>
      <c r="L356" s="39">
        <f t="shared" si="11"/>
        <v>0</v>
      </c>
      <c r="M356" s="38">
        <f t="shared" si="12"/>
        <v>0</v>
      </c>
      <c r="N356" s="39">
        <f t="shared" si="21"/>
        <v>0</v>
      </c>
      <c r="O356" s="40"/>
      <c r="P356" s="34"/>
      <c r="Q356" s="35"/>
      <c r="R356" s="35"/>
      <c r="S356" s="35"/>
      <c r="T356" s="35"/>
      <c r="U356" s="35"/>
      <c r="V356" s="35"/>
      <c r="W356" s="35"/>
      <c r="X356" s="35"/>
      <c r="Y356" s="35"/>
      <c r="Z356" s="35"/>
      <c r="AA356" s="35"/>
    </row>
    <row r="357" ht="14.25" customHeight="1">
      <c r="A357" s="127"/>
      <c r="B357" s="128"/>
      <c r="C357" s="116"/>
      <c r="D357" s="100"/>
      <c r="E357" s="117"/>
      <c r="F357" s="117"/>
      <c r="G357" s="119"/>
      <c r="H357" s="88"/>
      <c r="I357" s="36">
        <f t="shared" si="8"/>
        <v>0</v>
      </c>
      <c r="J357" s="37">
        <f t="shared" si="9"/>
        <v>0</v>
      </c>
      <c r="K357" s="38">
        <f t="shared" si="10"/>
        <v>0</v>
      </c>
      <c r="L357" s="39">
        <f t="shared" si="11"/>
        <v>0</v>
      </c>
      <c r="M357" s="38">
        <f t="shared" si="12"/>
        <v>0</v>
      </c>
      <c r="N357" s="39">
        <f t="shared" si="21"/>
        <v>0</v>
      </c>
      <c r="O357" s="40"/>
      <c r="P357" s="34"/>
      <c r="Q357" s="35"/>
      <c r="R357" s="35"/>
      <c r="S357" s="35"/>
      <c r="T357" s="35"/>
      <c r="U357" s="35"/>
      <c r="V357" s="35"/>
      <c r="W357" s="35"/>
      <c r="X357" s="35"/>
      <c r="Y357" s="35"/>
      <c r="Z357" s="35"/>
      <c r="AA357" s="35"/>
    </row>
    <row r="358" ht="14.25" customHeight="1">
      <c r="A358" s="127"/>
      <c r="B358" s="128"/>
      <c r="C358" s="116"/>
      <c r="D358" s="100"/>
      <c r="E358" s="117"/>
      <c r="F358" s="117"/>
      <c r="G358" s="119"/>
      <c r="H358" s="88"/>
      <c r="I358" s="36">
        <f t="shared" si="8"/>
        <v>0</v>
      </c>
      <c r="J358" s="37">
        <f t="shared" si="9"/>
        <v>0</v>
      </c>
      <c r="K358" s="38">
        <f t="shared" si="10"/>
        <v>0</v>
      </c>
      <c r="L358" s="39">
        <f t="shared" si="11"/>
        <v>0</v>
      </c>
      <c r="M358" s="38">
        <f t="shared" si="12"/>
        <v>0</v>
      </c>
      <c r="N358" s="39">
        <f t="shared" si="21"/>
        <v>0</v>
      </c>
      <c r="O358" s="40"/>
      <c r="P358" s="34"/>
      <c r="Q358" s="35"/>
      <c r="R358" s="35"/>
      <c r="S358" s="35"/>
      <c r="T358" s="35"/>
      <c r="U358" s="35"/>
      <c r="V358" s="35"/>
      <c r="W358" s="35"/>
      <c r="X358" s="35"/>
      <c r="Y358" s="35"/>
      <c r="Z358" s="35"/>
      <c r="AA358" s="35"/>
    </row>
    <row r="359" ht="14.25" customHeight="1">
      <c r="A359" s="127"/>
      <c r="B359" s="128"/>
      <c r="C359" s="116"/>
      <c r="D359" s="100"/>
      <c r="E359" s="117"/>
      <c r="F359" s="117"/>
      <c r="G359" s="119"/>
      <c r="H359" s="88"/>
      <c r="I359" s="36">
        <f t="shared" si="8"/>
        <v>0</v>
      </c>
      <c r="J359" s="37">
        <f t="shared" si="9"/>
        <v>0</v>
      </c>
      <c r="K359" s="38">
        <f t="shared" si="10"/>
        <v>0</v>
      </c>
      <c r="L359" s="39">
        <f t="shared" si="11"/>
        <v>0</v>
      </c>
      <c r="M359" s="38">
        <f t="shared" si="12"/>
        <v>0</v>
      </c>
      <c r="N359" s="39">
        <f t="shared" si="21"/>
        <v>0</v>
      </c>
      <c r="O359" s="40"/>
      <c r="P359" s="34"/>
      <c r="Q359" s="35"/>
      <c r="R359" s="35"/>
      <c r="S359" s="35"/>
      <c r="T359" s="35"/>
      <c r="U359" s="35"/>
      <c r="V359" s="35"/>
      <c r="W359" s="35"/>
      <c r="X359" s="35"/>
      <c r="Y359" s="35"/>
      <c r="Z359" s="35"/>
      <c r="AA359" s="35"/>
    </row>
    <row r="360" ht="14.25" customHeight="1">
      <c r="A360" s="127"/>
      <c r="B360" s="128"/>
      <c r="C360" s="116"/>
      <c r="D360" s="100"/>
      <c r="E360" s="117"/>
      <c r="F360" s="117"/>
      <c r="G360" s="119"/>
      <c r="H360" s="88"/>
      <c r="I360" s="36">
        <f t="shared" si="8"/>
        <v>0</v>
      </c>
      <c r="J360" s="37">
        <f t="shared" si="9"/>
        <v>0</v>
      </c>
      <c r="K360" s="38">
        <f t="shared" si="10"/>
        <v>0</v>
      </c>
      <c r="L360" s="39">
        <f t="shared" si="11"/>
        <v>0</v>
      </c>
      <c r="M360" s="38">
        <f t="shared" si="12"/>
        <v>0</v>
      </c>
      <c r="N360" s="39">
        <f t="shared" si="21"/>
        <v>0</v>
      </c>
      <c r="O360" s="40"/>
      <c r="P360" s="34"/>
      <c r="Q360" s="35"/>
      <c r="R360" s="35"/>
      <c r="S360" s="35"/>
      <c r="T360" s="35"/>
      <c r="U360" s="35"/>
      <c r="V360" s="35"/>
      <c r="W360" s="35"/>
      <c r="X360" s="35"/>
      <c r="Y360" s="35"/>
      <c r="Z360" s="35"/>
      <c r="AA360" s="35"/>
    </row>
    <row r="361" ht="14.25" customHeight="1">
      <c r="A361" s="127"/>
      <c r="B361" s="128"/>
      <c r="C361" s="116"/>
      <c r="D361" s="100"/>
      <c r="E361" s="117"/>
      <c r="F361" s="117"/>
      <c r="G361" s="119"/>
      <c r="H361" s="88"/>
      <c r="I361" s="36">
        <f t="shared" si="8"/>
        <v>0</v>
      </c>
      <c r="J361" s="37">
        <f t="shared" si="9"/>
        <v>0</v>
      </c>
      <c r="K361" s="38">
        <f t="shared" si="10"/>
        <v>0</v>
      </c>
      <c r="L361" s="39">
        <f t="shared" si="11"/>
        <v>0</v>
      </c>
      <c r="M361" s="38">
        <f t="shared" si="12"/>
        <v>0</v>
      </c>
      <c r="N361" s="39">
        <f t="shared" si="21"/>
        <v>0</v>
      </c>
      <c r="O361" s="40"/>
      <c r="P361" s="34"/>
      <c r="Q361" s="35"/>
      <c r="R361" s="35"/>
      <c r="S361" s="35"/>
      <c r="T361" s="35"/>
      <c r="U361" s="35"/>
      <c r="V361" s="35"/>
      <c r="W361" s="35"/>
      <c r="X361" s="35"/>
      <c r="Y361" s="35"/>
      <c r="Z361" s="35"/>
      <c r="AA361" s="35"/>
    </row>
    <row r="362" ht="14.25" customHeight="1">
      <c r="A362" s="127"/>
      <c r="B362" s="128"/>
      <c r="C362" s="116"/>
      <c r="D362" s="100"/>
      <c r="E362" s="117"/>
      <c r="F362" s="117"/>
      <c r="G362" s="119"/>
      <c r="H362" s="88"/>
      <c r="I362" s="36">
        <f t="shared" si="8"/>
        <v>0</v>
      </c>
      <c r="J362" s="37">
        <f t="shared" si="9"/>
        <v>0</v>
      </c>
      <c r="K362" s="38">
        <f t="shared" si="10"/>
        <v>0</v>
      </c>
      <c r="L362" s="39">
        <f t="shared" si="11"/>
        <v>0</v>
      </c>
      <c r="M362" s="38">
        <f t="shared" si="12"/>
        <v>0</v>
      </c>
      <c r="N362" s="39">
        <f t="shared" si="21"/>
        <v>0</v>
      </c>
      <c r="O362" s="40"/>
      <c r="P362" s="34"/>
      <c r="Q362" s="35"/>
      <c r="R362" s="35"/>
      <c r="S362" s="35"/>
      <c r="T362" s="35"/>
      <c r="U362" s="35"/>
      <c r="V362" s="35"/>
      <c r="W362" s="35"/>
      <c r="X362" s="35"/>
      <c r="Y362" s="35"/>
      <c r="Z362" s="35"/>
      <c r="AA362" s="35"/>
    </row>
    <row r="363" ht="14.25" customHeight="1">
      <c r="A363" s="127"/>
      <c r="B363" s="128"/>
      <c r="C363" s="116"/>
      <c r="D363" s="100"/>
      <c r="E363" s="117"/>
      <c r="F363" s="117"/>
      <c r="G363" s="119"/>
      <c r="H363" s="88"/>
      <c r="I363" s="36">
        <f t="shared" si="8"/>
        <v>0</v>
      </c>
      <c r="J363" s="37">
        <f t="shared" si="9"/>
        <v>0</v>
      </c>
      <c r="K363" s="38">
        <f t="shared" si="10"/>
        <v>0</v>
      </c>
      <c r="L363" s="39">
        <f t="shared" si="11"/>
        <v>0</v>
      </c>
      <c r="M363" s="38">
        <f t="shared" si="12"/>
        <v>0</v>
      </c>
      <c r="N363" s="39">
        <f t="shared" si="21"/>
        <v>0</v>
      </c>
      <c r="O363" s="40"/>
      <c r="P363" s="34"/>
      <c r="Q363" s="35"/>
      <c r="R363" s="35"/>
      <c r="S363" s="35"/>
      <c r="T363" s="35"/>
      <c r="U363" s="35"/>
      <c r="V363" s="35"/>
      <c r="W363" s="35"/>
      <c r="X363" s="35"/>
      <c r="Y363" s="35"/>
      <c r="Z363" s="35"/>
      <c r="AA363" s="35"/>
    </row>
    <row r="364" ht="14.25" customHeight="1">
      <c r="A364" s="127"/>
      <c r="B364" s="128"/>
      <c r="C364" s="108"/>
      <c r="D364" s="85"/>
      <c r="E364" s="117"/>
      <c r="F364" s="117"/>
      <c r="G364" s="119"/>
      <c r="H364" s="88"/>
      <c r="I364" s="36">
        <f t="shared" si="8"/>
        <v>0</v>
      </c>
      <c r="J364" s="37">
        <f t="shared" si="9"/>
        <v>0</v>
      </c>
      <c r="K364" s="38">
        <f t="shared" si="10"/>
        <v>0</v>
      </c>
      <c r="L364" s="39">
        <f t="shared" si="11"/>
        <v>0</v>
      </c>
      <c r="M364" s="38">
        <f t="shared" si="12"/>
        <v>0</v>
      </c>
      <c r="N364" s="39">
        <f t="shared" si="21"/>
        <v>0</v>
      </c>
      <c r="O364" s="40"/>
      <c r="P364" s="34"/>
      <c r="Q364" s="35"/>
      <c r="R364" s="35"/>
      <c r="S364" s="35"/>
      <c r="T364" s="35"/>
      <c r="U364" s="35"/>
      <c r="V364" s="35"/>
      <c r="W364" s="35"/>
      <c r="X364" s="35"/>
      <c r="Y364" s="35"/>
      <c r="Z364" s="35"/>
      <c r="AA364" s="35"/>
    </row>
    <row r="365" ht="14.25" customHeight="1">
      <c r="A365" s="127"/>
      <c r="B365" s="128"/>
      <c r="C365" s="108"/>
      <c r="D365" s="85"/>
      <c r="E365" s="117"/>
      <c r="F365" s="117"/>
      <c r="G365" s="119"/>
      <c r="H365" s="88"/>
      <c r="I365" s="36">
        <f t="shared" si="8"/>
        <v>0</v>
      </c>
      <c r="J365" s="37">
        <f t="shared" si="9"/>
        <v>0</v>
      </c>
      <c r="K365" s="38">
        <f t="shared" si="10"/>
        <v>0</v>
      </c>
      <c r="L365" s="39">
        <f t="shared" si="11"/>
        <v>0</v>
      </c>
      <c r="M365" s="38">
        <f t="shared" si="12"/>
        <v>0</v>
      </c>
      <c r="N365" s="39">
        <f t="shared" si="21"/>
        <v>0</v>
      </c>
      <c r="O365" s="40"/>
      <c r="P365" s="34"/>
      <c r="Q365" s="35"/>
      <c r="R365" s="35"/>
      <c r="S365" s="35"/>
      <c r="T365" s="35"/>
      <c r="U365" s="35"/>
      <c r="V365" s="35"/>
      <c r="W365" s="35"/>
      <c r="X365" s="35"/>
      <c r="Y365" s="35"/>
      <c r="Z365" s="35"/>
      <c r="AA365" s="35"/>
    </row>
    <row r="366" ht="14.25" customHeight="1">
      <c r="A366" s="127"/>
      <c r="B366" s="128"/>
      <c r="C366" s="115"/>
      <c r="D366" s="100"/>
      <c r="E366" s="117"/>
      <c r="F366" s="117"/>
      <c r="G366" s="119"/>
      <c r="H366" s="88"/>
      <c r="I366" s="36">
        <f t="shared" si="8"/>
        <v>0</v>
      </c>
      <c r="J366" s="37">
        <f t="shared" si="9"/>
        <v>0</v>
      </c>
      <c r="K366" s="38">
        <f t="shared" si="10"/>
        <v>0</v>
      </c>
      <c r="L366" s="39">
        <f t="shared" si="11"/>
        <v>0</v>
      </c>
      <c r="M366" s="38">
        <f t="shared" si="12"/>
        <v>0</v>
      </c>
      <c r="N366" s="39">
        <f t="shared" si="21"/>
        <v>0</v>
      </c>
      <c r="O366" s="40"/>
      <c r="P366" s="34"/>
      <c r="Q366" s="35"/>
      <c r="R366" s="35"/>
      <c r="S366" s="35"/>
      <c r="T366" s="35"/>
      <c r="U366" s="35"/>
      <c r="V366" s="35"/>
      <c r="W366" s="35"/>
      <c r="X366" s="35"/>
      <c r="Y366" s="35"/>
      <c r="Z366" s="35"/>
      <c r="AA366" s="35"/>
    </row>
    <row r="367" ht="14.25" customHeight="1">
      <c r="A367" s="127"/>
      <c r="B367" s="128"/>
      <c r="C367" s="116"/>
      <c r="D367" s="100"/>
      <c r="E367" s="117"/>
      <c r="F367" s="117"/>
      <c r="G367" s="119"/>
      <c r="H367" s="88"/>
      <c r="I367" s="36">
        <f t="shared" si="8"/>
        <v>0</v>
      </c>
      <c r="J367" s="37">
        <f t="shared" si="9"/>
        <v>0</v>
      </c>
      <c r="K367" s="38">
        <f t="shared" si="10"/>
        <v>0</v>
      </c>
      <c r="L367" s="39">
        <f t="shared" si="11"/>
        <v>0</v>
      </c>
      <c r="M367" s="38">
        <f t="shared" si="12"/>
        <v>0</v>
      </c>
      <c r="N367" s="39">
        <f t="shared" si="21"/>
        <v>0</v>
      </c>
      <c r="O367" s="40"/>
      <c r="P367" s="34"/>
      <c r="Q367" s="35"/>
      <c r="R367" s="35"/>
      <c r="S367" s="35"/>
      <c r="T367" s="35"/>
      <c r="U367" s="35"/>
      <c r="V367" s="35"/>
      <c r="W367" s="35"/>
      <c r="X367" s="35"/>
      <c r="Y367" s="35"/>
      <c r="Z367" s="35"/>
      <c r="AA367" s="35"/>
    </row>
    <row r="368" ht="14.25" customHeight="1">
      <c r="A368" s="127"/>
      <c r="B368" s="128"/>
      <c r="C368" s="116"/>
      <c r="D368" s="100"/>
      <c r="E368" s="117"/>
      <c r="F368" s="117"/>
      <c r="G368" s="119"/>
      <c r="H368" s="88"/>
      <c r="I368" s="36">
        <f t="shared" si="8"/>
        <v>0</v>
      </c>
      <c r="J368" s="37">
        <f t="shared" si="9"/>
        <v>0</v>
      </c>
      <c r="K368" s="38">
        <f t="shared" si="10"/>
        <v>0</v>
      </c>
      <c r="L368" s="39">
        <f t="shared" si="11"/>
        <v>0</v>
      </c>
      <c r="M368" s="38">
        <f t="shared" si="12"/>
        <v>0</v>
      </c>
      <c r="N368" s="39">
        <f t="shared" si="21"/>
        <v>0</v>
      </c>
      <c r="O368" s="40"/>
      <c r="P368" s="34"/>
      <c r="Q368" s="35"/>
      <c r="R368" s="35"/>
      <c r="S368" s="35"/>
      <c r="T368" s="35"/>
      <c r="U368" s="35"/>
      <c r="V368" s="35"/>
      <c r="W368" s="35"/>
      <c r="X368" s="35"/>
      <c r="Y368" s="35"/>
      <c r="Z368" s="35"/>
      <c r="AA368" s="35"/>
    </row>
    <row r="369" ht="14.25" customHeight="1">
      <c r="A369" s="127"/>
      <c r="B369" s="128"/>
      <c r="C369" s="115"/>
      <c r="D369" s="100"/>
      <c r="E369" s="117"/>
      <c r="F369" s="117"/>
      <c r="G369" s="119"/>
      <c r="H369" s="88"/>
      <c r="I369" s="36">
        <f t="shared" si="8"/>
        <v>0</v>
      </c>
      <c r="J369" s="37">
        <f t="shared" si="9"/>
        <v>0</v>
      </c>
      <c r="K369" s="38">
        <f t="shared" si="10"/>
        <v>0</v>
      </c>
      <c r="L369" s="39">
        <f t="shared" si="11"/>
        <v>0</v>
      </c>
      <c r="M369" s="38">
        <f t="shared" si="12"/>
        <v>0</v>
      </c>
      <c r="N369" s="39">
        <f t="shared" si="21"/>
        <v>0</v>
      </c>
      <c r="O369" s="40"/>
      <c r="P369" s="34"/>
      <c r="Q369" s="35"/>
      <c r="R369" s="35"/>
      <c r="S369" s="35"/>
      <c r="T369" s="35"/>
      <c r="U369" s="35"/>
      <c r="V369" s="35"/>
      <c r="W369" s="35"/>
      <c r="X369" s="35"/>
      <c r="Y369" s="35"/>
      <c r="Z369" s="35"/>
      <c r="AA369" s="35"/>
    </row>
    <row r="370" ht="14.25" customHeight="1">
      <c r="A370" s="127"/>
      <c r="B370" s="128"/>
      <c r="C370" s="115"/>
      <c r="D370" s="100"/>
      <c r="E370" s="117"/>
      <c r="F370" s="117"/>
      <c r="G370" s="119"/>
      <c r="H370" s="88"/>
      <c r="I370" s="36">
        <f t="shared" si="8"/>
        <v>0</v>
      </c>
      <c r="J370" s="37">
        <f t="shared" si="9"/>
        <v>0</v>
      </c>
      <c r="K370" s="38">
        <f t="shared" si="10"/>
        <v>0</v>
      </c>
      <c r="L370" s="39">
        <f t="shared" si="11"/>
        <v>0</v>
      </c>
      <c r="M370" s="38">
        <f t="shared" si="12"/>
        <v>0</v>
      </c>
      <c r="N370" s="39">
        <f t="shared" si="21"/>
        <v>0</v>
      </c>
      <c r="O370" s="40"/>
      <c r="P370" s="34"/>
      <c r="Q370" s="35"/>
      <c r="R370" s="35"/>
      <c r="S370" s="35"/>
      <c r="T370" s="35"/>
      <c r="U370" s="35"/>
      <c r="V370" s="35"/>
      <c r="W370" s="35"/>
      <c r="X370" s="35"/>
      <c r="Y370" s="35"/>
      <c r="Z370" s="35"/>
      <c r="AA370" s="35"/>
    </row>
    <row r="371" ht="14.25" customHeight="1">
      <c r="A371" s="127"/>
      <c r="B371" s="128"/>
      <c r="C371" s="115"/>
      <c r="D371" s="85"/>
      <c r="E371" s="117"/>
      <c r="F371" s="117"/>
      <c r="G371" s="119"/>
      <c r="H371" s="88"/>
      <c r="I371" s="36">
        <f t="shared" si="8"/>
        <v>0</v>
      </c>
      <c r="J371" s="37">
        <f t="shared" si="9"/>
        <v>0</v>
      </c>
      <c r="K371" s="38">
        <f t="shared" si="10"/>
        <v>0</v>
      </c>
      <c r="L371" s="39">
        <f t="shared" si="11"/>
        <v>0</v>
      </c>
      <c r="M371" s="38">
        <f t="shared" si="12"/>
        <v>0</v>
      </c>
      <c r="N371" s="39">
        <f t="shared" si="21"/>
        <v>0</v>
      </c>
      <c r="O371" s="40"/>
      <c r="P371" s="34"/>
      <c r="Q371" s="35"/>
      <c r="R371" s="35"/>
      <c r="S371" s="35"/>
      <c r="T371" s="35"/>
      <c r="U371" s="35"/>
      <c r="V371" s="35"/>
      <c r="W371" s="35"/>
      <c r="X371" s="35"/>
      <c r="Y371" s="35"/>
      <c r="Z371" s="35"/>
      <c r="AA371" s="35"/>
    </row>
    <row r="372" ht="14.25" customHeight="1">
      <c r="A372" s="127"/>
      <c r="B372" s="128"/>
      <c r="C372" s="129"/>
      <c r="D372" s="89"/>
      <c r="E372" s="117"/>
      <c r="F372" s="117"/>
      <c r="G372" s="119"/>
      <c r="H372" s="88"/>
      <c r="I372" s="36">
        <f t="shared" si="8"/>
        <v>0</v>
      </c>
      <c r="J372" s="37">
        <f t="shared" si="9"/>
        <v>0</v>
      </c>
      <c r="K372" s="38">
        <f t="shared" si="10"/>
        <v>0</v>
      </c>
      <c r="L372" s="39">
        <f t="shared" si="11"/>
        <v>0</v>
      </c>
      <c r="M372" s="38">
        <f t="shared" si="12"/>
        <v>0</v>
      </c>
      <c r="N372" s="39">
        <f t="shared" si="21"/>
        <v>0</v>
      </c>
      <c r="O372" s="40"/>
      <c r="P372" s="34"/>
      <c r="Q372" s="35"/>
      <c r="R372" s="35"/>
      <c r="S372" s="35"/>
      <c r="T372" s="35"/>
      <c r="U372" s="35"/>
      <c r="V372" s="35"/>
      <c r="W372" s="35"/>
      <c r="X372" s="35"/>
      <c r="Y372" s="35"/>
      <c r="Z372" s="35"/>
      <c r="AA372" s="35"/>
    </row>
    <row r="373" ht="14.25" customHeight="1">
      <c r="A373" s="130"/>
      <c r="B373" s="131"/>
      <c r="C373" s="110"/>
      <c r="D373" s="102"/>
      <c r="E373" s="117"/>
      <c r="F373" s="117"/>
      <c r="G373" s="119"/>
      <c r="H373" s="88"/>
      <c r="I373" s="36">
        <f t="shared" si="8"/>
        <v>0</v>
      </c>
      <c r="J373" s="37">
        <f t="shared" si="9"/>
        <v>0</v>
      </c>
      <c r="K373" s="38">
        <f t="shared" si="10"/>
        <v>0</v>
      </c>
      <c r="L373" s="39">
        <f t="shared" si="11"/>
        <v>0</v>
      </c>
      <c r="M373" s="38">
        <f t="shared" si="12"/>
        <v>0</v>
      </c>
      <c r="N373" s="39">
        <f t="shared" si="21"/>
        <v>0</v>
      </c>
      <c r="O373" s="40"/>
      <c r="P373" s="34"/>
      <c r="Q373" s="35"/>
      <c r="R373" s="35"/>
      <c r="S373" s="35"/>
      <c r="T373" s="35"/>
      <c r="U373" s="35"/>
      <c r="V373" s="35"/>
      <c r="W373" s="35"/>
      <c r="X373" s="35"/>
      <c r="Y373" s="35"/>
      <c r="Z373" s="35"/>
      <c r="AA373" s="35"/>
    </row>
    <row r="374" ht="14.25" customHeight="1">
      <c r="A374" s="127"/>
      <c r="B374" s="128"/>
      <c r="C374" s="116"/>
      <c r="D374" s="85"/>
      <c r="E374" s="117"/>
      <c r="F374" s="117"/>
      <c r="G374" s="119"/>
      <c r="H374" s="88"/>
      <c r="I374" s="36">
        <f t="shared" si="8"/>
        <v>0</v>
      </c>
      <c r="J374" s="37">
        <f t="shared" si="9"/>
        <v>0</v>
      </c>
      <c r="K374" s="38">
        <f t="shared" si="10"/>
        <v>0</v>
      </c>
      <c r="L374" s="39">
        <f t="shared" si="11"/>
        <v>0</v>
      </c>
      <c r="M374" s="38">
        <f t="shared" si="12"/>
        <v>0</v>
      </c>
      <c r="N374" s="39">
        <f t="shared" si="21"/>
        <v>0</v>
      </c>
      <c r="O374" s="40"/>
      <c r="P374" s="34"/>
      <c r="Q374" s="35"/>
      <c r="R374" s="35"/>
      <c r="S374" s="35"/>
      <c r="T374" s="35"/>
      <c r="U374" s="35"/>
      <c r="V374" s="35"/>
      <c r="W374" s="35"/>
      <c r="X374" s="35"/>
      <c r="Y374" s="35"/>
      <c r="Z374" s="35"/>
      <c r="AA374" s="35"/>
    </row>
    <row r="375" ht="14.25" customHeight="1">
      <c r="A375" s="127"/>
      <c r="B375" s="128"/>
      <c r="C375" s="116"/>
      <c r="D375" s="85"/>
      <c r="E375" s="117"/>
      <c r="F375" s="117"/>
      <c r="G375" s="119"/>
      <c r="H375" s="88"/>
      <c r="I375" s="36">
        <f t="shared" si="8"/>
        <v>0</v>
      </c>
      <c r="J375" s="37">
        <f t="shared" si="9"/>
        <v>0</v>
      </c>
      <c r="K375" s="38">
        <f t="shared" si="10"/>
        <v>0</v>
      </c>
      <c r="L375" s="39">
        <f t="shared" si="11"/>
        <v>0</v>
      </c>
      <c r="M375" s="38">
        <f t="shared" si="12"/>
        <v>0</v>
      </c>
      <c r="N375" s="39">
        <f t="shared" si="21"/>
        <v>0</v>
      </c>
      <c r="O375" s="40"/>
      <c r="P375" s="34"/>
      <c r="Q375" s="35"/>
      <c r="R375" s="35"/>
      <c r="S375" s="35"/>
      <c r="T375" s="35"/>
      <c r="U375" s="35"/>
      <c r="V375" s="35"/>
      <c r="W375" s="35"/>
      <c r="X375" s="35"/>
      <c r="Y375" s="35"/>
      <c r="Z375" s="35"/>
      <c r="AA375" s="35"/>
    </row>
    <row r="376" ht="14.25" customHeight="1">
      <c r="A376" s="127"/>
      <c r="B376" s="128"/>
      <c r="C376" s="116"/>
      <c r="D376" s="85"/>
      <c r="E376" s="117"/>
      <c r="F376" s="117"/>
      <c r="G376" s="119"/>
      <c r="H376" s="88"/>
      <c r="I376" s="36">
        <f t="shared" si="8"/>
        <v>0</v>
      </c>
      <c r="J376" s="37">
        <f t="shared" si="9"/>
        <v>0</v>
      </c>
      <c r="K376" s="38">
        <f t="shared" si="10"/>
        <v>0</v>
      </c>
      <c r="L376" s="39">
        <f t="shared" si="11"/>
        <v>0</v>
      </c>
      <c r="M376" s="38">
        <f t="shared" si="12"/>
        <v>0</v>
      </c>
      <c r="N376" s="39">
        <f t="shared" si="21"/>
        <v>0</v>
      </c>
      <c r="O376" s="40"/>
      <c r="P376" s="34"/>
      <c r="Q376" s="35"/>
      <c r="R376" s="35"/>
      <c r="S376" s="35"/>
      <c r="T376" s="35"/>
      <c r="U376" s="35"/>
      <c r="V376" s="35"/>
      <c r="W376" s="35"/>
      <c r="X376" s="35"/>
      <c r="Y376" s="35"/>
      <c r="Z376" s="35"/>
      <c r="AA376" s="35"/>
    </row>
    <row r="377" ht="14.25" customHeight="1">
      <c r="A377" s="127"/>
      <c r="B377" s="128"/>
      <c r="C377" s="116"/>
      <c r="D377" s="85"/>
      <c r="E377" s="117"/>
      <c r="F377" s="117"/>
      <c r="G377" s="119"/>
      <c r="H377" s="88"/>
      <c r="I377" s="36">
        <f t="shared" si="8"/>
        <v>0</v>
      </c>
      <c r="J377" s="37">
        <f t="shared" si="9"/>
        <v>0</v>
      </c>
      <c r="K377" s="38">
        <f t="shared" si="10"/>
        <v>0</v>
      </c>
      <c r="L377" s="39">
        <f t="shared" si="11"/>
        <v>0</v>
      </c>
      <c r="M377" s="38">
        <f t="shared" si="12"/>
        <v>0</v>
      </c>
      <c r="N377" s="39">
        <f t="shared" si="21"/>
        <v>0</v>
      </c>
      <c r="O377" s="40"/>
      <c r="P377" s="34"/>
      <c r="Q377" s="35"/>
      <c r="R377" s="35"/>
      <c r="S377" s="35"/>
      <c r="T377" s="35"/>
      <c r="U377" s="35"/>
      <c r="V377" s="35"/>
      <c r="W377" s="35"/>
      <c r="X377" s="35"/>
      <c r="Y377" s="35"/>
      <c r="Z377" s="35"/>
      <c r="AA377" s="35"/>
    </row>
    <row r="378" ht="14.25" customHeight="1">
      <c r="A378" s="127"/>
      <c r="B378" s="128"/>
      <c r="C378" s="110"/>
      <c r="D378" s="122"/>
      <c r="E378" s="117"/>
      <c r="F378" s="117"/>
      <c r="G378" s="119"/>
      <c r="H378" s="88"/>
      <c r="I378" s="36">
        <f t="shared" si="8"/>
        <v>0</v>
      </c>
      <c r="J378" s="37">
        <f t="shared" si="9"/>
        <v>0</v>
      </c>
      <c r="K378" s="38">
        <f t="shared" si="10"/>
        <v>0</v>
      </c>
      <c r="L378" s="39">
        <f t="shared" si="11"/>
        <v>0</v>
      </c>
      <c r="M378" s="38">
        <f t="shared" si="12"/>
        <v>0</v>
      </c>
      <c r="N378" s="39">
        <f t="shared" si="21"/>
        <v>0</v>
      </c>
      <c r="O378" s="40"/>
      <c r="P378" s="34"/>
      <c r="Q378" s="35"/>
      <c r="R378" s="35"/>
      <c r="S378" s="35"/>
      <c r="T378" s="35"/>
      <c r="U378" s="35"/>
      <c r="V378" s="35"/>
      <c r="W378" s="35"/>
      <c r="X378" s="35"/>
      <c r="Y378" s="35"/>
      <c r="Z378" s="35"/>
      <c r="AA378" s="35"/>
    </row>
    <row r="379" ht="14.25" customHeight="1">
      <c r="A379" s="127"/>
      <c r="B379" s="128"/>
      <c r="C379" s="110"/>
      <c r="D379" s="122"/>
      <c r="E379" s="117"/>
      <c r="F379" s="117"/>
      <c r="G379" s="119"/>
      <c r="H379" s="88"/>
      <c r="I379" s="36">
        <f t="shared" si="8"/>
        <v>0</v>
      </c>
      <c r="J379" s="37">
        <f t="shared" si="9"/>
        <v>0</v>
      </c>
      <c r="K379" s="38">
        <f t="shared" si="10"/>
        <v>0</v>
      </c>
      <c r="L379" s="39">
        <f t="shared" si="11"/>
        <v>0</v>
      </c>
      <c r="M379" s="38">
        <f t="shared" si="12"/>
        <v>0</v>
      </c>
      <c r="N379" s="39">
        <f t="shared" si="21"/>
        <v>0</v>
      </c>
      <c r="O379" s="40"/>
      <c r="P379" s="34"/>
      <c r="Q379" s="35"/>
      <c r="R379" s="35"/>
      <c r="S379" s="35"/>
      <c r="T379" s="35"/>
      <c r="U379" s="35"/>
      <c r="V379" s="35"/>
      <c r="W379" s="35"/>
      <c r="X379" s="35"/>
      <c r="Y379" s="35"/>
      <c r="Z379" s="35"/>
      <c r="AA379" s="35"/>
    </row>
    <row r="380" ht="14.25" customHeight="1">
      <c r="A380" s="130"/>
      <c r="B380" s="131"/>
      <c r="C380" s="110"/>
      <c r="D380" s="102"/>
      <c r="E380" s="117"/>
      <c r="F380" s="117"/>
      <c r="G380" s="119"/>
      <c r="H380" s="88"/>
      <c r="I380" s="36">
        <f t="shared" si="8"/>
        <v>0</v>
      </c>
      <c r="J380" s="37">
        <f t="shared" si="9"/>
        <v>0</v>
      </c>
      <c r="K380" s="38">
        <f t="shared" si="10"/>
        <v>0</v>
      </c>
      <c r="L380" s="39">
        <f t="shared" si="11"/>
        <v>0</v>
      </c>
      <c r="M380" s="38">
        <f t="shared" si="12"/>
        <v>0</v>
      </c>
      <c r="N380" s="39">
        <f t="shared" si="21"/>
        <v>0</v>
      </c>
      <c r="O380" s="40"/>
      <c r="P380" s="34"/>
      <c r="Q380" s="35"/>
      <c r="R380" s="35"/>
      <c r="S380" s="35"/>
      <c r="T380" s="35"/>
      <c r="U380" s="35"/>
      <c r="V380" s="35"/>
      <c r="W380" s="35"/>
      <c r="X380" s="35"/>
      <c r="Y380" s="35"/>
      <c r="Z380" s="35"/>
      <c r="AA380" s="35"/>
    </row>
    <row r="381" ht="14.25" customHeight="1">
      <c r="A381" s="127"/>
      <c r="B381" s="128"/>
      <c r="C381" s="108"/>
      <c r="D381" s="85"/>
      <c r="E381" s="117"/>
      <c r="F381" s="117"/>
      <c r="G381" s="119"/>
      <c r="H381" s="88"/>
      <c r="I381" s="36">
        <f t="shared" si="8"/>
        <v>0</v>
      </c>
      <c r="J381" s="37">
        <f t="shared" si="9"/>
        <v>0</v>
      </c>
      <c r="K381" s="38">
        <f t="shared" si="10"/>
        <v>0</v>
      </c>
      <c r="L381" s="39">
        <f t="shared" si="11"/>
        <v>0</v>
      </c>
      <c r="M381" s="38">
        <f t="shared" si="12"/>
        <v>0</v>
      </c>
      <c r="N381" s="39">
        <f t="shared" si="21"/>
        <v>0</v>
      </c>
      <c r="O381" s="40"/>
      <c r="P381" s="34"/>
      <c r="Q381" s="35"/>
      <c r="R381" s="35"/>
      <c r="S381" s="35"/>
      <c r="T381" s="35"/>
      <c r="U381" s="35"/>
      <c r="V381" s="35"/>
      <c r="W381" s="35"/>
      <c r="X381" s="35"/>
      <c r="Y381" s="35"/>
      <c r="Z381" s="35"/>
      <c r="AA381" s="35"/>
    </row>
    <row r="382" ht="14.25" customHeight="1">
      <c r="A382" s="127"/>
      <c r="B382" s="128"/>
      <c r="C382" s="108"/>
      <c r="D382" s="85"/>
      <c r="E382" s="117"/>
      <c r="F382" s="117"/>
      <c r="G382" s="119"/>
      <c r="H382" s="88"/>
      <c r="I382" s="36">
        <f t="shared" si="8"/>
        <v>0</v>
      </c>
      <c r="J382" s="37">
        <f t="shared" si="9"/>
        <v>0</v>
      </c>
      <c r="K382" s="38">
        <f t="shared" si="10"/>
        <v>0</v>
      </c>
      <c r="L382" s="39">
        <f t="shared" si="11"/>
        <v>0</v>
      </c>
      <c r="M382" s="38">
        <f t="shared" si="12"/>
        <v>0</v>
      </c>
      <c r="N382" s="39">
        <f t="shared" si="21"/>
        <v>0</v>
      </c>
      <c r="O382" s="40"/>
      <c r="P382" s="34"/>
      <c r="Q382" s="35"/>
      <c r="R382" s="35"/>
      <c r="S382" s="35"/>
      <c r="T382" s="35"/>
      <c r="U382" s="35"/>
      <c r="V382" s="35"/>
      <c r="W382" s="35"/>
      <c r="X382" s="35"/>
      <c r="Y382" s="35"/>
      <c r="Z382" s="35"/>
      <c r="AA382" s="35"/>
    </row>
    <row r="383" ht="14.25" customHeight="1">
      <c r="A383" s="127"/>
      <c r="B383" s="128"/>
      <c r="C383" s="108"/>
      <c r="D383" s="85"/>
      <c r="E383" s="117"/>
      <c r="F383" s="117"/>
      <c r="G383" s="119"/>
      <c r="H383" s="88"/>
      <c r="I383" s="36">
        <f t="shared" si="8"/>
        <v>0</v>
      </c>
      <c r="J383" s="37">
        <f t="shared" si="9"/>
        <v>0</v>
      </c>
      <c r="K383" s="38">
        <f t="shared" si="10"/>
        <v>0</v>
      </c>
      <c r="L383" s="39">
        <f t="shared" si="11"/>
        <v>0</v>
      </c>
      <c r="M383" s="38">
        <f t="shared" si="12"/>
        <v>0</v>
      </c>
      <c r="N383" s="39">
        <f t="shared" si="21"/>
        <v>0</v>
      </c>
      <c r="O383" s="40"/>
      <c r="P383" s="34"/>
      <c r="Q383" s="35"/>
      <c r="R383" s="35"/>
      <c r="S383" s="35"/>
      <c r="T383" s="35"/>
      <c r="U383" s="35"/>
      <c r="V383" s="35"/>
      <c r="W383" s="35"/>
      <c r="X383" s="35"/>
      <c r="Y383" s="35"/>
      <c r="Z383" s="35"/>
      <c r="AA383" s="35"/>
    </row>
    <row r="384" ht="14.25" customHeight="1">
      <c r="A384" s="127"/>
      <c r="B384" s="128"/>
      <c r="C384" s="108"/>
      <c r="D384" s="85"/>
      <c r="E384" s="117"/>
      <c r="F384" s="117"/>
      <c r="G384" s="119"/>
      <c r="H384" s="88"/>
      <c r="I384" s="36">
        <f t="shared" si="8"/>
        <v>0</v>
      </c>
      <c r="J384" s="37">
        <f t="shared" si="9"/>
        <v>0</v>
      </c>
      <c r="K384" s="38">
        <f t="shared" si="10"/>
        <v>0</v>
      </c>
      <c r="L384" s="39">
        <f t="shared" si="11"/>
        <v>0</v>
      </c>
      <c r="M384" s="38">
        <f t="shared" si="12"/>
        <v>0</v>
      </c>
      <c r="N384" s="39">
        <f t="shared" si="21"/>
        <v>0</v>
      </c>
      <c r="O384" s="40"/>
      <c r="P384" s="34"/>
      <c r="Q384" s="35"/>
      <c r="R384" s="35"/>
      <c r="S384" s="35"/>
      <c r="T384" s="35"/>
      <c r="U384" s="35"/>
      <c r="V384" s="35"/>
      <c r="W384" s="35"/>
      <c r="X384" s="35"/>
      <c r="Y384" s="35"/>
      <c r="Z384" s="35"/>
      <c r="AA384" s="35"/>
    </row>
    <row r="385" ht="14.25" customHeight="1">
      <c r="A385" s="127"/>
      <c r="B385" s="128"/>
      <c r="C385" s="120"/>
      <c r="D385" s="85"/>
      <c r="E385" s="117"/>
      <c r="F385" s="117"/>
      <c r="G385" s="119"/>
      <c r="H385" s="88"/>
      <c r="I385" s="36">
        <f t="shared" si="8"/>
        <v>0</v>
      </c>
      <c r="J385" s="37">
        <f t="shared" si="9"/>
        <v>0</v>
      </c>
      <c r="K385" s="38">
        <f t="shared" si="10"/>
        <v>0</v>
      </c>
      <c r="L385" s="39">
        <f t="shared" si="11"/>
        <v>0</v>
      </c>
      <c r="M385" s="38">
        <f t="shared" si="12"/>
        <v>0</v>
      </c>
      <c r="N385" s="39">
        <f t="shared" si="21"/>
        <v>0</v>
      </c>
      <c r="O385" s="40"/>
      <c r="P385" s="34"/>
      <c r="Q385" s="35"/>
      <c r="R385" s="35"/>
      <c r="S385" s="35"/>
      <c r="T385" s="35"/>
      <c r="U385" s="35"/>
      <c r="V385" s="35"/>
      <c r="W385" s="35"/>
      <c r="X385" s="35"/>
      <c r="Y385" s="35"/>
      <c r="Z385" s="35"/>
      <c r="AA385" s="35"/>
    </row>
    <row r="386" ht="14.25" customHeight="1">
      <c r="A386" s="127"/>
      <c r="B386" s="128"/>
      <c r="C386" s="108"/>
      <c r="D386" s="85"/>
      <c r="E386" s="117"/>
      <c r="F386" s="117"/>
      <c r="G386" s="119"/>
      <c r="H386" s="88"/>
      <c r="I386" s="36">
        <f t="shared" si="8"/>
        <v>0</v>
      </c>
      <c r="J386" s="37">
        <f t="shared" si="9"/>
        <v>0</v>
      </c>
      <c r="K386" s="38">
        <f t="shared" si="10"/>
        <v>0</v>
      </c>
      <c r="L386" s="39">
        <f t="shared" si="11"/>
        <v>0</v>
      </c>
      <c r="M386" s="38">
        <f t="shared" si="12"/>
        <v>0</v>
      </c>
      <c r="N386" s="39">
        <f t="shared" si="21"/>
        <v>0</v>
      </c>
      <c r="O386" s="40"/>
      <c r="P386" s="34"/>
      <c r="Q386" s="35"/>
      <c r="R386" s="35"/>
      <c r="S386" s="35"/>
      <c r="T386" s="35"/>
      <c r="U386" s="35"/>
      <c r="V386" s="35"/>
      <c r="W386" s="35"/>
      <c r="X386" s="35"/>
      <c r="Y386" s="35"/>
      <c r="Z386" s="35"/>
      <c r="AA386" s="35"/>
    </row>
    <row r="387" ht="14.25" customHeight="1">
      <c r="A387" s="127"/>
      <c r="B387" s="128"/>
      <c r="C387" s="108"/>
      <c r="D387" s="85"/>
      <c r="E387" s="117"/>
      <c r="F387" s="117"/>
      <c r="G387" s="119"/>
      <c r="H387" s="88"/>
      <c r="I387" s="36">
        <f t="shared" si="8"/>
        <v>0</v>
      </c>
      <c r="J387" s="37">
        <f t="shared" si="9"/>
        <v>0</v>
      </c>
      <c r="K387" s="38">
        <f t="shared" si="10"/>
        <v>0</v>
      </c>
      <c r="L387" s="39">
        <f t="shared" si="11"/>
        <v>0</v>
      </c>
      <c r="M387" s="38">
        <f t="shared" si="12"/>
        <v>0</v>
      </c>
      <c r="N387" s="39">
        <f t="shared" si="21"/>
        <v>0</v>
      </c>
      <c r="O387" s="40"/>
      <c r="P387" s="34"/>
      <c r="Q387" s="35"/>
      <c r="R387" s="35"/>
      <c r="S387" s="35"/>
      <c r="T387" s="35"/>
      <c r="U387" s="35"/>
      <c r="V387" s="35"/>
      <c r="W387" s="35"/>
      <c r="X387" s="35"/>
      <c r="Y387" s="35"/>
      <c r="Z387" s="35"/>
      <c r="AA387" s="35"/>
    </row>
    <row r="388" ht="14.25" customHeight="1">
      <c r="A388" s="127"/>
      <c r="B388" s="128"/>
      <c r="C388" s="129"/>
      <c r="D388" s="85"/>
      <c r="E388" s="117"/>
      <c r="F388" s="117"/>
      <c r="G388" s="119"/>
      <c r="H388" s="88"/>
      <c r="I388" s="36">
        <f t="shared" si="8"/>
        <v>0</v>
      </c>
      <c r="J388" s="37">
        <f t="shared" si="9"/>
        <v>0</v>
      </c>
      <c r="K388" s="38">
        <f t="shared" si="10"/>
        <v>0</v>
      </c>
      <c r="L388" s="39">
        <f t="shared" si="11"/>
        <v>0</v>
      </c>
      <c r="M388" s="38">
        <f t="shared" si="12"/>
        <v>0</v>
      </c>
      <c r="N388" s="39">
        <f t="shared" si="21"/>
        <v>0</v>
      </c>
      <c r="O388" s="40"/>
      <c r="P388" s="34"/>
      <c r="Q388" s="35"/>
      <c r="R388" s="35"/>
      <c r="S388" s="35"/>
      <c r="T388" s="35"/>
      <c r="U388" s="35"/>
      <c r="V388" s="35"/>
      <c r="W388" s="35"/>
      <c r="X388" s="35"/>
      <c r="Y388" s="35"/>
      <c r="Z388" s="35"/>
      <c r="AA388" s="35"/>
    </row>
    <row r="389" ht="14.25" customHeight="1">
      <c r="A389" s="130"/>
      <c r="B389" s="131"/>
      <c r="C389" s="108"/>
      <c r="D389" s="102"/>
      <c r="E389" s="117"/>
      <c r="F389" s="117"/>
      <c r="G389" s="119"/>
      <c r="H389" s="88"/>
      <c r="I389" s="36">
        <f t="shared" si="8"/>
        <v>0</v>
      </c>
      <c r="J389" s="37">
        <f t="shared" si="9"/>
        <v>0</v>
      </c>
      <c r="K389" s="38">
        <f t="shared" si="10"/>
        <v>0</v>
      </c>
      <c r="L389" s="39">
        <f t="shared" si="11"/>
        <v>0</v>
      </c>
      <c r="M389" s="38">
        <f t="shared" si="12"/>
        <v>0</v>
      </c>
      <c r="N389" s="39">
        <f t="shared" si="21"/>
        <v>0</v>
      </c>
      <c r="O389" s="40"/>
      <c r="P389" s="34"/>
      <c r="Q389" s="35"/>
      <c r="R389" s="35"/>
      <c r="S389" s="35"/>
      <c r="T389" s="35"/>
      <c r="U389" s="35"/>
      <c r="V389" s="35"/>
      <c r="W389" s="35"/>
      <c r="X389" s="35"/>
      <c r="Y389" s="35"/>
      <c r="Z389" s="35"/>
      <c r="AA389" s="35"/>
    </row>
    <row r="390" ht="14.25" customHeight="1">
      <c r="A390" s="130"/>
      <c r="B390" s="131"/>
      <c r="C390" s="108"/>
      <c r="D390" s="90"/>
      <c r="E390" s="117"/>
      <c r="F390" s="117"/>
      <c r="G390" s="119"/>
      <c r="H390" s="88"/>
      <c r="I390" s="36">
        <f t="shared" si="8"/>
        <v>0</v>
      </c>
      <c r="J390" s="37">
        <f t="shared" si="9"/>
        <v>0</v>
      </c>
      <c r="K390" s="38">
        <f t="shared" si="10"/>
        <v>0</v>
      </c>
      <c r="L390" s="39">
        <f t="shared" si="11"/>
        <v>0</v>
      </c>
      <c r="M390" s="38">
        <f t="shared" si="12"/>
        <v>0</v>
      </c>
      <c r="N390" s="39">
        <f t="shared" si="21"/>
        <v>0</v>
      </c>
      <c r="O390" s="40"/>
      <c r="P390" s="34"/>
      <c r="Q390" s="35"/>
      <c r="R390" s="35"/>
      <c r="S390" s="35"/>
      <c r="T390" s="35"/>
      <c r="U390" s="35"/>
      <c r="V390" s="35"/>
      <c r="W390" s="35"/>
      <c r="X390" s="35"/>
      <c r="Y390" s="35"/>
      <c r="Z390" s="35"/>
      <c r="AA390" s="35"/>
    </row>
    <row r="391" ht="14.25" customHeight="1">
      <c r="A391" s="83"/>
      <c r="B391" s="84"/>
      <c r="C391" s="132"/>
      <c r="D391" s="42"/>
      <c r="E391" s="117"/>
      <c r="F391" s="117"/>
      <c r="G391" s="133"/>
      <c r="H391" s="88"/>
      <c r="I391" s="36">
        <f t="shared" si="8"/>
        <v>0</v>
      </c>
      <c r="J391" s="37">
        <f t="shared" si="9"/>
        <v>0</v>
      </c>
      <c r="K391" s="38">
        <f t="shared" si="10"/>
        <v>0</v>
      </c>
      <c r="L391" s="39">
        <f t="shared" si="11"/>
        <v>0</v>
      </c>
      <c r="M391" s="38">
        <f t="shared" si="12"/>
        <v>0</v>
      </c>
      <c r="N391" s="39">
        <f t="shared" si="21"/>
        <v>0</v>
      </c>
      <c r="O391" s="40"/>
      <c r="P391" s="34"/>
      <c r="Q391" s="35"/>
      <c r="R391" s="35"/>
      <c r="S391" s="35"/>
      <c r="T391" s="35"/>
      <c r="U391" s="35"/>
      <c r="V391" s="35"/>
      <c r="W391" s="35"/>
      <c r="X391" s="35"/>
      <c r="Y391" s="35"/>
      <c r="Z391" s="35"/>
      <c r="AA391" s="35"/>
    </row>
    <row r="392" ht="14.25" customHeight="1">
      <c r="A392" s="83"/>
      <c r="B392" s="84"/>
      <c r="C392" s="115"/>
      <c r="D392" s="100"/>
      <c r="E392" s="117"/>
      <c r="F392" s="117"/>
      <c r="G392" s="134"/>
      <c r="H392" s="88"/>
      <c r="I392" s="36">
        <f t="shared" si="8"/>
        <v>0</v>
      </c>
      <c r="J392" s="37">
        <f t="shared" si="9"/>
        <v>0</v>
      </c>
      <c r="K392" s="38">
        <f t="shared" si="10"/>
        <v>0</v>
      </c>
      <c r="L392" s="39">
        <f t="shared" si="11"/>
        <v>0</v>
      </c>
      <c r="M392" s="38">
        <f t="shared" si="12"/>
        <v>0</v>
      </c>
      <c r="N392" s="39">
        <f t="shared" si="21"/>
        <v>0</v>
      </c>
      <c r="O392" s="40"/>
      <c r="P392" s="34"/>
      <c r="Q392" s="35"/>
      <c r="R392" s="35"/>
      <c r="S392" s="35"/>
      <c r="T392" s="35"/>
      <c r="U392" s="35"/>
      <c r="V392" s="35"/>
      <c r="W392" s="35"/>
      <c r="X392" s="35"/>
      <c r="Y392" s="35"/>
      <c r="Z392" s="35"/>
      <c r="AA392" s="35"/>
    </row>
    <row r="393" ht="14.25" customHeight="1">
      <c r="A393" s="83"/>
      <c r="B393" s="84"/>
      <c r="C393" s="115"/>
      <c r="D393" s="100"/>
      <c r="E393" s="117"/>
      <c r="F393" s="117"/>
      <c r="G393" s="134"/>
      <c r="H393" s="88"/>
      <c r="I393" s="36">
        <f t="shared" si="8"/>
        <v>0</v>
      </c>
      <c r="J393" s="37">
        <f t="shared" si="9"/>
        <v>0</v>
      </c>
      <c r="K393" s="38">
        <f t="shared" si="10"/>
        <v>0</v>
      </c>
      <c r="L393" s="39">
        <f t="shared" si="11"/>
        <v>0</v>
      </c>
      <c r="M393" s="38">
        <f t="shared" si="12"/>
        <v>0</v>
      </c>
      <c r="N393" s="39">
        <f t="shared" si="21"/>
        <v>0</v>
      </c>
      <c r="O393" s="40"/>
      <c r="P393" s="34"/>
      <c r="Q393" s="35"/>
      <c r="R393" s="35"/>
      <c r="S393" s="35"/>
      <c r="T393" s="35"/>
      <c r="U393" s="35"/>
      <c r="V393" s="35"/>
      <c r="W393" s="35"/>
      <c r="X393" s="35"/>
      <c r="Y393" s="35"/>
      <c r="Z393" s="35"/>
      <c r="AA393" s="35"/>
    </row>
    <row r="394" ht="14.25" customHeight="1">
      <c r="A394" s="83"/>
      <c r="B394" s="84"/>
      <c r="C394" s="115"/>
      <c r="D394" s="100"/>
      <c r="E394" s="117"/>
      <c r="F394" s="117"/>
      <c r="G394" s="134"/>
      <c r="H394" s="88"/>
      <c r="I394" s="36">
        <f t="shared" si="8"/>
        <v>0</v>
      </c>
      <c r="J394" s="37">
        <f t="shared" si="9"/>
        <v>0</v>
      </c>
      <c r="K394" s="38">
        <f t="shared" si="10"/>
        <v>0</v>
      </c>
      <c r="L394" s="39">
        <f t="shared" si="11"/>
        <v>0</v>
      </c>
      <c r="M394" s="38">
        <f t="shared" si="12"/>
        <v>0</v>
      </c>
      <c r="N394" s="39">
        <f t="shared" si="21"/>
        <v>0</v>
      </c>
      <c r="O394" s="40"/>
      <c r="P394" s="34"/>
      <c r="Q394" s="35"/>
      <c r="R394" s="35"/>
      <c r="S394" s="35"/>
      <c r="T394" s="35"/>
      <c r="U394" s="35"/>
      <c r="V394" s="35"/>
      <c r="W394" s="35"/>
      <c r="X394" s="35"/>
      <c r="Y394" s="35"/>
      <c r="Z394" s="35"/>
      <c r="AA394" s="35"/>
    </row>
    <row r="395" ht="14.25" customHeight="1">
      <c r="A395" s="83"/>
      <c r="B395" s="84"/>
      <c r="C395" s="115"/>
      <c r="D395" s="100"/>
      <c r="E395" s="117"/>
      <c r="F395" s="117"/>
      <c r="G395" s="134"/>
      <c r="H395" s="88"/>
      <c r="I395" s="36">
        <f t="shared" si="8"/>
        <v>0</v>
      </c>
      <c r="J395" s="37">
        <f t="shared" si="9"/>
        <v>0</v>
      </c>
      <c r="K395" s="38">
        <f t="shared" si="10"/>
        <v>0</v>
      </c>
      <c r="L395" s="39">
        <f t="shared" si="11"/>
        <v>0</v>
      </c>
      <c r="M395" s="38">
        <f t="shared" si="12"/>
        <v>0</v>
      </c>
      <c r="N395" s="39">
        <f t="shared" si="21"/>
        <v>0</v>
      </c>
      <c r="O395" s="40"/>
      <c r="P395" s="34"/>
      <c r="Q395" s="35"/>
      <c r="R395" s="35"/>
      <c r="S395" s="35"/>
      <c r="T395" s="35"/>
      <c r="U395" s="35"/>
      <c r="V395" s="35"/>
      <c r="W395" s="35"/>
      <c r="X395" s="35"/>
      <c r="Y395" s="35"/>
      <c r="Z395" s="35"/>
      <c r="AA395" s="35"/>
    </row>
    <row r="396" ht="14.25" customHeight="1">
      <c r="A396" s="83"/>
      <c r="B396" s="84"/>
      <c r="C396" s="115"/>
      <c r="D396" s="100"/>
      <c r="E396" s="117"/>
      <c r="F396" s="117"/>
      <c r="G396" s="134"/>
      <c r="H396" s="88"/>
      <c r="I396" s="36">
        <f t="shared" si="8"/>
        <v>0</v>
      </c>
      <c r="J396" s="37">
        <f t="shared" si="9"/>
        <v>0</v>
      </c>
      <c r="K396" s="38">
        <f t="shared" si="10"/>
        <v>0</v>
      </c>
      <c r="L396" s="39">
        <f t="shared" si="11"/>
        <v>0</v>
      </c>
      <c r="M396" s="38">
        <f t="shared" si="12"/>
        <v>0</v>
      </c>
      <c r="N396" s="39">
        <f t="shared" si="21"/>
        <v>0</v>
      </c>
      <c r="O396" s="40"/>
      <c r="P396" s="34"/>
      <c r="Q396" s="35"/>
      <c r="R396" s="35"/>
      <c r="S396" s="35"/>
      <c r="T396" s="35"/>
      <c r="U396" s="35"/>
      <c r="V396" s="35"/>
      <c r="W396" s="35"/>
      <c r="X396" s="35"/>
      <c r="Y396" s="35"/>
      <c r="Z396" s="35"/>
      <c r="AA396" s="35"/>
    </row>
    <row r="397" ht="14.25" customHeight="1">
      <c r="A397" s="83"/>
      <c r="B397" s="84"/>
      <c r="C397" s="115"/>
      <c r="D397" s="100"/>
      <c r="E397" s="117"/>
      <c r="F397" s="117"/>
      <c r="G397" s="134"/>
      <c r="H397" s="88"/>
      <c r="I397" s="36">
        <f t="shared" si="8"/>
        <v>0</v>
      </c>
      <c r="J397" s="37">
        <f t="shared" si="9"/>
        <v>0</v>
      </c>
      <c r="K397" s="38">
        <f t="shared" si="10"/>
        <v>0</v>
      </c>
      <c r="L397" s="39">
        <f t="shared" si="11"/>
        <v>0</v>
      </c>
      <c r="M397" s="38">
        <f t="shared" si="12"/>
        <v>0</v>
      </c>
      <c r="N397" s="39">
        <f t="shared" si="21"/>
        <v>0</v>
      </c>
      <c r="O397" s="40"/>
      <c r="P397" s="34"/>
      <c r="Q397" s="35"/>
      <c r="R397" s="35"/>
      <c r="S397" s="35"/>
      <c r="T397" s="35"/>
      <c r="U397" s="35"/>
      <c r="V397" s="35"/>
      <c r="W397" s="35"/>
      <c r="X397" s="35"/>
      <c r="Y397" s="35"/>
      <c r="Z397" s="35"/>
      <c r="AA397" s="35"/>
    </row>
    <row r="398" ht="14.25" customHeight="1">
      <c r="A398" s="83"/>
      <c r="B398" s="84"/>
      <c r="C398" s="115"/>
      <c r="D398" s="100"/>
      <c r="E398" s="117"/>
      <c r="F398" s="117"/>
      <c r="G398" s="107"/>
      <c r="H398" s="88"/>
      <c r="I398" s="36">
        <f t="shared" si="8"/>
        <v>0</v>
      </c>
      <c r="J398" s="37">
        <f t="shared" si="9"/>
        <v>0</v>
      </c>
      <c r="K398" s="38">
        <f t="shared" si="10"/>
        <v>0</v>
      </c>
      <c r="L398" s="39">
        <f t="shared" si="11"/>
        <v>0</v>
      </c>
      <c r="M398" s="38">
        <f t="shared" si="12"/>
        <v>0</v>
      </c>
      <c r="N398" s="39">
        <f t="shared" si="21"/>
        <v>0</v>
      </c>
      <c r="O398" s="40"/>
      <c r="P398" s="34"/>
      <c r="Q398" s="35"/>
      <c r="R398" s="35"/>
      <c r="S398" s="35"/>
      <c r="T398" s="35"/>
      <c r="U398" s="35"/>
      <c r="V398" s="35"/>
      <c r="W398" s="35"/>
      <c r="X398" s="35"/>
      <c r="Y398" s="35"/>
      <c r="Z398" s="35"/>
      <c r="AA398" s="35"/>
    </row>
    <row r="399" ht="14.25" customHeight="1">
      <c r="A399" s="83"/>
      <c r="B399" s="84"/>
      <c r="C399" s="108"/>
      <c r="D399" s="85"/>
      <c r="E399" s="117"/>
      <c r="F399" s="117"/>
      <c r="G399" s="112"/>
      <c r="H399" s="88"/>
      <c r="I399" s="36">
        <f t="shared" si="8"/>
        <v>0</v>
      </c>
      <c r="J399" s="37">
        <f t="shared" si="9"/>
        <v>0</v>
      </c>
      <c r="K399" s="38">
        <f t="shared" si="10"/>
        <v>0</v>
      </c>
      <c r="L399" s="39">
        <f t="shared" si="11"/>
        <v>0</v>
      </c>
      <c r="M399" s="38">
        <f t="shared" si="12"/>
        <v>0</v>
      </c>
      <c r="N399" s="39">
        <f t="shared" si="21"/>
        <v>0</v>
      </c>
      <c r="O399" s="40"/>
      <c r="P399" s="34"/>
      <c r="Q399" s="35"/>
      <c r="R399" s="35"/>
      <c r="S399" s="35"/>
      <c r="T399" s="35"/>
      <c r="U399" s="35"/>
      <c r="V399" s="35"/>
      <c r="W399" s="35"/>
      <c r="X399" s="35"/>
      <c r="Y399" s="35"/>
      <c r="Z399" s="35"/>
      <c r="AA399" s="35"/>
    </row>
    <row r="400" ht="14.25" customHeight="1">
      <c r="A400" s="83"/>
      <c r="B400" s="84"/>
      <c r="C400" s="120"/>
      <c r="D400" s="117"/>
      <c r="E400" s="117"/>
      <c r="F400" s="117"/>
      <c r="G400" s="135"/>
      <c r="H400" s="88"/>
      <c r="I400" s="36"/>
      <c r="J400" s="37"/>
      <c r="K400" s="38"/>
      <c r="L400" s="39"/>
      <c r="M400" s="38"/>
      <c r="N400" s="39"/>
      <c r="O400" s="40"/>
      <c r="P400" s="34"/>
      <c r="Q400" s="35"/>
      <c r="R400" s="35"/>
      <c r="S400" s="35"/>
      <c r="T400" s="35"/>
      <c r="U400" s="35"/>
      <c r="V400" s="35"/>
      <c r="W400" s="35"/>
      <c r="X400" s="35"/>
      <c r="Y400" s="35"/>
      <c r="Z400" s="35"/>
      <c r="AA400" s="35"/>
    </row>
    <row r="401" ht="14.25" customHeight="1">
      <c r="A401" s="83"/>
      <c r="B401" s="84"/>
      <c r="C401" s="120"/>
      <c r="D401" s="117"/>
      <c r="E401" s="117"/>
      <c r="F401" s="117"/>
      <c r="G401" s="135"/>
      <c r="H401" s="88"/>
      <c r="I401" s="36"/>
      <c r="J401" s="37"/>
      <c r="K401" s="38"/>
      <c r="L401" s="39"/>
      <c r="M401" s="38"/>
      <c r="N401" s="39"/>
      <c r="O401" s="40"/>
      <c r="P401" s="34"/>
      <c r="Q401" s="35"/>
      <c r="R401" s="35"/>
      <c r="S401" s="35"/>
      <c r="T401" s="35"/>
      <c r="U401" s="35"/>
      <c r="V401" s="35"/>
      <c r="W401" s="35"/>
      <c r="X401" s="35"/>
      <c r="Y401" s="35"/>
      <c r="Z401" s="35"/>
      <c r="AA401" s="35"/>
    </row>
    <row r="402" ht="14.25" customHeight="1">
      <c r="A402" s="83"/>
      <c r="B402" s="84"/>
      <c r="C402" s="120"/>
      <c r="D402" s="117"/>
      <c r="E402" s="117"/>
      <c r="F402" s="117"/>
      <c r="G402" s="135"/>
      <c r="H402" s="88"/>
      <c r="I402" s="36"/>
      <c r="J402" s="37"/>
      <c r="K402" s="38"/>
      <c r="L402" s="39"/>
      <c r="M402" s="38"/>
      <c r="N402" s="39"/>
      <c r="O402" s="40"/>
      <c r="P402" s="34"/>
      <c r="Q402" s="35"/>
      <c r="R402" s="35"/>
      <c r="S402" s="35"/>
      <c r="T402" s="35"/>
      <c r="U402" s="35"/>
      <c r="V402" s="35"/>
      <c r="W402" s="35"/>
      <c r="X402" s="35"/>
      <c r="Y402" s="35"/>
      <c r="Z402" s="35"/>
      <c r="AA402" s="35"/>
    </row>
    <row r="403" ht="14.25" customHeight="1">
      <c r="A403" s="83"/>
      <c r="B403" s="84"/>
      <c r="C403" s="120"/>
      <c r="D403" s="117"/>
      <c r="E403" s="117"/>
      <c r="F403" s="117"/>
      <c r="G403" s="135"/>
      <c r="H403" s="88"/>
      <c r="I403" s="36"/>
      <c r="J403" s="37"/>
      <c r="K403" s="38"/>
      <c r="L403" s="39"/>
      <c r="M403" s="38"/>
      <c r="N403" s="39"/>
      <c r="O403" s="40"/>
      <c r="P403" s="34"/>
      <c r="Q403" s="35"/>
      <c r="R403" s="35"/>
      <c r="S403" s="35"/>
      <c r="T403" s="35"/>
      <c r="U403" s="35"/>
      <c r="V403" s="35"/>
      <c r="W403" s="35"/>
      <c r="X403" s="35"/>
      <c r="Y403" s="35"/>
      <c r="Z403" s="35"/>
      <c r="AA403" s="35"/>
    </row>
    <row r="404" ht="14.25" customHeight="1">
      <c r="A404" s="83"/>
      <c r="B404" s="84"/>
      <c r="C404" s="120"/>
      <c r="D404" s="117"/>
      <c r="E404" s="117"/>
      <c r="F404" s="117"/>
      <c r="G404" s="135"/>
      <c r="H404" s="88"/>
      <c r="I404" s="36"/>
      <c r="J404" s="37"/>
      <c r="K404" s="38"/>
      <c r="L404" s="39"/>
      <c r="M404" s="38"/>
      <c r="N404" s="39"/>
      <c r="O404" s="40"/>
      <c r="P404" s="34"/>
      <c r="Q404" s="35"/>
      <c r="R404" s="35"/>
      <c r="S404" s="35"/>
      <c r="T404" s="35"/>
      <c r="U404" s="35"/>
      <c r="V404" s="35"/>
      <c r="W404" s="35"/>
      <c r="X404" s="35"/>
      <c r="Y404" s="35"/>
      <c r="Z404" s="35"/>
      <c r="AA404" s="35"/>
    </row>
    <row r="405" ht="14.25" customHeight="1">
      <c r="A405" s="83"/>
      <c r="B405" s="84"/>
      <c r="C405" s="120"/>
      <c r="D405" s="117"/>
      <c r="E405" s="117"/>
      <c r="F405" s="117"/>
      <c r="G405" s="135"/>
      <c r="H405" s="88"/>
      <c r="I405" s="36"/>
      <c r="J405" s="37"/>
      <c r="K405" s="38"/>
      <c r="L405" s="39"/>
      <c r="M405" s="38"/>
      <c r="N405" s="39"/>
      <c r="O405" s="40"/>
      <c r="P405" s="34"/>
      <c r="Q405" s="35"/>
      <c r="R405" s="35"/>
      <c r="S405" s="35"/>
      <c r="T405" s="35"/>
      <c r="U405" s="35"/>
      <c r="V405" s="35"/>
      <c r="W405" s="35"/>
      <c r="X405" s="35"/>
      <c r="Y405" s="35"/>
      <c r="Z405" s="35"/>
      <c r="AA405" s="35"/>
    </row>
    <row r="406" ht="14.25" customHeight="1">
      <c r="A406" s="83"/>
      <c r="B406" s="84"/>
      <c r="C406" s="120"/>
      <c r="D406" s="117"/>
      <c r="E406" s="117"/>
      <c r="F406" s="117"/>
      <c r="G406" s="135"/>
      <c r="H406" s="88"/>
      <c r="I406" s="36"/>
      <c r="J406" s="37"/>
      <c r="K406" s="38"/>
      <c r="L406" s="39"/>
      <c r="M406" s="38"/>
      <c r="N406" s="39"/>
      <c r="O406" s="40"/>
      <c r="P406" s="34"/>
      <c r="Q406" s="35"/>
      <c r="R406" s="35"/>
      <c r="S406" s="35"/>
      <c r="T406" s="35"/>
      <c r="U406" s="35"/>
      <c r="V406" s="35"/>
      <c r="W406" s="35"/>
      <c r="X406" s="35"/>
      <c r="Y406" s="35"/>
      <c r="Z406" s="35"/>
      <c r="AA406" s="35"/>
    </row>
    <row r="407" ht="14.25" customHeight="1">
      <c r="A407" s="83"/>
      <c r="B407" s="84"/>
      <c r="C407" s="120"/>
      <c r="D407" s="117"/>
      <c r="E407" s="117"/>
      <c r="F407" s="117"/>
      <c r="G407" s="135"/>
      <c r="H407" s="88"/>
      <c r="I407" s="36"/>
      <c r="J407" s="37"/>
      <c r="K407" s="38"/>
      <c r="L407" s="39"/>
      <c r="M407" s="38"/>
      <c r="N407" s="39"/>
      <c r="O407" s="40"/>
      <c r="P407" s="34"/>
      <c r="Q407" s="35"/>
      <c r="R407" s="35"/>
      <c r="S407" s="35"/>
      <c r="T407" s="35"/>
      <c r="U407" s="35"/>
      <c r="V407" s="35"/>
      <c r="W407" s="35"/>
      <c r="X407" s="35"/>
      <c r="Y407" s="35"/>
      <c r="Z407" s="35"/>
      <c r="AA407" s="35"/>
    </row>
    <row r="408" ht="14.25" customHeight="1">
      <c r="A408" s="83"/>
      <c r="B408" s="84"/>
      <c r="C408" s="120"/>
      <c r="D408" s="117"/>
      <c r="E408" s="117"/>
      <c r="F408" s="117"/>
      <c r="G408" s="135"/>
      <c r="H408" s="88"/>
      <c r="I408" s="36"/>
      <c r="J408" s="37"/>
      <c r="K408" s="38"/>
      <c r="L408" s="39"/>
      <c r="M408" s="38"/>
      <c r="N408" s="39"/>
      <c r="O408" s="40"/>
      <c r="P408" s="34"/>
      <c r="Q408" s="35"/>
      <c r="R408" s="35"/>
      <c r="S408" s="35"/>
      <c r="T408" s="35"/>
      <c r="U408" s="35"/>
      <c r="V408" s="35"/>
      <c r="W408" s="35"/>
      <c r="X408" s="35"/>
      <c r="Y408" s="35"/>
      <c r="Z408" s="35"/>
      <c r="AA408" s="35"/>
    </row>
    <row r="409" ht="14.25" customHeight="1">
      <c r="A409" s="83"/>
      <c r="B409" s="84"/>
      <c r="C409" s="120"/>
      <c r="D409" s="117"/>
      <c r="E409" s="117"/>
      <c r="F409" s="117"/>
      <c r="G409" s="135"/>
      <c r="H409" s="88"/>
      <c r="I409" s="36"/>
      <c r="J409" s="37"/>
      <c r="K409" s="38"/>
      <c r="L409" s="39"/>
      <c r="M409" s="38"/>
      <c r="N409" s="39"/>
      <c r="O409" s="40"/>
      <c r="P409" s="34"/>
      <c r="Q409" s="35"/>
      <c r="R409" s="35"/>
      <c r="S409" s="35"/>
      <c r="T409" s="35"/>
      <c r="U409" s="35"/>
      <c r="V409" s="35"/>
      <c r="W409" s="35"/>
      <c r="X409" s="35"/>
      <c r="Y409" s="35"/>
      <c r="Z409" s="35"/>
      <c r="AA409" s="35"/>
    </row>
    <row r="410" ht="14.25" customHeight="1">
      <c r="A410" s="83"/>
      <c r="B410" s="84"/>
      <c r="C410" s="120"/>
      <c r="D410" s="117"/>
      <c r="E410" s="117"/>
      <c r="F410" s="117"/>
      <c r="G410" s="135"/>
      <c r="H410" s="88"/>
      <c r="I410" s="36"/>
      <c r="J410" s="37"/>
      <c r="K410" s="38"/>
      <c r="L410" s="39"/>
      <c r="M410" s="38"/>
      <c r="N410" s="39"/>
      <c r="O410" s="40"/>
      <c r="P410" s="34"/>
      <c r="Q410" s="35"/>
      <c r="R410" s="35"/>
      <c r="S410" s="35"/>
      <c r="T410" s="35"/>
      <c r="U410" s="35"/>
      <c r="V410" s="35"/>
      <c r="W410" s="35"/>
      <c r="X410" s="35"/>
      <c r="Y410" s="35"/>
      <c r="Z410" s="35"/>
      <c r="AA410" s="35"/>
    </row>
    <row r="411" ht="14.25" customHeight="1">
      <c r="A411" s="83"/>
      <c r="B411" s="84"/>
      <c r="C411" s="120"/>
      <c r="D411" s="117"/>
      <c r="E411" s="117"/>
      <c r="F411" s="117"/>
      <c r="G411" s="135"/>
      <c r="H411" s="88"/>
      <c r="I411" s="36"/>
      <c r="J411" s="37"/>
      <c r="K411" s="38"/>
      <c r="L411" s="39"/>
      <c r="M411" s="38"/>
      <c r="N411" s="39"/>
      <c r="O411" s="40"/>
      <c r="P411" s="34"/>
      <c r="Q411" s="35"/>
      <c r="R411" s="35"/>
      <c r="S411" s="35"/>
      <c r="T411" s="35"/>
      <c r="U411" s="35"/>
      <c r="V411" s="35"/>
      <c r="W411" s="35"/>
      <c r="X411" s="35"/>
      <c r="Y411" s="35"/>
      <c r="Z411" s="35"/>
      <c r="AA411" s="35"/>
    </row>
    <row r="412" ht="14.25" customHeight="1">
      <c r="A412" s="83"/>
      <c r="B412" s="84"/>
      <c r="C412" s="120"/>
      <c r="D412" s="117"/>
      <c r="E412" s="117"/>
      <c r="F412" s="117"/>
      <c r="G412" s="135"/>
      <c r="H412" s="88"/>
      <c r="I412" s="36"/>
      <c r="J412" s="37"/>
      <c r="K412" s="38"/>
      <c r="L412" s="39"/>
      <c r="M412" s="38"/>
      <c r="N412" s="39"/>
      <c r="O412" s="40"/>
      <c r="P412" s="34"/>
      <c r="Q412" s="35"/>
      <c r="R412" s="35"/>
      <c r="S412" s="35"/>
      <c r="T412" s="35"/>
      <c r="U412" s="35"/>
      <c r="V412" s="35"/>
      <c r="W412" s="35"/>
      <c r="X412" s="35"/>
      <c r="Y412" s="35"/>
      <c r="Z412" s="35"/>
      <c r="AA412" s="35"/>
    </row>
    <row r="413" ht="14.25" customHeight="1">
      <c r="A413" s="83"/>
      <c r="B413" s="84"/>
      <c r="C413" s="120"/>
      <c r="D413" s="117"/>
      <c r="E413" s="117"/>
      <c r="F413" s="117"/>
      <c r="G413" s="135"/>
      <c r="H413" s="88"/>
      <c r="I413" s="36"/>
      <c r="J413" s="37"/>
      <c r="K413" s="38"/>
      <c r="L413" s="39"/>
      <c r="M413" s="38"/>
      <c r="N413" s="39"/>
      <c r="O413" s="40"/>
      <c r="P413" s="34"/>
      <c r="Q413" s="35"/>
      <c r="R413" s="35"/>
      <c r="S413" s="35"/>
      <c r="T413" s="35"/>
      <c r="U413" s="35"/>
      <c r="V413" s="35"/>
      <c r="W413" s="35"/>
      <c r="X413" s="35"/>
      <c r="Y413" s="35"/>
      <c r="Z413" s="35"/>
      <c r="AA413" s="35"/>
    </row>
    <row r="414" ht="14.25" customHeight="1">
      <c r="A414" s="83"/>
      <c r="B414" s="84"/>
      <c r="C414" s="120"/>
      <c r="D414" s="117"/>
      <c r="E414" s="117"/>
      <c r="F414" s="117"/>
      <c r="G414" s="135"/>
      <c r="H414" s="88"/>
      <c r="I414" s="36"/>
      <c r="J414" s="37"/>
      <c r="K414" s="38"/>
      <c r="L414" s="39"/>
      <c r="M414" s="38"/>
      <c r="N414" s="39"/>
      <c r="O414" s="40"/>
      <c r="P414" s="34"/>
      <c r="Q414" s="35"/>
      <c r="R414" s="35"/>
      <c r="S414" s="35"/>
      <c r="T414" s="35"/>
      <c r="U414" s="35"/>
      <c r="V414" s="35"/>
      <c r="W414" s="35"/>
      <c r="X414" s="35"/>
      <c r="Y414" s="35"/>
      <c r="Z414" s="35"/>
      <c r="AA414" s="35"/>
    </row>
    <row r="415" ht="14.25" customHeight="1">
      <c r="A415" s="83"/>
      <c r="B415" s="84"/>
      <c r="C415" s="120"/>
      <c r="D415" s="117"/>
      <c r="E415" s="117"/>
      <c r="F415" s="117"/>
      <c r="G415" s="135"/>
      <c r="H415" s="88"/>
      <c r="I415" s="36"/>
      <c r="J415" s="37"/>
      <c r="K415" s="38"/>
      <c r="L415" s="39"/>
      <c r="M415" s="38"/>
      <c r="N415" s="39"/>
      <c r="O415" s="40"/>
      <c r="P415" s="34"/>
      <c r="Q415" s="35"/>
      <c r="R415" s="35"/>
      <c r="S415" s="35"/>
      <c r="T415" s="35"/>
      <c r="U415" s="35"/>
      <c r="V415" s="35"/>
      <c r="W415" s="35"/>
      <c r="X415" s="35"/>
      <c r="Y415" s="35"/>
      <c r="Z415" s="35"/>
      <c r="AA415" s="35"/>
    </row>
    <row r="416" ht="14.25" customHeight="1">
      <c r="A416" s="83"/>
      <c r="B416" s="84"/>
      <c r="C416" s="120"/>
      <c r="D416" s="117"/>
      <c r="E416" s="117"/>
      <c r="F416" s="117"/>
      <c r="G416" s="135"/>
      <c r="H416" s="88"/>
      <c r="I416" s="36"/>
      <c r="J416" s="37"/>
      <c r="K416" s="38"/>
      <c r="L416" s="39"/>
      <c r="M416" s="38"/>
      <c r="N416" s="39"/>
      <c r="O416" s="40"/>
      <c r="P416" s="34"/>
      <c r="Q416" s="35"/>
      <c r="R416" s="35"/>
      <c r="S416" s="35"/>
      <c r="T416" s="35"/>
      <c r="U416" s="35"/>
      <c r="V416" s="35"/>
      <c r="W416" s="35"/>
      <c r="X416" s="35"/>
      <c r="Y416" s="35"/>
      <c r="Z416" s="35"/>
      <c r="AA416" s="35"/>
    </row>
    <row r="417" ht="14.25" customHeight="1">
      <c r="A417" s="83"/>
      <c r="B417" s="84"/>
      <c r="C417" s="120"/>
      <c r="D417" s="117"/>
      <c r="E417" s="117"/>
      <c r="F417" s="117"/>
      <c r="G417" s="135"/>
      <c r="H417" s="88"/>
      <c r="I417" s="36"/>
      <c r="J417" s="37"/>
      <c r="K417" s="38"/>
      <c r="L417" s="39"/>
      <c r="M417" s="38"/>
      <c r="N417" s="39"/>
      <c r="O417" s="40"/>
      <c r="P417" s="34"/>
      <c r="Q417" s="35"/>
      <c r="R417" s="35"/>
      <c r="S417" s="35"/>
      <c r="T417" s="35"/>
      <c r="U417" s="35"/>
      <c r="V417" s="35"/>
      <c r="W417" s="35"/>
      <c r="X417" s="35"/>
      <c r="Y417" s="35"/>
      <c r="Z417" s="35"/>
      <c r="AA417" s="35"/>
    </row>
    <row r="418" ht="14.25" customHeight="1">
      <c r="A418" s="83"/>
      <c r="B418" s="84"/>
      <c r="C418" s="120"/>
      <c r="D418" s="117"/>
      <c r="E418" s="117"/>
      <c r="F418" s="117"/>
      <c r="G418" s="135"/>
      <c r="H418" s="88"/>
      <c r="I418" s="36"/>
      <c r="J418" s="37"/>
      <c r="K418" s="38"/>
      <c r="L418" s="39"/>
      <c r="M418" s="38"/>
      <c r="N418" s="39"/>
      <c r="O418" s="40"/>
      <c r="P418" s="34"/>
      <c r="Q418" s="35"/>
      <c r="R418" s="35"/>
      <c r="S418" s="35"/>
      <c r="T418" s="35"/>
      <c r="U418" s="35"/>
      <c r="V418" s="35"/>
      <c r="W418" s="35"/>
      <c r="X418" s="35"/>
      <c r="Y418" s="35"/>
      <c r="Z418" s="35"/>
      <c r="AA418" s="35"/>
    </row>
    <row r="419" ht="14.25" customHeight="1">
      <c r="A419" s="83"/>
      <c r="B419" s="84"/>
      <c r="C419" s="120"/>
      <c r="D419" s="117"/>
      <c r="E419" s="117"/>
      <c r="F419" s="117"/>
      <c r="G419" s="135"/>
      <c r="H419" s="88"/>
      <c r="I419" s="36"/>
      <c r="J419" s="37"/>
      <c r="K419" s="38"/>
      <c r="L419" s="39"/>
      <c r="M419" s="38"/>
      <c r="N419" s="39"/>
      <c r="O419" s="40"/>
      <c r="P419" s="34"/>
      <c r="Q419" s="35"/>
      <c r="R419" s="35"/>
      <c r="S419" s="35"/>
      <c r="T419" s="35"/>
      <c r="U419" s="35"/>
      <c r="V419" s="35"/>
      <c r="W419" s="35"/>
      <c r="X419" s="35"/>
      <c r="Y419" s="35"/>
      <c r="Z419" s="35"/>
      <c r="AA419" s="35"/>
    </row>
    <row r="420" ht="14.25" customHeight="1">
      <c r="A420" s="83"/>
      <c r="B420" s="84"/>
      <c r="C420" s="120"/>
      <c r="D420" s="117"/>
      <c r="E420" s="117"/>
      <c r="F420" s="117"/>
      <c r="G420" s="135"/>
      <c r="H420" s="88"/>
      <c r="I420" s="36"/>
      <c r="J420" s="37"/>
      <c r="K420" s="38"/>
      <c r="L420" s="39"/>
      <c r="M420" s="38"/>
      <c r="N420" s="39"/>
      <c r="O420" s="40"/>
      <c r="P420" s="34"/>
      <c r="Q420" s="35"/>
      <c r="R420" s="35"/>
      <c r="S420" s="35"/>
      <c r="T420" s="35"/>
      <c r="U420" s="35"/>
      <c r="V420" s="35"/>
      <c r="W420" s="35"/>
      <c r="X420" s="35"/>
      <c r="Y420" s="35"/>
      <c r="Z420" s="35"/>
      <c r="AA420" s="35"/>
    </row>
    <row r="421" ht="14.25" customHeight="1">
      <c r="A421" s="83"/>
      <c r="B421" s="84"/>
      <c r="C421" s="120"/>
      <c r="D421" s="117"/>
      <c r="E421" s="117"/>
      <c r="F421" s="117"/>
      <c r="G421" s="135"/>
      <c r="H421" s="88"/>
      <c r="I421" s="36"/>
      <c r="J421" s="37"/>
      <c r="K421" s="38"/>
      <c r="L421" s="39"/>
      <c r="M421" s="38"/>
      <c r="N421" s="39"/>
      <c r="O421" s="40"/>
      <c r="P421" s="34"/>
      <c r="Q421" s="35"/>
      <c r="R421" s="35"/>
      <c r="S421" s="35"/>
      <c r="T421" s="35"/>
      <c r="U421" s="35"/>
      <c r="V421" s="35"/>
      <c r="W421" s="35"/>
      <c r="X421" s="35"/>
      <c r="Y421" s="35"/>
      <c r="Z421" s="35"/>
      <c r="AA421" s="35"/>
    </row>
    <row r="422" ht="14.25" customHeight="1">
      <c r="A422" s="83"/>
      <c r="B422" s="84"/>
      <c r="C422" s="120"/>
      <c r="D422" s="117"/>
      <c r="E422" s="117"/>
      <c r="F422" s="117"/>
      <c r="G422" s="135"/>
      <c r="H422" s="88"/>
      <c r="I422" s="36"/>
      <c r="J422" s="37"/>
      <c r="K422" s="38"/>
      <c r="L422" s="39"/>
      <c r="M422" s="38"/>
      <c r="N422" s="39"/>
      <c r="O422" s="40"/>
      <c r="P422" s="34"/>
      <c r="Q422" s="35"/>
      <c r="R422" s="35"/>
      <c r="S422" s="35"/>
      <c r="T422" s="35"/>
      <c r="U422" s="35"/>
      <c r="V422" s="35"/>
      <c r="W422" s="35"/>
      <c r="X422" s="35"/>
      <c r="Y422" s="35"/>
      <c r="Z422" s="35"/>
      <c r="AA422" s="35"/>
    </row>
    <row r="423" ht="14.25" customHeight="1">
      <c r="A423" s="83"/>
      <c r="B423" s="84"/>
      <c r="C423" s="120"/>
      <c r="D423" s="117"/>
      <c r="E423" s="117"/>
      <c r="F423" s="117"/>
      <c r="G423" s="135"/>
      <c r="H423" s="88"/>
      <c r="I423" s="36"/>
      <c r="J423" s="37"/>
      <c r="K423" s="38"/>
      <c r="L423" s="39"/>
      <c r="M423" s="38"/>
      <c r="N423" s="39"/>
      <c r="O423" s="40"/>
      <c r="P423" s="34"/>
      <c r="Q423" s="35"/>
      <c r="R423" s="35"/>
      <c r="S423" s="35"/>
      <c r="T423" s="35"/>
      <c r="U423" s="35"/>
      <c r="V423" s="35"/>
      <c r="W423" s="35"/>
      <c r="X423" s="35"/>
      <c r="Y423" s="35"/>
      <c r="Z423" s="35"/>
      <c r="AA423" s="35"/>
    </row>
    <row r="424" ht="14.25" customHeight="1">
      <c r="A424" s="83"/>
      <c r="B424" s="84"/>
      <c r="C424" s="120"/>
      <c r="D424" s="117"/>
      <c r="E424" s="117"/>
      <c r="F424" s="117"/>
      <c r="G424" s="135"/>
      <c r="H424" s="88"/>
      <c r="I424" s="36"/>
      <c r="J424" s="37"/>
      <c r="K424" s="38"/>
      <c r="L424" s="39"/>
      <c r="M424" s="38"/>
      <c r="N424" s="39"/>
      <c r="O424" s="40"/>
      <c r="P424" s="34"/>
      <c r="Q424" s="35"/>
      <c r="R424" s="35"/>
      <c r="S424" s="35"/>
      <c r="T424" s="35"/>
      <c r="U424" s="35"/>
      <c r="V424" s="35"/>
      <c r="W424" s="35"/>
      <c r="X424" s="35"/>
      <c r="Y424" s="35"/>
      <c r="Z424" s="35"/>
      <c r="AA424" s="35"/>
    </row>
    <row r="425" ht="14.25" customHeight="1">
      <c r="A425" s="83"/>
      <c r="B425" s="84"/>
      <c r="C425" s="120"/>
      <c r="D425" s="117"/>
      <c r="E425" s="117"/>
      <c r="F425" s="117"/>
      <c r="G425" s="135"/>
      <c r="H425" s="88"/>
      <c r="I425" s="36"/>
      <c r="J425" s="37"/>
      <c r="K425" s="38"/>
      <c r="L425" s="39"/>
      <c r="M425" s="38"/>
      <c r="N425" s="39"/>
      <c r="O425" s="40"/>
      <c r="P425" s="34"/>
      <c r="Q425" s="35"/>
      <c r="R425" s="35"/>
      <c r="S425" s="35"/>
      <c r="T425" s="35"/>
      <c r="U425" s="35"/>
      <c r="V425" s="35"/>
      <c r="W425" s="35"/>
      <c r="X425" s="35"/>
      <c r="Y425" s="35"/>
      <c r="Z425" s="35"/>
      <c r="AA425" s="35"/>
    </row>
    <row r="426" ht="14.25" customHeight="1">
      <c r="A426" s="83"/>
      <c r="B426" s="84"/>
      <c r="C426" s="120"/>
      <c r="D426" s="117"/>
      <c r="E426" s="117"/>
      <c r="F426" s="117"/>
      <c r="G426" s="135"/>
      <c r="H426" s="88"/>
      <c r="I426" s="36"/>
      <c r="J426" s="37"/>
      <c r="K426" s="38"/>
      <c r="L426" s="39"/>
      <c r="M426" s="38"/>
      <c r="N426" s="39"/>
      <c r="O426" s="40"/>
      <c r="P426" s="34"/>
      <c r="Q426" s="35"/>
      <c r="R426" s="35"/>
      <c r="S426" s="35"/>
      <c r="T426" s="35"/>
      <c r="U426" s="35"/>
      <c r="V426" s="35"/>
      <c r="W426" s="35"/>
      <c r="X426" s="35"/>
      <c r="Y426" s="35"/>
      <c r="Z426" s="35"/>
      <c r="AA426" s="35"/>
    </row>
    <row r="427" ht="14.25" customHeight="1">
      <c r="A427" s="83"/>
      <c r="B427" s="84"/>
      <c r="C427" s="120"/>
      <c r="D427" s="117"/>
      <c r="E427" s="117"/>
      <c r="F427" s="117"/>
      <c r="G427" s="135"/>
      <c r="H427" s="88"/>
      <c r="I427" s="36"/>
      <c r="J427" s="37"/>
      <c r="K427" s="38"/>
      <c r="L427" s="39"/>
      <c r="M427" s="38"/>
      <c r="N427" s="39"/>
      <c r="O427" s="40"/>
      <c r="P427" s="34"/>
      <c r="Q427" s="35"/>
      <c r="R427" s="35"/>
      <c r="S427" s="35"/>
      <c r="T427" s="35"/>
      <c r="U427" s="35"/>
      <c r="V427" s="35"/>
      <c r="W427" s="35"/>
      <c r="X427" s="35"/>
      <c r="Y427" s="35"/>
      <c r="Z427" s="35"/>
      <c r="AA427" s="35"/>
    </row>
    <row r="428" ht="14.25" customHeight="1">
      <c r="A428" s="83"/>
      <c r="B428" s="84"/>
      <c r="C428" s="120"/>
      <c r="D428" s="117"/>
      <c r="E428" s="117"/>
      <c r="F428" s="117"/>
      <c r="G428" s="135"/>
      <c r="H428" s="88"/>
      <c r="I428" s="36"/>
      <c r="J428" s="37"/>
      <c r="K428" s="38"/>
      <c r="L428" s="39"/>
      <c r="M428" s="38"/>
      <c r="N428" s="39"/>
      <c r="O428" s="40"/>
      <c r="P428" s="34"/>
      <c r="Q428" s="35"/>
      <c r="R428" s="35"/>
      <c r="S428" s="35"/>
      <c r="T428" s="35"/>
      <c r="U428" s="35"/>
      <c r="V428" s="35"/>
      <c r="W428" s="35"/>
      <c r="X428" s="35"/>
      <c r="Y428" s="35"/>
      <c r="Z428" s="35"/>
      <c r="AA428" s="35"/>
    </row>
    <row r="429" ht="14.25" customHeight="1">
      <c r="A429" s="83"/>
      <c r="B429" s="84"/>
      <c r="C429" s="120"/>
      <c r="D429" s="117"/>
      <c r="E429" s="117"/>
      <c r="F429" s="117"/>
      <c r="G429" s="135"/>
      <c r="H429" s="88"/>
      <c r="I429" s="36"/>
      <c r="J429" s="37"/>
      <c r="K429" s="38"/>
      <c r="L429" s="39"/>
      <c r="M429" s="38"/>
      <c r="N429" s="39"/>
      <c r="O429" s="40"/>
      <c r="P429" s="34"/>
      <c r="Q429" s="35"/>
      <c r="R429" s="35"/>
      <c r="S429" s="35"/>
      <c r="T429" s="35"/>
      <c r="U429" s="35"/>
      <c r="V429" s="35"/>
      <c r="W429" s="35"/>
      <c r="X429" s="35"/>
      <c r="Y429" s="35"/>
      <c r="Z429" s="35"/>
      <c r="AA429" s="35"/>
    </row>
    <row r="430" ht="14.25" customHeight="1">
      <c r="A430" s="83"/>
      <c r="B430" s="84"/>
      <c r="C430" s="120"/>
      <c r="D430" s="117"/>
      <c r="E430" s="117"/>
      <c r="F430" s="117"/>
      <c r="G430" s="135"/>
      <c r="H430" s="88"/>
      <c r="I430" s="36"/>
      <c r="J430" s="37"/>
      <c r="K430" s="38"/>
      <c r="L430" s="39"/>
      <c r="M430" s="38"/>
      <c r="N430" s="39"/>
      <c r="O430" s="40"/>
      <c r="P430" s="34"/>
      <c r="Q430" s="35"/>
      <c r="R430" s="35"/>
      <c r="S430" s="35"/>
      <c r="T430" s="35"/>
      <c r="U430" s="35"/>
      <c r="V430" s="35"/>
      <c r="W430" s="35"/>
      <c r="X430" s="35"/>
      <c r="Y430" s="35"/>
      <c r="Z430" s="35"/>
      <c r="AA430" s="35"/>
    </row>
    <row r="431" ht="14.25" customHeight="1">
      <c r="A431" s="83"/>
      <c r="B431" s="84"/>
      <c r="C431" s="120"/>
      <c r="D431" s="117"/>
      <c r="E431" s="117"/>
      <c r="F431" s="117"/>
      <c r="G431" s="135"/>
      <c r="H431" s="88"/>
      <c r="I431" s="36"/>
      <c r="J431" s="37"/>
      <c r="K431" s="38"/>
      <c r="L431" s="39"/>
      <c r="M431" s="38"/>
      <c r="N431" s="39"/>
      <c r="O431" s="40"/>
      <c r="P431" s="34"/>
      <c r="Q431" s="35"/>
      <c r="R431" s="35"/>
      <c r="S431" s="35"/>
      <c r="T431" s="35"/>
      <c r="U431" s="35"/>
      <c r="V431" s="35"/>
      <c r="W431" s="35"/>
      <c r="X431" s="35"/>
      <c r="Y431" s="35"/>
      <c r="Z431" s="35"/>
      <c r="AA431" s="35"/>
    </row>
    <row r="432" ht="14.25" customHeight="1">
      <c r="A432" s="83"/>
      <c r="B432" s="84"/>
      <c r="C432" s="120"/>
      <c r="D432" s="117"/>
      <c r="E432" s="117"/>
      <c r="F432" s="117"/>
      <c r="G432" s="135"/>
      <c r="H432" s="88"/>
      <c r="I432" s="36"/>
      <c r="J432" s="37"/>
      <c r="K432" s="38"/>
      <c r="L432" s="39"/>
      <c r="M432" s="38"/>
      <c r="N432" s="39"/>
      <c r="O432" s="40"/>
      <c r="P432" s="34"/>
      <c r="Q432" s="35"/>
      <c r="R432" s="35"/>
      <c r="S432" s="35"/>
      <c r="T432" s="35"/>
      <c r="U432" s="35"/>
      <c r="V432" s="35"/>
      <c r="W432" s="35"/>
      <c r="X432" s="35"/>
      <c r="Y432" s="35"/>
      <c r="Z432" s="35"/>
      <c r="AA432" s="35"/>
    </row>
    <row r="433" ht="14.25" customHeight="1">
      <c r="A433" s="83"/>
      <c r="B433" s="84"/>
      <c r="C433" s="120"/>
      <c r="D433" s="117"/>
      <c r="E433" s="117"/>
      <c r="F433" s="117"/>
      <c r="G433" s="135"/>
      <c r="H433" s="88"/>
      <c r="I433" s="36"/>
      <c r="J433" s="37"/>
      <c r="K433" s="38"/>
      <c r="L433" s="39"/>
      <c r="M433" s="38"/>
      <c r="N433" s="39"/>
      <c r="O433" s="40"/>
      <c r="P433" s="34"/>
      <c r="Q433" s="35"/>
      <c r="R433" s="35"/>
      <c r="S433" s="35"/>
      <c r="T433" s="35"/>
      <c r="U433" s="35"/>
      <c r="V433" s="35"/>
      <c r="W433" s="35"/>
      <c r="X433" s="35"/>
      <c r="Y433" s="35"/>
      <c r="Z433" s="35"/>
      <c r="AA433" s="35"/>
    </row>
    <row r="434" ht="14.25" customHeight="1">
      <c r="A434" s="83"/>
      <c r="B434" s="84"/>
      <c r="C434" s="120"/>
      <c r="D434" s="117"/>
      <c r="E434" s="117"/>
      <c r="F434" s="117"/>
      <c r="G434" s="135"/>
      <c r="H434" s="88"/>
      <c r="I434" s="36"/>
      <c r="J434" s="37"/>
      <c r="K434" s="38"/>
      <c r="L434" s="39"/>
      <c r="M434" s="38"/>
      <c r="N434" s="39"/>
      <c r="O434" s="40"/>
      <c r="P434" s="34"/>
      <c r="Q434" s="35"/>
      <c r="R434" s="35"/>
      <c r="S434" s="35"/>
      <c r="T434" s="35"/>
      <c r="U434" s="35"/>
      <c r="V434" s="35"/>
      <c r="W434" s="35"/>
      <c r="X434" s="35"/>
      <c r="Y434" s="35"/>
      <c r="Z434" s="35"/>
      <c r="AA434" s="35"/>
    </row>
    <row r="435" ht="14.25" customHeight="1">
      <c r="A435" s="83"/>
      <c r="B435" s="84"/>
      <c r="C435" s="120"/>
      <c r="D435" s="117"/>
      <c r="E435" s="117"/>
      <c r="F435" s="117"/>
      <c r="G435" s="135"/>
      <c r="H435" s="88"/>
      <c r="I435" s="36"/>
      <c r="J435" s="37"/>
      <c r="K435" s="38"/>
      <c r="L435" s="39"/>
      <c r="M435" s="38"/>
      <c r="N435" s="39"/>
      <c r="O435" s="40"/>
      <c r="P435" s="34"/>
      <c r="Q435" s="35"/>
      <c r="R435" s="35"/>
      <c r="S435" s="35"/>
      <c r="T435" s="35"/>
      <c r="U435" s="35"/>
      <c r="V435" s="35"/>
      <c r="W435" s="35"/>
      <c r="X435" s="35"/>
      <c r="Y435" s="35"/>
      <c r="Z435" s="35"/>
      <c r="AA435" s="35"/>
    </row>
    <row r="436" ht="14.25" customHeight="1">
      <c r="A436" s="83"/>
      <c r="B436" s="84"/>
      <c r="C436" s="120"/>
      <c r="D436" s="117"/>
      <c r="E436" s="117"/>
      <c r="F436" s="117"/>
      <c r="G436" s="135"/>
      <c r="H436" s="88"/>
      <c r="I436" s="36"/>
      <c r="J436" s="37"/>
      <c r="K436" s="38"/>
      <c r="L436" s="39"/>
      <c r="M436" s="38"/>
      <c r="N436" s="39"/>
      <c r="O436" s="40"/>
      <c r="P436" s="34"/>
      <c r="Q436" s="35"/>
      <c r="R436" s="35"/>
      <c r="S436" s="35"/>
      <c r="T436" s="35"/>
      <c r="U436" s="35"/>
      <c r="V436" s="35"/>
      <c r="W436" s="35"/>
      <c r="X436" s="35"/>
      <c r="Y436" s="35"/>
      <c r="Z436" s="35"/>
      <c r="AA436" s="35"/>
    </row>
    <row r="437" ht="14.25" customHeight="1">
      <c r="A437" s="83"/>
      <c r="B437" s="84"/>
      <c r="C437" s="120"/>
      <c r="D437" s="117"/>
      <c r="E437" s="117"/>
      <c r="F437" s="117"/>
      <c r="G437" s="135"/>
      <c r="H437" s="88"/>
      <c r="I437" s="36"/>
      <c r="J437" s="37"/>
      <c r="K437" s="38"/>
      <c r="L437" s="39"/>
      <c r="M437" s="38"/>
      <c r="N437" s="39"/>
      <c r="O437" s="40"/>
      <c r="P437" s="34"/>
      <c r="Q437" s="35"/>
      <c r="R437" s="35"/>
      <c r="S437" s="35"/>
      <c r="T437" s="35"/>
      <c r="U437" s="35"/>
      <c r="V437" s="35"/>
      <c r="W437" s="35"/>
      <c r="X437" s="35"/>
      <c r="Y437" s="35"/>
      <c r="Z437" s="35"/>
      <c r="AA437" s="35"/>
    </row>
    <row r="438" ht="14.25" customHeight="1">
      <c r="A438" s="83"/>
      <c r="B438" s="84"/>
      <c r="C438" s="120"/>
      <c r="D438" s="117"/>
      <c r="E438" s="117"/>
      <c r="F438" s="117"/>
      <c r="G438" s="135"/>
      <c r="H438" s="88"/>
      <c r="I438" s="36"/>
      <c r="J438" s="37"/>
      <c r="K438" s="38"/>
      <c r="L438" s="39"/>
      <c r="M438" s="38"/>
      <c r="N438" s="39"/>
      <c r="O438" s="40"/>
      <c r="P438" s="34"/>
      <c r="Q438" s="35"/>
      <c r="R438" s="35"/>
      <c r="S438" s="35"/>
      <c r="T438" s="35"/>
      <c r="U438" s="35"/>
      <c r="V438" s="35"/>
      <c r="W438" s="35"/>
      <c r="X438" s="35"/>
      <c r="Y438" s="35"/>
      <c r="Z438" s="35"/>
      <c r="AA438" s="35"/>
    </row>
    <row r="439" ht="14.25" customHeight="1">
      <c r="A439" s="83"/>
      <c r="B439" s="84"/>
      <c r="C439" s="120"/>
      <c r="D439" s="117"/>
      <c r="E439" s="117"/>
      <c r="F439" s="117"/>
      <c r="G439" s="135"/>
      <c r="H439" s="88"/>
      <c r="I439" s="36"/>
      <c r="J439" s="37"/>
      <c r="K439" s="38"/>
      <c r="L439" s="39"/>
      <c r="M439" s="38"/>
      <c r="N439" s="39"/>
      <c r="O439" s="40"/>
      <c r="P439" s="34"/>
      <c r="Q439" s="35"/>
      <c r="R439" s="35"/>
      <c r="S439" s="35"/>
      <c r="T439" s="35"/>
      <c r="U439" s="35"/>
      <c r="V439" s="35"/>
      <c r="W439" s="35"/>
      <c r="X439" s="35"/>
      <c r="Y439" s="35"/>
      <c r="Z439" s="35"/>
      <c r="AA439" s="35"/>
    </row>
    <row r="440" ht="14.25" customHeight="1">
      <c r="A440" s="83"/>
      <c r="B440" s="84"/>
      <c r="C440" s="120"/>
      <c r="D440" s="117"/>
      <c r="E440" s="117"/>
      <c r="F440" s="117"/>
      <c r="G440" s="135"/>
      <c r="H440" s="88"/>
      <c r="I440" s="36"/>
      <c r="J440" s="37"/>
      <c r="K440" s="38"/>
      <c r="L440" s="39"/>
      <c r="M440" s="38"/>
      <c r="N440" s="39"/>
      <c r="O440" s="40"/>
      <c r="P440" s="34"/>
      <c r="Q440" s="35"/>
      <c r="R440" s="35"/>
      <c r="S440" s="35"/>
      <c r="T440" s="35"/>
      <c r="U440" s="35"/>
      <c r="V440" s="35"/>
      <c r="W440" s="35"/>
      <c r="X440" s="35"/>
      <c r="Y440" s="35"/>
      <c r="Z440" s="35"/>
      <c r="AA440" s="35"/>
    </row>
    <row r="441" ht="14.25" customHeight="1">
      <c r="A441" s="83"/>
      <c r="B441" s="84"/>
      <c r="C441" s="120"/>
      <c r="D441" s="117"/>
      <c r="E441" s="117"/>
      <c r="F441" s="117"/>
      <c r="G441" s="135"/>
      <c r="H441" s="88"/>
      <c r="I441" s="36"/>
      <c r="J441" s="37"/>
      <c r="K441" s="38"/>
      <c r="L441" s="39"/>
      <c r="M441" s="38"/>
      <c r="N441" s="39"/>
      <c r="O441" s="40"/>
      <c r="P441" s="34"/>
      <c r="Q441" s="35"/>
      <c r="R441" s="35"/>
      <c r="S441" s="35"/>
      <c r="T441" s="35"/>
      <c r="U441" s="35"/>
      <c r="V441" s="35"/>
      <c r="W441" s="35"/>
      <c r="X441" s="35"/>
      <c r="Y441" s="35"/>
      <c r="Z441" s="35"/>
      <c r="AA441" s="35"/>
    </row>
    <row r="442" ht="14.25" customHeight="1">
      <c r="A442" s="83"/>
      <c r="B442" s="84"/>
      <c r="C442" s="120"/>
      <c r="D442" s="117"/>
      <c r="E442" s="117"/>
      <c r="F442" s="117"/>
      <c r="G442" s="135"/>
      <c r="H442" s="88"/>
      <c r="I442" s="36"/>
      <c r="J442" s="37"/>
      <c r="K442" s="38"/>
      <c r="L442" s="39"/>
      <c r="M442" s="38"/>
      <c r="N442" s="39"/>
      <c r="O442" s="40"/>
      <c r="P442" s="34"/>
      <c r="Q442" s="35"/>
      <c r="R442" s="35"/>
      <c r="S442" s="35"/>
      <c r="T442" s="35"/>
      <c r="U442" s="35"/>
      <c r="V442" s="35"/>
      <c r="W442" s="35"/>
      <c r="X442" s="35"/>
      <c r="Y442" s="35"/>
      <c r="Z442" s="35"/>
      <c r="AA442" s="35"/>
    </row>
    <row r="443" ht="14.25" customHeight="1">
      <c r="A443" s="83"/>
      <c r="B443" s="84"/>
      <c r="C443" s="120"/>
      <c r="D443" s="117"/>
      <c r="E443" s="117"/>
      <c r="F443" s="117"/>
      <c r="G443" s="135"/>
      <c r="H443" s="88"/>
      <c r="I443" s="36"/>
      <c r="J443" s="37"/>
      <c r="K443" s="38"/>
      <c r="L443" s="39"/>
      <c r="M443" s="38"/>
      <c r="N443" s="39"/>
      <c r="O443" s="40"/>
      <c r="P443" s="34"/>
      <c r="Q443" s="35"/>
      <c r="R443" s="35"/>
      <c r="S443" s="35"/>
      <c r="T443" s="35"/>
      <c r="U443" s="35"/>
      <c r="V443" s="35"/>
      <c r="W443" s="35"/>
      <c r="X443" s="35"/>
      <c r="Y443" s="35"/>
      <c r="Z443" s="35"/>
      <c r="AA443" s="35"/>
    </row>
    <row r="444" ht="14.25" customHeight="1">
      <c r="A444" s="83"/>
      <c r="B444" s="84"/>
      <c r="C444" s="120"/>
      <c r="D444" s="117"/>
      <c r="E444" s="117"/>
      <c r="F444" s="117"/>
      <c r="G444" s="135"/>
      <c r="H444" s="88"/>
      <c r="I444" s="36"/>
      <c r="J444" s="37"/>
      <c r="K444" s="38"/>
      <c r="L444" s="39"/>
      <c r="M444" s="38"/>
      <c r="N444" s="39"/>
      <c r="O444" s="40"/>
      <c r="P444" s="34"/>
      <c r="Q444" s="35"/>
      <c r="R444" s="35"/>
      <c r="S444" s="35"/>
      <c r="T444" s="35"/>
      <c r="U444" s="35"/>
      <c r="V444" s="35"/>
      <c r="W444" s="35"/>
      <c r="X444" s="35"/>
      <c r="Y444" s="35"/>
      <c r="Z444" s="35"/>
      <c r="AA444" s="35"/>
    </row>
    <row r="445" ht="14.25" customHeight="1">
      <c r="A445" s="83"/>
      <c r="B445" s="84"/>
      <c r="C445" s="120"/>
      <c r="D445" s="117"/>
      <c r="E445" s="117"/>
      <c r="F445" s="117"/>
      <c r="G445" s="135"/>
      <c r="H445" s="88"/>
      <c r="I445" s="36"/>
      <c r="J445" s="37"/>
      <c r="K445" s="38"/>
      <c r="L445" s="39"/>
      <c r="M445" s="38"/>
      <c r="N445" s="39"/>
      <c r="O445" s="40"/>
      <c r="P445" s="34"/>
      <c r="Q445" s="35"/>
      <c r="R445" s="35"/>
      <c r="S445" s="35"/>
      <c r="T445" s="35"/>
      <c r="U445" s="35"/>
      <c r="V445" s="35"/>
      <c r="W445" s="35"/>
      <c r="X445" s="35"/>
      <c r="Y445" s="35"/>
      <c r="Z445" s="35"/>
      <c r="AA445" s="35"/>
    </row>
    <row r="446" ht="14.25" customHeight="1">
      <c r="A446" s="83"/>
      <c r="B446" s="84"/>
      <c r="C446" s="120"/>
      <c r="D446" s="117"/>
      <c r="E446" s="117"/>
      <c r="F446" s="117"/>
      <c r="G446" s="135"/>
      <c r="H446" s="88"/>
      <c r="I446" s="36"/>
      <c r="J446" s="37"/>
      <c r="K446" s="38"/>
      <c r="L446" s="39"/>
      <c r="M446" s="38"/>
      <c r="N446" s="39"/>
      <c r="O446" s="40"/>
      <c r="P446" s="34"/>
      <c r="Q446" s="35"/>
      <c r="R446" s="35"/>
      <c r="S446" s="35"/>
      <c r="T446" s="35"/>
      <c r="U446" s="35"/>
      <c r="V446" s="35"/>
      <c r="W446" s="35"/>
      <c r="X446" s="35"/>
      <c r="Y446" s="35"/>
      <c r="Z446" s="35"/>
      <c r="AA446" s="35"/>
    </row>
    <row r="447" ht="14.25" customHeight="1">
      <c r="A447" s="83"/>
      <c r="B447" s="84"/>
      <c r="C447" s="120"/>
      <c r="D447" s="117"/>
      <c r="E447" s="117"/>
      <c r="F447" s="117"/>
      <c r="G447" s="135"/>
      <c r="H447" s="88"/>
      <c r="I447" s="36"/>
      <c r="J447" s="37"/>
      <c r="K447" s="38"/>
      <c r="L447" s="39"/>
      <c r="M447" s="38"/>
      <c r="N447" s="39"/>
      <c r="O447" s="40"/>
      <c r="P447" s="34"/>
      <c r="Q447" s="35"/>
      <c r="R447" s="35"/>
      <c r="S447" s="35"/>
      <c r="T447" s="35"/>
      <c r="U447" s="35"/>
      <c r="V447" s="35"/>
      <c r="W447" s="35"/>
      <c r="X447" s="35"/>
      <c r="Y447" s="35"/>
      <c r="Z447" s="35"/>
      <c r="AA447" s="35"/>
    </row>
    <row r="448" ht="14.25" customHeight="1">
      <c r="A448" s="83"/>
      <c r="B448" s="84"/>
      <c r="C448" s="120"/>
      <c r="D448" s="117"/>
      <c r="E448" s="117"/>
      <c r="F448" s="117"/>
      <c r="G448" s="135"/>
      <c r="H448" s="88"/>
      <c r="I448" s="36"/>
      <c r="J448" s="37"/>
      <c r="K448" s="38"/>
      <c r="L448" s="39"/>
      <c r="M448" s="38"/>
      <c r="N448" s="39"/>
      <c r="O448" s="40"/>
      <c r="P448" s="34"/>
      <c r="Q448" s="35"/>
      <c r="R448" s="35"/>
      <c r="S448" s="35"/>
      <c r="T448" s="35"/>
      <c r="U448" s="35"/>
      <c r="V448" s="35"/>
      <c r="W448" s="35"/>
      <c r="X448" s="35"/>
      <c r="Y448" s="35"/>
      <c r="Z448" s="35"/>
      <c r="AA448" s="35"/>
    </row>
    <row r="449" ht="14.25" customHeight="1">
      <c r="A449" s="83"/>
      <c r="B449" s="84"/>
      <c r="C449" s="120"/>
      <c r="D449" s="117"/>
      <c r="E449" s="117"/>
      <c r="F449" s="117"/>
      <c r="G449" s="135"/>
      <c r="H449" s="88"/>
      <c r="I449" s="36"/>
      <c r="J449" s="37"/>
      <c r="K449" s="38"/>
      <c r="L449" s="39"/>
      <c r="M449" s="38"/>
      <c r="N449" s="39"/>
      <c r="O449" s="40"/>
      <c r="P449" s="34"/>
      <c r="Q449" s="35"/>
      <c r="R449" s="35"/>
      <c r="S449" s="35"/>
      <c r="T449" s="35"/>
      <c r="U449" s="35"/>
      <c r="V449" s="35"/>
      <c r="W449" s="35"/>
      <c r="X449" s="35"/>
      <c r="Y449" s="35"/>
      <c r="Z449" s="35"/>
      <c r="AA449" s="35"/>
    </row>
    <row r="450" ht="14.25" customHeight="1">
      <c r="A450" s="83"/>
      <c r="B450" s="84"/>
      <c r="C450" s="120"/>
      <c r="D450" s="117"/>
      <c r="E450" s="117"/>
      <c r="F450" s="117"/>
      <c r="G450" s="135"/>
      <c r="H450" s="88"/>
      <c r="I450" s="36"/>
      <c r="J450" s="37"/>
      <c r="K450" s="38"/>
      <c r="L450" s="39"/>
      <c r="M450" s="38"/>
      <c r="N450" s="39"/>
      <c r="O450" s="40"/>
      <c r="P450" s="34"/>
      <c r="Q450" s="35"/>
      <c r="R450" s="35"/>
      <c r="S450" s="35"/>
      <c r="T450" s="35"/>
      <c r="U450" s="35"/>
      <c r="V450" s="35"/>
      <c r="W450" s="35"/>
      <c r="X450" s="35"/>
      <c r="Y450" s="35"/>
      <c r="Z450" s="35"/>
      <c r="AA450" s="35"/>
    </row>
    <row r="451" ht="14.25" customHeight="1">
      <c r="A451" s="83"/>
      <c r="B451" s="84"/>
      <c r="C451" s="120"/>
      <c r="D451" s="117"/>
      <c r="E451" s="117"/>
      <c r="F451" s="117"/>
      <c r="G451" s="135"/>
      <c r="H451" s="88"/>
      <c r="I451" s="36"/>
      <c r="J451" s="37"/>
      <c r="K451" s="38"/>
      <c r="L451" s="39"/>
      <c r="M451" s="38"/>
      <c r="N451" s="39"/>
      <c r="O451" s="40"/>
      <c r="P451" s="34"/>
      <c r="Q451" s="35"/>
      <c r="R451" s="35"/>
      <c r="S451" s="35"/>
      <c r="T451" s="35"/>
      <c r="U451" s="35"/>
      <c r="V451" s="35"/>
      <c r="W451" s="35"/>
      <c r="X451" s="35"/>
      <c r="Y451" s="35"/>
      <c r="Z451" s="35"/>
      <c r="AA451" s="35"/>
    </row>
    <row r="452" ht="14.25" customHeight="1">
      <c r="A452" s="83"/>
      <c r="B452" s="84"/>
      <c r="C452" s="120"/>
      <c r="D452" s="117"/>
      <c r="E452" s="117"/>
      <c r="F452" s="117"/>
      <c r="G452" s="135"/>
      <c r="H452" s="88"/>
      <c r="I452" s="36"/>
      <c r="J452" s="37"/>
      <c r="K452" s="38"/>
      <c r="L452" s="39"/>
      <c r="M452" s="38"/>
      <c r="N452" s="39"/>
      <c r="O452" s="40"/>
      <c r="P452" s="34"/>
      <c r="Q452" s="35"/>
      <c r="R452" s="35"/>
      <c r="S452" s="35"/>
      <c r="T452" s="35"/>
      <c r="U452" s="35"/>
      <c r="V452" s="35"/>
      <c r="W452" s="35"/>
      <c r="X452" s="35"/>
      <c r="Y452" s="35"/>
      <c r="Z452" s="35"/>
      <c r="AA452" s="35"/>
    </row>
    <row r="453" ht="14.25" customHeight="1">
      <c r="A453" s="83"/>
      <c r="B453" s="84"/>
      <c r="C453" s="120"/>
      <c r="D453" s="117"/>
      <c r="E453" s="117"/>
      <c r="F453" s="117"/>
      <c r="G453" s="135"/>
      <c r="H453" s="88"/>
      <c r="I453" s="36"/>
      <c r="J453" s="37"/>
      <c r="K453" s="38"/>
      <c r="L453" s="39"/>
      <c r="M453" s="38"/>
      <c r="N453" s="39"/>
      <c r="O453" s="40"/>
      <c r="P453" s="34"/>
      <c r="Q453" s="35"/>
      <c r="R453" s="35"/>
      <c r="S453" s="35"/>
      <c r="T453" s="35"/>
      <c r="U453" s="35"/>
      <c r="V453" s="35"/>
      <c r="W453" s="35"/>
      <c r="X453" s="35"/>
      <c r="Y453" s="35"/>
      <c r="Z453" s="35"/>
      <c r="AA453" s="35"/>
    </row>
    <row r="454" ht="14.25" customHeight="1">
      <c r="A454" s="83"/>
      <c r="B454" s="84"/>
      <c r="C454" s="120"/>
      <c r="D454" s="117"/>
      <c r="E454" s="117"/>
      <c r="F454" s="117"/>
      <c r="G454" s="135"/>
      <c r="H454" s="88"/>
      <c r="I454" s="36"/>
      <c r="J454" s="37"/>
      <c r="K454" s="38"/>
      <c r="L454" s="39"/>
      <c r="M454" s="38"/>
      <c r="N454" s="39"/>
      <c r="O454" s="40"/>
      <c r="P454" s="34"/>
      <c r="Q454" s="35"/>
      <c r="R454" s="35"/>
      <c r="S454" s="35"/>
      <c r="T454" s="35"/>
      <c r="U454" s="35"/>
      <c r="V454" s="35"/>
      <c r="W454" s="35"/>
      <c r="X454" s="35"/>
      <c r="Y454" s="35"/>
      <c r="Z454" s="35"/>
      <c r="AA454" s="35"/>
    </row>
    <row r="455" ht="14.25" customHeight="1">
      <c r="A455" s="83"/>
      <c r="B455" s="84"/>
      <c r="C455" s="120"/>
      <c r="D455" s="117"/>
      <c r="E455" s="117"/>
      <c r="F455" s="117"/>
      <c r="G455" s="135"/>
      <c r="H455" s="88"/>
      <c r="I455" s="36"/>
      <c r="J455" s="37"/>
      <c r="K455" s="38"/>
      <c r="L455" s="39"/>
      <c r="M455" s="38"/>
      <c r="N455" s="39"/>
      <c r="O455" s="40"/>
      <c r="P455" s="34"/>
      <c r="Q455" s="35"/>
      <c r="R455" s="35"/>
      <c r="S455" s="35"/>
      <c r="T455" s="35"/>
      <c r="U455" s="35"/>
      <c r="V455" s="35"/>
      <c r="W455" s="35"/>
      <c r="X455" s="35"/>
      <c r="Y455" s="35"/>
      <c r="Z455" s="35"/>
      <c r="AA455" s="35"/>
    </row>
    <row r="456" ht="14.25" customHeight="1">
      <c r="A456" s="83"/>
      <c r="B456" s="84"/>
      <c r="C456" s="120"/>
      <c r="D456" s="117"/>
      <c r="E456" s="117"/>
      <c r="F456" s="117"/>
      <c r="G456" s="135"/>
      <c r="H456" s="88"/>
      <c r="I456" s="36"/>
      <c r="J456" s="37"/>
      <c r="K456" s="38"/>
      <c r="L456" s="39"/>
      <c r="M456" s="38"/>
      <c r="N456" s="39"/>
      <c r="O456" s="40"/>
      <c r="P456" s="34"/>
      <c r="Q456" s="35"/>
      <c r="R456" s="35"/>
      <c r="S456" s="35"/>
      <c r="T456" s="35"/>
      <c r="U456" s="35"/>
      <c r="V456" s="35"/>
      <c r="W456" s="35"/>
      <c r="X456" s="35"/>
      <c r="Y456" s="35"/>
      <c r="Z456" s="35"/>
      <c r="AA456" s="35"/>
    </row>
    <row r="457" ht="14.25" customHeight="1">
      <c r="A457" s="83"/>
      <c r="B457" s="84"/>
      <c r="C457" s="120"/>
      <c r="D457" s="117"/>
      <c r="E457" s="117"/>
      <c r="F457" s="117"/>
      <c r="G457" s="135"/>
      <c r="H457" s="88"/>
      <c r="I457" s="36"/>
      <c r="J457" s="37"/>
      <c r="K457" s="38"/>
      <c r="L457" s="39"/>
      <c r="M457" s="38"/>
      <c r="N457" s="39"/>
      <c r="O457" s="40"/>
      <c r="P457" s="34"/>
      <c r="Q457" s="35"/>
      <c r="R457" s="35"/>
      <c r="S457" s="35"/>
      <c r="T457" s="35"/>
      <c r="U457" s="35"/>
      <c r="V457" s="35"/>
      <c r="W457" s="35"/>
      <c r="X457" s="35"/>
      <c r="Y457" s="35"/>
      <c r="Z457" s="35"/>
      <c r="AA457" s="35"/>
    </row>
    <row r="458" ht="14.25" customHeight="1">
      <c r="A458" s="83"/>
      <c r="B458" s="84"/>
      <c r="C458" s="120"/>
      <c r="D458" s="117"/>
      <c r="E458" s="117"/>
      <c r="F458" s="117"/>
      <c r="G458" s="135"/>
      <c r="H458" s="88"/>
      <c r="I458" s="36"/>
      <c r="J458" s="37"/>
      <c r="K458" s="38"/>
      <c r="L458" s="39"/>
      <c r="M458" s="38"/>
      <c r="N458" s="39"/>
      <c r="O458" s="40"/>
      <c r="P458" s="34"/>
      <c r="Q458" s="35"/>
      <c r="R458" s="35"/>
      <c r="S458" s="35"/>
      <c r="T458" s="35"/>
      <c r="U458" s="35"/>
      <c r="V458" s="35"/>
      <c r="W458" s="35"/>
      <c r="X458" s="35"/>
      <c r="Y458" s="35"/>
      <c r="Z458" s="35"/>
      <c r="AA458" s="35"/>
    </row>
    <row r="459" ht="14.25" customHeight="1">
      <c r="A459" s="83"/>
      <c r="B459" s="84"/>
      <c r="C459" s="120"/>
      <c r="D459" s="117"/>
      <c r="E459" s="117"/>
      <c r="F459" s="117"/>
      <c r="G459" s="135"/>
      <c r="H459" s="88"/>
      <c r="I459" s="36"/>
      <c r="J459" s="37"/>
      <c r="K459" s="38"/>
      <c r="L459" s="39"/>
      <c r="M459" s="38"/>
      <c r="N459" s="39"/>
      <c r="O459" s="40"/>
      <c r="P459" s="34"/>
      <c r="Q459" s="35"/>
      <c r="R459" s="35"/>
      <c r="S459" s="35"/>
      <c r="T459" s="35"/>
      <c r="U459" s="35"/>
      <c r="V459" s="35"/>
      <c r="W459" s="35"/>
      <c r="X459" s="35"/>
      <c r="Y459" s="35"/>
      <c r="Z459" s="35"/>
      <c r="AA459" s="35"/>
    </row>
    <row r="460" ht="14.25" customHeight="1">
      <c r="A460" s="83"/>
      <c r="B460" s="84"/>
      <c r="C460" s="120"/>
      <c r="D460" s="117"/>
      <c r="E460" s="117"/>
      <c r="F460" s="117"/>
      <c r="G460" s="135"/>
      <c r="H460" s="88"/>
      <c r="I460" s="36"/>
      <c r="J460" s="37"/>
      <c r="K460" s="38"/>
      <c r="L460" s="39"/>
      <c r="M460" s="38"/>
      <c r="N460" s="39"/>
      <c r="O460" s="40"/>
      <c r="P460" s="34"/>
      <c r="Q460" s="35"/>
      <c r="R460" s="35"/>
      <c r="S460" s="35"/>
      <c r="T460" s="35"/>
      <c r="U460" s="35"/>
      <c r="V460" s="35"/>
      <c r="W460" s="35"/>
      <c r="X460" s="35"/>
      <c r="Y460" s="35"/>
      <c r="Z460" s="35"/>
      <c r="AA460" s="35"/>
    </row>
    <row r="461" ht="14.25" customHeight="1">
      <c r="A461" s="83"/>
      <c r="B461" s="84"/>
      <c r="C461" s="120"/>
      <c r="D461" s="117"/>
      <c r="E461" s="117"/>
      <c r="F461" s="117"/>
      <c r="G461" s="135"/>
      <c r="H461" s="88"/>
      <c r="I461" s="36"/>
      <c r="J461" s="37"/>
      <c r="K461" s="38"/>
      <c r="L461" s="39"/>
      <c r="M461" s="38"/>
      <c r="N461" s="39"/>
      <c r="O461" s="40"/>
      <c r="P461" s="34"/>
      <c r="Q461" s="35"/>
      <c r="R461" s="35"/>
      <c r="S461" s="35"/>
      <c r="T461" s="35"/>
      <c r="U461" s="35"/>
      <c r="V461" s="35"/>
      <c r="W461" s="35"/>
      <c r="X461" s="35"/>
      <c r="Y461" s="35"/>
      <c r="Z461" s="35"/>
      <c r="AA461" s="35"/>
    </row>
    <row r="462" ht="14.25" customHeight="1">
      <c r="A462" s="83"/>
      <c r="B462" s="84"/>
      <c r="C462" s="120"/>
      <c r="D462" s="117"/>
      <c r="E462" s="117"/>
      <c r="F462" s="117"/>
      <c r="G462" s="135"/>
      <c r="H462" s="88"/>
      <c r="I462" s="36"/>
      <c r="J462" s="37"/>
      <c r="K462" s="38"/>
      <c r="L462" s="39"/>
      <c r="M462" s="38"/>
      <c r="N462" s="39"/>
      <c r="O462" s="40"/>
      <c r="P462" s="34"/>
      <c r="Q462" s="35"/>
      <c r="R462" s="35"/>
      <c r="S462" s="35"/>
      <c r="T462" s="35"/>
      <c r="U462" s="35"/>
      <c r="V462" s="35"/>
      <c r="W462" s="35"/>
      <c r="X462" s="35"/>
      <c r="Y462" s="35"/>
      <c r="Z462" s="35"/>
      <c r="AA462" s="35"/>
    </row>
    <row r="463" ht="14.25" customHeight="1">
      <c r="A463" s="83"/>
      <c r="B463" s="84"/>
      <c r="C463" s="120"/>
      <c r="D463" s="117"/>
      <c r="E463" s="117"/>
      <c r="F463" s="117"/>
      <c r="G463" s="135"/>
      <c r="H463" s="88"/>
      <c r="I463" s="36"/>
      <c r="J463" s="37"/>
      <c r="K463" s="38"/>
      <c r="L463" s="39"/>
      <c r="M463" s="38"/>
      <c r="N463" s="39"/>
      <c r="O463" s="40"/>
      <c r="P463" s="34"/>
      <c r="Q463" s="35"/>
      <c r="R463" s="35"/>
      <c r="S463" s="35"/>
      <c r="T463" s="35"/>
      <c r="U463" s="35"/>
      <c r="V463" s="35"/>
      <c r="W463" s="35"/>
      <c r="X463" s="35"/>
      <c r="Y463" s="35"/>
      <c r="Z463" s="35"/>
      <c r="AA463" s="35"/>
    </row>
    <row r="464" ht="14.25" customHeight="1">
      <c r="A464" s="83"/>
      <c r="B464" s="84"/>
      <c r="C464" s="120"/>
      <c r="D464" s="117"/>
      <c r="E464" s="117"/>
      <c r="F464" s="117"/>
      <c r="G464" s="135"/>
      <c r="H464" s="88"/>
      <c r="I464" s="36"/>
      <c r="J464" s="37"/>
      <c r="K464" s="38"/>
      <c r="L464" s="39"/>
      <c r="M464" s="38"/>
      <c r="N464" s="39"/>
      <c r="O464" s="40"/>
      <c r="P464" s="34"/>
      <c r="Q464" s="35"/>
      <c r="R464" s="35"/>
      <c r="S464" s="35"/>
      <c r="T464" s="35"/>
      <c r="U464" s="35"/>
      <c r="V464" s="35"/>
      <c r="W464" s="35"/>
      <c r="X464" s="35"/>
      <c r="Y464" s="35"/>
      <c r="Z464" s="35"/>
      <c r="AA464" s="35"/>
    </row>
    <row r="465" ht="14.25" customHeight="1">
      <c r="A465" s="83"/>
      <c r="B465" s="84"/>
      <c r="C465" s="120"/>
      <c r="D465" s="117"/>
      <c r="E465" s="117"/>
      <c r="F465" s="117"/>
      <c r="G465" s="135"/>
      <c r="H465" s="88"/>
      <c r="I465" s="36"/>
      <c r="J465" s="37"/>
      <c r="K465" s="38"/>
      <c r="L465" s="39"/>
      <c r="M465" s="38"/>
      <c r="N465" s="39"/>
      <c r="O465" s="40"/>
      <c r="P465" s="34"/>
      <c r="Q465" s="35"/>
      <c r="R465" s="35"/>
      <c r="S465" s="35"/>
      <c r="T465" s="35"/>
      <c r="U465" s="35"/>
      <c r="V465" s="35"/>
      <c r="W465" s="35"/>
      <c r="X465" s="35"/>
      <c r="Y465" s="35"/>
      <c r="Z465" s="35"/>
      <c r="AA465" s="35"/>
    </row>
    <row r="466" ht="14.25" customHeight="1">
      <c r="A466" s="83"/>
      <c r="B466" s="84"/>
      <c r="C466" s="120"/>
      <c r="D466" s="117"/>
      <c r="E466" s="117"/>
      <c r="F466" s="117"/>
      <c r="G466" s="135"/>
      <c r="H466" s="88"/>
      <c r="I466" s="36"/>
      <c r="J466" s="37"/>
      <c r="K466" s="38"/>
      <c r="L466" s="39"/>
      <c r="M466" s="38"/>
      <c r="N466" s="39"/>
      <c r="O466" s="40"/>
      <c r="P466" s="34"/>
      <c r="Q466" s="35"/>
      <c r="R466" s="35"/>
      <c r="S466" s="35"/>
      <c r="T466" s="35"/>
      <c r="U466" s="35"/>
      <c r="V466" s="35"/>
      <c r="W466" s="35"/>
      <c r="X466" s="35"/>
      <c r="Y466" s="35"/>
      <c r="Z466" s="35"/>
      <c r="AA466" s="35"/>
    </row>
    <row r="467" ht="14.25" customHeight="1">
      <c r="A467" s="83"/>
      <c r="B467" s="84"/>
      <c r="C467" s="120"/>
      <c r="D467" s="117"/>
      <c r="E467" s="117"/>
      <c r="F467" s="117"/>
      <c r="G467" s="135"/>
      <c r="H467" s="88"/>
      <c r="I467" s="36"/>
      <c r="J467" s="37"/>
      <c r="K467" s="38"/>
      <c r="L467" s="39"/>
      <c r="M467" s="38"/>
      <c r="N467" s="39"/>
      <c r="O467" s="40"/>
      <c r="P467" s="34"/>
      <c r="Q467" s="35"/>
      <c r="R467" s="35"/>
      <c r="S467" s="35"/>
      <c r="T467" s="35"/>
      <c r="U467" s="35"/>
      <c r="V467" s="35"/>
      <c r="W467" s="35"/>
      <c r="X467" s="35"/>
      <c r="Y467" s="35"/>
      <c r="Z467" s="35"/>
      <c r="AA467" s="35"/>
    </row>
    <row r="468" ht="14.25" customHeight="1">
      <c r="A468" s="83"/>
      <c r="B468" s="84"/>
      <c r="C468" s="120"/>
      <c r="D468" s="117"/>
      <c r="E468" s="117"/>
      <c r="F468" s="117"/>
      <c r="G468" s="135"/>
      <c r="H468" s="88"/>
      <c r="I468" s="36"/>
      <c r="J468" s="37"/>
      <c r="K468" s="38"/>
      <c r="L468" s="39"/>
      <c r="M468" s="38"/>
      <c r="N468" s="39"/>
      <c r="O468" s="40"/>
      <c r="P468" s="34"/>
      <c r="Q468" s="35"/>
      <c r="R468" s="35"/>
      <c r="S468" s="35"/>
      <c r="T468" s="35"/>
      <c r="U468" s="35"/>
      <c r="V468" s="35"/>
      <c r="W468" s="35"/>
      <c r="X468" s="35"/>
      <c r="Y468" s="35"/>
      <c r="Z468" s="35"/>
      <c r="AA468" s="35"/>
    </row>
    <row r="469" ht="14.25" customHeight="1">
      <c r="A469" s="83"/>
      <c r="B469" s="84"/>
      <c r="C469" s="120"/>
      <c r="D469" s="117"/>
      <c r="E469" s="117"/>
      <c r="F469" s="117"/>
      <c r="G469" s="135"/>
      <c r="H469" s="88"/>
      <c r="I469" s="36"/>
      <c r="J469" s="37"/>
      <c r="K469" s="38"/>
      <c r="L469" s="39"/>
      <c r="M469" s="38"/>
      <c r="N469" s="39"/>
      <c r="O469" s="40"/>
      <c r="P469" s="34"/>
      <c r="Q469" s="35"/>
      <c r="R469" s="35"/>
      <c r="S469" s="35"/>
      <c r="T469" s="35"/>
      <c r="U469" s="35"/>
      <c r="V469" s="35"/>
      <c r="W469" s="35"/>
      <c r="X469" s="35"/>
      <c r="Y469" s="35"/>
      <c r="Z469" s="35"/>
      <c r="AA469" s="35"/>
    </row>
    <row r="470" ht="14.25" customHeight="1">
      <c r="A470" s="83"/>
      <c r="B470" s="84"/>
      <c r="C470" s="120"/>
      <c r="D470" s="117"/>
      <c r="E470" s="117"/>
      <c r="F470" s="117"/>
      <c r="G470" s="135"/>
      <c r="H470" s="88"/>
      <c r="I470" s="36"/>
      <c r="J470" s="37"/>
      <c r="K470" s="38"/>
      <c r="L470" s="39"/>
      <c r="M470" s="38"/>
      <c r="N470" s="39"/>
      <c r="O470" s="40"/>
      <c r="P470" s="34"/>
      <c r="Q470" s="35"/>
      <c r="R470" s="35"/>
      <c r="S470" s="35"/>
      <c r="T470" s="35"/>
      <c r="U470" s="35"/>
      <c r="V470" s="35"/>
      <c r="W470" s="35"/>
      <c r="X470" s="35"/>
      <c r="Y470" s="35"/>
      <c r="Z470" s="35"/>
      <c r="AA470" s="35"/>
    </row>
    <row r="471" ht="14.25" customHeight="1">
      <c r="A471" s="83"/>
      <c r="B471" s="84"/>
      <c r="C471" s="120"/>
      <c r="D471" s="117"/>
      <c r="E471" s="117"/>
      <c r="F471" s="117"/>
      <c r="G471" s="135"/>
      <c r="H471" s="88"/>
      <c r="I471" s="36"/>
      <c r="J471" s="37"/>
      <c r="K471" s="38"/>
      <c r="L471" s="39"/>
      <c r="M471" s="38"/>
      <c r="N471" s="39"/>
      <c r="O471" s="40"/>
      <c r="P471" s="34"/>
      <c r="Q471" s="35"/>
      <c r="R471" s="35"/>
      <c r="S471" s="35"/>
      <c r="T471" s="35"/>
      <c r="U471" s="35"/>
      <c r="V471" s="35"/>
      <c r="W471" s="35"/>
      <c r="X471" s="35"/>
      <c r="Y471" s="35"/>
      <c r="Z471" s="35"/>
      <c r="AA471" s="35"/>
    </row>
    <row r="472" ht="14.25" customHeight="1">
      <c r="A472" s="83"/>
      <c r="B472" s="84"/>
      <c r="C472" s="120"/>
      <c r="D472" s="117"/>
      <c r="E472" s="117"/>
      <c r="F472" s="117"/>
      <c r="G472" s="135"/>
      <c r="H472" s="88"/>
      <c r="I472" s="36"/>
      <c r="J472" s="37"/>
      <c r="K472" s="38"/>
      <c r="L472" s="39"/>
      <c r="M472" s="38"/>
      <c r="N472" s="39"/>
      <c r="O472" s="40"/>
      <c r="P472" s="34"/>
      <c r="Q472" s="35"/>
      <c r="R472" s="35"/>
      <c r="S472" s="35"/>
      <c r="T472" s="35"/>
      <c r="U472" s="35"/>
      <c r="V472" s="35"/>
      <c r="W472" s="35"/>
      <c r="X472" s="35"/>
      <c r="Y472" s="35"/>
      <c r="Z472" s="35"/>
      <c r="AA472" s="35"/>
    </row>
    <row r="473" ht="14.25" customHeight="1">
      <c r="A473" s="83"/>
      <c r="B473" s="84"/>
      <c r="C473" s="120"/>
      <c r="D473" s="117"/>
      <c r="E473" s="117"/>
      <c r="F473" s="117"/>
      <c r="G473" s="135"/>
      <c r="H473" s="88"/>
      <c r="I473" s="36"/>
      <c r="J473" s="37"/>
      <c r="K473" s="38"/>
      <c r="L473" s="39"/>
      <c r="M473" s="38"/>
      <c r="N473" s="39"/>
      <c r="O473" s="40"/>
      <c r="P473" s="34"/>
      <c r="Q473" s="35"/>
      <c r="R473" s="35"/>
      <c r="S473" s="35"/>
      <c r="T473" s="35"/>
      <c r="U473" s="35"/>
      <c r="V473" s="35"/>
      <c r="W473" s="35"/>
      <c r="X473" s="35"/>
      <c r="Y473" s="35"/>
      <c r="Z473" s="35"/>
      <c r="AA473" s="35"/>
    </row>
    <row r="474" ht="14.25" customHeight="1">
      <c r="A474" s="83"/>
      <c r="B474" s="84"/>
      <c r="C474" s="120"/>
      <c r="D474" s="117"/>
      <c r="E474" s="117"/>
      <c r="F474" s="117"/>
      <c r="G474" s="135"/>
      <c r="H474" s="88"/>
      <c r="I474" s="36"/>
      <c r="J474" s="37"/>
      <c r="K474" s="38"/>
      <c r="L474" s="39"/>
      <c r="M474" s="38"/>
      <c r="N474" s="39"/>
      <c r="O474" s="40"/>
      <c r="P474" s="34"/>
      <c r="Q474" s="35"/>
      <c r="R474" s="35"/>
      <c r="S474" s="35"/>
      <c r="T474" s="35"/>
      <c r="U474" s="35"/>
      <c r="V474" s="35"/>
      <c r="W474" s="35"/>
      <c r="X474" s="35"/>
      <c r="Y474" s="35"/>
      <c r="Z474" s="35"/>
      <c r="AA474" s="35"/>
    </row>
    <row r="475" ht="14.25" customHeight="1">
      <c r="A475" s="83"/>
      <c r="B475" s="84"/>
      <c r="C475" s="120"/>
      <c r="D475" s="117"/>
      <c r="E475" s="117"/>
      <c r="F475" s="117"/>
      <c r="G475" s="135"/>
      <c r="H475" s="88"/>
      <c r="I475" s="36"/>
      <c r="J475" s="37"/>
      <c r="K475" s="38"/>
      <c r="L475" s="39"/>
      <c r="M475" s="38"/>
      <c r="N475" s="39"/>
      <c r="O475" s="40"/>
      <c r="P475" s="34"/>
      <c r="Q475" s="35"/>
      <c r="R475" s="35"/>
      <c r="S475" s="35"/>
      <c r="T475" s="35"/>
      <c r="U475" s="35"/>
      <c r="V475" s="35"/>
      <c r="W475" s="35"/>
      <c r="X475" s="35"/>
      <c r="Y475" s="35"/>
      <c r="Z475" s="35"/>
      <c r="AA475" s="35"/>
    </row>
    <row r="476" ht="14.25" customHeight="1">
      <c r="A476" s="83"/>
      <c r="B476" s="84"/>
      <c r="C476" s="120"/>
      <c r="D476" s="117"/>
      <c r="E476" s="117"/>
      <c r="F476" s="117"/>
      <c r="G476" s="135"/>
      <c r="H476" s="88"/>
      <c r="I476" s="36"/>
      <c r="J476" s="37"/>
      <c r="K476" s="38"/>
      <c r="L476" s="39"/>
      <c r="M476" s="38"/>
      <c r="N476" s="39"/>
      <c r="O476" s="40"/>
      <c r="P476" s="34"/>
      <c r="Q476" s="35"/>
      <c r="R476" s="35"/>
      <c r="S476" s="35"/>
      <c r="T476" s="35"/>
      <c r="U476" s="35"/>
      <c r="V476" s="35"/>
      <c r="W476" s="35"/>
      <c r="X476" s="35"/>
      <c r="Y476" s="35"/>
      <c r="Z476" s="35"/>
      <c r="AA476" s="35"/>
    </row>
    <row r="477" ht="14.25" customHeight="1">
      <c r="A477" s="83"/>
      <c r="B477" s="84"/>
      <c r="C477" s="120"/>
      <c r="D477" s="117"/>
      <c r="E477" s="117"/>
      <c r="F477" s="117"/>
      <c r="G477" s="135"/>
      <c r="H477" s="88"/>
      <c r="I477" s="36"/>
      <c r="J477" s="37"/>
      <c r="K477" s="38"/>
      <c r="L477" s="39"/>
      <c r="M477" s="38"/>
      <c r="N477" s="39"/>
      <c r="O477" s="40"/>
      <c r="P477" s="34"/>
      <c r="Q477" s="35"/>
      <c r="R477" s="35"/>
      <c r="S477" s="35"/>
      <c r="T477" s="35"/>
      <c r="U477" s="35"/>
      <c r="V477" s="35"/>
      <c r="W477" s="35"/>
      <c r="X477" s="35"/>
      <c r="Y477" s="35"/>
      <c r="Z477" s="35"/>
      <c r="AA477" s="35"/>
    </row>
    <row r="478" ht="14.25" customHeight="1">
      <c r="A478" s="83"/>
      <c r="B478" s="84"/>
      <c r="C478" s="120"/>
      <c r="D478" s="117"/>
      <c r="E478" s="117"/>
      <c r="F478" s="117"/>
      <c r="G478" s="135"/>
      <c r="H478" s="88"/>
      <c r="I478" s="36"/>
      <c r="J478" s="37"/>
      <c r="K478" s="38"/>
      <c r="L478" s="39"/>
      <c r="M478" s="38"/>
      <c r="N478" s="39"/>
      <c r="O478" s="40"/>
      <c r="P478" s="34"/>
      <c r="Q478" s="35"/>
      <c r="R478" s="35"/>
      <c r="S478" s="35"/>
      <c r="T478" s="35"/>
      <c r="U478" s="35"/>
      <c r="V478" s="35"/>
      <c r="W478" s="35"/>
      <c r="X478" s="35"/>
      <c r="Y478" s="35"/>
      <c r="Z478" s="35"/>
      <c r="AA478" s="35"/>
    </row>
    <row r="479" ht="14.25" customHeight="1">
      <c r="A479" s="83"/>
      <c r="B479" s="84"/>
      <c r="C479" s="120"/>
      <c r="D479" s="117"/>
      <c r="E479" s="117"/>
      <c r="F479" s="117"/>
      <c r="G479" s="135"/>
      <c r="H479" s="88"/>
      <c r="I479" s="36"/>
      <c r="J479" s="37"/>
      <c r="K479" s="38"/>
      <c r="L479" s="39"/>
      <c r="M479" s="38"/>
      <c r="N479" s="39"/>
      <c r="O479" s="40"/>
      <c r="P479" s="34"/>
      <c r="Q479" s="35"/>
      <c r="R479" s="35"/>
      <c r="S479" s="35"/>
      <c r="T479" s="35"/>
      <c r="U479" s="35"/>
      <c r="V479" s="35"/>
      <c r="W479" s="35"/>
      <c r="X479" s="35"/>
      <c r="Y479" s="35"/>
      <c r="Z479" s="35"/>
      <c r="AA479" s="35"/>
    </row>
    <row r="480" ht="14.25" customHeight="1">
      <c r="A480" s="83"/>
      <c r="B480" s="84"/>
      <c r="C480" s="120"/>
      <c r="D480" s="117"/>
      <c r="E480" s="117"/>
      <c r="F480" s="117"/>
      <c r="G480" s="135"/>
      <c r="H480" s="88"/>
      <c r="I480" s="36"/>
      <c r="J480" s="37"/>
      <c r="K480" s="38"/>
      <c r="L480" s="39"/>
      <c r="M480" s="38"/>
      <c r="N480" s="39"/>
      <c r="O480" s="40"/>
      <c r="P480" s="34"/>
      <c r="Q480" s="35"/>
      <c r="R480" s="35"/>
      <c r="S480" s="35"/>
      <c r="T480" s="35"/>
      <c r="U480" s="35"/>
      <c r="V480" s="35"/>
      <c r="W480" s="35"/>
      <c r="X480" s="35"/>
      <c r="Y480" s="35"/>
      <c r="Z480" s="35"/>
      <c r="AA480" s="35"/>
    </row>
    <row r="481" ht="14.25" customHeight="1">
      <c r="A481" s="83"/>
      <c r="B481" s="84"/>
      <c r="C481" s="120"/>
      <c r="D481" s="117"/>
      <c r="E481" s="117"/>
      <c r="F481" s="117"/>
      <c r="G481" s="135"/>
      <c r="H481" s="88"/>
      <c r="I481" s="36"/>
      <c r="J481" s="37"/>
      <c r="K481" s="38"/>
      <c r="L481" s="39"/>
      <c r="M481" s="38"/>
      <c r="N481" s="39"/>
      <c r="O481" s="40"/>
      <c r="P481" s="34"/>
      <c r="Q481" s="35"/>
      <c r="R481" s="35"/>
      <c r="S481" s="35"/>
      <c r="T481" s="35"/>
      <c r="U481" s="35"/>
      <c r="V481" s="35"/>
      <c r="W481" s="35"/>
      <c r="X481" s="35"/>
      <c r="Y481" s="35"/>
      <c r="Z481" s="35"/>
      <c r="AA481" s="35"/>
    </row>
    <row r="482" ht="14.25" customHeight="1">
      <c r="A482" s="83"/>
      <c r="B482" s="84"/>
      <c r="C482" s="120"/>
      <c r="D482" s="117"/>
      <c r="E482" s="117"/>
      <c r="F482" s="117"/>
      <c r="G482" s="135"/>
      <c r="H482" s="88"/>
      <c r="I482" s="36"/>
      <c r="J482" s="37"/>
      <c r="K482" s="38"/>
      <c r="L482" s="39"/>
      <c r="M482" s="38"/>
      <c r="N482" s="39"/>
      <c r="O482" s="40"/>
      <c r="P482" s="34"/>
      <c r="Q482" s="35"/>
      <c r="R482" s="35"/>
      <c r="S482" s="35"/>
      <c r="T482" s="35"/>
      <c r="U482" s="35"/>
      <c r="V482" s="35"/>
      <c r="W482" s="35"/>
      <c r="X482" s="35"/>
      <c r="Y482" s="35"/>
      <c r="Z482" s="35"/>
      <c r="AA482" s="35"/>
    </row>
    <row r="483" ht="14.25" customHeight="1">
      <c r="A483" s="83"/>
      <c r="B483" s="84"/>
      <c r="C483" s="120"/>
      <c r="D483" s="117"/>
      <c r="E483" s="117"/>
      <c r="F483" s="117"/>
      <c r="G483" s="135"/>
      <c r="H483" s="88"/>
      <c r="I483" s="36"/>
      <c r="J483" s="37"/>
      <c r="K483" s="38"/>
      <c r="L483" s="39"/>
      <c r="M483" s="38"/>
      <c r="N483" s="39"/>
      <c r="O483" s="40"/>
      <c r="P483" s="34"/>
      <c r="Q483" s="35"/>
      <c r="R483" s="35"/>
      <c r="S483" s="35"/>
      <c r="T483" s="35"/>
      <c r="U483" s="35"/>
      <c r="V483" s="35"/>
      <c r="W483" s="35"/>
      <c r="X483" s="35"/>
      <c r="Y483" s="35"/>
      <c r="Z483" s="35"/>
      <c r="AA483" s="35"/>
    </row>
    <row r="484" ht="14.25" customHeight="1">
      <c r="A484" s="83"/>
      <c r="B484" s="84"/>
      <c r="C484" s="120"/>
      <c r="D484" s="117"/>
      <c r="E484" s="117"/>
      <c r="F484" s="117"/>
      <c r="G484" s="135"/>
      <c r="H484" s="88"/>
      <c r="I484" s="36"/>
      <c r="J484" s="37"/>
      <c r="K484" s="38"/>
      <c r="L484" s="39"/>
      <c r="M484" s="38"/>
      <c r="N484" s="39"/>
      <c r="O484" s="40"/>
      <c r="P484" s="34"/>
      <c r="Q484" s="35"/>
      <c r="R484" s="35"/>
      <c r="S484" s="35"/>
      <c r="T484" s="35"/>
      <c r="U484" s="35"/>
      <c r="V484" s="35"/>
      <c r="W484" s="35"/>
      <c r="X484" s="35"/>
      <c r="Y484" s="35"/>
      <c r="Z484" s="35"/>
      <c r="AA484" s="35"/>
    </row>
    <row r="485" ht="14.25" customHeight="1">
      <c r="A485" s="83"/>
      <c r="B485" s="84"/>
      <c r="C485" s="120"/>
      <c r="D485" s="117"/>
      <c r="E485" s="117"/>
      <c r="F485" s="117"/>
      <c r="G485" s="135"/>
      <c r="H485" s="88"/>
      <c r="I485" s="36"/>
      <c r="J485" s="37"/>
      <c r="K485" s="38"/>
      <c r="L485" s="39"/>
      <c r="M485" s="38"/>
      <c r="N485" s="39"/>
      <c r="O485" s="40"/>
      <c r="P485" s="34"/>
      <c r="Q485" s="35"/>
      <c r="R485" s="35"/>
      <c r="S485" s="35"/>
      <c r="T485" s="35"/>
      <c r="U485" s="35"/>
      <c r="V485" s="35"/>
      <c r="W485" s="35"/>
      <c r="X485" s="35"/>
      <c r="Y485" s="35"/>
      <c r="Z485" s="35"/>
      <c r="AA485" s="35"/>
    </row>
    <row r="486" ht="14.25" customHeight="1">
      <c r="A486" s="83"/>
      <c r="B486" s="84"/>
      <c r="C486" s="120"/>
      <c r="D486" s="117"/>
      <c r="E486" s="117"/>
      <c r="F486" s="117"/>
      <c r="G486" s="135"/>
      <c r="H486" s="88"/>
      <c r="I486" s="36"/>
      <c r="J486" s="37"/>
      <c r="K486" s="38"/>
      <c r="L486" s="39"/>
      <c r="M486" s="38"/>
      <c r="N486" s="39"/>
      <c r="O486" s="40"/>
      <c r="P486" s="34"/>
      <c r="Q486" s="35"/>
      <c r="R486" s="35"/>
      <c r="S486" s="35"/>
      <c r="T486" s="35"/>
      <c r="U486" s="35"/>
      <c r="V486" s="35"/>
      <c r="W486" s="35"/>
      <c r="X486" s="35"/>
      <c r="Y486" s="35"/>
      <c r="Z486" s="35"/>
      <c r="AA486" s="35"/>
    </row>
    <row r="487" ht="14.25" customHeight="1">
      <c r="A487" s="83"/>
      <c r="B487" s="84"/>
      <c r="C487" s="120"/>
      <c r="D487" s="117"/>
      <c r="E487" s="117"/>
      <c r="F487" s="117"/>
      <c r="G487" s="135"/>
      <c r="H487" s="88"/>
      <c r="I487" s="36"/>
      <c r="J487" s="37"/>
      <c r="K487" s="38"/>
      <c r="L487" s="39"/>
      <c r="M487" s="38"/>
      <c r="N487" s="39"/>
      <c r="O487" s="40"/>
      <c r="P487" s="34"/>
      <c r="Q487" s="35"/>
      <c r="R487" s="35"/>
      <c r="S487" s="35"/>
      <c r="T487" s="35"/>
      <c r="U487" s="35"/>
      <c r="V487" s="35"/>
      <c r="W487" s="35"/>
      <c r="X487" s="35"/>
      <c r="Y487" s="35"/>
      <c r="Z487" s="35"/>
      <c r="AA487" s="35"/>
    </row>
    <row r="488" ht="14.25" customHeight="1">
      <c r="A488" s="83"/>
      <c r="B488" s="84"/>
      <c r="C488" s="120"/>
      <c r="D488" s="117"/>
      <c r="E488" s="117"/>
      <c r="F488" s="117"/>
      <c r="G488" s="135"/>
      <c r="H488" s="88"/>
      <c r="I488" s="36"/>
      <c r="J488" s="37"/>
      <c r="K488" s="38"/>
      <c r="L488" s="39"/>
      <c r="M488" s="38"/>
      <c r="N488" s="39"/>
      <c r="O488" s="40"/>
      <c r="P488" s="34"/>
      <c r="Q488" s="35"/>
      <c r="R488" s="35"/>
      <c r="S488" s="35"/>
      <c r="T488" s="35"/>
      <c r="U488" s="35"/>
      <c r="V488" s="35"/>
      <c r="W488" s="35"/>
      <c r="X488" s="35"/>
      <c r="Y488" s="35"/>
      <c r="Z488" s="35"/>
      <c r="AA488" s="35"/>
    </row>
    <row r="489" ht="14.25" customHeight="1">
      <c r="A489" s="83"/>
      <c r="B489" s="84"/>
      <c r="C489" s="120"/>
      <c r="D489" s="117"/>
      <c r="E489" s="117"/>
      <c r="F489" s="117"/>
      <c r="G489" s="135"/>
      <c r="H489" s="88"/>
      <c r="I489" s="36"/>
      <c r="J489" s="37"/>
      <c r="K489" s="38"/>
      <c r="L489" s="39"/>
      <c r="M489" s="38"/>
      <c r="N489" s="39"/>
      <c r="O489" s="40"/>
      <c r="P489" s="34"/>
      <c r="Q489" s="35"/>
      <c r="R489" s="35"/>
      <c r="S489" s="35"/>
      <c r="T489" s="35"/>
      <c r="U489" s="35"/>
      <c r="V489" s="35"/>
      <c r="W489" s="35"/>
      <c r="X489" s="35"/>
      <c r="Y489" s="35"/>
      <c r="Z489" s="35"/>
      <c r="AA489" s="35"/>
    </row>
    <row r="490" ht="14.25" customHeight="1">
      <c r="A490" s="83"/>
      <c r="B490" s="84"/>
      <c r="C490" s="120"/>
      <c r="D490" s="117"/>
      <c r="E490" s="117"/>
      <c r="F490" s="117"/>
      <c r="G490" s="135"/>
      <c r="H490" s="88"/>
      <c r="I490" s="36"/>
      <c r="J490" s="37"/>
      <c r="K490" s="38"/>
      <c r="L490" s="39"/>
      <c r="M490" s="38"/>
      <c r="N490" s="39"/>
      <c r="O490" s="40"/>
      <c r="P490" s="34"/>
      <c r="Q490" s="35"/>
      <c r="R490" s="35"/>
      <c r="S490" s="35"/>
      <c r="T490" s="35"/>
      <c r="U490" s="35"/>
      <c r="V490" s="35"/>
      <c r="W490" s="35"/>
      <c r="X490" s="35"/>
      <c r="Y490" s="35"/>
      <c r="Z490" s="35"/>
      <c r="AA490" s="35"/>
    </row>
    <row r="491" ht="14.25" customHeight="1">
      <c r="A491" s="83"/>
      <c r="B491" s="84"/>
      <c r="C491" s="120"/>
      <c r="D491" s="117"/>
      <c r="E491" s="117"/>
      <c r="F491" s="117"/>
      <c r="G491" s="135"/>
      <c r="H491" s="88"/>
      <c r="I491" s="36"/>
      <c r="J491" s="37"/>
      <c r="K491" s="38"/>
      <c r="L491" s="39"/>
      <c r="M491" s="38"/>
      <c r="N491" s="39"/>
      <c r="O491" s="40"/>
      <c r="P491" s="34"/>
      <c r="Q491" s="35"/>
      <c r="R491" s="35"/>
      <c r="S491" s="35"/>
      <c r="T491" s="35"/>
      <c r="U491" s="35"/>
      <c r="V491" s="35"/>
      <c r="W491" s="35"/>
      <c r="X491" s="35"/>
      <c r="Y491" s="35"/>
      <c r="Z491" s="35"/>
      <c r="AA491" s="35"/>
    </row>
    <row r="492" ht="14.25" customHeight="1">
      <c r="A492" s="83"/>
      <c r="B492" s="84"/>
      <c r="C492" s="120"/>
      <c r="D492" s="117"/>
      <c r="E492" s="117"/>
      <c r="F492" s="117"/>
      <c r="G492" s="135"/>
      <c r="H492" s="88"/>
      <c r="I492" s="36"/>
      <c r="J492" s="37"/>
      <c r="K492" s="38"/>
      <c r="L492" s="39"/>
      <c r="M492" s="38"/>
      <c r="N492" s="39"/>
      <c r="O492" s="40"/>
      <c r="P492" s="34"/>
      <c r="Q492" s="35"/>
      <c r="R492" s="35"/>
      <c r="S492" s="35"/>
      <c r="T492" s="35"/>
      <c r="U492" s="35"/>
      <c r="V492" s="35"/>
      <c r="W492" s="35"/>
      <c r="X492" s="35"/>
      <c r="Y492" s="35"/>
      <c r="Z492" s="35"/>
      <c r="AA492" s="35"/>
    </row>
    <row r="493" ht="14.25" customHeight="1">
      <c r="A493" s="83"/>
      <c r="B493" s="84"/>
      <c r="C493" s="120"/>
      <c r="D493" s="117"/>
      <c r="E493" s="117"/>
      <c r="F493" s="117"/>
      <c r="G493" s="135"/>
      <c r="H493" s="88"/>
      <c r="I493" s="36"/>
      <c r="J493" s="37"/>
      <c r="K493" s="38"/>
      <c r="L493" s="39"/>
      <c r="M493" s="38"/>
      <c r="N493" s="39"/>
      <c r="O493" s="40"/>
      <c r="P493" s="34"/>
      <c r="Q493" s="35"/>
      <c r="R493" s="35"/>
      <c r="S493" s="35"/>
      <c r="T493" s="35"/>
      <c r="U493" s="35"/>
      <c r="V493" s="35"/>
      <c r="W493" s="35"/>
      <c r="X493" s="35"/>
      <c r="Y493" s="35"/>
      <c r="Z493" s="35"/>
      <c r="AA493" s="35"/>
    </row>
    <row r="494" ht="14.25" customHeight="1">
      <c r="A494" s="83"/>
      <c r="B494" s="84"/>
      <c r="C494" s="120"/>
      <c r="D494" s="117"/>
      <c r="E494" s="117"/>
      <c r="F494" s="117"/>
      <c r="G494" s="135"/>
      <c r="H494" s="88"/>
      <c r="I494" s="36"/>
      <c r="J494" s="37"/>
      <c r="K494" s="38"/>
      <c r="L494" s="39"/>
      <c r="M494" s="38"/>
      <c r="N494" s="39"/>
      <c r="O494" s="40"/>
      <c r="P494" s="34"/>
      <c r="Q494" s="35"/>
      <c r="R494" s="35"/>
      <c r="S494" s="35"/>
      <c r="T494" s="35"/>
      <c r="U494" s="35"/>
      <c r="V494" s="35"/>
      <c r="W494" s="35"/>
      <c r="X494" s="35"/>
      <c r="Y494" s="35"/>
      <c r="Z494" s="35"/>
      <c r="AA494" s="35"/>
    </row>
    <row r="495" ht="14.25" customHeight="1">
      <c r="A495" s="83"/>
      <c r="B495" s="84"/>
      <c r="C495" s="120"/>
      <c r="D495" s="117"/>
      <c r="E495" s="117"/>
      <c r="F495" s="117"/>
      <c r="G495" s="135"/>
      <c r="H495" s="88"/>
      <c r="I495" s="36"/>
      <c r="J495" s="37"/>
      <c r="K495" s="38"/>
      <c r="L495" s="39"/>
      <c r="M495" s="38"/>
      <c r="N495" s="39"/>
      <c r="O495" s="40"/>
      <c r="P495" s="34"/>
      <c r="Q495" s="35"/>
      <c r="R495" s="35"/>
      <c r="S495" s="35"/>
      <c r="T495" s="35"/>
      <c r="U495" s="35"/>
      <c r="V495" s="35"/>
      <c r="W495" s="35"/>
      <c r="X495" s="35"/>
      <c r="Y495" s="35"/>
      <c r="Z495" s="35"/>
      <c r="AA495" s="35"/>
    </row>
    <row r="496" ht="14.25" customHeight="1">
      <c r="A496" s="83"/>
      <c r="B496" s="84"/>
      <c r="C496" s="120"/>
      <c r="D496" s="117"/>
      <c r="E496" s="117"/>
      <c r="F496" s="117"/>
      <c r="G496" s="135"/>
      <c r="H496" s="88"/>
      <c r="I496" s="36"/>
      <c r="J496" s="37"/>
      <c r="K496" s="38"/>
      <c r="L496" s="39"/>
      <c r="M496" s="38"/>
      <c r="N496" s="39"/>
      <c r="O496" s="40"/>
      <c r="P496" s="34"/>
      <c r="Q496" s="35"/>
      <c r="R496" s="35"/>
      <c r="S496" s="35"/>
      <c r="T496" s="35"/>
      <c r="U496" s="35"/>
      <c r="V496" s="35"/>
      <c r="W496" s="35"/>
      <c r="X496" s="35"/>
      <c r="Y496" s="35"/>
      <c r="Z496" s="35"/>
      <c r="AA496" s="35"/>
    </row>
    <row r="497" ht="14.25" customHeight="1">
      <c r="A497" s="83"/>
      <c r="B497" s="84"/>
      <c r="C497" s="120"/>
      <c r="D497" s="117"/>
      <c r="E497" s="117"/>
      <c r="F497" s="117"/>
      <c r="G497" s="135"/>
      <c r="H497" s="88"/>
      <c r="I497" s="36"/>
      <c r="J497" s="37"/>
      <c r="K497" s="38"/>
      <c r="L497" s="39"/>
      <c r="M497" s="38"/>
      <c r="N497" s="39"/>
      <c r="O497" s="40"/>
      <c r="P497" s="34"/>
      <c r="Q497" s="35"/>
      <c r="R497" s="35"/>
      <c r="S497" s="35"/>
      <c r="T497" s="35"/>
      <c r="U497" s="35"/>
      <c r="V497" s="35"/>
      <c r="W497" s="35"/>
      <c r="X497" s="35"/>
      <c r="Y497" s="35"/>
      <c r="Z497" s="35"/>
      <c r="AA497" s="35"/>
    </row>
    <row r="498" ht="14.25" customHeight="1">
      <c r="A498" s="83"/>
      <c r="B498" s="84"/>
      <c r="C498" s="120"/>
      <c r="D498" s="117"/>
      <c r="E498" s="117"/>
      <c r="F498" s="117"/>
      <c r="G498" s="135"/>
      <c r="H498" s="88"/>
      <c r="I498" s="36"/>
      <c r="J498" s="37"/>
      <c r="K498" s="38"/>
      <c r="L498" s="39"/>
      <c r="M498" s="38"/>
      <c r="N498" s="39"/>
      <c r="O498" s="40"/>
      <c r="P498" s="34"/>
      <c r="Q498" s="35"/>
      <c r="R498" s="35"/>
      <c r="S498" s="35"/>
      <c r="T498" s="35"/>
      <c r="U498" s="35"/>
      <c r="V498" s="35"/>
      <c r="W498" s="35"/>
      <c r="X498" s="35"/>
      <c r="Y498" s="35"/>
      <c r="Z498" s="35"/>
      <c r="AA498" s="35"/>
    </row>
    <row r="499" ht="14.25" customHeight="1">
      <c r="A499" s="83"/>
      <c r="B499" s="84"/>
      <c r="C499" s="120"/>
      <c r="D499" s="117"/>
      <c r="E499" s="117"/>
      <c r="F499" s="117"/>
      <c r="G499" s="135"/>
      <c r="H499" s="88"/>
      <c r="I499" s="36"/>
      <c r="J499" s="37"/>
      <c r="K499" s="38"/>
      <c r="L499" s="39"/>
      <c r="M499" s="38"/>
      <c r="N499" s="39"/>
      <c r="O499" s="40"/>
      <c r="P499" s="34"/>
      <c r="Q499" s="35"/>
      <c r="R499" s="35"/>
      <c r="S499" s="35"/>
      <c r="T499" s="35"/>
      <c r="U499" s="35"/>
      <c r="V499" s="35"/>
      <c r="W499" s="35"/>
      <c r="X499" s="35"/>
      <c r="Y499" s="35"/>
      <c r="Z499" s="35"/>
      <c r="AA499" s="35"/>
    </row>
    <row r="500" ht="14.25" customHeight="1">
      <c r="A500" s="83"/>
      <c r="B500" s="84"/>
      <c r="C500" s="120"/>
      <c r="D500" s="117"/>
      <c r="E500" s="117"/>
      <c r="F500" s="117"/>
      <c r="G500" s="135"/>
      <c r="H500" s="88"/>
      <c r="I500" s="36"/>
      <c r="J500" s="37"/>
      <c r="K500" s="38"/>
      <c r="L500" s="39"/>
      <c r="M500" s="38"/>
      <c r="N500" s="39"/>
      <c r="O500" s="40"/>
      <c r="P500" s="34"/>
      <c r="Q500" s="35"/>
      <c r="R500" s="35"/>
      <c r="S500" s="35"/>
      <c r="T500" s="35"/>
      <c r="U500" s="35"/>
      <c r="V500" s="35"/>
      <c r="W500" s="35"/>
      <c r="X500" s="35"/>
      <c r="Y500" s="35"/>
      <c r="Z500" s="35"/>
      <c r="AA500" s="35"/>
    </row>
    <row r="501" ht="14.25" customHeight="1">
      <c r="A501" s="83"/>
      <c r="B501" s="84"/>
      <c r="C501" s="120"/>
      <c r="D501" s="117"/>
      <c r="E501" s="117"/>
      <c r="F501" s="117"/>
      <c r="G501" s="135"/>
      <c r="H501" s="88"/>
      <c r="I501" s="36"/>
      <c r="J501" s="37"/>
      <c r="K501" s="38"/>
      <c r="L501" s="39"/>
      <c r="M501" s="38"/>
      <c r="N501" s="39"/>
      <c r="O501" s="40"/>
      <c r="P501" s="34"/>
      <c r="Q501" s="35"/>
      <c r="R501" s="35"/>
      <c r="S501" s="35"/>
      <c r="T501" s="35"/>
      <c r="U501" s="35"/>
      <c r="V501" s="35"/>
      <c r="W501" s="35"/>
      <c r="X501" s="35"/>
      <c r="Y501" s="35"/>
      <c r="Z501" s="35"/>
      <c r="AA501" s="35"/>
    </row>
    <row r="502" ht="14.25" customHeight="1">
      <c r="A502" s="83"/>
      <c r="B502" s="84"/>
      <c r="C502" s="120"/>
      <c r="D502" s="117"/>
      <c r="E502" s="117"/>
      <c r="F502" s="117"/>
      <c r="G502" s="135"/>
      <c r="H502" s="88"/>
      <c r="I502" s="36"/>
      <c r="J502" s="37"/>
      <c r="K502" s="38"/>
      <c r="L502" s="39"/>
      <c r="M502" s="38"/>
      <c r="N502" s="39"/>
      <c r="O502" s="40"/>
      <c r="P502" s="34"/>
      <c r="Q502" s="35"/>
      <c r="R502" s="35"/>
      <c r="S502" s="35"/>
      <c r="T502" s="35"/>
      <c r="U502" s="35"/>
      <c r="V502" s="35"/>
      <c r="W502" s="35"/>
      <c r="X502" s="35"/>
      <c r="Y502" s="35"/>
      <c r="Z502" s="35"/>
      <c r="AA502" s="35"/>
    </row>
    <row r="503" ht="14.25" customHeight="1">
      <c r="A503" s="83"/>
      <c r="B503" s="84"/>
      <c r="C503" s="120"/>
      <c r="D503" s="117"/>
      <c r="E503" s="117"/>
      <c r="F503" s="117"/>
      <c r="G503" s="135"/>
      <c r="H503" s="88"/>
      <c r="I503" s="36"/>
      <c r="J503" s="37"/>
      <c r="K503" s="38"/>
      <c r="L503" s="39"/>
      <c r="M503" s="38"/>
      <c r="N503" s="39"/>
      <c r="O503" s="40"/>
      <c r="P503" s="34"/>
      <c r="Q503" s="35"/>
      <c r="R503" s="35"/>
      <c r="S503" s="35"/>
      <c r="T503" s="35"/>
      <c r="U503" s="35"/>
      <c r="V503" s="35"/>
      <c r="W503" s="35"/>
      <c r="X503" s="35"/>
      <c r="Y503" s="35"/>
      <c r="Z503" s="35"/>
      <c r="AA503" s="35"/>
    </row>
    <row r="504" ht="14.25" customHeight="1">
      <c r="A504" s="83"/>
      <c r="B504" s="84"/>
      <c r="C504" s="120"/>
      <c r="D504" s="117"/>
      <c r="E504" s="117"/>
      <c r="F504" s="117"/>
      <c r="G504" s="135"/>
      <c r="H504" s="88"/>
      <c r="I504" s="36"/>
      <c r="J504" s="37"/>
      <c r="K504" s="38"/>
      <c r="L504" s="39"/>
      <c r="M504" s="38"/>
      <c r="N504" s="39"/>
      <c r="O504" s="40"/>
      <c r="P504" s="34"/>
      <c r="Q504" s="35"/>
      <c r="R504" s="35"/>
      <c r="S504" s="35"/>
      <c r="T504" s="35"/>
      <c r="U504" s="35"/>
      <c r="V504" s="35"/>
      <c r="W504" s="35"/>
      <c r="X504" s="35"/>
      <c r="Y504" s="35"/>
      <c r="Z504" s="35"/>
      <c r="AA504" s="35"/>
    </row>
    <row r="505" ht="14.25" customHeight="1">
      <c r="A505" s="83"/>
      <c r="B505" s="84"/>
      <c r="C505" s="120"/>
      <c r="D505" s="117"/>
      <c r="E505" s="117"/>
      <c r="F505" s="117"/>
      <c r="G505" s="135"/>
      <c r="H505" s="88"/>
      <c r="I505" s="36"/>
      <c r="J505" s="37"/>
      <c r="K505" s="38"/>
      <c r="L505" s="39"/>
      <c r="M505" s="38"/>
      <c r="N505" s="39"/>
      <c r="O505" s="40"/>
      <c r="P505" s="34"/>
      <c r="Q505" s="35"/>
      <c r="R505" s="35"/>
      <c r="S505" s="35"/>
      <c r="T505" s="35"/>
      <c r="U505" s="35"/>
      <c r="V505" s="35"/>
      <c r="W505" s="35"/>
      <c r="X505" s="35"/>
      <c r="Y505" s="35"/>
      <c r="Z505" s="35"/>
      <c r="AA505" s="35"/>
    </row>
    <row r="506" ht="14.25" customHeight="1">
      <c r="A506" s="83"/>
      <c r="B506" s="84"/>
      <c r="C506" s="120"/>
      <c r="D506" s="117"/>
      <c r="E506" s="117"/>
      <c r="F506" s="117"/>
      <c r="G506" s="135"/>
      <c r="H506" s="88"/>
      <c r="I506" s="36"/>
      <c r="J506" s="37"/>
      <c r="K506" s="38"/>
      <c r="L506" s="39"/>
      <c r="M506" s="38"/>
      <c r="N506" s="39"/>
      <c r="O506" s="40"/>
      <c r="P506" s="34"/>
      <c r="Q506" s="35"/>
      <c r="R506" s="35"/>
      <c r="S506" s="35"/>
      <c r="T506" s="35"/>
      <c r="U506" s="35"/>
      <c r="V506" s="35"/>
      <c r="W506" s="35"/>
      <c r="X506" s="35"/>
      <c r="Y506" s="35"/>
      <c r="Z506" s="35"/>
      <c r="AA506" s="35"/>
    </row>
    <row r="507" ht="14.25" customHeight="1">
      <c r="A507" s="83"/>
      <c r="B507" s="84"/>
      <c r="C507" s="120"/>
      <c r="D507" s="117"/>
      <c r="E507" s="117"/>
      <c r="F507" s="117"/>
      <c r="G507" s="135"/>
      <c r="H507" s="88"/>
      <c r="I507" s="36"/>
      <c r="J507" s="37"/>
      <c r="K507" s="38"/>
      <c r="L507" s="39"/>
      <c r="M507" s="38"/>
      <c r="N507" s="39"/>
      <c r="O507" s="40"/>
      <c r="P507" s="34"/>
      <c r="Q507" s="35"/>
      <c r="R507" s="35"/>
      <c r="S507" s="35"/>
      <c r="T507" s="35"/>
      <c r="U507" s="35"/>
      <c r="V507" s="35"/>
      <c r="W507" s="35"/>
      <c r="X507" s="35"/>
      <c r="Y507" s="35"/>
      <c r="Z507" s="35"/>
      <c r="AA507" s="35"/>
    </row>
    <row r="508" ht="14.25" customHeight="1">
      <c r="A508" s="83"/>
      <c r="B508" s="84"/>
      <c r="C508" s="120"/>
      <c r="D508" s="117"/>
      <c r="E508" s="117"/>
      <c r="F508" s="117"/>
      <c r="G508" s="135"/>
      <c r="H508" s="88"/>
      <c r="I508" s="36"/>
      <c r="J508" s="37"/>
      <c r="K508" s="38"/>
      <c r="L508" s="39"/>
      <c r="M508" s="38"/>
      <c r="N508" s="39"/>
      <c r="O508" s="40"/>
      <c r="P508" s="34"/>
      <c r="Q508" s="35"/>
      <c r="R508" s="35"/>
      <c r="S508" s="35"/>
      <c r="T508" s="35"/>
      <c r="U508" s="35"/>
      <c r="V508" s="35"/>
      <c r="W508" s="35"/>
      <c r="X508" s="35"/>
      <c r="Y508" s="35"/>
      <c r="Z508" s="35"/>
      <c r="AA508" s="35"/>
    </row>
    <row r="509" ht="14.25" customHeight="1">
      <c r="A509" s="83"/>
      <c r="B509" s="84"/>
      <c r="C509" s="120"/>
      <c r="D509" s="117"/>
      <c r="E509" s="117"/>
      <c r="F509" s="117"/>
      <c r="G509" s="135"/>
      <c r="H509" s="88"/>
      <c r="I509" s="36"/>
      <c r="J509" s="37"/>
      <c r="K509" s="38"/>
      <c r="L509" s="39"/>
      <c r="M509" s="38"/>
      <c r="N509" s="39"/>
      <c r="O509" s="40"/>
      <c r="P509" s="34"/>
      <c r="Q509" s="35"/>
      <c r="R509" s="35"/>
      <c r="S509" s="35"/>
      <c r="T509" s="35"/>
      <c r="U509" s="35"/>
      <c r="V509" s="35"/>
      <c r="W509" s="35"/>
      <c r="X509" s="35"/>
      <c r="Y509" s="35"/>
      <c r="Z509" s="35"/>
      <c r="AA509" s="35"/>
    </row>
    <row r="510" ht="14.25" customHeight="1">
      <c r="A510" s="83"/>
      <c r="B510" s="84"/>
      <c r="C510" s="120"/>
      <c r="D510" s="117"/>
      <c r="E510" s="117"/>
      <c r="F510" s="117"/>
      <c r="G510" s="135"/>
      <c r="H510" s="88"/>
      <c r="I510" s="36"/>
      <c r="J510" s="37"/>
      <c r="K510" s="38"/>
      <c r="L510" s="39"/>
      <c r="M510" s="38"/>
      <c r="N510" s="39"/>
      <c r="O510" s="40"/>
      <c r="P510" s="34"/>
      <c r="Q510" s="35"/>
      <c r="R510" s="35"/>
      <c r="S510" s="35"/>
      <c r="T510" s="35"/>
      <c r="U510" s="35"/>
      <c r="V510" s="35"/>
      <c r="W510" s="35"/>
      <c r="X510" s="35"/>
      <c r="Y510" s="35"/>
      <c r="Z510" s="35"/>
      <c r="AA510" s="35"/>
    </row>
    <row r="511" ht="14.25" customHeight="1">
      <c r="A511" s="83"/>
      <c r="B511" s="84"/>
      <c r="C511" s="120"/>
      <c r="D511" s="117"/>
      <c r="E511" s="117"/>
      <c r="F511" s="117"/>
      <c r="G511" s="135"/>
      <c r="H511" s="88"/>
      <c r="I511" s="36"/>
      <c r="J511" s="37"/>
      <c r="K511" s="38"/>
      <c r="L511" s="39"/>
      <c r="M511" s="38"/>
      <c r="N511" s="39"/>
      <c r="O511" s="40"/>
      <c r="P511" s="34"/>
      <c r="Q511" s="35"/>
      <c r="R511" s="35"/>
      <c r="S511" s="35"/>
      <c r="T511" s="35"/>
      <c r="U511" s="35"/>
      <c r="V511" s="35"/>
      <c r="W511" s="35"/>
      <c r="X511" s="35"/>
      <c r="Y511" s="35"/>
      <c r="Z511" s="35"/>
      <c r="AA511" s="35"/>
    </row>
    <row r="512" ht="14.25" customHeight="1">
      <c r="A512" s="83"/>
      <c r="B512" s="84"/>
      <c r="C512" s="120"/>
      <c r="D512" s="117"/>
      <c r="E512" s="117"/>
      <c r="F512" s="117"/>
      <c r="G512" s="135"/>
      <c r="H512" s="88"/>
      <c r="I512" s="36"/>
      <c r="J512" s="37"/>
      <c r="K512" s="38"/>
      <c r="L512" s="39"/>
      <c r="M512" s="38"/>
      <c r="N512" s="39"/>
      <c r="O512" s="40"/>
      <c r="P512" s="34"/>
      <c r="Q512" s="35"/>
      <c r="R512" s="35"/>
      <c r="S512" s="35"/>
      <c r="T512" s="35"/>
      <c r="U512" s="35"/>
      <c r="V512" s="35"/>
      <c r="W512" s="35"/>
      <c r="X512" s="35"/>
      <c r="Y512" s="35"/>
      <c r="Z512" s="35"/>
      <c r="AA512" s="35"/>
    </row>
    <row r="513" ht="14.25" customHeight="1">
      <c r="A513" s="83"/>
      <c r="B513" s="84"/>
      <c r="C513" s="120"/>
      <c r="D513" s="117"/>
      <c r="E513" s="117"/>
      <c r="F513" s="117"/>
      <c r="G513" s="135"/>
      <c r="H513" s="88"/>
      <c r="I513" s="36"/>
      <c r="J513" s="37"/>
      <c r="K513" s="38"/>
      <c r="L513" s="39"/>
      <c r="M513" s="38"/>
      <c r="N513" s="39"/>
      <c r="O513" s="40"/>
      <c r="P513" s="34"/>
      <c r="Q513" s="35"/>
      <c r="R513" s="35"/>
      <c r="S513" s="35"/>
      <c r="T513" s="35"/>
      <c r="U513" s="35"/>
      <c r="V513" s="35"/>
      <c r="W513" s="35"/>
      <c r="X513" s="35"/>
      <c r="Y513" s="35"/>
      <c r="Z513" s="35"/>
      <c r="AA513" s="35"/>
    </row>
    <row r="514" ht="14.25" customHeight="1">
      <c r="A514" s="83"/>
      <c r="B514" s="84"/>
      <c r="C514" s="120"/>
      <c r="D514" s="117"/>
      <c r="E514" s="117"/>
      <c r="F514" s="117"/>
      <c r="G514" s="135"/>
      <c r="H514" s="88"/>
      <c r="I514" s="36"/>
      <c r="J514" s="37"/>
      <c r="K514" s="38"/>
      <c r="L514" s="39"/>
      <c r="M514" s="38"/>
      <c r="N514" s="39"/>
      <c r="O514" s="40"/>
      <c r="P514" s="34"/>
      <c r="Q514" s="35"/>
      <c r="R514" s="35"/>
      <c r="S514" s="35"/>
      <c r="T514" s="35"/>
      <c r="U514" s="35"/>
      <c r="V514" s="35"/>
      <c r="W514" s="35"/>
      <c r="X514" s="35"/>
      <c r="Y514" s="35"/>
      <c r="Z514" s="35"/>
      <c r="AA514" s="35"/>
    </row>
    <row r="515" ht="14.25" customHeight="1">
      <c r="A515" s="83"/>
      <c r="B515" s="84"/>
      <c r="C515" s="120"/>
      <c r="D515" s="117"/>
      <c r="E515" s="117"/>
      <c r="F515" s="117"/>
      <c r="G515" s="135"/>
      <c r="H515" s="88"/>
      <c r="I515" s="36"/>
      <c r="J515" s="37"/>
      <c r="K515" s="38"/>
      <c r="L515" s="39"/>
      <c r="M515" s="38"/>
      <c r="N515" s="39"/>
      <c r="O515" s="40"/>
      <c r="P515" s="34"/>
      <c r="Q515" s="35"/>
      <c r="R515" s="35"/>
      <c r="S515" s="35"/>
      <c r="T515" s="35"/>
      <c r="U515" s="35"/>
      <c r="V515" s="35"/>
      <c r="W515" s="35"/>
      <c r="X515" s="35"/>
      <c r="Y515" s="35"/>
      <c r="Z515" s="35"/>
      <c r="AA515" s="35"/>
    </row>
    <row r="516" ht="14.25" customHeight="1">
      <c r="A516" s="83"/>
      <c r="B516" s="84"/>
      <c r="C516" s="120"/>
      <c r="D516" s="117"/>
      <c r="E516" s="117"/>
      <c r="F516" s="117"/>
      <c r="G516" s="135"/>
      <c r="H516" s="88"/>
      <c r="I516" s="36"/>
      <c r="J516" s="37"/>
      <c r="K516" s="38"/>
      <c r="L516" s="39"/>
      <c r="M516" s="38"/>
      <c r="N516" s="39"/>
      <c r="O516" s="40"/>
      <c r="P516" s="34"/>
      <c r="Q516" s="35"/>
      <c r="R516" s="35"/>
      <c r="S516" s="35"/>
      <c r="T516" s="35"/>
      <c r="U516" s="35"/>
      <c r="V516" s="35"/>
      <c r="W516" s="35"/>
      <c r="X516" s="35"/>
      <c r="Y516" s="35"/>
      <c r="Z516" s="35"/>
      <c r="AA516" s="35"/>
    </row>
    <row r="517" ht="14.25" customHeight="1">
      <c r="A517" s="83"/>
      <c r="B517" s="84"/>
      <c r="C517" s="120"/>
      <c r="D517" s="117"/>
      <c r="E517" s="117"/>
      <c r="F517" s="117"/>
      <c r="G517" s="135"/>
      <c r="H517" s="88"/>
      <c r="I517" s="36"/>
      <c r="J517" s="37"/>
      <c r="K517" s="38"/>
      <c r="L517" s="39"/>
      <c r="M517" s="38"/>
      <c r="N517" s="39"/>
      <c r="O517" s="40"/>
      <c r="P517" s="34"/>
      <c r="Q517" s="35"/>
      <c r="R517" s="35"/>
      <c r="S517" s="35"/>
      <c r="T517" s="35"/>
      <c r="U517" s="35"/>
      <c r="V517" s="35"/>
      <c r="W517" s="35"/>
      <c r="X517" s="35"/>
      <c r="Y517" s="35"/>
      <c r="Z517" s="35"/>
      <c r="AA517" s="35"/>
    </row>
    <row r="518" ht="14.25" customHeight="1">
      <c r="A518" s="83"/>
      <c r="B518" s="84"/>
      <c r="C518" s="120"/>
      <c r="D518" s="117"/>
      <c r="E518" s="117"/>
      <c r="F518" s="117"/>
      <c r="G518" s="135"/>
      <c r="H518" s="88"/>
      <c r="I518" s="36"/>
      <c r="J518" s="37"/>
      <c r="K518" s="38"/>
      <c r="L518" s="39"/>
      <c r="M518" s="38"/>
      <c r="N518" s="39"/>
      <c r="O518" s="40"/>
      <c r="P518" s="34"/>
      <c r="Q518" s="35"/>
      <c r="R518" s="35"/>
      <c r="S518" s="35"/>
      <c r="T518" s="35"/>
      <c r="U518" s="35"/>
      <c r="V518" s="35"/>
      <c r="W518" s="35"/>
      <c r="X518" s="35"/>
      <c r="Y518" s="35"/>
      <c r="Z518" s="35"/>
      <c r="AA518" s="35"/>
    </row>
    <row r="519" ht="14.25" customHeight="1">
      <c r="A519" s="83"/>
      <c r="B519" s="84"/>
      <c r="C519" s="120"/>
      <c r="D519" s="117"/>
      <c r="E519" s="117"/>
      <c r="F519" s="117"/>
      <c r="G519" s="135"/>
      <c r="H519" s="88"/>
      <c r="I519" s="36"/>
      <c r="J519" s="37"/>
      <c r="K519" s="38"/>
      <c r="L519" s="39"/>
      <c r="M519" s="38"/>
      <c r="N519" s="39"/>
      <c r="O519" s="40"/>
      <c r="P519" s="34"/>
      <c r="Q519" s="35"/>
      <c r="R519" s="35"/>
      <c r="S519" s="35"/>
      <c r="T519" s="35"/>
      <c r="U519" s="35"/>
      <c r="V519" s="35"/>
      <c r="W519" s="35"/>
      <c r="X519" s="35"/>
      <c r="Y519" s="35"/>
      <c r="Z519" s="35"/>
      <c r="AA519" s="35"/>
    </row>
    <row r="520" ht="14.25" customHeight="1">
      <c r="A520" s="83"/>
      <c r="B520" s="84"/>
      <c r="C520" s="120"/>
      <c r="D520" s="117"/>
      <c r="E520" s="117"/>
      <c r="F520" s="117"/>
      <c r="G520" s="135"/>
      <c r="H520" s="88"/>
      <c r="I520" s="36"/>
      <c r="J520" s="37"/>
      <c r="K520" s="38"/>
      <c r="L520" s="39"/>
      <c r="M520" s="38"/>
      <c r="N520" s="39"/>
      <c r="O520" s="40"/>
      <c r="P520" s="34"/>
      <c r="Q520" s="35"/>
      <c r="R520" s="35"/>
      <c r="S520" s="35"/>
      <c r="T520" s="35"/>
      <c r="U520" s="35"/>
      <c r="V520" s="35"/>
      <c r="W520" s="35"/>
      <c r="X520" s="35"/>
      <c r="Y520" s="35"/>
      <c r="Z520" s="35"/>
      <c r="AA520" s="35"/>
    </row>
    <row r="521" ht="14.25" customHeight="1">
      <c r="A521" s="83"/>
      <c r="B521" s="84"/>
      <c r="C521" s="120"/>
      <c r="D521" s="117"/>
      <c r="E521" s="117"/>
      <c r="F521" s="117"/>
      <c r="G521" s="135"/>
      <c r="H521" s="88"/>
      <c r="I521" s="36"/>
      <c r="J521" s="37"/>
      <c r="K521" s="38"/>
      <c r="L521" s="39"/>
      <c r="M521" s="38"/>
      <c r="N521" s="39"/>
      <c r="O521" s="40"/>
      <c r="P521" s="34"/>
      <c r="Q521" s="35"/>
      <c r="R521" s="35"/>
      <c r="S521" s="35"/>
      <c r="T521" s="35"/>
      <c r="U521" s="35"/>
      <c r="V521" s="35"/>
      <c r="W521" s="35"/>
      <c r="X521" s="35"/>
      <c r="Y521" s="35"/>
      <c r="Z521" s="35"/>
      <c r="AA521" s="35"/>
    </row>
    <row r="522" ht="14.25" customHeight="1">
      <c r="A522" s="83"/>
      <c r="B522" s="84"/>
      <c r="C522" s="120"/>
      <c r="D522" s="117"/>
      <c r="E522" s="117"/>
      <c r="F522" s="117"/>
      <c r="G522" s="135"/>
      <c r="H522" s="88"/>
      <c r="I522" s="36"/>
      <c r="J522" s="37"/>
      <c r="K522" s="38"/>
      <c r="L522" s="39"/>
      <c r="M522" s="38"/>
      <c r="N522" s="39"/>
      <c r="O522" s="40"/>
      <c r="P522" s="34"/>
      <c r="Q522" s="35"/>
      <c r="R522" s="35"/>
      <c r="S522" s="35"/>
      <c r="T522" s="35"/>
      <c r="U522" s="35"/>
      <c r="V522" s="35"/>
      <c r="W522" s="35"/>
      <c r="X522" s="35"/>
      <c r="Y522" s="35"/>
      <c r="Z522" s="35"/>
      <c r="AA522" s="35"/>
    </row>
    <row r="523" ht="14.25" customHeight="1">
      <c r="A523" s="83"/>
      <c r="B523" s="84"/>
      <c r="C523" s="120"/>
      <c r="D523" s="117"/>
      <c r="E523" s="117"/>
      <c r="F523" s="117"/>
      <c r="G523" s="135"/>
      <c r="H523" s="88"/>
      <c r="I523" s="36"/>
      <c r="J523" s="37"/>
      <c r="K523" s="38"/>
      <c r="L523" s="39"/>
      <c r="M523" s="38"/>
      <c r="N523" s="39"/>
      <c r="O523" s="40"/>
      <c r="P523" s="34"/>
      <c r="Q523" s="35"/>
      <c r="R523" s="35"/>
      <c r="S523" s="35"/>
      <c r="T523" s="35"/>
      <c r="U523" s="35"/>
      <c r="V523" s="35"/>
      <c r="W523" s="35"/>
      <c r="X523" s="35"/>
      <c r="Y523" s="35"/>
      <c r="Z523" s="35"/>
      <c r="AA523" s="35"/>
    </row>
    <row r="524" ht="14.25" customHeight="1">
      <c r="A524" s="83"/>
      <c r="B524" s="84"/>
      <c r="C524" s="120"/>
      <c r="D524" s="117"/>
      <c r="E524" s="117"/>
      <c r="F524" s="117"/>
      <c r="G524" s="135"/>
      <c r="H524" s="88"/>
      <c r="I524" s="36"/>
      <c r="J524" s="37"/>
      <c r="K524" s="38"/>
      <c r="L524" s="39"/>
      <c r="M524" s="38"/>
      <c r="N524" s="39"/>
      <c r="O524" s="40"/>
      <c r="P524" s="34"/>
      <c r="Q524" s="35"/>
      <c r="R524" s="35"/>
      <c r="S524" s="35"/>
      <c r="T524" s="35"/>
      <c r="U524" s="35"/>
      <c r="V524" s="35"/>
      <c r="W524" s="35"/>
      <c r="X524" s="35"/>
      <c r="Y524" s="35"/>
      <c r="Z524" s="35"/>
      <c r="AA524" s="35"/>
    </row>
    <row r="525" ht="14.25" customHeight="1">
      <c r="A525" s="83"/>
      <c r="B525" s="84"/>
      <c r="C525" s="120"/>
      <c r="D525" s="117"/>
      <c r="E525" s="117"/>
      <c r="F525" s="117"/>
      <c r="G525" s="135"/>
      <c r="H525" s="88"/>
      <c r="I525" s="36"/>
      <c r="J525" s="37"/>
      <c r="K525" s="38"/>
      <c r="L525" s="39"/>
      <c r="M525" s="38"/>
      <c r="N525" s="39"/>
      <c r="O525" s="40"/>
      <c r="P525" s="34"/>
      <c r="Q525" s="35"/>
      <c r="R525" s="35"/>
      <c r="S525" s="35"/>
      <c r="T525" s="35"/>
      <c r="U525" s="35"/>
      <c r="V525" s="35"/>
      <c r="W525" s="35"/>
      <c r="X525" s="35"/>
      <c r="Y525" s="35"/>
      <c r="Z525" s="35"/>
      <c r="AA525" s="35"/>
    </row>
    <row r="526" ht="14.25" customHeight="1">
      <c r="A526" s="83"/>
      <c r="B526" s="84"/>
      <c r="C526" s="120"/>
      <c r="D526" s="117"/>
      <c r="E526" s="117"/>
      <c r="F526" s="117"/>
      <c r="G526" s="135"/>
      <c r="H526" s="88"/>
      <c r="I526" s="36"/>
      <c r="J526" s="37"/>
      <c r="K526" s="38"/>
      <c r="L526" s="39"/>
      <c r="M526" s="38"/>
      <c r="N526" s="39"/>
      <c r="O526" s="40"/>
      <c r="P526" s="34"/>
      <c r="Q526" s="35"/>
      <c r="R526" s="35"/>
      <c r="S526" s="35"/>
      <c r="T526" s="35"/>
      <c r="U526" s="35"/>
      <c r="V526" s="35"/>
      <c r="W526" s="35"/>
      <c r="X526" s="35"/>
      <c r="Y526" s="35"/>
      <c r="Z526" s="35"/>
      <c r="AA526" s="35"/>
    </row>
    <row r="527" ht="14.25" customHeight="1">
      <c r="A527" s="83"/>
      <c r="B527" s="84"/>
      <c r="C527" s="120"/>
      <c r="D527" s="117"/>
      <c r="E527" s="117"/>
      <c r="F527" s="117"/>
      <c r="G527" s="135"/>
      <c r="H527" s="88"/>
      <c r="I527" s="36"/>
      <c r="J527" s="37"/>
      <c r="K527" s="38"/>
      <c r="L527" s="39"/>
      <c r="M527" s="38"/>
      <c r="N527" s="39"/>
      <c r="O527" s="40"/>
      <c r="P527" s="34"/>
      <c r="Q527" s="35"/>
      <c r="R527" s="35"/>
      <c r="S527" s="35"/>
      <c r="T527" s="35"/>
      <c r="U527" s="35"/>
      <c r="V527" s="35"/>
      <c r="W527" s="35"/>
      <c r="X527" s="35"/>
      <c r="Y527" s="35"/>
      <c r="Z527" s="35"/>
      <c r="AA527" s="35"/>
    </row>
    <row r="528" ht="14.25" customHeight="1">
      <c r="A528" s="83"/>
      <c r="B528" s="84"/>
      <c r="C528" s="120"/>
      <c r="D528" s="117"/>
      <c r="E528" s="117"/>
      <c r="F528" s="117"/>
      <c r="G528" s="135"/>
      <c r="H528" s="88"/>
      <c r="I528" s="36"/>
      <c r="J528" s="37"/>
      <c r="K528" s="38"/>
      <c r="L528" s="39"/>
      <c r="M528" s="38"/>
      <c r="N528" s="39"/>
      <c r="O528" s="40"/>
      <c r="P528" s="34"/>
      <c r="Q528" s="35"/>
      <c r="R528" s="35"/>
      <c r="S528" s="35"/>
      <c r="T528" s="35"/>
      <c r="U528" s="35"/>
      <c r="V528" s="35"/>
      <c r="W528" s="35"/>
      <c r="X528" s="35"/>
      <c r="Y528" s="35"/>
      <c r="Z528" s="35"/>
      <c r="AA528" s="35"/>
    </row>
    <row r="529" ht="14.25" customHeight="1">
      <c r="A529" s="83"/>
      <c r="B529" s="84"/>
      <c r="C529" s="120"/>
      <c r="D529" s="117"/>
      <c r="E529" s="117"/>
      <c r="F529" s="117"/>
      <c r="G529" s="135"/>
      <c r="H529" s="88"/>
      <c r="I529" s="36"/>
      <c r="J529" s="37"/>
      <c r="K529" s="38"/>
      <c r="L529" s="39"/>
      <c r="M529" s="38"/>
      <c r="N529" s="39"/>
      <c r="O529" s="40"/>
      <c r="P529" s="34"/>
      <c r="Q529" s="35"/>
      <c r="R529" s="35"/>
      <c r="S529" s="35"/>
      <c r="T529" s="35"/>
      <c r="U529" s="35"/>
      <c r="V529" s="35"/>
      <c r="W529" s="35"/>
      <c r="X529" s="35"/>
      <c r="Y529" s="35"/>
      <c r="Z529" s="35"/>
      <c r="AA529" s="35"/>
    </row>
    <row r="530" ht="14.25" customHeight="1">
      <c r="A530" s="83"/>
      <c r="B530" s="84"/>
      <c r="C530" s="120"/>
      <c r="D530" s="117"/>
      <c r="E530" s="117"/>
      <c r="F530" s="117"/>
      <c r="G530" s="135"/>
      <c r="H530" s="88"/>
      <c r="I530" s="36"/>
      <c r="J530" s="37"/>
      <c r="K530" s="38"/>
      <c r="L530" s="39"/>
      <c r="M530" s="38"/>
      <c r="N530" s="39"/>
      <c r="O530" s="40"/>
      <c r="P530" s="34"/>
      <c r="Q530" s="35"/>
      <c r="R530" s="35"/>
      <c r="S530" s="35"/>
      <c r="T530" s="35"/>
      <c r="U530" s="35"/>
      <c r="V530" s="35"/>
      <c r="W530" s="35"/>
      <c r="X530" s="35"/>
      <c r="Y530" s="35"/>
      <c r="Z530" s="35"/>
      <c r="AA530" s="35"/>
    </row>
    <row r="531" ht="14.25" customHeight="1">
      <c r="A531" s="83"/>
      <c r="B531" s="84"/>
      <c r="C531" s="120"/>
      <c r="D531" s="117"/>
      <c r="E531" s="117"/>
      <c r="F531" s="117"/>
      <c r="G531" s="135"/>
      <c r="H531" s="88"/>
      <c r="I531" s="36"/>
      <c r="J531" s="37"/>
      <c r="K531" s="38"/>
      <c r="L531" s="39"/>
      <c r="M531" s="38"/>
      <c r="N531" s="39"/>
      <c r="O531" s="40"/>
      <c r="P531" s="34"/>
      <c r="Q531" s="35"/>
      <c r="R531" s="35"/>
      <c r="S531" s="35"/>
      <c r="T531" s="35"/>
      <c r="U531" s="35"/>
      <c r="V531" s="35"/>
      <c r="W531" s="35"/>
      <c r="X531" s="35"/>
      <c r="Y531" s="35"/>
      <c r="Z531" s="35"/>
      <c r="AA531" s="35"/>
    </row>
    <row r="532" ht="14.25" customHeight="1">
      <c r="A532" s="83"/>
      <c r="B532" s="84"/>
      <c r="C532" s="120"/>
      <c r="D532" s="117"/>
      <c r="E532" s="117"/>
      <c r="F532" s="117"/>
      <c r="G532" s="135"/>
      <c r="H532" s="88"/>
      <c r="I532" s="36"/>
      <c r="J532" s="37"/>
      <c r="K532" s="38"/>
      <c r="L532" s="39"/>
      <c r="M532" s="38"/>
      <c r="N532" s="39"/>
      <c r="O532" s="40"/>
      <c r="P532" s="34"/>
      <c r="Q532" s="35"/>
      <c r="R532" s="35"/>
      <c r="S532" s="35"/>
      <c r="T532" s="35"/>
      <c r="U532" s="35"/>
      <c r="V532" s="35"/>
      <c r="W532" s="35"/>
      <c r="X532" s="35"/>
      <c r="Y532" s="35"/>
      <c r="Z532" s="35"/>
      <c r="AA532" s="35"/>
    </row>
    <row r="533" ht="14.25" customHeight="1">
      <c r="A533" s="83"/>
      <c r="B533" s="84"/>
      <c r="C533" s="120"/>
      <c r="D533" s="117"/>
      <c r="E533" s="117"/>
      <c r="F533" s="117"/>
      <c r="G533" s="135"/>
      <c r="H533" s="88"/>
      <c r="I533" s="36"/>
      <c r="J533" s="37"/>
      <c r="K533" s="38"/>
      <c r="L533" s="39"/>
      <c r="M533" s="38"/>
      <c r="N533" s="39"/>
      <c r="O533" s="40"/>
      <c r="P533" s="34"/>
      <c r="Q533" s="35"/>
      <c r="R533" s="35"/>
      <c r="S533" s="35"/>
      <c r="T533" s="35"/>
      <c r="U533" s="35"/>
      <c r="V533" s="35"/>
      <c r="W533" s="35"/>
      <c r="X533" s="35"/>
      <c r="Y533" s="35"/>
      <c r="Z533" s="35"/>
      <c r="AA533" s="35"/>
    </row>
    <row r="534" ht="14.25" customHeight="1">
      <c r="A534" s="83"/>
      <c r="B534" s="84"/>
      <c r="C534" s="120"/>
      <c r="D534" s="117"/>
      <c r="E534" s="117"/>
      <c r="F534" s="117"/>
      <c r="G534" s="135"/>
      <c r="H534" s="88"/>
      <c r="I534" s="36"/>
      <c r="J534" s="37"/>
      <c r="K534" s="38"/>
      <c r="L534" s="39"/>
      <c r="M534" s="38"/>
      <c r="N534" s="39"/>
      <c r="O534" s="40"/>
      <c r="P534" s="34"/>
      <c r="Q534" s="35"/>
      <c r="R534" s="35"/>
      <c r="S534" s="35"/>
      <c r="T534" s="35"/>
      <c r="U534" s="35"/>
      <c r="V534" s="35"/>
      <c r="W534" s="35"/>
      <c r="X534" s="35"/>
      <c r="Y534" s="35"/>
      <c r="Z534" s="35"/>
      <c r="AA534" s="35"/>
    </row>
    <row r="535" ht="14.25" customHeight="1">
      <c r="A535" s="83"/>
      <c r="B535" s="84"/>
      <c r="C535" s="120"/>
      <c r="D535" s="117"/>
      <c r="E535" s="117"/>
      <c r="F535" s="117"/>
      <c r="G535" s="135"/>
      <c r="H535" s="88"/>
      <c r="I535" s="36"/>
      <c r="J535" s="37"/>
      <c r="K535" s="38"/>
      <c r="L535" s="39"/>
      <c r="M535" s="38"/>
      <c r="N535" s="39"/>
      <c r="O535" s="40"/>
      <c r="P535" s="34"/>
      <c r="Q535" s="35"/>
      <c r="R535" s="35"/>
      <c r="S535" s="35"/>
      <c r="T535" s="35"/>
      <c r="U535" s="35"/>
      <c r="V535" s="35"/>
      <c r="W535" s="35"/>
      <c r="X535" s="35"/>
      <c r="Y535" s="35"/>
      <c r="Z535" s="35"/>
      <c r="AA535" s="35"/>
    </row>
    <row r="536" ht="14.25" customHeight="1">
      <c r="A536" s="83"/>
      <c r="B536" s="84"/>
      <c r="C536" s="120"/>
      <c r="D536" s="117"/>
      <c r="E536" s="117"/>
      <c r="F536" s="117"/>
      <c r="G536" s="135"/>
      <c r="H536" s="88"/>
      <c r="I536" s="36"/>
      <c r="J536" s="37"/>
      <c r="K536" s="38"/>
      <c r="L536" s="39"/>
      <c r="M536" s="38"/>
      <c r="N536" s="39"/>
      <c r="O536" s="40"/>
      <c r="P536" s="34"/>
      <c r="Q536" s="35"/>
      <c r="R536" s="35"/>
      <c r="S536" s="35"/>
      <c r="T536" s="35"/>
      <c r="U536" s="35"/>
      <c r="V536" s="35"/>
      <c r="W536" s="35"/>
      <c r="X536" s="35"/>
      <c r="Y536" s="35"/>
      <c r="Z536" s="35"/>
      <c r="AA536" s="35"/>
    </row>
    <row r="537" ht="14.25" customHeight="1">
      <c r="A537" s="83"/>
      <c r="B537" s="84"/>
      <c r="C537" s="120"/>
      <c r="D537" s="117"/>
      <c r="E537" s="117"/>
      <c r="F537" s="117"/>
      <c r="G537" s="135"/>
      <c r="H537" s="88"/>
      <c r="I537" s="36"/>
      <c r="J537" s="37"/>
      <c r="K537" s="38"/>
      <c r="L537" s="39"/>
      <c r="M537" s="38"/>
      <c r="N537" s="39"/>
      <c r="O537" s="40"/>
      <c r="P537" s="34"/>
      <c r="Q537" s="35"/>
      <c r="R537" s="35"/>
      <c r="S537" s="35"/>
      <c r="T537" s="35"/>
      <c r="U537" s="35"/>
      <c r="V537" s="35"/>
      <c r="W537" s="35"/>
      <c r="X537" s="35"/>
      <c r="Y537" s="35"/>
      <c r="Z537" s="35"/>
      <c r="AA537" s="35"/>
    </row>
    <row r="538" ht="14.25" customHeight="1">
      <c r="A538" s="83"/>
      <c r="B538" s="84"/>
      <c r="C538" s="120"/>
      <c r="D538" s="117"/>
      <c r="E538" s="117"/>
      <c r="F538" s="117"/>
      <c r="G538" s="135"/>
      <c r="H538" s="88"/>
      <c r="I538" s="36"/>
      <c r="J538" s="37"/>
      <c r="K538" s="38"/>
      <c r="L538" s="39"/>
      <c r="M538" s="38"/>
      <c r="N538" s="39"/>
      <c r="O538" s="40"/>
      <c r="P538" s="34"/>
      <c r="Q538" s="35"/>
      <c r="R538" s="35"/>
      <c r="S538" s="35"/>
      <c r="T538" s="35"/>
      <c r="U538" s="35"/>
      <c r="V538" s="35"/>
      <c r="W538" s="35"/>
      <c r="X538" s="35"/>
      <c r="Y538" s="35"/>
      <c r="Z538" s="35"/>
      <c r="AA538" s="35"/>
    </row>
    <row r="539" ht="14.25" customHeight="1">
      <c r="A539" s="83"/>
      <c r="B539" s="84"/>
      <c r="C539" s="120"/>
      <c r="D539" s="117"/>
      <c r="E539" s="117"/>
      <c r="F539" s="117"/>
      <c r="G539" s="135"/>
      <c r="H539" s="88"/>
      <c r="I539" s="36"/>
      <c r="J539" s="37"/>
      <c r="K539" s="38"/>
      <c r="L539" s="39"/>
      <c r="M539" s="38"/>
      <c r="N539" s="39"/>
      <c r="O539" s="40"/>
      <c r="P539" s="34"/>
      <c r="Q539" s="35"/>
      <c r="R539" s="35"/>
      <c r="S539" s="35"/>
      <c r="T539" s="35"/>
      <c r="U539" s="35"/>
      <c r="V539" s="35"/>
      <c r="W539" s="35"/>
      <c r="X539" s="35"/>
      <c r="Y539" s="35"/>
      <c r="Z539" s="35"/>
      <c r="AA539" s="35"/>
    </row>
    <row r="540" ht="14.25" customHeight="1">
      <c r="A540" s="83"/>
      <c r="B540" s="84"/>
      <c r="C540" s="120"/>
      <c r="D540" s="117"/>
      <c r="E540" s="117"/>
      <c r="F540" s="117"/>
      <c r="G540" s="135"/>
      <c r="H540" s="88"/>
      <c r="I540" s="36"/>
      <c r="J540" s="37"/>
      <c r="K540" s="38"/>
      <c r="L540" s="39"/>
      <c r="M540" s="38"/>
      <c r="N540" s="39"/>
      <c r="O540" s="40"/>
      <c r="P540" s="34"/>
      <c r="Q540" s="35"/>
      <c r="R540" s="35"/>
      <c r="S540" s="35"/>
      <c r="T540" s="35"/>
      <c r="U540" s="35"/>
      <c r="V540" s="35"/>
      <c r="W540" s="35"/>
      <c r="X540" s="35"/>
      <c r="Y540" s="35"/>
      <c r="Z540" s="35"/>
      <c r="AA540" s="35"/>
    </row>
    <row r="541" ht="14.25" customHeight="1">
      <c r="A541" s="83"/>
      <c r="B541" s="84"/>
      <c r="C541" s="120"/>
      <c r="D541" s="117"/>
      <c r="E541" s="117"/>
      <c r="F541" s="117"/>
      <c r="G541" s="135"/>
      <c r="H541" s="88"/>
      <c r="I541" s="36"/>
      <c r="J541" s="37"/>
      <c r="K541" s="38"/>
      <c r="L541" s="39"/>
      <c r="M541" s="38"/>
      <c r="N541" s="39"/>
      <c r="O541" s="40"/>
      <c r="P541" s="34"/>
      <c r="Q541" s="35"/>
      <c r="R541" s="35"/>
      <c r="S541" s="35"/>
      <c r="T541" s="35"/>
      <c r="U541" s="35"/>
      <c r="V541" s="35"/>
      <c r="W541" s="35"/>
      <c r="X541" s="35"/>
      <c r="Y541" s="35"/>
      <c r="Z541" s="35"/>
      <c r="AA541" s="35"/>
    </row>
    <row r="542" ht="14.25" customHeight="1">
      <c r="A542" s="83"/>
      <c r="B542" s="84"/>
      <c r="C542" s="120"/>
      <c r="D542" s="117"/>
      <c r="E542" s="117"/>
      <c r="F542" s="117"/>
      <c r="G542" s="135"/>
      <c r="H542" s="88"/>
      <c r="I542" s="36"/>
      <c r="J542" s="37"/>
      <c r="K542" s="38"/>
      <c r="L542" s="39"/>
      <c r="M542" s="38"/>
      <c r="N542" s="39"/>
      <c r="O542" s="40"/>
      <c r="P542" s="34"/>
      <c r="Q542" s="35"/>
      <c r="R542" s="35"/>
      <c r="S542" s="35"/>
      <c r="T542" s="35"/>
      <c r="U542" s="35"/>
      <c r="V542" s="35"/>
      <c r="W542" s="35"/>
      <c r="X542" s="35"/>
      <c r="Y542" s="35"/>
      <c r="Z542" s="35"/>
      <c r="AA542" s="35"/>
    </row>
    <row r="543" ht="14.25" customHeight="1">
      <c r="A543" s="83"/>
      <c r="B543" s="84"/>
      <c r="C543" s="120"/>
      <c r="D543" s="117"/>
      <c r="E543" s="117"/>
      <c r="F543" s="117"/>
      <c r="G543" s="135"/>
      <c r="H543" s="88"/>
      <c r="I543" s="36"/>
      <c r="J543" s="37"/>
      <c r="K543" s="38"/>
      <c r="L543" s="39"/>
      <c r="M543" s="38"/>
      <c r="N543" s="39"/>
      <c r="O543" s="40"/>
      <c r="P543" s="34"/>
      <c r="Q543" s="35"/>
      <c r="R543" s="35"/>
      <c r="S543" s="35"/>
      <c r="T543" s="35"/>
      <c r="U543" s="35"/>
      <c r="V543" s="35"/>
      <c r="W543" s="35"/>
      <c r="X543" s="35"/>
      <c r="Y543" s="35"/>
      <c r="Z543" s="35"/>
      <c r="AA543" s="35"/>
    </row>
    <row r="544" ht="14.25" customHeight="1">
      <c r="A544" s="83"/>
      <c r="B544" s="84"/>
      <c r="C544" s="120"/>
      <c r="D544" s="117"/>
      <c r="E544" s="117"/>
      <c r="F544" s="117"/>
      <c r="G544" s="135"/>
      <c r="H544" s="88"/>
      <c r="I544" s="36"/>
      <c r="J544" s="37"/>
      <c r="K544" s="38"/>
      <c r="L544" s="39"/>
      <c r="M544" s="38"/>
      <c r="N544" s="39"/>
      <c r="O544" s="40"/>
      <c r="P544" s="34"/>
      <c r="Q544" s="35"/>
      <c r="R544" s="35"/>
      <c r="S544" s="35"/>
      <c r="T544" s="35"/>
      <c r="U544" s="35"/>
      <c r="V544" s="35"/>
      <c r="W544" s="35"/>
      <c r="X544" s="35"/>
      <c r="Y544" s="35"/>
      <c r="Z544" s="35"/>
      <c r="AA544" s="35"/>
    </row>
    <row r="545" ht="14.25" customHeight="1">
      <c r="A545" s="83"/>
      <c r="B545" s="84"/>
      <c r="C545" s="120"/>
      <c r="D545" s="117"/>
      <c r="E545" s="117"/>
      <c r="F545" s="117"/>
      <c r="G545" s="135"/>
      <c r="H545" s="88"/>
      <c r="I545" s="36"/>
      <c r="J545" s="37"/>
      <c r="K545" s="38"/>
      <c r="L545" s="39"/>
      <c r="M545" s="38"/>
      <c r="N545" s="39"/>
      <c r="O545" s="40"/>
      <c r="P545" s="34"/>
      <c r="Q545" s="35"/>
      <c r="R545" s="35"/>
      <c r="S545" s="35"/>
      <c r="T545" s="35"/>
      <c r="U545" s="35"/>
      <c r="V545" s="35"/>
      <c r="W545" s="35"/>
      <c r="X545" s="35"/>
      <c r="Y545" s="35"/>
      <c r="Z545" s="35"/>
      <c r="AA545" s="35"/>
    </row>
    <row r="546" ht="14.25" customHeight="1">
      <c r="A546" s="83"/>
      <c r="B546" s="84"/>
      <c r="C546" s="120"/>
      <c r="D546" s="117"/>
      <c r="E546" s="117"/>
      <c r="F546" s="117"/>
      <c r="G546" s="135"/>
      <c r="H546" s="88"/>
      <c r="I546" s="36"/>
      <c r="J546" s="37"/>
      <c r="K546" s="38"/>
      <c r="L546" s="39"/>
      <c r="M546" s="38"/>
      <c r="N546" s="39"/>
      <c r="O546" s="40"/>
      <c r="P546" s="34"/>
      <c r="Q546" s="35"/>
      <c r="R546" s="35"/>
      <c r="S546" s="35"/>
      <c r="T546" s="35"/>
      <c r="U546" s="35"/>
      <c r="V546" s="35"/>
      <c r="W546" s="35"/>
      <c r="X546" s="35"/>
      <c r="Y546" s="35"/>
      <c r="Z546" s="35"/>
      <c r="AA546" s="35"/>
    </row>
    <row r="547" ht="14.25" customHeight="1">
      <c r="A547" s="83"/>
      <c r="B547" s="84"/>
      <c r="C547" s="120"/>
      <c r="D547" s="117"/>
      <c r="E547" s="117"/>
      <c r="F547" s="117"/>
      <c r="G547" s="135"/>
      <c r="H547" s="88"/>
      <c r="I547" s="36"/>
      <c r="J547" s="37"/>
      <c r="K547" s="38"/>
      <c r="L547" s="39"/>
      <c r="M547" s="38"/>
      <c r="N547" s="39"/>
      <c r="O547" s="40"/>
      <c r="P547" s="34"/>
      <c r="Q547" s="35"/>
      <c r="R547" s="35"/>
      <c r="S547" s="35"/>
      <c r="T547" s="35"/>
      <c r="U547" s="35"/>
      <c r="V547" s="35"/>
      <c r="W547" s="35"/>
      <c r="X547" s="35"/>
      <c r="Y547" s="35"/>
      <c r="Z547" s="35"/>
      <c r="AA547" s="35"/>
    </row>
    <row r="548" ht="14.25" customHeight="1">
      <c r="A548" s="83"/>
      <c r="B548" s="84"/>
      <c r="C548" s="120"/>
      <c r="D548" s="117"/>
      <c r="E548" s="117"/>
      <c r="F548" s="117"/>
      <c r="G548" s="135"/>
      <c r="H548" s="88"/>
      <c r="I548" s="36"/>
      <c r="J548" s="37"/>
      <c r="K548" s="38"/>
      <c r="L548" s="39"/>
      <c r="M548" s="38"/>
      <c r="N548" s="39"/>
      <c r="O548" s="40"/>
      <c r="P548" s="34"/>
      <c r="Q548" s="35"/>
      <c r="R548" s="35"/>
      <c r="S548" s="35"/>
      <c r="T548" s="35"/>
      <c r="U548" s="35"/>
      <c r="V548" s="35"/>
      <c r="W548" s="35"/>
      <c r="X548" s="35"/>
      <c r="Y548" s="35"/>
      <c r="Z548" s="35"/>
      <c r="AA548" s="35"/>
    </row>
    <row r="549" ht="14.25" customHeight="1">
      <c r="A549" s="83"/>
      <c r="B549" s="84"/>
      <c r="C549" s="120"/>
      <c r="D549" s="117"/>
      <c r="E549" s="117"/>
      <c r="F549" s="117"/>
      <c r="G549" s="135"/>
      <c r="H549" s="88"/>
      <c r="I549" s="36"/>
      <c r="J549" s="37"/>
      <c r="K549" s="38"/>
      <c r="L549" s="39"/>
      <c r="M549" s="38"/>
      <c r="N549" s="39"/>
      <c r="O549" s="40"/>
      <c r="P549" s="34"/>
      <c r="Q549" s="35"/>
      <c r="R549" s="35"/>
      <c r="S549" s="35"/>
      <c r="T549" s="35"/>
      <c r="U549" s="35"/>
      <c r="V549" s="35"/>
      <c r="W549" s="35"/>
      <c r="X549" s="35"/>
      <c r="Y549" s="35"/>
      <c r="Z549" s="35"/>
      <c r="AA549" s="35"/>
    </row>
    <row r="550" ht="14.25" customHeight="1">
      <c r="A550" s="83"/>
      <c r="B550" s="84"/>
      <c r="C550" s="120"/>
      <c r="D550" s="117"/>
      <c r="E550" s="117"/>
      <c r="F550" s="117"/>
      <c r="G550" s="135"/>
      <c r="H550" s="88"/>
      <c r="I550" s="36"/>
      <c r="J550" s="37"/>
      <c r="K550" s="38"/>
      <c r="L550" s="39"/>
      <c r="M550" s="38"/>
      <c r="N550" s="39"/>
      <c r="O550" s="40"/>
      <c r="P550" s="34"/>
      <c r="Q550" s="35"/>
      <c r="R550" s="35"/>
      <c r="S550" s="35"/>
      <c r="T550" s="35"/>
      <c r="U550" s="35"/>
      <c r="V550" s="35"/>
      <c r="W550" s="35"/>
      <c r="X550" s="35"/>
      <c r="Y550" s="35"/>
      <c r="Z550" s="35"/>
      <c r="AA550" s="35"/>
    </row>
    <row r="551" ht="14.25" customHeight="1">
      <c r="A551" s="83"/>
      <c r="B551" s="84"/>
      <c r="C551" s="120"/>
      <c r="D551" s="117"/>
      <c r="E551" s="117"/>
      <c r="F551" s="117"/>
      <c r="G551" s="135"/>
      <c r="H551" s="88"/>
      <c r="I551" s="36"/>
      <c r="J551" s="37"/>
      <c r="K551" s="38"/>
      <c r="L551" s="39"/>
      <c r="M551" s="38"/>
      <c r="N551" s="39"/>
      <c r="O551" s="40"/>
      <c r="P551" s="34"/>
      <c r="Q551" s="35"/>
      <c r="R551" s="35"/>
      <c r="S551" s="35"/>
      <c r="T551" s="35"/>
      <c r="U551" s="35"/>
      <c r="V551" s="35"/>
      <c r="W551" s="35"/>
      <c r="X551" s="35"/>
      <c r="Y551" s="35"/>
      <c r="Z551" s="35"/>
      <c r="AA551" s="35"/>
    </row>
    <row r="552" ht="14.25" customHeight="1">
      <c r="A552" s="83"/>
      <c r="B552" s="84"/>
      <c r="C552" s="120"/>
      <c r="D552" s="117"/>
      <c r="E552" s="117"/>
      <c r="F552" s="117"/>
      <c r="G552" s="135"/>
      <c r="H552" s="88"/>
      <c r="I552" s="36"/>
      <c r="J552" s="37"/>
      <c r="K552" s="38"/>
      <c r="L552" s="39"/>
      <c r="M552" s="38"/>
      <c r="N552" s="39"/>
      <c r="O552" s="40"/>
      <c r="P552" s="34"/>
      <c r="Q552" s="35"/>
      <c r="R552" s="35"/>
      <c r="S552" s="35"/>
      <c r="T552" s="35"/>
      <c r="U552" s="35"/>
      <c r="V552" s="35"/>
      <c r="W552" s="35"/>
      <c r="X552" s="35"/>
      <c r="Y552" s="35"/>
      <c r="Z552" s="35"/>
      <c r="AA552" s="35"/>
    </row>
    <row r="553" ht="14.25" customHeight="1">
      <c r="A553" s="83"/>
      <c r="B553" s="84"/>
      <c r="C553" s="120"/>
      <c r="D553" s="117"/>
      <c r="E553" s="117"/>
      <c r="F553" s="117"/>
      <c r="G553" s="135"/>
      <c r="H553" s="88"/>
      <c r="I553" s="36"/>
      <c r="J553" s="37"/>
      <c r="K553" s="38"/>
      <c r="L553" s="39"/>
      <c r="M553" s="38"/>
      <c r="N553" s="39"/>
      <c r="O553" s="40"/>
      <c r="P553" s="34"/>
      <c r="Q553" s="35"/>
      <c r="R553" s="35"/>
      <c r="S553" s="35"/>
      <c r="T553" s="35"/>
      <c r="U553" s="35"/>
      <c r="V553" s="35"/>
      <c r="W553" s="35"/>
      <c r="X553" s="35"/>
      <c r="Y553" s="35"/>
      <c r="Z553" s="35"/>
      <c r="AA553" s="35"/>
    </row>
    <row r="554" ht="14.25" customHeight="1">
      <c r="A554" s="83"/>
      <c r="B554" s="84"/>
      <c r="C554" s="120"/>
      <c r="D554" s="117"/>
      <c r="E554" s="117"/>
      <c r="F554" s="117"/>
      <c r="G554" s="135"/>
      <c r="H554" s="88"/>
      <c r="I554" s="36"/>
      <c r="J554" s="37"/>
      <c r="K554" s="38"/>
      <c r="L554" s="39"/>
      <c r="M554" s="38"/>
      <c r="N554" s="39"/>
      <c r="O554" s="40"/>
      <c r="P554" s="34"/>
      <c r="Q554" s="35"/>
      <c r="R554" s="35"/>
      <c r="S554" s="35"/>
      <c r="T554" s="35"/>
      <c r="U554" s="35"/>
      <c r="V554" s="35"/>
      <c r="W554" s="35"/>
      <c r="X554" s="35"/>
      <c r="Y554" s="35"/>
      <c r="Z554" s="35"/>
      <c r="AA554" s="35"/>
    </row>
    <row r="555" ht="14.25" customHeight="1">
      <c r="A555" s="83"/>
      <c r="B555" s="84"/>
      <c r="C555" s="120"/>
      <c r="D555" s="117"/>
      <c r="E555" s="117"/>
      <c r="F555" s="117"/>
      <c r="G555" s="135"/>
      <c r="H555" s="88"/>
      <c r="I555" s="36"/>
      <c r="J555" s="37"/>
      <c r="K555" s="38"/>
      <c r="L555" s="39"/>
      <c r="M555" s="38"/>
      <c r="N555" s="39"/>
      <c r="O555" s="40"/>
      <c r="P555" s="34"/>
      <c r="Q555" s="35"/>
      <c r="R555" s="35"/>
      <c r="S555" s="35"/>
      <c r="T555" s="35"/>
      <c r="U555" s="35"/>
      <c r="V555" s="35"/>
      <c r="W555" s="35"/>
      <c r="X555" s="35"/>
      <c r="Y555" s="35"/>
      <c r="Z555" s="35"/>
      <c r="AA555" s="35"/>
    </row>
    <row r="556" ht="14.25" customHeight="1">
      <c r="A556" s="83"/>
      <c r="B556" s="84"/>
      <c r="C556" s="120"/>
      <c r="D556" s="117"/>
      <c r="E556" s="117"/>
      <c r="F556" s="117"/>
      <c r="G556" s="135"/>
      <c r="H556" s="88"/>
      <c r="I556" s="36"/>
      <c r="J556" s="37"/>
      <c r="K556" s="38"/>
      <c r="L556" s="39"/>
      <c r="M556" s="38"/>
      <c r="N556" s="39"/>
      <c r="O556" s="40"/>
      <c r="P556" s="34"/>
      <c r="Q556" s="35"/>
      <c r="R556" s="35"/>
      <c r="S556" s="35"/>
      <c r="T556" s="35"/>
      <c r="U556" s="35"/>
      <c r="V556" s="35"/>
      <c r="W556" s="35"/>
      <c r="X556" s="35"/>
      <c r="Y556" s="35"/>
      <c r="Z556" s="35"/>
      <c r="AA556" s="35"/>
    </row>
    <row r="557" ht="14.25" customHeight="1">
      <c r="A557" s="83"/>
      <c r="B557" s="84"/>
      <c r="C557" s="120"/>
      <c r="D557" s="117"/>
      <c r="E557" s="117"/>
      <c r="F557" s="117"/>
      <c r="G557" s="135"/>
      <c r="H557" s="88"/>
      <c r="I557" s="36"/>
      <c r="J557" s="37"/>
      <c r="K557" s="38"/>
      <c r="L557" s="39"/>
      <c r="M557" s="38"/>
      <c r="N557" s="39"/>
      <c r="O557" s="40"/>
      <c r="P557" s="34"/>
      <c r="Q557" s="35"/>
      <c r="R557" s="35"/>
      <c r="S557" s="35"/>
      <c r="T557" s="35"/>
      <c r="U557" s="35"/>
      <c r="V557" s="35"/>
      <c r="W557" s="35"/>
      <c r="X557" s="35"/>
      <c r="Y557" s="35"/>
      <c r="Z557" s="35"/>
      <c r="AA557" s="35"/>
    </row>
    <row r="558" ht="14.25" customHeight="1">
      <c r="A558" s="83"/>
      <c r="B558" s="84"/>
      <c r="C558" s="120"/>
      <c r="D558" s="117"/>
      <c r="E558" s="117"/>
      <c r="F558" s="117"/>
      <c r="G558" s="135"/>
      <c r="H558" s="88"/>
      <c r="I558" s="36"/>
      <c r="J558" s="37"/>
      <c r="K558" s="38"/>
      <c r="L558" s="39"/>
      <c r="M558" s="38"/>
      <c r="N558" s="39"/>
      <c r="O558" s="40"/>
      <c r="P558" s="34"/>
      <c r="Q558" s="35"/>
      <c r="R558" s="35"/>
      <c r="S558" s="35"/>
      <c r="T558" s="35"/>
      <c r="U558" s="35"/>
      <c r="V558" s="35"/>
      <c r="W558" s="35"/>
      <c r="X558" s="35"/>
      <c r="Y558" s="35"/>
      <c r="Z558" s="35"/>
      <c r="AA558" s="35"/>
    </row>
    <row r="559" ht="14.25" customHeight="1">
      <c r="A559" s="83"/>
      <c r="B559" s="84"/>
      <c r="C559" s="120"/>
      <c r="D559" s="117"/>
      <c r="E559" s="117"/>
      <c r="F559" s="117"/>
      <c r="G559" s="135"/>
      <c r="H559" s="88"/>
      <c r="I559" s="36"/>
      <c r="J559" s="37"/>
      <c r="K559" s="38"/>
      <c r="L559" s="39"/>
      <c r="M559" s="38"/>
      <c r="N559" s="39"/>
      <c r="O559" s="40"/>
      <c r="P559" s="34"/>
      <c r="Q559" s="35"/>
      <c r="R559" s="35"/>
      <c r="S559" s="35"/>
      <c r="T559" s="35"/>
      <c r="U559" s="35"/>
      <c r="V559" s="35"/>
      <c r="W559" s="35"/>
      <c r="X559" s="35"/>
      <c r="Y559" s="35"/>
      <c r="Z559" s="35"/>
      <c r="AA559" s="35"/>
    </row>
    <row r="560" ht="14.25" customHeight="1">
      <c r="A560" s="83"/>
      <c r="B560" s="84"/>
      <c r="C560" s="120"/>
      <c r="D560" s="117"/>
      <c r="E560" s="117"/>
      <c r="F560" s="117"/>
      <c r="G560" s="135"/>
      <c r="H560" s="88"/>
      <c r="I560" s="36"/>
      <c r="J560" s="37"/>
      <c r="K560" s="38"/>
      <c r="L560" s="39"/>
      <c r="M560" s="38"/>
      <c r="N560" s="39"/>
      <c r="O560" s="40"/>
      <c r="P560" s="34"/>
      <c r="Q560" s="35"/>
      <c r="R560" s="35"/>
      <c r="S560" s="35"/>
      <c r="T560" s="35"/>
      <c r="U560" s="35"/>
      <c r="V560" s="35"/>
      <c r="W560" s="35"/>
      <c r="X560" s="35"/>
      <c r="Y560" s="35"/>
      <c r="Z560" s="35"/>
      <c r="AA560" s="35"/>
    </row>
    <row r="561" ht="14.25" customHeight="1">
      <c r="A561" s="83"/>
      <c r="B561" s="84"/>
      <c r="C561" s="120"/>
      <c r="D561" s="117"/>
      <c r="E561" s="117"/>
      <c r="F561" s="117"/>
      <c r="G561" s="135"/>
      <c r="H561" s="88"/>
      <c r="I561" s="36"/>
      <c r="J561" s="37"/>
      <c r="K561" s="38"/>
      <c r="L561" s="39"/>
      <c r="M561" s="38"/>
      <c r="N561" s="39"/>
      <c r="O561" s="40"/>
      <c r="P561" s="34"/>
      <c r="Q561" s="35"/>
      <c r="R561" s="35"/>
      <c r="S561" s="35"/>
      <c r="T561" s="35"/>
      <c r="U561" s="35"/>
      <c r="V561" s="35"/>
      <c r="W561" s="35"/>
      <c r="X561" s="35"/>
      <c r="Y561" s="35"/>
      <c r="Z561" s="35"/>
      <c r="AA561" s="35"/>
    </row>
    <row r="562" ht="14.25" customHeight="1">
      <c r="A562" s="83"/>
      <c r="B562" s="84"/>
      <c r="C562" s="120"/>
      <c r="D562" s="117"/>
      <c r="E562" s="117"/>
      <c r="F562" s="117"/>
      <c r="G562" s="135"/>
      <c r="H562" s="88"/>
      <c r="I562" s="36"/>
      <c r="J562" s="37"/>
      <c r="K562" s="38"/>
      <c r="L562" s="39"/>
      <c r="M562" s="38"/>
      <c r="N562" s="39"/>
      <c r="O562" s="40"/>
      <c r="P562" s="34"/>
      <c r="Q562" s="35"/>
      <c r="R562" s="35"/>
      <c r="S562" s="35"/>
      <c r="T562" s="35"/>
      <c r="U562" s="35"/>
      <c r="V562" s="35"/>
      <c r="W562" s="35"/>
      <c r="X562" s="35"/>
      <c r="Y562" s="35"/>
      <c r="Z562" s="35"/>
      <c r="AA562" s="35"/>
    </row>
    <row r="563" ht="14.25" customHeight="1">
      <c r="A563" s="83"/>
      <c r="B563" s="84"/>
      <c r="C563" s="120"/>
      <c r="D563" s="117"/>
      <c r="E563" s="117"/>
      <c r="F563" s="117"/>
      <c r="G563" s="135"/>
      <c r="H563" s="88"/>
      <c r="I563" s="36"/>
      <c r="J563" s="37"/>
      <c r="K563" s="38"/>
      <c r="L563" s="39"/>
      <c r="M563" s="38"/>
      <c r="N563" s="39"/>
      <c r="O563" s="40"/>
      <c r="P563" s="34"/>
      <c r="Q563" s="35"/>
      <c r="R563" s="35"/>
      <c r="S563" s="35"/>
      <c r="T563" s="35"/>
      <c r="U563" s="35"/>
      <c r="V563" s="35"/>
      <c r="W563" s="35"/>
      <c r="X563" s="35"/>
      <c r="Y563" s="35"/>
      <c r="Z563" s="35"/>
      <c r="AA563" s="35"/>
    </row>
    <row r="564" ht="14.25" customHeight="1">
      <c r="A564" s="83"/>
      <c r="B564" s="84"/>
      <c r="C564" s="120"/>
      <c r="D564" s="117"/>
      <c r="E564" s="117"/>
      <c r="F564" s="117"/>
      <c r="G564" s="135"/>
      <c r="H564" s="88"/>
      <c r="I564" s="36"/>
      <c r="J564" s="37"/>
      <c r="K564" s="38"/>
      <c r="L564" s="39"/>
      <c r="M564" s="38"/>
      <c r="N564" s="39"/>
      <c r="O564" s="40"/>
      <c r="P564" s="34"/>
      <c r="Q564" s="35"/>
      <c r="R564" s="35"/>
      <c r="S564" s="35"/>
      <c r="T564" s="35"/>
      <c r="U564" s="35"/>
      <c r="V564" s="35"/>
      <c r="W564" s="35"/>
      <c r="X564" s="35"/>
      <c r="Y564" s="35"/>
      <c r="Z564" s="35"/>
      <c r="AA564" s="35"/>
    </row>
    <row r="565" ht="14.25" customHeight="1">
      <c r="A565" s="83"/>
      <c r="B565" s="84"/>
      <c r="C565" s="120"/>
      <c r="D565" s="117"/>
      <c r="E565" s="117"/>
      <c r="F565" s="117"/>
      <c r="G565" s="135"/>
      <c r="H565" s="88"/>
      <c r="I565" s="36"/>
      <c r="J565" s="37"/>
      <c r="K565" s="38"/>
      <c r="L565" s="39"/>
      <c r="M565" s="38"/>
      <c r="N565" s="39"/>
      <c r="O565" s="40"/>
      <c r="P565" s="34"/>
      <c r="Q565" s="35"/>
      <c r="R565" s="35"/>
      <c r="S565" s="35"/>
      <c r="T565" s="35"/>
      <c r="U565" s="35"/>
      <c r="V565" s="35"/>
      <c r="W565" s="35"/>
      <c r="X565" s="35"/>
      <c r="Y565" s="35"/>
      <c r="Z565" s="35"/>
      <c r="AA565" s="35"/>
    </row>
    <row r="566" ht="14.25" customHeight="1">
      <c r="A566" s="83"/>
      <c r="B566" s="84"/>
      <c r="C566" s="120"/>
      <c r="D566" s="117"/>
      <c r="E566" s="117"/>
      <c r="F566" s="117"/>
      <c r="G566" s="135"/>
      <c r="H566" s="88"/>
      <c r="I566" s="36"/>
      <c r="J566" s="37"/>
      <c r="K566" s="38"/>
      <c r="L566" s="39"/>
      <c r="M566" s="38"/>
      <c r="N566" s="39"/>
      <c r="O566" s="40"/>
      <c r="P566" s="34"/>
      <c r="Q566" s="35"/>
      <c r="R566" s="35"/>
      <c r="S566" s="35"/>
      <c r="T566" s="35"/>
      <c r="U566" s="35"/>
      <c r="V566" s="35"/>
      <c r="W566" s="35"/>
      <c r="X566" s="35"/>
      <c r="Y566" s="35"/>
      <c r="Z566" s="35"/>
      <c r="AA566" s="35"/>
    </row>
    <row r="567" ht="14.25" customHeight="1">
      <c r="A567" s="83"/>
      <c r="B567" s="84"/>
      <c r="C567" s="120"/>
      <c r="D567" s="117"/>
      <c r="E567" s="117"/>
      <c r="F567" s="117"/>
      <c r="G567" s="135"/>
      <c r="H567" s="88"/>
      <c r="I567" s="36"/>
      <c r="J567" s="37"/>
      <c r="K567" s="38"/>
      <c r="L567" s="39"/>
      <c r="M567" s="38"/>
      <c r="N567" s="39"/>
      <c r="O567" s="40"/>
      <c r="P567" s="34"/>
      <c r="Q567" s="35"/>
      <c r="R567" s="35"/>
      <c r="S567" s="35"/>
      <c r="T567" s="35"/>
      <c r="U567" s="35"/>
      <c r="V567" s="35"/>
      <c r="W567" s="35"/>
      <c r="X567" s="35"/>
      <c r="Y567" s="35"/>
      <c r="Z567" s="35"/>
      <c r="AA567" s="35"/>
    </row>
    <row r="568" ht="14.25" customHeight="1">
      <c r="A568" s="83"/>
      <c r="B568" s="84"/>
      <c r="C568" s="120"/>
      <c r="D568" s="117"/>
      <c r="E568" s="117"/>
      <c r="F568" s="117"/>
      <c r="G568" s="135"/>
      <c r="H568" s="88"/>
      <c r="I568" s="36"/>
      <c r="J568" s="37"/>
      <c r="K568" s="38"/>
      <c r="L568" s="39"/>
      <c r="M568" s="38"/>
      <c r="N568" s="39"/>
      <c r="O568" s="40"/>
      <c r="P568" s="34"/>
      <c r="Q568" s="35"/>
      <c r="R568" s="35"/>
      <c r="S568" s="35"/>
      <c r="T568" s="35"/>
      <c r="U568" s="35"/>
      <c r="V568" s="35"/>
      <c r="W568" s="35"/>
      <c r="X568" s="35"/>
      <c r="Y568" s="35"/>
      <c r="Z568" s="35"/>
      <c r="AA568" s="35"/>
    </row>
    <row r="569" ht="14.25" customHeight="1">
      <c r="A569" s="83"/>
      <c r="B569" s="84"/>
      <c r="C569" s="120"/>
      <c r="D569" s="117"/>
      <c r="E569" s="117"/>
      <c r="F569" s="117"/>
      <c r="G569" s="135"/>
      <c r="H569" s="88"/>
      <c r="I569" s="36"/>
      <c r="J569" s="37"/>
      <c r="K569" s="38"/>
      <c r="L569" s="39"/>
      <c r="M569" s="38"/>
      <c r="N569" s="39"/>
      <c r="O569" s="40"/>
      <c r="P569" s="34"/>
      <c r="Q569" s="35"/>
      <c r="R569" s="35"/>
      <c r="S569" s="35"/>
      <c r="T569" s="35"/>
      <c r="U569" s="35"/>
      <c r="V569" s="35"/>
      <c r="W569" s="35"/>
      <c r="X569" s="35"/>
      <c r="Y569" s="35"/>
      <c r="Z569" s="35"/>
      <c r="AA569" s="35"/>
    </row>
    <row r="570" ht="14.25" customHeight="1">
      <c r="A570" s="83"/>
      <c r="B570" s="84"/>
      <c r="C570" s="120"/>
      <c r="D570" s="117"/>
      <c r="E570" s="117"/>
      <c r="F570" s="117"/>
      <c r="G570" s="135"/>
      <c r="H570" s="88"/>
      <c r="I570" s="36"/>
      <c r="J570" s="37"/>
      <c r="K570" s="38"/>
      <c r="L570" s="39"/>
      <c r="M570" s="38"/>
      <c r="N570" s="39"/>
      <c r="O570" s="40"/>
      <c r="P570" s="34"/>
      <c r="Q570" s="35"/>
      <c r="R570" s="35"/>
      <c r="S570" s="35"/>
      <c r="T570" s="35"/>
      <c r="U570" s="35"/>
      <c r="V570" s="35"/>
      <c r="W570" s="35"/>
      <c r="X570" s="35"/>
      <c r="Y570" s="35"/>
      <c r="Z570" s="35"/>
      <c r="AA570" s="35"/>
    </row>
    <row r="571" ht="14.25" customHeight="1">
      <c r="A571" s="83"/>
      <c r="B571" s="84"/>
      <c r="C571" s="120"/>
      <c r="D571" s="117"/>
      <c r="E571" s="117"/>
      <c r="F571" s="117"/>
      <c r="G571" s="135"/>
      <c r="H571" s="88"/>
      <c r="I571" s="36"/>
      <c r="J571" s="37"/>
      <c r="K571" s="38"/>
      <c r="L571" s="39"/>
      <c r="M571" s="38"/>
      <c r="N571" s="39"/>
      <c r="O571" s="40"/>
      <c r="P571" s="34"/>
      <c r="Q571" s="35"/>
      <c r="R571" s="35"/>
      <c r="S571" s="35"/>
      <c r="T571" s="35"/>
      <c r="U571" s="35"/>
      <c r="V571" s="35"/>
      <c r="W571" s="35"/>
      <c r="X571" s="35"/>
      <c r="Y571" s="35"/>
      <c r="Z571" s="35"/>
      <c r="AA571" s="35"/>
    </row>
    <row r="572" ht="14.25" customHeight="1">
      <c r="A572" s="83"/>
      <c r="B572" s="84"/>
      <c r="C572" s="120"/>
      <c r="D572" s="117"/>
      <c r="E572" s="117"/>
      <c r="F572" s="117"/>
      <c r="G572" s="135"/>
      <c r="H572" s="88"/>
      <c r="I572" s="36"/>
      <c r="J572" s="37"/>
      <c r="K572" s="38"/>
      <c r="L572" s="39"/>
      <c r="M572" s="38"/>
      <c r="N572" s="39"/>
      <c r="O572" s="40"/>
      <c r="P572" s="34"/>
      <c r="Q572" s="35"/>
      <c r="R572" s="35"/>
      <c r="S572" s="35"/>
      <c r="T572" s="35"/>
      <c r="U572" s="35"/>
      <c r="V572" s="35"/>
      <c r="W572" s="35"/>
      <c r="X572" s="35"/>
      <c r="Y572" s="35"/>
      <c r="Z572" s="35"/>
      <c r="AA572" s="35"/>
    </row>
    <row r="573" ht="14.25" customHeight="1">
      <c r="A573" s="83"/>
      <c r="B573" s="84"/>
      <c r="C573" s="120"/>
      <c r="D573" s="117"/>
      <c r="E573" s="117"/>
      <c r="F573" s="117"/>
      <c r="G573" s="135"/>
      <c r="H573" s="88"/>
      <c r="I573" s="36"/>
      <c r="J573" s="37"/>
      <c r="K573" s="38"/>
      <c r="L573" s="39"/>
      <c r="M573" s="38"/>
      <c r="N573" s="39"/>
      <c r="O573" s="40"/>
      <c r="P573" s="34"/>
      <c r="Q573" s="35"/>
      <c r="R573" s="35"/>
      <c r="S573" s="35"/>
      <c r="T573" s="35"/>
      <c r="U573" s="35"/>
      <c r="V573" s="35"/>
      <c r="W573" s="35"/>
      <c r="X573" s="35"/>
      <c r="Y573" s="35"/>
      <c r="Z573" s="35"/>
      <c r="AA573" s="35"/>
    </row>
    <row r="574" ht="14.25" customHeight="1">
      <c r="A574" s="83"/>
      <c r="B574" s="84"/>
      <c r="C574" s="120"/>
      <c r="D574" s="117"/>
      <c r="E574" s="117"/>
      <c r="F574" s="117"/>
      <c r="G574" s="135"/>
      <c r="H574" s="88"/>
      <c r="I574" s="36"/>
      <c r="J574" s="37"/>
      <c r="K574" s="38"/>
      <c r="L574" s="39"/>
      <c r="M574" s="38"/>
      <c r="N574" s="39"/>
      <c r="O574" s="40"/>
      <c r="P574" s="34"/>
      <c r="Q574" s="35"/>
      <c r="R574" s="35"/>
      <c r="S574" s="35"/>
      <c r="T574" s="35"/>
      <c r="U574" s="35"/>
      <c r="V574" s="35"/>
      <c r="W574" s="35"/>
      <c r="X574" s="35"/>
      <c r="Y574" s="35"/>
      <c r="Z574" s="35"/>
      <c r="AA574" s="35"/>
    </row>
    <row r="575" ht="14.25" customHeight="1">
      <c r="A575" s="83"/>
      <c r="B575" s="84"/>
      <c r="C575" s="120"/>
      <c r="D575" s="117"/>
      <c r="E575" s="117"/>
      <c r="F575" s="117"/>
      <c r="G575" s="135"/>
      <c r="H575" s="88"/>
      <c r="I575" s="36"/>
      <c r="J575" s="37"/>
      <c r="K575" s="38"/>
      <c r="L575" s="39"/>
      <c r="M575" s="38"/>
      <c r="N575" s="39"/>
      <c r="O575" s="40"/>
      <c r="P575" s="34"/>
      <c r="Q575" s="35"/>
      <c r="R575" s="35"/>
      <c r="S575" s="35"/>
      <c r="T575" s="35"/>
      <c r="U575" s="35"/>
      <c r="V575" s="35"/>
      <c r="W575" s="35"/>
      <c r="X575" s="35"/>
      <c r="Y575" s="35"/>
      <c r="Z575" s="35"/>
      <c r="AA575" s="35"/>
    </row>
    <row r="576" ht="14.25" customHeight="1">
      <c r="A576" s="83"/>
      <c r="B576" s="84"/>
      <c r="C576" s="120"/>
      <c r="D576" s="117"/>
      <c r="E576" s="117"/>
      <c r="F576" s="117"/>
      <c r="G576" s="135"/>
      <c r="H576" s="88"/>
      <c r="I576" s="36"/>
      <c r="J576" s="37"/>
      <c r="K576" s="38"/>
      <c r="L576" s="39"/>
      <c r="M576" s="38"/>
      <c r="N576" s="39"/>
      <c r="O576" s="40"/>
      <c r="P576" s="34"/>
      <c r="Q576" s="35"/>
      <c r="R576" s="35"/>
      <c r="S576" s="35"/>
      <c r="T576" s="35"/>
      <c r="U576" s="35"/>
      <c r="V576" s="35"/>
      <c r="W576" s="35"/>
      <c r="X576" s="35"/>
      <c r="Y576" s="35"/>
      <c r="Z576" s="35"/>
      <c r="AA576" s="35"/>
    </row>
    <row r="577" ht="14.25" customHeight="1">
      <c r="A577" s="83"/>
      <c r="B577" s="84"/>
      <c r="C577" s="120"/>
      <c r="D577" s="117"/>
      <c r="E577" s="117"/>
      <c r="F577" s="117"/>
      <c r="G577" s="135"/>
      <c r="H577" s="88"/>
      <c r="I577" s="36"/>
      <c r="J577" s="37"/>
      <c r="K577" s="38"/>
      <c r="L577" s="39"/>
      <c r="M577" s="38"/>
      <c r="N577" s="39"/>
      <c r="O577" s="40"/>
      <c r="P577" s="34"/>
      <c r="Q577" s="35"/>
      <c r="R577" s="35"/>
      <c r="S577" s="35"/>
      <c r="T577" s="35"/>
      <c r="U577" s="35"/>
      <c r="V577" s="35"/>
      <c r="W577" s="35"/>
      <c r="X577" s="35"/>
      <c r="Y577" s="35"/>
      <c r="Z577" s="35"/>
      <c r="AA577" s="35"/>
    </row>
    <row r="578" ht="14.25" customHeight="1">
      <c r="A578" s="83"/>
      <c r="B578" s="84"/>
      <c r="C578" s="120"/>
      <c r="D578" s="117"/>
      <c r="E578" s="117"/>
      <c r="F578" s="117"/>
      <c r="G578" s="135"/>
      <c r="H578" s="88"/>
      <c r="I578" s="36"/>
      <c r="J578" s="37"/>
      <c r="K578" s="38"/>
      <c r="L578" s="39"/>
      <c r="M578" s="38"/>
      <c r="N578" s="39"/>
      <c r="O578" s="40"/>
      <c r="P578" s="34"/>
      <c r="Q578" s="35"/>
      <c r="R578" s="35"/>
      <c r="S578" s="35"/>
      <c r="T578" s="35"/>
      <c r="U578" s="35"/>
      <c r="V578" s="35"/>
      <c r="W578" s="35"/>
      <c r="X578" s="35"/>
      <c r="Y578" s="35"/>
      <c r="Z578" s="35"/>
      <c r="AA578" s="35"/>
    </row>
    <row r="579" ht="14.25" customHeight="1">
      <c r="A579" s="83"/>
      <c r="B579" s="84"/>
      <c r="C579" s="120"/>
      <c r="D579" s="117"/>
      <c r="E579" s="117"/>
      <c r="F579" s="117"/>
      <c r="G579" s="135"/>
      <c r="H579" s="88"/>
      <c r="I579" s="36"/>
      <c r="J579" s="37"/>
      <c r="K579" s="38"/>
      <c r="L579" s="39"/>
      <c r="M579" s="38"/>
      <c r="N579" s="39"/>
      <c r="O579" s="40"/>
      <c r="P579" s="34"/>
      <c r="Q579" s="35"/>
      <c r="R579" s="35"/>
      <c r="S579" s="35"/>
      <c r="T579" s="35"/>
      <c r="U579" s="35"/>
      <c r="V579" s="35"/>
      <c r="W579" s="35"/>
      <c r="X579" s="35"/>
      <c r="Y579" s="35"/>
      <c r="Z579" s="35"/>
      <c r="AA579" s="35"/>
    </row>
    <row r="580" ht="14.25" customHeight="1">
      <c r="A580" s="83"/>
      <c r="B580" s="84"/>
      <c r="C580" s="120"/>
      <c r="D580" s="117"/>
      <c r="E580" s="117"/>
      <c r="F580" s="117"/>
      <c r="G580" s="135"/>
      <c r="H580" s="88"/>
      <c r="I580" s="36"/>
      <c r="J580" s="37"/>
      <c r="K580" s="38"/>
      <c r="L580" s="39"/>
      <c r="M580" s="38"/>
      <c r="N580" s="39"/>
      <c r="O580" s="40"/>
      <c r="P580" s="34"/>
      <c r="Q580" s="35"/>
      <c r="R580" s="35"/>
      <c r="S580" s="35"/>
      <c r="T580" s="35"/>
      <c r="U580" s="35"/>
      <c r="V580" s="35"/>
      <c r="W580" s="35"/>
      <c r="X580" s="35"/>
      <c r="Y580" s="35"/>
      <c r="Z580" s="35"/>
      <c r="AA580" s="35"/>
    </row>
    <row r="581" ht="14.25" customHeight="1">
      <c r="A581" s="83"/>
      <c r="B581" s="84"/>
      <c r="C581" s="120"/>
      <c r="D581" s="117"/>
      <c r="E581" s="117"/>
      <c r="F581" s="117"/>
      <c r="G581" s="135"/>
      <c r="H581" s="88"/>
      <c r="I581" s="36"/>
      <c r="J581" s="37"/>
      <c r="K581" s="38"/>
      <c r="L581" s="39"/>
      <c r="M581" s="38"/>
      <c r="N581" s="39"/>
      <c r="O581" s="40"/>
      <c r="P581" s="34"/>
      <c r="Q581" s="35"/>
      <c r="R581" s="35"/>
      <c r="S581" s="35"/>
      <c r="T581" s="35"/>
      <c r="U581" s="35"/>
      <c r="V581" s="35"/>
      <c r="W581" s="35"/>
      <c r="X581" s="35"/>
      <c r="Y581" s="35"/>
      <c r="Z581" s="35"/>
      <c r="AA581" s="35"/>
    </row>
    <row r="582" ht="14.25" customHeight="1">
      <c r="A582" s="83"/>
      <c r="B582" s="84"/>
      <c r="C582" s="120"/>
      <c r="D582" s="117"/>
      <c r="E582" s="117"/>
      <c r="F582" s="117"/>
      <c r="G582" s="135"/>
      <c r="H582" s="88"/>
      <c r="I582" s="36"/>
      <c r="J582" s="37"/>
      <c r="K582" s="38"/>
      <c r="L582" s="39"/>
      <c r="M582" s="38"/>
      <c r="N582" s="39"/>
      <c r="O582" s="40"/>
      <c r="P582" s="34"/>
      <c r="Q582" s="35"/>
      <c r="R582" s="35"/>
      <c r="S582" s="35"/>
      <c r="T582" s="35"/>
      <c r="U582" s="35"/>
      <c r="V582" s="35"/>
      <c r="W582" s="35"/>
      <c r="X582" s="35"/>
      <c r="Y582" s="35"/>
      <c r="Z582" s="35"/>
      <c r="AA582" s="35"/>
    </row>
    <row r="583" ht="14.25" customHeight="1">
      <c r="A583" s="83"/>
      <c r="B583" s="84"/>
      <c r="C583" s="120"/>
      <c r="D583" s="117"/>
      <c r="E583" s="117"/>
      <c r="F583" s="117"/>
      <c r="G583" s="135"/>
      <c r="H583" s="88"/>
      <c r="I583" s="36"/>
      <c r="J583" s="37"/>
      <c r="K583" s="38"/>
      <c r="L583" s="39"/>
      <c r="M583" s="38"/>
      <c r="N583" s="39"/>
      <c r="O583" s="40"/>
      <c r="P583" s="34"/>
      <c r="Q583" s="35"/>
      <c r="R583" s="35"/>
      <c r="S583" s="35"/>
      <c r="T583" s="35"/>
      <c r="U583" s="35"/>
      <c r="V583" s="35"/>
      <c r="W583" s="35"/>
      <c r="X583" s="35"/>
      <c r="Y583" s="35"/>
      <c r="Z583" s="35"/>
      <c r="AA583" s="35"/>
    </row>
    <row r="584" ht="14.25" customHeight="1">
      <c r="A584" s="83"/>
      <c r="B584" s="84"/>
      <c r="C584" s="120"/>
      <c r="D584" s="117"/>
      <c r="E584" s="117"/>
      <c r="F584" s="117"/>
      <c r="G584" s="135"/>
      <c r="H584" s="88"/>
      <c r="I584" s="36"/>
      <c r="J584" s="37"/>
      <c r="K584" s="38"/>
      <c r="L584" s="39"/>
      <c r="M584" s="38"/>
      <c r="N584" s="39"/>
      <c r="O584" s="40"/>
      <c r="P584" s="34"/>
      <c r="Q584" s="35"/>
      <c r="R584" s="35"/>
      <c r="S584" s="35"/>
      <c r="T584" s="35"/>
      <c r="U584" s="35"/>
      <c r="V584" s="35"/>
      <c r="W584" s="35"/>
      <c r="X584" s="35"/>
      <c r="Y584" s="35"/>
      <c r="Z584" s="35"/>
      <c r="AA584" s="35"/>
    </row>
    <row r="585" ht="14.25" customHeight="1">
      <c r="A585" s="83"/>
      <c r="B585" s="84"/>
      <c r="C585" s="120"/>
      <c r="D585" s="117"/>
      <c r="E585" s="117"/>
      <c r="F585" s="117"/>
      <c r="G585" s="135"/>
      <c r="H585" s="88"/>
      <c r="I585" s="36"/>
      <c r="J585" s="37"/>
      <c r="K585" s="38"/>
      <c r="L585" s="39"/>
      <c r="M585" s="38"/>
      <c r="N585" s="39"/>
      <c r="O585" s="40"/>
      <c r="P585" s="34"/>
      <c r="Q585" s="35"/>
      <c r="R585" s="35"/>
      <c r="S585" s="35"/>
      <c r="T585" s="35"/>
      <c r="U585" s="35"/>
      <c r="V585" s="35"/>
      <c r="W585" s="35"/>
      <c r="X585" s="35"/>
      <c r="Y585" s="35"/>
      <c r="Z585" s="35"/>
      <c r="AA585" s="35"/>
    </row>
    <row r="586" ht="14.25" customHeight="1">
      <c r="A586" s="83"/>
      <c r="B586" s="84"/>
      <c r="C586" s="120"/>
      <c r="D586" s="117"/>
      <c r="E586" s="117"/>
      <c r="F586" s="117"/>
      <c r="G586" s="135"/>
      <c r="H586" s="88"/>
      <c r="I586" s="36"/>
      <c r="J586" s="37"/>
      <c r="K586" s="38"/>
      <c r="L586" s="39"/>
      <c r="M586" s="38"/>
      <c r="N586" s="39"/>
      <c r="O586" s="40"/>
      <c r="P586" s="34"/>
      <c r="Q586" s="35"/>
      <c r="R586" s="35"/>
      <c r="S586" s="35"/>
      <c r="T586" s="35"/>
      <c r="U586" s="35"/>
      <c r="V586" s="35"/>
      <c r="W586" s="35"/>
      <c r="X586" s="35"/>
      <c r="Y586" s="35"/>
      <c r="Z586" s="35"/>
      <c r="AA586" s="35"/>
    </row>
    <row r="587" ht="14.25" customHeight="1">
      <c r="A587" s="83"/>
      <c r="B587" s="84"/>
      <c r="C587" s="120"/>
      <c r="D587" s="117"/>
      <c r="E587" s="117"/>
      <c r="F587" s="117"/>
      <c r="G587" s="135"/>
      <c r="H587" s="88"/>
      <c r="I587" s="36"/>
      <c r="J587" s="37"/>
      <c r="K587" s="38"/>
      <c r="L587" s="39"/>
      <c r="M587" s="38"/>
      <c r="N587" s="39"/>
      <c r="O587" s="40"/>
      <c r="P587" s="34"/>
      <c r="Q587" s="35"/>
      <c r="R587" s="35"/>
      <c r="S587" s="35"/>
      <c r="T587" s="35"/>
      <c r="U587" s="35"/>
      <c r="V587" s="35"/>
      <c r="W587" s="35"/>
      <c r="X587" s="35"/>
      <c r="Y587" s="35"/>
      <c r="Z587" s="35"/>
      <c r="AA587" s="35"/>
    </row>
    <row r="588" ht="14.25" customHeight="1">
      <c r="A588" s="83"/>
      <c r="B588" s="84"/>
      <c r="C588" s="120"/>
      <c r="D588" s="117"/>
      <c r="E588" s="117"/>
      <c r="F588" s="117"/>
      <c r="G588" s="135"/>
      <c r="H588" s="88"/>
      <c r="I588" s="36"/>
      <c r="J588" s="37"/>
      <c r="K588" s="38"/>
      <c r="L588" s="39"/>
      <c r="M588" s="38"/>
      <c r="N588" s="39"/>
      <c r="O588" s="40"/>
      <c r="P588" s="34"/>
      <c r="Q588" s="35"/>
      <c r="R588" s="35"/>
      <c r="S588" s="35"/>
      <c r="T588" s="35"/>
      <c r="U588" s="35"/>
      <c r="V588" s="35"/>
      <c r="W588" s="35"/>
      <c r="X588" s="35"/>
      <c r="Y588" s="35"/>
      <c r="Z588" s="35"/>
      <c r="AA588" s="35"/>
    </row>
    <row r="589" ht="14.25" customHeight="1">
      <c r="A589" s="83"/>
      <c r="B589" s="84"/>
      <c r="C589" s="120"/>
      <c r="D589" s="117"/>
      <c r="E589" s="117"/>
      <c r="F589" s="117"/>
      <c r="G589" s="135"/>
      <c r="H589" s="88"/>
      <c r="I589" s="36"/>
      <c r="J589" s="37"/>
      <c r="K589" s="38"/>
      <c r="L589" s="39"/>
      <c r="M589" s="38"/>
      <c r="N589" s="39"/>
      <c r="O589" s="40"/>
      <c r="P589" s="34"/>
      <c r="Q589" s="35"/>
      <c r="R589" s="35"/>
      <c r="S589" s="35"/>
      <c r="T589" s="35"/>
      <c r="U589" s="35"/>
      <c r="V589" s="35"/>
      <c r="W589" s="35"/>
      <c r="X589" s="35"/>
      <c r="Y589" s="35"/>
      <c r="Z589" s="35"/>
      <c r="AA589" s="35"/>
    </row>
    <row r="590" ht="14.25" customHeight="1">
      <c r="A590" s="83"/>
      <c r="B590" s="84"/>
      <c r="C590" s="120"/>
      <c r="D590" s="117"/>
      <c r="E590" s="117"/>
      <c r="F590" s="117"/>
      <c r="G590" s="135"/>
      <c r="H590" s="88"/>
      <c r="I590" s="36"/>
      <c r="J590" s="37"/>
      <c r="K590" s="38"/>
      <c r="L590" s="39"/>
      <c r="M590" s="38"/>
      <c r="N590" s="39"/>
      <c r="O590" s="40"/>
      <c r="P590" s="34"/>
      <c r="Q590" s="35"/>
      <c r="R590" s="35"/>
      <c r="S590" s="35"/>
      <c r="T590" s="35"/>
      <c r="U590" s="35"/>
      <c r="V590" s="35"/>
      <c r="W590" s="35"/>
      <c r="X590" s="35"/>
      <c r="Y590" s="35"/>
      <c r="Z590" s="35"/>
      <c r="AA590" s="35"/>
    </row>
    <row r="591" ht="14.25" customHeight="1">
      <c r="A591" s="83"/>
      <c r="B591" s="84"/>
      <c r="C591" s="120"/>
      <c r="D591" s="117"/>
      <c r="E591" s="117"/>
      <c r="F591" s="117"/>
      <c r="G591" s="135"/>
      <c r="H591" s="88"/>
      <c r="I591" s="36"/>
      <c r="J591" s="37"/>
      <c r="K591" s="38"/>
      <c r="L591" s="39"/>
      <c r="M591" s="38"/>
      <c r="N591" s="39"/>
      <c r="O591" s="40"/>
      <c r="P591" s="34"/>
      <c r="Q591" s="35"/>
      <c r="R591" s="35"/>
      <c r="S591" s="35"/>
      <c r="T591" s="35"/>
      <c r="U591" s="35"/>
      <c r="V591" s="35"/>
      <c r="W591" s="35"/>
      <c r="X591" s="35"/>
      <c r="Y591" s="35"/>
      <c r="Z591" s="35"/>
      <c r="AA591" s="35"/>
    </row>
    <row r="592" ht="14.25" customHeight="1">
      <c r="A592" s="83"/>
      <c r="B592" s="84"/>
      <c r="C592" s="120"/>
      <c r="D592" s="117"/>
      <c r="E592" s="117"/>
      <c r="F592" s="117"/>
      <c r="G592" s="135"/>
      <c r="H592" s="88"/>
      <c r="I592" s="36"/>
      <c r="J592" s="37"/>
      <c r="K592" s="38"/>
      <c r="L592" s="39"/>
      <c r="M592" s="38"/>
      <c r="N592" s="39"/>
      <c r="O592" s="40"/>
      <c r="P592" s="34"/>
      <c r="Q592" s="35"/>
      <c r="R592" s="35"/>
      <c r="S592" s="35"/>
      <c r="T592" s="35"/>
      <c r="U592" s="35"/>
      <c r="V592" s="35"/>
      <c r="W592" s="35"/>
      <c r="X592" s="35"/>
      <c r="Y592" s="35"/>
      <c r="Z592" s="35"/>
      <c r="AA592" s="35"/>
    </row>
    <row r="593" ht="14.25" customHeight="1">
      <c r="A593" s="83"/>
      <c r="B593" s="84"/>
      <c r="C593" s="120"/>
      <c r="D593" s="117"/>
      <c r="E593" s="117"/>
      <c r="F593" s="117"/>
      <c r="G593" s="135"/>
      <c r="H593" s="88"/>
      <c r="I593" s="36"/>
      <c r="J593" s="37"/>
      <c r="K593" s="38"/>
      <c r="L593" s="39"/>
      <c r="M593" s="38"/>
      <c r="N593" s="39"/>
      <c r="O593" s="40"/>
      <c r="P593" s="34"/>
      <c r="Q593" s="35"/>
      <c r="R593" s="35"/>
      <c r="S593" s="35"/>
      <c r="T593" s="35"/>
      <c r="U593" s="35"/>
      <c r="V593" s="35"/>
      <c r="W593" s="35"/>
      <c r="X593" s="35"/>
      <c r="Y593" s="35"/>
      <c r="Z593" s="35"/>
      <c r="AA593" s="35"/>
    </row>
    <row r="594" ht="14.25" customHeight="1">
      <c r="A594" s="83"/>
      <c r="B594" s="84"/>
      <c r="C594" s="120"/>
      <c r="D594" s="117"/>
      <c r="E594" s="117"/>
      <c r="F594" s="117"/>
      <c r="G594" s="135"/>
      <c r="H594" s="88"/>
      <c r="I594" s="36"/>
      <c r="J594" s="37"/>
      <c r="K594" s="38"/>
      <c r="L594" s="39"/>
      <c r="M594" s="38"/>
      <c r="N594" s="39"/>
      <c r="O594" s="40"/>
      <c r="P594" s="34"/>
      <c r="Q594" s="35"/>
      <c r="R594" s="35"/>
      <c r="S594" s="35"/>
      <c r="T594" s="35"/>
      <c r="U594" s="35"/>
      <c r="V594" s="35"/>
      <c r="W594" s="35"/>
      <c r="X594" s="35"/>
      <c r="Y594" s="35"/>
      <c r="Z594" s="35"/>
      <c r="AA594" s="35"/>
    </row>
    <row r="595" ht="14.25" customHeight="1">
      <c r="A595" s="83"/>
      <c r="B595" s="84"/>
      <c r="C595" s="120"/>
      <c r="D595" s="117"/>
      <c r="E595" s="117"/>
      <c r="F595" s="117"/>
      <c r="G595" s="135"/>
      <c r="H595" s="88"/>
      <c r="I595" s="36"/>
      <c r="J595" s="37"/>
      <c r="K595" s="38"/>
      <c r="L595" s="39"/>
      <c r="M595" s="38"/>
      <c r="N595" s="39"/>
      <c r="O595" s="40"/>
      <c r="P595" s="34"/>
      <c r="Q595" s="35"/>
      <c r="R595" s="35"/>
      <c r="S595" s="35"/>
      <c r="T595" s="35"/>
      <c r="U595" s="35"/>
      <c r="V595" s="35"/>
      <c r="W595" s="35"/>
      <c r="X595" s="35"/>
      <c r="Y595" s="35"/>
      <c r="Z595" s="35"/>
      <c r="AA595" s="35"/>
    </row>
    <row r="596" ht="14.25" customHeight="1">
      <c r="A596" s="83"/>
      <c r="B596" s="84"/>
      <c r="C596" s="120"/>
      <c r="D596" s="117"/>
      <c r="E596" s="117"/>
      <c r="F596" s="117"/>
      <c r="G596" s="135"/>
      <c r="H596" s="88"/>
      <c r="I596" s="36"/>
      <c r="J596" s="37"/>
      <c r="K596" s="38"/>
      <c r="L596" s="39"/>
      <c r="M596" s="38"/>
      <c r="N596" s="39"/>
      <c r="O596" s="40"/>
      <c r="P596" s="34"/>
      <c r="Q596" s="35"/>
      <c r="R596" s="35"/>
      <c r="S596" s="35"/>
      <c r="T596" s="35"/>
      <c r="U596" s="35"/>
      <c r="V596" s="35"/>
      <c r="W596" s="35"/>
      <c r="X596" s="35"/>
      <c r="Y596" s="35"/>
      <c r="Z596" s="35"/>
      <c r="AA596" s="35"/>
    </row>
    <row r="597" ht="14.25" customHeight="1">
      <c r="A597" s="83"/>
      <c r="B597" s="84"/>
      <c r="C597" s="120"/>
      <c r="D597" s="117"/>
      <c r="E597" s="117"/>
      <c r="F597" s="117"/>
      <c r="G597" s="135"/>
      <c r="H597" s="88"/>
      <c r="I597" s="36"/>
      <c r="J597" s="37"/>
      <c r="K597" s="38"/>
      <c r="L597" s="39"/>
      <c r="M597" s="38"/>
      <c r="N597" s="39"/>
      <c r="O597" s="40"/>
      <c r="P597" s="34"/>
      <c r="Q597" s="35"/>
      <c r="R597" s="35"/>
      <c r="S597" s="35"/>
      <c r="T597" s="35"/>
      <c r="U597" s="35"/>
      <c r="V597" s="35"/>
      <c r="W597" s="35"/>
      <c r="X597" s="35"/>
      <c r="Y597" s="35"/>
      <c r="Z597" s="35"/>
      <c r="AA597" s="35"/>
    </row>
    <row r="598" ht="14.25" customHeight="1">
      <c r="A598" s="83"/>
      <c r="B598" s="84"/>
      <c r="C598" s="120"/>
      <c r="D598" s="117"/>
      <c r="E598" s="117"/>
      <c r="F598" s="117"/>
      <c r="G598" s="135"/>
      <c r="H598" s="88"/>
      <c r="I598" s="36"/>
      <c r="J598" s="37"/>
      <c r="K598" s="38"/>
      <c r="L598" s="39"/>
      <c r="M598" s="38"/>
      <c r="N598" s="39"/>
      <c r="O598" s="40"/>
      <c r="P598" s="34"/>
      <c r="Q598" s="35"/>
      <c r="R598" s="35"/>
      <c r="S598" s="35"/>
      <c r="T598" s="35"/>
      <c r="U598" s="35"/>
      <c r="V598" s="35"/>
      <c r="W598" s="35"/>
      <c r="X598" s="35"/>
      <c r="Y598" s="35"/>
      <c r="Z598" s="35"/>
      <c r="AA598" s="35"/>
    </row>
    <row r="599" ht="14.25" customHeight="1">
      <c r="A599" s="83"/>
      <c r="B599" s="84"/>
      <c r="C599" s="120"/>
      <c r="D599" s="117"/>
      <c r="E599" s="117"/>
      <c r="F599" s="117"/>
      <c r="G599" s="135"/>
      <c r="H599" s="88"/>
      <c r="I599" s="36"/>
      <c r="J599" s="37"/>
      <c r="K599" s="38"/>
      <c r="L599" s="39"/>
      <c r="M599" s="38"/>
      <c r="N599" s="39"/>
      <c r="O599" s="40"/>
      <c r="P599" s="34"/>
      <c r="Q599" s="35"/>
      <c r="R599" s="35"/>
      <c r="S599" s="35"/>
      <c r="T599" s="35"/>
      <c r="U599" s="35"/>
      <c r="V599" s="35"/>
      <c r="W599" s="35"/>
      <c r="X599" s="35"/>
      <c r="Y599" s="35"/>
      <c r="Z599" s="35"/>
      <c r="AA599" s="35"/>
    </row>
    <row r="600" ht="14.25" customHeight="1">
      <c r="A600" s="136"/>
      <c r="B600" s="137"/>
      <c r="C600" s="138"/>
      <c r="D600" s="136"/>
      <c r="E600" s="136"/>
      <c r="F600" s="136"/>
      <c r="G600" s="139"/>
      <c r="H600" s="140"/>
      <c r="I600" s="141"/>
      <c r="J600" s="141"/>
      <c r="K600" s="142"/>
      <c r="L600" s="142"/>
      <c r="M600" s="142"/>
      <c r="N600" s="142"/>
      <c r="O600" s="136"/>
      <c r="P600" s="34"/>
      <c r="Q600" s="35"/>
      <c r="R600" s="35"/>
      <c r="S600" s="35"/>
      <c r="T600" s="35"/>
      <c r="U600" s="35"/>
      <c r="V600" s="35"/>
      <c r="W600" s="35"/>
      <c r="X600" s="35"/>
      <c r="Y600" s="35"/>
      <c r="Z600" s="35"/>
      <c r="AA600" s="35"/>
    </row>
    <row r="601" ht="14.25" customHeight="1">
      <c r="A601" s="136"/>
      <c r="B601" s="137"/>
      <c r="C601" s="138"/>
      <c r="D601" s="136"/>
      <c r="E601" s="136"/>
      <c r="F601" s="136"/>
      <c r="G601" s="139"/>
      <c r="H601" s="140"/>
      <c r="I601" s="141"/>
      <c r="J601" s="141"/>
      <c r="K601" s="142"/>
      <c r="L601" s="142"/>
      <c r="M601" s="142"/>
      <c r="N601" s="142"/>
      <c r="O601" s="136"/>
      <c r="P601" s="34"/>
      <c r="Q601" s="35"/>
      <c r="R601" s="35"/>
      <c r="S601" s="35"/>
      <c r="T601" s="35"/>
      <c r="U601" s="35"/>
      <c r="V601" s="35"/>
      <c r="W601" s="35"/>
      <c r="X601" s="35"/>
      <c r="Y601" s="35"/>
      <c r="Z601" s="35"/>
      <c r="AA601" s="35"/>
    </row>
    <row r="602" ht="14.25" customHeight="1">
      <c r="A602" s="136"/>
      <c r="B602" s="137"/>
      <c r="C602" s="138"/>
      <c r="D602" s="136"/>
      <c r="E602" s="136"/>
      <c r="F602" s="136"/>
      <c r="G602" s="139"/>
      <c r="H602" s="140"/>
      <c r="I602" s="141"/>
      <c r="J602" s="141"/>
      <c r="K602" s="142"/>
      <c r="L602" s="142"/>
      <c r="M602" s="142"/>
      <c r="N602" s="142"/>
      <c r="O602" s="136"/>
      <c r="P602" s="34"/>
      <c r="Q602" s="35"/>
      <c r="R602" s="35"/>
      <c r="S602" s="35"/>
      <c r="T602" s="35"/>
      <c r="U602" s="35"/>
      <c r="V602" s="35"/>
      <c r="W602" s="35"/>
      <c r="X602" s="35"/>
      <c r="Y602" s="35"/>
      <c r="Z602" s="35"/>
      <c r="AA602" s="35"/>
    </row>
    <row r="603" ht="14.25" customHeight="1">
      <c r="A603" s="136"/>
      <c r="B603" s="137"/>
      <c r="C603" s="138"/>
      <c r="D603" s="136"/>
      <c r="E603" s="136"/>
      <c r="F603" s="136"/>
      <c r="G603" s="139"/>
      <c r="H603" s="140"/>
      <c r="I603" s="141"/>
      <c r="J603" s="141"/>
      <c r="K603" s="142"/>
      <c r="L603" s="142"/>
      <c r="M603" s="142"/>
      <c r="N603" s="142"/>
      <c r="O603" s="136"/>
      <c r="P603" s="34"/>
      <c r="Q603" s="35"/>
      <c r="R603" s="35"/>
      <c r="S603" s="35"/>
      <c r="T603" s="35"/>
      <c r="U603" s="35"/>
      <c r="V603" s="35"/>
      <c r="W603" s="35"/>
      <c r="X603" s="35"/>
      <c r="Y603" s="35"/>
      <c r="Z603" s="35"/>
      <c r="AA603" s="35"/>
    </row>
    <row r="604" ht="14.25" customHeight="1">
      <c r="A604" s="136"/>
      <c r="B604" s="137"/>
      <c r="C604" s="138"/>
      <c r="D604" s="136"/>
      <c r="E604" s="136"/>
      <c r="F604" s="136"/>
      <c r="G604" s="139"/>
      <c r="H604" s="140"/>
      <c r="I604" s="141"/>
      <c r="J604" s="141"/>
      <c r="K604" s="142"/>
      <c r="L604" s="142"/>
      <c r="M604" s="142"/>
      <c r="N604" s="142"/>
      <c r="O604" s="136"/>
      <c r="P604" s="34"/>
      <c r="Q604" s="35"/>
      <c r="R604" s="35"/>
      <c r="S604" s="35"/>
      <c r="T604" s="35"/>
      <c r="U604" s="35"/>
      <c r="V604" s="35"/>
      <c r="W604" s="35"/>
      <c r="X604" s="35"/>
      <c r="Y604" s="35"/>
      <c r="Z604" s="35"/>
      <c r="AA604" s="35"/>
    </row>
    <row r="605" ht="14.25" customHeight="1">
      <c r="A605" s="136"/>
      <c r="B605" s="137"/>
      <c r="C605" s="138"/>
      <c r="D605" s="136"/>
      <c r="E605" s="136"/>
      <c r="F605" s="136"/>
      <c r="G605" s="139"/>
      <c r="H605" s="140"/>
      <c r="I605" s="141"/>
      <c r="J605" s="141"/>
      <c r="K605" s="142"/>
      <c r="L605" s="142"/>
      <c r="M605" s="142"/>
      <c r="N605" s="142"/>
      <c r="O605" s="136"/>
      <c r="P605" s="34"/>
      <c r="Q605" s="35"/>
      <c r="R605" s="35"/>
      <c r="S605" s="35"/>
      <c r="T605" s="35"/>
      <c r="U605" s="35"/>
      <c r="V605" s="35"/>
      <c r="W605" s="35"/>
      <c r="X605" s="35"/>
      <c r="Y605" s="35"/>
      <c r="Z605" s="35"/>
      <c r="AA605" s="35"/>
    </row>
    <row r="606" ht="14.25" customHeight="1">
      <c r="A606" s="136"/>
      <c r="B606" s="137"/>
      <c r="C606" s="138"/>
      <c r="D606" s="136"/>
      <c r="E606" s="136"/>
      <c r="F606" s="136"/>
      <c r="G606" s="139"/>
      <c r="H606" s="140"/>
      <c r="I606" s="141"/>
      <c r="J606" s="141"/>
      <c r="K606" s="142"/>
      <c r="L606" s="142"/>
      <c r="M606" s="142"/>
      <c r="N606" s="142"/>
      <c r="O606" s="136"/>
      <c r="P606" s="34"/>
      <c r="Q606" s="35"/>
      <c r="R606" s="35"/>
      <c r="S606" s="35"/>
      <c r="T606" s="35"/>
      <c r="U606" s="35"/>
      <c r="V606" s="35"/>
      <c r="W606" s="35"/>
      <c r="X606" s="35"/>
      <c r="Y606" s="35"/>
      <c r="Z606" s="35"/>
      <c r="AA606" s="35"/>
    </row>
    <row r="607" ht="14.25" customHeight="1">
      <c r="A607" s="136"/>
      <c r="B607" s="137"/>
      <c r="C607" s="138"/>
      <c r="D607" s="136"/>
      <c r="E607" s="136"/>
      <c r="F607" s="136"/>
      <c r="G607" s="139"/>
      <c r="H607" s="140"/>
      <c r="I607" s="141"/>
      <c r="J607" s="141"/>
      <c r="K607" s="142"/>
      <c r="L607" s="142"/>
      <c r="M607" s="142"/>
      <c r="N607" s="142"/>
      <c r="O607" s="136"/>
      <c r="P607" s="34"/>
      <c r="Q607" s="35"/>
      <c r="R607" s="35"/>
      <c r="S607" s="35"/>
      <c r="T607" s="35"/>
      <c r="U607" s="35"/>
      <c r="V607" s="35"/>
      <c r="W607" s="35"/>
      <c r="X607" s="35"/>
      <c r="Y607" s="35"/>
      <c r="Z607" s="35"/>
      <c r="AA607" s="35"/>
    </row>
    <row r="608" ht="14.25" customHeight="1">
      <c r="A608" s="136"/>
      <c r="B608" s="137"/>
      <c r="C608" s="138"/>
      <c r="D608" s="136"/>
      <c r="E608" s="136"/>
      <c r="F608" s="136"/>
      <c r="G608" s="139"/>
      <c r="H608" s="140"/>
      <c r="I608" s="141"/>
      <c r="J608" s="141"/>
      <c r="K608" s="142"/>
      <c r="L608" s="142"/>
      <c r="M608" s="142"/>
      <c r="N608" s="142"/>
      <c r="O608" s="136"/>
      <c r="P608" s="34"/>
      <c r="Q608" s="35"/>
      <c r="R608" s="35"/>
      <c r="S608" s="35"/>
      <c r="T608" s="35"/>
      <c r="U608" s="35"/>
      <c r="V608" s="35"/>
      <c r="W608" s="35"/>
      <c r="X608" s="35"/>
      <c r="Y608" s="35"/>
      <c r="Z608" s="35"/>
      <c r="AA608" s="35"/>
    </row>
    <row r="609" ht="14.25" customHeight="1">
      <c r="A609" s="136"/>
      <c r="B609" s="137"/>
      <c r="C609" s="138"/>
      <c r="D609" s="136"/>
      <c r="E609" s="136"/>
      <c r="F609" s="136"/>
      <c r="G609" s="139"/>
      <c r="H609" s="140"/>
      <c r="I609" s="141"/>
      <c r="J609" s="141"/>
      <c r="K609" s="142"/>
      <c r="L609" s="142"/>
      <c r="M609" s="142"/>
      <c r="N609" s="142"/>
      <c r="O609" s="136"/>
      <c r="P609" s="34"/>
      <c r="Q609" s="35"/>
      <c r="R609" s="35"/>
      <c r="S609" s="35"/>
      <c r="T609" s="35"/>
      <c r="U609" s="35"/>
      <c r="V609" s="35"/>
      <c r="W609" s="35"/>
      <c r="X609" s="35"/>
      <c r="Y609" s="35"/>
      <c r="Z609" s="35"/>
      <c r="AA609" s="35"/>
    </row>
    <row r="610" ht="14.25" customHeight="1">
      <c r="A610" s="136"/>
      <c r="B610" s="137"/>
      <c r="C610" s="138"/>
      <c r="D610" s="136"/>
      <c r="E610" s="136"/>
      <c r="F610" s="136"/>
      <c r="G610" s="139"/>
      <c r="H610" s="140"/>
      <c r="I610" s="141"/>
      <c r="J610" s="141"/>
      <c r="K610" s="142"/>
      <c r="L610" s="142"/>
      <c r="M610" s="142"/>
      <c r="N610" s="142"/>
      <c r="O610" s="136"/>
      <c r="P610" s="34"/>
      <c r="Q610" s="35"/>
      <c r="R610" s="35"/>
      <c r="S610" s="35"/>
      <c r="T610" s="35"/>
      <c r="U610" s="35"/>
      <c r="V610" s="35"/>
      <c r="W610" s="35"/>
      <c r="X610" s="35"/>
      <c r="Y610" s="35"/>
      <c r="Z610" s="35"/>
      <c r="AA610" s="35"/>
    </row>
    <row r="611" ht="14.25" customHeight="1">
      <c r="A611" s="136"/>
      <c r="B611" s="137"/>
      <c r="C611" s="138"/>
      <c r="D611" s="136"/>
      <c r="E611" s="136"/>
      <c r="F611" s="136"/>
      <c r="G611" s="139"/>
      <c r="H611" s="140"/>
      <c r="I611" s="141"/>
      <c r="J611" s="141"/>
      <c r="K611" s="142"/>
      <c r="L611" s="142"/>
      <c r="M611" s="142"/>
      <c r="N611" s="142"/>
      <c r="O611" s="136"/>
      <c r="P611" s="34"/>
      <c r="Q611" s="35"/>
      <c r="R611" s="35"/>
      <c r="S611" s="35"/>
      <c r="T611" s="35"/>
      <c r="U611" s="35"/>
      <c r="V611" s="35"/>
      <c r="W611" s="35"/>
      <c r="X611" s="35"/>
      <c r="Y611" s="35"/>
      <c r="Z611" s="35"/>
      <c r="AA611" s="35"/>
    </row>
    <row r="612" ht="14.25" customHeight="1">
      <c r="A612" s="136"/>
      <c r="B612" s="137"/>
      <c r="C612" s="138"/>
      <c r="D612" s="136"/>
      <c r="E612" s="136"/>
      <c r="F612" s="136"/>
      <c r="G612" s="139"/>
      <c r="H612" s="140"/>
      <c r="I612" s="141"/>
      <c r="J612" s="141"/>
      <c r="K612" s="142"/>
      <c r="L612" s="142"/>
      <c r="M612" s="142"/>
      <c r="N612" s="142"/>
      <c r="O612" s="136"/>
      <c r="P612" s="34"/>
      <c r="Q612" s="35"/>
      <c r="R612" s="35"/>
      <c r="S612" s="35"/>
      <c r="T612" s="35"/>
      <c r="U612" s="35"/>
      <c r="V612" s="35"/>
      <c r="W612" s="35"/>
      <c r="X612" s="35"/>
      <c r="Y612" s="35"/>
      <c r="Z612" s="35"/>
      <c r="AA612" s="35"/>
    </row>
    <row r="613" ht="14.25" customHeight="1">
      <c r="A613" s="136"/>
      <c r="B613" s="137"/>
      <c r="C613" s="138"/>
      <c r="D613" s="136"/>
      <c r="E613" s="136"/>
      <c r="F613" s="136"/>
      <c r="G613" s="139"/>
      <c r="H613" s="140"/>
      <c r="I613" s="141"/>
      <c r="J613" s="141"/>
      <c r="K613" s="142"/>
      <c r="L613" s="142"/>
      <c r="M613" s="142"/>
      <c r="N613" s="142"/>
      <c r="O613" s="136"/>
      <c r="P613" s="34"/>
      <c r="Q613" s="35"/>
      <c r="R613" s="35"/>
      <c r="S613" s="35"/>
      <c r="T613" s="35"/>
      <c r="U613" s="35"/>
      <c r="V613" s="35"/>
      <c r="W613" s="35"/>
      <c r="X613" s="35"/>
      <c r="Y613" s="35"/>
      <c r="Z613" s="35"/>
      <c r="AA613" s="35"/>
    </row>
    <row r="614" ht="14.25" customHeight="1">
      <c r="A614" s="136"/>
      <c r="B614" s="137"/>
      <c r="C614" s="138"/>
      <c r="D614" s="136"/>
      <c r="E614" s="136"/>
      <c r="F614" s="136"/>
      <c r="G614" s="139"/>
      <c r="H614" s="140"/>
      <c r="I614" s="141"/>
      <c r="J614" s="141"/>
      <c r="K614" s="142"/>
      <c r="L614" s="142"/>
      <c r="M614" s="142"/>
      <c r="N614" s="142"/>
      <c r="O614" s="136"/>
      <c r="P614" s="34"/>
      <c r="Q614" s="35"/>
      <c r="R614" s="35"/>
      <c r="S614" s="35"/>
      <c r="T614" s="35"/>
      <c r="U614" s="35"/>
      <c r="V614" s="35"/>
      <c r="W614" s="35"/>
      <c r="X614" s="35"/>
      <c r="Y614" s="35"/>
      <c r="Z614" s="35"/>
      <c r="AA614" s="35"/>
    </row>
    <row r="615" ht="14.25" customHeight="1">
      <c r="A615" s="136"/>
      <c r="B615" s="137"/>
      <c r="C615" s="138"/>
      <c r="D615" s="136"/>
      <c r="E615" s="136"/>
      <c r="F615" s="136"/>
      <c r="G615" s="139"/>
      <c r="H615" s="140"/>
      <c r="I615" s="141"/>
      <c r="J615" s="141"/>
      <c r="K615" s="142"/>
      <c r="L615" s="142"/>
      <c r="M615" s="142"/>
      <c r="N615" s="142"/>
      <c r="O615" s="136"/>
      <c r="P615" s="34"/>
      <c r="Q615" s="35"/>
      <c r="R615" s="35"/>
      <c r="S615" s="35"/>
      <c r="T615" s="35"/>
      <c r="U615" s="35"/>
      <c r="V615" s="35"/>
      <c r="W615" s="35"/>
      <c r="X615" s="35"/>
      <c r="Y615" s="35"/>
      <c r="Z615" s="35"/>
      <c r="AA615" s="35"/>
    </row>
    <row r="616" ht="14.25" customHeight="1">
      <c r="A616" s="136"/>
      <c r="B616" s="137"/>
      <c r="C616" s="138"/>
      <c r="D616" s="136"/>
      <c r="E616" s="136"/>
      <c r="F616" s="136"/>
      <c r="G616" s="139"/>
      <c r="H616" s="140"/>
      <c r="I616" s="141"/>
      <c r="J616" s="141"/>
      <c r="K616" s="142"/>
      <c r="L616" s="142"/>
      <c r="M616" s="142"/>
      <c r="N616" s="142"/>
      <c r="O616" s="136"/>
      <c r="P616" s="34"/>
      <c r="Q616" s="35"/>
      <c r="R616" s="35"/>
      <c r="S616" s="35"/>
      <c r="T616" s="35"/>
      <c r="U616" s="35"/>
      <c r="V616" s="35"/>
      <c r="W616" s="35"/>
      <c r="X616" s="35"/>
      <c r="Y616" s="35"/>
      <c r="Z616" s="35"/>
      <c r="AA616" s="35"/>
    </row>
    <row r="617" ht="14.25" customHeight="1">
      <c r="A617" s="136"/>
      <c r="B617" s="137"/>
      <c r="C617" s="138"/>
      <c r="D617" s="136"/>
      <c r="E617" s="136"/>
      <c r="F617" s="136"/>
      <c r="G617" s="139"/>
      <c r="H617" s="140"/>
      <c r="I617" s="141"/>
      <c r="J617" s="141"/>
      <c r="K617" s="142"/>
      <c r="L617" s="142"/>
      <c r="M617" s="142"/>
      <c r="N617" s="142"/>
      <c r="O617" s="136"/>
      <c r="P617" s="34"/>
      <c r="Q617" s="35"/>
      <c r="R617" s="35"/>
      <c r="S617" s="35"/>
      <c r="T617" s="35"/>
      <c r="U617" s="35"/>
      <c r="V617" s="35"/>
      <c r="W617" s="35"/>
      <c r="X617" s="35"/>
      <c r="Y617" s="35"/>
      <c r="Z617" s="35"/>
      <c r="AA617" s="35"/>
    </row>
    <row r="618" ht="14.25" customHeight="1">
      <c r="A618" s="136"/>
      <c r="B618" s="137"/>
      <c r="C618" s="138"/>
      <c r="D618" s="136"/>
      <c r="E618" s="136"/>
      <c r="F618" s="136"/>
      <c r="G618" s="139"/>
      <c r="H618" s="140"/>
      <c r="I618" s="141"/>
      <c r="J618" s="141"/>
      <c r="K618" s="142"/>
      <c r="L618" s="142"/>
      <c r="M618" s="142"/>
      <c r="N618" s="142"/>
      <c r="O618" s="136"/>
      <c r="P618" s="34"/>
      <c r="Q618" s="35"/>
      <c r="R618" s="35"/>
      <c r="S618" s="35"/>
      <c r="T618" s="35"/>
      <c r="U618" s="35"/>
      <c r="V618" s="35"/>
      <c r="W618" s="35"/>
      <c r="X618" s="35"/>
      <c r="Y618" s="35"/>
      <c r="Z618" s="35"/>
      <c r="AA618" s="35"/>
    </row>
    <row r="619" ht="14.25" customHeight="1">
      <c r="A619" s="136"/>
      <c r="B619" s="137"/>
      <c r="C619" s="138"/>
      <c r="D619" s="136"/>
      <c r="E619" s="136"/>
      <c r="F619" s="136"/>
      <c r="G619" s="139"/>
      <c r="H619" s="140"/>
      <c r="I619" s="141"/>
      <c r="J619" s="141"/>
      <c r="K619" s="142"/>
      <c r="L619" s="142"/>
      <c r="M619" s="142"/>
      <c r="N619" s="142"/>
      <c r="O619" s="136"/>
      <c r="P619" s="34"/>
      <c r="Q619" s="35"/>
      <c r="R619" s="35"/>
      <c r="S619" s="35"/>
      <c r="T619" s="35"/>
      <c r="U619" s="35"/>
      <c r="V619" s="35"/>
      <c r="W619" s="35"/>
      <c r="X619" s="35"/>
      <c r="Y619" s="35"/>
      <c r="Z619" s="35"/>
      <c r="AA619" s="35"/>
    </row>
    <row r="620" ht="14.25" customHeight="1">
      <c r="A620" s="136"/>
      <c r="B620" s="137"/>
      <c r="C620" s="138"/>
      <c r="D620" s="136"/>
      <c r="E620" s="136"/>
      <c r="F620" s="136"/>
      <c r="G620" s="139"/>
      <c r="H620" s="140"/>
      <c r="I620" s="141"/>
      <c r="J620" s="141"/>
      <c r="K620" s="142"/>
      <c r="L620" s="142"/>
      <c r="M620" s="142"/>
      <c r="N620" s="142"/>
      <c r="O620" s="136"/>
      <c r="P620" s="34"/>
      <c r="Q620" s="35"/>
      <c r="R620" s="35"/>
      <c r="S620" s="35"/>
      <c r="T620" s="35"/>
      <c r="U620" s="35"/>
      <c r="V620" s="35"/>
      <c r="W620" s="35"/>
      <c r="X620" s="35"/>
      <c r="Y620" s="35"/>
      <c r="Z620" s="35"/>
      <c r="AA620" s="35"/>
    </row>
    <row r="621" ht="14.25" customHeight="1">
      <c r="A621" s="136"/>
      <c r="B621" s="137"/>
      <c r="C621" s="138"/>
      <c r="D621" s="136"/>
      <c r="E621" s="136"/>
      <c r="F621" s="136"/>
      <c r="G621" s="139"/>
      <c r="H621" s="140"/>
      <c r="I621" s="141"/>
      <c r="J621" s="141"/>
      <c r="K621" s="142"/>
      <c r="L621" s="142"/>
      <c r="M621" s="142"/>
      <c r="N621" s="142"/>
      <c r="O621" s="136"/>
      <c r="P621" s="34"/>
      <c r="Q621" s="35"/>
      <c r="R621" s="35"/>
      <c r="S621" s="35"/>
      <c r="T621" s="35"/>
      <c r="U621" s="35"/>
      <c r="V621" s="35"/>
      <c r="W621" s="35"/>
      <c r="X621" s="35"/>
      <c r="Y621" s="35"/>
      <c r="Z621" s="35"/>
      <c r="AA621" s="35"/>
    </row>
    <row r="622" ht="14.25" customHeight="1">
      <c r="A622" s="136"/>
      <c r="B622" s="137"/>
      <c r="C622" s="138"/>
      <c r="D622" s="136"/>
      <c r="E622" s="136"/>
      <c r="F622" s="136"/>
      <c r="G622" s="139"/>
      <c r="H622" s="140"/>
      <c r="I622" s="141"/>
      <c r="J622" s="141"/>
      <c r="K622" s="142"/>
      <c r="L622" s="142"/>
      <c r="M622" s="142"/>
      <c r="N622" s="142"/>
      <c r="O622" s="136"/>
      <c r="P622" s="34"/>
      <c r="Q622" s="35"/>
      <c r="R622" s="35"/>
      <c r="S622" s="35"/>
      <c r="T622" s="35"/>
      <c r="U622" s="35"/>
      <c r="V622" s="35"/>
      <c r="W622" s="35"/>
      <c r="X622" s="35"/>
      <c r="Y622" s="35"/>
      <c r="Z622" s="35"/>
      <c r="AA622" s="35"/>
    </row>
    <row r="623" ht="14.25" customHeight="1">
      <c r="A623" s="136"/>
      <c r="B623" s="137"/>
      <c r="C623" s="138"/>
      <c r="D623" s="136"/>
      <c r="E623" s="136"/>
      <c r="F623" s="136"/>
      <c r="G623" s="139"/>
      <c r="H623" s="140"/>
      <c r="I623" s="141"/>
      <c r="J623" s="141"/>
      <c r="K623" s="142"/>
      <c r="L623" s="142"/>
      <c r="M623" s="142"/>
      <c r="N623" s="142"/>
      <c r="O623" s="136"/>
      <c r="P623" s="34"/>
      <c r="Q623" s="35"/>
      <c r="R623" s="35"/>
      <c r="S623" s="35"/>
      <c r="T623" s="35"/>
      <c r="U623" s="35"/>
      <c r="V623" s="35"/>
      <c r="W623" s="35"/>
      <c r="X623" s="35"/>
      <c r="Y623" s="35"/>
      <c r="Z623" s="35"/>
      <c r="AA623" s="35"/>
    </row>
    <row r="624" ht="14.25" customHeight="1">
      <c r="A624" s="136"/>
      <c r="B624" s="137"/>
      <c r="C624" s="138"/>
      <c r="D624" s="136"/>
      <c r="E624" s="136"/>
      <c r="F624" s="136"/>
      <c r="G624" s="139"/>
      <c r="H624" s="140"/>
      <c r="I624" s="141"/>
      <c r="J624" s="141"/>
      <c r="K624" s="142"/>
      <c r="L624" s="142"/>
      <c r="M624" s="142"/>
      <c r="N624" s="142"/>
      <c r="O624" s="136"/>
      <c r="P624" s="34"/>
      <c r="Q624" s="35"/>
      <c r="R624" s="35"/>
      <c r="S624" s="35"/>
      <c r="T624" s="35"/>
      <c r="U624" s="35"/>
      <c r="V624" s="35"/>
      <c r="W624" s="35"/>
      <c r="X624" s="35"/>
      <c r="Y624" s="35"/>
      <c r="Z624" s="35"/>
      <c r="AA624" s="35"/>
    </row>
    <row r="625" ht="14.25" customHeight="1">
      <c r="A625" s="136"/>
      <c r="B625" s="137"/>
      <c r="C625" s="138"/>
      <c r="D625" s="136"/>
      <c r="E625" s="136"/>
      <c r="F625" s="136"/>
      <c r="G625" s="139"/>
      <c r="H625" s="140"/>
      <c r="I625" s="141"/>
      <c r="J625" s="141"/>
      <c r="K625" s="142"/>
      <c r="L625" s="142"/>
      <c r="M625" s="142"/>
      <c r="N625" s="142"/>
      <c r="O625" s="136"/>
      <c r="P625" s="34"/>
      <c r="Q625" s="35"/>
      <c r="R625" s="35"/>
      <c r="S625" s="35"/>
      <c r="T625" s="35"/>
      <c r="U625" s="35"/>
      <c r="V625" s="35"/>
      <c r="W625" s="35"/>
      <c r="X625" s="35"/>
      <c r="Y625" s="35"/>
      <c r="Z625" s="35"/>
      <c r="AA625" s="35"/>
    </row>
    <row r="626" ht="14.25" customHeight="1">
      <c r="A626" s="136"/>
      <c r="B626" s="137"/>
      <c r="C626" s="138"/>
      <c r="D626" s="136"/>
      <c r="E626" s="136"/>
      <c r="F626" s="136"/>
      <c r="G626" s="139"/>
      <c r="H626" s="140"/>
      <c r="I626" s="141"/>
      <c r="J626" s="141"/>
      <c r="K626" s="142"/>
      <c r="L626" s="142"/>
      <c r="M626" s="142"/>
      <c r="N626" s="142"/>
      <c r="O626" s="136"/>
      <c r="P626" s="34"/>
      <c r="Q626" s="35"/>
      <c r="R626" s="35"/>
      <c r="S626" s="35"/>
      <c r="T626" s="35"/>
      <c r="U626" s="35"/>
      <c r="V626" s="35"/>
      <c r="W626" s="35"/>
      <c r="X626" s="35"/>
      <c r="Y626" s="35"/>
      <c r="Z626" s="35"/>
      <c r="AA626" s="35"/>
    </row>
    <row r="627" ht="14.25" customHeight="1">
      <c r="A627" s="136"/>
      <c r="B627" s="137"/>
      <c r="C627" s="138"/>
      <c r="D627" s="136"/>
      <c r="E627" s="136"/>
      <c r="F627" s="136"/>
      <c r="G627" s="139"/>
      <c r="H627" s="140"/>
      <c r="I627" s="141"/>
      <c r="J627" s="141"/>
      <c r="K627" s="142"/>
      <c r="L627" s="142"/>
      <c r="M627" s="142"/>
      <c r="N627" s="142"/>
      <c r="O627" s="136"/>
      <c r="P627" s="34"/>
      <c r="Q627" s="35"/>
      <c r="R627" s="35"/>
      <c r="S627" s="35"/>
      <c r="T627" s="35"/>
      <c r="U627" s="35"/>
      <c r="V627" s="35"/>
      <c r="W627" s="35"/>
      <c r="X627" s="35"/>
      <c r="Y627" s="35"/>
      <c r="Z627" s="35"/>
      <c r="AA627" s="35"/>
    </row>
    <row r="628" ht="14.25" customHeight="1">
      <c r="A628" s="136"/>
      <c r="B628" s="137"/>
      <c r="C628" s="138"/>
      <c r="D628" s="136"/>
      <c r="E628" s="136"/>
      <c r="F628" s="136"/>
      <c r="G628" s="139"/>
      <c r="H628" s="140"/>
      <c r="I628" s="141"/>
      <c r="J628" s="141"/>
      <c r="K628" s="142"/>
      <c r="L628" s="142"/>
      <c r="M628" s="142"/>
      <c r="N628" s="142"/>
      <c r="O628" s="136"/>
      <c r="P628" s="34"/>
      <c r="Q628" s="35"/>
      <c r="R628" s="35"/>
      <c r="S628" s="35"/>
      <c r="T628" s="35"/>
      <c r="U628" s="35"/>
      <c r="V628" s="35"/>
      <c r="W628" s="35"/>
      <c r="X628" s="35"/>
      <c r="Y628" s="35"/>
      <c r="Z628" s="35"/>
      <c r="AA628" s="35"/>
    </row>
    <row r="629" ht="14.25" customHeight="1">
      <c r="A629" s="136"/>
      <c r="B629" s="137"/>
      <c r="C629" s="138"/>
      <c r="D629" s="136"/>
      <c r="E629" s="136"/>
      <c r="F629" s="136"/>
      <c r="G629" s="139"/>
      <c r="H629" s="140"/>
      <c r="I629" s="141"/>
      <c r="J629" s="141"/>
      <c r="K629" s="142"/>
      <c r="L629" s="142"/>
      <c r="M629" s="142"/>
      <c r="N629" s="142"/>
      <c r="O629" s="136"/>
      <c r="P629" s="34"/>
      <c r="Q629" s="35"/>
      <c r="R629" s="35"/>
      <c r="S629" s="35"/>
      <c r="T629" s="35"/>
      <c r="U629" s="35"/>
      <c r="V629" s="35"/>
      <c r="W629" s="35"/>
      <c r="X629" s="35"/>
      <c r="Y629" s="35"/>
      <c r="Z629" s="35"/>
      <c r="AA629" s="35"/>
    </row>
    <row r="630" ht="14.25" customHeight="1">
      <c r="A630" s="136"/>
      <c r="B630" s="137"/>
      <c r="C630" s="138"/>
      <c r="D630" s="136"/>
      <c r="E630" s="136"/>
      <c r="F630" s="136"/>
      <c r="G630" s="139"/>
      <c r="H630" s="140"/>
      <c r="I630" s="141"/>
      <c r="J630" s="141"/>
      <c r="K630" s="142"/>
      <c r="L630" s="142"/>
      <c r="M630" s="142"/>
      <c r="N630" s="142"/>
      <c r="O630" s="136"/>
      <c r="P630" s="34"/>
      <c r="Q630" s="35"/>
      <c r="R630" s="35"/>
      <c r="S630" s="35"/>
      <c r="T630" s="35"/>
      <c r="U630" s="35"/>
      <c r="V630" s="35"/>
      <c r="W630" s="35"/>
      <c r="X630" s="35"/>
      <c r="Y630" s="35"/>
      <c r="Z630" s="35"/>
      <c r="AA630" s="35"/>
    </row>
    <row r="631" ht="14.25" customHeight="1">
      <c r="A631" s="136"/>
      <c r="B631" s="137"/>
      <c r="C631" s="138"/>
      <c r="D631" s="136"/>
      <c r="E631" s="136"/>
      <c r="F631" s="136"/>
      <c r="G631" s="139"/>
      <c r="H631" s="140"/>
      <c r="I631" s="141"/>
      <c r="J631" s="141"/>
      <c r="K631" s="142"/>
      <c r="L631" s="142"/>
      <c r="M631" s="142"/>
      <c r="N631" s="142"/>
      <c r="O631" s="136"/>
      <c r="P631" s="34"/>
      <c r="Q631" s="35"/>
      <c r="R631" s="35"/>
      <c r="S631" s="35"/>
      <c r="T631" s="35"/>
      <c r="U631" s="35"/>
      <c r="V631" s="35"/>
      <c r="W631" s="35"/>
      <c r="X631" s="35"/>
      <c r="Y631" s="35"/>
      <c r="Z631" s="35"/>
      <c r="AA631" s="35"/>
    </row>
    <row r="632" ht="14.25" customHeight="1">
      <c r="A632" s="136"/>
      <c r="B632" s="137"/>
      <c r="C632" s="138"/>
      <c r="D632" s="136"/>
      <c r="E632" s="136"/>
      <c r="F632" s="136"/>
      <c r="G632" s="139"/>
      <c r="H632" s="140"/>
      <c r="I632" s="141"/>
      <c r="J632" s="141"/>
      <c r="K632" s="142"/>
      <c r="L632" s="142"/>
      <c r="M632" s="142"/>
      <c r="N632" s="142"/>
      <c r="O632" s="136"/>
      <c r="P632" s="34"/>
      <c r="Q632" s="35"/>
      <c r="R632" s="35"/>
      <c r="S632" s="35"/>
      <c r="T632" s="35"/>
      <c r="U632" s="35"/>
      <c r="V632" s="35"/>
      <c r="W632" s="35"/>
      <c r="X632" s="35"/>
      <c r="Y632" s="35"/>
      <c r="Z632" s="35"/>
      <c r="AA632" s="35"/>
    </row>
    <row r="633" ht="14.25" customHeight="1">
      <c r="A633" s="136"/>
      <c r="B633" s="137"/>
      <c r="C633" s="138"/>
      <c r="D633" s="136"/>
      <c r="E633" s="136"/>
      <c r="F633" s="136"/>
      <c r="G633" s="139"/>
      <c r="H633" s="140"/>
      <c r="I633" s="141"/>
      <c r="J633" s="141"/>
      <c r="K633" s="142"/>
      <c r="L633" s="142"/>
      <c r="M633" s="142"/>
      <c r="N633" s="142"/>
      <c r="O633" s="136"/>
      <c r="P633" s="34"/>
      <c r="Q633" s="35"/>
      <c r="R633" s="35"/>
      <c r="S633" s="35"/>
      <c r="T633" s="35"/>
      <c r="U633" s="35"/>
      <c r="V633" s="35"/>
      <c r="W633" s="35"/>
      <c r="X633" s="35"/>
      <c r="Y633" s="35"/>
      <c r="Z633" s="35"/>
      <c r="AA633" s="35"/>
    </row>
    <row r="634" ht="14.25" customHeight="1">
      <c r="A634" s="136"/>
      <c r="B634" s="137"/>
      <c r="C634" s="138"/>
      <c r="D634" s="136"/>
      <c r="E634" s="136"/>
      <c r="F634" s="136"/>
      <c r="G634" s="139"/>
      <c r="H634" s="140"/>
      <c r="I634" s="141"/>
      <c r="J634" s="141"/>
      <c r="K634" s="142"/>
      <c r="L634" s="142"/>
      <c r="M634" s="142"/>
      <c r="N634" s="142"/>
      <c r="O634" s="136"/>
      <c r="P634" s="34"/>
      <c r="Q634" s="35"/>
      <c r="R634" s="35"/>
      <c r="S634" s="35"/>
      <c r="T634" s="35"/>
      <c r="U634" s="35"/>
      <c r="V634" s="35"/>
      <c r="W634" s="35"/>
      <c r="X634" s="35"/>
      <c r="Y634" s="35"/>
      <c r="Z634" s="35"/>
      <c r="AA634" s="35"/>
    </row>
    <row r="635" ht="14.25" customHeight="1">
      <c r="A635" s="136"/>
      <c r="B635" s="137"/>
      <c r="C635" s="138"/>
      <c r="D635" s="136"/>
      <c r="E635" s="136"/>
      <c r="F635" s="136"/>
      <c r="G635" s="139"/>
      <c r="H635" s="140"/>
      <c r="I635" s="141"/>
      <c r="J635" s="141"/>
      <c r="K635" s="142"/>
      <c r="L635" s="142"/>
      <c r="M635" s="142"/>
      <c r="N635" s="142"/>
      <c r="O635" s="136"/>
      <c r="P635" s="34"/>
      <c r="Q635" s="35"/>
      <c r="R635" s="35"/>
      <c r="S635" s="35"/>
      <c r="T635" s="35"/>
      <c r="U635" s="35"/>
      <c r="V635" s="35"/>
      <c r="W635" s="35"/>
      <c r="X635" s="35"/>
      <c r="Y635" s="35"/>
      <c r="Z635" s="35"/>
      <c r="AA635" s="35"/>
    </row>
    <row r="636" ht="14.25" customHeight="1">
      <c r="A636" s="136"/>
      <c r="B636" s="137"/>
      <c r="C636" s="138"/>
      <c r="D636" s="136"/>
      <c r="E636" s="136"/>
      <c r="F636" s="136"/>
      <c r="G636" s="139"/>
      <c r="H636" s="140"/>
      <c r="I636" s="141"/>
      <c r="J636" s="141"/>
      <c r="K636" s="142"/>
      <c r="L636" s="142"/>
      <c r="M636" s="142"/>
      <c r="N636" s="142"/>
      <c r="O636" s="136"/>
      <c r="P636" s="34"/>
      <c r="Q636" s="35"/>
      <c r="R636" s="35"/>
      <c r="S636" s="35"/>
      <c r="T636" s="35"/>
      <c r="U636" s="35"/>
      <c r="V636" s="35"/>
      <c r="W636" s="35"/>
      <c r="X636" s="35"/>
      <c r="Y636" s="35"/>
      <c r="Z636" s="35"/>
      <c r="AA636" s="35"/>
    </row>
    <row r="637" ht="14.25" customHeight="1">
      <c r="A637" s="136"/>
      <c r="B637" s="137"/>
      <c r="C637" s="138"/>
      <c r="D637" s="136"/>
      <c r="E637" s="136"/>
      <c r="F637" s="136"/>
      <c r="G637" s="139"/>
      <c r="H637" s="140"/>
      <c r="I637" s="141"/>
      <c r="J637" s="141"/>
      <c r="K637" s="142"/>
      <c r="L637" s="142"/>
      <c r="M637" s="142"/>
      <c r="N637" s="142"/>
      <c r="O637" s="136"/>
      <c r="P637" s="34"/>
      <c r="Q637" s="35"/>
      <c r="R637" s="35"/>
      <c r="S637" s="35"/>
      <c r="T637" s="35"/>
      <c r="U637" s="35"/>
      <c r="V637" s="35"/>
      <c r="W637" s="35"/>
      <c r="X637" s="35"/>
      <c r="Y637" s="35"/>
      <c r="Z637" s="35"/>
      <c r="AA637" s="35"/>
    </row>
    <row r="638" ht="14.25" customHeight="1">
      <c r="A638" s="136"/>
      <c r="B638" s="137"/>
      <c r="C638" s="138"/>
      <c r="D638" s="136"/>
      <c r="E638" s="136"/>
      <c r="F638" s="136"/>
      <c r="G638" s="139"/>
      <c r="H638" s="140"/>
      <c r="I638" s="141"/>
      <c r="J638" s="141"/>
      <c r="K638" s="142"/>
      <c r="L638" s="142"/>
      <c r="M638" s="142"/>
      <c r="N638" s="142"/>
      <c r="O638" s="136"/>
      <c r="P638" s="34"/>
      <c r="Q638" s="35"/>
      <c r="R638" s="35"/>
      <c r="S638" s="35"/>
      <c r="T638" s="35"/>
      <c r="U638" s="35"/>
      <c r="V638" s="35"/>
      <c r="W638" s="35"/>
      <c r="X638" s="35"/>
      <c r="Y638" s="35"/>
      <c r="Z638" s="35"/>
      <c r="AA638" s="35"/>
    </row>
    <row r="639" ht="14.25" customHeight="1">
      <c r="A639" s="136"/>
      <c r="B639" s="137"/>
      <c r="C639" s="138"/>
      <c r="D639" s="136"/>
      <c r="E639" s="136"/>
      <c r="F639" s="136"/>
      <c r="G639" s="139"/>
      <c r="H639" s="140"/>
      <c r="I639" s="141"/>
      <c r="J639" s="141"/>
      <c r="K639" s="142"/>
      <c r="L639" s="142"/>
      <c r="M639" s="142"/>
      <c r="N639" s="142"/>
      <c r="O639" s="136"/>
      <c r="P639" s="34"/>
      <c r="Q639" s="35"/>
      <c r="R639" s="35"/>
      <c r="S639" s="35"/>
      <c r="T639" s="35"/>
      <c r="U639" s="35"/>
      <c r="V639" s="35"/>
      <c r="W639" s="35"/>
      <c r="X639" s="35"/>
      <c r="Y639" s="35"/>
      <c r="Z639" s="35"/>
      <c r="AA639" s="35"/>
    </row>
    <row r="640" ht="14.25" customHeight="1">
      <c r="A640" s="136"/>
      <c r="B640" s="137"/>
      <c r="C640" s="138"/>
      <c r="D640" s="136"/>
      <c r="E640" s="136"/>
      <c r="F640" s="136"/>
      <c r="G640" s="139"/>
      <c r="H640" s="140"/>
      <c r="I640" s="141"/>
      <c r="J640" s="141"/>
      <c r="K640" s="142"/>
      <c r="L640" s="142"/>
      <c r="M640" s="142"/>
      <c r="N640" s="142"/>
      <c r="O640" s="136"/>
      <c r="P640" s="34"/>
      <c r="Q640" s="35"/>
      <c r="R640" s="35"/>
      <c r="S640" s="35"/>
      <c r="T640" s="35"/>
      <c r="U640" s="35"/>
      <c r="V640" s="35"/>
      <c r="W640" s="35"/>
      <c r="X640" s="35"/>
      <c r="Y640" s="35"/>
      <c r="Z640" s="35"/>
      <c r="AA640" s="35"/>
    </row>
    <row r="641" ht="14.25" customHeight="1">
      <c r="A641" s="136"/>
      <c r="B641" s="137"/>
      <c r="C641" s="138"/>
      <c r="D641" s="136"/>
      <c r="E641" s="136"/>
      <c r="F641" s="136"/>
      <c r="G641" s="139"/>
      <c r="H641" s="140"/>
      <c r="I641" s="141"/>
      <c r="J641" s="141"/>
      <c r="K641" s="142"/>
      <c r="L641" s="142"/>
      <c r="M641" s="142"/>
      <c r="N641" s="142"/>
      <c r="O641" s="136"/>
      <c r="P641" s="34"/>
      <c r="Q641" s="35"/>
      <c r="R641" s="35"/>
      <c r="S641" s="35"/>
      <c r="T641" s="35"/>
      <c r="U641" s="35"/>
      <c r="V641" s="35"/>
      <c r="W641" s="35"/>
      <c r="X641" s="35"/>
      <c r="Y641" s="35"/>
      <c r="Z641" s="35"/>
      <c r="AA641" s="35"/>
    </row>
    <row r="642" ht="14.25" customHeight="1">
      <c r="A642" s="136"/>
      <c r="B642" s="137"/>
      <c r="C642" s="138"/>
      <c r="D642" s="136"/>
      <c r="E642" s="136"/>
      <c r="F642" s="136"/>
      <c r="G642" s="139"/>
      <c r="H642" s="140"/>
      <c r="I642" s="141"/>
      <c r="J642" s="141"/>
      <c r="K642" s="142"/>
      <c r="L642" s="142"/>
      <c r="M642" s="142"/>
      <c r="N642" s="142"/>
      <c r="O642" s="136"/>
      <c r="P642" s="34"/>
      <c r="Q642" s="35"/>
      <c r="R642" s="35"/>
      <c r="S642" s="35"/>
      <c r="T642" s="35"/>
      <c r="U642" s="35"/>
      <c r="V642" s="35"/>
      <c r="W642" s="35"/>
      <c r="X642" s="35"/>
      <c r="Y642" s="35"/>
      <c r="Z642" s="35"/>
      <c r="AA642" s="35"/>
    </row>
    <row r="643" ht="14.25" customHeight="1">
      <c r="A643" s="136"/>
      <c r="B643" s="137"/>
      <c r="C643" s="138"/>
      <c r="D643" s="136"/>
      <c r="E643" s="136"/>
      <c r="F643" s="136"/>
      <c r="G643" s="139"/>
      <c r="H643" s="140"/>
      <c r="I643" s="141"/>
      <c r="J643" s="141"/>
      <c r="K643" s="142"/>
      <c r="L643" s="142"/>
      <c r="M643" s="142"/>
      <c r="N643" s="142"/>
      <c r="O643" s="136"/>
      <c r="P643" s="34"/>
      <c r="Q643" s="35"/>
      <c r="R643" s="35"/>
      <c r="S643" s="35"/>
      <c r="T643" s="35"/>
      <c r="U643" s="35"/>
      <c r="V643" s="35"/>
      <c r="W643" s="35"/>
      <c r="X643" s="35"/>
      <c r="Y643" s="35"/>
      <c r="Z643" s="35"/>
      <c r="AA643" s="35"/>
    </row>
    <row r="644" ht="14.25" customHeight="1">
      <c r="A644" s="136"/>
      <c r="B644" s="137"/>
      <c r="C644" s="138"/>
      <c r="D644" s="136"/>
      <c r="E644" s="136"/>
      <c r="F644" s="136"/>
      <c r="G644" s="139"/>
      <c r="H644" s="140"/>
      <c r="I644" s="141"/>
      <c r="J644" s="141"/>
      <c r="K644" s="142"/>
      <c r="L644" s="142"/>
      <c r="M644" s="142"/>
      <c r="N644" s="142"/>
      <c r="O644" s="136"/>
      <c r="P644" s="34"/>
      <c r="Q644" s="35"/>
      <c r="R644" s="35"/>
      <c r="S644" s="35"/>
      <c r="T644" s="35"/>
      <c r="U644" s="35"/>
      <c r="V644" s="35"/>
      <c r="W644" s="35"/>
      <c r="X644" s="35"/>
      <c r="Y644" s="35"/>
      <c r="Z644" s="35"/>
      <c r="AA644" s="35"/>
    </row>
    <row r="645" ht="14.25" customHeight="1">
      <c r="A645" s="136"/>
      <c r="B645" s="137"/>
      <c r="C645" s="138"/>
      <c r="D645" s="136"/>
      <c r="E645" s="136"/>
      <c r="F645" s="136"/>
      <c r="G645" s="139"/>
      <c r="H645" s="140"/>
      <c r="I645" s="141"/>
      <c r="J645" s="141"/>
      <c r="K645" s="142"/>
      <c r="L645" s="142"/>
      <c r="M645" s="142"/>
      <c r="N645" s="142"/>
      <c r="O645" s="136"/>
      <c r="P645" s="34"/>
      <c r="Q645" s="35"/>
      <c r="R645" s="35"/>
      <c r="S645" s="35"/>
      <c r="T645" s="35"/>
      <c r="U645" s="35"/>
      <c r="V645" s="35"/>
      <c r="W645" s="35"/>
      <c r="X645" s="35"/>
      <c r="Y645" s="35"/>
      <c r="Z645" s="35"/>
      <c r="AA645" s="35"/>
    </row>
    <row r="646" ht="14.25" customHeight="1">
      <c r="A646" s="136"/>
      <c r="B646" s="137"/>
      <c r="C646" s="138"/>
      <c r="D646" s="136"/>
      <c r="E646" s="136"/>
      <c r="F646" s="136"/>
      <c r="G646" s="139"/>
      <c r="H646" s="140"/>
      <c r="I646" s="141"/>
      <c r="J646" s="141"/>
      <c r="K646" s="142"/>
      <c r="L646" s="142"/>
      <c r="M646" s="142"/>
      <c r="N646" s="142"/>
      <c r="O646" s="136"/>
      <c r="P646" s="34"/>
      <c r="Q646" s="35"/>
      <c r="R646" s="35"/>
      <c r="S646" s="35"/>
      <c r="T646" s="35"/>
      <c r="U646" s="35"/>
      <c r="V646" s="35"/>
      <c r="W646" s="35"/>
      <c r="X646" s="35"/>
      <c r="Y646" s="35"/>
      <c r="Z646" s="35"/>
      <c r="AA646" s="35"/>
    </row>
    <row r="647" ht="14.25" customHeight="1">
      <c r="A647" s="136"/>
      <c r="B647" s="137"/>
      <c r="C647" s="138"/>
      <c r="D647" s="136"/>
      <c r="E647" s="136"/>
      <c r="F647" s="136"/>
      <c r="G647" s="139"/>
      <c r="H647" s="140"/>
      <c r="I647" s="141"/>
      <c r="J647" s="141"/>
      <c r="K647" s="142"/>
      <c r="L647" s="142"/>
      <c r="M647" s="142"/>
      <c r="N647" s="142"/>
      <c r="O647" s="136"/>
      <c r="P647" s="34"/>
      <c r="Q647" s="35"/>
      <c r="R647" s="35"/>
      <c r="S647" s="35"/>
      <c r="T647" s="35"/>
      <c r="U647" s="35"/>
      <c r="V647" s="35"/>
      <c r="W647" s="35"/>
      <c r="X647" s="35"/>
      <c r="Y647" s="35"/>
      <c r="Z647" s="35"/>
      <c r="AA647" s="35"/>
    </row>
    <row r="648" ht="14.25" customHeight="1">
      <c r="A648" s="136"/>
      <c r="B648" s="137"/>
      <c r="C648" s="138"/>
      <c r="D648" s="136"/>
      <c r="E648" s="136"/>
      <c r="F648" s="136"/>
      <c r="G648" s="139"/>
      <c r="H648" s="140"/>
      <c r="I648" s="141"/>
      <c r="J648" s="141"/>
      <c r="K648" s="142"/>
      <c r="L648" s="142"/>
      <c r="M648" s="142"/>
      <c r="N648" s="142"/>
      <c r="O648" s="136"/>
      <c r="P648" s="34"/>
      <c r="Q648" s="35"/>
      <c r="R648" s="35"/>
      <c r="S648" s="35"/>
      <c r="T648" s="35"/>
      <c r="U648" s="35"/>
      <c r="V648" s="35"/>
      <c r="W648" s="35"/>
      <c r="X648" s="35"/>
      <c r="Y648" s="35"/>
      <c r="Z648" s="35"/>
      <c r="AA648" s="35"/>
    </row>
    <row r="649" ht="14.25" customHeight="1">
      <c r="A649" s="136"/>
      <c r="B649" s="137"/>
      <c r="C649" s="138"/>
      <c r="D649" s="136"/>
      <c r="E649" s="136"/>
      <c r="F649" s="136"/>
      <c r="G649" s="139"/>
      <c r="H649" s="140"/>
      <c r="I649" s="141"/>
      <c r="J649" s="141"/>
      <c r="K649" s="142"/>
      <c r="L649" s="142"/>
      <c r="M649" s="142"/>
      <c r="N649" s="142"/>
      <c r="O649" s="136"/>
      <c r="P649" s="34"/>
      <c r="Q649" s="35"/>
      <c r="R649" s="35"/>
      <c r="S649" s="35"/>
      <c r="T649" s="35"/>
      <c r="U649" s="35"/>
      <c r="V649" s="35"/>
      <c r="W649" s="35"/>
      <c r="X649" s="35"/>
      <c r="Y649" s="35"/>
      <c r="Z649" s="35"/>
      <c r="AA649" s="35"/>
    </row>
    <row r="650" ht="14.25" customHeight="1">
      <c r="A650" s="136"/>
      <c r="B650" s="137"/>
      <c r="C650" s="138"/>
      <c r="D650" s="136"/>
      <c r="E650" s="136"/>
      <c r="F650" s="136"/>
      <c r="G650" s="139"/>
      <c r="H650" s="140"/>
      <c r="I650" s="141"/>
      <c r="J650" s="141"/>
      <c r="K650" s="142"/>
      <c r="L650" s="142"/>
      <c r="M650" s="142"/>
      <c r="N650" s="142"/>
      <c r="O650" s="136"/>
      <c r="P650" s="34"/>
      <c r="Q650" s="35"/>
      <c r="R650" s="35"/>
      <c r="S650" s="35"/>
      <c r="T650" s="35"/>
      <c r="U650" s="35"/>
      <c r="V650" s="35"/>
      <c r="W650" s="35"/>
      <c r="X650" s="35"/>
      <c r="Y650" s="35"/>
      <c r="Z650" s="35"/>
      <c r="AA650" s="35"/>
    </row>
    <row r="651" ht="14.25" customHeight="1">
      <c r="A651" s="136"/>
      <c r="B651" s="137"/>
      <c r="C651" s="138"/>
      <c r="D651" s="136"/>
      <c r="E651" s="136"/>
      <c r="F651" s="136"/>
      <c r="G651" s="139"/>
      <c r="H651" s="140"/>
      <c r="I651" s="141"/>
      <c r="J651" s="141"/>
      <c r="K651" s="142"/>
      <c r="L651" s="142"/>
      <c r="M651" s="142"/>
      <c r="N651" s="142"/>
      <c r="O651" s="136"/>
      <c r="P651" s="34"/>
      <c r="Q651" s="35"/>
      <c r="R651" s="35"/>
      <c r="S651" s="35"/>
      <c r="T651" s="35"/>
      <c r="U651" s="35"/>
      <c r="V651" s="35"/>
      <c r="W651" s="35"/>
      <c r="X651" s="35"/>
      <c r="Y651" s="35"/>
      <c r="Z651" s="35"/>
      <c r="AA651" s="35"/>
    </row>
    <row r="652" ht="14.25" customHeight="1">
      <c r="A652" s="136"/>
      <c r="B652" s="137"/>
      <c r="C652" s="138"/>
      <c r="D652" s="136"/>
      <c r="E652" s="136"/>
      <c r="F652" s="136"/>
      <c r="G652" s="139"/>
      <c r="H652" s="140"/>
      <c r="I652" s="141"/>
      <c r="J652" s="141"/>
      <c r="K652" s="142"/>
      <c r="L652" s="142"/>
      <c r="M652" s="142"/>
      <c r="N652" s="142"/>
      <c r="O652" s="136"/>
      <c r="P652" s="34"/>
      <c r="Q652" s="35"/>
      <c r="R652" s="35"/>
      <c r="S652" s="35"/>
      <c r="T652" s="35"/>
      <c r="U652" s="35"/>
      <c r="V652" s="35"/>
      <c r="W652" s="35"/>
      <c r="X652" s="35"/>
      <c r="Y652" s="35"/>
      <c r="Z652" s="35"/>
      <c r="AA652" s="35"/>
    </row>
    <row r="653" ht="14.25" customHeight="1">
      <c r="A653" s="136"/>
      <c r="B653" s="137"/>
      <c r="C653" s="138"/>
      <c r="D653" s="136"/>
      <c r="E653" s="136"/>
      <c r="F653" s="136"/>
      <c r="G653" s="139"/>
      <c r="H653" s="140"/>
      <c r="I653" s="141"/>
      <c r="J653" s="141"/>
      <c r="K653" s="142"/>
      <c r="L653" s="142"/>
      <c r="M653" s="142"/>
      <c r="N653" s="142"/>
      <c r="O653" s="136"/>
      <c r="P653" s="34"/>
      <c r="Q653" s="35"/>
      <c r="R653" s="35"/>
      <c r="S653" s="35"/>
      <c r="T653" s="35"/>
      <c r="U653" s="35"/>
      <c r="V653" s="35"/>
      <c r="W653" s="35"/>
      <c r="X653" s="35"/>
      <c r="Y653" s="35"/>
      <c r="Z653" s="35"/>
      <c r="AA653" s="35"/>
    </row>
    <row r="654" ht="14.25" customHeight="1">
      <c r="A654" s="136"/>
      <c r="B654" s="137"/>
      <c r="C654" s="138"/>
      <c r="D654" s="136"/>
      <c r="E654" s="136"/>
      <c r="F654" s="136"/>
      <c r="G654" s="139"/>
      <c r="H654" s="140"/>
      <c r="I654" s="141"/>
      <c r="J654" s="141"/>
      <c r="K654" s="142"/>
      <c r="L654" s="142"/>
      <c r="M654" s="142"/>
      <c r="N654" s="142"/>
      <c r="O654" s="136"/>
      <c r="P654" s="34"/>
      <c r="Q654" s="35"/>
      <c r="R654" s="35"/>
      <c r="S654" s="35"/>
      <c r="T654" s="35"/>
      <c r="U654" s="35"/>
      <c r="V654" s="35"/>
      <c r="W654" s="35"/>
      <c r="X654" s="35"/>
      <c r="Y654" s="35"/>
      <c r="Z654" s="35"/>
      <c r="AA654" s="35"/>
    </row>
    <row r="655" ht="14.25" customHeight="1">
      <c r="A655" s="136"/>
      <c r="B655" s="137"/>
      <c r="C655" s="138"/>
      <c r="D655" s="136"/>
      <c r="E655" s="136"/>
      <c r="F655" s="136"/>
      <c r="G655" s="139"/>
      <c r="H655" s="140"/>
      <c r="I655" s="141"/>
      <c r="J655" s="141"/>
      <c r="K655" s="142"/>
      <c r="L655" s="142"/>
      <c r="M655" s="142"/>
      <c r="N655" s="142"/>
      <c r="O655" s="136"/>
      <c r="P655" s="34"/>
      <c r="Q655" s="35"/>
      <c r="R655" s="35"/>
      <c r="S655" s="35"/>
      <c r="T655" s="35"/>
      <c r="U655" s="35"/>
      <c r="V655" s="35"/>
      <c r="W655" s="35"/>
      <c r="X655" s="35"/>
      <c r="Y655" s="35"/>
      <c r="Z655" s="35"/>
      <c r="AA655" s="35"/>
    </row>
    <row r="656" ht="14.25" customHeight="1">
      <c r="A656" s="136"/>
      <c r="B656" s="137"/>
      <c r="C656" s="138"/>
      <c r="D656" s="136"/>
      <c r="E656" s="136"/>
      <c r="F656" s="136"/>
      <c r="G656" s="139"/>
      <c r="H656" s="140"/>
      <c r="I656" s="141"/>
      <c r="J656" s="141"/>
      <c r="K656" s="142"/>
      <c r="L656" s="142"/>
      <c r="M656" s="142"/>
      <c r="N656" s="142"/>
      <c r="O656" s="136"/>
      <c r="P656" s="34"/>
      <c r="Q656" s="35"/>
      <c r="R656" s="35"/>
      <c r="S656" s="35"/>
      <c r="T656" s="35"/>
      <c r="U656" s="35"/>
      <c r="V656" s="35"/>
      <c r="W656" s="35"/>
      <c r="X656" s="35"/>
      <c r="Y656" s="35"/>
      <c r="Z656" s="35"/>
      <c r="AA656" s="35"/>
    </row>
    <row r="657" ht="14.25" customHeight="1">
      <c r="A657" s="136"/>
      <c r="B657" s="137"/>
      <c r="C657" s="138"/>
      <c r="D657" s="136"/>
      <c r="E657" s="136"/>
      <c r="F657" s="136"/>
      <c r="G657" s="139"/>
      <c r="H657" s="140"/>
      <c r="I657" s="141"/>
      <c r="J657" s="141"/>
      <c r="K657" s="142"/>
      <c r="L657" s="142"/>
      <c r="M657" s="142"/>
      <c r="N657" s="142"/>
      <c r="O657" s="136"/>
      <c r="P657" s="34"/>
      <c r="Q657" s="35"/>
      <c r="R657" s="35"/>
      <c r="S657" s="35"/>
      <c r="T657" s="35"/>
      <c r="U657" s="35"/>
      <c r="V657" s="35"/>
      <c r="W657" s="35"/>
      <c r="X657" s="35"/>
      <c r="Y657" s="35"/>
      <c r="Z657" s="35"/>
      <c r="AA657" s="35"/>
    </row>
    <row r="658" ht="14.25" customHeight="1">
      <c r="A658" s="136"/>
      <c r="B658" s="137"/>
      <c r="C658" s="138"/>
      <c r="D658" s="136"/>
      <c r="E658" s="136"/>
      <c r="F658" s="136"/>
      <c r="G658" s="139"/>
      <c r="H658" s="140"/>
      <c r="I658" s="141"/>
      <c r="J658" s="141"/>
      <c r="K658" s="142"/>
      <c r="L658" s="142"/>
      <c r="M658" s="142"/>
      <c r="N658" s="142"/>
      <c r="O658" s="136"/>
      <c r="P658" s="34"/>
      <c r="Q658" s="35"/>
      <c r="R658" s="35"/>
      <c r="S658" s="35"/>
      <c r="T658" s="35"/>
      <c r="U658" s="35"/>
      <c r="V658" s="35"/>
      <c r="W658" s="35"/>
      <c r="X658" s="35"/>
      <c r="Y658" s="35"/>
      <c r="Z658" s="35"/>
      <c r="AA658" s="35"/>
    </row>
    <row r="659" ht="14.25" customHeight="1">
      <c r="A659" s="136"/>
      <c r="B659" s="137"/>
      <c r="C659" s="138"/>
      <c r="D659" s="136"/>
      <c r="E659" s="136"/>
      <c r="F659" s="136"/>
      <c r="G659" s="139"/>
      <c r="H659" s="140"/>
      <c r="I659" s="141"/>
      <c r="J659" s="141"/>
      <c r="K659" s="142"/>
      <c r="L659" s="142"/>
      <c r="M659" s="142"/>
      <c r="N659" s="142"/>
      <c r="O659" s="136"/>
      <c r="P659" s="34"/>
      <c r="Q659" s="35"/>
      <c r="R659" s="35"/>
      <c r="S659" s="35"/>
      <c r="T659" s="35"/>
      <c r="U659" s="35"/>
      <c r="V659" s="35"/>
      <c r="W659" s="35"/>
      <c r="X659" s="35"/>
      <c r="Y659" s="35"/>
      <c r="Z659" s="35"/>
      <c r="AA659" s="35"/>
    </row>
    <row r="660" ht="14.25" customHeight="1">
      <c r="A660" s="136"/>
      <c r="B660" s="137"/>
      <c r="C660" s="138"/>
      <c r="D660" s="136"/>
      <c r="E660" s="136"/>
      <c r="F660" s="136"/>
      <c r="G660" s="139"/>
      <c r="H660" s="140"/>
      <c r="I660" s="141"/>
      <c r="J660" s="141"/>
      <c r="K660" s="142"/>
      <c r="L660" s="142"/>
      <c r="M660" s="142"/>
      <c r="N660" s="142"/>
      <c r="O660" s="136"/>
      <c r="P660" s="34"/>
      <c r="Q660" s="35"/>
      <c r="R660" s="35"/>
      <c r="S660" s="35"/>
      <c r="T660" s="35"/>
      <c r="U660" s="35"/>
      <c r="V660" s="35"/>
      <c r="W660" s="35"/>
      <c r="X660" s="35"/>
      <c r="Y660" s="35"/>
      <c r="Z660" s="35"/>
      <c r="AA660" s="35"/>
    </row>
    <row r="661" ht="14.25" customHeight="1">
      <c r="A661" s="136"/>
      <c r="B661" s="137"/>
      <c r="C661" s="138"/>
      <c r="D661" s="136"/>
      <c r="E661" s="136"/>
      <c r="F661" s="136"/>
      <c r="G661" s="139"/>
      <c r="H661" s="140"/>
      <c r="I661" s="141"/>
      <c r="J661" s="141"/>
      <c r="K661" s="142"/>
      <c r="L661" s="142"/>
      <c r="M661" s="142"/>
      <c r="N661" s="142"/>
      <c r="O661" s="136"/>
      <c r="P661" s="34"/>
      <c r="Q661" s="35"/>
      <c r="R661" s="35"/>
      <c r="S661" s="35"/>
      <c r="T661" s="35"/>
      <c r="U661" s="35"/>
      <c r="V661" s="35"/>
      <c r="W661" s="35"/>
      <c r="X661" s="35"/>
      <c r="Y661" s="35"/>
      <c r="Z661" s="35"/>
      <c r="AA661" s="35"/>
    </row>
    <row r="662" ht="14.25" customHeight="1">
      <c r="A662" s="136"/>
      <c r="B662" s="137"/>
      <c r="C662" s="138"/>
      <c r="D662" s="136"/>
      <c r="E662" s="136"/>
      <c r="F662" s="136"/>
      <c r="G662" s="139"/>
      <c r="H662" s="140"/>
      <c r="I662" s="141"/>
      <c r="J662" s="141"/>
      <c r="K662" s="142"/>
      <c r="L662" s="142"/>
      <c r="M662" s="142"/>
      <c r="N662" s="142"/>
      <c r="O662" s="136"/>
      <c r="P662" s="34"/>
      <c r="Q662" s="35"/>
      <c r="R662" s="35"/>
      <c r="S662" s="35"/>
      <c r="T662" s="35"/>
      <c r="U662" s="35"/>
      <c r="V662" s="35"/>
      <c r="W662" s="35"/>
      <c r="X662" s="35"/>
      <c r="Y662" s="35"/>
      <c r="Z662" s="35"/>
      <c r="AA662" s="35"/>
    </row>
    <row r="663" ht="14.25" customHeight="1">
      <c r="A663" s="136"/>
      <c r="B663" s="137"/>
      <c r="C663" s="138"/>
      <c r="D663" s="136"/>
      <c r="E663" s="136"/>
      <c r="F663" s="136"/>
      <c r="G663" s="139"/>
      <c r="H663" s="140"/>
      <c r="I663" s="141"/>
      <c r="J663" s="141"/>
      <c r="K663" s="142"/>
      <c r="L663" s="142"/>
      <c r="M663" s="142"/>
      <c r="N663" s="142"/>
      <c r="O663" s="136"/>
      <c r="P663" s="34"/>
      <c r="Q663" s="35"/>
      <c r="R663" s="35"/>
      <c r="S663" s="35"/>
      <c r="T663" s="35"/>
      <c r="U663" s="35"/>
      <c r="V663" s="35"/>
      <c r="W663" s="35"/>
      <c r="X663" s="35"/>
      <c r="Y663" s="35"/>
      <c r="Z663" s="35"/>
      <c r="AA663" s="35"/>
    </row>
    <row r="664" ht="14.25" customHeight="1">
      <c r="A664" s="136"/>
      <c r="B664" s="137"/>
      <c r="C664" s="138"/>
      <c r="D664" s="136"/>
      <c r="E664" s="136"/>
      <c r="F664" s="136"/>
      <c r="G664" s="139"/>
      <c r="H664" s="140"/>
      <c r="I664" s="141"/>
      <c r="J664" s="141"/>
      <c r="K664" s="142"/>
      <c r="L664" s="142"/>
      <c r="M664" s="142"/>
      <c r="N664" s="142"/>
      <c r="O664" s="136"/>
      <c r="P664" s="34"/>
      <c r="Q664" s="35"/>
      <c r="R664" s="35"/>
      <c r="S664" s="35"/>
      <c r="T664" s="35"/>
      <c r="U664" s="35"/>
      <c r="V664" s="35"/>
      <c r="W664" s="35"/>
      <c r="X664" s="35"/>
      <c r="Y664" s="35"/>
      <c r="Z664" s="35"/>
      <c r="AA664" s="35"/>
    </row>
    <row r="665" ht="14.25" customHeight="1">
      <c r="A665" s="136"/>
      <c r="B665" s="137"/>
      <c r="C665" s="138"/>
      <c r="D665" s="136"/>
      <c r="E665" s="136"/>
      <c r="F665" s="136"/>
      <c r="G665" s="139"/>
      <c r="H665" s="140"/>
      <c r="I665" s="141"/>
      <c r="J665" s="141"/>
      <c r="K665" s="142"/>
      <c r="L665" s="142"/>
      <c r="M665" s="142"/>
      <c r="N665" s="142"/>
      <c r="O665" s="136"/>
      <c r="P665" s="34"/>
      <c r="Q665" s="35"/>
      <c r="R665" s="35"/>
      <c r="S665" s="35"/>
      <c r="T665" s="35"/>
      <c r="U665" s="35"/>
      <c r="V665" s="35"/>
      <c r="W665" s="35"/>
      <c r="X665" s="35"/>
      <c r="Y665" s="35"/>
      <c r="Z665" s="35"/>
      <c r="AA665" s="35"/>
    </row>
    <row r="666" ht="14.25" customHeight="1">
      <c r="A666" s="136"/>
      <c r="B666" s="137"/>
      <c r="C666" s="138"/>
      <c r="D666" s="136"/>
      <c r="E666" s="136"/>
      <c r="F666" s="136"/>
      <c r="G666" s="139"/>
      <c r="H666" s="140"/>
      <c r="I666" s="141"/>
      <c r="J666" s="141"/>
      <c r="K666" s="142"/>
      <c r="L666" s="142"/>
      <c r="M666" s="142"/>
      <c r="N666" s="142"/>
      <c r="O666" s="136"/>
      <c r="P666" s="34"/>
      <c r="Q666" s="35"/>
      <c r="R666" s="35"/>
      <c r="S666" s="35"/>
      <c r="T666" s="35"/>
      <c r="U666" s="35"/>
      <c r="V666" s="35"/>
      <c r="W666" s="35"/>
      <c r="X666" s="35"/>
      <c r="Y666" s="35"/>
      <c r="Z666" s="35"/>
      <c r="AA666" s="35"/>
    </row>
    <row r="667" ht="14.25" customHeight="1">
      <c r="A667" s="136"/>
      <c r="B667" s="137"/>
      <c r="C667" s="138"/>
      <c r="D667" s="136"/>
      <c r="E667" s="136"/>
      <c r="F667" s="136"/>
      <c r="G667" s="139"/>
      <c r="H667" s="140"/>
      <c r="I667" s="141"/>
      <c r="J667" s="141"/>
      <c r="K667" s="142"/>
      <c r="L667" s="142"/>
      <c r="M667" s="142"/>
      <c r="N667" s="142"/>
      <c r="O667" s="136"/>
      <c r="P667" s="34"/>
      <c r="Q667" s="35"/>
      <c r="R667" s="35"/>
      <c r="S667" s="35"/>
      <c r="T667" s="35"/>
      <c r="U667" s="35"/>
      <c r="V667" s="35"/>
      <c r="W667" s="35"/>
      <c r="X667" s="35"/>
      <c r="Y667" s="35"/>
      <c r="Z667" s="35"/>
      <c r="AA667" s="35"/>
    </row>
    <row r="668" ht="14.25" customHeight="1">
      <c r="A668" s="136"/>
      <c r="B668" s="137"/>
      <c r="C668" s="138"/>
      <c r="D668" s="136"/>
      <c r="E668" s="136"/>
      <c r="F668" s="136"/>
      <c r="G668" s="139"/>
      <c r="H668" s="140"/>
      <c r="I668" s="141"/>
      <c r="J668" s="141"/>
      <c r="K668" s="142"/>
      <c r="L668" s="142"/>
      <c r="M668" s="142"/>
      <c r="N668" s="142"/>
      <c r="O668" s="136"/>
      <c r="P668" s="34"/>
      <c r="Q668" s="35"/>
      <c r="R668" s="35"/>
      <c r="S668" s="35"/>
      <c r="T668" s="35"/>
      <c r="U668" s="35"/>
      <c r="V668" s="35"/>
      <c r="W668" s="35"/>
      <c r="X668" s="35"/>
      <c r="Y668" s="35"/>
      <c r="Z668" s="35"/>
      <c r="AA668" s="35"/>
    </row>
    <row r="669" ht="14.25" customHeight="1">
      <c r="A669" s="136"/>
      <c r="B669" s="137"/>
      <c r="C669" s="138"/>
      <c r="D669" s="136"/>
      <c r="E669" s="136"/>
      <c r="F669" s="136"/>
      <c r="G669" s="139"/>
      <c r="H669" s="140"/>
      <c r="I669" s="141"/>
      <c r="J669" s="141"/>
      <c r="K669" s="142"/>
      <c r="L669" s="142"/>
      <c r="M669" s="142"/>
      <c r="N669" s="142"/>
      <c r="O669" s="136"/>
      <c r="P669" s="34"/>
      <c r="Q669" s="35"/>
      <c r="R669" s="35"/>
      <c r="S669" s="35"/>
      <c r="T669" s="35"/>
      <c r="U669" s="35"/>
      <c r="V669" s="35"/>
      <c r="W669" s="35"/>
      <c r="X669" s="35"/>
      <c r="Y669" s="35"/>
      <c r="Z669" s="35"/>
      <c r="AA669" s="35"/>
    </row>
    <row r="670" ht="14.25" customHeight="1">
      <c r="A670" s="136"/>
      <c r="B670" s="137"/>
      <c r="C670" s="138"/>
      <c r="D670" s="136"/>
      <c r="E670" s="136"/>
      <c r="F670" s="136"/>
      <c r="G670" s="139"/>
      <c r="H670" s="140"/>
      <c r="I670" s="141"/>
      <c r="J670" s="141"/>
      <c r="K670" s="142"/>
      <c r="L670" s="142"/>
      <c r="M670" s="142"/>
      <c r="N670" s="142"/>
      <c r="O670" s="136"/>
      <c r="P670" s="34"/>
      <c r="Q670" s="35"/>
      <c r="R670" s="35"/>
      <c r="S670" s="35"/>
      <c r="T670" s="35"/>
      <c r="U670" s="35"/>
      <c r="V670" s="35"/>
      <c r="W670" s="35"/>
      <c r="X670" s="35"/>
      <c r="Y670" s="35"/>
      <c r="Z670" s="35"/>
      <c r="AA670" s="35"/>
    </row>
    <row r="671" ht="14.25" customHeight="1">
      <c r="A671" s="136"/>
      <c r="B671" s="137"/>
      <c r="C671" s="138"/>
      <c r="D671" s="136"/>
      <c r="E671" s="136"/>
      <c r="F671" s="136"/>
      <c r="G671" s="139"/>
      <c r="H671" s="140"/>
      <c r="I671" s="141"/>
      <c r="J671" s="141"/>
      <c r="K671" s="142"/>
      <c r="L671" s="142"/>
      <c r="M671" s="142"/>
      <c r="N671" s="142"/>
      <c r="O671" s="136"/>
      <c r="P671" s="34"/>
      <c r="Q671" s="35"/>
      <c r="R671" s="35"/>
      <c r="S671" s="35"/>
      <c r="T671" s="35"/>
      <c r="U671" s="35"/>
      <c r="V671" s="35"/>
      <c r="W671" s="35"/>
      <c r="X671" s="35"/>
      <c r="Y671" s="35"/>
      <c r="Z671" s="35"/>
      <c r="AA671" s="35"/>
    </row>
    <row r="672" ht="14.25" customHeight="1">
      <c r="A672" s="136"/>
      <c r="B672" s="137"/>
      <c r="C672" s="138"/>
      <c r="D672" s="136"/>
      <c r="E672" s="136"/>
      <c r="F672" s="136"/>
      <c r="G672" s="139"/>
      <c r="H672" s="140"/>
      <c r="I672" s="141"/>
      <c r="J672" s="141"/>
      <c r="K672" s="142"/>
      <c r="L672" s="142"/>
      <c r="M672" s="142"/>
      <c r="N672" s="142"/>
      <c r="O672" s="136"/>
      <c r="P672" s="34"/>
      <c r="Q672" s="35"/>
      <c r="R672" s="35"/>
      <c r="S672" s="35"/>
      <c r="T672" s="35"/>
      <c r="U672" s="35"/>
      <c r="V672" s="35"/>
      <c r="W672" s="35"/>
      <c r="X672" s="35"/>
      <c r="Y672" s="35"/>
      <c r="Z672" s="35"/>
      <c r="AA672" s="35"/>
    </row>
    <row r="673" ht="14.25" customHeight="1">
      <c r="A673" s="136"/>
      <c r="B673" s="137"/>
      <c r="C673" s="138"/>
      <c r="D673" s="136"/>
      <c r="E673" s="136"/>
      <c r="F673" s="136"/>
      <c r="G673" s="139"/>
      <c r="H673" s="140"/>
      <c r="I673" s="141"/>
      <c r="J673" s="141"/>
      <c r="K673" s="142"/>
      <c r="L673" s="142"/>
      <c r="M673" s="142"/>
      <c r="N673" s="142"/>
      <c r="O673" s="136"/>
      <c r="P673" s="34"/>
      <c r="Q673" s="35"/>
      <c r="R673" s="35"/>
      <c r="S673" s="35"/>
      <c r="T673" s="35"/>
      <c r="U673" s="35"/>
      <c r="V673" s="35"/>
      <c r="W673" s="35"/>
      <c r="X673" s="35"/>
      <c r="Y673" s="35"/>
      <c r="Z673" s="35"/>
      <c r="AA673" s="35"/>
    </row>
    <row r="674" ht="14.25" customHeight="1">
      <c r="A674" s="136"/>
      <c r="B674" s="137"/>
      <c r="C674" s="138"/>
      <c r="D674" s="136"/>
      <c r="E674" s="136"/>
      <c r="F674" s="136"/>
      <c r="G674" s="139"/>
      <c r="H674" s="140"/>
      <c r="I674" s="141"/>
      <c r="J674" s="141"/>
      <c r="K674" s="142"/>
      <c r="L674" s="142"/>
      <c r="M674" s="142"/>
      <c r="N674" s="142"/>
      <c r="O674" s="136"/>
      <c r="P674" s="34"/>
      <c r="Q674" s="35"/>
      <c r="R674" s="35"/>
      <c r="S674" s="35"/>
      <c r="T674" s="35"/>
      <c r="U674" s="35"/>
      <c r="V674" s="35"/>
      <c r="W674" s="35"/>
      <c r="X674" s="35"/>
      <c r="Y674" s="35"/>
      <c r="Z674" s="35"/>
      <c r="AA674" s="35"/>
    </row>
    <row r="675" ht="14.25" customHeight="1">
      <c r="A675" s="136"/>
      <c r="B675" s="137"/>
      <c r="C675" s="138"/>
      <c r="D675" s="136"/>
      <c r="E675" s="136"/>
      <c r="F675" s="136"/>
      <c r="G675" s="139"/>
      <c r="H675" s="140"/>
      <c r="I675" s="141"/>
      <c r="J675" s="141"/>
      <c r="K675" s="142"/>
      <c r="L675" s="142"/>
      <c r="M675" s="142"/>
      <c r="N675" s="142"/>
      <c r="O675" s="136"/>
      <c r="P675" s="34"/>
      <c r="Q675" s="35"/>
      <c r="R675" s="35"/>
      <c r="S675" s="35"/>
      <c r="T675" s="35"/>
      <c r="U675" s="35"/>
      <c r="V675" s="35"/>
      <c r="W675" s="35"/>
      <c r="X675" s="35"/>
      <c r="Y675" s="35"/>
      <c r="Z675" s="35"/>
      <c r="AA675" s="35"/>
    </row>
    <row r="676" ht="14.25" customHeight="1">
      <c r="A676" s="136"/>
      <c r="B676" s="137"/>
      <c r="C676" s="138"/>
      <c r="D676" s="136"/>
      <c r="E676" s="136"/>
      <c r="F676" s="136"/>
      <c r="G676" s="139"/>
      <c r="H676" s="140"/>
      <c r="I676" s="141"/>
      <c r="J676" s="141"/>
      <c r="K676" s="142"/>
      <c r="L676" s="142"/>
      <c r="M676" s="142"/>
      <c r="N676" s="142"/>
      <c r="O676" s="136"/>
      <c r="P676" s="34"/>
      <c r="Q676" s="35"/>
      <c r="R676" s="35"/>
      <c r="S676" s="35"/>
      <c r="T676" s="35"/>
      <c r="U676" s="35"/>
      <c r="V676" s="35"/>
      <c r="W676" s="35"/>
      <c r="X676" s="35"/>
      <c r="Y676" s="35"/>
      <c r="Z676" s="35"/>
      <c r="AA676" s="35"/>
    </row>
    <row r="677" ht="14.25" customHeight="1">
      <c r="A677" s="136"/>
      <c r="B677" s="137"/>
      <c r="C677" s="138"/>
      <c r="D677" s="136"/>
      <c r="E677" s="136"/>
      <c r="F677" s="136"/>
      <c r="G677" s="139"/>
      <c r="H677" s="140"/>
      <c r="I677" s="141"/>
      <c r="J677" s="141"/>
      <c r="K677" s="142"/>
      <c r="L677" s="142"/>
      <c r="M677" s="142"/>
      <c r="N677" s="142"/>
      <c r="O677" s="136"/>
      <c r="P677" s="34"/>
      <c r="Q677" s="35"/>
      <c r="R677" s="35"/>
      <c r="S677" s="35"/>
      <c r="T677" s="35"/>
      <c r="U677" s="35"/>
      <c r="V677" s="35"/>
      <c r="W677" s="35"/>
      <c r="X677" s="35"/>
      <c r="Y677" s="35"/>
      <c r="Z677" s="35"/>
      <c r="AA677" s="35"/>
    </row>
    <row r="678" ht="14.25" customHeight="1">
      <c r="A678" s="136"/>
      <c r="B678" s="137"/>
      <c r="C678" s="138"/>
      <c r="D678" s="136"/>
      <c r="E678" s="136"/>
      <c r="F678" s="136"/>
      <c r="G678" s="139"/>
      <c r="H678" s="140"/>
      <c r="I678" s="141"/>
      <c r="J678" s="141"/>
      <c r="K678" s="142"/>
      <c r="L678" s="142"/>
      <c r="M678" s="142"/>
      <c r="N678" s="142"/>
      <c r="O678" s="136"/>
      <c r="P678" s="34"/>
      <c r="Q678" s="35"/>
      <c r="R678" s="35"/>
      <c r="S678" s="35"/>
      <c r="T678" s="35"/>
      <c r="U678" s="35"/>
      <c r="V678" s="35"/>
      <c r="W678" s="35"/>
      <c r="X678" s="35"/>
      <c r="Y678" s="35"/>
      <c r="Z678" s="35"/>
      <c r="AA678" s="35"/>
    </row>
    <row r="679" ht="14.25" customHeight="1">
      <c r="A679" s="136"/>
      <c r="B679" s="137"/>
      <c r="C679" s="138"/>
      <c r="D679" s="136"/>
      <c r="E679" s="136"/>
      <c r="F679" s="136"/>
      <c r="G679" s="139"/>
      <c r="H679" s="140"/>
      <c r="I679" s="141"/>
      <c r="J679" s="141"/>
      <c r="K679" s="142"/>
      <c r="L679" s="142"/>
      <c r="M679" s="142"/>
      <c r="N679" s="142"/>
      <c r="O679" s="136"/>
      <c r="P679" s="34"/>
      <c r="Q679" s="35"/>
      <c r="R679" s="35"/>
      <c r="S679" s="35"/>
      <c r="T679" s="35"/>
      <c r="U679" s="35"/>
      <c r="V679" s="35"/>
      <c r="W679" s="35"/>
      <c r="X679" s="35"/>
      <c r="Y679" s="35"/>
      <c r="Z679" s="35"/>
      <c r="AA679" s="35"/>
    </row>
    <row r="680" ht="14.25" customHeight="1">
      <c r="A680" s="136"/>
      <c r="B680" s="137"/>
      <c r="C680" s="138"/>
      <c r="D680" s="136"/>
      <c r="E680" s="136"/>
      <c r="F680" s="136"/>
      <c r="G680" s="139"/>
      <c r="H680" s="140"/>
      <c r="I680" s="141"/>
      <c r="J680" s="141"/>
      <c r="K680" s="142"/>
      <c r="L680" s="142"/>
      <c r="M680" s="142"/>
      <c r="N680" s="142"/>
      <c r="O680" s="136"/>
      <c r="P680" s="34"/>
      <c r="Q680" s="35"/>
      <c r="R680" s="35"/>
      <c r="S680" s="35"/>
      <c r="T680" s="35"/>
      <c r="U680" s="35"/>
      <c r="V680" s="35"/>
      <c r="W680" s="35"/>
      <c r="X680" s="35"/>
      <c r="Y680" s="35"/>
      <c r="Z680" s="35"/>
      <c r="AA680" s="35"/>
    </row>
    <row r="681" ht="14.25" customHeight="1">
      <c r="A681" s="136"/>
      <c r="B681" s="137"/>
      <c r="C681" s="138"/>
      <c r="D681" s="136"/>
      <c r="E681" s="136"/>
      <c r="F681" s="136"/>
      <c r="G681" s="139"/>
      <c r="H681" s="140"/>
      <c r="I681" s="141"/>
      <c r="J681" s="141"/>
      <c r="K681" s="142"/>
      <c r="L681" s="142"/>
      <c r="M681" s="142"/>
      <c r="N681" s="142"/>
      <c r="O681" s="136"/>
      <c r="P681" s="34"/>
      <c r="Q681" s="35"/>
      <c r="R681" s="35"/>
      <c r="S681" s="35"/>
      <c r="T681" s="35"/>
      <c r="U681" s="35"/>
      <c r="V681" s="35"/>
      <c r="W681" s="35"/>
      <c r="X681" s="35"/>
      <c r="Y681" s="35"/>
      <c r="Z681" s="35"/>
      <c r="AA681" s="35"/>
    </row>
    <row r="682" ht="14.25" customHeight="1">
      <c r="A682" s="136"/>
      <c r="B682" s="137"/>
      <c r="C682" s="138"/>
      <c r="D682" s="136"/>
      <c r="E682" s="136"/>
      <c r="F682" s="136"/>
      <c r="G682" s="139"/>
      <c r="H682" s="140"/>
      <c r="I682" s="141"/>
      <c r="J682" s="141"/>
      <c r="K682" s="142"/>
      <c r="L682" s="142"/>
      <c r="M682" s="142"/>
      <c r="N682" s="142"/>
      <c r="O682" s="136"/>
      <c r="P682" s="34"/>
      <c r="Q682" s="35"/>
      <c r="R682" s="35"/>
      <c r="S682" s="35"/>
      <c r="T682" s="35"/>
      <c r="U682" s="35"/>
      <c r="V682" s="35"/>
      <c r="W682" s="35"/>
      <c r="X682" s="35"/>
      <c r="Y682" s="35"/>
      <c r="Z682" s="35"/>
      <c r="AA682" s="35"/>
    </row>
    <row r="683" ht="14.25" customHeight="1">
      <c r="A683" s="136"/>
      <c r="B683" s="137"/>
      <c r="C683" s="138"/>
      <c r="D683" s="136"/>
      <c r="E683" s="136"/>
      <c r="F683" s="136"/>
      <c r="G683" s="139"/>
      <c r="H683" s="140"/>
      <c r="I683" s="141"/>
      <c r="J683" s="141"/>
      <c r="K683" s="142"/>
      <c r="L683" s="142"/>
      <c r="M683" s="142"/>
      <c r="N683" s="142"/>
      <c r="O683" s="136"/>
      <c r="P683" s="34"/>
      <c r="Q683" s="35"/>
      <c r="R683" s="35"/>
      <c r="S683" s="35"/>
      <c r="T683" s="35"/>
      <c r="U683" s="35"/>
      <c r="V683" s="35"/>
      <c r="W683" s="35"/>
      <c r="X683" s="35"/>
      <c r="Y683" s="35"/>
      <c r="Z683" s="35"/>
      <c r="AA683" s="35"/>
    </row>
    <row r="684" ht="14.25" customHeight="1">
      <c r="A684" s="136"/>
      <c r="B684" s="137"/>
      <c r="C684" s="138"/>
      <c r="D684" s="136"/>
      <c r="E684" s="136"/>
      <c r="F684" s="136"/>
      <c r="G684" s="139"/>
      <c r="H684" s="140"/>
      <c r="I684" s="141"/>
      <c r="J684" s="141"/>
      <c r="K684" s="142"/>
      <c r="L684" s="142"/>
      <c r="M684" s="142"/>
      <c r="N684" s="142"/>
      <c r="O684" s="136"/>
      <c r="P684" s="34"/>
      <c r="Q684" s="35"/>
      <c r="R684" s="35"/>
      <c r="S684" s="35"/>
      <c r="T684" s="35"/>
      <c r="U684" s="35"/>
      <c r="V684" s="35"/>
      <c r="W684" s="35"/>
      <c r="X684" s="35"/>
      <c r="Y684" s="35"/>
      <c r="Z684" s="35"/>
      <c r="AA684" s="35"/>
    </row>
    <row r="685" ht="14.25" customHeight="1">
      <c r="A685" s="136"/>
      <c r="B685" s="137"/>
      <c r="C685" s="138"/>
      <c r="D685" s="136"/>
      <c r="E685" s="136"/>
      <c r="F685" s="136"/>
      <c r="G685" s="139"/>
      <c r="H685" s="140"/>
      <c r="I685" s="141"/>
      <c r="J685" s="141"/>
      <c r="K685" s="142"/>
      <c r="L685" s="142"/>
      <c r="M685" s="142"/>
      <c r="N685" s="142"/>
      <c r="O685" s="136"/>
      <c r="P685" s="34"/>
      <c r="Q685" s="35"/>
      <c r="R685" s="35"/>
      <c r="S685" s="35"/>
      <c r="T685" s="35"/>
      <c r="U685" s="35"/>
      <c r="V685" s="35"/>
      <c r="W685" s="35"/>
      <c r="X685" s="35"/>
      <c r="Y685" s="35"/>
      <c r="Z685" s="35"/>
      <c r="AA685" s="35"/>
    </row>
    <row r="686" ht="14.25" customHeight="1">
      <c r="A686" s="136"/>
      <c r="B686" s="137"/>
      <c r="C686" s="138"/>
      <c r="D686" s="136"/>
      <c r="E686" s="136"/>
      <c r="F686" s="136"/>
      <c r="G686" s="139"/>
      <c r="H686" s="140"/>
      <c r="I686" s="141"/>
      <c r="J686" s="141"/>
      <c r="K686" s="142"/>
      <c r="L686" s="142"/>
      <c r="M686" s="142"/>
      <c r="N686" s="142"/>
      <c r="O686" s="136"/>
      <c r="P686" s="34"/>
      <c r="Q686" s="35"/>
      <c r="R686" s="35"/>
      <c r="S686" s="35"/>
      <c r="T686" s="35"/>
      <c r="U686" s="35"/>
      <c r="V686" s="35"/>
      <c r="W686" s="35"/>
      <c r="X686" s="35"/>
      <c r="Y686" s="35"/>
      <c r="Z686" s="35"/>
      <c r="AA686" s="35"/>
    </row>
    <row r="687" ht="14.25" customHeight="1">
      <c r="A687" s="136"/>
      <c r="B687" s="137"/>
      <c r="C687" s="138"/>
      <c r="D687" s="136"/>
      <c r="E687" s="136"/>
      <c r="F687" s="136"/>
      <c r="G687" s="139"/>
      <c r="H687" s="140"/>
      <c r="I687" s="141"/>
      <c r="J687" s="141"/>
      <c r="K687" s="142"/>
      <c r="L687" s="142"/>
      <c r="M687" s="142"/>
      <c r="N687" s="142"/>
      <c r="O687" s="136"/>
      <c r="P687" s="34"/>
      <c r="Q687" s="35"/>
      <c r="R687" s="35"/>
      <c r="S687" s="35"/>
      <c r="T687" s="35"/>
      <c r="U687" s="35"/>
      <c r="V687" s="35"/>
      <c r="W687" s="35"/>
      <c r="X687" s="35"/>
      <c r="Y687" s="35"/>
      <c r="Z687" s="35"/>
      <c r="AA687" s="35"/>
    </row>
    <row r="688" ht="14.25" customHeight="1">
      <c r="A688" s="136"/>
      <c r="B688" s="137"/>
      <c r="C688" s="138"/>
      <c r="D688" s="136"/>
      <c r="E688" s="136"/>
      <c r="F688" s="136"/>
      <c r="G688" s="139"/>
      <c r="H688" s="140"/>
      <c r="I688" s="141"/>
      <c r="J688" s="141"/>
      <c r="K688" s="142"/>
      <c r="L688" s="142"/>
      <c r="M688" s="142"/>
      <c r="N688" s="142"/>
      <c r="O688" s="136"/>
      <c r="P688" s="34"/>
      <c r="Q688" s="35"/>
      <c r="R688" s="35"/>
      <c r="S688" s="35"/>
      <c r="T688" s="35"/>
      <c r="U688" s="35"/>
      <c r="V688" s="35"/>
      <c r="W688" s="35"/>
      <c r="X688" s="35"/>
      <c r="Y688" s="35"/>
      <c r="Z688" s="35"/>
      <c r="AA688" s="35"/>
    </row>
    <row r="689" ht="14.25" customHeight="1">
      <c r="A689" s="136"/>
      <c r="B689" s="137"/>
      <c r="C689" s="138"/>
      <c r="D689" s="136"/>
      <c r="E689" s="136"/>
      <c r="F689" s="136"/>
      <c r="G689" s="139"/>
      <c r="H689" s="140"/>
      <c r="I689" s="141"/>
      <c r="J689" s="141"/>
      <c r="K689" s="142"/>
      <c r="L689" s="142"/>
      <c r="M689" s="142"/>
      <c r="N689" s="142"/>
      <c r="O689" s="136"/>
      <c r="P689" s="34"/>
      <c r="Q689" s="35"/>
      <c r="R689" s="35"/>
      <c r="S689" s="35"/>
      <c r="T689" s="35"/>
      <c r="U689" s="35"/>
      <c r="V689" s="35"/>
      <c r="W689" s="35"/>
      <c r="X689" s="35"/>
      <c r="Y689" s="35"/>
      <c r="Z689" s="35"/>
      <c r="AA689" s="35"/>
    </row>
    <row r="690" ht="14.25" customHeight="1">
      <c r="A690" s="136"/>
      <c r="B690" s="137"/>
      <c r="C690" s="138"/>
      <c r="D690" s="136"/>
      <c r="E690" s="136"/>
      <c r="F690" s="136"/>
      <c r="G690" s="139"/>
      <c r="H690" s="140"/>
      <c r="I690" s="141"/>
      <c r="J690" s="141"/>
      <c r="K690" s="142"/>
      <c r="L690" s="142"/>
      <c r="M690" s="142"/>
      <c r="N690" s="142"/>
      <c r="O690" s="136"/>
      <c r="P690" s="34"/>
      <c r="Q690" s="35"/>
      <c r="R690" s="35"/>
      <c r="S690" s="35"/>
      <c r="T690" s="35"/>
      <c r="U690" s="35"/>
      <c r="V690" s="35"/>
      <c r="W690" s="35"/>
      <c r="X690" s="35"/>
      <c r="Y690" s="35"/>
      <c r="Z690" s="35"/>
      <c r="AA690" s="35"/>
    </row>
    <row r="691" ht="14.25" customHeight="1">
      <c r="A691" s="136"/>
      <c r="B691" s="137"/>
      <c r="C691" s="138"/>
      <c r="D691" s="136"/>
      <c r="E691" s="136"/>
      <c r="F691" s="136"/>
      <c r="G691" s="139"/>
      <c r="H691" s="140"/>
      <c r="I691" s="141"/>
      <c r="J691" s="141"/>
      <c r="K691" s="142"/>
      <c r="L691" s="142"/>
      <c r="M691" s="142"/>
      <c r="N691" s="142"/>
      <c r="O691" s="136"/>
      <c r="P691" s="34"/>
      <c r="Q691" s="35"/>
      <c r="R691" s="35"/>
      <c r="S691" s="35"/>
      <c r="T691" s="35"/>
      <c r="U691" s="35"/>
      <c r="V691" s="35"/>
      <c r="W691" s="35"/>
      <c r="X691" s="35"/>
      <c r="Y691" s="35"/>
      <c r="Z691" s="35"/>
      <c r="AA691" s="35"/>
    </row>
    <row r="692" ht="14.25" customHeight="1">
      <c r="A692" s="136"/>
      <c r="B692" s="137"/>
      <c r="C692" s="138"/>
      <c r="D692" s="136"/>
      <c r="E692" s="136"/>
      <c r="F692" s="136"/>
      <c r="G692" s="139"/>
      <c r="H692" s="140"/>
      <c r="I692" s="141"/>
      <c r="J692" s="141"/>
      <c r="K692" s="142"/>
      <c r="L692" s="142"/>
      <c r="M692" s="142"/>
      <c r="N692" s="142"/>
      <c r="O692" s="136"/>
      <c r="P692" s="34"/>
      <c r="Q692" s="35"/>
      <c r="R692" s="35"/>
      <c r="S692" s="35"/>
      <c r="T692" s="35"/>
      <c r="U692" s="35"/>
      <c r="V692" s="35"/>
      <c r="W692" s="35"/>
      <c r="X692" s="35"/>
      <c r="Y692" s="35"/>
      <c r="Z692" s="35"/>
      <c r="AA692" s="35"/>
    </row>
    <row r="693" ht="14.25" customHeight="1">
      <c r="A693" s="136"/>
      <c r="B693" s="137"/>
      <c r="C693" s="138"/>
      <c r="D693" s="136"/>
      <c r="E693" s="136"/>
      <c r="F693" s="136"/>
      <c r="G693" s="139"/>
      <c r="H693" s="140"/>
      <c r="I693" s="141"/>
      <c r="J693" s="141"/>
      <c r="K693" s="142"/>
      <c r="L693" s="142"/>
      <c r="M693" s="142"/>
      <c r="N693" s="142"/>
      <c r="O693" s="136"/>
      <c r="P693" s="34"/>
      <c r="Q693" s="35"/>
      <c r="R693" s="35"/>
      <c r="S693" s="35"/>
      <c r="T693" s="35"/>
      <c r="U693" s="35"/>
      <c r="V693" s="35"/>
      <c r="W693" s="35"/>
      <c r="X693" s="35"/>
      <c r="Y693" s="35"/>
      <c r="Z693" s="35"/>
      <c r="AA693" s="35"/>
    </row>
    <row r="694" ht="14.25" customHeight="1">
      <c r="A694" s="136"/>
      <c r="B694" s="137"/>
      <c r="C694" s="138"/>
      <c r="D694" s="136"/>
      <c r="E694" s="136"/>
      <c r="F694" s="136"/>
      <c r="G694" s="139"/>
      <c r="H694" s="140"/>
      <c r="I694" s="141"/>
      <c r="J694" s="141"/>
      <c r="K694" s="142"/>
      <c r="L694" s="142"/>
      <c r="M694" s="142"/>
      <c r="N694" s="142"/>
      <c r="O694" s="136"/>
      <c r="P694" s="34"/>
      <c r="Q694" s="35"/>
      <c r="R694" s="35"/>
      <c r="S694" s="35"/>
      <c r="T694" s="35"/>
      <c r="U694" s="35"/>
      <c r="V694" s="35"/>
      <c r="W694" s="35"/>
      <c r="X694" s="35"/>
      <c r="Y694" s="35"/>
      <c r="Z694" s="35"/>
      <c r="AA694" s="35"/>
    </row>
    <row r="695" ht="14.25" customHeight="1">
      <c r="A695" s="136"/>
      <c r="B695" s="137"/>
      <c r="C695" s="138"/>
      <c r="D695" s="136"/>
      <c r="E695" s="136"/>
      <c r="F695" s="136"/>
      <c r="G695" s="139"/>
      <c r="H695" s="140"/>
      <c r="I695" s="141"/>
      <c r="J695" s="141"/>
      <c r="K695" s="142"/>
      <c r="L695" s="142"/>
      <c r="M695" s="142"/>
      <c r="N695" s="142"/>
      <c r="O695" s="136"/>
      <c r="P695" s="34"/>
      <c r="Q695" s="35"/>
      <c r="R695" s="35"/>
      <c r="S695" s="35"/>
      <c r="T695" s="35"/>
      <c r="U695" s="35"/>
      <c r="V695" s="35"/>
      <c r="W695" s="35"/>
      <c r="X695" s="35"/>
      <c r="Y695" s="35"/>
      <c r="Z695" s="35"/>
      <c r="AA695" s="35"/>
    </row>
    <row r="696" ht="14.25" customHeight="1">
      <c r="A696" s="136"/>
      <c r="B696" s="137"/>
      <c r="C696" s="138"/>
      <c r="D696" s="136"/>
      <c r="E696" s="136"/>
      <c r="F696" s="136"/>
      <c r="G696" s="139"/>
      <c r="H696" s="140"/>
      <c r="I696" s="141"/>
      <c r="J696" s="141"/>
      <c r="K696" s="142"/>
      <c r="L696" s="142"/>
      <c r="M696" s="142"/>
      <c r="N696" s="142"/>
      <c r="O696" s="136"/>
      <c r="P696" s="34"/>
      <c r="Q696" s="35"/>
      <c r="R696" s="35"/>
      <c r="S696" s="35"/>
      <c r="T696" s="35"/>
      <c r="U696" s="35"/>
      <c r="V696" s="35"/>
      <c r="W696" s="35"/>
      <c r="X696" s="35"/>
      <c r="Y696" s="35"/>
      <c r="Z696" s="35"/>
      <c r="AA696" s="35"/>
    </row>
    <row r="697" ht="14.25" customHeight="1">
      <c r="A697" s="136"/>
      <c r="B697" s="137"/>
      <c r="C697" s="138"/>
      <c r="D697" s="136"/>
      <c r="E697" s="136"/>
      <c r="F697" s="136"/>
      <c r="G697" s="139"/>
      <c r="H697" s="140"/>
      <c r="I697" s="141"/>
      <c r="J697" s="141"/>
      <c r="K697" s="142"/>
      <c r="L697" s="142"/>
      <c r="M697" s="142"/>
      <c r="N697" s="142"/>
      <c r="O697" s="136"/>
      <c r="P697" s="34"/>
      <c r="Q697" s="35"/>
      <c r="R697" s="35"/>
      <c r="S697" s="35"/>
      <c r="T697" s="35"/>
      <c r="U697" s="35"/>
      <c r="V697" s="35"/>
      <c r="W697" s="35"/>
      <c r="X697" s="35"/>
      <c r="Y697" s="35"/>
      <c r="Z697" s="35"/>
      <c r="AA697" s="35"/>
    </row>
    <row r="698" ht="14.25" customHeight="1">
      <c r="A698" s="136"/>
      <c r="B698" s="137"/>
      <c r="C698" s="138"/>
      <c r="D698" s="136"/>
      <c r="E698" s="136"/>
      <c r="F698" s="136"/>
      <c r="G698" s="139"/>
      <c r="H698" s="140"/>
      <c r="I698" s="141"/>
      <c r="J698" s="141"/>
      <c r="K698" s="142"/>
      <c r="L698" s="142"/>
      <c r="M698" s="142"/>
      <c r="N698" s="142"/>
      <c r="O698" s="136"/>
      <c r="P698" s="34"/>
      <c r="Q698" s="35"/>
      <c r="R698" s="35"/>
      <c r="S698" s="35"/>
      <c r="T698" s="35"/>
      <c r="U698" s="35"/>
      <c r="V698" s="35"/>
      <c r="W698" s="35"/>
      <c r="X698" s="35"/>
      <c r="Y698" s="35"/>
      <c r="Z698" s="35"/>
      <c r="AA698" s="35"/>
    </row>
    <row r="699" ht="14.25" customHeight="1">
      <c r="A699" s="136"/>
      <c r="B699" s="137"/>
      <c r="C699" s="138"/>
      <c r="D699" s="136"/>
      <c r="E699" s="136"/>
      <c r="F699" s="136"/>
      <c r="G699" s="139"/>
      <c r="H699" s="140"/>
      <c r="I699" s="141"/>
      <c r="J699" s="141"/>
      <c r="K699" s="142"/>
      <c r="L699" s="142"/>
      <c r="M699" s="142"/>
      <c r="N699" s="142"/>
      <c r="O699" s="136"/>
      <c r="P699" s="34"/>
      <c r="Q699" s="35"/>
      <c r="R699" s="35"/>
      <c r="S699" s="35"/>
      <c r="T699" s="35"/>
      <c r="U699" s="35"/>
      <c r="V699" s="35"/>
      <c r="W699" s="35"/>
      <c r="X699" s="35"/>
      <c r="Y699" s="35"/>
      <c r="Z699" s="35"/>
      <c r="AA699" s="35"/>
    </row>
    <row r="700" ht="14.25" customHeight="1">
      <c r="A700" s="136"/>
      <c r="B700" s="137"/>
      <c r="C700" s="138"/>
      <c r="D700" s="136"/>
      <c r="E700" s="136"/>
      <c r="F700" s="136"/>
      <c r="G700" s="139"/>
      <c r="H700" s="140"/>
      <c r="I700" s="141"/>
      <c r="J700" s="141"/>
      <c r="K700" s="142"/>
      <c r="L700" s="142"/>
      <c r="M700" s="142"/>
      <c r="N700" s="142"/>
      <c r="O700" s="136"/>
      <c r="P700" s="34"/>
      <c r="Q700" s="35"/>
      <c r="R700" s="35"/>
      <c r="S700" s="35"/>
      <c r="T700" s="35"/>
      <c r="U700" s="35"/>
      <c r="V700" s="35"/>
      <c r="W700" s="35"/>
      <c r="X700" s="35"/>
      <c r="Y700" s="35"/>
      <c r="Z700" s="35"/>
      <c r="AA700" s="35"/>
    </row>
    <row r="701" ht="14.25" customHeight="1">
      <c r="A701" s="136"/>
      <c r="B701" s="137"/>
      <c r="C701" s="138"/>
      <c r="D701" s="136"/>
      <c r="E701" s="136"/>
      <c r="F701" s="136"/>
      <c r="G701" s="139"/>
      <c r="H701" s="140"/>
      <c r="I701" s="141"/>
      <c r="J701" s="141"/>
      <c r="K701" s="142"/>
      <c r="L701" s="142"/>
      <c r="M701" s="142"/>
      <c r="N701" s="142"/>
      <c r="O701" s="136"/>
      <c r="P701" s="34"/>
      <c r="Q701" s="35"/>
      <c r="R701" s="35"/>
      <c r="S701" s="35"/>
      <c r="T701" s="35"/>
      <c r="U701" s="35"/>
      <c r="V701" s="35"/>
      <c r="W701" s="35"/>
      <c r="X701" s="35"/>
      <c r="Y701" s="35"/>
      <c r="Z701" s="35"/>
      <c r="AA701" s="35"/>
    </row>
    <row r="702" ht="14.25" customHeight="1">
      <c r="A702" s="136"/>
      <c r="B702" s="137"/>
      <c r="C702" s="138"/>
      <c r="D702" s="136"/>
      <c r="E702" s="136"/>
      <c r="F702" s="136"/>
      <c r="G702" s="139"/>
      <c r="H702" s="140"/>
      <c r="I702" s="141"/>
      <c r="J702" s="141"/>
      <c r="K702" s="142"/>
      <c r="L702" s="142"/>
      <c r="M702" s="142"/>
      <c r="N702" s="142"/>
      <c r="O702" s="136"/>
      <c r="P702" s="34"/>
      <c r="Q702" s="35"/>
      <c r="R702" s="35"/>
      <c r="S702" s="35"/>
      <c r="T702" s="35"/>
      <c r="U702" s="35"/>
      <c r="V702" s="35"/>
      <c r="W702" s="35"/>
      <c r="X702" s="35"/>
      <c r="Y702" s="35"/>
      <c r="Z702" s="35"/>
      <c r="AA702" s="35"/>
    </row>
    <row r="703" ht="14.25" customHeight="1">
      <c r="A703" s="136"/>
      <c r="B703" s="137"/>
      <c r="C703" s="138"/>
      <c r="D703" s="136"/>
      <c r="E703" s="136"/>
      <c r="F703" s="136"/>
      <c r="G703" s="139"/>
      <c r="H703" s="140"/>
      <c r="I703" s="141"/>
      <c r="J703" s="141"/>
      <c r="K703" s="142"/>
      <c r="L703" s="142"/>
      <c r="M703" s="142"/>
      <c r="N703" s="142"/>
      <c r="O703" s="136"/>
      <c r="P703" s="34"/>
      <c r="Q703" s="35"/>
      <c r="R703" s="35"/>
      <c r="S703" s="35"/>
      <c r="T703" s="35"/>
      <c r="U703" s="35"/>
      <c r="V703" s="35"/>
      <c r="W703" s="35"/>
      <c r="X703" s="35"/>
      <c r="Y703" s="35"/>
      <c r="Z703" s="35"/>
      <c r="AA703" s="35"/>
    </row>
    <row r="704" ht="14.25" customHeight="1">
      <c r="A704" s="136"/>
      <c r="B704" s="137"/>
      <c r="C704" s="138"/>
      <c r="D704" s="136"/>
      <c r="E704" s="136"/>
      <c r="F704" s="136"/>
      <c r="G704" s="139"/>
      <c r="H704" s="140"/>
      <c r="I704" s="141"/>
      <c r="J704" s="141"/>
      <c r="K704" s="142"/>
      <c r="L704" s="142"/>
      <c r="M704" s="142"/>
      <c r="N704" s="142"/>
      <c r="O704" s="136"/>
      <c r="P704" s="34"/>
      <c r="Q704" s="35"/>
      <c r="R704" s="35"/>
      <c r="S704" s="35"/>
      <c r="T704" s="35"/>
      <c r="U704" s="35"/>
      <c r="V704" s="35"/>
      <c r="W704" s="35"/>
      <c r="X704" s="35"/>
      <c r="Y704" s="35"/>
      <c r="Z704" s="35"/>
      <c r="AA704" s="35"/>
    </row>
    <row r="705" ht="14.25" customHeight="1">
      <c r="A705" s="136"/>
      <c r="B705" s="137"/>
      <c r="C705" s="138"/>
      <c r="D705" s="136"/>
      <c r="E705" s="136"/>
      <c r="F705" s="136"/>
      <c r="G705" s="139"/>
      <c r="H705" s="140"/>
      <c r="I705" s="141"/>
      <c r="J705" s="141"/>
      <c r="K705" s="142"/>
      <c r="L705" s="142"/>
      <c r="M705" s="142"/>
      <c r="N705" s="142"/>
      <c r="O705" s="136"/>
      <c r="P705" s="34"/>
      <c r="Q705" s="35"/>
      <c r="R705" s="35"/>
      <c r="S705" s="35"/>
      <c r="T705" s="35"/>
      <c r="U705" s="35"/>
      <c r="V705" s="35"/>
      <c r="W705" s="35"/>
      <c r="X705" s="35"/>
      <c r="Y705" s="35"/>
      <c r="Z705" s="35"/>
      <c r="AA705" s="35"/>
    </row>
    <row r="706" ht="14.25" customHeight="1">
      <c r="A706" s="136"/>
      <c r="B706" s="137"/>
      <c r="C706" s="138"/>
      <c r="D706" s="136"/>
      <c r="E706" s="136"/>
      <c r="F706" s="136"/>
      <c r="G706" s="139"/>
      <c r="H706" s="140"/>
      <c r="I706" s="141"/>
      <c r="J706" s="141"/>
      <c r="K706" s="142"/>
      <c r="L706" s="142"/>
      <c r="M706" s="142"/>
      <c r="N706" s="142"/>
      <c r="O706" s="136"/>
      <c r="P706" s="34"/>
      <c r="Q706" s="35"/>
      <c r="R706" s="35"/>
      <c r="S706" s="35"/>
      <c r="T706" s="35"/>
      <c r="U706" s="35"/>
      <c r="V706" s="35"/>
      <c r="W706" s="35"/>
      <c r="X706" s="35"/>
      <c r="Y706" s="35"/>
      <c r="Z706" s="35"/>
      <c r="AA706" s="35"/>
    </row>
    <row r="707" ht="14.25" customHeight="1">
      <c r="A707" s="136"/>
      <c r="B707" s="137"/>
      <c r="C707" s="138"/>
      <c r="D707" s="136"/>
      <c r="E707" s="136"/>
      <c r="F707" s="136"/>
      <c r="G707" s="139"/>
      <c r="H707" s="140"/>
      <c r="I707" s="141"/>
      <c r="J707" s="141"/>
      <c r="K707" s="142"/>
      <c r="L707" s="142"/>
      <c r="M707" s="142"/>
      <c r="N707" s="142"/>
      <c r="O707" s="136"/>
      <c r="P707" s="34"/>
      <c r="Q707" s="35"/>
      <c r="R707" s="35"/>
      <c r="S707" s="35"/>
      <c r="T707" s="35"/>
      <c r="U707" s="35"/>
      <c r="V707" s="35"/>
      <c r="W707" s="35"/>
      <c r="X707" s="35"/>
      <c r="Y707" s="35"/>
      <c r="Z707" s="35"/>
      <c r="AA707" s="35"/>
    </row>
    <row r="708" ht="14.25" customHeight="1">
      <c r="A708" s="136"/>
      <c r="B708" s="137"/>
      <c r="C708" s="138"/>
      <c r="D708" s="136"/>
      <c r="E708" s="136"/>
      <c r="F708" s="136"/>
      <c r="G708" s="139"/>
      <c r="H708" s="140"/>
      <c r="I708" s="141"/>
      <c r="J708" s="141"/>
      <c r="K708" s="142"/>
      <c r="L708" s="142"/>
      <c r="M708" s="142"/>
      <c r="N708" s="142"/>
      <c r="O708" s="136"/>
      <c r="P708" s="34"/>
      <c r="Q708" s="35"/>
      <c r="R708" s="35"/>
      <c r="S708" s="35"/>
      <c r="T708" s="35"/>
      <c r="U708" s="35"/>
      <c r="V708" s="35"/>
      <c r="W708" s="35"/>
      <c r="X708" s="35"/>
      <c r="Y708" s="35"/>
      <c r="Z708" s="35"/>
      <c r="AA708" s="35"/>
    </row>
    <row r="709" ht="14.25" customHeight="1">
      <c r="A709" s="136"/>
      <c r="B709" s="137"/>
      <c r="C709" s="138"/>
      <c r="D709" s="136"/>
      <c r="E709" s="136"/>
      <c r="F709" s="136"/>
      <c r="G709" s="139"/>
      <c r="H709" s="140"/>
      <c r="I709" s="141"/>
      <c r="J709" s="141"/>
      <c r="K709" s="142"/>
      <c r="L709" s="142"/>
      <c r="M709" s="142"/>
      <c r="N709" s="142"/>
      <c r="O709" s="136"/>
      <c r="P709" s="34"/>
      <c r="Q709" s="35"/>
      <c r="R709" s="35"/>
      <c r="S709" s="35"/>
      <c r="T709" s="35"/>
      <c r="U709" s="35"/>
      <c r="V709" s="35"/>
      <c r="W709" s="35"/>
      <c r="X709" s="35"/>
      <c r="Y709" s="35"/>
      <c r="Z709" s="35"/>
      <c r="AA709" s="35"/>
    </row>
    <row r="710" ht="14.25" customHeight="1">
      <c r="A710" s="136"/>
      <c r="B710" s="137"/>
      <c r="C710" s="138"/>
      <c r="D710" s="136"/>
      <c r="E710" s="136"/>
      <c r="F710" s="136"/>
      <c r="G710" s="139"/>
      <c r="H710" s="140"/>
      <c r="I710" s="141"/>
      <c r="J710" s="141"/>
      <c r="K710" s="142"/>
      <c r="L710" s="142"/>
      <c r="M710" s="142"/>
      <c r="N710" s="142"/>
      <c r="O710" s="136"/>
      <c r="P710" s="34"/>
      <c r="Q710" s="35"/>
      <c r="R710" s="35"/>
      <c r="S710" s="35"/>
      <c r="T710" s="35"/>
      <c r="U710" s="35"/>
      <c r="V710" s="35"/>
      <c r="W710" s="35"/>
      <c r="X710" s="35"/>
      <c r="Y710" s="35"/>
      <c r="Z710" s="35"/>
      <c r="AA710" s="35"/>
    </row>
    <row r="711" ht="14.25" customHeight="1">
      <c r="A711" s="136"/>
      <c r="B711" s="137"/>
      <c r="C711" s="138"/>
      <c r="D711" s="136"/>
      <c r="E711" s="136"/>
      <c r="F711" s="136"/>
      <c r="G711" s="139"/>
      <c r="H711" s="140"/>
      <c r="I711" s="141"/>
      <c r="J711" s="141"/>
      <c r="K711" s="142"/>
      <c r="L711" s="142"/>
      <c r="M711" s="142"/>
      <c r="N711" s="142"/>
      <c r="O711" s="136"/>
      <c r="P711" s="34"/>
      <c r="Q711" s="35"/>
      <c r="R711" s="35"/>
      <c r="S711" s="35"/>
      <c r="T711" s="35"/>
      <c r="U711" s="35"/>
      <c r="V711" s="35"/>
      <c r="W711" s="35"/>
      <c r="X711" s="35"/>
      <c r="Y711" s="35"/>
      <c r="Z711" s="35"/>
      <c r="AA711" s="35"/>
    </row>
    <row r="712" ht="14.25" customHeight="1">
      <c r="A712" s="136"/>
      <c r="B712" s="137"/>
      <c r="C712" s="138"/>
      <c r="D712" s="136"/>
      <c r="E712" s="136"/>
      <c r="F712" s="136"/>
      <c r="G712" s="139"/>
      <c r="H712" s="140"/>
      <c r="I712" s="141"/>
      <c r="J712" s="141"/>
      <c r="K712" s="142"/>
      <c r="L712" s="142"/>
      <c r="M712" s="142"/>
      <c r="N712" s="142"/>
      <c r="O712" s="136"/>
      <c r="P712" s="34"/>
      <c r="Q712" s="35"/>
      <c r="R712" s="35"/>
      <c r="S712" s="35"/>
      <c r="T712" s="35"/>
      <c r="U712" s="35"/>
      <c r="V712" s="35"/>
      <c r="W712" s="35"/>
      <c r="X712" s="35"/>
      <c r="Y712" s="35"/>
      <c r="Z712" s="35"/>
      <c r="AA712" s="35"/>
    </row>
    <row r="713" ht="14.25" customHeight="1">
      <c r="A713" s="136"/>
      <c r="B713" s="137"/>
      <c r="C713" s="138"/>
      <c r="D713" s="136"/>
      <c r="E713" s="136"/>
      <c r="F713" s="136"/>
      <c r="G713" s="139"/>
      <c r="H713" s="140"/>
      <c r="I713" s="141"/>
      <c r="J713" s="141"/>
      <c r="K713" s="142"/>
      <c r="L713" s="142"/>
      <c r="M713" s="142"/>
      <c r="N713" s="142"/>
      <c r="O713" s="136"/>
      <c r="P713" s="34"/>
      <c r="Q713" s="35"/>
      <c r="R713" s="35"/>
      <c r="S713" s="35"/>
      <c r="T713" s="35"/>
      <c r="U713" s="35"/>
      <c r="V713" s="35"/>
      <c r="W713" s="35"/>
      <c r="X713" s="35"/>
      <c r="Y713" s="35"/>
      <c r="Z713" s="35"/>
      <c r="AA713" s="35"/>
    </row>
    <row r="714" ht="14.25" customHeight="1">
      <c r="A714" s="136"/>
      <c r="B714" s="137"/>
      <c r="C714" s="138"/>
      <c r="D714" s="136"/>
      <c r="E714" s="136"/>
      <c r="F714" s="136"/>
      <c r="G714" s="139"/>
      <c r="H714" s="140"/>
      <c r="I714" s="141"/>
      <c r="J714" s="141"/>
      <c r="K714" s="142"/>
      <c r="L714" s="142"/>
      <c r="M714" s="142"/>
      <c r="N714" s="142"/>
      <c r="O714" s="136"/>
      <c r="P714" s="34"/>
      <c r="Q714" s="35"/>
      <c r="R714" s="35"/>
      <c r="S714" s="35"/>
      <c r="T714" s="35"/>
      <c r="U714" s="35"/>
      <c r="V714" s="35"/>
      <c r="W714" s="35"/>
      <c r="X714" s="35"/>
      <c r="Y714" s="35"/>
      <c r="Z714" s="35"/>
      <c r="AA714" s="35"/>
    </row>
    <row r="715" ht="14.25" customHeight="1">
      <c r="A715" s="136"/>
      <c r="B715" s="137"/>
      <c r="C715" s="138"/>
      <c r="D715" s="136"/>
      <c r="E715" s="136"/>
      <c r="F715" s="136"/>
      <c r="G715" s="139"/>
      <c r="H715" s="140"/>
      <c r="I715" s="141"/>
      <c r="J715" s="141"/>
      <c r="K715" s="142"/>
      <c r="L715" s="142"/>
      <c r="M715" s="142"/>
      <c r="N715" s="142"/>
      <c r="O715" s="136"/>
      <c r="P715" s="34"/>
      <c r="Q715" s="35"/>
      <c r="R715" s="35"/>
      <c r="S715" s="35"/>
      <c r="T715" s="35"/>
      <c r="U715" s="35"/>
      <c r="V715" s="35"/>
      <c r="W715" s="35"/>
      <c r="X715" s="35"/>
      <c r="Y715" s="35"/>
      <c r="Z715" s="35"/>
      <c r="AA715" s="35"/>
    </row>
    <row r="716" ht="14.25" customHeight="1">
      <c r="A716" s="136"/>
      <c r="B716" s="137"/>
      <c r="C716" s="138"/>
      <c r="D716" s="136"/>
      <c r="E716" s="136"/>
      <c r="F716" s="136"/>
      <c r="G716" s="139"/>
      <c r="H716" s="140"/>
      <c r="I716" s="141"/>
      <c r="J716" s="141"/>
      <c r="K716" s="142"/>
      <c r="L716" s="142"/>
      <c r="M716" s="142"/>
      <c r="N716" s="142"/>
      <c r="O716" s="136"/>
      <c r="P716" s="34"/>
      <c r="Q716" s="35"/>
      <c r="R716" s="35"/>
      <c r="S716" s="35"/>
      <c r="T716" s="35"/>
      <c r="U716" s="35"/>
      <c r="V716" s="35"/>
      <c r="W716" s="35"/>
      <c r="X716" s="35"/>
      <c r="Y716" s="35"/>
      <c r="Z716" s="35"/>
      <c r="AA716" s="35"/>
    </row>
    <row r="717" ht="14.25" customHeight="1">
      <c r="A717" s="136"/>
      <c r="B717" s="137"/>
      <c r="C717" s="138"/>
      <c r="D717" s="136"/>
      <c r="E717" s="136"/>
      <c r="F717" s="136"/>
      <c r="G717" s="139"/>
      <c r="H717" s="140"/>
      <c r="I717" s="141"/>
      <c r="J717" s="141"/>
      <c r="K717" s="142"/>
      <c r="L717" s="142"/>
      <c r="M717" s="142"/>
      <c r="N717" s="142"/>
      <c r="O717" s="136"/>
      <c r="P717" s="34"/>
      <c r="Q717" s="35"/>
      <c r="R717" s="35"/>
      <c r="S717" s="35"/>
      <c r="T717" s="35"/>
      <c r="U717" s="35"/>
      <c r="V717" s="35"/>
      <c r="W717" s="35"/>
      <c r="X717" s="35"/>
      <c r="Y717" s="35"/>
      <c r="Z717" s="35"/>
      <c r="AA717" s="35"/>
    </row>
    <row r="718" ht="14.25" customHeight="1">
      <c r="A718" s="136"/>
      <c r="B718" s="137"/>
      <c r="C718" s="138"/>
      <c r="D718" s="136"/>
      <c r="E718" s="136"/>
      <c r="F718" s="136"/>
      <c r="G718" s="139"/>
      <c r="H718" s="140"/>
      <c r="I718" s="141"/>
      <c r="J718" s="141"/>
      <c r="K718" s="142"/>
      <c r="L718" s="142"/>
      <c r="M718" s="142"/>
      <c r="N718" s="142"/>
      <c r="O718" s="136"/>
      <c r="P718" s="34"/>
      <c r="Q718" s="35"/>
      <c r="R718" s="35"/>
      <c r="S718" s="35"/>
      <c r="T718" s="35"/>
      <c r="U718" s="35"/>
      <c r="V718" s="35"/>
      <c r="W718" s="35"/>
      <c r="X718" s="35"/>
      <c r="Y718" s="35"/>
      <c r="Z718" s="35"/>
      <c r="AA718" s="35"/>
    </row>
    <row r="719" ht="14.25" customHeight="1">
      <c r="A719" s="136"/>
      <c r="B719" s="137"/>
      <c r="C719" s="138"/>
      <c r="D719" s="136"/>
      <c r="E719" s="136"/>
      <c r="F719" s="136"/>
      <c r="G719" s="139"/>
      <c r="H719" s="140"/>
      <c r="I719" s="141"/>
      <c r="J719" s="141"/>
      <c r="K719" s="142"/>
      <c r="L719" s="142"/>
      <c r="M719" s="142"/>
      <c r="N719" s="142"/>
      <c r="O719" s="136"/>
      <c r="P719" s="34"/>
      <c r="Q719" s="35"/>
      <c r="R719" s="35"/>
      <c r="S719" s="35"/>
      <c r="T719" s="35"/>
      <c r="U719" s="35"/>
      <c r="V719" s="35"/>
      <c r="W719" s="35"/>
      <c r="X719" s="35"/>
      <c r="Y719" s="35"/>
      <c r="Z719" s="35"/>
      <c r="AA719" s="35"/>
    </row>
    <row r="720" ht="14.25" customHeight="1">
      <c r="A720" s="136"/>
      <c r="B720" s="137"/>
      <c r="C720" s="138"/>
      <c r="D720" s="136"/>
      <c r="E720" s="136"/>
      <c r="F720" s="136"/>
      <c r="G720" s="139"/>
      <c r="H720" s="140"/>
      <c r="I720" s="141"/>
      <c r="J720" s="141"/>
      <c r="K720" s="142"/>
      <c r="L720" s="142"/>
      <c r="M720" s="142"/>
      <c r="N720" s="142"/>
      <c r="O720" s="136"/>
      <c r="P720" s="34"/>
      <c r="Q720" s="35"/>
      <c r="R720" s="35"/>
      <c r="S720" s="35"/>
      <c r="T720" s="35"/>
      <c r="U720" s="35"/>
      <c r="V720" s="35"/>
      <c r="W720" s="35"/>
      <c r="X720" s="35"/>
      <c r="Y720" s="35"/>
      <c r="Z720" s="35"/>
      <c r="AA720" s="35"/>
    </row>
    <row r="721" ht="14.25" customHeight="1">
      <c r="A721" s="136"/>
      <c r="B721" s="137"/>
      <c r="C721" s="138"/>
      <c r="D721" s="136"/>
      <c r="E721" s="136"/>
      <c r="F721" s="136"/>
      <c r="G721" s="139"/>
      <c r="H721" s="140"/>
      <c r="I721" s="141"/>
      <c r="J721" s="141"/>
      <c r="K721" s="142"/>
      <c r="L721" s="142"/>
      <c r="M721" s="142"/>
      <c r="N721" s="142"/>
      <c r="O721" s="136"/>
      <c r="P721" s="34"/>
      <c r="Q721" s="35"/>
      <c r="R721" s="35"/>
      <c r="S721" s="35"/>
      <c r="T721" s="35"/>
      <c r="U721" s="35"/>
      <c r="V721" s="35"/>
      <c r="W721" s="35"/>
      <c r="X721" s="35"/>
      <c r="Y721" s="35"/>
      <c r="Z721" s="35"/>
      <c r="AA721" s="35"/>
    </row>
    <row r="722" ht="14.25" customHeight="1">
      <c r="A722" s="136"/>
      <c r="B722" s="137"/>
      <c r="C722" s="138"/>
      <c r="D722" s="136"/>
      <c r="E722" s="136"/>
      <c r="F722" s="136"/>
      <c r="G722" s="139"/>
      <c r="H722" s="140"/>
      <c r="I722" s="141"/>
      <c r="J722" s="141"/>
      <c r="K722" s="142"/>
      <c r="L722" s="142"/>
      <c r="M722" s="142"/>
      <c r="N722" s="142"/>
      <c r="O722" s="136"/>
      <c r="P722" s="34"/>
      <c r="Q722" s="35"/>
      <c r="R722" s="35"/>
      <c r="S722" s="35"/>
      <c r="T722" s="35"/>
      <c r="U722" s="35"/>
      <c r="V722" s="35"/>
      <c r="W722" s="35"/>
      <c r="X722" s="35"/>
      <c r="Y722" s="35"/>
      <c r="Z722" s="35"/>
      <c r="AA722" s="35"/>
    </row>
    <row r="723" ht="14.25" customHeight="1">
      <c r="A723" s="136"/>
      <c r="B723" s="137"/>
      <c r="C723" s="138"/>
      <c r="D723" s="136"/>
      <c r="E723" s="136"/>
      <c r="F723" s="136"/>
      <c r="G723" s="139"/>
      <c r="H723" s="140"/>
      <c r="I723" s="141"/>
      <c r="J723" s="141"/>
      <c r="K723" s="142"/>
      <c r="L723" s="142"/>
      <c r="M723" s="142"/>
      <c r="N723" s="142"/>
      <c r="O723" s="136"/>
      <c r="P723" s="34"/>
      <c r="Q723" s="35"/>
      <c r="R723" s="35"/>
      <c r="S723" s="35"/>
      <c r="T723" s="35"/>
      <c r="U723" s="35"/>
      <c r="V723" s="35"/>
      <c r="W723" s="35"/>
      <c r="X723" s="35"/>
      <c r="Y723" s="35"/>
      <c r="Z723" s="35"/>
      <c r="AA723" s="35"/>
    </row>
    <row r="724" ht="14.25" customHeight="1">
      <c r="A724" s="136"/>
      <c r="B724" s="137"/>
      <c r="C724" s="138"/>
      <c r="D724" s="136"/>
      <c r="E724" s="136"/>
      <c r="F724" s="136"/>
      <c r="G724" s="139"/>
      <c r="H724" s="140"/>
      <c r="I724" s="141"/>
      <c r="J724" s="141"/>
      <c r="K724" s="142"/>
      <c r="L724" s="142"/>
      <c r="M724" s="142"/>
      <c r="N724" s="142"/>
      <c r="O724" s="136"/>
      <c r="P724" s="34"/>
      <c r="Q724" s="35"/>
      <c r="R724" s="35"/>
      <c r="S724" s="35"/>
      <c r="T724" s="35"/>
      <c r="U724" s="35"/>
      <c r="V724" s="35"/>
      <c r="W724" s="35"/>
      <c r="X724" s="35"/>
      <c r="Y724" s="35"/>
      <c r="Z724" s="35"/>
      <c r="AA724" s="35"/>
    </row>
    <row r="725" ht="14.25" customHeight="1">
      <c r="A725" s="136"/>
      <c r="B725" s="137"/>
      <c r="C725" s="138"/>
      <c r="D725" s="136"/>
      <c r="E725" s="136"/>
      <c r="F725" s="136"/>
      <c r="G725" s="139"/>
      <c r="H725" s="140"/>
      <c r="I725" s="141"/>
      <c r="J725" s="141"/>
      <c r="K725" s="142"/>
      <c r="L725" s="142"/>
      <c r="M725" s="142"/>
      <c r="N725" s="142"/>
      <c r="O725" s="136"/>
      <c r="P725" s="34"/>
      <c r="Q725" s="35"/>
      <c r="R725" s="35"/>
      <c r="S725" s="35"/>
      <c r="T725" s="35"/>
      <c r="U725" s="35"/>
      <c r="V725" s="35"/>
      <c r="W725" s="35"/>
      <c r="X725" s="35"/>
      <c r="Y725" s="35"/>
      <c r="Z725" s="35"/>
      <c r="AA725" s="35"/>
    </row>
    <row r="726" ht="14.25" customHeight="1">
      <c r="A726" s="136"/>
      <c r="B726" s="137"/>
      <c r="C726" s="138"/>
      <c r="D726" s="136"/>
      <c r="E726" s="136"/>
      <c r="F726" s="136"/>
      <c r="G726" s="139"/>
      <c r="H726" s="140"/>
      <c r="I726" s="141"/>
      <c r="J726" s="141"/>
      <c r="K726" s="142"/>
      <c r="L726" s="142"/>
      <c r="M726" s="142"/>
      <c r="N726" s="142"/>
      <c r="O726" s="136"/>
      <c r="P726" s="34"/>
      <c r="Q726" s="35"/>
      <c r="R726" s="35"/>
      <c r="S726" s="35"/>
      <c r="T726" s="35"/>
      <c r="U726" s="35"/>
      <c r="V726" s="35"/>
      <c r="W726" s="35"/>
      <c r="X726" s="35"/>
      <c r="Y726" s="35"/>
      <c r="Z726" s="35"/>
      <c r="AA726" s="35"/>
    </row>
    <row r="727" ht="14.25" customHeight="1">
      <c r="A727" s="136"/>
      <c r="B727" s="137"/>
      <c r="C727" s="138"/>
      <c r="D727" s="136"/>
      <c r="E727" s="136"/>
      <c r="F727" s="136"/>
      <c r="G727" s="139"/>
      <c r="H727" s="140"/>
      <c r="I727" s="141"/>
      <c r="J727" s="141"/>
      <c r="K727" s="142"/>
      <c r="L727" s="142"/>
      <c r="M727" s="142"/>
      <c r="N727" s="142"/>
      <c r="O727" s="136"/>
      <c r="P727" s="34"/>
      <c r="Q727" s="35"/>
      <c r="R727" s="35"/>
      <c r="S727" s="35"/>
      <c r="T727" s="35"/>
      <c r="U727" s="35"/>
      <c r="V727" s="35"/>
      <c r="W727" s="35"/>
      <c r="X727" s="35"/>
      <c r="Y727" s="35"/>
      <c r="Z727" s="35"/>
      <c r="AA727" s="35"/>
    </row>
    <row r="728" ht="14.25" customHeight="1">
      <c r="A728" s="136"/>
      <c r="B728" s="137"/>
      <c r="C728" s="138"/>
      <c r="D728" s="136"/>
      <c r="E728" s="136"/>
      <c r="F728" s="136"/>
      <c r="G728" s="139"/>
      <c r="H728" s="140"/>
      <c r="I728" s="141"/>
      <c r="J728" s="141"/>
      <c r="K728" s="142"/>
      <c r="L728" s="142"/>
      <c r="M728" s="142"/>
      <c r="N728" s="142"/>
      <c r="O728" s="136"/>
      <c r="P728" s="34"/>
      <c r="Q728" s="35"/>
      <c r="R728" s="35"/>
      <c r="S728" s="35"/>
      <c r="T728" s="35"/>
      <c r="U728" s="35"/>
      <c r="V728" s="35"/>
      <c r="W728" s="35"/>
      <c r="X728" s="35"/>
      <c r="Y728" s="35"/>
      <c r="Z728" s="35"/>
      <c r="AA728" s="35"/>
    </row>
    <row r="729" ht="14.25" customHeight="1">
      <c r="A729" s="136"/>
      <c r="B729" s="137"/>
      <c r="C729" s="138"/>
      <c r="D729" s="136"/>
      <c r="E729" s="136"/>
      <c r="F729" s="136"/>
      <c r="G729" s="139"/>
      <c r="H729" s="140"/>
      <c r="I729" s="141"/>
      <c r="J729" s="141"/>
      <c r="K729" s="142"/>
      <c r="L729" s="142"/>
      <c r="M729" s="142"/>
      <c r="N729" s="142"/>
      <c r="O729" s="136"/>
      <c r="P729" s="34"/>
      <c r="Q729" s="35"/>
      <c r="R729" s="35"/>
      <c r="S729" s="35"/>
      <c r="T729" s="35"/>
      <c r="U729" s="35"/>
      <c r="V729" s="35"/>
      <c r="W729" s="35"/>
      <c r="X729" s="35"/>
      <c r="Y729" s="35"/>
      <c r="Z729" s="35"/>
      <c r="AA729" s="35"/>
    </row>
    <row r="730" ht="14.25" customHeight="1">
      <c r="A730" s="136"/>
      <c r="B730" s="137"/>
      <c r="C730" s="138"/>
      <c r="D730" s="136"/>
      <c r="E730" s="136"/>
      <c r="F730" s="136"/>
      <c r="G730" s="139"/>
      <c r="H730" s="140"/>
      <c r="I730" s="141"/>
      <c r="J730" s="141"/>
      <c r="K730" s="142"/>
      <c r="L730" s="142"/>
      <c r="M730" s="142"/>
      <c r="N730" s="142"/>
      <c r="O730" s="136"/>
      <c r="P730" s="34"/>
      <c r="Q730" s="35"/>
      <c r="R730" s="35"/>
      <c r="S730" s="35"/>
      <c r="T730" s="35"/>
      <c r="U730" s="35"/>
      <c r="V730" s="35"/>
      <c r="W730" s="35"/>
      <c r="X730" s="35"/>
      <c r="Y730" s="35"/>
      <c r="Z730" s="35"/>
      <c r="AA730" s="35"/>
    </row>
    <row r="731" ht="14.25" customHeight="1">
      <c r="A731" s="136"/>
      <c r="B731" s="137"/>
      <c r="C731" s="138"/>
      <c r="D731" s="136"/>
      <c r="E731" s="136"/>
      <c r="F731" s="136"/>
      <c r="G731" s="139"/>
      <c r="H731" s="140"/>
      <c r="I731" s="141"/>
      <c r="J731" s="141"/>
      <c r="K731" s="142"/>
      <c r="L731" s="142"/>
      <c r="M731" s="142"/>
      <c r="N731" s="142"/>
      <c r="O731" s="136"/>
      <c r="P731" s="34"/>
      <c r="Q731" s="35"/>
      <c r="R731" s="35"/>
      <c r="S731" s="35"/>
      <c r="T731" s="35"/>
      <c r="U731" s="35"/>
      <c r="V731" s="35"/>
      <c r="W731" s="35"/>
      <c r="X731" s="35"/>
      <c r="Y731" s="35"/>
      <c r="Z731" s="35"/>
      <c r="AA731" s="35"/>
    </row>
    <row r="732" ht="14.25" customHeight="1">
      <c r="A732" s="136"/>
      <c r="B732" s="137"/>
      <c r="C732" s="138"/>
      <c r="D732" s="136"/>
      <c r="E732" s="136"/>
      <c r="F732" s="136"/>
      <c r="G732" s="139"/>
      <c r="H732" s="140"/>
      <c r="I732" s="141"/>
      <c r="J732" s="141"/>
      <c r="K732" s="142"/>
      <c r="L732" s="142"/>
      <c r="M732" s="142"/>
      <c r="N732" s="142"/>
      <c r="O732" s="136"/>
      <c r="P732" s="34"/>
      <c r="Q732" s="35"/>
      <c r="R732" s="35"/>
      <c r="S732" s="35"/>
      <c r="T732" s="35"/>
      <c r="U732" s="35"/>
      <c r="V732" s="35"/>
      <c r="W732" s="35"/>
      <c r="X732" s="35"/>
      <c r="Y732" s="35"/>
      <c r="Z732" s="35"/>
      <c r="AA732" s="35"/>
    </row>
    <row r="733" ht="14.25" customHeight="1">
      <c r="A733" s="136"/>
      <c r="B733" s="137"/>
      <c r="C733" s="138"/>
      <c r="D733" s="136"/>
      <c r="E733" s="136"/>
      <c r="F733" s="136"/>
      <c r="G733" s="139"/>
      <c r="H733" s="140"/>
      <c r="I733" s="141"/>
      <c r="J733" s="141"/>
      <c r="K733" s="142"/>
      <c r="L733" s="142"/>
      <c r="M733" s="142"/>
      <c r="N733" s="142"/>
      <c r="O733" s="136"/>
      <c r="P733" s="34"/>
      <c r="Q733" s="35"/>
      <c r="R733" s="35"/>
      <c r="S733" s="35"/>
      <c r="T733" s="35"/>
      <c r="U733" s="35"/>
      <c r="V733" s="35"/>
      <c r="W733" s="35"/>
      <c r="X733" s="35"/>
      <c r="Y733" s="35"/>
      <c r="Z733" s="35"/>
      <c r="AA733" s="35"/>
    </row>
    <row r="734" ht="14.25" customHeight="1">
      <c r="A734" s="136"/>
      <c r="B734" s="137"/>
      <c r="C734" s="138"/>
      <c r="D734" s="136"/>
      <c r="E734" s="136"/>
      <c r="F734" s="136"/>
      <c r="G734" s="139"/>
      <c r="H734" s="140"/>
      <c r="I734" s="141"/>
      <c r="J734" s="141"/>
      <c r="K734" s="142"/>
      <c r="L734" s="142"/>
      <c r="M734" s="142"/>
      <c r="N734" s="142"/>
      <c r="O734" s="136"/>
      <c r="P734" s="34"/>
      <c r="Q734" s="35"/>
      <c r="R734" s="35"/>
      <c r="S734" s="35"/>
      <c r="T734" s="35"/>
      <c r="U734" s="35"/>
      <c r="V734" s="35"/>
      <c r="W734" s="35"/>
      <c r="X734" s="35"/>
      <c r="Y734" s="35"/>
      <c r="Z734" s="35"/>
      <c r="AA734" s="35"/>
    </row>
    <row r="735" ht="14.25" customHeight="1">
      <c r="A735" s="136"/>
      <c r="B735" s="137"/>
      <c r="C735" s="138"/>
      <c r="D735" s="136"/>
      <c r="E735" s="136"/>
      <c r="F735" s="136"/>
      <c r="G735" s="139"/>
      <c r="H735" s="140"/>
      <c r="I735" s="141"/>
      <c r="J735" s="141"/>
      <c r="K735" s="142"/>
      <c r="L735" s="142"/>
      <c r="M735" s="142"/>
      <c r="N735" s="142"/>
      <c r="O735" s="136"/>
      <c r="P735" s="34"/>
      <c r="Q735" s="35"/>
      <c r="R735" s="35"/>
      <c r="S735" s="35"/>
      <c r="T735" s="35"/>
      <c r="U735" s="35"/>
      <c r="V735" s="35"/>
      <c r="W735" s="35"/>
      <c r="X735" s="35"/>
      <c r="Y735" s="35"/>
      <c r="Z735" s="35"/>
      <c r="AA735" s="35"/>
    </row>
    <row r="736" ht="14.25" customHeight="1">
      <c r="A736" s="136"/>
      <c r="B736" s="137"/>
      <c r="C736" s="138"/>
      <c r="D736" s="136"/>
      <c r="E736" s="136"/>
      <c r="F736" s="136"/>
      <c r="G736" s="139"/>
      <c r="H736" s="140"/>
      <c r="I736" s="141"/>
      <c r="J736" s="141"/>
      <c r="K736" s="142"/>
      <c r="L736" s="142"/>
      <c r="M736" s="142"/>
      <c r="N736" s="142"/>
      <c r="O736" s="136"/>
      <c r="P736" s="34"/>
      <c r="Q736" s="35"/>
      <c r="R736" s="35"/>
      <c r="S736" s="35"/>
      <c r="T736" s="35"/>
      <c r="U736" s="35"/>
      <c r="V736" s="35"/>
      <c r="W736" s="35"/>
      <c r="X736" s="35"/>
      <c r="Y736" s="35"/>
      <c r="Z736" s="35"/>
      <c r="AA736" s="35"/>
    </row>
    <row r="737" ht="14.25" customHeight="1">
      <c r="A737" s="136"/>
      <c r="B737" s="137"/>
      <c r="C737" s="138"/>
      <c r="D737" s="136"/>
      <c r="E737" s="136"/>
      <c r="F737" s="136"/>
      <c r="G737" s="139"/>
      <c r="H737" s="140"/>
      <c r="I737" s="141"/>
      <c r="J737" s="141"/>
      <c r="K737" s="142"/>
      <c r="L737" s="142"/>
      <c r="M737" s="142"/>
      <c r="N737" s="142"/>
      <c r="O737" s="136"/>
      <c r="P737" s="34"/>
      <c r="Q737" s="35"/>
      <c r="R737" s="35"/>
      <c r="S737" s="35"/>
      <c r="T737" s="35"/>
      <c r="U737" s="35"/>
      <c r="V737" s="35"/>
      <c r="W737" s="35"/>
      <c r="X737" s="35"/>
      <c r="Y737" s="35"/>
      <c r="Z737" s="35"/>
      <c r="AA737" s="35"/>
    </row>
    <row r="738" ht="14.25" customHeight="1">
      <c r="A738" s="136"/>
      <c r="B738" s="137"/>
      <c r="C738" s="138"/>
      <c r="D738" s="136"/>
      <c r="E738" s="136"/>
      <c r="F738" s="136"/>
      <c r="G738" s="139"/>
      <c r="H738" s="140"/>
      <c r="I738" s="141"/>
      <c r="J738" s="141"/>
      <c r="K738" s="142"/>
      <c r="L738" s="142"/>
      <c r="M738" s="142"/>
      <c r="N738" s="142"/>
      <c r="O738" s="136"/>
      <c r="P738" s="34"/>
      <c r="Q738" s="35"/>
      <c r="R738" s="35"/>
      <c r="S738" s="35"/>
      <c r="T738" s="35"/>
      <c r="U738" s="35"/>
      <c r="V738" s="35"/>
      <c r="W738" s="35"/>
      <c r="X738" s="35"/>
      <c r="Y738" s="35"/>
      <c r="Z738" s="35"/>
      <c r="AA738" s="35"/>
    </row>
    <row r="739" ht="14.25" customHeight="1">
      <c r="A739" s="136"/>
      <c r="B739" s="137"/>
      <c r="C739" s="138"/>
      <c r="D739" s="136"/>
      <c r="E739" s="136"/>
      <c r="F739" s="136"/>
      <c r="G739" s="139"/>
      <c r="H739" s="140"/>
      <c r="I739" s="141"/>
      <c r="J739" s="141"/>
      <c r="K739" s="142"/>
      <c r="L739" s="142"/>
      <c r="M739" s="142"/>
      <c r="N739" s="142"/>
      <c r="O739" s="136"/>
      <c r="P739" s="34"/>
      <c r="Q739" s="35"/>
      <c r="R739" s="35"/>
      <c r="S739" s="35"/>
      <c r="T739" s="35"/>
      <c r="U739" s="35"/>
      <c r="V739" s="35"/>
      <c r="W739" s="35"/>
      <c r="X739" s="35"/>
      <c r="Y739" s="35"/>
      <c r="Z739" s="35"/>
      <c r="AA739" s="35"/>
    </row>
    <row r="740" ht="14.25" customHeight="1">
      <c r="A740" s="136"/>
      <c r="B740" s="137"/>
      <c r="C740" s="138"/>
      <c r="D740" s="136"/>
      <c r="E740" s="136"/>
      <c r="F740" s="136"/>
      <c r="G740" s="139"/>
      <c r="H740" s="140"/>
      <c r="I740" s="141"/>
      <c r="J740" s="141"/>
      <c r="K740" s="142"/>
      <c r="L740" s="142"/>
      <c r="M740" s="142"/>
      <c r="N740" s="142"/>
      <c r="O740" s="136"/>
      <c r="P740" s="34"/>
      <c r="Q740" s="35"/>
      <c r="R740" s="35"/>
      <c r="S740" s="35"/>
      <c r="T740" s="35"/>
      <c r="U740" s="35"/>
      <c r="V740" s="35"/>
      <c r="W740" s="35"/>
      <c r="X740" s="35"/>
      <c r="Y740" s="35"/>
      <c r="Z740" s="35"/>
      <c r="AA740" s="35"/>
    </row>
    <row r="741" ht="14.25" customHeight="1">
      <c r="A741" s="136"/>
      <c r="B741" s="137"/>
      <c r="C741" s="138"/>
      <c r="D741" s="136"/>
      <c r="E741" s="136"/>
      <c r="F741" s="136"/>
      <c r="G741" s="139"/>
      <c r="H741" s="140"/>
      <c r="I741" s="141"/>
      <c r="J741" s="141"/>
      <c r="K741" s="142"/>
      <c r="L741" s="142"/>
      <c r="M741" s="142"/>
      <c r="N741" s="142"/>
      <c r="O741" s="136"/>
      <c r="P741" s="34"/>
      <c r="Q741" s="35"/>
      <c r="R741" s="35"/>
      <c r="S741" s="35"/>
      <c r="T741" s="35"/>
      <c r="U741" s="35"/>
      <c r="V741" s="35"/>
      <c r="W741" s="35"/>
      <c r="X741" s="35"/>
      <c r="Y741" s="35"/>
      <c r="Z741" s="35"/>
      <c r="AA741" s="35"/>
    </row>
    <row r="742" ht="14.25" customHeight="1">
      <c r="A742" s="136"/>
      <c r="B742" s="137"/>
      <c r="C742" s="138"/>
      <c r="D742" s="136"/>
      <c r="E742" s="136"/>
      <c r="F742" s="136"/>
      <c r="G742" s="139"/>
      <c r="H742" s="140"/>
      <c r="I742" s="141"/>
      <c r="J742" s="141"/>
      <c r="K742" s="142"/>
      <c r="L742" s="142"/>
      <c r="M742" s="142"/>
      <c r="N742" s="142"/>
      <c r="O742" s="136"/>
      <c r="P742" s="34"/>
      <c r="Q742" s="35"/>
      <c r="R742" s="35"/>
      <c r="S742" s="35"/>
      <c r="T742" s="35"/>
      <c r="U742" s="35"/>
      <c r="V742" s="35"/>
      <c r="W742" s="35"/>
      <c r="X742" s="35"/>
      <c r="Y742" s="35"/>
      <c r="Z742" s="35"/>
      <c r="AA742" s="35"/>
    </row>
    <row r="743" ht="14.25" customHeight="1">
      <c r="A743" s="136"/>
      <c r="B743" s="137"/>
      <c r="C743" s="138"/>
      <c r="D743" s="136"/>
      <c r="E743" s="136"/>
      <c r="F743" s="136"/>
      <c r="G743" s="139"/>
      <c r="H743" s="140"/>
      <c r="I743" s="141"/>
      <c r="J743" s="141"/>
      <c r="K743" s="142"/>
      <c r="L743" s="142"/>
      <c r="M743" s="142"/>
      <c r="N743" s="142"/>
      <c r="O743" s="136"/>
      <c r="P743" s="34"/>
      <c r="Q743" s="35"/>
      <c r="R743" s="35"/>
      <c r="S743" s="35"/>
      <c r="T743" s="35"/>
      <c r="U743" s="35"/>
      <c r="V743" s="35"/>
      <c r="W743" s="35"/>
      <c r="X743" s="35"/>
      <c r="Y743" s="35"/>
      <c r="Z743" s="35"/>
      <c r="AA743" s="35"/>
    </row>
    <row r="744" ht="14.25" customHeight="1">
      <c r="A744" s="136"/>
      <c r="B744" s="137"/>
      <c r="C744" s="138"/>
      <c r="D744" s="136"/>
      <c r="E744" s="136"/>
      <c r="F744" s="136"/>
      <c r="G744" s="139"/>
      <c r="H744" s="140"/>
      <c r="I744" s="141"/>
      <c r="J744" s="141"/>
      <c r="K744" s="142"/>
      <c r="L744" s="142"/>
      <c r="M744" s="142"/>
      <c r="N744" s="142"/>
      <c r="O744" s="136"/>
      <c r="P744" s="34"/>
      <c r="Q744" s="35"/>
      <c r="R744" s="35"/>
      <c r="S744" s="35"/>
      <c r="T744" s="35"/>
      <c r="U744" s="35"/>
      <c r="V744" s="35"/>
      <c r="W744" s="35"/>
      <c r="X744" s="35"/>
      <c r="Y744" s="35"/>
      <c r="Z744" s="35"/>
      <c r="AA744" s="35"/>
    </row>
    <row r="745" ht="14.25" customHeight="1">
      <c r="A745" s="136"/>
      <c r="B745" s="137"/>
      <c r="C745" s="138"/>
      <c r="D745" s="136"/>
      <c r="E745" s="136"/>
      <c r="F745" s="136"/>
      <c r="G745" s="139"/>
      <c r="H745" s="140"/>
      <c r="I745" s="141"/>
      <c r="J745" s="141"/>
      <c r="K745" s="142"/>
      <c r="L745" s="142"/>
      <c r="M745" s="142"/>
      <c r="N745" s="142"/>
      <c r="O745" s="136"/>
      <c r="P745" s="34"/>
      <c r="Q745" s="35"/>
      <c r="R745" s="35"/>
      <c r="S745" s="35"/>
      <c r="T745" s="35"/>
      <c r="U745" s="35"/>
      <c r="V745" s="35"/>
      <c r="W745" s="35"/>
      <c r="X745" s="35"/>
      <c r="Y745" s="35"/>
      <c r="Z745" s="35"/>
      <c r="AA745" s="35"/>
    </row>
    <row r="746" ht="14.25" customHeight="1">
      <c r="A746" s="136"/>
      <c r="B746" s="137"/>
      <c r="C746" s="138"/>
      <c r="D746" s="136"/>
      <c r="E746" s="136"/>
      <c r="F746" s="136"/>
      <c r="G746" s="139"/>
      <c r="H746" s="140"/>
      <c r="I746" s="141"/>
      <c r="J746" s="141"/>
      <c r="K746" s="142"/>
      <c r="L746" s="142"/>
      <c r="M746" s="142"/>
      <c r="N746" s="142"/>
      <c r="O746" s="136"/>
      <c r="P746" s="34"/>
      <c r="Q746" s="35"/>
      <c r="R746" s="35"/>
      <c r="S746" s="35"/>
      <c r="T746" s="35"/>
      <c r="U746" s="35"/>
      <c r="V746" s="35"/>
      <c r="W746" s="35"/>
      <c r="X746" s="35"/>
      <c r="Y746" s="35"/>
      <c r="Z746" s="35"/>
      <c r="AA746" s="35"/>
    </row>
    <row r="747" ht="14.25" customHeight="1">
      <c r="A747" s="136"/>
      <c r="B747" s="137"/>
      <c r="C747" s="138"/>
      <c r="D747" s="136"/>
      <c r="E747" s="136"/>
      <c r="F747" s="136"/>
      <c r="G747" s="139"/>
      <c r="H747" s="140"/>
      <c r="I747" s="141"/>
      <c r="J747" s="141"/>
      <c r="K747" s="142"/>
      <c r="L747" s="142"/>
      <c r="M747" s="142"/>
      <c r="N747" s="142"/>
      <c r="O747" s="136"/>
      <c r="P747" s="34"/>
      <c r="Q747" s="35"/>
      <c r="R747" s="35"/>
      <c r="S747" s="35"/>
      <c r="T747" s="35"/>
      <c r="U747" s="35"/>
      <c r="V747" s="35"/>
      <c r="W747" s="35"/>
      <c r="X747" s="35"/>
      <c r="Y747" s="35"/>
      <c r="Z747" s="35"/>
      <c r="AA747" s="35"/>
    </row>
    <row r="748" ht="14.25" customHeight="1">
      <c r="A748" s="136"/>
      <c r="B748" s="137"/>
      <c r="C748" s="138"/>
      <c r="D748" s="136"/>
      <c r="E748" s="136"/>
      <c r="F748" s="136"/>
      <c r="G748" s="139"/>
      <c r="H748" s="140"/>
      <c r="I748" s="141"/>
      <c r="J748" s="141"/>
      <c r="K748" s="142"/>
      <c r="L748" s="142"/>
      <c r="M748" s="142"/>
      <c r="N748" s="142"/>
      <c r="O748" s="136"/>
      <c r="P748" s="34"/>
      <c r="Q748" s="35"/>
      <c r="R748" s="35"/>
      <c r="S748" s="35"/>
      <c r="T748" s="35"/>
      <c r="U748" s="35"/>
      <c r="V748" s="35"/>
      <c r="W748" s="35"/>
      <c r="X748" s="35"/>
      <c r="Y748" s="35"/>
      <c r="Z748" s="35"/>
      <c r="AA748" s="35"/>
    </row>
    <row r="749" ht="14.25" customHeight="1">
      <c r="A749" s="136"/>
      <c r="B749" s="137"/>
      <c r="C749" s="138"/>
      <c r="D749" s="136"/>
      <c r="E749" s="136"/>
      <c r="F749" s="136"/>
      <c r="G749" s="139"/>
      <c r="H749" s="140"/>
      <c r="I749" s="141"/>
      <c r="J749" s="141"/>
      <c r="K749" s="142"/>
      <c r="L749" s="142"/>
      <c r="M749" s="142"/>
      <c r="N749" s="142"/>
      <c r="O749" s="136"/>
      <c r="P749" s="34"/>
      <c r="Q749" s="35"/>
      <c r="R749" s="35"/>
      <c r="S749" s="35"/>
      <c r="T749" s="35"/>
      <c r="U749" s="35"/>
      <c r="V749" s="35"/>
      <c r="W749" s="35"/>
      <c r="X749" s="35"/>
      <c r="Y749" s="35"/>
      <c r="Z749" s="35"/>
      <c r="AA749" s="35"/>
    </row>
    <row r="750" ht="14.25" customHeight="1">
      <c r="A750" s="136"/>
      <c r="B750" s="137"/>
      <c r="C750" s="138"/>
      <c r="D750" s="136"/>
      <c r="E750" s="136"/>
      <c r="F750" s="136"/>
      <c r="G750" s="139"/>
      <c r="H750" s="140"/>
      <c r="I750" s="141"/>
      <c r="J750" s="141"/>
      <c r="K750" s="142"/>
      <c r="L750" s="142"/>
      <c r="M750" s="142"/>
      <c r="N750" s="142"/>
      <c r="O750" s="136"/>
      <c r="P750" s="34"/>
      <c r="Q750" s="35"/>
      <c r="R750" s="35"/>
      <c r="S750" s="35"/>
      <c r="T750" s="35"/>
      <c r="U750" s="35"/>
      <c r="V750" s="35"/>
      <c r="W750" s="35"/>
      <c r="X750" s="35"/>
      <c r="Y750" s="35"/>
      <c r="Z750" s="35"/>
      <c r="AA750" s="35"/>
    </row>
    <row r="751" ht="14.25" customHeight="1">
      <c r="A751" s="136"/>
      <c r="B751" s="137"/>
      <c r="C751" s="138"/>
      <c r="D751" s="136"/>
      <c r="E751" s="136"/>
      <c r="F751" s="136"/>
      <c r="G751" s="139"/>
      <c r="H751" s="140"/>
      <c r="I751" s="141"/>
      <c r="J751" s="141"/>
      <c r="K751" s="142"/>
      <c r="L751" s="142"/>
      <c r="M751" s="142"/>
      <c r="N751" s="142"/>
      <c r="O751" s="136"/>
      <c r="P751" s="34"/>
      <c r="Q751" s="35"/>
      <c r="R751" s="35"/>
      <c r="S751" s="35"/>
      <c r="T751" s="35"/>
      <c r="U751" s="35"/>
      <c r="V751" s="35"/>
      <c r="W751" s="35"/>
      <c r="X751" s="35"/>
      <c r="Y751" s="35"/>
      <c r="Z751" s="35"/>
      <c r="AA751" s="35"/>
    </row>
    <row r="752" ht="14.25" customHeight="1">
      <c r="A752" s="136"/>
      <c r="B752" s="137"/>
      <c r="C752" s="138"/>
      <c r="D752" s="136"/>
      <c r="E752" s="136"/>
      <c r="F752" s="136"/>
      <c r="G752" s="139"/>
      <c r="H752" s="140"/>
      <c r="I752" s="141"/>
      <c r="J752" s="141"/>
      <c r="K752" s="142"/>
      <c r="L752" s="142"/>
      <c r="M752" s="142"/>
      <c r="N752" s="142"/>
      <c r="O752" s="136"/>
      <c r="P752" s="34"/>
      <c r="Q752" s="35"/>
      <c r="R752" s="35"/>
      <c r="S752" s="35"/>
      <c r="T752" s="35"/>
      <c r="U752" s="35"/>
      <c r="V752" s="35"/>
      <c r="W752" s="35"/>
      <c r="X752" s="35"/>
      <c r="Y752" s="35"/>
      <c r="Z752" s="35"/>
      <c r="AA752" s="35"/>
    </row>
    <row r="753" ht="14.25" customHeight="1">
      <c r="A753" s="136"/>
      <c r="B753" s="137"/>
      <c r="C753" s="138"/>
      <c r="D753" s="136"/>
      <c r="E753" s="136"/>
      <c r="F753" s="136"/>
      <c r="G753" s="139"/>
      <c r="H753" s="140"/>
      <c r="I753" s="141"/>
      <c r="J753" s="141"/>
      <c r="K753" s="142"/>
      <c r="L753" s="142"/>
      <c r="M753" s="142"/>
      <c r="N753" s="142"/>
      <c r="O753" s="136"/>
      <c r="P753" s="34"/>
      <c r="Q753" s="35"/>
      <c r="R753" s="35"/>
      <c r="S753" s="35"/>
      <c r="T753" s="35"/>
      <c r="U753" s="35"/>
      <c r="V753" s="35"/>
      <c r="W753" s="35"/>
      <c r="X753" s="35"/>
      <c r="Y753" s="35"/>
      <c r="Z753" s="35"/>
      <c r="AA753" s="35"/>
    </row>
    <row r="754" ht="14.25" customHeight="1">
      <c r="A754" s="136"/>
      <c r="B754" s="137"/>
      <c r="C754" s="138"/>
      <c r="D754" s="136"/>
      <c r="E754" s="136"/>
      <c r="F754" s="136"/>
      <c r="G754" s="139"/>
      <c r="H754" s="140"/>
      <c r="I754" s="141"/>
      <c r="J754" s="141"/>
      <c r="K754" s="142"/>
      <c r="L754" s="142"/>
      <c r="M754" s="142"/>
      <c r="N754" s="142"/>
      <c r="O754" s="136"/>
      <c r="P754" s="34"/>
      <c r="Q754" s="35"/>
      <c r="R754" s="35"/>
      <c r="S754" s="35"/>
      <c r="T754" s="35"/>
      <c r="U754" s="35"/>
      <c r="V754" s="35"/>
      <c r="W754" s="35"/>
      <c r="X754" s="35"/>
      <c r="Y754" s="35"/>
      <c r="Z754" s="35"/>
      <c r="AA754" s="35"/>
    </row>
    <row r="755" ht="14.25" customHeight="1">
      <c r="A755" s="136"/>
      <c r="B755" s="137"/>
      <c r="C755" s="138"/>
      <c r="D755" s="136"/>
      <c r="E755" s="136"/>
      <c r="F755" s="136"/>
      <c r="G755" s="139"/>
      <c r="H755" s="140"/>
      <c r="I755" s="141"/>
      <c r="J755" s="141"/>
      <c r="K755" s="142"/>
      <c r="L755" s="142"/>
      <c r="M755" s="142"/>
      <c r="N755" s="142"/>
      <c r="O755" s="136"/>
      <c r="P755" s="34"/>
      <c r="Q755" s="35"/>
      <c r="R755" s="35"/>
      <c r="S755" s="35"/>
      <c r="T755" s="35"/>
      <c r="U755" s="35"/>
      <c r="V755" s="35"/>
      <c r="W755" s="35"/>
      <c r="X755" s="35"/>
      <c r="Y755" s="35"/>
      <c r="Z755" s="35"/>
      <c r="AA755" s="35"/>
    </row>
    <row r="756" ht="14.25" customHeight="1">
      <c r="A756" s="136"/>
      <c r="B756" s="137"/>
      <c r="C756" s="138"/>
      <c r="D756" s="136"/>
      <c r="E756" s="136"/>
      <c r="F756" s="136"/>
      <c r="G756" s="139"/>
      <c r="H756" s="140"/>
      <c r="I756" s="141"/>
      <c r="J756" s="141"/>
      <c r="K756" s="142"/>
      <c r="L756" s="142"/>
      <c r="M756" s="142"/>
      <c r="N756" s="142"/>
      <c r="O756" s="136"/>
      <c r="P756" s="34"/>
      <c r="Q756" s="35"/>
      <c r="R756" s="35"/>
      <c r="S756" s="35"/>
      <c r="T756" s="35"/>
      <c r="U756" s="35"/>
      <c r="V756" s="35"/>
      <c r="W756" s="35"/>
      <c r="X756" s="35"/>
      <c r="Y756" s="35"/>
      <c r="Z756" s="35"/>
      <c r="AA756" s="35"/>
    </row>
    <row r="757" ht="14.25" customHeight="1">
      <c r="A757" s="136"/>
      <c r="B757" s="137"/>
      <c r="C757" s="138"/>
      <c r="D757" s="136"/>
      <c r="E757" s="136"/>
      <c r="F757" s="136"/>
      <c r="G757" s="139"/>
      <c r="H757" s="140"/>
      <c r="I757" s="141"/>
      <c r="J757" s="141"/>
      <c r="K757" s="142"/>
      <c r="L757" s="142"/>
      <c r="M757" s="142"/>
      <c r="N757" s="142"/>
      <c r="O757" s="136"/>
      <c r="P757" s="34"/>
      <c r="Q757" s="35"/>
      <c r="R757" s="35"/>
      <c r="S757" s="35"/>
      <c r="T757" s="35"/>
      <c r="U757" s="35"/>
      <c r="V757" s="35"/>
      <c r="W757" s="35"/>
      <c r="X757" s="35"/>
      <c r="Y757" s="35"/>
      <c r="Z757" s="35"/>
      <c r="AA757" s="35"/>
    </row>
    <row r="758" ht="14.25" customHeight="1">
      <c r="A758" s="136"/>
      <c r="B758" s="137"/>
      <c r="C758" s="138"/>
      <c r="D758" s="136"/>
      <c r="E758" s="136"/>
      <c r="F758" s="136"/>
      <c r="G758" s="139"/>
      <c r="H758" s="140"/>
      <c r="I758" s="141"/>
      <c r="J758" s="141"/>
      <c r="K758" s="142"/>
      <c r="L758" s="142"/>
      <c r="M758" s="142"/>
      <c r="N758" s="142"/>
      <c r="O758" s="136"/>
      <c r="P758" s="34"/>
      <c r="Q758" s="35"/>
      <c r="R758" s="35"/>
      <c r="S758" s="35"/>
      <c r="T758" s="35"/>
      <c r="U758" s="35"/>
      <c r="V758" s="35"/>
      <c r="W758" s="35"/>
      <c r="X758" s="35"/>
      <c r="Y758" s="35"/>
      <c r="Z758" s="35"/>
      <c r="AA758" s="35"/>
    </row>
    <row r="759" ht="14.25" customHeight="1">
      <c r="A759" s="136"/>
      <c r="B759" s="137"/>
      <c r="C759" s="138"/>
      <c r="D759" s="136"/>
      <c r="E759" s="136"/>
      <c r="F759" s="136"/>
      <c r="G759" s="139"/>
      <c r="H759" s="140"/>
      <c r="I759" s="141"/>
      <c r="J759" s="141"/>
      <c r="K759" s="142"/>
      <c r="L759" s="142"/>
      <c r="M759" s="142"/>
      <c r="N759" s="142"/>
      <c r="O759" s="136"/>
      <c r="P759" s="34"/>
      <c r="Q759" s="35"/>
      <c r="R759" s="35"/>
      <c r="S759" s="35"/>
      <c r="T759" s="35"/>
      <c r="U759" s="35"/>
      <c r="V759" s="35"/>
      <c r="W759" s="35"/>
      <c r="X759" s="35"/>
      <c r="Y759" s="35"/>
      <c r="Z759" s="35"/>
      <c r="AA759" s="35"/>
    </row>
    <row r="760" ht="14.25" customHeight="1">
      <c r="A760" s="136"/>
      <c r="B760" s="137"/>
      <c r="C760" s="138"/>
      <c r="D760" s="136"/>
      <c r="E760" s="136"/>
      <c r="F760" s="136"/>
      <c r="G760" s="139"/>
      <c r="H760" s="140"/>
      <c r="I760" s="141"/>
      <c r="J760" s="141"/>
      <c r="K760" s="142"/>
      <c r="L760" s="142"/>
      <c r="M760" s="142"/>
      <c r="N760" s="142"/>
      <c r="O760" s="136"/>
      <c r="P760" s="34"/>
      <c r="Q760" s="35"/>
      <c r="R760" s="35"/>
      <c r="S760" s="35"/>
      <c r="T760" s="35"/>
      <c r="U760" s="35"/>
      <c r="V760" s="35"/>
      <c r="W760" s="35"/>
      <c r="X760" s="35"/>
      <c r="Y760" s="35"/>
      <c r="Z760" s="35"/>
      <c r="AA760" s="35"/>
    </row>
    <row r="761" ht="14.25" customHeight="1">
      <c r="A761" s="136"/>
      <c r="B761" s="137"/>
      <c r="C761" s="138"/>
      <c r="D761" s="136"/>
      <c r="E761" s="136"/>
      <c r="F761" s="136"/>
      <c r="G761" s="139"/>
      <c r="H761" s="140"/>
      <c r="I761" s="141"/>
      <c r="J761" s="141"/>
      <c r="K761" s="142"/>
      <c r="L761" s="142"/>
      <c r="M761" s="142"/>
      <c r="N761" s="142"/>
      <c r="O761" s="136"/>
      <c r="P761" s="34"/>
      <c r="Q761" s="35"/>
      <c r="R761" s="35"/>
      <c r="S761" s="35"/>
      <c r="T761" s="35"/>
      <c r="U761" s="35"/>
      <c r="V761" s="35"/>
      <c r="W761" s="35"/>
      <c r="X761" s="35"/>
      <c r="Y761" s="35"/>
      <c r="Z761" s="35"/>
      <c r="AA761" s="35"/>
    </row>
    <row r="762" ht="14.25" customHeight="1">
      <c r="A762" s="136"/>
      <c r="B762" s="137"/>
      <c r="C762" s="138"/>
      <c r="D762" s="136"/>
      <c r="E762" s="136"/>
      <c r="F762" s="136"/>
      <c r="G762" s="139"/>
      <c r="H762" s="140"/>
      <c r="I762" s="141"/>
      <c r="J762" s="141"/>
      <c r="K762" s="142"/>
      <c r="L762" s="142"/>
      <c r="M762" s="142"/>
      <c r="N762" s="142"/>
      <c r="O762" s="136"/>
      <c r="P762" s="34"/>
      <c r="Q762" s="35"/>
      <c r="R762" s="35"/>
      <c r="S762" s="35"/>
      <c r="T762" s="35"/>
      <c r="U762" s="35"/>
      <c r="V762" s="35"/>
      <c r="W762" s="35"/>
      <c r="X762" s="35"/>
      <c r="Y762" s="35"/>
      <c r="Z762" s="35"/>
      <c r="AA762" s="35"/>
    </row>
    <row r="763" ht="14.25" customHeight="1">
      <c r="A763" s="136"/>
      <c r="B763" s="137"/>
      <c r="C763" s="138"/>
      <c r="D763" s="136"/>
      <c r="E763" s="136"/>
      <c r="F763" s="136"/>
      <c r="G763" s="139"/>
      <c r="H763" s="140"/>
      <c r="I763" s="141"/>
      <c r="J763" s="141"/>
      <c r="K763" s="142"/>
      <c r="L763" s="142"/>
      <c r="M763" s="142"/>
      <c r="N763" s="142"/>
      <c r="O763" s="136"/>
      <c r="P763" s="34"/>
      <c r="Q763" s="35"/>
      <c r="R763" s="35"/>
      <c r="S763" s="35"/>
      <c r="T763" s="35"/>
      <c r="U763" s="35"/>
      <c r="V763" s="35"/>
      <c r="W763" s="35"/>
      <c r="X763" s="35"/>
      <c r="Y763" s="35"/>
      <c r="Z763" s="35"/>
      <c r="AA763" s="35"/>
    </row>
    <row r="764" ht="14.25" customHeight="1">
      <c r="A764" s="136"/>
      <c r="B764" s="137"/>
      <c r="C764" s="138"/>
      <c r="D764" s="136"/>
      <c r="E764" s="136"/>
      <c r="F764" s="136"/>
      <c r="G764" s="139"/>
      <c r="H764" s="140"/>
      <c r="I764" s="141"/>
      <c r="J764" s="141"/>
      <c r="K764" s="142"/>
      <c r="L764" s="142"/>
      <c r="M764" s="142"/>
      <c r="N764" s="142"/>
      <c r="O764" s="136"/>
      <c r="P764" s="34"/>
      <c r="Q764" s="35"/>
      <c r="R764" s="35"/>
      <c r="S764" s="35"/>
      <c r="T764" s="35"/>
      <c r="U764" s="35"/>
      <c r="V764" s="35"/>
      <c r="W764" s="35"/>
      <c r="X764" s="35"/>
      <c r="Y764" s="35"/>
      <c r="Z764" s="35"/>
      <c r="AA764" s="35"/>
    </row>
    <row r="765" ht="14.25" customHeight="1">
      <c r="A765" s="136"/>
      <c r="B765" s="137"/>
      <c r="C765" s="138"/>
      <c r="D765" s="136"/>
      <c r="E765" s="136"/>
      <c r="F765" s="136"/>
      <c r="G765" s="139"/>
      <c r="H765" s="140"/>
      <c r="I765" s="141"/>
      <c r="J765" s="141"/>
      <c r="K765" s="142"/>
      <c r="L765" s="142"/>
      <c r="M765" s="142"/>
      <c r="N765" s="142"/>
      <c r="O765" s="136"/>
      <c r="P765" s="34"/>
      <c r="Q765" s="35"/>
      <c r="R765" s="35"/>
      <c r="S765" s="35"/>
      <c r="T765" s="35"/>
      <c r="U765" s="35"/>
      <c r="V765" s="35"/>
      <c r="W765" s="35"/>
      <c r="X765" s="35"/>
      <c r="Y765" s="35"/>
      <c r="Z765" s="35"/>
      <c r="AA765" s="35"/>
    </row>
    <row r="766" ht="14.25" customHeight="1">
      <c r="A766" s="136"/>
      <c r="B766" s="137"/>
      <c r="C766" s="138"/>
      <c r="D766" s="136"/>
      <c r="E766" s="136"/>
      <c r="F766" s="136"/>
      <c r="G766" s="139"/>
      <c r="H766" s="140"/>
      <c r="I766" s="141"/>
      <c r="J766" s="141"/>
      <c r="K766" s="142"/>
      <c r="L766" s="142"/>
      <c r="M766" s="142"/>
      <c r="N766" s="142"/>
      <c r="O766" s="136"/>
      <c r="P766" s="34"/>
      <c r="Q766" s="35"/>
      <c r="R766" s="35"/>
      <c r="S766" s="35"/>
      <c r="T766" s="35"/>
      <c r="U766" s="35"/>
      <c r="V766" s="35"/>
      <c r="W766" s="35"/>
      <c r="X766" s="35"/>
      <c r="Y766" s="35"/>
      <c r="Z766" s="35"/>
      <c r="AA766" s="35"/>
    </row>
    <row r="767" ht="14.25" customHeight="1">
      <c r="A767" s="136"/>
      <c r="B767" s="137"/>
      <c r="C767" s="138"/>
      <c r="D767" s="136"/>
      <c r="E767" s="136"/>
      <c r="F767" s="136"/>
      <c r="G767" s="139"/>
      <c r="H767" s="140"/>
      <c r="I767" s="141"/>
      <c r="J767" s="141"/>
      <c r="K767" s="142"/>
      <c r="L767" s="142"/>
      <c r="M767" s="142"/>
      <c r="N767" s="142"/>
      <c r="O767" s="136"/>
      <c r="P767" s="34"/>
      <c r="Q767" s="35"/>
      <c r="R767" s="35"/>
      <c r="S767" s="35"/>
      <c r="T767" s="35"/>
      <c r="U767" s="35"/>
      <c r="V767" s="35"/>
      <c r="W767" s="35"/>
      <c r="X767" s="35"/>
      <c r="Y767" s="35"/>
      <c r="Z767" s="35"/>
      <c r="AA767" s="35"/>
    </row>
    <row r="768" ht="14.25" customHeight="1">
      <c r="A768" s="136"/>
      <c r="B768" s="137"/>
      <c r="C768" s="138"/>
      <c r="D768" s="136"/>
      <c r="E768" s="136"/>
      <c r="F768" s="136"/>
      <c r="G768" s="139"/>
      <c r="H768" s="140"/>
      <c r="I768" s="141"/>
      <c r="J768" s="141"/>
      <c r="K768" s="142"/>
      <c r="L768" s="142"/>
      <c r="M768" s="142"/>
      <c r="N768" s="142"/>
      <c r="O768" s="136"/>
      <c r="P768" s="34"/>
      <c r="Q768" s="35"/>
      <c r="R768" s="35"/>
      <c r="S768" s="35"/>
      <c r="T768" s="35"/>
      <c r="U768" s="35"/>
      <c r="V768" s="35"/>
      <c r="W768" s="35"/>
      <c r="X768" s="35"/>
      <c r="Y768" s="35"/>
      <c r="Z768" s="35"/>
      <c r="AA768" s="35"/>
    </row>
    <row r="769" ht="14.25" customHeight="1">
      <c r="A769" s="136"/>
      <c r="B769" s="137"/>
      <c r="C769" s="138"/>
      <c r="D769" s="136"/>
      <c r="E769" s="136"/>
      <c r="F769" s="136"/>
      <c r="G769" s="139"/>
      <c r="H769" s="140"/>
      <c r="I769" s="141"/>
      <c r="J769" s="141"/>
      <c r="K769" s="142"/>
      <c r="L769" s="142"/>
      <c r="M769" s="142"/>
      <c r="N769" s="142"/>
      <c r="O769" s="136"/>
      <c r="P769" s="34"/>
      <c r="Q769" s="35"/>
      <c r="R769" s="35"/>
      <c r="S769" s="35"/>
      <c r="T769" s="35"/>
      <c r="U769" s="35"/>
      <c r="V769" s="35"/>
      <c r="W769" s="35"/>
      <c r="X769" s="35"/>
      <c r="Y769" s="35"/>
      <c r="Z769" s="35"/>
      <c r="AA769" s="35"/>
    </row>
    <row r="770" ht="14.25" customHeight="1">
      <c r="A770" s="136"/>
      <c r="B770" s="137"/>
      <c r="C770" s="138"/>
      <c r="D770" s="136"/>
      <c r="E770" s="136"/>
      <c r="F770" s="136"/>
      <c r="G770" s="139"/>
      <c r="H770" s="140"/>
      <c r="I770" s="141"/>
      <c r="J770" s="141"/>
      <c r="K770" s="142"/>
      <c r="L770" s="142"/>
      <c r="M770" s="142"/>
      <c r="N770" s="142"/>
      <c r="O770" s="136"/>
      <c r="P770" s="34"/>
      <c r="Q770" s="35"/>
      <c r="R770" s="35"/>
      <c r="S770" s="35"/>
      <c r="T770" s="35"/>
      <c r="U770" s="35"/>
      <c r="V770" s="35"/>
      <c r="W770" s="35"/>
      <c r="X770" s="35"/>
      <c r="Y770" s="35"/>
      <c r="Z770" s="35"/>
      <c r="AA770" s="35"/>
    </row>
    <row r="771" ht="14.25" customHeight="1">
      <c r="A771" s="136"/>
      <c r="B771" s="137"/>
      <c r="C771" s="138"/>
      <c r="D771" s="136"/>
      <c r="E771" s="136"/>
      <c r="F771" s="136"/>
      <c r="G771" s="139"/>
      <c r="H771" s="140"/>
      <c r="I771" s="141"/>
      <c r="J771" s="141"/>
      <c r="K771" s="142"/>
      <c r="L771" s="142"/>
      <c r="M771" s="142"/>
      <c r="N771" s="142"/>
      <c r="O771" s="136"/>
      <c r="P771" s="34"/>
      <c r="Q771" s="35"/>
      <c r="R771" s="35"/>
      <c r="S771" s="35"/>
      <c r="T771" s="35"/>
      <c r="U771" s="35"/>
      <c r="V771" s="35"/>
      <c r="W771" s="35"/>
      <c r="X771" s="35"/>
      <c r="Y771" s="35"/>
      <c r="Z771" s="35"/>
      <c r="AA771" s="35"/>
    </row>
    <row r="772" ht="14.25" customHeight="1">
      <c r="A772" s="136"/>
      <c r="B772" s="137"/>
      <c r="C772" s="138"/>
      <c r="D772" s="136"/>
      <c r="E772" s="136"/>
      <c r="F772" s="136"/>
      <c r="G772" s="139"/>
      <c r="H772" s="140"/>
      <c r="I772" s="141"/>
      <c r="J772" s="141"/>
      <c r="K772" s="142"/>
      <c r="L772" s="142"/>
      <c r="M772" s="142"/>
      <c r="N772" s="142"/>
      <c r="O772" s="136"/>
      <c r="P772" s="34"/>
      <c r="Q772" s="35"/>
      <c r="R772" s="35"/>
      <c r="S772" s="35"/>
      <c r="T772" s="35"/>
      <c r="U772" s="35"/>
      <c r="V772" s="35"/>
      <c r="W772" s="35"/>
      <c r="X772" s="35"/>
      <c r="Y772" s="35"/>
      <c r="Z772" s="35"/>
      <c r="AA772" s="35"/>
    </row>
    <row r="773" ht="14.25" customHeight="1">
      <c r="A773" s="136"/>
      <c r="B773" s="137"/>
      <c r="C773" s="138"/>
      <c r="D773" s="136"/>
      <c r="E773" s="136"/>
      <c r="F773" s="136"/>
      <c r="G773" s="139"/>
      <c r="H773" s="140"/>
      <c r="I773" s="141"/>
      <c r="J773" s="141"/>
      <c r="K773" s="142"/>
      <c r="L773" s="142"/>
      <c r="M773" s="142"/>
      <c r="N773" s="142"/>
      <c r="O773" s="136"/>
      <c r="P773" s="34"/>
      <c r="Q773" s="35"/>
      <c r="R773" s="35"/>
      <c r="S773" s="35"/>
      <c r="T773" s="35"/>
      <c r="U773" s="35"/>
      <c r="V773" s="35"/>
      <c r="W773" s="35"/>
      <c r="X773" s="35"/>
      <c r="Y773" s="35"/>
      <c r="Z773" s="35"/>
      <c r="AA773" s="35"/>
    </row>
    <row r="774" ht="14.25" customHeight="1">
      <c r="A774" s="136"/>
      <c r="B774" s="137"/>
      <c r="C774" s="138"/>
      <c r="D774" s="136"/>
      <c r="E774" s="136"/>
      <c r="F774" s="136"/>
      <c r="G774" s="139"/>
      <c r="H774" s="140"/>
      <c r="I774" s="141"/>
      <c r="J774" s="141"/>
      <c r="K774" s="142"/>
      <c r="L774" s="142"/>
      <c r="M774" s="142"/>
      <c r="N774" s="142"/>
      <c r="O774" s="136"/>
      <c r="P774" s="34"/>
      <c r="Q774" s="35"/>
      <c r="R774" s="35"/>
      <c r="S774" s="35"/>
      <c r="T774" s="35"/>
      <c r="U774" s="35"/>
      <c r="V774" s="35"/>
      <c r="W774" s="35"/>
      <c r="X774" s="35"/>
      <c r="Y774" s="35"/>
      <c r="Z774" s="35"/>
      <c r="AA774" s="35"/>
    </row>
    <row r="775" ht="14.25" customHeight="1">
      <c r="A775" s="136"/>
      <c r="B775" s="137"/>
      <c r="C775" s="138"/>
      <c r="D775" s="136"/>
      <c r="E775" s="136"/>
      <c r="F775" s="136"/>
      <c r="G775" s="139"/>
      <c r="H775" s="140"/>
      <c r="I775" s="141"/>
      <c r="J775" s="141"/>
      <c r="K775" s="142"/>
      <c r="L775" s="142"/>
      <c r="M775" s="142"/>
      <c r="N775" s="142"/>
      <c r="O775" s="136"/>
      <c r="P775" s="34"/>
      <c r="Q775" s="35"/>
      <c r="R775" s="35"/>
      <c r="S775" s="35"/>
      <c r="T775" s="35"/>
      <c r="U775" s="35"/>
      <c r="V775" s="35"/>
      <c r="W775" s="35"/>
      <c r="X775" s="35"/>
      <c r="Y775" s="35"/>
      <c r="Z775" s="35"/>
      <c r="AA775" s="35"/>
    </row>
    <row r="776" ht="14.25" customHeight="1">
      <c r="A776" s="136"/>
      <c r="B776" s="137"/>
      <c r="C776" s="138"/>
      <c r="D776" s="136"/>
      <c r="E776" s="136"/>
      <c r="F776" s="136"/>
      <c r="G776" s="139"/>
      <c r="H776" s="140"/>
      <c r="I776" s="141"/>
      <c r="J776" s="141"/>
      <c r="K776" s="142"/>
      <c r="L776" s="142"/>
      <c r="M776" s="142"/>
      <c r="N776" s="142"/>
      <c r="O776" s="136"/>
      <c r="P776" s="34"/>
      <c r="Q776" s="35"/>
      <c r="R776" s="35"/>
      <c r="S776" s="35"/>
      <c r="T776" s="35"/>
      <c r="U776" s="35"/>
      <c r="V776" s="35"/>
      <c r="W776" s="35"/>
      <c r="X776" s="35"/>
      <c r="Y776" s="35"/>
      <c r="Z776" s="35"/>
      <c r="AA776" s="35"/>
    </row>
    <row r="777" ht="14.25" customHeight="1">
      <c r="A777" s="136"/>
      <c r="B777" s="137"/>
      <c r="C777" s="138"/>
      <c r="D777" s="136"/>
      <c r="E777" s="136"/>
      <c r="F777" s="136"/>
      <c r="G777" s="139"/>
      <c r="H777" s="140"/>
      <c r="I777" s="141"/>
      <c r="J777" s="141"/>
      <c r="K777" s="142"/>
      <c r="L777" s="142"/>
      <c r="M777" s="142"/>
      <c r="N777" s="142"/>
      <c r="O777" s="136"/>
      <c r="P777" s="34"/>
      <c r="Q777" s="35"/>
      <c r="R777" s="35"/>
      <c r="S777" s="35"/>
      <c r="T777" s="35"/>
      <c r="U777" s="35"/>
      <c r="V777" s="35"/>
      <c r="W777" s="35"/>
      <c r="X777" s="35"/>
      <c r="Y777" s="35"/>
      <c r="Z777" s="35"/>
      <c r="AA777" s="35"/>
    </row>
    <row r="778" ht="14.25" customHeight="1">
      <c r="A778" s="136"/>
      <c r="B778" s="137"/>
      <c r="C778" s="138"/>
      <c r="D778" s="136"/>
      <c r="E778" s="136"/>
      <c r="F778" s="136"/>
      <c r="G778" s="139"/>
      <c r="H778" s="140"/>
      <c r="I778" s="141"/>
      <c r="J778" s="141"/>
      <c r="K778" s="142"/>
      <c r="L778" s="142"/>
      <c r="M778" s="142"/>
      <c r="N778" s="142"/>
      <c r="O778" s="136"/>
      <c r="P778" s="34"/>
      <c r="Q778" s="35"/>
      <c r="R778" s="35"/>
      <c r="S778" s="35"/>
      <c r="T778" s="35"/>
      <c r="U778" s="35"/>
      <c r="V778" s="35"/>
      <c r="W778" s="35"/>
      <c r="X778" s="35"/>
      <c r="Y778" s="35"/>
      <c r="Z778" s="35"/>
      <c r="AA778" s="35"/>
    </row>
    <row r="779" ht="14.25" customHeight="1">
      <c r="A779" s="136"/>
      <c r="B779" s="137"/>
      <c r="C779" s="138"/>
      <c r="D779" s="136"/>
      <c r="E779" s="136"/>
      <c r="F779" s="136"/>
      <c r="G779" s="139"/>
      <c r="H779" s="140"/>
      <c r="I779" s="141"/>
      <c r="J779" s="141"/>
      <c r="K779" s="142"/>
      <c r="L779" s="142"/>
      <c r="M779" s="142"/>
      <c r="N779" s="142"/>
      <c r="O779" s="136"/>
      <c r="P779" s="34"/>
      <c r="Q779" s="35"/>
      <c r="R779" s="35"/>
      <c r="S779" s="35"/>
      <c r="T779" s="35"/>
      <c r="U779" s="35"/>
      <c r="V779" s="35"/>
      <c r="W779" s="35"/>
      <c r="X779" s="35"/>
      <c r="Y779" s="35"/>
      <c r="Z779" s="35"/>
      <c r="AA779" s="35"/>
    </row>
    <row r="780" ht="14.25" customHeight="1">
      <c r="A780" s="136"/>
      <c r="B780" s="137"/>
      <c r="C780" s="138"/>
      <c r="D780" s="136"/>
      <c r="E780" s="136"/>
      <c r="F780" s="136"/>
      <c r="G780" s="139"/>
      <c r="H780" s="140"/>
      <c r="I780" s="141"/>
      <c r="J780" s="141"/>
      <c r="K780" s="142"/>
      <c r="L780" s="142"/>
      <c r="M780" s="142"/>
      <c r="N780" s="142"/>
      <c r="O780" s="136"/>
      <c r="P780" s="34"/>
      <c r="Q780" s="35"/>
      <c r="R780" s="35"/>
      <c r="S780" s="35"/>
      <c r="T780" s="35"/>
      <c r="U780" s="35"/>
      <c r="V780" s="35"/>
      <c r="W780" s="35"/>
      <c r="X780" s="35"/>
      <c r="Y780" s="35"/>
      <c r="Z780" s="35"/>
      <c r="AA780" s="35"/>
    </row>
    <row r="781" ht="14.25" customHeight="1">
      <c r="A781" s="136"/>
      <c r="B781" s="137"/>
      <c r="C781" s="138"/>
      <c r="D781" s="136"/>
      <c r="E781" s="136"/>
      <c r="F781" s="136"/>
      <c r="G781" s="139"/>
      <c r="H781" s="140"/>
      <c r="I781" s="141"/>
      <c r="J781" s="141"/>
      <c r="K781" s="142"/>
      <c r="L781" s="142"/>
      <c r="M781" s="142"/>
      <c r="N781" s="142"/>
      <c r="O781" s="136"/>
      <c r="P781" s="34"/>
      <c r="Q781" s="35"/>
      <c r="R781" s="35"/>
      <c r="S781" s="35"/>
      <c r="T781" s="35"/>
      <c r="U781" s="35"/>
      <c r="V781" s="35"/>
      <c r="W781" s="35"/>
      <c r="X781" s="35"/>
      <c r="Y781" s="35"/>
      <c r="Z781" s="35"/>
      <c r="AA781" s="35"/>
    </row>
    <row r="782" ht="14.25" customHeight="1">
      <c r="A782" s="136"/>
      <c r="B782" s="137"/>
      <c r="C782" s="138"/>
      <c r="D782" s="136"/>
      <c r="E782" s="136"/>
      <c r="F782" s="136"/>
      <c r="G782" s="139"/>
      <c r="H782" s="140"/>
      <c r="I782" s="141"/>
      <c r="J782" s="141"/>
      <c r="K782" s="142"/>
      <c r="L782" s="142"/>
      <c r="M782" s="142"/>
      <c r="N782" s="142"/>
      <c r="O782" s="136"/>
      <c r="P782" s="34"/>
      <c r="Q782" s="35"/>
      <c r="R782" s="35"/>
      <c r="S782" s="35"/>
      <c r="T782" s="35"/>
      <c r="U782" s="35"/>
      <c r="V782" s="35"/>
      <c r="W782" s="35"/>
      <c r="X782" s="35"/>
      <c r="Y782" s="35"/>
      <c r="Z782" s="35"/>
      <c r="AA782" s="35"/>
    </row>
    <row r="783" ht="14.25" customHeight="1">
      <c r="A783" s="136"/>
      <c r="B783" s="137"/>
      <c r="C783" s="138"/>
      <c r="D783" s="136"/>
      <c r="E783" s="136"/>
      <c r="F783" s="136"/>
      <c r="G783" s="139"/>
      <c r="H783" s="140"/>
      <c r="I783" s="141"/>
      <c r="J783" s="141"/>
      <c r="K783" s="142"/>
      <c r="L783" s="142"/>
      <c r="M783" s="142"/>
      <c r="N783" s="142"/>
      <c r="O783" s="136"/>
      <c r="P783" s="34"/>
      <c r="Q783" s="35"/>
      <c r="R783" s="35"/>
      <c r="S783" s="35"/>
      <c r="T783" s="35"/>
      <c r="U783" s="35"/>
      <c r="V783" s="35"/>
      <c r="W783" s="35"/>
      <c r="X783" s="35"/>
      <c r="Y783" s="35"/>
      <c r="Z783" s="35"/>
      <c r="AA783" s="35"/>
    </row>
    <row r="784" ht="14.25" customHeight="1">
      <c r="A784" s="136"/>
      <c r="B784" s="137"/>
      <c r="C784" s="138"/>
      <c r="D784" s="136"/>
      <c r="E784" s="136"/>
      <c r="F784" s="136"/>
      <c r="G784" s="139"/>
      <c r="H784" s="140"/>
      <c r="I784" s="141"/>
      <c r="J784" s="141"/>
      <c r="K784" s="142"/>
      <c r="L784" s="142"/>
      <c r="M784" s="142"/>
      <c r="N784" s="142"/>
      <c r="O784" s="136"/>
      <c r="P784" s="34"/>
      <c r="Q784" s="35"/>
      <c r="R784" s="35"/>
      <c r="S784" s="35"/>
      <c r="T784" s="35"/>
      <c r="U784" s="35"/>
      <c r="V784" s="35"/>
      <c r="W784" s="35"/>
      <c r="X784" s="35"/>
      <c r="Y784" s="35"/>
      <c r="Z784" s="35"/>
      <c r="AA784" s="35"/>
    </row>
    <row r="785" ht="14.25" customHeight="1">
      <c r="A785" s="136"/>
      <c r="B785" s="137"/>
      <c r="C785" s="138"/>
      <c r="D785" s="136"/>
      <c r="E785" s="136"/>
      <c r="F785" s="136"/>
      <c r="G785" s="139"/>
      <c r="H785" s="140"/>
      <c r="I785" s="141"/>
      <c r="J785" s="141"/>
      <c r="K785" s="142"/>
      <c r="L785" s="142"/>
      <c r="M785" s="142"/>
      <c r="N785" s="142"/>
      <c r="O785" s="136"/>
      <c r="P785" s="34"/>
      <c r="Q785" s="35"/>
      <c r="R785" s="35"/>
      <c r="S785" s="35"/>
      <c r="T785" s="35"/>
      <c r="U785" s="35"/>
      <c r="V785" s="35"/>
      <c r="W785" s="35"/>
      <c r="X785" s="35"/>
      <c r="Y785" s="35"/>
      <c r="Z785" s="35"/>
      <c r="AA785" s="35"/>
    </row>
    <row r="786" ht="14.25" customHeight="1">
      <c r="A786" s="136"/>
      <c r="B786" s="137"/>
      <c r="C786" s="138"/>
      <c r="D786" s="136"/>
      <c r="E786" s="136"/>
      <c r="F786" s="136"/>
      <c r="G786" s="139"/>
      <c r="H786" s="140"/>
      <c r="I786" s="141"/>
      <c r="J786" s="141"/>
      <c r="K786" s="142"/>
      <c r="L786" s="142"/>
      <c r="M786" s="142"/>
      <c r="N786" s="142"/>
      <c r="O786" s="136"/>
      <c r="P786" s="34"/>
      <c r="Q786" s="35"/>
      <c r="R786" s="35"/>
      <c r="S786" s="35"/>
      <c r="T786" s="35"/>
      <c r="U786" s="35"/>
      <c r="V786" s="35"/>
      <c r="W786" s="35"/>
      <c r="X786" s="35"/>
      <c r="Y786" s="35"/>
      <c r="Z786" s="35"/>
      <c r="AA786" s="35"/>
    </row>
    <row r="787" ht="14.25" customHeight="1">
      <c r="A787" s="136"/>
      <c r="B787" s="137"/>
      <c r="C787" s="138"/>
      <c r="D787" s="136"/>
      <c r="E787" s="136"/>
      <c r="F787" s="136"/>
      <c r="G787" s="139"/>
      <c r="H787" s="140"/>
      <c r="I787" s="141"/>
      <c r="J787" s="141"/>
      <c r="K787" s="142"/>
      <c r="L787" s="142"/>
      <c r="M787" s="142"/>
      <c r="N787" s="142"/>
      <c r="O787" s="136"/>
      <c r="P787" s="34"/>
      <c r="Q787" s="35"/>
      <c r="R787" s="35"/>
      <c r="S787" s="35"/>
      <c r="T787" s="35"/>
      <c r="U787" s="35"/>
      <c r="V787" s="35"/>
      <c r="W787" s="35"/>
      <c r="X787" s="35"/>
      <c r="Y787" s="35"/>
      <c r="Z787" s="35"/>
      <c r="AA787" s="35"/>
    </row>
    <row r="788" ht="14.25" customHeight="1">
      <c r="A788" s="136"/>
      <c r="B788" s="137"/>
      <c r="C788" s="138"/>
      <c r="D788" s="136"/>
      <c r="E788" s="136"/>
      <c r="F788" s="136"/>
      <c r="G788" s="139"/>
      <c r="H788" s="140"/>
      <c r="I788" s="141"/>
      <c r="J788" s="141"/>
      <c r="K788" s="142"/>
      <c r="L788" s="142"/>
      <c r="M788" s="142"/>
      <c r="N788" s="142"/>
      <c r="O788" s="136"/>
      <c r="P788" s="34"/>
      <c r="Q788" s="35"/>
      <c r="R788" s="35"/>
      <c r="S788" s="35"/>
      <c r="T788" s="35"/>
      <c r="U788" s="35"/>
      <c r="V788" s="35"/>
      <c r="W788" s="35"/>
      <c r="X788" s="35"/>
      <c r="Y788" s="35"/>
      <c r="Z788" s="35"/>
      <c r="AA788" s="35"/>
    </row>
    <row r="789" ht="14.25" customHeight="1">
      <c r="A789" s="136"/>
      <c r="B789" s="137"/>
      <c r="C789" s="138"/>
      <c r="D789" s="136"/>
      <c r="E789" s="136"/>
      <c r="F789" s="136"/>
      <c r="G789" s="139"/>
      <c r="H789" s="140"/>
      <c r="I789" s="141"/>
      <c r="J789" s="141"/>
      <c r="K789" s="142"/>
      <c r="L789" s="142"/>
      <c r="M789" s="142"/>
      <c r="N789" s="142"/>
      <c r="O789" s="136"/>
      <c r="P789" s="34"/>
      <c r="Q789" s="35"/>
      <c r="R789" s="35"/>
      <c r="S789" s="35"/>
      <c r="T789" s="35"/>
      <c r="U789" s="35"/>
      <c r="V789" s="35"/>
      <c r="W789" s="35"/>
      <c r="X789" s="35"/>
      <c r="Y789" s="35"/>
      <c r="Z789" s="35"/>
      <c r="AA789" s="35"/>
    </row>
    <row r="790" ht="14.25" customHeight="1">
      <c r="A790" s="136"/>
      <c r="B790" s="137"/>
      <c r="C790" s="138"/>
      <c r="D790" s="136"/>
      <c r="E790" s="136"/>
      <c r="F790" s="136"/>
      <c r="G790" s="139"/>
      <c r="H790" s="140"/>
      <c r="I790" s="141"/>
      <c r="J790" s="141"/>
      <c r="K790" s="142"/>
      <c r="L790" s="142"/>
      <c r="M790" s="142"/>
      <c r="N790" s="142"/>
      <c r="O790" s="136"/>
      <c r="P790" s="34"/>
      <c r="Q790" s="35"/>
      <c r="R790" s="35"/>
      <c r="S790" s="35"/>
      <c r="T790" s="35"/>
      <c r="U790" s="35"/>
      <c r="V790" s="35"/>
      <c r="W790" s="35"/>
      <c r="X790" s="35"/>
      <c r="Y790" s="35"/>
      <c r="Z790" s="35"/>
      <c r="AA790" s="35"/>
    </row>
    <row r="791" ht="14.25" customHeight="1">
      <c r="A791" s="136"/>
      <c r="B791" s="137"/>
      <c r="C791" s="138"/>
      <c r="D791" s="136"/>
      <c r="E791" s="136"/>
      <c r="F791" s="136"/>
      <c r="G791" s="139"/>
      <c r="H791" s="140"/>
      <c r="I791" s="141"/>
      <c r="J791" s="141"/>
      <c r="K791" s="142"/>
      <c r="L791" s="142"/>
      <c r="M791" s="142"/>
      <c r="N791" s="142"/>
      <c r="O791" s="136"/>
      <c r="P791" s="34"/>
      <c r="Q791" s="35"/>
      <c r="R791" s="35"/>
      <c r="S791" s="35"/>
      <c r="T791" s="35"/>
      <c r="U791" s="35"/>
      <c r="V791" s="35"/>
      <c r="W791" s="35"/>
      <c r="X791" s="35"/>
      <c r="Y791" s="35"/>
      <c r="Z791" s="35"/>
      <c r="AA791" s="35"/>
    </row>
    <row r="792" ht="14.25" customHeight="1">
      <c r="A792" s="136"/>
      <c r="B792" s="137"/>
      <c r="C792" s="138"/>
      <c r="D792" s="136"/>
      <c r="E792" s="136"/>
      <c r="F792" s="136"/>
      <c r="G792" s="139"/>
      <c r="H792" s="140"/>
      <c r="I792" s="141"/>
      <c r="J792" s="141"/>
      <c r="K792" s="142"/>
      <c r="L792" s="142"/>
      <c r="M792" s="142"/>
      <c r="N792" s="142"/>
      <c r="O792" s="136"/>
      <c r="P792" s="34"/>
      <c r="Q792" s="35"/>
      <c r="R792" s="35"/>
      <c r="S792" s="35"/>
      <c r="T792" s="35"/>
      <c r="U792" s="35"/>
      <c r="V792" s="35"/>
      <c r="W792" s="35"/>
      <c r="X792" s="35"/>
      <c r="Y792" s="35"/>
      <c r="Z792" s="35"/>
      <c r="AA792" s="35"/>
    </row>
    <row r="793" ht="14.25" customHeight="1">
      <c r="A793" s="136"/>
      <c r="B793" s="137"/>
      <c r="C793" s="138"/>
      <c r="D793" s="136"/>
      <c r="E793" s="136"/>
      <c r="F793" s="136"/>
      <c r="G793" s="139"/>
      <c r="H793" s="140"/>
      <c r="I793" s="141"/>
      <c r="J793" s="141"/>
      <c r="K793" s="142"/>
      <c r="L793" s="142"/>
      <c r="M793" s="142"/>
      <c r="N793" s="142"/>
      <c r="O793" s="136"/>
      <c r="P793" s="34"/>
      <c r="Q793" s="35"/>
      <c r="R793" s="35"/>
      <c r="S793" s="35"/>
      <c r="T793" s="35"/>
      <c r="U793" s="35"/>
      <c r="V793" s="35"/>
      <c r="W793" s="35"/>
      <c r="X793" s="35"/>
      <c r="Y793" s="35"/>
      <c r="Z793" s="35"/>
      <c r="AA793" s="35"/>
    </row>
    <row r="794" ht="14.25" customHeight="1">
      <c r="A794" s="136"/>
      <c r="B794" s="137"/>
      <c r="C794" s="138"/>
      <c r="D794" s="136"/>
      <c r="E794" s="136"/>
      <c r="F794" s="136"/>
      <c r="G794" s="139"/>
      <c r="H794" s="140"/>
      <c r="I794" s="141"/>
      <c r="J794" s="141"/>
      <c r="K794" s="142"/>
      <c r="L794" s="142"/>
      <c r="M794" s="142"/>
      <c r="N794" s="142"/>
      <c r="O794" s="136"/>
      <c r="P794" s="34"/>
      <c r="Q794" s="35"/>
      <c r="R794" s="35"/>
      <c r="S794" s="35"/>
      <c r="T794" s="35"/>
      <c r="U794" s="35"/>
      <c r="V794" s="35"/>
      <c r="W794" s="35"/>
      <c r="X794" s="35"/>
      <c r="Y794" s="35"/>
      <c r="Z794" s="35"/>
      <c r="AA794" s="35"/>
    </row>
    <row r="795" ht="14.25" customHeight="1">
      <c r="A795" s="136"/>
      <c r="B795" s="137"/>
      <c r="C795" s="138"/>
      <c r="D795" s="136"/>
      <c r="E795" s="136"/>
      <c r="F795" s="136"/>
      <c r="G795" s="139"/>
      <c r="H795" s="140"/>
      <c r="I795" s="141"/>
      <c r="J795" s="141"/>
      <c r="K795" s="142"/>
      <c r="L795" s="142"/>
      <c r="M795" s="142"/>
      <c r="N795" s="142"/>
      <c r="O795" s="136"/>
      <c r="P795" s="34"/>
      <c r="Q795" s="35"/>
      <c r="R795" s="35"/>
      <c r="S795" s="35"/>
      <c r="T795" s="35"/>
      <c r="U795" s="35"/>
      <c r="V795" s="35"/>
      <c r="W795" s="35"/>
      <c r="X795" s="35"/>
      <c r="Y795" s="35"/>
      <c r="Z795" s="35"/>
      <c r="AA795" s="35"/>
    </row>
    <row r="796" ht="14.25" customHeight="1">
      <c r="A796" s="136"/>
      <c r="B796" s="137"/>
      <c r="C796" s="138"/>
      <c r="D796" s="136"/>
      <c r="E796" s="136"/>
      <c r="F796" s="136"/>
      <c r="G796" s="139"/>
      <c r="H796" s="140"/>
      <c r="I796" s="141"/>
      <c r="J796" s="141"/>
      <c r="K796" s="142"/>
      <c r="L796" s="142"/>
      <c r="M796" s="142"/>
      <c r="N796" s="142"/>
      <c r="O796" s="136"/>
      <c r="P796" s="34"/>
      <c r="Q796" s="35"/>
      <c r="R796" s="35"/>
      <c r="S796" s="35"/>
      <c r="T796" s="35"/>
      <c r="U796" s="35"/>
      <c r="V796" s="35"/>
      <c r="W796" s="35"/>
      <c r="X796" s="35"/>
      <c r="Y796" s="35"/>
      <c r="Z796" s="35"/>
      <c r="AA796" s="35"/>
    </row>
    <row r="797" ht="14.25" customHeight="1">
      <c r="A797" s="136"/>
      <c r="B797" s="137"/>
      <c r="C797" s="138"/>
      <c r="D797" s="136"/>
      <c r="E797" s="136"/>
      <c r="F797" s="136"/>
      <c r="G797" s="139"/>
      <c r="H797" s="140"/>
      <c r="I797" s="141"/>
      <c r="J797" s="141"/>
      <c r="K797" s="142"/>
      <c r="L797" s="142"/>
      <c r="M797" s="142"/>
      <c r="N797" s="142"/>
      <c r="O797" s="136"/>
      <c r="P797" s="34"/>
      <c r="Q797" s="35"/>
      <c r="R797" s="35"/>
      <c r="S797" s="35"/>
      <c r="T797" s="35"/>
      <c r="U797" s="35"/>
      <c r="V797" s="35"/>
      <c r="W797" s="35"/>
      <c r="X797" s="35"/>
      <c r="Y797" s="35"/>
      <c r="Z797" s="35"/>
      <c r="AA797" s="35"/>
    </row>
    <row r="798" ht="14.25" customHeight="1">
      <c r="A798" s="136"/>
      <c r="B798" s="137"/>
      <c r="C798" s="138"/>
      <c r="D798" s="136"/>
      <c r="E798" s="136"/>
      <c r="F798" s="136"/>
      <c r="G798" s="139"/>
      <c r="H798" s="140"/>
      <c r="I798" s="141"/>
      <c r="J798" s="141"/>
      <c r="K798" s="142"/>
      <c r="L798" s="142"/>
      <c r="M798" s="142"/>
      <c r="N798" s="142"/>
      <c r="O798" s="136"/>
      <c r="P798" s="34"/>
      <c r="Q798" s="35"/>
      <c r="R798" s="35"/>
      <c r="S798" s="35"/>
      <c r="T798" s="35"/>
      <c r="U798" s="35"/>
      <c r="V798" s="35"/>
      <c r="W798" s="35"/>
      <c r="X798" s="35"/>
      <c r="Y798" s="35"/>
      <c r="Z798" s="35"/>
      <c r="AA798" s="35"/>
    </row>
    <row r="799" ht="14.25" customHeight="1">
      <c r="A799" s="136"/>
      <c r="B799" s="137"/>
      <c r="C799" s="138"/>
      <c r="D799" s="136"/>
      <c r="E799" s="136"/>
      <c r="F799" s="136"/>
      <c r="G799" s="139"/>
      <c r="H799" s="140"/>
      <c r="I799" s="141"/>
      <c r="J799" s="141"/>
      <c r="K799" s="142"/>
      <c r="L799" s="142"/>
      <c r="M799" s="142"/>
      <c r="N799" s="142"/>
      <c r="O799" s="136"/>
      <c r="P799" s="34"/>
      <c r="Q799" s="35"/>
      <c r="R799" s="35"/>
      <c r="S799" s="35"/>
      <c r="T799" s="35"/>
      <c r="U799" s="35"/>
      <c r="V799" s="35"/>
      <c r="W799" s="35"/>
      <c r="X799" s="35"/>
      <c r="Y799" s="35"/>
      <c r="Z799" s="35"/>
      <c r="AA799" s="35"/>
    </row>
    <row r="800" ht="14.25" customHeight="1">
      <c r="A800" s="136"/>
      <c r="B800" s="137"/>
      <c r="C800" s="138"/>
      <c r="D800" s="136"/>
      <c r="E800" s="136"/>
      <c r="F800" s="136"/>
      <c r="G800" s="139"/>
      <c r="H800" s="140"/>
      <c r="I800" s="141"/>
      <c r="J800" s="141"/>
      <c r="K800" s="142"/>
      <c r="L800" s="142"/>
      <c r="M800" s="142"/>
      <c r="N800" s="142"/>
      <c r="O800" s="136"/>
      <c r="P800" s="34"/>
      <c r="Q800" s="35"/>
      <c r="R800" s="35"/>
      <c r="S800" s="35"/>
      <c r="T800" s="35"/>
      <c r="U800" s="35"/>
      <c r="V800" s="35"/>
      <c r="W800" s="35"/>
      <c r="X800" s="35"/>
      <c r="Y800" s="35"/>
      <c r="Z800" s="35"/>
      <c r="AA800" s="35"/>
    </row>
    <row r="801" ht="14.25" customHeight="1">
      <c r="A801" s="136"/>
      <c r="B801" s="137"/>
      <c r="C801" s="138"/>
      <c r="D801" s="136"/>
      <c r="E801" s="136"/>
      <c r="F801" s="136"/>
      <c r="G801" s="139"/>
      <c r="H801" s="140"/>
      <c r="I801" s="141"/>
      <c r="J801" s="141"/>
      <c r="K801" s="142"/>
      <c r="L801" s="142"/>
      <c r="M801" s="142"/>
      <c r="N801" s="142"/>
      <c r="O801" s="136"/>
      <c r="P801" s="34"/>
      <c r="Q801" s="35"/>
      <c r="R801" s="35"/>
      <c r="S801" s="35"/>
      <c r="T801" s="35"/>
      <c r="U801" s="35"/>
      <c r="V801" s="35"/>
      <c r="W801" s="35"/>
      <c r="X801" s="35"/>
      <c r="Y801" s="35"/>
      <c r="Z801" s="35"/>
      <c r="AA801" s="35"/>
    </row>
    <row r="802" ht="14.25" customHeight="1">
      <c r="A802" s="136"/>
      <c r="B802" s="137"/>
      <c r="C802" s="138"/>
      <c r="D802" s="136"/>
      <c r="E802" s="136"/>
      <c r="F802" s="136"/>
      <c r="G802" s="139"/>
      <c r="H802" s="140"/>
      <c r="I802" s="141"/>
      <c r="J802" s="141"/>
      <c r="K802" s="142"/>
      <c r="L802" s="142"/>
      <c r="M802" s="142"/>
      <c r="N802" s="142"/>
      <c r="O802" s="136"/>
      <c r="P802" s="34"/>
      <c r="Q802" s="35"/>
      <c r="R802" s="35"/>
      <c r="S802" s="35"/>
      <c r="T802" s="35"/>
      <c r="U802" s="35"/>
      <c r="V802" s="35"/>
      <c r="W802" s="35"/>
      <c r="X802" s="35"/>
      <c r="Y802" s="35"/>
      <c r="Z802" s="35"/>
      <c r="AA802" s="35"/>
    </row>
    <row r="803" ht="14.25" customHeight="1">
      <c r="A803" s="136"/>
      <c r="B803" s="137"/>
      <c r="C803" s="138"/>
      <c r="D803" s="136"/>
      <c r="E803" s="136"/>
      <c r="F803" s="136"/>
      <c r="G803" s="139"/>
      <c r="H803" s="140"/>
      <c r="I803" s="141"/>
      <c r="J803" s="141"/>
      <c r="K803" s="142"/>
      <c r="L803" s="142"/>
      <c r="M803" s="142"/>
      <c r="N803" s="142"/>
      <c r="O803" s="136"/>
      <c r="P803" s="34"/>
      <c r="Q803" s="35"/>
      <c r="R803" s="35"/>
      <c r="S803" s="35"/>
      <c r="T803" s="35"/>
      <c r="U803" s="35"/>
      <c r="V803" s="35"/>
      <c r="W803" s="35"/>
      <c r="X803" s="35"/>
      <c r="Y803" s="35"/>
      <c r="Z803" s="35"/>
      <c r="AA803" s="35"/>
    </row>
    <row r="804" ht="14.25" customHeight="1">
      <c r="A804" s="136"/>
      <c r="B804" s="137"/>
      <c r="C804" s="138"/>
      <c r="D804" s="136"/>
      <c r="E804" s="136"/>
      <c r="F804" s="136"/>
      <c r="G804" s="139"/>
      <c r="H804" s="140"/>
      <c r="I804" s="141"/>
      <c r="J804" s="141"/>
      <c r="K804" s="142"/>
      <c r="L804" s="142"/>
      <c r="M804" s="142"/>
      <c r="N804" s="142"/>
      <c r="O804" s="136"/>
      <c r="P804" s="34"/>
      <c r="Q804" s="35"/>
      <c r="R804" s="35"/>
      <c r="S804" s="35"/>
      <c r="T804" s="35"/>
      <c r="U804" s="35"/>
      <c r="V804" s="35"/>
      <c r="W804" s="35"/>
      <c r="X804" s="35"/>
      <c r="Y804" s="35"/>
      <c r="Z804" s="35"/>
      <c r="AA804" s="35"/>
    </row>
    <row r="805" ht="14.25" customHeight="1">
      <c r="A805" s="136"/>
      <c r="B805" s="137"/>
      <c r="C805" s="138"/>
      <c r="D805" s="136"/>
      <c r="E805" s="136"/>
      <c r="F805" s="136"/>
      <c r="G805" s="139"/>
      <c r="H805" s="140"/>
      <c r="I805" s="141"/>
      <c r="J805" s="141"/>
      <c r="K805" s="142"/>
      <c r="L805" s="142"/>
      <c r="M805" s="142"/>
      <c r="N805" s="142"/>
      <c r="O805" s="136"/>
      <c r="P805" s="34"/>
      <c r="Q805" s="35"/>
      <c r="R805" s="35"/>
      <c r="S805" s="35"/>
      <c r="T805" s="35"/>
      <c r="U805" s="35"/>
      <c r="V805" s="35"/>
      <c r="W805" s="35"/>
      <c r="X805" s="35"/>
      <c r="Y805" s="35"/>
      <c r="Z805" s="35"/>
      <c r="AA805" s="35"/>
    </row>
    <row r="806" ht="14.25" customHeight="1">
      <c r="A806" s="136"/>
      <c r="B806" s="137"/>
      <c r="C806" s="138"/>
      <c r="D806" s="136"/>
      <c r="E806" s="136"/>
      <c r="F806" s="136"/>
      <c r="G806" s="139"/>
      <c r="H806" s="140"/>
      <c r="I806" s="141"/>
      <c r="J806" s="141"/>
      <c r="K806" s="142"/>
      <c r="L806" s="142"/>
      <c r="M806" s="142"/>
      <c r="N806" s="142"/>
      <c r="O806" s="136"/>
      <c r="P806" s="34"/>
      <c r="Q806" s="35"/>
      <c r="R806" s="35"/>
      <c r="S806" s="35"/>
      <c r="T806" s="35"/>
      <c r="U806" s="35"/>
      <c r="V806" s="35"/>
      <c r="W806" s="35"/>
      <c r="X806" s="35"/>
      <c r="Y806" s="35"/>
      <c r="Z806" s="35"/>
      <c r="AA806" s="35"/>
    </row>
    <row r="807" ht="14.25" customHeight="1">
      <c r="A807" s="136"/>
      <c r="B807" s="137"/>
      <c r="C807" s="138"/>
      <c r="D807" s="136"/>
      <c r="E807" s="136"/>
      <c r="F807" s="136"/>
      <c r="G807" s="139"/>
      <c r="H807" s="140"/>
      <c r="I807" s="141"/>
      <c r="J807" s="141"/>
      <c r="K807" s="142"/>
      <c r="L807" s="142"/>
      <c r="M807" s="142"/>
      <c r="N807" s="142"/>
      <c r="O807" s="136"/>
      <c r="P807" s="34"/>
      <c r="Q807" s="35"/>
      <c r="R807" s="35"/>
      <c r="S807" s="35"/>
      <c r="T807" s="35"/>
      <c r="U807" s="35"/>
      <c r="V807" s="35"/>
      <c r="W807" s="35"/>
      <c r="X807" s="35"/>
      <c r="Y807" s="35"/>
      <c r="Z807" s="35"/>
      <c r="AA807" s="35"/>
    </row>
    <row r="808" ht="14.25" customHeight="1">
      <c r="A808" s="136"/>
      <c r="B808" s="137"/>
      <c r="C808" s="138"/>
      <c r="D808" s="136"/>
      <c r="E808" s="136"/>
      <c r="F808" s="136"/>
      <c r="G808" s="139"/>
      <c r="H808" s="140"/>
      <c r="I808" s="141"/>
      <c r="J808" s="141"/>
      <c r="K808" s="142"/>
      <c r="L808" s="142"/>
      <c r="M808" s="142"/>
      <c r="N808" s="142"/>
      <c r="O808" s="136"/>
      <c r="P808" s="34"/>
      <c r="Q808" s="35"/>
      <c r="R808" s="35"/>
      <c r="S808" s="35"/>
      <c r="T808" s="35"/>
      <c r="U808" s="35"/>
      <c r="V808" s="35"/>
      <c r="W808" s="35"/>
      <c r="X808" s="35"/>
      <c r="Y808" s="35"/>
      <c r="Z808" s="35"/>
      <c r="AA808" s="35"/>
    </row>
    <row r="809" ht="14.25" customHeight="1">
      <c r="A809" s="136"/>
      <c r="B809" s="137"/>
      <c r="C809" s="138"/>
      <c r="D809" s="136"/>
      <c r="E809" s="136"/>
      <c r="F809" s="136"/>
      <c r="G809" s="139"/>
      <c r="H809" s="140"/>
      <c r="I809" s="141"/>
      <c r="J809" s="141"/>
      <c r="K809" s="142"/>
      <c r="L809" s="142"/>
      <c r="M809" s="142"/>
      <c r="N809" s="142"/>
      <c r="O809" s="136"/>
      <c r="P809" s="34"/>
      <c r="Q809" s="35"/>
      <c r="R809" s="35"/>
      <c r="S809" s="35"/>
      <c r="T809" s="35"/>
      <c r="U809" s="35"/>
      <c r="V809" s="35"/>
      <c r="W809" s="35"/>
      <c r="X809" s="35"/>
      <c r="Y809" s="35"/>
      <c r="Z809" s="35"/>
      <c r="AA809" s="35"/>
    </row>
    <row r="810" ht="14.25" customHeight="1">
      <c r="A810" s="136"/>
      <c r="B810" s="137"/>
      <c r="C810" s="138"/>
      <c r="D810" s="136"/>
      <c r="E810" s="136"/>
      <c r="F810" s="136"/>
      <c r="G810" s="139"/>
      <c r="H810" s="140"/>
      <c r="I810" s="141"/>
      <c r="J810" s="141"/>
      <c r="K810" s="142"/>
      <c r="L810" s="142"/>
      <c r="M810" s="142"/>
      <c r="N810" s="142"/>
      <c r="O810" s="136"/>
      <c r="P810" s="34"/>
      <c r="Q810" s="35"/>
      <c r="R810" s="35"/>
      <c r="S810" s="35"/>
      <c r="T810" s="35"/>
      <c r="U810" s="35"/>
      <c r="V810" s="35"/>
      <c r="W810" s="35"/>
      <c r="X810" s="35"/>
      <c r="Y810" s="35"/>
      <c r="Z810" s="35"/>
      <c r="AA810" s="35"/>
    </row>
    <row r="811" ht="14.25" customHeight="1">
      <c r="A811" s="136"/>
      <c r="B811" s="137"/>
      <c r="C811" s="138"/>
      <c r="D811" s="136"/>
      <c r="E811" s="136"/>
      <c r="F811" s="136"/>
      <c r="G811" s="139"/>
      <c r="H811" s="140"/>
      <c r="I811" s="141"/>
      <c r="J811" s="141"/>
      <c r="K811" s="142"/>
      <c r="L811" s="142"/>
      <c r="M811" s="142"/>
      <c r="N811" s="142"/>
      <c r="O811" s="136"/>
      <c r="P811" s="34"/>
      <c r="Q811" s="35"/>
      <c r="R811" s="35"/>
      <c r="S811" s="35"/>
      <c r="T811" s="35"/>
      <c r="U811" s="35"/>
      <c r="V811" s="35"/>
      <c r="W811" s="35"/>
      <c r="X811" s="35"/>
      <c r="Y811" s="35"/>
      <c r="Z811" s="35"/>
      <c r="AA811" s="35"/>
    </row>
    <row r="812" ht="14.25" customHeight="1">
      <c r="A812" s="136"/>
      <c r="B812" s="137"/>
      <c r="C812" s="138"/>
      <c r="D812" s="136"/>
      <c r="E812" s="136"/>
      <c r="F812" s="136"/>
      <c r="G812" s="139"/>
      <c r="H812" s="140"/>
      <c r="I812" s="141"/>
      <c r="J812" s="141"/>
      <c r="K812" s="142"/>
      <c r="L812" s="142"/>
      <c r="M812" s="142"/>
      <c r="N812" s="142"/>
      <c r="O812" s="136"/>
      <c r="P812" s="34"/>
      <c r="Q812" s="35"/>
      <c r="R812" s="35"/>
      <c r="S812" s="35"/>
      <c r="T812" s="35"/>
      <c r="U812" s="35"/>
      <c r="V812" s="35"/>
      <c r="W812" s="35"/>
      <c r="X812" s="35"/>
      <c r="Y812" s="35"/>
      <c r="Z812" s="35"/>
      <c r="AA812" s="35"/>
    </row>
    <row r="813" ht="14.25" customHeight="1">
      <c r="A813" s="136"/>
      <c r="B813" s="137"/>
      <c r="C813" s="138"/>
      <c r="D813" s="136"/>
      <c r="E813" s="136"/>
      <c r="F813" s="136"/>
      <c r="G813" s="139"/>
      <c r="H813" s="140"/>
      <c r="I813" s="141"/>
      <c r="J813" s="141"/>
      <c r="K813" s="142"/>
      <c r="L813" s="142"/>
      <c r="M813" s="142"/>
      <c r="N813" s="142"/>
      <c r="O813" s="136"/>
      <c r="P813" s="34"/>
      <c r="Q813" s="35"/>
      <c r="R813" s="35"/>
      <c r="S813" s="35"/>
      <c r="T813" s="35"/>
      <c r="U813" s="35"/>
      <c r="V813" s="35"/>
      <c r="W813" s="35"/>
      <c r="X813" s="35"/>
      <c r="Y813" s="35"/>
      <c r="Z813" s="35"/>
      <c r="AA813" s="35"/>
    </row>
    <row r="814" ht="14.25" customHeight="1">
      <c r="A814" s="136"/>
      <c r="B814" s="137"/>
      <c r="C814" s="138"/>
      <c r="D814" s="136"/>
      <c r="E814" s="136"/>
      <c r="F814" s="136"/>
      <c r="G814" s="139"/>
      <c r="H814" s="140"/>
      <c r="I814" s="141"/>
      <c r="J814" s="141"/>
      <c r="K814" s="142"/>
      <c r="L814" s="142"/>
      <c r="M814" s="142"/>
      <c r="N814" s="142"/>
      <c r="O814" s="136"/>
      <c r="P814" s="34"/>
      <c r="Q814" s="35"/>
      <c r="R814" s="35"/>
      <c r="S814" s="35"/>
      <c r="T814" s="35"/>
      <c r="U814" s="35"/>
      <c r="V814" s="35"/>
      <c r="W814" s="35"/>
      <c r="X814" s="35"/>
      <c r="Y814" s="35"/>
      <c r="Z814" s="35"/>
      <c r="AA814" s="35"/>
    </row>
    <row r="815" ht="14.25" customHeight="1">
      <c r="A815" s="136"/>
      <c r="B815" s="137"/>
      <c r="C815" s="138"/>
      <c r="D815" s="136"/>
      <c r="E815" s="136"/>
      <c r="F815" s="136"/>
      <c r="G815" s="139"/>
      <c r="H815" s="140"/>
      <c r="I815" s="141"/>
      <c r="J815" s="141"/>
      <c r="K815" s="142"/>
      <c r="L815" s="142"/>
      <c r="M815" s="142"/>
      <c r="N815" s="142"/>
      <c r="O815" s="136"/>
      <c r="P815" s="34"/>
      <c r="Q815" s="35"/>
      <c r="R815" s="35"/>
      <c r="S815" s="35"/>
      <c r="T815" s="35"/>
      <c r="U815" s="35"/>
      <c r="V815" s="35"/>
      <c r="W815" s="35"/>
      <c r="X815" s="35"/>
      <c r="Y815" s="35"/>
      <c r="Z815" s="35"/>
      <c r="AA815" s="35"/>
    </row>
    <row r="816" ht="14.25" customHeight="1">
      <c r="A816" s="136"/>
      <c r="B816" s="137"/>
      <c r="C816" s="138"/>
      <c r="D816" s="136"/>
      <c r="E816" s="136"/>
      <c r="F816" s="136"/>
      <c r="G816" s="139"/>
      <c r="H816" s="140"/>
      <c r="I816" s="141"/>
      <c r="J816" s="141"/>
      <c r="K816" s="142"/>
      <c r="L816" s="142"/>
      <c r="M816" s="142"/>
      <c r="N816" s="142"/>
      <c r="O816" s="136"/>
      <c r="P816" s="34"/>
      <c r="Q816" s="35"/>
      <c r="R816" s="35"/>
      <c r="S816" s="35"/>
      <c r="T816" s="35"/>
      <c r="U816" s="35"/>
      <c r="V816" s="35"/>
      <c r="W816" s="35"/>
      <c r="X816" s="35"/>
      <c r="Y816" s="35"/>
      <c r="Z816" s="35"/>
      <c r="AA816" s="35"/>
    </row>
    <row r="817" ht="14.25" customHeight="1">
      <c r="A817" s="136"/>
      <c r="B817" s="137"/>
      <c r="C817" s="138"/>
      <c r="D817" s="136"/>
      <c r="E817" s="136"/>
      <c r="F817" s="136"/>
      <c r="G817" s="139"/>
      <c r="H817" s="140"/>
      <c r="I817" s="141"/>
      <c r="J817" s="141"/>
      <c r="K817" s="142"/>
      <c r="L817" s="142"/>
      <c r="M817" s="142"/>
      <c r="N817" s="142"/>
      <c r="O817" s="136"/>
      <c r="P817" s="34"/>
      <c r="Q817" s="35"/>
      <c r="R817" s="35"/>
      <c r="S817" s="35"/>
      <c r="T817" s="35"/>
      <c r="U817" s="35"/>
      <c r="V817" s="35"/>
      <c r="W817" s="35"/>
      <c r="X817" s="35"/>
      <c r="Y817" s="35"/>
      <c r="Z817" s="35"/>
      <c r="AA817" s="35"/>
    </row>
    <row r="818" ht="14.25" customHeight="1">
      <c r="A818" s="136"/>
      <c r="B818" s="137"/>
      <c r="C818" s="138"/>
      <c r="D818" s="136"/>
      <c r="E818" s="136"/>
      <c r="F818" s="136"/>
      <c r="G818" s="139"/>
      <c r="H818" s="140"/>
      <c r="I818" s="141"/>
      <c r="J818" s="141"/>
      <c r="K818" s="142"/>
      <c r="L818" s="142"/>
      <c r="M818" s="142"/>
      <c r="N818" s="142"/>
      <c r="O818" s="136"/>
      <c r="P818" s="34"/>
      <c r="Q818" s="35"/>
      <c r="R818" s="35"/>
      <c r="S818" s="35"/>
      <c r="T818" s="35"/>
      <c r="U818" s="35"/>
      <c r="V818" s="35"/>
      <c r="W818" s="35"/>
      <c r="X818" s="35"/>
      <c r="Y818" s="35"/>
      <c r="Z818" s="35"/>
      <c r="AA818" s="35"/>
    </row>
    <row r="819" ht="14.25" customHeight="1">
      <c r="A819" s="136"/>
      <c r="B819" s="137"/>
      <c r="C819" s="138"/>
      <c r="D819" s="136"/>
      <c r="E819" s="136"/>
      <c r="F819" s="136"/>
      <c r="G819" s="139"/>
      <c r="H819" s="140"/>
      <c r="I819" s="141"/>
      <c r="J819" s="141"/>
      <c r="K819" s="142"/>
      <c r="L819" s="142"/>
      <c r="M819" s="142"/>
      <c r="N819" s="142"/>
      <c r="O819" s="136"/>
      <c r="P819" s="34"/>
      <c r="Q819" s="35"/>
      <c r="R819" s="35"/>
      <c r="S819" s="35"/>
      <c r="T819" s="35"/>
      <c r="U819" s="35"/>
      <c r="V819" s="35"/>
      <c r="W819" s="35"/>
      <c r="X819" s="35"/>
      <c r="Y819" s="35"/>
      <c r="Z819" s="35"/>
      <c r="AA819" s="35"/>
    </row>
    <row r="820" ht="14.25" customHeight="1">
      <c r="A820" s="136"/>
      <c r="B820" s="137"/>
      <c r="C820" s="138"/>
      <c r="D820" s="136"/>
      <c r="E820" s="136"/>
      <c r="F820" s="136"/>
      <c r="G820" s="139"/>
      <c r="H820" s="140"/>
      <c r="I820" s="141"/>
      <c r="J820" s="141"/>
      <c r="K820" s="142"/>
      <c r="L820" s="142"/>
      <c r="M820" s="142"/>
      <c r="N820" s="142"/>
      <c r="O820" s="136"/>
      <c r="P820" s="34"/>
      <c r="Q820" s="35"/>
      <c r="R820" s="35"/>
      <c r="S820" s="35"/>
      <c r="T820" s="35"/>
      <c r="U820" s="35"/>
      <c r="V820" s="35"/>
      <c r="W820" s="35"/>
      <c r="X820" s="35"/>
      <c r="Y820" s="35"/>
      <c r="Z820" s="35"/>
      <c r="AA820" s="35"/>
    </row>
    <row r="821" ht="14.25" customHeight="1">
      <c r="A821" s="136"/>
      <c r="B821" s="137"/>
      <c r="C821" s="138"/>
      <c r="D821" s="136"/>
      <c r="E821" s="136"/>
      <c r="F821" s="136"/>
      <c r="G821" s="139"/>
      <c r="H821" s="140"/>
      <c r="I821" s="141"/>
      <c r="J821" s="141"/>
      <c r="K821" s="142"/>
      <c r="L821" s="142"/>
      <c r="M821" s="142"/>
      <c r="N821" s="142"/>
      <c r="O821" s="136"/>
      <c r="P821" s="34"/>
      <c r="Q821" s="35"/>
      <c r="R821" s="35"/>
      <c r="S821" s="35"/>
      <c r="T821" s="35"/>
      <c r="U821" s="35"/>
      <c r="V821" s="35"/>
      <c r="W821" s="35"/>
      <c r="X821" s="35"/>
      <c r="Y821" s="35"/>
      <c r="Z821" s="35"/>
      <c r="AA821" s="35"/>
    </row>
    <row r="822" ht="14.25" customHeight="1">
      <c r="A822" s="136"/>
      <c r="B822" s="137"/>
      <c r="C822" s="138"/>
      <c r="D822" s="136"/>
      <c r="E822" s="136"/>
      <c r="F822" s="136"/>
      <c r="G822" s="139"/>
      <c r="H822" s="140"/>
      <c r="I822" s="141"/>
      <c r="J822" s="141"/>
      <c r="K822" s="142"/>
      <c r="L822" s="142"/>
      <c r="M822" s="142"/>
      <c r="N822" s="142"/>
      <c r="O822" s="136"/>
      <c r="P822" s="34"/>
      <c r="Q822" s="35"/>
      <c r="R822" s="35"/>
      <c r="S822" s="35"/>
      <c r="T822" s="35"/>
      <c r="U822" s="35"/>
      <c r="V822" s="35"/>
      <c r="W822" s="35"/>
      <c r="X822" s="35"/>
      <c r="Y822" s="35"/>
      <c r="Z822" s="35"/>
      <c r="AA822" s="35"/>
    </row>
    <row r="823" ht="14.25" customHeight="1">
      <c r="A823" s="136"/>
      <c r="B823" s="137"/>
      <c r="C823" s="138"/>
      <c r="D823" s="136"/>
      <c r="E823" s="136"/>
      <c r="F823" s="136"/>
      <c r="G823" s="139"/>
      <c r="H823" s="140"/>
      <c r="I823" s="141"/>
      <c r="J823" s="141"/>
      <c r="K823" s="142"/>
      <c r="L823" s="142"/>
      <c r="M823" s="142"/>
      <c r="N823" s="142"/>
      <c r="O823" s="136"/>
      <c r="P823" s="34"/>
      <c r="Q823" s="35"/>
      <c r="R823" s="35"/>
      <c r="S823" s="35"/>
      <c r="T823" s="35"/>
      <c r="U823" s="35"/>
      <c r="V823" s="35"/>
      <c r="W823" s="35"/>
      <c r="X823" s="35"/>
      <c r="Y823" s="35"/>
      <c r="Z823" s="35"/>
      <c r="AA823" s="35"/>
    </row>
    <row r="824" ht="14.25" customHeight="1">
      <c r="A824" s="136"/>
      <c r="B824" s="137"/>
      <c r="C824" s="138"/>
      <c r="D824" s="136"/>
      <c r="E824" s="136"/>
      <c r="F824" s="136"/>
      <c r="G824" s="139"/>
      <c r="H824" s="140"/>
      <c r="I824" s="141"/>
      <c r="J824" s="141"/>
      <c r="K824" s="142"/>
      <c r="L824" s="142"/>
      <c r="M824" s="142"/>
      <c r="N824" s="142"/>
      <c r="O824" s="136"/>
      <c r="P824" s="34"/>
      <c r="Q824" s="35"/>
      <c r="R824" s="35"/>
      <c r="S824" s="35"/>
      <c r="T824" s="35"/>
      <c r="U824" s="35"/>
      <c r="V824" s="35"/>
      <c r="W824" s="35"/>
      <c r="X824" s="35"/>
      <c r="Y824" s="35"/>
      <c r="Z824" s="35"/>
      <c r="AA824" s="35"/>
    </row>
    <row r="825" ht="14.25" customHeight="1">
      <c r="A825" s="136"/>
      <c r="B825" s="137"/>
      <c r="C825" s="138"/>
      <c r="D825" s="136"/>
      <c r="E825" s="136"/>
      <c r="F825" s="136"/>
      <c r="G825" s="139"/>
      <c r="H825" s="140"/>
      <c r="I825" s="141"/>
      <c r="J825" s="141"/>
      <c r="K825" s="142"/>
      <c r="L825" s="142"/>
      <c r="M825" s="142"/>
      <c r="N825" s="142"/>
      <c r="O825" s="136"/>
      <c r="P825" s="34"/>
      <c r="Q825" s="35"/>
      <c r="R825" s="35"/>
      <c r="S825" s="35"/>
      <c r="T825" s="35"/>
      <c r="U825" s="35"/>
      <c r="V825" s="35"/>
      <c r="W825" s="35"/>
      <c r="X825" s="35"/>
      <c r="Y825" s="35"/>
      <c r="Z825" s="35"/>
      <c r="AA825" s="35"/>
    </row>
    <row r="826" ht="14.25" customHeight="1">
      <c r="A826" s="136"/>
      <c r="B826" s="137"/>
      <c r="C826" s="138"/>
      <c r="D826" s="136"/>
      <c r="E826" s="136"/>
      <c r="F826" s="136"/>
      <c r="G826" s="139"/>
      <c r="H826" s="140"/>
      <c r="I826" s="141"/>
      <c r="J826" s="141"/>
      <c r="K826" s="142"/>
      <c r="L826" s="142"/>
      <c r="M826" s="142"/>
      <c r="N826" s="142"/>
      <c r="O826" s="136"/>
      <c r="P826" s="34"/>
      <c r="Q826" s="35"/>
      <c r="R826" s="35"/>
      <c r="S826" s="35"/>
      <c r="T826" s="35"/>
      <c r="U826" s="35"/>
      <c r="V826" s="35"/>
      <c r="W826" s="35"/>
      <c r="X826" s="35"/>
      <c r="Y826" s="35"/>
      <c r="Z826" s="35"/>
      <c r="AA826" s="35"/>
    </row>
    <row r="827" ht="14.25" customHeight="1">
      <c r="A827" s="136"/>
      <c r="B827" s="137"/>
      <c r="C827" s="138"/>
      <c r="D827" s="136"/>
      <c r="E827" s="136"/>
      <c r="F827" s="136"/>
      <c r="G827" s="139"/>
      <c r="H827" s="140"/>
      <c r="I827" s="141"/>
      <c r="J827" s="141"/>
      <c r="K827" s="142"/>
      <c r="L827" s="142"/>
      <c r="M827" s="142"/>
      <c r="N827" s="142"/>
      <c r="O827" s="136"/>
      <c r="P827" s="34"/>
      <c r="Q827" s="35"/>
      <c r="R827" s="35"/>
      <c r="S827" s="35"/>
      <c r="T827" s="35"/>
      <c r="U827" s="35"/>
      <c r="V827" s="35"/>
      <c r="W827" s="35"/>
      <c r="X827" s="35"/>
      <c r="Y827" s="35"/>
      <c r="Z827" s="35"/>
      <c r="AA827" s="35"/>
    </row>
    <row r="828" ht="14.25" customHeight="1">
      <c r="A828" s="136"/>
      <c r="B828" s="137"/>
      <c r="C828" s="138"/>
      <c r="D828" s="136"/>
      <c r="E828" s="136"/>
      <c r="F828" s="136"/>
      <c r="G828" s="139"/>
      <c r="H828" s="140"/>
      <c r="I828" s="141"/>
      <c r="J828" s="141"/>
      <c r="K828" s="142"/>
      <c r="L828" s="142"/>
      <c r="M828" s="142"/>
      <c r="N828" s="142"/>
      <c r="O828" s="136"/>
      <c r="P828" s="34"/>
      <c r="Q828" s="35"/>
      <c r="R828" s="35"/>
      <c r="S828" s="35"/>
      <c r="T828" s="35"/>
      <c r="U828" s="35"/>
      <c r="V828" s="35"/>
      <c r="W828" s="35"/>
      <c r="X828" s="35"/>
      <c r="Y828" s="35"/>
      <c r="Z828" s="35"/>
      <c r="AA828" s="35"/>
    </row>
    <row r="829" ht="14.25" customHeight="1">
      <c r="A829" s="136"/>
      <c r="B829" s="137"/>
      <c r="C829" s="138"/>
      <c r="D829" s="136"/>
      <c r="E829" s="136"/>
      <c r="F829" s="136"/>
      <c r="G829" s="139"/>
      <c r="H829" s="140"/>
      <c r="I829" s="141"/>
      <c r="J829" s="141"/>
      <c r="K829" s="142"/>
      <c r="L829" s="142"/>
      <c r="M829" s="142"/>
      <c r="N829" s="142"/>
      <c r="O829" s="136"/>
      <c r="P829" s="34"/>
      <c r="Q829" s="35"/>
      <c r="R829" s="35"/>
      <c r="S829" s="35"/>
      <c r="T829" s="35"/>
      <c r="U829" s="35"/>
      <c r="V829" s="35"/>
      <c r="W829" s="35"/>
      <c r="X829" s="35"/>
      <c r="Y829" s="35"/>
      <c r="Z829" s="35"/>
      <c r="AA829" s="35"/>
    </row>
    <row r="830" ht="14.25" customHeight="1">
      <c r="A830" s="136"/>
      <c r="B830" s="137"/>
      <c r="C830" s="138"/>
      <c r="D830" s="136"/>
      <c r="E830" s="136"/>
      <c r="F830" s="136"/>
      <c r="G830" s="139"/>
      <c r="H830" s="140"/>
      <c r="I830" s="141"/>
      <c r="J830" s="141"/>
      <c r="K830" s="142"/>
      <c r="L830" s="142"/>
      <c r="M830" s="142"/>
      <c r="N830" s="142"/>
      <c r="O830" s="136"/>
      <c r="P830" s="34"/>
      <c r="Q830" s="35"/>
      <c r="R830" s="35"/>
      <c r="S830" s="35"/>
      <c r="T830" s="35"/>
      <c r="U830" s="35"/>
      <c r="V830" s="35"/>
      <c r="W830" s="35"/>
      <c r="X830" s="35"/>
      <c r="Y830" s="35"/>
      <c r="Z830" s="35"/>
      <c r="AA830" s="35"/>
    </row>
    <row r="831" ht="14.25" customHeight="1">
      <c r="A831" s="136"/>
      <c r="B831" s="137"/>
      <c r="C831" s="138"/>
      <c r="D831" s="136"/>
      <c r="E831" s="136"/>
      <c r="F831" s="136"/>
      <c r="G831" s="139"/>
      <c r="H831" s="140"/>
      <c r="I831" s="141"/>
      <c r="J831" s="141"/>
      <c r="K831" s="142"/>
      <c r="L831" s="142"/>
      <c r="M831" s="142"/>
      <c r="N831" s="142"/>
      <c r="O831" s="136"/>
      <c r="P831" s="34"/>
      <c r="Q831" s="35"/>
      <c r="R831" s="35"/>
      <c r="S831" s="35"/>
      <c r="T831" s="35"/>
      <c r="U831" s="35"/>
      <c r="V831" s="35"/>
      <c r="W831" s="35"/>
      <c r="X831" s="35"/>
      <c r="Y831" s="35"/>
      <c r="Z831" s="35"/>
      <c r="AA831" s="35"/>
    </row>
    <row r="832" ht="14.25" customHeight="1">
      <c r="A832" s="136"/>
      <c r="B832" s="137"/>
      <c r="C832" s="138"/>
      <c r="D832" s="136"/>
      <c r="E832" s="136"/>
      <c r="F832" s="136"/>
      <c r="G832" s="139"/>
      <c r="H832" s="140"/>
      <c r="I832" s="141"/>
      <c r="J832" s="141"/>
      <c r="K832" s="142"/>
      <c r="L832" s="142"/>
      <c r="M832" s="142"/>
      <c r="N832" s="142"/>
      <c r="O832" s="136"/>
      <c r="P832" s="34"/>
      <c r="Q832" s="35"/>
      <c r="R832" s="35"/>
      <c r="S832" s="35"/>
      <c r="T832" s="35"/>
      <c r="U832" s="35"/>
      <c r="V832" s="35"/>
      <c r="W832" s="35"/>
      <c r="X832" s="35"/>
      <c r="Y832" s="35"/>
      <c r="Z832" s="35"/>
      <c r="AA832" s="35"/>
    </row>
    <row r="833" ht="14.25" customHeight="1">
      <c r="A833" s="136"/>
      <c r="B833" s="137"/>
      <c r="C833" s="138"/>
      <c r="D833" s="136"/>
      <c r="E833" s="136"/>
      <c r="F833" s="136"/>
      <c r="G833" s="139"/>
      <c r="H833" s="140"/>
      <c r="I833" s="141"/>
      <c r="J833" s="141"/>
      <c r="K833" s="142"/>
      <c r="L833" s="142"/>
      <c r="M833" s="142"/>
      <c r="N833" s="142"/>
      <c r="O833" s="136"/>
      <c r="P833" s="34"/>
      <c r="Q833" s="35"/>
      <c r="R833" s="35"/>
      <c r="S833" s="35"/>
      <c r="T833" s="35"/>
      <c r="U833" s="35"/>
      <c r="V833" s="35"/>
      <c r="W833" s="35"/>
      <c r="X833" s="35"/>
      <c r="Y833" s="35"/>
      <c r="Z833" s="35"/>
      <c r="AA833" s="35"/>
    </row>
    <row r="834" ht="14.25" customHeight="1">
      <c r="A834" s="136"/>
      <c r="B834" s="137"/>
      <c r="C834" s="138"/>
      <c r="D834" s="136"/>
      <c r="E834" s="136"/>
      <c r="F834" s="136"/>
      <c r="G834" s="139"/>
      <c r="H834" s="140"/>
      <c r="I834" s="141"/>
      <c r="J834" s="141"/>
      <c r="K834" s="142"/>
      <c r="L834" s="142"/>
      <c r="M834" s="142"/>
      <c r="N834" s="142"/>
      <c r="O834" s="136"/>
      <c r="P834" s="34"/>
      <c r="Q834" s="35"/>
      <c r="R834" s="35"/>
      <c r="S834" s="35"/>
      <c r="T834" s="35"/>
      <c r="U834" s="35"/>
      <c r="V834" s="35"/>
      <c r="W834" s="35"/>
      <c r="X834" s="35"/>
      <c r="Y834" s="35"/>
      <c r="Z834" s="35"/>
      <c r="AA834" s="35"/>
    </row>
    <row r="835" ht="14.25" customHeight="1">
      <c r="A835" s="136"/>
      <c r="B835" s="137"/>
      <c r="C835" s="138"/>
      <c r="D835" s="136"/>
      <c r="E835" s="136"/>
      <c r="F835" s="136"/>
      <c r="G835" s="139"/>
      <c r="H835" s="140"/>
      <c r="I835" s="141"/>
      <c r="J835" s="141"/>
      <c r="K835" s="142"/>
      <c r="L835" s="142"/>
      <c r="M835" s="142"/>
      <c r="N835" s="142"/>
      <c r="O835" s="136"/>
      <c r="P835" s="34"/>
      <c r="Q835" s="35"/>
      <c r="R835" s="35"/>
      <c r="S835" s="35"/>
      <c r="T835" s="35"/>
      <c r="U835" s="35"/>
      <c r="V835" s="35"/>
      <c r="W835" s="35"/>
      <c r="X835" s="35"/>
      <c r="Y835" s="35"/>
      <c r="Z835" s="35"/>
      <c r="AA835" s="35"/>
    </row>
    <row r="836" ht="14.25" customHeight="1">
      <c r="A836" s="136"/>
      <c r="B836" s="137"/>
      <c r="C836" s="138"/>
      <c r="D836" s="136"/>
      <c r="E836" s="136"/>
      <c r="F836" s="136"/>
      <c r="G836" s="139"/>
      <c r="H836" s="140"/>
      <c r="I836" s="141"/>
      <c r="J836" s="141"/>
      <c r="K836" s="142"/>
      <c r="L836" s="142"/>
      <c r="M836" s="142"/>
      <c r="N836" s="142"/>
      <c r="O836" s="136"/>
      <c r="P836" s="34"/>
      <c r="Q836" s="35"/>
      <c r="R836" s="35"/>
      <c r="S836" s="35"/>
      <c r="T836" s="35"/>
      <c r="U836" s="35"/>
      <c r="V836" s="35"/>
      <c r="W836" s="35"/>
      <c r="X836" s="35"/>
      <c r="Y836" s="35"/>
      <c r="Z836" s="35"/>
      <c r="AA836" s="35"/>
    </row>
    <row r="837" ht="14.25" customHeight="1">
      <c r="A837" s="136"/>
      <c r="B837" s="137"/>
      <c r="C837" s="138"/>
      <c r="D837" s="136"/>
      <c r="E837" s="136"/>
      <c r="F837" s="136"/>
      <c r="G837" s="139"/>
      <c r="H837" s="140"/>
      <c r="I837" s="141"/>
      <c r="J837" s="141"/>
      <c r="K837" s="142"/>
      <c r="L837" s="142"/>
      <c r="M837" s="142"/>
      <c r="N837" s="142"/>
      <c r="O837" s="136"/>
      <c r="P837" s="34"/>
      <c r="Q837" s="35"/>
      <c r="R837" s="35"/>
      <c r="S837" s="35"/>
      <c r="T837" s="35"/>
      <c r="U837" s="35"/>
      <c r="V837" s="35"/>
      <c r="W837" s="35"/>
      <c r="X837" s="35"/>
      <c r="Y837" s="35"/>
      <c r="Z837" s="35"/>
      <c r="AA837" s="35"/>
    </row>
    <row r="838" ht="14.25" customHeight="1">
      <c r="A838" s="136"/>
      <c r="B838" s="137"/>
      <c r="C838" s="138"/>
      <c r="D838" s="136"/>
      <c r="E838" s="136"/>
      <c r="F838" s="136"/>
      <c r="G838" s="139"/>
      <c r="H838" s="140"/>
      <c r="I838" s="141"/>
      <c r="J838" s="141"/>
      <c r="K838" s="142"/>
      <c r="L838" s="142"/>
      <c r="M838" s="142"/>
      <c r="N838" s="142"/>
      <c r="O838" s="136"/>
      <c r="P838" s="34"/>
      <c r="Q838" s="35"/>
      <c r="R838" s="35"/>
      <c r="S838" s="35"/>
      <c r="T838" s="35"/>
      <c r="U838" s="35"/>
      <c r="V838" s="35"/>
      <c r="W838" s="35"/>
      <c r="X838" s="35"/>
      <c r="Y838" s="35"/>
      <c r="Z838" s="35"/>
      <c r="AA838" s="35"/>
    </row>
    <row r="839" ht="14.25" customHeight="1">
      <c r="A839" s="136"/>
      <c r="B839" s="137"/>
      <c r="C839" s="138"/>
      <c r="D839" s="136"/>
      <c r="E839" s="136"/>
      <c r="F839" s="136"/>
      <c r="G839" s="139"/>
      <c r="H839" s="140"/>
      <c r="I839" s="141"/>
      <c r="J839" s="141"/>
      <c r="K839" s="142"/>
      <c r="L839" s="142"/>
      <c r="M839" s="142"/>
      <c r="N839" s="142"/>
      <c r="O839" s="136"/>
      <c r="P839" s="34"/>
      <c r="Q839" s="35"/>
      <c r="R839" s="35"/>
      <c r="S839" s="35"/>
      <c r="T839" s="35"/>
      <c r="U839" s="35"/>
      <c r="V839" s="35"/>
      <c r="W839" s="35"/>
      <c r="X839" s="35"/>
      <c r="Y839" s="35"/>
      <c r="Z839" s="35"/>
      <c r="AA839" s="35"/>
    </row>
    <row r="840" ht="14.25" customHeight="1">
      <c r="A840" s="136"/>
      <c r="B840" s="137"/>
      <c r="C840" s="138"/>
      <c r="D840" s="136"/>
      <c r="E840" s="136"/>
      <c r="F840" s="136"/>
      <c r="G840" s="139"/>
      <c r="H840" s="140"/>
      <c r="I840" s="141"/>
      <c r="J840" s="141"/>
      <c r="K840" s="142"/>
      <c r="L840" s="142"/>
      <c r="M840" s="142"/>
      <c r="N840" s="142"/>
      <c r="O840" s="136"/>
      <c r="P840" s="34"/>
      <c r="Q840" s="35"/>
      <c r="R840" s="35"/>
      <c r="S840" s="35"/>
      <c r="T840" s="35"/>
      <c r="U840" s="35"/>
      <c r="V840" s="35"/>
      <c r="W840" s="35"/>
      <c r="X840" s="35"/>
      <c r="Y840" s="35"/>
      <c r="Z840" s="35"/>
      <c r="AA840" s="35"/>
    </row>
    <row r="841" ht="14.25" customHeight="1">
      <c r="A841" s="136"/>
      <c r="B841" s="137"/>
      <c r="C841" s="138"/>
      <c r="D841" s="136"/>
      <c r="E841" s="136"/>
      <c r="F841" s="136"/>
      <c r="G841" s="139"/>
      <c r="H841" s="140"/>
      <c r="I841" s="141"/>
      <c r="J841" s="141"/>
      <c r="K841" s="142"/>
      <c r="L841" s="142"/>
      <c r="M841" s="142"/>
      <c r="N841" s="142"/>
      <c r="O841" s="136"/>
      <c r="P841" s="34"/>
      <c r="Q841" s="35"/>
      <c r="R841" s="35"/>
      <c r="S841" s="35"/>
      <c r="T841" s="35"/>
      <c r="U841" s="35"/>
      <c r="V841" s="35"/>
      <c r="W841" s="35"/>
      <c r="X841" s="35"/>
      <c r="Y841" s="35"/>
      <c r="Z841" s="35"/>
      <c r="AA841" s="35"/>
    </row>
    <row r="842" ht="14.25" customHeight="1">
      <c r="A842" s="136"/>
      <c r="B842" s="137"/>
      <c r="C842" s="138"/>
      <c r="D842" s="136"/>
      <c r="E842" s="136"/>
      <c r="F842" s="136"/>
      <c r="G842" s="139"/>
      <c r="H842" s="140"/>
      <c r="I842" s="141"/>
      <c r="J842" s="141"/>
      <c r="K842" s="142"/>
      <c r="L842" s="142"/>
      <c r="M842" s="142"/>
      <c r="N842" s="142"/>
      <c r="O842" s="136"/>
      <c r="P842" s="34"/>
      <c r="Q842" s="35"/>
      <c r="R842" s="35"/>
      <c r="S842" s="35"/>
      <c r="T842" s="35"/>
      <c r="U842" s="35"/>
      <c r="V842" s="35"/>
      <c r="W842" s="35"/>
      <c r="X842" s="35"/>
      <c r="Y842" s="35"/>
      <c r="Z842" s="35"/>
      <c r="AA842" s="35"/>
    </row>
    <row r="843" ht="14.25" customHeight="1">
      <c r="A843" s="136"/>
      <c r="B843" s="137"/>
      <c r="C843" s="138"/>
      <c r="D843" s="136"/>
      <c r="E843" s="136"/>
      <c r="F843" s="136"/>
      <c r="G843" s="139"/>
      <c r="H843" s="140"/>
      <c r="I843" s="141"/>
      <c r="J843" s="141"/>
      <c r="K843" s="142"/>
      <c r="L843" s="142"/>
      <c r="M843" s="142"/>
      <c r="N843" s="142"/>
      <c r="O843" s="136"/>
      <c r="P843" s="34"/>
      <c r="Q843" s="35"/>
      <c r="R843" s="35"/>
      <c r="S843" s="35"/>
      <c r="T843" s="35"/>
      <c r="U843" s="35"/>
      <c r="V843" s="35"/>
      <c r="W843" s="35"/>
      <c r="X843" s="35"/>
      <c r="Y843" s="35"/>
      <c r="Z843" s="35"/>
      <c r="AA843" s="35"/>
    </row>
    <row r="844" ht="14.25" customHeight="1">
      <c r="A844" s="136"/>
      <c r="B844" s="137"/>
      <c r="C844" s="138"/>
      <c r="D844" s="136"/>
      <c r="E844" s="136"/>
      <c r="F844" s="136"/>
      <c r="G844" s="139"/>
      <c r="H844" s="140"/>
      <c r="I844" s="141"/>
      <c r="J844" s="141"/>
      <c r="K844" s="142"/>
      <c r="L844" s="142"/>
      <c r="M844" s="142"/>
      <c r="N844" s="142"/>
      <c r="O844" s="136"/>
      <c r="P844" s="34"/>
      <c r="Q844" s="35"/>
      <c r="R844" s="35"/>
      <c r="S844" s="35"/>
      <c r="T844" s="35"/>
      <c r="U844" s="35"/>
      <c r="V844" s="35"/>
      <c r="W844" s="35"/>
      <c r="X844" s="35"/>
      <c r="Y844" s="35"/>
      <c r="Z844" s="35"/>
      <c r="AA844" s="35"/>
    </row>
    <row r="845" ht="14.25" customHeight="1">
      <c r="A845" s="136"/>
      <c r="B845" s="137"/>
      <c r="C845" s="138"/>
      <c r="D845" s="136"/>
      <c r="E845" s="136"/>
      <c r="F845" s="136"/>
      <c r="G845" s="139"/>
      <c r="H845" s="140"/>
      <c r="I845" s="141"/>
      <c r="J845" s="141"/>
      <c r="K845" s="142"/>
      <c r="L845" s="142"/>
      <c r="M845" s="142"/>
      <c r="N845" s="142"/>
      <c r="O845" s="136"/>
      <c r="P845" s="34"/>
      <c r="Q845" s="35"/>
      <c r="R845" s="35"/>
      <c r="S845" s="35"/>
      <c r="T845" s="35"/>
      <c r="U845" s="35"/>
      <c r="V845" s="35"/>
      <c r="W845" s="35"/>
      <c r="X845" s="35"/>
      <c r="Y845" s="35"/>
      <c r="Z845" s="35"/>
      <c r="AA845" s="35"/>
    </row>
    <row r="846" ht="14.25" customHeight="1">
      <c r="A846" s="136"/>
      <c r="B846" s="137"/>
      <c r="C846" s="138"/>
      <c r="D846" s="136"/>
      <c r="E846" s="136"/>
      <c r="F846" s="136"/>
      <c r="G846" s="139"/>
      <c r="H846" s="140"/>
      <c r="I846" s="141"/>
      <c r="J846" s="141"/>
      <c r="K846" s="142"/>
      <c r="L846" s="142"/>
      <c r="M846" s="142"/>
      <c r="N846" s="142"/>
      <c r="O846" s="136"/>
      <c r="P846" s="34"/>
      <c r="Q846" s="35"/>
      <c r="R846" s="35"/>
      <c r="S846" s="35"/>
      <c r="T846" s="35"/>
      <c r="U846" s="35"/>
      <c r="V846" s="35"/>
      <c r="W846" s="35"/>
      <c r="X846" s="35"/>
      <c r="Y846" s="35"/>
      <c r="Z846" s="35"/>
      <c r="AA846" s="35"/>
    </row>
    <row r="847" ht="14.25" customHeight="1">
      <c r="A847" s="136"/>
      <c r="B847" s="137"/>
      <c r="C847" s="138"/>
      <c r="D847" s="136"/>
      <c r="E847" s="136"/>
      <c r="F847" s="136"/>
      <c r="G847" s="139"/>
      <c r="H847" s="140"/>
      <c r="I847" s="141"/>
      <c r="J847" s="141"/>
      <c r="K847" s="142"/>
      <c r="L847" s="142"/>
      <c r="M847" s="142"/>
      <c r="N847" s="142"/>
      <c r="O847" s="136"/>
      <c r="P847" s="34"/>
      <c r="Q847" s="35"/>
      <c r="R847" s="35"/>
      <c r="S847" s="35"/>
      <c r="T847" s="35"/>
      <c r="U847" s="35"/>
      <c r="V847" s="35"/>
      <c r="W847" s="35"/>
      <c r="X847" s="35"/>
      <c r="Y847" s="35"/>
      <c r="Z847" s="35"/>
      <c r="AA847" s="35"/>
    </row>
    <row r="848" ht="14.25" customHeight="1">
      <c r="A848" s="136"/>
      <c r="B848" s="137"/>
      <c r="C848" s="138"/>
      <c r="D848" s="136"/>
      <c r="E848" s="136"/>
      <c r="F848" s="136"/>
      <c r="G848" s="139"/>
      <c r="H848" s="140"/>
      <c r="I848" s="141"/>
      <c r="J848" s="141"/>
      <c r="K848" s="142"/>
      <c r="L848" s="142"/>
      <c r="M848" s="142"/>
      <c r="N848" s="142"/>
      <c r="O848" s="136"/>
      <c r="P848" s="34"/>
      <c r="Q848" s="35"/>
      <c r="R848" s="35"/>
      <c r="S848" s="35"/>
      <c r="T848" s="35"/>
      <c r="U848" s="35"/>
      <c r="V848" s="35"/>
      <c r="W848" s="35"/>
      <c r="X848" s="35"/>
      <c r="Y848" s="35"/>
      <c r="Z848" s="35"/>
      <c r="AA848" s="35"/>
    </row>
    <row r="849" ht="14.25" customHeight="1">
      <c r="A849" s="136"/>
      <c r="B849" s="137"/>
      <c r="C849" s="138"/>
      <c r="D849" s="136"/>
      <c r="E849" s="136"/>
      <c r="F849" s="136"/>
      <c r="G849" s="139"/>
      <c r="H849" s="140"/>
      <c r="I849" s="141"/>
      <c r="J849" s="141"/>
      <c r="K849" s="142"/>
      <c r="L849" s="142"/>
      <c r="M849" s="142"/>
      <c r="N849" s="142"/>
      <c r="O849" s="136"/>
      <c r="P849" s="34"/>
      <c r="Q849" s="35"/>
      <c r="R849" s="35"/>
      <c r="S849" s="35"/>
      <c r="T849" s="35"/>
      <c r="U849" s="35"/>
      <c r="V849" s="35"/>
      <c r="W849" s="35"/>
      <c r="X849" s="35"/>
      <c r="Y849" s="35"/>
      <c r="Z849" s="35"/>
      <c r="AA849" s="35"/>
    </row>
    <row r="850" ht="14.25" customHeight="1">
      <c r="A850" s="136"/>
      <c r="B850" s="137"/>
      <c r="C850" s="138"/>
      <c r="D850" s="136"/>
      <c r="E850" s="136"/>
      <c r="F850" s="136"/>
      <c r="G850" s="139"/>
      <c r="H850" s="140"/>
      <c r="I850" s="141"/>
      <c r="J850" s="141"/>
      <c r="K850" s="142"/>
      <c r="L850" s="142"/>
      <c r="M850" s="142"/>
      <c r="N850" s="142"/>
      <c r="O850" s="136"/>
      <c r="P850" s="34"/>
      <c r="Q850" s="35"/>
      <c r="R850" s="35"/>
      <c r="S850" s="35"/>
      <c r="T850" s="35"/>
      <c r="U850" s="35"/>
      <c r="V850" s="35"/>
      <c r="W850" s="35"/>
      <c r="X850" s="35"/>
      <c r="Y850" s="35"/>
      <c r="Z850" s="35"/>
      <c r="AA850" s="35"/>
    </row>
    <row r="851" ht="14.25" customHeight="1">
      <c r="A851" s="136"/>
      <c r="B851" s="137"/>
      <c r="C851" s="138"/>
      <c r="D851" s="136"/>
      <c r="E851" s="136"/>
      <c r="F851" s="136"/>
      <c r="G851" s="139"/>
      <c r="H851" s="140"/>
      <c r="I851" s="141"/>
      <c r="J851" s="141"/>
      <c r="K851" s="142"/>
      <c r="L851" s="142"/>
      <c r="M851" s="142"/>
      <c r="N851" s="142"/>
      <c r="O851" s="136"/>
      <c r="P851" s="34"/>
      <c r="Q851" s="35"/>
      <c r="R851" s="35"/>
      <c r="S851" s="35"/>
      <c r="T851" s="35"/>
      <c r="U851" s="35"/>
      <c r="V851" s="35"/>
      <c r="W851" s="35"/>
      <c r="X851" s="35"/>
      <c r="Y851" s="35"/>
      <c r="Z851" s="35"/>
      <c r="AA851" s="35"/>
    </row>
    <row r="852" ht="14.25" customHeight="1">
      <c r="A852" s="136"/>
      <c r="B852" s="137"/>
      <c r="C852" s="138"/>
      <c r="D852" s="136"/>
      <c r="E852" s="136"/>
      <c r="F852" s="136"/>
      <c r="G852" s="139"/>
      <c r="H852" s="140"/>
      <c r="I852" s="141"/>
      <c r="J852" s="141"/>
      <c r="K852" s="142"/>
      <c r="L852" s="142"/>
      <c r="M852" s="142"/>
      <c r="N852" s="142"/>
      <c r="O852" s="136"/>
      <c r="P852" s="34"/>
      <c r="Q852" s="35"/>
      <c r="R852" s="35"/>
      <c r="S852" s="35"/>
      <c r="T852" s="35"/>
      <c r="U852" s="35"/>
      <c r="V852" s="35"/>
      <c r="W852" s="35"/>
      <c r="X852" s="35"/>
      <c r="Y852" s="35"/>
      <c r="Z852" s="35"/>
      <c r="AA852" s="35"/>
    </row>
    <row r="853" ht="14.25" customHeight="1">
      <c r="A853" s="136"/>
      <c r="B853" s="137"/>
      <c r="C853" s="138"/>
      <c r="D853" s="136"/>
      <c r="E853" s="136"/>
      <c r="F853" s="136"/>
      <c r="G853" s="139"/>
      <c r="H853" s="140"/>
      <c r="I853" s="141"/>
      <c r="J853" s="141"/>
      <c r="K853" s="142"/>
      <c r="L853" s="142"/>
      <c r="M853" s="142"/>
      <c r="N853" s="142"/>
      <c r="O853" s="136"/>
      <c r="P853" s="34"/>
      <c r="Q853" s="35"/>
      <c r="R853" s="35"/>
      <c r="S853" s="35"/>
      <c r="T853" s="35"/>
      <c r="U853" s="35"/>
      <c r="V853" s="35"/>
      <c r="W853" s="35"/>
      <c r="X853" s="35"/>
      <c r="Y853" s="35"/>
      <c r="Z853" s="35"/>
      <c r="AA853" s="35"/>
    </row>
    <row r="854" ht="14.25" customHeight="1">
      <c r="A854" s="136"/>
      <c r="B854" s="137"/>
      <c r="C854" s="138"/>
      <c r="D854" s="136"/>
      <c r="E854" s="136"/>
      <c r="F854" s="136"/>
      <c r="G854" s="139"/>
      <c r="H854" s="140"/>
      <c r="I854" s="141"/>
      <c r="J854" s="141"/>
      <c r="K854" s="142"/>
      <c r="L854" s="142"/>
      <c r="M854" s="142"/>
      <c r="N854" s="142"/>
      <c r="O854" s="136"/>
      <c r="P854" s="34"/>
      <c r="Q854" s="35"/>
      <c r="R854" s="35"/>
      <c r="S854" s="35"/>
      <c r="T854" s="35"/>
      <c r="U854" s="35"/>
      <c r="V854" s="35"/>
      <c r="W854" s="35"/>
      <c r="X854" s="35"/>
      <c r="Y854" s="35"/>
      <c r="Z854" s="35"/>
      <c r="AA854" s="35"/>
    </row>
    <row r="855" ht="14.25" customHeight="1">
      <c r="A855" s="136"/>
      <c r="B855" s="137"/>
      <c r="C855" s="138"/>
      <c r="D855" s="136"/>
      <c r="E855" s="136"/>
      <c r="F855" s="136"/>
      <c r="G855" s="139"/>
      <c r="H855" s="140"/>
      <c r="I855" s="141"/>
      <c r="J855" s="141"/>
      <c r="K855" s="142"/>
      <c r="L855" s="142"/>
      <c r="M855" s="142"/>
      <c r="N855" s="142"/>
      <c r="O855" s="136"/>
      <c r="P855" s="34"/>
      <c r="Q855" s="35"/>
      <c r="R855" s="35"/>
      <c r="S855" s="35"/>
      <c r="T855" s="35"/>
      <c r="U855" s="35"/>
      <c r="V855" s="35"/>
      <c r="W855" s="35"/>
      <c r="X855" s="35"/>
      <c r="Y855" s="35"/>
      <c r="Z855" s="35"/>
      <c r="AA855" s="35"/>
    </row>
    <row r="856" ht="14.25" customHeight="1">
      <c r="A856" s="136"/>
      <c r="B856" s="137"/>
      <c r="C856" s="138"/>
      <c r="D856" s="136"/>
      <c r="E856" s="136"/>
      <c r="F856" s="136"/>
      <c r="G856" s="139"/>
      <c r="H856" s="140"/>
      <c r="I856" s="141"/>
      <c r="J856" s="141"/>
      <c r="K856" s="142"/>
      <c r="L856" s="142"/>
      <c r="M856" s="142"/>
      <c r="N856" s="142"/>
      <c r="O856" s="136"/>
      <c r="P856" s="34"/>
      <c r="Q856" s="35"/>
      <c r="R856" s="35"/>
      <c r="S856" s="35"/>
      <c r="T856" s="35"/>
      <c r="U856" s="35"/>
      <c r="V856" s="35"/>
      <c r="W856" s="35"/>
      <c r="X856" s="35"/>
      <c r="Y856" s="35"/>
      <c r="Z856" s="35"/>
      <c r="AA856" s="35"/>
    </row>
    <row r="857" ht="14.25" customHeight="1">
      <c r="A857" s="136"/>
      <c r="B857" s="137"/>
      <c r="C857" s="138"/>
      <c r="D857" s="136"/>
      <c r="E857" s="136"/>
      <c r="F857" s="136"/>
      <c r="G857" s="139"/>
      <c r="H857" s="140"/>
      <c r="I857" s="141"/>
      <c r="J857" s="141"/>
      <c r="K857" s="142"/>
      <c r="L857" s="142"/>
      <c r="M857" s="142"/>
      <c r="N857" s="142"/>
      <c r="O857" s="136"/>
      <c r="P857" s="34"/>
      <c r="Q857" s="35"/>
      <c r="R857" s="35"/>
      <c r="S857" s="35"/>
      <c r="T857" s="35"/>
      <c r="U857" s="35"/>
      <c r="V857" s="35"/>
      <c r="W857" s="35"/>
      <c r="X857" s="35"/>
      <c r="Y857" s="35"/>
      <c r="Z857" s="35"/>
      <c r="AA857" s="35"/>
    </row>
    <row r="858" ht="14.25" customHeight="1">
      <c r="A858" s="136"/>
      <c r="B858" s="137"/>
      <c r="C858" s="138"/>
      <c r="D858" s="136"/>
      <c r="E858" s="136"/>
      <c r="F858" s="136"/>
      <c r="G858" s="139"/>
      <c r="H858" s="140"/>
      <c r="I858" s="141"/>
      <c r="J858" s="141"/>
      <c r="K858" s="142"/>
      <c r="L858" s="142"/>
      <c r="M858" s="142"/>
      <c r="N858" s="142"/>
      <c r="O858" s="136"/>
      <c r="P858" s="34"/>
      <c r="Q858" s="35"/>
      <c r="R858" s="35"/>
      <c r="S858" s="35"/>
      <c r="T858" s="35"/>
      <c r="U858" s="35"/>
      <c r="V858" s="35"/>
      <c r="W858" s="35"/>
      <c r="X858" s="35"/>
      <c r="Y858" s="35"/>
      <c r="Z858" s="35"/>
      <c r="AA858" s="35"/>
    </row>
    <row r="859" ht="14.25" customHeight="1">
      <c r="A859" s="136"/>
      <c r="B859" s="137"/>
      <c r="C859" s="138"/>
      <c r="D859" s="136"/>
      <c r="E859" s="136"/>
      <c r="F859" s="136"/>
      <c r="G859" s="139"/>
      <c r="H859" s="140"/>
      <c r="I859" s="141"/>
      <c r="J859" s="141"/>
      <c r="K859" s="142"/>
      <c r="L859" s="142"/>
      <c r="M859" s="142"/>
      <c r="N859" s="142"/>
      <c r="O859" s="136"/>
      <c r="P859" s="34"/>
      <c r="Q859" s="35"/>
      <c r="R859" s="35"/>
      <c r="S859" s="35"/>
      <c r="T859" s="35"/>
      <c r="U859" s="35"/>
      <c r="V859" s="35"/>
      <c r="W859" s="35"/>
      <c r="X859" s="35"/>
      <c r="Y859" s="35"/>
      <c r="Z859" s="35"/>
      <c r="AA859" s="35"/>
    </row>
    <row r="860" ht="14.25" customHeight="1">
      <c r="A860" s="136"/>
      <c r="B860" s="137"/>
      <c r="C860" s="138"/>
      <c r="D860" s="136"/>
      <c r="E860" s="136"/>
      <c r="F860" s="136"/>
      <c r="G860" s="139"/>
      <c r="H860" s="140"/>
      <c r="I860" s="141"/>
      <c r="J860" s="141"/>
      <c r="K860" s="142"/>
      <c r="L860" s="142"/>
      <c r="M860" s="142"/>
      <c r="N860" s="142"/>
      <c r="O860" s="136"/>
      <c r="P860" s="34"/>
      <c r="Q860" s="35"/>
      <c r="R860" s="35"/>
      <c r="S860" s="35"/>
      <c r="T860" s="35"/>
      <c r="U860" s="35"/>
      <c r="V860" s="35"/>
      <c r="W860" s="35"/>
      <c r="X860" s="35"/>
      <c r="Y860" s="35"/>
      <c r="Z860" s="35"/>
      <c r="AA860" s="35"/>
    </row>
    <row r="861" ht="14.25" customHeight="1">
      <c r="A861" s="136"/>
      <c r="B861" s="137"/>
      <c r="C861" s="138"/>
      <c r="D861" s="136"/>
      <c r="E861" s="136"/>
      <c r="F861" s="136"/>
      <c r="G861" s="139"/>
      <c r="H861" s="140"/>
      <c r="I861" s="141"/>
      <c r="J861" s="141"/>
      <c r="K861" s="142"/>
      <c r="L861" s="142"/>
      <c r="M861" s="142"/>
      <c r="N861" s="142"/>
      <c r="O861" s="136"/>
      <c r="P861" s="34"/>
      <c r="Q861" s="35"/>
      <c r="R861" s="35"/>
      <c r="S861" s="35"/>
      <c r="T861" s="35"/>
      <c r="U861" s="35"/>
      <c r="V861" s="35"/>
      <c r="W861" s="35"/>
      <c r="X861" s="35"/>
      <c r="Y861" s="35"/>
      <c r="Z861" s="35"/>
      <c r="AA861" s="35"/>
    </row>
    <row r="862" ht="14.25" customHeight="1">
      <c r="A862" s="136"/>
      <c r="B862" s="137"/>
      <c r="C862" s="138"/>
      <c r="D862" s="136"/>
      <c r="E862" s="136"/>
      <c r="F862" s="136"/>
      <c r="G862" s="139"/>
      <c r="H862" s="140"/>
      <c r="I862" s="141"/>
      <c r="J862" s="141"/>
      <c r="K862" s="142"/>
      <c r="L862" s="142"/>
      <c r="M862" s="142"/>
      <c r="N862" s="142"/>
      <c r="O862" s="136"/>
      <c r="P862" s="34"/>
      <c r="Q862" s="35"/>
      <c r="R862" s="35"/>
      <c r="S862" s="35"/>
      <c r="T862" s="35"/>
      <c r="U862" s="35"/>
      <c r="V862" s="35"/>
      <c r="W862" s="35"/>
      <c r="X862" s="35"/>
      <c r="Y862" s="35"/>
      <c r="Z862" s="35"/>
      <c r="AA862" s="35"/>
    </row>
    <row r="863" ht="14.25" customHeight="1">
      <c r="A863" s="136"/>
      <c r="B863" s="137"/>
      <c r="C863" s="138"/>
      <c r="D863" s="136"/>
      <c r="E863" s="136"/>
      <c r="F863" s="136"/>
      <c r="G863" s="139"/>
      <c r="H863" s="140"/>
      <c r="I863" s="141"/>
      <c r="J863" s="141"/>
      <c r="K863" s="142"/>
      <c r="L863" s="142"/>
      <c r="M863" s="142"/>
      <c r="N863" s="142"/>
      <c r="O863" s="136"/>
      <c r="P863" s="34"/>
      <c r="Q863" s="35"/>
      <c r="R863" s="35"/>
      <c r="S863" s="35"/>
      <c r="T863" s="35"/>
      <c r="U863" s="35"/>
      <c r="V863" s="35"/>
      <c r="W863" s="35"/>
      <c r="X863" s="35"/>
      <c r="Y863" s="35"/>
      <c r="Z863" s="35"/>
      <c r="AA863" s="35"/>
    </row>
    <row r="864" ht="14.25" customHeight="1">
      <c r="A864" s="136"/>
      <c r="B864" s="137"/>
      <c r="C864" s="138"/>
      <c r="D864" s="136"/>
      <c r="E864" s="136"/>
      <c r="F864" s="136"/>
      <c r="G864" s="139"/>
      <c r="H864" s="140"/>
      <c r="I864" s="141"/>
      <c r="J864" s="141"/>
      <c r="K864" s="142"/>
      <c r="L864" s="142"/>
      <c r="M864" s="142"/>
      <c r="N864" s="142"/>
      <c r="O864" s="136"/>
      <c r="P864" s="34"/>
      <c r="Q864" s="35"/>
      <c r="R864" s="35"/>
      <c r="S864" s="35"/>
      <c r="T864" s="35"/>
      <c r="U864" s="35"/>
      <c r="V864" s="35"/>
      <c r="W864" s="35"/>
      <c r="X864" s="35"/>
      <c r="Y864" s="35"/>
      <c r="Z864" s="35"/>
      <c r="AA864" s="35"/>
    </row>
    <row r="865" ht="14.25" customHeight="1">
      <c r="A865" s="136"/>
      <c r="B865" s="137"/>
      <c r="C865" s="138"/>
      <c r="D865" s="136"/>
      <c r="E865" s="136"/>
      <c r="F865" s="136"/>
      <c r="G865" s="139"/>
      <c r="H865" s="140"/>
      <c r="I865" s="141"/>
      <c r="J865" s="141"/>
      <c r="K865" s="142"/>
      <c r="L865" s="142"/>
      <c r="M865" s="142"/>
      <c r="N865" s="142"/>
      <c r="O865" s="136"/>
      <c r="P865" s="34"/>
      <c r="Q865" s="35"/>
      <c r="R865" s="35"/>
      <c r="S865" s="35"/>
      <c r="T865" s="35"/>
      <c r="U865" s="35"/>
      <c r="V865" s="35"/>
      <c r="W865" s="35"/>
      <c r="X865" s="35"/>
      <c r="Y865" s="35"/>
      <c r="Z865" s="35"/>
      <c r="AA865" s="35"/>
    </row>
    <row r="866" ht="14.25" customHeight="1">
      <c r="A866" s="136"/>
      <c r="B866" s="137"/>
      <c r="C866" s="138"/>
      <c r="D866" s="136"/>
      <c r="E866" s="136"/>
      <c r="F866" s="136"/>
      <c r="G866" s="139"/>
      <c r="H866" s="140"/>
      <c r="I866" s="141"/>
      <c r="J866" s="141"/>
      <c r="K866" s="142"/>
      <c r="L866" s="142"/>
      <c r="M866" s="142"/>
      <c r="N866" s="142"/>
      <c r="O866" s="136"/>
      <c r="P866" s="34"/>
      <c r="Q866" s="35"/>
      <c r="R866" s="35"/>
      <c r="S866" s="35"/>
      <c r="T866" s="35"/>
      <c r="U866" s="35"/>
      <c r="V866" s="35"/>
      <c r="W866" s="35"/>
      <c r="X866" s="35"/>
      <c r="Y866" s="35"/>
      <c r="Z866" s="35"/>
      <c r="AA866" s="35"/>
    </row>
    <row r="867" ht="14.25" customHeight="1">
      <c r="A867" s="136"/>
      <c r="B867" s="137"/>
      <c r="C867" s="138"/>
      <c r="D867" s="136"/>
      <c r="E867" s="136"/>
      <c r="F867" s="136"/>
      <c r="G867" s="139"/>
      <c r="H867" s="140"/>
      <c r="I867" s="141"/>
      <c r="J867" s="141"/>
      <c r="K867" s="142"/>
      <c r="L867" s="142"/>
      <c r="M867" s="142"/>
      <c r="N867" s="142"/>
      <c r="O867" s="136"/>
      <c r="P867" s="34"/>
      <c r="Q867" s="35"/>
      <c r="R867" s="35"/>
      <c r="S867" s="35"/>
      <c r="T867" s="35"/>
      <c r="U867" s="35"/>
      <c r="V867" s="35"/>
      <c r="W867" s="35"/>
      <c r="X867" s="35"/>
      <c r="Y867" s="35"/>
      <c r="Z867" s="35"/>
      <c r="AA867" s="35"/>
    </row>
    <row r="868" ht="14.25" customHeight="1">
      <c r="A868" s="136"/>
      <c r="B868" s="137"/>
      <c r="C868" s="138"/>
      <c r="D868" s="136"/>
      <c r="E868" s="136"/>
      <c r="F868" s="136"/>
      <c r="G868" s="139"/>
      <c r="H868" s="140"/>
      <c r="I868" s="141"/>
      <c r="J868" s="141"/>
      <c r="K868" s="142"/>
      <c r="L868" s="142"/>
      <c r="M868" s="142"/>
      <c r="N868" s="142"/>
      <c r="O868" s="136"/>
      <c r="P868" s="34"/>
      <c r="Q868" s="35"/>
      <c r="R868" s="35"/>
      <c r="S868" s="35"/>
      <c r="T868" s="35"/>
      <c r="U868" s="35"/>
      <c r="V868" s="35"/>
      <c r="W868" s="35"/>
      <c r="X868" s="35"/>
      <c r="Y868" s="35"/>
      <c r="Z868" s="35"/>
      <c r="AA868" s="35"/>
    </row>
    <row r="869" ht="14.25" customHeight="1">
      <c r="A869" s="136"/>
      <c r="B869" s="137"/>
      <c r="C869" s="138"/>
      <c r="D869" s="136"/>
      <c r="E869" s="136"/>
      <c r="F869" s="136"/>
      <c r="G869" s="139"/>
      <c r="H869" s="140"/>
      <c r="I869" s="141"/>
      <c r="J869" s="141"/>
      <c r="K869" s="142"/>
      <c r="L869" s="142"/>
      <c r="M869" s="142"/>
      <c r="N869" s="142"/>
      <c r="O869" s="136"/>
      <c r="P869" s="34"/>
      <c r="Q869" s="35"/>
      <c r="R869" s="35"/>
      <c r="S869" s="35"/>
      <c r="T869" s="35"/>
      <c r="U869" s="35"/>
      <c r="V869" s="35"/>
      <c r="W869" s="35"/>
      <c r="X869" s="35"/>
      <c r="Y869" s="35"/>
      <c r="Z869" s="35"/>
      <c r="AA869" s="35"/>
    </row>
    <row r="870" ht="14.25" customHeight="1">
      <c r="A870" s="136"/>
      <c r="B870" s="137"/>
      <c r="C870" s="138"/>
      <c r="D870" s="136"/>
      <c r="E870" s="136"/>
      <c r="F870" s="136"/>
      <c r="G870" s="139"/>
      <c r="H870" s="140"/>
      <c r="I870" s="141"/>
      <c r="J870" s="141"/>
      <c r="K870" s="142"/>
      <c r="L870" s="142"/>
      <c r="M870" s="142"/>
      <c r="N870" s="142"/>
      <c r="O870" s="136"/>
      <c r="P870" s="34"/>
      <c r="Q870" s="35"/>
      <c r="R870" s="35"/>
      <c r="S870" s="35"/>
      <c r="T870" s="35"/>
      <c r="U870" s="35"/>
      <c r="V870" s="35"/>
      <c r="W870" s="35"/>
      <c r="X870" s="35"/>
      <c r="Y870" s="35"/>
      <c r="Z870" s="35"/>
      <c r="AA870" s="35"/>
    </row>
    <row r="871" ht="14.25" customHeight="1">
      <c r="A871" s="136"/>
      <c r="B871" s="137"/>
      <c r="C871" s="138"/>
      <c r="D871" s="136"/>
      <c r="E871" s="136"/>
      <c r="F871" s="136"/>
      <c r="G871" s="139"/>
      <c r="H871" s="140"/>
      <c r="I871" s="141"/>
      <c r="J871" s="141"/>
      <c r="K871" s="142"/>
      <c r="L871" s="142"/>
      <c r="M871" s="142"/>
      <c r="N871" s="142"/>
      <c r="O871" s="136"/>
      <c r="P871" s="34"/>
      <c r="Q871" s="35"/>
      <c r="R871" s="35"/>
      <c r="S871" s="35"/>
      <c r="T871" s="35"/>
      <c r="U871" s="35"/>
      <c r="V871" s="35"/>
      <c r="W871" s="35"/>
      <c r="X871" s="35"/>
      <c r="Y871" s="35"/>
      <c r="Z871" s="35"/>
      <c r="AA871" s="35"/>
    </row>
    <row r="872" ht="14.25" customHeight="1">
      <c r="A872" s="136"/>
      <c r="B872" s="137"/>
      <c r="C872" s="138"/>
      <c r="D872" s="136"/>
      <c r="E872" s="136"/>
      <c r="F872" s="136"/>
      <c r="G872" s="139"/>
      <c r="H872" s="140"/>
      <c r="I872" s="141"/>
      <c r="J872" s="141"/>
      <c r="K872" s="142"/>
      <c r="L872" s="142"/>
      <c r="M872" s="142"/>
      <c r="N872" s="142"/>
      <c r="O872" s="136"/>
      <c r="P872" s="34"/>
      <c r="Q872" s="35"/>
      <c r="R872" s="35"/>
      <c r="S872" s="35"/>
      <c r="T872" s="35"/>
      <c r="U872" s="35"/>
      <c r="V872" s="35"/>
      <c r="W872" s="35"/>
      <c r="X872" s="35"/>
      <c r="Y872" s="35"/>
      <c r="Z872" s="35"/>
      <c r="AA872" s="35"/>
    </row>
    <row r="873" ht="14.25" customHeight="1">
      <c r="A873" s="136"/>
      <c r="B873" s="137"/>
      <c r="C873" s="138"/>
      <c r="D873" s="136"/>
      <c r="E873" s="136"/>
      <c r="F873" s="136"/>
      <c r="G873" s="139"/>
      <c r="H873" s="140"/>
      <c r="I873" s="141"/>
      <c r="J873" s="141"/>
      <c r="K873" s="142"/>
      <c r="L873" s="142"/>
      <c r="M873" s="142"/>
      <c r="N873" s="142"/>
      <c r="O873" s="136"/>
      <c r="P873" s="34"/>
      <c r="Q873" s="35"/>
      <c r="R873" s="35"/>
      <c r="S873" s="35"/>
      <c r="T873" s="35"/>
      <c r="U873" s="35"/>
      <c r="V873" s="35"/>
      <c r="W873" s="35"/>
      <c r="X873" s="35"/>
      <c r="Y873" s="35"/>
      <c r="Z873" s="35"/>
      <c r="AA873" s="35"/>
    </row>
    <row r="874" ht="14.25" customHeight="1">
      <c r="A874" s="136"/>
      <c r="B874" s="137"/>
      <c r="C874" s="138"/>
      <c r="D874" s="136"/>
      <c r="E874" s="136"/>
      <c r="F874" s="136"/>
      <c r="G874" s="139"/>
      <c r="H874" s="140"/>
      <c r="I874" s="141"/>
      <c r="J874" s="141"/>
      <c r="K874" s="142"/>
      <c r="L874" s="142"/>
      <c r="M874" s="142"/>
      <c r="N874" s="142"/>
      <c r="O874" s="136"/>
      <c r="P874" s="34"/>
      <c r="Q874" s="35"/>
      <c r="R874" s="35"/>
      <c r="S874" s="35"/>
      <c r="T874" s="35"/>
      <c r="U874" s="35"/>
      <c r="V874" s="35"/>
      <c r="W874" s="35"/>
      <c r="X874" s="35"/>
      <c r="Y874" s="35"/>
      <c r="Z874" s="35"/>
      <c r="AA874" s="35"/>
    </row>
    <row r="875" ht="14.25" customHeight="1">
      <c r="A875" s="136"/>
      <c r="B875" s="137"/>
      <c r="C875" s="138"/>
      <c r="D875" s="136"/>
      <c r="E875" s="136"/>
      <c r="F875" s="136"/>
      <c r="G875" s="139"/>
      <c r="H875" s="140"/>
      <c r="I875" s="141"/>
      <c r="J875" s="141"/>
      <c r="K875" s="142"/>
      <c r="L875" s="142"/>
      <c r="M875" s="142"/>
      <c r="N875" s="142"/>
      <c r="O875" s="136"/>
      <c r="P875" s="34"/>
      <c r="Q875" s="35"/>
      <c r="R875" s="35"/>
      <c r="S875" s="35"/>
      <c r="T875" s="35"/>
      <c r="U875" s="35"/>
      <c r="V875" s="35"/>
      <c r="W875" s="35"/>
      <c r="X875" s="35"/>
      <c r="Y875" s="35"/>
      <c r="Z875" s="35"/>
      <c r="AA875" s="35"/>
    </row>
    <row r="876" ht="14.25" customHeight="1">
      <c r="A876" s="136"/>
      <c r="B876" s="137"/>
      <c r="C876" s="138"/>
      <c r="D876" s="136"/>
      <c r="E876" s="136"/>
      <c r="F876" s="136"/>
      <c r="G876" s="139"/>
      <c r="H876" s="140"/>
      <c r="I876" s="141"/>
      <c r="J876" s="141"/>
      <c r="K876" s="142"/>
      <c r="L876" s="142"/>
      <c r="M876" s="142"/>
      <c r="N876" s="142"/>
      <c r="O876" s="136"/>
      <c r="P876" s="34"/>
      <c r="Q876" s="35"/>
      <c r="R876" s="35"/>
      <c r="S876" s="35"/>
      <c r="T876" s="35"/>
      <c r="U876" s="35"/>
      <c r="V876" s="35"/>
      <c r="W876" s="35"/>
      <c r="X876" s="35"/>
      <c r="Y876" s="35"/>
      <c r="Z876" s="35"/>
      <c r="AA876" s="35"/>
    </row>
    <row r="877" ht="14.25" customHeight="1">
      <c r="A877" s="136"/>
      <c r="B877" s="137"/>
      <c r="C877" s="138"/>
      <c r="D877" s="136"/>
      <c r="E877" s="136"/>
      <c r="F877" s="136"/>
      <c r="G877" s="139"/>
      <c r="H877" s="140"/>
      <c r="I877" s="141"/>
      <c r="J877" s="141"/>
      <c r="K877" s="142"/>
      <c r="L877" s="142"/>
      <c r="M877" s="142"/>
      <c r="N877" s="142"/>
      <c r="O877" s="136"/>
      <c r="P877" s="34"/>
      <c r="Q877" s="35"/>
      <c r="R877" s="35"/>
      <c r="S877" s="35"/>
      <c r="T877" s="35"/>
      <c r="U877" s="35"/>
      <c r="V877" s="35"/>
      <c r="W877" s="35"/>
      <c r="X877" s="35"/>
      <c r="Y877" s="35"/>
      <c r="Z877" s="35"/>
      <c r="AA877" s="35"/>
    </row>
    <row r="878" ht="14.25" customHeight="1">
      <c r="A878" s="136"/>
      <c r="B878" s="137"/>
      <c r="C878" s="138"/>
      <c r="D878" s="136"/>
      <c r="E878" s="136"/>
      <c r="F878" s="136"/>
      <c r="G878" s="139"/>
      <c r="H878" s="140"/>
      <c r="I878" s="141"/>
      <c r="J878" s="141"/>
      <c r="K878" s="142"/>
      <c r="L878" s="142"/>
      <c r="M878" s="142"/>
      <c r="N878" s="142"/>
      <c r="O878" s="136"/>
      <c r="P878" s="34"/>
      <c r="Q878" s="35"/>
      <c r="R878" s="35"/>
      <c r="S878" s="35"/>
      <c r="T878" s="35"/>
      <c r="U878" s="35"/>
      <c r="V878" s="35"/>
      <c r="W878" s="35"/>
      <c r="X878" s="35"/>
      <c r="Y878" s="35"/>
      <c r="Z878" s="35"/>
      <c r="AA878" s="35"/>
    </row>
    <row r="879" ht="14.25" customHeight="1">
      <c r="A879" s="136"/>
      <c r="B879" s="137"/>
      <c r="C879" s="138"/>
      <c r="D879" s="136"/>
      <c r="E879" s="136"/>
      <c r="F879" s="136"/>
      <c r="G879" s="139"/>
      <c r="H879" s="140"/>
      <c r="I879" s="141"/>
      <c r="J879" s="141"/>
      <c r="K879" s="142"/>
      <c r="L879" s="142"/>
      <c r="M879" s="142"/>
      <c r="N879" s="142"/>
      <c r="O879" s="136"/>
      <c r="P879" s="34"/>
      <c r="Q879" s="35"/>
      <c r="R879" s="35"/>
      <c r="S879" s="35"/>
      <c r="T879" s="35"/>
      <c r="U879" s="35"/>
      <c r="V879" s="35"/>
      <c r="W879" s="35"/>
      <c r="X879" s="35"/>
      <c r="Y879" s="35"/>
      <c r="Z879" s="35"/>
      <c r="AA879" s="35"/>
    </row>
    <row r="880" ht="14.25" customHeight="1">
      <c r="A880" s="136"/>
      <c r="B880" s="137"/>
      <c r="C880" s="138"/>
      <c r="D880" s="136"/>
      <c r="E880" s="136"/>
      <c r="F880" s="136"/>
      <c r="G880" s="139"/>
      <c r="H880" s="140"/>
      <c r="I880" s="141"/>
      <c r="J880" s="141"/>
      <c r="K880" s="142"/>
      <c r="L880" s="142"/>
      <c r="M880" s="142"/>
      <c r="N880" s="142"/>
      <c r="O880" s="136"/>
      <c r="P880" s="34"/>
      <c r="Q880" s="35"/>
      <c r="R880" s="35"/>
      <c r="S880" s="35"/>
      <c r="T880" s="35"/>
      <c r="U880" s="35"/>
      <c r="V880" s="35"/>
      <c r="W880" s="35"/>
      <c r="X880" s="35"/>
      <c r="Y880" s="35"/>
      <c r="Z880" s="35"/>
      <c r="AA880" s="35"/>
    </row>
    <row r="881" ht="14.25" customHeight="1">
      <c r="A881" s="136"/>
      <c r="B881" s="137"/>
      <c r="C881" s="138"/>
      <c r="D881" s="136"/>
      <c r="E881" s="136"/>
      <c r="F881" s="136"/>
      <c r="G881" s="139"/>
      <c r="H881" s="140"/>
      <c r="I881" s="141"/>
      <c r="J881" s="141"/>
      <c r="K881" s="142"/>
      <c r="L881" s="142"/>
      <c r="M881" s="142"/>
      <c r="N881" s="142"/>
      <c r="O881" s="136"/>
      <c r="P881" s="34"/>
      <c r="Q881" s="35"/>
      <c r="R881" s="35"/>
      <c r="S881" s="35"/>
      <c r="T881" s="35"/>
      <c r="U881" s="35"/>
      <c r="V881" s="35"/>
      <c r="W881" s="35"/>
      <c r="X881" s="35"/>
      <c r="Y881" s="35"/>
      <c r="Z881" s="35"/>
      <c r="AA881" s="35"/>
    </row>
    <row r="882" ht="14.25" customHeight="1">
      <c r="A882" s="136"/>
      <c r="B882" s="137"/>
      <c r="C882" s="138"/>
      <c r="D882" s="136"/>
      <c r="E882" s="136"/>
      <c r="F882" s="136"/>
      <c r="G882" s="139"/>
      <c r="H882" s="140"/>
      <c r="I882" s="141"/>
      <c r="J882" s="141"/>
      <c r="K882" s="142"/>
      <c r="L882" s="142"/>
      <c r="M882" s="142"/>
      <c r="N882" s="142"/>
      <c r="O882" s="136"/>
      <c r="P882" s="34"/>
      <c r="Q882" s="35"/>
      <c r="R882" s="35"/>
      <c r="S882" s="35"/>
      <c r="T882" s="35"/>
      <c r="U882" s="35"/>
      <c r="V882" s="35"/>
      <c r="W882" s="35"/>
      <c r="X882" s="35"/>
      <c r="Y882" s="35"/>
      <c r="Z882" s="35"/>
      <c r="AA882" s="35"/>
    </row>
    <row r="883" ht="14.25" customHeight="1">
      <c r="A883" s="136"/>
      <c r="B883" s="137"/>
      <c r="C883" s="138"/>
      <c r="D883" s="136"/>
      <c r="E883" s="136"/>
      <c r="F883" s="136"/>
      <c r="G883" s="139"/>
      <c r="H883" s="140"/>
      <c r="I883" s="141"/>
      <c r="J883" s="141"/>
      <c r="K883" s="142"/>
      <c r="L883" s="142"/>
      <c r="M883" s="142"/>
      <c r="N883" s="142"/>
      <c r="O883" s="136"/>
      <c r="P883" s="34"/>
      <c r="Q883" s="35"/>
      <c r="R883" s="35"/>
      <c r="S883" s="35"/>
      <c r="T883" s="35"/>
      <c r="U883" s="35"/>
      <c r="V883" s="35"/>
      <c r="W883" s="35"/>
      <c r="X883" s="35"/>
      <c r="Y883" s="35"/>
      <c r="Z883" s="35"/>
      <c r="AA883" s="35"/>
    </row>
    <row r="884" ht="14.25" customHeight="1">
      <c r="A884" s="136"/>
      <c r="B884" s="137"/>
      <c r="C884" s="138"/>
      <c r="D884" s="136"/>
      <c r="E884" s="136"/>
      <c r="F884" s="136"/>
      <c r="G884" s="139"/>
      <c r="H884" s="140"/>
      <c r="I884" s="141"/>
      <c r="J884" s="141"/>
      <c r="K884" s="142"/>
      <c r="L884" s="142"/>
      <c r="M884" s="142"/>
      <c r="N884" s="142"/>
      <c r="O884" s="136"/>
      <c r="P884" s="34"/>
      <c r="Q884" s="35"/>
      <c r="R884" s="35"/>
      <c r="S884" s="35"/>
      <c r="T884" s="35"/>
      <c r="U884" s="35"/>
      <c r="V884" s="35"/>
      <c r="W884" s="35"/>
      <c r="X884" s="35"/>
      <c r="Y884" s="35"/>
      <c r="Z884" s="35"/>
      <c r="AA884" s="35"/>
    </row>
    <row r="885" ht="14.25" customHeight="1">
      <c r="A885" s="136"/>
      <c r="B885" s="137"/>
      <c r="C885" s="138"/>
      <c r="D885" s="136"/>
      <c r="E885" s="136"/>
      <c r="F885" s="136"/>
      <c r="G885" s="139"/>
      <c r="H885" s="140"/>
      <c r="I885" s="141"/>
      <c r="J885" s="141"/>
      <c r="K885" s="142"/>
      <c r="L885" s="142"/>
      <c r="M885" s="142"/>
      <c r="N885" s="142"/>
      <c r="O885" s="136"/>
      <c r="P885" s="34"/>
      <c r="Q885" s="35"/>
      <c r="R885" s="35"/>
      <c r="S885" s="35"/>
      <c r="T885" s="35"/>
      <c r="U885" s="35"/>
      <c r="V885" s="35"/>
      <c r="W885" s="35"/>
      <c r="X885" s="35"/>
      <c r="Y885" s="35"/>
      <c r="Z885" s="35"/>
      <c r="AA885" s="35"/>
    </row>
    <row r="886" ht="14.25" customHeight="1">
      <c r="A886" s="136"/>
      <c r="B886" s="137"/>
      <c r="C886" s="138"/>
      <c r="D886" s="136"/>
      <c r="E886" s="136"/>
      <c r="F886" s="136"/>
      <c r="G886" s="139"/>
      <c r="H886" s="140"/>
      <c r="I886" s="141"/>
      <c r="J886" s="141"/>
      <c r="K886" s="142"/>
      <c r="L886" s="142"/>
      <c r="M886" s="142"/>
      <c r="N886" s="142"/>
      <c r="O886" s="136"/>
      <c r="P886" s="34"/>
      <c r="Q886" s="35"/>
      <c r="R886" s="35"/>
      <c r="S886" s="35"/>
      <c r="T886" s="35"/>
      <c r="U886" s="35"/>
      <c r="V886" s="35"/>
      <c r="W886" s="35"/>
      <c r="X886" s="35"/>
      <c r="Y886" s="35"/>
      <c r="Z886" s="35"/>
      <c r="AA886" s="35"/>
    </row>
    <row r="887" ht="14.25" customHeight="1">
      <c r="A887" s="136"/>
      <c r="B887" s="137"/>
      <c r="C887" s="138"/>
      <c r="D887" s="136"/>
      <c r="E887" s="136"/>
      <c r="F887" s="136"/>
      <c r="G887" s="139"/>
      <c r="H887" s="140"/>
      <c r="I887" s="141"/>
      <c r="J887" s="141"/>
      <c r="K887" s="142"/>
      <c r="L887" s="142"/>
      <c r="M887" s="142"/>
      <c r="N887" s="142"/>
      <c r="O887" s="136"/>
      <c r="P887" s="34"/>
      <c r="Q887" s="35"/>
      <c r="R887" s="35"/>
      <c r="S887" s="35"/>
      <c r="T887" s="35"/>
      <c r="U887" s="35"/>
      <c r="V887" s="35"/>
      <c r="W887" s="35"/>
      <c r="X887" s="35"/>
      <c r="Y887" s="35"/>
      <c r="Z887" s="35"/>
      <c r="AA887" s="35"/>
    </row>
    <row r="888" ht="14.25" customHeight="1">
      <c r="A888" s="136"/>
      <c r="B888" s="137"/>
      <c r="C888" s="138"/>
      <c r="D888" s="136"/>
      <c r="E888" s="136"/>
      <c r="F888" s="136"/>
      <c r="G888" s="139"/>
      <c r="H888" s="140"/>
      <c r="I888" s="141"/>
      <c r="J888" s="141"/>
      <c r="K888" s="142"/>
      <c r="L888" s="142"/>
      <c r="M888" s="142"/>
      <c r="N888" s="142"/>
      <c r="O888" s="136"/>
      <c r="P888" s="34"/>
      <c r="Q888" s="35"/>
      <c r="R888" s="35"/>
      <c r="S888" s="35"/>
      <c r="T888" s="35"/>
      <c r="U888" s="35"/>
      <c r="V888" s="35"/>
      <c r="W888" s="35"/>
      <c r="X888" s="35"/>
      <c r="Y888" s="35"/>
      <c r="Z888" s="35"/>
      <c r="AA888" s="35"/>
    </row>
    <row r="889" ht="14.25" customHeight="1">
      <c r="A889" s="136"/>
      <c r="B889" s="137"/>
      <c r="C889" s="138"/>
      <c r="D889" s="136"/>
      <c r="E889" s="136"/>
      <c r="F889" s="136"/>
      <c r="G889" s="139"/>
      <c r="H889" s="140"/>
      <c r="I889" s="141"/>
      <c r="J889" s="141"/>
      <c r="K889" s="142"/>
      <c r="L889" s="142"/>
      <c r="M889" s="142"/>
      <c r="N889" s="142"/>
      <c r="O889" s="136"/>
      <c r="P889" s="34"/>
      <c r="Q889" s="35"/>
      <c r="R889" s="35"/>
      <c r="S889" s="35"/>
      <c r="T889" s="35"/>
      <c r="U889" s="35"/>
      <c r="V889" s="35"/>
      <c r="W889" s="35"/>
      <c r="X889" s="35"/>
      <c r="Y889" s="35"/>
      <c r="Z889" s="35"/>
      <c r="AA889" s="35"/>
    </row>
    <row r="890" ht="14.25" customHeight="1">
      <c r="A890" s="136"/>
      <c r="B890" s="137"/>
      <c r="C890" s="138"/>
      <c r="D890" s="136"/>
      <c r="E890" s="136"/>
      <c r="F890" s="136"/>
      <c r="G890" s="139"/>
      <c r="H890" s="140"/>
      <c r="I890" s="141"/>
      <c r="J890" s="141"/>
      <c r="K890" s="142"/>
      <c r="L890" s="142"/>
      <c r="M890" s="142"/>
      <c r="N890" s="142"/>
      <c r="O890" s="136"/>
      <c r="P890" s="34"/>
      <c r="Q890" s="35"/>
      <c r="R890" s="35"/>
      <c r="S890" s="35"/>
      <c r="T890" s="35"/>
      <c r="U890" s="35"/>
      <c r="V890" s="35"/>
      <c r="W890" s="35"/>
      <c r="X890" s="35"/>
      <c r="Y890" s="35"/>
      <c r="Z890" s="35"/>
      <c r="AA890" s="35"/>
    </row>
    <row r="891" ht="14.25" customHeight="1">
      <c r="A891" s="136"/>
      <c r="B891" s="137"/>
      <c r="C891" s="138"/>
      <c r="D891" s="136"/>
      <c r="E891" s="136"/>
      <c r="F891" s="136"/>
      <c r="G891" s="139"/>
      <c r="H891" s="140"/>
      <c r="I891" s="141"/>
      <c r="J891" s="141"/>
      <c r="K891" s="142"/>
      <c r="L891" s="142"/>
      <c r="M891" s="142"/>
      <c r="N891" s="142"/>
      <c r="O891" s="136"/>
      <c r="P891" s="34"/>
      <c r="Q891" s="35"/>
      <c r="R891" s="35"/>
      <c r="S891" s="35"/>
      <c r="T891" s="35"/>
      <c r="U891" s="35"/>
      <c r="V891" s="35"/>
      <c r="W891" s="35"/>
      <c r="X891" s="35"/>
      <c r="Y891" s="35"/>
      <c r="Z891" s="35"/>
      <c r="AA891" s="35"/>
    </row>
    <row r="892" ht="14.25" customHeight="1">
      <c r="A892" s="136"/>
      <c r="B892" s="137"/>
      <c r="C892" s="138"/>
      <c r="D892" s="136"/>
      <c r="E892" s="136"/>
      <c r="F892" s="136"/>
      <c r="G892" s="139"/>
      <c r="H892" s="140"/>
      <c r="I892" s="141"/>
      <c r="J892" s="141"/>
      <c r="K892" s="142"/>
      <c r="L892" s="142"/>
      <c r="M892" s="142"/>
      <c r="N892" s="142"/>
      <c r="O892" s="136"/>
      <c r="P892" s="34"/>
      <c r="Q892" s="35"/>
      <c r="R892" s="35"/>
      <c r="S892" s="35"/>
      <c r="T892" s="35"/>
      <c r="U892" s="35"/>
      <c r="V892" s="35"/>
      <c r="W892" s="35"/>
      <c r="X892" s="35"/>
      <c r="Y892" s="35"/>
      <c r="Z892" s="35"/>
      <c r="AA892" s="35"/>
    </row>
    <row r="893" ht="14.25" customHeight="1">
      <c r="A893" s="136"/>
      <c r="B893" s="137"/>
      <c r="C893" s="138"/>
      <c r="D893" s="136"/>
      <c r="E893" s="136"/>
      <c r="F893" s="136"/>
      <c r="G893" s="139"/>
      <c r="H893" s="140"/>
      <c r="I893" s="141"/>
      <c r="J893" s="141"/>
      <c r="K893" s="142"/>
      <c r="L893" s="142"/>
      <c r="M893" s="142"/>
      <c r="N893" s="142"/>
      <c r="O893" s="136"/>
      <c r="P893" s="34"/>
      <c r="Q893" s="35"/>
      <c r="R893" s="35"/>
      <c r="S893" s="35"/>
      <c r="T893" s="35"/>
      <c r="U893" s="35"/>
      <c r="V893" s="35"/>
      <c r="W893" s="35"/>
      <c r="X893" s="35"/>
      <c r="Y893" s="35"/>
      <c r="Z893" s="35"/>
      <c r="AA893" s="35"/>
    </row>
    <row r="894" ht="14.25" customHeight="1">
      <c r="A894" s="136"/>
      <c r="B894" s="137"/>
      <c r="C894" s="138"/>
      <c r="D894" s="136"/>
      <c r="E894" s="136"/>
      <c r="F894" s="136"/>
      <c r="G894" s="139"/>
      <c r="H894" s="140"/>
      <c r="I894" s="141"/>
      <c r="J894" s="141"/>
      <c r="K894" s="142"/>
      <c r="L894" s="142"/>
      <c r="M894" s="142"/>
      <c r="N894" s="142"/>
      <c r="O894" s="136"/>
      <c r="P894" s="34"/>
      <c r="Q894" s="35"/>
      <c r="R894" s="35"/>
      <c r="S894" s="35"/>
      <c r="T894" s="35"/>
      <c r="U894" s="35"/>
      <c r="V894" s="35"/>
      <c r="W894" s="35"/>
      <c r="X894" s="35"/>
      <c r="Y894" s="35"/>
      <c r="Z894" s="35"/>
      <c r="AA894" s="35"/>
    </row>
    <row r="895" ht="14.25" customHeight="1">
      <c r="A895" s="136"/>
      <c r="B895" s="137"/>
      <c r="C895" s="138"/>
      <c r="D895" s="136"/>
      <c r="E895" s="136"/>
      <c r="F895" s="136"/>
      <c r="G895" s="139"/>
      <c r="H895" s="140"/>
      <c r="I895" s="141"/>
      <c r="J895" s="141"/>
      <c r="K895" s="142"/>
      <c r="L895" s="142"/>
      <c r="M895" s="142"/>
      <c r="N895" s="142"/>
      <c r="O895" s="136"/>
      <c r="P895" s="34"/>
      <c r="Q895" s="35"/>
      <c r="R895" s="35"/>
      <c r="S895" s="35"/>
      <c r="T895" s="35"/>
      <c r="U895" s="35"/>
      <c r="V895" s="35"/>
      <c r="W895" s="35"/>
      <c r="X895" s="35"/>
      <c r="Y895" s="35"/>
      <c r="Z895" s="35"/>
      <c r="AA895" s="35"/>
    </row>
    <row r="896" ht="14.25" customHeight="1">
      <c r="A896" s="136"/>
      <c r="B896" s="137"/>
      <c r="C896" s="138"/>
      <c r="D896" s="136"/>
      <c r="E896" s="136"/>
      <c r="F896" s="136"/>
      <c r="G896" s="139"/>
      <c r="H896" s="140"/>
      <c r="I896" s="141"/>
      <c r="J896" s="141"/>
      <c r="K896" s="142"/>
      <c r="L896" s="142"/>
      <c r="M896" s="142"/>
      <c r="N896" s="142"/>
      <c r="O896" s="136"/>
      <c r="P896" s="34"/>
      <c r="Q896" s="35"/>
      <c r="R896" s="35"/>
      <c r="S896" s="35"/>
      <c r="T896" s="35"/>
      <c r="U896" s="35"/>
      <c r="V896" s="35"/>
      <c r="W896" s="35"/>
      <c r="X896" s="35"/>
      <c r="Y896" s="35"/>
      <c r="Z896" s="35"/>
      <c r="AA896" s="35"/>
    </row>
    <row r="897" ht="14.25" customHeight="1">
      <c r="A897" s="136"/>
      <c r="B897" s="137"/>
      <c r="C897" s="138"/>
      <c r="D897" s="136"/>
      <c r="E897" s="136"/>
      <c r="F897" s="136"/>
      <c r="G897" s="139"/>
      <c r="H897" s="140"/>
      <c r="I897" s="141"/>
      <c r="J897" s="141"/>
      <c r="K897" s="142"/>
      <c r="L897" s="142"/>
      <c r="M897" s="142"/>
      <c r="N897" s="142"/>
      <c r="O897" s="136"/>
      <c r="P897" s="34"/>
      <c r="Q897" s="35"/>
      <c r="R897" s="35"/>
      <c r="S897" s="35"/>
      <c r="T897" s="35"/>
      <c r="U897" s="35"/>
      <c r="V897" s="35"/>
      <c r="W897" s="35"/>
      <c r="X897" s="35"/>
      <c r="Y897" s="35"/>
      <c r="Z897" s="35"/>
      <c r="AA897" s="35"/>
    </row>
    <row r="898" ht="14.25" customHeight="1">
      <c r="A898" s="136"/>
      <c r="B898" s="137"/>
      <c r="C898" s="138"/>
      <c r="D898" s="136"/>
      <c r="E898" s="136"/>
      <c r="F898" s="136"/>
      <c r="G898" s="139"/>
      <c r="H898" s="140"/>
      <c r="I898" s="141"/>
      <c r="J898" s="141"/>
      <c r="K898" s="142"/>
      <c r="L898" s="142"/>
      <c r="M898" s="142"/>
      <c r="N898" s="142"/>
      <c r="O898" s="136"/>
      <c r="P898" s="34"/>
      <c r="Q898" s="35"/>
      <c r="R898" s="35"/>
      <c r="S898" s="35"/>
      <c r="T898" s="35"/>
      <c r="U898" s="35"/>
      <c r="V898" s="35"/>
      <c r="W898" s="35"/>
      <c r="X898" s="35"/>
      <c r="Y898" s="35"/>
      <c r="Z898" s="35"/>
      <c r="AA898" s="35"/>
    </row>
    <row r="899" ht="14.25" customHeight="1">
      <c r="A899" s="136"/>
      <c r="B899" s="137"/>
      <c r="C899" s="138"/>
      <c r="D899" s="136"/>
      <c r="E899" s="136"/>
      <c r="F899" s="136"/>
      <c r="G899" s="139"/>
      <c r="H899" s="140"/>
      <c r="I899" s="141"/>
      <c r="J899" s="141"/>
      <c r="K899" s="142"/>
      <c r="L899" s="142"/>
      <c r="M899" s="142"/>
      <c r="N899" s="142"/>
      <c r="O899" s="136"/>
      <c r="P899" s="34"/>
      <c r="Q899" s="35"/>
      <c r="R899" s="35"/>
      <c r="S899" s="35"/>
      <c r="T899" s="35"/>
      <c r="U899" s="35"/>
      <c r="V899" s="35"/>
      <c r="W899" s="35"/>
      <c r="X899" s="35"/>
      <c r="Y899" s="35"/>
      <c r="Z899" s="35"/>
      <c r="AA899" s="35"/>
    </row>
    <row r="900" ht="14.25" customHeight="1">
      <c r="A900" s="136"/>
      <c r="B900" s="137"/>
      <c r="C900" s="138"/>
      <c r="D900" s="136"/>
      <c r="E900" s="136"/>
      <c r="F900" s="136"/>
      <c r="G900" s="139"/>
      <c r="H900" s="140"/>
      <c r="I900" s="141"/>
      <c r="J900" s="141"/>
      <c r="K900" s="142"/>
      <c r="L900" s="142"/>
      <c r="M900" s="142"/>
      <c r="N900" s="142"/>
      <c r="O900" s="136"/>
      <c r="P900" s="34"/>
      <c r="Q900" s="35"/>
      <c r="R900" s="35"/>
      <c r="S900" s="35"/>
      <c r="T900" s="35"/>
      <c r="U900" s="35"/>
      <c r="V900" s="35"/>
      <c r="W900" s="35"/>
      <c r="X900" s="35"/>
      <c r="Y900" s="35"/>
      <c r="Z900" s="35"/>
      <c r="AA900" s="35"/>
    </row>
    <row r="901" ht="14.25" customHeight="1">
      <c r="A901" s="136"/>
      <c r="B901" s="137"/>
      <c r="C901" s="138"/>
      <c r="D901" s="136"/>
      <c r="E901" s="136"/>
      <c r="F901" s="136"/>
      <c r="G901" s="139"/>
      <c r="H901" s="140"/>
      <c r="I901" s="141"/>
      <c r="J901" s="141"/>
      <c r="K901" s="142"/>
      <c r="L901" s="142"/>
      <c r="M901" s="142"/>
      <c r="N901" s="142"/>
      <c r="O901" s="136"/>
      <c r="P901" s="34"/>
      <c r="Q901" s="35"/>
      <c r="R901" s="35"/>
      <c r="S901" s="35"/>
      <c r="T901" s="35"/>
      <c r="U901" s="35"/>
      <c r="V901" s="35"/>
      <c r="W901" s="35"/>
      <c r="X901" s="35"/>
      <c r="Y901" s="35"/>
      <c r="Z901" s="35"/>
      <c r="AA901" s="35"/>
    </row>
    <row r="902" ht="14.25" customHeight="1">
      <c r="A902" s="136"/>
      <c r="B902" s="137"/>
      <c r="C902" s="138"/>
      <c r="D902" s="136"/>
      <c r="E902" s="136"/>
      <c r="F902" s="136"/>
      <c r="G902" s="139"/>
      <c r="H902" s="140"/>
      <c r="I902" s="141"/>
      <c r="J902" s="141"/>
      <c r="K902" s="142"/>
      <c r="L902" s="142"/>
      <c r="M902" s="142"/>
      <c r="N902" s="142"/>
      <c r="O902" s="136"/>
      <c r="P902" s="34"/>
      <c r="Q902" s="35"/>
      <c r="R902" s="35"/>
      <c r="S902" s="35"/>
      <c r="T902" s="35"/>
      <c r="U902" s="35"/>
      <c r="V902" s="35"/>
      <c r="W902" s="35"/>
      <c r="X902" s="35"/>
      <c r="Y902" s="35"/>
      <c r="Z902" s="35"/>
      <c r="AA902" s="35"/>
    </row>
    <row r="903" ht="14.25" customHeight="1">
      <c r="A903" s="136"/>
      <c r="B903" s="137"/>
      <c r="C903" s="138"/>
      <c r="D903" s="136"/>
      <c r="E903" s="136"/>
      <c r="F903" s="136"/>
      <c r="G903" s="139"/>
      <c r="H903" s="140"/>
      <c r="I903" s="141"/>
      <c r="J903" s="141"/>
      <c r="K903" s="142"/>
      <c r="L903" s="142"/>
      <c r="M903" s="142"/>
      <c r="N903" s="142"/>
      <c r="O903" s="136"/>
      <c r="P903" s="34"/>
      <c r="Q903" s="35"/>
      <c r="R903" s="35"/>
      <c r="S903" s="35"/>
      <c r="T903" s="35"/>
      <c r="U903" s="35"/>
      <c r="V903" s="35"/>
      <c r="W903" s="35"/>
      <c r="X903" s="35"/>
      <c r="Y903" s="35"/>
      <c r="Z903" s="35"/>
      <c r="AA903" s="35"/>
    </row>
    <row r="904" ht="14.25" customHeight="1">
      <c r="A904" s="136"/>
      <c r="B904" s="137"/>
      <c r="C904" s="138"/>
      <c r="D904" s="136"/>
      <c r="E904" s="136"/>
      <c r="F904" s="136"/>
      <c r="G904" s="139"/>
      <c r="H904" s="140"/>
      <c r="I904" s="141"/>
      <c r="J904" s="141"/>
      <c r="K904" s="142"/>
      <c r="L904" s="142"/>
      <c r="M904" s="142"/>
      <c r="N904" s="142"/>
      <c r="O904" s="136"/>
      <c r="P904" s="34"/>
      <c r="Q904" s="35"/>
      <c r="R904" s="35"/>
      <c r="S904" s="35"/>
      <c r="T904" s="35"/>
      <c r="U904" s="35"/>
      <c r="V904" s="35"/>
      <c r="W904" s="35"/>
      <c r="X904" s="35"/>
      <c r="Y904" s="35"/>
      <c r="Z904" s="35"/>
      <c r="AA904" s="35"/>
    </row>
    <row r="905" ht="14.25" customHeight="1">
      <c r="A905" s="136"/>
      <c r="B905" s="137"/>
      <c r="C905" s="138"/>
      <c r="D905" s="136"/>
      <c r="E905" s="136"/>
      <c r="F905" s="136"/>
      <c r="G905" s="139"/>
      <c r="H905" s="140"/>
      <c r="I905" s="141"/>
      <c r="J905" s="141"/>
      <c r="K905" s="142"/>
      <c r="L905" s="142"/>
      <c r="M905" s="142"/>
      <c r="N905" s="142"/>
      <c r="O905" s="136"/>
      <c r="P905" s="34"/>
      <c r="Q905" s="35"/>
      <c r="R905" s="35"/>
      <c r="S905" s="35"/>
      <c r="T905" s="35"/>
      <c r="U905" s="35"/>
      <c r="V905" s="35"/>
      <c r="W905" s="35"/>
      <c r="X905" s="35"/>
      <c r="Y905" s="35"/>
      <c r="Z905" s="35"/>
      <c r="AA905" s="35"/>
    </row>
    <row r="906" ht="14.25" customHeight="1">
      <c r="A906" s="136"/>
      <c r="B906" s="137"/>
      <c r="C906" s="138"/>
      <c r="D906" s="136"/>
      <c r="E906" s="136"/>
      <c r="F906" s="136"/>
      <c r="G906" s="139"/>
      <c r="H906" s="140"/>
      <c r="I906" s="141"/>
      <c r="J906" s="141"/>
      <c r="K906" s="142"/>
      <c r="L906" s="142"/>
      <c r="M906" s="142"/>
      <c r="N906" s="142"/>
      <c r="O906" s="136"/>
      <c r="P906" s="34"/>
      <c r="Q906" s="35"/>
      <c r="R906" s="35"/>
      <c r="S906" s="35"/>
      <c r="T906" s="35"/>
      <c r="U906" s="35"/>
      <c r="V906" s="35"/>
      <c r="W906" s="35"/>
      <c r="X906" s="35"/>
      <c r="Y906" s="35"/>
      <c r="Z906" s="35"/>
      <c r="AA906" s="35"/>
    </row>
    <row r="907" ht="14.25" customHeight="1">
      <c r="A907" s="136"/>
      <c r="B907" s="137"/>
      <c r="C907" s="138"/>
      <c r="D907" s="136"/>
      <c r="E907" s="136"/>
      <c r="F907" s="136"/>
      <c r="G907" s="139"/>
      <c r="H907" s="140"/>
      <c r="I907" s="141"/>
      <c r="J907" s="141"/>
      <c r="K907" s="142"/>
      <c r="L907" s="142"/>
      <c r="M907" s="142"/>
      <c r="N907" s="142"/>
      <c r="O907" s="136"/>
      <c r="P907" s="34"/>
      <c r="Q907" s="35"/>
      <c r="R907" s="35"/>
      <c r="S907" s="35"/>
      <c r="T907" s="35"/>
      <c r="U907" s="35"/>
      <c r="V907" s="35"/>
      <c r="W907" s="35"/>
      <c r="X907" s="35"/>
      <c r="Y907" s="35"/>
      <c r="Z907" s="35"/>
      <c r="AA907" s="35"/>
    </row>
    <row r="908" ht="14.25" customHeight="1">
      <c r="A908" s="136"/>
      <c r="B908" s="137"/>
      <c r="C908" s="138"/>
      <c r="D908" s="136"/>
      <c r="E908" s="136"/>
      <c r="F908" s="136"/>
      <c r="G908" s="139"/>
      <c r="H908" s="140"/>
      <c r="I908" s="141"/>
      <c r="J908" s="141"/>
      <c r="K908" s="142"/>
      <c r="L908" s="142"/>
      <c r="M908" s="142"/>
      <c r="N908" s="142"/>
      <c r="O908" s="136"/>
      <c r="P908" s="34"/>
      <c r="Q908" s="35"/>
      <c r="R908" s="35"/>
      <c r="S908" s="35"/>
      <c r="T908" s="35"/>
      <c r="U908" s="35"/>
      <c r="V908" s="35"/>
      <c r="W908" s="35"/>
      <c r="X908" s="35"/>
      <c r="Y908" s="35"/>
      <c r="Z908" s="35"/>
      <c r="AA908" s="35"/>
    </row>
    <row r="909" ht="14.25" customHeight="1">
      <c r="A909" s="136"/>
      <c r="B909" s="137"/>
      <c r="C909" s="138"/>
      <c r="D909" s="136"/>
      <c r="E909" s="136"/>
      <c r="F909" s="136"/>
      <c r="G909" s="139"/>
      <c r="H909" s="140"/>
      <c r="I909" s="141"/>
      <c r="J909" s="141"/>
      <c r="K909" s="142"/>
      <c r="L909" s="142"/>
      <c r="M909" s="142"/>
      <c r="N909" s="142"/>
      <c r="O909" s="136"/>
      <c r="P909" s="34"/>
      <c r="Q909" s="35"/>
      <c r="R909" s="35"/>
      <c r="S909" s="35"/>
      <c r="T909" s="35"/>
      <c r="U909" s="35"/>
      <c r="V909" s="35"/>
      <c r="W909" s="35"/>
      <c r="X909" s="35"/>
      <c r="Y909" s="35"/>
      <c r="Z909" s="35"/>
      <c r="AA909" s="35"/>
    </row>
    <row r="910" ht="14.25" customHeight="1">
      <c r="A910" s="136"/>
      <c r="B910" s="137"/>
      <c r="C910" s="138"/>
      <c r="D910" s="136"/>
      <c r="E910" s="136"/>
      <c r="F910" s="136"/>
      <c r="G910" s="139"/>
      <c r="H910" s="140"/>
      <c r="I910" s="141"/>
      <c r="J910" s="141"/>
      <c r="K910" s="142"/>
      <c r="L910" s="142"/>
      <c r="M910" s="142"/>
      <c r="N910" s="142"/>
      <c r="O910" s="136"/>
      <c r="P910" s="34"/>
      <c r="Q910" s="35"/>
      <c r="R910" s="35"/>
      <c r="S910" s="35"/>
      <c r="T910" s="35"/>
      <c r="U910" s="35"/>
      <c r="V910" s="35"/>
      <c r="W910" s="35"/>
      <c r="X910" s="35"/>
      <c r="Y910" s="35"/>
      <c r="Z910" s="35"/>
      <c r="AA910" s="35"/>
    </row>
    <row r="911" ht="14.25" customHeight="1">
      <c r="A911" s="136"/>
      <c r="B911" s="137"/>
      <c r="C911" s="138"/>
      <c r="D911" s="136"/>
      <c r="E911" s="136"/>
      <c r="F911" s="136"/>
      <c r="G911" s="139"/>
      <c r="H911" s="140"/>
      <c r="I911" s="141"/>
      <c r="J911" s="141"/>
      <c r="K911" s="142"/>
      <c r="L911" s="142"/>
      <c r="M911" s="142"/>
      <c r="N911" s="142"/>
      <c r="O911" s="136"/>
      <c r="P911" s="34"/>
      <c r="Q911" s="35"/>
      <c r="R911" s="35"/>
      <c r="S911" s="35"/>
      <c r="T911" s="35"/>
      <c r="U911" s="35"/>
      <c r="V911" s="35"/>
      <c r="W911" s="35"/>
      <c r="X911" s="35"/>
      <c r="Y911" s="35"/>
      <c r="Z911" s="35"/>
      <c r="AA911" s="35"/>
    </row>
    <row r="912" ht="14.25" customHeight="1">
      <c r="A912" s="136"/>
      <c r="B912" s="137"/>
      <c r="C912" s="138"/>
      <c r="D912" s="136"/>
      <c r="E912" s="136"/>
      <c r="F912" s="136"/>
      <c r="G912" s="139"/>
      <c r="H912" s="140"/>
      <c r="I912" s="141"/>
      <c r="J912" s="141"/>
      <c r="K912" s="142"/>
      <c r="L912" s="142"/>
      <c r="M912" s="142"/>
      <c r="N912" s="142"/>
      <c r="O912" s="136"/>
      <c r="P912" s="34"/>
      <c r="Q912" s="35"/>
      <c r="R912" s="35"/>
      <c r="S912" s="35"/>
      <c r="T912" s="35"/>
      <c r="U912" s="35"/>
      <c r="V912" s="35"/>
      <c r="W912" s="35"/>
      <c r="X912" s="35"/>
      <c r="Y912" s="35"/>
      <c r="Z912" s="35"/>
      <c r="AA912" s="35"/>
    </row>
    <row r="913" ht="14.25" customHeight="1">
      <c r="A913" s="136"/>
      <c r="B913" s="137"/>
      <c r="C913" s="138"/>
      <c r="D913" s="136"/>
      <c r="E913" s="136"/>
      <c r="F913" s="136"/>
      <c r="G913" s="139"/>
      <c r="H913" s="140"/>
      <c r="I913" s="141"/>
      <c r="J913" s="141"/>
      <c r="K913" s="142"/>
      <c r="L913" s="142"/>
      <c r="M913" s="142"/>
      <c r="N913" s="142"/>
      <c r="O913" s="136"/>
      <c r="P913" s="34"/>
      <c r="Q913" s="35"/>
      <c r="R913" s="35"/>
      <c r="S913" s="35"/>
      <c r="T913" s="35"/>
      <c r="U913" s="35"/>
      <c r="V913" s="35"/>
      <c r="W913" s="35"/>
      <c r="X913" s="35"/>
      <c r="Y913" s="35"/>
      <c r="Z913" s="35"/>
      <c r="AA913" s="35"/>
    </row>
    <row r="914" ht="14.25" customHeight="1">
      <c r="A914" s="136"/>
      <c r="B914" s="137"/>
      <c r="C914" s="138"/>
      <c r="D914" s="136"/>
      <c r="E914" s="136"/>
      <c r="F914" s="136"/>
      <c r="G914" s="139"/>
      <c r="H914" s="140"/>
      <c r="I914" s="141"/>
      <c r="J914" s="141"/>
      <c r="K914" s="142"/>
      <c r="L914" s="142"/>
      <c r="M914" s="142"/>
      <c r="N914" s="142"/>
      <c r="O914" s="136"/>
      <c r="P914" s="34"/>
      <c r="Q914" s="35"/>
      <c r="R914" s="35"/>
      <c r="S914" s="35"/>
      <c r="T914" s="35"/>
      <c r="U914" s="35"/>
      <c r="V914" s="35"/>
      <c r="W914" s="35"/>
      <c r="X914" s="35"/>
      <c r="Y914" s="35"/>
      <c r="Z914" s="35"/>
      <c r="AA914" s="35"/>
    </row>
    <row r="915" ht="14.25" customHeight="1">
      <c r="A915" s="136"/>
      <c r="B915" s="137"/>
      <c r="C915" s="138"/>
      <c r="D915" s="136"/>
      <c r="E915" s="136"/>
      <c r="F915" s="136"/>
      <c r="G915" s="139"/>
      <c r="H915" s="140"/>
      <c r="I915" s="141"/>
      <c r="J915" s="141"/>
      <c r="K915" s="142"/>
      <c r="L915" s="142"/>
      <c r="M915" s="142"/>
      <c r="N915" s="142"/>
      <c r="O915" s="136"/>
      <c r="P915" s="34"/>
      <c r="Q915" s="35"/>
      <c r="R915" s="35"/>
      <c r="S915" s="35"/>
      <c r="T915" s="35"/>
      <c r="U915" s="35"/>
      <c r="V915" s="35"/>
      <c r="W915" s="35"/>
      <c r="X915" s="35"/>
      <c r="Y915" s="35"/>
      <c r="Z915" s="35"/>
      <c r="AA915" s="35"/>
    </row>
    <row r="916" ht="14.25" customHeight="1">
      <c r="A916" s="136"/>
      <c r="B916" s="137"/>
      <c r="C916" s="138"/>
      <c r="D916" s="136"/>
      <c r="E916" s="136"/>
      <c r="F916" s="136"/>
      <c r="G916" s="139"/>
      <c r="H916" s="140"/>
      <c r="I916" s="141"/>
      <c r="J916" s="141"/>
      <c r="K916" s="142"/>
      <c r="L916" s="142"/>
      <c r="M916" s="142"/>
      <c r="N916" s="142"/>
      <c r="O916" s="136"/>
      <c r="P916" s="34"/>
      <c r="Q916" s="35"/>
      <c r="R916" s="35"/>
      <c r="S916" s="35"/>
      <c r="T916" s="35"/>
      <c r="U916" s="35"/>
      <c r="V916" s="35"/>
      <c r="W916" s="35"/>
      <c r="X916" s="35"/>
      <c r="Y916" s="35"/>
      <c r="Z916" s="35"/>
      <c r="AA916" s="35"/>
    </row>
    <row r="917" ht="14.25" customHeight="1">
      <c r="A917" s="136"/>
      <c r="B917" s="137"/>
      <c r="C917" s="138"/>
      <c r="D917" s="136"/>
      <c r="E917" s="136"/>
      <c r="F917" s="136"/>
      <c r="G917" s="139"/>
      <c r="H917" s="140"/>
      <c r="I917" s="141"/>
      <c r="J917" s="141"/>
      <c r="K917" s="142"/>
      <c r="L917" s="142"/>
      <c r="M917" s="142"/>
      <c r="N917" s="142"/>
      <c r="O917" s="136"/>
      <c r="P917" s="34"/>
      <c r="Q917" s="35"/>
      <c r="R917" s="35"/>
      <c r="S917" s="35"/>
      <c r="T917" s="35"/>
      <c r="U917" s="35"/>
      <c r="V917" s="35"/>
      <c r="W917" s="35"/>
      <c r="X917" s="35"/>
      <c r="Y917" s="35"/>
      <c r="Z917" s="35"/>
      <c r="AA917" s="35"/>
    </row>
    <row r="918" ht="14.25" customHeight="1">
      <c r="A918" s="136"/>
      <c r="B918" s="137"/>
      <c r="C918" s="138"/>
      <c r="D918" s="136"/>
      <c r="E918" s="136"/>
      <c r="F918" s="136"/>
      <c r="G918" s="139"/>
      <c r="H918" s="140"/>
      <c r="I918" s="141"/>
      <c r="J918" s="141"/>
      <c r="K918" s="142"/>
      <c r="L918" s="142"/>
      <c r="M918" s="142"/>
      <c r="N918" s="142"/>
      <c r="O918" s="136"/>
      <c r="P918" s="34"/>
      <c r="Q918" s="35"/>
      <c r="R918" s="35"/>
      <c r="S918" s="35"/>
      <c r="T918" s="35"/>
      <c r="U918" s="35"/>
      <c r="V918" s="35"/>
      <c r="W918" s="35"/>
      <c r="X918" s="35"/>
      <c r="Y918" s="35"/>
      <c r="Z918" s="35"/>
      <c r="AA918" s="35"/>
    </row>
    <row r="919" ht="14.25" customHeight="1">
      <c r="A919" s="136"/>
      <c r="B919" s="137"/>
      <c r="C919" s="138"/>
      <c r="D919" s="136"/>
      <c r="E919" s="136"/>
      <c r="F919" s="136"/>
      <c r="G919" s="139"/>
      <c r="H919" s="140"/>
      <c r="I919" s="141"/>
      <c r="J919" s="141"/>
      <c r="K919" s="142"/>
      <c r="L919" s="142"/>
      <c r="M919" s="142"/>
      <c r="N919" s="142"/>
      <c r="O919" s="136"/>
      <c r="P919" s="34"/>
      <c r="Q919" s="35"/>
      <c r="R919" s="35"/>
      <c r="S919" s="35"/>
      <c r="T919" s="35"/>
      <c r="U919" s="35"/>
      <c r="V919" s="35"/>
      <c r="W919" s="35"/>
      <c r="X919" s="35"/>
      <c r="Y919" s="35"/>
      <c r="Z919" s="35"/>
      <c r="AA919" s="35"/>
    </row>
    <row r="920" ht="14.25" customHeight="1">
      <c r="A920" s="136"/>
      <c r="B920" s="137"/>
      <c r="C920" s="138"/>
      <c r="D920" s="136"/>
      <c r="E920" s="136"/>
      <c r="F920" s="136"/>
      <c r="G920" s="139"/>
      <c r="H920" s="140"/>
      <c r="I920" s="141"/>
      <c r="J920" s="141"/>
      <c r="K920" s="142"/>
      <c r="L920" s="142"/>
      <c r="M920" s="142"/>
      <c r="N920" s="142"/>
      <c r="O920" s="136"/>
      <c r="P920" s="34"/>
      <c r="Q920" s="35"/>
      <c r="R920" s="35"/>
      <c r="S920" s="35"/>
      <c r="T920" s="35"/>
      <c r="U920" s="35"/>
      <c r="V920" s="35"/>
      <c r="W920" s="35"/>
      <c r="X920" s="35"/>
      <c r="Y920" s="35"/>
      <c r="Z920" s="35"/>
      <c r="AA920" s="35"/>
    </row>
    <row r="921" ht="14.25" customHeight="1">
      <c r="A921" s="136"/>
      <c r="B921" s="137"/>
      <c r="C921" s="138"/>
      <c r="D921" s="136"/>
      <c r="E921" s="136"/>
      <c r="F921" s="136"/>
      <c r="G921" s="139"/>
      <c r="H921" s="140"/>
      <c r="I921" s="141"/>
      <c r="J921" s="141"/>
      <c r="K921" s="142"/>
      <c r="L921" s="142"/>
      <c r="M921" s="142"/>
      <c r="N921" s="142"/>
      <c r="O921" s="136"/>
      <c r="P921" s="34"/>
      <c r="Q921" s="35"/>
      <c r="R921" s="35"/>
      <c r="S921" s="35"/>
      <c r="T921" s="35"/>
      <c r="U921" s="35"/>
      <c r="V921" s="35"/>
      <c r="W921" s="35"/>
      <c r="X921" s="35"/>
      <c r="Y921" s="35"/>
      <c r="Z921" s="35"/>
      <c r="AA921" s="35"/>
    </row>
    <row r="922" ht="14.25" customHeight="1">
      <c r="A922" s="136"/>
      <c r="B922" s="137"/>
      <c r="C922" s="138"/>
      <c r="D922" s="136"/>
      <c r="E922" s="136"/>
      <c r="F922" s="136"/>
      <c r="G922" s="139"/>
      <c r="H922" s="140"/>
      <c r="I922" s="141"/>
      <c r="J922" s="141"/>
      <c r="K922" s="142"/>
      <c r="L922" s="142"/>
      <c r="M922" s="142"/>
      <c r="N922" s="142"/>
      <c r="O922" s="136"/>
      <c r="P922" s="34"/>
      <c r="Q922" s="35"/>
      <c r="R922" s="35"/>
      <c r="S922" s="35"/>
      <c r="T922" s="35"/>
      <c r="U922" s="35"/>
      <c r="V922" s="35"/>
      <c r="W922" s="35"/>
      <c r="X922" s="35"/>
      <c r="Y922" s="35"/>
      <c r="Z922" s="35"/>
      <c r="AA922" s="35"/>
    </row>
    <row r="923" ht="14.25" customHeight="1">
      <c r="A923" s="136"/>
      <c r="B923" s="137"/>
      <c r="C923" s="138"/>
      <c r="D923" s="136"/>
      <c r="E923" s="136"/>
      <c r="F923" s="136"/>
      <c r="G923" s="139"/>
      <c r="H923" s="140"/>
      <c r="I923" s="141"/>
      <c r="J923" s="141"/>
      <c r="K923" s="142"/>
      <c r="L923" s="142"/>
      <c r="M923" s="142"/>
      <c r="N923" s="142"/>
      <c r="O923" s="136"/>
      <c r="P923" s="34"/>
      <c r="Q923" s="35"/>
      <c r="R923" s="35"/>
      <c r="S923" s="35"/>
      <c r="T923" s="35"/>
      <c r="U923" s="35"/>
      <c r="V923" s="35"/>
      <c r="W923" s="35"/>
      <c r="X923" s="35"/>
      <c r="Y923" s="35"/>
      <c r="Z923" s="35"/>
      <c r="AA923" s="35"/>
    </row>
    <row r="924" ht="14.25" customHeight="1">
      <c r="A924" s="136"/>
      <c r="B924" s="137"/>
      <c r="C924" s="138"/>
      <c r="D924" s="136"/>
      <c r="E924" s="136"/>
      <c r="F924" s="136"/>
      <c r="G924" s="139"/>
      <c r="H924" s="140"/>
      <c r="I924" s="141"/>
      <c r="J924" s="141"/>
      <c r="K924" s="142"/>
      <c r="L924" s="142"/>
      <c r="M924" s="142"/>
      <c r="N924" s="142"/>
      <c r="O924" s="136"/>
      <c r="P924" s="34"/>
      <c r="Q924" s="35"/>
      <c r="R924" s="35"/>
      <c r="S924" s="35"/>
      <c r="T924" s="35"/>
      <c r="U924" s="35"/>
      <c r="V924" s="35"/>
      <c r="W924" s="35"/>
      <c r="X924" s="35"/>
      <c r="Y924" s="35"/>
      <c r="Z924" s="35"/>
      <c r="AA924" s="35"/>
    </row>
    <row r="925" ht="14.25" customHeight="1">
      <c r="A925" s="136"/>
      <c r="B925" s="137"/>
      <c r="C925" s="138"/>
      <c r="D925" s="136"/>
      <c r="E925" s="136"/>
      <c r="F925" s="136"/>
      <c r="G925" s="139"/>
      <c r="H925" s="140"/>
      <c r="I925" s="141"/>
      <c r="J925" s="141"/>
      <c r="K925" s="142"/>
      <c r="L925" s="142"/>
      <c r="M925" s="142"/>
      <c r="N925" s="142"/>
      <c r="O925" s="136"/>
      <c r="P925" s="34"/>
      <c r="Q925" s="35"/>
      <c r="R925" s="35"/>
      <c r="S925" s="35"/>
      <c r="T925" s="35"/>
      <c r="U925" s="35"/>
      <c r="V925" s="35"/>
      <c r="W925" s="35"/>
      <c r="X925" s="35"/>
      <c r="Y925" s="35"/>
      <c r="Z925" s="35"/>
      <c r="AA925" s="35"/>
    </row>
    <row r="926" ht="14.25" customHeight="1">
      <c r="A926" s="136"/>
      <c r="B926" s="137"/>
      <c r="C926" s="138"/>
      <c r="D926" s="136"/>
      <c r="E926" s="136"/>
      <c r="F926" s="136"/>
      <c r="G926" s="139"/>
      <c r="H926" s="140"/>
      <c r="I926" s="141"/>
      <c r="J926" s="141"/>
      <c r="K926" s="142"/>
      <c r="L926" s="142"/>
      <c r="M926" s="142"/>
      <c r="N926" s="142"/>
      <c r="O926" s="136"/>
      <c r="P926" s="34"/>
      <c r="Q926" s="35"/>
      <c r="R926" s="35"/>
      <c r="S926" s="35"/>
      <c r="T926" s="35"/>
      <c r="U926" s="35"/>
      <c r="V926" s="35"/>
      <c r="W926" s="35"/>
      <c r="X926" s="35"/>
      <c r="Y926" s="35"/>
      <c r="Z926" s="35"/>
      <c r="AA926" s="35"/>
    </row>
    <row r="927" ht="14.25" customHeight="1">
      <c r="A927" s="136"/>
      <c r="B927" s="137"/>
      <c r="C927" s="138"/>
      <c r="D927" s="136"/>
      <c r="E927" s="136"/>
      <c r="F927" s="136"/>
      <c r="G927" s="139"/>
      <c r="H927" s="140"/>
      <c r="I927" s="141"/>
      <c r="J927" s="141"/>
      <c r="K927" s="142"/>
      <c r="L927" s="142"/>
      <c r="M927" s="142"/>
      <c r="N927" s="142"/>
      <c r="O927" s="136"/>
      <c r="P927" s="34"/>
      <c r="Q927" s="35"/>
      <c r="R927" s="35"/>
      <c r="S927" s="35"/>
      <c r="T927" s="35"/>
      <c r="U927" s="35"/>
      <c r="V927" s="35"/>
      <c r="W927" s="35"/>
      <c r="X927" s="35"/>
      <c r="Y927" s="35"/>
      <c r="Z927" s="35"/>
      <c r="AA927" s="35"/>
    </row>
    <row r="928" ht="14.25" customHeight="1">
      <c r="A928" s="136"/>
      <c r="B928" s="137"/>
      <c r="C928" s="138"/>
      <c r="D928" s="136"/>
      <c r="E928" s="136"/>
      <c r="F928" s="136"/>
      <c r="G928" s="139"/>
      <c r="H928" s="140"/>
      <c r="I928" s="141"/>
      <c r="J928" s="141"/>
      <c r="K928" s="142"/>
      <c r="L928" s="142"/>
      <c r="M928" s="142"/>
      <c r="N928" s="142"/>
      <c r="O928" s="136"/>
      <c r="P928" s="34"/>
      <c r="Q928" s="35"/>
      <c r="R928" s="35"/>
      <c r="S928" s="35"/>
      <c r="T928" s="35"/>
      <c r="U928" s="35"/>
      <c r="V928" s="35"/>
      <c r="W928" s="35"/>
      <c r="X928" s="35"/>
      <c r="Y928" s="35"/>
      <c r="Z928" s="35"/>
      <c r="AA928" s="35"/>
    </row>
    <row r="929" ht="14.25" customHeight="1">
      <c r="A929" s="136"/>
      <c r="B929" s="137"/>
      <c r="C929" s="138"/>
      <c r="D929" s="136"/>
      <c r="E929" s="136"/>
      <c r="F929" s="136"/>
      <c r="G929" s="139"/>
      <c r="H929" s="140"/>
      <c r="I929" s="141"/>
      <c r="J929" s="141"/>
      <c r="K929" s="142"/>
      <c r="L929" s="142"/>
      <c r="M929" s="142"/>
      <c r="N929" s="142"/>
      <c r="O929" s="136"/>
      <c r="P929" s="34"/>
      <c r="Q929" s="35"/>
      <c r="R929" s="35"/>
      <c r="S929" s="35"/>
      <c r="T929" s="35"/>
      <c r="U929" s="35"/>
      <c r="V929" s="35"/>
      <c r="W929" s="35"/>
      <c r="X929" s="35"/>
      <c r="Y929" s="35"/>
      <c r="Z929" s="35"/>
      <c r="AA929" s="35"/>
    </row>
    <row r="930" ht="14.25" customHeight="1">
      <c r="A930" s="136"/>
      <c r="B930" s="137"/>
      <c r="C930" s="138"/>
      <c r="D930" s="136"/>
      <c r="E930" s="136"/>
      <c r="F930" s="136"/>
      <c r="G930" s="139"/>
      <c r="H930" s="140"/>
      <c r="I930" s="141"/>
      <c r="J930" s="141"/>
      <c r="K930" s="142"/>
      <c r="L930" s="142"/>
      <c r="M930" s="142"/>
      <c r="N930" s="142"/>
      <c r="O930" s="136"/>
      <c r="P930" s="34"/>
      <c r="Q930" s="35"/>
      <c r="R930" s="35"/>
      <c r="S930" s="35"/>
      <c r="T930" s="35"/>
      <c r="U930" s="35"/>
      <c r="V930" s="35"/>
      <c r="W930" s="35"/>
      <c r="X930" s="35"/>
      <c r="Y930" s="35"/>
      <c r="Z930" s="35"/>
      <c r="AA930" s="35"/>
    </row>
    <row r="931" ht="14.25" customHeight="1">
      <c r="A931" s="136"/>
      <c r="B931" s="137"/>
      <c r="C931" s="138"/>
      <c r="D931" s="136"/>
      <c r="E931" s="136"/>
      <c r="F931" s="136"/>
      <c r="G931" s="139"/>
      <c r="H931" s="140"/>
      <c r="I931" s="141"/>
      <c r="J931" s="141"/>
      <c r="K931" s="142"/>
      <c r="L931" s="142"/>
      <c r="M931" s="142"/>
      <c r="N931" s="142"/>
      <c r="O931" s="136"/>
      <c r="P931" s="34"/>
      <c r="Q931" s="35"/>
      <c r="R931" s="35"/>
      <c r="S931" s="35"/>
      <c r="T931" s="35"/>
      <c r="U931" s="35"/>
      <c r="V931" s="35"/>
      <c r="W931" s="35"/>
      <c r="X931" s="35"/>
      <c r="Y931" s="35"/>
      <c r="Z931" s="35"/>
      <c r="AA931" s="35"/>
    </row>
    <row r="932" ht="14.25" customHeight="1">
      <c r="A932" s="136"/>
      <c r="B932" s="137"/>
      <c r="C932" s="138"/>
      <c r="D932" s="136"/>
      <c r="E932" s="136"/>
      <c r="F932" s="136"/>
      <c r="G932" s="139"/>
      <c r="H932" s="140"/>
      <c r="I932" s="141"/>
      <c r="J932" s="141"/>
      <c r="K932" s="142"/>
      <c r="L932" s="142"/>
      <c r="M932" s="142"/>
      <c r="N932" s="142"/>
      <c r="O932" s="136"/>
      <c r="P932" s="34"/>
      <c r="Q932" s="35"/>
      <c r="R932" s="35"/>
      <c r="S932" s="35"/>
      <c r="T932" s="35"/>
      <c r="U932" s="35"/>
      <c r="V932" s="35"/>
      <c r="W932" s="35"/>
      <c r="X932" s="35"/>
      <c r="Y932" s="35"/>
      <c r="Z932" s="35"/>
      <c r="AA932" s="35"/>
    </row>
    <row r="933" ht="14.25" customHeight="1">
      <c r="A933" s="136"/>
      <c r="B933" s="137"/>
      <c r="C933" s="138"/>
      <c r="D933" s="136"/>
      <c r="E933" s="136"/>
      <c r="F933" s="136"/>
      <c r="G933" s="139"/>
      <c r="H933" s="140"/>
      <c r="I933" s="141"/>
      <c r="J933" s="141"/>
      <c r="K933" s="142"/>
      <c r="L933" s="142"/>
      <c r="M933" s="142"/>
      <c r="N933" s="142"/>
      <c r="O933" s="136"/>
      <c r="P933" s="34"/>
      <c r="Q933" s="35"/>
      <c r="R933" s="35"/>
      <c r="S933" s="35"/>
      <c r="T933" s="35"/>
      <c r="U933" s="35"/>
      <c r="V933" s="35"/>
      <c r="W933" s="35"/>
      <c r="X933" s="35"/>
      <c r="Y933" s="35"/>
      <c r="Z933" s="35"/>
      <c r="AA933" s="35"/>
    </row>
    <row r="934" ht="14.25" customHeight="1">
      <c r="A934" s="136"/>
      <c r="B934" s="137"/>
      <c r="C934" s="138"/>
      <c r="D934" s="136"/>
      <c r="E934" s="136"/>
      <c r="F934" s="136"/>
      <c r="G934" s="139"/>
      <c r="H934" s="140"/>
      <c r="I934" s="141"/>
      <c r="J934" s="141"/>
      <c r="K934" s="142"/>
      <c r="L934" s="142"/>
      <c r="M934" s="142"/>
      <c r="N934" s="142"/>
      <c r="O934" s="136"/>
      <c r="P934" s="34"/>
      <c r="Q934" s="35"/>
      <c r="R934" s="35"/>
      <c r="S934" s="35"/>
      <c r="T934" s="35"/>
      <c r="U934" s="35"/>
      <c r="V934" s="35"/>
      <c r="W934" s="35"/>
      <c r="X934" s="35"/>
      <c r="Y934" s="35"/>
      <c r="Z934" s="35"/>
      <c r="AA934" s="35"/>
    </row>
    <row r="935" ht="14.25" customHeight="1">
      <c r="A935" s="136"/>
      <c r="B935" s="137"/>
      <c r="C935" s="138"/>
      <c r="D935" s="136"/>
      <c r="E935" s="136"/>
      <c r="F935" s="136"/>
      <c r="G935" s="139"/>
      <c r="H935" s="140"/>
      <c r="I935" s="141"/>
      <c r="J935" s="141"/>
      <c r="K935" s="142"/>
      <c r="L935" s="142"/>
      <c r="M935" s="142"/>
      <c r="N935" s="142"/>
      <c r="O935" s="136"/>
      <c r="P935" s="34"/>
      <c r="Q935" s="35"/>
      <c r="R935" s="35"/>
      <c r="S935" s="35"/>
      <c r="T935" s="35"/>
      <c r="U935" s="35"/>
      <c r="V935" s="35"/>
      <c r="W935" s="35"/>
      <c r="X935" s="35"/>
      <c r="Y935" s="35"/>
      <c r="Z935" s="35"/>
      <c r="AA935" s="35"/>
    </row>
    <row r="936" ht="14.25" customHeight="1">
      <c r="A936" s="136"/>
      <c r="B936" s="137"/>
      <c r="C936" s="138"/>
      <c r="D936" s="136"/>
      <c r="E936" s="136"/>
      <c r="F936" s="136"/>
      <c r="G936" s="139"/>
      <c r="H936" s="140"/>
      <c r="I936" s="141"/>
      <c r="J936" s="141"/>
      <c r="K936" s="142"/>
      <c r="L936" s="142"/>
      <c r="M936" s="142"/>
      <c r="N936" s="142"/>
      <c r="O936" s="136"/>
      <c r="P936" s="34"/>
      <c r="Q936" s="35"/>
      <c r="R936" s="35"/>
      <c r="S936" s="35"/>
      <c r="T936" s="35"/>
      <c r="U936" s="35"/>
      <c r="V936" s="35"/>
      <c r="W936" s="35"/>
      <c r="X936" s="35"/>
      <c r="Y936" s="35"/>
      <c r="Z936" s="35"/>
      <c r="AA936" s="35"/>
    </row>
    <row r="937" ht="14.25" customHeight="1">
      <c r="A937" s="136"/>
      <c r="B937" s="137"/>
      <c r="C937" s="138"/>
      <c r="D937" s="136"/>
      <c r="E937" s="136"/>
      <c r="F937" s="136"/>
      <c r="G937" s="139"/>
      <c r="H937" s="140"/>
      <c r="I937" s="141"/>
      <c r="J937" s="141"/>
      <c r="K937" s="142"/>
      <c r="L937" s="142"/>
      <c r="M937" s="142"/>
      <c r="N937" s="142"/>
      <c r="O937" s="136"/>
      <c r="P937" s="34"/>
      <c r="Q937" s="35"/>
      <c r="R937" s="35"/>
      <c r="S937" s="35"/>
      <c r="T937" s="35"/>
      <c r="U937" s="35"/>
      <c r="V937" s="35"/>
      <c r="W937" s="35"/>
      <c r="X937" s="35"/>
      <c r="Y937" s="35"/>
      <c r="Z937" s="35"/>
      <c r="AA937" s="35"/>
    </row>
    <row r="938" ht="14.25" customHeight="1">
      <c r="A938" s="136"/>
      <c r="B938" s="137"/>
      <c r="C938" s="138"/>
      <c r="D938" s="136"/>
      <c r="E938" s="136"/>
      <c r="F938" s="136"/>
      <c r="G938" s="139"/>
      <c r="H938" s="140"/>
      <c r="I938" s="141"/>
      <c r="J938" s="141"/>
      <c r="K938" s="142"/>
      <c r="L938" s="142"/>
      <c r="M938" s="142"/>
      <c r="N938" s="142"/>
      <c r="O938" s="136"/>
      <c r="P938" s="34"/>
      <c r="Q938" s="35"/>
      <c r="R938" s="35"/>
      <c r="S938" s="35"/>
      <c r="T938" s="35"/>
      <c r="U938" s="35"/>
      <c r="V938" s="35"/>
      <c r="W938" s="35"/>
      <c r="X938" s="35"/>
      <c r="Y938" s="35"/>
      <c r="Z938" s="35"/>
      <c r="AA938" s="35"/>
    </row>
    <row r="939" ht="14.25" customHeight="1">
      <c r="A939" s="136"/>
      <c r="B939" s="137"/>
      <c r="C939" s="138"/>
      <c r="D939" s="136"/>
      <c r="E939" s="136"/>
      <c r="F939" s="136"/>
      <c r="G939" s="139"/>
      <c r="H939" s="140"/>
      <c r="I939" s="141"/>
      <c r="J939" s="141"/>
      <c r="K939" s="142"/>
      <c r="L939" s="142"/>
      <c r="M939" s="142"/>
      <c r="N939" s="142"/>
      <c r="O939" s="136"/>
      <c r="P939" s="34"/>
      <c r="Q939" s="35"/>
      <c r="R939" s="35"/>
      <c r="S939" s="35"/>
      <c r="T939" s="35"/>
      <c r="U939" s="35"/>
      <c r="V939" s="35"/>
      <c r="W939" s="35"/>
      <c r="X939" s="35"/>
      <c r="Y939" s="35"/>
      <c r="Z939" s="35"/>
      <c r="AA939" s="35"/>
    </row>
    <row r="940" ht="14.25" customHeight="1">
      <c r="A940" s="136"/>
      <c r="B940" s="137"/>
      <c r="C940" s="138"/>
      <c r="D940" s="136"/>
      <c r="E940" s="136"/>
      <c r="F940" s="136"/>
      <c r="G940" s="139"/>
      <c r="H940" s="140"/>
      <c r="I940" s="141"/>
      <c r="J940" s="141"/>
      <c r="K940" s="142"/>
      <c r="L940" s="142"/>
      <c r="M940" s="142"/>
      <c r="N940" s="142"/>
      <c r="O940" s="136"/>
      <c r="P940" s="34"/>
      <c r="Q940" s="35"/>
      <c r="R940" s="35"/>
      <c r="S940" s="35"/>
      <c r="T940" s="35"/>
      <c r="U940" s="35"/>
      <c r="V940" s="35"/>
      <c r="W940" s="35"/>
      <c r="X940" s="35"/>
      <c r="Y940" s="35"/>
      <c r="Z940" s="35"/>
      <c r="AA940" s="35"/>
    </row>
    <row r="941" ht="14.25" customHeight="1">
      <c r="A941" s="136"/>
      <c r="B941" s="137"/>
      <c r="C941" s="138"/>
      <c r="D941" s="136"/>
      <c r="E941" s="136"/>
      <c r="F941" s="136"/>
      <c r="G941" s="139"/>
      <c r="H941" s="140"/>
      <c r="I941" s="141"/>
      <c r="J941" s="141"/>
      <c r="K941" s="142"/>
      <c r="L941" s="142"/>
      <c r="M941" s="142"/>
      <c r="N941" s="142"/>
      <c r="O941" s="136"/>
      <c r="P941" s="34"/>
      <c r="Q941" s="35"/>
      <c r="R941" s="35"/>
      <c r="S941" s="35"/>
      <c r="T941" s="35"/>
      <c r="U941" s="35"/>
      <c r="V941" s="35"/>
      <c r="W941" s="35"/>
      <c r="X941" s="35"/>
      <c r="Y941" s="35"/>
      <c r="Z941" s="35"/>
      <c r="AA941" s="35"/>
    </row>
    <row r="942" ht="14.25" customHeight="1">
      <c r="A942" s="136"/>
      <c r="B942" s="137"/>
      <c r="C942" s="138"/>
      <c r="D942" s="136"/>
      <c r="E942" s="136"/>
      <c r="F942" s="136"/>
      <c r="G942" s="139"/>
      <c r="H942" s="140"/>
      <c r="I942" s="141"/>
      <c r="J942" s="141"/>
      <c r="K942" s="142"/>
      <c r="L942" s="142"/>
      <c r="M942" s="142"/>
      <c r="N942" s="142"/>
      <c r="O942" s="136"/>
      <c r="P942" s="34"/>
      <c r="Q942" s="35"/>
      <c r="R942" s="35"/>
      <c r="S942" s="35"/>
      <c r="T942" s="35"/>
      <c r="U942" s="35"/>
      <c r="V942" s="35"/>
      <c r="W942" s="35"/>
      <c r="X942" s="35"/>
      <c r="Y942" s="35"/>
      <c r="Z942" s="35"/>
      <c r="AA942" s="35"/>
    </row>
    <row r="943" ht="14.25" customHeight="1">
      <c r="A943" s="136"/>
      <c r="B943" s="137"/>
      <c r="C943" s="138"/>
      <c r="D943" s="136"/>
      <c r="E943" s="136"/>
      <c r="F943" s="136"/>
      <c r="G943" s="139"/>
      <c r="H943" s="140"/>
      <c r="I943" s="141"/>
      <c r="J943" s="141"/>
      <c r="K943" s="142"/>
      <c r="L943" s="142"/>
      <c r="M943" s="142"/>
      <c r="N943" s="142"/>
      <c r="O943" s="136"/>
      <c r="P943" s="34"/>
      <c r="Q943" s="35"/>
      <c r="R943" s="35"/>
      <c r="S943" s="35"/>
      <c r="T943" s="35"/>
      <c r="U943" s="35"/>
      <c r="V943" s="35"/>
      <c r="W943" s="35"/>
      <c r="X943" s="35"/>
      <c r="Y943" s="35"/>
      <c r="Z943" s="35"/>
      <c r="AA943" s="35"/>
    </row>
    <row r="944" ht="14.25" customHeight="1">
      <c r="A944" s="136"/>
      <c r="B944" s="137"/>
      <c r="C944" s="138"/>
      <c r="D944" s="136"/>
      <c r="E944" s="136"/>
      <c r="F944" s="136"/>
      <c r="G944" s="139"/>
      <c r="H944" s="140"/>
      <c r="I944" s="141"/>
      <c r="J944" s="141"/>
      <c r="K944" s="142"/>
      <c r="L944" s="142"/>
      <c r="M944" s="142"/>
      <c r="N944" s="142"/>
      <c r="O944" s="136"/>
      <c r="P944" s="34"/>
      <c r="Q944" s="35"/>
      <c r="R944" s="35"/>
      <c r="S944" s="35"/>
      <c r="T944" s="35"/>
      <c r="U944" s="35"/>
      <c r="V944" s="35"/>
      <c r="W944" s="35"/>
      <c r="X944" s="35"/>
      <c r="Y944" s="35"/>
      <c r="Z944" s="35"/>
      <c r="AA944" s="35"/>
    </row>
    <row r="945" ht="14.25" customHeight="1">
      <c r="A945" s="136"/>
      <c r="B945" s="137"/>
      <c r="C945" s="138"/>
      <c r="D945" s="136"/>
      <c r="E945" s="136"/>
      <c r="F945" s="136"/>
      <c r="G945" s="139"/>
      <c r="H945" s="140"/>
      <c r="I945" s="141"/>
      <c r="J945" s="141"/>
      <c r="K945" s="142"/>
      <c r="L945" s="142"/>
      <c r="M945" s="142"/>
      <c r="N945" s="142"/>
      <c r="O945" s="136"/>
      <c r="P945" s="34"/>
      <c r="Q945" s="35"/>
      <c r="R945" s="35"/>
      <c r="S945" s="35"/>
      <c r="T945" s="35"/>
      <c r="U945" s="35"/>
      <c r="V945" s="35"/>
      <c r="W945" s="35"/>
      <c r="X945" s="35"/>
      <c r="Y945" s="35"/>
      <c r="Z945" s="35"/>
      <c r="AA945" s="35"/>
    </row>
    <row r="946" ht="14.25" customHeight="1">
      <c r="A946" s="136"/>
      <c r="B946" s="137"/>
      <c r="C946" s="138"/>
      <c r="D946" s="136"/>
      <c r="E946" s="136"/>
      <c r="F946" s="136"/>
      <c r="G946" s="139"/>
      <c r="H946" s="140"/>
      <c r="I946" s="141"/>
      <c r="J946" s="141"/>
      <c r="K946" s="142"/>
      <c r="L946" s="142"/>
      <c r="M946" s="142"/>
      <c r="N946" s="142"/>
      <c r="O946" s="136"/>
      <c r="P946" s="34"/>
      <c r="Q946" s="35"/>
      <c r="R946" s="35"/>
      <c r="S946" s="35"/>
      <c r="T946" s="35"/>
      <c r="U946" s="35"/>
      <c r="V946" s="35"/>
      <c r="W946" s="35"/>
      <c r="X946" s="35"/>
      <c r="Y946" s="35"/>
      <c r="Z946" s="35"/>
      <c r="AA946" s="35"/>
    </row>
    <row r="947" ht="14.25" customHeight="1">
      <c r="A947" s="136"/>
      <c r="B947" s="137"/>
      <c r="C947" s="138"/>
      <c r="D947" s="136"/>
      <c r="E947" s="136"/>
      <c r="F947" s="136"/>
      <c r="G947" s="139"/>
      <c r="H947" s="140"/>
      <c r="I947" s="141"/>
      <c r="J947" s="141"/>
      <c r="K947" s="142"/>
      <c r="L947" s="142"/>
      <c r="M947" s="142"/>
      <c r="N947" s="142"/>
      <c r="O947" s="136"/>
      <c r="P947" s="34"/>
      <c r="Q947" s="35"/>
      <c r="R947" s="35"/>
      <c r="S947" s="35"/>
      <c r="T947" s="35"/>
      <c r="U947" s="35"/>
      <c r="V947" s="35"/>
      <c r="W947" s="35"/>
      <c r="X947" s="35"/>
      <c r="Y947" s="35"/>
      <c r="Z947" s="35"/>
      <c r="AA947" s="35"/>
    </row>
    <row r="948" ht="14.25" customHeight="1">
      <c r="A948" s="136"/>
      <c r="B948" s="137"/>
      <c r="C948" s="138"/>
      <c r="D948" s="136"/>
      <c r="E948" s="136"/>
      <c r="F948" s="136"/>
      <c r="G948" s="139"/>
      <c r="H948" s="140"/>
      <c r="I948" s="141"/>
      <c r="J948" s="141"/>
      <c r="K948" s="142"/>
      <c r="L948" s="142"/>
      <c r="M948" s="142"/>
      <c r="N948" s="142"/>
      <c r="O948" s="136"/>
      <c r="P948" s="34"/>
      <c r="Q948" s="35"/>
      <c r="R948" s="35"/>
      <c r="S948" s="35"/>
      <c r="T948" s="35"/>
      <c r="U948" s="35"/>
      <c r="V948" s="35"/>
      <c r="W948" s="35"/>
      <c r="X948" s="35"/>
      <c r="Y948" s="35"/>
      <c r="Z948" s="35"/>
      <c r="AA948" s="35"/>
    </row>
    <row r="949" ht="14.25" customHeight="1">
      <c r="A949" s="136"/>
      <c r="B949" s="137"/>
      <c r="C949" s="138"/>
      <c r="D949" s="136"/>
      <c r="E949" s="136"/>
      <c r="F949" s="136"/>
      <c r="G949" s="139"/>
      <c r="H949" s="140"/>
      <c r="I949" s="141"/>
      <c r="J949" s="141"/>
      <c r="K949" s="142"/>
      <c r="L949" s="142"/>
      <c r="M949" s="142"/>
      <c r="N949" s="142"/>
      <c r="O949" s="136"/>
      <c r="P949" s="34"/>
      <c r="Q949" s="35"/>
      <c r="R949" s="35"/>
      <c r="S949" s="35"/>
      <c r="T949" s="35"/>
      <c r="U949" s="35"/>
      <c r="V949" s="35"/>
      <c r="W949" s="35"/>
      <c r="X949" s="35"/>
      <c r="Y949" s="35"/>
      <c r="Z949" s="35"/>
      <c r="AA949" s="35"/>
    </row>
    <row r="950" ht="14.25" customHeight="1">
      <c r="A950" s="136"/>
      <c r="B950" s="137"/>
      <c r="C950" s="138"/>
      <c r="D950" s="136"/>
      <c r="E950" s="136"/>
      <c r="F950" s="136"/>
      <c r="G950" s="139"/>
      <c r="H950" s="140"/>
      <c r="I950" s="141"/>
      <c r="J950" s="141"/>
      <c r="K950" s="142"/>
      <c r="L950" s="142"/>
      <c r="M950" s="142"/>
      <c r="N950" s="142"/>
      <c r="O950" s="136"/>
      <c r="P950" s="34"/>
      <c r="Q950" s="35"/>
      <c r="R950" s="35"/>
      <c r="S950" s="35"/>
      <c r="T950" s="35"/>
      <c r="U950" s="35"/>
      <c r="V950" s="35"/>
      <c r="W950" s="35"/>
      <c r="X950" s="35"/>
      <c r="Y950" s="35"/>
      <c r="Z950" s="35"/>
      <c r="AA950" s="35"/>
    </row>
    <row r="951" ht="14.25" customHeight="1">
      <c r="A951" s="136"/>
      <c r="B951" s="137"/>
      <c r="C951" s="138"/>
      <c r="D951" s="136"/>
      <c r="E951" s="136"/>
      <c r="F951" s="136"/>
      <c r="G951" s="139"/>
      <c r="H951" s="140"/>
      <c r="I951" s="141"/>
      <c r="J951" s="141"/>
      <c r="K951" s="142"/>
      <c r="L951" s="142"/>
      <c r="M951" s="142"/>
      <c r="N951" s="142"/>
      <c r="O951" s="136"/>
      <c r="P951" s="34"/>
      <c r="Q951" s="35"/>
      <c r="R951" s="35"/>
      <c r="S951" s="35"/>
      <c r="T951" s="35"/>
      <c r="U951" s="35"/>
      <c r="V951" s="35"/>
      <c r="W951" s="35"/>
      <c r="X951" s="35"/>
      <c r="Y951" s="35"/>
      <c r="Z951" s="35"/>
      <c r="AA951" s="35"/>
    </row>
    <row r="952" ht="14.25" customHeight="1">
      <c r="A952" s="136"/>
      <c r="B952" s="137"/>
      <c r="C952" s="138"/>
      <c r="D952" s="136"/>
      <c r="E952" s="136"/>
      <c r="F952" s="136"/>
      <c r="G952" s="139"/>
      <c r="H952" s="140"/>
      <c r="I952" s="141"/>
      <c r="J952" s="141"/>
      <c r="K952" s="142"/>
      <c r="L952" s="142"/>
      <c r="M952" s="142"/>
      <c r="N952" s="142"/>
      <c r="O952" s="136"/>
      <c r="P952" s="34"/>
      <c r="Q952" s="35"/>
      <c r="R952" s="35"/>
      <c r="S952" s="35"/>
      <c r="T952" s="35"/>
      <c r="U952" s="35"/>
      <c r="V952" s="35"/>
      <c r="W952" s="35"/>
      <c r="X952" s="35"/>
      <c r="Y952" s="35"/>
      <c r="Z952" s="35"/>
      <c r="AA952" s="35"/>
    </row>
    <row r="953" ht="14.25" customHeight="1">
      <c r="A953" s="136"/>
      <c r="B953" s="137"/>
      <c r="C953" s="138"/>
      <c r="D953" s="136"/>
      <c r="E953" s="136"/>
      <c r="F953" s="136"/>
      <c r="G953" s="139"/>
      <c r="H953" s="140"/>
      <c r="I953" s="141"/>
      <c r="J953" s="141"/>
      <c r="K953" s="142"/>
      <c r="L953" s="142"/>
      <c r="M953" s="142"/>
      <c r="N953" s="142"/>
      <c r="O953" s="136"/>
      <c r="P953" s="34"/>
      <c r="Q953" s="35"/>
      <c r="R953" s="35"/>
      <c r="S953" s="35"/>
      <c r="T953" s="35"/>
      <c r="U953" s="35"/>
      <c r="V953" s="35"/>
      <c r="W953" s="35"/>
      <c r="X953" s="35"/>
      <c r="Y953" s="35"/>
      <c r="Z953" s="35"/>
      <c r="AA953" s="35"/>
    </row>
    <row r="954" ht="14.25" customHeight="1">
      <c r="A954" s="136"/>
      <c r="B954" s="137"/>
      <c r="C954" s="138"/>
      <c r="D954" s="136"/>
      <c r="E954" s="136"/>
      <c r="F954" s="136"/>
      <c r="G954" s="139"/>
      <c r="H954" s="140"/>
      <c r="I954" s="141"/>
      <c r="J954" s="141"/>
      <c r="K954" s="142"/>
      <c r="L954" s="142"/>
      <c r="M954" s="142"/>
      <c r="N954" s="142"/>
      <c r="O954" s="136"/>
      <c r="P954" s="34"/>
      <c r="Q954" s="35"/>
      <c r="R954" s="35"/>
      <c r="S954" s="35"/>
      <c r="T954" s="35"/>
      <c r="U954" s="35"/>
      <c r="V954" s="35"/>
      <c r="W954" s="35"/>
      <c r="X954" s="35"/>
      <c r="Y954" s="35"/>
      <c r="Z954" s="35"/>
      <c r="AA954" s="35"/>
    </row>
    <row r="955" ht="14.25" customHeight="1">
      <c r="A955" s="136"/>
      <c r="B955" s="137"/>
      <c r="C955" s="138"/>
      <c r="D955" s="136"/>
      <c r="E955" s="136"/>
      <c r="F955" s="136"/>
      <c r="G955" s="139"/>
      <c r="H955" s="140"/>
      <c r="I955" s="141"/>
      <c r="J955" s="141"/>
      <c r="K955" s="142"/>
      <c r="L955" s="142"/>
      <c r="M955" s="142"/>
      <c r="N955" s="142"/>
      <c r="O955" s="136"/>
      <c r="P955" s="34"/>
      <c r="Q955" s="35"/>
      <c r="R955" s="35"/>
      <c r="S955" s="35"/>
      <c r="T955" s="35"/>
      <c r="U955" s="35"/>
      <c r="V955" s="35"/>
      <c r="W955" s="35"/>
      <c r="X955" s="35"/>
      <c r="Y955" s="35"/>
      <c r="Z955" s="35"/>
      <c r="AA955" s="35"/>
    </row>
    <row r="956" ht="14.25" customHeight="1">
      <c r="A956" s="136"/>
      <c r="B956" s="137"/>
      <c r="C956" s="138"/>
      <c r="D956" s="136"/>
      <c r="E956" s="136"/>
      <c r="F956" s="136"/>
      <c r="G956" s="139"/>
      <c r="H956" s="140"/>
      <c r="I956" s="141"/>
      <c r="J956" s="141"/>
      <c r="K956" s="142"/>
      <c r="L956" s="142"/>
      <c r="M956" s="142"/>
      <c r="N956" s="142"/>
      <c r="O956" s="136"/>
      <c r="P956" s="34"/>
      <c r="Q956" s="35"/>
      <c r="R956" s="35"/>
      <c r="S956" s="35"/>
      <c r="T956" s="35"/>
      <c r="U956" s="35"/>
      <c r="V956" s="35"/>
      <c r="W956" s="35"/>
      <c r="X956" s="35"/>
      <c r="Y956" s="35"/>
      <c r="Z956" s="35"/>
      <c r="AA956" s="35"/>
    </row>
    <row r="957" ht="14.25" customHeight="1">
      <c r="A957" s="136"/>
      <c r="B957" s="137"/>
      <c r="C957" s="138"/>
      <c r="D957" s="136"/>
      <c r="E957" s="136"/>
      <c r="F957" s="136"/>
      <c r="G957" s="139"/>
      <c r="H957" s="140"/>
      <c r="I957" s="141"/>
      <c r="J957" s="141"/>
      <c r="K957" s="142"/>
      <c r="L957" s="142"/>
      <c r="M957" s="142"/>
      <c r="N957" s="142"/>
      <c r="O957" s="136"/>
      <c r="P957" s="34"/>
      <c r="Q957" s="35"/>
      <c r="R957" s="35"/>
      <c r="S957" s="35"/>
      <c r="T957" s="35"/>
      <c r="U957" s="35"/>
      <c r="V957" s="35"/>
      <c r="W957" s="35"/>
      <c r="X957" s="35"/>
      <c r="Y957" s="35"/>
      <c r="Z957" s="35"/>
      <c r="AA957" s="35"/>
    </row>
    <row r="958" ht="14.25" customHeight="1">
      <c r="A958" s="136"/>
      <c r="B958" s="137"/>
      <c r="C958" s="138"/>
      <c r="D958" s="136"/>
      <c r="E958" s="136"/>
      <c r="F958" s="136"/>
      <c r="G958" s="139"/>
      <c r="H958" s="140"/>
      <c r="I958" s="141"/>
      <c r="J958" s="141"/>
      <c r="K958" s="142"/>
      <c r="L958" s="142"/>
      <c r="M958" s="142"/>
      <c r="N958" s="142"/>
      <c r="O958" s="136"/>
      <c r="P958" s="34"/>
      <c r="Q958" s="35"/>
      <c r="R958" s="35"/>
      <c r="S958" s="35"/>
      <c r="T958" s="35"/>
      <c r="U958" s="35"/>
      <c r="V958" s="35"/>
      <c r="W958" s="35"/>
      <c r="X958" s="35"/>
      <c r="Y958" s="35"/>
      <c r="Z958" s="35"/>
      <c r="AA958" s="35"/>
    </row>
    <row r="959" ht="14.25" customHeight="1">
      <c r="A959" s="136"/>
      <c r="B959" s="137"/>
      <c r="C959" s="138"/>
      <c r="D959" s="136"/>
      <c r="E959" s="136"/>
      <c r="F959" s="136"/>
      <c r="G959" s="139"/>
      <c r="H959" s="140"/>
      <c r="I959" s="141"/>
      <c r="J959" s="141"/>
      <c r="K959" s="142"/>
      <c r="L959" s="142"/>
      <c r="M959" s="142"/>
      <c r="N959" s="142"/>
      <c r="O959" s="136"/>
      <c r="P959" s="34"/>
      <c r="Q959" s="35"/>
      <c r="R959" s="35"/>
      <c r="S959" s="35"/>
      <c r="T959" s="35"/>
      <c r="U959" s="35"/>
      <c r="V959" s="35"/>
      <c r="W959" s="35"/>
      <c r="X959" s="35"/>
      <c r="Y959" s="35"/>
      <c r="Z959" s="35"/>
      <c r="AA959" s="35"/>
    </row>
    <row r="960" ht="14.25" customHeight="1">
      <c r="A960" s="136"/>
      <c r="B960" s="137"/>
      <c r="C960" s="138"/>
      <c r="D960" s="136"/>
      <c r="E960" s="136"/>
      <c r="F960" s="136"/>
      <c r="G960" s="139"/>
      <c r="H960" s="140"/>
      <c r="I960" s="141"/>
      <c r="J960" s="141"/>
      <c r="K960" s="142"/>
      <c r="L960" s="142"/>
      <c r="M960" s="142"/>
      <c r="N960" s="142"/>
      <c r="O960" s="136"/>
      <c r="P960" s="34"/>
      <c r="Q960" s="35"/>
      <c r="R960" s="35"/>
      <c r="S960" s="35"/>
      <c r="T960" s="35"/>
      <c r="U960" s="35"/>
      <c r="V960" s="35"/>
      <c r="W960" s="35"/>
      <c r="X960" s="35"/>
      <c r="Y960" s="35"/>
      <c r="Z960" s="35"/>
      <c r="AA960" s="35"/>
    </row>
    <row r="961" ht="14.25" customHeight="1">
      <c r="A961" s="136"/>
      <c r="B961" s="137"/>
      <c r="C961" s="138"/>
      <c r="D961" s="136"/>
      <c r="E961" s="136"/>
      <c r="F961" s="136"/>
      <c r="G961" s="139"/>
      <c r="H961" s="140"/>
      <c r="I961" s="141"/>
      <c r="J961" s="141"/>
      <c r="K961" s="142"/>
      <c r="L961" s="142"/>
      <c r="M961" s="142"/>
      <c r="N961" s="142"/>
      <c r="O961" s="136"/>
      <c r="P961" s="34"/>
      <c r="Q961" s="35"/>
      <c r="R961" s="35"/>
      <c r="S961" s="35"/>
      <c r="T961" s="35"/>
      <c r="U961" s="35"/>
      <c r="V961" s="35"/>
      <c r="W961" s="35"/>
      <c r="X961" s="35"/>
      <c r="Y961" s="35"/>
      <c r="Z961" s="35"/>
      <c r="AA961" s="35"/>
    </row>
    <row r="962" ht="14.25" customHeight="1">
      <c r="A962" s="136"/>
      <c r="B962" s="137"/>
      <c r="C962" s="138"/>
      <c r="D962" s="136"/>
      <c r="E962" s="136"/>
      <c r="F962" s="136"/>
      <c r="G962" s="139"/>
      <c r="H962" s="140"/>
      <c r="I962" s="141"/>
      <c r="J962" s="141"/>
      <c r="K962" s="142"/>
      <c r="L962" s="142"/>
      <c r="M962" s="142"/>
      <c r="N962" s="142"/>
      <c r="O962" s="136"/>
      <c r="P962" s="34"/>
      <c r="Q962" s="35"/>
      <c r="R962" s="35"/>
      <c r="S962" s="35"/>
      <c r="T962" s="35"/>
      <c r="U962" s="35"/>
      <c r="V962" s="35"/>
      <c r="W962" s="35"/>
      <c r="X962" s="35"/>
      <c r="Y962" s="35"/>
      <c r="Z962" s="35"/>
      <c r="AA962" s="35"/>
    </row>
    <row r="963" ht="14.25" customHeight="1">
      <c r="A963" s="136"/>
      <c r="B963" s="137"/>
      <c r="C963" s="138"/>
      <c r="D963" s="136"/>
      <c r="E963" s="136"/>
      <c r="F963" s="136"/>
      <c r="G963" s="139"/>
      <c r="H963" s="140"/>
      <c r="I963" s="141"/>
      <c r="J963" s="141"/>
      <c r="K963" s="142"/>
      <c r="L963" s="142"/>
      <c r="M963" s="142"/>
      <c r="N963" s="142"/>
      <c r="O963" s="136"/>
      <c r="P963" s="34"/>
      <c r="Q963" s="35"/>
      <c r="R963" s="35"/>
      <c r="S963" s="35"/>
      <c r="T963" s="35"/>
      <c r="U963" s="35"/>
      <c r="V963" s="35"/>
      <c r="W963" s="35"/>
      <c r="X963" s="35"/>
      <c r="Y963" s="35"/>
      <c r="Z963" s="35"/>
      <c r="AA963" s="35"/>
    </row>
    <row r="964" ht="14.25" customHeight="1">
      <c r="A964" s="136"/>
      <c r="B964" s="137"/>
      <c r="C964" s="138"/>
      <c r="D964" s="136"/>
      <c r="E964" s="136"/>
      <c r="F964" s="136"/>
      <c r="G964" s="139"/>
      <c r="H964" s="140"/>
      <c r="I964" s="141"/>
      <c r="J964" s="141"/>
      <c r="K964" s="142"/>
      <c r="L964" s="142"/>
      <c r="M964" s="142"/>
      <c r="N964" s="142"/>
      <c r="O964" s="136"/>
      <c r="P964" s="34"/>
      <c r="Q964" s="35"/>
      <c r="R964" s="35"/>
      <c r="S964" s="35"/>
      <c r="T964" s="35"/>
      <c r="U964" s="35"/>
      <c r="V964" s="35"/>
      <c r="W964" s="35"/>
      <c r="X964" s="35"/>
      <c r="Y964" s="35"/>
      <c r="Z964" s="35"/>
      <c r="AA964" s="35"/>
    </row>
    <row r="965" ht="14.25" customHeight="1">
      <c r="A965" s="136"/>
      <c r="B965" s="137"/>
      <c r="C965" s="138"/>
      <c r="D965" s="136"/>
      <c r="E965" s="136"/>
      <c r="F965" s="136"/>
      <c r="G965" s="139"/>
      <c r="H965" s="140"/>
      <c r="I965" s="141"/>
      <c r="J965" s="141"/>
      <c r="K965" s="142"/>
      <c r="L965" s="142"/>
      <c r="M965" s="142"/>
      <c r="N965" s="142"/>
      <c r="O965" s="136"/>
      <c r="P965" s="34"/>
      <c r="Q965" s="35"/>
      <c r="R965" s="35"/>
      <c r="S965" s="35"/>
      <c r="T965" s="35"/>
      <c r="U965" s="35"/>
      <c r="V965" s="35"/>
      <c r="W965" s="35"/>
      <c r="X965" s="35"/>
      <c r="Y965" s="35"/>
      <c r="Z965" s="35"/>
      <c r="AA965" s="35"/>
    </row>
    <row r="966" ht="14.25" customHeight="1">
      <c r="A966" s="136"/>
      <c r="B966" s="137"/>
      <c r="C966" s="138"/>
      <c r="D966" s="136"/>
      <c r="E966" s="136"/>
      <c r="F966" s="136"/>
      <c r="G966" s="139"/>
      <c r="H966" s="140"/>
      <c r="I966" s="141"/>
      <c r="J966" s="141"/>
      <c r="K966" s="142"/>
      <c r="L966" s="142"/>
      <c r="M966" s="142"/>
      <c r="N966" s="142"/>
      <c r="O966" s="136"/>
      <c r="P966" s="34"/>
      <c r="Q966" s="35"/>
      <c r="R966" s="35"/>
      <c r="S966" s="35"/>
      <c r="T966" s="35"/>
      <c r="U966" s="35"/>
      <c r="V966" s="35"/>
      <c r="W966" s="35"/>
      <c r="X966" s="35"/>
      <c r="Y966" s="35"/>
      <c r="Z966" s="35"/>
      <c r="AA966" s="35"/>
    </row>
    <row r="967" ht="14.25" customHeight="1">
      <c r="A967" s="136"/>
      <c r="B967" s="137"/>
      <c r="C967" s="138"/>
      <c r="D967" s="136"/>
      <c r="E967" s="136"/>
      <c r="F967" s="136"/>
      <c r="G967" s="139"/>
      <c r="H967" s="140"/>
      <c r="I967" s="141"/>
      <c r="J967" s="141"/>
      <c r="K967" s="142"/>
      <c r="L967" s="142"/>
      <c r="M967" s="142"/>
      <c r="N967" s="142"/>
      <c r="O967" s="136"/>
      <c r="P967" s="34"/>
      <c r="Q967" s="35"/>
      <c r="R967" s="35"/>
      <c r="S967" s="35"/>
      <c r="T967" s="35"/>
      <c r="U967" s="35"/>
      <c r="V967" s="35"/>
      <c r="W967" s="35"/>
      <c r="X967" s="35"/>
      <c r="Y967" s="35"/>
      <c r="Z967" s="35"/>
      <c r="AA967" s="35"/>
    </row>
    <row r="968" ht="14.25" customHeight="1">
      <c r="A968" s="136"/>
      <c r="B968" s="137"/>
      <c r="C968" s="138"/>
      <c r="D968" s="136"/>
      <c r="E968" s="136"/>
      <c r="F968" s="136"/>
      <c r="G968" s="139"/>
      <c r="H968" s="140"/>
      <c r="I968" s="141"/>
      <c r="J968" s="141"/>
      <c r="K968" s="142"/>
      <c r="L968" s="142"/>
      <c r="M968" s="142"/>
      <c r="N968" s="142"/>
      <c r="O968" s="136"/>
      <c r="P968" s="34"/>
      <c r="Q968" s="35"/>
      <c r="R968" s="35"/>
      <c r="S968" s="35"/>
      <c r="T968" s="35"/>
      <c r="U968" s="35"/>
      <c r="V968" s="35"/>
      <c r="W968" s="35"/>
      <c r="X968" s="35"/>
      <c r="Y968" s="35"/>
      <c r="Z968" s="35"/>
      <c r="AA968" s="35"/>
    </row>
    <row r="969" ht="14.25" customHeight="1">
      <c r="A969" s="136"/>
      <c r="B969" s="137"/>
      <c r="C969" s="138"/>
      <c r="D969" s="136"/>
      <c r="E969" s="136"/>
      <c r="F969" s="136"/>
      <c r="G969" s="139"/>
      <c r="H969" s="140"/>
      <c r="I969" s="141"/>
      <c r="J969" s="141"/>
      <c r="K969" s="142"/>
      <c r="L969" s="142"/>
      <c r="M969" s="142"/>
      <c r="N969" s="142"/>
      <c r="O969" s="136"/>
      <c r="P969" s="34"/>
      <c r="Q969" s="35"/>
      <c r="R969" s="35"/>
      <c r="S969" s="35"/>
      <c r="T969" s="35"/>
      <c r="U969" s="35"/>
      <c r="V969" s="35"/>
      <c r="W969" s="35"/>
      <c r="X969" s="35"/>
      <c r="Y969" s="35"/>
      <c r="Z969" s="35"/>
      <c r="AA969" s="35"/>
    </row>
    <row r="970" ht="14.25" customHeight="1">
      <c r="A970" s="136"/>
      <c r="B970" s="137"/>
      <c r="C970" s="138"/>
      <c r="D970" s="136"/>
      <c r="E970" s="136"/>
      <c r="F970" s="136"/>
      <c r="G970" s="139"/>
      <c r="H970" s="140"/>
      <c r="I970" s="141"/>
      <c r="J970" s="141"/>
      <c r="K970" s="142"/>
      <c r="L970" s="142"/>
      <c r="M970" s="142"/>
      <c r="N970" s="142"/>
      <c r="O970" s="136"/>
      <c r="P970" s="34"/>
      <c r="Q970" s="35"/>
      <c r="R970" s="35"/>
      <c r="S970" s="35"/>
      <c r="T970" s="35"/>
      <c r="U970" s="35"/>
      <c r="V970" s="35"/>
      <c r="W970" s="35"/>
      <c r="X970" s="35"/>
      <c r="Y970" s="35"/>
      <c r="Z970" s="35"/>
      <c r="AA970" s="35"/>
    </row>
    <row r="971" ht="14.25" customHeight="1">
      <c r="A971" s="136"/>
      <c r="B971" s="137"/>
      <c r="C971" s="138"/>
      <c r="D971" s="136"/>
      <c r="E971" s="136"/>
      <c r="F971" s="136"/>
      <c r="G971" s="139"/>
      <c r="H971" s="140"/>
      <c r="I971" s="141"/>
      <c r="J971" s="141"/>
      <c r="K971" s="142"/>
      <c r="L971" s="142"/>
      <c r="M971" s="142"/>
      <c r="N971" s="142"/>
      <c r="O971" s="136"/>
      <c r="P971" s="34"/>
      <c r="Q971" s="35"/>
      <c r="R971" s="35"/>
      <c r="S971" s="35"/>
      <c r="T971" s="35"/>
      <c r="U971" s="35"/>
      <c r="V971" s="35"/>
      <c r="W971" s="35"/>
      <c r="X971" s="35"/>
      <c r="Y971" s="35"/>
      <c r="Z971" s="35"/>
      <c r="AA971" s="35"/>
    </row>
    <row r="972" ht="14.25" customHeight="1">
      <c r="A972" s="136"/>
      <c r="B972" s="137"/>
      <c r="C972" s="138"/>
      <c r="D972" s="136"/>
      <c r="E972" s="136"/>
      <c r="F972" s="136"/>
      <c r="G972" s="139"/>
      <c r="H972" s="140"/>
      <c r="I972" s="141"/>
      <c r="J972" s="141"/>
      <c r="K972" s="142"/>
      <c r="L972" s="142"/>
      <c r="M972" s="142"/>
      <c r="N972" s="142"/>
      <c r="O972" s="136"/>
      <c r="P972" s="34"/>
      <c r="Q972" s="35"/>
      <c r="R972" s="35"/>
      <c r="S972" s="35"/>
      <c r="T972" s="35"/>
      <c r="U972" s="35"/>
      <c r="V972" s="35"/>
      <c r="W972" s="35"/>
      <c r="X972" s="35"/>
      <c r="Y972" s="35"/>
      <c r="Z972" s="35"/>
      <c r="AA972" s="35"/>
    </row>
    <row r="973" ht="14.25" customHeight="1">
      <c r="A973" s="136"/>
      <c r="B973" s="137"/>
      <c r="C973" s="138"/>
      <c r="D973" s="136"/>
      <c r="E973" s="136"/>
      <c r="F973" s="136"/>
      <c r="G973" s="139"/>
      <c r="H973" s="140"/>
      <c r="I973" s="141"/>
      <c r="J973" s="141"/>
      <c r="K973" s="142"/>
      <c r="L973" s="142"/>
      <c r="M973" s="142"/>
      <c r="N973" s="142"/>
      <c r="O973" s="136"/>
      <c r="P973" s="34"/>
      <c r="Q973" s="35"/>
      <c r="R973" s="35"/>
      <c r="S973" s="35"/>
      <c r="T973" s="35"/>
      <c r="U973" s="35"/>
      <c r="V973" s="35"/>
      <c r="W973" s="35"/>
      <c r="X973" s="35"/>
      <c r="Y973" s="35"/>
      <c r="Z973" s="35"/>
      <c r="AA973" s="35"/>
    </row>
    <row r="974" ht="14.25" customHeight="1">
      <c r="A974" s="136"/>
      <c r="B974" s="137"/>
      <c r="C974" s="138"/>
      <c r="D974" s="136"/>
      <c r="E974" s="136"/>
      <c r="F974" s="136"/>
      <c r="G974" s="139"/>
      <c r="H974" s="140"/>
      <c r="I974" s="141"/>
      <c r="J974" s="141"/>
      <c r="K974" s="142"/>
      <c r="L974" s="142"/>
      <c r="M974" s="142"/>
      <c r="N974" s="142"/>
      <c r="O974" s="136"/>
      <c r="P974" s="34"/>
      <c r="Q974" s="35"/>
      <c r="R974" s="35"/>
      <c r="S974" s="35"/>
      <c r="T974" s="35"/>
      <c r="U974" s="35"/>
      <c r="V974" s="35"/>
      <c r="W974" s="35"/>
      <c r="X974" s="35"/>
      <c r="Y974" s="35"/>
      <c r="Z974" s="35"/>
      <c r="AA974" s="35"/>
    </row>
    <row r="975" ht="14.25" customHeight="1">
      <c r="A975" s="136"/>
      <c r="B975" s="137"/>
      <c r="C975" s="138"/>
      <c r="D975" s="136"/>
      <c r="E975" s="136"/>
      <c r="F975" s="136"/>
      <c r="G975" s="139"/>
      <c r="H975" s="140"/>
      <c r="I975" s="141"/>
      <c r="J975" s="141"/>
      <c r="K975" s="142"/>
      <c r="L975" s="142"/>
      <c r="M975" s="142"/>
      <c r="N975" s="142"/>
      <c r="O975" s="136"/>
      <c r="P975" s="34"/>
      <c r="Q975" s="35"/>
      <c r="R975" s="35"/>
      <c r="S975" s="35"/>
      <c r="T975" s="35"/>
      <c r="U975" s="35"/>
      <c r="V975" s="35"/>
      <c r="W975" s="35"/>
      <c r="X975" s="35"/>
      <c r="Y975" s="35"/>
      <c r="Z975" s="35"/>
      <c r="AA975" s="35"/>
    </row>
    <row r="976" ht="14.25" customHeight="1">
      <c r="A976" s="136"/>
      <c r="B976" s="137"/>
      <c r="C976" s="138"/>
      <c r="D976" s="136"/>
      <c r="E976" s="136"/>
      <c r="F976" s="136"/>
      <c r="G976" s="139"/>
      <c r="H976" s="140"/>
      <c r="I976" s="141"/>
      <c r="J976" s="141"/>
      <c r="K976" s="142"/>
      <c r="L976" s="142"/>
      <c r="M976" s="142"/>
      <c r="N976" s="142"/>
      <c r="O976" s="136"/>
      <c r="P976" s="34"/>
      <c r="Q976" s="35"/>
      <c r="R976" s="35"/>
      <c r="S976" s="35"/>
      <c r="T976" s="35"/>
      <c r="U976" s="35"/>
      <c r="V976" s="35"/>
      <c r="W976" s="35"/>
      <c r="X976" s="35"/>
      <c r="Y976" s="35"/>
      <c r="Z976" s="35"/>
      <c r="AA976" s="35"/>
    </row>
    <row r="977" ht="14.25" customHeight="1">
      <c r="A977" s="136"/>
      <c r="B977" s="137"/>
      <c r="C977" s="138"/>
      <c r="D977" s="136"/>
      <c r="E977" s="136"/>
      <c r="F977" s="136"/>
      <c r="G977" s="139"/>
      <c r="H977" s="140"/>
      <c r="I977" s="141"/>
      <c r="J977" s="141"/>
      <c r="K977" s="142"/>
      <c r="L977" s="142"/>
      <c r="M977" s="142"/>
      <c r="N977" s="142"/>
      <c r="O977" s="136"/>
      <c r="P977" s="34"/>
      <c r="Q977" s="35"/>
      <c r="R977" s="35"/>
      <c r="S977" s="35"/>
      <c r="T977" s="35"/>
      <c r="U977" s="35"/>
      <c r="V977" s="35"/>
      <c r="W977" s="35"/>
      <c r="X977" s="35"/>
      <c r="Y977" s="35"/>
      <c r="Z977" s="35"/>
      <c r="AA977" s="35"/>
    </row>
    <row r="978" ht="14.25" customHeight="1">
      <c r="A978" s="136"/>
      <c r="B978" s="137"/>
      <c r="C978" s="138"/>
      <c r="D978" s="136"/>
      <c r="E978" s="136"/>
      <c r="F978" s="136"/>
      <c r="G978" s="139"/>
      <c r="H978" s="140"/>
      <c r="I978" s="141"/>
      <c r="J978" s="141"/>
      <c r="K978" s="142"/>
      <c r="L978" s="142"/>
      <c r="M978" s="142"/>
      <c r="N978" s="142"/>
      <c r="O978" s="136"/>
      <c r="P978" s="34"/>
      <c r="Q978" s="35"/>
      <c r="R978" s="35"/>
      <c r="S978" s="35"/>
      <c r="T978" s="35"/>
      <c r="U978" s="35"/>
      <c r="V978" s="35"/>
      <c r="W978" s="35"/>
      <c r="X978" s="35"/>
      <c r="Y978" s="35"/>
      <c r="Z978" s="35"/>
      <c r="AA978" s="35"/>
    </row>
    <row r="979" ht="14.25" customHeight="1">
      <c r="A979" s="136"/>
      <c r="B979" s="137"/>
      <c r="C979" s="138"/>
      <c r="D979" s="136"/>
      <c r="E979" s="136"/>
      <c r="F979" s="136"/>
      <c r="G979" s="139"/>
      <c r="H979" s="140"/>
      <c r="I979" s="141"/>
      <c r="J979" s="141"/>
      <c r="K979" s="142"/>
      <c r="L979" s="142"/>
      <c r="M979" s="142"/>
      <c r="N979" s="142"/>
      <c r="O979" s="136"/>
      <c r="P979" s="34"/>
      <c r="Q979" s="35"/>
      <c r="R979" s="35"/>
      <c r="S979" s="35"/>
      <c r="T979" s="35"/>
      <c r="U979" s="35"/>
      <c r="V979" s="35"/>
      <c r="W979" s="35"/>
      <c r="X979" s="35"/>
      <c r="Y979" s="35"/>
      <c r="Z979" s="35"/>
      <c r="AA979" s="35"/>
    </row>
    <row r="980" ht="14.25" customHeight="1">
      <c r="A980" s="136"/>
      <c r="B980" s="137"/>
      <c r="C980" s="138"/>
      <c r="D980" s="136"/>
      <c r="E980" s="136"/>
      <c r="F980" s="136"/>
      <c r="G980" s="139"/>
      <c r="H980" s="140"/>
      <c r="I980" s="141"/>
      <c r="J980" s="141"/>
      <c r="K980" s="142"/>
      <c r="L980" s="142"/>
      <c r="M980" s="142"/>
      <c r="N980" s="142"/>
      <c r="O980" s="136"/>
      <c r="P980" s="34"/>
      <c r="Q980" s="35"/>
      <c r="R980" s="35"/>
      <c r="S980" s="35"/>
      <c r="T980" s="35"/>
      <c r="U980" s="35"/>
      <c r="V980" s="35"/>
      <c r="W980" s="35"/>
      <c r="X980" s="35"/>
      <c r="Y980" s="35"/>
      <c r="Z980" s="35"/>
      <c r="AA980" s="35"/>
    </row>
    <row r="981" ht="14.25" customHeight="1">
      <c r="A981" s="136"/>
      <c r="B981" s="137"/>
      <c r="C981" s="138"/>
      <c r="D981" s="136"/>
      <c r="E981" s="136"/>
      <c r="F981" s="136"/>
      <c r="G981" s="139"/>
      <c r="H981" s="140"/>
      <c r="I981" s="141"/>
      <c r="J981" s="141"/>
      <c r="K981" s="142"/>
      <c r="L981" s="142"/>
      <c r="M981" s="142"/>
      <c r="N981" s="142"/>
      <c r="O981" s="136"/>
      <c r="P981" s="34"/>
      <c r="Q981" s="35"/>
      <c r="R981" s="35"/>
      <c r="S981" s="35"/>
      <c r="T981" s="35"/>
      <c r="U981" s="35"/>
      <c r="V981" s="35"/>
      <c r="W981" s="35"/>
      <c r="X981" s="35"/>
      <c r="Y981" s="35"/>
      <c r="Z981" s="35"/>
      <c r="AA981" s="35"/>
    </row>
    <row r="982" ht="14.25" customHeight="1">
      <c r="A982" s="136"/>
      <c r="B982" s="137"/>
      <c r="C982" s="138"/>
      <c r="D982" s="136"/>
      <c r="E982" s="136"/>
      <c r="F982" s="136"/>
      <c r="G982" s="139"/>
      <c r="H982" s="140"/>
      <c r="I982" s="141"/>
      <c r="J982" s="141"/>
      <c r="K982" s="142"/>
      <c r="L982" s="142"/>
      <c r="M982" s="142"/>
      <c r="N982" s="142"/>
      <c r="O982" s="136"/>
      <c r="P982" s="34"/>
      <c r="Q982" s="35"/>
      <c r="R982" s="35"/>
      <c r="S982" s="35"/>
      <c r="T982" s="35"/>
      <c r="U982" s="35"/>
      <c r="V982" s="35"/>
      <c r="W982" s="35"/>
      <c r="X982" s="35"/>
      <c r="Y982" s="35"/>
      <c r="Z982" s="35"/>
      <c r="AA982" s="35"/>
    </row>
    <row r="983" ht="14.25" customHeight="1">
      <c r="A983" s="136"/>
      <c r="B983" s="137"/>
      <c r="C983" s="138"/>
      <c r="D983" s="136"/>
      <c r="E983" s="136"/>
      <c r="F983" s="136"/>
      <c r="G983" s="139"/>
      <c r="H983" s="140"/>
      <c r="I983" s="141"/>
      <c r="J983" s="141"/>
      <c r="K983" s="142"/>
      <c r="L983" s="142"/>
      <c r="M983" s="142"/>
      <c r="N983" s="142"/>
      <c r="O983" s="136"/>
      <c r="P983" s="34"/>
      <c r="Q983" s="35"/>
      <c r="R983" s="35"/>
      <c r="S983" s="35"/>
      <c r="T983" s="35"/>
      <c r="U983" s="35"/>
      <c r="V983" s="35"/>
      <c r="W983" s="35"/>
      <c r="X983" s="35"/>
      <c r="Y983" s="35"/>
      <c r="Z983" s="35"/>
      <c r="AA983" s="35"/>
    </row>
    <row r="984" ht="14.25" customHeight="1">
      <c r="A984" s="136"/>
      <c r="B984" s="137"/>
      <c r="C984" s="138"/>
      <c r="D984" s="136"/>
      <c r="E984" s="136"/>
      <c r="F984" s="136"/>
      <c r="G984" s="139"/>
      <c r="H984" s="140"/>
      <c r="I984" s="141"/>
      <c r="J984" s="141"/>
      <c r="K984" s="142"/>
      <c r="L984" s="142"/>
      <c r="M984" s="142"/>
      <c r="N984" s="142"/>
      <c r="O984" s="136"/>
      <c r="P984" s="34"/>
      <c r="Q984" s="35"/>
      <c r="R984" s="35"/>
      <c r="S984" s="35"/>
      <c r="T984" s="35"/>
      <c r="U984" s="35"/>
      <c r="V984" s="35"/>
      <c r="W984" s="35"/>
      <c r="X984" s="35"/>
      <c r="Y984" s="35"/>
      <c r="Z984" s="35"/>
      <c r="AA984" s="35"/>
    </row>
    <row r="985" ht="14.25" customHeight="1">
      <c r="A985" s="136"/>
      <c r="B985" s="137"/>
      <c r="C985" s="138"/>
      <c r="D985" s="136"/>
      <c r="E985" s="136"/>
      <c r="F985" s="136"/>
      <c r="G985" s="139"/>
      <c r="H985" s="140"/>
      <c r="I985" s="141"/>
      <c r="J985" s="141"/>
      <c r="K985" s="142"/>
      <c r="L985" s="142"/>
      <c r="M985" s="142"/>
      <c r="N985" s="142"/>
      <c r="O985" s="136"/>
      <c r="P985" s="34"/>
      <c r="Q985" s="35"/>
      <c r="R985" s="35"/>
      <c r="S985" s="35"/>
      <c r="T985" s="35"/>
      <c r="U985" s="35"/>
      <c r="V985" s="35"/>
      <c r="W985" s="35"/>
      <c r="X985" s="35"/>
      <c r="Y985" s="35"/>
      <c r="Z985" s="35"/>
      <c r="AA985" s="35"/>
    </row>
    <row r="986" ht="14.25" customHeight="1">
      <c r="A986" s="136"/>
      <c r="B986" s="137"/>
      <c r="C986" s="138"/>
      <c r="D986" s="136"/>
      <c r="E986" s="136"/>
      <c r="F986" s="136"/>
      <c r="G986" s="139"/>
      <c r="H986" s="140"/>
      <c r="I986" s="141"/>
      <c r="J986" s="141"/>
      <c r="K986" s="142"/>
      <c r="L986" s="142"/>
      <c r="M986" s="142"/>
      <c r="N986" s="142"/>
      <c r="O986" s="136"/>
      <c r="P986" s="34"/>
      <c r="Q986" s="35"/>
      <c r="R986" s="35"/>
      <c r="S986" s="35"/>
      <c r="T986" s="35"/>
      <c r="U986" s="35"/>
      <c r="V986" s="35"/>
      <c r="W986" s="35"/>
      <c r="X986" s="35"/>
      <c r="Y986" s="35"/>
      <c r="Z986" s="35"/>
      <c r="AA986" s="35"/>
    </row>
    <row r="987" ht="14.25" customHeight="1">
      <c r="A987" s="136"/>
      <c r="B987" s="137"/>
      <c r="C987" s="138"/>
      <c r="D987" s="136"/>
      <c r="E987" s="136"/>
      <c r="F987" s="136"/>
      <c r="G987" s="139"/>
      <c r="H987" s="140"/>
      <c r="I987" s="141"/>
      <c r="J987" s="141"/>
      <c r="K987" s="142"/>
      <c r="L987" s="142"/>
      <c r="M987" s="142"/>
      <c r="N987" s="142"/>
      <c r="O987" s="136"/>
      <c r="P987" s="34"/>
      <c r="Q987" s="35"/>
      <c r="R987" s="35"/>
      <c r="S987" s="35"/>
      <c r="T987" s="35"/>
      <c r="U987" s="35"/>
      <c r="V987" s="35"/>
      <c r="W987" s="35"/>
      <c r="X987" s="35"/>
      <c r="Y987" s="35"/>
      <c r="Z987" s="35"/>
      <c r="AA987" s="35"/>
    </row>
    <row r="988" ht="14.25" customHeight="1">
      <c r="A988" s="136"/>
      <c r="B988" s="137"/>
      <c r="C988" s="138"/>
      <c r="D988" s="136"/>
      <c r="E988" s="136"/>
      <c r="F988" s="136"/>
      <c r="G988" s="139"/>
      <c r="H988" s="140"/>
      <c r="I988" s="141"/>
      <c r="J988" s="141"/>
      <c r="K988" s="142"/>
      <c r="L988" s="142"/>
      <c r="M988" s="142"/>
      <c r="N988" s="142"/>
      <c r="O988" s="136"/>
      <c r="P988" s="34"/>
      <c r="Q988" s="35"/>
      <c r="R988" s="35"/>
      <c r="S988" s="35"/>
      <c r="T988" s="35"/>
      <c r="U988" s="35"/>
      <c r="V988" s="35"/>
      <c r="W988" s="35"/>
      <c r="X988" s="35"/>
      <c r="Y988" s="35"/>
      <c r="Z988" s="35"/>
      <c r="AA988" s="35"/>
    </row>
    <row r="989" ht="14.25" customHeight="1">
      <c r="A989" s="136"/>
      <c r="B989" s="137"/>
      <c r="C989" s="138"/>
      <c r="D989" s="136"/>
      <c r="E989" s="136"/>
      <c r="F989" s="136"/>
      <c r="G989" s="139"/>
      <c r="H989" s="140"/>
      <c r="I989" s="141"/>
      <c r="J989" s="141"/>
      <c r="K989" s="142"/>
      <c r="L989" s="142"/>
      <c r="M989" s="142"/>
      <c r="N989" s="142"/>
      <c r="O989" s="136"/>
      <c r="P989" s="34"/>
      <c r="Q989" s="35"/>
      <c r="R989" s="35"/>
      <c r="S989" s="35"/>
      <c r="T989" s="35"/>
      <c r="U989" s="35"/>
      <c r="V989" s="35"/>
      <c r="W989" s="35"/>
      <c r="X989" s="35"/>
      <c r="Y989" s="35"/>
      <c r="Z989" s="35"/>
      <c r="AA989" s="35"/>
    </row>
    <row r="990" ht="14.25" customHeight="1">
      <c r="A990" s="136"/>
      <c r="B990" s="137"/>
      <c r="C990" s="138"/>
      <c r="D990" s="136"/>
      <c r="E990" s="136"/>
      <c r="F990" s="136"/>
      <c r="G990" s="139"/>
      <c r="H990" s="140"/>
      <c r="I990" s="141"/>
      <c r="J990" s="141"/>
      <c r="K990" s="142"/>
      <c r="L990" s="142"/>
      <c r="M990" s="142"/>
      <c r="N990" s="142"/>
      <c r="O990" s="136"/>
      <c r="P990" s="34"/>
      <c r="Q990" s="35"/>
      <c r="R990" s="35"/>
      <c r="S990" s="35"/>
      <c r="T990" s="35"/>
      <c r="U990" s="35"/>
      <c r="V990" s="35"/>
      <c r="W990" s="35"/>
      <c r="X990" s="35"/>
      <c r="Y990" s="35"/>
      <c r="Z990" s="35"/>
      <c r="AA990" s="35"/>
    </row>
    <row r="991" ht="14.25" customHeight="1">
      <c r="A991" s="136"/>
      <c r="B991" s="137"/>
      <c r="C991" s="138"/>
      <c r="D991" s="136"/>
      <c r="E991" s="136"/>
      <c r="F991" s="136"/>
      <c r="G991" s="139"/>
      <c r="H991" s="140"/>
      <c r="I991" s="141"/>
      <c r="J991" s="141"/>
      <c r="K991" s="142"/>
      <c r="L991" s="142"/>
      <c r="M991" s="142"/>
      <c r="N991" s="142"/>
      <c r="O991" s="136"/>
      <c r="P991" s="34"/>
      <c r="Q991" s="35"/>
      <c r="R991" s="35"/>
      <c r="S991" s="35"/>
      <c r="T991" s="35"/>
      <c r="U991" s="35"/>
      <c r="V991" s="35"/>
      <c r="W991" s="35"/>
      <c r="X991" s="35"/>
      <c r="Y991" s="35"/>
      <c r="Z991" s="35"/>
      <c r="AA991" s="35"/>
    </row>
    <row r="992" ht="14.25" customHeight="1">
      <c r="A992" s="136"/>
      <c r="B992" s="137"/>
      <c r="C992" s="138"/>
      <c r="D992" s="136"/>
      <c r="E992" s="136"/>
      <c r="F992" s="136"/>
      <c r="G992" s="139"/>
      <c r="H992" s="140"/>
      <c r="I992" s="141"/>
      <c r="J992" s="141"/>
      <c r="K992" s="142"/>
      <c r="L992" s="142"/>
      <c r="M992" s="142"/>
      <c r="N992" s="142"/>
      <c r="O992" s="136"/>
      <c r="P992" s="34"/>
      <c r="Q992" s="35"/>
      <c r="R992" s="35"/>
      <c r="S992" s="35"/>
      <c r="T992" s="35"/>
      <c r="U992" s="35"/>
      <c r="V992" s="35"/>
      <c r="W992" s="35"/>
      <c r="X992" s="35"/>
      <c r="Y992" s="35"/>
      <c r="Z992" s="35"/>
      <c r="AA992" s="35"/>
    </row>
    <row r="993" ht="14.25" customHeight="1">
      <c r="A993" s="136"/>
      <c r="B993" s="137"/>
      <c r="C993" s="138"/>
      <c r="D993" s="136"/>
      <c r="E993" s="136"/>
      <c r="F993" s="136"/>
      <c r="G993" s="139"/>
      <c r="H993" s="140"/>
      <c r="I993" s="141"/>
      <c r="J993" s="141"/>
      <c r="K993" s="142"/>
      <c r="L993" s="142"/>
      <c r="M993" s="142"/>
      <c r="N993" s="142"/>
      <c r="O993" s="136"/>
      <c r="P993" s="34"/>
      <c r="Q993" s="35"/>
      <c r="R993" s="35"/>
      <c r="S993" s="35"/>
      <c r="T993" s="35"/>
      <c r="U993" s="35"/>
      <c r="V993" s="35"/>
      <c r="W993" s="35"/>
      <c r="X993" s="35"/>
      <c r="Y993" s="35"/>
      <c r="Z993" s="35"/>
      <c r="AA993" s="35"/>
    </row>
    <row r="994" ht="14.25" customHeight="1">
      <c r="A994" s="136"/>
      <c r="B994" s="137"/>
      <c r="C994" s="138"/>
      <c r="D994" s="136"/>
      <c r="E994" s="136"/>
      <c r="F994" s="136"/>
      <c r="G994" s="139"/>
      <c r="H994" s="140"/>
      <c r="I994" s="141"/>
      <c r="J994" s="141"/>
      <c r="K994" s="142"/>
      <c r="L994" s="142"/>
      <c r="M994" s="142"/>
      <c r="N994" s="142"/>
      <c r="O994" s="136"/>
      <c r="P994" s="34"/>
      <c r="Q994" s="35"/>
      <c r="R994" s="35"/>
      <c r="S994" s="35"/>
      <c r="T994" s="35"/>
      <c r="U994" s="35"/>
      <c r="V994" s="35"/>
      <c r="W994" s="35"/>
      <c r="X994" s="35"/>
      <c r="Y994" s="35"/>
      <c r="Z994" s="35"/>
      <c r="AA994" s="35"/>
    </row>
    <row r="995" ht="14.25" customHeight="1">
      <c r="A995" s="136"/>
      <c r="B995" s="137"/>
      <c r="C995" s="138"/>
      <c r="D995" s="136"/>
      <c r="E995" s="136"/>
      <c r="F995" s="136"/>
      <c r="G995" s="139"/>
      <c r="H995" s="140"/>
      <c r="I995" s="141"/>
      <c r="J995" s="141"/>
      <c r="K995" s="142"/>
      <c r="L995" s="142"/>
      <c r="M995" s="142"/>
      <c r="N995" s="142"/>
      <c r="O995" s="136"/>
      <c r="P995" s="34"/>
      <c r="Q995" s="35"/>
      <c r="R995" s="35"/>
      <c r="S995" s="35"/>
      <c r="T995" s="35"/>
      <c r="U995" s="35"/>
      <c r="V995" s="35"/>
      <c r="W995" s="35"/>
      <c r="X995" s="35"/>
      <c r="Y995" s="35"/>
      <c r="Z995" s="35"/>
      <c r="AA995" s="35"/>
    </row>
    <row r="996" ht="14.25" customHeight="1">
      <c r="A996" s="136"/>
      <c r="B996" s="137"/>
      <c r="C996" s="138"/>
      <c r="D996" s="136"/>
      <c r="E996" s="136"/>
      <c r="F996" s="136"/>
      <c r="G996" s="139"/>
      <c r="H996" s="140"/>
      <c r="I996" s="141"/>
      <c r="J996" s="141"/>
      <c r="K996" s="142"/>
      <c r="L996" s="142"/>
      <c r="M996" s="142"/>
      <c r="N996" s="142"/>
      <c r="O996" s="136"/>
      <c r="P996" s="34"/>
      <c r="Q996" s="35"/>
      <c r="R996" s="35"/>
      <c r="S996" s="35"/>
      <c r="T996" s="35"/>
      <c r="U996" s="35"/>
      <c r="V996" s="35"/>
      <c r="W996" s="35"/>
      <c r="X996" s="35"/>
      <c r="Y996" s="35"/>
      <c r="Z996" s="35"/>
      <c r="AA996" s="35"/>
    </row>
    <row r="997" ht="14.25" customHeight="1">
      <c r="A997" s="136"/>
      <c r="B997" s="137"/>
      <c r="C997" s="138"/>
      <c r="D997" s="136"/>
      <c r="E997" s="136"/>
      <c r="F997" s="136"/>
      <c r="G997" s="139"/>
      <c r="H997" s="140"/>
      <c r="I997" s="141"/>
      <c r="J997" s="141"/>
      <c r="K997" s="142"/>
      <c r="L997" s="142"/>
      <c r="M997" s="142"/>
      <c r="N997" s="142"/>
      <c r="O997" s="136"/>
      <c r="P997" s="34"/>
      <c r="Q997" s="35"/>
      <c r="R997" s="35"/>
      <c r="S997" s="35"/>
      <c r="T997" s="35"/>
      <c r="U997" s="35"/>
      <c r="V997" s="35"/>
      <c r="W997" s="35"/>
      <c r="X997" s="35"/>
      <c r="Y997" s="35"/>
      <c r="Z997" s="35"/>
      <c r="AA997" s="35"/>
    </row>
    <row r="998" ht="14.25" customHeight="1">
      <c r="A998" s="136"/>
      <c r="B998" s="137"/>
      <c r="C998" s="138"/>
      <c r="D998" s="136"/>
      <c r="E998" s="136"/>
      <c r="F998" s="136"/>
      <c r="G998" s="139"/>
      <c r="H998" s="140"/>
      <c r="I998" s="141"/>
      <c r="J998" s="141"/>
      <c r="K998" s="142"/>
      <c r="L998" s="142"/>
      <c r="M998" s="142"/>
      <c r="N998" s="142"/>
      <c r="O998" s="136"/>
      <c r="P998" s="34"/>
      <c r="Q998" s="35"/>
      <c r="R998" s="35"/>
      <c r="S998" s="35"/>
      <c r="T998" s="35"/>
      <c r="U998" s="35"/>
      <c r="V998" s="35"/>
      <c r="W998" s="35"/>
      <c r="X998" s="35"/>
      <c r="Y998" s="35"/>
      <c r="Z998" s="35"/>
      <c r="AA998" s="35"/>
    </row>
    <row r="999" ht="14.25" customHeight="1">
      <c r="A999" s="136"/>
      <c r="B999" s="137"/>
      <c r="C999" s="138"/>
      <c r="D999" s="136"/>
      <c r="E999" s="136"/>
      <c r="F999" s="136"/>
      <c r="G999" s="139"/>
      <c r="H999" s="140"/>
      <c r="I999" s="141"/>
      <c r="J999" s="141"/>
      <c r="K999" s="142"/>
      <c r="L999" s="142"/>
      <c r="M999" s="142"/>
      <c r="N999" s="142"/>
      <c r="O999" s="136"/>
      <c r="P999" s="34"/>
      <c r="Q999" s="35"/>
      <c r="R999" s="35"/>
      <c r="S999" s="35"/>
      <c r="T999" s="35"/>
      <c r="U999" s="35"/>
      <c r="V999" s="35"/>
      <c r="W999" s="35"/>
      <c r="X999" s="35"/>
      <c r="Y999" s="35"/>
      <c r="Z999" s="35"/>
      <c r="AA999" s="35"/>
    </row>
    <row r="1000" ht="14.25" customHeight="1">
      <c r="A1000" s="136"/>
      <c r="B1000" s="137"/>
      <c r="C1000" s="138"/>
      <c r="D1000" s="136"/>
      <c r="E1000" s="136"/>
      <c r="F1000" s="136"/>
      <c r="G1000" s="139"/>
      <c r="H1000" s="140"/>
      <c r="I1000" s="141"/>
      <c r="J1000" s="141"/>
      <c r="K1000" s="142"/>
      <c r="L1000" s="142"/>
      <c r="M1000" s="142"/>
      <c r="N1000" s="142"/>
      <c r="O1000" s="136"/>
      <c r="P1000" s="34"/>
      <c r="Q1000" s="35"/>
      <c r="R1000" s="35"/>
      <c r="S1000" s="35"/>
      <c r="T1000" s="35"/>
      <c r="U1000" s="35"/>
      <c r="V1000" s="35"/>
      <c r="W1000" s="35"/>
      <c r="X1000" s="35"/>
      <c r="Y1000" s="35"/>
      <c r="Z1000" s="35"/>
      <c r="AA1000" s="35"/>
    </row>
    <row r="1001" ht="14.25" customHeight="1">
      <c r="A1001" s="136"/>
      <c r="B1001" s="137"/>
      <c r="C1001" s="138"/>
      <c r="D1001" s="136"/>
      <c r="E1001" s="136"/>
      <c r="F1001" s="136"/>
      <c r="G1001" s="139"/>
      <c r="H1001" s="140"/>
      <c r="I1001" s="141"/>
      <c r="J1001" s="141"/>
      <c r="K1001" s="142"/>
      <c r="L1001" s="142"/>
      <c r="M1001" s="142"/>
      <c r="N1001" s="142"/>
      <c r="O1001" s="136"/>
      <c r="P1001" s="34"/>
      <c r="Q1001" s="35"/>
      <c r="R1001" s="35"/>
      <c r="S1001" s="35"/>
      <c r="T1001" s="35"/>
      <c r="U1001" s="35"/>
      <c r="V1001" s="35"/>
      <c r="W1001" s="35"/>
      <c r="X1001" s="35"/>
      <c r="Y1001" s="35"/>
      <c r="Z1001" s="35"/>
      <c r="AA1001" s="35"/>
    </row>
    <row r="1002" ht="14.25" customHeight="1">
      <c r="A1002" s="136"/>
      <c r="B1002" s="137"/>
      <c r="C1002" s="138"/>
      <c r="D1002" s="136"/>
      <c r="E1002" s="136"/>
      <c r="F1002" s="136"/>
      <c r="G1002" s="139"/>
      <c r="H1002" s="140"/>
      <c r="I1002" s="141"/>
      <c r="J1002" s="141"/>
      <c r="K1002" s="142"/>
      <c r="L1002" s="142"/>
      <c r="M1002" s="142"/>
      <c r="N1002" s="142"/>
      <c r="O1002" s="136"/>
      <c r="P1002" s="34"/>
      <c r="Q1002" s="35"/>
      <c r="R1002" s="35"/>
      <c r="S1002" s="35"/>
      <c r="T1002" s="35"/>
      <c r="U1002" s="35"/>
      <c r="V1002" s="35"/>
      <c r="W1002" s="35"/>
      <c r="X1002" s="35"/>
      <c r="Y1002" s="35"/>
      <c r="Z1002" s="35"/>
      <c r="AA1002" s="35"/>
    </row>
    <row r="1003" ht="14.25" customHeight="1">
      <c r="A1003" s="136"/>
      <c r="B1003" s="137"/>
      <c r="C1003" s="138"/>
      <c r="D1003" s="136"/>
      <c r="E1003" s="136"/>
      <c r="F1003" s="136"/>
      <c r="G1003" s="139"/>
      <c r="H1003" s="140"/>
      <c r="I1003" s="141"/>
      <c r="J1003" s="141"/>
      <c r="K1003" s="142"/>
      <c r="L1003" s="142"/>
      <c r="M1003" s="142"/>
      <c r="N1003" s="142"/>
      <c r="O1003" s="136"/>
      <c r="P1003" s="34"/>
      <c r="Q1003" s="35"/>
      <c r="R1003" s="35"/>
      <c r="S1003" s="35"/>
      <c r="T1003" s="35"/>
      <c r="U1003" s="35"/>
      <c r="V1003" s="35"/>
      <c r="W1003" s="35"/>
      <c r="X1003" s="35"/>
      <c r="Y1003" s="35"/>
      <c r="Z1003" s="35"/>
      <c r="AA1003" s="35"/>
    </row>
    <row r="1004" ht="14.25" customHeight="1">
      <c r="A1004" s="136"/>
      <c r="B1004" s="137"/>
      <c r="C1004" s="138"/>
      <c r="D1004" s="136"/>
      <c r="E1004" s="136"/>
      <c r="F1004" s="136"/>
      <c r="G1004" s="139"/>
      <c r="H1004" s="140"/>
      <c r="I1004" s="141"/>
      <c r="J1004" s="141"/>
      <c r="K1004" s="142"/>
      <c r="L1004" s="142"/>
      <c r="M1004" s="142"/>
      <c r="N1004" s="142"/>
      <c r="O1004" s="136"/>
      <c r="P1004" s="34"/>
      <c r="Q1004" s="35"/>
      <c r="R1004" s="35"/>
      <c r="S1004" s="35"/>
      <c r="T1004" s="35"/>
      <c r="U1004" s="35"/>
      <c r="V1004" s="35"/>
      <c r="W1004" s="35"/>
      <c r="X1004" s="35"/>
      <c r="Y1004" s="35"/>
      <c r="Z1004" s="35"/>
      <c r="AA1004" s="35"/>
    </row>
    <row r="1005" ht="14.25" customHeight="1">
      <c r="A1005" s="136"/>
      <c r="B1005" s="137"/>
      <c r="C1005" s="138"/>
      <c r="D1005" s="136"/>
      <c r="E1005" s="136"/>
      <c r="F1005" s="136"/>
      <c r="G1005" s="139"/>
      <c r="H1005" s="140"/>
      <c r="I1005" s="141"/>
      <c r="J1005" s="141"/>
      <c r="K1005" s="142"/>
      <c r="L1005" s="142"/>
      <c r="M1005" s="142"/>
      <c r="N1005" s="142"/>
      <c r="O1005" s="136"/>
      <c r="P1005" s="34"/>
      <c r="Q1005" s="35"/>
      <c r="R1005" s="35"/>
      <c r="S1005" s="35"/>
      <c r="T1005" s="35"/>
      <c r="U1005" s="35"/>
      <c r="V1005" s="35"/>
      <c r="W1005" s="35"/>
      <c r="X1005" s="35"/>
      <c r="Y1005" s="35"/>
      <c r="Z1005" s="35"/>
      <c r="AA1005" s="35"/>
    </row>
    <row r="1006" ht="14.25" customHeight="1">
      <c r="A1006" s="136"/>
      <c r="B1006" s="137"/>
      <c r="C1006" s="138"/>
      <c r="D1006" s="136"/>
      <c r="E1006" s="136"/>
      <c r="F1006" s="136"/>
      <c r="G1006" s="139"/>
      <c r="H1006" s="140"/>
      <c r="I1006" s="141"/>
      <c r="J1006" s="141"/>
      <c r="K1006" s="142"/>
      <c r="L1006" s="142"/>
      <c r="M1006" s="142"/>
      <c r="N1006" s="142"/>
      <c r="O1006" s="136"/>
      <c r="P1006" s="34"/>
      <c r="Q1006" s="35"/>
      <c r="R1006" s="35"/>
      <c r="S1006" s="35"/>
      <c r="T1006" s="35"/>
      <c r="U1006" s="35"/>
      <c r="V1006" s="35"/>
      <c r="W1006" s="35"/>
      <c r="X1006" s="35"/>
      <c r="Y1006" s="35"/>
      <c r="Z1006" s="35"/>
      <c r="AA1006" s="35"/>
    </row>
    <row r="1007" ht="14.25" customHeight="1">
      <c r="A1007" s="136"/>
      <c r="B1007" s="137"/>
      <c r="C1007" s="138"/>
      <c r="D1007" s="136"/>
      <c r="E1007" s="136"/>
      <c r="F1007" s="136"/>
      <c r="G1007" s="139"/>
      <c r="H1007" s="140"/>
      <c r="I1007" s="141"/>
      <c r="J1007" s="141"/>
      <c r="K1007" s="142"/>
      <c r="L1007" s="142"/>
      <c r="M1007" s="142"/>
      <c r="N1007" s="142"/>
      <c r="O1007" s="136"/>
      <c r="P1007" s="34"/>
      <c r="Q1007" s="35"/>
      <c r="R1007" s="35"/>
      <c r="S1007" s="35"/>
      <c r="T1007" s="35"/>
      <c r="U1007" s="35"/>
      <c r="V1007" s="35"/>
      <c r="W1007" s="35"/>
      <c r="X1007" s="35"/>
      <c r="Y1007" s="35"/>
      <c r="Z1007" s="35"/>
      <c r="AA1007" s="35"/>
    </row>
    <row r="1008" ht="14.25" customHeight="1">
      <c r="A1008" s="136"/>
      <c r="B1008" s="137"/>
      <c r="C1008" s="138"/>
      <c r="D1008" s="136"/>
      <c r="E1008" s="136"/>
      <c r="F1008" s="136"/>
      <c r="G1008" s="139"/>
      <c r="H1008" s="140"/>
      <c r="I1008" s="141"/>
      <c r="J1008" s="141"/>
      <c r="K1008" s="142"/>
      <c r="L1008" s="142"/>
      <c r="M1008" s="142"/>
      <c r="N1008" s="142"/>
      <c r="O1008" s="136"/>
      <c r="P1008" s="34"/>
      <c r="Q1008" s="35"/>
      <c r="R1008" s="35"/>
      <c r="S1008" s="35"/>
      <c r="T1008" s="35"/>
      <c r="U1008" s="35"/>
      <c r="V1008" s="35"/>
      <c r="W1008" s="35"/>
      <c r="X1008" s="35"/>
      <c r="Y1008" s="35"/>
      <c r="Z1008" s="35"/>
      <c r="AA1008" s="35"/>
    </row>
    <row r="1009" ht="14.25" customHeight="1">
      <c r="A1009" s="136"/>
      <c r="B1009" s="137"/>
      <c r="C1009" s="138"/>
      <c r="D1009" s="136"/>
      <c r="E1009" s="136"/>
      <c r="F1009" s="136"/>
      <c r="G1009" s="139"/>
      <c r="H1009" s="140"/>
      <c r="I1009" s="141"/>
      <c r="J1009" s="141"/>
      <c r="K1009" s="142"/>
      <c r="L1009" s="142"/>
      <c r="M1009" s="142"/>
      <c r="N1009" s="142"/>
      <c r="O1009" s="136"/>
      <c r="P1009" s="34"/>
      <c r="Q1009" s="35"/>
      <c r="R1009" s="35"/>
      <c r="S1009" s="35"/>
      <c r="T1009" s="35"/>
      <c r="U1009" s="35"/>
      <c r="V1009" s="35"/>
      <c r="W1009" s="35"/>
      <c r="X1009" s="35"/>
      <c r="Y1009" s="35"/>
      <c r="Z1009" s="35"/>
      <c r="AA1009" s="35"/>
    </row>
    <row r="1010" ht="14.25" customHeight="1">
      <c r="A1010" s="136"/>
      <c r="B1010" s="137"/>
      <c r="C1010" s="138"/>
      <c r="D1010" s="136"/>
      <c r="E1010" s="136"/>
      <c r="F1010" s="136"/>
      <c r="G1010" s="139"/>
      <c r="H1010" s="140"/>
      <c r="I1010" s="141"/>
      <c r="J1010" s="141"/>
      <c r="K1010" s="142"/>
      <c r="L1010" s="142"/>
      <c r="M1010" s="142"/>
      <c r="N1010" s="142"/>
      <c r="O1010" s="136"/>
      <c r="P1010" s="34"/>
      <c r="Q1010" s="35"/>
      <c r="R1010" s="35"/>
      <c r="S1010" s="35"/>
      <c r="T1010" s="35"/>
      <c r="U1010" s="35"/>
      <c r="V1010" s="35"/>
      <c r="W1010" s="35"/>
      <c r="X1010" s="35"/>
      <c r="Y1010" s="35"/>
      <c r="Z1010" s="35"/>
      <c r="AA1010" s="35"/>
    </row>
    <row r="1011" ht="14.25" customHeight="1">
      <c r="A1011" s="136"/>
      <c r="B1011" s="137"/>
      <c r="C1011" s="138"/>
      <c r="D1011" s="136"/>
      <c r="E1011" s="136"/>
      <c r="F1011" s="136"/>
      <c r="G1011" s="139"/>
      <c r="H1011" s="140"/>
      <c r="I1011" s="141"/>
      <c r="J1011" s="141"/>
      <c r="K1011" s="142"/>
      <c r="L1011" s="142"/>
      <c r="M1011" s="142"/>
      <c r="N1011" s="142"/>
      <c r="O1011" s="136"/>
      <c r="P1011" s="34"/>
      <c r="Q1011" s="35"/>
      <c r="R1011" s="35"/>
      <c r="S1011" s="35"/>
      <c r="T1011" s="35"/>
      <c r="U1011" s="35"/>
      <c r="V1011" s="35"/>
      <c r="W1011" s="35"/>
      <c r="X1011" s="35"/>
      <c r="Y1011" s="35"/>
      <c r="Z1011" s="35"/>
      <c r="AA1011" s="35"/>
    </row>
    <row r="1012" ht="14.25" customHeight="1">
      <c r="A1012" s="136"/>
      <c r="B1012" s="137"/>
      <c r="C1012" s="138"/>
      <c r="D1012" s="136"/>
      <c r="E1012" s="136"/>
      <c r="F1012" s="136"/>
      <c r="G1012" s="139"/>
      <c r="H1012" s="140"/>
      <c r="I1012" s="141"/>
      <c r="J1012" s="141"/>
      <c r="K1012" s="142"/>
      <c r="L1012" s="142"/>
      <c r="M1012" s="142"/>
      <c r="N1012" s="142"/>
      <c r="O1012" s="136"/>
      <c r="P1012" s="34"/>
      <c r="Q1012" s="35"/>
      <c r="R1012" s="35"/>
      <c r="S1012" s="35"/>
      <c r="T1012" s="35"/>
      <c r="U1012" s="35"/>
      <c r="V1012" s="35"/>
      <c r="W1012" s="35"/>
      <c r="X1012" s="35"/>
      <c r="Y1012" s="35"/>
      <c r="Z1012" s="35"/>
      <c r="AA1012" s="35"/>
    </row>
    <row r="1013" ht="14.25" customHeight="1">
      <c r="A1013" s="136"/>
      <c r="B1013" s="137"/>
      <c r="C1013" s="138"/>
      <c r="D1013" s="136"/>
      <c r="E1013" s="136"/>
      <c r="F1013" s="136"/>
      <c r="G1013" s="139"/>
      <c r="H1013" s="140"/>
      <c r="I1013" s="141"/>
      <c r="J1013" s="141"/>
      <c r="K1013" s="142"/>
      <c r="L1013" s="142"/>
      <c r="M1013" s="142"/>
      <c r="N1013" s="142"/>
      <c r="O1013" s="136"/>
      <c r="P1013" s="34"/>
      <c r="Q1013" s="35"/>
      <c r="R1013" s="35"/>
      <c r="S1013" s="35"/>
      <c r="T1013" s="35"/>
      <c r="U1013" s="35"/>
      <c r="V1013" s="35"/>
      <c r="W1013" s="35"/>
      <c r="X1013" s="35"/>
      <c r="Y1013" s="35"/>
      <c r="Z1013" s="35"/>
      <c r="AA1013" s="35"/>
    </row>
    <row r="1014" ht="14.25" customHeight="1">
      <c r="A1014" s="136"/>
      <c r="B1014" s="137"/>
      <c r="C1014" s="138"/>
      <c r="D1014" s="136"/>
      <c r="E1014" s="136"/>
      <c r="F1014" s="136"/>
      <c r="G1014" s="139"/>
      <c r="H1014" s="140"/>
      <c r="I1014" s="141"/>
      <c r="J1014" s="141"/>
      <c r="K1014" s="142"/>
      <c r="L1014" s="142"/>
      <c r="M1014" s="142"/>
      <c r="N1014" s="142"/>
      <c r="O1014" s="136"/>
      <c r="P1014" s="34"/>
      <c r="Q1014" s="35"/>
      <c r="R1014" s="35"/>
      <c r="S1014" s="35"/>
      <c r="T1014" s="35"/>
      <c r="U1014" s="35"/>
      <c r="V1014" s="35"/>
      <c r="W1014" s="35"/>
      <c r="X1014" s="35"/>
      <c r="Y1014" s="35"/>
      <c r="Z1014" s="35"/>
      <c r="AA1014" s="35"/>
    </row>
    <row r="1015" ht="14.25" customHeight="1">
      <c r="A1015" s="136"/>
      <c r="B1015" s="137"/>
      <c r="C1015" s="138"/>
      <c r="D1015" s="136"/>
      <c r="E1015" s="136"/>
      <c r="F1015" s="136"/>
      <c r="G1015" s="139"/>
      <c r="H1015" s="140"/>
      <c r="I1015" s="141"/>
      <c r="J1015" s="141"/>
      <c r="K1015" s="142"/>
      <c r="L1015" s="142"/>
      <c r="M1015" s="142"/>
      <c r="N1015" s="142"/>
      <c r="O1015" s="136"/>
      <c r="P1015" s="34"/>
      <c r="Q1015" s="35"/>
      <c r="R1015" s="35"/>
      <c r="S1015" s="35"/>
      <c r="T1015" s="35"/>
      <c r="U1015" s="35"/>
      <c r="V1015" s="35"/>
      <c r="W1015" s="35"/>
      <c r="X1015" s="35"/>
      <c r="Y1015" s="35"/>
      <c r="Z1015" s="35"/>
      <c r="AA1015" s="35"/>
    </row>
    <row r="1016" ht="14.25" customHeight="1">
      <c r="A1016" s="136"/>
      <c r="B1016" s="137"/>
      <c r="C1016" s="138"/>
      <c r="D1016" s="136"/>
      <c r="E1016" s="136"/>
      <c r="F1016" s="136"/>
      <c r="G1016" s="139"/>
      <c r="H1016" s="140"/>
      <c r="I1016" s="141"/>
      <c r="J1016" s="141"/>
      <c r="K1016" s="142"/>
      <c r="L1016" s="142"/>
      <c r="M1016" s="142"/>
      <c r="N1016" s="142"/>
      <c r="O1016" s="136"/>
      <c r="P1016" s="34"/>
      <c r="Q1016" s="35"/>
      <c r="R1016" s="35"/>
      <c r="S1016" s="35"/>
      <c r="T1016" s="35"/>
      <c r="U1016" s="35"/>
      <c r="V1016" s="35"/>
      <c r="W1016" s="35"/>
      <c r="X1016" s="35"/>
      <c r="Y1016" s="35"/>
      <c r="Z1016" s="35"/>
      <c r="AA1016" s="35"/>
    </row>
    <row r="1017" ht="14.25" customHeight="1">
      <c r="A1017" s="136"/>
      <c r="B1017" s="137"/>
      <c r="C1017" s="138"/>
      <c r="D1017" s="136"/>
      <c r="E1017" s="136"/>
      <c r="F1017" s="136"/>
      <c r="G1017" s="139"/>
      <c r="H1017" s="140"/>
      <c r="I1017" s="141"/>
      <c r="J1017" s="141"/>
      <c r="K1017" s="142"/>
      <c r="L1017" s="142"/>
      <c r="M1017" s="142"/>
      <c r="N1017" s="142"/>
      <c r="O1017" s="136"/>
      <c r="P1017" s="34"/>
      <c r="Q1017" s="35"/>
      <c r="R1017" s="35"/>
      <c r="S1017" s="35"/>
      <c r="T1017" s="35"/>
      <c r="U1017" s="35"/>
      <c r="V1017" s="35"/>
      <c r="W1017" s="35"/>
      <c r="X1017" s="35"/>
      <c r="Y1017" s="35"/>
      <c r="Z1017" s="35"/>
      <c r="AA1017" s="35"/>
    </row>
    <row r="1018" ht="14.25" customHeight="1">
      <c r="A1018" s="136"/>
      <c r="B1018" s="137"/>
      <c r="C1018" s="138"/>
      <c r="D1018" s="136"/>
      <c r="E1018" s="136"/>
      <c r="F1018" s="136"/>
      <c r="G1018" s="139"/>
      <c r="H1018" s="140"/>
      <c r="I1018" s="141"/>
      <c r="J1018" s="141"/>
      <c r="K1018" s="142"/>
      <c r="L1018" s="142"/>
      <c r="M1018" s="142"/>
      <c r="N1018" s="142"/>
      <c r="O1018" s="136"/>
      <c r="P1018" s="34"/>
      <c r="Q1018" s="35"/>
      <c r="R1018" s="35"/>
      <c r="S1018" s="35"/>
      <c r="T1018" s="35"/>
      <c r="U1018" s="35"/>
      <c r="V1018" s="35"/>
      <c r="W1018" s="35"/>
      <c r="X1018" s="35"/>
      <c r="Y1018" s="35"/>
      <c r="Z1018" s="35"/>
      <c r="AA1018" s="35"/>
    </row>
    <row r="1019" ht="14.25" customHeight="1">
      <c r="A1019" s="136"/>
      <c r="B1019" s="137"/>
      <c r="C1019" s="138"/>
      <c r="D1019" s="136"/>
      <c r="E1019" s="136"/>
      <c r="F1019" s="136"/>
      <c r="G1019" s="139"/>
      <c r="H1019" s="140"/>
      <c r="I1019" s="141"/>
      <c r="J1019" s="141"/>
      <c r="K1019" s="142"/>
      <c r="L1019" s="142"/>
      <c r="M1019" s="142"/>
      <c r="N1019" s="142"/>
      <c r="O1019" s="136"/>
      <c r="P1019" s="34"/>
      <c r="Q1019" s="35"/>
      <c r="R1019" s="35"/>
      <c r="S1019" s="35"/>
      <c r="T1019" s="35"/>
      <c r="U1019" s="35"/>
      <c r="V1019" s="35"/>
      <c r="W1019" s="35"/>
      <c r="X1019" s="35"/>
      <c r="Y1019" s="35"/>
      <c r="Z1019" s="35"/>
      <c r="AA1019" s="35"/>
    </row>
    <row r="1020" ht="14.25" customHeight="1">
      <c r="A1020" s="136"/>
      <c r="B1020" s="137"/>
      <c r="C1020" s="138"/>
      <c r="D1020" s="136"/>
      <c r="E1020" s="136"/>
      <c r="F1020" s="136"/>
      <c r="G1020" s="139"/>
      <c r="H1020" s="140"/>
      <c r="I1020" s="141"/>
      <c r="J1020" s="141"/>
      <c r="K1020" s="142"/>
      <c r="L1020" s="142"/>
      <c r="M1020" s="142"/>
      <c r="N1020" s="142"/>
      <c r="O1020" s="136"/>
      <c r="P1020" s="34"/>
      <c r="Q1020" s="35"/>
      <c r="R1020" s="35"/>
      <c r="S1020" s="35"/>
      <c r="T1020" s="35"/>
      <c r="U1020" s="35"/>
      <c r="V1020" s="35"/>
      <c r="W1020" s="35"/>
      <c r="X1020" s="35"/>
      <c r="Y1020" s="35"/>
      <c r="Z1020" s="35"/>
      <c r="AA1020" s="35"/>
    </row>
    <row r="1021" ht="14.25" customHeight="1">
      <c r="A1021" s="136"/>
      <c r="B1021" s="137"/>
      <c r="C1021" s="138"/>
      <c r="D1021" s="136"/>
      <c r="E1021" s="136"/>
      <c r="F1021" s="136"/>
      <c r="G1021" s="139"/>
      <c r="H1021" s="140"/>
      <c r="I1021" s="141"/>
      <c r="J1021" s="141"/>
      <c r="K1021" s="142"/>
      <c r="L1021" s="142"/>
      <c r="M1021" s="142"/>
      <c r="N1021" s="142"/>
      <c r="O1021" s="136"/>
      <c r="P1021" s="34"/>
      <c r="Q1021" s="35"/>
      <c r="R1021" s="35"/>
      <c r="S1021" s="35"/>
      <c r="T1021" s="35"/>
      <c r="U1021" s="35"/>
      <c r="V1021" s="35"/>
      <c r="W1021" s="35"/>
      <c r="X1021" s="35"/>
      <c r="Y1021" s="35"/>
      <c r="Z1021" s="35"/>
      <c r="AA1021" s="35"/>
    </row>
    <row r="1022" ht="14.25" customHeight="1">
      <c r="A1022" s="136"/>
      <c r="B1022" s="137"/>
      <c r="C1022" s="138"/>
      <c r="D1022" s="136"/>
      <c r="E1022" s="136"/>
      <c r="F1022" s="136"/>
      <c r="G1022" s="139"/>
      <c r="H1022" s="140"/>
      <c r="I1022" s="141"/>
      <c r="J1022" s="141"/>
      <c r="K1022" s="142"/>
      <c r="L1022" s="142"/>
      <c r="M1022" s="142"/>
      <c r="N1022" s="142"/>
      <c r="O1022" s="136"/>
      <c r="P1022" s="34"/>
      <c r="Q1022" s="35"/>
      <c r="R1022" s="35"/>
      <c r="S1022" s="35"/>
      <c r="T1022" s="35"/>
      <c r="U1022" s="35"/>
      <c r="V1022" s="35"/>
      <c r="W1022" s="35"/>
      <c r="X1022" s="35"/>
      <c r="Y1022" s="35"/>
      <c r="Z1022" s="35"/>
      <c r="AA1022" s="35"/>
    </row>
    <row r="1023" ht="14.25" customHeight="1">
      <c r="A1023" s="136"/>
      <c r="B1023" s="137"/>
      <c r="C1023" s="138"/>
      <c r="D1023" s="136"/>
      <c r="E1023" s="136"/>
      <c r="F1023" s="136"/>
      <c r="G1023" s="139"/>
      <c r="H1023" s="140"/>
      <c r="I1023" s="141"/>
      <c r="J1023" s="141"/>
      <c r="K1023" s="142"/>
      <c r="L1023" s="142"/>
      <c r="M1023" s="142"/>
      <c r="N1023" s="142"/>
      <c r="O1023" s="136"/>
      <c r="P1023" s="34"/>
      <c r="Q1023" s="35"/>
      <c r="R1023" s="35"/>
      <c r="S1023" s="35"/>
      <c r="T1023" s="35"/>
      <c r="U1023" s="35"/>
      <c r="V1023" s="35"/>
      <c r="W1023" s="35"/>
      <c r="X1023" s="35"/>
      <c r="Y1023" s="35"/>
      <c r="Z1023" s="35"/>
      <c r="AA1023" s="35"/>
    </row>
    <row r="1024" ht="14.25" customHeight="1">
      <c r="A1024" s="136"/>
      <c r="B1024" s="137"/>
      <c r="C1024" s="138"/>
      <c r="D1024" s="136"/>
      <c r="E1024" s="136"/>
      <c r="F1024" s="136"/>
      <c r="G1024" s="139"/>
      <c r="H1024" s="140"/>
      <c r="I1024" s="141"/>
      <c r="J1024" s="141"/>
      <c r="K1024" s="142"/>
      <c r="L1024" s="142"/>
      <c r="M1024" s="142"/>
      <c r="N1024" s="142"/>
      <c r="O1024" s="136"/>
      <c r="P1024" s="34"/>
      <c r="Q1024" s="35"/>
      <c r="R1024" s="35"/>
      <c r="S1024" s="35"/>
      <c r="T1024" s="35"/>
      <c r="U1024" s="35"/>
      <c r="V1024" s="35"/>
      <c r="W1024" s="35"/>
      <c r="X1024" s="35"/>
      <c r="Y1024" s="35"/>
      <c r="Z1024" s="35"/>
      <c r="AA1024" s="35"/>
    </row>
    <row r="1025" ht="14.25" customHeight="1">
      <c r="A1025" s="136"/>
      <c r="B1025" s="137"/>
      <c r="C1025" s="138"/>
      <c r="D1025" s="136"/>
      <c r="E1025" s="136"/>
      <c r="F1025" s="136"/>
      <c r="G1025" s="139"/>
      <c r="H1025" s="140"/>
      <c r="I1025" s="141"/>
      <c r="J1025" s="141"/>
      <c r="K1025" s="142"/>
      <c r="L1025" s="142"/>
      <c r="M1025" s="142"/>
      <c r="N1025" s="142"/>
      <c r="O1025" s="136"/>
      <c r="P1025" s="34"/>
      <c r="Q1025" s="35"/>
      <c r="R1025" s="35"/>
      <c r="S1025" s="35"/>
      <c r="T1025" s="35"/>
      <c r="U1025" s="35"/>
      <c r="V1025" s="35"/>
      <c r="W1025" s="35"/>
      <c r="X1025" s="35"/>
      <c r="Y1025" s="35"/>
      <c r="Z1025" s="35"/>
      <c r="AA1025" s="35"/>
    </row>
    <row r="1026" ht="14.25" customHeight="1">
      <c r="A1026" s="136"/>
      <c r="B1026" s="137"/>
      <c r="C1026" s="138"/>
      <c r="D1026" s="136"/>
      <c r="E1026" s="136"/>
      <c r="F1026" s="136"/>
      <c r="G1026" s="139"/>
      <c r="H1026" s="140"/>
      <c r="I1026" s="141"/>
      <c r="J1026" s="141"/>
      <c r="K1026" s="142"/>
      <c r="L1026" s="142"/>
      <c r="M1026" s="142"/>
      <c r="N1026" s="142"/>
      <c r="O1026" s="136"/>
      <c r="P1026" s="34"/>
      <c r="Q1026" s="35"/>
      <c r="R1026" s="35"/>
      <c r="S1026" s="35"/>
      <c r="T1026" s="35"/>
      <c r="U1026" s="35"/>
      <c r="V1026" s="35"/>
      <c r="W1026" s="35"/>
      <c r="X1026" s="35"/>
      <c r="Y1026" s="35"/>
      <c r="Z1026" s="35"/>
      <c r="AA1026" s="35"/>
    </row>
    <row r="1027" ht="14.25" customHeight="1">
      <c r="A1027" s="136"/>
      <c r="B1027" s="137"/>
      <c r="C1027" s="138"/>
      <c r="D1027" s="136"/>
      <c r="E1027" s="136"/>
      <c r="F1027" s="136"/>
      <c r="G1027" s="139"/>
      <c r="H1027" s="140"/>
      <c r="I1027" s="141"/>
      <c r="J1027" s="141"/>
      <c r="K1027" s="142"/>
      <c r="L1027" s="142"/>
      <c r="M1027" s="142"/>
      <c r="N1027" s="142"/>
      <c r="O1027" s="136"/>
      <c r="P1027" s="34"/>
      <c r="Q1027" s="35"/>
      <c r="R1027" s="35"/>
      <c r="S1027" s="35"/>
      <c r="T1027" s="35"/>
      <c r="U1027" s="35"/>
      <c r="V1027" s="35"/>
      <c r="W1027" s="35"/>
      <c r="X1027" s="35"/>
      <c r="Y1027" s="35"/>
      <c r="Z1027" s="35"/>
      <c r="AA1027" s="35"/>
    </row>
    <row r="1028" ht="14.25" customHeight="1">
      <c r="A1028" s="136"/>
      <c r="B1028" s="137"/>
      <c r="C1028" s="138"/>
      <c r="D1028" s="136"/>
      <c r="E1028" s="136"/>
      <c r="F1028" s="136"/>
      <c r="G1028" s="139"/>
      <c r="H1028" s="140"/>
      <c r="I1028" s="141"/>
      <c r="J1028" s="141"/>
      <c r="K1028" s="142"/>
      <c r="L1028" s="142"/>
      <c r="M1028" s="142"/>
      <c r="N1028" s="142"/>
      <c r="O1028" s="136"/>
      <c r="P1028" s="34"/>
      <c r="Q1028" s="35"/>
      <c r="R1028" s="35"/>
      <c r="S1028" s="35"/>
      <c r="T1028" s="35"/>
      <c r="U1028" s="35"/>
      <c r="V1028" s="35"/>
      <c r="W1028" s="35"/>
      <c r="X1028" s="35"/>
      <c r="Y1028" s="35"/>
      <c r="Z1028" s="35"/>
      <c r="AA1028" s="35"/>
    </row>
    <row r="1029" ht="14.25" customHeight="1">
      <c r="A1029" s="136"/>
      <c r="B1029" s="137"/>
      <c r="C1029" s="138"/>
      <c r="D1029" s="136"/>
      <c r="E1029" s="136"/>
      <c r="F1029" s="136"/>
      <c r="G1029" s="139"/>
      <c r="H1029" s="140"/>
      <c r="I1029" s="141"/>
      <c r="J1029" s="141"/>
      <c r="K1029" s="142"/>
      <c r="L1029" s="142"/>
      <c r="M1029" s="142"/>
      <c r="N1029" s="142"/>
      <c r="O1029" s="136"/>
      <c r="P1029" s="34"/>
      <c r="Q1029" s="35"/>
      <c r="R1029" s="35"/>
      <c r="S1029" s="35"/>
      <c r="T1029" s="35"/>
      <c r="U1029" s="35"/>
      <c r="V1029" s="35"/>
      <c r="W1029" s="35"/>
      <c r="X1029" s="35"/>
      <c r="Y1029" s="35"/>
      <c r="Z1029" s="35"/>
      <c r="AA1029" s="35"/>
    </row>
    <row r="1030" ht="14.25" customHeight="1">
      <c r="A1030" s="136"/>
      <c r="B1030" s="137"/>
      <c r="C1030" s="138"/>
      <c r="D1030" s="136"/>
      <c r="E1030" s="136"/>
      <c r="F1030" s="136"/>
      <c r="G1030" s="139"/>
      <c r="H1030" s="140"/>
      <c r="I1030" s="141"/>
      <c r="J1030" s="141"/>
      <c r="K1030" s="142"/>
      <c r="L1030" s="142"/>
      <c r="M1030" s="142"/>
      <c r="N1030" s="142"/>
      <c r="O1030" s="136"/>
      <c r="P1030" s="34"/>
      <c r="Q1030" s="35"/>
      <c r="R1030" s="35"/>
      <c r="S1030" s="35"/>
      <c r="T1030" s="35"/>
      <c r="U1030" s="35"/>
      <c r="V1030" s="35"/>
      <c r="W1030" s="35"/>
      <c r="X1030" s="35"/>
      <c r="Y1030" s="35"/>
      <c r="Z1030" s="35"/>
      <c r="AA1030" s="35"/>
    </row>
    <row r="1031" ht="14.25" customHeight="1">
      <c r="A1031" s="136"/>
      <c r="B1031" s="137"/>
      <c r="C1031" s="138"/>
      <c r="D1031" s="136"/>
      <c r="E1031" s="136"/>
      <c r="F1031" s="136"/>
      <c r="G1031" s="139"/>
      <c r="H1031" s="140"/>
      <c r="I1031" s="141"/>
      <c r="J1031" s="141"/>
      <c r="K1031" s="142"/>
      <c r="L1031" s="142"/>
      <c r="M1031" s="142"/>
      <c r="N1031" s="142"/>
      <c r="O1031" s="136"/>
      <c r="P1031" s="34"/>
      <c r="Q1031" s="35"/>
      <c r="R1031" s="35"/>
      <c r="S1031" s="35"/>
      <c r="T1031" s="35"/>
      <c r="U1031" s="35"/>
      <c r="V1031" s="35"/>
      <c r="W1031" s="35"/>
      <c r="X1031" s="35"/>
      <c r="Y1031" s="35"/>
      <c r="Z1031" s="35"/>
      <c r="AA1031" s="35"/>
    </row>
    <row r="1032" ht="14.25" customHeight="1">
      <c r="A1032" s="136"/>
      <c r="B1032" s="137"/>
      <c r="C1032" s="138"/>
      <c r="D1032" s="136"/>
      <c r="E1032" s="136"/>
      <c r="F1032" s="136"/>
      <c r="G1032" s="139"/>
      <c r="H1032" s="140"/>
      <c r="I1032" s="141"/>
      <c r="J1032" s="141"/>
      <c r="K1032" s="142"/>
      <c r="L1032" s="142"/>
      <c r="M1032" s="142"/>
      <c r="N1032" s="142"/>
      <c r="O1032" s="136"/>
      <c r="P1032" s="34"/>
      <c r="Q1032" s="35"/>
      <c r="R1032" s="35"/>
      <c r="S1032" s="35"/>
      <c r="T1032" s="35"/>
      <c r="U1032" s="35"/>
      <c r="V1032" s="35"/>
      <c r="W1032" s="35"/>
      <c r="X1032" s="35"/>
      <c r="Y1032" s="35"/>
      <c r="Z1032" s="35"/>
      <c r="AA1032" s="35"/>
    </row>
    <row r="1033" ht="14.25" customHeight="1">
      <c r="A1033" s="136"/>
      <c r="B1033" s="137"/>
      <c r="C1033" s="138"/>
      <c r="D1033" s="136"/>
      <c r="E1033" s="136"/>
      <c r="F1033" s="136"/>
      <c r="G1033" s="139"/>
      <c r="H1033" s="140"/>
      <c r="I1033" s="141"/>
      <c r="J1033" s="141"/>
      <c r="K1033" s="142"/>
      <c r="L1033" s="142"/>
      <c r="M1033" s="142"/>
      <c r="N1033" s="142"/>
      <c r="O1033" s="136"/>
      <c r="P1033" s="34"/>
      <c r="Q1033" s="35"/>
      <c r="R1033" s="35"/>
      <c r="S1033" s="35"/>
      <c r="T1033" s="35"/>
      <c r="U1033" s="35"/>
      <c r="V1033" s="35"/>
      <c r="W1033" s="35"/>
      <c r="X1033" s="35"/>
      <c r="Y1033" s="35"/>
      <c r="Z1033" s="35"/>
      <c r="AA1033" s="35"/>
    </row>
    <row r="1034" ht="14.25" customHeight="1">
      <c r="A1034" s="136"/>
      <c r="B1034" s="137"/>
      <c r="C1034" s="138"/>
      <c r="D1034" s="136"/>
      <c r="E1034" s="136"/>
      <c r="F1034" s="136"/>
      <c r="G1034" s="139"/>
      <c r="H1034" s="140"/>
      <c r="I1034" s="141"/>
      <c r="J1034" s="141"/>
      <c r="K1034" s="142"/>
      <c r="L1034" s="142"/>
      <c r="M1034" s="142"/>
      <c r="N1034" s="142"/>
      <c r="O1034" s="136"/>
      <c r="P1034" s="34"/>
      <c r="Q1034" s="35"/>
      <c r="R1034" s="35"/>
      <c r="S1034" s="35"/>
      <c r="T1034" s="35"/>
      <c r="U1034" s="35"/>
      <c r="V1034" s="35"/>
      <c r="W1034" s="35"/>
      <c r="X1034" s="35"/>
      <c r="Y1034" s="35"/>
      <c r="Z1034" s="35"/>
      <c r="AA1034" s="35"/>
    </row>
  </sheetData>
  <mergeCells count="12">
    <mergeCell ref="H1:H2"/>
    <mergeCell ref="I1:J1"/>
    <mergeCell ref="K1:L1"/>
    <mergeCell ref="M1:N1"/>
    <mergeCell ref="O1:O2"/>
    <mergeCell ref="A1:A2"/>
    <mergeCell ref="B1:B2"/>
    <mergeCell ref="C1:C2"/>
    <mergeCell ref="D1:D2"/>
    <mergeCell ref="E1:E2"/>
    <mergeCell ref="F1:F2"/>
    <mergeCell ref="G1:G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29"/>
    <col customWidth="1" min="2" max="2" width="17.14"/>
    <col customWidth="1" min="3" max="3" width="28.57"/>
    <col customWidth="1" min="4" max="4" width="29.57"/>
    <col customWidth="1" min="5" max="5" width="36.29"/>
    <col customWidth="1" min="6" max="6" width="16.71"/>
    <col customWidth="1" min="7" max="7" width="11.14"/>
    <col customWidth="1" min="8" max="13" width="13.0"/>
    <col customWidth="1" min="14" max="14" width="36.57"/>
    <col customWidth="1" min="15" max="15" width="13.57"/>
    <col customWidth="1" min="16" max="16" width="15.14"/>
    <col customWidth="1" min="17" max="17" width="43.0"/>
    <col customWidth="1" min="18" max="26" width="9.86"/>
  </cols>
  <sheetData>
    <row r="1" ht="14.25" customHeight="1">
      <c r="A1" s="1"/>
      <c r="B1" s="1" t="s">
        <v>555</v>
      </c>
      <c r="C1" s="2" t="s">
        <v>2</v>
      </c>
      <c r="D1" s="2" t="s">
        <v>3</v>
      </c>
      <c r="E1" s="2" t="s">
        <v>4</v>
      </c>
      <c r="F1" s="143" t="s">
        <v>556</v>
      </c>
      <c r="G1" s="144" t="s">
        <v>7</v>
      </c>
      <c r="H1" s="145" t="s">
        <v>8</v>
      </c>
      <c r="I1" s="6"/>
      <c r="J1" s="7" t="s">
        <v>9</v>
      </c>
      <c r="K1" s="6"/>
      <c r="L1" s="8" t="s">
        <v>10</v>
      </c>
      <c r="M1" s="6"/>
      <c r="N1" s="9" t="s">
        <v>11</v>
      </c>
      <c r="O1" s="10"/>
      <c r="P1" s="11"/>
      <c r="Q1" s="11"/>
      <c r="R1" s="11"/>
      <c r="S1" s="11"/>
      <c r="T1" s="11"/>
      <c r="U1" s="11"/>
      <c r="V1" s="11"/>
      <c r="W1" s="11"/>
      <c r="X1" s="11"/>
      <c r="Y1" s="11"/>
      <c r="Z1" s="11"/>
    </row>
    <row r="2" ht="31.5" customHeight="1">
      <c r="A2" s="12"/>
      <c r="B2" s="12"/>
      <c r="C2" s="13"/>
      <c r="D2" s="13"/>
      <c r="E2" s="13"/>
      <c r="F2" s="13"/>
      <c r="G2" s="146"/>
      <c r="H2" s="147" t="s">
        <v>557</v>
      </c>
      <c r="I2" s="16" t="s">
        <v>558</v>
      </c>
      <c r="J2" s="17" t="s">
        <v>559</v>
      </c>
      <c r="K2" s="18" t="s">
        <v>560</v>
      </c>
      <c r="L2" s="19" t="s">
        <v>561</v>
      </c>
      <c r="M2" s="20" t="s">
        <v>562</v>
      </c>
      <c r="N2" s="21"/>
      <c r="O2" s="10"/>
      <c r="P2" s="11"/>
      <c r="Q2" s="11"/>
      <c r="R2" s="11"/>
      <c r="S2" s="11"/>
      <c r="T2" s="11"/>
      <c r="U2" s="11"/>
      <c r="V2" s="11"/>
      <c r="W2" s="11"/>
      <c r="X2" s="11"/>
      <c r="Y2" s="11"/>
      <c r="Z2" s="11"/>
    </row>
    <row r="3">
      <c r="A3" s="66" t="s">
        <v>563</v>
      </c>
      <c r="B3" s="66" t="s">
        <v>564</v>
      </c>
      <c r="C3" s="69" t="s">
        <v>565</v>
      </c>
      <c r="D3" s="148" t="s">
        <v>566</v>
      </c>
      <c r="E3" s="149" t="s">
        <v>567</v>
      </c>
      <c r="F3" s="150">
        <v>1200.0</v>
      </c>
      <c r="G3" s="151">
        <v>44986.0</v>
      </c>
      <c r="H3" s="152">
        <f t="shared" ref="H3:H91" si="1">F3*0.5+F3</f>
        <v>1800</v>
      </c>
      <c r="I3" s="30">
        <f t="shared" ref="I3:I91" si="2">F3*0.3+F3</f>
        <v>1560</v>
      </c>
      <c r="J3" s="31">
        <f t="shared" ref="J3:J91" si="3">F3*0.3+F3</f>
        <v>1560</v>
      </c>
      <c r="K3" s="32">
        <f t="shared" ref="K3:K91" si="4">F3*0.2+F3</f>
        <v>1440</v>
      </c>
      <c r="L3" s="31">
        <f t="shared" ref="L3:L91" si="5">F3*0.15+F3</f>
        <v>1380</v>
      </c>
      <c r="M3" s="32">
        <f t="shared" ref="M3:M91" si="6">F3*0.1+F3</f>
        <v>1320</v>
      </c>
      <c r="N3" s="153"/>
      <c r="O3" s="34"/>
      <c r="P3" s="35"/>
      <c r="Q3" s="35"/>
      <c r="R3" s="35"/>
      <c r="S3" s="35"/>
      <c r="T3" s="35"/>
      <c r="U3" s="35"/>
      <c r="V3" s="35"/>
      <c r="W3" s="35"/>
      <c r="X3" s="35"/>
      <c r="Y3" s="35"/>
      <c r="Z3" s="35"/>
    </row>
    <row r="4">
      <c r="A4" s="66" t="s">
        <v>563</v>
      </c>
      <c r="B4" s="66" t="s">
        <v>564</v>
      </c>
      <c r="C4" s="69" t="s">
        <v>568</v>
      </c>
      <c r="D4" s="148" t="s">
        <v>569</v>
      </c>
      <c r="E4" s="149" t="s">
        <v>570</v>
      </c>
      <c r="F4" s="154">
        <v>1300.0</v>
      </c>
      <c r="G4" s="151">
        <v>45855.0</v>
      </c>
      <c r="H4" s="155">
        <f t="shared" si="1"/>
        <v>1950</v>
      </c>
      <c r="I4" s="37">
        <f t="shared" si="2"/>
        <v>1690</v>
      </c>
      <c r="J4" s="38">
        <f t="shared" si="3"/>
        <v>1690</v>
      </c>
      <c r="K4" s="39">
        <f t="shared" si="4"/>
        <v>1560</v>
      </c>
      <c r="L4" s="38">
        <f t="shared" si="5"/>
        <v>1495</v>
      </c>
      <c r="M4" s="39">
        <f t="shared" si="6"/>
        <v>1430</v>
      </c>
      <c r="N4" s="40"/>
      <c r="O4" s="34"/>
      <c r="P4" s="35"/>
      <c r="Q4" s="35"/>
      <c r="R4" s="35"/>
      <c r="S4" s="35"/>
      <c r="T4" s="35"/>
      <c r="U4" s="35"/>
      <c r="V4" s="35"/>
      <c r="W4" s="35"/>
      <c r="X4" s="35"/>
      <c r="Y4" s="35"/>
      <c r="Z4" s="35"/>
    </row>
    <row r="5">
      <c r="A5" s="66" t="s">
        <v>563</v>
      </c>
      <c r="B5" s="66" t="s">
        <v>564</v>
      </c>
      <c r="C5" s="69" t="s">
        <v>571</v>
      </c>
      <c r="D5" s="148" t="s">
        <v>572</v>
      </c>
      <c r="E5" s="149" t="s">
        <v>573</v>
      </c>
      <c r="F5" s="154">
        <v>1200.0</v>
      </c>
      <c r="G5" s="151">
        <v>45855.0</v>
      </c>
      <c r="H5" s="155">
        <f t="shared" si="1"/>
        <v>1800</v>
      </c>
      <c r="I5" s="37">
        <f t="shared" si="2"/>
        <v>1560</v>
      </c>
      <c r="J5" s="38">
        <f t="shared" si="3"/>
        <v>1560</v>
      </c>
      <c r="K5" s="39">
        <f t="shared" si="4"/>
        <v>1440</v>
      </c>
      <c r="L5" s="38">
        <f t="shared" si="5"/>
        <v>1380</v>
      </c>
      <c r="M5" s="39">
        <f t="shared" si="6"/>
        <v>1320</v>
      </c>
      <c r="N5" s="40"/>
      <c r="O5" s="34"/>
      <c r="P5" s="35"/>
      <c r="Q5" s="35"/>
      <c r="R5" s="35"/>
      <c r="S5" s="35"/>
      <c r="T5" s="35"/>
      <c r="U5" s="35"/>
      <c r="V5" s="35"/>
      <c r="W5" s="35"/>
      <c r="X5" s="35"/>
      <c r="Y5" s="35"/>
      <c r="Z5" s="35"/>
    </row>
    <row r="6">
      <c r="A6" s="66" t="s">
        <v>563</v>
      </c>
      <c r="B6" s="66" t="s">
        <v>574</v>
      </c>
      <c r="C6" s="69" t="s">
        <v>575</v>
      </c>
      <c r="D6" s="148" t="s">
        <v>566</v>
      </c>
      <c r="E6" s="149" t="s">
        <v>576</v>
      </c>
      <c r="F6" s="154">
        <v>1620.0</v>
      </c>
      <c r="G6" s="151">
        <v>45855.0</v>
      </c>
      <c r="H6" s="155">
        <f t="shared" si="1"/>
        <v>2430</v>
      </c>
      <c r="I6" s="37">
        <f t="shared" si="2"/>
        <v>2106</v>
      </c>
      <c r="J6" s="156">
        <f t="shared" si="3"/>
        <v>2106</v>
      </c>
      <c r="K6" s="157">
        <f t="shared" si="4"/>
        <v>1944</v>
      </c>
      <c r="L6" s="156">
        <f t="shared" si="5"/>
        <v>1863</v>
      </c>
      <c r="M6" s="157">
        <f t="shared" si="6"/>
        <v>1782</v>
      </c>
      <c r="N6" s="158"/>
      <c r="O6" s="34"/>
      <c r="P6" s="35"/>
      <c r="Q6" s="35"/>
      <c r="R6" s="35"/>
      <c r="S6" s="35"/>
      <c r="T6" s="35"/>
      <c r="U6" s="35"/>
      <c r="V6" s="35"/>
      <c r="W6" s="35"/>
      <c r="X6" s="35"/>
      <c r="Y6" s="35"/>
      <c r="Z6" s="35"/>
    </row>
    <row r="7">
      <c r="A7" s="66" t="s">
        <v>563</v>
      </c>
      <c r="B7" s="66" t="s">
        <v>574</v>
      </c>
      <c r="C7" s="69" t="s">
        <v>577</v>
      </c>
      <c r="D7" s="149" t="s">
        <v>578</v>
      </c>
      <c r="E7" s="149" t="s">
        <v>579</v>
      </c>
      <c r="F7" s="154">
        <v>2000.0</v>
      </c>
      <c r="G7" s="151">
        <v>45855.0</v>
      </c>
      <c r="H7" s="155">
        <f t="shared" si="1"/>
        <v>3000</v>
      </c>
      <c r="I7" s="37">
        <f t="shared" si="2"/>
        <v>2600</v>
      </c>
      <c r="J7" s="38">
        <f t="shared" si="3"/>
        <v>2600</v>
      </c>
      <c r="K7" s="39">
        <f t="shared" si="4"/>
        <v>2400</v>
      </c>
      <c r="L7" s="38">
        <f t="shared" si="5"/>
        <v>2300</v>
      </c>
      <c r="M7" s="39">
        <f t="shared" si="6"/>
        <v>2200</v>
      </c>
      <c r="N7" s="40"/>
      <c r="O7" s="34"/>
      <c r="P7" s="35"/>
      <c r="Q7" s="35"/>
      <c r="R7" s="35"/>
      <c r="S7" s="35"/>
      <c r="T7" s="35"/>
      <c r="U7" s="35"/>
      <c r="V7" s="35"/>
      <c r="W7" s="35"/>
      <c r="X7" s="35"/>
      <c r="Y7" s="35"/>
      <c r="Z7" s="35"/>
    </row>
    <row r="8">
      <c r="A8" s="66" t="s">
        <v>563</v>
      </c>
      <c r="B8" s="66" t="s">
        <v>580</v>
      </c>
      <c r="C8" s="69" t="s">
        <v>581</v>
      </c>
      <c r="D8" s="149" t="s">
        <v>572</v>
      </c>
      <c r="E8" s="149" t="s">
        <v>582</v>
      </c>
      <c r="F8" s="154">
        <v>1580.0</v>
      </c>
      <c r="G8" s="151">
        <v>45855.0</v>
      </c>
      <c r="H8" s="155">
        <f t="shared" si="1"/>
        <v>2370</v>
      </c>
      <c r="I8" s="37">
        <f t="shared" si="2"/>
        <v>2054</v>
      </c>
      <c r="J8" s="38">
        <f t="shared" si="3"/>
        <v>2054</v>
      </c>
      <c r="K8" s="39">
        <f t="shared" si="4"/>
        <v>1896</v>
      </c>
      <c r="L8" s="38">
        <f t="shared" si="5"/>
        <v>1817</v>
      </c>
      <c r="M8" s="39">
        <f t="shared" si="6"/>
        <v>1738</v>
      </c>
      <c r="N8" s="40"/>
      <c r="O8" s="34"/>
      <c r="P8" s="35"/>
      <c r="Q8" s="35"/>
      <c r="R8" s="35"/>
      <c r="S8" s="35"/>
      <c r="T8" s="35"/>
      <c r="U8" s="35"/>
      <c r="V8" s="35"/>
      <c r="W8" s="35"/>
      <c r="X8" s="35"/>
      <c r="Y8" s="35"/>
      <c r="Z8" s="35"/>
    </row>
    <row r="9">
      <c r="A9" s="66" t="s">
        <v>563</v>
      </c>
      <c r="B9" s="66" t="s">
        <v>580</v>
      </c>
      <c r="C9" s="66" t="s">
        <v>583</v>
      </c>
      <c r="D9" s="149" t="s">
        <v>584</v>
      </c>
      <c r="E9" s="149" t="s">
        <v>585</v>
      </c>
      <c r="F9" s="154">
        <v>1750.0</v>
      </c>
      <c r="G9" s="151">
        <v>45855.0</v>
      </c>
      <c r="H9" s="155">
        <f t="shared" si="1"/>
        <v>2625</v>
      </c>
      <c r="I9" s="37">
        <f t="shared" si="2"/>
        <v>2275</v>
      </c>
      <c r="J9" s="38">
        <f t="shared" si="3"/>
        <v>2275</v>
      </c>
      <c r="K9" s="39">
        <f t="shared" si="4"/>
        <v>2100</v>
      </c>
      <c r="L9" s="38">
        <f t="shared" si="5"/>
        <v>2012.5</v>
      </c>
      <c r="M9" s="39">
        <f t="shared" si="6"/>
        <v>1925</v>
      </c>
      <c r="N9" s="40"/>
      <c r="O9" s="34"/>
      <c r="P9" s="35"/>
      <c r="Q9" s="35"/>
      <c r="R9" s="35"/>
      <c r="S9" s="35"/>
      <c r="T9" s="35"/>
      <c r="U9" s="35"/>
      <c r="V9" s="35"/>
      <c r="W9" s="35"/>
      <c r="X9" s="35"/>
      <c r="Y9" s="35"/>
      <c r="Z9" s="35"/>
    </row>
    <row r="10">
      <c r="A10" s="66" t="s">
        <v>563</v>
      </c>
      <c r="B10" s="66" t="s">
        <v>586</v>
      </c>
      <c r="C10" s="69" t="s">
        <v>587</v>
      </c>
      <c r="D10" s="149" t="s">
        <v>588</v>
      </c>
      <c r="E10" s="149" t="s">
        <v>589</v>
      </c>
      <c r="F10" s="154">
        <v>2000.0</v>
      </c>
      <c r="G10" s="151">
        <v>45855.0</v>
      </c>
      <c r="H10" s="155">
        <f t="shared" si="1"/>
        <v>3000</v>
      </c>
      <c r="I10" s="37">
        <f t="shared" si="2"/>
        <v>2600</v>
      </c>
      <c r="J10" s="38">
        <f t="shared" si="3"/>
        <v>2600</v>
      </c>
      <c r="K10" s="39">
        <f t="shared" si="4"/>
        <v>2400</v>
      </c>
      <c r="L10" s="38">
        <f t="shared" si="5"/>
        <v>2300</v>
      </c>
      <c r="M10" s="39">
        <f t="shared" si="6"/>
        <v>2200</v>
      </c>
      <c r="N10" s="40"/>
      <c r="O10" s="34"/>
      <c r="P10" s="35"/>
      <c r="Q10" s="35"/>
      <c r="R10" s="35"/>
      <c r="S10" s="35"/>
      <c r="T10" s="35"/>
      <c r="U10" s="35"/>
      <c r="V10" s="35"/>
      <c r="W10" s="35"/>
      <c r="X10" s="35"/>
      <c r="Y10" s="35"/>
      <c r="Z10" s="35"/>
    </row>
    <row r="11">
      <c r="A11" s="66" t="s">
        <v>563</v>
      </c>
      <c r="B11" s="66" t="s">
        <v>580</v>
      </c>
      <c r="C11" s="69" t="s">
        <v>590</v>
      </c>
      <c r="D11" s="149" t="s">
        <v>591</v>
      </c>
      <c r="E11" s="149" t="s">
        <v>592</v>
      </c>
      <c r="F11" s="154">
        <v>2125.0</v>
      </c>
      <c r="G11" s="151">
        <v>45855.0</v>
      </c>
      <c r="H11" s="155">
        <f t="shared" si="1"/>
        <v>3187.5</v>
      </c>
      <c r="I11" s="37">
        <f t="shared" si="2"/>
        <v>2762.5</v>
      </c>
      <c r="J11" s="38">
        <f t="shared" si="3"/>
        <v>2762.5</v>
      </c>
      <c r="K11" s="39">
        <f t="shared" si="4"/>
        <v>2550</v>
      </c>
      <c r="L11" s="38">
        <f t="shared" si="5"/>
        <v>2443.75</v>
      </c>
      <c r="M11" s="39">
        <f t="shared" si="6"/>
        <v>2337.5</v>
      </c>
      <c r="N11" s="40"/>
      <c r="O11" s="34"/>
      <c r="P11" s="35"/>
      <c r="Q11" s="35"/>
      <c r="R11" s="35"/>
      <c r="S11" s="35"/>
      <c r="T11" s="35"/>
      <c r="U11" s="35"/>
      <c r="V11" s="35"/>
      <c r="W11" s="35"/>
      <c r="X11" s="35"/>
      <c r="Y11" s="35"/>
      <c r="Z11" s="35"/>
    </row>
    <row r="12">
      <c r="A12" s="66" t="s">
        <v>563</v>
      </c>
      <c r="B12" s="66" t="s">
        <v>593</v>
      </c>
      <c r="C12" s="69" t="s">
        <v>594</v>
      </c>
      <c r="D12" s="149" t="s">
        <v>595</v>
      </c>
      <c r="E12" s="149" t="s">
        <v>596</v>
      </c>
      <c r="F12" s="154">
        <v>1866.0</v>
      </c>
      <c r="G12" s="151">
        <v>45855.0</v>
      </c>
      <c r="H12" s="155">
        <f t="shared" si="1"/>
        <v>2799</v>
      </c>
      <c r="I12" s="37">
        <f t="shared" si="2"/>
        <v>2425.8</v>
      </c>
      <c r="J12" s="38">
        <f t="shared" si="3"/>
        <v>2425.8</v>
      </c>
      <c r="K12" s="39">
        <f t="shared" si="4"/>
        <v>2239.2</v>
      </c>
      <c r="L12" s="38">
        <f t="shared" si="5"/>
        <v>2145.9</v>
      </c>
      <c r="M12" s="39">
        <f t="shared" si="6"/>
        <v>2052.6</v>
      </c>
      <c r="N12" s="40"/>
      <c r="O12" s="34"/>
      <c r="P12" s="35"/>
      <c r="Q12" s="35"/>
      <c r="R12" s="35"/>
      <c r="S12" s="35"/>
      <c r="T12" s="35"/>
      <c r="U12" s="35"/>
      <c r="V12" s="35"/>
      <c r="W12" s="35"/>
      <c r="X12" s="35"/>
      <c r="Y12" s="35"/>
      <c r="Z12" s="35"/>
    </row>
    <row r="13">
      <c r="A13" s="66" t="s">
        <v>563</v>
      </c>
      <c r="B13" s="66" t="s">
        <v>593</v>
      </c>
      <c r="C13" s="69" t="s">
        <v>597</v>
      </c>
      <c r="D13" s="149" t="s">
        <v>598</v>
      </c>
      <c r="E13" s="149" t="s">
        <v>599</v>
      </c>
      <c r="F13" s="154">
        <v>2000.0</v>
      </c>
      <c r="G13" s="151">
        <v>45855.0</v>
      </c>
      <c r="H13" s="155">
        <f t="shared" si="1"/>
        <v>3000</v>
      </c>
      <c r="I13" s="37">
        <f t="shared" si="2"/>
        <v>2600</v>
      </c>
      <c r="J13" s="38">
        <f t="shared" si="3"/>
        <v>2600</v>
      </c>
      <c r="K13" s="39">
        <f t="shared" si="4"/>
        <v>2400</v>
      </c>
      <c r="L13" s="38">
        <f t="shared" si="5"/>
        <v>2300</v>
      </c>
      <c r="M13" s="39">
        <f t="shared" si="6"/>
        <v>2200</v>
      </c>
      <c r="N13" s="40"/>
      <c r="O13" s="34"/>
      <c r="P13" s="35"/>
      <c r="Q13" s="35"/>
      <c r="R13" s="35"/>
      <c r="S13" s="35"/>
      <c r="T13" s="35"/>
      <c r="U13" s="35"/>
      <c r="V13" s="35"/>
      <c r="W13" s="35"/>
      <c r="X13" s="35"/>
      <c r="Y13" s="35"/>
      <c r="Z13" s="35"/>
    </row>
    <row r="14">
      <c r="A14" s="66" t="s">
        <v>563</v>
      </c>
      <c r="B14" s="66" t="s">
        <v>593</v>
      </c>
      <c r="C14" s="69" t="s">
        <v>600</v>
      </c>
      <c r="D14" s="149" t="s">
        <v>601</v>
      </c>
      <c r="E14" s="149" t="s">
        <v>602</v>
      </c>
      <c r="F14" s="154">
        <v>1800.0</v>
      </c>
      <c r="G14" s="151">
        <v>45855.0</v>
      </c>
      <c r="H14" s="155">
        <f t="shared" si="1"/>
        <v>2700</v>
      </c>
      <c r="I14" s="37">
        <f t="shared" si="2"/>
        <v>2340</v>
      </c>
      <c r="J14" s="38">
        <f t="shared" si="3"/>
        <v>2340</v>
      </c>
      <c r="K14" s="39">
        <f t="shared" si="4"/>
        <v>2160</v>
      </c>
      <c r="L14" s="38">
        <f t="shared" si="5"/>
        <v>2070</v>
      </c>
      <c r="M14" s="39">
        <f t="shared" si="6"/>
        <v>1980</v>
      </c>
      <c r="N14" s="40"/>
      <c r="O14" s="34"/>
      <c r="P14" s="35"/>
      <c r="Q14" s="35"/>
      <c r="R14" s="35"/>
      <c r="S14" s="35"/>
      <c r="T14" s="35"/>
      <c r="U14" s="35"/>
      <c r="V14" s="35"/>
      <c r="W14" s="35"/>
      <c r="X14" s="35"/>
      <c r="Y14" s="35"/>
      <c r="Z14" s="35"/>
    </row>
    <row r="15">
      <c r="A15" s="66" t="s">
        <v>563</v>
      </c>
      <c r="B15" s="66" t="s">
        <v>580</v>
      </c>
      <c r="C15" s="69" t="s">
        <v>603</v>
      </c>
      <c r="D15" s="149" t="s">
        <v>604</v>
      </c>
      <c r="E15" s="149" t="s">
        <v>599</v>
      </c>
      <c r="F15" s="154">
        <v>2000.0</v>
      </c>
      <c r="G15" s="151">
        <v>45855.0</v>
      </c>
      <c r="H15" s="155">
        <f t="shared" si="1"/>
        <v>3000</v>
      </c>
      <c r="I15" s="37">
        <f t="shared" si="2"/>
        <v>2600</v>
      </c>
      <c r="J15" s="38">
        <f t="shared" si="3"/>
        <v>2600</v>
      </c>
      <c r="K15" s="39">
        <f t="shared" si="4"/>
        <v>2400</v>
      </c>
      <c r="L15" s="38">
        <f t="shared" si="5"/>
        <v>2300</v>
      </c>
      <c r="M15" s="39">
        <f t="shared" si="6"/>
        <v>2200</v>
      </c>
      <c r="N15" s="40"/>
      <c r="O15" s="34"/>
      <c r="P15" s="35"/>
      <c r="Q15" s="35"/>
      <c r="R15" s="35"/>
      <c r="S15" s="35"/>
      <c r="T15" s="35"/>
      <c r="U15" s="35"/>
      <c r="V15" s="35"/>
      <c r="W15" s="35"/>
      <c r="X15" s="35"/>
      <c r="Y15" s="35"/>
      <c r="Z15" s="35"/>
    </row>
    <row r="16">
      <c r="A16" s="66" t="s">
        <v>563</v>
      </c>
      <c r="B16" s="66" t="s">
        <v>580</v>
      </c>
      <c r="C16" s="69" t="s">
        <v>605</v>
      </c>
      <c r="D16" s="149" t="s">
        <v>606</v>
      </c>
      <c r="E16" s="149" t="s">
        <v>607</v>
      </c>
      <c r="F16" s="154">
        <v>2000.0</v>
      </c>
      <c r="G16" s="151">
        <v>45855.0</v>
      </c>
      <c r="H16" s="155">
        <f t="shared" si="1"/>
        <v>3000</v>
      </c>
      <c r="I16" s="37">
        <f t="shared" si="2"/>
        <v>2600</v>
      </c>
      <c r="J16" s="38">
        <f t="shared" si="3"/>
        <v>2600</v>
      </c>
      <c r="K16" s="39">
        <f t="shared" si="4"/>
        <v>2400</v>
      </c>
      <c r="L16" s="38">
        <f t="shared" si="5"/>
        <v>2300</v>
      </c>
      <c r="M16" s="39">
        <f t="shared" si="6"/>
        <v>2200</v>
      </c>
      <c r="N16" s="40"/>
      <c r="O16" s="34"/>
      <c r="P16" s="35"/>
      <c r="Q16" s="35"/>
      <c r="R16" s="35"/>
      <c r="S16" s="35"/>
      <c r="T16" s="35"/>
      <c r="U16" s="35"/>
      <c r="V16" s="35"/>
      <c r="W16" s="35"/>
      <c r="X16" s="35"/>
      <c r="Y16" s="35"/>
      <c r="Z16" s="35"/>
    </row>
    <row r="17">
      <c r="A17" s="66" t="s">
        <v>563</v>
      </c>
      <c r="B17" s="66" t="s">
        <v>580</v>
      </c>
      <c r="C17" s="69" t="s">
        <v>608</v>
      </c>
      <c r="D17" s="148" t="s">
        <v>609</v>
      </c>
      <c r="E17" s="149" t="s">
        <v>610</v>
      </c>
      <c r="F17" s="159">
        <v>2625.0</v>
      </c>
      <c r="G17" s="151">
        <v>45855.0</v>
      </c>
      <c r="H17" s="155">
        <f t="shared" si="1"/>
        <v>3937.5</v>
      </c>
      <c r="I17" s="37">
        <f t="shared" si="2"/>
        <v>3412.5</v>
      </c>
      <c r="J17" s="38">
        <f t="shared" si="3"/>
        <v>3412.5</v>
      </c>
      <c r="K17" s="39">
        <f t="shared" si="4"/>
        <v>3150</v>
      </c>
      <c r="L17" s="38">
        <f t="shared" si="5"/>
        <v>3018.75</v>
      </c>
      <c r="M17" s="39">
        <f t="shared" si="6"/>
        <v>2887.5</v>
      </c>
      <c r="N17" s="40"/>
      <c r="O17" s="34"/>
      <c r="P17" s="35"/>
      <c r="Q17" s="35"/>
      <c r="R17" s="35"/>
      <c r="S17" s="35"/>
      <c r="T17" s="35"/>
      <c r="U17" s="35"/>
      <c r="V17" s="35"/>
      <c r="W17" s="35"/>
      <c r="X17" s="35"/>
      <c r="Y17" s="35"/>
      <c r="Z17" s="35"/>
    </row>
    <row r="18">
      <c r="A18" s="66" t="s">
        <v>563</v>
      </c>
      <c r="B18" s="66" t="s">
        <v>580</v>
      </c>
      <c r="C18" s="69" t="s">
        <v>611</v>
      </c>
      <c r="D18" s="149" t="s">
        <v>604</v>
      </c>
      <c r="E18" s="149" t="s">
        <v>599</v>
      </c>
      <c r="F18" s="154">
        <v>1800.0</v>
      </c>
      <c r="G18" s="151">
        <v>45855.0</v>
      </c>
      <c r="H18" s="155">
        <f t="shared" si="1"/>
        <v>2700</v>
      </c>
      <c r="I18" s="37">
        <f t="shared" si="2"/>
        <v>2340</v>
      </c>
      <c r="J18" s="38">
        <f t="shared" si="3"/>
        <v>2340</v>
      </c>
      <c r="K18" s="39">
        <f t="shared" si="4"/>
        <v>2160</v>
      </c>
      <c r="L18" s="38">
        <f t="shared" si="5"/>
        <v>2070</v>
      </c>
      <c r="M18" s="39">
        <f t="shared" si="6"/>
        <v>1980</v>
      </c>
      <c r="N18" s="40"/>
      <c r="O18" s="34"/>
      <c r="P18" s="35"/>
      <c r="Q18" s="35"/>
      <c r="R18" s="35"/>
      <c r="S18" s="35"/>
      <c r="T18" s="35"/>
      <c r="U18" s="35"/>
      <c r="V18" s="35"/>
      <c r="W18" s="35"/>
      <c r="X18" s="35"/>
      <c r="Y18" s="35"/>
      <c r="Z18" s="35"/>
    </row>
    <row r="19">
      <c r="A19" s="66" t="s">
        <v>563</v>
      </c>
      <c r="B19" s="66" t="s">
        <v>580</v>
      </c>
      <c r="C19" s="69" t="s">
        <v>612</v>
      </c>
      <c r="D19" s="149" t="s">
        <v>613</v>
      </c>
      <c r="E19" s="149" t="s">
        <v>614</v>
      </c>
      <c r="F19" s="154">
        <v>2398.0</v>
      </c>
      <c r="G19" s="151">
        <v>45855.0</v>
      </c>
      <c r="H19" s="155">
        <f t="shared" si="1"/>
        <v>3597</v>
      </c>
      <c r="I19" s="37">
        <f t="shared" si="2"/>
        <v>3117.4</v>
      </c>
      <c r="J19" s="38">
        <f t="shared" si="3"/>
        <v>3117.4</v>
      </c>
      <c r="K19" s="39">
        <f t="shared" si="4"/>
        <v>2877.6</v>
      </c>
      <c r="L19" s="38">
        <f t="shared" si="5"/>
        <v>2757.7</v>
      </c>
      <c r="M19" s="39">
        <f t="shared" si="6"/>
        <v>2637.8</v>
      </c>
      <c r="N19" s="40"/>
      <c r="O19" s="34"/>
      <c r="P19" s="35"/>
      <c r="Q19" s="35"/>
      <c r="R19" s="35"/>
      <c r="S19" s="35"/>
      <c r="T19" s="35"/>
      <c r="U19" s="35"/>
      <c r="V19" s="35"/>
      <c r="W19" s="35"/>
      <c r="X19" s="35"/>
      <c r="Y19" s="35"/>
      <c r="Z19" s="35"/>
    </row>
    <row r="20">
      <c r="A20" s="66" t="s">
        <v>563</v>
      </c>
      <c r="B20" s="66" t="s">
        <v>580</v>
      </c>
      <c r="C20" s="69" t="s">
        <v>615</v>
      </c>
      <c r="D20" s="149" t="s">
        <v>616</v>
      </c>
      <c r="E20" s="149" t="s">
        <v>617</v>
      </c>
      <c r="F20" s="154">
        <v>3553.0</v>
      </c>
      <c r="G20" s="151">
        <v>45855.0</v>
      </c>
      <c r="H20" s="155">
        <f t="shared" si="1"/>
        <v>5329.5</v>
      </c>
      <c r="I20" s="37">
        <f t="shared" si="2"/>
        <v>4618.9</v>
      </c>
      <c r="J20" s="38">
        <f t="shared" si="3"/>
        <v>4618.9</v>
      </c>
      <c r="K20" s="39">
        <f t="shared" si="4"/>
        <v>4263.6</v>
      </c>
      <c r="L20" s="38">
        <f t="shared" si="5"/>
        <v>4085.95</v>
      </c>
      <c r="M20" s="39">
        <f t="shared" si="6"/>
        <v>3908.3</v>
      </c>
      <c r="N20" s="40"/>
      <c r="O20" s="34"/>
      <c r="P20" s="35"/>
      <c r="Q20" s="35"/>
      <c r="R20" s="35"/>
      <c r="S20" s="35"/>
      <c r="T20" s="35"/>
      <c r="U20" s="35"/>
      <c r="V20" s="35"/>
      <c r="W20" s="35"/>
      <c r="X20" s="35"/>
      <c r="Y20" s="35"/>
      <c r="Z20" s="35"/>
    </row>
    <row r="21" ht="15.75" customHeight="1">
      <c r="A21" s="66" t="s">
        <v>563</v>
      </c>
      <c r="B21" s="66" t="s">
        <v>580</v>
      </c>
      <c r="C21" s="69" t="s">
        <v>618</v>
      </c>
      <c r="D21" s="149" t="s">
        <v>619</v>
      </c>
      <c r="E21" s="149" t="s">
        <v>620</v>
      </c>
      <c r="F21" s="154">
        <v>3750.0</v>
      </c>
      <c r="G21" s="151">
        <v>45855.0</v>
      </c>
      <c r="H21" s="155">
        <f t="shared" si="1"/>
        <v>5625</v>
      </c>
      <c r="I21" s="37">
        <f t="shared" si="2"/>
        <v>4875</v>
      </c>
      <c r="J21" s="38">
        <f t="shared" si="3"/>
        <v>4875</v>
      </c>
      <c r="K21" s="39">
        <f t="shared" si="4"/>
        <v>4500</v>
      </c>
      <c r="L21" s="38">
        <f t="shared" si="5"/>
        <v>4312.5</v>
      </c>
      <c r="M21" s="39">
        <f t="shared" si="6"/>
        <v>4125</v>
      </c>
      <c r="N21" s="40"/>
      <c r="O21" s="34"/>
      <c r="P21" s="35"/>
      <c r="Q21" s="35"/>
      <c r="R21" s="35"/>
      <c r="S21" s="35"/>
      <c r="T21" s="35"/>
      <c r="U21" s="35"/>
      <c r="V21" s="35"/>
      <c r="W21" s="35"/>
      <c r="X21" s="35"/>
      <c r="Y21" s="35"/>
      <c r="Z21" s="35"/>
    </row>
    <row r="22" ht="15.75" customHeight="1">
      <c r="A22" s="66" t="s">
        <v>563</v>
      </c>
      <c r="B22" s="66" t="s">
        <v>580</v>
      </c>
      <c r="C22" s="69" t="s">
        <v>621</v>
      </c>
      <c r="D22" s="149" t="s">
        <v>622</v>
      </c>
      <c r="E22" s="149" t="s">
        <v>623</v>
      </c>
      <c r="F22" s="154">
        <v>2398.0</v>
      </c>
      <c r="G22" s="151">
        <v>45855.0</v>
      </c>
      <c r="H22" s="155">
        <f t="shared" si="1"/>
        <v>3597</v>
      </c>
      <c r="I22" s="37">
        <f t="shared" si="2"/>
        <v>3117.4</v>
      </c>
      <c r="J22" s="38">
        <f t="shared" si="3"/>
        <v>3117.4</v>
      </c>
      <c r="K22" s="39">
        <f t="shared" si="4"/>
        <v>2877.6</v>
      </c>
      <c r="L22" s="38">
        <f t="shared" si="5"/>
        <v>2757.7</v>
      </c>
      <c r="M22" s="39">
        <f t="shared" si="6"/>
        <v>2637.8</v>
      </c>
      <c r="N22" s="40"/>
      <c r="O22" s="34"/>
      <c r="P22" s="35"/>
      <c r="Q22" s="35"/>
      <c r="R22" s="35"/>
      <c r="S22" s="35"/>
      <c r="T22" s="35"/>
      <c r="U22" s="35"/>
      <c r="V22" s="35"/>
      <c r="W22" s="35"/>
      <c r="X22" s="35"/>
      <c r="Y22" s="35"/>
      <c r="Z22" s="35"/>
    </row>
    <row r="23" ht="15.75" customHeight="1">
      <c r="A23" s="66" t="s">
        <v>563</v>
      </c>
      <c r="B23" s="66" t="s">
        <v>580</v>
      </c>
      <c r="C23" s="69" t="s">
        <v>624</v>
      </c>
      <c r="D23" s="149" t="s">
        <v>625</v>
      </c>
      <c r="E23" s="149" t="s">
        <v>626</v>
      </c>
      <c r="F23" s="154">
        <v>2643.0</v>
      </c>
      <c r="G23" s="151">
        <v>45855.0</v>
      </c>
      <c r="H23" s="155">
        <f t="shared" si="1"/>
        <v>3964.5</v>
      </c>
      <c r="I23" s="37">
        <f t="shared" si="2"/>
        <v>3435.9</v>
      </c>
      <c r="J23" s="38">
        <f t="shared" si="3"/>
        <v>3435.9</v>
      </c>
      <c r="K23" s="39">
        <f t="shared" si="4"/>
        <v>3171.6</v>
      </c>
      <c r="L23" s="38">
        <f t="shared" si="5"/>
        <v>3039.45</v>
      </c>
      <c r="M23" s="39">
        <f t="shared" si="6"/>
        <v>2907.3</v>
      </c>
      <c r="N23" s="40"/>
      <c r="O23" s="34"/>
      <c r="P23" s="35"/>
      <c r="Q23" s="35"/>
      <c r="R23" s="35"/>
      <c r="S23" s="35"/>
      <c r="T23" s="35"/>
      <c r="U23" s="35"/>
      <c r="V23" s="35"/>
      <c r="W23" s="35"/>
      <c r="X23" s="35"/>
      <c r="Y23" s="35"/>
      <c r="Z23" s="35"/>
    </row>
    <row r="24" ht="15.75" customHeight="1">
      <c r="A24" s="66" t="s">
        <v>563</v>
      </c>
      <c r="B24" s="66" t="s">
        <v>580</v>
      </c>
      <c r="C24" s="69" t="s">
        <v>627</v>
      </c>
      <c r="D24" s="149" t="s">
        <v>628</v>
      </c>
      <c r="E24" s="149" t="s">
        <v>629</v>
      </c>
      <c r="F24" s="154">
        <v>3454.0</v>
      </c>
      <c r="G24" s="151">
        <v>45855.0</v>
      </c>
      <c r="H24" s="155">
        <f t="shared" si="1"/>
        <v>5181</v>
      </c>
      <c r="I24" s="37">
        <f t="shared" si="2"/>
        <v>4490.2</v>
      </c>
      <c r="J24" s="38">
        <f t="shared" si="3"/>
        <v>4490.2</v>
      </c>
      <c r="K24" s="39">
        <f t="shared" si="4"/>
        <v>4144.8</v>
      </c>
      <c r="L24" s="38">
        <f t="shared" si="5"/>
        <v>3972.1</v>
      </c>
      <c r="M24" s="39">
        <f t="shared" si="6"/>
        <v>3799.4</v>
      </c>
      <c r="N24" s="40"/>
      <c r="O24" s="34"/>
      <c r="P24" s="35"/>
      <c r="Q24" s="35"/>
      <c r="R24" s="35"/>
      <c r="S24" s="35"/>
      <c r="T24" s="35"/>
      <c r="U24" s="35"/>
      <c r="V24" s="35"/>
      <c r="W24" s="35"/>
      <c r="X24" s="35"/>
      <c r="Y24" s="35"/>
      <c r="Z24" s="35"/>
    </row>
    <row r="25" ht="15.75" customHeight="1">
      <c r="A25" s="66" t="s">
        <v>563</v>
      </c>
      <c r="B25" s="66" t="s">
        <v>580</v>
      </c>
      <c r="C25" s="66" t="s">
        <v>630</v>
      </c>
      <c r="D25" s="149" t="s">
        <v>631</v>
      </c>
      <c r="E25" s="149" t="s">
        <v>632</v>
      </c>
      <c r="F25" s="154">
        <v>3661.0</v>
      </c>
      <c r="G25" s="151">
        <v>45855.0</v>
      </c>
      <c r="H25" s="155">
        <f t="shared" si="1"/>
        <v>5491.5</v>
      </c>
      <c r="I25" s="37">
        <f t="shared" si="2"/>
        <v>4759.3</v>
      </c>
      <c r="J25" s="38">
        <f t="shared" si="3"/>
        <v>4759.3</v>
      </c>
      <c r="K25" s="39">
        <f t="shared" si="4"/>
        <v>4393.2</v>
      </c>
      <c r="L25" s="38">
        <f t="shared" si="5"/>
        <v>4210.15</v>
      </c>
      <c r="M25" s="39">
        <f t="shared" si="6"/>
        <v>4027.1</v>
      </c>
      <c r="N25" s="40"/>
      <c r="O25" s="34"/>
      <c r="P25" s="35"/>
      <c r="Q25" s="35"/>
      <c r="R25" s="35"/>
      <c r="S25" s="35"/>
      <c r="T25" s="35"/>
      <c r="U25" s="35"/>
      <c r="V25" s="35"/>
      <c r="W25" s="35"/>
      <c r="X25" s="35"/>
      <c r="Y25" s="35"/>
      <c r="Z25" s="35"/>
    </row>
    <row r="26" ht="15.75" customHeight="1">
      <c r="A26" s="66" t="s">
        <v>563</v>
      </c>
      <c r="B26" s="66" t="s">
        <v>580</v>
      </c>
      <c r="C26" s="66" t="s">
        <v>633</v>
      </c>
      <c r="D26" s="149" t="s">
        <v>634</v>
      </c>
      <c r="E26" s="149" t="s">
        <v>635</v>
      </c>
      <c r="F26" s="154">
        <v>3454.0</v>
      </c>
      <c r="G26" s="151">
        <v>45855.0</v>
      </c>
      <c r="H26" s="155">
        <f t="shared" si="1"/>
        <v>5181</v>
      </c>
      <c r="I26" s="37">
        <f t="shared" si="2"/>
        <v>4490.2</v>
      </c>
      <c r="J26" s="38">
        <f t="shared" si="3"/>
        <v>4490.2</v>
      </c>
      <c r="K26" s="39">
        <f t="shared" si="4"/>
        <v>4144.8</v>
      </c>
      <c r="L26" s="38">
        <f t="shared" si="5"/>
        <v>3972.1</v>
      </c>
      <c r="M26" s="39">
        <f t="shared" si="6"/>
        <v>3799.4</v>
      </c>
      <c r="N26" s="40"/>
      <c r="O26" s="34"/>
      <c r="P26" s="35"/>
      <c r="Q26" s="35"/>
      <c r="R26" s="35"/>
      <c r="S26" s="35"/>
      <c r="T26" s="35"/>
      <c r="U26" s="35"/>
      <c r="V26" s="35"/>
      <c r="W26" s="35"/>
      <c r="X26" s="35"/>
      <c r="Y26" s="35"/>
      <c r="Z26" s="35"/>
    </row>
    <row r="27" ht="15.75" customHeight="1">
      <c r="A27" s="66" t="s">
        <v>563</v>
      </c>
      <c r="B27" s="66" t="s">
        <v>580</v>
      </c>
      <c r="C27" s="66" t="s">
        <v>636</v>
      </c>
      <c r="D27" s="149" t="s">
        <v>637</v>
      </c>
      <c r="E27" s="149" t="s">
        <v>638</v>
      </c>
      <c r="F27" s="154">
        <v>3661.0</v>
      </c>
      <c r="G27" s="151">
        <v>45855.0</v>
      </c>
      <c r="H27" s="155">
        <f t="shared" si="1"/>
        <v>5491.5</v>
      </c>
      <c r="I27" s="37">
        <f t="shared" si="2"/>
        <v>4759.3</v>
      </c>
      <c r="J27" s="38">
        <f t="shared" si="3"/>
        <v>4759.3</v>
      </c>
      <c r="K27" s="39">
        <f t="shared" si="4"/>
        <v>4393.2</v>
      </c>
      <c r="L27" s="38">
        <f t="shared" si="5"/>
        <v>4210.15</v>
      </c>
      <c r="M27" s="39">
        <f t="shared" si="6"/>
        <v>4027.1</v>
      </c>
      <c r="N27" s="40"/>
      <c r="O27" s="34"/>
      <c r="P27" s="35"/>
      <c r="Q27" s="35"/>
      <c r="R27" s="35"/>
      <c r="S27" s="35"/>
      <c r="T27" s="35"/>
      <c r="U27" s="35"/>
      <c r="V27" s="35"/>
      <c r="W27" s="35"/>
      <c r="X27" s="35"/>
      <c r="Y27" s="35"/>
      <c r="Z27" s="35"/>
    </row>
    <row r="28" ht="15.75" customHeight="1">
      <c r="A28" s="66" t="s">
        <v>563</v>
      </c>
      <c r="B28" s="66" t="s">
        <v>580</v>
      </c>
      <c r="C28" s="69" t="s">
        <v>639</v>
      </c>
      <c r="D28" s="149" t="s">
        <v>628</v>
      </c>
      <c r="E28" s="149" t="s">
        <v>640</v>
      </c>
      <c r="F28" s="154">
        <v>3730.0</v>
      </c>
      <c r="G28" s="151">
        <v>45855.0</v>
      </c>
      <c r="H28" s="155">
        <f t="shared" si="1"/>
        <v>5595</v>
      </c>
      <c r="I28" s="37">
        <f t="shared" si="2"/>
        <v>4849</v>
      </c>
      <c r="J28" s="38">
        <f t="shared" si="3"/>
        <v>4849</v>
      </c>
      <c r="K28" s="39">
        <f t="shared" si="4"/>
        <v>4476</v>
      </c>
      <c r="L28" s="38">
        <f t="shared" si="5"/>
        <v>4289.5</v>
      </c>
      <c r="M28" s="39">
        <f t="shared" si="6"/>
        <v>4103</v>
      </c>
      <c r="N28" s="40"/>
      <c r="O28" s="34"/>
      <c r="P28" s="35"/>
      <c r="Q28" s="35"/>
      <c r="R28" s="35"/>
      <c r="S28" s="35"/>
      <c r="T28" s="35"/>
      <c r="U28" s="35"/>
      <c r="V28" s="35"/>
      <c r="W28" s="35"/>
      <c r="X28" s="35"/>
      <c r="Y28" s="35"/>
      <c r="Z28" s="35"/>
    </row>
    <row r="29" ht="15.75" customHeight="1">
      <c r="A29" s="66" t="s">
        <v>563</v>
      </c>
      <c r="B29" s="66" t="s">
        <v>580</v>
      </c>
      <c r="C29" s="69" t="s">
        <v>641</v>
      </c>
      <c r="D29" s="149" t="s">
        <v>642</v>
      </c>
      <c r="E29" s="149" t="s">
        <v>643</v>
      </c>
      <c r="F29" s="154">
        <v>3553.0</v>
      </c>
      <c r="G29" s="151">
        <v>45855.0</v>
      </c>
      <c r="H29" s="155">
        <f t="shared" si="1"/>
        <v>5329.5</v>
      </c>
      <c r="I29" s="37">
        <f t="shared" si="2"/>
        <v>4618.9</v>
      </c>
      <c r="J29" s="38">
        <f t="shared" si="3"/>
        <v>4618.9</v>
      </c>
      <c r="K29" s="39">
        <f t="shared" si="4"/>
        <v>4263.6</v>
      </c>
      <c r="L29" s="38">
        <f t="shared" si="5"/>
        <v>4085.95</v>
      </c>
      <c r="M29" s="39">
        <f t="shared" si="6"/>
        <v>3908.3</v>
      </c>
      <c r="N29" s="40"/>
      <c r="O29" s="34"/>
      <c r="P29" s="35"/>
      <c r="Q29" s="35"/>
      <c r="R29" s="35"/>
      <c r="S29" s="35"/>
      <c r="T29" s="35"/>
      <c r="U29" s="35"/>
      <c r="V29" s="35"/>
      <c r="W29" s="35"/>
      <c r="X29" s="35"/>
      <c r="Y29" s="35"/>
      <c r="Z29" s="35"/>
    </row>
    <row r="30" ht="15.75" customHeight="1">
      <c r="A30" s="66" t="s">
        <v>563</v>
      </c>
      <c r="B30" s="66" t="s">
        <v>580</v>
      </c>
      <c r="C30" s="69" t="s">
        <v>644</v>
      </c>
      <c r="D30" s="149" t="s">
        <v>645</v>
      </c>
      <c r="E30" s="149" t="s">
        <v>646</v>
      </c>
      <c r="F30" s="160">
        <v>3553.0</v>
      </c>
      <c r="G30" s="151">
        <v>45855.0</v>
      </c>
      <c r="H30" s="155">
        <f t="shared" si="1"/>
        <v>5329.5</v>
      </c>
      <c r="I30" s="37">
        <f t="shared" si="2"/>
        <v>4618.9</v>
      </c>
      <c r="J30" s="38">
        <f t="shared" si="3"/>
        <v>4618.9</v>
      </c>
      <c r="K30" s="39">
        <f t="shared" si="4"/>
        <v>4263.6</v>
      </c>
      <c r="L30" s="38">
        <f t="shared" si="5"/>
        <v>4085.95</v>
      </c>
      <c r="M30" s="39">
        <f t="shared" si="6"/>
        <v>3908.3</v>
      </c>
      <c r="N30" s="40"/>
      <c r="O30" s="34"/>
      <c r="P30" s="35"/>
      <c r="Q30" s="35"/>
      <c r="R30" s="35"/>
      <c r="S30" s="35"/>
      <c r="T30" s="35"/>
      <c r="U30" s="35"/>
      <c r="V30" s="35"/>
      <c r="W30" s="35"/>
      <c r="X30" s="35"/>
      <c r="Y30" s="35"/>
      <c r="Z30" s="35"/>
    </row>
    <row r="31" ht="15.75" customHeight="1">
      <c r="A31" s="66" t="s">
        <v>563</v>
      </c>
      <c r="B31" s="66" t="s">
        <v>580</v>
      </c>
      <c r="C31" s="69" t="s">
        <v>647</v>
      </c>
      <c r="D31" s="149" t="s">
        <v>648</v>
      </c>
      <c r="E31" s="149" t="s">
        <v>649</v>
      </c>
      <c r="F31" s="154">
        <v>3750.0</v>
      </c>
      <c r="G31" s="151">
        <v>45855.0</v>
      </c>
      <c r="H31" s="155">
        <f t="shared" si="1"/>
        <v>5625</v>
      </c>
      <c r="I31" s="37">
        <f t="shared" si="2"/>
        <v>4875</v>
      </c>
      <c r="J31" s="38">
        <f t="shared" si="3"/>
        <v>4875</v>
      </c>
      <c r="K31" s="39">
        <f t="shared" si="4"/>
        <v>4500</v>
      </c>
      <c r="L31" s="38">
        <f t="shared" si="5"/>
        <v>4312.5</v>
      </c>
      <c r="M31" s="39">
        <f t="shared" si="6"/>
        <v>4125</v>
      </c>
      <c r="N31" s="40"/>
      <c r="O31" s="34"/>
      <c r="P31" s="35"/>
      <c r="Q31" s="35"/>
      <c r="R31" s="35"/>
      <c r="S31" s="35"/>
      <c r="T31" s="35"/>
      <c r="U31" s="35"/>
      <c r="V31" s="35"/>
      <c r="W31" s="35"/>
      <c r="X31" s="35"/>
      <c r="Y31" s="35"/>
      <c r="Z31" s="35"/>
    </row>
    <row r="32" ht="15.75" customHeight="1">
      <c r="A32" s="66" t="s">
        <v>563</v>
      </c>
      <c r="B32" s="66" t="s">
        <v>580</v>
      </c>
      <c r="C32" s="69" t="s">
        <v>650</v>
      </c>
      <c r="D32" s="149" t="s">
        <v>651</v>
      </c>
      <c r="E32" s="149" t="s">
        <v>652</v>
      </c>
      <c r="F32" s="154">
        <v>3750.0</v>
      </c>
      <c r="G32" s="151">
        <v>45855.0</v>
      </c>
      <c r="H32" s="155">
        <f t="shared" si="1"/>
        <v>5625</v>
      </c>
      <c r="I32" s="37">
        <f t="shared" si="2"/>
        <v>4875</v>
      </c>
      <c r="J32" s="38">
        <f t="shared" si="3"/>
        <v>4875</v>
      </c>
      <c r="K32" s="39">
        <f t="shared" si="4"/>
        <v>4500</v>
      </c>
      <c r="L32" s="38">
        <f t="shared" si="5"/>
        <v>4312.5</v>
      </c>
      <c r="M32" s="39">
        <f t="shared" si="6"/>
        <v>4125</v>
      </c>
      <c r="N32" s="40"/>
      <c r="O32" s="34"/>
      <c r="P32" s="35"/>
      <c r="Q32" s="35"/>
      <c r="R32" s="35"/>
      <c r="S32" s="35"/>
      <c r="T32" s="35"/>
      <c r="U32" s="35"/>
      <c r="V32" s="35"/>
      <c r="W32" s="35"/>
      <c r="X32" s="35"/>
      <c r="Y32" s="35"/>
      <c r="Z32" s="35"/>
    </row>
    <row r="33" ht="15.75" customHeight="1">
      <c r="A33" s="66" t="s">
        <v>563</v>
      </c>
      <c r="B33" s="66" t="s">
        <v>580</v>
      </c>
      <c r="C33" s="69" t="s">
        <v>653</v>
      </c>
      <c r="D33" s="148" t="s">
        <v>654</v>
      </c>
      <c r="E33" s="149" t="s">
        <v>655</v>
      </c>
      <c r="F33" s="154">
        <v>4382.0</v>
      </c>
      <c r="G33" s="151">
        <v>45855.0</v>
      </c>
      <c r="H33" s="155">
        <f t="shared" si="1"/>
        <v>6573</v>
      </c>
      <c r="I33" s="37">
        <f t="shared" si="2"/>
        <v>5696.6</v>
      </c>
      <c r="J33" s="38">
        <f t="shared" si="3"/>
        <v>5696.6</v>
      </c>
      <c r="K33" s="39">
        <f t="shared" si="4"/>
        <v>5258.4</v>
      </c>
      <c r="L33" s="38">
        <f t="shared" si="5"/>
        <v>5039.3</v>
      </c>
      <c r="M33" s="39">
        <f t="shared" si="6"/>
        <v>4820.2</v>
      </c>
      <c r="N33" s="40"/>
      <c r="O33" s="34"/>
      <c r="P33" s="35"/>
      <c r="Q33" s="35"/>
      <c r="R33" s="35"/>
      <c r="S33" s="35"/>
      <c r="T33" s="35"/>
      <c r="U33" s="35"/>
      <c r="V33" s="35"/>
      <c r="W33" s="35"/>
      <c r="X33" s="35"/>
      <c r="Y33" s="35"/>
      <c r="Z33" s="35"/>
    </row>
    <row r="34" ht="15.75" customHeight="1">
      <c r="A34" s="66" t="s">
        <v>563</v>
      </c>
      <c r="B34" s="66" t="s">
        <v>580</v>
      </c>
      <c r="C34" s="69" t="s">
        <v>656</v>
      </c>
      <c r="D34" s="149" t="s">
        <v>657</v>
      </c>
      <c r="E34" s="149" t="s">
        <v>658</v>
      </c>
      <c r="F34" s="154">
        <v>4550.0</v>
      </c>
      <c r="G34" s="151">
        <v>45855.0</v>
      </c>
      <c r="H34" s="155">
        <f t="shared" si="1"/>
        <v>6825</v>
      </c>
      <c r="I34" s="37">
        <f t="shared" si="2"/>
        <v>5915</v>
      </c>
      <c r="J34" s="38">
        <f t="shared" si="3"/>
        <v>5915</v>
      </c>
      <c r="K34" s="39">
        <f t="shared" si="4"/>
        <v>5460</v>
      </c>
      <c r="L34" s="38">
        <f t="shared" si="5"/>
        <v>5232.5</v>
      </c>
      <c r="M34" s="39">
        <f t="shared" si="6"/>
        <v>5005</v>
      </c>
      <c r="N34" s="40"/>
      <c r="O34" s="34"/>
      <c r="P34" s="35"/>
      <c r="Q34" s="35"/>
      <c r="R34" s="35"/>
      <c r="S34" s="35"/>
      <c r="T34" s="35"/>
      <c r="U34" s="35"/>
      <c r="V34" s="35"/>
      <c r="W34" s="35"/>
      <c r="X34" s="35"/>
      <c r="Y34" s="35"/>
      <c r="Z34" s="35"/>
    </row>
    <row r="35" ht="15.75" customHeight="1">
      <c r="A35" s="66" t="s">
        <v>563</v>
      </c>
      <c r="B35" s="66" t="s">
        <v>580</v>
      </c>
      <c r="C35" s="69" t="s">
        <v>659</v>
      </c>
      <c r="D35" s="149" t="s">
        <v>660</v>
      </c>
      <c r="E35" s="149" t="s">
        <v>661</v>
      </c>
      <c r="F35" s="154">
        <v>4680.0</v>
      </c>
      <c r="G35" s="151">
        <v>45855.0</v>
      </c>
      <c r="H35" s="155">
        <f t="shared" si="1"/>
        <v>7020</v>
      </c>
      <c r="I35" s="37">
        <f t="shared" si="2"/>
        <v>6084</v>
      </c>
      <c r="J35" s="38">
        <f t="shared" si="3"/>
        <v>6084</v>
      </c>
      <c r="K35" s="39">
        <f t="shared" si="4"/>
        <v>5616</v>
      </c>
      <c r="L35" s="38">
        <f t="shared" si="5"/>
        <v>5382</v>
      </c>
      <c r="M35" s="39">
        <f t="shared" si="6"/>
        <v>5148</v>
      </c>
      <c r="N35" s="40"/>
      <c r="O35" s="34"/>
      <c r="P35" s="35"/>
      <c r="Q35" s="35"/>
      <c r="R35" s="35"/>
      <c r="S35" s="35"/>
      <c r="T35" s="35"/>
      <c r="U35" s="35"/>
      <c r="V35" s="35"/>
      <c r="W35" s="35"/>
      <c r="X35" s="35"/>
      <c r="Y35" s="35"/>
      <c r="Z35" s="35"/>
    </row>
    <row r="36" ht="15.75" customHeight="1">
      <c r="A36" s="66" t="s">
        <v>563</v>
      </c>
      <c r="B36" s="66" t="s">
        <v>580</v>
      </c>
      <c r="C36" s="69" t="s">
        <v>662</v>
      </c>
      <c r="D36" s="148" t="s">
        <v>663</v>
      </c>
      <c r="E36" s="149" t="s">
        <v>664</v>
      </c>
      <c r="F36" s="154">
        <v>4947.0</v>
      </c>
      <c r="G36" s="151">
        <v>45855.0</v>
      </c>
      <c r="H36" s="155">
        <f t="shared" si="1"/>
        <v>7420.5</v>
      </c>
      <c r="I36" s="37">
        <f t="shared" si="2"/>
        <v>6431.1</v>
      </c>
      <c r="J36" s="38">
        <f t="shared" si="3"/>
        <v>6431.1</v>
      </c>
      <c r="K36" s="39">
        <f t="shared" si="4"/>
        <v>5936.4</v>
      </c>
      <c r="L36" s="38">
        <f t="shared" si="5"/>
        <v>5689.05</v>
      </c>
      <c r="M36" s="39">
        <f t="shared" si="6"/>
        <v>5441.7</v>
      </c>
      <c r="N36" s="40"/>
      <c r="O36" s="34"/>
      <c r="P36" s="35"/>
      <c r="Q36" s="35"/>
      <c r="R36" s="35"/>
      <c r="S36" s="35"/>
      <c r="T36" s="35"/>
      <c r="U36" s="35"/>
      <c r="V36" s="35"/>
      <c r="W36" s="35"/>
      <c r="X36" s="35"/>
      <c r="Y36" s="35"/>
      <c r="Z36" s="35"/>
    </row>
    <row r="37" ht="15.75" customHeight="1">
      <c r="A37" s="66" t="s">
        <v>563</v>
      </c>
      <c r="B37" s="66" t="s">
        <v>580</v>
      </c>
      <c r="C37" s="69" t="s">
        <v>665</v>
      </c>
      <c r="D37" s="148" t="s">
        <v>666</v>
      </c>
      <c r="E37" s="149" t="s">
        <v>667</v>
      </c>
      <c r="F37" s="154">
        <v>7150.0</v>
      </c>
      <c r="G37" s="151">
        <v>45855.0</v>
      </c>
      <c r="H37" s="155">
        <f t="shared" si="1"/>
        <v>10725</v>
      </c>
      <c r="I37" s="37">
        <f t="shared" si="2"/>
        <v>9295</v>
      </c>
      <c r="J37" s="38">
        <f t="shared" si="3"/>
        <v>9295</v>
      </c>
      <c r="K37" s="39">
        <f t="shared" si="4"/>
        <v>8580</v>
      </c>
      <c r="L37" s="38">
        <f t="shared" si="5"/>
        <v>8222.5</v>
      </c>
      <c r="M37" s="39">
        <f t="shared" si="6"/>
        <v>7865</v>
      </c>
      <c r="N37" s="40"/>
      <c r="O37" s="34"/>
      <c r="P37" s="35"/>
      <c r="Q37" s="35"/>
      <c r="R37" s="35"/>
      <c r="S37" s="35"/>
      <c r="T37" s="35"/>
      <c r="U37" s="35"/>
      <c r="V37" s="35"/>
      <c r="W37" s="35"/>
      <c r="X37" s="35"/>
      <c r="Y37" s="35"/>
      <c r="Z37" s="35"/>
    </row>
    <row r="38" ht="15.75" customHeight="1">
      <c r="A38" s="66" t="s">
        <v>563</v>
      </c>
      <c r="B38" s="66" t="s">
        <v>580</v>
      </c>
      <c r="C38" s="69" t="s">
        <v>668</v>
      </c>
      <c r="D38" s="148" t="s">
        <v>669</v>
      </c>
      <c r="E38" s="149" t="s">
        <v>670</v>
      </c>
      <c r="F38" s="154">
        <v>4810.0</v>
      </c>
      <c r="G38" s="151">
        <v>45855.0</v>
      </c>
      <c r="H38" s="155">
        <f t="shared" si="1"/>
        <v>7215</v>
      </c>
      <c r="I38" s="37">
        <f t="shared" si="2"/>
        <v>6253</v>
      </c>
      <c r="J38" s="38">
        <f t="shared" si="3"/>
        <v>6253</v>
      </c>
      <c r="K38" s="39">
        <f t="shared" si="4"/>
        <v>5772</v>
      </c>
      <c r="L38" s="38">
        <f t="shared" si="5"/>
        <v>5531.5</v>
      </c>
      <c r="M38" s="39">
        <f t="shared" si="6"/>
        <v>5291</v>
      </c>
      <c r="N38" s="40"/>
      <c r="O38" s="34"/>
      <c r="P38" s="35"/>
      <c r="Q38" s="35"/>
      <c r="R38" s="35"/>
      <c r="S38" s="35"/>
      <c r="T38" s="35"/>
      <c r="U38" s="35"/>
      <c r="V38" s="35"/>
      <c r="W38" s="35"/>
      <c r="X38" s="35"/>
      <c r="Y38" s="35"/>
      <c r="Z38" s="35"/>
    </row>
    <row r="39" ht="15.75" customHeight="1">
      <c r="A39" s="66" t="s">
        <v>563</v>
      </c>
      <c r="B39" s="66" t="s">
        <v>580</v>
      </c>
      <c r="C39" s="69" t="s">
        <v>671</v>
      </c>
      <c r="D39" s="148" t="s">
        <v>657</v>
      </c>
      <c r="E39" s="149" t="s">
        <v>672</v>
      </c>
      <c r="F39" s="154">
        <v>5135.0</v>
      </c>
      <c r="G39" s="151">
        <v>45855.0</v>
      </c>
      <c r="H39" s="155">
        <f t="shared" si="1"/>
        <v>7702.5</v>
      </c>
      <c r="I39" s="37">
        <f t="shared" si="2"/>
        <v>6675.5</v>
      </c>
      <c r="J39" s="38">
        <f t="shared" si="3"/>
        <v>6675.5</v>
      </c>
      <c r="K39" s="39">
        <f t="shared" si="4"/>
        <v>6162</v>
      </c>
      <c r="L39" s="38">
        <f t="shared" si="5"/>
        <v>5905.25</v>
      </c>
      <c r="M39" s="39">
        <f t="shared" si="6"/>
        <v>5648.5</v>
      </c>
      <c r="N39" s="40"/>
      <c r="O39" s="34"/>
      <c r="P39" s="35"/>
      <c r="Q39" s="35"/>
      <c r="R39" s="35"/>
      <c r="S39" s="35"/>
      <c r="T39" s="35"/>
      <c r="U39" s="35"/>
      <c r="V39" s="35"/>
      <c r="W39" s="35"/>
      <c r="X39" s="35"/>
      <c r="Y39" s="35"/>
      <c r="Z39" s="35"/>
    </row>
    <row r="40" ht="15.75" customHeight="1">
      <c r="A40" s="66" t="s">
        <v>563</v>
      </c>
      <c r="B40" s="66" t="s">
        <v>580</v>
      </c>
      <c r="C40" s="69" t="s">
        <v>673</v>
      </c>
      <c r="D40" s="148" t="s">
        <v>674</v>
      </c>
      <c r="E40" s="149" t="s">
        <v>675</v>
      </c>
      <c r="F40" s="154">
        <v>5265.0</v>
      </c>
      <c r="G40" s="151">
        <v>45855.0</v>
      </c>
      <c r="H40" s="155">
        <f t="shared" si="1"/>
        <v>7897.5</v>
      </c>
      <c r="I40" s="37">
        <f t="shared" si="2"/>
        <v>6844.5</v>
      </c>
      <c r="J40" s="38">
        <f t="shared" si="3"/>
        <v>6844.5</v>
      </c>
      <c r="K40" s="39">
        <f t="shared" si="4"/>
        <v>6318</v>
      </c>
      <c r="L40" s="38">
        <f t="shared" si="5"/>
        <v>6054.75</v>
      </c>
      <c r="M40" s="39">
        <f t="shared" si="6"/>
        <v>5791.5</v>
      </c>
      <c r="N40" s="40"/>
      <c r="O40" s="34"/>
      <c r="P40" s="35"/>
      <c r="Q40" s="35"/>
      <c r="R40" s="35"/>
      <c r="S40" s="35"/>
      <c r="T40" s="35"/>
      <c r="U40" s="35"/>
      <c r="V40" s="35"/>
      <c r="W40" s="35"/>
      <c r="X40" s="35"/>
      <c r="Y40" s="35"/>
      <c r="Z40" s="35"/>
    </row>
    <row r="41" ht="15.75" customHeight="1">
      <c r="A41" s="66" t="s">
        <v>563</v>
      </c>
      <c r="B41" s="66" t="s">
        <v>580</v>
      </c>
      <c r="C41" s="69" t="s">
        <v>676</v>
      </c>
      <c r="D41" s="148" t="s">
        <v>677</v>
      </c>
      <c r="E41" s="149" t="s">
        <v>678</v>
      </c>
      <c r="F41" s="154">
        <v>5522.0</v>
      </c>
      <c r="G41" s="151">
        <v>45855.0</v>
      </c>
      <c r="H41" s="155">
        <f t="shared" si="1"/>
        <v>8283</v>
      </c>
      <c r="I41" s="37">
        <f t="shared" si="2"/>
        <v>7178.6</v>
      </c>
      <c r="J41" s="38">
        <f t="shared" si="3"/>
        <v>7178.6</v>
      </c>
      <c r="K41" s="39">
        <f t="shared" si="4"/>
        <v>6626.4</v>
      </c>
      <c r="L41" s="38">
        <f t="shared" si="5"/>
        <v>6350.3</v>
      </c>
      <c r="M41" s="39">
        <f t="shared" si="6"/>
        <v>6074.2</v>
      </c>
      <c r="N41" s="40"/>
      <c r="O41" s="34"/>
      <c r="P41" s="35"/>
      <c r="Q41" s="35"/>
      <c r="R41" s="35"/>
      <c r="S41" s="35"/>
      <c r="T41" s="35"/>
      <c r="U41" s="35"/>
      <c r="V41" s="35"/>
      <c r="W41" s="35"/>
      <c r="X41" s="35"/>
      <c r="Y41" s="35"/>
      <c r="Z41" s="35"/>
    </row>
    <row r="42" ht="15.75" customHeight="1">
      <c r="A42" s="66" t="s">
        <v>563</v>
      </c>
      <c r="B42" s="66" t="s">
        <v>580</v>
      </c>
      <c r="C42" s="69" t="s">
        <v>679</v>
      </c>
      <c r="D42" s="149" t="s">
        <v>680</v>
      </c>
      <c r="E42" s="149" t="s">
        <v>681</v>
      </c>
      <c r="F42" s="154">
        <v>7995.0</v>
      </c>
      <c r="G42" s="151">
        <v>45855.0</v>
      </c>
      <c r="H42" s="155">
        <f t="shared" si="1"/>
        <v>11992.5</v>
      </c>
      <c r="I42" s="37">
        <f t="shared" si="2"/>
        <v>10393.5</v>
      </c>
      <c r="J42" s="38">
        <f t="shared" si="3"/>
        <v>10393.5</v>
      </c>
      <c r="K42" s="39">
        <f t="shared" si="4"/>
        <v>9594</v>
      </c>
      <c r="L42" s="38">
        <f t="shared" si="5"/>
        <v>9194.25</v>
      </c>
      <c r="M42" s="39">
        <f t="shared" si="6"/>
        <v>8794.5</v>
      </c>
      <c r="N42" s="40"/>
      <c r="O42" s="34"/>
      <c r="P42" s="35"/>
      <c r="Q42" s="35"/>
      <c r="R42" s="35"/>
      <c r="S42" s="35"/>
      <c r="T42" s="35"/>
      <c r="U42" s="35"/>
      <c r="V42" s="35"/>
      <c r="W42" s="35"/>
      <c r="X42" s="35"/>
      <c r="Y42" s="35"/>
      <c r="Z42" s="35"/>
    </row>
    <row r="43" ht="15.75" customHeight="1">
      <c r="A43" s="66" t="s">
        <v>563</v>
      </c>
      <c r="B43" s="66" t="s">
        <v>580</v>
      </c>
      <c r="C43" s="69" t="s">
        <v>682</v>
      </c>
      <c r="D43" s="149" t="s">
        <v>683</v>
      </c>
      <c r="E43" s="149" t="s">
        <v>684</v>
      </c>
      <c r="F43" s="154">
        <v>4454.0</v>
      </c>
      <c r="G43" s="151">
        <v>45855.0</v>
      </c>
      <c r="H43" s="155">
        <f t="shared" si="1"/>
        <v>6681</v>
      </c>
      <c r="I43" s="37">
        <f t="shared" si="2"/>
        <v>5790.2</v>
      </c>
      <c r="J43" s="38">
        <f t="shared" si="3"/>
        <v>5790.2</v>
      </c>
      <c r="K43" s="39">
        <f t="shared" si="4"/>
        <v>5344.8</v>
      </c>
      <c r="L43" s="38">
        <f t="shared" si="5"/>
        <v>5122.1</v>
      </c>
      <c r="M43" s="39">
        <f t="shared" si="6"/>
        <v>4899.4</v>
      </c>
      <c r="N43" s="40"/>
      <c r="O43" s="34"/>
      <c r="P43" s="35"/>
      <c r="Q43" s="35"/>
      <c r="R43" s="35"/>
      <c r="S43" s="35"/>
      <c r="T43" s="35"/>
      <c r="U43" s="35"/>
      <c r="V43" s="35"/>
      <c r="W43" s="35"/>
      <c r="X43" s="35"/>
      <c r="Y43" s="35"/>
      <c r="Z43" s="35"/>
    </row>
    <row r="44" ht="15.75" customHeight="1">
      <c r="A44" s="66" t="s">
        <v>563</v>
      </c>
      <c r="B44" s="66" t="s">
        <v>580</v>
      </c>
      <c r="C44" s="69" t="s">
        <v>685</v>
      </c>
      <c r="D44" s="149" t="s">
        <v>686</v>
      </c>
      <c r="E44" s="149" t="s">
        <v>687</v>
      </c>
      <c r="F44" s="154">
        <v>4615.0</v>
      </c>
      <c r="G44" s="151">
        <v>45855.0</v>
      </c>
      <c r="H44" s="155">
        <f t="shared" si="1"/>
        <v>6922.5</v>
      </c>
      <c r="I44" s="37">
        <f t="shared" si="2"/>
        <v>5999.5</v>
      </c>
      <c r="J44" s="38">
        <f t="shared" si="3"/>
        <v>5999.5</v>
      </c>
      <c r="K44" s="39">
        <f t="shared" si="4"/>
        <v>5538</v>
      </c>
      <c r="L44" s="38">
        <f t="shared" si="5"/>
        <v>5307.25</v>
      </c>
      <c r="M44" s="39">
        <f t="shared" si="6"/>
        <v>5076.5</v>
      </c>
      <c r="N44" s="40"/>
      <c r="O44" s="34"/>
      <c r="P44" s="35"/>
      <c r="Q44" s="35"/>
      <c r="R44" s="35"/>
      <c r="S44" s="35"/>
      <c r="T44" s="35"/>
      <c r="U44" s="35"/>
      <c r="V44" s="35"/>
      <c r="W44" s="35"/>
      <c r="X44" s="35"/>
      <c r="Y44" s="35"/>
      <c r="Z44" s="35"/>
    </row>
    <row r="45" ht="15.75" customHeight="1">
      <c r="A45" s="66" t="s">
        <v>563</v>
      </c>
      <c r="B45" s="66" t="s">
        <v>580</v>
      </c>
      <c r="C45" s="69" t="s">
        <v>688</v>
      </c>
      <c r="D45" s="148" t="s">
        <v>689</v>
      </c>
      <c r="E45" s="149" t="s">
        <v>690</v>
      </c>
      <c r="F45" s="154">
        <v>4810.0</v>
      </c>
      <c r="G45" s="151">
        <v>45855.0</v>
      </c>
      <c r="H45" s="155">
        <f t="shared" si="1"/>
        <v>7215</v>
      </c>
      <c r="I45" s="37">
        <f t="shared" si="2"/>
        <v>6253</v>
      </c>
      <c r="J45" s="38">
        <f t="shared" si="3"/>
        <v>6253</v>
      </c>
      <c r="K45" s="39">
        <f t="shared" si="4"/>
        <v>5772</v>
      </c>
      <c r="L45" s="38">
        <f t="shared" si="5"/>
        <v>5531.5</v>
      </c>
      <c r="M45" s="39">
        <f t="shared" si="6"/>
        <v>5291</v>
      </c>
      <c r="N45" s="40"/>
      <c r="O45" s="34"/>
      <c r="P45" s="35"/>
      <c r="Q45" s="35"/>
      <c r="R45" s="35"/>
      <c r="S45" s="35"/>
      <c r="T45" s="35"/>
      <c r="U45" s="35"/>
      <c r="V45" s="35"/>
      <c r="W45" s="35"/>
      <c r="X45" s="35"/>
      <c r="Y45" s="35"/>
      <c r="Z45" s="35"/>
    </row>
    <row r="46" ht="15.75" customHeight="1">
      <c r="A46" s="66" t="s">
        <v>563</v>
      </c>
      <c r="B46" s="66" t="s">
        <v>580</v>
      </c>
      <c r="C46" s="69" t="s">
        <v>691</v>
      </c>
      <c r="D46" s="148" t="s">
        <v>692</v>
      </c>
      <c r="E46" s="149" t="s">
        <v>693</v>
      </c>
      <c r="F46" s="154">
        <v>5018.0</v>
      </c>
      <c r="G46" s="151">
        <v>45855.0</v>
      </c>
      <c r="H46" s="155">
        <f t="shared" si="1"/>
        <v>7527</v>
      </c>
      <c r="I46" s="37">
        <f t="shared" si="2"/>
        <v>6523.4</v>
      </c>
      <c r="J46" s="38">
        <f t="shared" si="3"/>
        <v>6523.4</v>
      </c>
      <c r="K46" s="39">
        <f t="shared" si="4"/>
        <v>6021.6</v>
      </c>
      <c r="L46" s="38">
        <f t="shared" si="5"/>
        <v>5770.7</v>
      </c>
      <c r="M46" s="39">
        <f t="shared" si="6"/>
        <v>5519.8</v>
      </c>
      <c r="N46" s="40"/>
      <c r="O46" s="34"/>
      <c r="P46" s="35"/>
      <c r="Q46" s="35"/>
      <c r="R46" s="35"/>
      <c r="S46" s="35"/>
      <c r="T46" s="35"/>
      <c r="U46" s="35"/>
      <c r="V46" s="35"/>
      <c r="W46" s="35"/>
      <c r="X46" s="35"/>
      <c r="Y46" s="35"/>
      <c r="Z46" s="35"/>
    </row>
    <row r="47" ht="42.75" customHeight="1">
      <c r="A47" s="66" t="s">
        <v>563</v>
      </c>
      <c r="B47" s="66"/>
      <c r="C47" s="69" t="s">
        <v>694</v>
      </c>
      <c r="D47" s="148" t="s">
        <v>695</v>
      </c>
      <c r="E47" s="149"/>
      <c r="F47" s="154">
        <v>5391.0</v>
      </c>
      <c r="G47" s="151"/>
      <c r="H47" s="155">
        <f t="shared" si="1"/>
        <v>8086.5</v>
      </c>
      <c r="I47" s="37">
        <f t="shared" si="2"/>
        <v>7008.3</v>
      </c>
      <c r="J47" s="38">
        <f t="shared" si="3"/>
        <v>7008.3</v>
      </c>
      <c r="K47" s="39">
        <f t="shared" si="4"/>
        <v>6469.2</v>
      </c>
      <c r="L47" s="38">
        <f t="shared" si="5"/>
        <v>6199.65</v>
      </c>
      <c r="M47" s="39">
        <f t="shared" si="6"/>
        <v>5930.1</v>
      </c>
      <c r="N47" s="40"/>
      <c r="O47" s="34"/>
      <c r="P47" s="35"/>
      <c r="Q47" s="35"/>
      <c r="R47" s="35"/>
      <c r="S47" s="35"/>
      <c r="T47" s="35"/>
      <c r="U47" s="35"/>
      <c r="V47" s="35"/>
      <c r="W47" s="35"/>
      <c r="X47" s="35"/>
      <c r="Y47" s="35"/>
      <c r="Z47" s="35"/>
    </row>
    <row r="48" ht="15.75" customHeight="1">
      <c r="A48" s="66" t="s">
        <v>563</v>
      </c>
      <c r="B48" s="66" t="s">
        <v>580</v>
      </c>
      <c r="C48" s="69" t="s">
        <v>696</v>
      </c>
      <c r="D48" s="148" t="s">
        <v>697</v>
      </c>
      <c r="E48" s="149" t="s">
        <v>698</v>
      </c>
      <c r="F48" s="154">
        <v>4352.0</v>
      </c>
      <c r="G48" s="151">
        <v>45855.0</v>
      </c>
      <c r="H48" s="155">
        <f t="shared" si="1"/>
        <v>6528</v>
      </c>
      <c r="I48" s="37">
        <f t="shared" si="2"/>
        <v>5657.6</v>
      </c>
      <c r="J48" s="38">
        <f t="shared" si="3"/>
        <v>5657.6</v>
      </c>
      <c r="K48" s="39">
        <f t="shared" si="4"/>
        <v>5222.4</v>
      </c>
      <c r="L48" s="38">
        <f t="shared" si="5"/>
        <v>5004.8</v>
      </c>
      <c r="M48" s="39">
        <f t="shared" si="6"/>
        <v>4787.2</v>
      </c>
      <c r="N48" s="40"/>
      <c r="O48" s="34"/>
      <c r="P48" s="35"/>
      <c r="Q48" s="35"/>
      <c r="R48" s="35"/>
      <c r="S48" s="35"/>
      <c r="T48" s="35"/>
      <c r="U48" s="35"/>
      <c r="V48" s="35"/>
      <c r="W48" s="35"/>
      <c r="X48" s="35"/>
      <c r="Y48" s="35"/>
      <c r="Z48" s="35"/>
    </row>
    <row r="49" ht="15.75" customHeight="1">
      <c r="A49" s="66" t="s">
        <v>563</v>
      </c>
      <c r="B49" s="66" t="s">
        <v>580</v>
      </c>
      <c r="C49" s="69" t="s">
        <v>699</v>
      </c>
      <c r="D49" s="148" t="s">
        <v>700</v>
      </c>
      <c r="E49" s="149" t="s">
        <v>701</v>
      </c>
      <c r="F49" s="154">
        <v>5234.0</v>
      </c>
      <c r="G49" s="151">
        <v>45855.0</v>
      </c>
      <c r="H49" s="155">
        <f t="shared" si="1"/>
        <v>7851</v>
      </c>
      <c r="I49" s="37">
        <f t="shared" si="2"/>
        <v>6804.2</v>
      </c>
      <c r="J49" s="38">
        <f t="shared" si="3"/>
        <v>6804.2</v>
      </c>
      <c r="K49" s="39">
        <f t="shared" si="4"/>
        <v>6280.8</v>
      </c>
      <c r="L49" s="38">
        <f t="shared" si="5"/>
        <v>6019.1</v>
      </c>
      <c r="M49" s="39">
        <f t="shared" si="6"/>
        <v>5757.4</v>
      </c>
      <c r="N49" s="40"/>
      <c r="O49" s="34"/>
      <c r="P49" s="35"/>
      <c r="Q49" s="35"/>
      <c r="R49" s="35"/>
      <c r="S49" s="35"/>
      <c r="T49" s="35"/>
      <c r="U49" s="35"/>
      <c r="V49" s="35"/>
      <c r="W49" s="35"/>
      <c r="X49" s="35"/>
      <c r="Y49" s="35"/>
      <c r="Z49" s="35"/>
    </row>
    <row r="50" ht="15.75" customHeight="1">
      <c r="A50" s="66" t="s">
        <v>563</v>
      </c>
      <c r="B50" s="66" t="s">
        <v>580</v>
      </c>
      <c r="C50" s="69" t="s">
        <v>702</v>
      </c>
      <c r="D50" s="149" t="s">
        <v>703</v>
      </c>
      <c r="E50" s="149" t="s">
        <v>701</v>
      </c>
      <c r="F50" s="154">
        <v>5522.0</v>
      </c>
      <c r="G50" s="151">
        <v>45855.0</v>
      </c>
      <c r="H50" s="155">
        <f t="shared" si="1"/>
        <v>8283</v>
      </c>
      <c r="I50" s="37">
        <f t="shared" si="2"/>
        <v>7178.6</v>
      </c>
      <c r="J50" s="38">
        <f t="shared" si="3"/>
        <v>7178.6</v>
      </c>
      <c r="K50" s="39">
        <f t="shared" si="4"/>
        <v>6626.4</v>
      </c>
      <c r="L50" s="38">
        <f t="shared" si="5"/>
        <v>6350.3</v>
      </c>
      <c r="M50" s="39">
        <f t="shared" si="6"/>
        <v>6074.2</v>
      </c>
      <c r="N50" s="40"/>
      <c r="O50" s="34"/>
      <c r="P50" s="35"/>
      <c r="Q50" s="35"/>
      <c r="R50" s="35"/>
      <c r="S50" s="35"/>
      <c r="T50" s="35"/>
      <c r="U50" s="35"/>
      <c r="V50" s="35"/>
      <c r="W50" s="35"/>
      <c r="X50" s="35"/>
      <c r="Y50" s="35"/>
      <c r="Z50" s="35"/>
    </row>
    <row r="51" ht="15.75" customHeight="1">
      <c r="A51" s="66" t="s">
        <v>563</v>
      </c>
      <c r="B51" s="66" t="s">
        <v>704</v>
      </c>
      <c r="C51" s="69" t="s">
        <v>705</v>
      </c>
      <c r="D51" s="149" t="s">
        <v>706</v>
      </c>
      <c r="E51" s="149" t="s">
        <v>707</v>
      </c>
      <c r="F51" s="154">
        <v>3421.0</v>
      </c>
      <c r="G51" s="151">
        <v>45855.0</v>
      </c>
      <c r="H51" s="155">
        <f t="shared" si="1"/>
        <v>5131.5</v>
      </c>
      <c r="I51" s="37">
        <f t="shared" si="2"/>
        <v>4447.3</v>
      </c>
      <c r="J51" s="38">
        <f t="shared" si="3"/>
        <v>4447.3</v>
      </c>
      <c r="K51" s="39">
        <f t="shared" si="4"/>
        <v>4105.2</v>
      </c>
      <c r="L51" s="38">
        <f t="shared" si="5"/>
        <v>3934.15</v>
      </c>
      <c r="M51" s="39">
        <f t="shared" si="6"/>
        <v>3763.1</v>
      </c>
      <c r="N51" s="40"/>
      <c r="O51" s="34"/>
      <c r="P51" s="35"/>
      <c r="Q51" s="35"/>
      <c r="R51" s="35"/>
      <c r="S51" s="35"/>
      <c r="T51" s="35"/>
      <c r="U51" s="35"/>
      <c r="V51" s="35"/>
      <c r="W51" s="35"/>
      <c r="X51" s="35"/>
      <c r="Y51" s="35"/>
      <c r="Z51" s="35"/>
    </row>
    <row r="52" ht="15.75" customHeight="1">
      <c r="A52" s="66" t="s">
        <v>563</v>
      </c>
      <c r="B52" s="66" t="s">
        <v>704</v>
      </c>
      <c r="C52" s="66" t="s">
        <v>708</v>
      </c>
      <c r="D52" s="149" t="s">
        <v>709</v>
      </c>
      <c r="E52" s="149" t="s">
        <v>710</v>
      </c>
      <c r="F52" s="154">
        <v>3684.0</v>
      </c>
      <c r="G52" s="151">
        <v>45855.0</v>
      </c>
      <c r="H52" s="155">
        <f t="shared" si="1"/>
        <v>5526</v>
      </c>
      <c r="I52" s="37">
        <f t="shared" si="2"/>
        <v>4789.2</v>
      </c>
      <c r="J52" s="38">
        <f t="shared" si="3"/>
        <v>4789.2</v>
      </c>
      <c r="K52" s="39">
        <f t="shared" si="4"/>
        <v>4420.8</v>
      </c>
      <c r="L52" s="38">
        <f t="shared" si="5"/>
        <v>4236.6</v>
      </c>
      <c r="M52" s="39">
        <f t="shared" si="6"/>
        <v>4052.4</v>
      </c>
      <c r="N52" s="40"/>
      <c r="O52" s="34"/>
      <c r="P52" s="35"/>
      <c r="Q52" s="35"/>
      <c r="R52" s="35"/>
      <c r="S52" s="35"/>
      <c r="T52" s="35"/>
      <c r="U52" s="35"/>
      <c r="V52" s="35"/>
      <c r="W52" s="35"/>
      <c r="X52" s="35"/>
      <c r="Y52" s="35"/>
      <c r="Z52" s="35"/>
    </row>
    <row r="53" ht="15.75" customHeight="1">
      <c r="A53" s="66" t="s">
        <v>563</v>
      </c>
      <c r="B53" s="66" t="s">
        <v>580</v>
      </c>
      <c r="C53" s="66" t="s">
        <v>711</v>
      </c>
      <c r="D53" s="149" t="s">
        <v>712</v>
      </c>
      <c r="E53" s="149" t="s">
        <v>713</v>
      </c>
      <c r="F53" s="154">
        <v>2518.0</v>
      </c>
      <c r="G53" s="151">
        <v>45855.0</v>
      </c>
      <c r="H53" s="155">
        <f t="shared" si="1"/>
        <v>3777</v>
      </c>
      <c r="I53" s="37">
        <f t="shared" si="2"/>
        <v>3273.4</v>
      </c>
      <c r="J53" s="38">
        <f t="shared" si="3"/>
        <v>3273.4</v>
      </c>
      <c r="K53" s="39">
        <f t="shared" si="4"/>
        <v>3021.6</v>
      </c>
      <c r="L53" s="38">
        <f t="shared" si="5"/>
        <v>2895.7</v>
      </c>
      <c r="M53" s="39">
        <f t="shared" si="6"/>
        <v>2769.8</v>
      </c>
      <c r="N53" s="40"/>
      <c r="O53" s="34"/>
      <c r="P53" s="35"/>
      <c r="Q53" s="35"/>
      <c r="R53" s="35"/>
      <c r="S53" s="35"/>
      <c r="T53" s="35"/>
      <c r="U53" s="35"/>
      <c r="V53" s="35"/>
      <c r="W53" s="35"/>
      <c r="X53" s="35"/>
      <c r="Y53" s="35"/>
      <c r="Z53" s="35"/>
    </row>
    <row r="54" ht="15.75" customHeight="1">
      <c r="A54" s="66" t="s">
        <v>563</v>
      </c>
      <c r="B54" s="66" t="s">
        <v>580</v>
      </c>
      <c r="C54" s="66" t="s">
        <v>714</v>
      </c>
      <c r="D54" s="149" t="s">
        <v>715</v>
      </c>
      <c r="E54" s="149" t="s">
        <v>716</v>
      </c>
      <c r="F54" s="154">
        <v>3799.0</v>
      </c>
      <c r="G54" s="151">
        <v>45855.0</v>
      </c>
      <c r="H54" s="155">
        <f t="shared" si="1"/>
        <v>5698.5</v>
      </c>
      <c r="I54" s="37">
        <f t="shared" si="2"/>
        <v>4938.7</v>
      </c>
      <c r="J54" s="38">
        <f t="shared" si="3"/>
        <v>4938.7</v>
      </c>
      <c r="K54" s="39">
        <f t="shared" si="4"/>
        <v>4558.8</v>
      </c>
      <c r="L54" s="38">
        <f t="shared" si="5"/>
        <v>4368.85</v>
      </c>
      <c r="M54" s="39">
        <f t="shared" si="6"/>
        <v>4178.9</v>
      </c>
      <c r="N54" s="40"/>
      <c r="O54" s="34"/>
      <c r="P54" s="35"/>
      <c r="Q54" s="35"/>
      <c r="R54" s="35"/>
      <c r="S54" s="35"/>
      <c r="T54" s="35"/>
      <c r="U54" s="35"/>
      <c r="V54" s="35"/>
      <c r="W54" s="35"/>
      <c r="X54" s="35"/>
      <c r="Y54" s="35"/>
      <c r="Z54" s="35"/>
    </row>
    <row r="55" ht="15.75" customHeight="1">
      <c r="A55" s="66" t="s">
        <v>563</v>
      </c>
      <c r="B55" s="66" t="s">
        <v>580</v>
      </c>
      <c r="C55" s="69" t="s">
        <v>717</v>
      </c>
      <c r="D55" s="149" t="s">
        <v>669</v>
      </c>
      <c r="E55" s="149" t="s">
        <v>718</v>
      </c>
      <c r="F55" s="154">
        <v>3882.0</v>
      </c>
      <c r="G55" s="151">
        <v>45855.0</v>
      </c>
      <c r="H55" s="155">
        <f t="shared" si="1"/>
        <v>5823</v>
      </c>
      <c r="I55" s="37">
        <f t="shared" si="2"/>
        <v>5046.6</v>
      </c>
      <c r="J55" s="38">
        <f t="shared" si="3"/>
        <v>5046.6</v>
      </c>
      <c r="K55" s="39">
        <f t="shared" si="4"/>
        <v>4658.4</v>
      </c>
      <c r="L55" s="38">
        <f t="shared" si="5"/>
        <v>4464.3</v>
      </c>
      <c r="M55" s="39">
        <f t="shared" si="6"/>
        <v>4270.2</v>
      </c>
      <c r="N55" s="40"/>
      <c r="O55" s="34"/>
      <c r="P55" s="35"/>
      <c r="Q55" s="35"/>
      <c r="R55" s="35"/>
      <c r="S55" s="35"/>
      <c r="T55" s="35"/>
      <c r="U55" s="35"/>
      <c r="V55" s="35"/>
      <c r="W55" s="35"/>
      <c r="X55" s="35"/>
      <c r="Y55" s="35"/>
      <c r="Z55" s="35"/>
    </row>
    <row r="56" ht="15.75" customHeight="1">
      <c r="A56" s="66" t="s">
        <v>563</v>
      </c>
      <c r="B56" s="66" t="s">
        <v>580</v>
      </c>
      <c r="C56" s="66" t="s">
        <v>719</v>
      </c>
      <c r="D56" s="149" t="s">
        <v>619</v>
      </c>
      <c r="E56" s="149"/>
      <c r="F56" s="154">
        <v>4283.0</v>
      </c>
      <c r="G56" s="151">
        <v>45855.0</v>
      </c>
      <c r="H56" s="155">
        <f t="shared" si="1"/>
        <v>6424.5</v>
      </c>
      <c r="I56" s="37">
        <f t="shared" si="2"/>
        <v>5567.9</v>
      </c>
      <c r="J56" s="38">
        <f t="shared" si="3"/>
        <v>5567.9</v>
      </c>
      <c r="K56" s="39">
        <f t="shared" si="4"/>
        <v>5139.6</v>
      </c>
      <c r="L56" s="38">
        <f t="shared" si="5"/>
        <v>4925.45</v>
      </c>
      <c r="M56" s="39">
        <f t="shared" si="6"/>
        <v>4711.3</v>
      </c>
      <c r="N56" s="40"/>
      <c r="O56" s="34"/>
      <c r="P56" s="35"/>
      <c r="Q56" s="35"/>
      <c r="R56" s="35"/>
      <c r="S56" s="35"/>
      <c r="T56" s="35"/>
      <c r="U56" s="35"/>
      <c r="V56" s="35"/>
      <c r="W56" s="35"/>
      <c r="X56" s="35"/>
      <c r="Y56" s="35"/>
      <c r="Z56" s="35"/>
    </row>
    <row r="57" ht="15.75" customHeight="1">
      <c r="A57" s="66" t="s">
        <v>563</v>
      </c>
      <c r="B57" s="66" t="s">
        <v>580</v>
      </c>
      <c r="C57" s="66" t="s">
        <v>720</v>
      </c>
      <c r="D57" s="149" t="s">
        <v>721</v>
      </c>
      <c r="E57" s="149" t="s">
        <v>722</v>
      </c>
      <c r="F57" s="154">
        <v>4079.0</v>
      </c>
      <c r="G57" s="151">
        <v>45855.0</v>
      </c>
      <c r="H57" s="155">
        <f t="shared" si="1"/>
        <v>6118.5</v>
      </c>
      <c r="I57" s="37">
        <f t="shared" si="2"/>
        <v>5302.7</v>
      </c>
      <c r="J57" s="38">
        <f t="shared" si="3"/>
        <v>5302.7</v>
      </c>
      <c r="K57" s="39">
        <f t="shared" si="4"/>
        <v>4894.8</v>
      </c>
      <c r="L57" s="38">
        <f t="shared" si="5"/>
        <v>4690.85</v>
      </c>
      <c r="M57" s="39">
        <f t="shared" si="6"/>
        <v>4486.9</v>
      </c>
      <c r="N57" s="40"/>
      <c r="O57" s="34"/>
      <c r="P57" s="35"/>
      <c r="Q57" s="35"/>
      <c r="R57" s="35"/>
      <c r="S57" s="35"/>
      <c r="T57" s="35"/>
      <c r="U57" s="35"/>
      <c r="V57" s="35"/>
      <c r="W57" s="35"/>
      <c r="X57" s="35"/>
      <c r="Y57" s="35"/>
      <c r="Z57" s="35"/>
    </row>
    <row r="58" ht="15.75" customHeight="1">
      <c r="A58" s="66" t="s">
        <v>563</v>
      </c>
      <c r="B58" s="66" t="s">
        <v>580</v>
      </c>
      <c r="C58" s="66" t="s">
        <v>719</v>
      </c>
      <c r="D58" s="149" t="s">
        <v>723</v>
      </c>
      <c r="E58" s="149" t="s">
        <v>724</v>
      </c>
      <c r="F58" s="154">
        <v>4076.0</v>
      </c>
      <c r="G58" s="151">
        <v>45855.0</v>
      </c>
      <c r="H58" s="155">
        <f t="shared" si="1"/>
        <v>6114</v>
      </c>
      <c r="I58" s="37">
        <f t="shared" si="2"/>
        <v>5298.8</v>
      </c>
      <c r="J58" s="38">
        <f t="shared" si="3"/>
        <v>5298.8</v>
      </c>
      <c r="K58" s="39">
        <f t="shared" si="4"/>
        <v>4891.2</v>
      </c>
      <c r="L58" s="38">
        <f t="shared" si="5"/>
        <v>4687.4</v>
      </c>
      <c r="M58" s="39">
        <f t="shared" si="6"/>
        <v>4483.6</v>
      </c>
      <c r="N58" s="40"/>
      <c r="O58" s="34"/>
      <c r="P58" s="35"/>
      <c r="Q58" s="35"/>
      <c r="R58" s="35"/>
      <c r="S58" s="35"/>
      <c r="T58" s="35"/>
      <c r="U58" s="35"/>
      <c r="V58" s="35"/>
      <c r="W58" s="35"/>
      <c r="X58" s="35"/>
      <c r="Y58" s="35"/>
      <c r="Z58" s="35"/>
    </row>
    <row r="59" ht="15.75" customHeight="1">
      <c r="A59" s="66" t="s">
        <v>563</v>
      </c>
      <c r="B59" s="66" t="s">
        <v>580</v>
      </c>
      <c r="C59" s="66" t="s">
        <v>725</v>
      </c>
      <c r="D59" s="149" t="s">
        <v>619</v>
      </c>
      <c r="E59" s="149" t="s">
        <v>726</v>
      </c>
      <c r="F59" s="154">
        <v>4957.0</v>
      </c>
      <c r="G59" s="151">
        <v>45855.0</v>
      </c>
      <c r="H59" s="155">
        <f t="shared" si="1"/>
        <v>7435.5</v>
      </c>
      <c r="I59" s="37">
        <f t="shared" si="2"/>
        <v>6444.1</v>
      </c>
      <c r="J59" s="38">
        <f t="shared" si="3"/>
        <v>6444.1</v>
      </c>
      <c r="K59" s="39">
        <f t="shared" si="4"/>
        <v>5948.4</v>
      </c>
      <c r="L59" s="38">
        <f t="shared" si="5"/>
        <v>5700.55</v>
      </c>
      <c r="M59" s="39">
        <f t="shared" si="6"/>
        <v>5452.7</v>
      </c>
      <c r="N59" s="40"/>
      <c r="O59" s="34"/>
      <c r="P59" s="35"/>
      <c r="Q59" s="35"/>
      <c r="R59" s="35"/>
      <c r="S59" s="35"/>
      <c r="T59" s="35"/>
      <c r="U59" s="35"/>
      <c r="V59" s="35"/>
      <c r="W59" s="35"/>
      <c r="X59" s="35"/>
      <c r="Y59" s="35"/>
      <c r="Z59" s="35"/>
    </row>
    <row r="60" ht="15.75" customHeight="1">
      <c r="A60" s="66" t="s">
        <v>563</v>
      </c>
      <c r="B60" s="66" t="s">
        <v>727</v>
      </c>
      <c r="C60" s="69" t="s">
        <v>728</v>
      </c>
      <c r="D60" s="148" t="s">
        <v>729</v>
      </c>
      <c r="E60" s="149" t="s">
        <v>730</v>
      </c>
      <c r="F60" s="154">
        <v>4125.0</v>
      </c>
      <c r="G60" s="151">
        <v>45855.0</v>
      </c>
      <c r="H60" s="155">
        <f t="shared" si="1"/>
        <v>6187.5</v>
      </c>
      <c r="I60" s="37">
        <f t="shared" si="2"/>
        <v>5362.5</v>
      </c>
      <c r="J60" s="38">
        <f t="shared" si="3"/>
        <v>5362.5</v>
      </c>
      <c r="K60" s="39">
        <f t="shared" si="4"/>
        <v>4950</v>
      </c>
      <c r="L60" s="38">
        <f t="shared" si="5"/>
        <v>4743.75</v>
      </c>
      <c r="M60" s="39">
        <f t="shared" si="6"/>
        <v>4537.5</v>
      </c>
      <c r="N60" s="40"/>
      <c r="O60" s="34"/>
      <c r="P60" s="35"/>
      <c r="Q60" s="35"/>
      <c r="R60" s="35"/>
      <c r="S60" s="35"/>
      <c r="T60" s="35"/>
      <c r="U60" s="35"/>
      <c r="V60" s="35"/>
      <c r="W60" s="35"/>
      <c r="X60" s="35"/>
      <c r="Y60" s="35"/>
      <c r="Z60" s="35"/>
    </row>
    <row r="61" ht="15.75" customHeight="1">
      <c r="A61" s="66" t="s">
        <v>563</v>
      </c>
      <c r="B61" s="66" t="s">
        <v>580</v>
      </c>
      <c r="C61" s="66" t="s">
        <v>731</v>
      </c>
      <c r="D61" s="149" t="s">
        <v>732</v>
      </c>
      <c r="E61" s="149" t="s">
        <v>733</v>
      </c>
      <c r="F61" s="154">
        <v>4743.0</v>
      </c>
      <c r="G61" s="151">
        <v>45855.0</v>
      </c>
      <c r="H61" s="161">
        <f t="shared" si="1"/>
        <v>7114.5</v>
      </c>
      <c r="I61" s="54">
        <f t="shared" si="2"/>
        <v>6165.9</v>
      </c>
      <c r="J61" s="55">
        <f t="shared" si="3"/>
        <v>6165.9</v>
      </c>
      <c r="K61" s="56">
        <f t="shared" si="4"/>
        <v>5691.6</v>
      </c>
      <c r="L61" s="55">
        <f t="shared" si="5"/>
        <v>5454.45</v>
      </c>
      <c r="M61" s="56">
        <f t="shared" si="6"/>
        <v>5217.3</v>
      </c>
      <c r="N61" s="57"/>
      <c r="O61" s="58"/>
      <c r="P61" s="59"/>
      <c r="Q61" s="59"/>
      <c r="R61" s="59"/>
      <c r="S61" s="59"/>
      <c r="T61" s="59"/>
      <c r="U61" s="59"/>
      <c r="V61" s="59"/>
      <c r="W61" s="59"/>
      <c r="X61" s="59"/>
      <c r="Y61" s="59"/>
      <c r="Z61" s="59"/>
    </row>
    <row r="62" ht="15.75" customHeight="1">
      <c r="A62" s="66" t="s">
        <v>563</v>
      </c>
      <c r="B62" s="66" t="s">
        <v>580</v>
      </c>
      <c r="C62" s="66" t="s">
        <v>734</v>
      </c>
      <c r="D62" s="149" t="s">
        <v>732</v>
      </c>
      <c r="E62" s="149" t="s">
        <v>735</v>
      </c>
      <c r="F62" s="154">
        <v>4125.0</v>
      </c>
      <c r="G62" s="151">
        <v>45855.0</v>
      </c>
      <c r="H62" s="161">
        <f t="shared" si="1"/>
        <v>6187.5</v>
      </c>
      <c r="I62" s="54">
        <f t="shared" si="2"/>
        <v>5362.5</v>
      </c>
      <c r="J62" s="55">
        <f t="shared" si="3"/>
        <v>5362.5</v>
      </c>
      <c r="K62" s="56">
        <f t="shared" si="4"/>
        <v>4950</v>
      </c>
      <c r="L62" s="55">
        <f t="shared" si="5"/>
        <v>4743.75</v>
      </c>
      <c r="M62" s="56">
        <f t="shared" si="6"/>
        <v>4537.5</v>
      </c>
      <c r="N62" s="57"/>
      <c r="O62" s="58"/>
      <c r="P62" s="59"/>
      <c r="Q62" s="59"/>
      <c r="R62" s="59"/>
      <c r="S62" s="59"/>
      <c r="T62" s="59"/>
      <c r="U62" s="59"/>
      <c r="V62" s="59"/>
      <c r="W62" s="59"/>
      <c r="X62" s="59"/>
      <c r="Y62" s="59"/>
      <c r="Z62" s="59"/>
    </row>
    <row r="63" ht="15.75" customHeight="1">
      <c r="A63" s="66" t="s">
        <v>563</v>
      </c>
      <c r="B63" s="66" t="s">
        <v>580</v>
      </c>
      <c r="C63" s="66" t="s">
        <v>736</v>
      </c>
      <c r="D63" s="149" t="s">
        <v>732</v>
      </c>
      <c r="E63" s="149" t="s">
        <v>737</v>
      </c>
      <c r="F63" s="154">
        <v>4323.0</v>
      </c>
      <c r="G63" s="151">
        <v>45855.0</v>
      </c>
      <c r="H63" s="155">
        <f t="shared" si="1"/>
        <v>6484.5</v>
      </c>
      <c r="I63" s="37">
        <f t="shared" si="2"/>
        <v>5619.9</v>
      </c>
      <c r="J63" s="38">
        <f t="shared" si="3"/>
        <v>5619.9</v>
      </c>
      <c r="K63" s="39">
        <f t="shared" si="4"/>
        <v>5187.6</v>
      </c>
      <c r="L63" s="38">
        <f t="shared" si="5"/>
        <v>4971.45</v>
      </c>
      <c r="M63" s="39">
        <f t="shared" si="6"/>
        <v>4755.3</v>
      </c>
      <c r="N63" s="40"/>
      <c r="O63" s="34"/>
      <c r="P63" s="35"/>
      <c r="Q63" s="35"/>
      <c r="R63" s="35"/>
      <c r="S63" s="35"/>
      <c r="T63" s="35"/>
      <c r="U63" s="35"/>
      <c r="V63" s="35"/>
      <c r="W63" s="35"/>
      <c r="X63" s="35"/>
      <c r="Y63" s="35"/>
      <c r="Z63" s="35"/>
    </row>
    <row r="64" ht="15.75" customHeight="1">
      <c r="A64" s="66" t="s">
        <v>563</v>
      </c>
      <c r="B64" s="66" t="s">
        <v>580</v>
      </c>
      <c r="C64" s="66" t="s">
        <v>738</v>
      </c>
      <c r="D64" s="149" t="s">
        <v>732</v>
      </c>
      <c r="E64" s="149" t="s">
        <v>739</v>
      </c>
      <c r="F64" s="154">
        <v>5226.0</v>
      </c>
      <c r="G64" s="151">
        <v>45855.0</v>
      </c>
      <c r="H64" s="161">
        <f t="shared" si="1"/>
        <v>7839</v>
      </c>
      <c r="I64" s="54">
        <f t="shared" si="2"/>
        <v>6793.8</v>
      </c>
      <c r="J64" s="55">
        <f t="shared" si="3"/>
        <v>6793.8</v>
      </c>
      <c r="K64" s="56">
        <f t="shared" si="4"/>
        <v>6271.2</v>
      </c>
      <c r="L64" s="55">
        <f t="shared" si="5"/>
        <v>6009.9</v>
      </c>
      <c r="M64" s="56">
        <f t="shared" si="6"/>
        <v>5748.6</v>
      </c>
      <c r="N64" s="40"/>
      <c r="O64" s="34"/>
      <c r="P64" s="35"/>
      <c r="Q64" s="35"/>
      <c r="R64" s="35"/>
      <c r="S64" s="35"/>
      <c r="T64" s="35"/>
      <c r="U64" s="35"/>
      <c r="V64" s="35"/>
      <c r="W64" s="35"/>
      <c r="X64" s="35"/>
      <c r="Y64" s="35"/>
      <c r="Z64" s="35"/>
    </row>
    <row r="65" ht="15.75" customHeight="1">
      <c r="A65" s="66" t="s">
        <v>563</v>
      </c>
      <c r="B65" s="66" t="s">
        <v>580</v>
      </c>
      <c r="C65" s="66" t="s">
        <v>740</v>
      </c>
      <c r="D65" s="149" t="s">
        <v>741</v>
      </c>
      <c r="E65" s="149" t="s">
        <v>742</v>
      </c>
      <c r="F65" s="154">
        <v>5217.0</v>
      </c>
      <c r="G65" s="151">
        <v>45855.0</v>
      </c>
      <c r="H65" s="161">
        <f t="shared" si="1"/>
        <v>7825.5</v>
      </c>
      <c r="I65" s="54">
        <f t="shared" si="2"/>
        <v>6782.1</v>
      </c>
      <c r="J65" s="55">
        <f t="shared" si="3"/>
        <v>6782.1</v>
      </c>
      <c r="K65" s="56">
        <f t="shared" si="4"/>
        <v>6260.4</v>
      </c>
      <c r="L65" s="55">
        <f t="shared" si="5"/>
        <v>5999.55</v>
      </c>
      <c r="M65" s="56">
        <f t="shared" si="6"/>
        <v>5738.7</v>
      </c>
      <c r="N65" s="40"/>
      <c r="O65" s="34"/>
      <c r="P65" s="35"/>
      <c r="Q65" s="35"/>
      <c r="R65" s="35"/>
      <c r="S65" s="35"/>
      <c r="T65" s="35"/>
      <c r="U65" s="35"/>
      <c r="V65" s="35"/>
      <c r="W65" s="35"/>
      <c r="X65" s="35"/>
      <c r="Y65" s="35"/>
      <c r="Z65" s="35"/>
    </row>
    <row r="66" ht="15.75" customHeight="1">
      <c r="A66" s="66" t="s">
        <v>563</v>
      </c>
      <c r="B66" s="66" t="s">
        <v>580</v>
      </c>
      <c r="C66" s="66" t="s">
        <v>743</v>
      </c>
      <c r="D66" s="149" t="s">
        <v>744</v>
      </c>
      <c r="E66" s="149" t="s">
        <v>745</v>
      </c>
      <c r="F66" s="154">
        <v>7020.0</v>
      </c>
      <c r="G66" s="151">
        <v>45855.0</v>
      </c>
      <c r="H66" s="155">
        <f t="shared" si="1"/>
        <v>10530</v>
      </c>
      <c r="I66" s="37">
        <f t="shared" si="2"/>
        <v>9126</v>
      </c>
      <c r="J66" s="38">
        <f t="shared" si="3"/>
        <v>9126</v>
      </c>
      <c r="K66" s="39">
        <f t="shared" si="4"/>
        <v>8424</v>
      </c>
      <c r="L66" s="38">
        <f t="shared" si="5"/>
        <v>8073</v>
      </c>
      <c r="M66" s="39">
        <f t="shared" si="6"/>
        <v>7722</v>
      </c>
      <c r="N66" s="40"/>
      <c r="O66" s="34"/>
      <c r="P66" s="35"/>
      <c r="Q66" s="35"/>
      <c r="R66" s="35"/>
      <c r="S66" s="35"/>
      <c r="T66" s="35"/>
      <c r="U66" s="35"/>
      <c r="V66" s="35"/>
      <c r="W66" s="35"/>
      <c r="X66" s="35"/>
      <c r="Y66" s="35"/>
      <c r="Z66" s="35"/>
    </row>
    <row r="67" ht="15.75" customHeight="1">
      <c r="A67" s="66" t="s">
        <v>563</v>
      </c>
      <c r="B67" s="66" t="s">
        <v>580</v>
      </c>
      <c r="C67" s="66" t="s">
        <v>746</v>
      </c>
      <c r="D67" s="149" t="s">
        <v>747</v>
      </c>
      <c r="E67" s="149" t="s">
        <v>748</v>
      </c>
      <c r="F67" s="154">
        <v>7280.0</v>
      </c>
      <c r="G67" s="151">
        <v>45855.0</v>
      </c>
      <c r="H67" s="155">
        <f t="shared" si="1"/>
        <v>10920</v>
      </c>
      <c r="I67" s="37">
        <f t="shared" si="2"/>
        <v>9464</v>
      </c>
      <c r="J67" s="38">
        <f t="shared" si="3"/>
        <v>9464</v>
      </c>
      <c r="K67" s="39">
        <f t="shared" si="4"/>
        <v>8736</v>
      </c>
      <c r="L67" s="38">
        <f t="shared" si="5"/>
        <v>8372</v>
      </c>
      <c r="M67" s="39">
        <f t="shared" si="6"/>
        <v>8008</v>
      </c>
      <c r="N67" s="40"/>
      <c r="O67" s="34"/>
      <c r="P67" s="35"/>
      <c r="Q67" s="35"/>
      <c r="R67" s="35"/>
      <c r="S67" s="35"/>
      <c r="T67" s="35"/>
      <c r="U67" s="35"/>
      <c r="V67" s="35"/>
      <c r="W67" s="35"/>
      <c r="X67" s="35"/>
      <c r="Y67" s="35"/>
      <c r="Z67" s="35"/>
    </row>
    <row r="68" ht="15.75" customHeight="1">
      <c r="A68" s="66" t="s">
        <v>563</v>
      </c>
      <c r="B68" s="66" t="s">
        <v>580</v>
      </c>
      <c r="C68" s="69" t="s">
        <v>749</v>
      </c>
      <c r="D68" s="148" t="s">
        <v>750</v>
      </c>
      <c r="E68" s="149" t="s">
        <v>751</v>
      </c>
      <c r="F68" s="154">
        <v>7944.0</v>
      </c>
      <c r="G68" s="151">
        <v>45855.0</v>
      </c>
      <c r="H68" s="161">
        <f t="shared" si="1"/>
        <v>11916</v>
      </c>
      <c r="I68" s="54">
        <f t="shared" si="2"/>
        <v>10327.2</v>
      </c>
      <c r="J68" s="55">
        <f t="shared" si="3"/>
        <v>10327.2</v>
      </c>
      <c r="K68" s="56">
        <f t="shared" si="4"/>
        <v>9532.8</v>
      </c>
      <c r="L68" s="55">
        <f t="shared" si="5"/>
        <v>9135.6</v>
      </c>
      <c r="M68" s="56">
        <f t="shared" si="6"/>
        <v>8738.4</v>
      </c>
      <c r="N68" s="40"/>
      <c r="O68" s="34"/>
      <c r="P68" s="35"/>
      <c r="Q68" s="35"/>
      <c r="R68" s="35"/>
      <c r="S68" s="35"/>
      <c r="T68" s="35"/>
      <c r="U68" s="35"/>
      <c r="V68" s="35"/>
      <c r="W68" s="35"/>
      <c r="X68" s="35"/>
      <c r="Y68" s="35"/>
      <c r="Z68" s="35"/>
    </row>
    <row r="69" ht="15.75" customHeight="1">
      <c r="A69" s="66" t="s">
        <v>563</v>
      </c>
      <c r="B69" s="66" t="s">
        <v>580</v>
      </c>
      <c r="C69" s="69" t="s">
        <v>752</v>
      </c>
      <c r="D69" s="149" t="s">
        <v>753</v>
      </c>
      <c r="E69" s="149" t="s">
        <v>754</v>
      </c>
      <c r="F69" s="154">
        <v>7392.0</v>
      </c>
      <c r="G69" s="151">
        <v>45855.0</v>
      </c>
      <c r="H69" s="161">
        <f t="shared" si="1"/>
        <v>11088</v>
      </c>
      <c r="I69" s="54">
        <f t="shared" si="2"/>
        <v>9609.6</v>
      </c>
      <c r="J69" s="55">
        <f t="shared" si="3"/>
        <v>9609.6</v>
      </c>
      <c r="K69" s="56">
        <f t="shared" si="4"/>
        <v>8870.4</v>
      </c>
      <c r="L69" s="55">
        <f t="shared" si="5"/>
        <v>8500.8</v>
      </c>
      <c r="M69" s="56">
        <f t="shared" si="6"/>
        <v>8131.2</v>
      </c>
      <c r="N69" s="40"/>
      <c r="O69" s="34"/>
      <c r="P69" s="35"/>
      <c r="Q69" s="35"/>
      <c r="R69" s="35"/>
      <c r="S69" s="35"/>
      <c r="T69" s="35"/>
      <c r="U69" s="35"/>
      <c r="V69" s="35"/>
      <c r="W69" s="35"/>
      <c r="X69" s="35"/>
      <c r="Y69" s="35"/>
      <c r="Z69" s="35"/>
    </row>
    <row r="70" ht="15.75" customHeight="1">
      <c r="A70" s="66" t="s">
        <v>563</v>
      </c>
      <c r="B70" s="66" t="s">
        <v>580</v>
      </c>
      <c r="C70" s="69" t="s">
        <v>755</v>
      </c>
      <c r="D70" s="149" t="s">
        <v>756</v>
      </c>
      <c r="E70" s="149" t="s">
        <v>757</v>
      </c>
      <c r="F70" s="154">
        <v>7944.0</v>
      </c>
      <c r="G70" s="151">
        <v>45855.0</v>
      </c>
      <c r="H70" s="155">
        <f t="shared" si="1"/>
        <v>11916</v>
      </c>
      <c r="I70" s="37">
        <f t="shared" si="2"/>
        <v>10327.2</v>
      </c>
      <c r="J70" s="38">
        <f t="shared" si="3"/>
        <v>10327.2</v>
      </c>
      <c r="K70" s="39">
        <f t="shared" si="4"/>
        <v>9532.8</v>
      </c>
      <c r="L70" s="38">
        <f t="shared" si="5"/>
        <v>9135.6</v>
      </c>
      <c r="M70" s="39">
        <f t="shared" si="6"/>
        <v>8738.4</v>
      </c>
      <c r="N70" s="40"/>
      <c r="O70" s="34"/>
      <c r="P70" s="35"/>
      <c r="Q70" s="35"/>
      <c r="R70" s="35"/>
      <c r="S70" s="35"/>
      <c r="T70" s="35"/>
      <c r="U70" s="35"/>
      <c r="V70" s="35"/>
      <c r="W70" s="35"/>
      <c r="X70" s="35"/>
      <c r="Y70" s="35"/>
      <c r="Z70" s="35"/>
    </row>
    <row r="71" ht="15.75" customHeight="1">
      <c r="A71" s="66" t="s">
        <v>563</v>
      </c>
      <c r="B71" s="66" t="s">
        <v>580</v>
      </c>
      <c r="C71" s="69" t="s">
        <v>758</v>
      </c>
      <c r="D71" s="149" t="s">
        <v>759</v>
      </c>
      <c r="E71" s="149" t="s">
        <v>760</v>
      </c>
      <c r="F71" s="154">
        <v>8765.0</v>
      </c>
      <c r="G71" s="151">
        <v>45855.0</v>
      </c>
      <c r="H71" s="155">
        <f t="shared" si="1"/>
        <v>13147.5</v>
      </c>
      <c r="I71" s="37">
        <f t="shared" si="2"/>
        <v>11394.5</v>
      </c>
      <c r="J71" s="38">
        <f t="shared" si="3"/>
        <v>11394.5</v>
      </c>
      <c r="K71" s="39">
        <f t="shared" si="4"/>
        <v>10518</v>
      </c>
      <c r="L71" s="38">
        <f t="shared" si="5"/>
        <v>10079.75</v>
      </c>
      <c r="M71" s="39">
        <f t="shared" si="6"/>
        <v>9641.5</v>
      </c>
      <c r="N71" s="40"/>
      <c r="O71" s="34"/>
      <c r="P71" s="35"/>
      <c r="Q71" s="35"/>
      <c r="R71" s="35"/>
      <c r="S71" s="35"/>
      <c r="T71" s="35"/>
      <c r="U71" s="35"/>
      <c r="V71" s="35"/>
      <c r="W71" s="35"/>
      <c r="X71" s="35"/>
      <c r="Y71" s="35"/>
      <c r="Z71" s="35"/>
    </row>
    <row r="72" ht="15.75" customHeight="1">
      <c r="A72" s="66" t="s">
        <v>563</v>
      </c>
      <c r="B72" s="66" t="s">
        <v>580</v>
      </c>
      <c r="C72" s="69" t="s">
        <v>761</v>
      </c>
      <c r="D72" s="149" t="s">
        <v>762</v>
      </c>
      <c r="E72" s="149" t="s">
        <v>757</v>
      </c>
      <c r="F72" s="154">
        <v>9425.0</v>
      </c>
      <c r="G72" s="151">
        <v>45855.0</v>
      </c>
      <c r="H72" s="161">
        <f t="shared" si="1"/>
        <v>14137.5</v>
      </c>
      <c r="I72" s="54">
        <f t="shared" si="2"/>
        <v>12252.5</v>
      </c>
      <c r="J72" s="55">
        <f t="shared" si="3"/>
        <v>12252.5</v>
      </c>
      <c r="K72" s="56">
        <f t="shared" si="4"/>
        <v>11310</v>
      </c>
      <c r="L72" s="55">
        <f t="shared" si="5"/>
        <v>10838.75</v>
      </c>
      <c r="M72" s="56">
        <f t="shared" si="6"/>
        <v>10367.5</v>
      </c>
      <c r="N72" s="40"/>
      <c r="O72" s="34"/>
      <c r="P72" s="35"/>
      <c r="Q72" s="35"/>
      <c r="R72" s="35"/>
      <c r="S72" s="35"/>
      <c r="T72" s="35"/>
      <c r="U72" s="35"/>
      <c r="V72" s="35"/>
      <c r="W72" s="35"/>
      <c r="X72" s="35"/>
      <c r="Y72" s="35"/>
      <c r="Z72" s="35"/>
    </row>
    <row r="73" ht="15.75" customHeight="1">
      <c r="A73" s="66" t="s">
        <v>563</v>
      </c>
      <c r="B73" s="66" t="s">
        <v>580</v>
      </c>
      <c r="C73" s="66" t="s">
        <v>763</v>
      </c>
      <c r="D73" s="149" t="s">
        <v>764</v>
      </c>
      <c r="E73" s="149" t="s">
        <v>765</v>
      </c>
      <c r="F73" s="154">
        <v>8635.0</v>
      </c>
      <c r="G73" s="151">
        <v>45855.0</v>
      </c>
      <c r="H73" s="155">
        <f t="shared" si="1"/>
        <v>12952.5</v>
      </c>
      <c r="I73" s="37">
        <f t="shared" si="2"/>
        <v>11225.5</v>
      </c>
      <c r="J73" s="38">
        <f t="shared" si="3"/>
        <v>11225.5</v>
      </c>
      <c r="K73" s="39">
        <f t="shared" si="4"/>
        <v>10362</v>
      </c>
      <c r="L73" s="38">
        <f t="shared" si="5"/>
        <v>9930.25</v>
      </c>
      <c r="M73" s="39">
        <f t="shared" si="6"/>
        <v>9498.5</v>
      </c>
      <c r="N73" s="40"/>
      <c r="O73" s="34"/>
      <c r="P73" s="35"/>
      <c r="Q73" s="35"/>
      <c r="R73" s="35"/>
      <c r="S73" s="35"/>
      <c r="T73" s="35"/>
      <c r="U73" s="35"/>
      <c r="V73" s="35"/>
      <c r="W73" s="35"/>
      <c r="X73" s="35"/>
      <c r="Y73" s="35"/>
      <c r="Z73" s="35"/>
    </row>
    <row r="74" ht="15.75" customHeight="1">
      <c r="A74" s="66" t="s">
        <v>563</v>
      </c>
      <c r="B74" s="66" t="s">
        <v>580</v>
      </c>
      <c r="C74" s="69" t="s">
        <v>766</v>
      </c>
      <c r="D74" s="149" t="s">
        <v>767</v>
      </c>
      <c r="E74" s="149" t="s">
        <v>768</v>
      </c>
      <c r="F74" s="154">
        <v>8635.0</v>
      </c>
      <c r="G74" s="151">
        <v>45855.0</v>
      </c>
      <c r="H74" s="155">
        <f t="shared" si="1"/>
        <v>12952.5</v>
      </c>
      <c r="I74" s="37">
        <f t="shared" si="2"/>
        <v>11225.5</v>
      </c>
      <c r="J74" s="38">
        <f t="shared" si="3"/>
        <v>11225.5</v>
      </c>
      <c r="K74" s="39">
        <f t="shared" si="4"/>
        <v>10362</v>
      </c>
      <c r="L74" s="38">
        <f t="shared" si="5"/>
        <v>9930.25</v>
      </c>
      <c r="M74" s="39">
        <f t="shared" si="6"/>
        <v>9498.5</v>
      </c>
      <c r="N74" s="40"/>
      <c r="O74" s="34"/>
      <c r="P74" s="35"/>
      <c r="Q74" s="35"/>
      <c r="R74" s="35"/>
      <c r="S74" s="35"/>
      <c r="T74" s="35"/>
      <c r="U74" s="35"/>
      <c r="V74" s="35"/>
      <c r="W74" s="35"/>
      <c r="X74" s="35"/>
      <c r="Y74" s="35"/>
      <c r="Z74" s="35"/>
    </row>
    <row r="75" ht="15.75" customHeight="1">
      <c r="A75" s="66" t="s">
        <v>563</v>
      </c>
      <c r="B75" s="66" t="s">
        <v>580</v>
      </c>
      <c r="C75" s="66" t="s">
        <v>769</v>
      </c>
      <c r="D75" s="149" t="s">
        <v>770</v>
      </c>
      <c r="E75" s="149" t="s">
        <v>771</v>
      </c>
      <c r="F75" s="154">
        <v>9671.0</v>
      </c>
      <c r="G75" s="151">
        <v>45855.0</v>
      </c>
      <c r="H75" s="155">
        <f t="shared" si="1"/>
        <v>14506.5</v>
      </c>
      <c r="I75" s="37">
        <f t="shared" si="2"/>
        <v>12572.3</v>
      </c>
      <c r="J75" s="38">
        <f t="shared" si="3"/>
        <v>12572.3</v>
      </c>
      <c r="K75" s="39">
        <f t="shared" si="4"/>
        <v>11605.2</v>
      </c>
      <c r="L75" s="38">
        <f t="shared" si="5"/>
        <v>11121.65</v>
      </c>
      <c r="M75" s="39">
        <f t="shared" si="6"/>
        <v>10638.1</v>
      </c>
      <c r="N75" s="40"/>
      <c r="O75" s="34"/>
      <c r="P75" s="35"/>
      <c r="Q75" s="35"/>
      <c r="R75" s="35"/>
      <c r="S75" s="35"/>
      <c r="T75" s="35"/>
      <c r="U75" s="35"/>
      <c r="V75" s="35"/>
      <c r="W75" s="35"/>
      <c r="X75" s="35"/>
      <c r="Y75" s="35"/>
      <c r="Z75" s="35"/>
    </row>
    <row r="76" ht="15.75" customHeight="1">
      <c r="A76" s="66" t="s">
        <v>563</v>
      </c>
      <c r="B76" s="66" t="s">
        <v>580</v>
      </c>
      <c r="C76" s="69" t="s">
        <v>772</v>
      </c>
      <c r="D76" s="149" t="s">
        <v>773</v>
      </c>
      <c r="E76" s="149" t="s">
        <v>774</v>
      </c>
      <c r="F76" s="154">
        <v>9671.0</v>
      </c>
      <c r="G76" s="151">
        <v>45855.0</v>
      </c>
      <c r="H76" s="155">
        <f t="shared" si="1"/>
        <v>14506.5</v>
      </c>
      <c r="I76" s="37">
        <f t="shared" si="2"/>
        <v>12572.3</v>
      </c>
      <c r="J76" s="38">
        <f t="shared" si="3"/>
        <v>12572.3</v>
      </c>
      <c r="K76" s="39">
        <f t="shared" si="4"/>
        <v>11605.2</v>
      </c>
      <c r="L76" s="38">
        <f t="shared" si="5"/>
        <v>11121.65</v>
      </c>
      <c r="M76" s="39">
        <f t="shared" si="6"/>
        <v>10638.1</v>
      </c>
      <c r="N76" s="40"/>
      <c r="O76" s="34"/>
      <c r="P76" s="35"/>
      <c r="Q76" s="35"/>
      <c r="R76" s="35"/>
      <c r="S76" s="35"/>
      <c r="T76" s="35"/>
      <c r="U76" s="35"/>
      <c r="V76" s="35"/>
      <c r="W76" s="35"/>
      <c r="X76" s="35"/>
      <c r="Y76" s="35"/>
      <c r="Z76" s="35"/>
    </row>
    <row r="77" ht="15.75" customHeight="1">
      <c r="A77" s="66" t="s">
        <v>563</v>
      </c>
      <c r="B77" s="66" t="s">
        <v>580</v>
      </c>
      <c r="C77" s="69" t="s">
        <v>775</v>
      </c>
      <c r="D77" s="149" t="s">
        <v>776</v>
      </c>
      <c r="E77" s="149" t="s">
        <v>777</v>
      </c>
      <c r="F77" s="154">
        <v>11064.0</v>
      </c>
      <c r="G77" s="151">
        <v>45855.0</v>
      </c>
      <c r="H77" s="155">
        <f t="shared" si="1"/>
        <v>16596</v>
      </c>
      <c r="I77" s="37">
        <f t="shared" si="2"/>
        <v>14383.2</v>
      </c>
      <c r="J77" s="38">
        <f t="shared" si="3"/>
        <v>14383.2</v>
      </c>
      <c r="K77" s="39">
        <f t="shared" si="4"/>
        <v>13276.8</v>
      </c>
      <c r="L77" s="38">
        <f t="shared" si="5"/>
        <v>12723.6</v>
      </c>
      <c r="M77" s="39">
        <f t="shared" si="6"/>
        <v>12170.4</v>
      </c>
      <c r="N77" s="40"/>
      <c r="O77" s="34"/>
      <c r="P77" s="35"/>
      <c r="Q77" s="35"/>
      <c r="R77" s="35"/>
      <c r="S77" s="35"/>
      <c r="T77" s="35"/>
      <c r="U77" s="35"/>
      <c r="V77" s="35"/>
      <c r="W77" s="35"/>
      <c r="X77" s="35"/>
      <c r="Y77" s="35"/>
      <c r="Z77" s="35"/>
    </row>
    <row r="78" ht="15.75" customHeight="1">
      <c r="A78" s="66" t="s">
        <v>563</v>
      </c>
      <c r="B78" s="66" t="s">
        <v>778</v>
      </c>
      <c r="C78" s="69" t="s">
        <v>779</v>
      </c>
      <c r="D78" s="149" t="s">
        <v>780</v>
      </c>
      <c r="E78" s="149" t="s">
        <v>781</v>
      </c>
      <c r="F78" s="154">
        <v>4188.0</v>
      </c>
      <c r="G78" s="151">
        <v>45855.0</v>
      </c>
      <c r="H78" s="155">
        <f t="shared" si="1"/>
        <v>6282</v>
      </c>
      <c r="I78" s="37">
        <f t="shared" si="2"/>
        <v>5444.4</v>
      </c>
      <c r="J78" s="38">
        <f t="shared" si="3"/>
        <v>5444.4</v>
      </c>
      <c r="K78" s="39">
        <f t="shared" si="4"/>
        <v>5025.6</v>
      </c>
      <c r="L78" s="38">
        <f t="shared" si="5"/>
        <v>4816.2</v>
      </c>
      <c r="M78" s="39">
        <f t="shared" si="6"/>
        <v>4606.8</v>
      </c>
      <c r="N78" s="40"/>
      <c r="O78" s="34"/>
      <c r="P78" s="35"/>
      <c r="Q78" s="35"/>
      <c r="R78" s="35"/>
      <c r="S78" s="35"/>
      <c r="T78" s="35"/>
      <c r="U78" s="35"/>
      <c r="V78" s="35"/>
      <c r="W78" s="35"/>
      <c r="X78" s="35"/>
      <c r="Y78" s="35"/>
      <c r="Z78" s="35"/>
    </row>
    <row r="79" ht="15.75" customHeight="1">
      <c r="A79" s="66" t="s">
        <v>563</v>
      </c>
      <c r="B79" s="66" t="s">
        <v>580</v>
      </c>
      <c r="C79" s="66" t="s">
        <v>782</v>
      </c>
      <c r="D79" s="149" t="s">
        <v>783</v>
      </c>
      <c r="E79" s="149" t="s">
        <v>733</v>
      </c>
      <c r="F79" s="154">
        <v>4743.0</v>
      </c>
      <c r="G79" s="151">
        <v>45855.0</v>
      </c>
      <c r="H79" s="155">
        <f t="shared" si="1"/>
        <v>7114.5</v>
      </c>
      <c r="I79" s="37">
        <f t="shared" si="2"/>
        <v>6165.9</v>
      </c>
      <c r="J79" s="38">
        <f t="shared" si="3"/>
        <v>6165.9</v>
      </c>
      <c r="K79" s="39">
        <f t="shared" si="4"/>
        <v>5691.6</v>
      </c>
      <c r="L79" s="38">
        <f t="shared" si="5"/>
        <v>5454.45</v>
      </c>
      <c r="M79" s="39">
        <f t="shared" si="6"/>
        <v>5217.3</v>
      </c>
      <c r="N79" s="40"/>
      <c r="O79" s="34"/>
      <c r="P79" s="35"/>
      <c r="Q79" s="35"/>
      <c r="R79" s="35"/>
      <c r="S79" s="35"/>
      <c r="T79" s="35"/>
      <c r="U79" s="35"/>
      <c r="V79" s="35"/>
      <c r="W79" s="35"/>
      <c r="X79" s="35"/>
      <c r="Y79" s="35"/>
      <c r="Z79" s="35"/>
    </row>
    <row r="80" ht="15.75" customHeight="1">
      <c r="A80" s="66" t="s">
        <v>563</v>
      </c>
      <c r="B80" s="66" t="s">
        <v>580</v>
      </c>
      <c r="C80" s="69" t="s">
        <v>784</v>
      </c>
      <c r="D80" s="149" t="s">
        <v>783</v>
      </c>
      <c r="E80" s="149" t="s">
        <v>785</v>
      </c>
      <c r="F80" s="154">
        <v>4388.0</v>
      </c>
      <c r="G80" s="151">
        <v>45855.0</v>
      </c>
      <c r="H80" s="155">
        <f t="shared" si="1"/>
        <v>6582</v>
      </c>
      <c r="I80" s="37">
        <f t="shared" si="2"/>
        <v>5704.4</v>
      </c>
      <c r="J80" s="38">
        <f t="shared" si="3"/>
        <v>5704.4</v>
      </c>
      <c r="K80" s="39">
        <f t="shared" si="4"/>
        <v>5265.6</v>
      </c>
      <c r="L80" s="38">
        <f t="shared" si="5"/>
        <v>5046.2</v>
      </c>
      <c r="M80" s="39">
        <f t="shared" si="6"/>
        <v>4826.8</v>
      </c>
      <c r="N80" s="40"/>
      <c r="O80" s="34"/>
      <c r="P80" s="35"/>
      <c r="Q80" s="35"/>
      <c r="R80" s="35"/>
      <c r="S80" s="35"/>
      <c r="T80" s="35"/>
      <c r="U80" s="35"/>
      <c r="V80" s="35"/>
      <c r="W80" s="35"/>
      <c r="X80" s="35"/>
      <c r="Y80" s="35"/>
      <c r="Z80" s="35"/>
    </row>
    <row r="81" ht="15.75" customHeight="1">
      <c r="A81" s="66" t="s">
        <v>563</v>
      </c>
      <c r="B81" s="66" t="s">
        <v>580</v>
      </c>
      <c r="C81" s="66" t="s">
        <v>786</v>
      </c>
      <c r="D81" s="148" t="s">
        <v>787</v>
      </c>
      <c r="E81" s="149" t="s">
        <v>742</v>
      </c>
      <c r="F81" s="154">
        <v>5217.0</v>
      </c>
      <c r="G81" s="151">
        <v>45855.0</v>
      </c>
      <c r="H81" s="155">
        <f t="shared" si="1"/>
        <v>7825.5</v>
      </c>
      <c r="I81" s="37">
        <f t="shared" si="2"/>
        <v>6782.1</v>
      </c>
      <c r="J81" s="38">
        <f t="shared" si="3"/>
        <v>6782.1</v>
      </c>
      <c r="K81" s="39">
        <f t="shared" si="4"/>
        <v>6260.4</v>
      </c>
      <c r="L81" s="38">
        <f t="shared" si="5"/>
        <v>5999.55</v>
      </c>
      <c r="M81" s="39">
        <f t="shared" si="6"/>
        <v>5738.7</v>
      </c>
      <c r="N81" s="40"/>
      <c r="O81" s="34"/>
      <c r="P81" s="35"/>
      <c r="Q81" s="35"/>
      <c r="R81" s="35"/>
      <c r="S81" s="35"/>
      <c r="T81" s="35"/>
      <c r="U81" s="35"/>
      <c r="V81" s="35"/>
      <c r="W81" s="35"/>
      <c r="X81" s="35"/>
      <c r="Y81" s="35"/>
      <c r="Z81" s="35"/>
    </row>
    <row r="82" ht="15.75" customHeight="1">
      <c r="A82" s="66" t="s">
        <v>563</v>
      </c>
      <c r="B82" s="66" t="s">
        <v>580</v>
      </c>
      <c r="C82" s="66" t="s">
        <v>788</v>
      </c>
      <c r="D82" s="149" t="s">
        <v>789</v>
      </c>
      <c r="E82" s="149" t="s">
        <v>790</v>
      </c>
      <c r="F82" s="154">
        <v>7150.0</v>
      </c>
      <c r="G82" s="151">
        <v>45855.0</v>
      </c>
      <c r="H82" s="155">
        <f t="shared" si="1"/>
        <v>10725</v>
      </c>
      <c r="I82" s="37">
        <f t="shared" si="2"/>
        <v>9295</v>
      </c>
      <c r="J82" s="38">
        <f t="shared" si="3"/>
        <v>9295</v>
      </c>
      <c r="K82" s="39">
        <f t="shared" si="4"/>
        <v>8580</v>
      </c>
      <c r="L82" s="38">
        <f t="shared" si="5"/>
        <v>8222.5</v>
      </c>
      <c r="M82" s="39">
        <f t="shared" si="6"/>
        <v>7865</v>
      </c>
      <c r="N82" s="40"/>
      <c r="O82" s="34"/>
      <c r="P82" s="35"/>
      <c r="Q82" s="35"/>
      <c r="R82" s="35"/>
      <c r="S82" s="35"/>
      <c r="T82" s="35"/>
      <c r="U82" s="35"/>
      <c r="V82" s="35"/>
      <c r="W82" s="35"/>
      <c r="X82" s="35"/>
      <c r="Y82" s="35"/>
      <c r="Z82" s="35"/>
    </row>
    <row r="83" ht="15.75" customHeight="1">
      <c r="A83" s="66" t="s">
        <v>563</v>
      </c>
      <c r="B83" s="66" t="s">
        <v>580</v>
      </c>
      <c r="C83" s="66" t="s">
        <v>791</v>
      </c>
      <c r="D83" s="149" t="s">
        <v>792</v>
      </c>
      <c r="E83" s="149" t="s">
        <v>793</v>
      </c>
      <c r="F83" s="154">
        <v>7944.0</v>
      </c>
      <c r="G83" s="151">
        <v>45855.0</v>
      </c>
      <c r="H83" s="155">
        <f t="shared" si="1"/>
        <v>11916</v>
      </c>
      <c r="I83" s="37">
        <f t="shared" si="2"/>
        <v>10327.2</v>
      </c>
      <c r="J83" s="38">
        <f t="shared" si="3"/>
        <v>10327.2</v>
      </c>
      <c r="K83" s="39">
        <f t="shared" si="4"/>
        <v>9532.8</v>
      </c>
      <c r="L83" s="38">
        <f t="shared" si="5"/>
        <v>9135.6</v>
      </c>
      <c r="M83" s="39">
        <f t="shared" si="6"/>
        <v>8738.4</v>
      </c>
      <c r="N83" s="40"/>
      <c r="O83" s="34"/>
      <c r="P83" s="35"/>
      <c r="Q83" s="35"/>
      <c r="R83" s="35"/>
      <c r="S83" s="35"/>
      <c r="T83" s="35"/>
      <c r="U83" s="35"/>
      <c r="V83" s="35"/>
      <c r="W83" s="35"/>
      <c r="X83" s="35"/>
      <c r="Y83" s="35"/>
      <c r="Z83" s="35"/>
    </row>
    <row r="84" ht="15.75" customHeight="1">
      <c r="A84" s="66" t="s">
        <v>563</v>
      </c>
      <c r="B84" s="66" t="s">
        <v>580</v>
      </c>
      <c r="C84" s="66" t="s">
        <v>794</v>
      </c>
      <c r="D84" s="149" t="s">
        <v>795</v>
      </c>
      <c r="E84" s="149" t="s">
        <v>796</v>
      </c>
      <c r="F84" s="154">
        <v>7944.0</v>
      </c>
      <c r="G84" s="151">
        <v>45855.0</v>
      </c>
      <c r="H84" s="155">
        <f t="shared" si="1"/>
        <v>11916</v>
      </c>
      <c r="I84" s="37">
        <f t="shared" si="2"/>
        <v>10327.2</v>
      </c>
      <c r="J84" s="38">
        <f t="shared" si="3"/>
        <v>10327.2</v>
      </c>
      <c r="K84" s="39">
        <f t="shared" si="4"/>
        <v>9532.8</v>
      </c>
      <c r="L84" s="38">
        <f t="shared" si="5"/>
        <v>9135.6</v>
      </c>
      <c r="M84" s="39">
        <f t="shared" si="6"/>
        <v>8738.4</v>
      </c>
      <c r="N84" s="40"/>
      <c r="O84" s="34"/>
      <c r="P84" s="35"/>
      <c r="Q84" s="35"/>
      <c r="R84" s="35"/>
      <c r="S84" s="35"/>
      <c r="T84" s="35"/>
      <c r="U84" s="35"/>
      <c r="V84" s="35"/>
      <c r="W84" s="35"/>
      <c r="X84" s="35"/>
      <c r="Y84" s="35"/>
      <c r="Z84" s="35"/>
    </row>
    <row r="85" ht="15.75" customHeight="1">
      <c r="A85" s="66" t="s">
        <v>563</v>
      </c>
      <c r="B85" s="66" t="s">
        <v>580</v>
      </c>
      <c r="C85" s="66" t="s">
        <v>797</v>
      </c>
      <c r="D85" s="149" t="s">
        <v>770</v>
      </c>
      <c r="E85" s="149" t="s">
        <v>771</v>
      </c>
      <c r="F85" s="154">
        <v>9671.0</v>
      </c>
      <c r="G85" s="151">
        <v>45855.0</v>
      </c>
      <c r="H85" s="155">
        <f t="shared" si="1"/>
        <v>14506.5</v>
      </c>
      <c r="I85" s="37">
        <f t="shared" si="2"/>
        <v>12572.3</v>
      </c>
      <c r="J85" s="38">
        <f t="shared" si="3"/>
        <v>12572.3</v>
      </c>
      <c r="K85" s="39">
        <f t="shared" si="4"/>
        <v>11605.2</v>
      </c>
      <c r="L85" s="38">
        <f t="shared" si="5"/>
        <v>11121.65</v>
      </c>
      <c r="M85" s="39">
        <f t="shared" si="6"/>
        <v>10638.1</v>
      </c>
      <c r="N85" s="40"/>
      <c r="O85" s="34"/>
      <c r="P85" s="35"/>
      <c r="Q85" s="35"/>
      <c r="R85" s="35"/>
      <c r="S85" s="35"/>
      <c r="T85" s="35"/>
      <c r="U85" s="35"/>
      <c r="V85" s="35"/>
      <c r="W85" s="35"/>
      <c r="X85" s="35"/>
      <c r="Y85" s="35"/>
      <c r="Z85" s="35"/>
    </row>
    <row r="86" ht="15.75" customHeight="1">
      <c r="A86" s="66" t="s">
        <v>563</v>
      </c>
      <c r="B86" s="66" t="s">
        <v>798</v>
      </c>
      <c r="C86" s="66" t="s">
        <v>799</v>
      </c>
      <c r="D86" s="149" t="s">
        <v>800</v>
      </c>
      <c r="E86" s="149" t="s">
        <v>801</v>
      </c>
      <c r="F86" s="162">
        <v>11064.0</v>
      </c>
      <c r="G86" s="151">
        <v>45855.0</v>
      </c>
      <c r="H86" s="155">
        <f t="shared" si="1"/>
        <v>16596</v>
      </c>
      <c r="I86" s="37">
        <f t="shared" si="2"/>
        <v>14383.2</v>
      </c>
      <c r="J86" s="38">
        <f t="shared" si="3"/>
        <v>14383.2</v>
      </c>
      <c r="K86" s="39">
        <f t="shared" si="4"/>
        <v>13276.8</v>
      </c>
      <c r="L86" s="38">
        <f t="shared" si="5"/>
        <v>12723.6</v>
      </c>
      <c r="M86" s="39">
        <f t="shared" si="6"/>
        <v>12170.4</v>
      </c>
      <c r="N86" s="40"/>
      <c r="O86" s="34"/>
      <c r="P86" s="35"/>
      <c r="Q86" s="35"/>
      <c r="R86" s="35"/>
      <c r="S86" s="35"/>
      <c r="T86" s="35"/>
      <c r="U86" s="35"/>
      <c r="V86" s="35"/>
      <c r="W86" s="35"/>
      <c r="X86" s="35"/>
      <c r="Y86" s="35"/>
      <c r="Z86" s="35"/>
    </row>
    <row r="87" ht="15.75" customHeight="1">
      <c r="A87" s="66" t="s">
        <v>563</v>
      </c>
      <c r="B87" s="66" t="s">
        <v>802</v>
      </c>
      <c r="C87" s="66" t="s">
        <v>803</v>
      </c>
      <c r="D87" s="149" t="s">
        <v>628</v>
      </c>
      <c r="E87" s="149" t="s">
        <v>804</v>
      </c>
      <c r="F87" s="154">
        <v>4518.0</v>
      </c>
      <c r="G87" s="151">
        <v>45855.0</v>
      </c>
      <c r="H87" s="155">
        <f t="shared" si="1"/>
        <v>6777</v>
      </c>
      <c r="I87" s="37">
        <f t="shared" si="2"/>
        <v>5873.4</v>
      </c>
      <c r="J87" s="38">
        <f t="shared" si="3"/>
        <v>5873.4</v>
      </c>
      <c r="K87" s="39">
        <f t="shared" si="4"/>
        <v>5421.6</v>
      </c>
      <c r="L87" s="38">
        <f t="shared" si="5"/>
        <v>5195.7</v>
      </c>
      <c r="M87" s="39">
        <f t="shared" si="6"/>
        <v>4969.8</v>
      </c>
      <c r="N87" s="40"/>
      <c r="O87" s="34"/>
      <c r="P87" s="35"/>
      <c r="Q87" s="35"/>
      <c r="R87" s="35"/>
      <c r="S87" s="35"/>
      <c r="T87" s="35"/>
      <c r="U87" s="35"/>
      <c r="V87" s="35"/>
      <c r="W87" s="35"/>
      <c r="X87" s="35"/>
      <c r="Y87" s="35"/>
      <c r="Z87" s="35"/>
    </row>
    <row r="88" ht="15.75" customHeight="1">
      <c r="A88" s="66" t="s">
        <v>563</v>
      </c>
      <c r="B88" s="66" t="s">
        <v>580</v>
      </c>
      <c r="C88" s="66" t="s">
        <v>805</v>
      </c>
      <c r="D88" s="149" t="s">
        <v>806</v>
      </c>
      <c r="E88" s="149" t="s">
        <v>807</v>
      </c>
      <c r="F88" s="154">
        <v>4355.0</v>
      </c>
      <c r="G88" s="151">
        <v>45855.0</v>
      </c>
      <c r="H88" s="155">
        <f t="shared" si="1"/>
        <v>6532.5</v>
      </c>
      <c r="I88" s="37">
        <f t="shared" si="2"/>
        <v>5661.5</v>
      </c>
      <c r="J88" s="38">
        <f t="shared" si="3"/>
        <v>5661.5</v>
      </c>
      <c r="K88" s="39">
        <f t="shared" si="4"/>
        <v>5226</v>
      </c>
      <c r="L88" s="38">
        <f t="shared" si="5"/>
        <v>5008.25</v>
      </c>
      <c r="M88" s="39">
        <f t="shared" si="6"/>
        <v>4790.5</v>
      </c>
      <c r="N88" s="40"/>
      <c r="O88" s="34"/>
      <c r="P88" s="35"/>
      <c r="Q88" s="35"/>
      <c r="R88" s="35"/>
      <c r="S88" s="35"/>
      <c r="T88" s="35"/>
      <c r="U88" s="35"/>
      <c r="V88" s="35"/>
      <c r="W88" s="35"/>
      <c r="X88" s="35"/>
      <c r="Y88" s="35"/>
      <c r="Z88" s="35"/>
    </row>
    <row r="89" ht="15.75" customHeight="1">
      <c r="A89" s="66" t="s">
        <v>563</v>
      </c>
      <c r="B89" s="66" t="s">
        <v>580</v>
      </c>
      <c r="C89" s="66" t="s">
        <v>808</v>
      </c>
      <c r="D89" s="149" t="s">
        <v>806</v>
      </c>
      <c r="E89" s="149" t="s">
        <v>809</v>
      </c>
      <c r="F89" s="154">
        <v>4095.0</v>
      </c>
      <c r="G89" s="151">
        <v>45855.0</v>
      </c>
      <c r="H89" s="155">
        <f t="shared" si="1"/>
        <v>6142.5</v>
      </c>
      <c r="I89" s="37">
        <f t="shared" si="2"/>
        <v>5323.5</v>
      </c>
      <c r="J89" s="38">
        <f t="shared" si="3"/>
        <v>5323.5</v>
      </c>
      <c r="K89" s="39">
        <f t="shared" si="4"/>
        <v>4914</v>
      </c>
      <c r="L89" s="38">
        <f t="shared" si="5"/>
        <v>4709.25</v>
      </c>
      <c r="M89" s="39">
        <f t="shared" si="6"/>
        <v>4504.5</v>
      </c>
      <c r="N89" s="40"/>
      <c r="O89" s="34"/>
      <c r="P89" s="35"/>
      <c r="Q89" s="35"/>
      <c r="R89" s="35"/>
      <c r="S89" s="35"/>
      <c r="T89" s="35"/>
      <c r="U89" s="35"/>
      <c r="V89" s="35"/>
      <c r="W89" s="35"/>
      <c r="X89" s="35"/>
      <c r="Y89" s="35"/>
      <c r="Z89" s="35"/>
    </row>
    <row r="90" ht="15.75" customHeight="1">
      <c r="A90" s="66" t="s">
        <v>563</v>
      </c>
      <c r="B90" s="66" t="s">
        <v>580</v>
      </c>
      <c r="C90" s="66" t="s">
        <v>810</v>
      </c>
      <c r="D90" s="149" t="s">
        <v>811</v>
      </c>
      <c r="E90" s="149" t="s">
        <v>812</v>
      </c>
      <c r="F90" s="154">
        <v>4680.0</v>
      </c>
      <c r="G90" s="151">
        <v>45855.0</v>
      </c>
      <c r="H90" s="155">
        <f t="shared" si="1"/>
        <v>7020</v>
      </c>
      <c r="I90" s="37">
        <f t="shared" si="2"/>
        <v>6084</v>
      </c>
      <c r="J90" s="38">
        <f t="shared" si="3"/>
        <v>6084</v>
      </c>
      <c r="K90" s="39">
        <f t="shared" si="4"/>
        <v>5616</v>
      </c>
      <c r="L90" s="38">
        <f t="shared" si="5"/>
        <v>5382</v>
      </c>
      <c r="M90" s="39">
        <f t="shared" si="6"/>
        <v>5148</v>
      </c>
      <c r="N90" s="40"/>
      <c r="O90" s="34"/>
      <c r="P90" s="35"/>
      <c r="Q90" s="35"/>
      <c r="R90" s="35"/>
      <c r="S90" s="35"/>
      <c r="T90" s="35"/>
      <c r="U90" s="35"/>
      <c r="V90" s="35"/>
      <c r="W90" s="35"/>
      <c r="X90" s="35"/>
      <c r="Y90" s="35"/>
      <c r="Z90" s="35"/>
    </row>
    <row r="91" ht="15.75" customHeight="1">
      <c r="A91" s="66" t="s">
        <v>563</v>
      </c>
      <c r="B91" s="66" t="s">
        <v>580</v>
      </c>
      <c r="C91" s="66" t="s">
        <v>813</v>
      </c>
      <c r="D91" s="149" t="s">
        <v>811</v>
      </c>
      <c r="E91" s="149" t="s">
        <v>812</v>
      </c>
      <c r="F91" s="154">
        <v>4382.0</v>
      </c>
      <c r="G91" s="151">
        <v>45855.0</v>
      </c>
      <c r="H91" s="155">
        <f t="shared" si="1"/>
        <v>6573</v>
      </c>
      <c r="I91" s="37">
        <f t="shared" si="2"/>
        <v>5696.6</v>
      </c>
      <c r="J91" s="38">
        <f t="shared" si="3"/>
        <v>5696.6</v>
      </c>
      <c r="K91" s="39">
        <f t="shared" si="4"/>
        <v>5258.4</v>
      </c>
      <c r="L91" s="38">
        <f t="shared" si="5"/>
        <v>5039.3</v>
      </c>
      <c r="M91" s="39">
        <f t="shared" si="6"/>
        <v>4820.2</v>
      </c>
      <c r="N91" s="40"/>
      <c r="O91" s="34"/>
      <c r="P91" s="35"/>
      <c r="Q91" s="35"/>
      <c r="R91" s="35"/>
      <c r="S91" s="35"/>
      <c r="T91" s="35"/>
      <c r="U91" s="35"/>
      <c r="V91" s="35"/>
      <c r="W91" s="35"/>
      <c r="X91" s="35"/>
      <c r="Y91" s="35"/>
      <c r="Z91" s="35"/>
    </row>
    <row r="92" ht="15.75" customHeight="1">
      <c r="A92" s="66" t="s">
        <v>563</v>
      </c>
      <c r="B92" s="66" t="s">
        <v>580</v>
      </c>
      <c r="C92" s="66" t="s">
        <v>814</v>
      </c>
      <c r="D92" s="149" t="s">
        <v>815</v>
      </c>
      <c r="E92" s="149" t="s">
        <v>816</v>
      </c>
      <c r="F92" s="154">
        <v>5590.0</v>
      </c>
      <c r="G92" s="151">
        <v>45855.0</v>
      </c>
      <c r="H92" s="155"/>
      <c r="I92" s="37"/>
      <c r="J92" s="38"/>
      <c r="K92" s="39"/>
      <c r="L92" s="38"/>
      <c r="M92" s="39"/>
      <c r="N92" s="40"/>
      <c r="O92" s="34"/>
      <c r="P92" s="35"/>
      <c r="Q92" s="35"/>
      <c r="R92" s="35"/>
      <c r="S92" s="35"/>
      <c r="T92" s="35"/>
      <c r="U92" s="35"/>
      <c r="V92" s="35"/>
      <c r="W92" s="35"/>
      <c r="X92" s="35"/>
      <c r="Y92" s="35"/>
      <c r="Z92" s="35"/>
    </row>
    <row r="93" ht="15.75" customHeight="1">
      <c r="A93" s="66" t="s">
        <v>563</v>
      </c>
      <c r="B93" s="66" t="s">
        <v>580</v>
      </c>
      <c r="C93" s="66" t="s">
        <v>702</v>
      </c>
      <c r="D93" s="149" t="s">
        <v>817</v>
      </c>
      <c r="E93" s="149" t="s">
        <v>818</v>
      </c>
      <c r="F93" s="154">
        <v>5522.0</v>
      </c>
      <c r="G93" s="151">
        <v>45855.0</v>
      </c>
      <c r="H93" s="155">
        <f t="shared" ref="H93:H498" si="7">F93*0.5+F93</f>
        <v>8283</v>
      </c>
      <c r="I93" s="37">
        <f t="shared" ref="I93:I498" si="8">F93*0.3+F93</f>
        <v>7178.6</v>
      </c>
      <c r="J93" s="38">
        <f t="shared" ref="J93:J498" si="9">F93*0.3+F93</f>
        <v>7178.6</v>
      </c>
      <c r="K93" s="39">
        <f t="shared" ref="K93:K498" si="10">F93*0.2+F93</f>
        <v>6626.4</v>
      </c>
      <c r="L93" s="38">
        <f t="shared" ref="L93:L498" si="11">F93*0.15+F93</f>
        <v>6350.3</v>
      </c>
      <c r="M93" s="39">
        <f t="shared" ref="M93:M498" si="12">F93*0.1+F93</f>
        <v>6074.2</v>
      </c>
      <c r="N93" s="40"/>
      <c r="O93" s="34"/>
      <c r="P93" s="35"/>
      <c r="Q93" s="35"/>
      <c r="R93" s="35"/>
      <c r="S93" s="35"/>
      <c r="T93" s="35"/>
      <c r="U93" s="35"/>
      <c r="V93" s="35"/>
      <c r="W93" s="35"/>
      <c r="X93" s="35"/>
      <c r="Y93" s="35"/>
      <c r="Z93" s="35"/>
    </row>
    <row r="94" ht="15.75" customHeight="1">
      <c r="A94" s="66" t="s">
        <v>563</v>
      </c>
      <c r="B94" s="66" t="s">
        <v>580</v>
      </c>
      <c r="C94" s="163" t="s">
        <v>819</v>
      </c>
      <c r="D94" s="149" t="s">
        <v>820</v>
      </c>
      <c r="E94" s="149" t="s">
        <v>821</v>
      </c>
      <c r="F94" s="154">
        <v>6107.0</v>
      </c>
      <c r="G94" s="151">
        <v>45855.0</v>
      </c>
      <c r="H94" s="155">
        <f t="shared" si="7"/>
        <v>9160.5</v>
      </c>
      <c r="I94" s="37">
        <f t="shared" si="8"/>
        <v>7939.1</v>
      </c>
      <c r="J94" s="38">
        <f t="shared" si="9"/>
        <v>7939.1</v>
      </c>
      <c r="K94" s="39">
        <f t="shared" si="10"/>
        <v>7328.4</v>
      </c>
      <c r="L94" s="38">
        <f t="shared" si="11"/>
        <v>7023.05</v>
      </c>
      <c r="M94" s="39">
        <f t="shared" si="12"/>
        <v>6717.7</v>
      </c>
      <c r="N94" s="40"/>
      <c r="O94" s="34"/>
      <c r="P94" s="35"/>
      <c r="Q94" s="35"/>
      <c r="R94" s="35"/>
      <c r="S94" s="35"/>
      <c r="T94" s="35"/>
      <c r="U94" s="35"/>
      <c r="V94" s="35"/>
      <c r="W94" s="35"/>
      <c r="X94" s="35"/>
      <c r="Y94" s="35"/>
      <c r="Z94" s="35"/>
    </row>
    <row r="95" ht="15.75" customHeight="1">
      <c r="A95" s="66" t="s">
        <v>563</v>
      </c>
      <c r="B95" s="66" t="s">
        <v>580</v>
      </c>
      <c r="C95" s="163" t="s">
        <v>822</v>
      </c>
      <c r="D95" s="149" t="s">
        <v>823</v>
      </c>
      <c r="E95" s="149" t="s">
        <v>824</v>
      </c>
      <c r="F95" s="154">
        <v>4767.0</v>
      </c>
      <c r="G95" s="151">
        <v>45855.0</v>
      </c>
      <c r="H95" s="155">
        <f t="shared" si="7"/>
        <v>7150.5</v>
      </c>
      <c r="I95" s="37">
        <f t="shared" si="8"/>
        <v>6197.1</v>
      </c>
      <c r="J95" s="38">
        <f t="shared" si="9"/>
        <v>6197.1</v>
      </c>
      <c r="K95" s="39">
        <f t="shared" si="10"/>
        <v>5720.4</v>
      </c>
      <c r="L95" s="38">
        <f t="shared" si="11"/>
        <v>5482.05</v>
      </c>
      <c r="M95" s="39">
        <f t="shared" si="12"/>
        <v>5243.7</v>
      </c>
      <c r="N95" s="40"/>
      <c r="O95" s="34"/>
      <c r="P95" s="35"/>
      <c r="Q95" s="35"/>
      <c r="R95" s="35"/>
      <c r="S95" s="35"/>
      <c r="T95" s="35"/>
      <c r="U95" s="35"/>
      <c r="V95" s="35"/>
      <c r="W95" s="35"/>
      <c r="X95" s="35"/>
      <c r="Y95" s="35"/>
      <c r="Z95" s="35"/>
    </row>
    <row r="96" ht="15.75" customHeight="1">
      <c r="A96" s="66" t="s">
        <v>563</v>
      </c>
      <c r="B96" s="66" t="s">
        <v>580</v>
      </c>
      <c r="C96" s="163" t="s">
        <v>819</v>
      </c>
      <c r="D96" s="149" t="s">
        <v>820</v>
      </c>
      <c r="E96" s="149" t="s">
        <v>825</v>
      </c>
      <c r="F96" s="154">
        <v>6107.0</v>
      </c>
      <c r="G96" s="151">
        <v>45855.0</v>
      </c>
      <c r="H96" s="155">
        <f t="shared" si="7"/>
        <v>9160.5</v>
      </c>
      <c r="I96" s="37">
        <f t="shared" si="8"/>
        <v>7939.1</v>
      </c>
      <c r="J96" s="38">
        <f t="shared" si="9"/>
        <v>7939.1</v>
      </c>
      <c r="K96" s="39">
        <f t="shared" si="10"/>
        <v>7328.4</v>
      </c>
      <c r="L96" s="38">
        <f t="shared" si="11"/>
        <v>7023.05</v>
      </c>
      <c r="M96" s="39">
        <f t="shared" si="12"/>
        <v>6717.7</v>
      </c>
      <c r="N96" s="40"/>
      <c r="O96" s="34"/>
      <c r="P96" s="35"/>
      <c r="Q96" s="35"/>
      <c r="R96" s="35"/>
      <c r="S96" s="35"/>
      <c r="T96" s="35"/>
      <c r="U96" s="35"/>
      <c r="V96" s="35"/>
      <c r="W96" s="35"/>
      <c r="X96" s="35"/>
      <c r="Y96" s="35"/>
      <c r="Z96" s="35"/>
    </row>
    <row r="97" ht="15.75" customHeight="1">
      <c r="A97" s="66" t="s">
        <v>563</v>
      </c>
      <c r="B97" s="66" t="s">
        <v>580</v>
      </c>
      <c r="C97" s="66" t="s">
        <v>826</v>
      </c>
      <c r="D97" s="149" t="s">
        <v>827</v>
      </c>
      <c r="E97" s="149" t="s">
        <v>828</v>
      </c>
      <c r="F97" s="154">
        <v>6093.0</v>
      </c>
      <c r="G97" s="151">
        <v>45855.0</v>
      </c>
      <c r="H97" s="155">
        <f t="shared" si="7"/>
        <v>9139.5</v>
      </c>
      <c r="I97" s="37">
        <f t="shared" si="8"/>
        <v>7920.9</v>
      </c>
      <c r="J97" s="38">
        <f t="shared" si="9"/>
        <v>7920.9</v>
      </c>
      <c r="K97" s="39">
        <f t="shared" si="10"/>
        <v>7311.6</v>
      </c>
      <c r="L97" s="38">
        <f t="shared" si="11"/>
        <v>7006.95</v>
      </c>
      <c r="M97" s="39">
        <f t="shared" si="12"/>
        <v>6702.3</v>
      </c>
      <c r="N97" s="40"/>
      <c r="O97" s="34"/>
      <c r="P97" s="35"/>
      <c r="Q97" s="35"/>
      <c r="R97" s="35"/>
      <c r="S97" s="35"/>
      <c r="T97" s="35"/>
      <c r="U97" s="35"/>
      <c r="V97" s="35"/>
      <c r="W97" s="35"/>
      <c r="X97" s="35"/>
      <c r="Y97" s="35"/>
      <c r="Z97" s="35"/>
    </row>
    <row r="98" ht="15.75" customHeight="1">
      <c r="A98" s="66" t="s">
        <v>563</v>
      </c>
      <c r="B98" s="66" t="s">
        <v>829</v>
      </c>
      <c r="C98" s="66" t="s">
        <v>830</v>
      </c>
      <c r="D98" s="149" t="s">
        <v>831</v>
      </c>
      <c r="E98" s="149" t="s">
        <v>832</v>
      </c>
      <c r="F98" s="154">
        <v>1900.0</v>
      </c>
      <c r="G98" s="151">
        <v>45855.0</v>
      </c>
      <c r="H98" s="155">
        <f t="shared" si="7"/>
        <v>2850</v>
      </c>
      <c r="I98" s="37">
        <f t="shared" si="8"/>
        <v>2470</v>
      </c>
      <c r="J98" s="38">
        <f t="shared" si="9"/>
        <v>2470</v>
      </c>
      <c r="K98" s="39">
        <f t="shared" si="10"/>
        <v>2280</v>
      </c>
      <c r="L98" s="38">
        <f t="shared" si="11"/>
        <v>2185</v>
      </c>
      <c r="M98" s="39">
        <f t="shared" si="12"/>
        <v>2090</v>
      </c>
      <c r="N98" s="40"/>
      <c r="O98" s="34"/>
      <c r="P98" s="35"/>
      <c r="Q98" s="35"/>
      <c r="R98" s="35"/>
      <c r="S98" s="35"/>
      <c r="T98" s="35"/>
      <c r="U98" s="35"/>
      <c r="V98" s="35"/>
      <c r="W98" s="35"/>
      <c r="X98" s="35"/>
      <c r="Y98" s="35"/>
      <c r="Z98" s="35"/>
    </row>
    <row r="99" ht="15.75" customHeight="1">
      <c r="A99" s="66" t="s">
        <v>563</v>
      </c>
      <c r="B99" s="66" t="s">
        <v>829</v>
      </c>
      <c r="C99" s="66" t="s">
        <v>833</v>
      </c>
      <c r="D99" s="149" t="s">
        <v>834</v>
      </c>
      <c r="E99" s="149" t="s">
        <v>835</v>
      </c>
      <c r="F99" s="154">
        <v>2400.0</v>
      </c>
      <c r="G99" s="151">
        <v>45855.0</v>
      </c>
      <c r="H99" s="155">
        <f t="shared" si="7"/>
        <v>3600</v>
      </c>
      <c r="I99" s="37">
        <f t="shared" si="8"/>
        <v>3120</v>
      </c>
      <c r="J99" s="38">
        <f t="shared" si="9"/>
        <v>3120</v>
      </c>
      <c r="K99" s="39">
        <f t="shared" si="10"/>
        <v>2880</v>
      </c>
      <c r="L99" s="38">
        <f t="shared" si="11"/>
        <v>2760</v>
      </c>
      <c r="M99" s="39">
        <f t="shared" si="12"/>
        <v>2640</v>
      </c>
      <c r="N99" s="40"/>
      <c r="O99" s="34"/>
      <c r="P99" s="35"/>
      <c r="Q99" s="35"/>
      <c r="R99" s="35"/>
      <c r="S99" s="35"/>
      <c r="T99" s="35"/>
      <c r="U99" s="35"/>
      <c r="V99" s="35"/>
      <c r="W99" s="35"/>
      <c r="X99" s="35"/>
      <c r="Y99" s="35"/>
      <c r="Z99" s="35"/>
    </row>
    <row r="100" ht="15.75" customHeight="1">
      <c r="A100" s="66" t="s">
        <v>563</v>
      </c>
      <c r="B100" s="66" t="s">
        <v>829</v>
      </c>
      <c r="C100" s="69" t="s">
        <v>836</v>
      </c>
      <c r="D100" s="149" t="s">
        <v>837</v>
      </c>
      <c r="E100" s="149" t="s">
        <v>838</v>
      </c>
      <c r="F100" s="154">
        <v>1900.0</v>
      </c>
      <c r="G100" s="151">
        <v>45855.0</v>
      </c>
      <c r="H100" s="155">
        <f t="shared" si="7"/>
        <v>2850</v>
      </c>
      <c r="I100" s="37">
        <f t="shared" si="8"/>
        <v>2470</v>
      </c>
      <c r="J100" s="38">
        <f t="shared" si="9"/>
        <v>2470</v>
      </c>
      <c r="K100" s="39">
        <f t="shared" si="10"/>
        <v>2280</v>
      </c>
      <c r="L100" s="38">
        <f t="shared" si="11"/>
        <v>2185</v>
      </c>
      <c r="M100" s="39">
        <f t="shared" si="12"/>
        <v>2090</v>
      </c>
      <c r="N100" s="40"/>
      <c r="O100" s="34"/>
      <c r="P100" s="35"/>
      <c r="Q100" s="35"/>
      <c r="R100" s="35"/>
      <c r="S100" s="35"/>
      <c r="T100" s="35"/>
      <c r="U100" s="35"/>
      <c r="V100" s="35"/>
      <c r="W100" s="35"/>
      <c r="X100" s="35"/>
      <c r="Y100" s="35"/>
      <c r="Z100" s="35"/>
    </row>
    <row r="101" ht="15.75" customHeight="1">
      <c r="A101" s="66" t="s">
        <v>563</v>
      </c>
      <c r="B101" s="66" t="s">
        <v>580</v>
      </c>
      <c r="C101" s="66" t="s">
        <v>839</v>
      </c>
      <c r="D101" s="149" t="s">
        <v>840</v>
      </c>
      <c r="E101" s="149" t="s">
        <v>841</v>
      </c>
      <c r="F101" s="154">
        <v>2491.0</v>
      </c>
      <c r="G101" s="151">
        <v>45855.0</v>
      </c>
      <c r="H101" s="155">
        <f t="shared" si="7"/>
        <v>3736.5</v>
      </c>
      <c r="I101" s="37">
        <f t="shared" si="8"/>
        <v>3238.3</v>
      </c>
      <c r="J101" s="38">
        <f t="shared" si="9"/>
        <v>3238.3</v>
      </c>
      <c r="K101" s="39">
        <f t="shared" si="10"/>
        <v>2989.2</v>
      </c>
      <c r="L101" s="38">
        <f t="shared" si="11"/>
        <v>2864.65</v>
      </c>
      <c r="M101" s="39">
        <f t="shared" si="12"/>
        <v>2740.1</v>
      </c>
      <c r="N101" s="40"/>
      <c r="O101" s="34"/>
      <c r="P101" s="35"/>
      <c r="Q101" s="35"/>
      <c r="R101" s="35"/>
      <c r="S101" s="35"/>
      <c r="T101" s="35"/>
      <c r="U101" s="35"/>
      <c r="V101" s="35"/>
      <c r="W101" s="35"/>
      <c r="X101" s="35"/>
      <c r="Y101" s="35"/>
      <c r="Z101" s="35"/>
    </row>
    <row r="102" ht="15.75" customHeight="1">
      <c r="A102" s="66" t="s">
        <v>563</v>
      </c>
      <c r="B102" s="66" t="s">
        <v>580</v>
      </c>
      <c r="C102" s="69" t="s">
        <v>842</v>
      </c>
      <c r="D102" s="149" t="s">
        <v>840</v>
      </c>
      <c r="E102" s="149" t="s">
        <v>843</v>
      </c>
      <c r="F102" s="154">
        <v>2400.0</v>
      </c>
      <c r="G102" s="151">
        <v>45855.0</v>
      </c>
      <c r="H102" s="155">
        <f t="shared" si="7"/>
        <v>3600</v>
      </c>
      <c r="I102" s="37">
        <f t="shared" si="8"/>
        <v>3120</v>
      </c>
      <c r="J102" s="38">
        <f t="shared" si="9"/>
        <v>3120</v>
      </c>
      <c r="K102" s="39">
        <f t="shared" si="10"/>
        <v>2880</v>
      </c>
      <c r="L102" s="38">
        <f t="shared" si="11"/>
        <v>2760</v>
      </c>
      <c r="M102" s="39">
        <f t="shared" si="12"/>
        <v>2640</v>
      </c>
      <c r="N102" s="40"/>
      <c r="O102" s="34"/>
      <c r="P102" s="35"/>
      <c r="Q102" s="35"/>
      <c r="R102" s="35"/>
      <c r="S102" s="35"/>
      <c r="T102" s="35"/>
      <c r="U102" s="35"/>
      <c r="V102" s="35"/>
      <c r="W102" s="35"/>
      <c r="X102" s="35"/>
      <c r="Y102" s="35"/>
      <c r="Z102" s="35"/>
    </row>
    <row r="103" ht="15.75" customHeight="1">
      <c r="A103" s="66" t="s">
        <v>563</v>
      </c>
      <c r="B103" s="66" t="s">
        <v>580</v>
      </c>
      <c r="C103" s="69" t="s">
        <v>844</v>
      </c>
      <c r="D103" s="149" t="s">
        <v>845</v>
      </c>
      <c r="E103" s="149" t="s">
        <v>846</v>
      </c>
      <c r="F103" s="154">
        <v>2700.0</v>
      </c>
      <c r="G103" s="151">
        <v>45855.0</v>
      </c>
      <c r="H103" s="155">
        <f t="shared" si="7"/>
        <v>4050</v>
      </c>
      <c r="I103" s="37">
        <f t="shared" si="8"/>
        <v>3510</v>
      </c>
      <c r="J103" s="38">
        <f t="shared" si="9"/>
        <v>3510</v>
      </c>
      <c r="K103" s="39">
        <f t="shared" si="10"/>
        <v>3240</v>
      </c>
      <c r="L103" s="38">
        <f t="shared" si="11"/>
        <v>3105</v>
      </c>
      <c r="M103" s="39">
        <f t="shared" si="12"/>
        <v>2970</v>
      </c>
      <c r="N103" s="40"/>
      <c r="O103" s="34"/>
      <c r="P103" s="35"/>
      <c r="Q103" s="35"/>
      <c r="R103" s="35"/>
      <c r="S103" s="35"/>
      <c r="T103" s="35"/>
      <c r="U103" s="35"/>
      <c r="V103" s="35"/>
      <c r="W103" s="35"/>
      <c r="X103" s="35"/>
      <c r="Y103" s="35"/>
      <c r="Z103" s="35"/>
    </row>
    <row r="104" ht="15.75" customHeight="1">
      <c r="A104" s="66" t="s">
        <v>563</v>
      </c>
      <c r="B104" s="66" t="s">
        <v>580</v>
      </c>
      <c r="C104" s="69" t="s">
        <v>847</v>
      </c>
      <c r="D104" s="149" t="s">
        <v>845</v>
      </c>
      <c r="E104" s="149" t="s">
        <v>848</v>
      </c>
      <c r="F104" s="154">
        <v>2823.0</v>
      </c>
      <c r="G104" s="151">
        <v>45855.0</v>
      </c>
      <c r="H104" s="155">
        <f t="shared" si="7"/>
        <v>4234.5</v>
      </c>
      <c r="I104" s="37">
        <f t="shared" si="8"/>
        <v>3669.9</v>
      </c>
      <c r="J104" s="38">
        <f t="shared" si="9"/>
        <v>3669.9</v>
      </c>
      <c r="K104" s="39">
        <f t="shared" si="10"/>
        <v>3387.6</v>
      </c>
      <c r="L104" s="38">
        <f t="shared" si="11"/>
        <v>3246.45</v>
      </c>
      <c r="M104" s="39">
        <f t="shared" si="12"/>
        <v>3105.3</v>
      </c>
      <c r="N104" s="40"/>
      <c r="O104" s="34"/>
      <c r="P104" s="35"/>
      <c r="Q104" s="35"/>
      <c r="R104" s="35"/>
      <c r="S104" s="35"/>
      <c r="T104" s="35"/>
      <c r="U104" s="35"/>
      <c r="V104" s="35"/>
      <c r="W104" s="35"/>
      <c r="X104" s="35"/>
      <c r="Y104" s="35"/>
      <c r="Z104" s="35"/>
    </row>
    <row r="105" ht="15.75" customHeight="1">
      <c r="A105" s="66" t="s">
        <v>563</v>
      </c>
      <c r="B105" s="66" t="s">
        <v>580</v>
      </c>
      <c r="C105" s="69" t="s">
        <v>849</v>
      </c>
      <c r="D105" s="149" t="s">
        <v>850</v>
      </c>
      <c r="E105" s="149" t="s">
        <v>848</v>
      </c>
      <c r="F105" s="154">
        <v>2823.0</v>
      </c>
      <c r="G105" s="151">
        <v>45855.0</v>
      </c>
      <c r="H105" s="155">
        <f t="shared" si="7"/>
        <v>4234.5</v>
      </c>
      <c r="I105" s="37">
        <f t="shared" si="8"/>
        <v>3669.9</v>
      </c>
      <c r="J105" s="38">
        <f t="shared" si="9"/>
        <v>3669.9</v>
      </c>
      <c r="K105" s="39">
        <f t="shared" si="10"/>
        <v>3387.6</v>
      </c>
      <c r="L105" s="38">
        <f t="shared" si="11"/>
        <v>3246.45</v>
      </c>
      <c r="M105" s="39">
        <f t="shared" si="12"/>
        <v>3105.3</v>
      </c>
      <c r="N105" s="40"/>
      <c r="O105" s="34"/>
      <c r="P105" s="35"/>
      <c r="Q105" s="35"/>
      <c r="R105" s="35"/>
      <c r="S105" s="35"/>
      <c r="T105" s="35"/>
      <c r="U105" s="35"/>
      <c r="V105" s="35"/>
      <c r="W105" s="35"/>
      <c r="X105" s="35"/>
      <c r="Y105" s="35"/>
      <c r="Z105" s="35"/>
    </row>
    <row r="106" ht="15.75" customHeight="1">
      <c r="A106" s="66" t="s">
        <v>563</v>
      </c>
      <c r="B106" s="66" t="s">
        <v>580</v>
      </c>
      <c r="C106" s="69" t="s">
        <v>851</v>
      </c>
      <c r="D106" s="149" t="s">
        <v>852</v>
      </c>
      <c r="E106" s="149" t="s">
        <v>853</v>
      </c>
      <c r="F106" s="154">
        <v>2700.0</v>
      </c>
      <c r="G106" s="151">
        <v>45855.0</v>
      </c>
      <c r="H106" s="155">
        <f t="shared" si="7"/>
        <v>4050</v>
      </c>
      <c r="I106" s="37">
        <f t="shared" si="8"/>
        <v>3510</v>
      </c>
      <c r="J106" s="38">
        <f t="shared" si="9"/>
        <v>3510</v>
      </c>
      <c r="K106" s="39">
        <f t="shared" si="10"/>
        <v>3240</v>
      </c>
      <c r="L106" s="38">
        <f t="shared" si="11"/>
        <v>3105</v>
      </c>
      <c r="M106" s="39">
        <f t="shared" si="12"/>
        <v>2970</v>
      </c>
      <c r="N106" s="40"/>
      <c r="O106" s="34"/>
      <c r="P106" s="35"/>
      <c r="Q106" s="35"/>
      <c r="R106" s="35"/>
      <c r="S106" s="35"/>
      <c r="T106" s="35"/>
      <c r="U106" s="35"/>
      <c r="V106" s="35"/>
      <c r="W106" s="35"/>
      <c r="X106" s="35"/>
      <c r="Y106" s="35"/>
      <c r="Z106" s="35"/>
    </row>
    <row r="107" ht="15.75" customHeight="1">
      <c r="A107" s="66" t="s">
        <v>563</v>
      </c>
      <c r="B107" s="66" t="s">
        <v>854</v>
      </c>
      <c r="C107" s="69" t="s">
        <v>855</v>
      </c>
      <c r="D107" s="149" t="s">
        <v>856</v>
      </c>
      <c r="E107" s="149" t="s">
        <v>848</v>
      </c>
      <c r="F107" s="154">
        <v>2823.0</v>
      </c>
      <c r="G107" s="151">
        <v>45855.0</v>
      </c>
      <c r="H107" s="155">
        <f t="shared" si="7"/>
        <v>4234.5</v>
      </c>
      <c r="I107" s="37">
        <f t="shared" si="8"/>
        <v>3669.9</v>
      </c>
      <c r="J107" s="38">
        <f t="shared" si="9"/>
        <v>3669.9</v>
      </c>
      <c r="K107" s="39">
        <f t="shared" si="10"/>
        <v>3387.6</v>
      </c>
      <c r="L107" s="38">
        <f t="shared" si="11"/>
        <v>3246.45</v>
      </c>
      <c r="M107" s="39">
        <f t="shared" si="12"/>
        <v>3105.3</v>
      </c>
      <c r="N107" s="40"/>
      <c r="O107" s="34"/>
      <c r="P107" s="35"/>
      <c r="Q107" s="35"/>
      <c r="R107" s="35"/>
      <c r="S107" s="35"/>
      <c r="T107" s="35"/>
      <c r="U107" s="35"/>
      <c r="V107" s="35"/>
      <c r="W107" s="35"/>
      <c r="X107" s="35"/>
      <c r="Y107" s="35"/>
      <c r="Z107" s="35"/>
    </row>
    <row r="108" ht="15.75" customHeight="1">
      <c r="A108" s="66" t="s">
        <v>563</v>
      </c>
      <c r="B108" s="66" t="s">
        <v>580</v>
      </c>
      <c r="C108" s="69" t="s">
        <v>857</v>
      </c>
      <c r="D108" s="149" t="s">
        <v>858</v>
      </c>
      <c r="E108" s="149" t="s">
        <v>859</v>
      </c>
      <c r="F108" s="154">
        <v>4225.0</v>
      </c>
      <c r="G108" s="151">
        <v>45855.0</v>
      </c>
      <c r="H108" s="155">
        <f t="shared" si="7"/>
        <v>6337.5</v>
      </c>
      <c r="I108" s="37">
        <f t="shared" si="8"/>
        <v>5492.5</v>
      </c>
      <c r="J108" s="38">
        <f t="shared" si="9"/>
        <v>5492.5</v>
      </c>
      <c r="K108" s="39">
        <f t="shared" si="10"/>
        <v>5070</v>
      </c>
      <c r="L108" s="38">
        <f t="shared" si="11"/>
        <v>4858.75</v>
      </c>
      <c r="M108" s="39">
        <f t="shared" si="12"/>
        <v>4647.5</v>
      </c>
      <c r="N108" s="40"/>
      <c r="O108" s="34"/>
      <c r="P108" s="35"/>
      <c r="Q108" s="35"/>
      <c r="R108" s="35"/>
      <c r="S108" s="35"/>
      <c r="T108" s="35"/>
      <c r="U108" s="35"/>
      <c r="V108" s="35"/>
      <c r="W108" s="35"/>
      <c r="X108" s="35"/>
      <c r="Y108" s="35"/>
      <c r="Z108" s="35"/>
    </row>
    <row r="109" ht="15.75" customHeight="1">
      <c r="A109" s="66" t="s">
        <v>563</v>
      </c>
      <c r="B109" s="66" t="s">
        <v>580</v>
      </c>
      <c r="C109" s="69" t="s">
        <v>860</v>
      </c>
      <c r="D109" s="149" t="s">
        <v>861</v>
      </c>
      <c r="E109" s="149" t="s">
        <v>862</v>
      </c>
      <c r="F109" s="154">
        <v>4526.0</v>
      </c>
      <c r="G109" s="151">
        <v>45855.0</v>
      </c>
      <c r="H109" s="155">
        <f t="shared" si="7"/>
        <v>6789</v>
      </c>
      <c r="I109" s="37">
        <f t="shared" si="8"/>
        <v>5883.8</v>
      </c>
      <c r="J109" s="38">
        <f t="shared" si="9"/>
        <v>5883.8</v>
      </c>
      <c r="K109" s="39">
        <f t="shared" si="10"/>
        <v>5431.2</v>
      </c>
      <c r="L109" s="38">
        <f t="shared" si="11"/>
        <v>5204.9</v>
      </c>
      <c r="M109" s="39">
        <f t="shared" si="12"/>
        <v>4978.6</v>
      </c>
      <c r="N109" s="40"/>
      <c r="O109" s="34"/>
      <c r="P109" s="35"/>
      <c r="Q109" s="35"/>
      <c r="R109" s="35"/>
      <c r="S109" s="35"/>
      <c r="T109" s="35"/>
      <c r="U109" s="35"/>
      <c r="V109" s="35"/>
      <c r="W109" s="35"/>
      <c r="X109" s="35"/>
      <c r="Y109" s="35"/>
      <c r="Z109" s="35"/>
    </row>
    <row r="110" ht="15.75" customHeight="1">
      <c r="A110" s="66" t="s">
        <v>563</v>
      </c>
      <c r="B110" s="66" t="s">
        <v>580</v>
      </c>
      <c r="C110" s="69" t="s">
        <v>863</v>
      </c>
      <c r="D110" s="149" t="s">
        <v>864</v>
      </c>
      <c r="E110" s="149" t="s">
        <v>865</v>
      </c>
      <c r="F110" s="154">
        <v>5363.0</v>
      </c>
      <c r="G110" s="151">
        <v>45855.0</v>
      </c>
      <c r="H110" s="155">
        <f t="shared" si="7"/>
        <v>8044.5</v>
      </c>
      <c r="I110" s="37">
        <f t="shared" si="8"/>
        <v>6971.9</v>
      </c>
      <c r="J110" s="38">
        <f t="shared" si="9"/>
        <v>6971.9</v>
      </c>
      <c r="K110" s="39">
        <f t="shared" si="10"/>
        <v>6435.6</v>
      </c>
      <c r="L110" s="38">
        <f t="shared" si="11"/>
        <v>6167.45</v>
      </c>
      <c r="M110" s="39">
        <f t="shared" si="12"/>
        <v>5899.3</v>
      </c>
      <c r="N110" s="40"/>
      <c r="O110" s="34"/>
      <c r="P110" s="35"/>
      <c r="Q110" s="35"/>
      <c r="R110" s="35"/>
      <c r="S110" s="35"/>
      <c r="T110" s="35"/>
      <c r="U110" s="35"/>
      <c r="V110" s="35"/>
      <c r="W110" s="35"/>
      <c r="X110" s="35"/>
      <c r="Y110" s="35"/>
      <c r="Z110" s="35"/>
    </row>
    <row r="111" ht="15.75" customHeight="1">
      <c r="A111" s="66" t="s">
        <v>563</v>
      </c>
      <c r="B111" s="66" t="s">
        <v>580</v>
      </c>
      <c r="C111" s="69" t="s">
        <v>866</v>
      </c>
      <c r="D111" s="148" t="s">
        <v>864</v>
      </c>
      <c r="E111" s="149" t="s">
        <v>867</v>
      </c>
      <c r="F111" s="154">
        <v>5510.0</v>
      </c>
      <c r="G111" s="151">
        <v>45855.0</v>
      </c>
      <c r="H111" s="155">
        <f t="shared" si="7"/>
        <v>8265</v>
      </c>
      <c r="I111" s="37">
        <f t="shared" si="8"/>
        <v>7163</v>
      </c>
      <c r="J111" s="38">
        <f t="shared" si="9"/>
        <v>7163</v>
      </c>
      <c r="K111" s="39">
        <f t="shared" si="10"/>
        <v>6612</v>
      </c>
      <c r="L111" s="38">
        <f t="shared" si="11"/>
        <v>6336.5</v>
      </c>
      <c r="M111" s="39">
        <f t="shared" si="12"/>
        <v>6061</v>
      </c>
      <c r="N111" s="40"/>
      <c r="O111" s="34"/>
      <c r="P111" s="35"/>
      <c r="Q111" s="35"/>
      <c r="R111" s="35"/>
      <c r="S111" s="35"/>
      <c r="T111" s="35"/>
      <c r="U111" s="35"/>
      <c r="V111" s="35"/>
      <c r="W111" s="35"/>
      <c r="X111" s="35"/>
      <c r="Y111" s="35"/>
      <c r="Z111" s="35"/>
    </row>
    <row r="112" ht="15.75" customHeight="1">
      <c r="A112" s="66" t="s">
        <v>563</v>
      </c>
      <c r="B112" s="66" t="s">
        <v>580</v>
      </c>
      <c r="C112" s="69" t="s">
        <v>868</v>
      </c>
      <c r="D112" s="149" t="s">
        <v>869</v>
      </c>
      <c r="E112" s="149" t="s">
        <v>870</v>
      </c>
      <c r="F112" s="154">
        <v>4115.0</v>
      </c>
      <c r="G112" s="151">
        <v>45855.0</v>
      </c>
      <c r="H112" s="155">
        <f t="shared" si="7"/>
        <v>6172.5</v>
      </c>
      <c r="I112" s="37">
        <f t="shared" si="8"/>
        <v>5349.5</v>
      </c>
      <c r="J112" s="38">
        <f t="shared" si="9"/>
        <v>5349.5</v>
      </c>
      <c r="K112" s="39">
        <f t="shared" si="10"/>
        <v>4938</v>
      </c>
      <c r="L112" s="38">
        <f t="shared" si="11"/>
        <v>4732.25</v>
      </c>
      <c r="M112" s="39">
        <f t="shared" si="12"/>
        <v>4526.5</v>
      </c>
      <c r="N112" s="40"/>
      <c r="O112" s="34"/>
      <c r="P112" s="35"/>
      <c r="Q112" s="35"/>
      <c r="R112" s="35"/>
      <c r="S112" s="35"/>
      <c r="T112" s="35"/>
      <c r="U112" s="35"/>
      <c r="V112" s="35"/>
      <c r="W112" s="35"/>
      <c r="X112" s="35"/>
      <c r="Y112" s="35"/>
      <c r="Z112" s="35"/>
    </row>
    <row r="113" ht="15.75" customHeight="1">
      <c r="A113" s="66" t="s">
        <v>563</v>
      </c>
      <c r="B113" s="66" t="s">
        <v>580</v>
      </c>
      <c r="C113" s="69" t="s">
        <v>871</v>
      </c>
      <c r="D113" s="148" t="s">
        <v>872</v>
      </c>
      <c r="E113" s="149" t="s">
        <v>873</v>
      </c>
      <c r="F113" s="154">
        <v>4526.0</v>
      </c>
      <c r="G113" s="151">
        <v>45855.0</v>
      </c>
      <c r="H113" s="155">
        <f t="shared" si="7"/>
        <v>6789</v>
      </c>
      <c r="I113" s="37">
        <f t="shared" si="8"/>
        <v>5883.8</v>
      </c>
      <c r="J113" s="38">
        <f t="shared" si="9"/>
        <v>5883.8</v>
      </c>
      <c r="K113" s="39">
        <f t="shared" si="10"/>
        <v>5431.2</v>
      </c>
      <c r="L113" s="38">
        <f t="shared" si="11"/>
        <v>5204.9</v>
      </c>
      <c r="M113" s="39">
        <f t="shared" si="12"/>
        <v>4978.6</v>
      </c>
      <c r="N113" s="40"/>
      <c r="O113" s="34"/>
      <c r="P113" s="35"/>
      <c r="Q113" s="35"/>
      <c r="R113" s="35"/>
      <c r="S113" s="35"/>
      <c r="T113" s="35"/>
      <c r="U113" s="35"/>
      <c r="V113" s="35"/>
      <c r="W113" s="35"/>
      <c r="X113" s="35"/>
      <c r="Y113" s="35"/>
      <c r="Z113" s="35"/>
    </row>
    <row r="114" ht="15.75" customHeight="1">
      <c r="A114" s="66" t="s">
        <v>563</v>
      </c>
      <c r="B114" s="66" t="s">
        <v>580</v>
      </c>
      <c r="C114" s="69" t="s">
        <v>874</v>
      </c>
      <c r="D114" s="149" t="s">
        <v>875</v>
      </c>
      <c r="E114" s="149" t="s">
        <v>876</v>
      </c>
      <c r="F114" s="154">
        <v>5005.0</v>
      </c>
      <c r="G114" s="151">
        <v>45855.0</v>
      </c>
      <c r="H114" s="155">
        <f t="shared" si="7"/>
        <v>7507.5</v>
      </c>
      <c r="I114" s="37">
        <f t="shared" si="8"/>
        <v>6506.5</v>
      </c>
      <c r="J114" s="38">
        <f t="shared" si="9"/>
        <v>6506.5</v>
      </c>
      <c r="K114" s="39">
        <f t="shared" si="10"/>
        <v>6006</v>
      </c>
      <c r="L114" s="38">
        <f t="shared" si="11"/>
        <v>5755.75</v>
      </c>
      <c r="M114" s="39">
        <f t="shared" si="12"/>
        <v>5505.5</v>
      </c>
      <c r="N114" s="40"/>
      <c r="O114" s="34"/>
      <c r="P114" s="35"/>
      <c r="Q114" s="35"/>
      <c r="R114" s="35"/>
      <c r="S114" s="35"/>
      <c r="T114" s="35"/>
      <c r="U114" s="35"/>
      <c r="V114" s="35"/>
      <c r="W114" s="35"/>
      <c r="X114" s="35"/>
      <c r="Y114" s="35"/>
      <c r="Z114" s="35"/>
    </row>
    <row r="115" ht="15.75" customHeight="1">
      <c r="A115" s="66" t="s">
        <v>563</v>
      </c>
      <c r="B115" s="66" t="s">
        <v>580</v>
      </c>
      <c r="C115" s="69" t="s">
        <v>877</v>
      </c>
      <c r="D115" s="148" t="s">
        <v>878</v>
      </c>
      <c r="E115" s="149" t="s">
        <v>879</v>
      </c>
      <c r="F115" s="154">
        <v>4813.0</v>
      </c>
      <c r="G115" s="151">
        <v>45855.0</v>
      </c>
      <c r="H115" s="155">
        <f t="shared" si="7"/>
        <v>7219.5</v>
      </c>
      <c r="I115" s="37">
        <f t="shared" si="8"/>
        <v>6256.9</v>
      </c>
      <c r="J115" s="38">
        <f t="shared" si="9"/>
        <v>6256.9</v>
      </c>
      <c r="K115" s="39">
        <f t="shared" si="10"/>
        <v>5775.6</v>
      </c>
      <c r="L115" s="38">
        <f t="shared" si="11"/>
        <v>5534.95</v>
      </c>
      <c r="M115" s="39">
        <f t="shared" si="12"/>
        <v>5294.3</v>
      </c>
      <c r="N115" s="40"/>
      <c r="O115" s="34"/>
      <c r="P115" s="164"/>
      <c r="Q115" s="76"/>
      <c r="R115" s="76"/>
      <c r="S115" s="76"/>
      <c r="T115" s="76"/>
      <c r="U115" s="76"/>
      <c r="V115" s="76"/>
      <c r="W115" s="76"/>
      <c r="X115" s="76"/>
      <c r="Y115" s="76"/>
      <c r="Z115" s="76"/>
    </row>
    <row r="116" ht="15.75" customHeight="1">
      <c r="A116" s="66" t="s">
        <v>563</v>
      </c>
      <c r="B116" s="66" t="s">
        <v>580</v>
      </c>
      <c r="C116" s="69" t="s">
        <v>880</v>
      </c>
      <c r="D116" s="149" t="s">
        <v>878</v>
      </c>
      <c r="E116" s="149" t="s">
        <v>881</v>
      </c>
      <c r="F116" s="154">
        <v>5363.0</v>
      </c>
      <c r="G116" s="151">
        <v>45855.0</v>
      </c>
      <c r="H116" s="155">
        <f t="shared" si="7"/>
        <v>8044.5</v>
      </c>
      <c r="I116" s="37">
        <f t="shared" si="8"/>
        <v>6971.9</v>
      </c>
      <c r="J116" s="38">
        <f t="shared" si="9"/>
        <v>6971.9</v>
      </c>
      <c r="K116" s="39">
        <f t="shared" si="10"/>
        <v>6435.6</v>
      </c>
      <c r="L116" s="38">
        <f t="shared" si="11"/>
        <v>6167.45</v>
      </c>
      <c r="M116" s="39">
        <f t="shared" si="12"/>
        <v>5899.3</v>
      </c>
      <c r="N116" s="40"/>
      <c r="O116" s="34"/>
      <c r="P116" s="35"/>
      <c r="Q116" s="35"/>
      <c r="R116" s="35"/>
      <c r="S116" s="35"/>
      <c r="T116" s="35"/>
      <c r="U116" s="35"/>
      <c r="V116" s="35"/>
      <c r="W116" s="35"/>
      <c r="X116" s="35"/>
      <c r="Y116" s="35"/>
      <c r="Z116" s="35"/>
    </row>
    <row r="117" ht="15.75" customHeight="1">
      <c r="A117" s="66" t="s">
        <v>563</v>
      </c>
      <c r="B117" s="66" t="s">
        <v>580</v>
      </c>
      <c r="C117" s="69" t="s">
        <v>882</v>
      </c>
      <c r="D117" s="149" t="s">
        <v>878</v>
      </c>
      <c r="E117" s="149" t="s">
        <v>883</v>
      </c>
      <c r="F117" s="154">
        <v>5510.0</v>
      </c>
      <c r="G117" s="151">
        <v>45855.0</v>
      </c>
      <c r="H117" s="155">
        <f t="shared" si="7"/>
        <v>8265</v>
      </c>
      <c r="I117" s="37">
        <f t="shared" si="8"/>
        <v>7163</v>
      </c>
      <c r="J117" s="38">
        <f t="shared" si="9"/>
        <v>7163</v>
      </c>
      <c r="K117" s="39">
        <f t="shared" si="10"/>
        <v>6612</v>
      </c>
      <c r="L117" s="38">
        <f t="shared" si="11"/>
        <v>6336.5</v>
      </c>
      <c r="M117" s="39">
        <f t="shared" si="12"/>
        <v>6061</v>
      </c>
      <c r="N117" s="40"/>
      <c r="O117" s="34"/>
      <c r="P117" s="164"/>
      <c r="Q117" s="76"/>
      <c r="R117" s="76"/>
      <c r="S117" s="76"/>
      <c r="T117" s="76"/>
      <c r="U117" s="76"/>
      <c r="V117" s="76"/>
      <c r="W117" s="76"/>
      <c r="X117" s="76"/>
      <c r="Y117" s="76"/>
      <c r="Z117" s="76"/>
    </row>
    <row r="118" ht="15.75" customHeight="1">
      <c r="A118" s="66" t="s">
        <v>563</v>
      </c>
      <c r="B118" s="66" t="s">
        <v>580</v>
      </c>
      <c r="C118" s="66" t="s">
        <v>884</v>
      </c>
      <c r="D118" s="149" t="s">
        <v>885</v>
      </c>
      <c r="E118" s="149" t="s">
        <v>886</v>
      </c>
      <c r="F118" s="154">
        <v>6327.0</v>
      </c>
      <c r="G118" s="151">
        <v>45855.0</v>
      </c>
      <c r="H118" s="155">
        <f t="shared" si="7"/>
        <v>9490.5</v>
      </c>
      <c r="I118" s="37">
        <f t="shared" si="8"/>
        <v>8225.1</v>
      </c>
      <c r="J118" s="38">
        <f t="shared" si="9"/>
        <v>8225.1</v>
      </c>
      <c r="K118" s="39">
        <f t="shared" si="10"/>
        <v>7592.4</v>
      </c>
      <c r="L118" s="38">
        <f t="shared" si="11"/>
        <v>7276.05</v>
      </c>
      <c r="M118" s="39">
        <f t="shared" si="12"/>
        <v>6959.7</v>
      </c>
      <c r="N118" s="40"/>
      <c r="O118" s="34"/>
      <c r="P118" s="35"/>
      <c r="Q118" s="35"/>
      <c r="R118" s="35"/>
      <c r="S118" s="35"/>
      <c r="T118" s="35"/>
      <c r="U118" s="35"/>
      <c r="V118" s="35"/>
      <c r="W118" s="35"/>
      <c r="X118" s="35"/>
      <c r="Y118" s="35"/>
      <c r="Z118" s="35"/>
    </row>
    <row r="119" ht="15.75" customHeight="1">
      <c r="A119" s="66" t="s">
        <v>563</v>
      </c>
      <c r="B119" s="66" t="s">
        <v>580</v>
      </c>
      <c r="C119" s="66" t="s">
        <v>887</v>
      </c>
      <c r="D119" s="149" t="s">
        <v>888</v>
      </c>
      <c r="E119" s="149" t="s">
        <v>889</v>
      </c>
      <c r="F119" s="154">
        <v>5720.0</v>
      </c>
      <c r="G119" s="151">
        <v>45855.0</v>
      </c>
      <c r="H119" s="155">
        <f t="shared" si="7"/>
        <v>8580</v>
      </c>
      <c r="I119" s="37">
        <f t="shared" si="8"/>
        <v>7436</v>
      </c>
      <c r="J119" s="38">
        <f t="shared" si="9"/>
        <v>7436</v>
      </c>
      <c r="K119" s="39">
        <f t="shared" si="10"/>
        <v>6864</v>
      </c>
      <c r="L119" s="38">
        <f t="shared" si="11"/>
        <v>6578</v>
      </c>
      <c r="M119" s="39">
        <f t="shared" si="12"/>
        <v>6292</v>
      </c>
      <c r="N119" s="40"/>
      <c r="O119" s="34"/>
      <c r="P119" s="35"/>
      <c r="Q119" s="35"/>
      <c r="R119" s="35"/>
      <c r="S119" s="35"/>
      <c r="T119" s="35"/>
      <c r="U119" s="35"/>
      <c r="V119" s="35"/>
      <c r="W119" s="35"/>
      <c r="X119" s="35"/>
      <c r="Y119" s="35"/>
      <c r="Z119" s="35"/>
    </row>
    <row r="120" ht="15.75" customHeight="1">
      <c r="A120" s="66" t="s">
        <v>563</v>
      </c>
      <c r="B120" s="66" t="s">
        <v>580</v>
      </c>
      <c r="C120" s="66" t="s">
        <v>890</v>
      </c>
      <c r="D120" s="149" t="s">
        <v>891</v>
      </c>
      <c r="E120" s="149" t="s">
        <v>892</v>
      </c>
      <c r="F120" s="154">
        <v>8167.0</v>
      </c>
      <c r="G120" s="151">
        <v>45855.0</v>
      </c>
      <c r="H120" s="155">
        <f t="shared" si="7"/>
        <v>12250.5</v>
      </c>
      <c r="I120" s="37">
        <f t="shared" si="8"/>
        <v>10617.1</v>
      </c>
      <c r="J120" s="38">
        <f t="shared" si="9"/>
        <v>10617.1</v>
      </c>
      <c r="K120" s="39">
        <f t="shared" si="10"/>
        <v>9800.4</v>
      </c>
      <c r="L120" s="38">
        <f t="shared" si="11"/>
        <v>9392.05</v>
      </c>
      <c r="M120" s="39">
        <f t="shared" si="12"/>
        <v>8983.7</v>
      </c>
      <c r="N120" s="40"/>
      <c r="O120" s="34"/>
      <c r="P120" s="35"/>
      <c r="Q120" s="35"/>
      <c r="R120" s="35"/>
      <c r="S120" s="35"/>
      <c r="T120" s="35"/>
      <c r="U120" s="35"/>
      <c r="V120" s="35"/>
      <c r="W120" s="35"/>
      <c r="X120" s="35"/>
      <c r="Y120" s="35"/>
      <c r="Z120" s="35"/>
    </row>
    <row r="121" ht="15.75" customHeight="1">
      <c r="A121" s="66" t="s">
        <v>563</v>
      </c>
      <c r="B121" s="66" t="s">
        <v>580</v>
      </c>
      <c r="C121" s="66" t="s">
        <v>893</v>
      </c>
      <c r="D121" s="149" t="s">
        <v>891</v>
      </c>
      <c r="E121" s="149" t="s">
        <v>894</v>
      </c>
      <c r="F121" s="154">
        <v>8315.0</v>
      </c>
      <c r="G121" s="151">
        <v>45855.0</v>
      </c>
      <c r="H121" s="155">
        <f t="shared" si="7"/>
        <v>12472.5</v>
      </c>
      <c r="I121" s="37">
        <f t="shared" si="8"/>
        <v>10809.5</v>
      </c>
      <c r="J121" s="38">
        <f t="shared" si="9"/>
        <v>10809.5</v>
      </c>
      <c r="K121" s="39">
        <f t="shared" si="10"/>
        <v>9978</v>
      </c>
      <c r="L121" s="38">
        <f t="shared" si="11"/>
        <v>9562.25</v>
      </c>
      <c r="M121" s="39">
        <f t="shared" si="12"/>
        <v>9146.5</v>
      </c>
      <c r="N121" s="40"/>
      <c r="O121" s="34"/>
      <c r="P121" s="35"/>
      <c r="Q121" s="35"/>
      <c r="R121" s="35"/>
      <c r="S121" s="35"/>
      <c r="T121" s="35"/>
      <c r="U121" s="35"/>
      <c r="V121" s="35"/>
      <c r="W121" s="35"/>
      <c r="X121" s="35"/>
      <c r="Y121" s="35"/>
      <c r="Z121" s="35"/>
    </row>
    <row r="122" ht="15.75" customHeight="1">
      <c r="A122" s="66" t="s">
        <v>563</v>
      </c>
      <c r="B122" s="66" t="s">
        <v>580</v>
      </c>
      <c r="C122" s="66" t="s">
        <v>895</v>
      </c>
      <c r="D122" s="149" t="s">
        <v>896</v>
      </c>
      <c r="E122" s="149" t="s">
        <v>897</v>
      </c>
      <c r="F122" s="154">
        <v>9692.0</v>
      </c>
      <c r="G122" s="151">
        <v>45855.0</v>
      </c>
      <c r="H122" s="155">
        <f t="shared" si="7"/>
        <v>14538</v>
      </c>
      <c r="I122" s="37">
        <f t="shared" si="8"/>
        <v>12599.6</v>
      </c>
      <c r="J122" s="38">
        <f t="shared" si="9"/>
        <v>12599.6</v>
      </c>
      <c r="K122" s="39">
        <f t="shared" si="10"/>
        <v>11630.4</v>
      </c>
      <c r="L122" s="38">
        <f t="shared" si="11"/>
        <v>11145.8</v>
      </c>
      <c r="M122" s="39">
        <f t="shared" si="12"/>
        <v>10661.2</v>
      </c>
      <c r="N122" s="40"/>
      <c r="O122" s="34"/>
      <c r="P122" s="35"/>
      <c r="Q122" s="35"/>
      <c r="R122" s="35"/>
      <c r="S122" s="35"/>
      <c r="T122" s="35"/>
      <c r="U122" s="35"/>
      <c r="V122" s="35"/>
      <c r="W122" s="35"/>
      <c r="X122" s="35"/>
      <c r="Y122" s="35"/>
      <c r="Z122" s="35"/>
    </row>
    <row r="123" ht="15.75" customHeight="1">
      <c r="A123" s="66" t="s">
        <v>563</v>
      </c>
      <c r="B123" s="66" t="s">
        <v>580</v>
      </c>
      <c r="C123" s="66" t="s">
        <v>898</v>
      </c>
      <c r="D123" s="149" t="s">
        <v>899</v>
      </c>
      <c r="E123" s="149" t="s">
        <v>900</v>
      </c>
      <c r="F123" s="154">
        <v>7831.0</v>
      </c>
      <c r="G123" s="151">
        <v>45855.0</v>
      </c>
      <c r="H123" s="155">
        <f t="shared" si="7"/>
        <v>11746.5</v>
      </c>
      <c r="I123" s="37">
        <f t="shared" si="8"/>
        <v>10180.3</v>
      </c>
      <c r="J123" s="38">
        <f t="shared" si="9"/>
        <v>10180.3</v>
      </c>
      <c r="K123" s="39">
        <f t="shared" si="10"/>
        <v>9397.2</v>
      </c>
      <c r="L123" s="38">
        <f t="shared" si="11"/>
        <v>9005.65</v>
      </c>
      <c r="M123" s="39">
        <f t="shared" si="12"/>
        <v>8614.1</v>
      </c>
      <c r="N123" s="40"/>
      <c r="O123" s="34"/>
      <c r="P123" s="35"/>
      <c r="Q123" s="35"/>
      <c r="R123" s="35"/>
      <c r="S123" s="35"/>
      <c r="T123" s="35"/>
      <c r="U123" s="35"/>
      <c r="V123" s="35"/>
      <c r="W123" s="35"/>
      <c r="X123" s="35"/>
      <c r="Y123" s="35"/>
      <c r="Z123" s="35"/>
    </row>
    <row r="124" ht="15.75" customHeight="1">
      <c r="A124" s="66" t="s">
        <v>563</v>
      </c>
      <c r="B124" s="66" t="s">
        <v>901</v>
      </c>
      <c r="C124" s="66" t="s">
        <v>902</v>
      </c>
      <c r="D124" s="149" t="s">
        <v>903</v>
      </c>
      <c r="E124" s="149" t="s">
        <v>904</v>
      </c>
      <c r="F124" s="154">
        <v>2125.0</v>
      </c>
      <c r="G124" s="151">
        <v>45855.0</v>
      </c>
      <c r="H124" s="155">
        <f t="shared" si="7"/>
        <v>3187.5</v>
      </c>
      <c r="I124" s="37">
        <f t="shared" si="8"/>
        <v>2762.5</v>
      </c>
      <c r="J124" s="38">
        <f t="shared" si="9"/>
        <v>2762.5</v>
      </c>
      <c r="K124" s="39">
        <f t="shared" si="10"/>
        <v>2550</v>
      </c>
      <c r="L124" s="38">
        <f t="shared" si="11"/>
        <v>2443.75</v>
      </c>
      <c r="M124" s="39">
        <f t="shared" si="12"/>
        <v>2337.5</v>
      </c>
      <c r="N124" s="40"/>
      <c r="O124" s="34"/>
      <c r="P124" s="35"/>
      <c r="Q124" s="35"/>
      <c r="R124" s="35"/>
      <c r="S124" s="35"/>
      <c r="T124" s="35"/>
      <c r="U124" s="35"/>
      <c r="V124" s="35"/>
      <c r="W124" s="35"/>
      <c r="X124" s="35"/>
      <c r="Y124" s="35"/>
      <c r="Z124" s="35"/>
    </row>
    <row r="125" ht="15.75" customHeight="1">
      <c r="A125" s="66" t="s">
        <v>563</v>
      </c>
      <c r="B125" s="66" t="s">
        <v>901</v>
      </c>
      <c r="C125" s="66" t="s">
        <v>905</v>
      </c>
      <c r="D125" s="149" t="s">
        <v>906</v>
      </c>
      <c r="E125" s="149" t="s">
        <v>907</v>
      </c>
      <c r="F125" s="154">
        <v>2891.0</v>
      </c>
      <c r="G125" s="151">
        <v>45855.0</v>
      </c>
      <c r="H125" s="155">
        <f t="shared" si="7"/>
        <v>4336.5</v>
      </c>
      <c r="I125" s="37">
        <f t="shared" si="8"/>
        <v>3758.3</v>
      </c>
      <c r="J125" s="38">
        <f t="shared" si="9"/>
        <v>3758.3</v>
      </c>
      <c r="K125" s="39">
        <f t="shared" si="10"/>
        <v>3469.2</v>
      </c>
      <c r="L125" s="38">
        <f t="shared" si="11"/>
        <v>3324.65</v>
      </c>
      <c r="M125" s="39">
        <f t="shared" si="12"/>
        <v>3180.1</v>
      </c>
      <c r="N125" s="40"/>
      <c r="O125" s="34"/>
      <c r="P125" s="35"/>
      <c r="Q125" s="35"/>
      <c r="R125" s="35"/>
      <c r="S125" s="35"/>
      <c r="T125" s="35"/>
      <c r="U125" s="35"/>
      <c r="V125" s="35"/>
      <c r="W125" s="35"/>
      <c r="X125" s="35"/>
      <c r="Y125" s="35"/>
      <c r="Z125" s="35"/>
    </row>
    <row r="126" ht="15.75" customHeight="1">
      <c r="A126" s="66" t="s">
        <v>563</v>
      </c>
      <c r="B126" s="66" t="s">
        <v>901</v>
      </c>
      <c r="C126" s="66" t="s">
        <v>908</v>
      </c>
      <c r="D126" s="149" t="s">
        <v>909</v>
      </c>
      <c r="E126" s="149" t="s">
        <v>904</v>
      </c>
      <c r="F126" s="154">
        <v>1920.0</v>
      </c>
      <c r="G126" s="151">
        <v>45855.0</v>
      </c>
      <c r="H126" s="155">
        <f t="shared" si="7"/>
        <v>2880</v>
      </c>
      <c r="I126" s="37">
        <f t="shared" si="8"/>
        <v>2496</v>
      </c>
      <c r="J126" s="38">
        <f t="shared" si="9"/>
        <v>2496</v>
      </c>
      <c r="K126" s="39">
        <f t="shared" si="10"/>
        <v>2304</v>
      </c>
      <c r="L126" s="38">
        <f t="shared" si="11"/>
        <v>2208</v>
      </c>
      <c r="M126" s="39">
        <f t="shared" si="12"/>
        <v>2112</v>
      </c>
      <c r="N126" s="40"/>
      <c r="O126" s="34"/>
      <c r="P126" s="35"/>
      <c r="Q126" s="35"/>
      <c r="R126" s="35"/>
      <c r="S126" s="35"/>
      <c r="T126" s="35"/>
      <c r="U126" s="35"/>
      <c r="V126" s="35"/>
      <c r="W126" s="35"/>
      <c r="X126" s="35"/>
      <c r="Y126" s="35"/>
      <c r="Z126" s="35"/>
    </row>
    <row r="127" ht="15.75" customHeight="1">
      <c r="A127" s="66" t="s">
        <v>563</v>
      </c>
      <c r="B127" s="66" t="s">
        <v>901</v>
      </c>
      <c r="C127" s="66" t="s">
        <v>910</v>
      </c>
      <c r="D127" s="149" t="s">
        <v>911</v>
      </c>
      <c r="E127" s="149" t="s">
        <v>912</v>
      </c>
      <c r="F127" s="154">
        <v>2457.0</v>
      </c>
      <c r="G127" s="151">
        <v>45855.0</v>
      </c>
      <c r="H127" s="155">
        <f t="shared" si="7"/>
        <v>3685.5</v>
      </c>
      <c r="I127" s="37">
        <f t="shared" si="8"/>
        <v>3194.1</v>
      </c>
      <c r="J127" s="38">
        <f t="shared" si="9"/>
        <v>3194.1</v>
      </c>
      <c r="K127" s="39">
        <f t="shared" si="10"/>
        <v>2948.4</v>
      </c>
      <c r="L127" s="38">
        <f t="shared" si="11"/>
        <v>2825.55</v>
      </c>
      <c r="M127" s="39">
        <f t="shared" si="12"/>
        <v>2702.7</v>
      </c>
      <c r="N127" s="40"/>
      <c r="O127" s="34"/>
      <c r="P127" s="35"/>
      <c r="Q127" s="35"/>
      <c r="R127" s="35"/>
      <c r="S127" s="35"/>
      <c r="T127" s="35"/>
      <c r="U127" s="35"/>
      <c r="V127" s="35"/>
      <c r="W127" s="35"/>
      <c r="X127" s="35"/>
      <c r="Y127" s="35"/>
      <c r="Z127" s="35"/>
    </row>
    <row r="128" ht="15.75" customHeight="1">
      <c r="A128" s="66" t="s">
        <v>563</v>
      </c>
      <c r="B128" s="66" t="s">
        <v>901</v>
      </c>
      <c r="C128" s="66" t="s">
        <v>913</v>
      </c>
      <c r="D128" s="149" t="s">
        <v>914</v>
      </c>
      <c r="E128" s="149" t="s">
        <v>915</v>
      </c>
      <c r="F128" s="154">
        <v>2220.0</v>
      </c>
      <c r="G128" s="151">
        <v>45855.0</v>
      </c>
      <c r="H128" s="155">
        <f t="shared" si="7"/>
        <v>3330</v>
      </c>
      <c r="I128" s="37">
        <f t="shared" si="8"/>
        <v>2886</v>
      </c>
      <c r="J128" s="38">
        <f t="shared" si="9"/>
        <v>2886</v>
      </c>
      <c r="K128" s="39">
        <f t="shared" si="10"/>
        <v>2664</v>
      </c>
      <c r="L128" s="38">
        <f t="shared" si="11"/>
        <v>2553</v>
      </c>
      <c r="M128" s="39">
        <f t="shared" si="12"/>
        <v>2442</v>
      </c>
      <c r="N128" s="40"/>
      <c r="O128" s="34"/>
      <c r="P128" s="35"/>
      <c r="Q128" s="35"/>
      <c r="R128" s="35"/>
      <c r="S128" s="35"/>
      <c r="T128" s="35"/>
      <c r="U128" s="35"/>
      <c r="V128" s="35"/>
      <c r="W128" s="35"/>
      <c r="X128" s="35"/>
      <c r="Y128" s="35"/>
      <c r="Z128" s="35"/>
    </row>
    <row r="129" ht="15.75" customHeight="1">
      <c r="A129" s="66" t="s">
        <v>563</v>
      </c>
      <c r="B129" s="66" t="s">
        <v>916</v>
      </c>
      <c r="C129" s="69" t="s">
        <v>917</v>
      </c>
      <c r="D129" s="148" t="s">
        <v>918</v>
      </c>
      <c r="E129" s="149" t="s">
        <v>919</v>
      </c>
      <c r="F129" s="154">
        <v>2798.0</v>
      </c>
      <c r="G129" s="151">
        <v>45855.0</v>
      </c>
      <c r="H129" s="155">
        <f t="shared" si="7"/>
        <v>4197</v>
      </c>
      <c r="I129" s="37">
        <f t="shared" si="8"/>
        <v>3637.4</v>
      </c>
      <c r="J129" s="38">
        <f t="shared" si="9"/>
        <v>3637.4</v>
      </c>
      <c r="K129" s="39">
        <f t="shared" si="10"/>
        <v>3357.6</v>
      </c>
      <c r="L129" s="38">
        <f t="shared" si="11"/>
        <v>3217.7</v>
      </c>
      <c r="M129" s="39">
        <f t="shared" si="12"/>
        <v>3077.8</v>
      </c>
      <c r="N129" s="40"/>
      <c r="O129" s="34"/>
      <c r="P129" s="35"/>
      <c r="Q129" s="35"/>
      <c r="R129" s="35"/>
      <c r="S129" s="35"/>
      <c r="T129" s="35"/>
      <c r="U129" s="35"/>
      <c r="V129" s="35"/>
      <c r="W129" s="35"/>
      <c r="X129" s="35"/>
      <c r="Y129" s="35"/>
      <c r="Z129" s="35"/>
    </row>
    <row r="130" ht="15.75" customHeight="1">
      <c r="A130" s="66" t="s">
        <v>563</v>
      </c>
      <c r="B130" s="66" t="s">
        <v>916</v>
      </c>
      <c r="C130" s="69" t="s">
        <v>920</v>
      </c>
      <c r="D130" s="148" t="s">
        <v>921</v>
      </c>
      <c r="E130" s="149" t="s">
        <v>922</v>
      </c>
      <c r="F130" s="154">
        <v>2437.0</v>
      </c>
      <c r="G130" s="151">
        <v>45855.0</v>
      </c>
      <c r="H130" s="155">
        <f t="shared" si="7"/>
        <v>3655.5</v>
      </c>
      <c r="I130" s="37">
        <f t="shared" si="8"/>
        <v>3168.1</v>
      </c>
      <c r="J130" s="38">
        <f t="shared" si="9"/>
        <v>3168.1</v>
      </c>
      <c r="K130" s="39">
        <f t="shared" si="10"/>
        <v>2924.4</v>
      </c>
      <c r="L130" s="38">
        <f t="shared" si="11"/>
        <v>2802.55</v>
      </c>
      <c r="M130" s="39">
        <f t="shared" si="12"/>
        <v>2680.7</v>
      </c>
      <c r="N130" s="40"/>
      <c r="O130" s="34"/>
      <c r="P130" s="35"/>
      <c r="Q130" s="35"/>
      <c r="R130" s="35"/>
      <c r="S130" s="35"/>
      <c r="T130" s="35"/>
      <c r="U130" s="35"/>
      <c r="V130" s="35"/>
      <c r="W130" s="35"/>
      <c r="X130" s="35"/>
      <c r="Y130" s="35"/>
      <c r="Z130" s="35"/>
    </row>
    <row r="131" ht="15.75" customHeight="1">
      <c r="A131" s="66" t="s">
        <v>563</v>
      </c>
      <c r="B131" s="66" t="s">
        <v>916</v>
      </c>
      <c r="C131" s="69" t="s">
        <v>923</v>
      </c>
      <c r="D131" s="149" t="s">
        <v>924</v>
      </c>
      <c r="E131" s="149" t="s">
        <v>925</v>
      </c>
      <c r="F131" s="154">
        <v>2400.0</v>
      </c>
      <c r="G131" s="151">
        <v>45855.0</v>
      </c>
      <c r="H131" s="155">
        <f t="shared" si="7"/>
        <v>3600</v>
      </c>
      <c r="I131" s="37">
        <f t="shared" si="8"/>
        <v>3120</v>
      </c>
      <c r="J131" s="38">
        <f t="shared" si="9"/>
        <v>3120</v>
      </c>
      <c r="K131" s="39">
        <f t="shared" si="10"/>
        <v>2880</v>
      </c>
      <c r="L131" s="38">
        <f t="shared" si="11"/>
        <v>2760</v>
      </c>
      <c r="M131" s="39">
        <f t="shared" si="12"/>
        <v>2640</v>
      </c>
      <c r="N131" s="40"/>
      <c r="O131" s="34"/>
      <c r="P131" s="35"/>
      <c r="Q131" s="35"/>
      <c r="R131" s="35"/>
      <c r="S131" s="35"/>
      <c r="T131" s="35"/>
      <c r="U131" s="35"/>
      <c r="V131" s="35"/>
      <c r="W131" s="35"/>
      <c r="X131" s="35"/>
      <c r="Y131" s="35"/>
      <c r="Z131" s="35"/>
    </row>
    <row r="132" ht="15.75" customHeight="1">
      <c r="A132" s="66" t="s">
        <v>563</v>
      </c>
      <c r="B132" s="66" t="s">
        <v>926</v>
      </c>
      <c r="C132" s="69" t="s">
        <v>927</v>
      </c>
      <c r="D132" s="149" t="s">
        <v>928</v>
      </c>
      <c r="E132" s="149" t="s">
        <v>929</v>
      </c>
      <c r="F132" s="154">
        <v>11103.0</v>
      </c>
      <c r="G132" s="151">
        <v>45855.0</v>
      </c>
      <c r="H132" s="155">
        <f t="shared" si="7"/>
        <v>16654.5</v>
      </c>
      <c r="I132" s="37">
        <f t="shared" si="8"/>
        <v>14433.9</v>
      </c>
      <c r="J132" s="38">
        <f t="shared" si="9"/>
        <v>14433.9</v>
      </c>
      <c r="K132" s="39">
        <f t="shared" si="10"/>
        <v>13323.6</v>
      </c>
      <c r="L132" s="38">
        <f t="shared" si="11"/>
        <v>12768.45</v>
      </c>
      <c r="M132" s="39">
        <f t="shared" si="12"/>
        <v>12213.3</v>
      </c>
      <c r="N132" s="40"/>
      <c r="O132" s="34"/>
      <c r="P132" s="35"/>
      <c r="Q132" s="35"/>
      <c r="R132" s="35"/>
      <c r="S132" s="35"/>
      <c r="T132" s="35"/>
      <c r="U132" s="35"/>
      <c r="V132" s="35"/>
      <c r="W132" s="35"/>
      <c r="X132" s="35"/>
      <c r="Y132" s="35"/>
      <c r="Z132" s="35"/>
    </row>
    <row r="133" ht="15.75" customHeight="1">
      <c r="A133" s="66" t="s">
        <v>563</v>
      </c>
      <c r="B133" s="66" t="s">
        <v>916</v>
      </c>
      <c r="C133" s="69" t="s">
        <v>930</v>
      </c>
      <c r="D133" s="149" t="s">
        <v>931</v>
      </c>
      <c r="E133" s="149" t="s">
        <v>932</v>
      </c>
      <c r="F133" s="154">
        <v>28080.0</v>
      </c>
      <c r="G133" s="151">
        <v>45855.0</v>
      </c>
      <c r="H133" s="155">
        <f t="shared" si="7"/>
        <v>42120</v>
      </c>
      <c r="I133" s="37">
        <f t="shared" si="8"/>
        <v>36504</v>
      </c>
      <c r="J133" s="38">
        <f t="shared" si="9"/>
        <v>36504</v>
      </c>
      <c r="K133" s="39">
        <f t="shared" si="10"/>
        <v>33696</v>
      </c>
      <c r="L133" s="38">
        <f t="shared" si="11"/>
        <v>32292</v>
      </c>
      <c r="M133" s="39">
        <f t="shared" si="12"/>
        <v>30888</v>
      </c>
      <c r="N133" s="40"/>
      <c r="O133" s="34"/>
      <c r="P133" s="35"/>
      <c r="Q133" s="35"/>
      <c r="R133" s="35"/>
      <c r="S133" s="35"/>
      <c r="T133" s="35"/>
      <c r="U133" s="35"/>
      <c r="V133" s="35"/>
      <c r="W133" s="35"/>
      <c r="X133" s="35"/>
      <c r="Y133" s="35"/>
      <c r="Z133" s="35"/>
    </row>
    <row r="134" ht="15.75" customHeight="1">
      <c r="A134" s="66" t="s">
        <v>563</v>
      </c>
      <c r="B134" s="66" t="s">
        <v>926</v>
      </c>
      <c r="C134" s="69" t="s">
        <v>933</v>
      </c>
      <c r="D134" s="149" t="s">
        <v>934</v>
      </c>
      <c r="E134" s="149" t="s">
        <v>935</v>
      </c>
      <c r="F134" s="154">
        <v>31943.0</v>
      </c>
      <c r="G134" s="151">
        <v>45855.0</v>
      </c>
      <c r="H134" s="155">
        <f t="shared" si="7"/>
        <v>47914.5</v>
      </c>
      <c r="I134" s="37">
        <f t="shared" si="8"/>
        <v>41525.9</v>
      </c>
      <c r="J134" s="38">
        <f t="shared" si="9"/>
        <v>41525.9</v>
      </c>
      <c r="K134" s="39">
        <f t="shared" si="10"/>
        <v>38331.6</v>
      </c>
      <c r="L134" s="38">
        <f t="shared" si="11"/>
        <v>36734.45</v>
      </c>
      <c r="M134" s="39">
        <f t="shared" si="12"/>
        <v>35137.3</v>
      </c>
      <c r="N134" s="40"/>
      <c r="O134" s="34"/>
      <c r="P134" s="35"/>
      <c r="Q134" s="35"/>
      <c r="R134" s="35"/>
      <c r="S134" s="35"/>
      <c r="T134" s="35"/>
      <c r="U134" s="35"/>
      <c r="V134" s="35"/>
      <c r="W134" s="35"/>
      <c r="X134" s="35"/>
      <c r="Y134" s="35"/>
      <c r="Z134" s="35"/>
    </row>
    <row r="135" ht="15.75" customHeight="1">
      <c r="A135" s="66" t="s">
        <v>563</v>
      </c>
      <c r="B135" s="66" t="s">
        <v>936</v>
      </c>
      <c r="C135" s="69" t="s">
        <v>937</v>
      </c>
      <c r="D135" s="165" t="s">
        <v>938</v>
      </c>
      <c r="E135" s="149" t="s">
        <v>939</v>
      </c>
      <c r="F135" s="154">
        <v>9134.0</v>
      </c>
      <c r="G135" s="151">
        <v>45855.0</v>
      </c>
      <c r="H135" s="155">
        <f t="shared" si="7"/>
        <v>13701</v>
      </c>
      <c r="I135" s="37">
        <f t="shared" si="8"/>
        <v>11874.2</v>
      </c>
      <c r="J135" s="38">
        <f t="shared" si="9"/>
        <v>11874.2</v>
      </c>
      <c r="K135" s="39">
        <f t="shared" si="10"/>
        <v>10960.8</v>
      </c>
      <c r="L135" s="38">
        <f t="shared" si="11"/>
        <v>10504.1</v>
      </c>
      <c r="M135" s="39">
        <f t="shared" si="12"/>
        <v>10047.4</v>
      </c>
      <c r="N135" s="40"/>
      <c r="O135" s="34"/>
      <c r="P135" s="35"/>
      <c r="Q135" s="35"/>
      <c r="R135" s="35"/>
      <c r="S135" s="35"/>
      <c r="T135" s="35"/>
      <c r="U135" s="35"/>
      <c r="V135" s="35"/>
      <c r="W135" s="35"/>
      <c r="X135" s="35"/>
      <c r="Y135" s="35"/>
      <c r="Z135" s="35"/>
    </row>
    <row r="136" ht="15.75" customHeight="1">
      <c r="A136" s="66" t="s">
        <v>563</v>
      </c>
      <c r="B136" s="66" t="s">
        <v>936</v>
      </c>
      <c r="C136" s="69" t="s">
        <v>940</v>
      </c>
      <c r="D136" s="149" t="s">
        <v>941</v>
      </c>
      <c r="E136" s="149" t="s">
        <v>942</v>
      </c>
      <c r="F136" s="154">
        <v>9384.0</v>
      </c>
      <c r="G136" s="151">
        <v>45855.0</v>
      </c>
      <c r="H136" s="155">
        <f t="shared" si="7"/>
        <v>14076</v>
      </c>
      <c r="I136" s="37">
        <f t="shared" si="8"/>
        <v>12199.2</v>
      </c>
      <c r="J136" s="38">
        <f t="shared" si="9"/>
        <v>12199.2</v>
      </c>
      <c r="K136" s="39">
        <f t="shared" si="10"/>
        <v>11260.8</v>
      </c>
      <c r="L136" s="38">
        <f t="shared" si="11"/>
        <v>10791.6</v>
      </c>
      <c r="M136" s="39">
        <f t="shared" si="12"/>
        <v>10322.4</v>
      </c>
      <c r="N136" s="40"/>
      <c r="O136" s="34"/>
      <c r="P136" s="35"/>
      <c r="Q136" s="35"/>
      <c r="R136" s="35"/>
      <c r="S136" s="35"/>
      <c r="T136" s="35"/>
      <c r="U136" s="35"/>
      <c r="V136" s="35"/>
      <c r="W136" s="35"/>
      <c r="X136" s="35"/>
      <c r="Y136" s="35"/>
      <c r="Z136" s="35"/>
    </row>
    <row r="137" ht="15.75" customHeight="1">
      <c r="A137" s="66" t="s">
        <v>563</v>
      </c>
      <c r="B137" s="66" t="s">
        <v>936</v>
      </c>
      <c r="C137" s="69" t="s">
        <v>943</v>
      </c>
      <c r="D137" s="149" t="s">
        <v>944</v>
      </c>
      <c r="E137" s="149" t="s">
        <v>945</v>
      </c>
      <c r="F137" s="154">
        <v>10819.0</v>
      </c>
      <c r="G137" s="151">
        <v>45855.0</v>
      </c>
      <c r="H137" s="155">
        <f t="shared" si="7"/>
        <v>16228.5</v>
      </c>
      <c r="I137" s="37">
        <f t="shared" si="8"/>
        <v>14064.7</v>
      </c>
      <c r="J137" s="38">
        <f t="shared" si="9"/>
        <v>14064.7</v>
      </c>
      <c r="K137" s="39">
        <f t="shared" si="10"/>
        <v>12982.8</v>
      </c>
      <c r="L137" s="38">
        <f t="shared" si="11"/>
        <v>12441.85</v>
      </c>
      <c r="M137" s="39">
        <f t="shared" si="12"/>
        <v>11900.9</v>
      </c>
      <c r="N137" s="40"/>
      <c r="O137" s="78"/>
      <c r="P137" s="76"/>
      <c r="Q137" s="76"/>
      <c r="R137" s="76"/>
      <c r="S137" s="76"/>
      <c r="T137" s="76"/>
      <c r="U137" s="76"/>
      <c r="V137" s="76"/>
      <c r="W137" s="76"/>
      <c r="X137" s="76"/>
      <c r="Y137" s="76"/>
      <c r="Z137" s="76"/>
    </row>
    <row r="138" ht="15.75" customHeight="1">
      <c r="A138" s="66" t="s">
        <v>563</v>
      </c>
      <c r="B138" s="66" t="s">
        <v>946</v>
      </c>
      <c r="C138" s="66" t="s">
        <v>947</v>
      </c>
      <c r="D138" s="148" t="s">
        <v>948</v>
      </c>
      <c r="E138" s="149" t="s">
        <v>949</v>
      </c>
      <c r="F138" s="154">
        <v>1474.0</v>
      </c>
      <c r="G138" s="151">
        <v>45855.0</v>
      </c>
      <c r="H138" s="155">
        <f t="shared" si="7"/>
        <v>2211</v>
      </c>
      <c r="I138" s="37">
        <f t="shared" si="8"/>
        <v>1916.2</v>
      </c>
      <c r="J138" s="38">
        <f t="shared" si="9"/>
        <v>1916.2</v>
      </c>
      <c r="K138" s="39">
        <f t="shared" si="10"/>
        <v>1768.8</v>
      </c>
      <c r="L138" s="38">
        <f t="shared" si="11"/>
        <v>1695.1</v>
      </c>
      <c r="M138" s="39">
        <f t="shared" si="12"/>
        <v>1621.4</v>
      </c>
      <c r="N138" s="40"/>
      <c r="O138" s="78"/>
      <c r="P138" s="35"/>
      <c r="Q138" s="35"/>
      <c r="R138" s="35"/>
      <c r="S138" s="35"/>
      <c r="T138" s="35"/>
      <c r="U138" s="35"/>
      <c r="V138" s="35"/>
      <c r="W138" s="35"/>
      <c r="X138" s="35"/>
      <c r="Y138" s="35"/>
      <c r="Z138" s="35"/>
    </row>
    <row r="139" ht="15.75" customHeight="1">
      <c r="A139" s="66" t="s">
        <v>563</v>
      </c>
      <c r="B139" s="66" t="s">
        <v>950</v>
      </c>
      <c r="C139" s="66" t="s">
        <v>951</v>
      </c>
      <c r="D139" s="149" t="s">
        <v>952</v>
      </c>
      <c r="E139" s="149" t="s">
        <v>953</v>
      </c>
      <c r="F139" s="154">
        <v>1610.0</v>
      </c>
      <c r="G139" s="151">
        <v>45855.0</v>
      </c>
      <c r="H139" s="155">
        <f t="shared" si="7"/>
        <v>2415</v>
      </c>
      <c r="I139" s="37">
        <f t="shared" si="8"/>
        <v>2093</v>
      </c>
      <c r="J139" s="38">
        <f t="shared" si="9"/>
        <v>2093</v>
      </c>
      <c r="K139" s="39">
        <f t="shared" si="10"/>
        <v>1932</v>
      </c>
      <c r="L139" s="38">
        <f t="shared" si="11"/>
        <v>1851.5</v>
      </c>
      <c r="M139" s="39">
        <f t="shared" si="12"/>
        <v>1771</v>
      </c>
      <c r="N139" s="40"/>
      <c r="O139" s="78"/>
      <c r="P139" s="35"/>
      <c r="Q139" s="35"/>
      <c r="R139" s="35"/>
      <c r="S139" s="35"/>
      <c r="T139" s="35"/>
      <c r="U139" s="35"/>
      <c r="V139" s="35"/>
      <c r="W139" s="35"/>
      <c r="X139" s="35"/>
      <c r="Y139" s="35"/>
      <c r="Z139" s="35"/>
    </row>
    <row r="140" ht="15.75" customHeight="1">
      <c r="A140" s="66" t="s">
        <v>563</v>
      </c>
      <c r="B140" s="66" t="s">
        <v>954</v>
      </c>
      <c r="C140" s="69" t="s">
        <v>955</v>
      </c>
      <c r="D140" s="149" t="s">
        <v>956</v>
      </c>
      <c r="E140" s="149" t="s">
        <v>957</v>
      </c>
      <c r="F140" s="154">
        <v>754.0</v>
      </c>
      <c r="G140" s="151">
        <v>45855.0</v>
      </c>
      <c r="H140" s="155">
        <f t="shared" si="7"/>
        <v>1131</v>
      </c>
      <c r="I140" s="37">
        <f t="shared" si="8"/>
        <v>980.2</v>
      </c>
      <c r="J140" s="38">
        <f t="shared" si="9"/>
        <v>980.2</v>
      </c>
      <c r="K140" s="39">
        <f t="shared" si="10"/>
        <v>904.8</v>
      </c>
      <c r="L140" s="38">
        <f t="shared" si="11"/>
        <v>867.1</v>
      </c>
      <c r="M140" s="39">
        <f t="shared" si="12"/>
        <v>829.4</v>
      </c>
      <c r="N140" s="40"/>
      <c r="O140" s="34"/>
      <c r="P140" s="35"/>
      <c r="Q140" s="35"/>
      <c r="R140" s="35"/>
      <c r="S140" s="35"/>
      <c r="T140" s="35"/>
      <c r="U140" s="35"/>
      <c r="V140" s="35"/>
      <c r="W140" s="35"/>
      <c r="X140" s="35"/>
      <c r="Y140" s="35"/>
      <c r="Z140" s="35"/>
    </row>
    <row r="141" ht="15.75" customHeight="1">
      <c r="A141" s="66" t="s">
        <v>563</v>
      </c>
      <c r="B141" s="66" t="s">
        <v>580</v>
      </c>
      <c r="C141" s="66" t="s">
        <v>958</v>
      </c>
      <c r="D141" s="149" t="s">
        <v>959</v>
      </c>
      <c r="E141" s="149" t="s">
        <v>960</v>
      </c>
      <c r="F141" s="154">
        <v>18597.0</v>
      </c>
      <c r="G141" s="151">
        <v>45855.0</v>
      </c>
      <c r="H141" s="155">
        <f t="shared" si="7"/>
        <v>27895.5</v>
      </c>
      <c r="I141" s="37">
        <f t="shared" si="8"/>
        <v>24176.1</v>
      </c>
      <c r="J141" s="38">
        <f t="shared" si="9"/>
        <v>24176.1</v>
      </c>
      <c r="K141" s="39">
        <f t="shared" si="10"/>
        <v>22316.4</v>
      </c>
      <c r="L141" s="38">
        <f t="shared" si="11"/>
        <v>21386.55</v>
      </c>
      <c r="M141" s="39">
        <f t="shared" si="12"/>
        <v>20456.7</v>
      </c>
      <c r="N141" s="40"/>
      <c r="O141" s="78"/>
      <c r="P141" s="35"/>
      <c r="Q141" s="35"/>
      <c r="R141" s="35"/>
      <c r="S141" s="35"/>
      <c r="T141" s="35"/>
      <c r="U141" s="35"/>
      <c r="V141" s="35"/>
      <c r="W141" s="35"/>
      <c r="X141" s="35"/>
      <c r="Y141" s="35"/>
      <c r="Z141" s="35"/>
    </row>
    <row r="142" ht="15.75" customHeight="1">
      <c r="A142" s="66" t="s">
        <v>563</v>
      </c>
      <c r="B142" s="66" t="s">
        <v>580</v>
      </c>
      <c r="C142" s="69" t="s">
        <v>961</v>
      </c>
      <c r="D142" s="148" t="s">
        <v>962</v>
      </c>
      <c r="E142" s="149" t="s">
        <v>963</v>
      </c>
      <c r="F142" s="154">
        <v>19240.0</v>
      </c>
      <c r="G142" s="151">
        <v>45855.0</v>
      </c>
      <c r="H142" s="155">
        <f t="shared" si="7"/>
        <v>28860</v>
      </c>
      <c r="I142" s="37">
        <f t="shared" si="8"/>
        <v>25012</v>
      </c>
      <c r="J142" s="38">
        <f t="shared" si="9"/>
        <v>25012</v>
      </c>
      <c r="K142" s="39">
        <f t="shared" si="10"/>
        <v>23088</v>
      </c>
      <c r="L142" s="38">
        <f t="shared" si="11"/>
        <v>22126</v>
      </c>
      <c r="M142" s="39">
        <f t="shared" si="12"/>
        <v>21164</v>
      </c>
      <c r="N142" s="40"/>
      <c r="O142" s="34"/>
      <c r="P142" s="35"/>
      <c r="Q142" s="35"/>
      <c r="R142" s="35"/>
      <c r="S142" s="35"/>
      <c r="T142" s="35"/>
      <c r="U142" s="35"/>
      <c r="V142" s="35"/>
      <c r="W142" s="35"/>
      <c r="X142" s="35"/>
      <c r="Y142" s="35"/>
      <c r="Z142" s="35"/>
    </row>
    <row r="143" ht="15.75" customHeight="1">
      <c r="A143" s="66" t="s">
        <v>563</v>
      </c>
      <c r="B143" s="66" t="s">
        <v>580</v>
      </c>
      <c r="C143" s="69" t="s">
        <v>964</v>
      </c>
      <c r="D143" s="149" t="s">
        <v>965</v>
      </c>
      <c r="E143" s="149" t="s">
        <v>966</v>
      </c>
      <c r="F143" s="154">
        <v>18066.0</v>
      </c>
      <c r="G143" s="151">
        <v>45855.0</v>
      </c>
      <c r="H143" s="155">
        <f t="shared" si="7"/>
        <v>27099</v>
      </c>
      <c r="I143" s="37">
        <f t="shared" si="8"/>
        <v>23485.8</v>
      </c>
      <c r="J143" s="38">
        <f t="shared" si="9"/>
        <v>23485.8</v>
      </c>
      <c r="K143" s="39">
        <f t="shared" si="10"/>
        <v>21679.2</v>
      </c>
      <c r="L143" s="38">
        <f t="shared" si="11"/>
        <v>20775.9</v>
      </c>
      <c r="M143" s="39">
        <f t="shared" si="12"/>
        <v>19872.6</v>
      </c>
      <c r="N143" s="40"/>
      <c r="O143" s="78"/>
      <c r="P143" s="35"/>
      <c r="Q143" s="35"/>
      <c r="R143" s="35"/>
      <c r="S143" s="35"/>
      <c r="T143" s="35"/>
      <c r="U143" s="35"/>
      <c r="V143" s="35"/>
      <c r="W143" s="35"/>
      <c r="X143" s="35"/>
      <c r="Y143" s="35"/>
      <c r="Z143" s="35"/>
    </row>
    <row r="144" ht="15.75" customHeight="1">
      <c r="A144" s="66" t="s">
        <v>563</v>
      </c>
      <c r="B144" s="66" t="s">
        <v>580</v>
      </c>
      <c r="C144" s="69" t="s">
        <v>967</v>
      </c>
      <c r="D144" s="149" t="s">
        <v>968</v>
      </c>
      <c r="E144" s="149" t="s">
        <v>969</v>
      </c>
      <c r="F144" s="154">
        <v>22948.0</v>
      </c>
      <c r="G144" s="151">
        <v>45855.0</v>
      </c>
      <c r="H144" s="155">
        <f t="shared" si="7"/>
        <v>34422</v>
      </c>
      <c r="I144" s="37">
        <f t="shared" si="8"/>
        <v>29832.4</v>
      </c>
      <c r="J144" s="38">
        <f t="shared" si="9"/>
        <v>29832.4</v>
      </c>
      <c r="K144" s="39">
        <f t="shared" si="10"/>
        <v>27537.6</v>
      </c>
      <c r="L144" s="38">
        <f t="shared" si="11"/>
        <v>26390.2</v>
      </c>
      <c r="M144" s="39">
        <f t="shared" si="12"/>
        <v>25242.8</v>
      </c>
      <c r="N144" s="40"/>
      <c r="O144" s="78"/>
      <c r="P144" s="35"/>
      <c r="Q144" s="35"/>
      <c r="R144" s="35"/>
      <c r="S144" s="35"/>
      <c r="T144" s="35"/>
      <c r="U144" s="35"/>
      <c r="V144" s="35"/>
      <c r="W144" s="35"/>
      <c r="X144" s="35"/>
      <c r="Y144" s="35"/>
      <c r="Z144" s="35"/>
    </row>
    <row r="145" ht="15.75" customHeight="1">
      <c r="A145" s="66" t="s">
        <v>563</v>
      </c>
      <c r="B145" s="66" t="s">
        <v>580</v>
      </c>
      <c r="C145" s="69" t="s">
        <v>970</v>
      </c>
      <c r="D145" s="149" t="s">
        <v>971</v>
      </c>
      <c r="E145" s="149" t="s">
        <v>972</v>
      </c>
      <c r="F145" s="154">
        <v>28600.0</v>
      </c>
      <c r="G145" s="151">
        <v>45855.0</v>
      </c>
      <c r="H145" s="155">
        <f t="shared" si="7"/>
        <v>42900</v>
      </c>
      <c r="I145" s="37">
        <f t="shared" si="8"/>
        <v>37180</v>
      </c>
      <c r="J145" s="38">
        <f t="shared" si="9"/>
        <v>37180</v>
      </c>
      <c r="K145" s="39">
        <f t="shared" si="10"/>
        <v>34320</v>
      </c>
      <c r="L145" s="38">
        <f t="shared" si="11"/>
        <v>32890</v>
      </c>
      <c r="M145" s="39">
        <f t="shared" si="12"/>
        <v>31460</v>
      </c>
      <c r="N145" s="40"/>
      <c r="O145" s="78"/>
      <c r="P145" s="35"/>
      <c r="Q145" s="35"/>
      <c r="R145" s="35"/>
      <c r="S145" s="35"/>
      <c r="T145" s="35"/>
      <c r="U145" s="35"/>
      <c r="V145" s="35"/>
      <c r="W145" s="35"/>
      <c r="X145" s="35"/>
      <c r="Y145" s="35"/>
      <c r="Z145" s="35"/>
    </row>
    <row r="146" ht="15.75" customHeight="1">
      <c r="A146" s="66" t="s">
        <v>563</v>
      </c>
      <c r="B146" s="66" t="s">
        <v>580</v>
      </c>
      <c r="C146" s="69" t="s">
        <v>973</v>
      </c>
      <c r="D146" s="149" t="s">
        <v>974</v>
      </c>
      <c r="E146" s="149" t="s">
        <v>975</v>
      </c>
      <c r="F146" s="154">
        <v>20158.0</v>
      </c>
      <c r="G146" s="151">
        <v>45855.0</v>
      </c>
      <c r="H146" s="155">
        <f t="shared" si="7"/>
        <v>30237</v>
      </c>
      <c r="I146" s="37">
        <f t="shared" si="8"/>
        <v>26205.4</v>
      </c>
      <c r="J146" s="38">
        <f t="shared" si="9"/>
        <v>26205.4</v>
      </c>
      <c r="K146" s="39">
        <f t="shared" si="10"/>
        <v>24189.6</v>
      </c>
      <c r="L146" s="38">
        <f t="shared" si="11"/>
        <v>23181.7</v>
      </c>
      <c r="M146" s="39">
        <f t="shared" si="12"/>
        <v>22173.8</v>
      </c>
      <c r="N146" s="40"/>
      <c r="O146" s="34"/>
      <c r="P146" s="35"/>
      <c r="Q146" s="35"/>
      <c r="R146" s="35"/>
      <c r="S146" s="35"/>
      <c r="T146" s="35"/>
      <c r="U146" s="35"/>
      <c r="V146" s="35"/>
      <c r="W146" s="35"/>
      <c r="X146" s="35"/>
      <c r="Y146" s="35"/>
      <c r="Z146" s="35"/>
    </row>
    <row r="147" ht="15.75" customHeight="1">
      <c r="A147" s="66" t="s">
        <v>563</v>
      </c>
      <c r="B147" s="66" t="s">
        <v>976</v>
      </c>
      <c r="C147" s="66" t="s">
        <v>977</v>
      </c>
      <c r="D147" s="149" t="s">
        <v>978</v>
      </c>
      <c r="E147" s="149" t="s">
        <v>979</v>
      </c>
      <c r="F147" s="154">
        <v>25738.0</v>
      </c>
      <c r="G147" s="151">
        <v>45855.0</v>
      </c>
      <c r="H147" s="155">
        <f t="shared" si="7"/>
        <v>38607</v>
      </c>
      <c r="I147" s="37">
        <f t="shared" si="8"/>
        <v>33459.4</v>
      </c>
      <c r="J147" s="38">
        <f t="shared" si="9"/>
        <v>33459.4</v>
      </c>
      <c r="K147" s="39">
        <f t="shared" si="10"/>
        <v>30885.6</v>
      </c>
      <c r="L147" s="38">
        <f t="shared" si="11"/>
        <v>29598.7</v>
      </c>
      <c r="M147" s="39">
        <f t="shared" si="12"/>
        <v>28311.8</v>
      </c>
      <c r="N147" s="40"/>
      <c r="O147" s="34"/>
      <c r="P147" s="35"/>
      <c r="Q147" s="35"/>
      <c r="R147" s="35"/>
      <c r="S147" s="35"/>
      <c r="T147" s="35"/>
      <c r="U147" s="35"/>
      <c r="V147" s="35"/>
      <c r="W147" s="35"/>
      <c r="X147" s="35"/>
      <c r="Y147" s="35"/>
      <c r="Z147" s="35"/>
    </row>
    <row r="148" ht="15.75" customHeight="1">
      <c r="A148" s="66" t="s">
        <v>563</v>
      </c>
      <c r="B148" s="66" t="s">
        <v>976</v>
      </c>
      <c r="C148" s="66" t="s">
        <v>980</v>
      </c>
      <c r="D148" s="149" t="s">
        <v>981</v>
      </c>
      <c r="E148" s="149"/>
      <c r="F148" s="154">
        <v>22446.0</v>
      </c>
      <c r="G148" s="151">
        <v>45855.0</v>
      </c>
      <c r="H148" s="155">
        <f t="shared" si="7"/>
        <v>33669</v>
      </c>
      <c r="I148" s="37">
        <f t="shared" si="8"/>
        <v>29179.8</v>
      </c>
      <c r="J148" s="38">
        <f t="shared" si="9"/>
        <v>29179.8</v>
      </c>
      <c r="K148" s="39">
        <f t="shared" si="10"/>
        <v>26935.2</v>
      </c>
      <c r="L148" s="38">
        <f t="shared" si="11"/>
        <v>25812.9</v>
      </c>
      <c r="M148" s="39">
        <f t="shared" si="12"/>
        <v>24690.6</v>
      </c>
      <c r="N148" s="40"/>
      <c r="O148" s="34"/>
      <c r="P148" s="35"/>
      <c r="Q148" s="35"/>
      <c r="R148" s="35"/>
      <c r="S148" s="35"/>
      <c r="T148" s="35"/>
      <c r="U148" s="35"/>
      <c r="V148" s="35"/>
      <c r="W148" s="35"/>
      <c r="X148" s="35"/>
      <c r="Y148" s="35"/>
      <c r="Z148" s="35"/>
    </row>
    <row r="149" ht="15.75" customHeight="1">
      <c r="A149" s="66" t="s">
        <v>563</v>
      </c>
      <c r="B149" s="66" t="s">
        <v>976</v>
      </c>
      <c r="C149" s="66" t="s">
        <v>982</v>
      </c>
      <c r="D149" s="149" t="s">
        <v>983</v>
      </c>
      <c r="E149" s="149"/>
      <c r="F149" s="154">
        <v>26668.0</v>
      </c>
      <c r="G149" s="151">
        <v>45855.0</v>
      </c>
      <c r="H149" s="155">
        <f t="shared" si="7"/>
        <v>40002</v>
      </c>
      <c r="I149" s="37">
        <f t="shared" si="8"/>
        <v>34668.4</v>
      </c>
      <c r="J149" s="38">
        <f t="shared" si="9"/>
        <v>34668.4</v>
      </c>
      <c r="K149" s="39">
        <f t="shared" si="10"/>
        <v>32001.6</v>
      </c>
      <c r="L149" s="38">
        <f t="shared" si="11"/>
        <v>30668.2</v>
      </c>
      <c r="M149" s="39">
        <f t="shared" si="12"/>
        <v>29334.8</v>
      </c>
      <c r="N149" s="40"/>
      <c r="O149" s="34"/>
      <c r="P149" s="35"/>
      <c r="Q149" s="35"/>
      <c r="R149" s="35"/>
      <c r="S149" s="35"/>
      <c r="T149" s="35"/>
      <c r="U149" s="35"/>
      <c r="V149" s="35"/>
      <c r="W149" s="35"/>
      <c r="X149" s="35"/>
      <c r="Y149" s="35"/>
      <c r="Z149" s="35"/>
    </row>
    <row r="150" ht="15.75" customHeight="1">
      <c r="A150" s="66" t="s">
        <v>563</v>
      </c>
      <c r="B150" s="66" t="s">
        <v>976</v>
      </c>
      <c r="C150" s="69" t="s">
        <v>984</v>
      </c>
      <c r="D150" s="149" t="s">
        <v>985</v>
      </c>
      <c r="E150" s="149" t="s">
        <v>986</v>
      </c>
      <c r="F150" s="154">
        <v>38294.0</v>
      </c>
      <c r="G150" s="151">
        <v>45855.0</v>
      </c>
      <c r="H150" s="155">
        <f t="shared" si="7"/>
        <v>57441</v>
      </c>
      <c r="I150" s="37">
        <f t="shared" si="8"/>
        <v>49782.2</v>
      </c>
      <c r="J150" s="38">
        <f t="shared" si="9"/>
        <v>49782.2</v>
      </c>
      <c r="K150" s="39">
        <f t="shared" si="10"/>
        <v>45952.8</v>
      </c>
      <c r="L150" s="38">
        <f t="shared" si="11"/>
        <v>44038.1</v>
      </c>
      <c r="M150" s="39">
        <f t="shared" si="12"/>
        <v>42123.4</v>
      </c>
      <c r="N150" s="40"/>
      <c r="O150" s="34"/>
      <c r="P150" s="35"/>
      <c r="Q150" s="35"/>
      <c r="R150" s="35"/>
      <c r="S150" s="35"/>
      <c r="T150" s="35"/>
      <c r="U150" s="35"/>
      <c r="V150" s="35"/>
      <c r="W150" s="35"/>
      <c r="X150" s="35"/>
      <c r="Y150" s="35"/>
      <c r="Z150" s="35"/>
    </row>
    <row r="151" ht="15.75" customHeight="1">
      <c r="A151" s="66" t="s">
        <v>563</v>
      </c>
      <c r="B151" s="66" t="s">
        <v>976</v>
      </c>
      <c r="C151" s="69" t="s">
        <v>987</v>
      </c>
      <c r="D151" s="149" t="s">
        <v>988</v>
      </c>
      <c r="E151" s="149"/>
      <c r="F151" s="154">
        <v>43588.0</v>
      </c>
      <c r="G151" s="151">
        <v>45855.0</v>
      </c>
      <c r="H151" s="155">
        <f t="shared" si="7"/>
        <v>65382</v>
      </c>
      <c r="I151" s="37">
        <f t="shared" si="8"/>
        <v>56664.4</v>
      </c>
      <c r="J151" s="38">
        <f t="shared" si="9"/>
        <v>56664.4</v>
      </c>
      <c r="K151" s="39">
        <f t="shared" si="10"/>
        <v>52305.6</v>
      </c>
      <c r="L151" s="38">
        <f t="shared" si="11"/>
        <v>50126.2</v>
      </c>
      <c r="M151" s="39">
        <f t="shared" si="12"/>
        <v>47946.8</v>
      </c>
      <c r="N151" s="40"/>
      <c r="O151" s="34"/>
      <c r="P151" s="35"/>
      <c r="Q151" s="35"/>
      <c r="R151" s="35"/>
      <c r="S151" s="35"/>
      <c r="T151" s="35"/>
      <c r="U151" s="35"/>
      <c r="V151" s="35"/>
      <c r="W151" s="35"/>
      <c r="X151" s="35"/>
      <c r="Y151" s="35"/>
      <c r="Z151" s="35"/>
    </row>
    <row r="152" ht="15.75" customHeight="1">
      <c r="A152" s="66" t="s">
        <v>563</v>
      </c>
      <c r="B152" s="66" t="s">
        <v>580</v>
      </c>
      <c r="C152" s="69" t="s">
        <v>989</v>
      </c>
      <c r="D152" s="149" t="s">
        <v>990</v>
      </c>
      <c r="E152" s="149" t="s">
        <v>991</v>
      </c>
      <c r="F152" s="154">
        <v>20102.0</v>
      </c>
      <c r="G152" s="151">
        <v>45855.0</v>
      </c>
      <c r="H152" s="155">
        <f t="shared" si="7"/>
        <v>30153</v>
      </c>
      <c r="I152" s="37">
        <f t="shared" si="8"/>
        <v>26132.6</v>
      </c>
      <c r="J152" s="38">
        <f t="shared" si="9"/>
        <v>26132.6</v>
      </c>
      <c r="K152" s="39">
        <f t="shared" si="10"/>
        <v>24122.4</v>
      </c>
      <c r="L152" s="38">
        <f t="shared" si="11"/>
        <v>23117.3</v>
      </c>
      <c r="M152" s="39">
        <f t="shared" si="12"/>
        <v>22112.2</v>
      </c>
      <c r="N152" s="40"/>
      <c r="O152" s="34"/>
      <c r="P152" s="35"/>
      <c r="Q152" s="35"/>
      <c r="R152" s="35"/>
      <c r="S152" s="35"/>
      <c r="T152" s="35"/>
      <c r="U152" s="35"/>
      <c r="V152" s="35"/>
      <c r="W152" s="35"/>
      <c r="X152" s="35"/>
      <c r="Y152" s="35"/>
      <c r="Z152" s="35"/>
    </row>
    <row r="153" ht="15.75" customHeight="1">
      <c r="A153" s="66" t="s">
        <v>563</v>
      </c>
      <c r="B153" s="66" t="s">
        <v>580</v>
      </c>
      <c r="C153" s="69" t="s">
        <v>992</v>
      </c>
      <c r="D153" s="149" t="s">
        <v>993</v>
      </c>
      <c r="E153" s="149" t="s">
        <v>994</v>
      </c>
      <c r="F153" s="154">
        <v>17940.0</v>
      </c>
      <c r="G153" s="151">
        <v>45855.0</v>
      </c>
      <c r="H153" s="155">
        <f t="shared" si="7"/>
        <v>26910</v>
      </c>
      <c r="I153" s="37">
        <f t="shared" si="8"/>
        <v>23322</v>
      </c>
      <c r="J153" s="38">
        <f t="shared" si="9"/>
        <v>23322</v>
      </c>
      <c r="K153" s="39">
        <f t="shared" si="10"/>
        <v>21528</v>
      </c>
      <c r="L153" s="38">
        <f t="shared" si="11"/>
        <v>20631</v>
      </c>
      <c r="M153" s="39">
        <f t="shared" si="12"/>
        <v>19734</v>
      </c>
      <c r="N153" s="40"/>
      <c r="O153" s="34"/>
      <c r="P153" s="35"/>
      <c r="Q153" s="35"/>
      <c r="R153" s="35"/>
      <c r="S153" s="35"/>
      <c r="T153" s="35"/>
      <c r="U153" s="35"/>
      <c r="V153" s="35"/>
      <c r="W153" s="35"/>
      <c r="X153" s="35"/>
      <c r="Y153" s="35"/>
      <c r="Z153" s="35"/>
    </row>
    <row r="154" ht="15.75" customHeight="1">
      <c r="A154" s="66" t="s">
        <v>563</v>
      </c>
      <c r="B154" s="66" t="s">
        <v>995</v>
      </c>
      <c r="C154" s="69" t="s">
        <v>996</v>
      </c>
      <c r="D154" s="148" t="s">
        <v>997</v>
      </c>
      <c r="E154" s="149" t="s">
        <v>998</v>
      </c>
      <c r="F154" s="154">
        <v>14578.0</v>
      </c>
      <c r="G154" s="151">
        <v>45855.0</v>
      </c>
      <c r="H154" s="155">
        <f t="shared" si="7"/>
        <v>21867</v>
      </c>
      <c r="I154" s="37">
        <f t="shared" si="8"/>
        <v>18951.4</v>
      </c>
      <c r="J154" s="38">
        <f t="shared" si="9"/>
        <v>18951.4</v>
      </c>
      <c r="K154" s="39">
        <f t="shared" si="10"/>
        <v>17493.6</v>
      </c>
      <c r="L154" s="38">
        <f t="shared" si="11"/>
        <v>16764.7</v>
      </c>
      <c r="M154" s="39">
        <f t="shared" si="12"/>
        <v>16035.8</v>
      </c>
      <c r="N154" s="40"/>
      <c r="O154" s="34"/>
      <c r="P154" s="35"/>
      <c r="Q154" s="35"/>
      <c r="R154" s="35"/>
      <c r="S154" s="35"/>
      <c r="T154" s="35"/>
      <c r="U154" s="35"/>
      <c r="V154" s="35"/>
      <c r="W154" s="35"/>
      <c r="X154" s="35"/>
      <c r="Y154" s="35"/>
      <c r="Z154" s="35"/>
    </row>
    <row r="155" ht="15.75" customHeight="1">
      <c r="A155" s="66" t="s">
        <v>563</v>
      </c>
      <c r="B155" s="66" t="s">
        <v>995</v>
      </c>
      <c r="C155" s="69" t="s">
        <v>999</v>
      </c>
      <c r="D155" s="149" t="s">
        <v>1000</v>
      </c>
      <c r="E155" s="149" t="s">
        <v>1001</v>
      </c>
      <c r="F155" s="154">
        <v>19461.0</v>
      </c>
      <c r="G155" s="151">
        <v>45855.0</v>
      </c>
      <c r="H155" s="155">
        <f t="shared" si="7"/>
        <v>29191.5</v>
      </c>
      <c r="I155" s="37">
        <f t="shared" si="8"/>
        <v>25299.3</v>
      </c>
      <c r="J155" s="38">
        <f t="shared" si="9"/>
        <v>25299.3</v>
      </c>
      <c r="K155" s="39">
        <f t="shared" si="10"/>
        <v>23353.2</v>
      </c>
      <c r="L155" s="38">
        <f t="shared" si="11"/>
        <v>22380.15</v>
      </c>
      <c r="M155" s="39">
        <f t="shared" si="12"/>
        <v>21407.1</v>
      </c>
      <c r="N155" s="40"/>
      <c r="O155" s="78"/>
      <c r="P155" s="35"/>
      <c r="Q155" s="35"/>
      <c r="R155" s="35"/>
      <c r="S155" s="35"/>
      <c r="T155" s="35"/>
      <c r="U155" s="35"/>
      <c r="V155" s="35"/>
      <c r="W155" s="35"/>
      <c r="X155" s="35"/>
      <c r="Y155" s="35"/>
      <c r="Z155" s="35"/>
    </row>
    <row r="156" ht="15.75" customHeight="1">
      <c r="A156" s="66" t="s">
        <v>563</v>
      </c>
      <c r="B156" s="66" t="s">
        <v>995</v>
      </c>
      <c r="C156" s="69" t="s">
        <v>1002</v>
      </c>
      <c r="D156" s="148" t="s">
        <v>1003</v>
      </c>
      <c r="E156" s="149" t="s">
        <v>998</v>
      </c>
      <c r="F156" s="154">
        <v>15973.0</v>
      </c>
      <c r="G156" s="151">
        <v>45855.0</v>
      </c>
      <c r="H156" s="155">
        <f t="shared" si="7"/>
        <v>23959.5</v>
      </c>
      <c r="I156" s="37">
        <f t="shared" si="8"/>
        <v>20764.9</v>
      </c>
      <c r="J156" s="38">
        <f t="shared" si="9"/>
        <v>20764.9</v>
      </c>
      <c r="K156" s="39">
        <f t="shared" si="10"/>
        <v>19167.6</v>
      </c>
      <c r="L156" s="38">
        <f t="shared" si="11"/>
        <v>18368.95</v>
      </c>
      <c r="M156" s="39">
        <f t="shared" si="12"/>
        <v>17570.3</v>
      </c>
      <c r="N156" s="40"/>
      <c r="O156" s="78"/>
      <c r="P156" s="35"/>
      <c r="Q156" s="35"/>
      <c r="R156" s="35"/>
      <c r="S156" s="35"/>
      <c r="T156" s="35"/>
      <c r="U156" s="35"/>
      <c r="V156" s="35"/>
      <c r="W156" s="35"/>
      <c r="X156" s="35"/>
      <c r="Y156" s="35"/>
      <c r="Z156" s="35"/>
    </row>
    <row r="157" ht="15.75" customHeight="1">
      <c r="A157" s="66" t="s">
        <v>563</v>
      </c>
      <c r="B157" s="66" t="s">
        <v>976</v>
      </c>
      <c r="C157" s="69" t="s">
        <v>982</v>
      </c>
      <c r="D157" s="149" t="s">
        <v>1004</v>
      </c>
      <c r="E157" s="149" t="s">
        <v>1005</v>
      </c>
      <c r="F157" s="166">
        <v>26688.0</v>
      </c>
      <c r="G157" s="151">
        <v>45855.0</v>
      </c>
      <c r="H157" s="155">
        <f t="shared" si="7"/>
        <v>40032</v>
      </c>
      <c r="I157" s="37">
        <f t="shared" si="8"/>
        <v>34694.4</v>
      </c>
      <c r="J157" s="38">
        <f t="shared" si="9"/>
        <v>34694.4</v>
      </c>
      <c r="K157" s="39">
        <f t="shared" si="10"/>
        <v>32025.6</v>
      </c>
      <c r="L157" s="38">
        <f t="shared" si="11"/>
        <v>30691.2</v>
      </c>
      <c r="M157" s="39">
        <f t="shared" si="12"/>
        <v>29356.8</v>
      </c>
      <c r="N157" s="40"/>
      <c r="O157" s="34"/>
      <c r="P157" s="35"/>
      <c r="Q157" s="35"/>
      <c r="R157" s="35"/>
      <c r="S157" s="35"/>
      <c r="T157" s="35"/>
      <c r="U157" s="35"/>
      <c r="V157" s="35"/>
      <c r="W157" s="35"/>
      <c r="X157" s="35"/>
      <c r="Y157" s="35"/>
      <c r="Z157" s="35"/>
    </row>
    <row r="158" ht="15.75" customHeight="1">
      <c r="A158" s="66" t="s">
        <v>563</v>
      </c>
      <c r="B158" s="66" t="s">
        <v>995</v>
      </c>
      <c r="C158" s="69" t="s">
        <v>1006</v>
      </c>
      <c r="D158" s="148" t="s">
        <v>1007</v>
      </c>
      <c r="E158" s="149" t="s">
        <v>1008</v>
      </c>
      <c r="F158" s="154">
        <v>14578.0</v>
      </c>
      <c r="G158" s="151">
        <v>45855.0</v>
      </c>
      <c r="H158" s="155">
        <f t="shared" si="7"/>
        <v>21867</v>
      </c>
      <c r="I158" s="37">
        <f t="shared" si="8"/>
        <v>18951.4</v>
      </c>
      <c r="J158" s="38">
        <f t="shared" si="9"/>
        <v>18951.4</v>
      </c>
      <c r="K158" s="39">
        <f t="shared" si="10"/>
        <v>17493.6</v>
      </c>
      <c r="L158" s="38">
        <f t="shared" si="11"/>
        <v>16764.7</v>
      </c>
      <c r="M158" s="39">
        <f t="shared" si="12"/>
        <v>16035.8</v>
      </c>
      <c r="N158" s="40"/>
      <c r="O158" s="78"/>
      <c r="P158" s="35"/>
      <c r="Q158" s="35"/>
      <c r="R158" s="35"/>
      <c r="S158" s="35"/>
      <c r="T158" s="35"/>
      <c r="U158" s="35"/>
      <c r="V158" s="35"/>
      <c r="W158" s="35"/>
      <c r="X158" s="35"/>
      <c r="Y158" s="35"/>
      <c r="Z158" s="35"/>
    </row>
    <row r="159" ht="15.75" customHeight="1">
      <c r="A159" s="66" t="s">
        <v>563</v>
      </c>
      <c r="B159" s="66" t="s">
        <v>1009</v>
      </c>
      <c r="C159" s="69" t="s">
        <v>1010</v>
      </c>
      <c r="D159" s="148" t="s">
        <v>1011</v>
      </c>
      <c r="E159" s="149" t="s">
        <v>1012</v>
      </c>
      <c r="F159" s="154">
        <v>15276.0</v>
      </c>
      <c r="G159" s="151">
        <v>45855.0</v>
      </c>
      <c r="H159" s="155">
        <f t="shared" si="7"/>
        <v>22914</v>
      </c>
      <c r="I159" s="37">
        <f t="shared" si="8"/>
        <v>19858.8</v>
      </c>
      <c r="J159" s="38">
        <f t="shared" si="9"/>
        <v>19858.8</v>
      </c>
      <c r="K159" s="39">
        <f t="shared" si="10"/>
        <v>18331.2</v>
      </c>
      <c r="L159" s="38">
        <f t="shared" si="11"/>
        <v>17567.4</v>
      </c>
      <c r="M159" s="39">
        <f t="shared" si="12"/>
        <v>16803.6</v>
      </c>
      <c r="N159" s="40"/>
      <c r="O159" s="78"/>
      <c r="P159" s="35"/>
      <c r="Q159" s="35"/>
      <c r="R159" s="35"/>
      <c r="S159" s="35"/>
      <c r="T159" s="35"/>
      <c r="U159" s="35"/>
      <c r="V159" s="35"/>
      <c r="W159" s="35"/>
      <c r="X159" s="35"/>
      <c r="Y159" s="35"/>
      <c r="Z159" s="35"/>
    </row>
    <row r="160" ht="15.75" customHeight="1">
      <c r="A160" s="66" t="s">
        <v>563</v>
      </c>
      <c r="B160" s="66" t="s">
        <v>1009</v>
      </c>
      <c r="C160" s="69" t="s">
        <v>1013</v>
      </c>
      <c r="D160" s="148" t="s">
        <v>1014</v>
      </c>
      <c r="E160" s="149" t="s">
        <v>1015</v>
      </c>
      <c r="F160" s="154">
        <v>19825.0</v>
      </c>
      <c r="G160" s="151">
        <v>45855.0</v>
      </c>
      <c r="H160" s="155">
        <f t="shared" si="7"/>
        <v>29737.5</v>
      </c>
      <c r="I160" s="37">
        <f t="shared" si="8"/>
        <v>25772.5</v>
      </c>
      <c r="J160" s="38">
        <f t="shared" si="9"/>
        <v>25772.5</v>
      </c>
      <c r="K160" s="39">
        <f t="shared" si="10"/>
        <v>23790</v>
      </c>
      <c r="L160" s="38">
        <f t="shared" si="11"/>
        <v>22798.75</v>
      </c>
      <c r="M160" s="39">
        <f t="shared" si="12"/>
        <v>21807.5</v>
      </c>
      <c r="N160" s="40"/>
      <c r="O160" s="78"/>
      <c r="P160" s="35"/>
      <c r="Q160" s="35"/>
      <c r="R160" s="35"/>
      <c r="S160" s="35"/>
      <c r="T160" s="35"/>
      <c r="U160" s="35"/>
      <c r="V160" s="35"/>
      <c r="W160" s="35"/>
      <c r="X160" s="35"/>
      <c r="Y160" s="35"/>
      <c r="Z160" s="35"/>
    </row>
    <row r="161" ht="15.75" customHeight="1">
      <c r="A161" s="66" t="s">
        <v>563</v>
      </c>
      <c r="B161" s="66" t="s">
        <v>1009</v>
      </c>
      <c r="C161" s="69" t="s">
        <v>1016</v>
      </c>
      <c r="D161" s="148" t="s">
        <v>1017</v>
      </c>
      <c r="E161" s="149" t="s">
        <v>1018</v>
      </c>
      <c r="F161" s="154">
        <v>14648.0</v>
      </c>
      <c r="G161" s="151">
        <v>45855.0</v>
      </c>
      <c r="H161" s="155">
        <f t="shared" si="7"/>
        <v>21972</v>
      </c>
      <c r="I161" s="37">
        <f t="shared" si="8"/>
        <v>19042.4</v>
      </c>
      <c r="J161" s="38">
        <f t="shared" si="9"/>
        <v>19042.4</v>
      </c>
      <c r="K161" s="39">
        <f t="shared" si="10"/>
        <v>17577.6</v>
      </c>
      <c r="L161" s="38">
        <f t="shared" si="11"/>
        <v>16845.2</v>
      </c>
      <c r="M161" s="39">
        <f t="shared" si="12"/>
        <v>16112.8</v>
      </c>
      <c r="N161" s="40"/>
      <c r="O161" s="78"/>
      <c r="P161" s="35"/>
      <c r="Q161" s="35"/>
      <c r="R161" s="35"/>
      <c r="S161" s="35"/>
      <c r="T161" s="35"/>
      <c r="U161" s="35"/>
      <c r="V161" s="35"/>
      <c r="W161" s="35"/>
      <c r="X161" s="35"/>
      <c r="Y161" s="35"/>
      <c r="Z161" s="35"/>
    </row>
    <row r="162" ht="15.75" customHeight="1">
      <c r="A162" s="66" t="s">
        <v>563</v>
      </c>
      <c r="B162" s="66" t="s">
        <v>1009</v>
      </c>
      <c r="C162" s="69" t="s">
        <v>1019</v>
      </c>
      <c r="D162" s="148" t="s">
        <v>1020</v>
      </c>
      <c r="E162" s="149" t="s">
        <v>1018</v>
      </c>
      <c r="F162" s="154">
        <v>15973.0</v>
      </c>
      <c r="G162" s="151">
        <v>45855.0</v>
      </c>
      <c r="H162" s="155">
        <f t="shared" si="7"/>
        <v>23959.5</v>
      </c>
      <c r="I162" s="37">
        <f t="shared" si="8"/>
        <v>20764.9</v>
      </c>
      <c r="J162" s="38">
        <f t="shared" si="9"/>
        <v>20764.9</v>
      </c>
      <c r="K162" s="39">
        <f t="shared" si="10"/>
        <v>19167.6</v>
      </c>
      <c r="L162" s="38">
        <f t="shared" si="11"/>
        <v>18368.95</v>
      </c>
      <c r="M162" s="39">
        <f t="shared" si="12"/>
        <v>17570.3</v>
      </c>
      <c r="N162" s="40"/>
      <c r="O162" s="78"/>
      <c r="P162" s="35"/>
      <c r="Q162" s="35"/>
      <c r="R162" s="35"/>
      <c r="S162" s="35"/>
      <c r="T162" s="35"/>
      <c r="U162" s="35"/>
      <c r="V162" s="35"/>
      <c r="W162" s="35"/>
      <c r="X162" s="35"/>
      <c r="Y162" s="35"/>
      <c r="Z162" s="35"/>
    </row>
    <row r="163" ht="15.75" customHeight="1">
      <c r="A163" s="66" t="s">
        <v>563</v>
      </c>
      <c r="B163" s="66" t="s">
        <v>1009</v>
      </c>
      <c r="C163" s="69" t="s">
        <v>1021</v>
      </c>
      <c r="D163" s="148" t="s">
        <v>1022</v>
      </c>
      <c r="E163" s="149" t="s">
        <v>1023</v>
      </c>
      <c r="F163" s="154">
        <v>17368.0</v>
      </c>
      <c r="G163" s="151">
        <v>45855.0</v>
      </c>
      <c r="H163" s="155">
        <f t="shared" si="7"/>
        <v>26052</v>
      </c>
      <c r="I163" s="37">
        <f t="shared" si="8"/>
        <v>22578.4</v>
      </c>
      <c r="J163" s="38">
        <f t="shared" si="9"/>
        <v>22578.4</v>
      </c>
      <c r="K163" s="39">
        <f t="shared" si="10"/>
        <v>20841.6</v>
      </c>
      <c r="L163" s="38">
        <f t="shared" si="11"/>
        <v>19973.2</v>
      </c>
      <c r="M163" s="39">
        <f t="shared" si="12"/>
        <v>19104.8</v>
      </c>
      <c r="N163" s="40"/>
      <c r="O163" s="78"/>
      <c r="P163" s="35"/>
      <c r="Q163" s="35"/>
      <c r="R163" s="35"/>
      <c r="S163" s="35"/>
      <c r="T163" s="35"/>
      <c r="U163" s="35"/>
      <c r="V163" s="35"/>
      <c r="W163" s="35"/>
      <c r="X163" s="35"/>
      <c r="Y163" s="35"/>
      <c r="Z163" s="35"/>
    </row>
    <row r="164" ht="15.75" customHeight="1">
      <c r="A164" s="66" t="s">
        <v>563</v>
      </c>
      <c r="B164" s="66" t="s">
        <v>580</v>
      </c>
      <c r="C164" s="69" t="s">
        <v>1024</v>
      </c>
      <c r="D164" s="148" t="s">
        <v>1025</v>
      </c>
      <c r="E164" s="149" t="s">
        <v>1026</v>
      </c>
      <c r="F164" s="154">
        <v>6278.0</v>
      </c>
      <c r="G164" s="151">
        <v>45855.0</v>
      </c>
      <c r="H164" s="155">
        <f t="shared" si="7"/>
        <v>9417</v>
      </c>
      <c r="I164" s="37">
        <f t="shared" si="8"/>
        <v>8161.4</v>
      </c>
      <c r="J164" s="38">
        <f t="shared" si="9"/>
        <v>8161.4</v>
      </c>
      <c r="K164" s="39">
        <f t="shared" si="10"/>
        <v>7533.6</v>
      </c>
      <c r="L164" s="38">
        <f t="shared" si="11"/>
        <v>7219.7</v>
      </c>
      <c r="M164" s="39">
        <f t="shared" si="12"/>
        <v>6905.8</v>
      </c>
      <c r="N164" s="40"/>
      <c r="O164" s="78"/>
      <c r="P164" s="35"/>
      <c r="Q164" s="35"/>
      <c r="R164" s="35"/>
      <c r="S164" s="35"/>
      <c r="T164" s="35"/>
      <c r="U164" s="35"/>
      <c r="V164" s="35"/>
      <c r="W164" s="35"/>
      <c r="X164" s="35"/>
      <c r="Y164" s="35"/>
      <c r="Z164" s="35"/>
    </row>
    <row r="165" ht="15.75" customHeight="1">
      <c r="A165" s="66" t="s">
        <v>563</v>
      </c>
      <c r="B165" s="66" t="s">
        <v>580</v>
      </c>
      <c r="C165" s="69" t="s">
        <v>1027</v>
      </c>
      <c r="D165" s="148" t="s">
        <v>1028</v>
      </c>
      <c r="E165" s="149" t="s">
        <v>1029</v>
      </c>
      <c r="F165" s="154">
        <v>5580.0</v>
      </c>
      <c r="G165" s="151">
        <v>45855.0</v>
      </c>
      <c r="H165" s="155">
        <f t="shared" si="7"/>
        <v>8370</v>
      </c>
      <c r="I165" s="37">
        <f t="shared" si="8"/>
        <v>7254</v>
      </c>
      <c r="J165" s="38">
        <f t="shared" si="9"/>
        <v>7254</v>
      </c>
      <c r="K165" s="39">
        <f t="shared" si="10"/>
        <v>6696</v>
      </c>
      <c r="L165" s="38">
        <f t="shared" si="11"/>
        <v>6417</v>
      </c>
      <c r="M165" s="39">
        <f t="shared" si="12"/>
        <v>6138</v>
      </c>
      <c r="N165" s="40"/>
      <c r="O165" s="78"/>
      <c r="P165" s="35"/>
      <c r="Q165" s="35"/>
      <c r="R165" s="35"/>
      <c r="S165" s="35"/>
      <c r="T165" s="35"/>
      <c r="U165" s="35"/>
      <c r="V165" s="35"/>
      <c r="W165" s="35"/>
      <c r="X165" s="35"/>
      <c r="Y165" s="35"/>
      <c r="Z165" s="35"/>
    </row>
    <row r="166" ht="15.75" customHeight="1">
      <c r="A166" s="66" t="s">
        <v>563</v>
      </c>
      <c r="B166" s="66" t="s">
        <v>1030</v>
      </c>
      <c r="C166" s="69" t="s">
        <v>1031</v>
      </c>
      <c r="D166" s="148" t="s">
        <v>1032</v>
      </c>
      <c r="E166" s="149" t="s">
        <v>1033</v>
      </c>
      <c r="F166" s="154">
        <v>4534.0</v>
      </c>
      <c r="G166" s="151">
        <v>45855.0</v>
      </c>
      <c r="H166" s="155">
        <f t="shared" si="7"/>
        <v>6801</v>
      </c>
      <c r="I166" s="37">
        <f t="shared" si="8"/>
        <v>5894.2</v>
      </c>
      <c r="J166" s="38">
        <f t="shared" si="9"/>
        <v>5894.2</v>
      </c>
      <c r="K166" s="39">
        <f t="shared" si="10"/>
        <v>5440.8</v>
      </c>
      <c r="L166" s="38">
        <f t="shared" si="11"/>
        <v>5214.1</v>
      </c>
      <c r="M166" s="39">
        <f t="shared" si="12"/>
        <v>4987.4</v>
      </c>
      <c r="N166" s="40"/>
      <c r="O166" s="78"/>
      <c r="P166" s="35"/>
      <c r="Q166" s="35"/>
      <c r="R166" s="35"/>
      <c r="S166" s="35"/>
      <c r="T166" s="35"/>
      <c r="U166" s="35"/>
      <c r="V166" s="35"/>
      <c r="W166" s="35"/>
      <c r="X166" s="35"/>
      <c r="Y166" s="35"/>
      <c r="Z166" s="35"/>
    </row>
    <row r="167" ht="15.75" customHeight="1">
      <c r="A167" s="66" t="s">
        <v>563</v>
      </c>
      <c r="B167" s="66" t="s">
        <v>1034</v>
      </c>
      <c r="C167" s="69" t="s">
        <v>1035</v>
      </c>
      <c r="D167" s="148" t="s">
        <v>1036</v>
      </c>
      <c r="E167" s="149" t="s">
        <v>1037</v>
      </c>
      <c r="F167" s="154">
        <v>5300.0</v>
      </c>
      <c r="G167" s="151">
        <v>45855.0</v>
      </c>
      <c r="H167" s="155">
        <f t="shared" si="7"/>
        <v>7950</v>
      </c>
      <c r="I167" s="37">
        <f t="shared" si="8"/>
        <v>6890</v>
      </c>
      <c r="J167" s="38">
        <f t="shared" si="9"/>
        <v>6890</v>
      </c>
      <c r="K167" s="39">
        <f t="shared" si="10"/>
        <v>6360</v>
      </c>
      <c r="L167" s="38">
        <f t="shared" si="11"/>
        <v>6095</v>
      </c>
      <c r="M167" s="39">
        <f t="shared" si="12"/>
        <v>5830</v>
      </c>
      <c r="N167" s="40"/>
      <c r="O167" s="78"/>
      <c r="P167" s="35"/>
      <c r="Q167" s="35"/>
      <c r="R167" s="35"/>
      <c r="S167" s="35"/>
      <c r="T167" s="35"/>
      <c r="U167" s="35"/>
      <c r="V167" s="35"/>
      <c r="W167" s="35"/>
      <c r="X167" s="35"/>
      <c r="Y167" s="35"/>
      <c r="Z167" s="35"/>
    </row>
    <row r="168" ht="15.75" customHeight="1">
      <c r="A168" s="66" t="s">
        <v>563</v>
      </c>
      <c r="B168" s="66" t="s">
        <v>1034</v>
      </c>
      <c r="C168" s="69" t="s">
        <v>1038</v>
      </c>
      <c r="D168" s="148" t="s">
        <v>1039</v>
      </c>
      <c r="E168" s="149" t="s">
        <v>1040</v>
      </c>
      <c r="F168" s="154">
        <v>6905.0</v>
      </c>
      <c r="G168" s="151">
        <v>45855.0</v>
      </c>
      <c r="H168" s="155">
        <f t="shared" si="7"/>
        <v>10357.5</v>
      </c>
      <c r="I168" s="37">
        <f t="shared" si="8"/>
        <v>8976.5</v>
      </c>
      <c r="J168" s="38">
        <f t="shared" si="9"/>
        <v>8976.5</v>
      </c>
      <c r="K168" s="39">
        <f t="shared" si="10"/>
        <v>8286</v>
      </c>
      <c r="L168" s="38">
        <f t="shared" si="11"/>
        <v>7940.75</v>
      </c>
      <c r="M168" s="39">
        <f t="shared" si="12"/>
        <v>7595.5</v>
      </c>
      <c r="N168" s="40"/>
      <c r="O168" s="78"/>
      <c r="P168" s="35"/>
      <c r="Q168" s="35"/>
      <c r="R168" s="35"/>
      <c r="S168" s="35"/>
      <c r="T168" s="35"/>
      <c r="U168" s="35"/>
      <c r="V168" s="35"/>
      <c r="W168" s="35"/>
      <c r="X168" s="35"/>
      <c r="Y168" s="35"/>
      <c r="Z168" s="35"/>
    </row>
    <row r="169" ht="15.75" customHeight="1">
      <c r="A169" s="66" t="s">
        <v>563</v>
      </c>
      <c r="B169" s="66" t="s">
        <v>1034</v>
      </c>
      <c r="C169" s="69" t="s">
        <v>1041</v>
      </c>
      <c r="D169" s="148" t="s">
        <v>1042</v>
      </c>
      <c r="E169" s="149" t="s">
        <v>1043</v>
      </c>
      <c r="F169" s="154">
        <v>20490.0</v>
      </c>
      <c r="G169" s="151">
        <v>45855.0</v>
      </c>
      <c r="H169" s="155">
        <f t="shared" si="7"/>
        <v>30735</v>
      </c>
      <c r="I169" s="37">
        <f t="shared" si="8"/>
        <v>26637</v>
      </c>
      <c r="J169" s="38">
        <f t="shared" si="9"/>
        <v>26637</v>
      </c>
      <c r="K169" s="39">
        <f t="shared" si="10"/>
        <v>24588</v>
      </c>
      <c r="L169" s="38">
        <f t="shared" si="11"/>
        <v>23563.5</v>
      </c>
      <c r="M169" s="39">
        <f t="shared" si="12"/>
        <v>22539</v>
      </c>
      <c r="N169" s="40"/>
      <c r="O169" s="78"/>
      <c r="P169" s="35"/>
      <c r="Q169" s="35"/>
      <c r="R169" s="35"/>
      <c r="S169" s="35"/>
      <c r="T169" s="35"/>
      <c r="U169" s="35"/>
      <c r="V169" s="35"/>
      <c r="W169" s="35"/>
      <c r="X169" s="35"/>
      <c r="Y169" s="35"/>
      <c r="Z169" s="35"/>
    </row>
    <row r="170" ht="15.75" customHeight="1">
      <c r="A170" s="66" t="s">
        <v>563</v>
      </c>
      <c r="B170" s="66" t="s">
        <v>1044</v>
      </c>
      <c r="C170" s="69" t="s">
        <v>1045</v>
      </c>
      <c r="D170" s="149" t="s">
        <v>1046</v>
      </c>
      <c r="E170" s="149" t="s">
        <v>1047</v>
      </c>
      <c r="F170" s="154">
        <v>2600.0</v>
      </c>
      <c r="G170" s="151">
        <v>45855.0</v>
      </c>
      <c r="H170" s="155">
        <f t="shared" si="7"/>
        <v>3900</v>
      </c>
      <c r="I170" s="37">
        <f t="shared" si="8"/>
        <v>3380</v>
      </c>
      <c r="J170" s="38">
        <f t="shared" si="9"/>
        <v>3380</v>
      </c>
      <c r="K170" s="39">
        <f t="shared" si="10"/>
        <v>3120</v>
      </c>
      <c r="L170" s="38">
        <f t="shared" si="11"/>
        <v>2990</v>
      </c>
      <c r="M170" s="39">
        <f t="shared" si="12"/>
        <v>2860</v>
      </c>
      <c r="N170" s="40"/>
      <c r="O170" s="78"/>
      <c r="P170" s="35"/>
      <c r="Q170" s="35"/>
      <c r="R170" s="35"/>
      <c r="S170" s="35"/>
      <c r="T170" s="35"/>
      <c r="U170" s="35"/>
      <c r="V170" s="35"/>
      <c r="W170" s="35"/>
      <c r="X170" s="35"/>
      <c r="Y170" s="35"/>
      <c r="Z170" s="35"/>
    </row>
    <row r="171" ht="15.75" customHeight="1">
      <c r="A171" s="66" t="s">
        <v>563</v>
      </c>
      <c r="B171" s="66" t="s">
        <v>1044</v>
      </c>
      <c r="C171" s="66" t="s">
        <v>1048</v>
      </c>
      <c r="D171" s="149" t="s">
        <v>1049</v>
      </c>
      <c r="E171" s="149" t="s">
        <v>1050</v>
      </c>
      <c r="F171" s="154">
        <v>4100.0</v>
      </c>
      <c r="G171" s="151">
        <v>45855.0</v>
      </c>
      <c r="H171" s="155">
        <f t="shared" si="7"/>
        <v>6150</v>
      </c>
      <c r="I171" s="37">
        <f t="shared" si="8"/>
        <v>5330</v>
      </c>
      <c r="J171" s="38">
        <f t="shared" si="9"/>
        <v>5330</v>
      </c>
      <c r="K171" s="39">
        <f t="shared" si="10"/>
        <v>4920</v>
      </c>
      <c r="L171" s="38">
        <f t="shared" si="11"/>
        <v>4715</v>
      </c>
      <c r="M171" s="39">
        <f t="shared" si="12"/>
        <v>4510</v>
      </c>
      <c r="N171" s="40"/>
      <c r="O171" s="78"/>
      <c r="P171" s="35"/>
      <c r="Q171" s="35"/>
      <c r="R171" s="35"/>
      <c r="S171" s="35"/>
      <c r="T171" s="35"/>
      <c r="U171" s="35"/>
      <c r="V171" s="35"/>
      <c r="W171" s="35"/>
      <c r="X171" s="35"/>
      <c r="Y171" s="35"/>
      <c r="Z171" s="35"/>
    </row>
    <row r="172" ht="15.75" customHeight="1">
      <c r="A172" s="66" t="s">
        <v>563</v>
      </c>
      <c r="B172" s="66" t="s">
        <v>1044</v>
      </c>
      <c r="C172" s="69" t="s">
        <v>1051</v>
      </c>
      <c r="D172" s="148" t="s">
        <v>1052</v>
      </c>
      <c r="E172" s="149" t="s">
        <v>1053</v>
      </c>
      <c r="F172" s="154">
        <v>2961.0</v>
      </c>
      <c r="G172" s="151">
        <v>45855.0</v>
      </c>
      <c r="H172" s="155">
        <f t="shared" si="7"/>
        <v>4441.5</v>
      </c>
      <c r="I172" s="37">
        <f t="shared" si="8"/>
        <v>3849.3</v>
      </c>
      <c r="J172" s="38">
        <f t="shared" si="9"/>
        <v>3849.3</v>
      </c>
      <c r="K172" s="39">
        <f t="shared" si="10"/>
        <v>3553.2</v>
      </c>
      <c r="L172" s="38">
        <f t="shared" si="11"/>
        <v>3405.15</v>
      </c>
      <c r="M172" s="39">
        <f t="shared" si="12"/>
        <v>3257.1</v>
      </c>
      <c r="N172" s="40"/>
      <c r="O172" s="78"/>
      <c r="P172" s="35"/>
      <c r="Q172" s="35"/>
      <c r="R172" s="35"/>
      <c r="S172" s="35"/>
      <c r="T172" s="35"/>
      <c r="U172" s="35"/>
      <c r="V172" s="35"/>
      <c r="W172" s="35"/>
      <c r="X172" s="35"/>
      <c r="Y172" s="35"/>
      <c r="Z172" s="35"/>
    </row>
    <row r="173" ht="15.75" customHeight="1">
      <c r="A173" s="66" t="s">
        <v>563</v>
      </c>
      <c r="B173" s="66" t="s">
        <v>1044</v>
      </c>
      <c r="C173" s="66" t="s">
        <v>1054</v>
      </c>
      <c r="D173" s="149" t="s">
        <v>1055</v>
      </c>
      <c r="E173" s="149" t="s">
        <v>1056</v>
      </c>
      <c r="F173" s="154">
        <v>4921.0</v>
      </c>
      <c r="G173" s="151">
        <v>45855.0</v>
      </c>
      <c r="H173" s="155">
        <f t="shared" si="7"/>
        <v>7381.5</v>
      </c>
      <c r="I173" s="37">
        <f t="shared" si="8"/>
        <v>6397.3</v>
      </c>
      <c r="J173" s="38">
        <f t="shared" si="9"/>
        <v>6397.3</v>
      </c>
      <c r="K173" s="39">
        <f t="shared" si="10"/>
        <v>5905.2</v>
      </c>
      <c r="L173" s="38">
        <f t="shared" si="11"/>
        <v>5659.15</v>
      </c>
      <c r="M173" s="39">
        <f t="shared" si="12"/>
        <v>5413.1</v>
      </c>
      <c r="N173" s="40"/>
      <c r="O173" s="78"/>
      <c r="P173" s="35"/>
      <c r="Q173" s="35"/>
      <c r="R173" s="35"/>
      <c r="S173" s="35"/>
      <c r="T173" s="35"/>
      <c r="U173" s="35"/>
      <c r="V173" s="35"/>
      <c r="W173" s="35"/>
      <c r="X173" s="35"/>
      <c r="Y173" s="35"/>
      <c r="Z173" s="35"/>
    </row>
    <row r="174" ht="15.75" customHeight="1">
      <c r="A174" s="66" t="s">
        <v>563</v>
      </c>
      <c r="B174" s="66" t="s">
        <v>1044</v>
      </c>
      <c r="C174" s="66" t="s">
        <v>1057</v>
      </c>
      <c r="D174" s="149" t="s">
        <v>1058</v>
      </c>
      <c r="E174" s="149" t="s">
        <v>1059</v>
      </c>
      <c r="F174" s="154">
        <v>2880.0</v>
      </c>
      <c r="G174" s="151">
        <v>45855.0</v>
      </c>
      <c r="H174" s="155">
        <f t="shared" si="7"/>
        <v>4320</v>
      </c>
      <c r="I174" s="37">
        <f t="shared" si="8"/>
        <v>3744</v>
      </c>
      <c r="J174" s="38">
        <f t="shared" si="9"/>
        <v>3744</v>
      </c>
      <c r="K174" s="39">
        <f t="shared" si="10"/>
        <v>3456</v>
      </c>
      <c r="L174" s="38">
        <f t="shared" si="11"/>
        <v>3312</v>
      </c>
      <c r="M174" s="39">
        <f t="shared" si="12"/>
        <v>3168</v>
      </c>
      <c r="N174" s="40"/>
      <c r="O174" s="78"/>
      <c r="P174" s="35"/>
      <c r="Q174" s="35"/>
      <c r="R174" s="35"/>
      <c r="S174" s="35"/>
      <c r="T174" s="35"/>
      <c r="U174" s="35"/>
      <c r="V174" s="35"/>
      <c r="W174" s="35"/>
      <c r="X174" s="35"/>
      <c r="Y174" s="35"/>
      <c r="Z174" s="35"/>
    </row>
    <row r="175" ht="15.75" customHeight="1">
      <c r="A175" s="66" t="s">
        <v>563</v>
      </c>
      <c r="B175" s="66" t="s">
        <v>1044</v>
      </c>
      <c r="C175" s="66" t="s">
        <v>1060</v>
      </c>
      <c r="D175" s="149" t="s">
        <v>1058</v>
      </c>
      <c r="E175" s="149" t="s">
        <v>1061</v>
      </c>
      <c r="F175" s="154">
        <v>3836.0</v>
      </c>
      <c r="G175" s="151">
        <v>45855.0</v>
      </c>
      <c r="H175" s="155">
        <f t="shared" si="7"/>
        <v>5754</v>
      </c>
      <c r="I175" s="37">
        <f t="shared" si="8"/>
        <v>4986.8</v>
      </c>
      <c r="J175" s="38">
        <f t="shared" si="9"/>
        <v>4986.8</v>
      </c>
      <c r="K175" s="39">
        <f t="shared" si="10"/>
        <v>4603.2</v>
      </c>
      <c r="L175" s="38">
        <f t="shared" si="11"/>
        <v>4411.4</v>
      </c>
      <c r="M175" s="39">
        <f t="shared" si="12"/>
        <v>4219.6</v>
      </c>
      <c r="N175" s="40"/>
      <c r="O175" s="78"/>
      <c r="P175" s="35"/>
      <c r="Q175" s="35"/>
      <c r="R175" s="35"/>
      <c r="S175" s="35"/>
      <c r="T175" s="35"/>
      <c r="U175" s="35"/>
      <c r="V175" s="35"/>
      <c r="W175" s="35"/>
      <c r="X175" s="35"/>
      <c r="Y175" s="35"/>
      <c r="Z175" s="35"/>
    </row>
    <row r="176" ht="15.75" customHeight="1">
      <c r="A176" s="66" t="s">
        <v>563</v>
      </c>
      <c r="B176" s="66" t="s">
        <v>1044</v>
      </c>
      <c r="C176" s="66" t="s">
        <v>1062</v>
      </c>
      <c r="D176" s="149" t="s">
        <v>1058</v>
      </c>
      <c r="E176" s="149" t="s">
        <v>1063</v>
      </c>
      <c r="F176" s="154">
        <v>5500.0</v>
      </c>
      <c r="G176" s="151">
        <v>45855.0</v>
      </c>
      <c r="H176" s="155">
        <f t="shared" si="7"/>
        <v>8250</v>
      </c>
      <c r="I176" s="37">
        <f t="shared" si="8"/>
        <v>7150</v>
      </c>
      <c r="J176" s="38">
        <f t="shared" si="9"/>
        <v>7150</v>
      </c>
      <c r="K176" s="39">
        <f t="shared" si="10"/>
        <v>6600</v>
      </c>
      <c r="L176" s="38">
        <f t="shared" si="11"/>
        <v>6325</v>
      </c>
      <c r="M176" s="39">
        <f t="shared" si="12"/>
        <v>6050</v>
      </c>
      <c r="N176" s="40"/>
      <c r="O176" s="78"/>
      <c r="P176" s="35"/>
      <c r="Q176" s="35"/>
      <c r="R176" s="35"/>
      <c r="S176" s="35"/>
      <c r="T176" s="35"/>
      <c r="U176" s="35"/>
      <c r="V176" s="35"/>
      <c r="W176" s="35"/>
      <c r="X176" s="35"/>
      <c r="Y176" s="35"/>
      <c r="Z176" s="35"/>
    </row>
    <row r="177" ht="15.75" customHeight="1">
      <c r="A177" s="66" t="s">
        <v>563</v>
      </c>
      <c r="B177" s="66" t="s">
        <v>1044</v>
      </c>
      <c r="C177" s="66" t="s">
        <v>1064</v>
      </c>
      <c r="D177" s="149" t="s">
        <v>1058</v>
      </c>
      <c r="E177" s="149" t="s">
        <v>1065</v>
      </c>
      <c r="F177" s="154">
        <v>6369.0</v>
      </c>
      <c r="G177" s="151">
        <v>45855.0</v>
      </c>
      <c r="H177" s="155">
        <f t="shared" si="7"/>
        <v>9553.5</v>
      </c>
      <c r="I177" s="37">
        <f t="shared" si="8"/>
        <v>8279.7</v>
      </c>
      <c r="J177" s="38">
        <f t="shared" si="9"/>
        <v>8279.7</v>
      </c>
      <c r="K177" s="39">
        <f t="shared" si="10"/>
        <v>7642.8</v>
      </c>
      <c r="L177" s="38">
        <f t="shared" si="11"/>
        <v>7324.35</v>
      </c>
      <c r="M177" s="39">
        <f t="shared" si="12"/>
        <v>7005.9</v>
      </c>
      <c r="N177" s="40"/>
      <c r="O177" s="78"/>
      <c r="P177" s="35"/>
      <c r="Q177" s="35"/>
      <c r="R177" s="35"/>
      <c r="S177" s="35"/>
      <c r="T177" s="35"/>
      <c r="U177" s="35"/>
      <c r="V177" s="35"/>
      <c r="W177" s="35"/>
      <c r="X177" s="35"/>
      <c r="Y177" s="35"/>
      <c r="Z177" s="35"/>
    </row>
    <row r="178" ht="15.75" customHeight="1">
      <c r="A178" s="66" t="s">
        <v>563</v>
      </c>
      <c r="B178" s="66" t="s">
        <v>1044</v>
      </c>
      <c r="C178" s="66" t="s">
        <v>1066</v>
      </c>
      <c r="D178" s="149" t="s">
        <v>1067</v>
      </c>
      <c r="E178" s="149" t="s">
        <v>1068</v>
      </c>
      <c r="F178" s="154">
        <v>3355.0</v>
      </c>
      <c r="G178" s="151">
        <v>45855.0</v>
      </c>
      <c r="H178" s="155">
        <f t="shared" si="7"/>
        <v>5032.5</v>
      </c>
      <c r="I178" s="37">
        <f t="shared" si="8"/>
        <v>4361.5</v>
      </c>
      <c r="J178" s="38">
        <f t="shared" si="9"/>
        <v>4361.5</v>
      </c>
      <c r="K178" s="39">
        <f t="shared" si="10"/>
        <v>4026</v>
      </c>
      <c r="L178" s="38">
        <f t="shared" si="11"/>
        <v>3858.25</v>
      </c>
      <c r="M178" s="39">
        <f t="shared" si="12"/>
        <v>3690.5</v>
      </c>
      <c r="N178" s="40"/>
      <c r="O178" s="78"/>
      <c r="P178" s="35"/>
      <c r="Q178" s="35"/>
      <c r="R178" s="35"/>
      <c r="S178" s="35"/>
      <c r="T178" s="35"/>
      <c r="U178" s="35"/>
      <c r="V178" s="35"/>
      <c r="W178" s="35"/>
      <c r="X178" s="35"/>
      <c r="Y178" s="35"/>
      <c r="Z178" s="35"/>
    </row>
    <row r="179" ht="15.75" customHeight="1">
      <c r="A179" s="66" t="s">
        <v>563</v>
      </c>
      <c r="B179" s="66" t="s">
        <v>1044</v>
      </c>
      <c r="C179" s="66" t="s">
        <v>1069</v>
      </c>
      <c r="D179" s="149" t="s">
        <v>1070</v>
      </c>
      <c r="E179" s="149" t="s">
        <v>1071</v>
      </c>
      <c r="F179" s="154">
        <v>5355.0</v>
      </c>
      <c r="G179" s="151">
        <v>45855.0</v>
      </c>
      <c r="H179" s="155">
        <f t="shared" si="7"/>
        <v>8032.5</v>
      </c>
      <c r="I179" s="37">
        <f t="shared" si="8"/>
        <v>6961.5</v>
      </c>
      <c r="J179" s="38">
        <f t="shared" si="9"/>
        <v>6961.5</v>
      </c>
      <c r="K179" s="39">
        <f t="shared" si="10"/>
        <v>6426</v>
      </c>
      <c r="L179" s="38">
        <f t="shared" si="11"/>
        <v>6158.25</v>
      </c>
      <c r="M179" s="39">
        <f t="shared" si="12"/>
        <v>5890.5</v>
      </c>
      <c r="N179" s="40"/>
      <c r="O179" s="78"/>
      <c r="P179" s="35"/>
      <c r="Q179" s="35"/>
      <c r="R179" s="35"/>
      <c r="S179" s="35"/>
      <c r="T179" s="35"/>
      <c r="U179" s="35"/>
      <c r="V179" s="35"/>
      <c r="W179" s="35"/>
      <c r="X179" s="35"/>
      <c r="Y179" s="35"/>
      <c r="Z179" s="35"/>
    </row>
    <row r="180" ht="15.75" customHeight="1">
      <c r="A180" s="66" t="s">
        <v>563</v>
      </c>
      <c r="B180" s="66" t="s">
        <v>1044</v>
      </c>
      <c r="C180" s="66" t="s">
        <v>1072</v>
      </c>
      <c r="D180" s="149" t="s">
        <v>1055</v>
      </c>
      <c r="E180" s="149" t="s">
        <v>1073</v>
      </c>
      <c r="F180" s="154">
        <v>8395.0</v>
      </c>
      <c r="G180" s="151">
        <v>45855.0</v>
      </c>
      <c r="H180" s="155">
        <f t="shared" si="7"/>
        <v>12592.5</v>
      </c>
      <c r="I180" s="37">
        <f t="shared" si="8"/>
        <v>10913.5</v>
      </c>
      <c r="J180" s="38">
        <f t="shared" si="9"/>
        <v>10913.5</v>
      </c>
      <c r="K180" s="39">
        <f t="shared" si="10"/>
        <v>10074</v>
      </c>
      <c r="L180" s="38">
        <f t="shared" si="11"/>
        <v>9654.25</v>
      </c>
      <c r="M180" s="39">
        <f t="shared" si="12"/>
        <v>9234.5</v>
      </c>
      <c r="N180" s="40"/>
      <c r="O180" s="78"/>
      <c r="P180" s="35"/>
      <c r="Q180" s="35"/>
      <c r="R180" s="35"/>
      <c r="S180" s="35"/>
      <c r="T180" s="35"/>
      <c r="U180" s="35"/>
      <c r="V180" s="35"/>
      <c r="W180" s="35"/>
      <c r="X180" s="35"/>
      <c r="Y180" s="35"/>
      <c r="Z180" s="35"/>
    </row>
    <row r="181" ht="15.75" customHeight="1">
      <c r="A181" s="66" t="s">
        <v>563</v>
      </c>
      <c r="B181" s="66" t="s">
        <v>1044</v>
      </c>
      <c r="C181" s="66" t="s">
        <v>1074</v>
      </c>
      <c r="D181" s="149" t="s">
        <v>1075</v>
      </c>
      <c r="E181" s="167" t="s">
        <v>1076</v>
      </c>
      <c r="F181" s="154">
        <v>3619.0</v>
      </c>
      <c r="G181" s="151">
        <v>45855.0</v>
      </c>
      <c r="H181" s="155">
        <f t="shared" si="7"/>
        <v>5428.5</v>
      </c>
      <c r="I181" s="37">
        <f t="shared" si="8"/>
        <v>4704.7</v>
      </c>
      <c r="J181" s="38">
        <f t="shared" si="9"/>
        <v>4704.7</v>
      </c>
      <c r="K181" s="39">
        <f t="shared" si="10"/>
        <v>4342.8</v>
      </c>
      <c r="L181" s="38">
        <f t="shared" si="11"/>
        <v>4161.85</v>
      </c>
      <c r="M181" s="39">
        <f t="shared" si="12"/>
        <v>3980.9</v>
      </c>
      <c r="N181" s="40"/>
      <c r="O181" s="78"/>
      <c r="P181" s="35"/>
      <c r="Q181" s="35"/>
      <c r="R181" s="35"/>
      <c r="S181" s="35"/>
      <c r="T181" s="35"/>
      <c r="U181" s="35"/>
      <c r="V181" s="35"/>
      <c r="W181" s="35"/>
      <c r="X181" s="35"/>
      <c r="Y181" s="35"/>
      <c r="Z181" s="35"/>
    </row>
    <row r="182" ht="15.75" customHeight="1">
      <c r="A182" s="66" t="s">
        <v>563</v>
      </c>
      <c r="B182" s="66" t="s">
        <v>1044</v>
      </c>
      <c r="C182" s="66" t="s">
        <v>1077</v>
      </c>
      <c r="D182" s="149" t="s">
        <v>1075</v>
      </c>
      <c r="E182" s="167" t="s">
        <v>1078</v>
      </c>
      <c r="F182" s="154">
        <v>4342.0</v>
      </c>
      <c r="G182" s="151">
        <v>45855.0</v>
      </c>
      <c r="H182" s="155">
        <f t="shared" si="7"/>
        <v>6513</v>
      </c>
      <c r="I182" s="37">
        <f t="shared" si="8"/>
        <v>5644.6</v>
      </c>
      <c r="J182" s="38">
        <f t="shared" si="9"/>
        <v>5644.6</v>
      </c>
      <c r="K182" s="39">
        <f t="shared" si="10"/>
        <v>5210.4</v>
      </c>
      <c r="L182" s="38">
        <f t="shared" si="11"/>
        <v>4993.3</v>
      </c>
      <c r="M182" s="39">
        <f t="shared" si="12"/>
        <v>4776.2</v>
      </c>
      <c r="N182" s="40"/>
      <c r="O182" s="78"/>
      <c r="P182" s="35"/>
      <c r="Q182" s="35"/>
      <c r="R182" s="35"/>
      <c r="S182" s="35"/>
      <c r="T182" s="35"/>
      <c r="U182" s="35"/>
      <c r="V182" s="35"/>
      <c r="W182" s="35"/>
      <c r="X182" s="35"/>
      <c r="Y182" s="35"/>
      <c r="Z182" s="35"/>
    </row>
    <row r="183" ht="15.75" customHeight="1">
      <c r="A183" s="66" t="s">
        <v>563</v>
      </c>
      <c r="B183" s="66" t="s">
        <v>1044</v>
      </c>
      <c r="C183" s="66" t="s">
        <v>1079</v>
      </c>
      <c r="D183" s="149" t="s">
        <v>1075</v>
      </c>
      <c r="E183" s="167" t="s">
        <v>1080</v>
      </c>
      <c r="F183" s="154">
        <v>8684.0</v>
      </c>
      <c r="G183" s="151">
        <v>45855.0</v>
      </c>
      <c r="H183" s="155">
        <f t="shared" si="7"/>
        <v>13026</v>
      </c>
      <c r="I183" s="37">
        <f t="shared" si="8"/>
        <v>11289.2</v>
      </c>
      <c r="J183" s="38">
        <f t="shared" si="9"/>
        <v>11289.2</v>
      </c>
      <c r="K183" s="39">
        <f t="shared" si="10"/>
        <v>10420.8</v>
      </c>
      <c r="L183" s="38">
        <f t="shared" si="11"/>
        <v>9986.6</v>
      </c>
      <c r="M183" s="39">
        <f t="shared" si="12"/>
        <v>9552.4</v>
      </c>
      <c r="N183" s="40"/>
      <c r="O183" s="78"/>
      <c r="P183" s="35"/>
      <c r="Q183" s="35"/>
      <c r="R183" s="35"/>
      <c r="S183" s="35"/>
      <c r="T183" s="35"/>
      <c r="U183" s="35"/>
      <c r="V183" s="35"/>
      <c r="W183" s="35"/>
      <c r="X183" s="35"/>
      <c r="Y183" s="35"/>
      <c r="Z183" s="35"/>
    </row>
    <row r="184" ht="15.75" customHeight="1">
      <c r="A184" s="66" t="s">
        <v>563</v>
      </c>
      <c r="B184" s="66" t="s">
        <v>1044</v>
      </c>
      <c r="C184" s="66" t="s">
        <v>1081</v>
      </c>
      <c r="D184" s="149" t="s">
        <v>1082</v>
      </c>
      <c r="E184" s="167" t="s">
        <v>1083</v>
      </c>
      <c r="F184" s="154">
        <v>5526.0</v>
      </c>
      <c r="G184" s="151">
        <v>45855.0</v>
      </c>
      <c r="H184" s="155">
        <f t="shared" si="7"/>
        <v>8289</v>
      </c>
      <c r="I184" s="37">
        <f t="shared" si="8"/>
        <v>7183.8</v>
      </c>
      <c r="J184" s="38">
        <f t="shared" si="9"/>
        <v>7183.8</v>
      </c>
      <c r="K184" s="39">
        <f t="shared" si="10"/>
        <v>6631.2</v>
      </c>
      <c r="L184" s="38">
        <f t="shared" si="11"/>
        <v>6354.9</v>
      </c>
      <c r="M184" s="39">
        <f t="shared" si="12"/>
        <v>6078.6</v>
      </c>
      <c r="N184" s="40"/>
      <c r="O184" s="78"/>
      <c r="P184" s="35"/>
      <c r="Q184" s="35"/>
      <c r="R184" s="35"/>
      <c r="S184" s="35"/>
      <c r="T184" s="35"/>
      <c r="U184" s="35"/>
      <c r="V184" s="35"/>
      <c r="W184" s="35"/>
      <c r="X184" s="35"/>
      <c r="Y184" s="35"/>
      <c r="Z184" s="35"/>
    </row>
    <row r="185" ht="15.75" customHeight="1">
      <c r="A185" s="66" t="s">
        <v>563</v>
      </c>
      <c r="B185" s="66" t="s">
        <v>1044</v>
      </c>
      <c r="C185" s="66" t="s">
        <v>1084</v>
      </c>
      <c r="D185" s="149" t="s">
        <v>1085</v>
      </c>
      <c r="E185" s="167" t="s">
        <v>1086</v>
      </c>
      <c r="F185" s="154">
        <v>11724.0</v>
      </c>
      <c r="G185" s="151">
        <v>45855.0</v>
      </c>
      <c r="H185" s="155">
        <f t="shared" si="7"/>
        <v>17586</v>
      </c>
      <c r="I185" s="37">
        <f t="shared" si="8"/>
        <v>15241.2</v>
      </c>
      <c r="J185" s="38">
        <f t="shared" si="9"/>
        <v>15241.2</v>
      </c>
      <c r="K185" s="39">
        <f t="shared" si="10"/>
        <v>14068.8</v>
      </c>
      <c r="L185" s="38">
        <f t="shared" si="11"/>
        <v>13482.6</v>
      </c>
      <c r="M185" s="39">
        <f t="shared" si="12"/>
        <v>12896.4</v>
      </c>
      <c r="N185" s="40"/>
      <c r="O185" s="78"/>
      <c r="P185" s="35"/>
      <c r="Q185" s="35"/>
      <c r="R185" s="35"/>
      <c r="S185" s="35"/>
      <c r="T185" s="35"/>
      <c r="U185" s="35"/>
      <c r="V185" s="35"/>
      <c r="W185" s="35"/>
      <c r="X185" s="35"/>
      <c r="Y185" s="35"/>
      <c r="Z185" s="35"/>
    </row>
    <row r="186" ht="15.75" customHeight="1">
      <c r="A186" s="66" t="s">
        <v>563</v>
      </c>
      <c r="B186" s="66" t="s">
        <v>1044</v>
      </c>
      <c r="C186" s="66" t="s">
        <v>1087</v>
      </c>
      <c r="D186" s="149" t="s">
        <v>1088</v>
      </c>
      <c r="E186" s="167" t="s">
        <v>1089</v>
      </c>
      <c r="F186" s="154">
        <v>9760.0</v>
      </c>
      <c r="G186" s="151">
        <v>45855.0</v>
      </c>
      <c r="H186" s="155">
        <f t="shared" si="7"/>
        <v>14640</v>
      </c>
      <c r="I186" s="37">
        <f t="shared" si="8"/>
        <v>12688</v>
      </c>
      <c r="J186" s="38">
        <f t="shared" si="9"/>
        <v>12688</v>
      </c>
      <c r="K186" s="39">
        <f t="shared" si="10"/>
        <v>11712</v>
      </c>
      <c r="L186" s="38">
        <f t="shared" si="11"/>
        <v>11224</v>
      </c>
      <c r="M186" s="39">
        <f t="shared" si="12"/>
        <v>10736</v>
      </c>
      <c r="N186" s="40"/>
      <c r="O186" s="78"/>
      <c r="P186" s="35"/>
      <c r="Q186" s="35"/>
      <c r="R186" s="35"/>
      <c r="S186" s="35"/>
      <c r="T186" s="35"/>
      <c r="U186" s="35"/>
      <c r="V186" s="35"/>
      <c r="W186" s="35"/>
      <c r="X186" s="35"/>
      <c r="Y186" s="35"/>
      <c r="Z186" s="35"/>
    </row>
    <row r="187" ht="15.75" customHeight="1">
      <c r="A187" s="66" t="s">
        <v>563</v>
      </c>
      <c r="B187" s="66" t="s">
        <v>1044</v>
      </c>
      <c r="C187" s="66" t="s">
        <v>1090</v>
      </c>
      <c r="D187" s="149" t="s">
        <v>1085</v>
      </c>
      <c r="E187" s="167" t="s">
        <v>1091</v>
      </c>
      <c r="F187" s="154">
        <v>15056.0</v>
      </c>
      <c r="G187" s="151">
        <v>45855.0</v>
      </c>
      <c r="H187" s="155">
        <f t="shared" si="7"/>
        <v>22584</v>
      </c>
      <c r="I187" s="37">
        <f t="shared" si="8"/>
        <v>19572.8</v>
      </c>
      <c r="J187" s="38">
        <f t="shared" si="9"/>
        <v>19572.8</v>
      </c>
      <c r="K187" s="39">
        <f t="shared" si="10"/>
        <v>18067.2</v>
      </c>
      <c r="L187" s="38">
        <f t="shared" si="11"/>
        <v>17314.4</v>
      </c>
      <c r="M187" s="39">
        <f t="shared" si="12"/>
        <v>16561.6</v>
      </c>
      <c r="N187" s="40"/>
      <c r="O187" s="78"/>
      <c r="P187" s="35"/>
      <c r="Q187" s="35"/>
      <c r="R187" s="35"/>
      <c r="S187" s="35"/>
      <c r="T187" s="35"/>
      <c r="U187" s="35"/>
      <c r="V187" s="35"/>
      <c r="W187" s="35"/>
      <c r="X187" s="35"/>
      <c r="Y187" s="35"/>
      <c r="Z187" s="35"/>
    </row>
    <row r="188" ht="15.75" customHeight="1">
      <c r="A188" s="66" t="s">
        <v>563</v>
      </c>
      <c r="B188" s="66" t="s">
        <v>1044</v>
      </c>
      <c r="C188" s="66" t="s">
        <v>1092</v>
      </c>
      <c r="D188" s="149" t="s">
        <v>1093</v>
      </c>
      <c r="E188" s="167" t="s">
        <v>1094</v>
      </c>
      <c r="F188" s="154">
        <v>6363.0</v>
      </c>
      <c r="G188" s="151">
        <v>45855.0</v>
      </c>
      <c r="H188" s="155">
        <f t="shared" si="7"/>
        <v>9544.5</v>
      </c>
      <c r="I188" s="37">
        <f t="shared" si="8"/>
        <v>8271.9</v>
      </c>
      <c r="J188" s="38">
        <f t="shared" si="9"/>
        <v>8271.9</v>
      </c>
      <c r="K188" s="39">
        <f t="shared" si="10"/>
        <v>7635.6</v>
      </c>
      <c r="L188" s="38">
        <f t="shared" si="11"/>
        <v>7317.45</v>
      </c>
      <c r="M188" s="39">
        <f t="shared" si="12"/>
        <v>6999.3</v>
      </c>
      <c r="N188" s="40"/>
      <c r="O188" s="78"/>
      <c r="P188" s="35"/>
      <c r="Q188" s="35"/>
      <c r="R188" s="35"/>
      <c r="S188" s="35"/>
      <c r="T188" s="35"/>
      <c r="U188" s="35"/>
      <c r="V188" s="35"/>
      <c r="W188" s="35"/>
      <c r="X188" s="35"/>
      <c r="Y188" s="35"/>
      <c r="Z188" s="35"/>
    </row>
    <row r="189" ht="15.75" customHeight="1">
      <c r="A189" s="66" t="s">
        <v>563</v>
      </c>
      <c r="B189" s="66" t="s">
        <v>1095</v>
      </c>
      <c r="C189" s="66" t="s">
        <v>1096</v>
      </c>
      <c r="D189" s="149" t="s">
        <v>1097</v>
      </c>
      <c r="E189" s="167" t="s">
        <v>1098</v>
      </c>
      <c r="F189" s="154">
        <v>11579.0</v>
      </c>
      <c r="G189" s="151">
        <v>45855.0</v>
      </c>
      <c r="H189" s="155">
        <f t="shared" si="7"/>
        <v>17368.5</v>
      </c>
      <c r="I189" s="37">
        <f t="shared" si="8"/>
        <v>15052.7</v>
      </c>
      <c r="J189" s="38">
        <f t="shared" si="9"/>
        <v>15052.7</v>
      </c>
      <c r="K189" s="39">
        <f t="shared" si="10"/>
        <v>13894.8</v>
      </c>
      <c r="L189" s="38">
        <f t="shared" si="11"/>
        <v>13315.85</v>
      </c>
      <c r="M189" s="39">
        <f t="shared" si="12"/>
        <v>12736.9</v>
      </c>
      <c r="N189" s="40"/>
      <c r="O189" s="78"/>
      <c r="P189" s="35"/>
      <c r="Q189" s="35"/>
      <c r="R189" s="35"/>
      <c r="S189" s="35"/>
      <c r="T189" s="35"/>
      <c r="U189" s="35"/>
      <c r="V189" s="35"/>
      <c r="W189" s="35"/>
      <c r="X189" s="35"/>
      <c r="Y189" s="35"/>
      <c r="Z189" s="35"/>
    </row>
    <row r="190" ht="15.75" customHeight="1">
      <c r="A190" s="66" t="s">
        <v>563</v>
      </c>
      <c r="B190" s="66" t="s">
        <v>1095</v>
      </c>
      <c r="C190" s="66" t="s">
        <v>1099</v>
      </c>
      <c r="D190" s="149" t="s">
        <v>1097</v>
      </c>
      <c r="E190" s="167" t="s">
        <v>1100</v>
      </c>
      <c r="F190" s="154">
        <v>17079.0</v>
      </c>
      <c r="G190" s="151">
        <v>45855.0</v>
      </c>
      <c r="H190" s="155">
        <f t="shared" si="7"/>
        <v>25618.5</v>
      </c>
      <c r="I190" s="37">
        <f t="shared" si="8"/>
        <v>22202.7</v>
      </c>
      <c r="J190" s="38">
        <f t="shared" si="9"/>
        <v>22202.7</v>
      </c>
      <c r="K190" s="39">
        <f t="shared" si="10"/>
        <v>20494.8</v>
      </c>
      <c r="L190" s="38">
        <f t="shared" si="11"/>
        <v>19640.85</v>
      </c>
      <c r="M190" s="39">
        <f t="shared" si="12"/>
        <v>18786.9</v>
      </c>
      <c r="N190" s="40"/>
      <c r="O190" s="78"/>
      <c r="P190" s="35"/>
      <c r="Q190" s="35"/>
      <c r="R190" s="35"/>
      <c r="S190" s="35"/>
      <c r="T190" s="35"/>
      <c r="U190" s="35"/>
      <c r="V190" s="35"/>
      <c r="W190" s="35"/>
      <c r="X190" s="35"/>
      <c r="Y190" s="35"/>
      <c r="Z190" s="35"/>
    </row>
    <row r="191" ht="15.75" customHeight="1">
      <c r="A191" s="66" t="s">
        <v>563</v>
      </c>
      <c r="B191" s="66" t="s">
        <v>1095</v>
      </c>
      <c r="C191" s="66" t="s">
        <v>1101</v>
      </c>
      <c r="D191" s="149" t="s">
        <v>1097</v>
      </c>
      <c r="E191" s="167" t="s">
        <v>1102</v>
      </c>
      <c r="F191" s="154">
        <v>15813.0</v>
      </c>
      <c r="G191" s="151">
        <v>45855.0</v>
      </c>
      <c r="H191" s="155">
        <f t="shared" si="7"/>
        <v>23719.5</v>
      </c>
      <c r="I191" s="37">
        <f t="shared" si="8"/>
        <v>20556.9</v>
      </c>
      <c r="J191" s="38">
        <f t="shared" si="9"/>
        <v>20556.9</v>
      </c>
      <c r="K191" s="39">
        <f t="shared" si="10"/>
        <v>18975.6</v>
      </c>
      <c r="L191" s="38">
        <f t="shared" si="11"/>
        <v>18184.95</v>
      </c>
      <c r="M191" s="39">
        <f t="shared" si="12"/>
        <v>17394.3</v>
      </c>
      <c r="N191" s="40"/>
      <c r="O191" s="78"/>
      <c r="P191" s="35"/>
      <c r="Q191" s="35"/>
      <c r="R191" s="35"/>
      <c r="S191" s="35"/>
      <c r="T191" s="35"/>
      <c r="U191" s="35"/>
      <c r="V191" s="35"/>
      <c r="W191" s="35"/>
      <c r="X191" s="35"/>
      <c r="Y191" s="35"/>
      <c r="Z191" s="35"/>
    </row>
    <row r="192" ht="15.75" customHeight="1">
      <c r="A192" s="66" t="s">
        <v>563</v>
      </c>
      <c r="B192" s="66" t="s">
        <v>1095</v>
      </c>
      <c r="C192" s="66" t="s">
        <v>1103</v>
      </c>
      <c r="D192" s="149" t="s">
        <v>1104</v>
      </c>
      <c r="E192" s="167" t="s">
        <v>1105</v>
      </c>
      <c r="F192" s="154">
        <v>20353.0</v>
      </c>
      <c r="G192" s="151">
        <v>45855.0</v>
      </c>
      <c r="H192" s="155">
        <f t="shared" si="7"/>
        <v>30529.5</v>
      </c>
      <c r="I192" s="37">
        <f t="shared" si="8"/>
        <v>26458.9</v>
      </c>
      <c r="J192" s="38">
        <f t="shared" si="9"/>
        <v>26458.9</v>
      </c>
      <c r="K192" s="39">
        <f t="shared" si="10"/>
        <v>24423.6</v>
      </c>
      <c r="L192" s="38">
        <f t="shared" si="11"/>
        <v>23405.95</v>
      </c>
      <c r="M192" s="39">
        <f t="shared" si="12"/>
        <v>22388.3</v>
      </c>
      <c r="N192" s="40"/>
      <c r="O192" s="78"/>
      <c r="P192" s="35"/>
      <c r="Q192" s="35"/>
      <c r="R192" s="35"/>
      <c r="S192" s="35"/>
      <c r="T192" s="35"/>
      <c r="U192" s="35"/>
      <c r="V192" s="35"/>
      <c r="W192" s="35"/>
      <c r="X192" s="35"/>
      <c r="Y192" s="35"/>
      <c r="Z192" s="35"/>
    </row>
    <row r="193" ht="15.75" customHeight="1">
      <c r="A193" s="66" t="s">
        <v>563</v>
      </c>
      <c r="B193" s="66" t="s">
        <v>1095</v>
      </c>
      <c r="C193" s="66" t="s">
        <v>1106</v>
      </c>
      <c r="D193" s="149" t="s">
        <v>1107</v>
      </c>
      <c r="E193" s="167" t="s">
        <v>1108</v>
      </c>
      <c r="F193" s="154">
        <v>16835.0</v>
      </c>
      <c r="G193" s="151">
        <v>45855.0</v>
      </c>
      <c r="H193" s="155">
        <f t="shared" si="7"/>
        <v>25252.5</v>
      </c>
      <c r="I193" s="37">
        <f t="shared" si="8"/>
        <v>21885.5</v>
      </c>
      <c r="J193" s="38">
        <f t="shared" si="9"/>
        <v>21885.5</v>
      </c>
      <c r="K193" s="39">
        <f t="shared" si="10"/>
        <v>20202</v>
      </c>
      <c r="L193" s="38">
        <f t="shared" si="11"/>
        <v>19360.25</v>
      </c>
      <c r="M193" s="39">
        <f t="shared" si="12"/>
        <v>18518.5</v>
      </c>
      <c r="N193" s="40"/>
      <c r="O193" s="78"/>
      <c r="P193" s="35"/>
      <c r="Q193" s="35"/>
      <c r="R193" s="35"/>
      <c r="S193" s="35"/>
      <c r="T193" s="35"/>
      <c r="U193" s="35"/>
      <c r="V193" s="35"/>
      <c r="W193" s="35"/>
      <c r="X193" s="35"/>
      <c r="Y193" s="35"/>
      <c r="Z193" s="35"/>
    </row>
    <row r="194" ht="15.75" customHeight="1">
      <c r="A194" s="66" t="s">
        <v>563</v>
      </c>
      <c r="B194" s="66" t="s">
        <v>1095</v>
      </c>
      <c r="C194" s="66" t="s">
        <v>1109</v>
      </c>
      <c r="D194" s="149" t="s">
        <v>1110</v>
      </c>
      <c r="E194" s="167" t="s">
        <v>1111</v>
      </c>
      <c r="F194" s="154">
        <v>15130.0</v>
      </c>
      <c r="G194" s="151">
        <v>45855.0</v>
      </c>
      <c r="H194" s="155">
        <f t="shared" si="7"/>
        <v>22695</v>
      </c>
      <c r="I194" s="37">
        <f t="shared" si="8"/>
        <v>19669</v>
      </c>
      <c r="J194" s="38">
        <f t="shared" si="9"/>
        <v>19669</v>
      </c>
      <c r="K194" s="39">
        <f t="shared" si="10"/>
        <v>18156</v>
      </c>
      <c r="L194" s="38">
        <f t="shared" si="11"/>
        <v>17399.5</v>
      </c>
      <c r="M194" s="39">
        <f t="shared" si="12"/>
        <v>16643</v>
      </c>
      <c r="N194" s="40"/>
      <c r="O194" s="78"/>
      <c r="P194" s="35"/>
      <c r="Q194" s="35"/>
      <c r="R194" s="35"/>
      <c r="S194" s="35"/>
      <c r="T194" s="35"/>
      <c r="U194" s="35"/>
      <c r="V194" s="35"/>
      <c r="W194" s="35"/>
      <c r="X194" s="35"/>
      <c r="Y194" s="35"/>
      <c r="Z194" s="35"/>
    </row>
    <row r="195" ht="15.75" customHeight="1">
      <c r="A195" s="66" t="s">
        <v>563</v>
      </c>
      <c r="B195" s="66" t="s">
        <v>1095</v>
      </c>
      <c r="C195" s="66" t="s">
        <v>1112</v>
      </c>
      <c r="D195" s="149" t="s">
        <v>1113</v>
      </c>
      <c r="E195" s="167" t="s">
        <v>1114</v>
      </c>
      <c r="F195" s="154">
        <v>20626.0</v>
      </c>
      <c r="G195" s="151">
        <v>45855.0</v>
      </c>
      <c r="H195" s="155">
        <f t="shared" si="7"/>
        <v>30939</v>
      </c>
      <c r="I195" s="37">
        <f t="shared" si="8"/>
        <v>26813.8</v>
      </c>
      <c r="J195" s="38">
        <f t="shared" si="9"/>
        <v>26813.8</v>
      </c>
      <c r="K195" s="39">
        <f t="shared" si="10"/>
        <v>24751.2</v>
      </c>
      <c r="L195" s="38">
        <f t="shared" si="11"/>
        <v>23719.9</v>
      </c>
      <c r="M195" s="39">
        <f t="shared" si="12"/>
        <v>22688.6</v>
      </c>
      <c r="N195" s="40"/>
      <c r="O195" s="78"/>
      <c r="P195" s="35"/>
      <c r="Q195" s="35"/>
      <c r="R195" s="35"/>
      <c r="S195" s="35"/>
      <c r="T195" s="35"/>
      <c r="U195" s="35"/>
      <c r="V195" s="35"/>
      <c r="W195" s="35"/>
      <c r="X195" s="35"/>
      <c r="Y195" s="35"/>
      <c r="Z195" s="35"/>
    </row>
    <row r="196" ht="15.75" customHeight="1">
      <c r="A196" s="66" t="s">
        <v>563</v>
      </c>
      <c r="B196" s="66" t="s">
        <v>1095</v>
      </c>
      <c r="C196" s="66" t="s">
        <v>1115</v>
      </c>
      <c r="D196" s="149" t="s">
        <v>1116</v>
      </c>
      <c r="E196" s="167" t="s">
        <v>1117</v>
      </c>
      <c r="F196" s="154">
        <v>18839.0</v>
      </c>
      <c r="G196" s="151">
        <v>45855.0</v>
      </c>
      <c r="H196" s="155">
        <f t="shared" si="7"/>
        <v>28258.5</v>
      </c>
      <c r="I196" s="37">
        <f t="shared" si="8"/>
        <v>24490.7</v>
      </c>
      <c r="J196" s="38">
        <f t="shared" si="9"/>
        <v>24490.7</v>
      </c>
      <c r="K196" s="39">
        <f t="shared" si="10"/>
        <v>22606.8</v>
      </c>
      <c r="L196" s="38">
        <f t="shared" si="11"/>
        <v>21664.85</v>
      </c>
      <c r="M196" s="39">
        <f t="shared" si="12"/>
        <v>20722.9</v>
      </c>
      <c r="N196" s="40"/>
      <c r="O196" s="78"/>
      <c r="P196" s="35"/>
      <c r="Q196" s="35"/>
      <c r="R196" s="35"/>
      <c r="S196" s="35"/>
      <c r="T196" s="35"/>
      <c r="U196" s="35"/>
      <c r="V196" s="35"/>
      <c r="W196" s="35"/>
      <c r="X196" s="35"/>
      <c r="Y196" s="35"/>
      <c r="Z196" s="35"/>
    </row>
    <row r="197" ht="15.75" customHeight="1">
      <c r="A197" s="66" t="s">
        <v>563</v>
      </c>
      <c r="B197" s="66" t="s">
        <v>1095</v>
      </c>
      <c r="C197" s="66" t="s">
        <v>1118</v>
      </c>
      <c r="D197" s="149" t="s">
        <v>1119</v>
      </c>
      <c r="E197" s="167" t="s">
        <v>1120</v>
      </c>
      <c r="F197" s="154">
        <v>24136.0</v>
      </c>
      <c r="G197" s="151">
        <v>45855.0</v>
      </c>
      <c r="H197" s="155">
        <f t="shared" si="7"/>
        <v>36204</v>
      </c>
      <c r="I197" s="37">
        <f t="shared" si="8"/>
        <v>31376.8</v>
      </c>
      <c r="J197" s="38">
        <f t="shared" si="9"/>
        <v>31376.8</v>
      </c>
      <c r="K197" s="39">
        <f t="shared" si="10"/>
        <v>28963.2</v>
      </c>
      <c r="L197" s="38">
        <f t="shared" si="11"/>
        <v>27756.4</v>
      </c>
      <c r="M197" s="39">
        <f t="shared" si="12"/>
        <v>26549.6</v>
      </c>
      <c r="N197" s="40"/>
      <c r="O197" s="78"/>
      <c r="P197" s="35"/>
      <c r="Q197" s="35"/>
      <c r="R197" s="35"/>
      <c r="S197" s="35"/>
      <c r="T197" s="35"/>
      <c r="U197" s="35"/>
      <c r="V197" s="35"/>
      <c r="W197" s="35"/>
      <c r="X197" s="35"/>
      <c r="Y197" s="35"/>
      <c r="Z197" s="35"/>
    </row>
    <row r="198" ht="15.75" customHeight="1">
      <c r="A198" s="66" t="s">
        <v>563</v>
      </c>
      <c r="B198" s="66" t="s">
        <v>1121</v>
      </c>
      <c r="C198" s="66" t="s">
        <v>1122</v>
      </c>
      <c r="D198" s="149" t="s">
        <v>1123</v>
      </c>
      <c r="E198" s="167" t="s">
        <v>1124</v>
      </c>
      <c r="F198" s="154">
        <v>65026.0</v>
      </c>
      <c r="G198" s="151">
        <v>45855.0</v>
      </c>
      <c r="H198" s="155">
        <f t="shared" si="7"/>
        <v>97539</v>
      </c>
      <c r="I198" s="37">
        <f t="shared" si="8"/>
        <v>84533.8</v>
      </c>
      <c r="J198" s="38">
        <f t="shared" si="9"/>
        <v>84533.8</v>
      </c>
      <c r="K198" s="39">
        <f t="shared" si="10"/>
        <v>78031.2</v>
      </c>
      <c r="L198" s="38">
        <f t="shared" si="11"/>
        <v>74779.9</v>
      </c>
      <c r="M198" s="39">
        <f t="shared" si="12"/>
        <v>71528.6</v>
      </c>
      <c r="N198" s="40"/>
      <c r="O198" s="78"/>
      <c r="P198" s="35"/>
      <c r="Q198" s="35"/>
      <c r="R198" s="35"/>
      <c r="S198" s="35"/>
      <c r="T198" s="35"/>
      <c r="U198" s="35"/>
      <c r="V198" s="35"/>
      <c r="W198" s="35"/>
      <c r="X198" s="35"/>
      <c r="Y198" s="35"/>
      <c r="Z198" s="35"/>
    </row>
    <row r="199" ht="15.75" customHeight="1">
      <c r="A199" s="66" t="s">
        <v>563</v>
      </c>
      <c r="B199" s="149" t="s">
        <v>1125</v>
      </c>
      <c r="C199" s="66" t="s">
        <v>1126</v>
      </c>
      <c r="D199" s="149" t="s">
        <v>1127</v>
      </c>
      <c r="E199" s="167" t="s">
        <v>1128</v>
      </c>
      <c r="F199" s="154">
        <v>5355.0</v>
      </c>
      <c r="G199" s="151">
        <v>45855.0</v>
      </c>
      <c r="H199" s="155">
        <f t="shared" si="7"/>
        <v>8032.5</v>
      </c>
      <c r="I199" s="37">
        <f t="shared" si="8"/>
        <v>6961.5</v>
      </c>
      <c r="J199" s="38">
        <f t="shared" si="9"/>
        <v>6961.5</v>
      </c>
      <c r="K199" s="39">
        <f t="shared" si="10"/>
        <v>6426</v>
      </c>
      <c r="L199" s="38">
        <f t="shared" si="11"/>
        <v>6158.25</v>
      </c>
      <c r="M199" s="39">
        <f t="shared" si="12"/>
        <v>5890.5</v>
      </c>
      <c r="N199" s="40"/>
      <c r="O199" s="78"/>
      <c r="P199" s="35"/>
      <c r="Q199" s="35"/>
      <c r="R199" s="35"/>
      <c r="S199" s="35"/>
      <c r="T199" s="35"/>
      <c r="U199" s="35"/>
      <c r="V199" s="35"/>
      <c r="W199" s="35"/>
      <c r="X199" s="35"/>
      <c r="Y199" s="35"/>
      <c r="Z199" s="35"/>
    </row>
    <row r="200" ht="15.75" customHeight="1">
      <c r="A200" s="66" t="s">
        <v>563</v>
      </c>
      <c r="B200" s="149" t="s">
        <v>1125</v>
      </c>
      <c r="C200" s="66" t="s">
        <v>1129</v>
      </c>
      <c r="D200" s="149" t="s">
        <v>1130</v>
      </c>
      <c r="E200" s="167" t="s">
        <v>1131</v>
      </c>
      <c r="F200" s="154">
        <v>15850.0</v>
      </c>
      <c r="G200" s="151">
        <v>45855.0</v>
      </c>
      <c r="H200" s="155">
        <f t="shared" si="7"/>
        <v>23775</v>
      </c>
      <c r="I200" s="37">
        <f t="shared" si="8"/>
        <v>20605</v>
      </c>
      <c r="J200" s="38">
        <f t="shared" si="9"/>
        <v>20605</v>
      </c>
      <c r="K200" s="39">
        <f t="shared" si="10"/>
        <v>19020</v>
      </c>
      <c r="L200" s="38">
        <f t="shared" si="11"/>
        <v>18227.5</v>
      </c>
      <c r="M200" s="39">
        <f t="shared" si="12"/>
        <v>17435</v>
      </c>
      <c r="N200" s="40"/>
      <c r="O200" s="78"/>
      <c r="P200" s="35"/>
      <c r="Q200" s="35"/>
      <c r="R200" s="35"/>
      <c r="S200" s="35"/>
      <c r="T200" s="35"/>
      <c r="U200" s="35"/>
      <c r="V200" s="35"/>
      <c r="W200" s="35"/>
      <c r="X200" s="35"/>
      <c r="Y200" s="35"/>
      <c r="Z200" s="35"/>
    </row>
    <row r="201" ht="15.75" customHeight="1">
      <c r="A201" s="66" t="s">
        <v>563</v>
      </c>
      <c r="B201" s="149" t="s">
        <v>1125</v>
      </c>
      <c r="C201" s="66" t="s">
        <v>1132</v>
      </c>
      <c r="D201" s="149" t="s">
        <v>1133</v>
      </c>
      <c r="E201" s="167" t="s">
        <v>1134</v>
      </c>
      <c r="F201" s="154">
        <v>22347.0</v>
      </c>
      <c r="G201" s="151">
        <v>45855.0</v>
      </c>
      <c r="H201" s="155">
        <f t="shared" si="7"/>
        <v>33520.5</v>
      </c>
      <c r="I201" s="37">
        <f t="shared" si="8"/>
        <v>29051.1</v>
      </c>
      <c r="J201" s="38">
        <f t="shared" si="9"/>
        <v>29051.1</v>
      </c>
      <c r="K201" s="39">
        <f t="shared" si="10"/>
        <v>26816.4</v>
      </c>
      <c r="L201" s="38">
        <f t="shared" si="11"/>
        <v>25699.05</v>
      </c>
      <c r="M201" s="39">
        <f t="shared" si="12"/>
        <v>24581.7</v>
      </c>
      <c r="N201" s="40"/>
      <c r="O201" s="78"/>
      <c r="P201" s="35"/>
      <c r="Q201" s="35"/>
      <c r="R201" s="35"/>
      <c r="S201" s="35"/>
      <c r="T201" s="35"/>
      <c r="U201" s="35"/>
      <c r="V201" s="35"/>
      <c r="W201" s="35"/>
      <c r="X201" s="35"/>
      <c r="Y201" s="35"/>
      <c r="Z201" s="35"/>
    </row>
    <row r="202" ht="15.75" customHeight="1">
      <c r="A202" s="66" t="s">
        <v>563</v>
      </c>
      <c r="B202" s="66" t="s">
        <v>1135</v>
      </c>
      <c r="C202" s="66" t="s">
        <v>1136</v>
      </c>
      <c r="D202" s="149" t="s">
        <v>1137</v>
      </c>
      <c r="E202" s="167" t="s">
        <v>1138</v>
      </c>
      <c r="F202" s="154">
        <v>9577.0</v>
      </c>
      <c r="G202" s="151">
        <v>45855.0</v>
      </c>
      <c r="H202" s="155">
        <f t="shared" si="7"/>
        <v>14365.5</v>
      </c>
      <c r="I202" s="37">
        <f t="shared" si="8"/>
        <v>12450.1</v>
      </c>
      <c r="J202" s="38">
        <f t="shared" si="9"/>
        <v>12450.1</v>
      </c>
      <c r="K202" s="39">
        <f t="shared" si="10"/>
        <v>11492.4</v>
      </c>
      <c r="L202" s="38">
        <f t="shared" si="11"/>
        <v>11013.55</v>
      </c>
      <c r="M202" s="39">
        <f t="shared" si="12"/>
        <v>10534.7</v>
      </c>
      <c r="N202" s="40"/>
      <c r="O202" s="78"/>
      <c r="P202" s="35"/>
      <c r="Q202" s="35"/>
      <c r="R202" s="35"/>
      <c r="S202" s="35"/>
      <c r="T202" s="35"/>
      <c r="U202" s="35"/>
      <c r="V202" s="35"/>
      <c r="W202" s="35"/>
      <c r="X202" s="35"/>
      <c r="Y202" s="35"/>
      <c r="Z202" s="35"/>
    </row>
    <row r="203" ht="15.75" customHeight="1">
      <c r="A203" s="66" t="s">
        <v>563</v>
      </c>
      <c r="B203" s="66" t="s">
        <v>1135</v>
      </c>
      <c r="C203" s="66" t="s">
        <v>1139</v>
      </c>
      <c r="D203" s="149" t="s">
        <v>1137</v>
      </c>
      <c r="E203" s="167" t="s">
        <v>1140</v>
      </c>
      <c r="F203" s="154">
        <v>12862.0</v>
      </c>
      <c r="G203" s="151">
        <v>45855.0</v>
      </c>
      <c r="H203" s="155">
        <f t="shared" si="7"/>
        <v>19293</v>
      </c>
      <c r="I203" s="37">
        <f t="shared" si="8"/>
        <v>16720.6</v>
      </c>
      <c r="J203" s="38">
        <f t="shared" si="9"/>
        <v>16720.6</v>
      </c>
      <c r="K203" s="39">
        <f t="shared" si="10"/>
        <v>15434.4</v>
      </c>
      <c r="L203" s="38">
        <f t="shared" si="11"/>
        <v>14791.3</v>
      </c>
      <c r="M203" s="39">
        <f t="shared" si="12"/>
        <v>14148.2</v>
      </c>
      <c r="N203" s="40"/>
      <c r="O203" s="78"/>
      <c r="P203" s="35"/>
      <c r="Q203" s="35"/>
      <c r="R203" s="35"/>
      <c r="S203" s="35"/>
      <c r="T203" s="35"/>
      <c r="U203" s="35"/>
      <c r="V203" s="35"/>
      <c r="W203" s="35"/>
      <c r="X203" s="35"/>
      <c r="Y203" s="35"/>
      <c r="Z203" s="35"/>
    </row>
    <row r="204" ht="15.75" customHeight="1">
      <c r="A204" s="66" t="s">
        <v>563</v>
      </c>
      <c r="B204" s="66" t="s">
        <v>1141</v>
      </c>
      <c r="C204" s="66" t="s">
        <v>1142</v>
      </c>
      <c r="D204" s="149" t="s">
        <v>1143</v>
      </c>
      <c r="E204" s="167" t="s">
        <v>1144</v>
      </c>
      <c r="F204" s="154">
        <v>30843.0</v>
      </c>
      <c r="G204" s="151">
        <v>45855.0</v>
      </c>
      <c r="H204" s="155">
        <f t="shared" si="7"/>
        <v>46264.5</v>
      </c>
      <c r="I204" s="37">
        <f t="shared" si="8"/>
        <v>40095.9</v>
      </c>
      <c r="J204" s="38">
        <f t="shared" si="9"/>
        <v>40095.9</v>
      </c>
      <c r="K204" s="39">
        <f t="shared" si="10"/>
        <v>37011.6</v>
      </c>
      <c r="L204" s="38">
        <f t="shared" si="11"/>
        <v>35469.45</v>
      </c>
      <c r="M204" s="39">
        <f t="shared" si="12"/>
        <v>33927.3</v>
      </c>
      <c r="N204" s="40"/>
      <c r="O204" s="78"/>
      <c r="P204" s="35"/>
      <c r="Q204" s="35"/>
      <c r="R204" s="35"/>
      <c r="S204" s="35"/>
      <c r="T204" s="35"/>
      <c r="U204" s="35"/>
      <c r="V204" s="35"/>
      <c r="W204" s="35"/>
      <c r="X204" s="35"/>
      <c r="Y204" s="35"/>
      <c r="Z204" s="35"/>
    </row>
    <row r="205" ht="15.75" customHeight="1">
      <c r="A205" s="66" t="s">
        <v>563</v>
      </c>
      <c r="B205" s="66" t="s">
        <v>1141</v>
      </c>
      <c r="C205" s="66" t="s">
        <v>1145</v>
      </c>
      <c r="D205" s="149" t="s">
        <v>1146</v>
      </c>
      <c r="E205" s="167" t="s">
        <v>1147</v>
      </c>
      <c r="F205" s="154">
        <v>5238.0</v>
      </c>
      <c r="G205" s="151">
        <v>45855.0</v>
      </c>
      <c r="H205" s="155">
        <f t="shared" si="7"/>
        <v>7857</v>
      </c>
      <c r="I205" s="37">
        <f t="shared" si="8"/>
        <v>6809.4</v>
      </c>
      <c r="J205" s="38">
        <f t="shared" si="9"/>
        <v>6809.4</v>
      </c>
      <c r="K205" s="39">
        <f t="shared" si="10"/>
        <v>6285.6</v>
      </c>
      <c r="L205" s="38">
        <f t="shared" si="11"/>
        <v>6023.7</v>
      </c>
      <c r="M205" s="39">
        <f t="shared" si="12"/>
        <v>5761.8</v>
      </c>
      <c r="N205" s="40"/>
      <c r="O205" s="78"/>
      <c r="P205" s="35"/>
      <c r="Q205" s="35"/>
      <c r="R205" s="35"/>
      <c r="S205" s="35"/>
      <c r="T205" s="35"/>
      <c r="U205" s="35"/>
      <c r="V205" s="35"/>
      <c r="W205" s="35"/>
      <c r="X205" s="35"/>
      <c r="Y205" s="35"/>
      <c r="Z205" s="35"/>
    </row>
    <row r="206" ht="15.75" customHeight="1">
      <c r="A206" s="66" t="s">
        <v>563</v>
      </c>
      <c r="B206" s="66" t="s">
        <v>1141</v>
      </c>
      <c r="C206" s="66" t="s">
        <v>1148</v>
      </c>
      <c r="D206" s="149" t="s">
        <v>1149</v>
      </c>
      <c r="E206" s="167" t="s">
        <v>1150</v>
      </c>
      <c r="F206" s="154">
        <v>7366.0</v>
      </c>
      <c r="G206" s="151">
        <v>45855.0</v>
      </c>
      <c r="H206" s="155">
        <f t="shared" si="7"/>
        <v>11049</v>
      </c>
      <c r="I206" s="37">
        <f t="shared" si="8"/>
        <v>9575.8</v>
      </c>
      <c r="J206" s="38">
        <f t="shared" si="9"/>
        <v>9575.8</v>
      </c>
      <c r="K206" s="39">
        <f t="shared" si="10"/>
        <v>8839.2</v>
      </c>
      <c r="L206" s="38">
        <f t="shared" si="11"/>
        <v>8470.9</v>
      </c>
      <c r="M206" s="39">
        <f t="shared" si="12"/>
        <v>8102.6</v>
      </c>
      <c r="N206" s="40"/>
      <c r="O206" s="78"/>
      <c r="P206" s="35"/>
      <c r="Q206" s="35"/>
      <c r="R206" s="35"/>
      <c r="S206" s="35"/>
      <c r="T206" s="35"/>
      <c r="U206" s="35"/>
      <c r="V206" s="35"/>
      <c r="W206" s="35"/>
      <c r="X206" s="35"/>
      <c r="Y206" s="35"/>
      <c r="Z206" s="35"/>
    </row>
    <row r="207" ht="15.75" customHeight="1">
      <c r="A207" s="66" t="s">
        <v>563</v>
      </c>
      <c r="B207" s="66" t="s">
        <v>1141</v>
      </c>
      <c r="C207" s="66" t="s">
        <v>1151</v>
      </c>
      <c r="D207" s="149" t="s">
        <v>1149</v>
      </c>
      <c r="E207" s="167" t="s">
        <v>1152</v>
      </c>
      <c r="F207" s="154">
        <v>8110.0</v>
      </c>
      <c r="G207" s="151">
        <v>45855.0</v>
      </c>
      <c r="H207" s="155">
        <f t="shared" si="7"/>
        <v>12165</v>
      </c>
      <c r="I207" s="37">
        <f t="shared" si="8"/>
        <v>10543</v>
      </c>
      <c r="J207" s="38">
        <f t="shared" si="9"/>
        <v>10543</v>
      </c>
      <c r="K207" s="39">
        <f t="shared" si="10"/>
        <v>9732</v>
      </c>
      <c r="L207" s="38">
        <f t="shared" si="11"/>
        <v>9326.5</v>
      </c>
      <c r="M207" s="39">
        <f t="shared" si="12"/>
        <v>8921</v>
      </c>
      <c r="N207" s="40"/>
      <c r="O207" s="78"/>
      <c r="P207" s="35"/>
      <c r="Q207" s="35"/>
      <c r="R207" s="35"/>
      <c r="S207" s="35"/>
      <c r="T207" s="35"/>
      <c r="U207" s="35"/>
      <c r="V207" s="35"/>
      <c r="W207" s="35"/>
      <c r="X207" s="35"/>
      <c r="Y207" s="35"/>
      <c r="Z207" s="35"/>
    </row>
    <row r="208" ht="15.75" customHeight="1">
      <c r="A208" s="66" t="s">
        <v>563</v>
      </c>
      <c r="B208" s="66" t="s">
        <v>1141</v>
      </c>
      <c r="C208" s="66" t="s">
        <v>1153</v>
      </c>
      <c r="D208" s="149" t="s">
        <v>1154</v>
      </c>
      <c r="E208" s="167" t="s">
        <v>1155</v>
      </c>
      <c r="F208" s="154">
        <v>34150.0</v>
      </c>
      <c r="G208" s="151">
        <v>45855.0</v>
      </c>
      <c r="H208" s="155">
        <f t="shared" si="7"/>
        <v>51225</v>
      </c>
      <c r="I208" s="37">
        <f t="shared" si="8"/>
        <v>44395</v>
      </c>
      <c r="J208" s="38">
        <f t="shared" si="9"/>
        <v>44395</v>
      </c>
      <c r="K208" s="39">
        <f t="shared" si="10"/>
        <v>40980</v>
      </c>
      <c r="L208" s="38">
        <f t="shared" si="11"/>
        <v>39272.5</v>
      </c>
      <c r="M208" s="39">
        <f t="shared" si="12"/>
        <v>37565</v>
      </c>
      <c r="N208" s="40"/>
      <c r="O208" s="78"/>
      <c r="P208" s="35"/>
      <c r="Q208" s="35"/>
      <c r="R208" s="35"/>
      <c r="S208" s="35"/>
      <c r="T208" s="35"/>
      <c r="U208" s="35"/>
      <c r="V208" s="35"/>
      <c r="W208" s="35"/>
      <c r="X208" s="35"/>
      <c r="Y208" s="35"/>
      <c r="Z208" s="35"/>
    </row>
    <row r="209" ht="15.75" customHeight="1">
      <c r="A209" s="66" t="s">
        <v>563</v>
      </c>
      <c r="B209" s="66" t="s">
        <v>1141</v>
      </c>
      <c r="C209" s="66" t="s">
        <v>1156</v>
      </c>
      <c r="D209" s="149" t="s">
        <v>1154</v>
      </c>
      <c r="E209" s="167" t="s">
        <v>1157</v>
      </c>
      <c r="F209" s="154">
        <v>11830.0</v>
      </c>
      <c r="G209" s="151">
        <v>45855.0</v>
      </c>
      <c r="H209" s="155">
        <f t="shared" si="7"/>
        <v>17745</v>
      </c>
      <c r="I209" s="37">
        <f t="shared" si="8"/>
        <v>15379</v>
      </c>
      <c r="J209" s="38">
        <f t="shared" si="9"/>
        <v>15379</v>
      </c>
      <c r="K209" s="39">
        <f t="shared" si="10"/>
        <v>14196</v>
      </c>
      <c r="L209" s="38">
        <f t="shared" si="11"/>
        <v>13604.5</v>
      </c>
      <c r="M209" s="39">
        <f t="shared" si="12"/>
        <v>13013</v>
      </c>
      <c r="N209" s="40"/>
      <c r="O209" s="78"/>
      <c r="P209" s="35"/>
      <c r="Q209" s="35"/>
      <c r="R209" s="35"/>
      <c r="S209" s="35"/>
      <c r="T209" s="35"/>
      <c r="U209" s="35"/>
      <c r="V209" s="35"/>
      <c r="W209" s="35"/>
      <c r="X209" s="35"/>
      <c r="Y209" s="35"/>
      <c r="Z209" s="35"/>
    </row>
    <row r="210" ht="15.75" customHeight="1">
      <c r="A210" s="66" t="s">
        <v>563</v>
      </c>
      <c r="B210" s="66" t="s">
        <v>214</v>
      </c>
      <c r="C210" s="66" t="s">
        <v>1158</v>
      </c>
      <c r="D210" s="149" t="s">
        <v>1159</v>
      </c>
      <c r="E210" s="167" t="s">
        <v>1160</v>
      </c>
      <c r="F210" s="154">
        <v>540.0</v>
      </c>
      <c r="G210" s="151">
        <v>45855.0</v>
      </c>
      <c r="H210" s="155">
        <f t="shared" si="7"/>
        <v>810</v>
      </c>
      <c r="I210" s="37">
        <f t="shared" si="8"/>
        <v>702</v>
      </c>
      <c r="J210" s="38">
        <f t="shared" si="9"/>
        <v>702</v>
      </c>
      <c r="K210" s="39">
        <f t="shared" si="10"/>
        <v>648</v>
      </c>
      <c r="L210" s="38">
        <f t="shared" si="11"/>
        <v>621</v>
      </c>
      <c r="M210" s="39">
        <f t="shared" si="12"/>
        <v>594</v>
      </c>
      <c r="N210" s="40"/>
      <c r="O210" s="78"/>
      <c r="P210" s="35"/>
      <c r="Q210" s="35"/>
      <c r="R210" s="35"/>
      <c r="S210" s="35"/>
      <c r="T210" s="35"/>
      <c r="U210" s="35"/>
      <c r="V210" s="35"/>
      <c r="W210" s="35"/>
      <c r="X210" s="35"/>
      <c r="Y210" s="35"/>
      <c r="Z210" s="35"/>
    </row>
    <row r="211" ht="15.75" customHeight="1">
      <c r="A211" s="66" t="s">
        <v>563</v>
      </c>
      <c r="B211" s="66" t="s">
        <v>214</v>
      </c>
      <c r="C211" s="66" t="s">
        <v>1161</v>
      </c>
      <c r="D211" s="149" t="s">
        <v>1162</v>
      </c>
      <c r="E211" s="167" t="s">
        <v>1163</v>
      </c>
      <c r="F211" s="154">
        <v>210.0</v>
      </c>
      <c r="G211" s="151">
        <v>45855.0</v>
      </c>
      <c r="H211" s="155">
        <f t="shared" si="7"/>
        <v>315</v>
      </c>
      <c r="I211" s="37">
        <f t="shared" si="8"/>
        <v>273</v>
      </c>
      <c r="J211" s="38">
        <f t="shared" si="9"/>
        <v>273</v>
      </c>
      <c r="K211" s="39">
        <f t="shared" si="10"/>
        <v>252</v>
      </c>
      <c r="L211" s="38">
        <f t="shared" si="11"/>
        <v>241.5</v>
      </c>
      <c r="M211" s="39">
        <f t="shared" si="12"/>
        <v>231</v>
      </c>
      <c r="N211" s="40"/>
      <c r="O211" s="34"/>
      <c r="P211" s="35"/>
      <c r="Q211" s="35"/>
      <c r="R211" s="35"/>
      <c r="S211" s="35"/>
      <c r="T211" s="35"/>
      <c r="U211" s="35"/>
      <c r="V211" s="35"/>
      <c r="W211" s="35"/>
      <c r="X211" s="35"/>
      <c r="Y211" s="35"/>
      <c r="Z211" s="35"/>
    </row>
    <row r="212" ht="15.75" customHeight="1">
      <c r="A212" s="66" t="s">
        <v>563</v>
      </c>
      <c r="B212" s="66" t="s">
        <v>214</v>
      </c>
      <c r="C212" s="66" t="s">
        <v>1164</v>
      </c>
      <c r="D212" s="149" t="s">
        <v>1165</v>
      </c>
      <c r="E212" s="167" t="s">
        <v>1163</v>
      </c>
      <c r="F212" s="154">
        <v>490.0</v>
      </c>
      <c r="G212" s="151">
        <v>45855.0</v>
      </c>
      <c r="H212" s="155">
        <f t="shared" si="7"/>
        <v>735</v>
      </c>
      <c r="I212" s="37">
        <f t="shared" si="8"/>
        <v>637</v>
      </c>
      <c r="J212" s="38">
        <f t="shared" si="9"/>
        <v>637</v>
      </c>
      <c r="K212" s="39">
        <f t="shared" si="10"/>
        <v>588</v>
      </c>
      <c r="L212" s="38">
        <f t="shared" si="11"/>
        <v>563.5</v>
      </c>
      <c r="M212" s="39">
        <f t="shared" si="12"/>
        <v>539</v>
      </c>
      <c r="N212" s="40"/>
      <c r="O212" s="34"/>
      <c r="P212" s="35"/>
      <c r="Q212" s="35"/>
      <c r="R212" s="35"/>
      <c r="S212" s="35"/>
      <c r="T212" s="35"/>
      <c r="U212" s="35"/>
      <c r="V212" s="35"/>
      <c r="W212" s="35"/>
      <c r="X212" s="35"/>
      <c r="Y212" s="35"/>
      <c r="Z212" s="35"/>
    </row>
    <row r="213" ht="15.75" customHeight="1">
      <c r="A213" s="66" t="s">
        <v>563</v>
      </c>
      <c r="B213" s="66" t="s">
        <v>214</v>
      </c>
      <c r="C213" s="66" t="s">
        <v>1166</v>
      </c>
      <c r="D213" s="149" t="s">
        <v>1167</v>
      </c>
      <c r="E213" s="167" t="s">
        <v>1168</v>
      </c>
      <c r="F213" s="154">
        <v>930.0</v>
      </c>
      <c r="G213" s="151">
        <v>45855.0</v>
      </c>
      <c r="H213" s="155">
        <f t="shared" si="7"/>
        <v>1395</v>
      </c>
      <c r="I213" s="37">
        <f t="shared" si="8"/>
        <v>1209</v>
      </c>
      <c r="J213" s="38">
        <f t="shared" si="9"/>
        <v>1209</v>
      </c>
      <c r="K213" s="39">
        <f t="shared" si="10"/>
        <v>1116</v>
      </c>
      <c r="L213" s="38">
        <f t="shared" si="11"/>
        <v>1069.5</v>
      </c>
      <c r="M213" s="39">
        <f t="shared" si="12"/>
        <v>1023</v>
      </c>
      <c r="N213" s="40"/>
      <c r="O213" s="34"/>
      <c r="P213" s="35"/>
      <c r="Q213" s="35"/>
      <c r="R213" s="35"/>
      <c r="S213" s="35"/>
      <c r="T213" s="35"/>
      <c r="U213" s="35"/>
      <c r="V213" s="35"/>
      <c r="W213" s="35"/>
      <c r="X213" s="35"/>
      <c r="Y213" s="35"/>
      <c r="Z213" s="35"/>
    </row>
    <row r="214" ht="15.75" customHeight="1">
      <c r="A214" s="66" t="s">
        <v>563</v>
      </c>
      <c r="B214" s="66" t="s">
        <v>214</v>
      </c>
      <c r="C214" s="66" t="s">
        <v>1169</v>
      </c>
      <c r="D214" s="149" t="s">
        <v>1170</v>
      </c>
      <c r="E214" s="167" t="s">
        <v>1171</v>
      </c>
      <c r="F214" s="154">
        <v>945.0</v>
      </c>
      <c r="G214" s="151">
        <v>45855.0</v>
      </c>
      <c r="H214" s="155">
        <f t="shared" si="7"/>
        <v>1417.5</v>
      </c>
      <c r="I214" s="37">
        <f t="shared" si="8"/>
        <v>1228.5</v>
      </c>
      <c r="J214" s="38">
        <f t="shared" si="9"/>
        <v>1228.5</v>
      </c>
      <c r="K214" s="39">
        <f t="shared" si="10"/>
        <v>1134</v>
      </c>
      <c r="L214" s="38">
        <f t="shared" si="11"/>
        <v>1086.75</v>
      </c>
      <c r="M214" s="39">
        <f t="shared" si="12"/>
        <v>1039.5</v>
      </c>
      <c r="N214" s="40"/>
      <c r="O214" s="34"/>
      <c r="P214" s="35"/>
      <c r="Q214" s="35"/>
      <c r="R214" s="35"/>
      <c r="S214" s="35"/>
      <c r="T214" s="35"/>
      <c r="U214" s="35"/>
      <c r="V214" s="35"/>
      <c r="W214" s="35"/>
      <c r="X214" s="35"/>
      <c r="Y214" s="35"/>
      <c r="Z214" s="35"/>
    </row>
    <row r="215" ht="15.75" customHeight="1">
      <c r="A215" s="66" t="s">
        <v>563</v>
      </c>
      <c r="B215" s="66" t="s">
        <v>214</v>
      </c>
      <c r="C215" s="66" t="s">
        <v>1172</v>
      </c>
      <c r="D215" s="149" t="s">
        <v>1170</v>
      </c>
      <c r="E215" s="167" t="s">
        <v>1173</v>
      </c>
      <c r="F215" s="154">
        <v>600.0</v>
      </c>
      <c r="G215" s="151">
        <v>45855.0</v>
      </c>
      <c r="H215" s="155">
        <f t="shared" si="7"/>
        <v>900</v>
      </c>
      <c r="I215" s="37">
        <f t="shared" si="8"/>
        <v>780</v>
      </c>
      <c r="J215" s="38">
        <f t="shared" si="9"/>
        <v>780</v>
      </c>
      <c r="K215" s="39">
        <f t="shared" si="10"/>
        <v>720</v>
      </c>
      <c r="L215" s="38">
        <f t="shared" si="11"/>
        <v>690</v>
      </c>
      <c r="M215" s="39">
        <f t="shared" si="12"/>
        <v>660</v>
      </c>
      <c r="N215" s="40"/>
      <c r="O215" s="34"/>
      <c r="P215" s="35"/>
      <c r="Q215" s="35"/>
      <c r="R215" s="35"/>
      <c r="S215" s="35"/>
      <c r="T215" s="35"/>
      <c r="U215" s="35"/>
      <c r="V215" s="35"/>
      <c r="W215" s="35"/>
      <c r="X215" s="35"/>
      <c r="Y215" s="35"/>
      <c r="Z215" s="35"/>
    </row>
    <row r="216" ht="15.75" customHeight="1">
      <c r="A216" s="66" t="s">
        <v>563</v>
      </c>
      <c r="B216" s="66" t="s">
        <v>214</v>
      </c>
      <c r="C216" s="66" t="s">
        <v>1174</v>
      </c>
      <c r="D216" s="149" t="s">
        <v>1175</v>
      </c>
      <c r="E216" s="167" t="s">
        <v>1176</v>
      </c>
      <c r="F216" s="154">
        <v>630.0</v>
      </c>
      <c r="G216" s="151">
        <v>45855.0</v>
      </c>
      <c r="H216" s="155">
        <f t="shared" si="7"/>
        <v>945</v>
      </c>
      <c r="I216" s="37">
        <f t="shared" si="8"/>
        <v>819</v>
      </c>
      <c r="J216" s="38">
        <f t="shared" si="9"/>
        <v>819</v>
      </c>
      <c r="K216" s="39">
        <f t="shared" si="10"/>
        <v>756</v>
      </c>
      <c r="L216" s="38">
        <f t="shared" si="11"/>
        <v>724.5</v>
      </c>
      <c r="M216" s="39">
        <f t="shared" si="12"/>
        <v>693</v>
      </c>
      <c r="N216" s="40"/>
      <c r="O216" s="34"/>
      <c r="P216" s="35"/>
      <c r="Q216" s="35"/>
      <c r="R216" s="35"/>
      <c r="S216" s="35"/>
      <c r="T216" s="35"/>
      <c r="U216" s="35"/>
      <c r="V216" s="35"/>
      <c r="W216" s="35"/>
      <c r="X216" s="35"/>
      <c r="Y216" s="35"/>
      <c r="Z216" s="35"/>
    </row>
    <row r="217" ht="15.75" customHeight="1">
      <c r="A217" s="66" t="s">
        <v>563</v>
      </c>
      <c r="B217" s="66" t="s">
        <v>214</v>
      </c>
      <c r="C217" s="69" t="s">
        <v>1177</v>
      </c>
      <c r="D217" s="149" t="s">
        <v>1178</v>
      </c>
      <c r="E217" s="167" t="s">
        <v>1179</v>
      </c>
      <c r="F217" s="154">
        <v>950.0</v>
      </c>
      <c r="G217" s="151">
        <v>45855.0</v>
      </c>
      <c r="H217" s="155">
        <f t="shared" si="7"/>
        <v>1425</v>
      </c>
      <c r="I217" s="37">
        <f t="shared" si="8"/>
        <v>1235</v>
      </c>
      <c r="J217" s="38">
        <f t="shared" si="9"/>
        <v>1235</v>
      </c>
      <c r="K217" s="39">
        <f t="shared" si="10"/>
        <v>1140</v>
      </c>
      <c r="L217" s="38">
        <f t="shared" si="11"/>
        <v>1092.5</v>
      </c>
      <c r="M217" s="39">
        <f t="shared" si="12"/>
        <v>1045</v>
      </c>
      <c r="N217" s="40"/>
      <c r="O217" s="78"/>
      <c r="P217" s="35"/>
      <c r="Q217" s="35"/>
      <c r="R217" s="35"/>
      <c r="S217" s="35"/>
      <c r="T217" s="35"/>
      <c r="U217" s="35"/>
      <c r="V217" s="35"/>
      <c r="W217" s="35"/>
      <c r="X217" s="35"/>
      <c r="Y217" s="35"/>
      <c r="Z217" s="35"/>
    </row>
    <row r="218" ht="15.75" customHeight="1">
      <c r="A218" s="66" t="s">
        <v>563</v>
      </c>
      <c r="B218" s="66" t="s">
        <v>214</v>
      </c>
      <c r="C218" s="69" t="s">
        <v>1180</v>
      </c>
      <c r="D218" s="149" t="s">
        <v>1167</v>
      </c>
      <c r="E218" s="167" t="s">
        <v>1181</v>
      </c>
      <c r="F218" s="154">
        <v>600.0</v>
      </c>
      <c r="G218" s="151">
        <v>45855.0</v>
      </c>
      <c r="H218" s="155">
        <f t="shared" si="7"/>
        <v>900</v>
      </c>
      <c r="I218" s="37">
        <f t="shared" si="8"/>
        <v>780</v>
      </c>
      <c r="J218" s="38">
        <f t="shared" si="9"/>
        <v>780</v>
      </c>
      <c r="K218" s="39">
        <f t="shared" si="10"/>
        <v>720</v>
      </c>
      <c r="L218" s="38">
        <f t="shared" si="11"/>
        <v>690</v>
      </c>
      <c r="M218" s="39">
        <f t="shared" si="12"/>
        <v>660</v>
      </c>
      <c r="N218" s="40"/>
      <c r="O218" s="78"/>
      <c r="P218" s="35"/>
      <c r="Q218" s="35"/>
      <c r="R218" s="35"/>
      <c r="S218" s="35"/>
      <c r="T218" s="35"/>
      <c r="U218" s="35"/>
      <c r="V218" s="35"/>
      <c r="W218" s="35"/>
      <c r="X218" s="35"/>
      <c r="Y218" s="35"/>
      <c r="Z218" s="35"/>
    </row>
    <row r="219" ht="15.75" customHeight="1">
      <c r="A219" s="66" t="s">
        <v>563</v>
      </c>
      <c r="B219" s="66" t="s">
        <v>214</v>
      </c>
      <c r="C219" s="66" t="s">
        <v>1182</v>
      </c>
      <c r="D219" s="149" t="s">
        <v>1162</v>
      </c>
      <c r="E219" s="167" t="s">
        <v>1183</v>
      </c>
      <c r="F219" s="154">
        <v>630.0</v>
      </c>
      <c r="G219" s="151">
        <v>45855.0</v>
      </c>
      <c r="H219" s="155">
        <f t="shared" si="7"/>
        <v>945</v>
      </c>
      <c r="I219" s="37">
        <f t="shared" si="8"/>
        <v>819</v>
      </c>
      <c r="J219" s="38">
        <f t="shared" si="9"/>
        <v>819</v>
      </c>
      <c r="K219" s="39">
        <f t="shared" si="10"/>
        <v>756</v>
      </c>
      <c r="L219" s="38">
        <f t="shared" si="11"/>
        <v>724.5</v>
      </c>
      <c r="M219" s="39">
        <f t="shared" si="12"/>
        <v>693</v>
      </c>
      <c r="N219" s="40"/>
      <c r="O219" s="78"/>
      <c r="P219" s="35"/>
      <c r="Q219" s="35"/>
      <c r="R219" s="35"/>
      <c r="S219" s="35"/>
      <c r="T219" s="35"/>
      <c r="U219" s="35"/>
      <c r="V219" s="35"/>
      <c r="W219" s="35"/>
      <c r="X219" s="35"/>
      <c r="Y219" s="35"/>
      <c r="Z219" s="35"/>
    </row>
    <row r="220" ht="15.75" customHeight="1">
      <c r="A220" s="66" t="s">
        <v>563</v>
      </c>
      <c r="B220" s="66" t="s">
        <v>214</v>
      </c>
      <c r="C220" s="66" t="s">
        <v>1184</v>
      </c>
      <c r="D220" s="149" t="s">
        <v>1175</v>
      </c>
      <c r="E220" s="167" t="s">
        <v>1185</v>
      </c>
      <c r="F220" s="154">
        <v>850.0</v>
      </c>
      <c r="G220" s="151">
        <v>45855.0</v>
      </c>
      <c r="H220" s="155">
        <f t="shared" si="7"/>
        <v>1275</v>
      </c>
      <c r="I220" s="37">
        <f t="shared" si="8"/>
        <v>1105</v>
      </c>
      <c r="J220" s="38">
        <f t="shared" si="9"/>
        <v>1105</v>
      </c>
      <c r="K220" s="39">
        <f t="shared" si="10"/>
        <v>1020</v>
      </c>
      <c r="L220" s="38">
        <f t="shared" si="11"/>
        <v>977.5</v>
      </c>
      <c r="M220" s="39">
        <f t="shared" si="12"/>
        <v>935</v>
      </c>
      <c r="N220" s="40"/>
      <c r="O220" s="78"/>
      <c r="P220" s="35"/>
      <c r="Q220" s="35"/>
      <c r="R220" s="35"/>
      <c r="S220" s="35"/>
      <c r="T220" s="35"/>
      <c r="U220" s="35"/>
      <c r="V220" s="35"/>
      <c r="W220" s="35"/>
      <c r="X220" s="35"/>
      <c r="Y220" s="35"/>
      <c r="Z220" s="35"/>
    </row>
    <row r="221" ht="15.75" customHeight="1">
      <c r="A221" s="66" t="s">
        <v>563</v>
      </c>
      <c r="B221" s="66" t="s">
        <v>214</v>
      </c>
      <c r="C221" s="66" t="s">
        <v>1186</v>
      </c>
      <c r="D221" s="149" t="s">
        <v>1178</v>
      </c>
      <c r="E221" s="167" t="s">
        <v>1187</v>
      </c>
      <c r="F221" s="154">
        <v>780.0</v>
      </c>
      <c r="G221" s="151">
        <v>45855.0</v>
      </c>
      <c r="H221" s="155">
        <f t="shared" si="7"/>
        <v>1170</v>
      </c>
      <c r="I221" s="37">
        <f t="shared" si="8"/>
        <v>1014</v>
      </c>
      <c r="J221" s="38">
        <f t="shared" si="9"/>
        <v>1014</v>
      </c>
      <c r="K221" s="39">
        <f t="shared" si="10"/>
        <v>936</v>
      </c>
      <c r="L221" s="38">
        <f t="shared" si="11"/>
        <v>897</v>
      </c>
      <c r="M221" s="39">
        <f t="shared" si="12"/>
        <v>858</v>
      </c>
      <c r="N221" s="40"/>
      <c r="O221" s="78"/>
      <c r="P221" s="35"/>
      <c r="Q221" s="35"/>
      <c r="R221" s="35"/>
      <c r="S221" s="35"/>
      <c r="T221" s="35"/>
      <c r="U221" s="35"/>
      <c r="V221" s="35"/>
      <c r="W221" s="35"/>
      <c r="X221" s="35"/>
      <c r="Y221" s="35"/>
      <c r="Z221" s="35"/>
    </row>
    <row r="222" ht="15.75" customHeight="1">
      <c r="A222" s="66" t="s">
        <v>563</v>
      </c>
      <c r="B222" s="66" t="s">
        <v>214</v>
      </c>
      <c r="C222" s="66" t="s">
        <v>1188</v>
      </c>
      <c r="D222" s="149" t="s">
        <v>1189</v>
      </c>
      <c r="E222" s="167" t="s">
        <v>1190</v>
      </c>
      <c r="F222" s="154">
        <v>1680.0</v>
      </c>
      <c r="G222" s="151">
        <v>45855.0</v>
      </c>
      <c r="H222" s="155">
        <f t="shared" si="7"/>
        <v>2520</v>
      </c>
      <c r="I222" s="37">
        <f t="shared" si="8"/>
        <v>2184</v>
      </c>
      <c r="J222" s="38">
        <f t="shared" si="9"/>
        <v>2184</v>
      </c>
      <c r="K222" s="39">
        <f t="shared" si="10"/>
        <v>2016</v>
      </c>
      <c r="L222" s="38">
        <f t="shared" si="11"/>
        <v>1932</v>
      </c>
      <c r="M222" s="39">
        <f t="shared" si="12"/>
        <v>1848</v>
      </c>
      <c r="N222" s="40"/>
      <c r="O222" s="78"/>
      <c r="P222" s="35"/>
      <c r="Q222" s="35"/>
      <c r="R222" s="35"/>
      <c r="S222" s="35"/>
      <c r="T222" s="35"/>
      <c r="U222" s="35"/>
      <c r="V222" s="35"/>
      <c r="W222" s="35"/>
      <c r="X222" s="35"/>
      <c r="Y222" s="35"/>
      <c r="Z222" s="35"/>
    </row>
    <row r="223" ht="15.75" customHeight="1">
      <c r="A223" s="66" t="s">
        <v>563</v>
      </c>
      <c r="B223" s="66" t="s">
        <v>214</v>
      </c>
      <c r="C223" s="69" t="s">
        <v>1191</v>
      </c>
      <c r="D223" s="149" t="s">
        <v>1192</v>
      </c>
      <c r="E223" s="167" t="s">
        <v>1193</v>
      </c>
      <c r="F223" s="154">
        <v>2100.0</v>
      </c>
      <c r="G223" s="151">
        <v>45855.0</v>
      </c>
      <c r="H223" s="155">
        <f t="shared" si="7"/>
        <v>3150</v>
      </c>
      <c r="I223" s="37">
        <f t="shared" si="8"/>
        <v>2730</v>
      </c>
      <c r="J223" s="38">
        <f t="shared" si="9"/>
        <v>2730</v>
      </c>
      <c r="K223" s="39">
        <f t="shared" si="10"/>
        <v>2520</v>
      </c>
      <c r="L223" s="38">
        <f t="shared" si="11"/>
        <v>2415</v>
      </c>
      <c r="M223" s="39">
        <f t="shared" si="12"/>
        <v>2310</v>
      </c>
      <c r="N223" s="40"/>
      <c r="O223" s="78"/>
      <c r="P223" s="35"/>
      <c r="Q223" s="35"/>
      <c r="R223" s="35"/>
      <c r="S223" s="35"/>
      <c r="T223" s="35"/>
      <c r="U223" s="35"/>
      <c r="V223" s="35"/>
      <c r="W223" s="35"/>
      <c r="X223" s="35"/>
      <c r="Y223" s="35"/>
      <c r="Z223" s="35"/>
    </row>
    <row r="224" ht="15.75" customHeight="1">
      <c r="A224" s="66" t="s">
        <v>563</v>
      </c>
      <c r="B224" s="66" t="s">
        <v>214</v>
      </c>
      <c r="C224" s="69" t="s">
        <v>1194</v>
      </c>
      <c r="D224" s="149" t="s">
        <v>1178</v>
      </c>
      <c r="E224" s="167" t="s">
        <v>1195</v>
      </c>
      <c r="F224" s="154">
        <v>2100.0</v>
      </c>
      <c r="G224" s="151">
        <v>45855.0</v>
      </c>
      <c r="H224" s="155">
        <f t="shared" si="7"/>
        <v>3150</v>
      </c>
      <c r="I224" s="37">
        <f t="shared" si="8"/>
        <v>2730</v>
      </c>
      <c r="J224" s="38">
        <f t="shared" si="9"/>
        <v>2730</v>
      </c>
      <c r="K224" s="39">
        <f t="shared" si="10"/>
        <v>2520</v>
      </c>
      <c r="L224" s="38">
        <f t="shared" si="11"/>
        <v>2415</v>
      </c>
      <c r="M224" s="39">
        <f t="shared" si="12"/>
        <v>2310</v>
      </c>
      <c r="N224" s="40"/>
      <c r="O224" s="78"/>
      <c r="P224" s="35"/>
      <c r="Q224" s="35"/>
      <c r="R224" s="35"/>
      <c r="S224" s="35"/>
      <c r="T224" s="35"/>
      <c r="U224" s="35"/>
      <c r="V224" s="35"/>
      <c r="W224" s="35"/>
      <c r="X224" s="35"/>
      <c r="Y224" s="35"/>
      <c r="Z224" s="35"/>
    </row>
    <row r="225" ht="15.75" customHeight="1">
      <c r="A225" s="66" t="s">
        <v>563</v>
      </c>
      <c r="B225" s="66" t="s">
        <v>214</v>
      </c>
      <c r="C225" s="69" t="s">
        <v>1196</v>
      </c>
      <c r="D225" s="149" t="s">
        <v>1197</v>
      </c>
      <c r="E225" s="167" t="s">
        <v>1198</v>
      </c>
      <c r="F225" s="154">
        <v>700.0</v>
      </c>
      <c r="G225" s="151">
        <v>45855.0</v>
      </c>
      <c r="H225" s="155">
        <f t="shared" si="7"/>
        <v>1050</v>
      </c>
      <c r="I225" s="37">
        <f t="shared" si="8"/>
        <v>910</v>
      </c>
      <c r="J225" s="38">
        <f t="shared" si="9"/>
        <v>910</v>
      </c>
      <c r="K225" s="39">
        <f t="shared" si="10"/>
        <v>840</v>
      </c>
      <c r="L225" s="38">
        <f t="shared" si="11"/>
        <v>805</v>
      </c>
      <c r="M225" s="39">
        <f t="shared" si="12"/>
        <v>770</v>
      </c>
      <c r="N225" s="40"/>
      <c r="O225" s="78"/>
      <c r="P225" s="35"/>
      <c r="Q225" s="35"/>
      <c r="R225" s="35"/>
      <c r="S225" s="35"/>
      <c r="T225" s="35"/>
      <c r="U225" s="35"/>
      <c r="V225" s="35"/>
      <c r="W225" s="35"/>
      <c r="X225" s="35"/>
      <c r="Y225" s="35"/>
      <c r="Z225" s="35"/>
    </row>
    <row r="226" ht="15.75" customHeight="1">
      <c r="A226" s="66" t="s">
        <v>563</v>
      </c>
      <c r="B226" s="66" t="s">
        <v>214</v>
      </c>
      <c r="C226" s="69" t="s">
        <v>1199</v>
      </c>
      <c r="D226" s="149" t="s">
        <v>1197</v>
      </c>
      <c r="E226" s="167" t="s">
        <v>1200</v>
      </c>
      <c r="F226" s="154">
        <v>720.0</v>
      </c>
      <c r="G226" s="151">
        <v>45855.0</v>
      </c>
      <c r="H226" s="155">
        <f t="shared" si="7"/>
        <v>1080</v>
      </c>
      <c r="I226" s="37">
        <f t="shared" si="8"/>
        <v>936</v>
      </c>
      <c r="J226" s="38">
        <f t="shared" si="9"/>
        <v>936</v>
      </c>
      <c r="K226" s="39">
        <f t="shared" si="10"/>
        <v>864</v>
      </c>
      <c r="L226" s="38">
        <f t="shared" si="11"/>
        <v>828</v>
      </c>
      <c r="M226" s="39">
        <f t="shared" si="12"/>
        <v>792</v>
      </c>
      <c r="N226" s="40"/>
      <c r="O226" s="78"/>
      <c r="P226" s="35"/>
      <c r="Q226" s="35"/>
      <c r="R226" s="35"/>
      <c r="S226" s="35"/>
      <c r="T226" s="35"/>
      <c r="U226" s="35"/>
      <c r="V226" s="35"/>
      <c r="W226" s="35"/>
      <c r="X226" s="35"/>
      <c r="Y226" s="35"/>
      <c r="Z226" s="35"/>
    </row>
    <row r="227" ht="15.75" customHeight="1">
      <c r="A227" s="66" t="s">
        <v>563</v>
      </c>
      <c r="B227" s="66" t="s">
        <v>214</v>
      </c>
      <c r="C227" s="69" t="s">
        <v>1201</v>
      </c>
      <c r="D227" s="149" t="s">
        <v>1202</v>
      </c>
      <c r="E227" s="167" t="s">
        <v>1203</v>
      </c>
      <c r="F227" s="154">
        <v>419.0</v>
      </c>
      <c r="G227" s="151">
        <v>45855.0</v>
      </c>
      <c r="H227" s="155">
        <f t="shared" si="7"/>
        <v>628.5</v>
      </c>
      <c r="I227" s="37">
        <f t="shared" si="8"/>
        <v>544.7</v>
      </c>
      <c r="J227" s="38">
        <f t="shared" si="9"/>
        <v>544.7</v>
      </c>
      <c r="K227" s="39">
        <f t="shared" si="10"/>
        <v>502.8</v>
      </c>
      <c r="L227" s="38">
        <f t="shared" si="11"/>
        <v>481.85</v>
      </c>
      <c r="M227" s="39">
        <f t="shared" si="12"/>
        <v>460.9</v>
      </c>
      <c r="N227" s="40"/>
      <c r="O227" s="78"/>
      <c r="P227" s="35"/>
      <c r="Q227" s="35"/>
      <c r="R227" s="35"/>
      <c r="S227" s="35"/>
      <c r="T227" s="35"/>
      <c r="U227" s="35"/>
      <c r="V227" s="35"/>
      <c r="W227" s="35"/>
      <c r="X227" s="35"/>
      <c r="Y227" s="35"/>
      <c r="Z227" s="35"/>
    </row>
    <row r="228" ht="15.75" customHeight="1">
      <c r="A228" s="66" t="s">
        <v>563</v>
      </c>
      <c r="B228" s="66" t="s">
        <v>214</v>
      </c>
      <c r="C228" s="69" t="s">
        <v>1204</v>
      </c>
      <c r="D228" s="149" t="s">
        <v>1205</v>
      </c>
      <c r="E228" s="167" t="s">
        <v>1205</v>
      </c>
      <c r="F228" s="154">
        <v>8869.0</v>
      </c>
      <c r="G228" s="151">
        <v>45855.0</v>
      </c>
      <c r="H228" s="155">
        <f t="shared" si="7"/>
        <v>13303.5</v>
      </c>
      <c r="I228" s="37">
        <f t="shared" si="8"/>
        <v>11529.7</v>
      </c>
      <c r="J228" s="38">
        <f t="shared" si="9"/>
        <v>11529.7</v>
      </c>
      <c r="K228" s="39">
        <f t="shared" si="10"/>
        <v>10642.8</v>
      </c>
      <c r="L228" s="38">
        <f t="shared" si="11"/>
        <v>10199.35</v>
      </c>
      <c r="M228" s="39">
        <f t="shared" si="12"/>
        <v>9755.9</v>
      </c>
      <c r="N228" s="40"/>
      <c r="O228" s="78"/>
      <c r="P228" s="35"/>
      <c r="Q228" s="35"/>
      <c r="R228" s="35"/>
      <c r="S228" s="35"/>
      <c r="T228" s="35"/>
      <c r="U228" s="35"/>
      <c r="V228" s="35"/>
      <c r="W228" s="35"/>
      <c r="X228" s="35"/>
      <c r="Y228" s="35"/>
      <c r="Z228" s="35"/>
    </row>
    <row r="229" ht="15.75" customHeight="1">
      <c r="A229" s="66" t="s">
        <v>563</v>
      </c>
      <c r="B229" s="66" t="s">
        <v>214</v>
      </c>
      <c r="C229" s="69" t="s">
        <v>1206</v>
      </c>
      <c r="D229" s="149" t="s">
        <v>1207</v>
      </c>
      <c r="E229" s="167" t="s">
        <v>1208</v>
      </c>
      <c r="F229" s="154">
        <v>619.0</v>
      </c>
      <c r="G229" s="151">
        <v>45855.0</v>
      </c>
      <c r="H229" s="155">
        <f t="shared" si="7"/>
        <v>928.5</v>
      </c>
      <c r="I229" s="37">
        <f t="shared" si="8"/>
        <v>804.7</v>
      </c>
      <c r="J229" s="38">
        <f t="shared" si="9"/>
        <v>804.7</v>
      </c>
      <c r="K229" s="39">
        <f t="shared" si="10"/>
        <v>742.8</v>
      </c>
      <c r="L229" s="38">
        <f t="shared" si="11"/>
        <v>711.85</v>
      </c>
      <c r="M229" s="39">
        <f t="shared" si="12"/>
        <v>680.9</v>
      </c>
      <c r="N229" s="40"/>
      <c r="O229" s="78"/>
      <c r="P229" s="35"/>
      <c r="Q229" s="35"/>
      <c r="R229" s="35"/>
      <c r="S229" s="35"/>
      <c r="T229" s="35"/>
      <c r="U229" s="35"/>
      <c r="V229" s="35"/>
      <c r="W229" s="35"/>
      <c r="X229" s="35"/>
      <c r="Y229" s="35"/>
      <c r="Z229" s="35"/>
    </row>
    <row r="230" ht="15.75" customHeight="1">
      <c r="A230" s="66" t="s">
        <v>563</v>
      </c>
      <c r="B230" s="66" t="s">
        <v>1209</v>
      </c>
      <c r="C230" s="69" t="s">
        <v>1210</v>
      </c>
      <c r="D230" s="149" t="s">
        <v>1211</v>
      </c>
      <c r="E230" s="167" t="s">
        <v>1212</v>
      </c>
      <c r="F230" s="154">
        <v>417.0</v>
      </c>
      <c r="G230" s="151">
        <v>45855.0</v>
      </c>
      <c r="H230" s="155">
        <f t="shared" si="7"/>
        <v>625.5</v>
      </c>
      <c r="I230" s="37">
        <f t="shared" si="8"/>
        <v>542.1</v>
      </c>
      <c r="J230" s="38">
        <f t="shared" si="9"/>
        <v>542.1</v>
      </c>
      <c r="K230" s="39">
        <f t="shared" si="10"/>
        <v>500.4</v>
      </c>
      <c r="L230" s="38">
        <f t="shared" si="11"/>
        <v>479.55</v>
      </c>
      <c r="M230" s="39">
        <f t="shared" si="12"/>
        <v>458.7</v>
      </c>
      <c r="N230" s="40"/>
      <c r="O230" s="78"/>
      <c r="P230" s="35"/>
      <c r="Q230" s="35"/>
      <c r="R230" s="35"/>
      <c r="S230" s="35"/>
      <c r="T230" s="35"/>
      <c r="U230" s="35"/>
      <c r="V230" s="35"/>
      <c r="W230" s="35"/>
      <c r="X230" s="35"/>
      <c r="Y230" s="35"/>
      <c r="Z230" s="35"/>
    </row>
    <row r="231" ht="15.75" customHeight="1">
      <c r="A231" s="66" t="s">
        <v>563</v>
      </c>
      <c r="B231" s="66" t="s">
        <v>1209</v>
      </c>
      <c r="C231" s="69" t="s">
        <v>1213</v>
      </c>
      <c r="D231" s="149" t="s">
        <v>1214</v>
      </c>
      <c r="E231" s="167" t="s">
        <v>1215</v>
      </c>
      <c r="F231" s="154">
        <v>478.0</v>
      </c>
      <c r="G231" s="151">
        <v>45855.0</v>
      </c>
      <c r="H231" s="155">
        <f t="shared" si="7"/>
        <v>717</v>
      </c>
      <c r="I231" s="37">
        <f t="shared" si="8"/>
        <v>621.4</v>
      </c>
      <c r="J231" s="38">
        <f t="shared" si="9"/>
        <v>621.4</v>
      </c>
      <c r="K231" s="39">
        <f t="shared" si="10"/>
        <v>573.6</v>
      </c>
      <c r="L231" s="38">
        <f t="shared" si="11"/>
        <v>549.7</v>
      </c>
      <c r="M231" s="39">
        <f t="shared" si="12"/>
        <v>525.8</v>
      </c>
      <c r="N231" s="40"/>
      <c r="O231" s="78"/>
      <c r="P231" s="35"/>
      <c r="Q231" s="35"/>
      <c r="R231" s="35"/>
      <c r="S231" s="35"/>
      <c r="T231" s="35"/>
      <c r="U231" s="35"/>
      <c r="V231" s="35"/>
      <c r="W231" s="35"/>
      <c r="X231" s="35"/>
      <c r="Y231" s="35"/>
      <c r="Z231" s="35"/>
    </row>
    <row r="232" ht="15.75" customHeight="1">
      <c r="A232" s="66" t="s">
        <v>563</v>
      </c>
      <c r="B232" s="66" t="s">
        <v>1209</v>
      </c>
      <c r="C232" s="69" t="s">
        <v>1216</v>
      </c>
      <c r="D232" s="149" t="s">
        <v>1217</v>
      </c>
      <c r="E232" s="167" t="s">
        <v>1215</v>
      </c>
      <c r="F232" s="154">
        <v>583.0</v>
      </c>
      <c r="G232" s="151">
        <v>45855.0</v>
      </c>
      <c r="H232" s="155">
        <f t="shared" si="7"/>
        <v>874.5</v>
      </c>
      <c r="I232" s="37">
        <f t="shared" si="8"/>
        <v>757.9</v>
      </c>
      <c r="J232" s="38">
        <f t="shared" si="9"/>
        <v>757.9</v>
      </c>
      <c r="K232" s="39">
        <f t="shared" si="10"/>
        <v>699.6</v>
      </c>
      <c r="L232" s="38">
        <f t="shared" si="11"/>
        <v>670.45</v>
      </c>
      <c r="M232" s="39">
        <f t="shared" si="12"/>
        <v>641.3</v>
      </c>
      <c r="N232" s="40"/>
      <c r="O232" s="78"/>
      <c r="P232" s="35"/>
      <c r="Q232" s="35"/>
      <c r="R232" s="35"/>
      <c r="S232" s="35"/>
      <c r="T232" s="35"/>
      <c r="U232" s="35"/>
      <c r="V232" s="35"/>
      <c r="W232" s="35"/>
      <c r="X232" s="35"/>
      <c r="Y232" s="35"/>
      <c r="Z232" s="35"/>
    </row>
    <row r="233" ht="15.75" customHeight="1">
      <c r="A233" s="66" t="s">
        <v>563</v>
      </c>
      <c r="B233" s="66" t="s">
        <v>1209</v>
      </c>
      <c r="C233" s="69" t="s">
        <v>1218</v>
      </c>
      <c r="D233" s="149" t="s">
        <v>1219</v>
      </c>
      <c r="E233" s="167" t="s">
        <v>1220</v>
      </c>
      <c r="F233" s="154">
        <v>850.0</v>
      </c>
      <c r="G233" s="151">
        <v>45855.0</v>
      </c>
      <c r="H233" s="155">
        <f t="shared" si="7"/>
        <v>1275</v>
      </c>
      <c r="I233" s="37">
        <f t="shared" si="8"/>
        <v>1105</v>
      </c>
      <c r="J233" s="38">
        <f t="shared" si="9"/>
        <v>1105</v>
      </c>
      <c r="K233" s="39">
        <f t="shared" si="10"/>
        <v>1020</v>
      </c>
      <c r="L233" s="38">
        <f t="shared" si="11"/>
        <v>977.5</v>
      </c>
      <c r="M233" s="39">
        <f t="shared" si="12"/>
        <v>935</v>
      </c>
      <c r="N233" s="40"/>
      <c r="O233" s="78"/>
      <c r="P233" s="35"/>
      <c r="Q233" s="35"/>
      <c r="R233" s="35"/>
      <c r="S233" s="35"/>
      <c r="T233" s="35"/>
      <c r="U233" s="35"/>
      <c r="V233" s="35"/>
      <c r="W233" s="35"/>
      <c r="X233" s="35"/>
      <c r="Y233" s="35"/>
      <c r="Z233" s="35"/>
    </row>
    <row r="234" ht="15.75" customHeight="1">
      <c r="A234" s="66" t="s">
        <v>563</v>
      </c>
      <c r="B234" s="66" t="s">
        <v>1209</v>
      </c>
      <c r="C234" s="69" t="s">
        <v>1221</v>
      </c>
      <c r="D234" s="149" t="s">
        <v>1217</v>
      </c>
      <c r="E234" s="167" t="s">
        <v>1222</v>
      </c>
      <c r="F234" s="154">
        <v>985.0</v>
      </c>
      <c r="G234" s="151">
        <v>45855.0</v>
      </c>
      <c r="H234" s="155">
        <f t="shared" si="7"/>
        <v>1477.5</v>
      </c>
      <c r="I234" s="37">
        <f t="shared" si="8"/>
        <v>1280.5</v>
      </c>
      <c r="J234" s="38">
        <f t="shared" si="9"/>
        <v>1280.5</v>
      </c>
      <c r="K234" s="39">
        <f t="shared" si="10"/>
        <v>1182</v>
      </c>
      <c r="L234" s="38">
        <f t="shared" si="11"/>
        <v>1132.75</v>
      </c>
      <c r="M234" s="39">
        <f t="shared" si="12"/>
        <v>1083.5</v>
      </c>
      <c r="N234" s="40"/>
      <c r="O234" s="78"/>
      <c r="P234" s="35"/>
      <c r="Q234" s="35"/>
      <c r="R234" s="35"/>
      <c r="S234" s="35"/>
      <c r="T234" s="35"/>
      <c r="U234" s="35"/>
      <c r="V234" s="35"/>
      <c r="W234" s="35"/>
      <c r="X234" s="35"/>
      <c r="Y234" s="35"/>
      <c r="Z234" s="35"/>
    </row>
    <row r="235" ht="15.75" customHeight="1">
      <c r="A235" s="66" t="s">
        <v>563</v>
      </c>
      <c r="B235" s="66" t="s">
        <v>1209</v>
      </c>
      <c r="C235" s="69" t="s">
        <v>1223</v>
      </c>
      <c r="D235" s="149" t="s">
        <v>1224</v>
      </c>
      <c r="E235" s="167" t="s">
        <v>1225</v>
      </c>
      <c r="F235" s="154">
        <v>1127.0</v>
      </c>
      <c r="G235" s="151">
        <v>45855.0</v>
      </c>
      <c r="H235" s="155">
        <f t="shared" si="7"/>
        <v>1690.5</v>
      </c>
      <c r="I235" s="37">
        <f t="shared" si="8"/>
        <v>1465.1</v>
      </c>
      <c r="J235" s="38">
        <f t="shared" si="9"/>
        <v>1465.1</v>
      </c>
      <c r="K235" s="39">
        <f t="shared" si="10"/>
        <v>1352.4</v>
      </c>
      <c r="L235" s="38">
        <f t="shared" si="11"/>
        <v>1296.05</v>
      </c>
      <c r="M235" s="39">
        <f t="shared" si="12"/>
        <v>1239.7</v>
      </c>
      <c r="N235" s="40"/>
      <c r="O235" s="78"/>
      <c r="P235" s="35"/>
      <c r="Q235" s="35"/>
      <c r="R235" s="35"/>
      <c r="S235" s="35"/>
      <c r="T235" s="35"/>
      <c r="U235" s="35"/>
      <c r="V235" s="35"/>
      <c r="W235" s="35"/>
      <c r="X235" s="35"/>
      <c r="Y235" s="35"/>
      <c r="Z235" s="35"/>
    </row>
    <row r="236" ht="15.75" customHeight="1">
      <c r="A236" s="66" t="s">
        <v>563</v>
      </c>
      <c r="B236" s="66" t="s">
        <v>1209</v>
      </c>
      <c r="C236" s="66" t="s">
        <v>1226</v>
      </c>
      <c r="D236" s="149" t="s">
        <v>1227</v>
      </c>
      <c r="E236" s="167" t="s">
        <v>1228</v>
      </c>
      <c r="F236" s="154">
        <v>1287.0</v>
      </c>
      <c r="G236" s="151">
        <v>45855.0</v>
      </c>
      <c r="H236" s="155">
        <f t="shared" si="7"/>
        <v>1930.5</v>
      </c>
      <c r="I236" s="37">
        <f t="shared" si="8"/>
        <v>1673.1</v>
      </c>
      <c r="J236" s="38">
        <f t="shared" si="9"/>
        <v>1673.1</v>
      </c>
      <c r="K236" s="39">
        <f t="shared" si="10"/>
        <v>1544.4</v>
      </c>
      <c r="L236" s="38">
        <f t="shared" si="11"/>
        <v>1480.05</v>
      </c>
      <c r="M236" s="39">
        <f t="shared" si="12"/>
        <v>1415.7</v>
      </c>
      <c r="N236" s="40"/>
      <c r="O236" s="34"/>
      <c r="P236" s="35"/>
      <c r="Q236" s="35"/>
      <c r="R236" s="35"/>
      <c r="S236" s="35"/>
      <c r="T236" s="35"/>
      <c r="U236" s="35"/>
      <c r="V236" s="35"/>
      <c r="W236" s="35"/>
      <c r="X236" s="35"/>
      <c r="Y236" s="35"/>
      <c r="Z236" s="35"/>
    </row>
    <row r="237" ht="15.75" customHeight="1">
      <c r="A237" s="66" t="s">
        <v>563</v>
      </c>
      <c r="B237" s="66" t="s">
        <v>1209</v>
      </c>
      <c r="C237" s="69" t="s">
        <v>1229</v>
      </c>
      <c r="D237" s="149" t="s">
        <v>1230</v>
      </c>
      <c r="E237" s="167" t="s">
        <v>1231</v>
      </c>
      <c r="F237" s="154">
        <v>1495.0</v>
      </c>
      <c r="G237" s="151">
        <v>45855.0</v>
      </c>
      <c r="H237" s="155">
        <f t="shared" si="7"/>
        <v>2242.5</v>
      </c>
      <c r="I237" s="37">
        <f t="shared" si="8"/>
        <v>1943.5</v>
      </c>
      <c r="J237" s="38">
        <f t="shared" si="9"/>
        <v>1943.5</v>
      </c>
      <c r="K237" s="39">
        <f t="shared" si="10"/>
        <v>1794</v>
      </c>
      <c r="L237" s="38">
        <f t="shared" si="11"/>
        <v>1719.25</v>
      </c>
      <c r="M237" s="39">
        <f t="shared" si="12"/>
        <v>1644.5</v>
      </c>
      <c r="N237" s="40"/>
      <c r="O237" s="34"/>
      <c r="P237" s="35"/>
      <c r="Q237" s="35"/>
      <c r="R237" s="35"/>
      <c r="S237" s="35"/>
      <c r="T237" s="35"/>
      <c r="U237" s="35"/>
      <c r="V237" s="35"/>
      <c r="W237" s="35"/>
      <c r="X237" s="35"/>
      <c r="Y237" s="35"/>
      <c r="Z237" s="35"/>
    </row>
    <row r="238" ht="15.75" customHeight="1">
      <c r="A238" s="66" t="s">
        <v>563</v>
      </c>
      <c r="B238" s="66" t="s">
        <v>1209</v>
      </c>
      <c r="C238" s="69" t="s">
        <v>1232</v>
      </c>
      <c r="D238" s="149" t="s">
        <v>1233</v>
      </c>
      <c r="E238" s="167" t="s">
        <v>1234</v>
      </c>
      <c r="F238" s="154">
        <v>1316.0</v>
      </c>
      <c r="G238" s="151">
        <v>45855.0</v>
      </c>
      <c r="H238" s="155">
        <f t="shared" si="7"/>
        <v>1974</v>
      </c>
      <c r="I238" s="37">
        <f t="shared" si="8"/>
        <v>1710.8</v>
      </c>
      <c r="J238" s="38">
        <f t="shared" si="9"/>
        <v>1710.8</v>
      </c>
      <c r="K238" s="39">
        <f t="shared" si="10"/>
        <v>1579.2</v>
      </c>
      <c r="L238" s="38">
        <f t="shared" si="11"/>
        <v>1513.4</v>
      </c>
      <c r="M238" s="39">
        <f t="shared" si="12"/>
        <v>1447.6</v>
      </c>
      <c r="N238" s="40"/>
      <c r="O238" s="34"/>
      <c r="P238" s="35"/>
      <c r="Q238" s="35"/>
      <c r="R238" s="35"/>
      <c r="S238" s="35"/>
      <c r="T238" s="35"/>
      <c r="U238" s="35"/>
      <c r="V238" s="35"/>
      <c r="W238" s="35"/>
      <c r="X238" s="35"/>
      <c r="Y238" s="35"/>
      <c r="Z238" s="35"/>
    </row>
    <row r="239" ht="15.75" customHeight="1">
      <c r="A239" s="66" t="s">
        <v>563</v>
      </c>
      <c r="B239" s="66" t="s">
        <v>1209</v>
      </c>
      <c r="C239" s="69" t="s">
        <v>1235</v>
      </c>
      <c r="D239" s="149" t="s">
        <v>1236</v>
      </c>
      <c r="E239" s="167" t="s">
        <v>1237</v>
      </c>
      <c r="F239" s="154">
        <v>740.0</v>
      </c>
      <c r="G239" s="151">
        <v>45855.0</v>
      </c>
      <c r="H239" s="155">
        <f t="shared" si="7"/>
        <v>1110</v>
      </c>
      <c r="I239" s="37">
        <f t="shared" si="8"/>
        <v>962</v>
      </c>
      <c r="J239" s="38">
        <f t="shared" si="9"/>
        <v>962</v>
      </c>
      <c r="K239" s="39">
        <f t="shared" si="10"/>
        <v>888</v>
      </c>
      <c r="L239" s="38">
        <f t="shared" si="11"/>
        <v>851</v>
      </c>
      <c r="M239" s="39">
        <f t="shared" si="12"/>
        <v>814</v>
      </c>
      <c r="N239" s="40"/>
      <c r="O239" s="34"/>
      <c r="P239" s="35"/>
      <c r="Q239" s="35"/>
      <c r="R239" s="35"/>
      <c r="S239" s="35"/>
      <c r="T239" s="35"/>
      <c r="U239" s="35"/>
      <c r="V239" s="35"/>
      <c r="W239" s="35"/>
      <c r="X239" s="35"/>
      <c r="Y239" s="35"/>
      <c r="Z239" s="35"/>
    </row>
    <row r="240" ht="15.75" customHeight="1">
      <c r="A240" s="66" t="s">
        <v>563</v>
      </c>
      <c r="B240" s="66" t="s">
        <v>1209</v>
      </c>
      <c r="C240" s="69" t="s">
        <v>1238</v>
      </c>
      <c r="D240" s="149" t="s">
        <v>1239</v>
      </c>
      <c r="E240" s="167" t="s">
        <v>1240</v>
      </c>
      <c r="F240" s="154">
        <v>708.0</v>
      </c>
      <c r="G240" s="151">
        <v>45855.0</v>
      </c>
      <c r="H240" s="155">
        <f t="shared" si="7"/>
        <v>1062</v>
      </c>
      <c r="I240" s="37">
        <f t="shared" si="8"/>
        <v>920.4</v>
      </c>
      <c r="J240" s="38">
        <f t="shared" si="9"/>
        <v>920.4</v>
      </c>
      <c r="K240" s="39">
        <f t="shared" si="10"/>
        <v>849.6</v>
      </c>
      <c r="L240" s="38">
        <f t="shared" si="11"/>
        <v>814.2</v>
      </c>
      <c r="M240" s="39">
        <f t="shared" si="12"/>
        <v>778.8</v>
      </c>
      <c r="N240" s="40"/>
      <c r="O240" s="34"/>
      <c r="P240" s="35"/>
      <c r="Q240" s="35"/>
      <c r="R240" s="35"/>
      <c r="S240" s="35"/>
      <c r="T240" s="35"/>
      <c r="U240" s="35"/>
      <c r="V240" s="35"/>
      <c r="W240" s="35"/>
      <c r="X240" s="35"/>
      <c r="Y240" s="35"/>
      <c r="Z240" s="35"/>
    </row>
    <row r="241" ht="15.75" customHeight="1">
      <c r="A241" s="168" t="s">
        <v>563</v>
      </c>
      <c r="B241" s="168" t="s">
        <v>1209</v>
      </c>
      <c r="C241" s="169" t="s">
        <v>1241</v>
      </c>
      <c r="D241" s="170" t="s">
        <v>1242</v>
      </c>
      <c r="E241" s="170"/>
      <c r="F241" s="159">
        <v>509.0</v>
      </c>
      <c r="G241" s="151">
        <v>45855.0</v>
      </c>
      <c r="H241" s="171">
        <f t="shared" si="7"/>
        <v>763.5</v>
      </c>
      <c r="I241" s="172">
        <f t="shared" si="8"/>
        <v>661.7</v>
      </c>
      <c r="J241" s="173">
        <f t="shared" si="9"/>
        <v>661.7</v>
      </c>
      <c r="K241" s="174">
        <f t="shared" si="10"/>
        <v>610.8</v>
      </c>
      <c r="L241" s="173">
        <f t="shared" si="11"/>
        <v>585.35</v>
      </c>
      <c r="M241" s="174">
        <f t="shared" si="12"/>
        <v>559.9</v>
      </c>
      <c r="N241" s="175" t="s">
        <v>1243</v>
      </c>
      <c r="O241" s="176"/>
      <c r="P241" s="177"/>
      <c r="Q241" s="177"/>
      <c r="R241" s="177"/>
      <c r="S241" s="177"/>
      <c r="T241" s="177"/>
      <c r="U241" s="177"/>
      <c r="V241" s="177"/>
      <c r="W241" s="177"/>
      <c r="X241" s="177"/>
      <c r="Y241" s="177"/>
      <c r="Z241" s="177"/>
    </row>
    <row r="242" ht="15.75" customHeight="1">
      <c r="A242" s="66" t="s">
        <v>563</v>
      </c>
      <c r="B242" s="66" t="s">
        <v>1209</v>
      </c>
      <c r="C242" s="69" t="s">
        <v>1244</v>
      </c>
      <c r="D242" s="149" t="s">
        <v>1245</v>
      </c>
      <c r="E242" s="167"/>
      <c r="F242" s="154">
        <v>509.0</v>
      </c>
      <c r="G242" s="151">
        <v>45855.0</v>
      </c>
      <c r="H242" s="155">
        <f t="shared" si="7"/>
        <v>763.5</v>
      </c>
      <c r="I242" s="37">
        <f t="shared" si="8"/>
        <v>661.7</v>
      </c>
      <c r="J242" s="38">
        <f t="shared" si="9"/>
        <v>661.7</v>
      </c>
      <c r="K242" s="39">
        <f t="shared" si="10"/>
        <v>610.8</v>
      </c>
      <c r="L242" s="38">
        <f t="shared" si="11"/>
        <v>585.35</v>
      </c>
      <c r="M242" s="39">
        <f t="shared" si="12"/>
        <v>559.9</v>
      </c>
      <c r="N242" s="40"/>
      <c r="O242" s="34"/>
      <c r="P242" s="35"/>
      <c r="Q242" s="35"/>
      <c r="R242" s="35"/>
      <c r="S242" s="35"/>
      <c r="T242" s="35"/>
      <c r="U242" s="35"/>
      <c r="V242" s="35"/>
      <c r="W242" s="35"/>
      <c r="X242" s="35"/>
      <c r="Y242" s="35"/>
      <c r="Z242" s="35"/>
    </row>
    <row r="243" ht="15.75" customHeight="1">
      <c r="A243" s="66" t="s">
        <v>563</v>
      </c>
      <c r="B243" s="66" t="s">
        <v>1209</v>
      </c>
      <c r="C243" s="69" t="s">
        <v>1246</v>
      </c>
      <c r="D243" s="149" t="s">
        <v>1242</v>
      </c>
      <c r="E243" s="167"/>
      <c r="F243" s="154">
        <v>570.0</v>
      </c>
      <c r="G243" s="151">
        <v>45855.0</v>
      </c>
      <c r="H243" s="155">
        <f t="shared" si="7"/>
        <v>855</v>
      </c>
      <c r="I243" s="37">
        <f t="shared" si="8"/>
        <v>741</v>
      </c>
      <c r="J243" s="38">
        <f t="shared" si="9"/>
        <v>741</v>
      </c>
      <c r="K243" s="39">
        <f t="shared" si="10"/>
        <v>684</v>
      </c>
      <c r="L243" s="38">
        <f t="shared" si="11"/>
        <v>655.5</v>
      </c>
      <c r="M243" s="39">
        <f t="shared" si="12"/>
        <v>627</v>
      </c>
      <c r="N243" s="40"/>
      <c r="O243" s="34"/>
      <c r="P243" s="35"/>
      <c r="Q243" s="35"/>
      <c r="R243" s="35"/>
      <c r="S243" s="35"/>
      <c r="T243" s="35"/>
      <c r="U243" s="35"/>
      <c r="V243" s="35"/>
      <c r="W243" s="35"/>
      <c r="X243" s="35"/>
      <c r="Y243" s="35"/>
      <c r="Z243" s="35"/>
    </row>
    <row r="244" ht="15.75" customHeight="1">
      <c r="A244" s="66" t="s">
        <v>563</v>
      </c>
      <c r="B244" s="66" t="s">
        <v>1209</v>
      </c>
      <c r="C244" s="66" t="s">
        <v>1247</v>
      </c>
      <c r="D244" s="148" t="s">
        <v>1245</v>
      </c>
      <c r="E244" s="167"/>
      <c r="F244" s="154">
        <v>550.0</v>
      </c>
      <c r="G244" s="151">
        <v>45855.0</v>
      </c>
      <c r="H244" s="155">
        <f t="shared" si="7"/>
        <v>825</v>
      </c>
      <c r="I244" s="37">
        <f t="shared" si="8"/>
        <v>715</v>
      </c>
      <c r="J244" s="38">
        <f t="shared" si="9"/>
        <v>715</v>
      </c>
      <c r="K244" s="39">
        <f t="shared" si="10"/>
        <v>660</v>
      </c>
      <c r="L244" s="38">
        <f t="shared" si="11"/>
        <v>632.5</v>
      </c>
      <c r="M244" s="39">
        <f t="shared" si="12"/>
        <v>605</v>
      </c>
      <c r="N244" s="40"/>
      <c r="O244" s="34"/>
      <c r="P244" s="35"/>
      <c r="Q244" s="35"/>
      <c r="R244" s="35"/>
      <c r="S244" s="35"/>
      <c r="T244" s="35"/>
      <c r="U244" s="35"/>
      <c r="V244" s="35"/>
      <c r="W244" s="35"/>
      <c r="X244" s="35"/>
      <c r="Y244" s="35"/>
      <c r="Z244" s="35"/>
    </row>
    <row r="245" ht="15.75" customHeight="1">
      <c r="A245" s="66" t="s">
        <v>563</v>
      </c>
      <c r="B245" s="66" t="s">
        <v>1209</v>
      </c>
      <c r="C245" s="69" t="s">
        <v>1248</v>
      </c>
      <c r="D245" s="149" t="s">
        <v>1242</v>
      </c>
      <c r="E245" s="167"/>
      <c r="F245" s="154">
        <v>613.0</v>
      </c>
      <c r="G245" s="151">
        <v>45855.0</v>
      </c>
      <c r="H245" s="155">
        <f t="shared" si="7"/>
        <v>919.5</v>
      </c>
      <c r="I245" s="37">
        <f t="shared" si="8"/>
        <v>796.9</v>
      </c>
      <c r="J245" s="38">
        <f t="shared" si="9"/>
        <v>796.9</v>
      </c>
      <c r="K245" s="39">
        <f t="shared" si="10"/>
        <v>735.6</v>
      </c>
      <c r="L245" s="38">
        <f t="shared" si="11"/>
        <v>704.95</v>
      </c>
      <c r="M245" s="39">
        <f t="shared" si="12"/>
        <v>674.3</v>
      </c>
      <c r="N245" s="40"/>
      <c r="O245" s="35" t="s">
        <v>1249</v>
      </c>
      <c r="P245" s="35"/>
      <c r="Q245" s="35"/>
      <c r="R245" s="35"/>
      <c r="S245" s="35"/>
      <c r="T245" s="35"/>
      <c r="U245" s="35"/>
      <c r="V245" s="35"/>
      <c r="W245" s="35"/>
      <c r="X245" s="35"/>
      <c r="Y245" s="35"/>
      <c r="Z245" s="35"/>
    </row>
    <row r="246" ht="15.75" customHeight="1">
      <c r="A246" s="66" t="s">
        <v>563</v>
      </c>
      <c r="B246" s="66" t="s">
        <v>1209</v>
      </c>
      <c r="C246" s="69" t="s">
        <v>1250</v>
      </c>
      <c r="D246" s="149" t="s">
        <v>1251</v>
      </c>
      <c r="E246" s="167"/>
      <c r="F246" s="154">
        <v>736.0</v>
      </c>
      <c r="G246" s="151">
        <v>45855.0</v>
      </c>
      <c r="H246" s="155">
        <f t="shared" si="7"/>
        <v>1104</v>
      </c>
      <c r="I246" s="37">
        <f t="shared" si="8"/>
        <v>956.8</v>
      </c>
      <c r="J246" s="38">
        <f t="shared" si="9"/>
        <v>956.8</v>
      </c>
      <c r="K246" s="39">
        <f t="shared" si="10"/>
        <v>883.2</v>
      </c>
      <c r="L246" s="38">
        <f t="shared" si="11"/>
        <v>846.4</v>
      </c>
      <c r="M246" s="39">
        <f t="shared" si="12"/>
        <v>809.6</v>
      </c>
      <c r="N246" s="40"/>
      <c r="O246" s="34"/>
      <c r="P246" s="35"/>
      <c r="Q246" s="35"/>
      <c r="R246" s="35"/>
      <c r="S246" s="35"/>
      <c r="T246" s="35"/>
      <c r="U246" s="35"/>
      <c r="V246" s="35"/>
      <c r="W246" s="35"/>
      <c r="X246" s="35"/>
      <c r="Y246" s="35"/>
      <c r="Z246" s="35"/>
    </row>
    <row r="247" ht="15.75" customHeight="1">
      <c r="A247" s="66" t="s">
        <v>563</v>
      </c>
      <c r="B247" s="66" t="s">
        <v>1209</v>
      </c>
      <c r="C247" s="69" t="s">
        <v>1252</v>
      </c>
      <c r="D247" s="149" t="s">
        <v>1253</v>
      </c>
      <c r="E247" s="167"/>
      <c r="F247" s="154">
        <v>736.0</v>
      </c>
      <c r="G247" s="151">
        <v>45855.0</v>
      </c>
      <c r="H247" s="155">
        <f t="shared" si="7"/>
        <v>1104</v>
      </c>
      <c r="I247" s="37">
        <f t="shared" si="8"/>
        <v>956.8</v>
      </c>
      <c r="J247" s="38">
        <f t="shared" si="9"/>
        <v>956.8</v>
      </c>
      <c r="K247" s="39">
        <f t="shared" si="10"/>
        <v>883.2</v>
      </c>
      <c r="L247" s="38">
        <f t="shared" si="11"/>
        <v>846.4</v>
      </c>
      <c r="M247" s="39">
        <f t="shared" si="12"/>
        <v>809.6</v>
      </c>
      <c r="N247" s="40"/>
      <c r="O247" s="34"/>
      <c r="P247" s="35"/>
      <c r="Q247" s="35"/>
      <c r="R247" s="35"/>
      <c r="S247" s="35"/>
      <c r="T247" s="35"/>
      <c r="U247" s="35"/>
      <c r="V247" s="35"/>
      <c r="W247" s="35"/>
      <c r="X247" s="35"/>
      <c r="Y247" s="35"/>
      <c r="Z247" s="35"/>
    </row>
    <row r="248" ht="15.75" customHeight="1">
      <c r="A248" s="66" t="s">
        <v>563</v>
      </c>
      <c r="B248" s="66" t="s">
        <v>1209</v>
      </c>
      <c r="C248" s="69" t="s">
        <v>1254</v>
      </c>
      <c r="D248" s="149" t="s">
        <v>1255</v>
      </c>
      <c r="E248" s="167"/>
      <c r="F248" s="154">
        <v>534.0</v>
      </c>
      <c r="G248" s="151">
        <v>46057.0</v>
      </c>
      <c r="H248" s="155">
        <f t="shared" si="7"/>
        <v>801</v>
      </c>
      <c r="I248" s="37">
        <f t="shared" si="8"/>
        <v>694.2</v>
      </c>
      <c r="J248" s="38">
        <f t="shared" si="9"/>
        <v>694.2</v>
      </c>
      <c r="K248" s="39">
        <f t="shared" si="10"/>
        <v>640.8</v>
      </c>
      <c r="L248" s="38">
        <f t="shared" si="11"/>
        <v>614.1</v>
      </c>
      <c r="M248" s="39">
        <f t="shared" si="12"/>
        <v>587.4</v>
      </c>
      <c r="N248" s="40"/>
      <c r="O248" s="34"/>
      <c r="P248" s="35"/>
      <c r="Q248" s="35"/>
      <c r="R248" s="35"/>
      <c r="S248" s="35"/>
      <c r="T248" s="35"/>
      <c r="U248" s="35"/>
      <c r="V248" s="35"/>
      <c r="W248" s="35"/>
      <c r="X248" s="35"/>
      <c r="Y248" s="35"/>
      <c r="Z248" s="35"/>
    </row>
    <row r="249" ht="15.75" customHeight="1">
      <c r="A249" s="66" t="s">
        <v>563</v>
      </c>
      <c r="B249" s="66" t="s">
        <v>1209</v>
      </c>
      <c r="C249" s="69" t="s">
        <v>1256</v>
      </c>
      <c r="D249" s="149" t="s">
        <v>1257</v>
      </c>
      <c r="E249" s="167"/>
      <c r="F249" s="154">
        <v>869.0</v>
      </c>
      <c r="G249" s="151">
        <v>45855.0</v>
      </c>
      <c r="H249" s="155">
        <f t="shared" si="7"/>
        <v>1303.5</v>
      </c>
      <c r="I249" s="37">
        <f t="shared" si="8"/>
        <v>1129.7</v>
      </c>
      <c r="J249" s="38">
        <f t="shared" si="9"/>
        <v>1129.7</v>
      </c>
      <c r="K249" s="39">
        <f t="shared" si="10"/>
        <v>1042.8</v>
      </c>
      <c r="L249" s="38">
        <f t="shared" si="11"/>
        <v>999.35</v>
      </c>
      <c r="M249" s="39">
        <f t="shared" si="12"/>
        <v>955.9</v>
      </c>
      <c r="N249" s="40"/>
      <c r="O249" s="34"/>
      <c r="P249" s="35"/>
      <c r="Q249" s="35"/>
      <c r="R249" s="35"/>
      <c r="S249" s="35"/>
      <c r="T249" s="35"/>
      <c r="U249" s="35"/>
      <c r="V249" s="35"/>
      <c r="W249" s="35"/>
      <c r="X249" s="35"/>
      <c r="Y249" s="35"/>
      <c r="Z249" s="35"/>
    </row>
    <row r="250" ht="15.75" customHeight="1">
      <c r="A250" s="66" t="s">
        <v>563</v>
      </c>
      <c r="B250" s="66" t="s">
        <v>1209</v>
      </c>
      <c r="C250" s="69" t="s">
        <v>1258</v>
      </c>
      <c r="D250" s="149" t="s">
        <v>1257</v>
      </c>
      <c r="E250" s="167"/>
      <c r="F250" s="154">
        <v>966.0</v>
      </c>
      <c r="G250" s="151">
        <v>45855.0</v>
      </c>
      <c r="H250" s="155">
        <f t="shared" si="7"/>
        <v>1449</v>
      </c>
      <c r="I250" s="37">
        <f t="shared" si="8"/>
        <v>1255.8</v>
      </c>
      <c r="J250" s="38">
        <f t="shared" si="9"/>
        <v>1255.8</v>
      </c>
      <c r="K250" s="39">
        <f t="shared" si="10"/>
        <v>1159.2</v>
      </c>
      <c r="L250" s="38">
        <f t="shared" si="11"/>
        <v>1110.9</v>
      </c>
      <c r="M250" s="39">
        <f t="shared" si="12"/>
        <v>1062.6</v>
      </c>
      <c r="N250" s="40"/>
      <c r="O250" s="34"/>
      <c r="P250" s="35"/>
      <c r="Q250" s="35"/>
      <c r="R250" s="35"/>
      <c r="S250" s="35"/>
      <c r="T250" s="35"/>
      <c r="U250" s="35"/>
      <c r="V250" s="35"/>
      <c r="W250" s="35"/>
      <c r="X250" s="35"/>
      <c r="Y250" s="35"/>
      <c r="Z250" s="35"/>
    </row>
    <row r="251" ht="15.75" customHeight="1">
      <c r="A251" s="66" t="s">
        <v>563</v>
      </c>
      <c r="B251" s="66" t="s">
        <v>1259</v>
      </c>
      <c r="C251" s="69" t="s">
        <v>1260</v>
      </c>
      <c r="D251" s="149" t="s">
        <v>1261</v>
      </c>
      <c r="E251" s="167"/>
      <c r="F251" s="154">
        <v>934.0</v>
      </c>
      <c r="G251" s="151">
        <v>45855.0</v>
      </c>
      <c r="H251" s="155">
        <f t="shared" si="7"/>
        <v>1401</v>
      </c>
      <c r="I251" s="37">
        <f t="shared" si="8"/>
        <v>1214.2</v>
      </c>
      <c r="J251" s="38">
        <f t="shared" si="9"/>
        <v>1214.2</v>
      </c>
      <c r="K251" s="39">
        <f t="shared" si="10"/>
        <v>1120.8</v>
      </c>
      <c r="L251" s="38">
        <f t="shared" si="11"/>
        <v>1074.1</v>
      </c>
      <c r="M251" s="39">
        <f t="shared" si="12"/>
        <v>1027.4</v>
      </c>
      <c r="N251" s="40"/>
      <c r="O251" s="34"/>
      <c r="P251" s="35"/>
      <c r="Q251" s="35"/>
      <c r="R251" s="35"/>
      <c r="S251" s="35"/>
      <c r="T251" s="35"/>
      <c r="U251" s="35"/>
      <c r="V251" s="35"/>
      <c r="W251" s="35"/>
      <c r="X251" s="35"/>
      <c r="Y251" s="35"/>
      <c r="Z251" s="35"/>
    </row>
    <row r="252" ht="15.75" customHeight="1">
      <c r="A252" s="66" t="s">
        <v>563</v>
      </c>
      <c r="B252" s="66" t="s">
        <v>1259</v>
      </c>
      <c r="C252" s="69" t="s">
        <v>1262</v>
      </c>
      <c r="D252" s="149" t="s">
        <v>1261</v>
      </c>
      <c r="E252" s="167"/>
      <c r="F252" s="154">
        <v>1030.0</v>
      </c>
      <c r="G252" s="151">
        <v>45855.0</v>
      </c>
      <c r="H252" s="155">
        <f t="shared" si="7"/>
        <v>1545</v>
      </c>
      <c r="I252" s="37">
        <f t="shared" si="8"/>
        <v>1339</v>
      </c>
      <c r="J252" s="38">
        <f t="shared" si="9"/>
        <v>1339</v>
      </c>
      <c r="K252" s="39">
        <f t="shared" si="10"/>
        <v>1236</v>
      </c>
      <c r="L252" s="38">
        <f t="shared" si="11"/>
        <v>1184.5</v>
      </c>
      <c r="M252" s="39">
        <f t="shared" si="12"/>
        <v>1133</v>
      </c>
      <c r="N252" s="40"/>
      <c r="O252" s="34"/>
      <c r="P252" s="35"/>
      <c r="Q252" s="35"/>
      <c r="R252" s="35"/>
      <c r="S252" s="35"/>
      <c r="T252" s="35"/>
      <c r="U252" s="35"/>
      <c r="V252" s="35"/>
      <c r="W252" s="35"/>
      <c r="X252" s="35"/>
      <c r="Y252" s="35"/>
      <c r="Z252" s="35"/>
    </row>
    <row r="253" ht="15.75" customHeight="1">
      <c r="A253" s="66" t="s">
        <v>563</v>
      </c>
      <c r="B253" s="66" t="s">
        <v>1259</v>
      </c>
      <c r="C253" s="69" t="s">
        <v>1263</v>
      </c>
      <c r="D253" s="149" t="s">
        <v>1264</v>
      </c>
      <c r="E253" s="167"/>
      <c r="F253" s="154">
        <v>1127.0</v>
      </c>
      <c r="G253" s="151">
        <v>45855.0</v>
      </c>
      <c r="H253" s="155">
        <f t="shared" si="7"/>
        <v>1690.5</v>
      </c>
      <c r="I253" s="37">
        <f t="shared" si="8"/>
        <v>1465.1</v>
      </c>
      <c r="J253" s="38">
        <f t="shared" si="9"/>
        <v>1465.1</v>
      </c>
      <c r="K253" s="39">
        <f t="shared" si="10"/>
        <v>1352.4</v>
      </c>
      <c r="L253" s="38">
        <f t="shared" si="11"/>
        <v>1296.05</v>
      </c>
      <c r="M253" s="39">
        <f t="shared" si="12"/>
        <v>1239.7</v>
      </c>
      <c r="N253" s="40"/>
      <c r="O253" s="34"/>
      <c r="P253" s="35"/>
      <c r="Q253" s="35"/>
      <c r="R253" s="35"/>
      <c r="S253" s="35"/>
      <c r="T253" s="35"/>
      <c r="U253" s="35"/>
      <c r="V253" s="35"/>
      <c r="W253" s="35"/>
      <c r="X253" s="35"/>
      <c r="Y253" s="35"/>
      <c r="Z253" s="35"/>
    </row>
    <row r="254" ht="15.75" customHeight="1">
      <c r="A254" s="66" t="s">
        <v>563</v>
      </c>
      <c r="B254" s="66" t="s">
        <v>1259</v>
      </c>
      <c r="C254" s="69" t="s">
        <v>1265</v>
      </c>
      <c r="D254" s="149" t="s">
        <v>1266</v>
      </c>
      <c r="E254" s="167"/>
      <c r="F254" s="154">
        <v>1107.0</v>
      </c>
      <c r="G254" s="151">
        <v>45855.0</v>
      </c>
      <c r="H254" s="155">
        <f t="shared" si="7"/>
        <v>1660.5</v>
      </c>
      <c r="I254" s="37">
        <f t="shared" si="8"/>
        <v>1439.1</v>
      </c>
      <c r="J254" s="38">
        <f t="shared" si="9"/>
        <v>1439.1</v>
      </c>
      <c r="K254" s="39">
        <f t="shared" si="10"/>
        <v>1328.4</v>
      </c>
      <c r="L254" s="38">
        <f t="shared" si="11"/>
        <v>1273.05</v>
      </c>
      <c r="M254" s="39">
        <f t="shared" si="12"/>
        <v>1217.7</v>
      </c>
      <c r="N254" s="40"/>
      <c r="O254" s="34"/>
      <c r="P254" s="35"/>
      <c r="Q254" s="35"/>
      <c r="R254" s="35"/>
      <c r="S254" s="35"/>
      <c r="T254" s="35"/>
      <c r="U254" s="35"/>
      <c r="V254" s="35"/>
      <c r="W254" s="35"/>
      <c r="X254" s="35"/>
      <c r="Y254" s="35"/>
      <c r="Z254" s="35"/>
    </row>
    <row r="255" ht="15.75" customHeight="1">
      <c r="A255" s="66" t="s">
        <v>563</v>
      </c>
      <c r="B255" s="66" t="s">
        <v>1259</v>
      </c>
      <c r="C255" s="69" t="s">
        <v>1267</v>
      </c>
      <c r="D255" s="149" t="s">
        <v>1268</v>
      </c>
      <c r="E255" s="167"/>
      <c r="F255" s="154">
        <v>1375.0</v>
      </c>
      <c r="G255" s="151">
        <v>45855.0</v>
      </c>
      <c r="H255" s="155">
        <f t="shared" si="7"/>
        <v>2062.5</v>
      </c>
      <c r="I255" s="37">
        <f t="shared" si="8"/>
        <v>1787.5</v>
      </c>
      <c r="J255" s="38">
        <f t="shared" si="9"/>
        <v>1787.5</v>
      </c>
      <c r="K255" s="39">
        <f t="shared" si="10"/>
        <v>1650</v>
      </c>
      <c r="L255" s="38">
        <f t="shared" si="11"/>
        <v>1581.25</v>
      </c>
      <c r="M255" s="39">
        <f t="shared" si="12"/>
        <v>1512.5</v>
      </c>
      <c r="N255" s="40"/>
      <c r="O255" s="34"/>
      <c r="P255" s="35"/>
      <c r="Q255" s="35"/>
      <c r="R255" s="35"/>
      <c r="S255" s="35"/>
      <c r="T255" s="35"/>
      <c r="U255" s="35"/>
      <c r="V255" s="35"/>
      <c r="W255" s="35"/>
      <c r="X255" s="35"/>
      <c r="Y255" s="35"/>
      <c r="Z255" s="35"/>
    </row>
    <row r="256" ht="15.75" customHeight="1">
      <c r="A256" s="66" t="s">
        <v>563</v>
      </c>
      <c r="B256" s="66" t="s">
        <v>1259</v>
      </c>
      <c r="C256" s="69" t="s">
        <v>1269</v>
      </c>
      <c r="D256" s="149" t="s">
        <v>1270</v>
      </c>
      <c r="E256" s="167"/>
      <c r="F256" s="154">
        <v>1050.0</v>
      </c>
      <c r="G256" s="151">
        <v>45855.0</v>
      </c>
      <c r="H256" s="155">
        <f t="shared" si="7"/>
        <v>1575</v>
      </c>
      <c r="I256" s="37">
        <f t="shared" si="8"/>
        <v>1365</v>
      </c>
      <c r="J256" s="38">
        <f t="shared" si="9"/>
        <v>1365</v>
      </c>
      <c r="K256" s="39">
        <f t="shared" si="10"/>
        <v>1260</v>
      </c>
      <c r="L256" s="38">
        <f t="shared" si="11"/>
        <v>1207.5</v>
      </c>
      <c r="M256" s="39">
        <f t="shared" si="12"/>
        <v>1155</v>
      </c>
      <c r="N256" s="40"/>
      <c r="O256" s="34"/>
      <c r="P256" s="35"/>
      <c r="Q256" s="35"/>
      <c r="R256" s="35"/>
      <c r="S256" s="35"/>
      <c r="T256" s="35"/>
      <c r="U256" s="35"/>
      <c r="V256" s="35"/>
      <c r="W256" s="35"/>
      <c r="X256" s="35"/>
      <c r="Y256" s="35"/>
      <c r="Z256" s="35"/>
    </row>
    <row r="257" ht="15.75" customHeight="1">
      <c r="A257" s="66" t="s">
        <v>563</v>
      </c>
      <c r="B257" s="66" t="s">
        <v>1259</v>
      </c>
      <c r="C257" s="69" t="s">
        <v>1271</v>
      </c>
      <c r="D257" s="149" t="s">
        <v>1270</v>
      </c>
      <c r="E257" s="167"/>
      <c r="F257" s="154">
        <v>1241.0</v>
      </c>
      <c r="G257" s="151">
        <v>45855.0</v>
      </c>
      <c r="H257" s="155">
        <f t="shared" si="7"/>
        <v>1861.5</v>
      </c>
      <c r="I257" s="37">
        <f t="shared" si="8"/>
        <v>1613.3</v>
      </c>
      <c r="J257" s="38">
        <f t="shared" si="9"/>
        <v>1613.3</v>
      </c>
      <c r="K257" s="39">
        <f t="shared" si="10"/>
        <v>1489.2</v>
      </c>
      <c r="L257" s="38">
        <f t="shared" si="11"/>
        <v>1427.15</v>
      </c>
      <c r="M257" s="39">
        <f t="shared" si="12"/>
        <v>1365.1</v>
      </c>
      <c r="N257" s="40"/>
      <c r="O257" s="34"/>
      <c r="P257" s="35"/>
      <c r="Q257" s="35"/>
      <c r="R257" s="35"/>
      <c r="S257" s="35"/>
      <c r="T257" s="35"/>
      <c r="U257" s="35"/>
      <c r="V257" s="35"/>
      <c r="W257" s="35"/>
      <c r="X257" s="35"/>
      <c r="Y257" s="35"/>
      <c r="Z257" s="35"/>
    </row>
    <row r="258" ht="15.75" customHeight="1">
      <c r="A258" s="66" t="s">
        <v>563</v>
      </c>
      <c r="B258" s="66" t="s">
        <v>1259</v>
      </c>
      <c r="C258" s="69" t="s">
        <v>1272</v>
      </c>
      <c r="D258" s="149" t="s">
        <v>1273</v>
      </c>
      <c r="E258" s="167"/>
      <c r="F258" s="154">
        <v>1308.0</v>
      </c>
      <c r="G258" s="151">
        <v>45855.0</v>
      </c>
      <c r="H258" s="155">
        <f t="shared" si="7"/>
        <v>1962</v>
      </c>
      <c r="I258" s="37">
        <f t="shared" si="8"/>
        <v>1700.4</v>
      </c>
      <c r="J258" s="38">
        <f t="shared" si="9"/>
        <v>1700.4</v>
      </c>
      <c r="K258" s="39">
        <f t="shared" si="10"/>
        <v>1569.6</v>
      </c>
      <c r="L258" s="38">
        <f t="shared" si="11"/>
        <v>1504.2</v>
      </c>
      <c r="M258" s="39">
        <f t="shared" si="12"/>
        <v>1438.8</v>
      </c>
      <c r="N258" s="40"/>
      <c r="O258" s="34"/>
      <c r="P258" s="35"/>
      <c r="Q258" s="35"/>
      <c r="R258" s="35"/>
      <c r="S258" s="35"/>
      <c r="T258" s="35"/>
      <c r="U258" s="35"/>
      <c r="V258" s="35"/>
      <c r="W258" s="35"/>
      <c r="X258" s="35"/>
      <c r="Y258" s="35"/>
      <c r="Z258" s="35"/>
    </row>
    <row r="259" ht="15.75" customHeight="1">
      <c r="A259" s="66" t="s">
        <v>563</v>
      </c>
      <c r="B259" s="66" t="s">
        <v>1259</v>
      </c>
      <c r="C259" s="69" t="s">
        <v>1274</v>
      </c>
      <c r="D259" s="149" t="s">
        <v>1275</v>
      </c>
      <c r="E259" s="167"/>
      <c r="F259" s="154">
        <v>2046.0</v>
      </c>
      <c r="G259" s="151">
        <v>45855.0</v>
      </c>
      <c r="H259" s="155">
        <f t="shared" si="7"/>
        <v>3069</v>
      </c>
      <c r="I259" s="37">
        <f t="shared" si="8"/>
        <v>2659.8</v>
      </c>
      <c r="J259" s="38">
        <f t="shared" si="9"/>
        <v>2659.8</v>
      </c>
      <c r="K259" s="39">
        <f t="shared" si="10"/>
        <v>2455.2</v>
      </c>
      <c r="L259" s="38">
        <f t="shared" si="11"/>
        <v>2352.9</v>
      </c>
      <c r="M259" s="39">
        <f t="shared" si="12"/>
        <v>2250.6</v>
      </c>
      <c r="N259" s="40"/>
      <c r="O259" s="34"/>
      <c r="P259" s="35"/>
      <c r="Q259" s="35"/>
      <c r="R259" s="35"/>
      <c r="S259" s="35"/>
      <c r="T259" s="35"/>
      <c r="U259" s="35"/>
      <c r="V259" s="35"/>
      <c r="W259" s="35"/>
      <c r="X259" s="35"/>
      <c r="Y259" s="35"/>
      <c r="Z259" s="35"/>
    </row>
    <row r="260" ht="15.75" customHeight="1">
      <c r="A260" s="66" t="s">
        <v>563</v>
      </c>
      <c r="B260" s="66" t="s">
        <v>1259</v>
      </c>
      <c r="C260" s="69" t="s">
        <v>1276</v>
      </c>
      <c r="D260" s="149" t="s">
        <v>1277</v>
      </c>
      <c r="E260" s="167" t="s">
        <v>1278</v>
      </c>
      <c r="F260" s="154">
        <v>2247.0</v>
      </c>
      <c r="G260" s="151">
        <v>45855.0</v>
      </c>
      <c r="H260" s="155">
        <f t="shared" si="7"/>
        <v>3370.5</v>
      </c>
      <c r="I260" s="37">
        <f t="shared" si="8"/>
        <v>2921.1</v>
      </c>
      <c r="J260" s="38">
        <f t="shared" si="9"/>
        <v>2921.1</v>
      </c>
      <c r="K260" s="39">
        <f t="shared" si="10"/>
        <v>2696.4</v>
      </c>
      <c r="L260" s="38">
        <f t="shared" si="11"/>
        <v>2584.05</v>
      </c>
      <c r="M260" s="39">
        <f t="shared" si="12"/>
        <v>2471.7</v>
      </c>
      <c r="N260" s="40"/>
      <c r="O260" s="34"/>
      <c r="P260" s="35"/>
      <c r="Q260" s="35"/>
      <c r="R260" s="35"/>
      <c r="S260" s="35"/>
      <c r="T260" s="35"/>
      <c r="U260" s="35"/>
      <c r="V260" s="35"/>
      <c r="W260" s="35"/>
      <c r="X260" s="35"/>
      <c r="Y260" s="35"/>
      <c r="Z260" s="35"/>
    </row>
    <row r="261" ht="15.75" customHeight="1">
      <c r="A261" s="66" t="s">
        <v>563</v>
      </c>
      <c r="B261" s="66" t="s">
        <v>1259</v>
      </c>
      <c r="C261" s="66" t="s">
        <v>1279</v>
      </c>
      <c r="D261" s="148" t="s">
        <v>1275</v>
      </c>
      <c r="E261" s="167"/>
      <c r="F261" s="154">
        <v>2046.0</v>
      </c>
      <c r="G261" s="151">
        <v>45855.0</v>
      </c>
      <c r="H261" s="155">
        <f t="shared" si="7"/>
        <v>3069</v>
      </c>
      <c r="I261" s="37">
        <f t="shared" si="8"/>
        <v>2659.8</v>
      </c>
      <c r="J261" s="38">
        <f t="shared" si="9"/>
        <v>2659.8</v>
      </c>
      <c r="K261" s="39">
        <f t="shared" si="10"/>
        <v>2455.2</v>
      </c>
      <c r="L261" s="38">
        <f t="shared" si="11"/>
        <v>2352.9</v>
      </c>
      <c r="M261" s="39">
        <f t="shared" si="12"/>
        <v>2250.6</v>
      </c>
      <c r="N261" s="40"/>
      <c r="O261" s="34"/>
      <c r="P261" s="35"/>
      <c r="Q261" s="35"/>
      <c r="R261" s="35"/>
      <c r="S261" s="35"/>
      <c r="T261" s="35"/>
      <c r="U261" s="35"/>
      <c r="V261" s="35"/>
      <c r="W261" s="35"/>
      <c r="X261" s="35"/>
      <c r="Y261" s="35"/>
      <c r="Z261" s="35"/>
    </row>
    <row r="262" ht="15.75" customHeight="1">
      <c r="A262" s="66" t="s">
        <v>563</v>
      </c>
      <c r="B262" s="66" t="s">
        <v>1259</v>
      </c>
      <c r="C262" s="66" t="s">
        <v>1280</v>
      </c>
      <c r="D262" s="148" t="s">
        <v>1281</v>
      </c>
      <c r="E262" s="167"/>
      <c r="F262" s="154">
        <v>2247.0</v>
      </c>
      <c r="G262" s="151">
        <v>45855.0</v>
      </c>
      <c r="H262" s="155">
        <f t="shared" si="7"/>
        <v>3370.5</v>
      </c>
      <c r="I262" s="37">
        <f t="shared" si="8"/>
        <v>2921.1</v>
      </c>
      <c r="J262" s="38">
        <f t="shared" si="9"/>
        <v>2921.1</v>
      </c>
      <c r="K262" s="39">
        <f t="shared" si="10"/>
        <v>2696.4</v>
      </c>
      <c r="L262" s="38">
        <f t="shared" si="11"/>
        <v>2584.05</v>
      </c>
      <c r="M262" s="39">
        <f t="shared" si="12"/>
        <v>2471.7</v>
      </c>
      <c r="N262" s="40"/>
      <c r="O262" s="34"/>
      <c r="P262" s="35"/>
      <c r="Q262" s="35"/>
      <c r="R262" s="35"/>
      <c r="S262" s="35"/>
      <c r="T262" s="35"/>
      <c r="U262" s="35"/>
      <c r="V262" s="35"/>
      <c r="W262" s="35"/>
      <c r="X262" s="35"/>
      <c r="Y262" s="35"/>
      <c r="Z262" s="35"/>
    </row>
    <row r="263" ht="15.75" customHeight="1">
      <c r="A263" s="66" t="s">
        <v>563</v>
      </c>
      <c r="B263" s="66" t="s">
        <v>1259</v>
      </c>
      <c r="C263" s="69" t="s">
        <v>1282</v>
      </c>
      <c r="D263" s="149" t="s">
        <v>1283</v>
      </c>
      <c r="E263" s="167"/>
      <c r="F263" s="154">
        <v>2716.0</v>
      </c>
      <c r="G263" s="151">
        <v>45855.0</v>
      </c>
      <c r="H263" s="155">
        <f t="shared" si="7"/>
        <v>4074</v>
      </c>
      <c r="I263" s="37">
        <f t="shared" si="8"/>
        <v>3530.8</v>
      </c>
      <c r="J263" s="38">
        <f t="shared" si="9"/>
        <v>3530.8</v>
      </c>
      <c r="K263" s="39">
        <f t="shared" si="10"/>
        <v>3259.2</v>
      </c>
      <c r="L263" s="38">
        <f t="shared" si="11"/>
        <v>3123.4</v>
      </c>
      <c r="M263" s="39">
        <f t="shared" si="12"/>
        <v>2987.6</v>
      </c>
      <c r="N263" s="40"/>
      <c r="O263" s="34"/>
      <c r="P263" s="35"/>
      <c r="Q263" s="35"/>
      <c r="R263" s="35"/>
      <c r="S263" s="35"/>
      <c r="T263" s="35"/>
      <c r="U263" s="35"/>
      <c r="V263" s="35"/>
      <c r="W263" s="35"/>
      <c r="X263" s="35"/>
      <c r="Y263" s="35"/>
      <c r="Z263" s="35"/>
    </row>
    <row r="264" ht="15.75" customHeight="1">
      <c r="A264" s="66" t="s">
        <v>563</v>
      </c>
      <c r="B264" s="66" t="s">
        <v>1259</v>
      </c>
      <c r="C264" s="69" t="s">
        <v>1284</v>
      </c>
      <c r="D264" s="149" t="s">
        <v>1285</v>
      </c>
      <c r="E264" s="167"/>
      <c r="F264" s="154">
        <v>2716.0</v>
      </c>
      <c r="G264" s="151">
        <v>45855.0</v>
      </c>
      <c r="H264" s="155">
        <f t="shared" si="7"/>
        <v>4074</v>
      </c>
      <c r="I264" s="37">
        <f t="shared" si="8"/>
        <v>3530.8</v>
      </c>
      <c r="J264" s="38">
        <f t="shared" si="9"/>
        <v>3530.8</v>
      </c>
      <c r="K264" s="39">
        <f t="shared" si="10"/>
        <v>3259.2</v>
      </c>
      <c r="L264" s="38">
        <f t="shared" si="11"/>
        <v>3123.4</v>
      </c>
      <c r="M264" s="39">
        <f t="shared" si="12"/>
        <v>2987.6</v>
      </c>
      <c r="N264" s="40"/>
      <c r="O264" s="34"/>
      <c r="P264" s="35"/>
      <c r="Q264" s="35"/>
      <c r="R264" s="35"/>
      <c r="S264" s="35"/>
      <c r="T264" s="35"/>
      <c r="U264" s="35"/>
      <c r="V264" s="35"/>
      <c r="W264" s="35"/>
      <c r="X264" s="35"/>
      <c r="Y264" s="35"/>
      <c r="Z264" s="35"/>
    </row>
    <row r="265" ht="15.75" customHeight="1">
      <c r="A265" s="66" t="s">
        <v>563</v>
      </c>
      <c r="B265" s="66" t="s">
        <v>1259</v>
      </c>
      <c r="C265" s="69" t="s">
        <v>1286</v>
      </c>
      <c r="D265" s="149" t="s">
        <v>1287</v>
      </c>
      <c r="E265" s="167"/>
      <c r="F265" s="154">
        <v>950.0</v>
      </c>
      <c r="G265" s="151">
        <v>45855.0</v>
      </c>
      <c r="H265" s="155">
        <f t="shared" si="7"/>
        <v>1425</v>
      </c>
      <c r="I265" s="37">
        <f t="shared" si="8"/>
        <v>1235</v>
      </c>
      <c r="J265" s="38">
        <f t="shared" si="9"/>
        <v>1235</v>
      </c>
      <c r="K265" s="39">
        <f t="shared" si="10"/>
        <v>1140</v>
      </c>
      <c r="L265" s="38">
        <f t="shared" si="11"/>
        <v>1092.5</v>
      </c>
      <c r="M265" s="39">
        <f t="shared" si="12"/>
        <v>1045</v>
      </c>
      <c r="N265" s="40"/>
      <c r="O265" s="34"/>
      <c r="P265" s="35"/>
      <c r="Q265" s="35"/>
      <c r="R265" s="35"/>
      <c r="S265" s="35"/>
      <c r="T265" s="35"/>
      <c r="U265" s="35"/>
      <c r="V265" s="35"/>
      <c r="W265" s="35"/>
      <c r="X265" s="35"/>
      <c r="Y265" s="35"/>
      <c r="Z265" s="35"/>
    </row>
    <row r="266" ht="15.75" customHeight="1">
      <c r="A266" s="66" t="s">
        <v>563</v>
      </c>
      <c r="B266" s="66" t="s">
        <v>1259</v>
      </c>
      <c r="C266" s="69" t="s">
        <v>1288</v>
      </c>
      <c r="D266" s="149" t="s">
        <v>1287</v>
      </c>
      <c r="E266" s="167"/>
      <c r="F266" s="154">
        <v>1274.0</v>
      </c>
      <c r="G266" s="151">
        <v>45855.0</v>
      </c>
      <c r="H266" s="155">
        <f t="shared" si="7"/>
        <v>1911</v>
      </c>
      <c r="I266" s="37">
        <f t="shared" si="8"/>
        <v>1656.2</v>
      </c>
      <c r="J266" s="38">
        <f t="shared" si="9"/>
        <v>1656.2</v>
      </c>
      <c r="K266" s="39">
        <f t="shared" si="10"/>
        <v>1528.8</v>
      </c>
      <c r="L266" s="38">
        <f t="shared" si="11"/>
        <v>1465.1</v>
      </c>
      <c r="M266" s="39">
        <f t="shared" si="12"/>
        <v>1401.4</v>
      </c>
      <c r="N266" s="40"/>
      <c r="O266" s="34"/>
      <c r="P266" s="35"/>
      <c r="Q266" s="35"/>
      <c r="R266" s="35"/>
      <c r="S266" s="35"/>
      <c r="T266" s="35"/>
      <c r="U266" s="35"/>
      <c r="V266" s="35"/>
      <c r="W266" s="35"/>
      <c r="X266" s="35"/>
      <c r="Y266" s="35"/>
      <c r="Z266" s="35"/>
    </row>
    <row r="267" ht="15.75" customHeight="1">
      <c r="A267" s="66" t="s">
        <v>563</v>
      </c>
      <c r="B267" s="66" t="s">
        <v>1259</v>
      </c>
      <c r="C267" s="69" t="s">
        <v>1289</v>
      </c>
      <c r="D267" s="149" t="s">
        <v>1290</v>
      </c>
      <c r="E267" s="167"/>
      <c r="F267" s="154">
        <v>1576.0</v>
      </c>
      <c r="G267" s="151">
        <v>45855.0</v>
      </c>
      <c r="H267" s="155">
        <f t="shared" si="7"/>
        <v>2364</v>
      </c>
      <c r="I267" s="37">
        <f t="shared" si="8"/>
        <v>2048.8</v>
      </c>
      <c r="J267" s="38">
        <f t="shared" si="9"/>
        <v>2048.8</v>
      </c>
      <c r="K267" s="39">
        <f t="shared" si="10"/>
        <v>1891.2</v>
      </c>
      <c r="L267" s="38">
        <f t="shared" si="11"/>
        <v>1812.4</v>
      </c>
      <c r="M267" s="39">
        <f t="shared" si="12"/>
        <v>1733.6</v>
      </c>
      <c r="N267" s="40"/>
      <c r="O267" s="34"/>
      <c r="P267" s="35"/>
      <c r="Q267" s="35"/>
      <c r="R267" s="35"/>
      <c r="S267" s="35"/>
      <c r="T267" s="35"/>
      <c r="U267" s="35"/>
      <c r="V267" s="35"/>
      <c r="W267" s="35"/>
      <c r="X267" s="35"/>
      <c r="Y267" s="35"/>
      <c r="Z267" s="35"/>
    </row>
    <row r="268" ht="15.75" customHeight="1">
      <c r="A268" s="66" t="s">
        <v>563</v>
      </c>
      <c r="B268" s="66" t="s">
        <v>1259</v>
      </c>
      <c r="C268" s="66" t="s">
        <v>1291</v>
      </c>
      <c r="D268" s="149" t="s">
        <v>1292</v>
      </c>
      <c r="E268" s="167"/>
      <c r="F268" s="154">
        <v>1710.0</v>
      </c>
      <c r="G268" s="151">
        <v>45855.0</v>
      </c>
      <c r="H268" s="155">
        <f t="shared" si="7"/>
        <v>2565</v>
      </c>
      <c r="I268" s="37">
        <f t="shared" si="8"/>
        <v>2223</v>
      </c>
      <c r="J268" s="38">
        <f t="shared" si="9"/>
        <v>2223</v>
      </c>
      <c r="K268" s="39">
        <f t="shared" si="10"/>
        <v>2052</v>
      </c>
      <c r="L268" s="38">
        <f t="shared" si="11"/>
        <v>1966.5</v>
      </c>
      <c r="M268" s="39">
        <f t="shared" si="12"/>
        <v>1881</v>
      </c>
      <c r="N268" s="40"/>
      <c r="O268" s="34"/>
      <c r="P268" s="35"/>
      <c r="Q268" s="35"/>
      <c r="R268" s="35"/>
      <c r="S268" s="35"/>
      <c r="T268" s="35"/>
      <c r="U268" s="35"/>
      <c r="V268" s="35"/>
      <c r="W268" s="35"/>
      <c r="X268" s="35"/>
      <c r="Y268" s="35"/>
      <c r="Z268" s="35"/>
    </row>
    <row r="269" ht="15.75" customHeight="1">
      <c r="A269" s="66" t="s">
        <v>563</v>
      </c>
      <c r="B269" s="66" t="s">
        <v>1259</v>
      </c>
      <c r="C269" s="69" t="s">
        <v>1293</v>
      </c>
      <c r="D269" s="149" t="s">
        <v>1294</v>
      </c>
      <c r="E269" s="167"/>
      <c r="F269" s="154">
        <v>2850.0</v>
      </c>
      <c r="G269" s="151">
        <v>45855.0</v>
      </c>
      <c r="H269" s="155">
        <f t="shared" si="7"/>
        <v>4275</v>
      </c>
      <c r="I269" s="37">
        <f t="shared" si="8"/>
        <v>3705</v>
      </c>
      <c r="J269" s="38">
        <f t="shared" si="9"/>
        <v>3705</v>
      </c>
      <c r="K269" s="39">
        <f t="shared" si="10"/>
        <v>3420</v>
      </c>
      <c r="L269" s="38">
        <f t="shared" si="11"/>
        <v>3277.5</v>
      </c>
      <c r="M269" s="39">
        <f t="shared" si="12"/>
        <v>3135</v>
      </c>
      <c r="N269" s="40"/>
      <c r="O269" s="34"/>
      <c r="P269" s="35"/>
      <c r="Q269" s="35"/>
      <c r="R269" s="35"/>
      <c r="S269" s="35"/>
      <c r="T269" s="35"/>
      <c r="U269" s="35"/>
      <c r="V269" s="35"/>
      <c r="W269" s="35"/>
      <c r="X269" s="35"/>
      <c r="Y269" s="35"/>
      <c r="Z269" s="35"/>
    </row>
    <row r="270" ht="15.75" customHeight="1">
      <c r="A270" s="66" t="s">
        <v>563</v>
      </c>
      <c r="B270" s="66" t="s">
        <v>1259</v>
      </c>
      <c r="C270" s="69" t="s">
        <v>1295</v>
      </c>
      <c r="D270" s="149" t="s">
        <v>1296</v>
      </c>
      <c r="E270" s="167"/>
      <c r="F270" s="154">
        <v>900.0</v>
      </c>
      <c r="G270" s="151">
        <v>45855.0</v>
      </c>
      <c r="H270" s="155">
        <f t="shared" si="7"/>
        <v>1350</v>
      </c>
      <c r="I270" s="37">
        <f t="shared" si="8"/>
        <v>1170</v>
      </c>
      <c r="J270" s="38">
        <f t="shared" si="9"/>
        <v>1170</v>
      </c>
      <c r="K270" s="39">
        <f t="shared" si="10"/>
        <v>1080</v>
      </c>
      <c r="L270" s="38">
        <f t="shared" si="11"/>
        <v>1035</v>
      </c>
      <c r="M270" s="39">
        <f t="shared" si="12"/>
        <v>990</v>
      </c>
      <c r="N270" s="40"/>
      <c r="O270" s="34"/>
      <c r="P270" s="35"/>
      <c r="Q270" s="35"/>
      <c r="R270" s="35"/>
      <c r="S270" s="35"/>
      <c r="T270" s="35"/>
      <c r="U270" s="35"/>
      <c r="V270" s="35"/>
      <c r="W270" s="35"/>
      <c r="X270" s="35"/>
      <c r="Y270" s="35"/>
      <c r="Z270" s="35"/>
    </row>
    <row r="271" ht="15.75" customHeight="1">
      <c r="A271" s="66" t="s">
        <v>563</v>
      </c>
      <c r="B271" s="66" t="s">
        <v>1259</v>
      </c>
      <c r="C271" s="69" t="s">
        <v>1297</v>
      </c>
      <c r="D271" s="148" t="s">
        <v>1298</v>
      </c>
      <c r="E271" s="167"/>
      <c r="F271" s="154">
        <v>1274.0</v>
      </c>
      <c r="G271" s="151">
        <v>45855.0</v>
      </c>
      <c r="H271" s="155">
        <f t="shared" si="7"/>
        <v>1911</v>
      </c>
      <c r="I271" s="37">
        <f t="shared" si="8"/>
        <v>1656.2</v>
      </c>
      <c r="J271" s="38">
        <f t="shared" si="9"/>
        <v>1656.2</v>
      </c>
      <c r="K271" s="39">
        <f t="shared" si="10"/>
        <v>1528.8</v>
      </c>
      <c r="L271" s="38">
        <f t="shared" si="11"/>
        <v>1465.1</v>
      </c>
      <c r="M271" s="39">
        <f t="shared" si="12"/>
        <v>1401.4</v>
      </c>
      <c r="N271" s="40"/>
      <c r="O271" s="34"/>
      <c r="P271" s="35"/>
      <c r="Q271" s="35"/>
      <c r="R271" s="35"/>
      <c r="S271" s="35"/>
      <c r="T271" s="35"/>
      <c r="U271" s="35"/>
      <c r="V271" s="35"/>
      <c r="W271" s="35"/>
      <c r="X271" s="35"/>
      <c r="Y271" s="35"/>
      <c r="Z271" s="35"/>
    </row>
    <row r="272" ht="15.75" customHeight="1">
      <c r="A272" s="66" t="s">
        <v>563</v>
      </c>
      <c r="B272" s="66" t="s">
        <v>1259</v>
      </c>
      <c r="C272" s="66" t="s">
        <v>1299</v>
      </c>
      <c r="D272" s="148" t="s">
        <v>1298</v>
      </c>
      <c r="E272" s="167"/>
      <c r="F272" s="154">
        <v>1509.0</v>
      </c>
      <c r="G272" s="151">
        <v>45855.0</v>
      </c>
      <c r="H272" s="155">
        <f t="shared" si="7"/>
        <v>2263.5</v>
      </c>
      <c r="I272" s="37">
        <f t="shared" si="8"/>
        <v>1961.7</v>
      </c>
      <c r="J272" s="38">
        <f t="shared" si="9"/>
        <v>1961.7</v>
      </c>
      <c r="K272" s="39">
        <f t="shared" si="10"/>
        <v>1810.8</v>
      </c>
      <c r="L272" s="38">
        <f t="shared" si="11"/>
        <v>1735.35</v>
      </c>
      <c r="M272" s="39">
        <f t="shared" si="12"/>
        <v>1659.9</v>
      </c>
      <c r="N272" s="40"/>
      <c r="O272" s="34"/>
      <c r="P272" s="35"/>
      <c r="Q272" s="35"/>
      <c r="R272" s="35"/>
      <c r="S272" s="35"/>
      <c r="T272" s="35"/>
      <c r="U272" s="35"/>
      <c r="V272" s="35"/>
      <c r="W272" s="35"/>
      <c r="X272" s="35"/>
      <c r="Y272" s="35"/>
      <c r="Z272" s="35"/>
    </row>
    <row r="273" ht="15.75" customHeight="1">
      <c r="A273" s="66" t="s">
        <v>563</v>
      </c>
      <c r="B273" s="66" t="s">
        <v>1259</v>
      </c>
      <c r="C273" s="66" t="s">
        <v>1300</v>
      </c>
      <c r="D273" s="148" t="s">
        <v>1298</v>
      </c>
      <c r="E273" s="167"/>
      <c r="F273" s="154">
        <v>1643.0</v>
      </c>
      <c r="G273" s="151">
        <v>45855.0</v>
      </c>
      <c r="H273" s="155">
        <f t="shared" si="7"/>
        <v>2464.5</v>
      </c>
      <c r="I273" s="37">
        <f t="shared" si="8"/>
        <v>2135.9</v>
      </c>
      <c r="J273" s="38">
        <f t="shared" si="9"/>
        <v>2135.9</v>
      </c>
      <c r="K273" s="39">
        <f t="shared" si="10"/>
        <v>1971.6</v>
      </c>
      <c r="L273" s="38">
        <f t="shared" si="11"/>
        <v>1889.45</v>
      </c>
      <c r="M273" s="39">
        <f t="shared" si="12"/>
        <v>1807.3</v>
      </c>
      <c r="N273" s="40"/>
      <c r="O273" s="34"/>
      <c r="P273" s="35"/>
      <c r="Q273" s="35"/>
      <c r="R273" s="35"/>
      <c r="S273" s="35"/>
      <c r="T273" s="35"/>
      <c r="U273" s="35"/>
      <c r="V273" s="35"/>
      <c r="W273" s="35"/>
      <c r="X273" s="35"/>
      <c r="Y273" s="35"/>
      <c r="Z273" s="35"/>
    </row>
    <row r="274" ht="15.75" customHeight="1">
      <c r="A274" s="178" t="s">
        <v>563</v>
      </c>
      <c r="B274" s="66" t="s">
        <v>1259</v>
      </c>
      <c r="C274" s="69" t="s">
        <v>1301</v>
      </c>
      <c r="D274" s="148" t="s">
        <v>1302</v>
      </c>
      <c r="E274" s="167"/>
      <c r="F274" s="154">
        <v>1885.0</v>
      </c>
      <c r="G274" s="151">
        <v>45855.0</v>
      </c>
      <c r="H274" s="155">
        <f t="shared" si="7"/>
        <v>2827.5</v>
      </c>
      <c r="I274" s="37">
        <f t="shared" si="8"/>
        <v>2450.5</v>
      </c>
      <c r="J274" s="38">
        <f t="shared" si="9"/>
        <v>2450.5</v>
      </c>
      <c r="K274" s="39">
        <f t="shared" si="10"/>
        <v>2262</v>
      </c>
      <c r="L274" s="38">
        <f t="shared" si="11"/>
        <v>2167.75</v>
      </c>
      <c r="M274" s="39">
        <f t="shared" si="12"/>
        <v>2073.5</v>
      </c>
      <c r="N274" s="40"/>
      <c r="O274" s="34"/>
      <c r="P274" s="35"/>
      <c r="Q274" s="35"/>
      <c r="R274" s="35"/>
      <c r="S274" s="35"/>
      <c r="T274" s="35"/>
      <c r="U274" s="35"/>
      <c r="V274" s="35"/>
      <c r="W274" s="35"/>
      <c r="X274" s="35"/>
      <c r="Y274" s="35"/>
      <c r="Z274" s="35"/>
    </row>
    <row r="275" ht="15.75" customHeight="1">
      <c r="A275" s="178" t="s">
        <v>563</v>
      </c>
      <c r="B275" s="66" t="s">
        <v>1259</v>
      </c>
      <c r="C275" s="69" t="s">
        <v>1303</v>
      </c>
      <c r="D275" s="148" t="s">
        <v>1304</v>
      </c>
      <c r="E275" s="167"/>
      <c r="F275" s="154">
        <v>1979.0</v>
      </c>
      <c r="G275" s="151">
        <v>45855.0</v>
      </c>
      <c r="H275" s="155">
        <f t="shared" si="7"/>
        <v>2968.5</v>
      </c>
      <c r="I275" s="37">
        <f t="shared" si="8"/>
        <v>2572.7</v>
      </c>
      <c r="J275" s="38">
        <f t="shared" si="9"/>
        <v>2572.7</v>
      </c>
      <c r="K275" s="39">
        <f t="shared" si="10"/>
        <v>2374.8</v>
      </c>
      <c r="L275" s="38">
        <f t="shared" si="11"/>
        <v>2275.85</v>
      </c>
      <c r="M275" s="39">
        <f t="shared" si="12"/>
        <v>2176.9</v>
      </c>
      <c r="N275" s="40"/>
      <c r="O275" s="34"/>
      <c r="P275" s="35"/>
      <c r="Q275" s="35"/>
      <c r="R275" s="35"/>
      <c r="S275" s="35"/>
      <c r="T275" s="35"/>
      <c r="U275" s="35"/>
      <c r="V275" s="35"/>
      <c r="W275" s="35"/>
      <c r="X275" s="35"/>
      <c r="Y275" s="35"/>
      <c r="Z275" s="35"/>
    </row>
    <row r="276" ht="15.75" customHeight="1">
      <c r="A276" s="178" t="s">
        <v>563</v>
      </c>
      <c r="B276" s="66" t="s">
        <v>1259</v>
      </c>
      <c r="C276" s="69" t="s">
        <v>1305</v>
      </c>
      <c r="D276" s="148" t="s">
        <v>1306</v>
      </c>
      <c r="E276" s="167"/>
      <c r="F276" s="154">
        <v>2783.0</v>
      </c>
      <c r="G276" s="151">
        <v>45855.0</v>
      </c>
      <c r="H276" s="155">
        <f t="shared" si="7"/>
        <v>4174.5</v>
      </c>
      <c r="I276" s="37">
        <f t="shared" si="8"/>
        <v>3617.9</v>
      </c>
      <c r="J276" s="38">
        <f t="shared" si="9"/>
        <v>3617.9</v>
      </c>
      <c r="K276" s="39">
        <f t="shared" si="10"/>
        <v>3339.6</v>
      </c>
      <c r="L276" s="38">
        <f t="shared" si="11"/>
        <v>3200.45</v>
      </c>
      <c r="M276" s="39">
        <f t="shared" si="12"/>
        <v>3061.3</v>
      </c>
      <c r="N276" s="40"/>
      <c r="O276" s="34"/>
      <c r="P276" s="35"/>
      <c r="Q276" s="35"/>
      <c r="R276" s="35"/>
      <c r="S276" s="35"/>
      <c r="T276" s="35"/>
      <c r="U276" s="35"/>
      <c r="V276" s="35"/>
      <c r="W276" s="35"/>
      <c r="X276" s="35"/>
      <c r="Y276" s="35"/>
      <c r="Z276" s="35"/>
    </row>
    <row r="277" ht="15.75" customHeight="1">
      <c r="A277" s="178" t="s">
        <v>563</v>
      </c>
      <c r="B277" s="66" t="s">
        <v>1307</v>
      </c>
      <c r="C277" s="69" t="s">
        <v>1308</v>
      </c>
      <c r="D277" s="148" t="s">
        <v>1309</v>
      </c>
      <c r="E277" s="167"/>
      <c r="F277" s="154">
        <v>1918.0</v>
      </c>
      <c r="G277" s="151">
        <v>45855.0</v>
      </c>
      <c r="H277" s="155">
        <f t="shared" si="7"/>
        <v>2877</v>
      </c>
      <c r="I277" s="37">
        <f t="shared" si="8"/>
        <v>2493.4</v>
      </c>
      <c r="J277" s="38">
        <f t="shared" si="9"/>
        <v>2493.4</v>
      </c>
      <c r="K277" s="39">
        <f t="shared" si="10"/>
        <v>2301.6</v>
      </c>
      <c r="L277" s="38">
        <f t="shared" si="11"/>
        <v>2205.7</v>
      </c>
      <c r="M277" s="39">
        <f t="shared" si="12"/>
        <v>2109.8</v>
      </c>
      <c r="N277" s="40"/>
      <c r="O277" s="34"/>
      <c r="P277" s="35"/>
      <c r="Q277" s="35"/>
      <c r="R277" s="35"/>
      <c r="S277" s="35"/>
      <c r="T277" s="35"/>
      <c r="U277" s="35"/>
      <c r="V277" s="35"/>
      <c r="W277" s="35"/>
      <c r="X277" s="35"/>
      <c r="Y277" s="35"/>
      <c r="Z277" s="35"/>
    </row>
    <row r="278" ht="15.75" customHeight="1">
      <c r="A278" s="178" t="s">
        <v>563</v>
      </c>
      <c r="B278" s="66" t="s">
        <v>1307</v>
      </c>
      <c r="C278" s="69" t="s">
        <v>1310</v>
      </c>
      <c r="D278" s="148" t="s">
        <v>1311</v>
      </c>
      <c r="E278" s="167"/>
      <c r="F278" s="154">
        <v>1848.0</v>
      </c>
      <c r="G278" s="151">
        <v>45855.0</v>
      </c>
      <c r="H278" s="155">
        <f t="shared" si="7"/>
        <v>2772</v>
      </c>
      <c r="I278" s="37">
        <f t="shared" si="8"/>
        <v>2402.4</v>
      </c>
      <c r="J278" s="38">
        <f t="shared" si="9"/>
        <v>2402.4</v>
      </c>
      <c r="K278" s="39">
        <f t="shared" si="10"/>
        <v>2217.6</v>
      </c>
      <c r="L278" s="38">
        <f t="shared" si="11"/>
        <v>2125.2</v>
      </c>
      <c r="M278" s="39">
        <f t="shared" si="12"/>
        <v>2032.8</v>
      </c>
      <c r="N278" s="40"/>
      <c r="O278" s="34"/>
      <c r="P278" s="35"/>
      <c r="Q278" s="35"/>
      <c r="R278" s="35"/>
      <c r="S278" s="35"/>
      <c r="T278" s="35"/>
      <c r="U278" s="35"/>
      <c r="V278" s="35"/>
      <c r="W278" s="35"/>
      <c r="X278" s="35"/>
      <c r="Y278" s="35"/>
      <c r="Z278" s="35"/>
    </row>
    <row r="279" ht="15.75" customHeight="1">
      <c r="A279" s="178" t="s">
        <v>563</v>
      </c>
      <c r="B279" s="66" t="s">
        <v>1312</v>
      </c>
      <c r="C279" s="69" t="s">
        <v>1313</v>
      </c>
      <c r="D279" s="148" t="s">
        <v>1314</v>
      </c>
      <c r="E279" s="167"/>
      <c r="F279" s="154">
        <v>765.0</v>
      </c>
      <c r="G279" s="151">
        <v>45855.0</v>
      </c>
      <c r="H279" s="155">
        <f t="shared" si="7"/>
        <v>1147.5</v>
      </c>
      <c r="I279" s="37">
        <f t="shared" si="8"/>
        <v>994.5</v>
      </c>
      <c r="J279" s="38">
        <f t="shared" si="9"/>
        <v>994.5</v>
      </c>
      <c r="K279" s="39">
        <f t="shared" si="10"/>
        <v>918</v>
      </c>
      <c r="L279" s="38">
        <f t="shared" si="11"/>
        <v>879.75</v>
      </c>
      <c r="M279" s="39">
        <f t="shared" si="12"/>
        <v>841.5</v>
      </c>
      <c r="N279" s="40"/>
      <c r="O279" s="34"/>
      <c r="P279" s="35"/>
      <c r="Q279" s="35"/>
      <c r="R279" s="35"/>
      <c r="S279" s="35"/>
      <c r="T279" s="35"/>
      <c r="U279" s="35"/>
      <c r="V279" s="35"/>
      <c r="W279" s="35"/>
      <c r="X279" s="35"/>
      <c r="Y279" s="35"/>
      <c r="Z279" s="35"/>
    </row>
    <row r="280" ht="15.75" customHeight="1">
      <c r="A280" s="178" t="s">
        <v>563</v>
      </c>
      <c r="B280" s="66" t="s">
        <v>1312</v>
      </c>
      <c r="C280" s="69" t="s">
        <v>1315</v>
      </c>
      <c r="D280" s="148" t="s">
        <v>1316</v>
      </c>
      <c r="E280" s="167"/>
      <c r="F280" s="154">
        <v>720.0</v>
      </c>
      <c r="G280" s="151">
        <v>45855.0</v>
      </c>
      <c r="H280" s="155">
        <f t="shared" si="7"/>
        <v>1080</v>
      </c>
      <c r="I280" s="37">
        <f t="shared" si="8"/>
        <v>936</v>
      </c>
      <c r="J280" s="38">
        <f t="shared" si="9"/>
        <v>936</v>
      </c>
      <c r="K280" s="39">
        <f t="shared" si="10"/>
        <v>864</v>
      </c>
      <c r="L280" s="38">
        <f t="shared" si="11"/>
        <v>828</v>
      </c>
      <c r="M280" s="39">
        <f t="shared" si="12"/>
        <v>792</v>
      </c>
      <c r="N280" s="40"/>
      <c r="O280" s="34"/>
      <c r="P280" s="35"/>
      <c r="Q280" s="35"/>
      <c r="R280" s="35"/>
      <c r="S280" s="35"/>
      <c r="T280" s="35"/>
      <c r="U280" s="35"/>
      <c r="V280" s="35"/>
      <c r="W280" s="35"/>
      <c r="X280" s="35"/>
      <c r="Y280" s="35"/>
      <c r="Z280" s="35"/>
    </row>
    <row r="281" ht="15.75" customHeight="1">
      <c r="A281" s="178" t="s">
        <v>563</v>
      </c>
      <c r="B281" s="66" t="s">
        <v>1312</v>
      </c>
      <c r="C281" s="69" t="s">
        <v>1317</v>
      </c>
      <c r="D281" s="148" t="s">
        <v>1318</v>
      </c>
      <c r="E281" s="167"/>
      <c r="F281" s="154">
        <v>1100.0</v>
      </c>
      <c r="G281" s="151">
        <v>45855.0</v>
      </c>
      <c r="H281" s="155">
        <f t="shared" si="7"/>
        <v>1650</v>
      </c>
      <c r="I281" s="37">
        <f t="shared" si="8"/>
        <v>1430</v>
      </c>
      <c r="J281" s="38">
        <f t="shared" si="9"/>
        <v>1430</v>
      </c>
      <c r="K281" s="39">
        <f t="shared" si="10"/>
        <v>1320</v>
      </c>
      <c r="L281" s="38">
        <f t="shared" si="11"/>
        <v>1265</v>
      </c>
      <c r="M281" s="39">
        <f t="shared" si="12"/>
        <v>1210</v>
      </c>
      <c r="N281" s="40"/>
      <c r="O281" s="34"/>
      <c r="P281" s="35"/>
      <c r="Q281" s="35"/>
      <c r="R281" s="35"/>
      <c r="S281" s="35"/>
      <c r="T281" s="35"/>
      <c r="U281" s="35"/>
      <c r="V281" s="35"/>
      <c r="W281" s="35"/>
      <c r="X281" s="35"/>
      <c r="Y281" s="35"/>
      <c r="Z281" s="35"/>
    </row>
    <row r="282" ht="15.75" customHeight="1">
      <c r="A282" s="178" t="s">
        <v>563</v>
      </c>
      <c r="B282" s="66" t="s">
        <v>1259</v>
      </c>
      <c r="C282" s="69" t="s">
        <v>1319</v>
      </c>
      <c r="D282" s="148" t="s">
        <v>1320</v>
      </c>
      <c r="E282" s="167"/>
      <c r="F282" s="154">
        <v>1050.0</v>
      </c>
      <c r="G282" s="151">
        <v>45855.0</v>
      </c>
      <c r="H282" s="155">
        <f t="shared" si="7"/>
        <v>1575</v>
      </c>
      <c r="I282" s="37">
        <f t="shared" si="8"/>
        <v>1365</v>
      </c>
      <c r="J282" s="38">
        <f t="shared" si="9"/>
        <v>1365</v>
      </c>
      <c r="K282" s="39">
        <f t="shared" si="10"/>
        <v>1260</v>
      </c>
      <c r="L282" s="38">
        <f t="shared" si="11"/>
        <v>1207.5</v>
      </c>
      <c r="M282" s="39">
        <f t="shared" si="12"/>
        <v>1155</v>
      </c>
      <c r="N282" s="40"/>
      <c r="O282" s="34"/>
      <c r="P282" s="35"/>
      <c r="Q282" s="35"/>
      <c r="R282" s="35"/>
      <c r="S282" s="35"/>
      <c r="T282" s="35"/>
      <c r="U282" s="35"/>
      <c r="V282" s="35"/>
      <c r="W282" s="35"/>
      <c r="X282" s="35"/>
      <c r="Y282" s="35"/>
      <c r="Z282" s="35"/>
    </row>
    <row r="283" ht="15.75" customHeight="1">
      <c r="A283" s="178" t="s">
        <v>563</v>
      </c>
      <c r="B283" s="66" t="s">
        <v>1321</v>
      </c>
      <c r="C283" s="69" t="s">
        <v>1322</v>
      </c>
      <c r="D283" s="148" t="s">
        <v>1323</v>
      </c>
      <c r="E283" s="167"/>
      <c r="F283" s="154">
        <v>1104.0</v>
      </c>
      <c r="G283" s="151">
        <v>45855.0</v>
      </c>
      <c r="H283" s="155">
        <f t="shared" si="7"/>
        <v>1656</v>
      </c>
      <c r="I283" s="37">
        <f t="shared" si="8"/>
        <v>1435.2</v>
      </c>
      <c r="J283" s="38">
        <f t="shared" si="9"/>
        <v>1435.2</v>
      </c>
      <c r="K283" s="39">
        <f t="shared" si="10"/>
        <v>1324.8</v>
      </c>
      <c r="L283" s="38">
        <f t="shared" si="11"/>
        <v>1269.6</v>
      </c>
      <c r="M283" s="39">
        <f t="shared" si="12"/>
        <v>1214.4</v>
      </c>
      <c r="N283" s="40"/>
      <c r="O283" s="34"/>
      <c r="P283" s="35"/>
      <c r="Q283" s="35"/>
      <c r="R283" s="35"/>
      <c r="S283" s="35"/>
      <c r="T283" s="35"/>
      <c r="U283" s="35"/>
      <c r="V283" s="35"/>
      <c r="W283" s="35"/>
      <c r="X283" s="35"/>
      <c r="Y283" s="35"/>
      <c r="Z283" s="35"/>
    </row>
    <row r="284" ht="15.75" customHeight="1">
      <c r="A284" s="178" t="s">
        <v>563</v>
      </c>
      <c r="B284" s="66" t="s">
        <v>1321</v>
      </c>
      <c r="C284" s="69" t="s">
        <v>1324</v>
      </c>
      <c r="D284" s="148" t="s">
        <v>1325</v>
      </c>
      <c r="E284" s="167"/>
      <c r="F284" s="154">
        <v>1288.0</v>
      </c>
      <c r="G284" s="151">
        <v>45855.0</v>
      </c>
      <c r="H284" s="155">
        <f t="shared" si="7"/>
        <v>1932</v>
      </c>
      <c r="I284" s="37">
        <f t="shared" si="8"/>
        <v>1674.4</v>
      </c>
      <c r="J284" s="38">
        <f t="shared" si="9"/>
        <v>1674.4</v>
      </c>
      <c r="K284" s="39">
        <f t="shared" si="10"/>
        <v>1545.6</v>
      </c>
      <c r="L284" s="38">
        <f t="shared" si="11"/>
        <v>1481.2</v>
      </c>
      <c r="M284" s="39">
        <f t="shared" si="12"/>
        <v>1416.8</v>
      </c>
      <c r="N284" s="40"/>
      <c r="O284" s="34"/>
      <c r="P284" s="35"/>
      <c r="Q284" s="35"/>
      <c r="R284" s="35"/>
      <c r="S284" s="35"/>
      <c r="T284" s="35"/>
      <c r="U284" s="35"/>
      <c r="V284" s="35"/>
      <c r="W284" s="35"/>
      <c r="X284" s="35"/>
      <c r="Y284" s="35"/>
      <c r="Z284" s="35"/>
    </row>
    <row r="285" ht="15.75" customHeight="1">
      <c r="A285" s="178" t="s">
        <v>563</v>
      </c>
      <c r="B285" s="66" t="s">
        <v>1321</v>
      </c>
      <c r="C285" s="69" t="s">
        <v>1326</v>
      </c>
      <c r="D285" s="148" t="s">
        <v>1327</v>
      </c>
      <c r="E285" s="167"/>
      <c r="F285" s="154">
        <v>1165.0</v>
      </c>
      <c r="G285" s="151">
        <v>45855.0</v>
      </c>
      <c r="H285" s="155">
        <f t="shared" si="7"/>
        <v>1747.5</v>
      </c>
      <c r="I285" s="37">
        <f t="shared" si="8"/>
        <v>1514.5</v>
      </c>
      <c r="J285" s="38">
        <f t="shared" si="9"/>
        <v>1514.5</v>
      </c>
      <c r="K285" s="39">
        <f t="shared" si="10"/>
        <v>1398</v>
      </c>
      <c r="L285" s="38">
        <f t="shared" si="11"/>
        <v>1339.75</v>
      </c>
      <c r="M285" s="39">
        <f t="shared" si="12"/>
        <v>1281.5</v>
      </c>
      <c r="N285" s="40"/>
      <c r="O285" s="34"/>
      <c r="P285" s="35"/>
      <c r="Q285" s="35"/>
      <c r="R285" s="35"/>
      <c r="S285" s="35"/>
      <c r="T285" s="35"/>
      <c r="U285" s="35"/>
      <c r="V285" s="35"/>
      <c r="W285" s="35"/>
      <c r="X285" s="35"/>
      <c r="Y285" s="35"/>
      <c r="Z285" s="35"/>
    </row>
    <row r="286" ht="15.75" customHeight="1">
      <c r="A286" s="178" t="s">
        <v>563</v>
      </c>
      <c r="B286" s="66" t="s">
        <v>1321</v>
      </c>
      <c r="C286" s="66" t="s">
        <v>1328</v>
      </c>
      <c r="D286" s="148" t="s">
        <v>1325</v>
      </c>
      <c r="E286" s="167"/>
      <c r="F286" s="154">
        <v>1472.0</v>
      </c>
      <c r="G286" s="151">
        <v>45855.0</v>
      </c>
      <c r="H286" s="155">
        <f t="shared" si="7"/>
        <v>2208</v>
      </c>
      <c r="I286" s="37">
        <f t="shared" si="8"/>
        <v>1913.6</v>
      </c>
      <c r="J286" s="38">
        <f t="shared" si="9"/>
        <v>1913.6</v>
      </c>
      <c r="K286" s="39">
        <f t="shared" si="10"/>
        <v>1766.4</v>
      </c>
      <c r="L286" s="38">
        <f t="shared" si="11"/>
        <v>1692.8</v>
      </c>
      <c r="M286" s="39">
        <f t="shared" si="12"/>
        <v>1619.2</v>
      </c>
      <c r="N286" s="40"/>
      <c r="O286" s="34"/>
      <c r="P286" s="35"/>
      <c r="Q286" s="35"/>
      <c r="R286" s="35"/>
      <c r="S286" s="35"/>
      <c r="T286" s="35"/>
      <c r="U286" s="35"/>
      <c r="V286" s="35"/>
      <c r="W286" s="35"/>
      <c r="X286" s="35"/>
      <c r="Y286" s="35"/>
      <c r="Z286" s="35"/>
    </row>
    <row r="287" ht="15.75" customHeight="1">
      <c r="A287" s="178" t="s">
        <v>563</v>
      </c>
      <c r="B287" s="66" t="s">
        <v>1329</v>
      </c>
      <c r="C287" s="66" t="s">
        <v>1330</v>
      </c>
      <c r="D287" s="148" t="s">
        <v>1331</v>
      </c>
      <c r="E287" s="179"/>
      <c r="F287" s="154">
        <v>1170.0</v>
      </c>
      <c r="G287" s="151">
        <v>45855.0</v>
      </c>
      <c r="H287" s="155">
        <f t="shared" si="7"/>
        <v>1755</v>
      </c>
      <c r="I287" s="37">
        <f t="shared" si="8"/>
        <v>1521</v>
      </c>
      <c r="J287" s="38">
        <f t="shared" si="9"/>
        <v>1521</v>
      </c>
      <c r="K287" s="39">
        <f t="shared" si="10"/>
        <v>1404</v>
      </c>
      <c r="L287" s="38">
        <f t="shared" si="11"/>
        <v>1345.5</v>
      </c>
      <c r="M287" s="39">
        <f t="shared" si="12"/>
        <v>1287</v>
      </c>
      <c r="N287" s="40"/>
      <c r="O287" s="34"/>
      <c r="P287" s="35"/>
      <c r="Q287" s="35"/>
      <c r="R287" s="35"/>
      <c r="S287" s="35"/>
      <c r="T287" s="35"/>
      <c r="U287" s="35"/>
      <c r="V287" s="35"/>
      <c r="W287" s="35"/>
      <c r="X287" s="35"/>
      <c r="Y287" s="35"/>
      <c r="Z287" s="35"/>
    </row>
    <row r="288" ht="15.75" customHeight="1">
      <c r="A288" s="178" t="s">
        <v>563</v>
      </c>
      <c r="B288" s="66" t="s">
        <v>1329</v>
      </c>
      <c r="C288" s="66" t="s">
        <v>1330</v>
      </c>
      <c r="D288" s="148" t="s">
        <v>1332</v>
      </c>
      <c r="E288" s="179"/>
      <c r="F288" s="154">
        <v>1367.0</v>
      </c>
      <c r="G288" s="151">
        <v>45855.0</v>
      </c>
      <c r="H288" s="155">
        <f t="shared" si="7"/>
        <v>2050.5</v>
      </c>
      <c r="I288" s="37">
        <f t="shared" si="8"/>
        <v>1777.1</v>
      </c>
      <c r="J288" s="38">
        <f t="shared" si="9"/>
        <v>1777.1</v>
      </c>
      <c r="K288" s="39">
        <f t="shared" si="10"/>
        <v>1640.4</v>
      </c>
      <c r="L288" s="38">
        <f t="shared" si="11"/>
        <v>1572.05</v>
      </c>
      <c r="M288" s="39">
        <f t="shared" si="12"/>
        <v>1503.7</v>
      </c>
      <c r="N288" s="40"/>
      <c r="O288" s="34"/>
      <c r="P288" s="35"/>
      <c r="Q288" s="35"/>
      <c r="R288" s="35"/>
      <c r="S288" s="35"/>
      <c r="T288" s="35"/>
      <c r="U288" s="35"/>
      <c r="V288" s="35"/>
      <c r="W288" s="35"/>
      <c r="X288" s="35"/>
      <c r="Y288" s="35"/>
      <c r="Z288" s="35"/>
    </row>
    <row r="289" ht="15.75" customHeight="1">
      <c r="A289" s="178" t="s">
        <v>563</v>
      </c>
      <c r="B289" s="66" t="s">
        <v>1329</v>
      </c>
      <c r="C289" s="66" t="s">
        <v>1333</v>
      </c>
      <c r="D289" s="148" t="s">
        <v>1332</v>
      </c>
      <c r="E289" s="179"/>
      <c r="F289" s="154">
        <v>1367.0</v>
      </c>
      <c r="G289" s="151">
        <v>45855.0</v>
      </c>
      <c r="H289" s="155">
        <f t="shared" si="7"/>
        <v>2050.5</v>
      </c>
      <c r="I289" s="37">
        <f t="shared" si="8"/>
        <v>1777.1</v>
      </c>
      <c r="J289" s="38">
        <f t="shared" si="9"/>
        <v>1777.1</v>
      </c>
      <c r="K289" s="39">
        <f t="shared" si="10"/>
        <v>1640.4</v>
      </c>
      <c r="L289" s="38">
        <f t="shared" si="11"/>
        <v>1572.05</v>
      </c>
      <c r="M289" s="39">
        <f t="shared" si="12"/>
        <v>1503.7</v>
      </c>
      <c r="N289" s="40"/>
      <c r="O289" s="34"/>
      <c r="P289" s="35"/>
      <c r="Q289" s="35"/>
      <c r="R289" s="35"/>
      <c r="S289" s="35"/>
      <c r="T289" s="35"/>
      <c r="U289" s="35"/>
      <c r="V289" s="35"/>
      <c r="W289" s="35"/>
      <c r="X289" s="35"/>
      <c r="Y289" s="35"/>
      <c r="Z289" s="35"/>
    </row>
    <row r="290" ht="15.75" customHeight="1">
      <c r="A290" s="178" t="s">
        <v>563</v>
      </c>
      <c r="B290" s="66" t="s">
        <v>1329</v>
      </c>
      <c r="C290" s="66" t="s">
        <v>1334</v>
      </c>
      <c r="D290" s="148" t="s">
        <v>1335</v>
      </c>
      <c r="E290" s="179"/>
      <c r="F290" s="154">
        <v>1489.0</v>
      </c>
      <c r="G290" s="151">
        <v>45855.0</v>
      </c>
      <c r="H290" s="155">
        <f t="shared" si="7"/>
        <v>2233.5</v>
      </c>
      <c r="I290" s="37">
        <f t="shared" si="8"/>
        <v>1935.7</v>
      </c>
      <c r="J290" s="38">
        <f t="shared" si="9"/>
        <v>1935.7</v>
      </c>
      <c r="K290" s="39">
        <f t="shared" si="10"/>
        <v>1786.8</v>
      </c>
      <c r="L290" s="38">
        <f t="shared" si="11"/>
        <v>1712.35</v>
      </c>
      <c r="M290" s="39">
        <f t="shared" si="12"/>
        <v>1637.9</v>
      </c>
      <c r="N290" s="40"/>
      <c r="O290" s="34"/>
      <c r="P290" s="35"/>
      <c r="Q290" s="35"/>
      <c r="R290" s="35"/>
      <c r="S290" s="35"/>
      <c r="T290" s="35"/>
      <c r="U290" s="35"/>
      <c r="V290" s="35"/>
      <c r="W290" s="35"/>
      <c r="X290" s="35"/>
      <c r="Y290" s="35"/>
      <c r="Z290" s="35"/>
    </row>
    <row r="291" ht="15.75" customHeight="1">
      <c r="A291" s="178" t="s">
        <v>563</v>
      </c>
      <c r="B291" s="66" t="s">
        <v>1329</v>
      </c>
      <c r="C291" s="69" t="s">
        <v>1336</v>
      </c>
      <c r="D291" s="148" t="s">
        <v>1337</v>
      </c>
      <c r="E291" s="179"/>
      <c r="F291" s="154">
        <v>1280.0</v>
      </c>
      <c r="G291" s="151">
        <v>45855.0</v>
      </c>
      <c r="H291" s="155">
        <f t="shared" si="7"/>
        <v>1920</v>
      </c>
      <c r="I291" s="37">
        <f t="shared" si="8"/>
        <v>1664</v>
      </c>
      <c r="J291" s="38">
        <f t="shared" si="9"/>
        <v>1664</v>
      </c>
      <c r="K291" s="39">
        <f t="shared" si="10"/>
        <v>1536</v>
      </c>
      <c r="L291" s="38">
        <f t="shared" si="11"/>
        <v>1472</v>
      </c>
      <c r="M291" s="39">
        <f t="shared" si="12"/>
        <v>1408</v>
      </c>
      <c r="N291" s="40"/>
      <c r="O291" s="34"/>
      <c r="P291" s="35"/>
      <c r="Q291" s="35"/>
      <c r="R291" s="35"/>
      <c r="S291" s="35"/>
      <c r="T291" s="35"/>
      <c r="U291" s="35"/>
      <c r="V291" s="35"/>
      <c r="W291" s="35"/>
      <c r="X291" s="35"/>
      <c r="Y291" s="35"/>
      <c r="Z291" s="35"/>
    </row>
    <row r="292" ht="15.75" customHeight="1">
      <c r="A292" s="178" t="s">
        <v>563</v>
      </c>
      <c r="B292" s="66" t="s">
        <v>1329</v>
      </c>
      <c r="C292" s="69" t="s">
        <v>1336</v>
      </c>
      <c r="D292" s="148" t="s">
        <v>1338</v>
      </c>
      <c r="E292" s="179"/>
      <c r="F292" s="154">
        <v>1300.0</v>
      </c>
      <c r="G292" s="151">
        <v>45855.0</v>
      </c>
      <c r="H292" s="155">
        <f t="shared" si="7"/>
        <v>1950</v>
      </c>
      <c r="I292" s="37">
        <f t="shared" si="8"/>
        <v>1690</v>
      </c>
      <c r="J292" s="38">
        <f t="shared" si="9"/>
        <v>1690</v>
      </c>
      <c r="K292" s="39">
        <f t="shared" si="10"/>
        <v>1560</v>
      </c>
      <c r="L292" s="38">
        <f t="shared" si="11"/>
        <v>1495</v>
      </c>
      <c r="M292" s="39">
        <f t="shared" si="12"/>
        <v>1430</v>
      </c>
      <c r="N292" s="40"/>
      <c r="O292" s="34"/>
      <c r="P292" s="35"/>
      <c r="Q292" s="35"/>
      <c r="R292" s="35"/>
      <c r="S292" s="35"/>
      <c r="T292" s="35"/>
      <c r="U292" s="35"/>
      <c r="V292" s="35"/>
      <c r="W292" s="35"/>
      <c r="X292" s="35"/>
      <c r="Y292" s="35"/>
      <c r="Z292" s="35"/>
    </row>
    <row r="293" ht="15.75" customHeight="1">
      <c r="A293" s="178" t="s">
        <v>563</v>
      </c>
      <c r="B293" s="66" t="s">
        <v>1329</v>
      </c>
      <c r="C293" s="69" t="s">
        <v>1339</v>
      </c>
      <c r="D293" s="148" t="s">
        <v>1340</v>
      </c>
      <c r="E293" s="179"/>
      <c r="F293" s="154">
        <v>1244.0</v>
      </c>
      <c r="G293" s="151">
        <v>45855.0</v>
      </c>
      <c r="H293" s="155">
        <f t="shared" si="7"/>
        <v>1866</v>
      </c>
      <c r="I293" s="37">
        <f t="shared" si="8"/>
        <v>1617.2</v>
      </c>
      <c r="J293" s="38">
        <f t="shared" si="9"/>
        <v>1617.2</v>
      </c>
      <c r="K293" s="39">
        <f t="shared" si="10"/>
        <v>1492.8</v>
      </c>
      <c r="L293" s="38">
        <f t="shared" si="11"/>
        <v>1430.6</v>
      </c>
      <c r="M293" s="39">
        <f t="shared" si="12"/>
        <v>1368.4</v>
      </c>
      <c r="N293" s="40"/>
      <c r="O293" s="34"/>
      <c r="P293" s="35"/>
      <c r="Q293" s="35"/>
      <c r="R293" s="35"/>
      <c r="S293" s="35"/>
      <c r="T293" s="35"/>
      <c r="U293" s="35"/>
      <c r="V293" s="35"/>
      <c r="W293" s="35"/>
      <c r="X293" s="35"/>
      <c r="Y293" s="35"/>
      <c r="Z293" s="35"/>
    </row>
    <row r="294" ht="15.75" customHeight="1">
      <c r="A294" s="178" t="s">
        <v>563</v>
      </c>
      <c r="B294" s="66" t="s">
        <v>1329</v>
      </c>
      <c r="C294" s="69" t="s">
        <v>1341</v>
      </c>
      <c r="D294" s="148" t="s">
        <v>1340</v>
      </c>
      <c r="E294" s="179"/>
      <c r="F294" s="154">
        <v>1244.0</v>
      </c>
      <c r="G294" s="151">
        <v>45855.0</v>
      </c>
      <c r="H294" s="155">
        <f t="shared" si="7"/>
        <v>1866</v>
      </c>
      <c r="I294" s="37">
        <f t="shared" si="8"/>
        <v>1617.2</v>
      </c>
      <c r="J294" s="38">
        <f t="shared" si="9"/>
        <v>1617.2</v>
      </c>
      <c r="K294" s="39">
        <f t="shared" si="10"/>
        <v>1492.8</v>
      </c>
      <c r="L294" s="38">
        <f t="shared" si="11"/>
        <v>1430.6</v>
      </c>
      <c r="M294" s="39">
        <f t="shared" si="12"/>
        <v>1368.4</v>
      </c>
      <c r="N294" s="40"/>
      <c r="O294" s="34"/>
      <c r="P294" s="35"/>
      <c r="Q294" s="35"/>
      <c r="R294" s="35"/>
      <c r="S294" s="35"/>
      <c r="T294" s="35"/>
      <c r="U294" s="35"/>
      <c r="V294" s="35"/>
      <c r="W294" s="35"/>
      <c r="X294" s="35"/>
      <c r="Y294" s="35"/>
      <c r="Z294" s="35"/>
    </row>
    <row r="295" ht="15.75" customHeight="1">
      <c r="A295" s="178" t="s">
        <v>563</v>
      </c>
      <c r="B295" s="66" t="s">
        <v>1329</v>
      </c>
      <c r="C295" s="69" t="s">
        <v>1342</v>
      </c>
      <c r="D295" s="148" t="s">
        <v>1343</v>
      </c>
      <c r="E295" s="179"/>
      <c r="F295" s="154">
        <v>1120.0</v>
      </c>
      <c r="G295" s="151">
        <v>45855.0</v>
      </c>
      <c r="H295" s="155">
        <f t="shared" si="7"/>
        <v>1680</v>
      </c>
      <c r="I295" s="37">
        <f t="shared" si="8"/>
        <v>1456</v>
      </c>
      <c r="J295" s="38">
        <f t="shared" si="9"/>
        <v>1456</v>
      </c>
      <c r="K295" s="39">
        <f t="shared" si="10"/>
        <v>1344</v>
      </c>
      <c r="L295" s="38">
        <f t="shared" si="11"/>
        <v>1288</v>
      </c>
      <c r="M295" s="39">
        <f t="shared" si="12"/>
        <v>1232</v>
      </c>
      <c r="N295" s="40"/>
      <c r="O295" s="34"/>
      <c r="P295" s="35"/>
      <c r="Q295" s="35"/>
      <c r="R295" s="35"/>
      <c r="S295" s="35"/>
      <c r="T295" s="35"/>
      <c r="U295" s="35"/>
      <c r="V295" s="35"/>
      <c r="W295" s="35"/>
      <c r="X295" s="35"/>
      <c r="Y295" s="35"/>
      <c r="Z295" s="35"/>
    </row>
    <row r="296" ht="15.75" customHeight="1">
      <c r="A296" s="178" t="s">
        <v>563</v>
      </c>
      <c r="B296" s="66" t="s">
        <v>1329</v>
      </c>
      <c r="C296" s="69" t="s">
        <v>1344</v>
      </c>
      <c r="D296" s="148" t="s">
        <v>1345</v>
      </c>
      <c r="E296" s="179"/>
      <c r="F296" s="154">
        <v>1200.0</v>
      </c>
      <c r="G296" s="151">
        <v>45855.0</v>
      </c>
      <c r="H296" s="155">
        <f t="shared" si="7"/>
        <v>1800</v>
      </c>
      <c r="I296" s="37">
        <f t="shared" si="8"/>
        <v>1560</v>
      </c>
      <c r="J296" s="38">
        <f t="shared" si="9"/>
        <v>1560</v>
      </c>
      <c r="K296" s="39">
        <f t="shared" si="10"/>
        <v>1440</v>
      </c>
      <c r="L296" s="38">
        <f t="shared" si="11"/>
        <v>1380</v>
      </c>
      <c r="M296" s="39">
        <f t="shared" si="12"/>
        <v>1320</v>
      </c>
      <c r="N296" s="40"/>
      <c r="O296" s="34"/>
      <c r="P296" s="35"/>
      <c r="Q296" s="35"/>
      <c r="R296" s="35"/>
      <c r="S296" s="35"/>
      <c r="T296" s="35"/>
      <c r="U296" s="35"/>
      <c r="V296" s="35"/>
      <c r="W296" s="35"/>
      <c r="X296" s="35"/>
      <c r="Y296" s="35"/>
      <c r="Z296" s="35"/>
    </row>
    <row r="297" ht="15.75" customHeight="1">
      <c r="A297" s="178" t="s">
        <v>563</v>
      </c>
      <c r="B297" s="66" t="s">
        <v>1329</v>
      </c>
      <c r="C297" s="66" t="s">
        <v>1344</v>
      </c>
      <c r="D297" s="148" t="s">
        <v>1346</v>
      </c>
      <c r="E297" s="179"/>
      <c r="F297" s="154">
        <v>1200.0</v>
      </c>
      <c r="G297" s="151">
        <v>45855.0</v>
      </c>
      <c r="H297" s="155">
        <f t="shared" si="7"/>
        <v>1800</v>
      </c>
      <c r="I297" s="37">
        <f t="shared" si="8"/>
        <v>1560</v>
      </c>
      <c r="J297" s="38">
        <f t="shared" si="9"/>
        <v>1560</v>
      </c>
      <c r="K297" s="39">
        <f t="shared" si="10"/>
        <v>1440</v>
      </c>
      <c r="L297" s="38">
        <f t="shared" si="11"/>
        <v>1380</v>
      </c>
      <c r="M297" s="39">
        <f t="shared" si="12"/>
        <v>1320</v>
      </c>
      <c r="N297" s="40"/>
      <c r="O297" s="34"/>
      <c r="P297" s="35"/>
      <c r="Q297" s="35"/>
      <c r="R297" s="35"/>
      <c r="S297" s="35"/>
      <c r="T297" s="35"/>
      <c r="U297" s="35"/>
      <c r="V297" s="35"/>
      <c r="W297" s="35"/>
      <c r="X297" s="35"/>
      <c r="Y297" s="35"/>
      <c r="Z297" s="35"/>
    </row>
    <row r="298" ht="15.75" customHeight="1">
      <c r="A298" s="178" t="s">
        <v>563</v>
      </c>
      <c r="B298" s="66" t="s">
        <v>1329</v>
      </c>
      <c r="C298" s="66" t="s">
        <v>1347</v>
      </c>
      <c r="D298" s="148" t="s">
        <v>1348</v>
      </c>
      <c r="E298" s="179"/>
      <c r="F298" s="154">
        <v>1551.0</v>
      </c>
      <c r="G298" s="151">
        <v>45855.0</v>
      </c>
      <c r="H298" s="155">
        <f t="shared" si="7"/>
        <v>2326.5</v>
      </c>
      <c r="I298" s="37">
        <f t="shared" si="8"/>
        <v>2016.3</v>
      </c>
      <c r="J298" s="38">
        <f t="shared" si="9"/>
        <v>2016.3</v>
      </c>
      <c r="K298" s="39">
        <f t="shared" si="10"/>
        <v>1861.2</v>
      </c>
      <c r="L298" s="38">
        <f t="shared" si="11"/>
        <v>1783.65</v>
      </c>
      <c r="M298" s="39">
        <f t="shared" si="12"/>
        <v>1706.1</v>
      </c>
      <c r="N298" s="40"/>
      <c r="O298" s="34"/>
      <c r="P298" s="35"/>
      <c r="Q298" s="35"/>
      <c r="R298" s="35"/>
      <c r="S298" s="35"/>
      <c r="T298" s="35"/>
      <c r="U298" s="35"/>
      <c r="V298" s="35"/>
      <c r="W298" s="35"/>
      <c r="X298" s="35"/>
      <c r="Y298" s="35"/>
      <c r="Z298" s="35"/>
    </row>
    <row r="299" ht="15.75" customHeight="1">
      <c r="A299" s="178" t="s">
        <v>563</v>
      </c>
      <c r="B299" s="66" t="s">
        <v>1329</v>
      </c>
      <c r="C299" s="66" t="s">
        <v>1349</v>
      </c>
      <c r="D299" s="148" t="s">
        <v>1350</v>
      </c>
      <c r="E299" s="179"/>
      <c r="F299" s="154">
        <v>1673.0</v>
      </c>
      <c r="G299" s="151">
        <v>45855.0</v>
      </c>
      <c r="H299" s="155">
        <f t="shared" si="7"/>
        <v>2509.5</v>
      </c>
      <c r="I299" s="37">
        <f t="shared" si="8"/>
        <v>2174.9</v>
      </c>
      <c r="J299" s="38">
        <f t="shared" si="9"/>
        <v>2174.9</v>
      </c>
      <c r="K299" s="39">
        <f t="shared" si="10"/>
        <v>2007.6</v>
      </c>
      <c r="L299" s="38">
        <f t="shared" si="11"/>
        <v>1923.95</v>
      </c>
      <c r="M299" s="39">
        <f t="shared" si="12"/>
        <v>1840.3</v>
      </c>
      <c r="N299" s="40"/>
      <c r="O299" s="34"/>
      <c r="P299" s="35"/>
      <c r="Q299" s="35"/>
      <c r="R299" s="35"/>
      <c r="S299" s="35"/>
      <c r="T299" s="35"/>
      <c r="U299" s="35"/>
      <c r="V299" s="35"/>
      <c r="W299" s="35"/>
      <c r="X299" s="35"/>
      <c r="Y299" s="35"/>
      <c r="Z299" s="35"/>
    </row>
    <row r="300" ht="15.75" customHeight="1">
      <c r="A300" s="178" t="s">
        <v>563</v>
      </c>
      <c r="B300" s="66" t="s">
        <v>1329</v>
      </c>
      <c r="C300" s="69" t="s">
        <v>1351</v>
      </c>
      <c r="D300" s="148" t="s">
        <v>1352</v>
      </c>
      <c r="E300" s="179"/>
      <c r="F300" s="154">
        <v>1625.0</v>
      </c>
      <c r="G300" s="151">
        <v>45855.0</v>
      </c>
      <c r="H300" s="155">
        <f t="shared" si="7"/>
        <v>2437.5</v>
      </c>
      <c r="I300" s="37">
        <f t="shared" si="8"/>
        <v>2112.5</v>
      </c>
      <c r="J300" s="38">
        <f t="shared" si="9"/>
        <v>2112.5</v>
      </c>
      <c r="K300" s="39">
        <f t="shared" si="10"/>
        <v>1950</v>
      </c>
      <c r="L300" s="38">
        <f t="shared" si="11"/>
        <v>1868.75</v>
      </c>
      <c r="M300" s="39">
        <f t="shared" si="12"/>
        <v>1787.5</v>
      </c>
      <c r="N300" s="40"/>
      <c r="O300" s="34"/>
      <c r="P300" s="35"/>
      <c r="Q300" s="35"/>
      <c r="R300" s="35"/>
      <c r="S300" s="35"/>
      <c r="T300" s="35"/>
      <c r="U300" s="35"/>
      <c r="V300" s="35"/>
      <c r="W300" s="35"/>
      <c r="X300" s="35"/>
      <c r="Y300" s="35"/>
      <c r="Z300" s="35"/>
    </row>
    <row r="301" ht="15.75" customHeight="1">
      <c r="A301" s="178" t="s">
        <v>563</v>
      </c>
      <c r="B301" s="66" t="s">
        <v>1329</v>
      </c>
      <c r="C301" s="66" t="s">
        <v>1353</v>
      </c>
      <c r="D301" s="148" t="s">
        <v>1354</v>
      </c>
      <c r="E301" s="179"/>
      <c r="F301" s="154">
        <v>1625.0</v>
      </c>
      <c r="G301" s="151">
        <v>45855.0</v>
      </c>
      <c r="H301" s="155">
        <f t="shared" si="7"/>
        <v>2437.5</v>
      </c>
      <c r="I301" s="37">
        <f t="shared" si="8"/>
        <v>2112.5</v>
      </c>
      <c r="J301" s="38">
        <f t="shared" si="9"/>
        <v>2112.5</v>
      </c>
      <c r="K301" s="39">
        <f t="shared" si="10"/>
        <v>1950</v>
      </c>
      <c r="L301" s="38">
        <f t="shared" si="11"/>
        <v>1868.75</v>
      </c>
      <c r="M301" s="39">
        <f t="shared" si="12"/>
        <v>1787.5</v>
      </c>
      <c r="N301" s="40"/>
      <c r="O301" s="34"/>
      <c r="P301" s="35"/>
      <c r="Q301" s="35"/>
      <c r="R301" s="35"/>
      <c r="S301" s="35"/>
      <c r="T301" s="35"/>
      <c r="U301" s="35"/>
      <c r="V301" s="35"/>
      <c r="W301" s="35"/>
      <c r="X301" s="35"/>
      <c r="Y301" s="35"/>
      <c r="Z301" s="35"/>
    </row>
    <row r="302" ht="15.75" customHeight="1">
      <c r="A302" s="178" t="s">
        <v>563</v>
      </c>
      <c r="B302" s="66" t="s">
        <v>1355</v>
      </c>
      <c r="C302" s="66" t="s">
        <v>1356</v>
      </c>
      <c r="D302" s="148" t="s">
        <v>1357</v>
      </c>
      <c r="E302" s="179"/>
      <c r="F302" s="154">
        <v>1850.0</v>
      </c>
      <c r="G302" s="151">
        <v>45855.0</v>
      </c>
      <c r="H302" s="155">
        <f t="shared" si="7"/>
        <v>2775</v>
      </c>
      <c r="I302" s="37">
        <f t="shared" si="8"/>
        <v>2405</v>
      </c>
      <c r="J302" s="38">
        <f t="shared" si="9"/>
        <v>2405</v>
      </c>
      <c r="K302" s="39">
        <f t="shared" si="10"/>
        <v>2220</v>
      </c>
      <c r="L302" s="38">
        <f t="shared" si="11"/>
        <v>2127.5</v>
      </c>
      <c r="M302" s="39">
        <f t="shared" si="12"/>
        <v>2035</v>
      </c>
      <c r="N302" s="40"/>
      <c r="O302" s="34"/>
      <c r="P302" s="35"/>
      <c r="Q302" s="35"/>
      <c r="R302" s="35"/>
      <c r="S302" s="35"/>
      <c r="T302" s="35"/>
      <c r="U302" s="35"/>
      <c r="V302" s="35"/>
      <c r="W302" s="35"/>
      <c r="X302" s="35"/>
      <c r="Y302" s="35"/>
      <c r="Z302" s="35"/>
    </row>
    <row r="303" ht="15.75" customHeight="1">
      <c r="A303" s="178" t="s">
        <v>563</v>
      </c>
      <c r="B303" s="66" t="s">
        <v>1259</v>
      </c>
      <c r="C303" s="66" t="s">
        <v>1358</v>
      </c>
      <c r="D303" s="148" t="s">
        <v>1359</v>
      </c>
      <c r="E303" s="179"/>
      <c r="F303" s="154">
        <v>1962.0</v>
      </c>
      <c r="G303" s="151">
        <v>45855.0</v>
      </c>
      <c r="H303" s="155">
        <f t="shared" si="7"/>
        <v>2943</v>
      </c>
      <c r="I303" s="37">
        <f t="shared" si="8"/>
        <v>2550.6</v>
      </c>
      <c r="J303" s="38">
        <f t="shared" si="9"/>
        <v>2550.6</v>
      </c>
      <c r="K303" s="39">
        <f t="shared" si="10"/>
        <v>2354.4</v>
      </c>
      <c r="L303" s="38">
        <f t="shared" si="11"/>
        <v>2256.3</v>
      </c>
      <c r="M303" s="39">
        <f t="shared" si="12"/>
        <v>2158.2</v>
      </c>
      <c r="N303" s="40"/>
      <c r="O303" s="34"/>
      <c r="P303" s="35"/>
      <c r="Q303" s="35"/>
      <c r="R303" s="35"/>
      <c r="S303" s="35"/>
      <c r="T303" s="35"/>
      <c r="U303" s="35"/>
      <c r="V303" s="35"/>
      <c r="W303" s="35"/>
      <c r="X303" s="35"/>
      <c r="Y303" s="35"/>
      <c r="Z303" s="35"/>
    </row>
    <row r="304" ht="15.75" customHeight="1">
      <c r="A304" s="178" t="s">
        <v>563</v>
      </c>
      <c r="B304" s="66" t="s">
        <v>1259</v>
      </c>
      <c r="C304" s="66" t="s">
        <v>1360</v>
      </c>
      <c r="D304" s="148" t="s">
        <v>1357</v>
      </c>
      <c r="E304" s="179"/>
      <c r="F304" s="154">
        <v>2146.0</v>
      </c>
      <c r="G304" s="151">
        <v>45855.0</v>
      </c>
      <c r="H304" s="155">
        <f t="shared" si="7"/>
        <v>3219</v>
      </c>
      <c r="I304" s="37">
        <f t="shared" si="8"/>
        <v>2789.8</v>
      </c>
      <c r="J304" s="38">
        <f t="shared" si="9"/>
        <v>2789.8</v>
      </c>
      <c r="K304" s="39">
        <f t="shared" si="10"/>
        <v>2575.2</v>
      </c>
      <c r="L304" s="38">
        <f t="shared" si="11"/>
        <v>2467.9</v>
      </c>
      <c r="M304" s="39">
        <f t="shared" si="12"/>
        <v>2360.6</v>
      </c>
      <c r="N304" s="40"/>
      <c r="O304" s="34"/>
      <c r="P304" s="35"/>
      <c r="Q304" s="35"/>
      <c r="R304" s="35"/>
      <c r="S304" s="35"/>
      <c r="T304" s="35"/>
      <c r="U304" s="35"/>
      <c r="V304" s="35"/>
      <c r="W304" s="35"/>
      <c r="X304" s="35"/>
      <c r="Y304" s="35"/>
      <c r="Z304" s="35"/>
    </row>
    <row r="305" ht="15.75" customHeight="1">
      <c r="A305" s="178" t="s">
        <v>563</v>
      </c>
      <c r="B305" s="66" t="s">
        <v>1361</v>
      </c>
      <c r="C305" s="69" t="s">
        <v>1362</v>
      </c>
      <c r="D305" s="148" t="s">
        <v>1363</v>
      </c>
      <c r="E305" s="167"/>
      <c r="F305" s="67">
        <v>1560.0</v>
      </c>
      <c r="G305" s="151">
        <v>45855.0</v>
      </c>
      <c r="H305" s="155">
        <f t="shared" si="7"/>
        <v>2340</v>
      </c>
      <c r="I305" s="37">
        <f t="shared" si="8"/>
        <v>2028</v>
      </c>
      <c r="J305" s="38">
        <f t="shared" si="9"/>
        <v>2028</v>
      </c>
      <c r="K305" s="39">
        <f t="shared" si="10"/>
        <v>1872</v>
      </c>
      <c r="L305" s="38">
        <f t="shared" si="11"/>
        <v>1794</v>
      </c>
      <c r="M305" s="39">
        <f t="shared" si="12"/>
        <v>1716</v>
      </c>
      <c r="N305" s="40"/>
      <c r="O305" s="34"/>
      <c r="P305" s="35"/>
      <c r="Q305" s="35"/>
      <c r="R305" s="35"/>
      <c r="S305" s="35"/>
      <c r="T305" s="35"/>
      <c r="U305" s="35"/>
      <c r="V305" s="35"/>
      <c r="W305" s="35"/>
      <c r="X305" s="35"/>
      <c r="Y305" s="35"/>
      <c r="Z305" s="35"/>
    </row>
    <row r="306" ht="15.75" customHeight="1">
      <c r="A306" s="178" t="s">
        <v>563</v>
      </c>
      <c r="B306" s="66" t="s">
        <v>1361</v>
      </c>
      <c r="C306" s="69" t="s">
        <v>1364</v>
      </c>
      <c r="D306" s="148" t="s">
        <v>1365</v>
      </c>
      <c r="E306" s="167"/>
      <c r="F306" s="67">
        <v>1700.0</v>
      </c>
      <c r="G306" s="151">
        <v>45855.0</v>
      </c>
      <c r="H306" s="155">
        <f t="shared" si="7"/>
        <v>2550</v>
      </c>
      <c r="I306" s="37">
        <f t="shared" si="8"/>
        <v>2210</v>
      </c>
      <c r="J306" s="38">
        <f t="shared" si="9"/>
        <v>2210</v>
      </c>
      <c r="K306" s="39">
        <f t="shared" si="10"/>
        <v>2040</v>
      </c>
      <c r="L306" s="38">
        <f t="shared" si="11"/>
        <v>1955</v>
      </c>
      <c r="M306" s="39">
        <f t="shared" si="12"/>
        <v>1870</v>
      </c>
      <c r="N306" s="40"/>
      <c r="O306" s="34"/>
      <c r="P306" s="35"/>
      <c r="Q306" s="35"/>
      <c r="R306" s="35"/>
      <c r="S306" s="35"/>
      <c r="T306" s="35"/>
      <c r="U306" s="35"/>
      <c r="V306" s="35"/>
      <c r="W306" s="35"/>
      <c r="X306" s="35"/>
      <c r="Y306" s="35"/>
      <c r="Z306" s="35"/>
    </row>
    <row r="307" ht="15.75" customHeight="1">
      <c r="A307" s="178" t="s">
        <v>563</v>
      </c>
      <c r="B307" s="66" t="s">
        <v>1361</v>
      </c>
      <c r="C307" s="69" t="s">
        <v>1366</v>
      </c>
      <c r="D307" s="148" t="s">
        <v>1367</v>
      </c>
      <c r="E307" s="167"/>
      <c r="F307" s="67">
        <v>1850.0</v>
      </c>
      <c r="G307" s="151">
        <v>45855.0</v>
      </c>
      <c r="H307" s="155">
        <f t="shared" si="7"/>
        <v>2775</v>
      </c>
      <c r="I307" s="37">
        <f t="shared" si="8"/>
        <v>2405</v>
      </c>
      <c r="J307" s="38">
        <f t="shared" si="9"/>
        <v>2405</v>
      </c>
      <c r="K307" s="39">
        <f t="shared" si="10"/>
        <v>2220</v>
      </c>
      <c r="L307" s="38">
        <f t="shared" si="11"/>
        <v>2127.5</v>
      </c>
      <c r="M307" s="39">
        <f t="shared" si="12"/>
        <v>2035</v>
      </c>
      <c r="N307" s="40"/>
      <c r="O307" s="34"/>
      <c r="P307" s="35"/>
      <c r="Q307" s="35"/>
      <c r="R307" s="35"/>
      <c r="S307" s="35"/>
      <c r="T307" s="35"/>
      <c r="U307" s="35"/>
      <c r="V307" s="35"/>
      <c r="W307" s="35"/>
      <c r="X307" s="35"/>
      <c r="Y307" s="35"/>
      <c r="Z307" s="35"/>
    </row>
    <row r="308" ht="15.75" customHeight="1">
      <c r="A308" s="178" t="s">
        <v>563</v>
      </c>
      <c r="B308" s="66" t="s">
        <v>1259</v>
      </c>
      <c r="C308" s="69" t="s">
        <v>1368</v>
      </c>
      <c r="D308" s="148" t="s">
        <v>1369</v>
      </c>
      <c r="E308" s="167"/>
      <c r="F308" s="67">
        <v>1962.0</v>
      </c>
      <c r="G308" s="151">
        <v>45855.0</v>
      </c>
      <c r="H308" s="155">
        <f t="shared" si="7"/>
        <v>2943</v>
      </c>
      <c r="I308" s="37">
        <f t="shared" si="8"/>
        <v>2550.6</v>
      </c>
      <c r="J308" s="38">
        <f t="shared" si="9"/>
        <v>2550.6</v>
      </c>
      <c r="K308" s="39">
        <f t="shared" si="10"/>
        <v>2354.4</v>
      </c>
      <c r="L308" s="38">
        <f t="shared" si="11"/>
        <v>2256.3</v>
      </c>
      <c r="M308" s="39">
        <f t="shared" si="12"/>
        <v>2158.2</v>
      </c>
      <c r="N308" s="40"/>
      <c r="O308" s="34"/>
      <c r="P308" s="35"/>
      <c r="Q308" s="35"/>
      <c r="R308" s="35"/>
      <c r="S308" s="35"/>
      <c r="T308" s="35"/>
      <c r="U308" s="35"/>
      <c r="V308" s="35"/>
      <c r="W308" s="35"/>
      <c r="X308" s="35"/>
      <c r="Y308" s="35"/>
      <c r="Z308" s="35"/>
    </row>
    <row r="309" ht="15.75" customHeight="1">
      <c r="A309" s="178" t="s">
        <v>563</v>
      </c>
      <c r="B309" s="66" t="s">
        <v>1259</v>
      </c>
      <c r="C309" s="69" t="s">
        <v>1370</v>
      </c>
      <c r="D309" s="148" t="s">
        <v>1367</v>
      </c>
      <c r="E309" s="167"/>
      <c r="F309" s="67">
        <v>2146.0</v>
      </c>
      <c r="G309" s="151">
        <v>45855.0</v>
      </c>
      <c r="H309" s="155">
        <f t="shared" si="7"/>
        <v>3219</v>
      </c>
      <c r="I309" s="37">
        <f t="shared" si="8"/>
        <v>2789.8</v>
      </c>
      <c r="J309" s="38">
        <f t="shared" si="9"/>
        <v>2789.8</v>
      </c>
      <c r="K309" s="39">
        <f t="shared" si="10"/>
        <v>2575.2</v>
      </c>
      <c r="L309" s="38">
        <f t="shared" si="11"/>
        <v>2467.9</v>
      </c>
      <c r="M309" s="39">
        <f t="shared" si="12"/>
        <v>2360.6</v>
      </c>
      <c r="N309" s="40"/>
      <c r="O309" s="34"/>
      <c r="P309" s="35"/>
      <c r="Q309" s="35"/>
      <c r="R309" s="35"/>
      <c r="S309" s="35"/>
      <c r="T309" s="35"/>
      <c r="U309" s="35"/>
      <c r="V309" s="35"/>
      <c r="W309" s="35"/>
      <c r="X309" s="35"/>
      <c r="Y309" s="35"/>
      <c r="Z309" s="35"/>
    </row>
    <row r="310" ht="15.75" customHeight="1">
      <c r="A310" s="178" t="s">
        <v>563</v>
      </c>
      <c r="B310" s="66" t="s">
        <v>1371</v>
      </c>
      <c r="C310" s="69" t="s">
        <v>1372</v>
      </c>
      <c r="D310" s="148" t="s">
        <v>1373</v>
      </c>
      <c r="E310" s="167"/>
      <c r="F310" s="67">
        <v>2925.0</v>
      </c>
      <c r="G310" s="151">
        <v>45855.0</v>
      </c>
      <c r="H310" s="155">
        <f t="shared" si="7"/>
        <v>4387.5</v>
      </c>
      <c r="I310" s="37">
        <f t="shared" si="8"/>
        <v>3802.5</v>
      </c>
      <c r="J310" s="38">
        <f t="shared" si="9"/>
        <v>3802.5</v>
      </c>
      <c r="K310" s="39">
        <f t="shared" si="10"/>
        <v>3510</v>
      </c>
      <c r="L310" s="38">
        <f t="shared" si="11"/>
        <v>3363.75</v>
      </c>
      <c r="M310" s="39">
        <f t="shared" si="12"/>
        <v>3217.5</v>
      </c>
      <c r="N310" s="40"/>
      <c r="O310" s="34"/>
      <c r="P310" s="35"/>
      <c r="Q310" s="35"/>
      <c r="R310" s="35"/>
      <c r="S310" s="35"/>
      <c r="T310" s="35"/>
      <c r="U310" s="35"/>
      <c r="V310" s="35"/>
      <c r="W310" s="35"/>
      <c r="X310" s="35"/>
      <c r="Y310" s="35"/>
      <c r="Z310" s="35"/>
    </row>
    <row r="311" ht="15.75" customHeight="1">
      <c r="A311" s="178" t="s">
        <v>563</v>
      </c>
      <c r="B311" s="66" t="s">
        <v>1371</v>
      </c>
      <c r="C311" s="69" t="s">
        <v>1374</v>
      </c>
      <c r="D311" s="148" t="s">
        <v>1375</v>
      </c>
      <c r="E311" s="167"/>
      <c r="F311" s="67">
        <v>3120.0</v>
      </c>
      <c r="G311" s="151">
        <v>45855.0</v>
      </c>
      <c r="H311" s="155">
        <f t="shared" si="7"/>
        <v>4680</v>
      </c>
      <c r="I311" s="37">
        <f t="shared" si="8"/>
        <v>4056</v>
      </c>
      <c r="J311" s="38">
        <f t="shared" si="9"/>
        <v>4056</v>
      </c>
      <c r="K311" s="39">
        <f t="shared" si="10"/>
        <v>3744</v>
      </c>
      <c r="L311" s="38">
        <f t="shared" si="11"/>
        <v>3588</v>
      </c>
      <c r="M311" s="39">
        <f t="shared" si="12"/>
        <v>3432</v>
      </c>
      <c r="N311" s="40"/>
      <c r="O311" s="34"/>
      <c r="P311" s="35"/>
      <c r="Q311" s="35"/>
      <c r="R311" s="35"/>
      <c r="S311" s="35"/>
      <c r="T311" s="35"/>
      <c r="U311" s="35"/>
      <c r="V311" s="35"/>
      <c r="W311" s="35"/>
      <c r="X311" s="35"/>
      <c r="Y311" s="35"/>
      <c r="Z311" s="35"/>
    </row>
    <row r="312" ht="15.75" customHeight="1">
      <c r="A312" s="178" t="s">
        <v>563</v>
      </c>
      <c r="B312" s="66" t="s">
        <v>1376</v>
      </c>
      <c r="C312" s="69" t="s">
        <v>1377</v>
      </c>
      <c r="D312" s="148" t="s">
        <v>1378</v>
      </c>
      <c r="E312" s="167"/>
      <c r="F312" s="67">
        <v>901.0</v>
      </c>
      <c r="G312" s="151">
        <v>45855.0</v>
      </c>
      <c r="H312" s="155">
        <f t="shared" si="7"/>
        <v>1351.5</v>
      </c>
      <c r="I312" s="37">
        <f t="shared" si="8"/>
        <v>1171.3</v>
      </c>
      <c r="J312" s="38">
        <f t="shared" si="9"/>
        <v>1171.3</v>
      </c>
      <c r="K312" s="39">
        <f t="shared" si="10"/>
        <v>1081.2</v>
      </c>
      <c r="L312" s="38">
        <f t="shared" si="11"/>
        <v>1036.15</v>
      </c>
      <c r="M312" s="39">
        <f t="shared" si="12"/>
        <v>991.1</v>
      </c>
      <c r="N312" s="40"/>
      <c r="O312" s="34"/>
      <c r="P312" s="35"/>
      <c r="Q312" s="35"/>
      <c r="R312" s="35"/>
      <c r="S312" s="35"/>
      <c r="T312" s="35"/>
      <c r="U312" s="35"/>
      <c r="V312" s="35"/>
      <c r="W312" s="35"/>
      <c r="X312" s="35"/>
      <c r="Y312" s="35"/>
      <c r="Z312" s="35"/>
    </row>
    <row r="313" ht="15.75" customHeight="1">
      <c r="A313" s="178" t="s">
        <v>563</v>
      </c>
      <c r="B313" s="66" t="s">
        <v>1376</v>
      </c>
      <c r="C313" s="66" t="s">
        <v>1379</v>
      </c>
      <c r="D313" s="148" t="s">
        <v>1378</v>
      </c>
      <c r="E313" s="167"/>
      <c r="F313" s="67">
        <v>1159.0</v>
      </c>
      <c r="G313" s="151">
        <v>45855.0</v>
      </c>
      <c r="H313" s="155">
        <f t="shared" si="7"/>
        <v>1738.5</v>
      </c>
      <c r="I313" s="37">
        <f t="shared" si="8"/>
        <v>1506.7</v>
      </c>
      <c r="J313" s="38">
        <f t="shared" si="9"/>
        <v>1506.7</v>
      </c>
      <c r="K313" s="39">
        <f t="shared" si="10"/>
        <v>1390.8</v>
      </c>
      <c r="L313" s="38">
        <f t="shared" si="11"/>
        <v>1332.85</v>
      </c>
      <c r="M313" s="39">
        <f t="shared" si="12"/>
        <v>1274.9</v>
      </c>
      <c r="N313" s="40"/>
      <c r="O313" s="34"/>
      <c r="P313" s="35"/>
      <c r="Q313" s="35"/>
      <c r="R313" s="35"/>
      <c r="S313" s="35"/>
      <c r="T313" s="35"/>
      <c r="U313" s="35"/>
      <c r="V313" s="35"/>
      <c r="W313" s="35"/>
      <c r="X313" s="35"/>
      <c r="Y313" s="35"/>
      <c r="Z313" s="35"/>
    </row>
    <row r="314" ht="15.75" customHeight="1">
      <c r="A314" s="178" t="s">
        <v>563</v>
      </c>
      <c r="B314" s="66" t="s">
        <v>1376</v>
      </c>
      <c r="C314" s="66" t="s">
        <v>1380</v>
      </c>
      <c r="D314" s="148" t="s">
        <v>1381</v>
      </c>
      <c r="E314" s="167"/>
      <c r="F314" s="67">
        <v>966.0</v>
      </c>
      <c r="G314" s="151">
        <v>45855.0</v>
      </c>
      <c r="H314" s="155">
        <f t="shared" si="7"/>
        <v>1449</v>
      </c>
      <c r="I314" s="37">
        <f t="shared" si="8"/>
        <v>1255.8</v>
      </c>
      <c r="J314" s="38">
        <f t="shared" si="9"/>
        <v>1255.8</v>
      </c>
      <c r="K314" s="39">
        <f t="shared" si="10"/>
        <v>1159.2</v>
      </c>
      <c r="L314" s="38">
        <f t="shared" si="11"/>
        <v>1110.9</v>
      </c>
      <c r="M314" s="39">
        <f t="shared" si="12"/>
        <v>1062.6</v>
      </c>
      <c r="N314" s="40"/>
      <c r="O314" s="34"/>
      <c r="P314" s="35"/>
      <c r="Q314" s="35"/>
      <c r="R314" s="35"/>
      <c r="S314" s="35"/>
      <c r="T314" s="35"/>
      <c r="U314" s="35"/>
      <c r="V314" s="35"/>
      <c r="W314" s="35"/>
      <c r="X314" s="35"/>
      <c r="Y314" s="35"/>
      <c r="Z314" s="35"/>
    </row>
    <row r="315" ht="15.75" customHeight="1">
      <c r="A315" s="178" t="s">
        <v>563</v>
      </c>
      <c r="B315" s="66" t="s">
        <v>1376</v>
      </c>
      <c r="C315" s="66" t="s">
        <v>1382</v>
      </c>
      <c r="D315" s="148" t="s">
        <v>1381</v>
      </c>
      <c r="E315" s="167"/>
      <c r="F315" s="67">
        <v>1030.0</v>
      </c>
      <c r="G315" s="151">
        <v>45855.0</v>
      </c>
      <c r="H315" s="155">
        <f t="shared" si="7"/>
        <v>1545</v>
      </c>
      <c r="I315" s="37">
        <f t="shared" si="8"/>
        <v>1339</v>
      </c>
      <c r="J315" s="38">
        <f t="shared" si="9"/>
        <v>1339</v>
      </c>
      <c r="K315" s="39">
        <f t="shared" si="10"/>
        <v>1236</v>
      </c>
      <c r="L315" s="38">
        <f t="shared" si="11"/>
        <v>1184.5</v>
      </c>
      <c r="M315" s="39">
        <f t="shared" si="12"/>
        <v>1133</v>
      </c>
      <c r="N315" s="40"/>
      <c r="O315" s="34"/>
      <c r="P315" s="35"/>
      <c r="Q315" s="35"/>
      <c r="R315" s="35"/>
      <c r="S315" s="35"/>
      <c r="T315" s="35"/>
      <c r="U315" s="35"/>
      <c r="V315" s="35"/>
      <c r="W315" s="35"/>
      <c r="X315" s="35"/>
      <c r="Y315" s="35"/>
      <c r="Z315" s="35"/>
    </row>
    <row r="316" ht="15.75" customHeight="1">
      <c r="A316" s="178" t="s">
        <v>563</v>
      </c>
      <c r="B316" s="66" t="s">
        <v>1376</v>
      </c>
      <c r="C316" s="66" t="s">
        <v>1383</v>
      </c>
      <c r="D316" s="149" t="s">
        <v>1384</v>
      </c>
      <c r="E316" s="167"/>
      <c r="F316" s="67">
        <v>1320.0</v>
      </c>
      <c r="G316" s="151">
        <v>45855.0</v>
      </c>
      <c r="H316" s="155">
        <f t="shared" si="7"/>
        <v>1980</v>
      </c>
      <c r="I316" s="37">
        <f t="shared" si="8"/>
        <v>1716</v>
      </c>
      <c r="J316" s="38">
        <f t="shared" si="9"/>
        <v>1716</v>
      </c>
      <c r="K316" s="39">
        <f t="shared" si="10"/>
        <v>1584</v>
      </c>
      <c r="L316" s="38">
        <f t="shared" si="11"/>
        <v>1518</v>
      </c>
      <c r="M316" s="39">
        <f t="shared" si="12"/>
        <v>1452</v>
      </c>
      <c r="N316" s="40"/>
      <c r="O316" s="34"/>
      <c r="P316" s="35"/>
      <c r="Q316" s="35"/>
      <c r="R316" s="35"/>
      <c r="S316" s="35"/>
      <c r="T316" s="35"/>
      <c r="U316" s="35"/>
      <c r="V316" s="35"/>
      <c r="W316" s="35"/>
      <c r="X316" s="35"/>
      <c r="Y316" s="35"/>
      <c r="Z316" s="35"/>
    </row>
    <row r="317" ht="15.75" customHeight="1">
      <c r="A317" s="178" t="s">
        <v>563</v>
      </c>
      <c r="B317" s="66" t="s">
        <v>1376</v>
      </c>
      <c r="C317" s="66" t="s">
        <v>1385</v>
      </c>
      <c r="D317" s="148" t="s">
        <v>1386</v>
      </c>
      <c r="E317" s="167"/>
      <c r="F317" s="67">
        <v>1320.0</v>
      </c>
      <c r="G317" s="151">
        <v>45855.0</v>
      </c>
      <c r="H317" s="155">
        <f t="shared" si="7"/>
        <v>1980</v>
      </c>
      <c r="I317" s="37">
        <f t="shared" si="8"/>
        <v>1716</v>
      </c>
      <c r="J317" s="38">
        <f t="shared" si="9"/>
        <v>1716</v>
      </c>
      <c r="K317" s="39">
        <f t="shared" si="10"/>
        <v>1584</v>
      </c>
      <c r="L317" s="38">
        <f t="shared" si="11"/>
        <v>1518</v>
      </c>
      <c r="M317" s="39">
        <f t="shared" si="12"/>
        <v>1452</v>
      </c>
      <c r="N317" s="40"/>
      <c r="O317" s="34"/>
      <c r="P317" s="35"/>
      <c r="Q317" s="35"/>
      <c r="R317" s="35"/>
      <c r="S317" s="35"/>
      <c r="T317" s="35"/>
      <c r="U317" s="35"/>
      <c r="V317" s="35"/>
      <c r="W317" s="35"/>
      <c r="X317" s="35"/>
      <c r="Y317" s="35"/>
      <c r="Z317" s="35"/>
    </row>
    <row r="318" ht="15.75" customHeight="1">
      <c r="A318" s="178" t="s">
        <v>563</v>
      </c>
      <c r="B318" s="66" t="s">
        <v>1376</v>
      </c>
      <c r="C318" s="66" t="s">
        <v>1387</v>
      </c>
      <c r="D318" s="148" t="s">
        <v>1388</v>
      </c>
      <c r="E318" s="167"/>
      <c r="F318" s="67">
        <v>2028.0</v>
      </c>
      <c r="G318" s="151">
        <v>45855.0</v>
      </c>
      <c r="H318" s="155">
        <f t="shared" si="7"/>
        <v>3042</v>
      </c>
      <c r="I318" s="37">
        <f t="shared" si="8"/>
        <v>2636.4</v>
      </c>
      <c r="J318" s="38">
        <f t="shared" si="9"/>
        <v>2636.4</v>
      </c>
      <c r="K318" s="39">
        <f t="shared" si="10"/>
        <v>2433.6</v>
      </c>
      <c r="L318" s="38">
        <f t="shared" si="11"/>
        <v>2332.2</v>
      </c>
      <c r="M318" s="39">
        <f t="shared" si="12"/>
        <v>2230.8</v>
      </c>
      <c r="N318" s="40"/>
      <c r="O318" s="34"/>
      <c r="P318" s="35"/>
      <c r="Q318" s="35"/>
      <c r="R318" s="35"/>
      <c r="S318" s="35"/>
      <c r="T318" s="35"/>
      <c r="U318" s="35"/>
      <c r="V318" s="35"/>
      <c r="W318" s="35"/>
      <c r="X318" s="35"/>
      <c r="Y318" s="35"/>
      <c r="Z318" s="35"/>
    </row>
    <row r="319" ht="15.75" customHeight="1">
      <c r="A319" s="178" t="s">
        <v>563</v>
      </c>
      <c r="B319" s="66" t="s">
        <v>1376</v>
      </c>
      <c r="C319" s="66" t="s">
        <v>1389</v>
      </c>
      <c r="D319" s="148" t="s">
        <v>1390</v>
      </c>
      <c r="E319" s="167"/>
      <c r="F319" s="67">
        <v>2221.0</v>
      </c>
      <c r="G319" s="151">
        <v>45855.0</v>
      </c>
      <c r="H319" s="155">
        <f t="shared" si="7"/>
        <v>3331.5</v>
      </c>
      <c r="I319" s="37">
        <f t="shared" si="8"/>
        <v>2887.3</v>
      </c>
      <c r="J319" s="38">
        <f t="shared" si="9"/>
        <v>2887.3</v>
      </c>
      <c r="K319" s="39">
        <f t="shared" si="10"/>
        <v>2665.2</v>
      </c>
      <c r="L319" s="38">
        <f t="shared" si="11"/>
        <v>2554.15</v>
      </c>
      <c r="M319" s="39">
        <f t="shared" si="12"/>
        <v>2443.1</v>
      </c>
      <c r="N319" s="40"/>
      <c r="O319" s="34"/>
      <c r="P319" s="35"/>
      <c r="Q319" s="35"/>
      <c r="R319" s="35"/>
      <c r="S319" s="35"/>
      <c r="T319" s="35"/>
      <c r="U319" s="35"/>
      <c r="V319" s="35"/>
      <c r="W319" s="35"/>
      <c r="X319" s="35"/>
      <c r="Y319" s="35"/>
      <c r="Z319" s="35"/>
    </row>
    <row r="320" ht="15.75" customHeight="1">
      <c r="A320" s="178" t="s">
        <v>563</v>
      </c>
      <c r="B320" s="66"/>
      <c r="C320" s="66" t="s">
        <v>1391</v>
      </c>
      <c r="D320" s="148" t="s">
        <v>1392</v>
      </c>
      <c r="E320" s="167"/>
      <c r="F320" s="67">
        <v>2583.0</v>
      </c>
      <c r="G320" s="151">
        <v>45855.0</v>
      </c>
      <c r="H320" s="155">
        <f t="shared" si="7"/>
        <v>3874.5</v>
      </c>
      <c r="I320" s="37">
        <f t="shared" si="8"/>
        <v>3357.9</v>
      </c>
      <c r="J320" s="38">
        <f t="shared" si="9"/>
        <v>3357.9</v>
      </c>
      <c r="K320" s="39">
        <f t="shared" si="10"/>
        <v>3099.6</v>
      </c>
      <c r="L320" s="38">
        <f t="shared" si="11"/>
        <v>2970.45</v>
      </c>
      <c r="M320" s="39">
        <f t="shared" si="12"/>
        <v>2841.3</v>
      </c>
      <c r="N320" s="40"/>
      <c r="O320" s="34"/>
      <c r="P320" s="35"/>
      <c r="Q320" s="35"/>
      <c r="R320" s="35"/>
      <c r="S320" s="35"/>
      <c r="T320" s="35"/>
      <c r="U320" s="35"/>
      <c r="V320" s="35"/>
      <c r="W320" s="35"/>
      <c r="X320" s="35"/>
      <c r="Y320" s="35"/>
      <c r="Z320" s="35"/>
    </row>
    <row r="321" ht="15.75" customHeight="1">
      <c r="A321" s="178" t="s">
        <v>563</v>
      </c>
      <c r="B321" s="66"/>
      <c r="C321" s="66" t="s">
        <v>1393</v>
      </c>
      <c r="D321" s="148" t="s">
        <v>1394</v>
      </c>
      <c r="E321" s="167"/>
      <c r="F321" s="67">
        <v>2798.0</v>
      </c>
      <c r="G321" s="151">
        <v>45855.0</v>
      </c>
      <c r="H321" s="155">
        <f t="shared" si="7"/>
        <v>4197</v>
      </c>
      <c r="I321" s="37">
        <f t="shared" si="8"/>
        <v>3637.4</v>
      </c>
      <c r="J321" s="38">
        <f t="shared" si="9"/>
        <v>3637.4</v>
      </c>
      <c r="K321" s="39">
        <f t="shared" si="10"/>
        <v>3357.6</v>
      </c>
      <c r="L321" s="38">
        <f t="shared" si="11"/>
        <v>3217.7</v>
      </c>
      <c r="M321" s="39">
        <f t="shared" si="12"/>
        <v>3077.8</v>
      </c>
      <c r="N321" s="40"/>
      <c r="O321" s="34"/>
      <c r="P321" s="35"/>
      <c r="Q321" s="35"/>
      <c r="R321" s="35"/>
      <c r="S321" s="35"/>
      <c r="T321" s="35"/>
      <c r="U321" s="35"/>
      <c r="V321" s="35"/>
      <c r="W321" s="35"/>
      <c r="X321" s="35"/>
      <c r="Y321" s="35"/>
      <c r="Z321" s="35"/>
    </row>
    <row r="322" ht="15.75" customHeight="1">
      <c r="A322" s="178" t="s">
        <v>563</v>
      </c>
      <c r="B322" s="66" t="s">
        <v>1395</v>
      </c>
      <c r="C322" s="66" t="s">
        <v>1396</v>
      </c>
      <c r="D322" s="148" t="s">
        <v>1397</v>
      </c>
      <c r="E322" s="167"/>
      <c r="F322" s="67">
        <v>2267.0</v>
      </c>
      <c r="G322" s="151">
        <v>45855.0</v>
      </c>
      <c r="H322" s="155">
        <f t="shared" si="7"/>
        <v>3400.5</v>
      </c>
      <c r="I322" s="37">
        <f t="shared" si="8"/>
        <v>2947.1</v>
      </c>
      <c r="J322" s="38">
        <f t="shared" si="9"/>
        <v>2947.1</v>
      </c>
      <c r="K322" s="39">
        <f t="shared" si="10"/>
        <v>2720.4</v>
      </c>
      <c r="L322" s="38">
        <f t="shared" si="11"/>
        <v>2607.05</v>
      </c>
      <c r="M322" s="39">
        <f t="shared" si="12"/>
        <v>2493.7</v>
      </c>
      <c r="N322" s="40"/>
      <c r="O322" s="34"/>
      <c r="P322" s="35"/>
      <c r="Q322" s="35"/>
      <c r="R322" s="35"/>
      <c r="S322" s="35"/>
      <c r="T322" s="35"/>
      <c r="U322" s="35"/>
      <c r="V322" s="35"/>
      <c r="W322" s="35"/>
      <c r="X322" s="35"/>
      <c r="Y322" s="35"/>
      <c r="Z322" s="35"/>
    </row>
    <row r="323" ht="15.75" customHeight="1">
      <c r="A323" s="178" t="s">
        <v>563</v>
      </c>
      <c r="B323" s="66" t="s">
        <v>1398</v>
      </c>
      <c r="C323" s="66" t="s">
        <v>1399</v>
      </c>
      <c r="D323" s="148" t="s">
        <v>1400</v>
      </c>
      <c r="E323" s="167"/>
      <c r="F323" s="67">
        <v>11090.0</v>
      </c>
      <c r="G323" s="151">
        <v>45855.0</v>
      </c>
      <c r="H323" s="155">
        <f t="shared" si="7"/>
        <v>16635</v>
      </c>
      <c r="I323" s="37">
        <f t="shared" si="8"/>
        <v>14417</v>
      </c>
      <c r="J323" s="38">
        <f t="shared" si="9"/>
        <v>14417</v>
      </c>
      <c r="K323" s="39">
        <f t="shared" si="10"/>
        <v>13308</v>
      </c>
      <c r="L323" s="38">
        <f t="shared" si="11"/>
        <v>12753.5</v>
      </c>
      <c r="M323" s="39">
        <f t="shared" si="12"/>
        <v>12199</v>
      </c>
      <c r="N323" s="40"/>
      <c r="O323" s="34"/>
      <c r="P323" s="35"/>
      <c r="Q323" s="35"/>
      <c r="R323" s="35"/>
      <c r="S323" s="35"/>
      <c r="T323" s="35"/>
      <c r="U323" s="35"/>
      <c r="V323" s="35"/>
      <c r="W323" s="35"/>
      <c r="X323" s="35"/>
      <c r="Y323" s="35"/>
      <c r="Z323" s="35"/>
    </row>
    <row r="324" ht="15.75" customHeight="1">
      <c r="A324" s="178" t="s">
        <v>563</v>
      </c>
      <c r="B324" s="66" t="s">
        <v>1398</v>
      </c>
      <c r="C324" s="66" t="s">
        <v>1401</v>
      </c>
      <c r="D324" s="148" t="s">
        <v>1400</v>
      </c>
      <c r="E324" s="167"/>
      <c r="F324" s="67">
        <v>17290.0</v>
      </c>
      <c r="G324" s="151">
        <v>45855.0</v>
      </c>
      <c r="H324" s="155">
        <f t="shared" si="7"/>
        <v>25935</v>
      </c>
      <c r="I324" s="37">
        <f t="shared" si="8"/>
        <v>22477</v>
      </c>
      <c r="J324" s="38">
        <f t="shared" si="9"/>
        <v>22477</v>
      </c>
      <c r="K324" s="39">
        <f t="shared" si="10"/>
        <v>20748</v>
      </c>
      <c r="L324" s="38">
        <f t="shared" si="11"/>
        <v>19883.5</v>
      </c>
      <c r="M324" s="39">
        <f t="shared" si="12"/>
        <v>19019</v>
      </c>
      <c r="N324" s="40"/>
      <c r="O324" s="34"/>
      <c r="P324" s="35"/>
      <c r="Q324" s="35"/>
      <c r="R324" s="35"/>
      <c r="S324" s="35"/>
      <c r="T324" s="35"/>
      <c r="U324" s="35"/>
      <c r="V324" s="35"/>
      <c r="W324" s="35"/>
      <c r="X324" s="35"/>
      <c r="Y324" s="35"/>
      <c r="Z324" s="35"/>
    </row>
    <row r="325" ht="15.75" customHeight="1">
      <c r="A325" s="178" t="s">
        <v>563</v>
      </c>
      <c r="B325" s="66" t="s">
        <v>1398</v>
      </c>
      <c r="C325" s="66" t="s">
        <v>1402</v>
      </c>
      <c r="D325" s="148" t="s">
        <v>1403</v>
      </c>
      <c r="E325" s="167"/>
      <c r="F325" s="67">
        <v>10114.0</v>
      </c>
      <c r="G325" s="151">
        <v>45855.0</v>
      </c>
      <c r="H325" s="155">
        <f t="shared" si="7"/>
        <v>15171</v>
      </c>
      <c r="I325" s="37">
        <f t="shared" si="8"/>
        <v>13148.2</v>
      </c>
      <c r="J325" s="38">
        <f t="shared" si="9"/>
        <v>13148.2</v>
      </c>
      <c r="K325" s="39">
        <f t="shared" si="10"/>
        <v>12136.8</v>
      </c>
      <c r="L325" s="38">
        <f t="shared" si="11"/>
        <v>11631.1</v>
      </c>
      <c r="M325" s="39">
        <f t="shared" si="12"/>
        <v>11125.4</v>
      </c>
      <c r="N325" s="40"/>
      <c r="O325" s="34"/>
      <c r="P325" s="35"/>
      <c r="Q325" s="35"/>
      <c r="R325" s="35"/>
      <c r="S325" s="35"/>
      <c r="T325" s="35"/>
      <c r="U325" s="35"/>
      <c r="V325" s="35"/>
      <c r="W325" s="35"/>
      <c r="X325" s="35"/>
      <c r="Y325" s="35"/>
      <c r="Z325" s="35"/>
    </row>
    <row r="326" ht="15.75" customHeight="1">
      <c r="A326" s="178" t="s">
        <v>563</v>
      </c>
      <c r="B326" s="66" t="s">
        <v>1398</v>
      </c>
      <c r="C326" s="66" t="s">
        <v>1404</v>
      </c>
      <c r="D326" s="149" t="s">
        <v>1405</v>
      </c>
      <c r="E326" s="167"/>
      <c r="F326" s="67">
        <v>19461.0</v>
      </c>
      <c r="G326" s="151">
        <v>45855.0</v>
      </c>
      <c r="H326" s="155">
        <f t="shared" si="7"/>
        <v>29191.5</v>
      </c>
      <c r="I326" s="37">
        <f t="shared" si="8"/>
        <v>25299.3</v>
      </c>
      <c r="J326" s="38">
        <f t="shared" si="9"/>
        <v>25299.3</v>
      </c>
      <c r="K326" s="39">
        <f t="shared" si="10"/>
        <v>23353.2</v>
      </c>
      <c r="L326" s="38">
        <f t="shared" si="11"/>
        <v>22380.15</v>
      </c>
      <c r="M326" s="39">
        <f t="shared" si="12"/>
        <v>21407.1</v>
      </c>
      <c r="N326" s="40"/>
      <c r="O326" s="34"/>
      <c r="P326" s="35"/>
      <c r="Q326" s="35"/>
      <c r="R326" s="35"/>
      <c r="S326" s="35"/>
      <c r="T326" s="35"/>
      <c r="U326" s="35"/>
      <c r="V326" s="35"/>
      <c r="W326" s="35"/>
      <c r="X326" s="35"/>
      <c r="Y326" s="35"/>
      <c r="Z326" s="35"/>
    </row>
    <row r="327" ht="15.75" customHeight="1">
      <c r="A327" s="178" t="s">
        <v>563</v>
      </c>
      <c r="B327" s="66" t="s">
        <v>1406</v>
      </c>
      <c r="C327" s="66" t="s">
        <v>1407</v>
      </c>
      <c r="D327" s="149" t="s">
        <v>1408</v>
      </c>
      <c r="E327" s="167"/>
      <c r="F327" s="67">
        <v>1226.0</v>
      </c>
      <c r="G327" s="151">
        <v>45855.0</v>
      </c>
      <c r="H327" s="155">
        <f t="shared" si="7"/>
        <v>1839</v>
      </c>
      <c r="I327" s="37">
        <f t="shared" si="8"/>
        <v>1593.8</v>
      </c>
      <c r="J327" s="38">
        <f t="shared" si="9"/>
        <v>1593.8</v>
      </c>
      <c r="K327" s="39">
        <f t="shared" si="10"/>
        <v>1471.2</v>
      </c>
      <c r="L327" s="38">
        <f t="shared" si="11"/>
        <v>1409.9</v>
      </c>
      <c r="M327" s="39">
        <f t="shared" si="12"/>
        <v>1348.6</v>
      </c>
      <c r="N327" s="40"/>
      <c r="O327" s="34"/>
      <c r="P327" s="35"/>
      <c r="Q327" s="35"/>
      <c r="R327" s="35"/>
      <c r="S327" s="35"/>
      <c r="T327" s="35"/>
      <c r="U327" s="35"/>
      <c r="V327" s="35"/>
      <c r="W327" s="35"/>
      <c r="X327" s="35"/>
      <c r="Y327" s="35"/>
      <c r="Z327" s="35"/>
    </row>
    <row r="328" ht="15.75" customHeight="1">
      <c r="A328" s="178" t="s">
        <v>563</v>
      </c>
      <c r="B328" s="66" t="s">
        <v>1406</v>
      </c>
      <c r="C328" s="66" t="s">
        <v>1409</v>
      </c>
      <c r="D328" s="149" t="s">
        <v>1410</v>
      </c>
      <c r="E328" s="149"/>
      <c r="F328" s="67">
        <v>1533.0</v>
      </c>
      <c r="G328" s="151">
        <v>45855.0</v>
      </c>
      <c r="H328" s="155">
        <f t="shared" si="7"/>
        <v>2299.5</v>
      </c>
      <c r="I328" s="37">
        <f t="shared" si="8"/>
        <v>1992.9</v>
      </c>
      <c r="J328" s="38">
        <f t="shared" si="9"/>
        <v>1992.9</v>
      </c>
      <c r="K328" s="39">
        <f t="shared" si="10"/>
        <v>1839.6</v>
      </c>
      <c r="L328" s="38">
        <f t="shared" si="11"/>
        <v>1762.95</v>
      </c>
      <c r="M328" s="39">
        <f t="shared" si="12"/>
        <v>1686.3</v>
      </c>
      <c r="N328" s="40"/>
      <c r="O328" s="34"/>
      <c r="P328" s="35"/>
      <c r="Q328" s="35"/>
      <c r="R328" s="35"/>
      <c r="S328" s="35"/>
      <c r="T328" s="35"/>
      <c r="U328" s="35"/>
      <c r="V328" s="35"/>
      <c r="W328" s="35"/>
      <c r="X328" s="35"/>
      <c r="Y328" s="35"/>
      <c r="Z328" s="35"/>
    </row>
    <row r="329" ht="15.75" customHeight="1">
      <c r="A329" s="178" t="s">
        <v>563</v>
      </c>
      <c r="B329" s="66" t="s">
        <v>1406</v>
      </c>
      <c r="C329" s="66" t="s">
        <v>1411</v>
      </c>
      <c r="D329" s="149" t="s">
        <v>1412</v>
      </c>
      <c r="E329" s="149"/>
      <c r="F329" s="67">
        <v>1900.0</v>
      </c>
      <c r="G329" s="151">
        <v>45855.0</v>
      </c>
      <c r="H329" s="155">
        <f t="shared" si="7"/>
        <v>2850</v>
      </c>
      <c r="I329" s="37">
        <f t="shared" si="8"/>
        <v>2470</v>
      </c>
      <c r="J329" s="38">
        <f t="shared" si="9"/>
        <v>2470</v>
      </c>
      <c r="K329" s="39">
        <f t="shared" si="10"/>
        <v>2280</v>
      </c>
      <c r="L329" s="38">
        <f t="shared" si="11"/>
        <v>2185</v>
      </c>
      <c r="M329" s="39">
        <f t="shared" si="12"/>
        <v>2090</v>
      </c>
      <c r="N329" s="40"/>
      <c r="O329" s="34"/>
      <c r="P329" s="35"/>
      <c r="Q329" s="35"/>
      <c r="R329" s="35"/>
      <c r="S329" s="35"/>
      <c r="T329" s="35"/>
      <c r="U329" s="35"/>
      <c r="V329" s="35"/>
      <c r="W329" s="35"/>
      <c r="X329" s="35"/>
      <c r="Y329" s="35"/>
      <c r="Z329" s="35"/>
    </row>
    <row r="330" ht="15.75" customHeight="1">
      <c r="A330" s="178" t="s">
        <v>563</v>
      </c>
      <c r="B330" s="66" t="s">
        <v>1406</v>
      </c>
      <c r="C330" s="66" t="s">
        <v>1413</v>
      </c>
      <c r="D330" s="149" t="s">
        <v>1414</v>
      </c>
      <c r="E330" s="149"/>
      <c r="F330" s="67">
        <v>2146.0</v>
      </c>
      <c r="G330" s="151">
        <v>45855.0</v>
      </c>
      <c r="H330" s="155">
        <f t="shared" si="7"/>
        <v>3219</v>
      </c>
      <c r="I330" s="37">
        <f t="shared" si="8"/>
        <v>2789.8</v>
      </c>
      <c r="J330" s="38">
        <f t="shared" si="9"/>
        <v>2789.8</v>
      </c>
      <c r="K330" s="39">
        <f t="shared" si="10"/>
        <v>2575.2</v>
      </c>
      <c r="L330" s="38">
        <f t="shared" si="11"/>
        <v>2467.9</v>
      </c>
      <c r="M330" s="39">
        <f t="shared" si="12"/>
        <v>2360.6</v>
      </c>
      <c r="N330" s="40"/>
      <c r="O330" s="34"/>
      <c r="P330" s="35"/>
      <c r="Q330" s="35"/>
      <c r="R330" s="35"/>
      <c r="S330" s="35"/>
      <c r="T330" s="35"/>
      <c r="U330" s="35"/>
      <c r="V330" s="35"/>
      <c r="W330" s="35"/>
      <c r="X330" s="35"/>
      <c r="Y330" s="35"/>
      <c r="Z330" s="35"/>
    </row>
    <row r="331" ht="15.75" customHeight="1">
      <c r="A331" s="178" t="s">
        <v>563</v>
      </c>
      <c r="B331" s="66" t="s">
        <v>1406</v>
      </c>
      <c r="C331" s="66" t="s">
        <v>1415</v>
      </c>
      <c r="D331" s="149" t="s">
        <v>1416</v>
      </c>
      <c r="E331" s="149"/>
      <c r="F331" s="67">
        <v>3679.0</v>
      </c>
      <c r="G331" s="151">
        <v>45855.0</v>
      </c>
      <c r="H331" s="155">
        <f t="shared" si="7"/>
        <v>5518.5</v>
      </c>
      <c r="I331" s="37">
        <f t="shared" si="8"/>
        <v>4782.7</v>
      </c>
      <c r="J331" s="38">
        <f t="shared" si="9"/>
        <v>4782.7</v>
      </c>
      <c r="K331" s="39">
        <f t="shared" si="10"/>
        <v>4414.8</v>
      </c>
      <c r="L331" s="38">
        <f t="shared" si="11"/>
        <v>4230.85</v>
      </c>
      <c r="M331" s="39">
        <f t="shared" si="12"/>
        <v>4046.9</v>
      </c>
      <c r="N331" s="40"/>
      <c r="O331" s="34"/>
      <c r="P331" s="35"/>
      <c r="Q331" s="35"/>
      <c r="R331" s="35"/>
      <c r="S331" s="35"/>
      <c r="T331" s="35"/>
      <c r="U331" s="35"/>
      <c r="V331" s="35"/>
      <c r="W331" s="35"/>
      <c r="X331" s="35"/>
      <c r="Y331" s="35"/>
      <c r="Z331" s="35"/>
    </row>
    <row r="332" ht="15.75" customHeight="1">
      <c r="A332" s="178" t="s">
        <v>563</v>
      </c>
      <c r="B332" s="66" t="s">
        <v>1406</v>
      </c>
      <c r="C332" s="66" t="s">
        <v>1417</v>
      </c>
      <c r="D332" s="149" t="s">
        <v>1410</v>
      </c>
      <c r="E332" s="149"/>
      <c r="F332" s="67">
        <v>2105.0</v>
      </c>
      <c r="G332" s="151">
        <v>45855.0</v>
      </c>
      <c r="H332" s="155">
        <f t="shared" si="7"/>
        <v>3157.5</v>
      </c>
      <c r="I332" s="37">
        <f t="shared" si="8"/>
        <v>2736.5</v>
      </c>
      <c r="J332" s="38">
        <f t="shared" si="9"/>
        <v>2736.5</v>
      </c>
      <c r="K332" s="39">
        <f t="shared" si="10"/>
        <v>2526</v>
      </c>
      <c r="L332" s="38">
        <f t="shared" si="11"/>
        <v>2420.75</v>
      </c>
      <c r="M332" s="39">
        <f t="shared" si="12"/>
        <v>2315.5</v>
      </c>
      <c r="N332" s="40"/>
      <c r="O332" s="34"/>
      <c r="P332" s="35"/>
      <c r="Q332" s="35"/>
      <c r="R332" s="35"/>
      <c r="S332" s="35"/>
      <c r="T332" s="35"/>
      <c r="U332" s="35"/>
      <c r="V332" s="35"/>
      <c r="W332" s="35"/>
      <c r="X332" s="35"/>
      <c r="Y332" s="35"/>
      <c r="Z332" s="35"/>
    </row>
    <row r="333" ht="15.75" customHeight="1">
      <c r="A333" s="178" t="s">
        <v>563</v>
      </c>
      <c r="B333" s="66" t="s">
        <v>1406</v>
      </c>
      <c r="C333" s="66" t="s">
        <v>1418</v>
      </c>
      <c r="D333" s="149" t="s">
        <v>1414</v>
      </c>
      <c r="E333" s="149"/>
      <c r="F333" s="67">
        <v>3290.0</v>
      </c>
      <c r="G333" s="151">
        <v>45855.0</v>
      </c>
      <c r="H333" s="155">
        <f t="shared" si="7"/>
        <v>4935</v>
      </c>
      <c r="I333" s="37">
        <f t="shared" si="8"/>
        <v>4277</v>
      </c>
      <c r="J333" s="38">
        <f t="shared" si="9"/>
        <v>4277</v>
      </c>
      <c r="K333" s="39">
        <f t="shared" si="10"/>
        <v>3948</v>
      </c>
      <c r="L333" s="38">
        <f t="shared" si="11"/>
        <v>3783.5</v>
      </c>
      <c r="M333" s="39">
        <f t="shared" si="12"/>
        <v>3619</v>
      </c>
      <c r="N333" s="40"/>
      <c r="O333" s="34"/>
      <c r="P333" s="35"/>
      <c r="Q333" s="35"/>
      <c r="R333" s="35"/>
      <c r="S333" s="35"/>
      <c r="T333" s="35"/>
      <c r="U333" s="35"/>
      <c r="V333" s="35"/>
      <c r="W333" s="35"/>
      <c r="X333" s="35"/>
      <c r="Y333" s="35"/>
      <c r="Z333" s="35"/>
    </row>
    <row r="334" ht="15.75" customHeight="1">
      <c r="A334" s="178" t="s">
        <v>563</v>
      </c>
      <c r="B334" s="66" t="s">
        <v>1406</v>
      </c>
      <c r="C334" s="69" t="s">
        <v>1419</v>
      </c>
      <c r="D334" s="148" t="s">
        <v>1416</v>
      </c>
      <c r="E334" s="149"/>
      <c r="F334" s="67">
        <v>6000.0</v>
      </c>
      <c r="G334" s="151">
        <v>45855.0</v>
      </c>
      <c r="H334" s="155">
        <f t="shared" si="7"/>
        <v>9000</v>
      </c>
      <c r="I334" s="37">
        <f t="shared" si="8"/>
        <v>7800</v>
      </c>
      <c r="J334" s="38">
        <f t="shared" si="9"/>
        <v>7800</v>
      </c>
      <c r="K334" s="39">
        <f t="shared" si="10"/>
        <v>7200</v>
      </c>
      <c r="L334" s="38">
        <f t="shared" si="11"/>
        <v>6900</v>
      </c>
      <c r="M334" s="39">
        <f t="shared" si="12"/>
        <v>6600</v>
      </c>
      <c r="N334" s="40"/>
      <c r="O334" s="34"/>
      <c r="P334" s="35"/>
      <c r="Q334" s="35"/>
      <c r="R334" s="35"/>
      <c r="S334" s="35"/>
      <c r="T334" s="35"/>
      <c r="U334" s="35"/>
      <c r="V334" s="35"/>
      <c r="W334" s="35"/>
      <c r="X334" s="35"/>
      <c r="Y334" s="35"/>
      <c r="Z334" s="35"/>
    </row>
    <row r="335" ht="15.75" customHeight="1">
      <c r="A335" s="178" t="s">
        <v>563</v>
      </c>
      <c r="B335" s="66" t="s">
        <v>1406</v>
      </c>
      <c r="C335" s="69" t="s">
        <v>1420</v>
      </c>
      <c r="D335" s="148" t="s">
        <v>1421</v>
      </c>
      <c r="E335" s="149"/>
      <c r="F335" s="67">
        <v>6681.0</v>
      </c>
      <c r="G335" s="151">
        <v>45855.0</v>
      </c>
      <c r="H335" s="155">
        <f t="shared" si="7"/>
        <v>10021.5</v>
      </c>
      <c r="I335" s="37">
        <f t="shared" si="8"/>
        <v>8685.3</v>
      </c>
      <c r="J335" s="38">
        <f t="shared" si="9"/>
        <v>8685.3</v>
      </c>
      <c r="K335" s="39">
        <f t="shared" si="10"/>
        <v>8017.2</v>
      </c>
      <c r="L335" s="38">
        <f t="shared" si="11"/>
        <v>7683.15</v>
      </c>
      <c r="M335" s="39">
        <f t="shared" si="12"/>
        <v>7349.1</v>
      </c>
      <c r="N335" s="40"/>
      <c r="O335" s="34"/>
      <c r="P335" s="35"/>
      <c r="Q335" s="35"/>
      <c r="R335" s="35"/>
      <c r="S335" s="35"/>
      <c r="T335" s="35"/>
      <c r="U335" s="35"/>
      <c r="V335" s="35"/>
      <c r="W335" s="35"/>
      <c r="X335" s="35"/>
      <c r="Y335" s="35"/>
      <c r="Z335" s="35"/>
    </row>
    <row r="336" ht="15.75" customHeight="1">
      <c r="A336" s="178" t="s">
        <v>563</v>
      </c>
      <c r="B336" s="66" t="s">
        <v>1406</v>
      </c>
      <c r="C336" s="69" t="s">
        <v>1422</v>
      </c>
      <c r="D336" s="148" t="s">
        <v>1423</v>
      </c>
      <c r="E336" s="149"/>
      <c r="F336" s="67">
        <v>14557.0</v>
      </c>
      <c r="G336" s="151">
        <v>45855.0</v>
      </c>
      <c r="H336" s="155">
        <f t="shared" si="7"/>
        <v>21835.5</v>
      </c>
      <c r="I336" s="37">
        <f t="shared" si="8"/>
        <v>18924.1</v>
      </c>
      <c r="J336" s="38">
        <f t="shared" si="9"/>
        <v>18924.1</v>
      </c>
      <c r="K336" s="39">
        <f t="shared" si="10"/>
        <v>17468.4</v>
      </c>
      <c r="L336" s="38">
        <f t="shared" si="11"/>
        <v>16740.55</v>
      </c>
      <c r="M336" s="39">
        <f t="shared" si="12"/>
        <v>16012.7</v>
      </c>
      <c r="N336" s="40"/>
      <c r="O336" s="34"/>
      <c r="P336" s="35"/>
      <c r="Q336" s="35"/>
      <c r="R336" s="35"/>
      <c r="S336" s="35"/>
      <c r="T336" s="35"/>
      <c r="U336" s="35"/>
      <c r="V336" s="35"/>
      <c r="W336" s="35"/>
      <c r="X336" s="35"/>
      <c r="Y336" s="35"/>
      <c r="Z336" s="35"/>
    </row>
    <row r="337" ht="15.75" customHeight="1">
      <c r="A337" s="178" t="s">
        <v>563</v>
      </c>
      <c r="B337" s="66" t="s">
        <v>1406</v>
      </c>
      <c r="C337" s="69" t="s">
        <v>1424</v>
      </c>
      <c r="D337" s="148" t="s">
        <v>1425</v>
      </c>
      <c r="E337" s="149"/>
      <c r="F337" s="67">
        <v>19278.0</v>
      </c>
      <c r="G337" s="151">
        <v>45855.0</v>
      </c>
      <c r="H337" s="155">
        <f t="shared" si="7"/>
        <v>28917</v>
      </c>
      <c r="I337" s="37">
        <f t="shared" si="8"/>
        <v>25061.4</v>
      </c>
      <c r="J337" s="38">
        <f t="shared" si="9"/>
        <v>25061.4</v>
      </c>
      <c r="K337" s="39">
        <f t="shared" si="10"/>
        <v>23133.6</v>
      </c>
      <c r="L337" s="38">
        <f t="shared" si="11"/>
        <v>22169.7</v>
      </c>
      <c r="M337" s="39">
        <f t="shared" si="12"/>
        <v>21205.8</v>
      </c>
      <c r="N337" s="40"/>
      <c r="O337" s="34"/>
      <c r="P337" s="35"/>
      <c r="Q337" s="35"/>
      <c r="R337" s="35"/>
      <c r="S337" s="35"/>
      <c r="T337" s="35"/>
      <c r="U337" s="35"/>
      <c r="V337" s="35"/>
      <c r="W337" s="35"/>
      <c r="X337" s="35"/>
      <c r="Y337" s="35"/>
      <c r="Z337" s="35"/>
    </row>
    <row r="338" ht="15.75" customHeight="1">
      <c r="A338" s="178" t="s">
        <v>563</v>
      </c>
      <c r="B338" s="66" t="s">
        <v>1406</v>
      </c>
      <c r="C338" s="66" t="s">
        <v>1426</v>
      </c>
      <c r="D338" s="148" t="s">
        <v>1427</v>
      </c>
      <c r="E338" s="149"/>
      <c r="F338" s="67">
        <v>11908.0</v>
      </c>
      <c r="G338" s="151">
        <v>45855.0</v>
      </c>
      <c r="H338" s="155">
        <f t="shared" si="7"/>
        <v>17862</v>
      </c>
      <c r="I338" s="37">
        <f t="shared" si="8"/>
        <v>15480.4</v>
      </c>
      <c r="J338" s="38">
        <f t="shared" si="9"/>
        <v>15480.4</v>
      </c>
      <c r="K338" s="39">
        <f t="shared" si="10"/>
        <v>14289.6</v>
      </c>
      <c r="L338" s="38">
        <f t="shared" si="11"/>
        <v>13694.2</v>
      </c>
      <c r="M338" s="39">
        <f t="shared" si="12"/>
        <v>13098.8</v>
      </c>
      <c r="N338" s="40"/>
      <c r="O338" s="34"/>
      <c r="P338" s="35"/>
      <c r="Q338" s="35"/>
      <c r="R338" s="35"/>
      <c r="S338" s="35"/>
      <c r="T338" s="35"/>
      <c r="U338" s="35"/>
      <c r="V338" s="35"/>
      <c r="W338" s="35"/>
      <c r="X338" s="35"/>
      <c r="Y338" s="35"/>
      <c r="Z338" s="35"/>
    </row>
    <row r="339" ht="15.75" customHeight="1">
      <c r="A339" s="178" t="s">
        <v>563</v>
      </c>
      <c r="B339" s="66" t="s">
        <v>1406</v>
      </c>
      <c r="C339" s="69" t="s">
        <v>1428</v>
      </c>
      <c r="D339" s="148" t="s">
        <v>1406</v>
      </c>
      <c r="E339" s="149"/>
      <c r="F339" s="67">
        <v>24314.0</v>
      </c>
      <c r="G339" s="151">
        <v>45855.0</v>
      </c>
      <c r="H339" s="155">
        <f t="shared" si="7"/>
        <v>36471</v>
      </c>
      <c r="I339" s="37">
        <f t="shared" si="8"/>
        <v>31608.2</v>
      </c>
      <c r="J339" s="38">
        <f t="shared" si="9"/>
        <v>31608.2</v>
      </c>
      <c r="K339" s="39">
        <f t="shared" si="10"/>
        <v>29176.8</v>
      </c>
      <c r="L339" s="38">
        <f t="shared" si="11"/>
        <v>27961.1</v>
      </c>
      <c r="M339" s="39">
        <f t="shared" si="12"/>
        <v>26745.4</v>
      </c>
      <c r="N339" s="40"/>
      <c r="O339" s="34"/>
      <c r="P339" s="35"/>
      <c r="Q339" s="35"/>
      <c r="R339" s="35"/>
      <c r="S339" s="35"/>
      <c r="T339" s="35"/>
      <c r="U339" s="35"/>
      <c r="V339" s="35"/>
      <c r="W339" s="35"/>
      <c r="X339" s="35"/>
      <c r="Y339" s="35"/>
      <c r="Z339" s="35"/>
    </row>
    <row r="340" ht="15.75" customHeight="1">
      <c r="A340" s="178" t="s">
        <v>563</v>
      </c>
      <c r="B340" s="66" t="s">
        <v>1406</v>
      </c>
      <c r="C340" s="69" t="s">
        <v>1429</v>
      </c>
      <c r="D340" s="148" t="s">
        <v>1430</v>
      </c>
      <c r="E340" s="149"/>
      <c r="F340" s="67">
        <v>14300.0</v>
      </c>
      <c r="G340" s="151">
        <v>45855.0</v>
      </c>
      <c r="H340" s="155">
        <f t="shared" si="7"/>
        <v>21450</v>
      </c>
      <c r="I340" s="37">
        <f t="shared" si="8"/>
        <v>18590</v>
      </c>
      <c r="J340" s="38">
        <f t="shared" si="9"/>
        <v>18590</v>
      </c>
      <c r="K340" s="39">
        <f t="shared" si="10"/>
        <v>17160</v>
      </c>
      <c r="L340" s="38">
        <f t="shared" si="11"/>
        <v>16445</v>
      </c>
      <c r="M340" s="39">
        <f t="shared" si="12"/>
        <v>15730</v>
      </c>
      <c r="N340" s="40"/>
      <c r="O340" s="34"/>
      <c r="P340" s="35"/>
      <c r="Q340" s="35"/>
      <c r="R340" s="35"/>
      <c r="S340" s="35"/>
      <c r="T340" s="35"/>
      <c r="U340" s="35"/>
      <c r="V340" s="35"/>
      <c r="W340" s="35"/>
      <c r="X340" s="35"/>
      <c r="Y340" s="35"/>
      <c r="Z340" s="35"/>
    </row>
    <row r="341" ht="15.75" customHeight="1">
      <c r="A341" s="178" t="s">
        <v>563</v>
      </c>
      <c r="B341" s="66" t="s">
        <v>1406</v>
      </c>
      <c r="C341" s="69" t="s">
        <v>1431</v>
      </c>
      <c r="D341" s="148" t="s">
        <v>1406</v>
      </c>
      <c r="E341" s="149"/>
      <c r="F341" s="67">
        <v>29822.0</v>
      </c>
      <c r="G341" s="151">
        <v>45855.0</v>
      </c>
      <c r="H341" s="155">
        <f t="shared" si="7"/>
        <v>44733</v>
      </c>
      <c r="I341" s="37">
        <f t="shared" si="8"/>
        <v>38768.6</v>
      </c>
      <c r="J341" s="38">
        <f t="shared" si="9"/>
        <v>38768.6</v>
      </c>
      <c r="K341" s="39">
        <f t="shared" si="10"/>
        <v>35786.4</v>
      </c>
      <c r="L341" s="38">
        <f t="shared" si="11"/>
        <v>34295.3</v>
      </c>
      <c r="M341" s="39">
        <f t="shared" si="12"/>
        <v>32804.2</v>
      </c>
      <c r="N341" s="40"/>
      <c r="O341" s="34"/>
      <c r="P341" s="35"/>
      <c r="Q341" s="35"/>
      <c r="R341" s="35"/>
      <c r="S341" s="35"/>
      <c r="T341" s="35"/>
      <c r="U341" s="35"/>
      <c r="V341" s="35"/>
      <c r="W341" s="35"/>
      <c r="X341" s="35"/>
      <c r="Y341" s="35"/>
      <c r="Z341" s="35"/>
    </row>
    <row r="342" ht="15.75" customHeight="1">
      <c r="A342" s="178" t="s">
        <v>563</v>
      </c>
      <c r="B342" s="66" t="s">
        <v>1406</v>
      </c>
      <c r="C342" s="69" t="s">
        <v>1432</v>
      </c>
      <c r="D342" s="148" t="s">
        <v>1433</v>
      </c>
      <c r="E342" s="149"/>
      <c r="F342" s="67">
        <v>3898.0</v>
      </c>
      <c r="G342" s="151">
        <v>45855.0</v>
      </c>
      <c r="H342" s="155">
        <f t="shared" si="7"/>
        <v>5847</v>
      </c>
      <c r="I342" s="37">
        <f t="shared" si="8"/>
        <v>5067.4</v>
      </c>
      <c r="J342" s="38">
        <f t="shared" si="9"/>
        <v>5067.4</v>
      </c>
      <c r="K342" s="39">
        <f t="shared" si="10"/>
        <v>4677.6</v>
      </c>
      <c r="L342" s="38">
        <f t="shared" si="11"/>
        <v>4482.7</v>
      </c>
      <c r="M342" s="39">
        <f t="shared" si="12"/>
        <v>4287.8</v>
      </c>
      <c r="N342" s="40"/>
      <c r="O342" s="34"/>
      <c r="P342" s="35"/>
      <c r="Q342" s="35"/>
      <c r="R342" s="35"/>
      <c r="S342" s="35"/>
      <c r="T342" s="35"/>
      <c r="U342" s="35"/>
      <c r="V342" s="35"/>
      <c r="W342" s="35"/>
      <c r="X342" s="35"/>
      <c r="Y342" s="35"/>
      <c r="Z342" s="35"/>
    </row>
    <row r="343" ht="15.75" customHeight="1">
      <c r="A343" s="178" t="s">
        <v>563</v>
      </c>
      <c r="B343" s="66" t="s">
        <v>1406</v>
      </c>
      <c r="C343" s="69" t="s">
        <v>1434</v>
      </c>
      <c r="D343" s="148" t="s">
        <v>1435</v>
      </c>
      <c r="E343" s="149"/>
      <c r="F343" s="67">
        <v>6373.0</v>
      </c>
      <c r="G343" s="151">
        <v>45855.0</v>
      </c>
      <c r="H343" s="155">
        <f t="shared" si="7"/>
        <v>9559.5</v>
      </c>
      <c r="I343" s="37">
        <f t="shared" si="8"/>
        <v>8284.9</v>
      </c>
      <c r="J343" s="38">
        <f t="shared" si="9"/>
        <v>8284.9</v>
      </c>
      <c r="K343" s="39">
        <f t="shared" si="10"/>
        <v>7647.6</v>
      </c>
      <c r="L343" s="38">
        <f t="shared" si="11"/>
        <v>7328.95</v>
      </c>
      <c r="M343" s="39">
        <f t="shared" si="12"/>
        <v>7010.3</v>
      </c>
      <c r="N343" s="40"/>
      <c r="O343" s="34"/>
      <c r="P343" s="35"/>
      <c r="Q343" s="35"/>
      <c r="R343" s="35"/>
      <c r="S343" s="35"/>
      <c r="T343" s="35"/>
      <c r="U343" s="35"/>
      <c r="V343" s="35"/>
      <c r="W343" s="35"/>
      <c r="X343" s="35"/>
      <c r="Y343" s="35"/>
      <c r="Z343" s="35"/>
    </row>
    <row r="344" ht="15.75" customHeight="1">
      <c r="A344" s="178" t="s">
        <v>563</v>
      </c>
      <c r="B344" s="66" t="s">
        <v>1406</v>
      </c>
      <c r="C344" s="69" t="s">
        <v>1436</v>
      </c>
      <c r="D344" s="148" t="s">
        <v>1437</v>
      </c>
      <c r="E344" s="149"/>
      <c r="F344" s="67">
        <v>3100.0</v>
      </c>
      <c r="G344" s="151">
        <v>45855.0</v>
      </c>
      <c r="H344" s="155">
        <f t="shared" si="7"/>
        <v>4650</v>
      </c>
      <c r="I344" s="37">
        <f t="shared" si="8"/>
        <v>4030</v>
      </c>
      <c r="J344" s="38">
        <f t="shared" si="9"/>
        <v>4030</v>
      </c>
      <c r="K344" s="39">
        <f t="shared" si="10"/>
        <v>3720</v>
      </c>
      <c r="L344" s="38">
        <f t="shared" si="11"/>
        <v>3565</v>
      </c>
      <c r="M344" s="39">
        <f t="shared" si="12"/>
        <v>3410</v>
      </c>
      <c r="N344" s="40"/>
      <c r="O344" s="34"/>
      <c r="P344" s="35"/>
      <c r="Q344" s="35"/>
      <c r="R344" s="35"/>
      <c r="S344" s="35"/>
      <c r="T344" s="35"/>
      <c r="U344" s="35"/>
      <c r="V344" s="35"/>
      <c r="W344" s="35"/>
      <c r="X344" s="35"/>
      <c r="Y344" s="35"/>
      <c r="Z344" s="35"/>
    </row>
    <row r="345" ht="15.75" customHeight="1">
      <c r="A345" s="178" t="s">
        <v>563</v>
      </c>
      <c r="B345" s="66" t="s">
        <v>1406</v>
      </c>
      <c r="C345" s="69" t="s">
        <v>1438</v>
      </c>
      <c r="D345" s="148" t="s">
        <v>1439</v>
      </c>
      <c r="E345" s="149"/>
      <c r="F345" s="67">
        <v>5675.0</v>
      </c>
      <c r="G345" s="151">
        <v>45855.0</v>
      </c>
      <c r="H345" s="155">
        <f t="shared" si="7"/>
        <v>8512.5</v>
      </c>
      <c r="I345" s="37">
        <f t="shared" si="8"/>
        <v>7377.5</v>
      </c>
      <c r="J345" s="38">
        <f t="shared" si="9"/>
        <v>7377.5</v>
      </c>
      <c r="K345" s="39">
        <f t="shared" si="10"/>
        <v>6810</v>
      </c>
      <c r="L345" s="38">
        <f t="shared" si="11"/>
        <v>6526.25</v>
      </c>
      <c r="M345" s="39">
        <f t="shared" si="12"/>
        <v>6242.5</v>
      </c>
      <c r="N345" s="40"/>
      <c r="O345" s="34"/>
      <c r="P345" s="35"/>
      <c r="Q345" s="35"/>
      <c r="R345" s="35"/>
      <c r="S345" s="35"/>
      <c r="T345" s="35"/>
      <c r="U345" s="35"/>
      <c r="V345" s="35"/>
      <c r="W345" s="35"/>
      <c r="X345" s="35"/>
      <c r="Y345" s="35"/>
      <c r="Z345" s="35"/>
    </row>
    <row r="346" ht="15.75" customHeight="1">
      <c r="A346" s="178" t="s">
        <v>563</v>
      </c>
      <c r="B346" s="66" t="s">
        <v>1406</v>
      </c>
      <c r="C346" s="69" t="s">
        <v>1440</v>
      </c>
      <c r="D346" s="148" t="s">
        <v>1441</v>
      </c>
      <c r="E346" s="149"/>
      <c r="F346" s="67">
        <v>5563.0</v>
      </c>
      <c r="G346" s="151">
        <v>45855.0</v>
      </c>
      <c r="H346" s="155">
        <f t="shared" si="7"/>
        <v>8344.5</v>
      </c>
      <c r="I346" s="37">
        <f t="shared" si="8"/>
        <v>7231.9</v>
      </c>
      <c r="J346" s="38">
        <f t="shared" si="9"/>
        <v>7231.9</v>
      </c>
      <c r="K346" s="39">
        <f t="shared" si="10"/>
        <v>6675.6</v>
      </c>
      <c r="L346" s="38">
        <f t="shared" si="11"/>
        <v>6397.45</v>
      </c>
      <c r="M346" s="39">
        <f t="shared" si="12"/>
        <v>6119.3</v>
      </c>
      <c r="N346" s="40"/>
      <c r="O346" s="34"/>
      <c r="P346" s="35"/>
      <c r="Q346" s="35"/>
      <c r="R346" s="35"/>
      <c r="S346" s="35"/>
      <c r="T346" s="35"/>
      <c r="U346" s="35"/>
      <c r="V346" s="35"/>
      <c r="W346" s="35"/>
      <c r="X346" s="35"/>
      <c r="Y346" s="35"/>
      <c r="Z346" s="35"/>
    </row>
    <row r="347" ht="15.75" customHeight="1">
      <c r="A347" s="180" t="s">
        <v>563</v>
      </c>
      <c r="B347" s="168" t="s">
        <v>1406</v>
      </c>
      <c r="C347" s="169" t="s">
        <v>1442</v>
      </c>
      <c r="D347" s="181" t="s">
        <v>1443</v>
      </c>
      <c r="E347" s="170"/>
      <c r="F347" s="67">
        <v>13000.0</v>
      </c>
      <c r="G347" s="151">
        <v>45855.0</v>
      </c>
      <c r="H347" s="171">
        <f t="shared" si="7"/>
        <v>19500</v>
      </c>
      <c r="I347" s="172">
        <f t="shared" si="8"/>
        <v>16900</v>
      </c>
      <c r="J347" s="173">
        <f t="shared" si="9"/>
        <v>16900</v>
      </c>
      <c r="K347" s="174">
        <f t="shared" si="10"/>
        <v>15600</v>
      </c>
      <c r="L347" s="173">
        <f t="shared" si="11"/>
        <v>14950</v>
      </c>
      <c r="M347" s="174">
        <f t="shared" si="12"/>
        <v>14300</v>
      </c>
      <c r="N347" s="158" t="s">
        <v>1444</v>
      </c>
      <c r="O347" s="176"/>
      <c r="P347" s="177"/>
      <c r="Q347" s="177"/>
      <c r="R347" s="177"/>
      <c r="S347" s="177"/>
      <c r="T347" s="177"/>
      <c r="U347" s="177"/>
      <c r="V347" s="177"/>
      <c r="W347" s="177"/>
      <c r="X347" s="177"/>
      <c r="Y347" s="177"/>
      <c r="Z347" s="177"/>
    </row>
    <row r="348" ht="15.75" customHeight="1">
      <c r="A348" s="178" t="s">
        <v>563</v>
      </c>
      <c r="B348" s="66" t="s">
        <v>1406</v>
      </c>
      <c r="C348" s="69" t="s">
        <v>1445</v>
      </c>
      <c r="D348" s="148" t="s">
        <v>1443</v>
      </c>
      <c r="E348" s="149"/>
      <c r="F348" s="67">
        <v>13000.0</v>
      </c>
      <c r="G348" s="151">
        <v>45855.0</v>
      </c>
      <c r="H348" s="155">
        <f t="shared" si="7"/>
        <v>19500</v>
      </c>
      <c r="I348" s="37">
        <f t="shared" si="8"/>
        <v>16900</v>
      </c>
      <c r="J348" s="38">
        <f t="shared" si="9"/>
        <v>16900</v>
      </c>
      <c r="K348" s="39">
        <f t="shared" si="10"/>
        <v>15600</v>
      </c>
      <c r="L348" s="38">
        <f t="shared" si="11"/>
        <v>14950</v>
      </c>
      <c r="M348" s="39">
        <f t="shared" si="12"/>
        <v>14300</v>
      </c>
      <c r="N348" s="40"/>
      <c r="O348" s="34"/>
      <c r="P348" s="35"/>
      <c r="Q348" s="35"/>
      <c r="R348" s="35"/>
      <c r="S348" s="35"/>
      <c r="T348" s="35"/>
      <c r="U348" s="35"/>
      <c r="V348" s="35"/>
      <c r="W348" s="35"/>
      <c r="X348" s="35"/>
      <c r="Y348" s="35"/>
      <c r="Z348" s="35"/>
    </row>
    <row r="349" ht="15.75" customHeight="1">
      <c r="A349" s="178" t="s">
        <v>563</v>
      </c>
      <c r="B349" s="66" t="s">
        <v>1406</v>
      </c>
      <c r="C349" s="69" t="s">
        <v>1446</v>
      </c>
      <c r="D349" s="148" t="s">
        <v>1447</v>
      </c>
      <c r="E349" s="149"/>
      <c r="F349" s="67">
        <v>38871.0</v>
      </c>
      <c r="G349" s="151">
        <v>45855.0</v>
      </c>
      <c r="H349" s="155">
        <f t="shared" si="7"/>
        <v>58306.5</v>
      </c>
      <c r="I349" s="37">
        <f t="shared" si="8"/>
        <v>50532.3</v>
      </c>
      <c r="J349" s="38">
        <f t="shared" si="9"/>
        <v>50532.3</v>
      </c>
      <c r="K349" s="39">
        <f t="shared" si="10"/>
        <v>46645.2</v>
      </c>
      <c r="L349" s="38">
        <f t="shared" si="11"/>
        <v>44701.65</v>
      </c>
      <c r="M349" s="39">
        <f t="shared" si="12"/>
        <v>42758.1</v>
      </c>
      <c r="N349" s="40"/>
      <c r="O349" s="34"/>
      <c r="P349" s="35"/>
      <c r="Q349" s="35"/>
      <c r="R349" s="35"/>
      <c r="S349" s="35"/>
      <c r="T349" s="35"/>
      <c r="U349" s="35"/>
      <c r="V349" s="35"/>
      <c r="W349" s="35"/>
      <c r="X349" s="35"/>
      <c r="Y349" s="35"/>
      <c r="Z349" s="35"/>
    </row>
    <row r="350" ht="15.75" customHeight="1">
      <c r="A350" s="178" t="s">
        <v>563</v>
      </c>
      <c r="B350" s="66" t="s">
        <v>1406</v>
      </c>
      <c r="C350" s="69" t="s">
        <v>1448</v>
      </c>
      <c r="D350" s="148" t="s">
        <v>1449</v>
      </c>
      <c r="E350" s="149"/>
      <c r="F350" s="67">
        <v>43199.0</v>
      </c>
      <c r="G350" s="151">
        <v>45855.0</v>
      </c>
      <c r="H350" s="155">
        <f t="shared" si="7"/>
        <v>64798.5</v>
      </c>
      <c r="I350" s="37">
        <f t="shared" si="8"/>
        <v>56158.7</v>
      </c>
      <c r="J350" s="38">
        <f t="shared" si="9"/>
        <v>56158.7</v>
      </c>
      <c r="K350" s="39">
        <f t="shared" si="10"/>
        <v>51838.8</v>
      </c>
      <c r="L350" s="38">
        <f t="shared" si="11"/>
        <v>49678.85</v>
      </c>
      <c r="M350" s="39">
        <f t="shared" si="12"/>
        <v>47518.9</v>
      </c>
      <c r="N350" s="40"/>
      <c r="O350" s="34"/>
      <c r="P350" s="35"/>
      <c r="Q350" s="35"/>
      <c r="R350" s="35"/>
      <c r="S350" s="35"/>
      <c r="T350" s="35"/>
      <c r="U350" s="35"/>
      <c r="V350" s="35"/>
      <c r="W350" s="35"/>
      <c r="X350" s="35"/>
      <c r="Y350" s="35"/>
      <c r="Z350" s="35"/>
    </row>
    <row r="351" ht="15.75" customHeight="1">
      <c r="A351" s="178" t="s">
        <v>563</v>
      </c>
      <c r="B351" s="66" t="s">
        <v>1406</v>
      </c>
      <c r="C351" s="69" t="s">
        <v>1450</v>
      </c>
      <c r="D351" s="148" t="s">
        <v>1451</v>
      </c>
      <c r="E351" s="149"/>
      <c r="F351" s="67">
        <v>2345.0</v>
      </c>
      <c r="G351" s="151">
        <v>45855.0</v>
      </c>
      <c r="H351" s="155">
        <f t="shared" si="7"/>
        <v>3517.5</v>
      </c>
      <c r="I351" s="37">
        <f t="shared" si="8"/>
        <v>3048.5</v>
      </c>
      <c r="J351" s="38">
        <f t="shared" si="9"/>
        <v>3048.5</v>
      </c>
      <c r="K351" s="39">
        <f t="shared" si="10"/>
        <v>2814</v>
      </c>
      <c r="L351" s="38">
        <f t="shared" si="11"/>
        <v>2696.75</v>
      </c>
      <c r="M351" s="39">
        <f t="shared" si="12"/>
        <v>2579.5</v>
      </c>
      <c r="N351" s="40"/>
      <c r="O351" s="34"/>
      <c r="P351" s="35"/>
      <c r="Q351" s="35"/>
      <c r="R351" s="35"/>
      <c r="S351" s="35"/>
      <c r="T351" s="35"/>
      <c r="U351" s="35"/>
      <c r="V351" s="35"/>
      <c r="W351" s="35"/>
      <c r="X351" s="35"/>
      <c r="Y351" s="35"/>
      <c r="Z351" s="35"/>
    </row>
    <row r="352" ht="15.75" customHeight="1">
      <c r="A352" s="178" t="s">
        <v>563</v>
      </c>
      <c r="B352" s="66" t="s">
        <v>1406</v>
      </c>
      <c r="C352" s="69" t="s">
        <v>1452</v>
      </c>
      <c r="D352" s="148" t="s">
        <v>1453</v>
      </c>
      <c r="E352" s="149"/>
      <c r="F352" s="67">
        <v>3550.0</v>
      </c>
      <c r="G352" s="151">
        <v>45855.0</v>
      </c>
      <c r="H352" s="155">
        <f t="shared" si="7"/>
        <v>5325</v>
      </c>
      <c r="I352" s="37">
        <f t="shared" si="8"/>
        <v>4615</v>
      </c>
      <c r="J352" s="38">
        <f t="shared" si="9"/>
        <v>4615</v>
      </c>
      <c r="K352" s="39">
        <f t="shared" si="10"/>
        <v>4260</v>
      </c>
      <c r="L352" s="38">
        <f t="shared" si="11"/>
        <v>4082.5</v>
      </c>
      <c r="M352" s="39">
        <f t="shared" si="12"/>
        <v>3905</v>
      </c>
      <c r="N352" s="40"/>
      <c r="O352" s="34"/>
      <c r="P352" s="35"/>
      <c r="Q352" s="35"/>
      <c r="R352" s="35"/>
      <c r="S352" s="35"/>
      <c r="T352" s="35"/>
      <c r="U352" s="35"/>
      <c r="V352" s="35"/>
      <c r="W352" s="35"/>
      <c r="X352" s="35"/>
      <c r="Y352" s="35"/>
      <c r="Z352" s="35"/>
    </row>
    <row r="353" ht="15.75" customHeight="1">
      <c r="A353" s="178" t="s">
        <v>563</v>
      </c>
      <c r="B353" s="66" t="s">
        <v>1406</v>
      </c>
      <c r="C353" s="69" t="s">
        <v>1454</v>
      </c>
      <c r="D353" s="148" t="s">
        <v>1455</v>
      </c>
      <c r="E353" s="149"/>
      <c r="F353" s="67">
        <v>6550.0</v>
      </c>
      <c r="G353" s="151">
        <v>45855.0</v>
      </c>
      <c r="H353" s="155">
        <f t="shared" si="7"/>
        <v>9825</v>
      </c>
      <c r="I353" s="37">
        <f t="shared" si="8"/>
        <v>8515</v>
      </c>
      <c r="J353" s="38">
        <f t="shared" si="9"/>
        <v>8515</v>
      </c>
      <c r="K353" s="39">
        <f t="shared" si="10"/>
        <v>7860</v>
      </c>
      <c r="L353" s="38">
        <f t="shared" si="11"/>
        <v>7532.5</v>
      </c>
      <c r="M353" s="39">
        <f t="shared" si="12"/>
        <v>7205</v>
      </c>
      <c r="N353" s="40"/>
      <c r="O353" s="34"/>
      <c r="P353" s="35"/>
      <c r="Q353" s="35"/>
      <c r="R353" s="35"/>
      <c r="S353" s="35"/>
      <c r="T353" s="35"/>
      <c r="U353" s="35"/>
      <c r="V353" s="35"/>
      <c r="W353" s="35"/>
      <c r="X353" s="35"/>
      <c r="Y353" s="35"/>
      <c r="Z353" s="35"/>
    </row>
    <row r="354" ht="15.75" customHeight="1">
      <c r="A354" s="178" t="s">
        <v>563</v>
      </c>
      <c r="B354" s="66" t="s">
        <v>1406</v>
      </c>
      <c r="C354" s="66" t="s">
        <v>1456</v>
      </c>
      <c r="D354" s="148" t="s">
        <v>1457</v>
      </c>
      <c r="E354" s="149"/>
      <c r="F354" s="67">
        <v>7750.0</v>
      </c>
      <c r="G354" s="151">
        <v>45855.0</v>
      </c>
      <c r="H354" s="155">
        <f t="shared" si="7"/>
        <v>11625</v>
      </c>
      <c r="I354" s="37">
        <f t="shared" si="8"/>
        <v>10075</v>
      </c>
      <c r="J354" s="38">
        <f t="shared" si="9"/>
        <v>10075</v>
      </c>
      <c r="K354" s="39">
        <f t="shared" si="10"/>
        <v>9300</v>
      </c>
      <c r="L354" s="38">
        <f t="shared" si="11"/>
        <v>8912.5</v>
      </c>
      <c r="M354" s="39">
        <f t="shared" si="12"/>
        <v>8525</v>
      </c>
      <c r="N354" s="40"/>
      <c r="O354" s="34"/>
      <c r="P354" s="35"/>
      <c r="Q354" s="35"/>
      <c r="R354" s="35"/>
      <c r="S354" s="35"/>
      <c r="T354" s="35"/>
      <c r="U354" s="35"/>
      <c r="V354" s="35"/>
      <c r="W354" s="35"/>
      <c r="X354" s="35"/>
      <c r="Y354" s="35"/>
      <c r="Z354" s="35"/>
    </row>
    <row r="355" ht="14.25" customHeight="1">
      <c r="A355" s="178" t="s">
        <v>563</v>
      </c>
      <c r="B355" s="66" t="s">
        <v>1406</v>
      </c>
      <c r="C355" s="182" t="s">
        <v>1458</v>
      </c>
      <c r="D355" s="98" t="s">
        <v>1459</v>
      </c>
      <c r="E355" s="98"/>
      <c r="F355" s="183">
        <v>14300.0</v>
      </c>
      <c r="G355" s="151">
        <v>45855.0</v>
      </c>
      <c r="H355" s="36">
        <f t="shared" si="7"/>
        <v>21450</v>
      </c>
      <c r="I355" s="37">
        <f t="shared" si="8"/>
        <v>18590</v>
      </c>
      <c r="J355" s="38">
        <f t="shared" si="9"/>
        <v>18590</v>
      </c>
      <c r="K355" s="39">
        <f t="shared" si="10"/>
        <v>17160</v>
      </c>
      <c r="L355" s="38">
        <f t="shared" si="11"/>
        <v>16445</v>
      </c>
      <c r="M355" s="39">
        <f t="shared" si="12"/>
        <v>15730</v>
      </c>
      <c r="N355" s="40"/>
      <c r="O355" s="34"/>
      <c r="P355" s="35"/>
      <c r="Q355" s="35"/>
      <c r="R355" s="35"/>
      <c r="S355" s="35"/>
      <c r="T355" s="35"/>
      <c r="U355" s="35"/>
      <c r="V355" s="35"/>
      <c r="W355" s="35"/>
      <c r="X355" s="35"/>
      <c r="Y355" s="35"/>
      <c r="Z355" s="35"/>
    </row>
    <row r="356" ht="14.25" customHeight="1">
      <c r="A356" s="178" t="s">
        <v>563</v>
      </c>
      <c r="B356" s="66" t="s">
        <v>1406</v>
      </c>
      <c r="C356" s="184" t="s">
        <v>1460</v>
      </c>
      <c r="D356" s="98" t="s">
        <v>1461</v>
      </c>
      <c r="E356" s="98"/>
      <c r="F356" s="183">
        <v>3000.0</v>
      </c>
      <c r="G356" s="151">
        <v>45855.0</v>
      </c>
      <c r="H356" s="36">
        <f t="shared" si="7"/>
        <v>4500</v>
      </c>
      <c r="I356" s="37">
        <f t="shared" si="8"/>
        <v>3900</v>
      </c>
      <c r="J356" s="38">
        <f t="shared" si="9"/>
        <v>3900</v>
      </c>
      <c r="K356" s="39">
        <f t="shared" si="10"/>
        <v>3600</v>
      </c>
      <c r="L356" s="38">
        <f t="shared" si="11"/>
        <v>3450</v>
      </c>
      <c r="M356" s="39">
        <f t="shared" si="12"/>
        <v>3300</v>
      </c>
      <c r="N356" s="40"/>
      <c r="O356" s="34"/>
      <c r="P356" s="35"/>
      <c r="Q356" s="35"/>
      <c r="R356" s="35"/>
      <c r="S356" s="35"/>
      <c r="T356" s="35"/>
      <c r="U356" s="35"/>
      <c r="V356" s="35"/>
      <c r="W356" s="35"/>
      <c r="X356" s="35"/>
      <c r="Y356" s="35"/>
      <c r="Z356" s="35"/>
    </row>
    <row r="357" ht="14.25" customHeight="1">
      <c r="A357" s="178" t="s">
        <v>563</v>
      </c>
      <c r="B357" s="66" t="s">
        <v>1406</v>
      </c>
      <c r="C357" s="185" t="s">
        <v>1462</v>
      </c>
      <c r="D357" s="186" t="s">
        <v>1463</v>
      </c>
      <c r="E357" s="187"/>
      <c r="F357" s="188">
        <v>6450.0</v>
      </c>
      <c r="G357" s="151">
        <v>45855.0</v>
      </c>
      <c r="H357" s="36">
        <f t="shared" si="7"/>
        <v>9675</v>
      </c>
      <c r="I357" s="37">
        <f t="shared" si="8"/>
        <v>8385</v>
      </c>
      <c r="J357" s="38">
        <f t="shared" si="9"/>
        <v>8385</v>
      </c>
      <c r="K357" s="39">
        <f t="shared" si="10"/>
        <v>7740</v>
      </c>
      <c r="L357" s="38">
        <f t="shared" si="11"/>
        <v>7417.5</v>
      </c>
      <c r="M357" s="39">
        <f t="shared" si="12"/>
        <v>7095</v>
      </c>
      <c r="N357" s="40"/>
      <c r="O357" s="34"/>
      <c r="P357" s="35"/>
      <c r="Q357" s="35"/>
      <c r="R357" s="35"/>
      <c r="S357" s="35"/>
      <c r="T357" s="35"/>
      <c r="U357" s="35"/>
      <c r="V357" s="35"/>
      <c r="W357" s="35"/>
      <c r="X357" s="35"/>
      <c r="Y357" s="35"/>
      <c r="Z357" s="35"/>
    </row>
    <row r="358" ht="14.25" customHeight="1">
      <c r="A358" s="178" t="s">
        <v>563</v>
      </c>
      <c r="B358" s="66" t="s">
        <v>1406</v>
      </c>
      <c r="C358" s="185" t="s">
        <v>1464</v>
      </c>
      <c r="D358" s="186" t="s">
        <v>1465</v>
      </c>
      <c r="E358" s="187"/>
      <c r="F358" s="188">
        <v>13000.0</v>
      </c>
      <c r="G358" s="151">
        <v>45855.0</v>
      </c>
      <c r="H358" s="36">
        <f t="shared" si="7"/>
        <v>19500</v>
      </c>
      <c r="I358" s="37">
        <f t="shared" si="8"/>
        <v>16900</v>
      </c>
      <c r="J358" s="38">
        <f t="shared" si="9"/>
        <v>16900</v>
      </c>
      <c r="K358" s="39">
        <f t="shared" si="10"/>
        <v>15600</v>
      </c>
      <c r="L358" s="38">
        <f t="shared" si="11"/>
        <v>14950</v>
      </c>
      <c r="M358" s="39">
        <f t="shared" si="12"/>
        <v>14300</v>
      </c>
      <c r="N358" s="40"/>
      <c r="O358" s="34"/>
      <c r="P358" s="35"/>
      <c r="Q358" s="35"/>
      <c r="R358" s="35"/>
      <c r="S358" s="35"/>
      <c r="T358" s="35"/>
      <c r="U358" s="35"/>
      <c r="V358" s="35"/>
      <c r="W358" s="35"/>
      <c r="X358" s="35"/>
      <c r="Y358" s="35"/>
      <c r="Z358" s="35"/>
    </row>
    <row r="359" ht="14.25" customHeight="1">
      <c r="A359" s="178" t="s">
        <v>563</v>
      </c>
      <c r="B359" s="66" t="s">
        <v>1406</v>
      </c>
      <c r="C359" s="185" t="s">
        <v>1466</v>
      </c>
      <c r="D359" s="186" t="s">
        <v>1467</v>
      </c>
      <c r="E359" s="187"/>
      <c r="F359" s="188">
        <v>6961.0</v>
      </c>
      <c r="G359" s="151">
        <v>45855.0</v>
      </c>
      <c r="H359" s="36">
        <f t="shared" si="7"/>
        <v>10441.5</v>
      </c>
      <c r="I359" s="37">
        <f t="shared" si="8"/>
        <v>9049.3</v>
      </c>
      <c r="J359" s="38">
        <f t="shared" si="9"/>
        <v>9049.3</v>
      </c>
      <c r="K359" s="39">
        <f t="shared" si="10"/>
        <v>8353.2</v>
      </c>
      <c r="L359" s="38">
        <f t="shared" si="11"/>
        <v>8005.15</v>
      </c>
      <c r="M359" s="39">
        <f t="shared" si="12"/>
        <v>7657.1</v>
      </c>
      <c r="N359" s="40"/>
      <c r="O359" s="34"/>
      <c r="P359" s="35"/>
      <c r="Q359" s="35"/>
      <c r="R359" s="35"/>
      <c r="S359" s="35"/>
      <c r="T359" s="35"/>
      <c r="U359" s="35"/>
      <c r="V359" s="35"/>
      <c r="W359" s="35"/>
      <c r="X359" s="35"/>
      <c r="Y359" s="35"/>
      <c r="Z359" s="35"/>
    </row>
    <row r="360" ht="14.25" customHeight="1">
      <c r="A360" s="178" t="s">
        <v>563</v>
      </c>
      <c r="B360" s="66" t="s">
        <v>1406</v>
      </c>
      <c r="C360" s="185" t="s">
        <v>1468</v>
      </c>
      <c r="D360" s="186" t="s">
        <v>1469</v>
      </c>
      <c r="E360" s="187"/>
      <c r="F360" s="188">
        <v>13543.0</v>
      </c>
      <c r="G360" s="151">
        <v>45855.0</v>
      </c>
      <c r="H360" s="36">
        <f t="shared" si="7"/>
        <v>20314.5</v>
      </c>
      <c r="I360" s="37">
        <f t="shared" si="8"/>
        <v>17605.9</v>
      </c>
      <c r="J360" s="38">
        <f t="shared" si="9"/>
        <v>17605.9</v>
      </c>
      <c r="K360" s="39">
        <f t="shared" si="10"/>
        <v>16251.6</v>
      </c>
      <c r="L360" s="38">
        <f t="shared" si="11"/>
        <v>15574.45</v>
      </c>
      <c r="M360" s="39">
        <f t="shared" si="12"/>
        <v>14897.3</v>
      </c>
      <c r="N360" s="40"/>
      <c r="O360" s="34"/>
      <c r="P360" s="35"/>
      <c r="Q360" s="35"/>
      <c r="R360" s="35"/>
      <c r="S360" s="35"/>
      <c r="T360" s="35"/>
      <c r="U360" s="35"/>
      <c r="V360" s="35"/>
      <c r="W360" s="35"/>
      <c r="X360" s="35"/>
      <c r="Y360" s="35"/>
      <c r="Z360" s="35"/>
    </row>
    <row r="361" ht="81.75" customHeight="1">
      <c r="A361" s="83" t="s">
        <v>1470</v>
      </c>
      <c r="B361" s="84"/>
      <c r="C361" s="189" t="s">
        <v>1471</v>
      </c>
      <c r="D361" s="98" t="s">
        <v>1472</v>
      </c>
      <c r="E361" s="190" t="s">
        <v>1473</v>
      </c>
      <c r="F361" s="191">
        <v>4091.0</v>
      </c>
      <c r="G361" s="151">
        <v>45855.0</v>
      </c>
      <c r="H361" s="36">
        <f t="shared" si="7"/>
        <v>6136.5</v>
      </c>
      <c r="I361" s="37">
        <f t="shared" si="8"/>
        <v>5318.3</v>
      </c>
      <c r="J361" s="38">
        <f t="shared" si="9"/>
        <v>5318.3</v>
      </c>
      <c r="K361" s="39">
        <f t="shared" si="10"/>
        <v>4909.2</v>
      </c>
      <c r="L361" s="38">
        <f t="shared" si="11"/>
        <v>4704.65</v>
      </c>
      <c r="M361" s="39">
        <f t="shared" si="12"/>
        <v>4500.1</v>
      </c>
      <c r="N361" s="40"/>
      <c r="O361" s="78"/>
      <c r="P361" s="76"/>
      <c r="Q361" s="76"/>
      <c r="R361" s="76"/>
      <c r="S361" s="76"/>
      <c r="T361" s="76"/>
      <c r="U361" s="76"/>
      <c r="V361" s="76"/>
      <c r="W361" s="76"/>
      <c r="X361" s="76"/>
      <c r="Y361" s="76"/>
      <c r="Z361" s="76"/>
    </row>
    <row r="362" ht="81.75" customHeight="1">
      <c r="A362" s="83" t="s">
        <v>1470</v>
      </c>
      <c r="B362" s="84"/>
      <c r="C362" s="192" t="s">
        <v>1474</v>
      </c>
      <c r="D362" s="98" t="s">
        <v>1475</v>
      </c>
      <c r="E362" s="190" t="s">
        <v>1476</v>
      </c>
      <c r="F362" s="193">
        <v>4700.0</v>
      </c>
      <c r="G362" s="151">
        <v>45855.0</v>
      </c>
      <c r="H362" s="36">
        <f t="shared" si="7"/>
        <v>7050</v>
      </c>
      <c r="I362" s="37">
        <f t="shared" si="8"/>
        <v>6110</v>
      </c>
      <c r="J362" s="38">
        <f t="shared" si="9"/>
        <v>6110</v>
      </c>
      <c r="K362" s="39">
        <f t="shared" si="10"/>
        <v>5640</v>
      </c>
      <c r="L362" s="38">
        <f t="shared" si="11"/>
        <v>5405</v>
      </c>
      <c r="M362" s="39">
        <f t="shared" si="12"/>
        <v>5170</v>
      </c>
      <c r="N362" s="40"/>
      <c r="O362" s="78"/>
      <c r="P362" s="76"/>
      <c r="Q362" s="76"/>
      <c r="R362" s="76"/>
      <c r="S362" s="76"/>
      <c r="T362" s="76"/>
      <c r="U362" s="76"/>
      <c r="V362" s="76"/>
      <c r="W362" s="76"/>
      <c r="X362" s="76"/>
      <c r="Y362" s="76"/>
      <c r="Z362" s="76"/>
    </row>
    <row r="363" ht="81.75" customHeight="1">
      <c r="A363" s="83" t="s">
        <v>1470</v>
      </c>
      <c r="B363" s="84"/>
      <c r="C363" s="192" t="s">
        <v>1477</v>
      </c>
      <c r="D363" s="98" t="s">
        <v>1475</v>
      </c>
      <c r="E363" s="190" t="s">
        <v>1478</v>
      </c>
      <c r="F363" s="193">
        <v>5904.0</v>
      </c>
      <c r="G363" s="151">
        <v>45855.0</v>
      </c>
      <c r="H363" s="36">
        <f t="shared" si="7"/>
        <v>8856</v>
      </c>
      <c r="I363" s="37">
        <f t="shared" si="8"/>
        <v>7675.2</v>
      </c>
      <c r="J363" s="38">
        <f t="shared" si="9"/>
        <v>7675.2</v>
      </c>
      <c r="K363" s="39">
        <f t="shared" si="10"/>
        <v>7084.8</v>
      </c>
      <c r="L363" s="38">
        <f t="shared" si="11"/>
        <v>6789.6</v>
      </c>
      <c r="M363" s="39">
        <f t="shared" si="12"/>
        <v>6494.4</v>
      </c>
      <c r="N363" s="40"/>
      <c r="O363" s="78"/>
      <c r="P363" s="76"/>
      <c r="Q363" s="76"/>
      <c r="R363" s="76"/>
      <c r="S363" s="76"/>
      <c r="T363" s="76"/>
      <c r="U363" s="76"/>
      <c r="V363" s="76"/>
      <c r="W363" s="76"/>
      <c r="X363" s="76"/>
      <c r="Y363" s="76"/>
      <c r="Z363" s="76"/>
    </row>
    <row r="364" ht="81.75" customHeight="1">
      <c r="A364" s="83" t="s">
        <v>1470</v>
      </c>
      <c r="B364" s="84"/>
      <c r="C364" s="192" t="s">
        <v>1479</v>
      </c>
      <c r="D364" s="98" t="s">
        <v>1480</v>
      </c>
      <c r="E364" s="190" t="s">
        <v>1481</v>
      </c>
      <c r="F364" s="193">
        <v>7820.0</v>
      </c>
      <c r="G364" s="151">
        <v>45855.0</v>
      </c>
      <c r="H364" s="36">
        <f t="shared" si="7"/>
        <v>11730</v>
      </c>
      <c r="I364" s="37">
        <f t="shared" si="8"/>
        <v>10166</v>
      </c>
      <c r="J364" s="38">
        <f t="shared" si="9"/>
        <v>10166</v>
      </c>
      <c r="K364" s="39">
        <f t="shared" si="10"/>
        <v>9384</v>
      </c>
      <c r="L364" s="38">
        <f t="shared" si="11"/>
        <v>8993</v>
      </c>
      <c r="M364" s="39">
        <f t="shared" si="12"/>
        <v>8602</v>
      </c>
      <c r="N364" s="40"/>
      <c r="O364" s="78"/>
      <c r="P364" s="76"/>
      <c r="Q364" s="76"/>
      <c r="R364" s="76"/>
      <c r="S364" s="76"/>
      <c r="T364" s="76"/>
      <c r="U364" s="76"/>
      <c r="V364" s="76"/>
      <c r="W364" s="76"/>
      <c r="X364" s="76"/>
      <c r="Y364" s="76"/>
      <c r="Z364" s="76"/>
    </row>
    <row r="365" ht="81.75" customHeight="1">
      <c r="A365" s="83" t="s">
        <v>1470</v>
      </c>
      <c r="B365" s="84"/>
      <c r="C365" s="192" t="s">
        <v>1482</v>
      </c>
      <c r="D365" s="98" t="s">
        <v>1472</v>
      </c>
      <c r="E365" s="190" t="s">
        <v>1483</v>
      </c>
      <c r="F365" s="193">
        <v>7104.0</v>
      </c>
      <c r="G365" s="151">
        <v>45855.0</v>
      </c>
      <c r="H365" s="36">
        <f t="shared" si="7"/>
        <v>10656</v>
      </c>
      <c r="I365" s="37">
        <f t="shared" si="8"/>
        <v>9235.2</v>
      </c>
      <c r="J365" s="38">
        <f t="shared" si="9"/>
        <v>9235.2</v>
      </c>
      <c r="K365" s="39">
        <f t="shared" si="10"/>
        <v>8524.8</v>
      </c>
      <c r="L365" s="38">
        <f t="shared" si="11"/>
        <v>8169.6</v>
      </c>
      <c r="M365" s="39">
        <f t="shared" si="12"/>
        <v>7814.4</v>
      </c>
      <c r="N365" s="40"/>
      <c r="O365" s="78"/>
      <c r="P365" s="76"/>
      <c r="Q365" s="76"/>
      <c r="R365" s="76"/>
      <c r="S365" s="76"/>
      <c r="T365" s="76"/>
      <c r="U365" s="76"/>
      <c r="V365" s="76"/>
      <c r="W365" s="76"/>
      <c r="X365" s="76"/>
      <c r="Y365" s="76"/>
      <c r="Z365" s="76"/>
    </row>
    <row r="366" ht="81.75" customHeight="1">
      <c r="A366" s="83" t="s">
        <v>1470</v>
      </c>
      <c r="B366" s="84"/>
      <c r="C366" s="192" t="s">
        <v>1484</v>
      </c>
      <c r="D366" s="98" t="s">
        <v>1485</v>
      </c>
      <c r="E366" s="190"/>
      <c r="F366" s="193">
        <v>7900.0</v>
      </c>
      <c r="G366" s="151">
        <v>45855.0</v>
      </c>
      <c r="H366" s="36">
        <f t="shared" si="7"/>
        <v>11850</v>
      </c>
      <c r="I366" s="37">
        <f t="shared" si="8"/>
        <v>10270</v>
      </c>
      <c r="J366" s="38">
        <f t="shared" si="9"/>
        <v>10270</v>
      </c>
      <c r="K366" s="39">
        <f t="shared" si="10"/>
        <v>9480</v>
      </c>
      <c r="L366" s="38">
        <f t="shared" si="11"/>
        <v>9085</v>
      </c>
      <c r="M366" s="39">
        <f t="shared" si="12"/>
        <v>8690</v>
      </c>
      <c r="N366" s="40"/>
      <c r="O366" s="78"/>
      <c r="P366" s="76"/>
      <c r="Q366" s="76"/>
      <c r="R366" s="76"/>
      <c r="S366" s="76"/>
      <c r="T366" s="76"/>
      <c r="U366" s="76"/>
      <c r="V366" s="76"/>
      <c r="W366" s="76"/>
      <c r="X366" s="76"/>
      <c r="Y366" s="76"/>
      <c r="Z366" s="76"/>
    </row>
    <row r="367" ht="81.75" customHeight="1">
      <c r="A367" s="83" t="s">
        <v>1470</v>
      </c>
      <c r="B367" s="84"/>
      <c r="C367" s="192" t="s">
        <v>1486</v>
      </c>
      <c r="D367" s="98" t="s">
        <v>1487</v>
      </c>
      <c r="E367" s="190"/>
      <c r="F367" s="193">
        <v>10263.0</v>
      </c>
      <c r="G367" s="151">
        <v>45855.0</v>
      </c>
      <c r="H367" s="36">
        <f t="shared" si="7"/>
        <v>15394.5</v>
      </c>
      <c r="I367" s="37">
        <f t="shared" si="8"/>
        <v>13341.9</v>
      </c>
      <c r="J367" s="38">
        <f t="shared" si="9"/>
        <v>13341.9</v>
      </c>
      <c r="K367" s="39">
        <f t="shared" si="10"/>
        <v>12315.6</v>
      </c>
      <c r="L367" s="38">
        <f t="shared" si="11"/>
        <v>11802.45</v>
      </c>
      <c r="M367" s="39">
        <f t="shared" si="12"/>
        <v>11289.3</v>
      </c>
      <c r="N367" s="40"/>
      <c r="O367" s="78"/>
      <c r="P367" s="76"/>
      <c r="Q367" s="76"/>
      <c r="R367" s="76"/>
      <c r="S367" s="76"/>
      <c r="T367" s="76"/>
      <c r="U367" s="76"/>
      <c r="V367" s="76"/>
      <c r="W367" s="76"/>
      <c r="X367" s="76"/>
      <c r="Y367" s="76"/>
      <c r="Z367" s="76"/>
    </row>
    <row r="368" ht="81.75" customHeight="1">
      <c r="A368" s="83" t="s">
        <v>1470</v>
      </c>
      <c r="B368" s="84"/>
      <c r="C368" s="192" t="s">
        <v>1488</v>
      </c>
      <c r="D368" s="98" t="s">
        <v>1489</v>
      </c>
      <c r="E368" s="190"/>
      <c r="F368" s="193">
        <v>14500.0</v>
      </c>
      <c r="G368" s="151">
        <v>45855.0</v>
      </c>
      <c r="H368" s="36">
        <f t="shared" si="7"/>
        <v>21750</v>
      </c>
      <c r="I368" s="37">
        <f t="shared" si="8"/>
        <v>18850</v>
      </c>
      <c r="J368" s="38">
        <f t="shared" si="9"/>
        <v>18850</v>
      </c>
      <c r="K368" s="39">
        <f t="shared" si="10"/>
        <v>17400</v>
      </c>
      <c r="L368" s="38">
        <f t="shared" si="11"/>
        <v>16675</v>
      </c>
      <c r="M368" s="39">
        <f t="shared" si="12"/>
        <v>15950</v>
      </c>
      <c r="N368" s="40"/>
      <c r="O368" s="78"/>
      <c r="P368" s="76"/>
      <c r="Q368" s="76"/>
      <c r="R368" s="76"/>
      <c r="S368" s="76"/>
      <c r="T368" s="76"/>
      <c r="U368" s="76"/>
      <c r="V368" s="76"/>
      <c r="W368" s="76"/>
      <c r="X368" s="76"/>
      <c r="Y368" s="76"/>
      <c r="Z368" s="76"/>
    </row>
    <row r="369" ht="81.75" customHeight="1">
      <c r="A369" s="83" t="s">
        <v>1470</v>
      </c>
      <c r="B369" s="84"/>
      <c r="C369" s="120" t="s">
        <v>1490</v>
      </c>
      <c r="D369" s="98" t="s">
        <v>1472</v>
      </c>
      <c r="E369" s="190" t="s">
        <v>1491</v>
      </c>
      <c r="F369" s="183">
        <v>7248.0</v>
      </c>
      <c r="G369" s="151">
        <v>45855.0</v>
      </c>
      <c r="H369" s="36">
        <f t="shared" si="7"/>
        <v>10872</v>
      </c>
      <c r="I369" s="37">
        <f t="shared" si="8"/>
        <v>9422.4</v>
      </c>
      <c r="J369" s="38">
        <f t="shared" si="9"/>
        <v>9422.4</v>
      </c>
      <c r="K369" s="39">
        <f t="shared" si="10"/>
        <v>8697.6</v>
      </c>
      <c r="L369" s="38">
        <f t="shared" si="11"/>
        <v>8335.2</v>
      </c>
      <c r="M369" s="39">
        <f t="shared" si="12"/>
        <v>7972.8</v>
      </c>
      <c r="N369" s="40"/>
      <c r="O369" s="78"/>
      <c r="P369" s="76"/>
      <c r="Q369" s="76"/>
      <c r="R369" s="76"/>
      <c r="S369" s="76"/>
      <c r="T369" s="76"/>
      <c r="U369" s="76"/>
      <c r="V369" s="76"/>
      <c r="W369" s="76"/>
      <c r="X369" s="76"/>
      <c r="Y369" s="76"/>
      <c r="Z369" s="76"/>
    </row>
    <row r="370" ht="81.75" customHeight="1">
      <c r="A370" s="83" t="s">
        <v>1470</v>
      </c>
      <c r="B370" s="84"/>
      <c r="C370" s="117" t="s">
        <v>1492</v>
      </c>
      <c r="D370" s="98" t="s">
        <v>1472</v>
      </c>
      <c r="E370" s="190" t="s">
        <v>1493</v>
      </c>
      <c r="F370" s="183">
        <v>13051.0</v>
      </c>
      <c r="G370" s="151">
        <v>45855.0</v>
      </c>
      <c r="H370" s="36">
        <f t="shared" si="7"/>
        <v>19576.5</v>
      </c>
      <c r="I370" s="37">
        <f t="shared" si="8"/>
        <v>16966.3</v>
      </c>
      <c r="J370" s="38">
        <f t="shared" si="9"/>
        <v>16966.3</v>
      </c>
      <c r="K370" s="39">
        <f t="shared" si="10"/>
        <v>15661.2</v>
      </c>
      <c r="L370" s="38">
        <f t="shared" si="11"/>
        <v>15008.65</v>
      </c>
      <c r="M370" s="39">
        <f t="shared" si="12"/>
        <v>14356.1</v>
      </c>
      <c r="N370" s="40"/>
      <c r="O370" s="78"/>
      <c r="P370" s="76"/>
      <c r="Q370" s="76"/>
      <c r="R370" s="76"/>
      <c r="S370" s="76"/>
      <c r="T370" s="76"/>
      <c r="U370" s="76"/>
      <c r="V370" s="76"/>
      <c r="W370" s="76"/>
      <c r="X370" s="76"/>
      <c r="Y370" s="76"/>
      <c r="Z370" s="76"/>
    </row>
    <row r="371" ht="14.25" customHeight="1">
      <c r="A371" s="83"/>
      <c r="B371" s="84"/>
      <c r="C371" s="120"/>
      <c r="D371" s="98"/>
      <c r="E371" s="98"/>
      <c r="F371" s="194"/>
      <c r="G371" s="151">
        <v>45855.0</v>
      </c>
      <c r="H371" s="36">
        <f t="shared" si="7"/>
        <v>0</v>
      </c>
      <c r="I371" s="37">
        <f t="shared" si="8"/>
        <v>0</v>
      </c>
      <c r="J371" s="38">
        <f t="shared" si="9"/>
        <v>0</v>
      </c>
      <c r="K371" s="39">
        <f t="shared" si="10"/>
        <v>0</v>
      </c>
      <c r="L371" s="38">
        <f t="shared" si="11"/>
        <v>0</v>
      </c>
      <c r="M371" s="39">
        <f t="shared" si="12"/>
        <v>0</v>
      </c>
      <c r="N371" s="40"/>
      <c r="O371" s="78"/>
      <c r="P371" s="76"/>
      <c r="Q371" s="76"/>
      <c r="R371" s="76"/>
      <c r="S371" s="76"/>
      <c r="T371" s="76"/>
      <c r="U371" s="76"/>
      <c r="V371" s="76"/>
      <c r="W371" s="76"/>
      <c r="X371" s="76"/>
      <c r="Y371" s="76"/>
      <c r="Z371" s="76"/>
    </row>
    <row r="372" ht="14.25" customHeight="1">
      <c r="A372" s="83" t="s">
        <v>563</v>
      </c>
      <c r="B372" s="164" t="s">
        <v>1494</v>
      </c>
      <c r="C372" s="120" t="s">
        <v>1495</v>
      </c>
      <c r="D372" s="98" t="s">
        <v>1496</v>
      </c>
      <c r="E372" s="98"/>
      <c r="F372" s="150">
        <v>173.0</v>
      </c>
      <c r="G372" s="151">
        <v>45855.0</v>
      </c>
      <c r="H372" s="36">
        <f t="shared" si="7"/>
        <v>259.5</v>
      </c>
      <c r="I372" s="37">
        <f t="shared" si="8"/>
        <v>224.9</v>
      </c>
      <c r="J372" s="38">
        <f t="shared" si="9"/>
        <v>224.9</v>
      </c>
      <c r="K372" s="39">
        <f t="shared" si="10"/>
        <v>207.6</v>
      </c>
      <c r="L372" s="38">
        <f t="shared" si="11"/>
        <v>198.95</v>
      </c>
      <c r="M372" s="39">
        <f t="shared" si="12"/>
        <v>190.3</v>
      </c>
      <c r="N372" s="40"/>
      <c r="O372" s="78"/>
      <c r="P372" s="76"/>
      <c r="Q372" s="76"/>
      <c r="R372" s="76"/>
      <c r="S372" s="76"/>
      <c r="T372" s="76"/>
      <c r="U372" s="76"/>
      <c r="V372" s="76"/>
      <c r="W372" s="76"/>
      <c r="X372" s="76"/>
      <c r="Y372" s="76"/>
      <c r="Z372" s="76"/>
    </row>
    <row r="373" ht="14.25" customHeight="1">
      <c r="A373" s="83" t="s">
        <v>563</v>
      </c>
      <c r="B373" s="164" t="s">
        <v>1497</v>
      </c>
      <c r="C373" s="164" t="s">
        <v>1498</v>
      </c>
      <c r="D373" s="98" t="s">
        <v>1499</v>
      </c>
      <c r="E373" s="98"/>
      <c r="F373" s="150">
        <v>230.0</v>
      </c>
      <c r="G373" s="151">
        <v>45855.0</v>
      </c>
      <c r="H373" s="36">
        <f t="shared" si="7"/>
        <v>345</v>
      </c>
      <c r="I373" s="37">
        <f t="shared" si="8"/>
        <v>299</v>
      </c>
      <c r="J373" s="38">
        <f t="shared" si="9"/>
        <v>299</v>
      </c>
      <c r="K373" s="39">
        <f t="shared" si="10"/>
        <v>276</v>
      </c>
      <c r="L373" s="38">
        <f t="shared" si="11"/>
        <v>264.5</v>
      </c>
      <c r="M373" s="39">
        <f t="shared" si="12"/>
        <v>253</v>
      </c>
      <c r="N373" s="40"/>
      <c r="O373" s="78"/>
      <c r="P373" s="76"/>
      <c r="Q373" s="76"/>
      <c r="R373" s="76"/>
      <c r="S373" s="76"/>
      <c r="T373" s="76"/>
      <c r="U373" s="76"/>
      <c r="V373" s="76"/>
      <c r="W373" s="76"/>
      <c r="X373" s="76"/>
      <c r="Y373" s="76"/>
      <c r="Z373" s="76"/>
    </row>
    <row r="374" ht="14.25" customHeight="1">
      <c r="A374" s="83" t="s">
        <v>563</v>
      </c>
      <c r="B374" s="164" t="s">
        <v>1500</v>
      </c>
      <c r="C374" s="164" t="s">
        <v>1501</v>
      </c>
      <c r="D374" s="165" t="s">
        <v>1502</v>
      </c>
      <c r="E374" s="98"/>
      <c r="F374" s="150">
        <v>742.0</v>
      </c>
      <c r="G374" s="151">
        <v>45855.0</v>
      </c>
      <c r="H374" s="36">
        <f t="shared" si="7"/>
        <v>1113</v>
      </c>
      <c r="I374" s="37">
        <f t="shared" si="8"/>
        <v>964.6</v>
      </c>
      <c r="J374" s="38">
        <f t="shared" si="9"/>
        <v>964.6</v>
      </c>
      <c r="K374" s="39">
        <f t="shared" si="10"/>
        <v>890.4</v>
      </c>
      <c r="L374" s="38">
        <f t="shared" si="11"/>
        <v>853.3</v>
      </c>
      <c r="M374" s="39">
        <f t="shared" si="12"/>
        <v>816.2</v>
      </c>
      <c r="N374" s="40"/>
      <c r="O374" s="78"/>
      <c r="P374" s="76"/>
      <c r="Q374" s="76"/>
      <c r="R374" s="76"/>
      <c r="S374" s="76"/>
      <c r="T374" s="76"/>
      <c r="U374" s="76"/>
      <c r="V374" s="76"/>
      <c r="W374" s="76"/>
      <c r="X374" s="76"/>
      <c r="Y374" s="76"/>
      <c r="Z374" s="76"/>
    </row>
    <row r="375" ht="14.25" customHeight="1">
      <c r="A375" s="195"/>
      <c r="B375" s="196"/>
      <c r="C375" s="197"/>
      <c r="D375" s="149"/>
      <c r="E375" s="149"/>
      <c r="F375" s="150"/>
      <c r="G375" s="151">
        <v>45855.0</v>
      </c>
      <c r="H375" s="36">
        <f t="shared" si="7"/>
        <v>0</v>
      </c>
      <c r="I375" s="37">
        <f t="shared" si="8"/>
        <v>0</v>
      </c>
      <c r="J375" s="38">
        <f t="shared" si="9"/>
        <v>0</v>
      </c>
      <c r="K375" s="39">
        <f t="shared" si="10"/>
        <v>0</v>
      </c>
      <c r="L375" s="38">
        <f t="shared" si="11"/>
        <v>0</v>
      </c>
      <c r="M375" s="39">
        <f t="shared" si="12"/>
        <v>0</v>
      </c>
      <c r="N375" s="40"/>
      <c r="O375" s="78"/>
      <c r="P375" s="76"/>
      <c r="Q375" s="76"/>
      <c r="R375" s="76"/>
      <c r="S375" s="76"/>
      <c r="T375" s="76"/>
      <c r="U375" s="76"/>
      <c r="V375" s="76"/>
      <c r="W375" s="76"/>
      <c r="X375" s="76"/>
      <c r="Y375" s="76"/>
      <c r="Z375" s="76"/>
    </row>
    <row r="376" ht="14.25" customHeight="1">
      <c r="A376" s="195"/>
      <c r="B376" s="196"/>
      <c r="C376" s="197"/>
      <c r="D376" s="149"/>
      <c r="E376" s="149"/>
      <c r="F376" s="150"/>
      <c r="G376" s="151">
        <v>45855.0</v>
      </c>
      <c r="H376" s="36">
        <f t="shared" si="7"/>
        <v>0</v>
      </c>
      <c r="I376" s="37">
        <f t="shared" si="8"/>
        <v>0</v>
      </c>
      <c r="J376" s="38">
        <f t="shared" si="9"/>
        <v>0</v>
      </c>
      <c r="K376" s="39">
        <f t="shared" si="10"/>
        <v>0</v>
      </c>
      <c r="L376" s="38">
        <f t="shared" si="11"/>
        <v>0</v>
      </c>
      <c r="M376" s="39">
        <f t="shared" si="12"/>
        <v>0</v>
      </c>
      <c r="N376" s="40"/>
      <c r="O376" s="78"/>
      <c r="P376" s="76"/>
      <c r="Q376" s="76"/>
      <c r="R376" s="76"/>
      <c r="S376" s="76"/>
      <c r="T376" s="76"/>
      <c r="U376" s="76"/>
      <c r="V376" s="76"/>
      <c r="W376" s="76"/>
      <c r="X376" s="76"/>
      <c r="Y376" s="76"/>
      <c r="Z376" s="76"/>
    </row>
    <row r="377" ht="14.25" customHeight="1">
      <c r="A377" s="195" t="s">
        <v>563</v>
      </c>
      <c r="B377" s="196" t="s">
        <v>1503</v>
      </c>
      <c r="C377" s="196" t="s">
        <v>1504</v>
      </c>
      <c r="D377" s="149" t="s">
        <v>1505</v>
      </c>
      <c r="E377" s="149" t="s">
        <v>1506</v>
      </c>
      <c r="F377" s="150">
        <v>70320.0</v>
      </c>
      <c r="G377" s="151">
        <v>45855.0</v>
      </c>
      <c r="H377" s="36">
        <f t="shared" si="7"/>
        <v>105480</v>
      </c>
      <c r="I377" s="37">
        <f t="shared" si="8"/>
        <v>91416</v>
      </c>
      <c r="J377" s="38">
        <f t="shared" si="9"/>
        <v>91416</v>
      </c>
      <c r="K377" s="39">
        <f t="shared" si="10"/>
        <v>84384</v>
      </c>
      <c r="L377" s="38">
        <f t="shared" si="11"/>
        <v>80868</v>
      </c>
      <c r="M377" s="39">
        <f t="shared" si="12"/>
        <v>77352</v>
      </c>
      <c r="N377" s="40"/>
      <c r="O377" s="78"/>
      <c r="P377" s="76"/>
      <c r="Q377" s="76"/>
      <c r="R377" s="76"/>
      <c r="S377" s="76"/>
      <c r="T377" s="76"/>
      <c r="U377" s="76"/>
      <c r="V377" s="76"/>
      <c r="W377" s="76"/>
      <c r="X377" s="76"/>
      <c r="Y377" s="76"/>
      <c r="Z377" s="76"/>
    </row>
    <row r="378" ht="14.25" customHeight="1">
      <c r="A378" s="195" t="s">
        <v>563</v>
      </c>
      <c r="B378" s="196" t="s">
        <v>1503</v>
      </c>
      <c r="C378" s="66" t="s">
        <v>1507</v>
      </c>
      <c r="D378" s="149" t="s">
        <v>1505</v>
      </c>
      <c r="E378" s="149" t="s">
        <v>1508</v>
      </c>
      <c r="F378" s="150">
        <v>1860.0</v>
      </c>
      <c r="G378" s="151">
        <v>45855.0</v>
      </c>
      <c r="H378" s="36">
        <f t="shared" si="7"/>
        <v>2790</v>
      </c>
      <c r="I378" s="37">
        <f t="shared" si="8"/>
        <v>2418</v>
      </c>
      <c r="J378" s="38">
        <f t="shared" si="9"/>
        <v>2418</v>
      </c>
      <c r="K378" s="39">
        <f t="shared" si="10"/>
        <v>2232</v>
      </c>
      <c r="L378" s="38">
        <f t="shared" si="11"/>
        <v>2139</v>
      </c>
      <c r="M378" s="39">
        <f t="shared" si="12"/>
        <v>2046</v>
      </c>
      <c r="N378" s="40"/>
      <c r="O378" s="78"/>
      <c r="P378" s="76"/>
      <c r="Q378" s="76"/>
      <c r="R378" s="76"/>
      <c r="S378" s="76"/>
      <c r="T378" s="76"/>
      <c r="U378" s="76"/>
      <c r="V378" s="76"/>
      <c r="W378" s="76"/>
      <c r="X378" s="76"/>
      <c r="Y378" s="76"/>
      <c r="Z378" s="76"/>
    </row>
    <row r="379" ht="14.25" customHeight="1">
      <c r="A379" s="195" t="s">
        <v>563</v>
      </c>
      <c r="B379" s="196" t="s">
        <v>1503</v>
      </c>
      <c r="C379" s="66" t="s">
        <v>1509</v>
      </c>
      <c r="D379" s="149" t="s">
        <v>1505</v>
      </c>
      <c r="E379" s="149" t="s">
        <v>1510</v>
      </c>
      <c r="F379" s="150">
        <v>1993.0</v>
      </c>
      <c r="G379" s="151">
        <v>45855.0</v>
      </c>
      <c r="H379" s="36">
        <f t="shared" si="7"/>
        <v>2989.5</v>
      </c>
      <c r="I379" s="37">
        <f t="shared" si="8"/>
        <v>2590.9</v>
      </c>
      <c r="J379" s="38">
        <f t="shared" si="9"/>
        <v>2590.9</v>
      </c>
      <c r="K379" s="39">
        <f t="shared" si="10"/>
        <v>2391.6</v>
      </c>
      <c r="L379" s="38">
        <f t="shared" si="11"/>
        <v>2291.95</v>
      </c>
      <c r="M379" s="39">
        <f t="shared" si="12"/>
        <v>2192.3</v>
      </c>
      <c r="N379" s="40"/>
      <c r="O379" s="78"/>
      <c r="P379" s="76"/>
      <c r="Q379" s="76"/>
      <c r="R379" s="76"/>
      <c r="S379" s="76"/>
      <c r="T379" s="76"/>
      <c r="U379" s="76"/>
      <c r="V379" s="76"/>
      <c r="W379" s="76"/>
      <c r="X379" s="76"/>
      <c r="Y379" s="76"/>
      <c r="Z379" s="76"/>
    </row>
    <row r="380" ht="14.25" customHeight="1">
      <c r="A380" s="195" t="s">
        <v>563</v>
      </c>
      <c r="B380" s="196" t="s">
        <v>1503</v>
      </c>
      <c r="C380" s="66" t="s">
        <v>1511</v>
      </c>
      <c r="D380" s="149" t="s">
        <v>1505</v>
      </c>
      <c r="E380" s="149" t="s">
        <v>1512</v>
      </c>
      <c r="F380" s="150">
        <v>2316.0</v>
      </c>
      <c r="G380" s="151">
        <v>45855.0</v>
      </c>
      <c r="H380" s="36">
        <f t="shared" si="7"/>
        <v>3474</v>
      </c>
      <c r="I380" s="37">
        <f t="shared" si="8"/>
        <v>3010.8</v>
      </c>
      <c r="J380" s="38">
        <f t="shared" si="9"/>
        <v>3010.8</v>
      </c>
      <c r="K380" s="39">
        <f t="shared" si="10"/>
        <v>2779.2</v>
      </c>
      <c r="L380" s="38">
        <f t="shared" si="11"/>
        <v>2663.4</v>
      </c>
      <c r="M380" s="39">
        <f t="shared" si="12"/>
        <v>2547.6</v>
      </c>
      <c r="N380" s="40"/>
      <c r="O380" s="78"/>
      <c r="P380" s="76"/>
      <c r="Q380" s="76"/>
      <c r="R380" s="76"/>
      <c r="S380" s="76"/>
      <c r="T380" s="76"/>
      <c r="U380" s="76"/>
      <c r="V380" s="76"/>
      <c r="W380" s="76"/>
      <c r="X380" s="76"/>
      <c r="Y380" s="76"/>
      <c r="Z380" s="76"/>
    </row>
    <row r="381" ht="14.25" customHeight="1">
      <c r="A381" s="195" t="s">
        <v>563</v>
      </c>
      <c r="B381" s="196" t="s">
        <v>1503</v>
      </c>
      <c r="C381" s="66" t="s">
        <v>1513</v>
      </c>
      <c r="D381" s="149" t="s">
        <v>1505</v>
      </c>
      <c r="E381" s="149" t="s">
        <v>1514</v>
      </c>
      <c r="F381" s="150">
        <v>2316.0</v>
      </c>
      <c r="G381" s="151">
        <v>45855.0</v>
      </c>
      <c r="H381" s="36">
        <f t="shared" si="7"/>
        <v>3474</v>
      </c>
      <c r="I381" s="37">
        <f t="shared" si="8"/>
        <v>3010.8</v>
      </c>
      <c r="J381" s="38">
        <f t="shared" si="9"/>
        <v>3010.8</v>
      </c>
      <c r="K381" s="39">
        <f t="shared" si="10"/>
        <v>2779.2</v>
      </c>
      <c r="L381" s="38">
        <f t="shared" si="11"/>
        <v>2663.4</v>
      </c>
      <c r="M381" s="39">
        <f t="shared" si="12"/>
        <v>2547.6</v>
      </c>
      <c r="N381" s="40"/>
      <c r="O381" s="78"/>
      <c r="P381" s="76"/>
      <c r="Q381" s="76"/>
      <c r="R381" s="76"/>
      <c r="S381" s="76"/>
      <c r="T381" s="76"/>
      <c r="U381" s="76"/>
      <c r="V381" s="76"/>
      <c r="W381" s="76"/>
      <c r="X381" s="76"/>
      <c r="Y381" s="76"/>
      <c r="Z381" s="76"/>
    </row>
    <row r="382" ht="14.25" customHeight="1">
      <c r="A382" s="195" t="s">
        <v>563</v>
      </c>
      <c r="B382" s="196" t="s">
        <v>1503</v>
      </c>
      <c r="C382" s="66" t="s">
        <v>1515</v>
      </c>
      <c r="D382" s="149" t="s">
        <v>1505</v>
      </c>
      <c r="E382" s="149" t="s">
        <v>1516</v>
      </c>
      <c r="F382" s="150">
        <v>2316.0</v>
      </c>
      <c r="G382" s="151">
        <v>45855.0</v>
      </c>
      <c r="H382" s="36">
        <f t="shared" si="7"/>
        <v>3474</v>
      </c>
      <c r="I382" s="37">
        <f t="shared" si="8"/>
        <v>3010.8</v>
      </c>
      <c r="J382" s="38">
        <f t="shared" si="9"/>
        <v>3010.8</v>
      </c>
      <c r="K382" s="39">
        <f t="shared" si="10"/>
        <v>2779.2</v>
      </c>
      <c r="L382" s="38">
        <f t="shared" si="11"/>
        <v>2663.4</v>
      </c>
      <c r="M382" s="39">
        <f t="shared" si="12"/>
        <v>2547.6</v>
      </c>
      <c r="N382" s="40"/>
      <c r="O382" s="78"/>
      <c r="P382" s="76"/>
      <c r="Q382" s="76"/>
      <c r="R382" s="76"/>
      <c r="S382" s="76"/>
      <c r="T382" s="76"/>
      <c r="U382" s="76"/>
      <c r="V382" s="76"/>
      <c r="W382" s="76"/>
      <c r="X382" s="76"/>
      <c r="Y382" s="76"/>
      <c r="Z382" s="76"/>
    </row>
    <row r="383" ht="14.25" customHeight="1">
      <c r="A383" s="195" t="s">
        <v>563</v>
      </c>
      <c r="B383" s="196" t="s">
        <v>1503</v>
      </c>
      <c r="C383" s="66" t="s">
        <v>1517</v>
      </c>
      <c r="D383" s="149" t="s">
        <v>1518</v>
      </c>
      <c r="E383" s="149" t="s">
        <v>1519</v>
      </c>
      <c r="F383" s="150">
        <v>6230.0</v>
      </c>
      <c r="G383" s="151">
        <v>45855.0</v>
      </c>
      <c r="H383" s="36">
        <f t="shared" si="7"/>
        <v>9345</v>
      </c>
      <c r="I383" s="37">
        <f t="shared" si="8"/>
        <v>8099</v>
      </c>
      <c r="J383" s="38">
        <f t="shared" si="9"/>
        <v>8099</v>
      </c>
      <c r="K383" s="39">
        <f t="shared" si="10"/>
        <v>7476</v>
      </c>
      <c r="L383" s="38">
        <f t="shared" si="11"/>
        <v>7164.5</v>
      </c>
      <c r="M383" s="39">
        <f t="shared" si="12"/>
        <v>6853</v>
      </c>
      <c r="N383" s="40"/>
      <c r="O383" s="78"/>
      <c r="P383" s="76"/>
      <c r="Q383" s="76"/>
      <c r="R383" s="76"/>
      <c r="S383" s="76"/>
      <c r="T383" s="76"/>
      <c r="U383" s="76"/>
      <c r="V383" s="76"/>
      <c r="W383" s="76"/>
      <c r="X383" s="76"/>
      <c r="Y383" s="76"/>
      <c r="Z383" s="76"/>
    </row>
    <row r="384" ht="14.25" customHeight="1">
      <c r="A384" s="195" t="s">
        <v>563</v>
      </c>
      <c r="B384" s="196" t="s">
        <v>1503</v>
      </c>
      <c r="C384" s="66" t="s">
        <v>1520</v>
      </c>
      <c r="D384" s="149" t="s">
        <v>1521</v>
      </c>
      <c r="E384" s="149" t="s">
        <v>1522</v>
      </c>
      <c r="F384" s="150">
        <v>40.0</v>
      </c>
      <c r="G384" s="151">
        <v>45855.0</v>
      </c>
      <c r="H384" s="36">
        <f t="shared" si="7"/>
        <v>60</v>
      </c>
      <c r="I384" s="37">
        <f t="shared" si="8"/>
        <v>52</v>
      </c>
      <c r="J384" s="38">
        <f t="shared" si="9"/>
        <v>52</v>
      </c>
      <c r="K384" s="39">
        <f t="shared" si="10"/>
        <v>48</v>
      </c>
      <c r="L384" s="38">
        <f t="shared" si="11"/>
        <v>46</v>
      </c>
      <c r="M384" s="39">
        <f t="shared" si="12"/>
        <v>44</v>
      </c>
      <c r="N384" s="40"/>
      <c r="O384" s="78"/>
      <c r="P384" s="76"/>
      <c r="Q384" s="76"/>
      <c r="R384" s="76"/>
      <c r="S384" s="76"/>
      <c r="T384" s="76"/>
      <c r="U384" s="76"/>
      <c r="V384" s="76"/>
      <c r="W384" s="76"/>
      <c r="X384" s="76"/>
      <c r="Y384" s="76"/>
      <c r="Z384" s="76"/>
    </row>
    <row r="385" ht="14.25" customHeight="1">
      <c r="A385" s="195" t="s">
        <v>563</v>
      </c>
      <c r="B385" s="196" t="s">
        <v>1503</v>
      </c>
      <c r="C385" s="66" t="s">
        <v>1523</v>
      </c>
      <c r="D385" s="149" t="s">
        <v>1521</v>
      </c>
      <c r="E385" s="149" t="s">
        <v>1524</v>
      </c>
      <c r="F385" s="150">
        <v>47.0</v>
      </c>
      <c r="G385" s="151">
        <v>45855.0</v>
      </c>
      <c r="H385" s="36">
        <f t="shared" si="7"/>
        <v>70.5</v>
      </c>
      <c r="I385" s="37">
        <f t="shared" si="8"/>
        <v>61.1</v>
      </c>
      <c r="J385" s="38">
        <f t="shared" si="9"/>
        <v>61.1</v>
      </c>
      <c r="K385" s="39">
        <f t="shared" si="10"/>
        <v>56.4</v>
      </c>
      <c r="L385" s="38">
        <f t="shared" si="11"/>
        <v>54.05</v>
      </c>
      <c r="M385" s="39">
        <f t="shared" si="12"/>
        <v>51.7</v>
      </c>
      <c r="N385" s="40"/>
      <c r="O385" s="78"/>
      <c r="P385" s="76"/>
      <c r="Q385" s="76"/>
      <c r="R385" s="76"/>
      <c r="S385" s="76"/>
      <c r="T385" s="76"/>
      <c r="U385" s="76"/>
      <c r="V385" s="76"/>
      <c r="W385" s="76"/>
      <c r="X385" s="76"/>
      <c r="Y385" s="76"/>
      <c r="Z385" s="76"/>
    </row>
    <row r="386" ht="14.25" customHeight="1">
      <c r="A386" s="195" t="s">
        <v>563</v>
      </c>
      <c r="B386" s="196" t="s">
        <v>1503</v>
      </c>
      <c r="C386" s="66" t="s">
        <v>1525</v>
      </c>
      <c r="D386" s="149" t="s">
        <v>1521</v>
      </c>
      <c r="E386" s="149" t="s">
        <v>1526</v>
      </c>
      <c r="F386" s="150">
        <v>958.0</v>
      </c>
      <c r="G386" s="151">
        <v>45855.0</v>
      </c>
      <c r="H386" s="36">
        <f t="shared" si="7"/>
        <v>1437</v>
      </c>
      <c r="I386" s="37">
        <f t="shared" si="8"/>
        <v>1245.4</v>
      </c>
      <c r="J386" s="38">
        <f t="shared" si="9"/>
        <v>1245.4</v>
      </c>
      <c r="K386" s="39">
        <f t="shared" si="10"/>
        <v>1149.6</v>
      </c>
      <c r="L386" s="38">
        <f t="shared" si="11"/>
        <v>1101.7</v>
      </c>
      <c r="M386" s="39">
        <f t="shared" si="12"/>
        <v>1053.8</v>
      </c>
      <c r="N386" s="40"/>
      <c r="O386" s="78"/>
      <c r="P386" s="76"/>
      <c r="Q386" s="76"/>
      <c r="R386" s="76"/>
      <c r="S386" s="76"/>
      <c r="T386" s="76"/>
      <c r="U386" s="76"/>
      <c r="V386" s="76"/>
      <c r="W386" s="76"/>
      <c r="X386" s="76"/>
      <c r="Y386" s="76"/>
      <c r="Z386" s="76"/>
    </row>
    <row r="387" ht="14.25" customHeight="1">
      <c r="A387" s="195" t="s">
        <v>563</v>
      </c>
      <c r="B387" s="196" t="s">
        <v>1503</v>
      </c>
      <c r="C387" s="66" t="s">
        <v>1527</v>
      </c>
      <c r="D387" s="149" t="s">
        <v>1521</v>
      </c>
      <c r="E387" s="149" t="s">
        <v>1528</v>
      </c>
      <c r="F387" s="150">
        <v>228.0</v>
      </c>
      <c r="G387" s="151">
        <v>45855.0</v>
      </c>
      <c r="H387" s="36">
        <f t="shared" si="7"/>
        <v>342</v>
      </c>
      <c r="I387" s="37">
        <f t="shared" si="8"/>
        <v>296.4</v>
      </c>
      <c r="J387" s="38">
        <f t="shared" si="9"/>
        <v>296.4</v>
      </c>
      <c r="K387" s="39">
        <f t="shared" si="10"/>
        <v>273.6</v>
      </c>
      <c r="L387" s="38">
        <f t="shared" si="11"/>
        <v>262.2</v>
      </c>
      <c r="M387" s="39">
        <f t="shared" si="12"/>
        <v>250.8</v>
      </c>
      <c r="N387" s="40"/>
      <c r="O387" s="78"/>
      <c r="P387" s="76"/>
      <c r="Q387" s="76"/>
      <c r="R387" s="76"/>
      <c r="S387" s="76"/>
      <c r="T387" s="76"/>
      <c r="U387" s="76"/>
      <c r="V387" s="76"/>
      <c r="W387" s="76"/>
      <c r="X387" s="76"/>
      <c r="Y387" s="76"/>
      <c r="Z387" s="76"/>
    </row>
    <row r="388" ht="14.25" customHeight="1">
      <c r="A388" s="195" t="s">
        <v>563</v>
      </c>
      <c r="B388" s="196" t="s">
        <v>1503</v>
      </c>
      <c r="C388" s="66" t="s">
        <v>1529</v>
      </c>
      <c r="D388" s="149" t="s">
        <v>1521</v>
      </c>
      <c r="E388" s="149" t="s">
        <v>1530</v>
      </c>
      <c r="F388" s="150">
        <v>531.0</v>
      </c>
      <c r="G388" s="151">
        <v>45855.0</v>
      </c>
      <c r="H388" s="36">
        <f t="shared" si="7"/>
        <v>796.5</v>
      </c>
      <c r="I388" s="37">
        <f t="shared" si="8"/>
        <v>690.3</v>
      </c>
      <c r="J388" s="38">
        <f t="shared" si="9"/>
        <v>690.3</v>
      </c>
      <c r="K388" s="39">
        <f t="shared" si="10"/>
        <v>637.2</v>
      </c>
      <c r="L388" s="38">
        <f t="shared" si="11"/>
        <v>610.65</v>
      </c>
      <c r="M388" s="39">
        <f t="shared" si="12"/>
        <v>584.1</v>
      </c>
      <c r="N388" s="40"/>
      <c r="O388" s="78"/>
      <c r="P388" s="76"/>
      <c r="Q388" s="76"/>
      <c r="R388" s="76"/>
      <c r="S388" s="76"/>
      <c r="T388" s="76"/>
      <c r="U388" s="76"/>
      <c r="V388" s="76"/>
      <c r="W388" s="76"/>
      <c r="X388" s="76"/>
      <c r="Y388" s="76"/>
      <c r="Z388" s="76"/>
    </row>
    <row r="389" ht="14.25" customHeight="1">
      <c r="A389" s="195" t="s">
        <v>563</v>
      </c>
      <c r="B389" s="196" t="s">
        <v>1503</v>
      </c>
      <c r="C389" s="66" t="s">
        <v>1531</v>
      </c>
      <c r="D389" s="149" t="s">
        <v>1521</v>
      </c>
      <c r="E389" s="149" t="s">
        <v>1532</v>
      </c>
      <c r="F389" s="150">
        <v>1235.0</v>
      </c>
      <c r="G389" s="151">
        <v>45855.0</v>
      </c>
      <c r="H389" s="36">
        <f t="shared" si="7"/>
        <v>1852.5</v>
      </c>
      <c r="I389" s="37">
        <f t="shared" si="8"/>
        <v>1605.5</v>
      </c>
      <c r="J389" s="38">
        <f t="shared" si="9"/>
        <v>1605.5</v>
      </c>
      <c r="K389" s="39">
        <f t="shared" si="10"/>
        <v>1482</v>
      </c>
      <c r="L389" s="38">
        <f t="shared" si="11"/>
        <v>1420.25</v>
      </c>
      <c r="M389" s="39">
        <f t="shared" si="12"/>
        <v>1358.5</v>
      </c>
      <c r="N389" s="40"/>
      <c r="O389" s="78"/>
      <c r="P389" s="76"/>
      <c r="Q389" s="76"/>
      <c r="R389" s="76"/>
      <c r="S389" s="76"/>
      <c r="T389" s="76"/>
      <c r="U389" s="76"/>
      <c r="V389" s="76"/>
      <c r="W389" s="76"/>
      <c r="X389" s="76"/>
      <c r="Y389" s="76"/>
      <c r="Z389" s="76"/>
    </row>
    <row r="390" ht="14.25" customHeight="1">
      <c r="A390" s="195" t="s">
        <v>563</v>
      </c>
      <c r="B390" s="196" t="s">
        <v>1503</v>
      </c>
      <c r="C390" s="66" t="s">
        <v>1533</v>
      </c>
      <c r="D390" s="149" t="s">
        <v>1521</v>
      </c>
      <c r="E390" s="149" t="s">
        <v>1534</v>
      </c>
      <c r="F390" s="150">
        <v>2382.0</v>
      </c>
      <c r="G390" s="151">
        <v>45855.0</v>
      </c>
      <c r="H390" s="36">
        <f t="shared" si="7"/>
        <v>3573</v>
      </c>
      <c r="I390" s="37">
        <f t="shared" si="8"/>
        <v>3096.6</v>
      </c>
      <c r="J390" s="38">
        <f t="shared" si="9"/>
        <v>3096.6</v>
      </c>
      <c r="K390" s="39">
        <f t="shared" si="10"/>
        <v>2858.4</v>
      </c>
      <c r="L390" s="38">
        <f t="shared" si="11"/>
        <v>2739.3</v>
      </c>
      <c r="M390" s="39">
        <f t="shared" si="12"/>
        <v>2620.2</v>
      </c>
      <c r="N390" s="40"/>
      <c r="O390" s="78"/>
      <c r="P390" s="76"/>
      <c r="Q390" s="76"/>
      <c r="R390" s="76"/>
      <c r="S390" s="76"/>
      <c r="T390" s="76"/>
      <c r="U390" s="76"/>
      <c r="V390" s="76"/>
      <c r="W390" s="76"/>
      <c r="X390" s="76"/>
      <c r="Y390" s="76"/>
      <c r="Z390" s="76"/>
    </row>
    <row r="391" ht="14.25" customHeight="1">
      <c r="A391" s="195" t="s">
        <v>563</v>
      </c>
      <c r="B391" s="196" t="s">
        <v>1503</v>
      </c>
      <c r="C391" s="66" t="s">
        <v>1535</v>
      </c>
      <c r="D391" s="149" t="s">
        <v>1521</v>
      </c>
      <c r="E391" s="149" t="s">
        <v>1536</v>
      </c>
      <c r="F391" s="150">
        <v>1262.0</v>
      </c>
      <c r="G391" s="151">
        <v>45855.0</v>
      </c>
      <c r="H391" s="36">
        <f t="shared" si="7"/>
        <v>1893</v>
      </c>
      <c r="I391" s="37">
        <f t="shared" si="8"/>
        <v>1640.6</v>
      </c>
      <c r="J391" s="38">
        <f t="shared" si="9"/>
        <v>1640.6</v>
      </c>
      <c r="K391" s="39">
        <f t="shared" si="10"/>
        <v>1514.4</v>
      </c>
      <c r="L391" s="38">
        <f t="shared" si="11"/>
        <v>1451.3</v>
      </c>
      <c r="M391" s="39">
        <f t="shared" si="12"/>
        <v>1388.2</v>
      </c>
      <c r="N391" s="40"/>
      <c r="O391" s="78"/>
      <c r="P391" s="76"/>
      <c r="Q391" s="76"/>
      <c r="R391" s="76"/>
      <c r="S391" s="76"/>
      <c r="T391" s="76"/>
      <c r="U391" s="76"/>
      <c r="V391" s="76"/>
      <c r="W391" s="76"/>
      <c r="X391" s="76"/>
      <c r="Y391" s="76"/>
      <c r="Z391" s="76"/>
    </row>
    <row r="392" ht="14.25" customHeight="1">
      <c r="A392" s="195" t="s">
        <v>563</v>
      </c>
      <c r="B392" s="196" t="s">
        <v>1503</v>
      </c>
      <c r="C392" s="66" t="s">
        <v>1537</v>
      </c>
      <c r="D392" s="149" t="s">
        <v>1521</v>
      </c>
      <c r="E392" s="149" t="s">
        <v>1538</v>
      </c>
      <c r="F392" s="150">
        <v>2382.0</v>
      </c>
      <c r="G392" s="151">
        <v>45855.0</v>
      </c>
      <c r="H392" s="36">
        <f t="shared" si="7"/>
        <v>3573</v>
      </c>
      <c r="I392" s="37">
        <f t="shared" si="8"/>
        <v>3096.6</v>
      </c>
      <c r="J392" s="38">
        <f t="shared" si="9"/>
        <v>3096.6</v>
      </c>
      <c r="K392" s="39">
        <f t="shared" si="10"/>
        <v>2858.4</v>
      </c>
      <c r="L392" s="38">
        <f t="shared" si="11"/>
        <v>2739.3</v>
      </c>
      <c r="M392" s="39">
        <f t="shared" si="12"/>
        <v>2620.2</v>
      </c>
      <c r="N392" s="40"/>
      <c r="O392" s="78"/>
      <c r="P392" s="76"/>
      <c r="Q392" s="76"/>
      <c r="R392" s="76"/>
      <c r="S392" s="76"/>
      <c r="T392" s="76"/>
      <c r="U392" s="76"/>
      <c r="V392" s="76"/>
      <c r="W392" s="76"/>
      <c r="X392" s="76"/>
      <c r="Y392" s="76"/>
      <c r="Z392" s="76"/>
    </row>
    <row r="393" ht="14.25" customHeight="1">
      <c r="A393" s="195" t="s">
        <v>563</v>
      </c>
      <c r="B393" s="196" t="s">
        <v>1503</v>
      </c>
      <c r="C393" s="66" t="s">
        <v>1539</v>
      </c>
      <c r="D393" s="149" t="s">
        <v>1521</v>
      </c>
      <c r="E393" s="149" t="s">
        <v>1540</v>
      </c>
      <c r="F393" s="150">
        <v>9879.0</v>
      </c>
      <c r="G393" s="151">
        <v>45855.0</v>
      </c>
      <c r="H393" s="36">
        <f t="shared" si="7"/>
        <v>14818.5</v>
      </c>
      <c r="I393" s="37">
        <f t="shared" si="8"/>
        <v>12842.7</v>
      </c>
      <c r="J393" s="38">
        <f t="shared" si="9"/>
        <v>12842.7</v>
      </c>
      <c r="K393" s="39">
        <f t="shared" si="10"/>
        <v>11854.8</v>
      </c>
      <c r="L393" s="38">
        <f t="shared" si="11"/>
        <v>11360.85</v>
      </c>
      <c r="M393" s="39">
        <f t="shared" si="12"/>
        <v>10866.9</v>
      </c>
      <c r="N393" s="40"/>
      <c r="O393" s="78"/>
      <c r="P393" s="76"/>
      <c r="Q393" s="76"/>
      <c r="R393" s="76"/>
      <c r="S393" s="76"/>
      <c r="T393" s="76"/>
      <c r="U393" s="76"/>
      <c r="V393" s="76"/>
      <c r="W393" s="76"/>
      <c r="X393" s="76"/>
      <c r="Y393" s="76"/>
      <c r="Z393" s="76"/>
    </row>
    <row r="394" ht="14.25" customHeight="1">
      <c r="A394" s="195" t="s">
        <v>563</v>
      </c>
      <c r="B394" s="196" t="s">
        <v>1503</v>
      </c>
      <c r="C394" s="66" t="s">
        <v>1541</v>
      </c>
      <c r="D394" s="149" t="s">
        <v>1542</v>
      </c>
      <c r="E394" s="149" t="s">
        <v>1543</v>
      </c>
      <c r="F394" s="150">
        <v>4512.0</v>
      </c>
      <c r="G394" s="151">
        <v>45855.0</v>
      </c>
      <c r="H394" s="36">
        <f t="shared" si="7"/>
        <v>6768</v>
      </c>
      <c r="I394" s="37">
        <f t="shared" si="8"/>
        <v>5865.6</v>
      </c>
      <c r="J394" s="38">
        <f t="shared" si="9"/>
        <v>5865.6</v>
      </c>
      <c r="K394" s="39">
        <f t="shared" si="10"/>
        <v>5414.4</v>
      </c>
      <c r="L394" s="38">
        <f t="shared" si="11"/>
        <v>5188.8</v>
      </c>
      <c r="M394" s="39">
        <f t="shared" si="12"/>
        <v>4963.2</v>
      </c>
      <c r="N394" s="40"/>
      <c r="O394" s="78"/>
      <c r="P394" s="76"/>
      <c r="Q394" s="76"/>
      <c r="R394" s="76"/>
      <c r="S394" s="76"/>
      <c r="T394" s="76"/>
      <c r="U394" s="76"/>
      <c r="V394" s="76"/>
      <c r="W394" s="76"/>
      <c r="X394" s="76"/>
      <c r="Y394" s="76"/>
      <c r="Z394" s="76"/>
    </row>
    <row r="395" ht="14.25" customHeight="1">
      <c r="A395" s="195" t="s">
        <v>563</v>
      </c>
      <c r="B395" s="196" t="s">
        <v>1503</v>
      </c>
      <c r="C395" s="66" t="s">
        <v>1544</v>
      </c>
      <c r="D395" s="149" t="s">
        <v>1545</v>
      </c>
      <c r="E395" s="149" t="s">
        <v>1546</v>
      </c>
      <c r="F395" s="150">
        <v>5664.0</v>
      </c>
      <c r="G395" s="151">
        <v>45855.0</v>
      </c>
      <c r="H395" s="36">
        <f t="shared" si="7"/>
        <v>8496</v>
      </c>
      <c r="I395" s="37">
        <f t="shared" si="8"/>
        <v>7363.2</v>
      </c>
      <c r="J395" s="38">
        <f t="shared" si="9"/>
        <v>7363.2</v>
      </c>
      <c r="K395" s="39">
        <f t="shared" si="10"/>
        <v>6796.8</v>
      </c>
      <c r="L395" s="38">
        <f t="shared" si="11"/>
        <v>6513.6</v>
      </c>
      <c r="M395" s="39">
        <f t="shared" si="12"/>
        <v>6230.4</v>
      </c>
      <c r="N395" s="40"/>
      <c r="O395" s="78"/>
      <c r="P395" s="76"/>
      <c r="Q395" s="76"/>
      <c r="R395" s="76"/>
      <c r="S395" s="76"/>
      <c r="T395" s="76"/>
      <c r="U395" s="76"/>
      <c r="V395" s="76"/>
      <c r="W395" s="76"/>
      <c r="X395" s="76"/>
      <c r="Y395" s="76"/>
      <c r="Z395" s="76"/>
    </row>
    <row r="396" ht="14.25" customHeight="1">
      <c r="A396" s="195" t="s">
        <v>563</v>
      </c>
      <c r="B396" s="196" t="s">
        <v>1503</v>
      </c>
      <c r="C396" s="66" t="s">
        <v>1547</v>
      </c>
      <c r="D396" s="149" t="s">
        <v>1548</v>
      </c>
      <c r="E396" s="149" t="s">
        <v>1549</v>
      </c>
      <c r="F396" s="150">
        <v>2860.0</v>
      </c>
      <c r="G396" s="151">
        <v>45855.0</v>
      </c>
      <c r="H396" s="36">
        <f t="shared" si="7"/>
        <v>4290</v>
      </c>
      <c r="I396" s="37">
        <f t="shared" si="8"/>
        <v>3718</v>
      </c>
      <c r="J396" s="38">
        <f t="shared" si="9"/>
        <v>3718</v>
      </c>
      <c r="K396" s="39">
        <f t="shared" si="10"/>
        <v>3432</v>
      </c>
      <c r="L396" s="38">
        <f t="shared" si="11"/>
        <v>3289</v>
      </c>
      <c r="M396" s="39">
        <f t="shared" si="12"/>
        <v>3146</v>
      </c>
      <c r="N396" s="40"/>
      <c r="O396" s="78"/>
      <c r="P396" s="76"/>
      <c r="Q396" s="76"/>
      <c r="R396" s="76"/>
      <c r="S396" s="76"/>
      <c r="T396" s="76"/>
      <c r="U396" s="76"/>
      <c r="V396" s="76"/>
      <c r="W396" s="76"/>
      <c r="X396" s="76"/>
      <c r="Y396" s="76"/>
      <c r="Z396" s="76"/>
    </row>
    <row r="397" ht="14.25" customHeight="1">
      <c r="A397" s="195" t="s">
        <v>563</v>
      </c>
      <c r="B397" s="196" t="s">
        <v>1503</v>
      </c>
      <c r="C397" s="66" t="s">
        <v>1550</v>
      </c>
      <c r="D397" s="149" t="s">
        <v>1548</v>
      </c>
      <c r="E397" s="149" t="s">
        <v>1551</v>
      </c>
      <c r="F397" s="150">
        <v>2860.0</v>
      </c>
      <c r="G397" s="151">
        <v>45855.0</v>
      </c>
      <c r="H397" s="36">
        <f t="shared" si="7"/>
        <v>4290</v>
      </c>
      <c r="I397" s="37">
        <f t="shared" si="8"/>
        <v>3718</v>
      </c>
      <c r="J397" s="38">
        <f t="shared" si="9"/>
        <v>3718</v>
      </c>
      <c r="K397" s="39">
        <f t="shared" si="10"/>
        <v>3432</v>
      </c>
      <c r="L397" s="38">
        <f t="shared" si="11"/>
        <v>3289</v>
      </c>
      <c r="M397" s="39">
        <f t="shared" si="12"/>
        <v>3146</v>
      </c>
      <c r="N397" s="40"/>
      <c r="O397" s="78"/>
      <c r="P397" s="76"/>
      <c r="Q397" s="76"/>
      <c r="R397" s="76"/>
      <c r="S397" s="76"/>
      <c r="T397" s="76"/>
      <c r="U397" s="76"/>
      <c r="V397" s="76"/>
      <c r="W397" s="76"/>
      <c r="X397" s="76"/>
      <c r="Y397" s="76"/>
      <c r="Z397" s="76"/>
    </row>
    <row r="398" ht="14.25" customHeight="1">
      <c r="A398" s="195" t="s">
        <v>563</v>
      </c>
      <c r="B398" s="196" t="s">
        <v>1503</v>
      </c>
      <c r="C398" s="66" t="s">
        <v>1552</v>
      </c>
      <c r="D398" s="149" t="s">
        <v>1548</v>
      </c>
      <c r="E398" s="149" t="s">
        <v>1553</v>
      </c>
      <c r="F398" s="150">
        <v>3000.0</v>
      </c>
      <c r="G398" s="151">
        <v>45855.0</v>
      </c>
      <c r="H398" s="36">
        <f t="shared" si="7"/>
        <v>4500</v>
      </c>
      <c r="I398" s="37">
        <f t="shared" si="8"/>
        <v>3900</v>
      </c>
      <c r="J398" s="38">
        <f t="shared" si="9"/>
        <v>3900</v>
      </c>
      <c r="K398" s="39">
        <f t="shared" si="10"/>
        <v>3600</v>
      </c>
      <c r="L398" s="38">
        <f t="shared" si="11"/>
        <v>3450</v>
      </c>
      <c r="M398" s="39">
        <f t="shared" si="12"/>
        <v>3300</v>
      </c>
      <c r="N398" s="40"/>
      <c r="O398" s="78"/>
      <c r="P398" s="76"/>
      <c r="Q398" s="76"/>
      <c r="R398" s="76"/>
      <c r="S398" s="76"/>
      <c r="T398" s="76"/>
      <c r="U398" s="76"/>
      <c r="V398" s="76"/>
      <c r="W398" s="76"/>
      <c r="X398" s="76"/>
      <c r="Y398" s="76"/>
      <c r="Z398" s="76"/>
    </row>
    <row r="399" ht="14.25" customHeight="1">
      <c r="A399" s="195" t="s">
        <v>563</v>
      </c>
      <c r="B399" s="196" t="s">
        <v>1503</v>
      </c>
      <c r="C399" s="66" t="s">
        <v>1554</v>
      </c>
      <c r="D399" s="149" t="s">
        <v>1521</v>
      </c>
      <c r="E399" s="149" t="s">
        <v>1555</v>
      </c>
      <c r="F399" s="150">
        <v>4308.0</v>
      </c>
      <c r="G399" s="151">
        <v>45855.0</v>
      </c>
      <c r="H399" s="36">
        <f t="shared" si="7"/>
        <v>6462</v>
      </c>
      <c r="I399" s="37">
        <f t="shared" si="8"/>
        <v>5600.4</v>
      </c>
      <c r="J399" s="38">
        <f t="shared" si="9"/>
        <v>5600.4</v>
      </c>
      <c r="K399" s="39">
        <f t="shared" si="10"/>
        <v>5169.6</v>
      </c>
      <c r="L399" s="38">
        <f t="shared" si="11"/>
        <v>4954.2</v>
      </c>
      <c r="M399" s="39">
        <f t="shared" si="12"/>
        <v>4738.8</v>
      </c>
      <c r="N399" s="40"/>
      <c r="O399" s="78"/>
      <c r="P399" s="76"/>
      <c r="Q399" s="76"/>
      <c r="R399" s="76"/>
      <c r="S399" s="76"/>
      <c r="T399" s="76"/>
      <c r="U399" s="76"/>
      <c r="V399" s="76"/>
      <c r="W399" s="76"/>
      <c r="X399" s="76"/>
      <c r="Y399" s="76"/>
      <c r="Z399" s="76"/>
    </row>
    <row r="400" ht="14.25" customHeight="1">
      <c r="A400" s="195" t="s">
        <v>563</v>
      </c>
      <c r="B400" s="196" t="s">
        <v>1503</v>
      </c>
      <c r="C400" s="66" t="s">
        <v>1556</v>
      </c>
      <c r="D400" s="149" t="s">
        <v>1557</v>
      </c>
      <c r="E400" s="149" t="s">
        <v>1558</v>
      </c>
      <c r="F400" s="150">
        <v>4792.0</v>
      </c>
      <c r="G400" s="151">
        <v>45855.0</v>
      </c>
      <c r="H400" s="36">
        <f t="shared" si="7"/>
        <v>7188</v>
      </c>
      <c r="I400" s="37">
        <f t="shared" si="8"/>
        <v>6229.6</v>
      </c>
      <c r="J400" s="38">
        <f t="shared" si="9"/>
        <v>6229.6</v>
      </c>
      <c r="K400" s="39">
        <f t="shared" si="10"/>
        <v>5750.4</v>
      </c>
      <c r="L400" s="38">
        <f t="shared" si="11"/>
        <v>5510.8</v>
      </c>
      <c r="M400" s="39">
        <f t="shared" si="12"/>
        <v>5271.2</v>
      </c>
      <c r="N400" s="40"/>
      <c r="O400" s="34"/>
      <c r="P400" s="35"/>
      <c r="Q400" s="35"/>
      <c r="R400" s="35"/>
      <c r="S400" s="35"/>
      <c r="T400" s="35"/>
      <c r="U400" s="35"/>
      <c r="V400" s="35"/>
      <c r="W400" s="35"/>
      <c r="X400" s="35"/>
      <c r="Y400" s="35"/>
      <c r="Z400" s="35"/>
    </row>
    <row r="401" ht="14.25" customHeight="1">
      <c r="A401" s="195" t="s">
        <v>563</v>
      </c>
      <c r="B401" s="196" t="s">
        <v>1503</v>
      </c>
      <c r="C401" s="66" t="s">
        <v>1559</v>
      </c>
      <c r="D401" s="149" t="s">
        <v>1560</v>
      </c>
      <c r="E401" s="149" t="s">
        <v>1561</v>
      </c>
      <c r="F401" s="150">
        <v>7241.0</v>
      </c>
      <c r="G401" s="151">
        <v>45855.0</v>
      </c>
      <c r="H401" s="36">
        <f t="shared" si="7"/>
        <v>10861.5</v>
      </c>
      <c r="I401" s="37">
        <f t="shared" si="8"/>
        <v>9413.3</v>
      </c>
      <c r="J401" s="38">
        <f t="shared" si="9"/>
        <v>9413.3</v>
      </c>
      <c r="K401" s="39">
        <f t="shared" si="10"/>
        <v>8689.2</v>
      </c>
      <c r="L401" s="38">
        <f t="shared" si="11"/>
        <v>8327.15</v>
      </c>
      <c r="M401" s="39">
        <f t="shared" si="12"/>
        <v>7965.1</v>
      </c>
      <c r="N401" s="40"/>
      <c r="O401" s="34"/>
      <c r="P401" s="35"/>
      <c r="Q401" s="35"/>
      <c r="R401" s="35"/>
      <c r="S401" s="35"/>
      <c r="T401" s="35"/>
      <c r="U401" s="35"/>
      <c r="V401" s="35"/>
      <c r="W401" s="35"/>
      <c r="X401" s="35"/>
      <c r="Y401" s="35"/>
      <c r="Z401" s="35"/>
    </row>
    <row r="402" ht="14.25" customHeight="1">
      <c r="A402" s="195" t="s">
        <v>563</v>
      </c>
      <c r="B402" s="196" t="s">
        <v>1503</v>
      </c>
      <c r="C402" s="66" t="s">
        <v>1562</v>
      </c>
      <c r="D402" s="149" t="s">
        <v>1563</v>
      </c>
      <c r="E402" s="149" t="s">
        <v>1564</v>
      </c>
      <c r="F402" s="150">
        <v>7300.0</v>
      </c>
      <c r="G402" s="151">
        <v>45855.0</v>
      </c>
      <c r="H402" s="36">
        <f t="shared" si="7"/>
        <v>10950</v>
      </c>
      <c r="I402" s="37">
        <f t="shared" si="8"/>
        <v>9490</v>
      </c>
      <c r="J402" s="38">
        <f t="shared" si="9"/>
        <v>9490</v>
      </c>
      <c r="K402" s="39">
        <f t="shared" si="10"/>
        <v>8760</v>
      </c>
      <c r="L402" s="38">
        <f t="shared" si="11"/>
        <v>8395</v>
      </c>
      <c r="M402" s="39">
        <f t="shared" si="12"/>
        <v>8030</v>
      </c>
      <c r="N402" s="40"/>
      <c r="O402" s="34"/>
      <c r="P402" s="35"/>
      <c r="Q402" s="35"/>
      <c r="R402" s="35"/>
      <c r="S402" s="35"/>
      <c r="T402" s="35"/>
      <c r="U402" s="35"/>
      <c r="V402" s="35"/>
      <c r="W402" s="35"/>
      <c r="X402" s="35"/>
      <c r="Y402" s="35"/>
      <c r="Z402" s="35"/>
    </row>
    <row r="403" ht="14.25" customHeight="1">
      <c r="A403" s="195" t="s">
        <v>563</v>
      </c>
      <c r="B403" s="196" t="s">
        <v>1503</v>
      </c>
      <c r="C403" s="66" t="s">
        <v>1565</v>
      </c>
      <c r="D403" s="149" t="s">
        <v>1566</v>
      </c>
      <c r="E403" s="149" t="s">
        <v>1567</v>
      </c>
      <c r="F403" s="150">
        <v>4603.0</v>
      </c>
      <c r="G403" s="151">
        <v>45855.0</v>
      </c>
      <c r="H403" s="36">
        <f t="shared" si="7"/>
        <v>6904.5</v>
      </c>
      <c r="I403" s="37">
        <f t="shared" si="8"/>
        <v>5983.9</v>
      </c>
      <c r="J403" s="38">
        <f t="shared" si="9"/>
        <v>5983.9</v>
      </c>
      <c r="K403" s="39">
        <f t="shared" si="10"/>
        <v>5523.6</v>
      </c>
      <c r="L403" s="38">
        <f t="shared" si="11"/>
        <v>5293.45</v>
      </c>
      <c r="M403" s="39">
        <f t="shared" si="12"/>
        <v>5063.3</v>
      </c>
      <c r="N403" s="40"/>
      <c r="O403" s="34"/>
      <c r="P403" s="35"/>
      <c r="Q403" s="35"/>
      <c r="R403" s="35"/>
      <c r="S403" s="35"/>
      <c r="T403" s="35"/>
      <c r="U403" s="35"/>
      <c r="V403" s="35"/>
      <c r="W403" s="35"/>
      <c r="X403" s="35"/>
      <c r="Y403" s="35"/>
      <c r="Z403" s="35"/>
    </row>
    <row r="404" ht="14.25" customHeight="1">
      <c r="A404" s="195" t="s">
        <v>563</v>
      </c>
      <c r="B404" s="196" t="s">
        <v>1503</v>
      </c>
      <c r="C404" s="66" t="s">
        <v>1568</v>
      </c>
      <c r="D404" s="149" t="s">
        <v>1566</v>
      </c>
      <c r="E404" s="149" t="s">
        <v>1569</v>
      </c>
      <c r="F404" s="150">
        <v>4916.0</v>
      </c>
      <c r="G404" s="151">
        <v>45855.0</v>
      </c>
      <c r="H404" s="36">
        <f t="shared" si="7"/>
        <v>7374</v>
      </c>
      <c r="I404" s="37">
        <f t="shared" si="8"/>
        <v>6390.8</v>
      </c>
      <c r="J404" s="38">
        <f t="shared" si="9"/>
        <v>6390.8</v>
      </c>
      <c r="K404" s="39">
        <f t="shared" si="10"/>
        <v>5899.2</v>
      </c>
      <c r="L404" s="38">
        <f t="shared" si="11"/>
        <v>5653.4</v>
      </c>
      <c r="M404" s="39">
        <f t="shared" si="12"/>
        <v>5407.6</v>
      </c>
      <c r="N404" s="40"/>
      <c r="O404" s="34"/>
      <c r="P404" s="35"/>
      <c r="Q404" s="35"/>
      <c r="R404" s="35"/>
      <c r="S404" s="35"/>
      <c r="T404" s="35"/>
      <c r="U404" s="35"/>
      <c r="V404" s="35"/>
      <c r="W404" s="35"/>
      <c r="X404" s="35"/>
      <c r="Y404" s="35"/>
      <c r="Z404" s="35"/>
    </row>
    <row r="405" ht="14.25" customHeight="1">
      <c r="A405" s="195" t="s">
        <v>563</v>
      </c>
      <c r="B405" s="196" t="s">
        <v>1503</v>
      </c>
      <c r="C405" s="66" t="s">
        <v>1570</v>
      </c>
      <c r="D405" s="149" t="s">
        <v>1566</v>
      </c>
      <c r="E405" s="149" t="s">
        <v>1571</v>
      </c>
      <c r="F405" s="150">
        <v>4603.0</v>
      </c>
      <c r="G405" s="151">
        <v>45855.0</v>
      </c>
      <c r="H405" s="36">
        <f t="shared" si="7"/>
        <v>6904.5</v>
      </c>
      <c r="I405" s="37">
        <f t="shared" si="8"/>
        <v>5983.9</v>
      </c>
      <c r="J405" s="38">
        <f t="shared" si="9"/>
        <v>5983.9</v>
      </c>
      <c r="K405" s="39">
        <f t="shared" si="10"/>
        <v>5523.6</v>
      </c>
      <c r="L405" s="38">
        <f t="shared" si="11"/>
        <v>5293.45</v>
      </c>
      <c r="M405" s="39">
        <f t="shared" si="12"/>
        <v>5063.3</v>
      </c>
      <c r="N405" s="40"/>
      <c r="O405" s="34"/>
      <c r="P405" s="35"/>
      <c r="Q405" s="35"/>
      <c r="R405" s="35"/>
      <c r="S405" s="35"/>
      <c r="T405" s="35"/>
      <c r="U405" s="35"/>
      <c r="V405" s="35"/>
      <c r="W405" s="35"/>
      <c r="X405" s="35"/>
      <c r="Y405" s="35"/>
      <c r="Z405" s="35"/>
    </row>
    <row r="406" ht="14.25" customHeight="1">
      <c r="A406" s="195" t="s">
        <v>563</v>
      </c>
      <c r="B406" s="196" t="s">
        <v>1503</v>
      </c>
      <c r="C406" s="66" t="s">
        <v>1572</v>
      </c>
      <c r="D406" s="149" t="s">
        <v>1573</v>
      </c>
      <c r="E406" s="149" t="s">
        <v>1574</v>
      </c>
      <c r="F406" s="150">
        <v>4289.0</v>
      </c>
      <c r="G406" s="151">
        <v>45855.0</v>
      </c>
      <c r="H406" s="36">
        <f t="shared" si="7"/>
        <v>6433.5</v>
      </c>
      <c r="I406" s="37">
        <f t="shared" si="8"/>
        <v>5575.7</v>
      </c>
      <c r="J406" s="38">
        <f t="shared" si="9"/>
        <v>5575.7</v>
      </c>
      <c r="K406" s="39">
        <f t="shared" si="10"/>
        <v>5146.8</v>
      </c>
      <c r="L406" s="38">
        <f t="shared" si="11"/>
        <v>4932.35</v>
      </c>
      <c r="M406" s="39">
        <f t="shared" si="12"/>
        <v>4717.9</v>
      </c>
      <c r="N406" s="40"/>
      <c r="O406" s="34"/>
      <c r="P406" s="35"/>
      <c r="Q406" s="35"/>
      <c r="R406" s="35"/>
      <c r="S406" s="35"/>
      <c r="T406" s="35"/>
      <c r="U406" s="35"/>
      <c r="V406" s="35"/>
      <c r="W406" s="35"/>
      <c r="X406" s="35"/>
      <c r="Y406" s="35"/>
      <c r="Z406" s="35"/>
    </row>
    <row r="407" ht="14.25" customHeight="1">
      <c r="A407" s="195" t="s">
        <v>563</v>
      </c>
      <c r="B407" s="196" t="s">
        <v>1503</v>
      </c>
      <c r="C407" s="66" t="s">
        <v>1575</v>
      </c>
      <c r="D407" s="149" t="s">
        <v>1566</v>
      </c>
      <c r="E407" s="149" t="s">
        <v>1576</v>
      </c>
      <c r="F407" s="150">
        <v>4916.0</v>
      </c>
      <c r="G407" s="151">
        <v>45855.0</v>
      </c>
      <c r="H407" s="36">
        <f t="shared" si="7"/>
        <v>7374</v>
      </c>
      <c r="I407" s="37">
        <f t="shared" si="8"/>
        <v>6390.8</v>
      </c>
      <c r="J407" s="38">
        <f t="shared" si="9"/>
        <v>6390.8</v>
      </c>
      <c r="K407" s="39">
        <f t="shared" si="10"/>
        <v>5899.2</v>
      </c>
      <c r="L407" s="38">
        <f t="shared" si="11"/>
        <v>5653.4</v>
      </c>
      <c r="M407" s="39">
        <f t="shared" si="12"/>
        <v>5407.6</v>
      </c>
      <c r="N407" s="40"/>
      <c r="O407" s="34"/>
      <c r="P407" s="35"/>
      <c r="Q407" s="35"/>
      <c r="R407" s="35"/>
      <c r="S407" s="35"/>
      <c r="T407" s="35"/>
      <c r="U407" s="35"/>
      <c r="V407" s="35"/>
      <c r="W407" s="35"/>
      <c r="X407" s="35"/>
      <c r="Y407" s="35"/>
      <c r="Z407" s="35"/>
    </row>
    <row r="408" ht="14.25" customHeight="1">
      <c r="A408" s="195" t="s">
        <v>563</v>
      </c>
      <c r="B408" s="196" t="s">
        <v>1503</v>
      </c>
      <c r="C408" s="66" t="s">
        <v>1577</v>
      </c>
      <c r="D408" s="149" t="s">
        <v>1578</v>
      </c>
      <c r="E408" s="149" t="s">
        <v>1579</v>
      </c>
      <c r="F408" s="150">
        <v>10562.0</v>
      </c>
      <c r="G408" s="151">
        <v>45855.0</v>
      </c>
      <c r="H408" s="36">
        <f t="shared" si="7"/>
        <v>15843</v>
      </c>
      <c r="I408" s="37">
        <f t="shared" si="8"/>
        <v>13730.6</v>
      </c>
      <c r="J408" s="38">
        <f t="shared" si="9"/>
        <v>13730.6</v>
      </c>
      <c r="K408" s="39">
        <f t="shared" si="10"/>
        <v>12674.4</v>
      </c>
      <c r="L408" s="38">
        <f t="shared" si="11"/>
        <v>12146.3</v>
      </c>
      <c r="M408" s="39">
        <f t="shared" si="12"/>
        <v>11618.2</v>
      </c>
      <c r="N408" s="40"/>
      <c r="O408" s="34"/>
      <c r="P408" s="35"/>
      <c r="Q408" s="35"/>
      <c r="R408" s="35"/>
      <c r="S408" s="35"/>
      <c r="T408" s="35"/>
      <c r="U408" s="35"/>
      <c r="V408" s="35"/>
      <c r="W408" s="35"/>
      <c r="X408" s="35"/>
      <c r="Y408" s="35"/>
      <c r="Z408" s="35"/>
    </row>
    <row r="409" ht="14.25" customHeight="1">
      <c r="A409" s="195" t="s">
        <v>563</v>
      </c>
      <c r="B409" s="196" t="s">
        <v>1503</v>
      </c>
      <c r="C409" s="66" t="s">
        <v>1580</v>
      </c>
      <c r="D409" s="149" t="s">
        <v>1581</v>
      </c>
      <c r="E409" s="149" t="s">
        <v>1582</v>
      </c>
      <c r="F409" s="150">
        <v>14520.0</v>
      </c>
      <c r="G409" s="151">
        <v>45855.0</v>
      </c>
      <c r="H409" s="36">
        <f t="shared" si="7"/>
        <v>21780</v>
      </c>
      <c r="I409" s="37">
        <f t="shared" si="8"/>
        <v>18876</v>
      </c>
      <c r="J409" s="38">
        <f t="shared" si="9"/>
        <v>18876</v>
      </c>
      <c r="K409" s="39">
        <f t="shared" si="10"/>
        <v>17424</v>
      </c>
      <c r="L409" s="38">
        <f t="shared" si="11"/>
        <v>16698</v>
      </c>
      <c r="M409" s="39">
        <f t="shared" si="12"/>
        <v>15972</v>
      </c>
      <c r="N409" s="40"/>
      <c r="O409" s="34"/>
      <c r="P409" s="35"/>
      <c r="Q409" s="35"/>
      <c r="R409" s="35"/>
      <c r="S409" s="35"/>
      <c r="T409" s="35"/>
      <c r="U409" s="35"/>
      <c r="V409" s="35"/>
      <c r="W409" s="35"/>
      <c r="X409" s="35"/>
      <c r="Y409" s="35"/>
      <c r="Z409" s="35"/>
    </row>
    <row r="410" ht="14.25" customHeight="1">
      <c r="A410" s="195" t="s">
        <v>563</v>
      </c>
      <c r="B410" s="196" t="s">
        <v>1503</v>
      </c>
      <c r="C410" s="66" t="s">
        <v>1583</v>
      </c>
      <c r="D410" s="149" t="s">
        <v>1584</v>
      </c>
      <c r="E410" s="149" t="s">
        <v>1585</v>
      </c>
      <c r="F410" s="150">
        <v>2600.0</v>
      </c>
      <c r="G410" s="151">
        <v>45855.0</v>
      </c>
      <c r="H410" s="36">
        <f t="shared" si="7"/>
        <v>3900</v>
      </c>
      <c r="I410" s="37">
        <f t="shared" si="8"/>
        <v>3380</v>
      </c>
      <c r="J410" s="38">
        <f t="shared" si="9"/>
        <v>3380</v>
      </c>
      <c r="K410" s="39">
        <f t="shared" si="10"/>
        <v>3120</v>
      </c>
      <c r="L410" s="38">
        <f t="shared" si="11"/>
        <v>2990</v>
      </c>
      <c r="M410" s="39">
        <f t="shared" si="12"/>
        <v>2860</v>
      </c>
      <c r="N410" s="40"/>
      <c r="O410" s="34"/>
      <c r="P410" s="35"/>
      <c r="Q410" s="35"/>
      <c r="R410" s="35"/>
      <c r="S410" s="35"/>
      <c r="T410" s="35"/>
      <c r="U410" s="35"/>
      <c r="V410" s="35"/>
      <c r="W410" s="35"/>
      <c r="X410" s="35"/>
      <c r="Y410" s="35"/>
      <c r="Z410" s="35"/>
    </row>
    <row r="411" ht="14.25" customHeight="1">
      <c r="A411" s="195" t="s">
        <v>563</v>
      </c>
      <c r="B411" s="196" t="s">
        <v>1503</v>
      </c>
      <c r="C411" s="66" t="s">
        <v>1586</v>
      </c>
      <c r="D411" s="149" t="s">
        <v>1584</v>
      </c>
      <c r="E411" s="149" t="s">
        <v>1587</v>
      </c>
      <c r="F411" s="150">
        <v>3055.0</v>
      </c>
      <c r="G411" s="151">
        <v>45855.0</v>
      </c>
      <c r="H411" s="36">
        <f t="shared" si="7"/>
        <v>4582.5</v>
      </c>
      <c r="I411" s="37">
        <f t="shared" si="8"/>
        <v>3971.5</v>
      </c>
      <c r="J411" s="38">
        <f t="shared" si="9"/>
        <v>3971.5</v>
      </c>
      <c r="K411" s="39">
        <f t="shared" si="10"/>
        <v>3666</v>
      </c>
      <c r="L411" s="38">
        <f t="shared" si="11"/>
        <v>3513.25</v>
      </c>
      <c r="M411" s="39">
        <f t="shared" si="12"/>
        <v>3360.5</v>
      </c>
      <c r="N411" s="40"/>
      <c r="O411" s="34"/>
      <c r="P411" s="35"/>
      <c r="Q411" s="35"/>
      <c r="R411" s="35"/>
      <c r="S411" s="35"/>
      <c r="T411" s="35"/>
      <c r="U411" s="35"/>
      <c r="V411" s="35"/>
      <c r="W411" s="35"/>
      <c r="X411" s="35"/>
      <c r="Y411" s="35"/>
      <c r="Z411" s="35"/>
    </row>
    <row r="412" ht="14.25" customHeight="1">
      <c r="A412" s="195" t="s">
        <v>563</v>
      </c>
      <c r="B412" s="196" t="s">
        <v>1503</v>
      </c>
      <c r="C412" s="66" t="s">
        <v>1588</v>
      </c>
      <c r="D412" s="149" t="s">
        <v>1584</v>
      </c>
      <c r="E412" s="149" t="s">
        <v>1589</v>
      </c>
      <c r="F412" s="150">
        <v>3869.0</v>
      </c>
      <c r="G412" s="151">
        <v>45855.0</v>
      </c>
      <c r="H412" s="36">
        <f t="shared" si="7"/>
        <v>5803.5</v>
      </c>
      <c r="I412" s="37">
        <f t="shared" si="8"/>
        <v>5029.7</v>
      </c>
      <c r="J412" s="38">
        <f t="shared" si="9"/>
        <v>5029.7</v>
      </c>
      <c r="K412" s="39">
        <f t="shared" si="10"/>
        <v>4642.8</v>
      </c>
      <c r="L412" s="38">
        <f t="shared" si="11"/>
        <v>4449.35</v>
      </c>
      <c r="M412" s="39">
        <f t="shared" si="12"/>
        <v>4255.9</v>
      </c>
      <c r="N412" s="40"/>
      <c r="O412" s="34"/>
      <c r="P412" s="35"/>
      <c r="Q412" s="35"/>
      <c r="R412" s="35"/>
      <c r="S412" s="35"/>
      <c r="T412" s="35"/>
      <c r="U412" s="35"/>
      <c r="V412" s="35"/>
      <c r="W412" s="35"/>
      <c r="X412" s="35"/>
      <c r="Y412" s="35"/>
      <c r="Z412" s="35"/>
    </row>
    <row r="413" ht="14.25" customHeight="1">
      <c r="A413" s="195" t="s">
        <v>563</v>
      </c>
      <c r="B413" s="196" t="s">
        <v>1503</v>
      </c>
      <c r="C413" s="66" t="s">
        <v>1590</v>
      </c>
      <c r="D413" s="149" t="s">
        <v>1584</v>
      </c>
      <c r="E413" s="149" t="s">
        <v>1591</v>
      </c>
      <c r="F413" s="150">
        <v>3250.0</v>
      </c>
      <c r="G413" s="151">
        <v>45855.0</v>
      </c>
      <c r="H413" s="36">
        <f t="shared" si="7"/>
        <v>4875</v>
      </c>
      <c r="I413" s="37">
        <f t="shared" si="8"/>
        <v>4225</v>
      </c>
      <c r="J413" s="38">
        <f t="shared" si="9"/>
        <v>4225</v>
      </c>
      <c r="K413" s="39">
        <f t="shared" si="10"/>
        <v>3900</v>
      </c>
      <c r="L413" s="38">
        <f t="shared" si="11"/>
        <v>3737.5</v>
      </c>
      <c r="M413" s="39">
        <f t="shared" si="12"/>
        <v>3575</v>
      </c>
      <c r="N413" s="40"/>
      <c r="O413" s="34"/>
      <c r="P413" s="35"/>
      <c r="Q413" s="35"/>
      <c r="R413" s="35"/>
      <c r="S413" s="35"/>
      <c r="T413" s="35"/>
      <c r="U413" s="35"/>
      <c r="V413" s="35"/>
      <c r="W413" s="35"/>
      <c r="X413" s="35"/>
      <c r="Y413" s="35"/>
      <c r="Z413" s="35"/>
    </row>
    <row r="414" ht="14.25" customHeight="1">
      <c r="A414" s="195" t="s">
        <v>563</v>
      </c>
      <c r="B414" s="196" t="s">
        <v>1503</v>
      </c>
      <c r="C414" s="66" t="s">
        <v>1592</v>
      </c>
      <c r="D414" s="149" t="s">
        <v>1593</v>
      </c>
      <c r="E414" s="149" t="s">
        <v>1594</v>
      </c>
      <c r="F414" s="150">
        <v>4669.0</v>
      </c>
      <c r="G414" s="151">
        <v>45855.0</v>
      </c>
      <c r="H414" s="36">
        <f t="shared" si="7"/>
        <v>7003.5</v>
      </c>
      <c r="I414" s="37">
        <f t="shared" si="8"/>
        <v>6069.7</v>
      </c>
      <c r="J414" s="38">
        <f t="shared" si="9"/>
        <v>6069.7</v>
      </c>
      <c r="K414" s="39">
        <f t="shared" si="10"/>
        <v>5602.8</v>
      </c>
      <c r="L414" s="38">
        <f t="shared" si="11"/>
        <v>5369.35</v>
      </c>
      <c r="M414" s="39">
        <f t="shared" si="12"/>
        <v>5135.9</v>
      </c>
      <c r="N414" s="40"/>
      <c r="O414" s="34"/>
      <c r="P414" s="35"/>
      <c r="Q414" s="35"/>
      <c r="R414" s="35"/>
      <c r="S414" s="35"/>
      <c r="T414" s="35"/>
      <c r="U414" s="35"/>
      <c r="V414" s="35"/>
      <c r="W414" s="35"/>
      <c r="X414" s="35"/>
      <c r="Y414" s="35"/>
      <c r="Z414" s="35"/>
    </row>
    <row r="415" ht="14.25" customHeight="1">
      <c r="A415" s="195" t="s">
        <v>563</v>
      </c>
      <c r="B415" s="196" t="s">
        <v>1503</v>
      </c>
      <c r="C415" s="66" t="s">
        <v>1595</v>
      </c>
      <c r="D415" s="149" t="s">
        <v>1593</v>
      </c>
      <c r="E415" s="149" t="s">
        <v>1596</v>
      </c>
      <c r="F415" s="150">
        <v>5751.0</v>
      </c>
      <c r="G415" s="151">
        <v>45855.0</v>
      </c>
      <c r="H415" s="36">
        <f t="shared" si="7"/>
        <v>8626.5</v>
      </c>
      <c r="I415" s="37">
        <f t="shared" si="8"/>
        <v>7476.3</v>
      </c>
      <c r="J415" s="38">
        <f t="shared" si="9"/>
        <v>7476.3</v>
      </c>
      <c r="K415" s="39">
        <f t="shared" si="10"/>
        <v>6901.2</v>
      </c>
      <c r="L415" s="38">
        <f t="shared" si="11"/>
        <v>6613.65</v>
      </c>
      <c r="M415" s="39">
        <f t="shared" si="12"/>
        <v>6326.1</v>
      </c>
      <c r="N415" s="40"/>
      <c r="O415" s="34"/>
      <c r="P415" s="35"/>
      <c r="Q415" s="35"/>
      <c r="R415" s="35"/>
      <c r="S415" s="35"/>
      <c r="T415" s="35"/>
      <c r="U415" s="35"/>
      <c r="V415" s="35"/>
      <c r="W415" s="35"/>
      <c r="X415" s="35"/>
      <c r="Y415" s="35"/>
      <c r="Z415" s="35"/>
    </row>
    <row r="416" ht="14.25" customHeight="1">
      <c r="A416" s="195" t="s">
        <v>563</v>
      </c>
      <c r="B416" s="196" t="s">
        <v>1503</v>
      </c>
      <c r="C416" s="66" t="s">
        <v>1597</v>
      </c>
      <c r="D416" s="149" t="s">
        <v>1593</v>
      </c>
      <c r="E416" s="149" t="s">
        <v>1598</v>
      </c>
      <c r="F416" s="150">
        <v>7203.0</v>
      </c>
      <c r="G416" s="151">
        <v>45855.0</v>
      </c>
      <c r="H416" s="36">
        <f t="shared" si="7"/>
        <v>10804.5</v>
      </c>
      <c r="I416" s="37">
        <f t="shared" si="8"/>
        <v>9363.9</v>
      </c>
      <c r="J416" s="38">
        <f t="shared" si="9"/>
        <v>9363.9</v>
      </c>
      <c r="K416" s="39">
        <f t="shared" si="10"/>
        <v>8643.6</v>
      </c>
      <c r="L416" s="38">
        <f t="shared" si="11"/>
        <v>8283.45</v>
      </c>
      <c r="M416" s="39">
        <f t="shared" si="12"/>
        <v>7923.3</v>
      </c>
      <c r="N416" s="40"/>
      <c r="O416" s="34"/>
      <c r="P416" s="35"/>
      <c r="Q416" s="35"/>
      <c r="R416" s="35"/>
      <c r="S416" s="35"/>
      <c r="T416" s="35"/>
      <c r="U416" s="35"/>
      <c r="V416" s="35"/>
      <c r="W416" s="35"/>
      <c r="X416" s="35"/>
      <c r="Y416" s="35"/>
      <c r="Z416" s="35"/>
    </row>
    <row r="417" ht="14.25" customHeight="1">
      <c r="A417" s="195" t="s">
        <v>563</v>
      </c>
      <c r="B417" s="196" t="s">
        <v>1503</v>
      </c>
      <c r="C417" s="66" t="s">
        <v>1599</v>
      </c>
      <c r="D417" s="149" t="s">
        <v>1593</v>
      </c>
      <c r="E417" s="149" t="s">
        <v>1600</v>
      </c>
      <c r="F417" s="150">
        <v>9302.0</v>
      </c>
      <c r="G417" s="151">
        <v>45855.0</v>
      </c>
      <c r="H417" s="36">
        <f t="shared" si="7"/>
        <v>13953</v>
      </c>
      <c r="I417" s="37">
        <f t="shared" si="8"/>
        <v>12092.6</v>
      </c>
      <c r="J417" s="38">
        <f t="shared" si="9"/>
        <v>12092.6</v>
      </c>
      <c r="K417" s="39">
        <f t="shared" si="10"/>
        <v>11162.4</v>
      </c>
      <c r="L417" s="38">
        <f t="shared" si="11"/>
        <v>10697.3</v>
      </c>
      <c r="M417" s="39">
        <f t="shared" si="12"/>
        <v>10232.2</v>
      </c>
      <c r="N417" s="40"/>
      <c r="O417" s="34"/>
      <c r="P417" s="35"/>
      <c r="Q417" s="35"/>
      <c r="R417" s="35"/>
      <c r="S417" s="35"/>
      <c r="T417" s="35"/>
      <c r="U417" s="35"/>
      <c r="V417" s="35"/>
      <c r="W417" s="35"/>
      <c r="X417" s="35"/>
      <c r="Y417" s="35"/>
      <c r="Z417" s="35"/>
    </row>
    <row r="418" ht="14.25" customHeight="1">
      <c r="A418" s="195" t="s">
        <v>563</v>
      </c>
      <c r="B418" s="196"/>
      <c r="C418" s="66" t="s">
        <v>1601</v>
      </c>
      <c r="D418" s="149" t="s">
        <v>1602</v>
      </c>
      <c r="E418" s="149" t="s">
        <v>1603</v>
      </c>
      <c r="F418" s="150">
        <v>780.0</v>
      </c>
      <c r="G418" s="151">
        <v>45855.0</v>
      </c>
      <c r="H418" s="36">
        <f t="shared" si="7"/>
        <v>1170</v>
      </c>
      <c r="I418" s="37">
        <f t="shared" si="8"/>
        <v>1014</v>
      </c>
      <c r="J418" s="38">
        <f t="shared" si="9"/>
        <v>1014</v>
      </c>
      <c r="K418" s="39">
        <f t="shared" si="10"/>
        <v>936</v>
      </c>
      <c r="L418" s="38">
        <f t="shared" si="11"/>
        <v>897</v>
      </c>
      <c r="M418" s="39">
        <f t="shared" si="12"/>
        <v>858</v>
      </c>
      <c r="N418" s="40"/>
      <c r="O418" s="34"/>
      <c r="P418" s="35"/>
      <c r="Q418" s="35"/>
      <c r="R418" s="35"/>
      <c r="S418" s="35"/>
      <c r="T418" s="35"/>
      <c r="U418" s="35"/>
      <c r="V418" s="35"/>
      <c r="W418" s="35"/>
      <c r="X418" s="35"/>
      <c r="Y418" s="35"/>
      <c r="Z418" s="35"/>
    </row>
    <row r="419" ht="14.25" customHeight="1">
      <c r="A419" s="195" t="s">
        <v>563</v>
      </c>
      <c r="B419" s="196"/>
      <c r="C419" s="66" t="s">
        <v>1604</v>
      </c>
      <c r="D419" s="149" t="s">
        <v>1602</v>
      </c>
      <c r="E419" s="149" t="s">
        <v>1605</v>
      </c>
      <c r="F419" s="150">
        <v>1170.0</v>
      </c>
      <c r="G419" s="151">
        <v>45855.0</v>
      </c>
      <c r="H419" s="36">
        <f t="shared" si="7"/>
        <v>1755</v>
      </c>
      <c r="I419" s="37">
        <f t="shared" si="8"/>
        <v>1521</v>
      </c>
      <c r="J419" s="38">
        <f t="shared" si="9"/>
        <v>1521</v>
      </c>
      <c r="K419" s="39">
        <f t="shared" si="10"/>
        <v>1404</v>
      </c>
      <c r="L419" s="38">
        <f t="shared" si="11"/>
        <v>1345.5</v>
      </c>
      <c r="M419" s="39">
        <f t="shared" si="12"/>
        <v>1287</v>
      </c>
      <c r="N419" s="40"/>
      <c r="O419" s="34"/>
      <c r="P419" s="35"/>
      <c r="Q419" s="35"/>
      <c r="R419" s="35"/>
      <c r="S419" s="35"/>
      <c r="T419" s="35"/>
      <c r="U419" s="35"/>
      <c r="V419" s="35"/>
      <c r="W419" s="35"/>
      <c r="X419" s="35"/>
      <c r="Y419" s="35"/>
      <c r="Z419" s="35"/>
    </row>
    <row r="420" ht="14.25" customHeight="1">
      <c r="A420" s="195" t="s">
        <v>563</v>
      </c>
      <c r="B420" s="196"/>
      <c r="C420" s="66" t="s">
        <v>1606</v>
      </c>
      <c r="D420" s="149" t="s">
        <v>1602</v>
      </c>
      <c r="E420" s="149" t="s">
        <v>1607</v>
      </c>
      <c r="F420" s="150">
        <v>1820.0</v>
      </c>
      <c r="G420" s="151">
        <v>45855.0</v>
      </c>
      <c r="H420" s="36">
        <f t="shared" si="7"/>
        <v>2730</v>
      </c>
      <c r="I420" s="37">
        <f t="shared" si="8"/>
        <v>2366</v>
      </c>
      <c r="J420" s="38">
        <f t="shared" si="9"/>
        <v>2366</v>
      </c>
      <c r="K420" s="39">
        <f t="shared" si="10"/>
        <v>2184</v>
      </c>
      <c r="L420" s="38">
        <f t="shared" si="11"/>
        <v>2093</v>
      </c>
      <c r="M420" s="39">
        <f t="shared" si="12"/>
        <v>2002</v>
      </c>
      <c r="N420" s="40"/>
      <c r="O420" s="34"/>
      <c r="P420" s="35"/>
      <c r="Q420" s="35"/>
      <c r="R420" s="35"/>
      <c r="S420" s="35"/>
      <c r="T420" s="35"/>
      <c r="U420" s="35"/>
      <c r="V420" s="35"/>
      <c r="W420" s="35"/>
      <c r="X420" s="35"/>
      <c r="Y420" s="35"/>
      <c r="Z420" s="35"/>
    </row>
    <row r="421" ht="14.25" customHeight="1">
      <c r="A421" s="195" t="s">
        <v>563</v>
      </c>
      <c r="B421" s="196"/>
      <c r="C421" s="66" t="s">
        <v>1608</v>
      </c>
      <c r="D421" s="149" t="s">
        <v>1609</v>
      </c>
      <c r="E421" s="149" t="s">
        <v>1610</v>
      </c>
      <c r="F421" s="150">
        <v>19530.0</v>
      </c>
      <c r="G421" s="151">
        <v>45855.0</v>
      </c>
      <c r="H421" s="36">
        <f t="shared" si="7"/>
        <v>29295</v>
      </c>
      <c r="I421" s="37">
        <f t="shared" si="8"/>
        <v>25389</v>
      </c>
      <c r="J421" s="38">
        <f t="shared" si="9"/>
        <v>25389</v>
      </c>
      <c r="K421" s="39">
        <f t="shared" si="10"/>
        <v>23436</v>
      </c>
      <c r="L421" s="38">
        <f t="shared" si="11"/>
        <v>22459.5</v>
      </c>
      <c r="M421" s="39">
        <f t="shared" si="12"/>
        <v>21483</v>
      </c>
      <c r="N421" s="40"/>
      <c r="O421" s="34"/>
      <c r="P421" s="35"/>
      <c r="Q421" s="35"/>
      <c r="R421" s="35"/>
      <c r="S421" s="35"/>
      <c r="T421" s="35"/>
      <c r="U421" s="35"/>
      <c r="V421" s="35"/>
      <c r="W421" s="35"/>
      <c r="X421" s="35"/>
      <c r="Y421" s="35"/>
      <c r="Z421" s="35"/>
    </row>
    <row r="422" ht="14.25" customHeight="1">
      <c r="A422" s="195" t="s">
        <v>563</v>
      </c>
      <c r="B422" s="196"/>
      <c r="C422" s="66" t="s">
        <v>1611</v>
      </c>
      <c r="D422" s="149" t="s">
        <v>1612</v>
      </c>
      <c r="E422" s="149" t="s">
        <v>1613</v>
      </c>
      <c r="F422" s="150">
        <v>12650.0</v>
      </c>
      <c r="G422" s="151">
        <v>45855.0</v>
      </c>
      <c r="H422" s="36">
        <f t="shared" si="7"/>
        <v>18975</v>
      </c>
      <c r="I422" s="37">
        <f t="shared" si="8"/>
        <v>16445</v>
      </c>
      <c r="J422" s="38">
        <f t="shared" si="9"/>
        <v>16445</v>
      </c>
      <c r="K422" s="39">
        <f t="shared" si="10"/>
        <v>15180</v>
      </c>
      <c r="L422" s="38">
        <f t="shared" si="11"/>
        <v>14547.5</v>
      </c>
      <c r="M422" s="39">
        <f t="shared" si="12"/>
        <v>13915</v>
      </c>
      <c r="N422" s="40"/>
      <c r="O422" s="34"/>
      <c r="P422" s="35"/>
      <c r="Q422" s="35"/>
      <c r="R422" s="35"/>
      <c r="S422" s="35"/>
      <c r="T422" s="35"/>
      <c r="U422" s="35"/>
      <c r="V422" s="35"/>
      <c r="W422" s="35"/>
      <c r="X422" s="35"/>
      <c r="Y422" s="35"/>
      <c r="Z422" s="35"/>
    </row>
    <row r="423" ht="14.25" customHeight="1">
      <c r="A423" s="195" t="s">
        <v>563</v>
      </c>
      <c r="B423" s="196"/>
      <c r="C423" s="66" t="s">
        <v>1614</v>
      </c>
      <c r="D423" s="149" t="s">
        <v>1615</v>
      </c>
      <c r="E423" s="149" t="s">
        <v>1616</v>
      </c>
      <c r="F423" s="150">
        <v>18494.0</v>
      </c>
      <c r="G423" s="151">
        <v>45855.0</v>
      </c>
      <c r="H423" s="36">
        <f t="shared" si="7"/>
        <v>27741</v>
      </c>
      <c r="I423" s="37">
        <f t="shared" si="8"/>
        <v>24042.2</v>
      </c>
      <c r="J423" s="38">
        <f t="shared" si="9"/>
        <v>24042.2</v>
      </c>
      <c r="K423" s="39">
        <f t="shared" si="10"/>
        <v>22192.8</v>
      </c>
      <c r="L423" s="38">
        <f t="shared" si="11"/>
        <v>21268.1</v>
      </c>
      <c r="M423" s="39">
        <f t="shared" si="12"/>
        <v>20343.4</v>
      </c>
      <c r="N423" s="40"/>
      <c r="O423" s="34"/>
      <c r="P423" s="35"/>
      <c r="Q423" s="35"/>
      <c r="R423" s="35"/>
      <c r="S423" s="35"/>
      <c r="T423" s="35"/>
      <c r="U423" s="35"/>
      <c r="V423" s="35"/>
      <c r="W423" s="35"/>
      <c r="X423" s="35"/>
      <c r="Y423" s="35"/>
      <c r="Z423" s="35"/>
    </row>
    <row r="424" ht="14.25" customHeight="1">
      <c r="A424" s="195" t="s">
        <v>563</v>
      </c>
      <c r="B424" s="196"/>
      <c r="C424" s="66" t="s">
        <v>1617</v>
      </c>
      <c r="D424" s="149" t="s">
        <v>1618</v>
      </c>
      <c r="E424" s="149" t="s">
        <v>1619</v>
      </c>
      <c r="F424" s="150">
        <v>19181.0</v>
      </c>
      <c r="G424" s="151">
        <v>45855.0</v>
      </c>
      <c r="H424" s="36">
        <f t="shared" si="7"/>
        <v>28771.5</v>
      </c>
      <c r="I424" s="37">
        <f t="shared" si="8"/>
        <v>24935.3</v>
      </c>
      <c r="J424" s="38">
        <f t="shared" si="9"/>
        <v>24935.3</v>
      </c>
      <c r="K424" s="39">
        <f t="shared" si="10"/>
        <v>23017.2</v>
      </c>
      <c r="L424" s="38">
        <f t="shared" si="11"/>
        <v>22058.15</v>
      </c>
      <c r="M424" s="39">
        <f t="shared" si="12"/>
        <v>21099.1</v>
      </c>
      <c r="N424" s="40"/>
      <c r="O424" s="34"/>
      <c r="P424" s="35"/>
      <c r="Q424" s="35"/>
      <c r="R424" s="35"/>
      <c r="S424" s="35"/>
      <c r="T424" s="35"/>
      <c r="U424" s="35"/>
      <c r="V424" s="35"/>
      <c r="W424" s="35"/>
      <c r="X424" s="35"/>
      <c r="Y424" s="35"/>
      <c r="Z424" s="35"/>
    </row>
    <row r="425" ht="14.25" customHeight="1">
      <c r="A425" s="195" t="s">
        <v>563</v>
      </c>
      <c r="B425" s="196"/>
      <c r="C425" s="66" t="s">
        <v>1620</v>
      </c>
      <c r="D425" s="149" t="s">
        <v>1612</v>
      </c>
      <c r="E425" s="149" t="s">
        <v>1621</v>
      </c>
      <c r="F425" s="150">
        <v>11503.0</v>
      </c>
      <c r="G425" s="151">
        <v>45855.0</v>
      </c>
      <c r="H425" s="36">
        <f t="shared" si="7"/>
        <v>17254.5</v>
      </c>
      <c r="I425" s="37">
        <f t="shared" si="8"/>
        <v>14953.9</v>
      </c>
      <c r="J425" s="38">
        <f t="shared" si="9"/>
        <v>14953.9</v>
      </c>
      <c r="K425" s="39">
        <f t="shared" si="10"/>
        <v>13803.6</v>
      </c>
      <c r="L425" s="38">
        <f t="shared" si="11"/>
        <v>13228.45</v>
      </c>
      <c r="M425" s="39">
        <f t="shared" si="12"/>
        <v>12653.3</v>
      </c>
      <c r="N425" s="40"/>
      <c r="O425" s="34"/>
      <c r="P425" s="35"/>
      <c r="Q425" s="35"/>
      <c r="R425" s="35"/>
      <c r="S425" s="35"/>
      <c r="T425" s="35"/>
      <c r="U425" s="35"/>
      <c r="V425" s="35"/>
      <c r="W425" s="35"/>
      <c r="X425" s="35"/>
      <c r="Y425" s="35"/>
      <c r="Z425" s="35"/>
    </row>
    <row r="426" ht="14.25" customHeight="1">
      <c r="A426" s="195" t="s">
        <v>563</v>
      </c>
      <c r="B426" s="196"/>
      <c r="C426" s="66" t="s">
        <v>1622</v>
      </c>
      <c r="D426" s="149" t="s">
        <v>1612</v>
      </c>
      <c r="E426" s="149" t="s">
        <v>1623</v>
      </c>
      <c r="F426" s="150">
        <v>12306.0</v>
      </c>
      <c r="G426" s="151">
        <v>45855.0</v>
      </c>
      <c r="H426" s="36">
        <f t="shared" si="7"/>
        <v>18459</v>
      </c>
      <c r="I426" s="37">
        <f t="shared" si="8"/>
        <v>15997.8</v>
      </c>
      <c r="J426" s="38">
        <f t="shared" si="9"/>
        <v>15997.8</v>
      </c>
      <c r="K426" s="39">
        <f t="shared" si="10"/>
        <v>14767.2</v>
      </c>
      <c r="L426" s="38">
        <f t="shared" si="11"/>
        <v>14151.9</v>
      </c>
      <c r="M426" s="39">
        <f t="shared" si="12"/>
        <v>13536.6</v>
      </c>
      <c r="N426" s="40"/>
      <c r="O426" s="34"/>
      <c r="P426" s="35"/>
      <c r="Q426" s="35"/>
      <c r="R426" s="35"/>
      <c r="S426" s="35"/>
      <c r="T426" s="35"/>
      <c r="U426" s="35"/>
      <c r="V426" s="35"/>
      <c r="W426" s="35"/>
      <c r="X426" s="35"/>
      <c r="Y426" s="35"/>
      <c r="Z426" s="35"/>
    </row>
    <row r="427" ht="14.25" customHeight="1">
      <c r="A427" s="195" t="s">
        <v>563</v>
      </c>
      <c r="B427" s="196"/>
      <c r="C427" s="66" t="s">
        <v>1624</v>
      </c>
      <c r="D427" s="149" t="s">
        <v>1625</v>
      </c>
      <c r="E427" s="149" t="s">
        <v>1626</v>
      </c>
      <c r="F427" s="150">
        <v>40430.0</v>
      </c>
      <c r="G427" s="151">
        <v>45855.0</v>
      </c>
      <c r="H427" s="36">
        <f t="shared" si="7"/>
        <v>60645</v>
      </c>
      <c r="I427" s="37">
        <f t="shared" si="8"/>
        <v>52559</v>
      </c>
      <c r="J427" s="38">
        <f t="shared" si="9"/>
        <v>52559</v>
      </c>
      <c r="K427" s="39">
        <f t="shared" si="10"/>
        <v>48516</v>
      </c>
      <c r="L427" s="38">
        <f t="shared" si="11"/>
        <v>46494.5</v>
      </c>
      <c r="M427" s="39">
        <f t="shared" si="12"/>
        <v>44473</v>
      </c>
      <c r="N427" s="40"/>
      <c r="O427" s="34"/>
      <c r="P427" s="35"/>
      <c r="Q427" s="35"/>
      <c r="R427" s="35"/>
      <c r="S427" s="35"/>
      <c r="T427" s="35"/>
      <c r="U427" s="35"/>
      <c r="V427" s="35"/>
      <c r="W427" s="35"/>
      <c r="X427" s="35"/>
      <c r="Y427" s="35"/>
      <c r="Z427" s="35"/>
    </row>
    <row r="428" ht="14.25" customHeight="1">
      <c r="A428" s="195" t="s">
        <v>563</v>
      </c>
      <c r="B428" s="196"/>
      <c r="C428" s="66" t="s">
        <v>1627</v>
      </c>
      <c r="D428" s="149" t="s">
        <v>1625</v>
      </c>
      <c r="E428" s="149" t="s">
        <v>1628</v>
      </c>
      <c r="F428" s="150">
        <v>44935.0</v>
      </c>
      <c r="G428" s="151">
        <v>45855.0</v>
      </c>
      <c r="H428" s="36">
        <f t="shared" si="7"/>
        <v>67402.5</v>
      </c>
      <c r="I428" s="37">
        <f t="shared" si="8"/>
        <v>58415.5</v>
      </c>
      <c r="J428" s="38">
        <f t="shared" si="9"/>
        <v>58415.5</v>
      </c>
      <c r="K428" s="39">
        <f t="shared" si="10"/>
        <v>53922</v>
      </c>
      <c r="L428" s="38">
        <f t="shared" si="11"/>
        <v>51675.25</v>
      </c>
      <c r="M428" s="39">
        <f t="shared" si="12"/>
        <v>49428.5</v>
      </c>
      <c r="N428" s="40"/>
      <c r="O428" s="34"/>
      <c r="P428" s="35"/>
      <c r="Q428" s="35"/>
      <c r="R428" s="35"/>
      <c r="S428" s="35"/>
      <c r="T428" s="35"/>
      <c r="U428" s="35"/>
      <c r="V428" s="35"/>
      <c r="W428" s="35"/>
      <c r="X428" s="35"/>
      <c r="Y428" s="35"/>
      <c r="Z428" s="35"/>
    </row>
    <row r="429" ht="14.25" customHeight="1">
      <c r="A429" s="195" t="s">
        <v>563</v>
      </c>
      <c r="B429" s="196"/>
      <c r="C429" s="66" t="s">
        <v>1629</v>
      </c>
      <c r="D429" s="149" t="s">
        <v>1625</v>
      </c>
      <c r="E429" s="149" t="s">
        <v>1630</v>
      </c>
      <c r="F429" s="150">
        <v>60250.0</v>
      </c>
      <c r="G429" s="151">
        <v>45855.0</v>
      </c>
      <c r="H429" s="36">
        <f t="shared" si="7"/>
        <v>90375</v>
      </c>
      <c r="I429" s="37">
        <f t="shared" si="8"/>
        <v>78325</v>
      </c>
      <c r="J429" s="38">
        <f t="shared" si="9"/>
        <v>78325</v>
      </c>
      <c r="K429" s="39">
        <f t="shared" si="10"/>
        <v>72300</v>
      </c>
      <c r="L429" s="38">
        <f t="shared" si="11"/>
        <v>69287.5</v>
      </c>
      <c r="M429" s="39">
        <f t="shared" si="12"/>
        <v>66275</v>
      </c>
      <c r="N429" s="40"/>
      <c r="O429" s="34"/>
      <c r="P429" s="35"/>
      <c r="Q429" s="35"/>
      <c r="R429" s="35"/>
      <c r="S429" s="35"/>
      <c r="T429" s="35"/>
      <c r="U429" s="35"/>
      <c r="V429" s="35"/>
      <c r="W429" s="35"/>
      <c r="X429" s="35"/>
      <c r="Y429" s="35"/>
      <c r="Z429" s="35"/>
    </row>
    <row r="430" ht="14.25" customHeight="1">
      <c r="A430" s="195" t="s">
        <v>563</v>
      </c>
      <c r="B430" s="196"/>
      <c r="C430" s="66" t="s">
        <v>1631</v>
      </c>
      <c r="D430" s="149" t="s">
        <v>1625</v>
      </c>
      <c r="E430" s="149" t="s">
        <v>1632</v>
      </c>
      <c r="F430" s="150">
        <v>125174.0</v>
      </c>
      <c r="G430" s="151">
        <v>45855.0</v>
      </c>
      <c r="H430" s="36">
        <f t="shared" si="7"/>
        <v>187761</v>
      </c>
      <c r="I430" s="37">
        <f t="shared" si="8"/>
        <v>162726.2</v>
      </c>
      <c r="J430" s="38">
        <f t="shared" si="9"/>
        <v>162726.2</v>
      </c>
      <c r="K430" s="39">
        <f t="shared" si="10"/>
        <v>150208.8</v>
      </c>
      <c r="L430" s="38">
        <f t="shared" si="11"/>
        <v>143950.1</v>
      </c>
      <c r="M430" s="39">
        <f t="shared" si="12"/>
        <v>137691.4</v>
      </c>
      <c r="N430" s="40"/>
      <c r="O430" s="34"/>
      <c r="P430" s="35"/>
      <c r="Q430" s="35"/>
      <c r="R430" s="35"/>
      <c r="S430" s="35"/>
      <c r="T430" s="35"/>
      <c r="U430" s="35"/>
      <c r="V430" s="35"/>
      <c r="W430" s="35"/>
      <c r="X430" s="35"/>
      <c r="Y430" s="35"/>
      <c r="Z430" s="35"/>
    </row>
    <row r="431" ht="15.75" customHeight="1">
      <c r="A431" s="195" t="s">
        <v>563</v>
      </c>
      <c r="B431" s="66"/>
      <c r="C431" s="66" t="s">
        <v>1633</v>
      </c>
      <c r="D431" s="149" t="s">
        <v>1625</v>
      </c>
      <c r="E431" s="149" t="s">
        <v>1634</v>
      </c>
      <c r="F431" s="67">
        <v>198149.0</v>
      </c>
      <c r="G431" s="151">
        <v>45855.0</v>
      </c>
      <c r="H431" s="155">
        <f t="shared" si="7"/>
        <v>297223.5</v>
      </c>
      <c r="I431" s="37">
        <f t="shared" si="8"/>
        <v>257593.7</v>
      </c>
      <c r="J431" s="38">
        <f t="shared" si="9"/>
        <v>257593.7</v>
      </c>
      <c r="K431" s="39">
        <f t="shared" si="10"/>
        <v>237778.8</v>
      </c>
      <c r="L431" s="38">
        <f t="shared" si="11"/>
        <v>227871.35</v>
      </c>
      <c r="M431" s="39">
        <f t="shared" si="12"/>
        <v>217963.9</v>
      </c>
      <c r="N431" s="40"/>
      <c r="O431" s="34"/>
      <c r="P431" s="35"/>
      <c r="Q431" s="35"/>
      <c r="R431" s="35"/>
      <c r="S431" s="35"/>
      <c r="T431" s="35"/>
      <c r="U431" s="35"/>
      <c r="V431" s="35"/>
      <c r="W431" s="35"/>
      <c r="X431" s="35"/>
      <c r="Y431" s="35"/>
      <c r="Z431" s="35"/>
    </row>
    <row r="432" ht="15.75" customHeight="1">
      <c r="A432" s="178" t="s">
        <v>563</v>
      </c>
      <c r="B432" s="66" t="s">
        <v>1635</v>
      </c>
      <c r="C432" s="66" t="s">
        <v>236</v>
      </c>
      <c r="D432" s="149" t="s">
        <v>1636</v>
      </c>
      <c r="E432" s="149"/>
      <c r="F432" s="67">
        <v>2300.0</v>
      </c>
      <c r="G432" s="151">
        <v>45855.0</v>
      </c>
      <c r="H432" s="155">
        <f t="shared" si="7"/>
        <v>3450</v>
      </c>
      <c r="I432" s="37">
        <f t="shared" si="8"/>
        <v>2990</v>
      </c>
      <c r="J432" s="38">
        <f t="shared" si="9"/>
        <v>2990</v>
      </c>
      <c r="K432" s="39">
        <f t="shared" si="10"/>
        <v>2760</v>
      </c>
      <c r="L432" s="38">
        <f t="shared" si="11"/>
        <v>2645</v>
      </c>
      <c r="M432" s="39">
        <f t="shared" si="12"/>
        <v>2530</v>
      </c>
      <c r="N432" s="40"/>
      <c r="O432" s="34"/>
      <c r="P432" s="35"/>
      <c r="Q432" s="35"/>
      <c r="R432" s="35"/>
      <c r="S432" s="35"/>
      <c r="T432" s="35"/>
      <c r="U432" s="35"/>
      <c r="V432" s="35"/>
      <c r="W432" s="35"/>
      <c r="X432" s="35"/>
      <c r="Y432" s="35"/>
      <c r="Z432" s="35"/>
    </row>
    <row r="433" ht="15.75" customHeight="1">
      <c r="A433" s="178" t="s">
        <v>563</v>
      </c>
      <c r="B433" s="66" t="s">
        <v>1635</v>
      </c>
      <c r="C433" s="66" t="s">
        <v>239</v>
      </c>
      <c r="D433" s="149" t="s">
        <v>1637</v>
      </c>
      <c r="E433" s="149"/>
      <c r="F433" s="67">
        <v>3300.0</v>
      </c>
      <c r="G433" s="151">
        <v>45855.0</v>
      </c>
      <c r="H433" s="155">
        <f t="shared" si="7"/>
        <v>4950</v>
      </c>
      <c r="I433" s="37">
        <f t="shared" si="8"/>
        <v>4290</v>
      </c>
      <c r="J433" s="38">
        <f t="shared" si="9"/>
        <v>4290</v>
      </c>
      <c r="K433" s="39">
        <f t="shared" si="10"/>
        <v>3960</v>
      </c>
      <c r="L433" s="38">
        <f t="shared" si="11"/>
        <v>3795</v>
      </c>
      <c r="M433" s="39">
        <f t="shared" si="12"/>
        <v>3630</v>
      </c>
      <c r="N433" s="40"/>
      <c r="O433" s="34"/>
      <c r="P433" s="35"/>
      <c r="Q433" s="35"/>
      <c r="R433" s="35"/>
      <c r="S433" s="35"/>
      <c r="T433" s="35"/>
      <c r="U433" s="35"/>
      <c r="V433" s="35"/>
      <c r="W433" s="35"/>
      <c r="X433" s="35"/>
      <c r="Y433" s="35"/>
      <c r="Z433" s="35"/>
    </row>
    <row r="434" ht="15.75" customHeight="1">
      <c r="A434" s="178" t="s">
        <v>563</v>
      </c>
      <c r="B434" s="66" t="s">
        <v>1635</v>
      </c>
      <c r="C434" s="66" t="s">
        <v>241</v>
      </c>
      <c r="D434" s="148" t="s">
        <v>1638</v>
      </c>
      <c r="E434" s="149"/>
      <c r="F434" s="67">
        <v>4500.0</v>
      </c>
      <c r="G434" s="151">
        <v>45855.0</v>
      </c>
      <c r="H434" s="155">
        <f t="shared" si="7"/>
        <v>6750</v>
      </c>
      <c r="I434" s="37">
        <f t="shared" si="8"/>
        <v>5850</v>
      </c>
      <c r="J434" s="38">
        <f t="shared" si="9"/>
        <v>5850</v>
      </c>
      <c r="K434" s="39">
        <f t="shared" si="10"/>
        <v>5400</v>
      </c>
      <c r="L434" s="38">
        <f t="shared" si="11"/>
        <v>5175</v>
      </c>
      <c r="M434" s="39">
        <f t="shared" si="12"/>
        <v>4950</v>
      </c>
      <c r="N434" s="40"/>
      <c r="O434" s="34"/>
      <c r="P434" s="35"/>
      <c r="Q434" s="35"/>
      <c r="R434" s="35"/>
      <c r="S434" s="35"/>
      <c r="T434" s="35"/>
      <c r="U434" s="35"/>
      <c r="V434" s="35"/>
      <c r="W434" s="35"/>
      <c r="X434" s="35"/>
      <c r="Y434" s="35"/>
      <c r="Z434" s="35"/>
    </row>
    <row r="435" ht="15.75" customHeight="1">
      <c r="A435" s="178" t="s">
        <v>563</v>
      </c>
      <c r="B435" s="66" t="s">
        <v>1635</v>
      </c>
      <c r="C435" s="69" t="s">
        <v>243</v>
      </c>
      <c r="D435" s="148" t="s">
        <v>1639</v>
      </c>
      <c r="E435" s="149"/>
      <c r="F435" s="67">
        <v>4900.0</v>
      </c>
      <c r="G435" s="151">
        <v>45855.0</v>
      </c>
      <c r="H435" s="155">
        <f t="shared" si="7"/>
        <v>7350</v>
      </c>
      <c r="I435" s="37">
        <f t="shared" si="8"/>
        <v>6370</v>
      </c>
      <c r="J435" s="38">
        <f t="shared" si="9"/>
        <v>6370</v>
      </c>
      <c r="K435" s="39">
        <f t="shared" si="10"/>
        <v>5880</v>
      </c>
      <c r="L435" s="38">
        <f t="shared" si="11"/>
        <v>5635</v>
      </c>
      <c r="M435" s="39">
        <f t="shared" si="12"/>
        <v>5390</v>
      </c>
      <c r="N435" s="40"/>
      <c r="O435" s="34"/>
      <c r="P435" s="35"/>
      <c r="Q435" s="35"/>
      <c r="R435" s="35"/>
      <c r="S435" s="35"/>
      <c r="T435" s="35"/>
      <c r="U435" s="35"/>
      <c r="V435" s="35"/>
      <c r="W435" s="35"/>
      <c r="X435" s="35"/>
      <c r="Y435" s="35"/>
      <c r="Z435" s="35"/>
    </row>
    <row r="436" ht="15.75" customHeight="1">
      <c r="A436" s="178" t="s">
        <v>563</v>
      </c>
      <c r="B436" s="66" t="s">
        <v>1635</v>
      </c>
      <c r="C436" s="69" t="s">
        <v>245</v>
      </c>
      <c r="D436" s="148" t="s">
        <v>1640</v>
      </c>
      <c r="E436" s="149"/>
      <c r="F436" s="67">
        <v>8000.0</v>
      </c>
      <c r="G436" s="151">
        <v>45855.0</v>
      </c>
      <c r="H436" s="155">
        <f t="shared" si="7"/>
        <v>12000</v>
      </c>
      <c r="I436" s="37">
        <f t="shared" si="8"/>
        <v>10400</v>
      </c>
      <c r="J436" s="38">
        <f t="shared" si="9"/>
        <v>10400</v>
      </c>
      <c r="K436" s="39">
        <f t="shared" si="10"/>
        <v>9600</v>
      </c>
      <c r="L436" s="38">
        <f t="shared" si="11"/>
        <v>9200</v>
      </c>
      <c r="M436" s="39">
        <f t="shared" si="12"/>
        <v>8800</v>
      </c>
      <c r="N436" s="40"/>
      <c r="O436" s="34"/>
      <c r="P436" s="35"/>
      <c r="Q436" s="35"/>
      <c r="R436" s="35"/>
      <c r="S436" s="35"/>
      <c r="T436" s="35"/>
      <c r="U436" s="35"/>
      <c r="V436" s="35"/>
      <c r="W436" s="35"/>
      <c r="X436" s="35"/>
      <c r="Y436" s="35"/>
      <c r="Z436" s="35"/>
    </row>
    <row r="437" ht="15.75" customHeight="1">
      <c r="A437" s="178" t="s">
        <v>563</v>
      </c>
      <c r="B437" s="66" t="s">
        <v>1635</v>
      </c>
      <c r="C437" s="69" t="s">
        <v>247</v>
      </c>
      <c r="D437" s="148" t="s">
        <v>1641</v>
      </c>
      <c r="E437" s="149"/>
      <c r="F437" s="67">
        <v>11200.0</v>
      </c>
      <c r="G437" s="151">
        <v>45855.0</v>
      </c>
      <c r="H437" s="155">
        <f t="shared" si="7"/>
        <v>16800</v>
      </c>
      <c r="I437" s="37">
        <f t="shared" si="8"/>
        <v>14560</v>
      </c>
      <c r="J437" s="38">
        <f t="shared" si="9"/>
        <v>14560</v>
      </c>
      <c r="K437" s="39">
        <f t="shared" si="10"/>
        <v>13440</v>
      </c>
      <c r="L437" s="38">
        <f t="shared" si="11"/>
        <v>12880</v>
      </c>
      <c r="M437" s="39">
        <f t="shared" si="12"/>
        <v>12320</v>
      </c>
      <c r="N437" s="40"/>
      <c r="O437" s="34"/>
      <c r="P437" s="35"/>
      <c r="Q437" s="35"/>
      <c r="R437" s="35"/>
      <c r="S437" s="35"/>
      <c r="T437" s="35"/>
      <c r="U437" s="35"/>
      <c r="V437" s="35"/>
      <c r="W437" s="35"/>
      <c r="X437" s="35"/>
      <c r="Y437" s="35"/>
      <c r="Z437" s="35"/>
    </row>
    <row r="438" ht="15.75" customHeight="1">
      <c r="A438" s="178" t="s">
        <v>563</v>
      </c>
      <c r="B438" s="66" t="s">
        <v>1635</v>
      </c>
      <c r="C438" s="69" t="s">
        <v>249</v>
      </c>
      <c r="D438" s="148" t="s">
        <v>1636</v>
      </c>
      <c r="E438" s="149"/>
      <c r="F438" s="67">
        <v>2350.0</v>
      </c>
      <c r="G438" s="151">
        <v>45855.0</v>
      </c>
      <c r="H438" s="155">
        <f t="shared" si="7"/>
        <v>3525</v>
      </c>
      <c r="I438" s="37">
        <f t="shared" si="8"/>
        <v>3055</v>
      </c>
      <c r="J438" s="38">
        <f t="shared" si="9"/>
        <v>3055</v>
      </c>
      <c r="K438" s="39">
        <f t="shared" si="10"/>
        <v>2820</v>
      </c>
      <c r="L438" s="38">
        <f t="shared" si="11"/>
        <v>2702.5</v>
      </c>
      <c r="M438" s="39">
        <f t="shared" si="12"/>
        <v>2585</v>
      </c>
      <c r="N438" s="40"/>
      <c r="O438" s="34"/>
      <c r="P438" s="35"/>
      <c r="Q438" s="35"/>
      <c r="R438" s="35"/>
      <c r="S438" s="35"/>
      <c r="T438" s="35"/>
      <c r="U438" s="35"/>
      <c r="V438" s="35"/>
      <c r="W438" s="35"/>
      <c r="X438" s="35"/>
      <c r="Y438" s="35"/>
      <c r="Z438" s="35"/>
    </row>
    <row r="439" ht="15.75" customHeight="1">
      <c r="A439" s="178" t="s">
        <v>563</v>
      </c>
      <c r="B439" s="66" t="s">
        <v>1635</v>
      </c>
      <c r="C439" s="69" t="s">
        <v>1642</v>
      </c>
      <c r="D439" s="148" t="s">
        <v>1637</v>
      </c>
      <c r="E439" s="149"/>
      <c r="F439" s="67">
        <v>3380.0</v>
      </c>
      <c r="G439" s="151">
        <v>45855.0</v>
      </c>
      <c r="H439" s="155">
        <f t="shared" si="7"/>
        <v>5070</v>
      </c>
      <c r="I439" s="37">
        <f t="shared" si="8"/>
        <v>4394</v>
      </c>
      <c r="J439" s="38">
        <f t="shared" si="9"/>
        <v>4394</v>
      </c>
      <c r="K439" s="39">
        <f t="shared" si="10"/>
        <v>4056</v>
      </c>
      <c r="L439" s="38">
        <f t="shared" si="11"/>
        <v>3887</v>
      </c>
      <c r="M439" s="39">
        <f t="shared" si="12"/>
        <v>3718</v>
      </c>
      <c r="N439" s="40"/>
      <c r="O439" s="34"/>
      <c r="P439" s="35"/>
      <c r="Q439" s="35"/>
      <c r="R439" s="35"/>
      <c r="S439" s="35"/>
      <c r="T439" s="35"/>
      <c r="U439" s="35"/>
      <c r="V439" s="35"/>
      <c r="W439" s="35"/>
      <c r="X439" s="35"/>
      <c r="Y439" s="35"/>
      <c r="Z439" s="35"/>
    </row>
    <row r="440" ht="15.75" customHeight="1">
      <c r="A440" s="178" t="s">
        <v>563</v>
      </c>
      <c r="B440" s="66" t="s">
        <v>1635</v>
      </c>
      <c r="C440" s="69" t="s">
        <v>253</v>
      </c>
      <c r="D440" s="148" t="s">
        <v>1639</v>
      </c>
      <c r="E440" s="149"/>
      <c r="F440" s="67">
        <v>4800.0</v>
      </c>
      <c r="G440" s="151">
        <v>45855.0</v>
      </c>
      <c r="H440" s="155">
        <f t="shared" si="7"/>
        <v>7200</v>
      </c>
      <c r="I440" s="37">
        <f t="shared" si="8"/>
        <v>6240</v>
      </c>
      <c r="J440" s="38">
        <f t="shared" si="9"/>
        <v>6240</v>
      </c>
      <c r="K440" s="39">
        <f t="shared" si="10"/>
        <v>5760</v>
      </c>
      <c r="L440" s="38">
        <f t="shared" si="11"/>
        <v>5520</v>
      </c>
      <c r="M440" s="39">
        <f t="shared" si="12"/>
        <v>5280</v>
      </c>
      <c r="N440" s="40"/>
      <c r="O440" s="34"/>
      <c r="P440" s="35"/>
      <c r="Q440" s="35"/>
      <c r="R440" s="35"/>
      <c r="S440" s="35"/>
      <c r="T440" s="35"/>
      <c r="U440" s="35"/>
      <c r="V440" s="35"/>
      <c r="W440" s="35"/>
      <c r="X440" s="35"/>
      <c r="Y440" s="35"/>
      <c r="Z440" s="35"/>
    </row>
    <row r="441" ht="15.75" customHeight="1">
      <c r="A441" s="178" t="s">
        <v>563</v>
      </c>
      <c r="B441" s="66" t="s">
        <v>1635</v>
      </c>
      <c r="C441" s="69" t="s">
        <v>255</v>
      </c>
      <c r="D441" s="148" t="s">
        <v>1640</v>
      </c>
      <c r="E441" s="149"/>
      <c r="F441" s="67">
        <v>8000.0</v>
      </c>
      <c r="G441" s="151">
        <v>45855.0</v>
      </c>
      <c r="H441" s="155">
        <f t="shared" si="7"/>
        <v>12000</v>
      </c>
      <c r="I441" s="37">
        <f t="shared" si="8"/>
        <v>10400</v>
      </c>
      <c r="J441" s="38">
        <f t="shared" si="9"/>
        <v>10400</v>
      </c>
      <c r="K441" s="39">
        <f t="shared" si="10"/>
        <v>9600</v>
      </c>
      <c r="L441" s="38">
        <f t="shared" si="11"/>
        <v>9200</v>
      </c>
      <c r="M441" s="39">
        <f t="shared" si="12"/>
        <v>8800</v>
      </c>
      <c r="N441" s="40"/>
      <c r="O441" s="34"/>
      <c r="P441" s="35"/>
      <c r="Q441" s="35"/>
      <c r="R441" s="35"/>
      <c r="S441" s="35"/>
      <c r="T441" s="35"/>
      <c r="U441" s="35"/>
      <c r="V441" s="35"/>
      <c r="W441" s="35"/>
      <c r="X441" s="35"/>
      <c r="Y441" s="35"/>
      <c r="Z441" s="35"/>
    </row>
    <row r="442" ht="15.75" customHeight="1">
      <c r="A442" s="178"/>
      <c r="B442" s="66"/>
      <c r="C442" s="69" t="s">
        <v>1643</v>
      </c>
      <c r="D442" s="198"/>
      <c r="E442" s="199" t="s">
        <v>1644</v>
      </c>
      <c r="F442" s="67">
        <v>160.0</v>
      </c>
      <c r="G442" s="151">
        <v>45855.0</v>
      </c>
      <c r="H442" s="155">
        <f t="shared" si="7"/>
        <v>240</v>
      </c>
      <c r="I442" s="37">
        <f t="shared" si="8"/>
        <v>208</v>
      </c>
      <c r="J442" s="38">
        <f t="shared" si="9"/>
        <v>208</v>
      </c>
      <c r="K442" s="39">
        <f t="shared" si="10"/>
        <v>192</v>
      </c>
      <c r="L442" s="38">
        <f t="shared" si="11"/>
        <v>184</v>
      </c>
      <c r="M442" s="39">
        <f t="shared" si="12"/>
        <v>176</v>
      </c>
      <c r="N442" s="40"/>
      <c r="O442" s="34"/>
      <c r="P442" s="35"/>
      <c r="Q442" s="35"/>
      <c r="R442" s="35"/>
      <c r="S442" s="35"/>
      <c r="T442" s="35"/>
      <c r="U442" s="35"/>
      <c r="V442" s="35"/>
      <c r="W442" s="35"/>
      <c r="X442" s="35"/>
      <c r="Y442" s="35"/>
      <c r="Z442" s="35"/>
    </row>
    <row r="443" ht="15.75" customHeight="1">
      <c r="A443" s="178" t="s">
        <v>563</v>
      </c>
      <c r="B443" s="66"/>
      <c r="C443" s="69" t="s">
        <v>1645</v>
      </c>
      <c r="D443" s="148" t="s">
        <v>1646</v>
      </c>
      <c r="E443" s="149"/>
      <c r="F443" s="67">
        <v>96.0</v>
      </c>
      <c r="G443" s="151">
        <v>45855.0</v>
      </c>
      <c r="H443" s="155">
        <f t="shared" si="7"/>
        <v>144</v>
      </c>
      <c r="I443" s="37">
        <f t="shared" si="8"/>
        <v>124.8</v>
      </c>
      <c r="J443" s="38">
        <f t="shared" si="9"/>
        <v>124.8</v>
      </c>
      <c r="K443" s="39">
        <f t="shared" si="10"/>
        <v>115.2</v>
      </c>
      <c r="L443" s="38">
        <f t="shared" si="11"/>
        <v>110.4</v>
      </c>
      <c r="M443" s="39">
        <f t="shared" si="12"/>
        <v>105.6</v>
      </c>
      <c r="N443" s="40"/>
      <c r="O443" s="34"/>
      <c r="P443" s="35"/>
      <c r="Q443" s="35"/>
      <c r="R443" s="35"/>
      <c r="S443" s="35"/>
      <c r="T443" s="35"/>
      <c r="U443" s="35"/>
      <c r="V443" s="35"/>
      <c r="W443" s="35"/>
      <c r="X443" s="35"/>
      <c r="Y443" s="35"/>
      <c r="Z443" s="35"/>
    </row>
    <row r="444" ht="15.75" customHeight="1">
      <c r="A444" s="178" t="s">
        <v>563</v>
      </c>
      <c r="B444" s="66"/>
      <c r="C444" s="66" t="s">
        <v>1647</v>
      </c>
      <c r="D444" s="149"/>
      <c r="E444" s="149"/>
      <c r="F444" s="200">
        <v>96.0</v>
      </c>
      <c r="G444" s="151">
        <v>45855.0</v>
      </c>
      <c r="H444" s="155">
        <f t="shared" si="7"/>
        <v>144</v>
      </c>
      <c r="I444" s="37">
        <f t="shared" si="8"/>
        <v>124.8</v>
      </c>
      <c r="J444" s="38">
        <f t="shared" si="9"/>
        <v>124.8</v>
      </c>
      <c r="K444" s="39">
        <f t="shared" si="10"/>
        <v>115.2</v>
      </c>
      <c r="L444" s="38">
        <f t="shared" si="11"/>
        <v>110.4</v>
      </c>
      <c r="M444" s="39">
        <f t="shared" si="12"/>
        <v>105.6</v>
      </c>
      <c r="N444" s="40"/>
      <c r="O444" s="34"/>
      <c r="P444" s="35"/>
      <c r="Q444" s="35"/>
      <c r="R444" s="35"/>
      <c r="S444" s="35"/>
      <c r="T444" s="35"/>
      <c r="U444" s="35"/>
      <c r="V444" s="35"/>
      <c r="W444" s="35"/>
      <c r="X444" s="35"/>
      <c r="Y444" s="35"/>
      <c r="Z444" s="35"/>
    </row>
    <row r="445" ht="15.75" customHeight="1">
      <c r="A445" s="178" t="s">
        <v>563</v>
      </c>
      <c r="B445" s="66"/>
      <c r="C445" s="66" t="s">
        <v>1648</v>
      </c>
      <c r="D445" s="149" t="s">
        <v>1649</v>
      </c>
      <c r="E445" s="149"/>
      <c r="F445" s="67">
        <v>3491.0</v>
      </c>
      <c r="G445" s="151">
        <v>45855.0</v>
      </c>
      <c r="H445" s="155">
        <f t="shared" si="7"/>
        <v>5236.5</v>
      </c>
      <c r="I445" s="37">
        <f t="shared" si="8"/>
        <v>4538.3</v>
      </c>
      <c r="J445" s="38">
        <f t="shared" si="9"/>
        <v>4538.3</v>
      </c>
      <c r="K445" s="39">
        <f t="shared" si="10"/>
        <v>4189.2</v>
      </c>
      <c r="L445" s="38">
        <f t="shared" si="11"/>
        <v>4014.65</v>
      </c>
      <c r="M445" s="39">
        <f t="shared" si="12"/>
        <v>3840.1</v>
      </c>
      <c r="N445" s="40"/>
      <c r="O445" s="34"/>
      <c r="P445" s="35"/>
      <c r="Q445" s="35"/>
      <c r="R445" s="35"/>
      <c r="S445" s="35"/>
      <c r="T445" s="35"/>
      <c r="U445" s="35"/>
      <c r="V445" s="35"/>
      <c r="W445" s="35"/>
      <c r="X445" s="35"/>
      <c r="Y445" s="35"/>
      <c r="Z445" s="35"/>
    </row>
    <row r="446" ht="15.75" customHeight="1">
      <c r="A446" s="178" t="s">
        <v>563</v>
      </c>
      <c r="B446" s="66"/>
      <c r="C446" s="69" t="s">
        <v>1650</v>
      </c>
      <c r="D446" s="148" t="s">
        <v>1651</v>
      </c>
      <c r="E446" s="149"/>
      <c r="F446" s="67">
        <v>5483.0</v>
      </c>
      <c r="G446" s="151">
        <v>45855.0</v>
      </c>
      <c r="H446" s="155">
        <f t="shared" si="7"/>
        <v>8224.5</v>
      </c>
      <c r="I446" s="37">
        <f t="shared" si="8"/>
        <v>7127.9</v>
      </c>
      <c r="J446" s="38">
        <f t="shared" si="9"/>
        <v>7127.9</v>
      </c>
      <c r="K446" s="39">
        <f t="shared" si="10"/>
        <v>6579.6</v>
      </c>
      <c r="L446" s="38">
        <f t="shared" si="11"/>
        <v>6305.45</v>
      </c>
      <c r="M446" s="39">
        <f t="shared" si="12"/>
        <v>6031.3</v>
      </c>
      <c r="N446" s="40"/>
      <c r="O446" s="34"/>
      <c r="P446" s="35"/>
      <c r="Q446" s="35"/>
      <c r="R446" s="35"/>
      <c r="S446" s="35"/>
      <c r="T446" s="35"/>
      <c r="U446" s="35"/>
      <c r="V446" s="35"/>
      <c r="W446" s="35"/>
      <c r="X446" s="35"/>
      <c r="Y446" s="35"/>
      <c r="Z446" s="35"/>
    </row>
    <row r="447" ht="15.75" customHeight="1">
      <c r="A447" s="178" t="s">
        <v>563</v>
      </c>
      <c r="B447" s="66"/>
      <c r="C447" s="69" t="s">
        <v>1652</v>
      </c>
      <c r="D447" s="148" t="s">
        <v>1653</v>
      </c>
      <c r="E447" s="149"/>
      <c r="F447" s="67">
        <v>4300.0</v>
      </c>
      <c r="G447" s="151">
        <v>45855.0</v>
      </c>
      <c r="H447" s="155">
        <f t="shared" si="7"/>
        <v>6450</v>
      </c>
      <c r="I447" s="37">
        <f t="shared" si="8"/>
        <v>5590</v>
      </c>
      <c r="J447" s="38">
        <f t="shared" si="9"/>
        <v>5590</v>
      </c>
      <c r="K447" s="39">
        <f t="shared" si="10"/>
        <v>5160</v>
      </c>
      <c r="L447" s="38">
        <f t="shared" si="11"/>
        <v>4945</v>
      </c>
      <c r="M447" s="39">
        <f t="shared" si="12"/>
        <v>4730</v>
      </c>
      <c r="N447" s="40"/>
      <c r="O447" s="34"/>
      <c r="P447" s="35"/>
      <c r="Q447" s="35"/>
      <c r="R447" s="35"/>
      <c r="S447" s="35"/>
      <c r="T447" s="35"/>
      <c r="U447" s="35"/>
      <c r="V447" s="35"/>
      <c r="W447" s="35"/>
      <c r="X447" s="35"/>
      <c r="Y447" s="35"/>
      <c r="Z447" s="35"/>
    </row>
    <row r="448" ht="15.75" customHeight="1">
      <c r="A448" s="178" t="s">
        <v>563</v>
      </c>
      <c r="B448" s="66"/>
      <c r="C448" s="69" t="s">
        <v>1654</v>
      </c>
      <c r="D448" s="148" t="s">
        <v>1651</v>
      </c>
      <c r="E448" s="149"/>
      <c r="F448" s="67">
        <v>5328.0</v>
      </c>
      <c r="G448" s="151">
        <v>45855.0</v>
      </c>
      <c r="H448" s="155">
        <f t="shared" si="7"/>
        <v>7992</v>
      </c>
      <c r="I448" s="37">
        <f t="shared" si="8"/>
        <v>6926.4</v>
      </c>
      <c r="J448" s="38">
        <f t="shared" si="9"/>
        <v>6926.4</v>
      </c>
      <c r="K448" s="39">
        <f t="shared" si="10"/>
        <v>6393.6</v>
      </c>
      <c r="L448" s="38">
        <f t="shared" si="11"/>
        <v>6127.2</v>
      </c>
      <c r="M448" s="39">
        <f t="shared" si="12"/>
        <v>5860.8</v>
      </c>
      <c r="N448" s="40"/>
      <c r="O448" s="34"/>
      <c r="P448" s="35"/>
      <c r="Q448" s="35"/>
      <c r="R448" s="35"/>
      <c r="S448" s="35"/>
      <c r="T448" s="35"/>
      <c r="U448" s="35"/>
      <c r="V448" s="35"/>
      <c r="W448" s="35"/>
      <c r="X448" s="35"/>
      <c r="Y448" s="35"/>
      <c r="Z448" s="35"/>
    </row>
    <row r="449" ht="15.75" customHeight="1">
      <c r="A449" s="178" t="s">
        <v>563</v>
      </c>
      <c r="B449" s="66"/>
      <c r="C449" s="69" t="s">
        <v>1655</v>
      </c>
      <c r="D449" s="148" t="s">
        <v>1656</v>
      </c>
      <c r="E449" s="149"/>
      <c r="F449" s="200">
        <v>5800.0</v>
      </c>
      <c r="G449" s="151">
        <v>45855.0</v>
      </c>
      <c r="H449" s="155">
        <f t="shared" si="7"/>
        <v>8700</v>
      </c>
      <c r="I449" s="37">
        <f t="shared" si="8"/>
        <v>7540</v>
      </c>
      <c r="J449" s="38">
        <f t="shared" si="9"/>
        <v>7540</v>
      </c>
      <c r="K449" s="39">
        <f t="shared" si="10"/>
        <v>6960</v>
      </c>
      <c r="L449" s="38">
        <f t="shared" si="11"/>
        <v>6670</v>
      </c>
      <c r="M449" s="39">
        <f t="shared" si="12"/>
        <v>6380</v>
      </c>
      <c r="N449" s="40"/>
      <c r="O449" s="34"/>
      <c r="P449" s="35"/>
      <c r="Q449" s="35"/>
      <c r="R449" s="35"/>
      <c r="S449" s="35"/>
      <c r="T449" s="35"/>
      <c r="U449" s="35"/>
      <c r="V449" s="35"/>
      <c r="W449" s="35"/>
      <c r="X449" s="35"/>
      <c r="Y449" s="35"/>
      <c r="Z449" s="35"/>
    </row>
    <row r="450" ht="15.75" customHeight="1">
      <c r="A450" s="178" t="s">
        <v>563</v>
      </c>
      <c r="B450" s="66"/>
      <c r="C450" s="69" t="s">
        <v>1657</v>
      </c>
      <c r="D450" s="148" t="s">
        <v>1653</v>
      </c>
      <c r="E450" s="149"/>
      <c r="F450" s="67">
        <v>4243.0</v>
      </c>
      <c r="G450" s="151">
        <v>45855.0</v>
      </c>
      <c r="H450" s="155">
        <f t="shared" si="7"/>
        <v>6364.5</v>
      </c>
      <c r="I450" s="37">
        <f t="shared" si="8"/>
        <v>5515.9</v>
      </c>
      <c r="J450" s="38">
        <f t="shared" si="9"/>
        <v>5515.9</v>
      </c>
      <c r="K450" s="39">
        <f t="shared" si="10"/>
        <v>5091.6</v>
      </c>
      <c r="L450" s="38">
        <f t="shared" si="11"/>
        <v>4879.45</v>
      </c>
      <c r="M450" s="39">
        <f t="shared" si="12"/>
        <v>4667.3</v>
      </c>
      <c r="N450" s="40"/>
      <c r="O450" s="34"/>
      <c r="P450" s="35"/>
      <c r="Q450" s="35"/>
      <c r="R450" s="35"/>
      <c r="S450" s="35"/>
      <c r="T450" s="35"/>
      <c r="U450" s="35"/>
      <c r="V450" s="35"/>
      <c r="W450" s="35"/>
      <c r="X450" s="35"/>
      <c r="Y450" s="35"/>
      <c r="Z450" s="35"/>
    </row>
    <row r="451" ht="15.75" customHeight="1">
      <c r="A451" s="178" t="s">
        <v>563</v>
      </c>
      <c r="B451" s="66"/>
      <c r="C451" s="69" t="s">
        <v>1658</v>
      </c>
      <c r="D451" s="149" t="s">
        <v>1659</v>
      </c>
      <c r="E451" s="149"/>
      <c r="F451" s="67">
        <v>3870.0</v>
      </c>
      <c r="G451" s="151">
        <v>45855.0</v>
      </c>
      <c r="H451" s="155">
        <f t="shared" si="7"/>
        <v>5805</v>
      </c>
      <c r="I451" s="37">
        <f t="shared" si="8"/>
        <v>5031</v>
      </c>
      <c r="J451" s="38">
        <f t="shared" si="9"/>
        <v>5031</v>
      </c>
      <c r="K451" s="39">
        <f t="shared" si="10"/>
        <v>4644</v>
      </c>
      <c r="L451" s="38">
        <f t="shared" si="11"/>
        <v>4450.5</v>
      </c>
      <c r="M451" s="39">
        <f t="shared" si="12"/>
        <v>4257</v>
      </c>
      <c r="N451" s="40"/>
      <c r="O451" s="34"/>
      <c r="P451" s="35"/>
      <c r="Q451" s="35"/>
      <c r="R451" s="35"/>
      <c r="S451" s="35"/>
      <c r="T451" s="35"/>
      <c r="U451" s="35"/>
      <c r="V451" s="35"/>
      <c r="W451" s="35"/>
      <c r="X451" s="35"/>
      <c r="Y451" s="35"/>
      <c r="Z451" s="35"/>
    </row>
    <row r="452" ht="15.75" customHeight="1">
      <c r="A452" s="178" t="s">
        <v>563</v>
      </c>
      <c r="B452" s="66"/>
      <c r="C452" s="66" t="s">
        <v>1660</v>
      </c>
      <c r="D452" s="149" t="s">
        <v>1661</v>
      </c>
      <c r="E452" s="149"/>
      <c r="F452" s="200">
        <v>4064.0</v>
      </c>
      <c r="G452" s="151">
        <v>45855.0</v>
      </c>
      <c r="H452" s="201">
        <f t="shared" si="7"/>
        <v>6096</v>
      </c>
      <c r="I452" s="202">
        <f t="shared" si="8"/>
        <v>5283.2</v>
      </c>
      <c r="J452" s="38">
        <f t="shared" si="9"/>
        <v>5283.2</v>
      </c>
      <c r="K452" s="39">
        <f t="shared" si="10"/>
        <v>4876.8</v>
      </c>
      <c r="L452" s="38">
        <f t="shared" si="11"/>
        <v>4673.6</v>
      </c>
      <c r="M452" s="39">
        <f t="shared" si="12"/>
        <v>4470.4</v>
      </c>
      <c r="N452" s="40"/>
      <c r="O452" s="34"/>
      <c r="P452" s="35"/>
      <c r="Q452" s="35"/>
      <c r="R452" s="35"/>
      <c r="S452" s="35"/>
      <c r="T452" s="35"/>
      <c r="U452" s="35"/>
      <c r="V452" s="35"/>
      <c r="W452" s="35"/>
      <c r="X452" s="35"/>
      <c r="Y452" s="35"/>
      <c r="Z452" s="35"/>
    </row>
    <row r="453" ht="15.75" customHeight="1">
      <c r="A453" s="178" t="s">
        <v>563</v>
      </c>
      <c r="B453" s="66"/>
      <c r="C453" s="66" t="s">
        <v>1662</v>
      </c>
      <c r="D453" s="149" t="s">
        <v>1663</v>
      </c>
      <c r="E453" s="149"/>
      <c r="F453" s="203">
        <v>3870.0</v>
      </c>
      <c r="G453" s="151">
        <v>45855.0</v>
      </c>
      <c r="H453" s="155">
        <f t="shared" si="7"/>
        <v>5805</v>
      </c>
      <c r="I453" s="37">
        <f t="shared" si="8"/>
        <v>5031</v>
      </c>
      <c r="J453" s="38">
        <f t="shared" si="9"/>
        <v>5031</v>
      </c>
      <c r="K453" s="39">
        <f t="shared" si="10"/>
        <v>4644</v>
      </c>
      <c r="L453" s="38">
        <f t="shared" si="11"/>
        <v>4450.5</v>
      </c>
      <c r="M453" s="39">
        <f t="shared" si="12"/>
        <v>4257</v>
      </c>
      <c r="N453" s="40"/>
      <c r="O453" s="34"/>
      <c r="P453" s="35"/>
      <c r="Q453" s="35"/>
      <c r="R453" s="35"/>
      <c r="S453" s="35"/>
      <c r="T453" s="35"/>
      <c r="U453" s="35"/>
      <c r="V453" s="35"/>
      <c r="W453" s="35"/>
      <c r="X453" s="35"/>
      <c r="Y453" s="35"/>
      <c r="Z453" s="35"/>
    </row>
    <row r="454" ht="15.75" customHeight="1">
      <c r="A454" s="204" t="s">
        <v>563</v>
      </c>
      <c r="B454" s="69" t="s">
        <v>1664</v>
      </c>
      <c r="C454" s="66" t="s">
        <v>1665</v>
      </c>
      <c r="D454" s="149" t="s">
        <v>1666</v>
      </c>
      <c r="E454" s="149"/>
      <c r="F454" s="67">
        <v>1194.0</v>
      </c>
      <c r="G454" s="151">
        <v>45855.0</v>
      </c>
      <c r="H454" s="155">
        <f t="shared" si="7"/>
        <v>1791</v>
      </c>
      <c r="I454" s="37">
        <f t="shared" si="8"/>
        <v>1552.2</v>
      </c>
      <c r="J454" s="38">
        <f t="shared" si="9"/>
        <v>1552.2</v>
      </c>
      <c r="K454" s="39">
        <f t="shared" si="10"/>
        <v>1432.8</v>
      </c>
      <c r="L454" s="38">
        <f t="shared" si="11"/>
        <v>1373.1</v>
      </c>
      <c r="M454" s="39">
        <f t="shared" si="12"/>
        <v>1313.4</v>
      </c>
      <c r="N454" s="40"/>
      <c r="O454" s="34"/>
      <c r="P454" s="35"/>
      <c r="Q454" s="35"/>
      <c r="R454" s="35"/>
      <c r="S454" s="35"/>
      <c r="T454" s="35"/>
      <c r="U454" s="35"/>
      <c r="V454" s="35"/>
      <c r="W454" s="35"/>
      <c r="X454" s="35"/>
      <c r="Y454" s="35"/>
      <c r="Z454" s="35"/>
    </row>
    <row r="455" ht="15.75" customHeight="1">
      <c r="A455" s="178" t="s">
        <v>563</v>
      </c>
      <c r="B455" s="66" t="s">
        <v>1664</v>
      </c>
      <c r="C455" s="69" t="s">
        <v>1667</v>
      </c>
      <c r="D455" s="205" t="s">
        <v>1668</v>
      </c>
      <c r="E455" s="206"/>
      <c r="F455" s="67">
        <v>1415.0</v>
      </c>
      <c r="G455" s="151">
        <v>45855.0</v>
      </c>
      <c r="H455" s="155">
        <f t="shared" si="7"/>
        <v>2122.5</v>
      </c>
      <c r="I455" s="37">
        <f t="shared" si="8"/>
        <v>1839.5</v>
      </c>
      <c r="J455" s="38">
        <f t="shared" si="9"/>
        <v>1839.5</v>
      </c>
      <c r="K455" s="39">
        <f t="shared" si="10"/>
        <v>1698</v>
      </c>
      <c r="L455" s="38">
        <f t="shared" si="11"/>
        <v>1627.25</v>
      </c>
      <c r="M455" s="39">
        <f t="shared" si="12"/>
        <v>1556.5</v>
      </c>
      <c r="N455" s="40"/>
      <c r="O455" s="34"/>
      <c r="P455" s="35"/>
      <c r="Q455" s="35"/>
      <c r="R455" s="35"/>
      <c r="S455" s="35"/>
      <c r="T455" s="35"/>
      <c r="U455" s="35"/>
      <c r="V455" s="35"/>
      <c r="W455" s="35"/>
      <c r="X455" s="35"/>
      <c r="Y455" s="35"/>
      <c r="Z455" s="35"/>
    </row>
    <row r="456" ht="15.75" customHeight="1">
      <c r="A456" s="178" t="s">
        <v>563</v>
      </c>
      <c r="B456" s="66" t="s">
        <v>1664</v>
      </c>
      <c r="C456" s="69" t="s">
        <v>1669</v>
      </c>
      <c r="D456" s="149" t="s">
        <v>1670</v>
      </c>
      <c r="E456" s="149"/>
      <c r="F456" s="67">
        <v>2156.0</v>
      </c>
      <c r="G456" s="151">
        <v>45855.0</v>
      </c>
      <c r="H456" s="155">
        <f t="shared" si="7"/>
        <v>3234</v>
      </c>
      <c r="I456" s="37">
        <f t="shared" si="8"/>
        <v>2802.8</v>
      </c>
      <c r="J456" s="38">
        <f t="shared" si="9"/>
        <v>2802.8</v>
      </c>
      <c r="K456" s="39">
        <f t="shared" si="10"/>
        <v>2587.2</v>
      </c>
      <c r="L456" s="38">
        <f t="shared" si="11"/>
        <v>2479.4</v>
      </c>
      <c r="M456" s="39">
        <f t="shared" si="12"/>
        <v>2371.6</v>
      </c>
      <c r="N456" s="40"/>
      <c r="O456" s="34"/>
      <c r="P456" s="35"/>
      <c r="Q456" s="35"/>
      <c r="R456" s="35"/>
      <c r="S456" s="35"/>
      <c r="T456" s="35"/>
      <c r="U456" s="35"/>
      <c r="V456" s="35"/>
      <c r="W456" s="35"/>
      <c r="X456" s="35"/>
      <c r="Y456" s="35"/>
      <c r="Z456" s="35"/>
    </row>
    <row r="457" ht="15.75" customHeight="1">
      <c r="A457" s="178" t="s">
        <v>563</v>
      </c>
      <c r="B457" s="66" t="s">
        <v>1664</v>
      </c>
      <c r="C457" s="69" t="s">
        <v>1671</v>
      </c>
      <c r="D457" s="149" t="s">
        <v>1672</v>
      </c>
      <c r="E457" s="149"/>
      <c r="F457" s="67">
        <v>2589.0</v>
      </c>
      <c r="G457" s="151">
        <v>45855.0</v>
      </c>
      <c r="H457" s="155">
        <f t="shared" si="7"/>
        <v>3883.5</v>
      </c>
      <c r="I457" s="37">
        <f t="shared" si="8"/>
        <v>3365.7</v>
      </c>
      <c r="J457" s="38">
        <f t="shared" si="9"/>
        <v>3365.7</v>
      </c>
      <c r="K457" s="39">
        <f t="shared" si="10"/>
        <v>3106.8</v>
      </c>
      <c r="L457" s="38">
        <f t="shared" si="11"/>
        <v>2977.35</v>
      </c>
      <c r="M457" s="39">
        <f t="shared" si="12"/>
        <v>2847.9</v>
      </c>
      <c r="N457" s="40"/>
      <c r="O457" s="34"/>
      <c r="P457" s="35"/>
      <c r="Q457" s="35"/>
      <c r="R457" s="35"/>
      <c r="S457" s="35"/>
      <c r="T457" s="35"/>
      <c r="U457" s="35"/>
      <c r="V457" s="35"/>
      <c r="W457" s="35"/>
      <c r="X457" s="35"/>
      <c r="Y457" s="35"/>
      <c r="Z457" s="35"/>
    </row>
    <row r="458" ht="15.75" customHeight="1">
      <c r="A458" s="178" t="s">
        <v>563</v>
      </c>
      <c r="B458" s="66" t="s">
        <v>1664</v>
      </c>
      <c r="C458" s="69" t="s">
        <v>1673</v>
      </c>
      <c r="D458" s="149" t="s">
        <v>1674</v>
      </c>
      <c r="E458" s="149"/>
      <c r="F458" s="67">
        <v>6314.0</v>
      </c>
      <c r="G458" s="151">
        <v>45855.0</v>
      </c>
      <c r="H458" s="155">
        <f t="shared" si="7"/>
        <v>9471</v>
      </c>
      <c r="I458" s="37">
        <f t="shared" si="8"/>
        <v>8208.2</v>
      </c>
      <c r="J458" s="38">
        <f t="shared" si="9"/>
        <v>8208.2</v>
      </c>
      <c r="K458" s="39">
        <f t="shared" si="10"/>
        <v>7576.8</v>
      </c>
      <c r="L458" s="38">
        <f t="shared" si="11"/>
        <v>7261.1</v>
      </c>
      <c r="M458" s="39">
        <f t="shared" si="12"/>
        <v>6945.4</v>
      </c>
      <c r="N458" s="40"/>
      <c r="O458" s="34"/>
      <c r="P458" s="35"/>
      <c r="Q458" s="35"/>
      <c r="R458" s="35"/>
      <c r="S458" s="35"/>
      <c r="T458" s="35"/>
      <c r="U458" s="35"/>
      <c r="V458" s="35"/>
      <c r="W458" s="35"/>
      <c r="X458" s="35"/>
      <c r="Y458" s="35"/>
      <c r="Z458" s="35"/>
    </row>
    <row r="459" ht="15.75" customHeight="1">
      <c r="A459" s="178" t="s">
        <v>563</v>
      </c>
      <c r="B459" s="66" t="s">
        <v>1664</v>
      </c>
      <c r="C459" s="66" t="s">
        <v>1675</v>
      </c>
      <c r="D459" s="149" t="s">
        <v>1676</v>
      </c>
      <c r="E459" s="149"/>
      <c r="F459" s="67">
        <v>8528.0</v>
      </c>
      <c r="G459" s="151">
        <v>45855.0</v>
      </c>
      <c r="H459" s="155">
        <f t="shared" si="7"/>
        <v>12792</v>
      </c>
      <c r="I459" s="37">
        <f t="shared" si="8"/>
        <v>11086.4</v>
      </c>
      <c r="J459" s="38">
        <f t="shared" si="9"/>
        <v>11086.4</v>
      </c>
      <c r="K459" s="39">
        <f t="shared" si="10"/>
        <v>10233.6</v>
      </c>
      <c r="L459" s="38">
        <f t="shared" si="11"/>
        <v>9807.2</v>
      </c>
      <c r="M459" s="39">
        <f t="shared" si="12"/>
        <v>9380.8</v>
      </c>
      <c r="N459" s="40"/>
      <c r="O459" s="34"/>
      <c r="P459" s="35"/>
      <c r="Q459" s="35"/>
      <c r="R459" s="35"/>
      <c r="S459" s="35"/>
      <c r="T459" s="35"/>
      <c r="U459" s="35"/>
      <c r="V459" s="35"/>
      <c r="W459" s="35"/>
      <c r="X459" s="35"/>
      <c r="Y459" s="35"/>
      <c r="Z459" s="35"/>
    </row>
    <row r="460" ht="15.75" customHeight="1">
      <c r="A460" s="178" t="s">
        <v>563</v>
      </c>
      <c r="B460" s="66" t="s">
        <v>1664</v>
      </c>
      <c r="C460" s="66" t="s">
        <v>1677</v>
      </c>
      <c r="D460" s="205" t="s">
        <v>1678</v>
      </c>
      <c r="E460" s="207"/>
      <c r="F460" s="67">
        <v>1559.0</v>
      </c>
      <c r="G460" s="151">
        <v>45855.0</v>
      </c>
      <c r="H460" s="155">
        <f t="shared" si="7"/>
        <v>2338.5</v>
      </c>
      <c r="I460" s="37">
        <f t="shared" si="8"/>
        <v>2026.7</v>
      </c>
      <c r="J460" s="38">
        <f t="shared" si="9"/>
        <v>2026.7</v>
      </c>
      <c r="K460" s="39">
        <f t="shared" si="10"/>
        <v>1870.8</v>
      </c>
      <c r="L460" s="38">
        <f t="shared" si="11"/>
        <v>1792.85</v>
      </c>
      <c r="M460" s="39">
        <f t="shared" si="12"/>
        <v>1714.9</v>
      </c>
      <c r="N460" s="40"/>
      <c r="O460" s="34"/>
      <c r="P460" s="35"/>
      <c r="Q460" s="35"/>
      <c r="R460" s="35"/>
      <c r="S460" s="35"/>
      <c r="T460" s="35"/>
      <c r="U460" s="35"/>
      <c r="V460" s="35"/>
      <c r="W460" s="35"/>
      <c r="X460" s="35"/>
      <c r="Y460" s="35"/>
      <c r="Z460" s="35"/>
    </row>
    <row r="461" ht="15.75" customHeight="1">
      <c r="A461" s="204" t="s">
        <v>563</v>
      </c>
      <c r="B461" s="69" t="s">
        <v>1664</v>
      </c>
      <c r="C461" s="66" t="s">
        <v>1679</v>
      </c>
      <c r="D461" s="205" t="s">
        <v>1680</v>
      </c>
      <c r="E461" s="207"/>
      <c r="F461" s="67">
        <v>2888.0</v>
      </c>
      <c r="G461" s="151">
        <v>45855.0</v>
      </c>
      <c r="H461" s="155">
        <f t="shared" si="7"/>
        <v>4332</v>
      </c>
      <c r="I461" s="37">
        <f t="shared" si="8"/>
        <v>3754.4</v>
      </c>
      <c r="J461" s="38">
        <f t="shared" si="9"/>
        <v>3754.4</v>
      </c>
      <c r="K461" s="39">
        <f t="shared" si="10"/>
        <v>3465.6</v>
      </c>
      <c r="L461" s="38">
        <f t="shared" si="11"/>
        <v>3321.2</v>
      </c>
      <c r="M461" s="39">
        <f t="shared" si="12"/>
        <v>3176.8</v>
      </c>
      <c r="N461" s="40"/>
      <c r="O461" s="34"/>
      <c r="P461" s="35"/>
      <c r="Q461" s="35"/>
      <c r="R461" s="35"/>
      <c r="S461" s="35"/>
      <c r="T461" s="35"/>
      <c r="U461" s="35"/>
      <c r="V461" s="35"/>
      <c r="W461" s="35"/>
      <c r="X461" s="35"/>
      <c r="Y461" s="35"/>
      <c r="Z461" s="35"/>
    </row>
    <row r="462" ht="15.75" customHeight="1">
      <c r="A462" s="178" t="s">
        <v>563</v>
      </c>
      <c r="B462" s="66" t="s">
        <v>1664</v>
      </c>
      <c r="C462" s="66" t="s">
        <v>1681</v>
      </c>
      <c r="D462" s="205" t="s">
        <v>1682</v>
      </c>
      <c r="E462" s="207"/>
      <c r="F462" s="67">
        <v>7787.0</v>
      </c>
      <c r="G462" s="151">
        <v>45855.0</v>
      </c>
      <c r="H462" s="155">
        <f t="shared" si="7"/>
        <v>11680.5</v>
      </c>
      <c r="I462" s="37">
        <f t="shared" si="8"/>
        <v>10123.1</v>
      </c>
      <c r="J462" s="38">
        <f t="shared" si="9"/>
        <v>10123.1</v>
      </c>
      <c r="K462" s="39">
        <f t="shared" si="10"/>
        <v>9344.4</v>
      </c>
      <c r="L462" s="38">
        <f t="shared" si="11"/>
        <v>8955.05</v>
      </c>
      <c r="M462" s="39">
        <f t="shared" si="12"/>
        <v>8565.7</v>
      </c>
      <c r="N462" s="40"/>
      <c r="O462" s="34"/>
      <c r="P462" s="35"/>
      <c r="Q462" s="35"/>
      <c r="R462" s="35"/>
      <c r="S462" s="35"/>
      <c r="T462" s="35"/>
      <c r="U462" s="35"/>
      <c r="V462" s="35"/>
      <c r="W462" s="35"/>
      <c r="X462" s="35"/>
      <c r="Y462" s="35"/>
      <c r="Z462" s="35"/>
    </row>
    <row r="463" ht="11.25" customHeight="1">
      <c r="A463" s="178" t="s">
        <v>563</v>
      </c>
      <c r="B463" s="66" t="s">
        <v>1664</v>
      </c>
      <c r="C463" s="66" t="s">
        <v>1683</v>
      </c>
      <c r="D463" s="205" t="s">
        <v>1684</v>
      </c>
      <c r="E463" s="207"/>
      <c r="F463" s="67">
        <v>10010.0</v>
      </c>
      <c r="G463" s="151">
        <v>45855.0</v>
      </c>
      <c r="H463" s="155">
        <f t="shared" si="7"/>
        <v>15015</v>
      </c>
      <c r="I463" s="37">
        <f t="shared" si="8"/>
        <v>13013</v>
      </c>
      <c r="J463" s="38">
        <f t="shared" si="9"/>
        <v>13013</v>
      </c>
      <c r="K463" s="39">
        <f t="shared" si="10"/>
        <v>12012</v>
      </c>
      <c r="L463" s="38">
        <f t="shared" si="11"/>
        <v>11511.5</v>
      </c>
      <c r="M463" s="39">
        <f t="shared" si="12"/>
        <v>11011</v>
      </c>
      <c r="N463" s="40"/>
      <c r="O463" s="34"/>
      <c r="P463" s="35"/>
      <c r="Q463" s="35"/>
      <c r="R463" s="35"/>
      <c r="S463" s="35"/>
      <c r="T463" s="35"/>
      <c r="U463" s="35"/>
      <c r="V463" s="35"/>
      <c r="W463" s="35"/>
      <c r="X463" s="35"/>
      <c r="Y463" s="35"/>
      <c r="Z463" s="35"/>
    </row>
    <row r="464" ht="15.75" customHeight="1">
      <c r="A464" s="178" t="s">
        <v>563</v>
      </c>
      <c r="B464" s="66" t="s">
        <v>1664</v>
      </c>
      <c r="C464" s="66" t="s">
        <v>1685</v>
      </c>
      <c r="D464" s="149" t="s">
        <v>1686</v>
      </c>
      <c r="E464" s="149"/>
      <c r="F464" s="67">
        <v>10424.0</v>
      </c>
      <c r="G464" s="151">
        <v>45855.0</v>
      </c>
      <c r="H464" s="155">
        <f t="shared" si="7"/>
        <v>15636</v>
      </c>
      <c r="I464" s="37">
        <f t="shared" si="8"/>
        <v>13551.2</v>
      </c>
      <c r="J464" s="38">
        <f t="shared" si="9"/>
        <v>13551.2</v>
      </c>
      <c r="K464" s="39">
        <f t="shared" si="10"/>
        <v>12508.8</v>
      </c>
      <c r="L464" s="38">
        <f t="shared" si="11"/>
        <v>11987.6</v>
      </c>
      <c r="M464" s="39">
        <f t="shared" si="12"/>
        <v>11466.4</v>
      </c>
      <c r="N464" s="40"/>
      <c r="O464" s="34"/>
      <c r="P464" s="35"/>
      <c r="Q464" s="35"/>
      <c r="R464" s="35"/>
      <c r="S464" s="35"/>
      <c r="T464" s="35"/>
      <c r="U464" s="35"/>
      <c r="V464" s="35"/>
      <c r="W464" s="35"/>
      <c r="X464" s="35"/>
      <c r="Y464" s="35"/>
      <c r="Z464" s="35"/>
    </row>
    <row r="465" ht="15.75" customHeight="1">
      <c r="A465" s="178" t="s">
        <v>563</v>
      </c>
      <c r="B465" s="66" t="s">
        <v>1664</v>
      </c>
      <c r="C465" s="66" t="s">
        <v>1687</v>
      </c>
      <c r="D465" s="149" t="s">
        <v>1688</v>
      </c>
      <c r="E465" s="149"/>
      <c r="F465" s="67">
        <v>1713.0</v>
      </c>
      <c r="G465" s="151">
        <v>45855.0</v>
      </c>
      <c r="H465" s="155">
        <f t="shared" si="7"/>
        <v>2569.5</v>
      </c>
      <c r="I465" s="37">
        <f t="shared" si="8"/>
        <v>2226.9</v>
      </c>
      <c r="J465" s="38">
        <f t="shared" si="9"/>
        <v>2226.9</v>
      </c>
      <c r="K465" s="39">
        <f t="shared" si="10"/>
        <v>2055.6</v>
      </c>
      <c r="L465" s="38">
        <f t="shared" si="11"/>
        <v>1969.95</v>
      </c>
      <c r="M465" s="39">
        <f t="shared" si="12"/>
        <v>1884.3</v>
      </c>
      <c r="N465" s="40"/>
      <c r="O465" s="34"/>
      <c r="P465" s="35"/>
      <c r="Q465" s="35"/>
      <c r="R465" s="35"/>
      <c r="S465" s="35"/>
      <c r="T465" s="35"/>
      <c r="U465" s="35"/>
      <c r="V465" s="35"/>
      <c r="W465" s="35"/>
      <c r="X465" s="35"/>
      <c r="Y465" s="35"/>
      <c r="Z465" s="35"/>
    </row>
    <row r="466" ht="15.75" customHeight="1">
      <c r="A466" s="178" t="s">
        <v>563</v>
      </c>
      <c r="B466" s="66" t="s">
        <v>1664</v>
      </c>
      <c r="C466" s="66" t="s">
        <v>1689</v>
      </c>
      <c r="D466" s="149" t="s">
        <v>1688</v>
      </c>
      <c r="E466" s="149"/>
      <c r="F466" s="67">
        <v>3629.0</v>
      </c>
      <c r="G466" s="151">
        <v>45855.0</v>
      </c>
      <c r="H466" s="155">
        <f t="shared" si="7"/>
        <v>5443.5</v>
      </c>
      <c r="I466" s="37">
        <f t="shared" si="8"/>
        <v>4717.7</v>
      </c>
      <c r="J466" s="38">
        <f t="shared" si="9"/>
        <v>4717.7</v>
      </c>
      <c r="K466" s="39">
        <f t="shared" si="10"/>
        <v>4354.8</v>
      </c>
      <c r="L466" s="38">
        <f t="shared" si="11"/>
        <v>4173.35</v>
      </c>
      <c r="M466" s="39">
        <f t="shared" si="12"/>
        <v>3991.9</v>
      </c>
      <c r="N466" s="40"/>
      <c r="O466" s="34"/>
      <c r="P466" s="35"/>
      <c r="Q466" s="35"/>
      <c r="R466" s="35"/>
      <c r="S466" s="35"/>
      <c r="T466" s="35"/>
      <c r="U466" s="35"/>
      <c r="V466" s="35"/>
      <c r="W466" s="35"/>
      <c r="X466" s="35"/>
      <c r="Y466" s="35"/>
      <c r="Z466" s="35"/>
    </row>
    <row r="467" ht="15.75" customHeight="1">
      <c r="A467" s="178" t="s">
        <v>563</v>
      </c>
      <c r="B467" s="66" t="s">
        <v>1664</v>
      </c>
      <c r="C467" s="66" t="s">
        <v>1690</v>
      </c>
      <c r="D467" s="149" t="s">
        <v>1691</v>
      </c>
      <c r="E467" s="149"/>
      <c r="F467" s="67">
        <v>1530.0</v>
      </c>
      <c r="G467" s="151">
        <v>45855.0</v>
      </c>
      <c r="H467" s="155">
        <f t="shared" si="7"/>
        <v>2295</v>
      </c>
      <c r="I467" s="37">
        <f t="shared" si="8"/>
        <v>1989</v>
      </c>
      <c r="J467" s="38">
        <f t="shared" si="9"/>
        <v>1989</v>
      </c>
      <c r="K467" s="39">
        <f t="shared" si="10"/>
        <v>1836</v>
      </c>
      <c r="L467" s="38">
        <f t="shared" si="11"/>
        <v>1759.5</v>
      </c>
      <c r="M467" s="39">
        <f t="shared" si="12"/>
        <v>1683</v>
      </c>
      <c r="N467" s="40"/>
      <c r="O467" s="34"/>
      <c r="P467" s="35"/>
      <c r="Q467" s="35"/>
      <c r="R467" s="35"/>
      <c r="S467" s="35"/>
      <c r="T467" s="35"/>
      <c r="U467" s="35"/>
      <c r="V467" s="35"/>
      <c r="W467" s="35"/>
      <c r="X467" s="35"/>
      <c r="Y467" s="35"/>
      <c r="Z467" s="35"/>
    </row>
    <row r="468" ht="15.75" customHeight="1">
      <c r="A468" s="178" t="s">
        <v>563</v>
      </c>
      <c r="B468" s="66" t="s">
        <v>1664</v>
      </c>
      <c r="C468" s="66" t="s">
        <v>1692</v>
      </c>
      <c r="D468" s="149" t="s">
        <v>1691</v>
      </c>
      <c r="E468" s="149"/>
      <c r="F468" s="67">
        <v>2830.0</v>
      </c>
      <c r="G468" s="151">
        <v>45855.0</v>
      </c>
      <c r="H468" s="155">
        <f t="shared" si="7"/>
        <v>4245</v>
      </c>
      <c r="I468" s="37">
        <f t="shared" si="8"/>
        <v>3679</v>
      </c>
      <c r="J468" s="38">
        <f t="shared" si="9"/>
        <v>3679</v>
      </c>
      <c r="K468" s="39">
        <f t="shared" si="10"/>
        <v>3396</v>
      </c>
      <c r="L468" s="38">
        <f t="shared" si="11"/>
        <v>3254.5</v>
      </c>
      <c r="M468" s="39">
        <f t="shared" si="12"/>
        <v>3113</v>
      </c>
      <c r="N468" s="40"/>
      <c r="O468" s="34"/>
      <c r="P468" s="35"/>
      <c r="Q468" s="35"/>
      <c r="R468" s="35"/>
      <c r="S468" s="35"/>
      <c r="T468" s="35"/>
      <c r="U468" s="35"/>
      <c r="V468" s="35"/>
      <c r="W468" s="35"/>
      <c r="X468" s="35"/>
      <c r="Y468" s="35"/>
      <c r="Z468" s="35"/>
    </row>
    <row r="469" ht="15.75" customHeight="1">
      <c r="A469" s="178" t="s">
        <v>563</v>
      </c>
      <c r="B469" s="66" t="s">
        <v>1664</v>
      </c>
      <c r="C469" s="66" t="s">
        <v>1693</v>
      </c>
      <c r="D469" s="149" t="s">
        <v>1691</v>
      </c>
      <c r="E469" s="149"/>
      <c r="F469" s="67">
        <v>7199.0</v>
      </c>
      <c r="G469" s="151">
        <v>45855.0</v>
      </c>
      <c r="H469" s="155">
        <f t="shared" si="7"/>
        <v>10798.5</v>
      </c>
      <c r="I469" s="37">
        <f t="shared" si="8"/>
        <v>9358.7</v>
      </c>
      <c r="J469" s="38">
        <f t="shared" si="9"/>
        <v>9358.7</v>
      </c>
      <c r="K469" s="39">
        <f t="shared" si="10"/>
        <v>8638.8</v>
      </c>
      <c r="L469" s="38">
        <f t="shared" si="11"/>
        <v>8278.85</v>
      </c>
      <c r="M469" s="39">
        <f t="shared" si="12"/>
        <v>7918.9</v>
      </c>
      <c r="N469" s="40"/>
      <c r="O469" s="34"/>
      <c r="P469" s="35"/>
      <c r="Q469" s="35"/>
      <c r="R469" s="35"/>
      <c r="S469" s="35"/>
      <c r="T469" s="35"/>
      <c r="U469" s="35"/>
      <c r="V469" s="35"/>
      <c r="W469" s="35"/>
      <c r="X469" s="35"/>
      <c r="Y469" s="35"/>
      <c r="Z469" s="35"/>
    </row>
    <row r="470" ht="15.75" customHeight="1">
      <c r="A470" s="204" t="s">
        <v>563</v>
      </c>
      <c r="B470" s="69" t="s">
        <v>1664</v>
      </c>
      <c r="C470" s="66" t="s">
        <v>1694</v>
      </c>
      <c r="D470" s="149" t="s">
        <v>1691</v>
      </c>
      <c r="E470" s="149"/>
      <c r="F470" s="67">
        <v>10905.0</v>
      </c>
      <c r="G470" s="151">
        <v>45855.0</v>
      </c>
      <c r="H470" s="155">
        <f t="shared" si="7"/>
        <v>16357.5</v>
      </c>
      <c r="I470" s="37">
        <f t="shared" si="8"/>
        <v>14176.5</v>
      </c>
      <c r="J470" s="38">
        <f t="shared" si="9"/>
        <v>14176.5</v>
      </c>
      <c r="K470" s="39">
        <f t="shared" si="10"/>
        <v>13086</v>
      </c>
      <c r="L470" s="38">
        <f t="shared" si="11"/>
        <v>12540.75</v>
      </c>
      <c r="M470" s="39">
        <f t="shared" si="12"/>
        <v>11995.5</v>
      </c>
      <c r="N470" s="40"/>
      <c r="O470" s="34"/>
      <c r="P470" s="35"/>
      <c r="Q470" s="35"/>
      <c r="R470" s="35"/>
      <c r="S470" s="35"/>
      <c r="T470" s="35"/>
      <c r="U470" s="35"/>
      <c r="V470" s="35"/>
      <c r="W470" s="35"/>
      <c r="X470" s="35"/>
      <c r="Y470" s="35"/>
      <c r="Z470" s="35"/>
    </row>
    <row r="471" ht="15.75" customHeight="1">
      <c r="A471" s="204" t="s">
        <v>563</v>
      </c>
      <c r="B471" s="69" t="s">
        <v>1664</v>
      </c>
      <c r="C471" s="66" t="s">
        <v>1695</v>
      </c>
      <c r="D471" s="149" t="s">
        <v>1696</v>
      </c>
      <c r="E471" s="149"/>
      <c r="F471" s="67">
        <v>4950.0</v>
      </c>
      <c r="G471" s="151">
        <v>45855.0</v>
      </c>
      <c r="H471" s="155">
        <f t="shared" si="7"/>
        <v>7425</v>
      </c>
      <c r="I471" s="37">
        <f t="shared" si="8"/>
        <v>6435</v>
      </c>
      <c r="J471" s="38">
        <f t="shared" si="9"/>
        <v>6435</v>
      </c>
      <c r="K471" s="39">
        <f t="shared" si="10"/>
        <v>5940</v>
      </c>
      <c r="L471" s="38">
        <f t="shared" si="11"/>
        <v>5692.5</v>
      </c>
      <c r="M471" s="39">
        <f t="shared" si="12"/>
        <v>5445</v>
      </c>
      <c r="N471" s="40"/>
      <c r="O471" s="34"/>
      <c r="P471" s="35"/>
      <c r="Q471" s="35"/>
      <c r="R471" s="35"/>
      <c r="S471" s="35"/>
      <c r="T471" s="35"/>
      <c r="U471" s="35"/>
      <c r="V471" s="35"/>
      <c r="W471" s="35"/>
      <c r="X471" s="35"/>
      <c r="Y471" s="35"/>
      <c r="Z471" s="35"/>
    </row>
    <row r="472" ht="15.75" customHeight="1">
      <c r="A472" s="178" t="s">
        <v>563</v>
      </c>
      <c r="B472" s="66" t="s">
        <v>1664</v>
      </c>
      <c r="C472" s="66" t="s">
        <v>1697</v>
      </c>
      <c r="D472" s="149" t="s">
        <v>1696</v>
      </c>
      <c r="E472" s="149"/>
      <c r="F472" s="208">
        <v>12000.0</v>
      </c>
      <c r="G472" s="151">
        <v>45855.0</v>
      </c>
      <c r="H472" s="155">
        <f t="shared" si="7"/>
        <v>18000</v>
      </c>
      <c r="I472" s="37">
        <f t="shared" si="8"/>
        <v>15600</v>
      </c>
      <c r="J472" s="38">
        <f t="shared" si="9"/>
        <v>15600</v>
      </c>
      <c r="K472" s="39">
        <f t="shared" si="10"/>
        <v>14400</v>
      </c>
      <c r="L472" s="38">
        <f t="shared" si="11"/>
        <v>13800</v>
      </c>
      <c r="M472" s="39">
        <f t="shared" si="12"/>
        <v>13200</v>
      </c>
      <c r="N472" s="40"/>
      <c r="O472" s="34"/>
      <c r="P472" s="35"/>
      <c r="Q472" s="35"/>
      <c r="R472" s="35"/>
      <c r="S472" s="35"/>
      <c r="T472" s="35"/>
      <c r="U472" s="35"/>
      <c r="V472" s="35"/>
      <c r="W472" s="35"/>
      <c r="X472" s="35"/>
      <c r="Y472" s="35"/>
      <c r="Z472" s="35"/>
    </row>
    <row r="473" ht="15.75" customHeight="1">
      <c r="A473" s="178" t="s">
        <v>563</v>
      </c>
      <c r="B473" s="66" t="s">
        <v>1664</v>
      </c>
      <c r="C473" s="69" t="s">
        <v>1698</v>
      </c>
      <c r="D473" s="148" t="s">
        <v>1699</v>
      </c>
      <c r="E473" s="149"/>
      <c r="F473" s="208">
        <v>15000.0</v>
      </c>
      <c r="G473" s="151">
        <v>45855.0</v>
      </c>
      <c r="H473" s="155">
        <f t="shared" si="7"/>
        <v>22500</v>
      </c>
      <c r="I473" s="37">
        <f t="shared" si="8"/>
        <v>19500</v>
      </c>
      <c r="J473" s="38">
        <f t="shared" si="9"/>
        <v>19500</v>
      </c>
      <c r="K473" s="39">
        <f t="shared" si="10"/>
        <v>18000</v>
      </c>
      <c r="L473" s="38">
        <f t="shared" si="11"/>
        <v>17250</v>
      </c>
      <c r="M473" s="39">
        <f t="shared" si="12"/>
        <v>16500</v>
      </c>
      <c r="N473" s="40"/>
      <c r="O473" s="34"/>
      <c r="P473" s="35"/>
      <c r="Q473" s="35"/>
      <c r="R473" s="35"/>
      <c r="S473" s="35"/>
      <c r="T473" s="35"/>
      <c r="U473" s="35"/>
      <c r="V473" s="35"/>
      <c r="W473" s="35"/>
      <c r="X473" s="35"/>
      <c r="Y473" s="35"/>
      <c r="Z473" s="35"/>
    </row>
    <row r="474" ht="15.75" customHeight="1">
      <c r="A474" s="178" t="s">
        <v>563</v>
      </c>
      <c r="B474" s="66" t="s">
        <v>1664</v>
      </c>
      <c r="C474" s="69" t="s">
        <v>1700</v>
      </c>
      <c r="D474" s="148" t="s">
        <v>1701</v>
      </c>
      <c r="E474" s="149"/>
      <c r="F474" s="208">
        <v>13750.0</v>
      </c>
      <c r="G474" s="151">
        <v>45855.0</v>
      </c>
      <c r="H474" s="155">
        <f t="shared" si="7"/>
        <v>20625</v>
      </c>
      <c r="I474" s="37">
        <f t="shared" si="8"/>
        <v>17875</v>
      </c>
      <c r="J474" s="38">
        <f t="shared" si="9"/>
        <v>17875</v>
      </c>
      <c r="K474" s="39">
        <f t="shared" si="10"/>
        <v>16500</v>
      </c>
      <c r="L474" s="38">
        <f t="shared" si="11"/>
        <v>15812.5</v>
      </c>
      <c r="M474" s="39">
        <f t="shared" si="12"/>
        <v>15125</v>
      </c>
      <c r="N474" s="40"/>
      <c r="O474" s="34"/>
      <c r="P474" s="35"/>
      <c r="Q474" s="35"/>
      <c r="R474" s="35"/>
      <c r="S474" s="35"/>
      <c r="T474" s="35"/>
      <c r="U474" s="35"/>
      <c r="V474" s="35"/>
      <c r="W474" s="35"/>
      <c r="X474" s="35"/>
      <c r="Y474" s="35"/>
      <c r="Z474" s="35"/>
    </row>
    <row r="475" ht="15.75" customHeight="1">
      <c r="A475" s="178" t="s">
        <v>563</v>
      </c>
      <c r="B475" s="66" t="s">
        <v>1664</v>
      </c>
      <c r="C475" s="69" t="s">
        <v>1702</v>
      </c>
      <c r="D475" s="148" t="s">
        <v>1701</v>
      </c>
      <c r="E475" s="149"/>
      <c r="F475" s="208">
        <v>25630.0</v>
      </c>
      <c r="G475" s="151">
        <v>45855.0</v>
      </c>
      <c r="H475" s="155">
        <f t="shared" si="7"/>
        <v>38445</v>
      </c>
      <c r="I475" s="37">
        <f t="shared" si="8"/>
        <v>33319</v>
      </c>
      <c r="J475" s="38">
        <f t="shared" si="9"/>
        <v>33319</v>
      </c>
      <c r="K475" s="39">
        <f t="shared" si="10"/>
        <v>30756</v>
      </c>
      <c r="L475" s="38">
        <f t="shared" si="11"/>
        <v>29474.5</v>
      </c>
      <c r="M475" s="39">
        <f t="shared" si="12"/>
        <v>28193</v>
      </c>
      <c r="N475" s="40"/>
      <c r="O475" s="34"/>
      <c r="P475" s="35"/>
      <c r="Q475" s="35"/>
      <c r="R475" s="35"/>
      <c r="S475" s="35"/>
      <c r="T475" s="35"/>
      <c r="U475" s="35"/>
      <c r="V475" s="35"/>
      <c r="W475" s="35"/>
      <c r="X475" s="35"/>
      <c r="Y475" s="35"/>
      <c r="Z475" s="35"/>
    </row>
    <row r="476" ht="15.75" customHeight="1">
      <c r="A476" s="178" t="s">
        <v>563</v>
      </c>
      <c r="B476" s="69" t="s">
        <v>1664</v>
      </c>
      <c r="C476" s="69" t="s">
        <v>1703</v>
      </c>
      <c r="D476" s="148" t="s">
        <v>1704</v>
      </c>
      <c r="E476" s="149"/>
      <c r="F476" s="208">
        <v>1559.0</v>
      </c>
      <c r="G476" s="151">
        <v>45855.0</v>
      </c>
      <c r="H476" s="155">
        <f t="shared" si="7"/>
        <v>2338.5</v>
      </c>
      <c r="I476" s="37">
        <f t="shared" si="8"/>
        <v>2026.7</v>
      </c>
      <c r="J476" s="38">
        <f t="shared" si="9"/>
        <v>2026.7</v>
      </c>
      <c r="K476" s="39">
        <f t="shared" si="10"/>
        <v>1870.8</v>
      </c>
      <c r="L476" s="38">
        <f t="shared" si="11"/>
        <v>1792.85</v>
      </c>
      <c r="M476" s="39">
        <f t="shared" si="12"/>
        <v>1714.9</v>
      </c>
      <c r="N476" s="40"/>
      <c r="O476" s="34"/>
      <c r="P476" s="35"/>
      <c r="Q476" s="35"/>
      <c r="R476" s="35"/>
      <c r="S476" s="35"/>
      <c r="T476" s="35"/>
      <c r="U476" s="35"/>
      <c r="V476" s="35"/>
      <c r="W476" s="35"/>
      <c r="X476" s="35"/>
      <c r="Y476" s="35"/>
      <c r="Z476" s="35"/>
    </row>
    <row r="477" ht="15.75" customHeight="1">
      <c r="A477" s="178" t="s">
        <v>563</v>
      </c>
      <c r="B477" s="69" t="s">
        <v>1664</v>
      </c>
      <c r="C477" s="69" t="s">
        <v>1705</v>
      </c>
      <c r="D477" s="148" t="s">
        <v>1704</v>
      </c>
      <c r="E477" s="149"/>
      <c r="F477" s="208">
        <v>2888.0</v>
      </c>
      <c r="G477" s="151">
        <v>45855.0</v>
      </c>
      <c r="H477" s="155">
        <f t="shared" si="7"/>
        <v>4332</v>
      </c>
      <c r="I477" s="37">
        <f t="shared" si="8"/>
        <v>3754.4</v>
      </c>
      <c r="J477" s="38">
        <f t="shared" si="9"/>
        <v>3754.4</v>
      </c>
      <c r="K477" s="39">
        <f t="shared" si="10"/>
        <v>3465.6</v>
      </c>
      <c r="L477" s="38">
        <f t="shared" si="11"/>
        <v>3321.2</v>
      </c>
      <c r="M477" s="39">
        <f t="shared" si="12"/>
        <v>3176.8</v>
      </c>
      <c r="N477" s="40"/>
      <c r="O477" s="34"/>
      <c r="P477" s="35"/>
      <c r="Q477" s="35"/>
      <c r="R477" s="35"/>
      <c r="S477" s="35"/>
      <c r="T477" s="35"/>
      <c r="U477" s="35"/>
      <c r="V477" s="35"/>
      <c r="W477" s="35"/>
      <c r="X477" s="35"/>
      <c r="Y477" s="35"/>
      <c r="Z477" s="35"/>
    </row>
    <row r="478" ht="15.75" customHeight="1">
      <c r="A478" s="178" t="s">
        <v>563</v>
      </c>
      <c r="B478" s="66" t="s">
        <v>1664</v>
      </c>
      <c r="C478" s="69" t="s">
        <v>1706</v>
      </c>
      <c r="D478" s="148" t="s">
        <v>1704</v>
      </c>
      <c r="E478" s="149"/>
      <c r="F478" s="208">
        <v>7787.0</v>
      </c>
      <c r="G478" s="151">
        <v>45855.0</v>
      </c>
      <c r="H478" s="155">
        <f t="shared" si="7"/>
        <v>11680.5</v>
      </c>
      <c r="I478" s="37">
        <f t="shared" si="8"/>
        <v>10123.1</v>
      </c>
      <c r="J478" s="38">
        <f t="shared" si="9"/>
        <v>10123.1</v>
      </c>
      <c r="K478" s="39">
        <f t="shared" si="10"/>
        <v>9344.4</v>
      </c>
      <c r="L478" s="38">
        <f t="shared" si="11"/>
        <v>8955.05</v>
      </c>
      <c r="M478" s="39">
        <f t="shared" si="12"/>
        <v>8565.7</v>
      </c>
      <c r="N478" s="40"/>
      <c r="O478" s="34"/>
      <c r="P478" s="35"/>
      <c r="Q478" s="35"/>
      <c r="R478" s="35"/>
      <c r="S478" s="35"/>
      <c r="T478" s="35"/>
      <c r="U478" s="35"/>
      <c r="V478" s="35"/>
      <c r="W478" s="35"/>
      <c r="X478" s="35"/>
      <c r="Y478" s="35"/>
      <c r="Z478" s="35"/>
    </row>
    <row r="479" ht="15.75" customHeight="1">
      <c r="A479" s="178" t="s">
        <v>563</v>
      </c>
      <c r="B479" s="66" t="s">
        <v>1664</v>
      </c>
      <c r="C479" s="69" t="s">
        <v>1707</v>
      </c>
      <c r="D479" s="148" t="s">
        <v>1704</v>
      </c>
      <c r="E479" s="149"/>
      <c r="F479" s="208">
        <v>10000.0</v>
      </c>
      <c r="G479" s="151">
        <v>45855.0</v>
      </c>
      <c r="H479" s="155">
        <f t="shared" si="7"/>
        <v>15000</v>
      </c>
      <c r="I479" s="37">
        <f t="shared" si="8"/>
        <v>13000</v>
      </c>
      <c r="J479" s="38">
        <f t="shared" si="9"/>
        <v>13000</v>
      </c>
      <c r="K479" s="39">
        <f t="shared" si="10"/>
        <v>12000</v>
      </c>
      <c r="L479" s="38">
        <f t="shared" si="11"/>
        <v>11500</v>
      </c>
      <c r="M479" s="39">
        <f t="shared" si="12"/>
        <v>11000</v>
      </c>
      <c r="N479" s="40"/>
      <c r="O479" s="34"/>
      <c r="P479" s="35"/>
      <c r="Q479" s="35"/>
      <c r="R479" s="35"/>
      <c r="S479" s="35"/>
      <c r="T479" s="35"/>
      <c r="U479" s="35"/>
      <c r="V479" s="35"/>
      <c r="W479" s="35"/>
      <c r="X479" s="35"/>
      <c r="Y479" s="35"/>
      <c r="Z479" s="35"/>
    </row>
    <row r="480" ht="15.75" customHeight="1">
      <c r="A480" s="178" t="s">
        <v>563</v>
      </c>
      <c r="B480" s="66" t="s">
        <v>1664</v>
      </c>
      <c r="C480" s="66" t="s">
        <v>1708</v>
      </c>
      <c r="D480" s="149" t="s">
        <v>1709</v>
      </c>
      <c r="E480" s="149"/>
      <c r="F480" s="208">
        <v>1011.0</v>
      </c>
      <c r="G480" s="151">
        <v>45855.0</v>
      </c>
      <c r="H480" s="155">
        <f t="shared" si="7"/>
        <v>1516.5</v>
      </c>
      <c r="I480" s="37">
        <f t="shared" si="8"/>
        <v>1314.3</v>
      </c>
      <c r="J480" s="38">
        <f t="shared" si="9"/>
        <v>1314.3</v>
      </c>
      <c r="K480" s="39">
        <f t="shared" si="10"/>
        <v>1213.2</v>
      </c>
      <c r="L480" s="38">
        <f t="shared" si="11"/>
        <v>1162.65</v>
      </c>
      <c r="M480" s="39">
        <f t="shared" si="12"/>
        <v>1112.1</v>
      </c>
      <c r="N480" s="40"/>
      <c r="O480" s="34"/>
      <c r="P480" s="35"/>
      <c r="Q480" s="35"/>
      <c r="R480" s="35"/>
      <c r="S480" s="35"/>
      <c r="T480" s="35"/>
      <c r="U480" s="35"/>
      <c r="V480" s="35"/>
      <c r="W480" s="35"/>
      <c r="X480" s="35"/>
      <c r="Y480" s="35"/>
      <c r="Z480" s="35"/>
    </row>
    <row r="481" ht="15.75" customHeight="1">
      <c r="A481" s="178" t="s">
        <v>563</v>
      </c>
      <c r="B481" s="66" t="s">
        <v>1664</v>
      </c>
      <c r="C481" s="66" t="s">
        <v>1710</v>
      </c>
      <c r="D481" s="149" t="s">
        <v>1711</v>
      </c>
      <c r="E481" s="149"/>
      <c r="F481" s="208">
        <v>1078.0</v>
      </c>
      <c r="G481" s="151">
        <v>45855.0</v>
      </c>
      <c r="H481" s="155">
        <f t="shared" si="7"/>
        <v>1617</v>
      </c>
      <c r="I481" s="37">
        <f t="shared" si="8"/>
        <v>1401.4</v>
      </c>
      <c r="J481" s="38">
        <f t="shared" si="9"/>
        <v>1401.4</v>
      </c>
      <c r="K481" s="39">
        <f t="shared" si="10"/>
        <v>1293.6</v>
      </c>
      <c r="L481" s="38">
        <f t="shared" si="11"/>
        <v>1239.7</v>
      </c>
      <c r="M481" s="39">
        <f t="shared" si="12"/>
        <v>1185.8</v>
      </c>
      <c r="N481" s="40"/>
      <c r="O481" s="34"/>
      <c r="P481" s="35"/>
      <c r="Q481" s="35"/>
      <c r="R481" s="35"/>
      <c r="S481" s="35"/>
      <c r="T481" s="35"/>
      <c r="U481" s="35"/>
      <c r="V481" s="35"/>
      <c r="W481" s="35"/>
      <c r="X481" s="35"/>
      <c r="Y481" s="35"/>
      <c r="Z481" s="35"/>
    </row>
    <row r="482" ht="15.75" customHeight="1">
      <c r="A482" s="178" t="s">
        <v>563</v>
      </c>
      <c r="B482" s="69" t="s">
        <v>1664</v>
      </c>
      <c r="C482" s="66" t="s">
        <v>1712</v>
      </c>
      <c r="D482" s="149" t="s">
        <v>1713</v>
      </c>
      <c r="E482" s="149"/>
      <c r="F482" s="208">
        <v>809.0</v>
      </c>
      <c r="G482" s="151">
        <v>45855.0</v>
      </c>
      <c r="H482" s="155">
        <f t="shared" si="7"/>
        <v>1213.5</v>
      </c>
      <c r="I482" s="37">
        <f t="shared" si="8"/>
        <v>1051.7</v>
      </c>
      <c r="J482" s="38">
        <f t="shared" si="9"/>
        <v>1051.7</v>
      </c>
      <c r="K482" s="39">
        <f t="shared" si="10"/>
        <v>970.8</v>
      </c>
      <c r="L482" s="38">
        <f t="shared" si="11"/>
        <v>930.35</v>
      </c>
      <c r="M482" s="39">
        <f t="shared" si="12"/>
        <v>889.9</v>
      </c>
      <c r="N482" s="40"/>
      <c r="O482" s="34"/>
      <c r="P482" s="35"/>
      <c r="Q482" s="35"/>
      <c r="R482" s="35"/>
      <c r="S482" s="35"/>
      <c r="T482" s="35"/>
      <c r="U482" s="35"/>
      <c r="V482" s="35"/>
      <c r="W482" s="35"/>
      <c r="X482" s="35"/>
      <c r="Y482" s="35"/>
      <c r="Z482" s="35"/>
    </row>
    <row r="483" ht="15.75" customHeight="1">
      <c r="A483" s="178" t="s">
        <v>563</v>
      </c>
      <c r="B483" s="69" t="s">
        <v>1664</v>
      </c>
      <c r="C483" s="66" t="s">
        <v>1714</v>
      </c>
      <c r="D483" s="149" t="s">
        <v>1715</v>
      </c>
      <c r="E483" s="149"/>
      <c r="F483" s="208">
        <v>1078.0</v>
      </c>
      <c r="G483" s="151">
        <v>45855.0</v>
      </c>
      <c r="H483" s="155">
        <f t="shared" si="7"/>
        <v>1617</v>
      </c>
      <c r="I483" s="37">
        <f t="shared" si="8"/>
        <v>1401.4</v>
      </c>
      <c r="J483" s="38">
        <f t="shared" si="9"/>
        <v>1401.4</v>
      </c>
      <c r="K483" s="39">
        <f t="shared" si="10"/>
        <v>1293.6</v>
      </c>
      <c r="L483" s="38">
        <f t="shared" si="11"/>
        <v>1239.7</v>
      </c>
      <c r="M483" s="39">
        <f t="shared" si="12"/>
        <v>1185.8</v>
      </c>
      <c r="N483" s="40"/>
      <c r="O483" s="34"/>
      <c r="P483" s="35"/>
      <c r="Q483" s="35"/>
      <c r="R483" s="35"/>
      <c r="S483" s="35"/>
      <c r="T483" s="35"/>
      <c r="U483" s="35"/>
      <c r="V483" s="35"/>
      <c r="W483" s="35"/>
      <c r="X483" s="35"/>
      <c r="Y483" s="35"/>
      <c r="Z483" s="35"/>
    </row>
    <row r="484" ht="14.25" customHeight="1">
      <c r="A484" s="209" t="s">
        <v>563</v>
      </c>
      <c r="B484" s="196" t="s">
        <v>1664</v>
      </c>
      <c r="C484" s="66" t="s">
        <v>1716</v>
      </c>
      <c r="D484" s="149" t="s">
        <v>1717</v>
      </c>
      <c r="E484" s="98"/>
      <c r="F484" s="210">
        <v>6651.0</v>
      </c>
      <c r="G484" s="151">
        <v>45855.0</v>
      </c>
      <c r="H484" s="36">
        <f t="shared" si="7"/>
        <v>9976.5</v>
      </c>
      <c r="I484" s="37">
        <f t="shared" si="8"/>
        <v>8646.3</v>
      </c>
      <c r="J484" s="38">
        <f t="shared" si="9"/>
        <v>8646.3</v>
      </c>
      <c r="K484" s="39">
        <f t="shared" si="10"/>
        <v>7981.2</v>
      </c>
      <c r="L484" s="38">
        <f t="shared" si="11"/>
        <v>7648.65</v>
      </c>
      <c r="M484" s="39">
        <f t="shared" si="12"/>
        <v>7316.1</v>
      </c>
      <c r="N484" s="40"/>
      <c r="O484" s="34"/>
      <c r="P484" s="35"/>
      <c r="Q484" s="35"/>
      <c r="R484" s="35"/>
      <c r="S484" s="35"/>
      <c r="T484" s="35"/>
      <c r="U484" s="35"/>
      <c r="V484" s="35"/>
      <c r="W484" s="35"/>
      <c r="X484" s="35"/>
      <c r="Y484" s="35"/>
      <c r="Z484" s="35"/>
    </row>
    <row r="485" ht="14.25" customHeight="1">
      <c r="A485" s="195" t="s">
        <v>563</v>
      </c>
      <c r="B485" s="196" t="s">
        <v>1718</v>
      </c>
      <c r="C485" s="66" t="s">
        <v>1719</v>
      </c>
      <c r="D485" s="149" t="s">
        <v>1720</v>
      </c>
      <c r="E485" s="98"/>
      <c r="F485" s="150">
        <v>562.0</v>
      </c>
      <c r="G485" s="151">
        <v>45855.0</v>
      </c>
      <c r="H485" s="36">
        <f t="shared" si="7"/>
        <v>843</v>
      </c>
      <c r="I485" s="37">
        <f t="shared" si="8"/>
        <v>730.6</v>
      </c>
      <c r="J485" s="38">
        <f t="shared" si="9"/>
        <v>730.6</v>
      </c>
      <c r="K485" s="39">
        <f t="shared" si="10"/>
        <v>674.4</v>
      </c>
      <c r="L485" s="38">
        <f t="shared" si="11"/>
        <v>646.3</v>
      </c>
      <c r="M485" s="39">
        <f t="shared" si="12"/>
        <v>618.2</v>
      </c>
      <c r="N485" s="40"/>
      <c r="O485" s="34"/>
      <c r="P485" s="35"/>
      <c r="Q485" s="35"/>
      <c r="R485" s="35"/>
      <c r="S485" s="35"/>
      <c r="T485" s="35"/>
      <c r="U485" s="35"/>
      <c r="V485" s="35"/>
      <c r="W485" s="35"/>
      <c r="X485" s="35"/>
      <c r="Y485" s="35"/>
      <c r="Z485" s="35"/>
    </row>
    <row r="486" ht="14.25" customHeight="1">
      <c r="A486" s="195" t="s">
        <v>563</v>
      </c>
      <c r="B486" s="196" t="s">
        <v>1718</v>
      </c>
      <c r="C486" s="66" t="s">
        <v>1721</v>
      </c>
      <c r="D486" s="149" t="s">
        <v>1722</v>
      </c>
      <c r="E486" s="98"/>
      <c r="F486" s="150">
        <v>874.0</v>
      </c>
      <c r="G486" s="151">
        <v>45855.0</v>
      </c>
      <c r="H486" s="36">
        <f t="shared" si="7"/>
        <v>1311</v>
      </c>
      <c r="I486" s="37">
        <f t="shared" si="8"/>
        <v>1136.2</v>
      </c>
      <c r="J486" s="38">
        <f t="shared" si="9"/>
        <v>1136.2</v>
      </c>
      <c r="K486" s="39">
        <f t="shared" si="10"/>
        <v>1048.8</v>
      </c>
      <c r="L486" s="38">
        <f t="shared" si="11"/>
        <v>1005.1</v>
      </c>
      <c r="M486" s="39">
        <f t="shared" si="12"/>
        <v>961.4</v>
      </c>
      <c r="N486" s="40"/>
      <c r="O486" s="34"/>
      <c r="P486" s="35"/>
      <c r="Q486" s="35"/>
      <c r="R486" s="35"/>
      <c r="S486" s="35"/>
      <c r="T486" s="35"/>
      <c r="U486" s="35"/>
      <c r="V486" s="35"/>
      <c r="W486" s="35"/>
      <c r="X486" s="35"/>
      <c r="Y486" s="35"/>
      <c r="Z486" s="35"/>
    </row>
    <row r="487" ht="14.25" customHeight="1">
      <c r="A487" s="195" t="s">
        <v>563</v>
      </c>
      <c r="B487" s="196" t="s">
        <v>1718</v>
      </c>
      <c r="C487" s="66" t="s">
        <v>1723</v>
      </c>
      <c r="D487" s="149" t="s">
        <v>1724</v>
      </c>
      <c r="E487" s="149"/>
      <c r="F487" s="150">
        <v>1238.0</v>
      </c>
      <c r="G487" s="151">
        <v>45855.0</v>
      </c>
      <c r="H487" s="36">
        <f t="shared" si="7"/>
        <v>1857</v>
      </c>
      <c r="I487" s="37">
        <f t="shared" si="8"/>
        <v>1609.4</v>
      </c>
      <c r="J487" s="38">
        <f t="shared" si="9"/>
        <v>1609.4</v>
      </c>
      <c r="K487" s="39">
        <f t="shared" si="10"/>
        <v>1485.6</v>
      </c>
      <c r="L487" s="38">
        <f t="shared" si="11"/>
        <v>1423.7</v>
      </c>
      <c r="M487" s="39">
        <f t="shared" si="12"/>
        <v>1361.8</v>
      </c>
      <c r="N487" s="40"/>
      <c r="O487" s="34"/>
      <c r="P487" s="35"/>
      <c r="Q487" s="35"/>
      <c r="R487" s="35"/>
      <c r="S487" s="35"/>
      <c r="T487" s="35"/>
      <c r="U487" s="35"/>
      <c r="V487" s="35"/>
      <c r="W487" s="35"/>
      <c r="X487" s="35"/>
      <c r="Y487" s="35"/>
      <c r="Z487" s="35"/>
    </row>
    <row r="488" ht="59.25" customHeight="1">
      <c r="A488" s="195" t="s">
        <v>563</v>
      </c>
      <c r="B488" s="84"/>
      <c r="C488" s="120" t="s">
        <v>1725</v>
      </c>
      <c r="D488" s="98" t="s">
        <v>1726</v>
      </c>
      <c r="E488" s="98" t="s">
        <v>1727</v>
      </c>
      <c r="F488" s="194">
        <v>4742.0</v>
      </c>
      <c r="G488" s="151">
        <v>45855.0</v>
      </c>
      <c r="H488" s="36">
        <f t="shared" si="7"/>
        <v>7113</v>
      </c>
      <c r="I488" s="37">
        <f t="shared" si="8"/>
        <v>6164.6</v>
      </c>
      <c r="J488" s="38">
        <f t="shared" si="9"/>
        <v>6164.6</v>
      </c>
      <c r="K488" s="39">
        <f t="shared" si="10"/>
        <v>5690.4</v>
      </c>
      <c r="L488" s="38">
        <f t="shared" si="11"/>
        <v>5453.3</v>
      </c>
      <c r="M488" s="39">
        <f t="shared" si="12"/>
        <v>5216.2</v>
      </c>
      <c r="N488" s="40"/>
      <c r="O488" s="34"/>
      <c r="P488" s="35"/>
      <c r="Q488" s="35"/>
      <c r="R488" s="35"/>
      <c r="S488" s="35"/>
      <c r="T488" s="35"/>
      <c r="U488" s="35"/>
      <c r="V488" s="35"/>
      <c r="W488" s="35"/>
      <c r="X488" s="35"/>
      <c r="Y488" s="35"/>
      <c r="Z488" s="35"/>
    </row>
    <row r="489" ht="14.25" customHeight="1">
      <c r="A489" s="83"/>
      <c r="B489" s="84"/>
      <c r="C489" s="211" t="s">
        <v>1728</v>
      </c>
      <c r="D489" s="212" t="s">
        <v>1729</v>
      </c>
      <c r="E489" s="213"/>
      <c r="F489" s="214">
        <v>5355.0</v>
      </c>
      <c r="G489" s="151">
        <v>45855.0</v>
      </c>
      <c r="H489" s="36">
        <f t="shared" si="7"/>
        <v>8032.5</v>
      </c>
      <c r="I489" s="37">
        <f t="shared" si="8"/>
        <v>6961.5</v>
      </c>
      <c r="J489" s="38">
        <f t="shared" si="9"/>
        <v>6961.5</v>
      </c>
      <c r="K489" s="39">
        <f t="shared" si="10"/>
        <v>6426</v>
      </c>
      <c r="L489" s="38">
        <f t="shared" si="11"/>
        <v>6158.25</v>
      </c>
      <c r="M489" s="39">
        <f t="shared" si="12"/>
        <v>5890.5</v>
      </c>
      <c r="N489" s="40"/>
      <c r="O489" s="34"/>
      <c r="P489" s="35"/>
      <c r="Q489" s="35"/>
      <c r="R489" s="35"/>
      <c r="S489" s="35"/>
      <c r="T489" s="35"/>
      <c r="U489" s="35"/>
      <c r="V489" s="35"/>
      <c r="W489" s="35"/>
      <c r="X489" s="35"/>
      <c r="Y489" s="35"/>
      <c r="Z489" s="35"/>
    </row>
    <row r="490" ht="14.25" customHeight="1">
      <c r="A490" s="83"/>
      <c r="B490" s="84"/>
      <c r="C490" s="211" t="s">
        <v>1730</v>
      </c>
      <c r="D490" s="212" t="s">
        <v>1731</v>
      </c>
      <c r="E490" s="213"/>
      <c r="F490" s="214">
        <v>15130.0</v>
      </c>
      <c r="G490" s="151">
        <v>45855.0</v>
      </c>
      <c r="H490" s="36">
        <f t="shared" si="7"/>
        <v>22695</v>
      </c>
      <c r="I490" s="37">
        <f t="shared" si="8"/>
        <v>19669</v>
      </c>
      <c r="J490" s="38">
        <f t="shared" si="9"/>
        <v>19669</v>
      </c>
      <c r="K490" s="39">
        <f t="shared" si="10"/>
        <v>18156</v>
      </c>
      <c r="L490" s="38">
        <f t="shared" si="11"/>
        <v>17399.5</v>
      </c>
      <c r="M490" s="39">
        <f t="shared" si="12"/>
        <v>16643</v>
      </c>
      <c r="N490" s="40"/>
      <c r="O490" s="34"/>
      <c r="P490" s="35"/>
      <c r="Q490" s="35"/>
      <c r="R490" s="35"/>
      <c r="S490" s="35"/>
      <c r="T490" s="35"/>
      <c r="U490" s="35"/>
      <c r="V490" s="35"/>
      <c r="W490" s="35"/>
      <c r="X490" s="35"/>
      <c r="Y490" s="35"/>
      <c r="Z490" s="35"/>
    </row>
    <row r="491" ht="14.25" customHeight="1">
      <c r="A491" s="83"/>
      <c r="B491" s="84"/>
      <c r="C491" s="211" t="s">
        <v>621</v>
      </c>
      <c r="D491" s="212" t="s">
        <v>1732</v>
      </c>
      <c r="E491" s="213"/>
      <c r="F491" s="214">
        <v>2398.0</v>
      </c>
      <c r="G491" s="151">
        <v>45855.0</v>
      </c>
      <c r="H491" s="36">
        <f t="shared" si="7"/>
        <v>3597</v>
      </c>
      <c r="I491" s="37">
        <f t="shared" si="8"/>
        <v>3117.4</v>
      </c>
      <c r="J491" s="38">
        <f t="shared" si="9"/>
        <v>3117.4</v>
      </c>
      <c r="K491" s="39">
        <f t="shared" si="10"/>
        <v>2877.6</v>
      </c>
      <c r="L491" s="38">
        <f t="shared" si="11"/>
        <v>2757.7</v>
      </c>
      <c r="M491" s="39">
        <f t="shared" si="12"/>
        <v>2637.8</v>
      </c>
      <c r="N491" s="40"/>
      <c r="O491" s="34"/>
      <c r="P491" s="35"/>
      <c r="Q491" s="35"/>
      <c r="R491" s="35"/>
      <c r="S491" s="35"/>
      <c r="T491" s="35"/>
      <c r="U491" s="35"/>
      <c r="V491" s="35"/>
      <c r="W491" s="35"/>
      <c r="X491" s="35"/>
      <c r="Y491" s="35"/>
      <c r="Z491" s="35"/>
    </row>
    <row r="492" ht="14.25" customHeight="1">
      <c r="A492" s="83"/>
      <c r="B492" s="84"/>
      <c r="C492" s="211" t="s">
        <v>633</v>
      </c>
      <c r="D492" s="212" t="s">
        <v>1732</v>
      </c>
      <c r="E492" s="213"/>
      <c r="F492" s="214">
        <v>3454.0</v>
      </c>
      <c r="G492" s="151">
        <v>45855.0</v>
      </c>
      <c r="H492" s="36">
        <f t="shared" si="7"/>
        <v>5181</v>
      </c>
      <c r="I492" s="37">
        <f t="shared" si="8"/>
        <v>4490.2</v>
      </c>
      <c r="J492" s="38">
        <f t="shared" si="9"/>
        <v>4490.2</v>
      </c>
      <c r="K492" s="39">
        <f t="shared" si="10"/>
        <v>4144.8</v>
      </c>
      <c r="L492" s="38">
        <f t="shared" si="11"/>
        <v>3972.1</v>
      </c>
      <c r="M492" s="39">
        <f t="shared" si="12"/>
        <v>3799.4</v>
      </c>
      <c r="N492" s="40"/>
      <c r="O492" s="34"/>
      <c r="P492" s="35"/>
      <c r="Q492" s="35"/>
      <c r="R492" s="35"/>
      <c r="S492" s="35"/>
      <c r="T492" s="35"/>
      <c r="U492" s="35"/>
      <c r="V492" s="35"/>
      <c r="W492" s="35"/>
      <c r="X492" s="35"/>
      <c r="Y492" s="35"/>
      <c r="Z492" s="35"/>
    </row>
    <row r="493" ht="14.25" customHeight="1">
      <c r="A493" s="83"/>
      <c r="B493" s="84"/>
      <c r="C493" s="211" t="s">
        <v>1692</v>
      </c>
      <c r="D493" s="212" t="s">
        <v>1733</v>
      </c>
      <c r="E493" s="213"/>
      <c r="F493" s="214">
        <v>2830.0</v>
      </c>
      <c r="G493" s="151">
        <v>45855.0</v>
      </c>
      <c r="H493" s="36">
        <f t="shared" si="7"/>
        <v>4245</v>
      </c>
      <c r="I493" s="37">
        <f t="shared" si="8"/>
        <v>3679</v>
      </c>
      <c r="J493" s="38">
        <f t="shared" si="9"/>
        <v>3679</v>
      </c>
      <c r="K493" s="39">
        <f t="shared" si="10"/>
        <v>3396</v>
      </c>
      <c r="L493" s="38">
        <f t="shared" si="11"/>
        <v>3254.5</v>
      </c>
      <c r="M493" s="39">
        <f t="shared" si="12"/>
        <v>3113</v>
      </c>
      <c r="N493" s="40"/>
      <c r="O493" s="34"/>
      <c r="P493" s="35"/>
      <c r="Q493" s="35"/>
      <c r="R493" s="35"/>
      <c r="S493" s="35"/>
      <c r="T493" s="35"/>
      <c r="U493" s="35"/>
      <c r="V493" s="35"/>
      <c r="W493" s="35"/>
      <c r="X493" s="35"/>
      <c r="Y493" s="35"/>
      <c r="Z493" s="35"/>
    </row>
    <row r="494" ht="14.25" customHeight="1">
      <c r="A494" s="83"/>
      <c r="B494" s="84"/>
      <c r="C494" s="211" t="s">
        <v>1734</v>
      </c>
      <c r="D494" s="212" t="s">
        <v>1735</v>
      </c>
      <c r="E494" s="213"/>
      <c r="F494" s="214">
        <v>7199.0</v>
      </c>
      <c r="G494" s="151">
        <v>45855.0</v>
      </c>
      <c r="H494" s="36">
        <f t="shared" si="7"/>
        <v>10798.5</v>
      </c>
      <c r="I494" s="37">
        <f t="shared" si="8"/>
        <v>9358.7</v>
      </c>
      <c r="J494" s="38">
        <f t="shared" si="9"/>
        <v>9358.7</v>
      </c>
      <c r="K494" s="39">
        <f t="shared" si="10"/>
        <v>8638.8</v>
      </c>
      <c r="L494" s="38">
        <f t="shared" si="11"/>
        <v>8278.85</v>
      </c>
      <c r="M494" s="39">
        <f t="shared" si="12"/>
        <v>7918.9</v>
      </c>
      <c r="N494" s="40"/>
      <c r="O494" s="34"/>
      <c r="P494" s="35"/>
      <c r="Q494" s="35"/>
      <c r="R494" s="35"/>
      <c r="S494" s="35"/>
      <c r="T494" s="35"/>
      <c r="U494" s="35"/>
      <c r="V494" s="35"/>
      <c r="W494" s="35"/>
      <c r="X494" s="35"/>
      <c r="Y494" s="35"/>
      <c r="Z494" s="35"/>
    </row>
    <row r="495" ht="14.25" customHeight="1">
      <c r="A495" s="83"/>
      <c r="B495" s="84"/>
      <c r="C495" s="211" t="s">
        <v>1736</v>
      </c>
      <c r="D495" s="212" t="s">
        <v>1737</v>
      </c>
      <c r="E495" s="213"/>
      <c r="F495" s="214">
        <v>3300.0</v>
      </c>
      <c r="G495" s="151">
        <v>45855.0</v>
      </c>
      <c r="H495" s="36">
        <f t="shared" si="7"/>
        <v>4950</v>
      </c>
      <c r="I495" s="37">
        <f t="shared" si="8"/>
        <v>4290</v>
      </c>
      <c r="J495" s="38">
        <f t="shared" si="9"/>
        <v>4290</v>
      </c>
      <c r="K495" s="39">
        <f t="shared" si="10"/>
        <v>3960</v>
      </c>
      <c r="L495" s="38">
        <f t="shared" si="11"/>
        <v>3795</v>
      </c>
      <c r="M495" s="39">
        <f t="shared" si="12"/>
        <v>3630</v>
      </c>
      <c r="N495" s="40"/>
      <c r="O495" s="34"/>
      <c r="P495" s="35"/>
      <c r="Q495" s="35"/>
      <c r="R495" s="35"/>
      <c r="S495" s="35"/>
      <c r="T495" s="35"/>
      <c r="U495" s="35"/>
      <c r="V495" s="35"/>
      <c r="W495" s="35"/>
      <c r="X495" s="35"/>
      <c r="Y495" s="35"/>
      <c r="Z495" s="35"/>
    </row>
    <row r="496" ht="14.25" customHeight="1">
      <c r="A496" s="83"/>
      <c r="B496" s="84"/>
      <c r="C496" s="120" t="s">
        <v>1738</v>
      </c>
      <c r="D496" s="98" t="s">
        <v>1739</v>
      </c>
      <c r="E496" s="98"/>
      <c r="F496" s="194">
        <v>2407.0</v>
      </c>
      <c r="G496" s="151">
        <v>45855.0</v>
      </c>
      <c r="H496" s="36">
        <f t="shared" si="7"/>
        <v>3610.5</v>
      </c>
      <c r="I496" s="37">
        <f t="shared" si="8"/>
        <v>3129.1</v>
      </c>
      <c r="J496" s="38">
        <f t="shared" si="9"/>
        <v>3129.1</v>
      </c>
      <c r="K496" s="39">
        <f t="shared" si="10"/>
        <v>2888.4</v>
      </c>
      <c r="L496" s="38">
        <f t="shared" si="11"/>
        <v>2768.05</v>
      </c>
      <c r="M496" s="39">
        <f t="shared" si="12"/>
        <v>2647.7</v>
      </c>
      <c r="N496" s="40"/>
      <c r="O496" s="34"/>
      <c r="P496" s="35"/>
      <c r="Q496" s="35"/>
      <c r="R496" s="35"/>
      <c r="S496" s="35"/>
      <c r="T496" s="35"/>
      <c r="U496" s="35"/>
      <c r="V496" s="35"/>
      <c r="W496" s="35"/>
      <c r="X496" s="35"/>
      <c r="Y496" s="35"/>
      <c r="Z496" s="35"/>
    </row>
    <row r="497" ht="14.25" customHeight="1">
      <c r="A497" s="83"/>
      <c r="B497" s="84"/>
      <c r="C497" s="120"/>
      <c r="D497" s="98"/>
      <c r="E497" s="98"/>
      <c r="F497" s="194"/>
      <c r="G497" s="151"/>
      <c r="H497" s="36">
        <f t="shared" si="7"/>
        <v>0</v>
      </c>
      <c r="I497" s="37">
        <f t="shared" si="8"/>
        <v>0</v>
      </c>
      <c r="J497" s="38">
        <f t="shared" si="9"/>
        <v>0</v>
      </c>
      <c r="K497" s="39">
        <f t="shared" si="10"/>
        <v>0</v>
      </c>
      <c r="L497" s="38">
        <f t="shared" si="11"/>
        <v>0</v>
      </c>
      <c r="M497" s="39">
        <f t="shared" si="12"/>
        <v>0</v>
      </c>
      <c r="N497" s="40"/>
      <c r="O497" s="34"/>
      <c r="P497" s="35"/>
      <c r="Q497" s="35"/>
      <c r="R497" s="35"/>
      <c r="S497" s="35"/>
      <c r="T497" s="35"/>
      <c r="U497" s="35"/>
      <c r="V497" s="35"/>
      <c r="W497" s="35"/>
      <c r="X497" s="35"/>
      <c r="Y497" s="35"/>
      <c r="Z497" s="35"/>
    </row>
    <row r="498" ht="14.25" customHeight="1">
      <c r="A498" s="83"/>
      <c r="B498" s="84"/>
      <c r="C498" s="120"/>
      <c r="D498" s="98"/>
      <c r="E498" s="98"/>
      <c r="F498" s="194"/>
      <c r="G498" s="151"/>
      <c r="H498" s="36">
        <f t="shared" si="7"/>
        <v>0</v>
      </c>
      <c r="I498" s="37">
        <f t="shared" si="8"/>
        <v>0</v>
      </c>
      <c r="J498" s="38">
        <f t="shared" si="9"/>
        <v>0</v>
      </c>
      <c r="K498" s="39">
        <f t="shared" si="10"/>
        <v>0</v>
      </c>
      <c r="L498" s="38">
        <f t="shared" si="11"/>
        <v>0</v>
      </c>
      <c r="M498" s="39">
        <f t="shared" si="12"/>
        <v>0</v>
      </c>
      <c r="N498" s="40"/>
      <c r="O498" s="34"/>
      <c r="P498" s="35"/>
      <c r="Q498" s="35"/>
      <c r="R498" s="35"/>
      <c r="S498" s="35"/>
      <c r="T498" s="35"/>
      <c r="U498" s="35"/>
      <c r="V498" s="35"/>
      <c r="W498" s="35"/>
      <c r="X498" s="35"/>
      <c r="Y498" s="35"/>
      <c r="Z498" s="35"/>
    </row>
    <row r="499" ht="14.25" customHeight="1">
      <c r="A499" s="83"/>
      <c r="B499" s="84"/>
      <c r="C499" s="120"/>
      <c r="D499" s="98"/>
      <c r="E499" s="98"/>
      <c r="F499" s="194"/>
      <c r="G499" s="151"/>
      <c r="H499" s="36"/>
      <c r="I499" s="37"/>
      <c r="J499" s="38"/>
      <c r="K499" s="39"/>
      <c r="L499" s="38"/>
      <c r="M499" s="39"/>
      <c r="N499" s="40"/>
      <c r="O499" s="34"/>
      <c r="P499" s="35"/>
      <c r="Q499" s="35"/>
      <c r="R499" s="35"/>
      <c r="S499" s="35"/>
      <c r="T499" s="35"/>
      <c r="U499" s="35"/>
      <c r="V499" s="35"/>
      <c r="W499" s="35"/>
      <c r="X499" s="35"/>
      <c r="Y499" s="35"/>
      <c r="Z499" s="35"/>
    </row>
    <row r="500" ht="14.25" customHeight="1">
      <c r="A500" s="83"/>
      <c r="B500" s="84"/>
      <c r="C500" s="120"/>
      <c r="D500" s="98"/>
      <c r="E500" s="98"/>
      <c r="F500" s="194"/>
      <c r="G500" s="151"/>
      <c r="H500" s="36"/>
      <c r="I500" s="37"/>
      <c r="J500" s="38"/>
      <c r="K500" s="39"/>
      <c r="L500" s="38"/>
      <c r="M500" s="39"/>
      <c r="N500" s="40"/>
      <c r="O500" s="34"/>
      <c r="P500" s="35"/>
      <c r="Q500" s="35"/>
      <c r="R500" s="35"/>
      <c r="S500" s="35"/>
      <c r="T500" s="35"/>
      <c r="U500" s="35"/>
      <c r="V500" s="35"/>
      <c r="W500" s="35"/>
      <c r="X500" s="35"/>
      <c r="Y500" s="35"/>
      <c r="Z500" s="35"/>
    </row>
    <row r="501" ht="14.25" customHeight="1">
      <c r="A501" s="83"/>
      <c r="B501" s="84"/>
      <c r="C501" s="120"/>
      <c r="D501" s="98"/>
      <c r="E501" s="98"/>
      <c r="F501" s="194"/>
      <c r="G501" s="151"/>
      <c r="H501" s="36"/>
      <c r="I501" s="37"/>
      <c r="J501" s="38"/>
      <c r="K501" s="39"/>
      <c r="L501" s="38"/>
      <c r="M501" s="39"/>
      <c r="N501" s="40"/>
      <c r="O501" s="34"/>
      <c r="P501" s="35"/>
      <c r="Q501" s="35"/>
      <c r="R501" s="35"/>
      <c r="S501" s="35"/>
      <c r="T501" s="35"/>
      <c r="U501" s="35"/>
      <c r="V501" s="35"/>
      <c r="W501" s="35"/>
      <c r="X501" s="35"/>
      <c r="Y501" s="35"/>
      <c r="Z501" s="35"/>
    </row>
    <row r="502" ht="14.25" customHeight="1">
      <c r="A502" s="83"/>
      <c r="B502" s="84"/>
      <c r="C502" s="120"/>
      <c r="D502" s="98"/>
      <c r="E502" s="98"/>
      <c r="F502" s="194"/>
      <c r="G502" s="151"/>
      <c r="H502" s="36"/>
      <c r="I502" s="37"/>
      <c r="J502" s="38"/>
      <c r="K502" s="39"/>
      <c r="L502" s="38"/>
      <c r="M502" s="39"/>
      <c r="N502" s="40"/>
      <c r="O502" s="34"/>
      <c r="P502" s="35"/>
      <c r="Q502" s="35"/>
      <c r="R502" s="35"/>
      <c r="S502" s="35"/>
      <c r="T502" s="35"/>
      <c r="U502" s="35"/>
      <c r="V502" s="35"/>
      <c r="W502" s="35"/>
      <c r="X502" s="35"/>
      <c r="Y502" s="35"/>
      <c r="Z502" s="35"/>
    </row>
    <row r="503" ht="14.25" customHeight="1">
      <c r="A503" s="83"/>
      <c r="B503" s="84"/>
      <c r="C503" s="120"/>
      <c r="D503" s="98"/>
      <c r="E503" s="98"/>
      <c r="F503" s="194"/>
      <c r="G503" s="151"/>
      <c r="H503" s="36"/>
      <c r="I503" s="37"/>
      <c r="J503" s="38"/>
      <c r="K503" s="39"/>
      <c r="L503" s="38"/>
      <c r="M503" s="39"/>
      <c r="N503" s="40"/>
      <c r="O503" s="34"/>
      <c r="P503" s="35"/>
      <c r="Q503" s="35"/>
      <c r="R503" s="35"/>
      <c r="S503" s="35"/>
      <c r="T503" s="35"/>
      <c r="U503" s="35"/>
      <c r="V503" s="35"/>
      <c r="W503" s="35"/>
      <c r="X503" s="35"/>
      <c r="Y503" s="35"/>
      <c r="Z503" s="35"/>
    </row>
    <row r="504" ht="14.25" customHeight="1">
      <c r="A504" s="83"/>
      <c r="B504" s="84"/>
      <c r="C504" s="120"/>
      <c r="D504" s="98"/>
      <c r="E504" s="98"/>
      <c r="F504" s="194"/>
      <c r="G504" s="151"/>
      <c r="H504" s="36"/>
      <c r="I504" s="37"/>
      <c r="J504" s="38"/>
      <c r="K504" s="39"/>
      <c r="L504" s="38"/>
      <c r="M504" s="39"/>
      <c r="N504" s="40"/>
      <c r="O504" s="34"/>
      <c r="P504" s="35"/>
      <c r="Q504" s="35"/>
      <c r="R504" s="35"/>
      <c r="S504" s="35"/>
      <c r="T504" s="35"/>
      <c r="U504" s="35"/>
      <c r="V504" s="35"/>
      <c r="W504" s="35"/>
      <c r="X504" s="35"/>
      <c r="Y504" s="35"/>
      <c r="Z504" s="35"/>
    </row>
    <row r="505" ht="14.25" customHeight="1">
      <c r="A505" s="83"/>
      <c r="B505" s="84"/>
      <c r="C505" s="120"/>
      <c r="D505" s="98"/>
      <c r="E505" s="98"/>
      <c r="F505" s="194"/>
      <c r="G505" s="151"/>
      <c r="H505" s="36"/>
      <c r="I505" s="37"/>
      <c r="J505" s="38"/>
      <c r="K505" s="39"/>
      <c r="L505" s="38"/>
      <c r="M505" s="39"/>
      <c r="N505" s="40"/>
      <c r="O505" s="34"/>
      <c r="P505" s="35"/>
      <c r="Q505" s="35"/>
      <c r="R505" s="35"/>
      <c r="S505" s="35"/>
      <c r="T505" s="35"/>
      <c r="U505" s="35"/>
      <c r="V505" s="35"/>
      <c r="W505" s="35"/>
      <c r="X505" s="35"/>
      <c r="Y505" s="35"/>
      <c r="Z505" s="35"/>
    </row>
    <row r="506" ht="14.25" customHeight="1">
      <c r="A506" s="83"/>
      <c r="B506" s="84"/>
      <c r="C506" s="120"/>
      <c r="D506" s="98"/>
      <c r="E506" s="98"/>
      <c r="F506" s="194"/>
      <c r="G506" s="151"/>
      <c r="H506" s="36"/>
      <c r="I506" s="37"/>
      <c r="J506" s="38"/>
      <c r="K506" s="39"/>
      <c r="L506" s="38"/>
      <c r="M506" s="39"/>
      <c r="N506" s="40"/>
      <c r="O506" s="34"/>
      <c r="P506" s="35"/>
      <c r="Q506" s="35"/>
      <c r="R506" s="35"/>
      <c r="S506" s="35"/>
      <c r="T506" s="35"/>
      <c r="U506" s="35"/>
      <c r="V506" s="35"/>
      <c r="W506" s="35"/>
      <c r="X506" s="35"/>
      <c r="Y506" s="35"/>
      <c r="Z506" s="35"/>
    </row>
    <row r="507" ht="14.25" customHeight="1">
      <c r="A507" s="83"/>
      <c r="B507" s="84"/>
      <c r="C507" s="120"/>
      <c r="D507" s="98"/>
      <c r="E507" s="98"/>
      <c r="F507" s="194"/>
      <c r="G507" s="151"/>
      <c r="H507" s="36"/>
      <c r="I507" s="37"/>
      <c r="J507" s="38"/>
      <c r="K507" s="39"/>
      <c r="L507" s="38"/>
      <c r="M507" s="39"/>
      <c r="N507" s="40"/>
      <c r="O507" s="34"/>
      <c r="P507" s="35"/>
      <c r="Q507" s="35"/>
      <c r="R507" s="35"/>
      <c r="S507" s="35"/>
      <c r="T507" s="35"/>
      <c r="U507" s="35"/>
      <c r="V507" s="35"/>
      <c r="W507" s="35"/>
      <c r="X507" s="35"/>
      <c r="Y507" s="35"/>
      <c r="Z507" s="35"/>
    </row>
    <row r="508" ht="14.25" customHeight="1">
      <c r="A508" s="83"/>
      <c r="B508" s="84"/>
      <c r="C508" s="120"/>
      <c r="D508" s="98"/>
      <c r="E508" s="98"/>
      <c r="F508" s="194"/>
      <c r="G508" s="151"/>
      <c r="H508" s="36"/>
      <c r="I508" s="37"/>
      <c r="J508" s="38"/>
      <c r="K508" s="39"/>
      <c r="L508" s="38"/>
      <c r="M508" s="39"/>
      <c r="N508" s="40"/>
      <c r="O508" s="34"/>
      <c r="P508" s="35"/>
      <c r="Q508" s="35"/>
      <c r="R508" s="35"/>
      <c r="S508" s="35"/>
      <c r="T508" s="35"/>
      <c r="U508" s="35"/>
      <c r="V508" s="35"/>
      <c r="W508" s="35"/>
      <c r="X508" s="35"/>
      <c r="Y508" s="35"/>
      <c r="Z508" s="35"/>
    </row>
    <row r="509" ht="14.25" customHeight="1">
      <c r="A509" s="83"/>
      <c r="B509" s="84"/>
      <c r="C509" s="120"/>
      <c r="D509" s="98"/>
      <c r="E509" s="98"/>
      <c r="F509" s="194"/>
      <c r="G509" s="151"/>
      <c r="H509" s="36"/>
      <c r="I509" s="37"/>
      <c r="J509" s="38"/>
      <c r="K509" s="39"/>
      <c r="L509" s="38"/>
      <c r="M509" s="39"/>
      <c r="N509" s="40"/>
      <c r="O509" s="34"/>
      <c r="P509" s="35"/>
      <c r="Q509" s="35"/>
      <c r="R509" s="35"/>
      <c r="S509" s="35"/>
      <c r="T509" s="35"/>
      <c r="U509" s="35"/>
      <c r="V509" s="35"/>
      <c r="W509" s="35"/>
      <c r="X509" s="35"/>
      <c r="Y509" s="35"/>
      <c r="Z509" s="35"/>
    </row>
    <row r="510" ht="14.25" customHeight="1">
      <c r="A510" s="83"/>
      <c r="B510" s="84"/>
      <c r="C510" s="120"/>
      <c r="D510" s="98"/>
      <c r="E510" s="98"/>
      <c r="F510" s="194"/>
      <c r="G510" s="151"/>
      <c r="H510" s="36"/>
      <c r="I510" s="37"/>
      <c r="J510" s="38"/>
      <c r="K510" s="39"/>
      <c r="L510" s="38"/>
      <c r="M510" s="39"/>
      <c r="N510" s="40"/>
      <c r="O510" s="34"/>
      <c r="P510" s="35"/>
      <c r="Q510" s="35"/>
      <c r="R510" s="35"/>
      <c r="S510" s="35"/>
      <c r="T510" s="35"/>
      <c r="U510" s="35"/>
      <c r="V510" s="35"/>
      <c r="W510" s="35"/>
      <c r="X510" s="35"/>
      <c r="Y510" s="35"/>
      <c r="Z510" s="35"/>
    </row>
    <row r="511" ht="14.25" customHeight="1">
      <c r="A511" s="83"/>
      <c r="B511" s="84"/>
      <c r="C511" s="120"/>
      <c r="D511" s="98"/>
      <c r="E511" s="98"/>
      <c r="F511" s="194"/>
      <c r="G511" s="151"/>
      <c r="H511" s="36"/>
      <c r="I511" s="37"/>
      <c r="J511" s="38"/>
      <c r="K511" s="39"/>
      <c r="L511" s="38"/>
      <c r="M511" s="39"/>
      <c r="N511" s="40"/>
      <c r="O511" s="34"/>
      <c r="P511" s="35"/>
      <c r="Q511" s="35"/>
      <c r="R511" s="35"/>
      <c r="S511" s="35"/>
      <c r="T511" s="35"/>
      <c r="U511" s="35"/>
      <c r="V511" s="35"/>
      <c r="W511" s="35"/>
      <c r="X511" s="35"/>
      <c r="Y511" s="35"/>
      <c r="Z511" s="35"/>
    </row>
    <row r="512" ht="14.25" customHeight="1">
      <c r="A512" s="83"/>
      <c r="B512" s="84"/>
      <c r="C512" s="120"/>
      <c r="D512" s="98"/>
      <c r="E512" s="98"/>
      <c r="F512" s="194"/>
      <c r="G512" s="151"/>
      <c r="H512" s="36"/>
      <c r="I512" s="37"/>
      <c r="J512" s="38"/>
      <c r="K512" s="39"/>
      <c r="L512" s="38"/>
      <c r="M512" s="39"/>
      <c r="N512" s="40"/>
      <c r="O512" s="34"/>
      <c r="P512" s="35"/>
      <c r="Q512" s="35"/>
      <c r="R512" s="35"/>
      <c r="S512" s="35"/>
      <c r="T512" s="35"/>
      <c r="U512" s="35"/>
      <c r="V512" s="35"/>
      <c r="W512" s="35"/>
      <c r="X512" s="35"/>
      <c r="Y512" s="35"/>
      <c r="Z512" s="35"/>
    </row>
    <row r="513" ht="14.25" customHeight="1">
      <c r="A513" s="83"/>
      <c r="B513" s="84"/>
      <c r="C513" s="120"/>
      <c r="D513" s="98"/>
      <c r="E513" s="98"/>
      <c r="F513" s="194"/>
      <c r="G513" s="151"/>
      <c r="H513" s="36"/>
      <c r="I513" s="37"/>
      <c r="J513" s="38"/>
      <c r="K513" s="39"/>
      <c r="L513" s="38"/>
      <c r="M513" s="39"/>
      <c r="N513" s="40"/>
      <c r="O513" s="34"/>
      <c r="P513" s="35"/>
      <c r="Q513" s="35"/>
      <c r="R513" s="35"/>
      <c r="S513" s="35"/>
      <c r="T513" s="35"/>
      <c r="U513" s="35"/>
      <c r="V513" s="35"/>
      <c r="W513" s="35"/>
      <c r="X513" s="35"/>
      <c r="Y513" s="35"/>
      <c r="Z513" s="35"/>
    </row>
    <row r="514" ht="14.25" customHeight="1">
      <c r="A514" s="83"/>
      <c r="B514" s="84"/>
      <c r="C514" s="120"/>
      <c r="D514" s="98"/>
      <c r="E514" s="98"/>
      <c r="F514" s="194"/>
      <c r="G514" s="151"/>
      <c r="H514" s="36"/>
      <c r="I514" s="37"/>
      <c r="J514" s="38"/>
      <c r="K514" s="39"/>
      <c r="L514" s="38"/>
      <c r="M514" s="39"/>
      <c r="N514" s="40"/>
      <c r="O514" s="34"/>
      <c r="P514" s="35"/>
      <c r="Q514" s="35"/>
      <c r="R514" s="35"/>
      <c r="S514" s="35"/>
      <c r="T514" s="35"/>
      <c r="U514" s="35"/>
      <c r="V514" s="35"/>
      <c r="W514" s="35"/>
      <c r="X514" s="35"/>
      <c r="Y514" s="35"/>
      <c r="Z514" s="35"/>
    </row>
    <row r="515" ht="14.25" customHeight="1">
      <c r="A515" s="83"/>
      <c r="B515" s="84"/>
      <c r="C515" s="120"/>
      <c r="D515" s="98"/>
      <c r="E515" s="98"/>
      <c r="F515" s="194"/>
      <c r="G515" s="151"/>
      <c r="H515" s="36"/>
      <c r="I515" s="37"/>
      <c r="J515" s="38"/>
      <c r="K515" s="39"/>
      <c r="L515" s="38"/>
      <c r="M515" s="39"/>
      <c r="N515" s="40"/>
      <c r="O515" s="34"/>
      <c r="P515" s="35"/>
      <c r="Q515" s="35"/>
      <c r="R515" s="35"/>
      <c r="S515" s="35"/>
      <c r="T515" s="35"/>
      <c r="U515" s="35"/>
      <c r="V515" s="35"/>
      <c r="W515" s="35"/>
      <c r="X515" s="35"/>
      <c r="Y515" s="35"/>
      <c r="Z515" s="35"/>
    </row>
    <row r="516" ht="14.25" customHeight="1">
      <c r="A516" s="83"/>
      <c r="B516" s="84"/>
      <c r="C516" s="120"/>
      <c r="D516" s="98"/>
      <c r="E516" s="98"/>
      <c r="F516" s="194"/>
      <c r="G516" s="151"/>
      <c r="H516" s="36"/>
      <c r="I516" s="37"/>
      <c r="J516" s="38"/>
      <c r="K516" s="39"/>
      <c r="L516" s="38"/>
      <c r="M516" s="39"/>
      <c r="N516" s="40"/>
      <c r="O516" s="34"/>
      <c r="P516" s="35"/>
      <c r="Q516" s="35"/>
      <c r="R516" s="35"/>
      <c r="S516" s="35"/>
      <c r="T516" s="35"/>
      <c r="U516" s="35"/>
      <c r="V516" s="35"/>
      <c r="W516" s="35"/>
      <c r="X516" s="35"/>
      <c r="Y516" s="35"/>
      <c r="Z516" s="35"/>
    </row>
    <row r="517" ht="14.25" customHeight="1">
      <c r="A517" s="83"/>
      <c r="B517" s="84"/>
      <c r="C517" s="120"/>
      <c r="D517" s="98"/>
      <c r="E517" s="98"/>
      <c r="F517" s="194"/>
      <c r="G517" s="151"/>
      <c r="H517" s="36"/>
      <c r="I517" s="37"/>
      <c r="J517" s="38"/>
      <c r="K517" s="39"/>
      <c r="L517" s="38"/>
      <c r="M517" s="39"/>
      <c r="N517" s="40"/>
      <c r="O517" s="34"/>
      <c r="P517" s="35"/>
      <c r="Q517" s="35"/>
      <c r="R517" s="35"/>
      <c r="S517" s="35"/>
      <c r="T517" s="35"/>
      <c r="U517" s="35"/>
      <c r="V517" s="35"/>
      <c r="W517" s="35"/>
      <c r="X517" s="35"/>
      <c r="Y517" s="35"/>
      <c r="Z517" s="35"/>
    </row>
    <row r="518" ht="14.25" customHeight="1">
      <c r="A518" s="83"/>
      <c r="B518" s="84"/>
      <c r="C518" s="120"/>
      <c r="D518" s="98"/>
      <c r="E518" s="98"/>
      <c r="F518" s="194"/>
      <c r="G518" s="151"/>
      <c r="H518" s="36"/>
      <c r="I518" s="37"/>
      <c r="J518" s="38"/>
      <c r="K518" s="39"/>
      <c r="L518" s="38"/>
      <c r="M518" s="39"/>
      <c r="N518" s="40"/>
      <c r="O518" s="34"/>
      <c r="P518" s="35"/>
      <c r="Q518" s="35"/>
      <c r="R518" s="35"/>
      <c r="S518" s="35"/>
      <c r="T518" s="35"/>
      <c r="U518" s="35"/>
      <c r="V518" s="35"/>
      <c r="W518" s="35"/>
      <c r="X518" s="35"/>
      <c r="Y518" s="35"/>
      <c r="Z518" s="35"/>
    </row>
    <row r="519" ht="14.25" customHeight="1">
      <c r="A519" s="83"/>
      <c r="B519" s="84"/>
      <c r="C519" s="120"/>
      <c r="D519" s="98"/>
      <c r="E519" s="98"/>
      <c r="F519" s="194"/>
      <c r="G519" s="88"/>
      <c r="H519" s="36"/>
      <c r="I519" s="37"/>
      <c r="J519" s="38"/>
      <c r="K519" s="39"/>
      <c r="L519" s="38"/>
      <c r="M519" s="39"/>
      <c r="N519" s="40"/>
      <c r="O519" s="34"/>
      <c r="P519" s="35"/>
      <c r="Q519" s="35"/>
      <c r="R519" s="35"/>
      <c r="S519" s="35"/>
      <c r="T519" s="35"/>
      <c r="U519" s="35"/>
      <c r="V519" s="35"/>
      <c r="W519" s="35"/>
      <c r="X519" s="35"/>
      <c r="Y519" s="35"/>
      <c r="Z519" s="35"/>
    </row>
    <row r="520" ht="14.25" customHeight="1">
      <c r="A520" s="83"/>
      <c r="B520" s="84"/>
      <c r="C520" s="120"/>
      <c r="D520" s="98"/>
      <c r="E520" s="98"/>
      <c r="F520" s="194"/>
      <c r="G520" s="88"/>
      <c r="H520" s="36"/>
      <c r="I520" s="37"/>
      <c r="J520" s="38"/>
      <c r="K520" s="39"/>
      <c r="L520" s="38"/>
      <c r="M520" s="39"/>
      <c r="N520" s="40"/>
      <c r="O520" s="34"/>
      <c r="P520" s="35"/>
      <c r="Q520" s="35"/>
      <c r="R520" s="35"/>
      <c r="S520" s="35"/>
      <c r="T520" s="35"/>
      <c r="U520" s="35"/>
      <c r="V520" s="35"/>
      <c r="W520" s="35"/>
      <c r="X520" s="35"/>
      <c r="Y520" s="35"/>
      <c r="Z520" s="35"/>
    </row>
    <row r="521" ht="14.25" customHeight="1">
      <c r="A521" s="83"/>
      <c r="B521" s="84"/>
      <c r="C521" s="120"/>
      <c r="D521" s="98"/>
      <c r="E521" s="98"/>
      <c r="F521" s="194"/>
      <c r="G521" s="88"/>
      <c r="H521" s="36"/>
      <c r="I521" s="37"/>
      <c r="J521" s="38"/>
      <c r="K521" s="39"/>
      <c r="L521" s="38"/>
      <c r="M521" s="39"/>
      <c r="N521" s="40"/>
      <c r="O521" s="34"/>
      <c r="P521" s="35"/>
      <c r="Q521" s="35"/>
      <c r="R521" s="35"/>
      <c r="S521" s="35"/>
      <c r="T521" s="35"/>
      <c r="U521" s="35"/>
      <c r="V521" s="35"/>
      <c r="W521" s="35"/>
      <c r="X521" s="35"/>
      <c r="Y521" s="35"/>
      <c r="Z521" s="35"/>
    </row>
    <row r="522" ht="14.25" customHeight="1">
      <c r="A522" s="83"/>
      <c r="B522" s="84"/>
      <c r="C522" s="120"/>
      <c r="D522" s="98"/>
      <c r="E522" s="98"/>
      <c r="F522" s="194"/>
      <c r="G522" s="88"/>
      <c r="H522" s="36"/>
      <c r="I522" s="37"/>
      <c r="J522" s="38"/>
      <c r="K522" s="39"/>
      <c r="L522" s="38"/>
      <c r="M522" s="39"/>
      <c r="N522" s="40"/>
      <c r="O522" s="34"/>
      <c r="P522" s="35"/>
      <c r="Q522" s="35"/>
      <c r="R522" s="35"/>
      <c r="S522" s="35"/>
      <c r="T522" s="35"/>
      <c r="U522" s="35"/>
      <c r="V522" s="35"/>
      <c r="W522" s="35"/>
      <c r="X522" s="35"/>
      <c r="Y522" s="35"/>
      <c r="Z522" s="35"/>
    </row>
    <row r="523" ht="14.25" customHeight="1">
      <c r="A523" s="83"/>
      <c r="B523" s="84"/>
      <c r="C523" s="120"/>
      <c r="D523" s="98"/>
      <c r="E523" s="98"/>
      <c r="F523" s="194"/>
      <c r="G523" s="88"/>
      <c r="H523" s="36"/>
      <c r="I523" s="37"/>
      <c r="J523" s="38"/>
      <c r="K523" s="39"/>
      <c r="L523" s="38"/>
      <c r="M523" s="39"/>
      <c r="N523" s="40"/>
      <c r="O523" s="34"/>
      <c r="P523" s="35"/>
      <c r="Q523" s="35"/>
      <c r="R523" s="35"/>
      <c r="S523" s="35"/>
      <c r="T523" s="35"/>
      <c r="U523" s="35"/>
      <c r="V523" s="35"/>
      <c r="W523" s="35"/>
      <c r="X523" s="35"/>
      <c r="Y523" s="35"/>
      <c r="Z523" s="35"/>
    </row>
    <row r="524" ht="14.25" customHeight="1">
      <c r="A524" s="83"/>
      <c r="B524" s="84"/>
      <c r="C524" s="120"/>
      <c r="D524" s="98"/>
      <c r="E524" s="98"/>
      <c r="F524" s="194"/>
      <c r="G524" s="88"/>
      <c r="H524" s="36"/>
      <c r="I524" s="37"/>
      <c r="J524" s="38"/>
      <c r="K524" s="39"/>
      <c r="L524" s="38"/>
      <c r="M524" s="39"/>
      <c r="N524" s="40"/>
      <c r="O524" s="34"/>
      <c r="P524" s="35"/>
      <c r="Q524" s="35"/>
      <c r="R524" s="35"/>
      <c r="S524" s="35"/>
      <c r="T524" s="35"/>
      <c r="U524" s="35"/>
      <c r="V524" s="35"/>
      <c r="W524" s="35"/>
      <c r="X524" s="35"/>
      <c r="Y524" s="35"/>
      <c r="Z524" s="35"/>
    </row>
    <row r="525" ht="14.25" customHeight="1">
      <c r="A525" s="83"/>
      <c r="B525" s="84"/>
      <c r="C525" s="120"/>
      <c r="D525" s="98"/>
      <c r="E525" s="98"/>
      <c r="F525" s="194"/>
      <c r="G525" s="88"/>
      <c r="H525" s="36"/>
      <c r="I525" s="37"/>
      <c r="J525" s="38"/>
      <c r="K525" s="39"/>
      <c r="L525" s="38"/>
      <c r="M525" s="39"/>
      <c r="N525" s="40"/>
      <c r="O525" s="34"/>
      <c r="P525" s="35"/>
      <c r="Q525" s="35"/>
      <c r="R525" s="35"/>
      <c r="S525" s="35"/>
      <c r="T525" s="35"/>
      <c r="U525" s="35"/>
      <c r="V525" s="35"/>
      <c r="W525" s="35"/>
      <c r="X525" s="35"/>
      <c r="Y525" s="35"/>
      <c r="Z525" s="35"/>
    </row>
    <row r="526" ht="14.25" customHeight="1">
      <c r="A526" s="83"/>
      <c r="B526" s="84"/>
      <c r="C526" s="120"/>
      <c r="D526" s="98"/>
      <c r="E526" s="98"/>
      <c r="F526" s="194"/>
      <c r="G526" s="88"/>
      <c r="H526" s="36"/>
      <c r="I526" s="37"/>
      <c r="J526" s="38"/>
      <c r="K526" s="39"/>
      <c r="L526" s="38"/>
      <c r="M526" s="39"/>
      <c r="N526" s="40"/>
      <c r="O526" s="34"/>
      <c r="P526" s="35"/>
      <c r="Q526" s="35"/>
      <c r="R526" s="35"/>
      <c r="S526" s="35"/>
      <c r="T526" s="35"/>
      <c r="U526" s="35"/>
      <c r="V526" s="35"/>
      <c r="W526" s="35"/>
      <c r="X526" s="35"/>
      <c r="Y526" s="35"/>
      <c r="Z526" s="35"/>
    </row>
    <row r="527" ht="14.25" customHeight="1">
      <c r="A527" s="83"/>
      <c r="B527" s="84"/>
      <c r="C527" s="120"/>
      <c r="D527" s="98"/>
      <c r="E527" s="98"/>
      <c r="F527" s="194"/>
      <c r="G527" s="88"/>
      <c r="H527" s="36"/>
      <c r="I527" s="37"/>
      <c r="J527" s="38"/>
      <c r="K527" s="39"/>
      <c r="L527" s="38"/>
      <c r="M527" s="39"/>
      <c r="N527" s="40"/>
      <c r="O527" s="34"/>
      <c r="P527" s="35"/>
      <c r="Q527" s="35"/>
      <c r="R527" s="35"/>
      <c r="S527" s="35"/>
      <c r="T527" s="35"/>
      <c r="U527" s="35"/>
      <c r="V527" s="35"/>
      <c r="W527" s="35"/>
      <c r="X527" s="35"/>
      <c r="Y527" s="35"/>
      <c r="Z527" s="35"/>
    </row>
    <row r="528" ht="14.25" customHeight="1">
      <c r="A528" s="83"/>
      <c r="B528" s="84"/>
      <c r="C528" s="120"/>
      <c r="D528" s="98"/>
      <c r="E528" s="98"/>
      <c r="F528" s="194"/>
      <c r="G528" s="88"/>
      <c r="H528" s="36"/>
      <c r="I528" s="37"/>
      <c r="J528" s="38"/>
      <c r="K528" s="39"/>
      <c r="L528" s="38"/>
      <c r="M528" s="39"/>
      <c r="N528" s="40"/>
      <c r="O528" s="34"/>
      <c r="P528" s="35"/>
      <c r="Q528" s="35"/>
      <c r="R528" s="35"/>
      <c r="S528" s="35"/>
      <c r="T528" s="35"/>
      <c r="U528" s="35"/>
      <c r="V528" s="35"/>
      <c r="W528" s="35"/>
      <c r="X528" s="35"/>
      <c r="Y528" s="35"/>
      <c r="Z528" s="35"/>
    </row>
    <row r="529" ht="14.25" customHeight="1">
      <c r="A529" s="83"/>
      <c r="B529" s="84"/>
      <c r="C529" s="120"/>
      <c r="D529" s="98"/>
      <c r="E529" s="98"/>
      <c r="F529" s="194"/>
      <c r="G529" s="88"/>
      <c r="H529" s="36"/>
      <c r="I529" s="37"/>
      <c r="J529" s="38"/>
      <c r="K529" s="39"/>
      <c r="L529" s="38"/>
      <c r="M529" s="39"/>
      <c r="N529" s="40"/>
      <c r="O529" s="34"/>
      <c r="P529" s="35"/>
      <c r="Q529" s="35"/>
      <c r="R529" s="35"/>
      <c r="S529" s="35"/>
      <c r="T529" s="35"/>
      <c r="U529" s="35"/>
      <c r="V529" s="35"/>
      <c r="W529" s="35"/>
      <c r="X529" s="35"/>
      <c r="Y529" s="35"/>
      <c r="Z529" s="35"/>
    </row>
    <row r="530" ht="14.25" customHeight="1">
      <c r="A530" s="83"/>
      <c r="B530" s="84"/>
      <c r="C530" s="120"/>
      <c r="D530" s="98"/>
      <c r="E530" s="98"/>
      <c r="F530" s="194"/>
      <c r="G530" s="88"/>
      <c r="H530" s="36"/>
      <c r="I530" s="37"/>
      <c r="J530" s="38"/>
      <c r="K530" s="39"/>
      <c r="L530" s="38"/>
      <c r="M530" s="39"/>
      <c r="N530" s="40"/>
      <c r="O530" s="34"/>
      <c r="P530" s="35"/>
      <c r="Q530" s="35"/>
      <c r="R530" s="35"/>
      <c r="S530" s="35"/>
      <c r="T530" s="35"/>
      <c r="U530" s="35"/>
      <c r="V530" s="35"/>
      <c r="W530" s="35"/>
      <c r="X530" s="35"/>
      <c r="Y530" s="35"/>
      <c r="Z530" s="35"/>
    </row>
    <row r="531" ht="14.25" customHeight="1">
      <c r="A531" s="83"/>
      <c r="B531" s="84"/>
      <c r="C531" s="120"/>
      <c r="D531" s="98"/>
      <c r="E531" s="98"/>
      <c r="F531" s="194"/>
      <c r="G531" s="88"/>
      <c r="H531" s="36"/>
      <c r="I531" s="37"/>
      <c r="J531" s="38"/>
      <c r="K531" s="39"/>
      <c r="L531" s="38"/>
      <c r="M531" s="39"/>
      <c r="N531" s="40"/>
      <c r="O531" s="34"/>
      <c r="P531" s="35"/>
      <c r="Q531" s="35"/>
      <c r="R531" s="35"/>
      <c r="S531" s="35"/>
      <c r="T531" s="35"/>
      <c r="U531" s="35"/>
      <c r="V531" s="35"/>
      <c r="W531" s="35"/>
      <c r="X531" s="35"/>
      <c r="Y531" s="35"/>
      <c r="Z531" s="35"/>
    </row>
    <row r="532" ht="14.25" customHeight="1">
      <c r="A532" s="83"/>
      <c r="B532" s="84"/>
      <c r="C532" s="120"/>
      <c r="D532" s="98"/>
      <c r="E532" s="98"/>
      <c r="F532" s="194"/>
      <c r="G532" s="88"/>
      <c r="H532" s="36"/>
      <c r="I532" s="37"/>
      <c r="J532" s="38"/>
      <c r="K532" s="39"/>
      <c r="L532" s="38"/>
      <c r="M532" s="39"/>
      <c r="N532" s="40"/>
      <c r="O532" s="34"/>
      <c r="P532" s="35"/>
      <c r="Q532" s="35"/>
      <c r="R532" s="35"/>
      <c r="S532" s="35"/>
      <c r="T532" s="35"/>
      <c r="U532" s="35"/>
      <c r="V532" s="35"/>
      <c r="W532" s="35"/>
      <c r="X532" s="35"/>
      <c r="Y532" s="35"/>
      <c r="Z532" s="35"/>
    </row>
    <row r="533" ht="14.25" customHeight="1">
      <c r="A533" s="83"/>
      <c r="B533" s="84"/>
      <c r="C533" s="120"/>
      <c r="D533" s="98"/>
      <c r="E533" s="98"/>
      <c r="F533" s="194"/>
      <c r="G533" s="88"/>
      <c r="H533" s="36"/>
      <c r="I533" s="37"/>
      <c r="J533" s="38"/>
      <c r="K533" s="39"/>
      <c r="L533" s="38"/>
      <c r="M533" s="39"/>
      <c r="N533" s="40"/>
      <c r="O533" s="34"/>
      <c r="P533" s="35"/>
      <c r="Q533" s="35"/>
      <c r="R533" s="35"/>
      <c r="S533" s="35"/>
      <c r="T533" s="35"/>
      <c r="U533" s="35"/>
      <c r="V533" s="35"/>
      <c r="W533" s="35"/>
      <c r="X533" s="35"/>
      <c r="Y533" s="35"/>
      <c r="Z533" s="35"/>
    </row>
    <row r="534" ht="14.25" customHeight="1">
      <c r="A534" s="83"/>
      <c r="B534" s="84"/>
      <c r="C534" s="120"/>
      <c r="D534" s="98"/>
      <c r="E534" s="98"/>
      <c r="F534" s="194"/>
      <c r="G534" s="88"/>
      <c r="H534" s="36"/>
      <c r="I534" s="37"/>
      <c r="J534" s="38"/>
      <c r="K534" s="39"/>
      <c r="L534" s="38"/>
      <c r="M534" s="39"/>
      <c r="N534" s="40"/>
      <c r="O534" s="34"/>
      <c r="P534" s="35"/>
      <c r="Q534" s="35"/>
      <c r="R534" s="35"/>
      <c r="S534" s="35"/>
      <c r="T534" s="35"/>
      <c r="U534" s="35"/>
      <c r="V534" s="35"/>
      <c r="W534" s="35"/>
      <c r="X534" s="35"/>
      <c r="Y534" s="35"/>
      <c r="Z534" s="35"/>
    </row>
    <row r="535" ht="14.25" customHeight="1">
      <c r="A535" s="83"/>
      <c r="B535" s="84"/>
      <c r="C535" s="120"/>
      <c r="D535" s="98"/>
      <c r="E535" s="98"/>
      <c r="F535" s="194"/>
      <c r="G535" s="88"/>
      <c r="H535" s="36"/>
      <c r="I535" s="37"/>
      <c r="J535" s="38"/>
      <c r="K535" s="39"/>
      <c r="L535" s="38"/>
      <c r="M535" s="39"/>
      <c r="N535" s="40"/>
      <c r="O535" s="34"/>
      <c r="P535" s="35"/>
      <c r="Q535" s="35"/>
      <c r="R535" s="35"/>
      <c r="S535" s="35"/>
      <c r="T535" s="35"/>
      <c r="U535" s="35"/>
      <c r="V535" s="35"/>
      <c r="W535" s="35"/>
      <c r="X535" s="35"/>
      <c r="Y535" s="35"/>
      <c r="Z535" s="35"/>
    </row>
    <row r="536" ht="14.25" customHeight="1">
      <c r="A536" s="83"/>
      <c r="B536" s="84"/>
      <c r="C536" s="120"/>
      <c r="D536" s="98"/>
      <c r="E536" s="98"/>
      <c r="F536" s="194"/>
      <c r="G536" s="88"/>
      <c r="H536" s="36"/>
      <c r="I536" s="37"/>
      <c r="J536" s="38"/>
      <c r="K536" s="39"/>
      <c r="L536" s="38"/>
      <c r="M536" s="39"/>
      <c r="N536" s="40"/>
      <c r="O536" s="34"/>
      <c r="P536" s="35"/>
      <c r="Q536" s="35"/>
      <c r="R536" s="35"/>
      <c r="S536" s="35"/>
      <c r="T536" s="35"/>
      <c r="U536" s="35"/>
      <c r="V536" s="35"/>
      <c r="W536" s="35"/>
      <c r="X536" s="35"/>
      <c r="Y536" s="35"/>
      <c r="Z536" s="35"/>
    </row>
    <row r="537" ht="14.25" customHeight="1">
      <c r="A537" s="83"/>
      <c r="B537" s="84"/>
      <c r="C537" s="120"/>
      <c r="D537" s="98"/>
      <c r="E537" s="98"/>
      <c r="F537" s="194"/>
      <c r="G537" s="88"/>
      <c r="H537" s="36"/>
      <c r="I537" s="37"/>
      <c r="J537" s="38"/>
      <c r="K537" s="39"/>
      <c r="L537" s="38"/>
      <c r="M537" s="39"/>
      <c r="N537" s="40"/>
      <c r="O537" s="34"/>
      <c r="P537" s="35"/>
      <c r="Q537" s="35"/>
      <c r="R537" s="35"/>
      <c r="S537" s="35"/>
      <c r="T537" s="35"/>
      <c r="U537" s="35"/>
      <c r="V537" s="35"/>
      <c r="W537" s="35"/>
      <c r="X537" s="35"/>
      <c r="Y537" s="35"/>
      <c r="Z537" s="35"/>
    </row>
    <row r="538" ht="14.25" customHeight="1">
      <c r="A538" s="83"/>
      <c r="B538" s="84"/>
      <c r="C538" s="120"/>
      <c r="D538" s="98"/>
      <c r="E538" s="98"/>
      <c r="F538" s="194"/>
      <c r="G538" s="88"/>
      <c r="H538" s="36"/>
      <c r="I538" s="37"/>
      <c r="J538" s="38"/>
      <c r="K538" s="39"/>
      <c r="L538" s="38"/>
      <c r="M538" s="39"/>
      <c r="N538" s="40"/>
      <c r="O538" s="34"/>
      <c r="P538" s="35"/>
      <c r="Q538" s="35"/>
      <c r="R538" s="35"/>
      <c r="S538" s="35"/>
      <c r="T538" s="35"/>
      <c r="U538" s="35"/>
      <c r="V538" s="35"/>
      <c r="W538" s="35"/>
      <c r="X538" s="35"/>
      <c r="Y538" s="35"/>
      <c r="Z538" s="35"/>
    </row>
    <row r="539" ht="14.25" customHeight="1">
      <c r="A539" s="83"/>
      <c r="B539" s="84"/>
      <c r="C539" s="120"/>
      <c r="D539" s="98"/>
      <c r="E539" s="98"/>
      <c r="F539" s="194"/>
      <c r="G539" s="88"/>
      <c r="H539" s="36"/>
      <c r="I539" s="37"/>
      <c r="J539" s="38"/>
      <c r="K539" s="39"/>
      <c r="L539" s="38"/>
      <c r="M539" s="39"/>
      <c r="N539" s="40"/>
      <c r="O539" s="34"/>
      <c r="P539" s="35"/>
      <c r="Q539" s="35"/>
      <c r="R539" s="35"/>
      <c r="S539" s="35"/>
      <c r="T539" s="35"/>
      <c r="U539" s="35"/>
      <c r="V539" s="35"/>
      <c r="W539" s="35"/>
      <c r="X539" s="35"/>
      <c r="Y539" s="35"/>
      <c r="Z539" s="35"/>
    </row>
    <row r="540" ht="14.25" customHeight="1">
      <c r="A540" s="83"/>
      <c r="B540" s="84"/>
      <c r="C540" s="120"/>
      <c r="D540" s="98"/>
      <c r="E540" s="98"/>
      <c r="F540" s="194"/>
      <c r="G540" s="88"/>
      <c r="H540" s="36"/>
      <c r="I540" s="37"/>
      <c r="J540" s="38"/>
      <c r="K540" s="39"/>
      <c r="L540" s="38"/>
      <c r="M540" s="39"/>
      <c r="N540" s="40"/>
      <c r="O540" s="34"/>
      <c r="P540" s="35"/>
      <c r="Q540" s="35"/>
      <c r="R540" s="35"/>
      <c r="S540" s="35"/>
      <c r="T540" s="35"/>
      <c r="U540" s="35"/>
      <c r="V540" s="35"/>
      <c r="W540" s="35"/>
      <c r="X540" s="35"/>
      <c r="Y540" s="35"/>
      <c r="Z540" s="35"/>
    </row>
    <row r="541" ht="14.25" customHeight="1">
      <c r="A541" s="83"/>
      <c r="B541" s="84"/>
      <c r="C541" s="120"/>
      <c r="D541" s="98"/>
      <c r="E541" s="98"/>
      <c r="F541" s="194"/>
      <c r="G541" s="88"/>
      <c r="H541" s="36"/>
      <c r="I541" s="37"/>
      <c r="J541" s="38"/>
      <c r="K541" s="39"/>
      <c r="L541" s="38"/>
      <c r="M541" s="39"/>
      <c r="N541" s="40"/>
      <c r="O541" s="34"/>
      <c r="P541" s="35"/>
      <c r="Q541" s="35"/>
      <c r="R541" s="35"/>
      <c r="S541" s="35"/>
      <c r="T541" s="35"/>
      <c r="U541" s="35"/>
      <c r="V541" s="35"/>
      <c r="W541" s="35"/>
      <c r="X541" s="35"/>
      <c r="Y541" s="35"/>
      <c r="Z541" s="35"/>
    </row>
    <row r="542" ht="14.25" customHeight="1">
      <c r="A542" s="83"/>
      <c r="B542" s="84"/>
      <c r="C542" s="120"/>
      <c r="D542" s="98"/>
      <c r="E542" s="98"/>
      <c r="F542" s="194"/>
      <c r="G542" s="88"/>
      <c r="H542" s="36"/>
      <c r="I542" s="37"/>
      <c r="J542" s="38"/>
      <c r="K542" s="39"/>
      <c r="L542" s="38"/>
      <c r="M542" s="39"/>
      <c r="N542" s="40"/>
      <c r="O542" s="34"/>
      <c r="P542" s="35"/>
      <c r="Q542" s="35"/>
      <c r="R542" s="35"/>
      <c r="S542" s="35"/>
      <c r="T542" s="35"/>
      <c r="U542" s="35"/>
      <c r="V542" s="35"/>
      <c r="W542" s="35"/>
      <c r="X542" s="35"/>
      <c r="Y542" s="35"/>
      <c r="Z542" s="35"/>
    </row>
    <row r="543" ht="14.25" customHeight="1">
      <c r="A543" s="83"/>
      <c r="B543" s="84"/>
      <c r="C543" s="120"/>
      <c r="D543" s="98"/>
      <c r="E543" s="98"/>
      <c r="F543" s="194"/>
      <c r="G543" s="88"/>
      <c r="H543" s="36"/>
      <c r="I543" s="37"/>
      <c r="J543" s="38"/>
      <c r="K543" s="39"/>
      <c r="L543" s="38"/>
      <c r="M543" s="39"/>
      <c r="N543" s="40"/>
      <c r="O543" s="34"/>
      <c r="P543" s="35"/>
      <c r="Q543" s="35"/>
      <c r="R543" s="35"/>
      <c r="S543" s="35"/>
      <c r="T543" s="35"/>
      <c r="U543" s="35"/>
      <c r="V543" s="35"/>
      <c r="W543" s="35"/>
      <c r="X543" s="35"/>
      <c r="Y543" s="35"/>
      <c r="Z543" s="35"/>
    </row>
    <row r="544" ht="14.25" customHeight="1">
      <c r="A544" s="83"/>
      <c r="B544" s="84"/>
      <c r="C544" s="120"/>
      <c r="D544" s="98"/>
      <c r="E544" s="98"/>
      <c r="F544" s="194"/>
      <c r="G544" s="88"/>
      <c r="H544" s="36"/>
      <c r="I544" s="37"/>
      <c r="J544" s="38"/>
      <c r="K544" s="39"/>
      <c r="L544" s="38"/>
      <c r="M544" s="39"/>
      <c r="N544" s="40"/>
      <c r="O544" s="34"/>
      <c r="P544" s="35"/>
      <c r="Q544" s="35"/>
      <c r="R544" s="35"/>
      <c r="S544" s="35"/>
      <c r="T544" s="35"/>
      <c r="U544" s="35"/>
      <c r="V544" s="35"/>
      <c r="W544" s="35"/>
      <c r="X544" s="35"/>
      <c r="Y544" s="35"/>
      <c r="Z544" s="35"/>
    </row>
    <row r="545" ht="14.25" customHeight="1">
      <c r="A545" s="83"/>
      <c r="B545" s="84"/>
      <c r="C545" s="120"/>
      <c r="D545" s="98"/>
      <c r="E545" s="98"/>
      <c r="F545" s="194"/>
      <c r="G545" s="88"/>
      <c r="H545" s="36"/>
      <c r="I545" s="37"/>
      <c r="J545" s="38"/>
      <c r="K545" s="39"/>
      <c r="L545" s="38"/>
      <c r="M545" s="39"/>
      <c r="N545" s="40"/>
      <c r="O545" s="34"/>
      <c r="P545" s="35"/>
      <c r="Q545" s="35"/>
      <c r="R545" s="35"/>
      <c r="S545" s="35"/>
      <c r="T545" s="35"/>
      <c r="U545" s="35"/>
      <c r="V545" s="35"/>
      <c r="W545" s="35"/>
      <c r="X545" s="35"/>
      <c r="Y545" s="35"/>
      <c r="Z545" s="35"/>
    </row>
    <row r="546" ht="14.25" customHeight="1">
      <c r="A546" s="83"/>
      <c r="B546" s="84"/>
      <c r="C546" s="120"/>
      <c r="D546" s="98"/>
      <c r="E546" s="98"/>
      <c r="F546" s="194"/>
      <c r="G546" s="88"/>
      <c r="H546" s="36"/>
      <c r="I546" s="37"/>
      <c r="J546" s="38"/>
      <c r="K546" s="39"/>
      <c r="L546" s="38"/>
      <c r="M546" s="39"/>
      <c r="N546" s="40"/>
      <c r="O546" s="34"/>
      <c r="P546" s="35"/>
      <c r="Q546" s="35"/>
      <c r="R546" s="35"/>
      <c r="S546" s="35"/>
      <c r="T546" s="35"/>
      <c r="U546" s="35"/>
      <c r="V546" s="35"/>
      <c r="W546" s="35"/>
      <c r="X546" s="35"/>
      <c r="Y546" s="35"/>
      <c r="Z546" s="35"/>
    </row>
    <row r="547" ht="14.25" customHeight="1">
      <c r="A547" s="83"/>
      <c r="B547" s="84"/>
      <c r="C547" s="120"/>
      <c r="D547" s="98"/>
      <c r="E547" s="98"/>
      <c r="F547" s="194"/>
      <c r="G547" s="88"/>
      <c r="H547" s="36"/>
      <c r="I547" s="37"/>
      <c r="J547" s="38"/>
      <c r="K547" s="39"/>
      <c r="L547" s="38"/>
      <c r="M547" s="39"/>
      <c r="N547" s="40"/>
      <c r="O547" s="34"/>
      <c r="P547" s="35"/>
      <c r="Q547" s="35"/>
      <c r="R547" s="35"/>
      <c r="S547" s="35"/>
      <c r="T547" s="35"/>
      <c r="U547" s="35"/>
      <c r="V547" s="35"/>
      <c r="W547" s="35"/>
      <c r="X547" s="35"/>
      <c r="Y547" s="35"/>
      <c r="Z547" s="35"/>
    </row>
    <row r="548" ht="14.25" customHeight="1">
      <c r="A548" s="83"/>
      <c r="B548" s="84"/>
      <c r="C548" s="120"/>
      <c r="D548" s="98"/>
      <c r="E548" s="98"/>
      <c r="F548" s="194"/>
      <c r="G548" s="88"/>
      <c r="H548" s="36"/>
      <c r="I548" s="37"/>
      <c r="J548" s="38"/>
      <c r="K548" s="39"/>
      <c r="L548" s="38"/>
      <c r="M548" s="39"/>
      <c r="N548" s="40"/>
      <c r="O548" s="34"/>
      <c r="P548" s="35"/>
      <c r="Q548" s="35"/>
      <c r="R548" s="35"/>
      <c r="S548" s="35"/>
      <c r="T548" s="35"/>
      <c r="U548" s="35"/>
      <c r="V548" s="35"/>
      <c r="W548" s="35"/>
      <c r="X548" s="35"/>
      <c r="Y548" s="35"/>
      <c r="Z548" s="35"/>
    </row>
    <row r="549" ht="14.25" customHeight="1">
      <c r="A549" s="83"/>
      <c r="B549" s="84"/>
      <c r="C549" s="120"/>
      <c r="D549" s="98"/>
      <c r="E549" s="98"/>
      <c r="F549" s="194"/>
      <c r="G549" s="88"/>
      <c r="H549" s="36"/>
      <c r="I549" s="37"/>
      <c r="J549" s="38"/>
      <c r="K549" s="39"/>
      <c r="L549" s="38"/>
      <c r="M549" s="39"/>
      <c r="N549" s="40"/>
      <c r="O549" s="34"/>
      <c r="P549" s="35"/>
      <c r="Q549" s="35"/>
      <c r="R549" s="35"/>
      <c r="S549" s="35"/>
      <c r="T549" s="35"/>
      <c r="U549" s="35"/>
      <c r="V549" s="35"/>
      <c r="W549" s="35"/>
      <c r="X549" s="35"/>
      <c r="Y549" s="35"/>
      <c r="Z549" s="35"/>
    </row>
    <row r="550" ht="14.25" customHeight="1">
      <c r="A550" s="83"/>
      <c r="B550" s="84"/>
      <c r="C550" s="120"/>
      <c r="D550" s="98"/>
      <c r="E550" s="98"/>
      <c r="F550" s="194"/>
      <c r="G550" s="88"/>
      <c r="H550" s="36"/>
      <c r="I550" s="37"/>
      <c r="J550" s="38"/>
      <c r="K550" s="39"/>
      <c r="L550" s="38"/>
      <c r="M550" s="39"/>
      <c r="N550" s="40"/>
      <c r="O550" s="34"/>
      <c r="P550" s="35"/>
      <c r="Q550" s="35"/>
      <c r="R550" s="35"/>
      <c r="S550" s="35"/>
      <c r="T550" s="35"/>
      <c r="U550" s="35"/>
      <c r="V550" s="35"/>
      <c r="W550" s="35"/>
      <c r="X550" s="35"/>
      <c r="Y550" s="35"/>
      <c r="Z550" s="35"/>
    </row>
    <row r="551" ht="14.25" customHeight="1">
      <c r="A551" s="83"/>
      <c r="B551" s="84"/>
      <c r="C551" s="120"/>
      <c r="D551" s="98"/>
      <c r="E551" s="98"/>
      <c r="F551" s="194"/>
      <c r="G551" s="88"/>
      <c r="H551" s="36"/>
      <c r="I551" s="37"/>
      <c r="J551" s="38"/>
      <c r="K551" s="39"/>
      <c r="L551" s="38"/>
      <c r="M551" s="39"/>
      <c r="N551" s="40"/>
      <c r="O551" s="34"/>
      <c r="P551" s="35"/>
      <c r="Q551" s="35"/>
      <c r="R551" s="35"/>
      <c r="S551" s="35"/>
      <c r="T551" s="35"/>
      <c r="U551" s="35"/>
      <c r="V551" s="35"/>
      <c r="W551" s="35"/>
      <c r="X551" s="35"/>
      <c r="Y551" s="35"/>
      <c r="Z551" s="35"/>
    </row>
    <row r="552" ht="14.25" customHeight="1">
      <c r="A552" s="83"/>
      <c r="B552" s="84"/>
      <c r="C552" s="120"/>
      <c r="D552" s="98"/>
      <c r="E552" s="98"/>
      <c r="F552" s="194"/>
      <c r="G552" s="88"/>
      <c r="H552" s="36"/>
      <c r="I552" s="37"/>
      <c r="J552" s="38"/>
      <c r="K552" s="39"/>
      <c r="L552" s="38"/>
      <c r="M552" s="39"/>
      <c r="N552" s="40"/>
      <c r="O552" s="34"/>
      <c r="P552" s="35"/>
      <c r="Q552" s="35"/>
      <c r="R552" s="35"/>
      <c r="S552" s="35"/>
      <c r="T552" s="35"/>
      <c r="U552" s="35"/>
      <c r="V552" s="35"/>
      <c r="W552" s="35"/>
      <c r="X552" s="35"/>
      <c r="Y552" s="35"/>
      <c r="Z552" s="35"/>
    </row>
    <row r="553" ht="14.25" customHeight="1">
      <c r="A553" s="83"/>
      <c r="B553" s="84"/>
      <c r="C553" s="120"/>
      <c r="D553" s="98"/>
      <c r="E553" s="98"/>
      <c r="F553" s="194"/>
      <c r="G553" s="88"/>
      <c r="H553" s="36"/>
      <c r="I553" s="37"/>
      <c r="J553" s="38"/>
      <c r="K553" s="39"/>
      <c r="L553" s="38"/>
      <c r="M553" s="39"/>
      <c r="N553" s="40"/>
      <c r="O553" s="34"/>
      <c r="P553" s="35"/>
      <c r="Q553" s="35"/>
      <c r="R553" s="35"/>
      <c r="S553" s="35"/>
      <c r="T553" s="35"/>
      <c r="U553" s="35"/>
      <c r="V553" s="35"/>
      <c r="W553" s="35"/>
      <c r="X553" s="35"/>
      <c r="Y553" s="35"/>
      <c r="Z553" s="35"/>
    </row>
    <row r="554" ht="14.25" customHeight="1">
      <c r="A554" s="83"/>
      <c r="B554" s="84"/>
      <c r="C554" s="120"/>
      <c r="D554" s="98"/>
      <c r="E554" s="98"/>
      <c r="F554" s="194"/>
      <c r="G554" s="88"/>
      <c r="H554" s="36"/>
      <c r="I554" s="37"/>
      <c r="J554" s="38"/>
      <c r="K554" s="39"/>
      <c r="L554" s="38"/>
      <c r="M554" s="39"/>
      <c r="N554" s="40"/>
      <c r="O554" s="34"/>
      <c r="P554" s="35"/>
      <c r="Q554" s="35"/>
      <c r="R554" s="35"/>
      <c r="S554" s="35"/>
      <c r="T554" s="35"/>
      <c r="U554" s="35"/>
      <c r="V554" s="35"/>
      <c r="W554" s="35"/>
      <c r="X554" s="35"/>
      <c r="Y554" s="35"/>
      <c r="Z554" s="35"/>
    </row>
    <row r="555" ht="14.25" customHeight="1">
      <c r="A555" s="83"/>
      <c r="B555" s="84"/>
      <c r="C555" s="120"/>
      <c r="D555" s="98"/>
      <c r="E555" s="98"/>
      <c r="F555" s="194"/>
      <c r="G555" s="88"/>
      <c r="H555" s="36"/>
      <c r="I555" s="37"/>
      <c r="J555" s="38"/>
      <c r="K555" s="39"/>
      <c r="L555" s="38"/>
      <c r="M555" s="39"/>
      <c r="N555" s="40"/>
      <c r="O555" s="34"/>
      <c r="P555" s="35"/>
      <c r="Q555" s="35"/>
      <c r="R555" s="35"/>
      <c r="S555" s="35"/>
      <c r="T555" s="35"/>
      <c r="U555" s="35"/>
      <c r="V555" s="35"/>
      <c r="W555" s="35"/>
      <c r="X555" s="35"/>
      <c r="Y555" s="35"/>
      <c r="Z555" s="35"/>
    </row>
    <row r="556" ht="14.25" customHeight="1">
      <c r="A556" s="83"/>
      <c r="B556" s="84"/>
      <c r="C556" s="120"/>
      <c r="D556" s="98"/>
      <c r="E556" s="98"/>
      <c r="F556" s="194"/>
      <c r="G556" s="88"/>
      <c r="H556" s="36"/>
      <c r="I556" s="37"/>
      <c r="J556" s="38"/>
      <c r="K556" s="39"/>
      <c r="L556" s="38"/>
      <c r="M556" s="39"/>
      <c r="N556" s="40"/>
      <c r="O556" s="34"/>
      <c r="P556" s="35"/>
      <c r="Q556" s="35"/>
      <c r="R556" s="35"/>
      <c r="S556" s="35"/>
      <c r="T556" s="35"/>
      <c r="U556" s="35"/>
      <c r="V556" s="35"/>
      <c r="W556" s="35"/>
      <c r="X556" s="35"/>
      <c r="Y556" s="35"/>
      <c r="Z556" s="35"/>
    </row>
    <row r="557" ht="14.25" customHeight="1">
      <c r="A557" s="83"/>
      <c r="B557" s="84"/>
      <c r="C557" s="120"/>
      <c r="D557" s="98"/>
      <c r="E557" s="98"/>
      <c r="F557" s="194"/>
      <c r="G557" s="88"/>
      <c r="H557" s="36"/>
      <c r="I557" s="37"/>
      <c r="J557" s="38"/>
      <c r="K557" s="39"/>
      <c r="L557" s="38"/>
      <c r="M557" s="39"/>
      <c r="N557" s="40"/>
      <c r="O557" s="34"/>
      <c r="P557" s="35"/>
      <c r="Q557" s="35"/>
      <c r="R557" s="35"/>
      <c r="S557" s="35"/>
      <c r="T557" s="35"/>
      <c r="U557" s="35"/>
      <c r="V557" s="35"/>
      <c r="W557" s="35"/>
      <c r="X557" s="35"/>
      <c r="Y557" s="35"/>
      <c r="Z557" s="35"/>
    </row>
    <row r="558" ht="14.25" customHeight="1">
      <c r="A558" s="83"/>
      <c r="B558" s="84"/>
      <c r="C558" s="120"/>
      <c r="D558" s="98"/>
      <c r="E558" s="98"/>
      <c r="F558" s="194"/>
      <c r="G558" s="88"/>
      <c r="H558" s="36"/>
      <c r="I558" s="37"/>
      <c r="J558" s="38"/>
      <c r="K558" s="39"/>
      <c r="L558" s="38"/>
      <c r="M558" s="39"/>
      <c r="N558" s="40"/>
      <c r="O558" s="34"/>
      <c r="P558" s="35"/>
      <c r="Q558" s="35"/>
      <c r="R558" s="35"/>
      <c r="S558" s="35"/>
      <c r="T558" s="35"/>
      <c r="U558" s="35"/>
      <c r="V558" s="35"/>
      <c r="W558" s="35"/>
      <c r="X558" s="35"/>
      <c r="Y558" s="35"/>
      <c r="Z558" s="35"/>
    </row>
    <row r="559" ht="14.25" customHeight="1">
      <c r="A559" s="83"/>
      <c r="B559" s="84"/>
      <c r="C559" s="120"/>
      <c r="D559" s="98"/>
      <c r="E559" s="98"/>
      <c r="F559" s="194"/>
      <c r="G559" s="88"/>
      <c r="H559" s="36"/>
      <c r="I559" s="37"/>
      <c r="J559" s="38"/>
      <c r="K559" s="39"/>
      <c r="L559" s="38"/>
      <c r="M559" s="39"/>
      <c r="N559" s="40"/>
      <c r="O559" s="34"/>
      <c r="P559" s="35"/>
      <c r="Q559" s="35"/>
      <c r="R559" s="35"/>
      <c r="S559" s="35"/>
      <c r="T559" s="35"/>
      <c r="U559" s="35"/>
      <c r="V559" s="35"/>
      <c r="W559" s="35"/>
      <c r="X559" s="35"/>
      <c r="Y559" s="35"/>
      <c r="Z559" s="35"/>
    </row>
    <row r="560" ht="14.25" customHeight="1">
      <c r="A560" s="83"/>
      <c r="B560" s="84"/>
      <c r="C560" s="120"/>
      <c r="D560" s="98"/>
      <c r="E560" s="98"/>
      <c r="F560" s="194"/>
      <c r="G560" s="88"/>
      <c r="H560" s="36"/>
      <c r="I560" s="37"/>
      <c r="J560" s="38"/>
      <c r="K560" s="39"/>
      <c r="L560" s="38"/>
      <c r="M560" s="39"/>
      <c r="N560" s="40"/>
      <c r="O560" s="34"/>
      <c r="P560" s="35"/>
      <c r="Q560" s="35"/>
      <c r="R560" s="35"/>
      <c r="S560" s="35"/>
      <c r="T560" s="35"/>
      <c r="U560" s="35"/>
      <c r="V560" s="35"/>
      <c r="W560" s="35"/>
      <c r="X560" s="35"/>
      <c r="Y560" s="35"/>
      <c r="Z560" s="35"/>
    </row>
    <row r="561" ht="14.25" customHeight="1">
      <c r="A561" s="83"/>
      <c r="B561" s="84"/>
      <c r="C561" s="120"/>
      <c r="D561" s="98"/>
      <c r="E561" s="98"/>
      <c r="F561" s="194"/>
      <c r="G561" s="88"/>
      <c r="H561" s="36"/>
      <c r="I561" s="37"/>
      <c r="J561" s="38"/>
      <c r="K561" s="39"/>
      <c r="L561" s="38"/>
      <c r="M561" s="39"/>
      <c r="N561" s="40"/>
      <c r="O561" s="34"/>
      <c r="P561" s="35"/>
      <c r="Q561" s="35"/>
      <c r="R561" s="35"/>
      <c r="S561" s="35"/>
      <c r="T561" s="35"/>
      <c r="U561" s="35"/>
      <c r="V561" s="35"/>
      <c r="W561" s="35"/>
      <c r="X561" s="35"/>
      <c r="Y561" s="35"/>
      <c r="Z561" s="35"/>
    </row>
    <row r="562" ht="14.25" customHeight="1">
      <c r="A562" s="83"/>
      <c r="B562" s="84"/>
      <c r="C562" s="120"/>
      <c r="D562" s="98"/>
      <c r="E562" s="98"/>
      <c r="F562" s="194"/>
      <c r="G562" s="88"/>
      <c r="H562" s="36"/>
      <c r="I562" s="37"/>
      <c r="J562" s="38"/>
      <c r="K562" s="39"/>
      <c r="L562" s="38"/>
      <c r="M562" s="39"/>
      <c r="N562" s="40"/>
      <c r="O562" s="34"/>
      <c r="P562" s="35"/>
      <c r="Q562" s="35"/>
      <c r="R562" s="35"/>
      <c r="S562" s="35"/>
      <c r="T562" s="35"/>
      <c r="U562" s="35"/>
      <c r="V562" s="35"/>
      <c r="W562" s="35"/>
      <c r="X562" s="35"/>
      <c r="Y562" s="35"/>
      <c r="Z562" s="35"/>
    </row>
    <row r="563" ht="14.25" customHeight="1">
      <c r="A563" s="83"/>
      <c r="B563" s="84"/>
      <c r="C563" s="120"/>
      <c r="D563" s="98"/>
      <c r="E563" s="98"/>
      <c r="F563" s="194"/>
      <c r="G563" s="88"/>
      <c r="H563" s="36"/>
      <c r="I563" s="37"/>
      <c r="J563" s="38"/>
      <c r="K563" s="39"/>
      <c r="L563" s="38"/>
      <c r="M563" s="39"/>
      <c r="N563" s="40"/>
      <c r="O563" s="34"/>
      <c r="P563" s="35"/>
      <c r="Q563" s="35"/>
      <c r="R563" s="35"/>
      <c r="S563" s="35"/>
      <c r="T563" s="35"/>
      <c r="U563" s="35"/>
      <c r="V563" s="35"/>
      <c r="W563" s="35"/>
      <c r="X563" s="35"/>
      <c r="Y563" s="35"/>
      <c r="Z563" s="35"/>
    </row>
    <row r="564" ht="14.25" customHeight="1">
      <c r="A564" s="83"/>
      <c r="B564" s="84"/>
      <c r="C564" s="120"/>
      <c r="D564" s="98"/>
      <c r="E564" s="98"/>
      <c r="F564" s="194"/>
      <c r="G564" s="88"/>
      <c r="H564" s="36"/>
      <c r="I564" s="37"/>
      <c r="J564" s="38"/>
      <c r="K564" s="39"/>
      <c r="L564" s="38"/>
      <c r="M564" s="39"/>
      <c r="N564" s="40"/>
      <c r="O564" s="34"/>
      <c r="P564" s="35"/>
      <c r="Q564" s="35"/>
      <c r="R564" s="35"/>
      <c r="S564" s="35"/>
      <c r="T564" s="35"/>
      <c r="U564" s="35"/>
      <c r="V564" s="35"/>
      <c r="W564" s="35"/>
      <c r="X564" s="35"/>
      <c r="Y564" s="35"/>
      <c r="Z564" s="35"/>
    </row>
    <row r="565" ht="14.25" customHeight="1">
      <c r="A565" s="83"/>
      <c r="B565" s="84"/>
      <c r="C565" s="120"/>
      <c r="D565" s="98"/>
      <c r="E565" s="98"/>
      <c r="F565" s="194"/>
      <c r="G565" s="88"/>
      <c r="H565" s="36"/>
      <c r="I565" s="37"/>
      <c r="J565" s="38"/>
      <c r="K565" s="39"/>
      <c r="L565" s="38"/>
      <c r="M565" s="39"/>
      <c r="N565" s="40"/>
      <c r="O565" s="34"/>
      <c r="P565" s="35"/>
      <c r="Q565" s="35"/>
      <c r="R565" s="35"/>
      <c r="S565" s="35"/>
      <c r="T565" s="35"/>
      <c r="U565" s="35"/>
      <c r="V565" s="35"/>
      <c r="W565" s="35"/>
      <c r="X565" s="35"/>
      <c r="Y565" s="35"/>
      <c r="Z565" s="35"/>
    </row>
    <row r="566" ht="14.25" customHeight="1">
      <c r="A566" s="83"/>
      <c r="B566" s="84"/>
      <c r="C566" s="120"/>
      <c r="D566" s="98"/>
      <c r="E566" s="98"/>
      <c r="F566" s="194"/>
      <c r="G566" s="88"/>
      <c r="H566" s="36"/>
      <c r="I566" s="37"/>
      <c r="J566" s="38"/>
      <c r="K566" s="39"/>
      <c r="L566" s="38"/>
      <c r="M566" s="39"/>
      <c r="N566" s="40"/>
      <c r="O566" s="34"/>
      <c r="P566" s="35"/>
      <c r="Q566" s="35"/>
      <c r="R566" s="35"/>
      <c r="S566" s="35"/>
      <c r="T566" s="35"/>
      <c r="U566" s="35"/>
      <c r="V566" s="35"/>
      <c r="W566" s="35"/>
      <c r="X566" s="35"/>
      <c r="Y566" s="35"/>
      <c r="Z566" s="35"/>
    </row>
    <row r="567" ht="14.25" customHeight="1">
      <c r="A567" s="83"/>
      <c r="B567" s="84"/>
      <c r="C567" s="120"/>
      <c r="D567" s="98"/>
      <c r="E567" s="98"/>
      <c r="F567" s="194"/>
      <c r="G567" s="88"/>
      <c r="H567" s="36"/>
      <c r="I567" s="37"/>
      <c r="J567" s="38"/>
      <c r="K567" s="39"/>
      <c r="L567" s="38"/>
      <c r="M567" s="39"/>
      <c r="N567" s="40"/>
      <c r="O567" s="34"/>
      <c r="P567" s="35"/>
      <c r="Q567" s="35"/>
      <c r="R567" s="35"/>
      <c r="S567" s="35"/>
      <c r="T567" s="35"/>
      <c r="U567" s="35"/>
      <c r="V567" s="35"/>
      <c r="W567" s="35"/>
      <c r="X567" s="35"/>
      <c r="Y567" s="35"/>
      <c r="Z567" s="35"/>
    </row>
    <row r="568" ht="14.25" customHeight="1">
      <c r="A568" s="83"/>
      <c r="B568" s="84"/>
      <c r="C568" s="120"/>
      <c r="D568" s="98"/>
      <c r="E568" s="98"/>
      <c r="F568" s="194"/>
      <c r="G568" s="88"/>
      <c r="H568" s="36"/>
      <c r="I568" s="37"/>
      <c r="J568" s="38"/>
      <c r="K568" s="39"/>
      <c r="L568" s="38"/>
      <c r="M568" s="39"/>
      <c r="N568" s="40"/>
      <c r="O568" s="34"/>
      <c r="P568" s="35"/>
      <c r="Q568" s="35"/>
      <c r="R568" s="35"/>
      <c r="S568" s="35"/>
      <c r="T568" s="35"/>
      <c r="U568" s="35"/>
      <c r="V568" s="35"/>
      <c r="W568" s="35"/>
      <c r="X568" s="35"/>
      <c r="Y568" s="35"/>
      <c r="Z568" s="35"/>
    </row>
    <row r="569" ht="14.25" customHeight="1">
      <c r="A569" s="83"/>
      <c r="B569" s="84"/>
      <c r="C569" s="120"/>
      <c r="D569" s="98"/>
      <c r="E569" s="98"/>
      <c r="F569" s="194"/>
      <c r="G569" s="88"/>
      <c r="H569" s="36"/>
      <c r="I569" s="37"/>
      <c r="J569" s="38"/>
      <c r="K569" s="39"/>
      <c r="L569" s="38"/>
      <c r="M569" s="39"/>
      <c r="N569" s="40"/>
      <c r="O569" s="34"/>
      <c r="P569" s="35"/>
      <c r="Q569" s="35"/>
      <c r="R569" s="35"/>
      <c r="S569" s="35"/>
      <c r="T569" s="35"/>
      <c r="U569" s="35"/>
      <c r="V569" s="35"/>
      <c r="W569" s="35"/>
      <c r="X569" s="35"/>
      <c r="Y569" s="35"/>
      <c r="Z569" s="35"/>
    </row>
    <row r="570" ht="14.25" customHeight="1">
      <c r="A570" s="83"/>
      <c r="B570" s="84"/>
      <c r="C570" s="120"/>
      <c r="D570" s="98"/>
      <c r="E570" s="98"/>
      <c r="F570" s="194"/>
      <c r="G570" s="88"/>
      <c r="H570" s="36"/>
      <c r="I570" s="37"/>
      <c r="J570" s="38"/>
      <c r="K570" s="39"/>
      <c r="L570" s="38"/>
      <c r="M570" s="39"/>
      <c r="N570" s="40"/>
      <c r="O570" s="34"/>
      <c r="P570" s="35"/>
      <c r="Q570" s="35"/>
      <c r="R570" s="35"/>
      <c r="S570" s="35"/>
      <c r="T570" s="35"/>
      <c r="U570" s="35"/>
      <c r="V570" s="35"/>
      <c r="W570" s="35"/>
      <c r="X570" s="35"/>
      <c r="Y570" s="35"/>
      <c r="Z570" s="35"/>
    </row>
    <row r="571" ht="14.25" customHeight="1">
      <c r="A571" s="83"/>
      <c r="B571" s="84"/>
      <c r="C571" s="120"/>
      <c r="D571" s="98"/>
      <c r="E571" s="98"/>
      <c r="F571" s="194"/>
      <c r="G571" s="88"/>
      <c r="H571" s="36"/>
      <c r="I571" s="37"/>
      <c r="J571" s="38"/>
      <c r="K571" s="39"/>
      <c r="L571" s="38"/>
      <c r="M571" s="39"/>
      <c r="N571" s="40"/>
      <c r="O571" s="34"/>
      <c r="P571" s="35"/>
      <c r="Q571" s="35"/>
      <c r="R571" s="35"/>
      <c r="S571" s="35"/>
      <c r="T571" s="35"/>
      <c r="U571" s="35"/>
      <c r="V571" s="35"/>
      <c r="W571" s="35"/>
      <c r="X571" s="35"/>
      <c r="Y571" s="35"/>
      <c r="Z571" s="35"/>
    </row>
    <row r="572" ht="14.25" customHeight="1">
      <c r="A572" s="83"/>
      <c r="B572" s="84"/>
      <c r="C572" s="120"/>
      <c r="D572" s="98"/>
      <c r="E572" s="98"/>
      <c r="F572" s="194"/>
      <c r="G572" s="88"/>
      <c r="H572" s="36"/>
      <c r="I572" s="37"/>
      <c r="J572" s="38"/>
      <c r="K572" s="39"/>
      <c r="L572" s="38"/>
      <c r="M572" s="39"/>
      <c r="N572" s="40"/>
      <c r="O572" s="34"/>
      <c r="P572" s="35"/>
      <c r="Q572" s="35"/>
      <c r="R572" s="35"/>
      <c r="S572" s="35"/>
      <c r="T572" s="35"/>
      <c r="U572" s="35"/>
      <c r="V572" s="35"/>
      <c r="W572" s="35"/>
      <c r="X572" s="35"/>
      <c r="Y572" s="35"/>
      <c r="Z572" s="35"/>
    </row>
    <row r="573" ht="14.25" customHeight="1">
      <c r="A573" s="83"/>
      <c r="B573" s="84"/>
      <c r="C573" s="120"/>
      <c r="D573" s="98"/>
      <c r="E573" s="98"/>
      <c r="F573" s="194"/>
      <c r="G573" s="88"/>
      <c r="H573" s="36"/>
      <c r="I573" s="37"/>
      <c r="J573" s="38"/>
      <c r="K573" s="39"/>
      <c r="L573" s="38"/>
      <c r="M573" s="39"/>
      <c r="N573" s="40"/>
      <c r="O573" s="34"/>
      <c r="P573" s="35"/>
      <c r="Q573" s="35"/>
      <c r="R573" s="35"/>
      <c r="S573" s="35"/>
      <c r="T573" s="35"/>
      <c r="U573" s="35"/>
      <c r="V573" s="35"/>
      <c r="W573" s="35"/>
      <c r="X573" s="35"/>
      <c r="Y573" s="35"/>
      <c r="Z573" s="35"/>
    </row>
    <row r="574" ht="14.25" customHeight="1">
      <c r="A574" s="83"/>
      <c r="B574" s="84"/>
      <c r="C574" s="120"/>
      <c r="D574" s="98"/>
      <c r="E574" s="98"/>
      <c r="F574" s="194"/>
      <c r="G574" s="88"/>
      <c r="H574" s="36"/>
      <c r="I574" s="37"/>
      <c r="J574" s="38"/>
      <c r="K574" s="39"/>
      <c r="L574" s="38"/>
      <c r="M574" s="39"/>
      <c r="N574" s="40"/>
      <c r="O574" s="34"/>
      <c r="P574" s="35"/>
      <c r="Q574" s="35"/>
      <c r="R574" s="35"/>
      <c r="S574" s="35"/>
      <c r="T574" s="35"/>
      <c r="U574" s="35"/>
      <c r="V574" s="35"/>
      <c r="W574" s="35"/>
      <c r="X574" s="35"/>
      <c r="Y574" s="35"/>
      <c r="Z574" s="35"/>
    </row>
    <row r="575" ht="14.25" customHeight="1">
      <c r="A575" s="83"/>
      <c r="B575" s="84"/>
      <c r="C575" s="120"/>
      <c r="D575" s="98"/>
      <c r="E575" s="98"/>
      <c r="F575" s="194"/>
      <c r="G575" s="88"/>
      <c r="H575" s="36"/>
      <c r="I575" s="37"/>
      <c r="J575" s="38"/>
      <c r="K575" s="39"/>
      <c r="L575" s="38"/>
      <c r="M575" s="39"/>
      <c r="N575" s="40"/>
      <c r="O575" s="34"/>
      <c r="P575" s="35"/>
      <c r="Q575" s="35"/>
      <c r="R575" s="35"/>
      <c r="S575" s="35"/>
      <c r="T575" s="35"/>
      <c r="U575" s="35"/>
      <c r="V575" s="35"/>
      <c r="W575" s="35"/>
      <c r="X575" s="35"/>
      <c r="Y575" s="35"/>
      <c r="Z575" s="35"/>
    </row>
    <row r="576" ht="14.25" customHeight="1">
      <c r="A576" s="83"/>
      <c r="B576" s="84"/>
      <c r="C576" s="120"/>
      <c r="D576" s="98"/>
      <c r="E576" s="98"/>
      <c r="F576" s="194"/>
      <c r="G576" s="88"/>
      <c r="H576" s="36"/>
      <c r="I576" s="37"/>
      <c r="J576" s="38"/>
      <c r="K576" s="39"/>
      <c r="L576" s="38"/>
      <c r="M576" s="39"/>
      <c r="N576" s="40"/>
      <c r="O576" s="34"/>
      <c r="P576" s="35"/>
      <c r="Q576" s="35"/>
      <c r="R576" s="35"/>
      <c r="S576" s="35"/>
      <c r="T576" s="35"/>
      <c r="U576" s="35"/>
      <c r="V576" s="35"/>
      <c r="W576" s="35"/>
      <c r="X576" s="35"/>
      <c r="Y576" s="35"/>
      <c r="Z576" s="35"/>
    </row>
    <row r="577" ht="14.25" customHeight="1">
      <c r="A577" s="83"/>
      <c r="B577" s="84"/>
      <c r="C577" s="120"/>
      <c r="D577" s="98"/>
      <c r="E577" s="98"/>
      <c r="F577" s="194"/>
      <c r="G577" s="88"/>
      <c r="H577" s="36"/>
      <c r="I577" s="37"/>
      <c r="J577" s="38"/>
      <c r="K577" s="39"/>
      <c r="L577" s="38"/>
      <c r="M577" s="39"/>
      <c r="N577" s="40"/>
      <c r="O577" s="34"/>
      <c r="P577" s="35"/>
      <c r="Q577" s="35"/>
      <c r="R577" s="35"/>
      <c r="S577" s="35"/>
      <c r="T577" s="35"/>
      <c r="U577" s="35"/>
      <c r="V577" s="35"/>
      <c r="W577" s="35"/>
      <c r="X577" s="35"/>
      <c r="Y577" s="35"/>
      <c r="Z577" s="35"/>
    </row>
    <row r="578" ht="14.25" customHeight="1">
      <c r="A578" s="83"/>
      <c r="B578" s="84"/>
      <c r="C578" s="120"/>
      <c r="D578" s="98"/>
      <c r="E578" s="98"/>
      <c r="F578" s="194"/>
      <c r="G578" s="88"/>
      <c r="H578" s="36"/>
      <c r="I578" s="37"/>
      <c r="J578" s="38"/>
      <c r="K578" s="39"/>
      <c r="L578" s="38"/>
      <c r="M578" s="39"/>
      <c r="N578" s="40"/>
      <c r="O578" s="34"/>
      <c r="P578" s="35"/>
      <c r="Q578" s="35"/>
      <c r="R578" s="35"/>
      <c r="S578" s="35"/>
      <c r="T578" s="35"/>
      <c r="U578" s="35"/>
      <c r="V578" s="35"/>
      <c r="W578" s="35"/>
      <c r="X578" s="35"/>
      <c r="Y578" s="35"/>
      <c r="Z578" s="35"/>
    </row>
    <row r="579" ht="14.25" customHeight="1">
      <c r="A579" s="83"/>
      <c r="B579" s="84"/>
      <c r="C579" s="120"/>
      <c r="D579" s="98"/>
      <c r="E579" s="98"/>
      <c r="F579" s="194"/>
      <c r="G579" s="88"/>
      <c r="H579" s="36"/>
      <c r="I579" s="37"/>
      <c r="J579" s="38"/>
      <c r="K579" s="39"/>
      <c r="L579" s="38"/>
      <c r="M579" s="39"/>
      <c r="N579" s="40"/>
      <c r="O579" s="34"/>
      <c r="P579" s="35"/>
      <c r="Q579" s="35"/>
      <c r="R579" s="35"/>
      <c r="S579" s="35"/>
      <c r="T579" s="35"/>
      <c r="U579" s="35"/>
      <c r="V579" s="35"/>
      <c r="W579" s="35"/>
      <c r="X579" s="35"/>
      <c r="Y579" s="35"/>
      <c r="Z579" s="35"/>
    </row>
    <row r="580" ht="14.25" customHeight="1">
      <c r="A580" s="83"/>
      <c r="B580" s="84"/>
      <c r="C580" s="120"/>
      <c r="D580" s="98"/>
      <c r="E580" s="98"/>
      <c r="F580" s="194"/>
      <c r="G580" s="88"/>
      <c r="H580" s="36"/>
      <c r="I580" s="37"/>
      <c r="J580" s="38"/>
      <c r="K580" s="39"/>
      <c r="L580" s="38"/>
      <c r="M580" s="39"/>
      <c r="N580" s="40"/>
      <c r="O580" s="34"/>
      <c r="P580" s="35"/>
      <c r="Q580" s="35"/>
      <c r="R580" s="35"/>
      <c r="S580" s="35"/>
      <c r="T580" s="35"/>
      <c r="U580" s="35"/>
      <c r="V580" s="35"/>
      <c r="W580" s="35"/>
      <c r="X580" s="35"/>
      <c r="Y580" s="35"/>
      <c r="Z580" s="35"/>
    </row>
    <row r="581" ht="14.25" customHeight="1">
      <c r="A581" s="83"/>
      <c r="B581" s="84"/>
      <c r="C581" s="120"/>
      <c r="D581" s="98"/>
      <c r="E581" s="98"/>
      <c r="F581" s="194"/>
      <c r="G581" s="88"/>
      <c r="H581" s="36"/>
      <c r="I581" s="37"/>
      <c r="J581" s="38"/>
      <c r="K581" s="39"/>
      <c r="L581" s="38"/>
      <c r="M581" s="39"/>
      <c r="N581" s="40"/>
      <c r="O581" s="34"/>
      <c r="P581" s="35"/>
      <c r="Q581" s="35"/>
      <c r="R581" s="35"/>
      <c r="S581" s="35"/>
      <c r="T581" s="35"/>
      <c r="U581" s="35"/>
      <c r="V581" s="35"/>
      <c r="W581" s="35"/>
      <c r="X581" s="35"/>
      <c r="Y581" s="35"/>
      <c r="Z581" s="35"/>
    </row>
    <row r="582" ht="14.25" customHeight="1">
      <c r="A582" s="83"/>
      <c r="B582" s="84"/>
      <c r="C582" s="120"/>
      <c r="D582" s="98"/>
      <c r="E582" s="98"/>
      <c r="F582" s="194"/>
      <c r="G582" s="88"/>
      <c r="H582" s="36"/>
      <c r="I582" s="37"/>
      <c r="J582" s="38"/>
      <c r="K582" s="39"/>
      <c r="L582" s="38"/>
      <c r="M582" s="39"/>
      <c r="N582" s="40"/>
      <c r="O582" s="34"/>
      <c r="P582" s="35"/>
      <c r="Q582" s="35"/>
      <c r="R582" s="35"/>
      <c r="S582" s="35"/>
      <c r="T582" s="35"/>
      <c r="U582" s="35"/>
      <c r="V582" s="35"/>
      <c r="W582" s="35"/>
      <c r="X582" s="35"/>
      <c r="Y582" s="35"/>
      <c r="Z582" s="35"/>
    </row>
    <row r="583" ht="14.25" customHeight="1">
      <c r="A583" s="83"/>
      <c r="B583" s="84"/>
      <c r="C583" s="120"/>
      <c r="D583" s="98"/>
      <c r="E583" s="98"/>
      <c r="F583" s="194"/>
      <c r="G583" s="88"/>
      <c r="H583" s="36"/>
      <c r="I583" s="37"/>
      <c r="J583" s="38"/>
      <c r="K583" s="39"/>
      <c r="L583" s="38"/>
      <c r="M583" s="39"/>
      <c r="N583" s="40"/>
      <c r="O583" s="34"/>
      <c r="P583" s="35"/>
      <c r="Q583" s="35"/>
      <c r="R583" s="35"/>
      <c r="S583" s="35"/>
      <c r="T583" s="35"/>
      <c r="U583" s="35"/>
      <c r="V583" s="35"/>
      <c r="W583" s="35"/>
      <c r="X583" s="35"/>
      <c r="Y583" s="35"/>
      <c r="Z583" s="35"/>
    </row>
    <row r="584" ht="14.25" customHeight="1">
      <c r="A584" s="83"/>
      <c r="B584" s="84"/>
      <c r="C584" s="120"/>
      <c r="D584" s="98"/>
      <c r="E584" s="98"/>
      <c r="F584" s="194"/>
      <c r="G584" s="88"/>
      <c r="H584" s="36"/>
      <c r="I584" s="37"/>
      <c r="J584" s="38"/>
      <c r="K584" s="39"/>
      <c r="L584" s="38"/>
      <c r="M584" s="39"/>
      <c r="N584" s="40"/>
      <c r="O584" s="34"/>
      <c r="P584" s="35"/>
      <c r="Q584" s="35"/>
      <c r="R584" s="35"/>
      <c r="S584" s="35"/>
      <c r="T584" s="35"/>
      <c r="U584" s="35"/>
      <c r="V584" s="35"/>
      <c r="W584" s="35"/>
      <c r="X584" s="35"/>
      <c r="Y584" s="35"/>
      <c r="Z584" s="35"/>
    </row>
    <row r="585" ht="14.25" customHeight="1">
      <c r="A585" s="83"/>
      <c r="B585" s="84"/>
      <c r="C585" s="120"/>
      <c r="D585" s="98"/>
      <c r="E585" s="98"/>
      <c r="F585" s="194"/>
      <c r="G585" s="88"/>
      <c r="H585" s="36"/>
      <c r="I585" s="37"/>
      <c r="J585" s="38"/>
      <c r="K585" s="39"/>
      <c r="L585" s="38"/>
      <c r="M585" s="39"/>
      <c r="N585" s="40"/>
      <c r="O585" s="34"/>
      <c r="P585" s="35"/>
      <c r="Q585" s="35"/>
      <c r="R585" s="35"/>
      <c r="S585" s="35"/>
      <c r="T585" s="35"/>
      <c r="U585" s="35"/>
      <c r="V585" s="35"/>
      <c r="W585" s="35"/>
      <c r="X585" s="35"/>
      <c r="Y585" s="35"/>
      <c r="Z585" s="35"/>
    </row>
    <row r="586" ht="14.25" customHeight="1">
      <c r="A586" s="83"/>
      <c r="B586" s="84"/>
      <c r="C586" s="120"/>
      <c r="D586" s="98"/>
      <c r="E586" s="98"/>
      <c r="F586" s="194"/>
      <c r="G586" s="88"/>
      <c r="H586" s="36"/>
      <c r="I586" s="37"/>
      <c r="J586" s="38"/>
      <c r="K586" s="39"/>
      <c r="L586" s="38"/>
      <c r="M586" s="39"/>
      <c r="N586" s="40"/>
      <c r="O586" s="34"/>
      <c r="P586" s="35"/>
      <c r="Q586" s="35"/>
      <c r="R586" s="35"/>
      <c r="S586" s="35"/>
      <c r="T586" s="35"/>
      <c r="U586" s="35"/>
      <c r="V586" s="35"/>
      <c r="W586" s="35"/>
      <c r="X586" s="35"/>
      <c r="Y586" s="35"/>
      <c r="Z586" s="35"/>
    </row>
    <row r="587" ht="14.25" customHeight="1">
      <c r="A587" s="83"/>
      <c r="B587" s="84"/>
      <c r="C587" s="120"/>
      <c r="D587" s="98"/>
      <c r="E587" s="98"/>
      <c r="F587" s="194"/>
      <c r="G587" s="88"/>
      <c r="H587" s="36"/>
      <c r="I587" s="37"/>
      <c r="J587" s="38"/>
      <c r="K587" s="39"/>
      <c r="L587" s="38"/>
      <c r="M587" s="39"/>
      <c r="N587" s="40"/>
      <c r="O587" s="34"/>
      <c r="P587" s="35"/>
      <c r="Q587" s="35"/>
      <c r="R587" s="35"/>
      <c r="S587" s="35"/>
      <c r="T587" s="35"/>
      <c r="U587" s="35"/>
      <c r="V587" s="35"/>
      <c r="W587" s="35"/>
      <c r="X587" s="35"/>
      <c r="Y587" s="35"/>
      <c r="Z587" s="35"/>
    </row>
    <row r="588" ht="14.25" customHeight="1">
      <c r="A588" s="83"/>
      <c r="B588" s="84"/>
      <c r="C588" s="120"/>
      <c r="D588" s="98"/>
      <c r="E588" s="98"/>
      <c r="F588" s="194"/>
      <c r="G588" s="88"/>
      <c r="H588" s="36"/>
      <c r="I588" s="37"/>
      <c r="J588" s="38"/>
      <c r="K588" s="39"/>
      <c r="L588" s="38"/>
      <c r="M588" s="39"/>
      <c r="N588" s="40"/>
      <c r="O588" s="34"/>
      <c r="P588" s="35"/>
      <c r="Q588" s="35"/>
      <c r="R588" s="35"/>
      <c r="S588" s="35"/>
      <c r="T588" s="35"/>
      <c r="U588" s="35"/>
      <c r="V588" s="35"/>
      <c r="W588" s="35"/>
      <c r="X588" s="35"/>
      <c r="Y588" s="35"/>
      <c r="Z588" s="35"/>
    </row>
    <row r="589" ht="14.25" customHeight="1">
      <c r="A589" s="83"/>
      <c r="B589" s="84"/>
      <c r="C589" s="120"/>
      <c r="D589" s="98"/>
      <c r="E589" s="98"/>
      <c r="F589" s="194"/>
      <c r="G589" s="88"/>
      <c r="H589" s="36"/>
      <c r="I589" s="37"/>
      <c r="J589" s="38"/>
      <c r="K589" s="39"/>
      <c r="L589" s="38"/>
      <c r="M589" s="39"/>
      <c r="N589" s="40"/>
      <c r="O589" s="34"/>
      <c r="P589" s="35"/>
      <c r="Q589" s="35"/>
      <c r="R589" s="35"/>
      <c r="S589" s="35"/>
      <c r="T589" s="35"/>
      <c r="U589" s="35"/>
      <c r="V589" s="35"/>
      <c r="W589" s="35"/>
      <c r="X589" s="35"/>
      <c r="Y589" s="35"/>
      <c r="Z589" s="35"/>
    </row>
    <row r="590" ht="14.25" customHeight="1">
      <c r="A590" s="83"/>
      <c r="B590" s="84"/>
      <c r="C590" s="120"/>
      <c r="D590" s="98"/>
      <c r="E590" s="98"/>
      <c r="F590" s="194"/>
      <c r="G590" s="88"/>
      <c r="H590" s="36"/>
      <c r="I590" s="37"/>
      <c r="J590" s="38"/>
      <c r="K590" s="39"/>
      <c r="L590" s="38"/>
      <c r="M590" s="39"/>
      <c r="N590" s="40"/>
      <c r="O590" s="34"/>
      <c r="P590" s="35"/>
      <c r="Q590" s="35"/>
      <c r="R590" s="35"/>
      <c r="S590" s="35"/>
      <c r="T590" s="35"/>
      <c r="U590" s="35"/>
      <c r="V590" s="35"/>
      <c r="W590" s="35"/>
      <c r="X590" s="35"/>
      <c r="Y590" s="35"/>
      <c r="Z590" s="35"/>
    </row>
    <row r="591" ht="14.25" customHeight="1">
      <c r="A591" s="83"/>
      <c r="B591" s="84"/>
      <c r="C591" s="120"/>
      <c r="D591" s="98"/>
      <c r="E591" s="98"/>
      <c r="F591" s="194"/>
      <c r="G591" s="88"/>
      <c r="H591" s="36"/>
      <c r="I591" s="37"/>
      <c r="J591" s="38"/>
      <c r="K591" s="39"/>
      <c r="L591" s="38"/>
      <c r="M591" s="39"/>
      <c r="N591" s="40"/>
      <c r="O591" s="34"/>
      <c r="P591" s="35"/>
      <c r="Q591" s="35"/>
      <c r="R591" s="35"/>
      <c r="S591" s="35"/>
      <c r="T591" s="35"/>
      <c r="U591" s="35"/>
      <c r="V591" s="35"/>
      <c r="W591" s="35"/>
      <c r="X591" s="35"/>
      <c r="Y591" s="35"/>
      <c r="Z591" s="35"/>
    </row>
    <row r="592" ht="14.25" customHeight="1">
      <c r="A592" s="83"/>
      <c r="B592" s="84"/>
      <c r="C592" s="120"/>
      <c r="D592" s="98"/>
      <c r="E592" s="98"/>
      <c r="F592" s="194"/>
      <c r="G592" s="88"/>
      <c r="H592" s="36"/>
      <c r="I592" s="37"/>
      <c r="J592" s="38"/>
      <c r="K592" s="39"/>
      <c r="L592" s="38"/>
      <c r="M592" s="39"/>
      <c r="N592" s="40"/>
      <c r="O592" s="34"/>
      <c r="P592" s="35"/>
      <c r="Q592" s="35"/>
      <c r="R592" s="35"/>
      <c r="S592" s="35"/>
      <c r="T592" s="35"/>
      <c r="U592" s="35"/>
      <c r="V592" s="35"/>
      <c r="W592" s="35"/>
      <c r="X592" s="35"/>
      <c r="Y592" s="35"/>
      <c r="Z592" s="35"/>
    </row>
    <row r="593" ht="14.25" customHeight="1">
      <c r="A593" s="83"/>
      <c r="B593" s="84"/>
      <c r="C593" s="120"/>
      <c r="D593" s="98"/>
      <c r="E593" s="98"/>
      <c r="F593" s="194"/>
      <c r="G593" s="88"/>
      <c r="H593" s="36"/>
      <c r="I593" s="37"/>
      <c r="J593" s="38"/>
      <c r="K593" s="39"/>
      <c r="L593" s="38"/>
      <c r="M593" s="39"/>
      <c r="N593" s="40"/>
      <c r="O593" s="34"/>
      <c r="P593" s="35"/>
      <c r="Q593" s="35"/>
      <c r="R593" s="35"/>
      <c r="S593" s="35"/>
      <c r="T593" s="35"/>
      <c r="U593" s="35"/>
      <c r="V593" s="35"/>
      <c r="W593" s="35"/>
      <c r="X593" s="35"/>
      <c r="Y593" s="35"/>
      <c r="Z593" s="35"/>
    </row>
    <row r="594" ht="14.25" customHeight="1">
      <c r="A594" s="83"/>
      <c r="B594" s="84"/>
      <c r="C594" s="120"/>
      <c r="D594" s="98"/>
      <c r="E594" s="98"/>
      <c r="F594" s="194"/>
      <c r="G594" s="88"/>
      <c r="H594" s="36"/>
      <c r="I594" s="37"/>
      <c r="J594" s="38"/>
      <c r="K594" s="39"/>
      <c r="L594" s="38"/>
      <c r="M594" s="39"/>
      <c r="N594" s="40"/>
      <c r="O594" s="34"/>
      <c r="P594" s="35"/>
      <c r="Q594" s="35"/>
      <c r="R594" s="35"/>
      <c r="S594" s="35"/>
      <c r="T594" s="35"/>
      <c r="U594" s="35"/>
      <c r="V594" s="35"/>
      <c r="W594" s="35"/>
      <c r="X594" s="35"/>
      <c r="Y594" s="35"/>
      <c r="Z594" s="35"/>
    </row>
    <row r="595" ht="14.25" customHeight="1">
      <c r="A595" s="83"/>
      <c r="B595" s="84"/>
      <c r="C595" s="120"/>
      <c r="D595" s="98"/>
      <c r="E595" s="98"/>
      <c r="F595" s="194"/>
      <c r="G595" s="88"/>
      <c r="H595" s="36"/>
      <c r="I595" s="37"/>
      <c r="J595" s="38"/>
      <c r="K595" s="39"/>
      <c r="L595" s="38"/>
      <c r="M595" s="39"/>
      <c r="N595" s="40"/>
      <c r="O595" s="34"/>
      <c r="P595" s="35"/>
      <c r="Q595" s="35"/>
      <c r="R595" s="35"/>
      <c r="S595" s="35"/>
      <c r="T595" s="35"/>
      <c r="U595" s="35"/>
      <c r="V595" s="35"/>
      <c r="W595" s="35"/>
      <c r="X595" s="35"/>
      <c r="Y595" s="35"/>
      <c r="Z595" s="35"/>
    </row>
    <row r="596" ht="14.25" customHeight="1">
      <c r="A596" s="83"/>
      <c r="B596" s="84"/>
      <c r="C596" s="120"/>
      <c r="D596" s="98"/>
      <c r="E596" s="98"/>
      <c r="F596" s="194"/>
      <c r="G596" s="88"/>
      <c r="H596" s="36"/>
      <c r="I596" s="37"/>
      <c r="J596" s="38"/>
      <c r="K596" s="39"/>
      <c r="L596" s="38"/>
      <c r="M596" s="39"/>
      <c r="N596" s="40"/>
      <c r="O596" s="34"/>
      <c r="P596" s="35"/>
      <c r="Q596" s="35"/>
      <c r="R596" s="35"/>
      <c r="S596" s="35"/>
      <c r="T596" s="35"/>
      <c r="U596" s="35"/>
      <c r="V596" s="35"/>
      <c r="W596" s="35"/>
      <c r="X596" s="35"/>
      <c r="Y596" s="35"/>
      <c r="Z596" s="35"/>
    </row>
    <row r="597" ht="14.25" customHeight="1">
      <c r="A597" s="83"/>
      <c r="B597" s="84"/>
      <c r="C597" s="120"/>
      <c r="D597" s="98"/>
      <c r="E597" s="98"/>
      <c r="F597" s="194"/>
      <c r="G597" s="88"/>
      <c r="H597" s="36"/>
      <c r="I597" s="37"/>
      <c r="J597" s="38"/>
      <c r="K597" s="39"/>
      <c r="L597" s="38"/>
      <c r="M597" s="39"/>
      <c r="N597" s="40"/>
      <c r="O597" s="34"/>
      <c r="P597" s="35"/>
      <c r="Q597" s="35"/>
      <c r="R597" s="35"/>
      <c r="S597" s="35"/>
      <c r="T597" s="35"/>
      <c r="U597" s="35"/>
      <c r="V597" s="35"/>
      <c r="W597" s="35"/>
      <c r="X597" s="35"/>
      <c r="Y597" s="35"/>
      <c r="Z597" s="35"/>
    </row>
    <row r="598" ht="14.25" customHeight="1">
      <c r="A598" s="83"/>
      <c r="B598" s="84"/>
      <c r="C598" s="120"/>
      <c r="D598" s="98"/>
      <c r="E598" s="98"/>
      <c r="F598" s="194"/>
      <c r="G598" s="88"/>
      <c r="H598" s="36"/>
      <c r="I598" s="37"/>
      <c r="J598" s="38"/>
      <c r="K598" s="39"/>
      <c r="L598" s="38"/>
      <c r="M598" s="39"/>
      <c r="N598" s="40"/>
      <c r="O598" s="34"/>
      <c r="P598" s="35"/>
      <c r="Q598" s="35"/>
      <c r="R598" s="35"/>
      <c r="S598" s="35"/>
      <c r="T598" s="35"/>
      <c r="U598" s="35"/>
      <c r="V598" s="35"/>
      <c r="W598" s="35"/>
      <c r="X598" s="35"/>
      <c r="Y598" s="35"/>
      <c r="Z598" s="35"/>
    </row>
    <row r="599" ht="14.25" customHeight="1">
      <c r="A599" s="83"/>
      <c r="B599" s="84"/>
      <c r="C599" s="120"/>
      <c r="D599" s="98"/>
      <c r="E599" s="98"/>
      <c r="F599" s="194"/>
      <c r="G599" s="88"/>
      <c r="H599" s="36"/>
      <c r="I599" s="37"/>
      <c r="J599" s="38"/>
      <c r="K599" s="39"/>
      <c r="L599" s="38"/>
      <c r="M599" s="39"/>
      <c r="N599" s="40"/>
      <c r="O599" s="34"/>
      <c r="P599" s="35"/>
      <c r="Q599" s="35"/>
      <c r="R599" s="35"/>
      <c r="S599" s="35"/>
      <c r="T599" s="35"/>
      <c r="U599" s="35"/>
      <c r="V599" s="35"/>
      <c r="W599" s="35"/>
      <c r="X599" s="35"/>
      <c r="Y599" s="35"/>
      <c r="Z599" s="35"/>
    </row>
    <row r="600" ht="14.25" customHeight="1">
      <c r="A600" s="83"/>
      <c r="B600" s="84"/>
      <c r="C600" s="120"/>
      <c r="D600" s="98"/>
      <c r="E600" s="98"/>
      <c r="F600" s="194"/>
      <c r="G600" s="88"/>
      <c r="H600" s="36"/>
      <c r="I600" s="37"/>
      <c r="J600" s="38"/>
      <c r="K600" s="39"/>
      <c r="L600" s="38"/>
      <c r="M600" s="39"/>
      <c r="N600" s="40"/>
      <c r="O600" s="34"/>
      <c r="P600" s="35"/>
      <c r="Q600" s="35"/>
      <c r="R600" s="35"/>
      <c r="S600" s="35"/>
      <c r="T600" s="35"/>
      <c r="U600" s="35"/>
      <c r="V600" s="35"/>
      <c r="W600" s="35"/>
      <c r="X600" s="35"/>
      <c r="Y600" s="35"/>
      <c r="Z600" s="35"/>
    </row>
    <row r="601" ht="14.25" customHeight="1">
      <c r="A601" s="83"/>
      <c r="B601" s="84"/>
      <c r="C601" s="120"/>
      <c r="D601" s="98"/>
      <c r="E601" s="98"/>
      <c r="F601" s="194"/>
      <c r="G601" s="88"/>
      <c r="H601" s="36"/>
      <c r="I601" s="37"/>
      <c r="J601" s="38"/>
      <c r="K601" s="39"/>
      <c r="L601" s="38"/>
      <c r="M601" s="39"/>
      <c r="N601" s="40"/>
      <c r="O601" s="34"/>
      <c r="P601" s="35"/>
      <c r="Q601" s="35"/>
      <c r="R601" s="35"/>
      <c r="S601" s="35"/>
      <c r="T601" s="35"/>
      <c r="U601" s="35"/>
      <c r="V601" s="35"/>
      <c r="W601" s="35"/>
      <c r="X601" s="35"/>
      <c r="Y601" s="35"/>
      <c r="Z601" s="35"/>
    </row>
    <row r="602" ht="14.25" customHeight="1">
      <c r="A602" s="83"/>
      <c r="B602" s="84"/>
      <c r="C602" s="120"/>
      <c r="D602" s="98"/>
      <c r="E602" s="98"/>
      <c r="F602" s="194"/>
      <c r="G602" s="88"/>
      <c r="H602" s="36"/>
      <c r="I602" s="37"/>
      <c r="J602" s="38"/>
      <c r="K602" s="39"/>
      <c r="L602" s="38"/>
      <c r="M602" s="39"/>
      <c r="N602" s="40"/>
      <c r="O602" s="34"/>
      <c r="P602" s="35"/>
      <c r="Q602" s="35"/>
      <c r="R602" s="35"/>
      <c r="S602" s="35"/>
      <c r="T602" s="35"/>
      <c r="U602" s="35"/>
      <c r="V602" s="35"/>
      <c r="W602" s="35"/>
      <c r="X602" s="35"/>
      <c r="Y602" s="35"/>
      <c r="Z602" s="35"/>
    </row>
    <row r="603" ht="14.25" customHeight="1">
      <c r="A603" s="83"/>
      <c r="B603" s="84"/>
      <c r="C603" s="120"/>
      <c r="D603" s="98"/>
      <c r="E603" s="98"/>
      <c r="F603" s="194"/>
      <c r="G603" s="88"/>
      <c r="H603" s="36"/>
      <c r="I603" s="37"/>
      <c r="J603" s="38"/>
      <c r="K603" s="39"/>
      <c r="L603" s="38"/>
      <c r="M603" s="39"/>
      <c r="N603" s="40"/>
      <c r="O603" s="34"/>
      <c r="P603" s="35"/>
      <c r="Q603" s="35"/>
      <c r="R603" s="35"/>
      <c r="S603" s="35"/>
      <c r="T603" s="35"/>
      <c r="U603" s="35"/>
      <c r="V603" s="35"/>
      <c r="W603" s="35"/>
      <c r="X603" s="35"/>
      <c r="Y603" s="35"/>
      <c r="Z603" s="35"/>
    </row>
    <row r="604" ht="14.25" customHeight="1">
      <c r="A604" s="83"/>
      <c r="B604" s="84"/>
      <c r="C604" s="120"/>
      <c r="D604" s="98"/>
      <c r="E604" s="98"/>
      <c r="F604" s="194"/>
      <c r="G604" s="88"/>
      <c r="H604" s="36"/>
      <c r="I604" s="37"/>
      <c r="J604" s="38"/>
      <c r="K604" s="39"/>
      <c r="L604" s="38"/>
      <c r="M604" s="39"/>
      <c r="N604" s="40"/>
      <c r="O604" s="34"/>
      <c r="P604" s="35"/>
      <c r="Q604" s="35"/>
      <c r="R604" s="35"/>
      <c r="S604" s="35"/>
      <c r="T604" s="35"/>
      <c r="U604" s="35"/>
      <c r="V604" s="35"/>
      <c r="W604" s="35"/>
      <c r="X604" s="35"/>
      <c r="Y604" s="35"/>
      <c r="Z604" s="35"/>
    </row>
    <row r="605" ht="14.25" customHeight="1">
      <c r="A605" s="83"/>
      <c r="B605" s="84"/>
      <c r="C605" s="120"/>
      <c r="D605" s="98"/>
      <c r="E605" s="98"/>
      <c r="F605" s="194"/>
      <c r="G605" s="88"/>
      <c r="H605" s="36"/>
      <c r="I605" s="37"/>
      <c r="J605" s="38"/>
      <c r="K605" s="39"/>
      <c r="L605" s="38"/>
      <c r="M605" s="39"/>
      <c r="N605" s="40"/>
      <c r="O605" s="34"/>
      <c r="P605" s="35"/>
      <c r="Q605" s="35"/>
      <c r="R605" s="35"/>
      <c r="S605" s="35"/>
      <c r="T605" s="35"/>
      <c r="U605" s="35"/>
      <c r="V605" s="35"/>
      <c r="W605" s="35"/>
      <c r="X605" s="35"/>
      <c r="Y605" s="35"/>
      <c r="Z605" s="35"/>
    </row>
    <row r="606" ht="14.25" customHeight="1">
      <c r="A606" s="83"/>
      <c r="B606" s="84"/>
      <c r="C606" s="120"/>
      <c r="D606" s="98"/>
      <c r="E606" s="98"/>
      <c r="F606" s="194"/>
      <c r="G606" s="88"/>
      <c r="H606" s="36"/>
      <c r="I606" s="37"/>
      <c r="J606" s="38"/>
      <c r="K606" s="39"/>
      <c r="L606" s="38"/>
      <c r="M606" s="39"/>
      <c r="N606" s="40"/>
      <c r="O606" s="34"/>
      <c r="P606" s="35"/>
      <c r="Q606" s="35"/>
      <c r="R606" s="35"/>
      <c r="S606" s="35"/>
      <c r="T606" s="35"/>
      <c r="U606" s="35"/>
      <c r="V606" s="35"/>
      <c r="W606" s="35"/>
      <c r="X606" s="35"/>
      <c r="Y606" s="35"/>
      <c r="Z606" s="35"/>
    </row>
    <row r="607" ht="14.25" customHeight="1">
      <c r="A607" s="83"/>
      <c r="B607" s="84"/>
      <c r="C607" s="120"/>
      <c r="D607" s="98"/>
      <c r="E607" s="98"/>
      <c r="F607" s="194"/>
      <c r="G607" s="88"/>
      <c r="H607" s="36"/>
      <c r="I607" s="37"/>
      <c r="J607" s="38"/>
      <c r="K607" s="39"/>
      <c r="L607" s="38"/>
      <c r="M607" s="39"/>
      <c r="N607" s="40"/>
      <c r="O607" s="34"/>
      <c r="P607" s="35"/>
      <c r="Q607" s="35"/>
      <c r="R607" s="35"/>
      <c r="S607" s="35"/>
      <c r="T607" s="35"/>
      <c r="U607" s="35"/>
      <c r="V607" s="35"/>
      <c r="W607" s="35"/>
      <c r="X607" s="35"/>
      <c r="Y607" s="35"/>
      <c r="Z607" s="35"/>
    </row>
    <row r="608" ht="14.25" customHeight="1">
      <c r="A608" s="83"/>
      <c r="B608" s="84"/>
      <c r="C608" s="120"/>
      <c r="D608" s="98"/>
      <c r="E608" s="98"/>
      <c r="F608" s="194"/>
      <c r="G608" s="88"/>
      <c r="H608" s="36"/>
      <c r="I608" s="37"/>
      <c r="J608" s="38"/>
      <c r="K608" s="39"/>
      <c r="L608" s="38"/>
      <c r="M608" s="39"/>
      <c r="N608" s="40"/>
      <c r="O608" s="34"/>
      <c r="P608" s="35"/>
      <c r="Q608" s="35"/>
      <c r="R608" s="35"/>
      <c r="S608" s="35"/>
      <c r="T608" s="35"/>
      <c r="U608" s="35"/>
      <c r="V608" s="35"/>
      <c r="W608" s="35"/>
      <c r="X608" s="35"/>
      <c r="Y608" s="35"/>
      <c r="Z608" s="35"/>
    </row>
    <row r="609" ht="14.25" customHeight="1">
      <c r="A609" s="83"/>
      <c r="B609" s="84"/>
      <c r="C609" s="120"/>
      <c r="D609" s="98"/>
      <c r="E609" s="98"/>
      <c r="F609" s="194"/>
      <c r="G609" s="88"/>
      <c r="H609" s="36"/>
      <c r="I609" s="37"/>
      <c r="J609" s="38"/>
      <c r="K609" s="39"/>
      <c r="L609" s="38"/>
      <c r="M609" s="39"/>
      <c r="N609" s="40"/>
      <c r="O609" s="34"/>
      <c r="P609" s="35"/>
      <c r="Q609" s="35"/>
      <c r="R609" s="35"/>
      <c r="S609" s="35"/>
      <c r="T609" s="35"/>
      <c r="U609" s="35"/>
      <c r="V609" s="35"/>
      <c r="W609" s="35"/>
      <c r="X609" s="35"/>
      <c r="Y609" s="35"/>
      <c r="Z609" s="35"/>
    </row>
    <row r="610" ht="14.25" customHeight="1">
      <c r="A610" s="83"/>
      <c r="B610" s="84"/>
      <c r="C610" s="120"/>
      <c r="D610" s="98"/>
      <c r="E610" s="98"/>
      <c r="F610" s="194"/>
      <c r="G610" s="88"/>
      <c r="H610" s="36"/>
      <c r="I610" s="37"/>
      <c r="J610" s="38"/>
      <c r="K610" s="39"/>
      <c r="L610" s="38"/>
      <c r="M610" s="39"/>
      <c r="N610" s="40"/>
      <c r="O610" s="34"/>
      <c r="P610" s="35"/>
      <c r="Q610" s="35"/>
      <c r="R610" s="35"/>
      <c r="S610" s="35"/>
      <c r="T610" s="35"/>
      <c r="U610" s="35"/>
      <c r="V610" s="35"/>
      <c r="W610" s="35"/>
      <c r="X610" s="35"/>
      <c r="Y610" s="35"/>
      <c r="Z610" s="35"/>
    </row>
    <row r="611" ht="14.25" customHeight="1">
      <c r="A611" s="83"/>
      <c r="B611" s="84"/>
      <c r="C611" s="120"/>
      <c r="D611" s="98"/>
      <c r="E611" s="98"/>
      <c r="F611" s="194"/>
      <c r="G611" s="88"/>
      <c r="H611" s="36"/>
      <c r="I611" s="37"/>
      <c r="J611" s="38"/>
      <c r="K611" s="39"/>
      <c r="L611" s="38"/>
      <c r="M611" s="39"/>
      <c r="N611" s="40"/>
      <c r="O611" s="34"/>
      <c r="P611" s="35"/>
      <c r="Q611" s="35"/>
      <c r="R611" s="35"/>
      <c r="S611" s="35"/>
      <c r="T611" s="35"/>
      <c r="U611" s="35"/>
      <c r="V611" s="35"/>
      <c r="W611" s="35"/>
      <c r="X611" s="35"/>
      <c r="Y611" s="35"/>
      <c r="Z611" s="35"/>
    </row>
    <row r="612" ht="14.25" customHeight="1">
      <c r="A612" s="83"/>
      <c r="B612" s="84"/>
      <c r="C612" s="120"/>
      <c r="D612" s="98"/>
      <c r="E612" s="98"/>
      <c r="F612" s="194"/>
      <c r="G612" s="88"/>
      <c r="H612" s="36"/>
      <c r="I612" s="37"/>
      <c r="J612" s="38"/>
      <c r="K612" s="39"/>
      <c r="L612" s="38"/>
      <c r="M612" s="39"/>
      <c r="N612" s="40"/>
      <c r="O612" s="34"/>
      <c r="P612" s="35"/>
      <c r="Q612" s="35"/>
      <c r="R612" s="35"/>
      <c r="S612" s="35"/>
      <c r="T612" s="35"/>
      <c r="U612" s="35"/>
      <c r="V612" s="35"/>
      <c r="W612" s="35"/>
      <c r="X612" s="35"/>
      <c r="Y612" s="35"/>
      <c r="Z612" s="35"/>
    </row>
    <row r="613" ht="14.25" customHeight="1">
      <c r="A613" s="83"/>
      <c r="B613" s="84"/>
      <c r="C613" s="120"/>
      <c r="D613" s="98"/>
      <c r="E613" s="98"/>
      <c r="F613" s="194"/>
      <c r="G613" s="88"/>
      <c r="H613" s="36"/>
      <c r="I613" s="37"/>
      <c r="J613" s="38"/>
      <c r="K613" s="39"/>
      <c r="L613" s="38"/>
      <c r="M613" s="39"/>
      <c r="N613" s="40"/>
      <c r="O613" s="34"/>
      <c r="P613" s="35"/>
      <c r="Q613" s="35"/>
      <c r="R613" s="35"/>
      <c r="S613" s="35"/>
      <c r="T613" s="35"/>
      <c r="U613" s="35"/>
      <c r="V613" s="35"/>
      <c r="W613" s="35"/>
      <c r="X613" s="35"/>
      <c r="Y613" s="35"/>
      <c r="Z613" s="35"/>
    </row>
    <row r="614" ht="14.25" customHeight="1">
      <c r="A614" s="83"/>
      <c r="B614" s="84"/>
      <c r="C614" s="120"/>
      <c r="D614" s="98"/>
      <c r="E614" s="98"/>
      <c r="F614" s="194"/>
      <c r="G614" s="88"/>
      <c r="H614" s="36"/>
      <c r="I614" s="37"/>
      <c r="J614" s="38"/>
      <c r="K614" s="39"/>
      <c r="L614" s="38"/>
      <c r="M614" s="39"/>
      <c r="N614" s="40"/>
      <c r="O614" s="34"/>
      <c r="P614" s="35"/>
      <c r="Q614" s="35"/>
      <c r="R614" s="35"/>
      <c r="S614" s="35"/>
      <c r="T614" s="35"/>
      <c r="U614" s="35"/>
      <c r="V614" s="35"/>
      <c r="W614" s="35"/>
      <c r="X614" s="35"/>
      <c r="Y614" s="35"/>
      <c r="Z614" s="35"/>
    </row>
    <row r="615" ht="14.25" customHeight="1">
      <c r="A615" s="83"/>
      <c r="B615" s="84"/>
      <c r="C615" s="120"/>
      <c r="D615" s="98"/>
      <c r="E615" s="98"/>
      <c r="F615" s="194"/>
      <c r="G615" s="88"/>
      <c r="H615" s="36"/>
      <c r="I615" s="37"/>
      <c r="J615" s="38"/>
      <c r="K615" s="39"/>
      <c r="L615" s="38"/>
      <c r="M615" s="39"/>
      <c r="N615" s="40"/>
      <c r="O615" s="34"/>
      <c r="P615" s="35"/>
      <c r="Q615" s="35"/>
      <c r="R615" s="35"/>
      <c r="S615" s="35"/>
      <c r="T615" s="35"/>
      <c r="U615" s="35"/>
      <c r="V615" s="35"/>
      <c r="W615" s="35"/>
      <c r="X615" s="35"/>
      <c r="Y615" s="35"/>
      <c r="Z615" s="35"/>
    </row>
    <row r="616" ht="14.25" customHeight="1">
      <c r="A616" s="83"/>
      <c r="B616" s="84"/>
      <c r="C616" s="120"/>
      <c r="D616" s="98"/>
      <c r="E616" s="98"/>
      <c r="F616" s="194"/>
      <c r="G616" s="88"/>
      <c r="H616" s="36"/>
      <c r="I616" s="37"/>
      <c r="J616" s="38"/>
      <c r="K616" s="39"/>
      <c r="L616" s="38"/>
      <c r="M616" s="39"/>
      <c r="N616" s="40"/>
      <c r="O616" s="34"/>
      <c r="P616" s="35"/>
      <c r="Q616" s="35"/>
      <c r="R616" s="35"/>
      <c r="S616" s="35"/>
      <c r="T616" s="35"/>
      <c r="U616" s="35"/>
      <c r="V616" s="35"/>
      <c r="W616" s="35"/>
      <c r="X616" s="35"/>
      <c r="Y616" s="35"/>
      <c r="Z616" s="35"/>
    </row>
    <row r="617" ht="14.25" customHeight="1">
      <c r="A617" s="83"/>
      <c r="B617" s="84"/>
      <c r="C617" s="120"/>
      <c r="D617" s="98"/>
      <c r="E617" s="98"/>
      <c r="F617" s="194"/>
      <c r="G617" s="88"/>
      <c r="H617" s="36"/>
      <c r="I617" s="37"/>
      <c r="J617" s="38"/>
      <c r="K617" s="39"/>
      <c r="L617" s="38"/>
      <c r="M617" s="39"/>
      <c r="N617" s="40"/>
      <c r="O617" s="34"/>
      <c r="P617" s="35"/>
      <c r="Q617" s="35"/>
      <c r="R617" s="35"/>
      <c r="S617" s="35"/>
      <c r="T617" s="35"/>
      <c r="U617" s="35"/>
      <c r="V617" s="35"/>
      <c r="W617" s="35"/>
      <c r="X617" s="35"/>
      <c r="Y617" s="35"/>
      <c r="Z617" s="35"/>
    </row>
    <row r="618" ht="14.25" customHeight="1">
      <c r="A618" s="83"/>
      <c r="B618" s="84"/>
      <c r="C618" s="120"/>
      <c r="D618" s="98"/>
      <c r="E618" s="98"/>
      <c r="F618" s="194"/>
      <c r="G618" s="88"/>
      <c r="H618" s="36"/>
      <c r="I618" s="37"/>
      <c r="J618" s="38"/>
      <c r="K618" s="39"/>
      <c r="L618" s="38"/>
      <c r="M618" s="39"/>
      <c r="N618" s="40"/>
      <c r="O618" s="34"/>
      <c r="P618" s="35"/>
      <c r="Q618" s="35"/>
      <c r="R618" s="35"/>
      <c r="S618" s="35"/>
      <c r="T618" s="35"/>
      <c r="U618" s="35"/>
      <c r="V618" s="35"/>
      <c r="W618" s="35"/>
      <c r="X618" s="35"/>
      <c r="Y618" s="35"/>
      <c r="Z618" s="35"/>
    </row>
    <row r="619" ht="14.25" customHeight="1">
      <c r="A619" s="83"/>
      <c r="B619" s="84"/>
      <c r="C619" s="120"/>
      <c r="D619" s="98"/>
      <c r="E619" s="98"/>
      <c r="F619" s="194"/>
      <c r="G619" s="88"/>
      <c r="H619" s="36"/>
      <c r="I619" s="37"/>
      <c r="J619" s="38"/>
      <c r="K619" s="39"/>
      <c r="L619" s="38"/>
      <c r="M619" s="39"/>
      <c r="N619" s="40"/>
      <c r="O619" s="34"/>
      <c r="P619" s="35"/>
      <c r="Q619" s="35"/>
      <c r="R619" s="35"/>
      <c r="S619" s="35"/>
      <c r="T619" s="35"/>
      <c r="U619" s="35"/>
      <c r="V619" s="35"/>
      <c r="W619" s="35"/>
      <c r="X619" s="35"/>
      <c r="Y619" s="35"/>
      <c r="Z619" s="35"/>
    </row>
    <row r="620" ht="14.25" customHeight="1">
      <c r="A620" s="83"/>
      <c r="B620" s="84"/>
      <c r="C620" s="120"/>
      <c r="D620" s="98"/>
      <c r="E620" s="98"/>
      <c r="F620" s="194"/>
      <c r="G620" s="88"/>
      <c r="H620" s="36"/>
      <c r="I620" s="37"/>
      <c r="J620" s="38"/>
      <c r="K620" s="39"/>
      <c r="L620" s="38"/>
      <c r="M620" s="39"/>
      <c r="N620" s="40"/>
      <c r="O620" s="34"/>
      <c r="P620" s="35"/>
      <c r="Q620" s="35"/>
      <c r="R620" s="35"/>
      <c r="S620" s="35"/>
      <c r="T620" s="35"/>
      <c r="U620" s="35"/>
      <c r="V620" s="35"/>
      <c r="W620" s="35"/>
      <c r="X620" s="35"/>
      <c r="Y620" s="35"/>
      <c r="Z620" s="35"/>
    </row>
    <row r="621" ht="14.25" customHeight="1">
      <c r="A621" s="83"/>
      <c r="B621" s="84"/>
      <c r="C621" s="120"/>
      <c r="D621" s="98"/>
      <c r="E621" s="98"/>
      <c r="F621" s="194"/>
      <c r="G621" s="88"/>
      <c r="H621" s="36"/>
      <c r="I621" s="37"/>
      <c r="J621" s="38"/>
      <c r="K621" s="39"/>
      <c r="L621" s="38"/>
      <c r="M621" s="39"/>
      <c r="N621" s="40"/>
      <c r="O621" s="34"/>
      <c r="P621" s="35"/>
      <c r="Q621" s="35"/>
      <c r="R621" s="35"/>
      <c r="S621" s="35"/>
      <c r="T621" s="35"/>
      <c r="U621" s="35"/>
      <c r="V621" s="35"/>
      <c r="W621" s="35"/>
      <c r="X621" s="35"/>
      <c r="Y621" s="35"/>
      <c r="Z621" s="35"/>
    </row>
    <row r="622" ht="14.25" customHeight="1">
      <c r="A622" s="83"/>
      <c r="B622" s="84"/>
      <c r="C622" s="120"/>
      <c r="D622" s="98"/>
      <c r="E622" s="98"/>
      <c r="F622" s="194"/>
      <c r="G622" s="88"/>
      <c r="H622" s="36"/>
      <c r="I622" s="37"/>
      <c r="J622" s="38"/>
      <c r="K622" s="39"/>
      <c r="L622" s="38"/>
      <c r="M622" s="39"/>
      <c r="N622" s="40"/>
      <c r="O622" s="34"/>
      <c r="P622" s="35"/>
      <c r="Q622" s="35"/>
      <c r="R622" s="35"/>
      <c r="S622" s="35"/>
      <c r="T622" s="35"/>
      <c r="U622" s="35"/>
      <c r="V622" s="35"/>
      <c r="W622" s="35"/>
      <c r="X622" s="35"/>
      <c r="Y622" s="35"/>
      <c r="Z622" s="35"/>
    </row>
    <row r="623" ht="14.25" customHeight="1">
      <c r="A623" s="83"/>
      <c r="B623" s="84"/>
      <c r="C623" s="120"/>
      <c r="D623" s="98"/>
      <c r="E623" s="98"/>
      <c r="F623" s="194"/>
      <c r="G623" s="88"/>
      <c r="H623" s="36"/>
      <c r="I623" s="37"/>
      <c r="J623" s="38"/>
      <c r="K623" s="39"/>
      <c r="L623" s="38"/>
      <c r="M623" s="39"/>
      <c r="N623" s="40"/>
      <c r="O623" s="34"/>
      <c r="P623" s="35"/>
      <c r="Q623" s="35"/>
      <c r="R623" s="35"/>
      <c r="S623" s="35"/>
      <c r="T623" s="35"/>
      <c r="U623" s="35"/>
      <c r="V623" s="35"/>
      <c r="W623" s="35"/>
      <c r="X623" s="35"/>
      <c r="Y623" s="35"/>
      <c r="Z623" s="35"/>
    </row>
    <row r="624" ht="14.25" customHeight="1">
      <c r="A624" s="83"/>
      <c r="B624" s="84"/>
      <c r="C624" s="120"/>
      <c r="D624" s="98"/>
      <c r="E624" s="98"/>
      <c r="F624" s="194"/>
      <c r="G624" s="88"/>
      <c r="H624" s="36"/>
      <c r="I624" s="37"/>
      <c r="J624" s="38"/>
      <c r="K624" s="39"/>
      <c r="L624" s="38"/>
      <c r="M624" s="39"/>
      <c r="N624" s="40"/>
      <c r="O624" s="34"/>
      <c r="P624" s="35"/>
      <c r="Q624" s="35"/>
      <c r="R624" s="35"/>
      <c r="S624" s="35"/>
      <c r="T624" s="35"/>
      <c r="U624" s="35"/>
      <c r="V624" s="35"/>
      <c r="W624" s="35"/>
      <c r="X624" s="35"/>
      <c r="Y624" s="35"/>
      <c r="Z624" s="35"/>
    </row>
    <row r="625" ht="14.25" customHeight="1">
      <c r="A625" s="83"/>
      <c r="B625" s="84"/>
      <c r="C625" s="120"/>
      <c r="D625" s="98"/>
      <c r="E625" s="98"/>
      <c r="F625" s="194"/>
      <c r="G625" s="88"/>
      <c r="H625" s="36"/>
      <c r="I625" s="37"/>
      <c r="J625" s="38"/>
      <c r="K625" s="39"/>
      <c r="L625" s="38"/>
      <c r="M625" s="39"/>
      <c r="N625" s="40"/>
      <c r="O625" s="34"/>
      <c r="P625" s="35"/>
      <c r="Q625" s="35"/>
      <c r="R625" s="35"/>
      <c r="S625" s="35"/>
      <c r="T625" s="35"/>
      <c r="U625" s="35"/>
      <c r="V625" s="35"/>
      <c r="W625" s="35"/>
      <c r="X625" s="35"/>
      <c r="Y625" s="35"/>
      <c r="Z625" s="35"/>
    </row>
    <row r="626" ht="14.25" customHeight="1">
      <c r="A626" s="83"/>
      <c r="B626" s="84"/>
      <c r="C626" s="120"/>
      <c r="D626" s="98"/>
      <c r="E626" s="98"/>
      <c r="F626" s="194"/>
      <c r="G626" s="88"/>
      <c r="H626" s="36"/>
      <c r="I626" s="37"/>
      <c r="J626" s="38"/>
      <c r="K626" s="39"/>
      <c r="L626" s="38"/>
      <c r="M626" s="39"/>
      <c r="N626" s="40"/>
      <c r="O626" s="34"/>
      <c r="P626" s="35"/>
      <c r="Q626" s="35"/>
      <c r="R626" s="35"/>
      <c r="S626" s="35"/>
      <c r="T626" s="35"/>
      <c r="U626" s="35"/>
      <c r="V626" s="35"/>
      <c r="W626" s="35"/>
      <c r="X626" s="35"/>
      <c r="Y626" s="35"/>
      <c r="Z626" s="35"/>
    </row>
    <row r="627" ht="14.25" customHeight="1">
      <c r="A627" s="83"/>
      <c r="B627" s="84"/>
      <c r="C627" s="120"/>
      <c r="D627" s="98"/>
      <c r="E627" s="98"/>
      <c r="F627" s="194"/>
      <c r="G627" s="88"/>
      <c r="H627" s="36"/>
      <c r="I627" s="37"/>
      <c r="J627" s="38"/>
      <c r="K627" s="39"/>
      <c r="L627" s="38"/>
      <c r="M627" s="39"/>
      <c r="N627" s="40"/>
      <c r="O627" s="34"/>
      <c r="P627" s="35"/>
      <c r="Q627" s="35"/>
      <c r="R627" s="35"/>
      <c r="S627" s="35"/>
      <c r="T627" s="35"/>
      <c r="U627" s="35"/>
      <c r="V627" s="35"/>
      <c r="W627" s="35"/>
      <c r="X627" s="35"/>
      <c r="Y627" s="35"/>
      <c r="Z627" s="35"/>
    </row>
    <row r="628" ht="14.25" customHeight="1">
      <c r="A628" s="83"/>
      <c r="B628" s="84"/>
      <c r="C628" s="120"/>
      <c r="D628" s="98"/>
      <c r="E628" s="98"/>
      <c r="F628" s="194"/>
      <c r="G628" s="88"/>
      <c r="H628" s="36"/>
      <c r="I628" s="37"/>
      <c r="J628" s="38"/>
      <c r="K628" s="39"/>
      <c r="L628" s="38"/>
      <c r="M628" s="39"/>
      <c r="N628" s="40"/>
      <c r="O628" s="34"/>
      <c r="P628" s="35"/>
      <c r="Q628" s="35"/>
      <c r="R628" s="35"/>
      <c r="S628" s="35"/>
      <c r="T628" s="35"/>
      <c r="U628" s="35"/>
      <c r="V628" s="35"/>
      <c r="W628" s="35"/>
      <c r="X628" s="35"/>
      <c r="Y628" s="35"/>
      <c r="Z628" s="35"/>
    </row>
    <row r="629" ht="14.25" customHeight="1">
      <c r="A629" s="83"/>
      <c r="B629" s="84"/>
      <c r="C629" s="120"/>
      <c r="D629" s="98"/>
      <c r="E629" s="98"/>
      <c r="F629" s="194"/>
      <c r="G629" s="88"/>
      <c r="H629" s="36"/>
      <c r="I629" s="37"/>
      <c r="J629" s="38"/>
      <c r="K629" s="39"/>
      <c r="L629" s="38"/>
      <c r="M629" s="39"/>
      <c r="N629" s="40"/>
      <c r="O629" s="34"/>
      <c r="P629" s="35"/>
      <c r="Q629" s="35"/>
      <c r="R629" s="35"/>
      <c r="S629" s="35"/>
      <c r="T629" s="35"/>
      <c r="U629" s="35"/>
      <c r="V629" s="35"/>
      <c r="W629" s="35"/>
      <c r="X629" s="35"/>
      <c r="Y629" s="35"/>
      <c r="Z629" s="35"/>
    </row>
    <row r="630" ht="14.25" customHeight="1">
      <c r="A630" s="83"/>
      <c r="B630" s="84"/>
      <c r="C630" s="120"/>
      <c r="D630" s="98"/>
      <c r="E630" s="98"/>
      <c r="F630" s="194"/>
      <c r="G630" s="88"/>
      <c r="H630" s="36"/>
      <c r="I630" s="37"/>
      <c r="J630" s="38"/>
      <c r="K630" s="39"/>
      <c r="L630" s="38"/>
      <c r="M630" s="39"/>
      <c r="N630" s="40"/>
      <c r="O630" s="34"/>
      <c r="P630" s="35"/>
      <c r="Q630" s="35"/>
      <c r="R630" s="35"/>
      <c r="S630" s="35"/>
      <c r="T630" s="35"/>
      <c r="U630" s="35"/>
      <c r="V630" s="35"/>
      <c r="W630" s="35"/>
      <c r="X630" s="35"/>
      <c r="Y630" s="35"/>
      <c r="Z630" s="35"/>
    </row>
    <row r="631" ht="14.25" customHeight="1">
      <c r="A631" s="83"/>
      <c r="B631" s="84"/>
      <c r="C631" s="120"/>
      <c r="D631" s="98"/>
      <c r="E631" s="98"/>
      <c r="F631" s="194"/>
      <c r="G631" s="88"/>
      <c r="H631" s="36"/>
      <c r="I631" s="37"/>
      <c r="J631" s="38"/>
      <c r="K631" s="39"/>
      <c r="L631" s="38"/>
      <c r="M631" s="39"/>
      <c r="N631" s="40"/>
      <c r="O631" s="34"/>
      <c r="P631" s="35"/>
      <c r="Q631" s="35"/>
      <c r="R631" s="35"/>
      <c r="S631" s="35"/>
      <c r="T631" s="35"/>
      <c r="U631" s="35"/>
      <c r="V631" s="35"/>
      <c r="W631" s="35"/>
      <c r="X631" s="35"/>
      <c r="Y631" s="35"/>
      <c r="Z631" s="35"/>
    </row>
    <row r="632" ht="14.25" customHeight="1">
      <c r="A632" s="83"/>
      <c r="B632" s="84"/>
      <c r="C632" s="120"/>
      <c r="D632" s="98"/>
      <c r="E632" s="98"/>
      <c r="F632" s="194"/>
      <c r="G632" s="88"/>
      <c r="H632" s="36"/>
      <c r="I632" s="37"/>
      <c r="J632" s="38"/>
      <c r="K632" s="39"/>
      <c r="L632" s="38"/>
      <c r="M632" s="39"/>
      <c r="N632" s="40"/>
      <c r="O632" s="34"/>
      <c r="P632" s="35"/>
      <c r="Q632" s="35"/>
      <c r="R632" s="35"/>
      <c r="S632" s="35"/>
      <c r="T632" s="35"/>
      <c r="U632" s="35"/>
      <c r="V632" s="35"/>
      <c r="W632" s="35"/>
      <c r="X632" s="35"/>
      <c r="Y632" s="35"/>
      <c r="Z632" s="35"/>
    </row>
    <row r="633" ht="14.25" customHeight="1">
      <c r="A633" s="83"/>
      <c r="B633" s="84"/>
      <c r="C633" s="120"/>
      <c r="D633" s="98"/>
      <c r="E633" s="98"/>
      <c r="F633" s="194"/>
      <c r="G633" s="88"/>
      <c r="H633" s="36"/>
      <c r="I633" s="37"/>
      <c r="J633" s="38"/>
      <c r="K633" s="39"/>
      <c r="L633" s="38"/>
      <c r="M633" s="39"/>
      <c r="N633" s="40"/>
      <c r="O633" s="34"/>
      <c r="P633" s="35"/>
      <c r="Q633" s="35"/>
      <c r="R633" s="35"/>
      <c r="S633" s="35"/>
      <c r="T633" s="35"/>
      <c r="U633" s="35"/>
      <c r="V633" s="35"/>
      <c r="W633" s="35"/>
      <c r="X633" s="35"/>
      <c r="Y633" s="35"/>
      <c r="Z633" s="35"/>
    </row>
    <row r="634" ht="14.25" customHeight="1">
      <c r="A634" s="83"/>
      <c r="B634" s="84"/>
      <c r="C634" s="120"/>
      <c r="D634" s="98"/>
      <c r="E634" s="98"/>
      <c r="F634" s="194"/>
      <c r="G634" s="88"/>
      <c r="H634" s="36"/>
      <c r="I634" s="37"/>
      <c r="J634" s="38"/>
      <c r="K634" s="39"/>
      <c r="L634" s="38"/>
      <c r="M634" s="39"/>
      <c r="N634" s="40"/>
      <c r="O634" s="34"/>
      <c r="P634" s="35"/>
      <c r="Q634" s="35"/>
      <c r="R634" s="35"/>
      <c r="S634" s="35"/>
      <c r="T634" s="35"/>
      <c r="U634" s="35"/>
      <c r="V634" s="35"/>
      <c r="W634" s="35"/>
      <c r="X634" s="35"/>
      <c r="Y634" s="35"/>
      <c r="Z634" s="35"/>
    </row>
    <row r="635" ht="14.25" customHeight="1">
      <c r="A635" s="83"/>
      <c r="B635" s="84"/>
      <c r="C635" s="120"/>
      <c r="D635" s="98"/>
      <c r="E635" s="98"/>
      <c r="F635" s="194"/>
      <c r="G635" s="88"/>
      <c r="H635" s="36"/>
      <c r="I635" s="37"/>
      <c r="J635" s="38"/>
      <c r="K635" s="39"/>
      <c r="L635" s="38"/>
      <c r="M635" s="39"/>
      <c r="N635" s="40"/>
      <c r="O635" s="34"/>
      <c r="P635" s="35"/>
      <c r="Q635" s="35"/>
      <c r="R635" s="35"/>
      <c r="S635" s="35"/>
      <c r="T635" s="35"/>
      <c r="U635" s="35"/>
      <c r="V635" s="35"/>
      <c r="W635" s="35"/>
      <c r="X635" s="35"/>
      <c r="Y635" s="35"/>
      <c r="Z635" s="35"/>
    </row>
    <row r="636" ht="14.25" customHeight="1">
      <c r="A636" s="83"/>
      <c r="B636" s="84"/>
      <c r="C636" s="120"/>
      <c r="D636" s="98"/>
      <c r="E636" s="98"/>
      <c r="F636" s="194"/>
      <c r="G636" s="88"/>
      <c r="H636" s="36"/>
      <c r="I636" s="37"/>
      <c r="J636" s="38"/>
      <c r="K636" s="39"/>
      <c r="L636" s="38"/>
      <c r="M636" s="39"/>
      <c r="N636" s="40"/>
      <c r="O636" s="34"/>
      <c r="P636" s="35"/>
      <c r="Q636" s="35"/>
      <c r="R636" s="35"/>
      <c r="S636" s="35"/>
      <c r="T636" s="35"/>
      <c r="U636" s="35"/>
      <c r="V636" s="35"/>
      <c r="W636" s="35"/>
      <c r="X636" s="35"/>
      <c r="Y636" s="35"/>
      <c r="Z636" s="35"/>
    </row>
    <row r="637" ht="14.25" customHeight="1">
      <c r="A637" s="83"/>
      <c r="B637" s="84"/>
      <c r="C637" s="120"/>
      <c r="D637" s="98"/>
      <c r="E637" s="98"/>
      <c r="F637" s="194"/>
      <c r="G637" s="88"/>
      <c r="H637" s="36"/>
      <c r="I637" s="37"/>
      <c r="J637" s="38"/>
      <c r="K637" s="39"/>
      <c r="L637" s="38"/>
      <c r="M637" s="39"/>
      <c r="N637" s="40"/>
      <c r="O637" s="34"/>
      <c r="P637" s="35"/>
      <c r="Q637" s="35"/>
      <c r="R637" s="35"/>
      <c r="S637" s="35"/>
      <c r="T637" s="35"/>
      <c r="U637" s="35"/>
      <c r="V637" s="35"/>
      <c r="W637" s="35"/>
      <c r="X637" s="35"/>
      <c r="Y637" s="35"/>
      <c r="Z637" s="35"/>
    </row>
    <row r="638" ht="14.25" customHeight="1">
      <c r="A638" s="83"/>
      <c r="B638" s="84"/>
      <c r="C638" s="120"/>
      <c r="D638" s="98"/>
      <c r="E638" s="98"/>
      <c r="F638" s="194"/>
      <c r="G638" s="88"/>
      <c r="H638" s="36"/>
      <c r="I638" s="37"/>
      <c r="J638" s="38"/>
      <c r="K638" s="39"/>
      <c r="L638" s="38"/>
      <c r="M638" s="39"/>
      <c r="N638" s="40"/>
      <c r="O638" s="34"/>
      <c r="P638" s="35"/>
      <c r="Q638" s="35"/>
      <c r="R638" s="35"/>
      <c r="S638" s="35"/>
      <c r="T638" s="35"/>
      <c r="U638" s="35"/>
      <c r="V638" s="35"/>
      <c r="W638" s="35"/>
      <c r="X638" s="35"/>
      <c r="Y638" s="35"/>
      <c r="Z638" s="35"/>
    </row>
    <row r="639" ht="14.25" customHeight="1">
      <c r="A639" s="83"/>
      <c r="B639" s="84"/>
      <c r="C639" s="120"/>
      <c r="D639" s="98"/>
      <c r="E639" s="98"/>
      <c r="F639" s="194"/>
      <c r="G639" s="88"/>
      <c r="H639" s="36"/>
      <c r="I639" s="37"/>
      <c r="J639" s="38"/>
      <c r="K639" s="39"/>
      <c r="L639" s="38"/>
      <c r="M639" s="39"/>
      <c r="N639" s="40"/>
      <c r="O639" s="34"/>
      <c r="P639" s="35"/>
      <c r="Q639" s="35"/>
      <c r="R639" s="35"/>
      <c r="S639" s="35"/>
      <c r="T639" s="35"/>
      <c r="U639" s="35"/>
      <c r="V639" s="35"/>
      <c r="W639" s="35"/>
      <c r="X639" s="35"/>
      <c r="Y639" s="35"/>
      <c r="Z639" s="35"/>
    </row>
    <row r="640" ht="14.25" customHeight="1">
      <c r="A640" s="83"/>
      <c r="B640" s="84"/>
      <c r="C640" s="120"/>
      <c r="D640" s="98"/>
      <c r="E640" s="98"/>
      <c r="F640" s="194"/>
      <c r="G640" s="88"/>
      <c r="H640" s="36"/>
      <c r="I640" s="37"/>
      <c r="J640" s="38"/>
      <c r="K640" s="39"/>
      <c r="L640" s="38"/>
      <c r="M640" s="39"/>
      <c r="N640" s="40"/>
      <c r="O640" s="34"/>
      <c r="P640" s="35"/>
      <c r="Q640" s="35"/>
      <c r="R640" s="35"/>
      <c r="S640" s="35"/>
      <c r="T640" s="35"/>
      <c r="U640" s="35"/>
      <c r="V640" s="35"/>
      <c r="W640" s="35"/>
      <c r="X640" s="35"/>
      <c r="Y640" s="35"/>
      <c r="Z640" s="35"/>
    </row>
    <row r="641" ht="14.25" customHeight="1">
      <c r="A641" s="83"/>
      <c r="B641" s="84"/>
      <c r="C641" s="120"/>
      <c r="D641" s="98"/>
      <c r="E641" s="98"/>
      <c r="F641" s="194"/>
      <c r="G641" s="88"/>
      <c r="H641" s="36"/>
      <c r="I641" s="37"/>
      <c r="J641" s="38"/>
      <c r="K641" s="39"/>
      <c r="L641" s="38"/>
      <c r="M641" s="39"/>
      <c r="N641" s="40"/>
      <c r="O641" s="34"/>
      <c r="P641" s="35"/>
      <c r="Q641" s="35"/>
      <c r="R641" s="35"/>
      <c r="S641" s="35"/>
      <c r="T641" s="35"/>
      <c r="U641" s="35"/>
      <c r="V641" s="35"/>
      <c r="W641" s="35"/>
      <c r="X641" s="35"/>
      <c r="Y641" s="35"/>
      <c r="Z641" s="35"/>
    </row>
    <row r="642" ht="14.25" customHeight="1">
      <c r="A642" s="83"/>
      <c r="B642" s="84"/>
      <c r="C642" s="120"/>
      <c r="D642" s="98"/>
      <c r="E642" s="98"/>
      <c r="F642" s="194"/>
      <c r="G642" s="88"/>
      <c r="H642" s="36"/>
      <c r="I642" s="37"/>
      <c r="J642" s="38"/>
      <c r="K642" s="39"/>
      <c r="L642" s="38"/>
      <c r="M642" s="39"/>
      <c r="N642" s="40"/>
      <c r="O642" s="34"/>
      <c r="P642" s="35"/>
      <c r="Q642" s="35"/>
      <c r="R642" s="35"/>
      <c r="S642" s="35"/>
      <c r="T642" s="35"/>
      <c r="U642" s="35"/>
      <c r="V642" s="35"/>
      <c r="W642" s="35"/>
      <c r="X642" s="35"/>
      <c r="Y642" s="35"/>
      <c r="Z642" s="35"/>
    </row>
    <row r="643" ht="14.25" customHeight="1">
      <c r="A643" s="83"/>
      <c r="B643" s="84"/>
      <c r="C643" s="120"/>
      <c r="D643" s="98"/>
      <c r="E643" s="98"/>
      <c r="F643" s="194"/>
      <c r="G643" s="88"/>
      <c r="H643" s="36"/>
      <c r="I643" s="37"/>
      <c r="J643" s="38"/>
      <c r="K643" s="39"/>
      <c r="L643" s="38"/>
      <c r="M643" s="39"/>
      <c r="N643" s="40"/>
      <c r="O643" s="34"/>
      <c r="P643" s="35"/>
      <c r="Q643" s="35"/>
      <c r="R643" s="35"/>
      <c r="S643" s="35"/>
      <c r="T643" s="35"/>
      <c r="U643" s="35"/>
      <c r="V643" s="35"/>
      <c r="W643" s="35"/>
      <c r="X643" s="35"/>
      <c r="Y643" s="35"/>
      <c r="Z643" s="35"/>
    </row>
    <row r="644" ht="14.25" customHeight="1">
      <c r="A644" s="83"/>
      <c r="B644" s="84"/>
      <c r="C644" s="120"/>
      <c r="D644" s="98"/>
      <c r="E644" s="98"/>
      <c r="F644" s="194"/>
      <c r="G644" s="88"/>
      <c r="H644" s="36"/>
      <c r="I644" s="37"/>
      <c r="J644" s="38"/>
      <c r="K644" s="39"/>
      <c r="L644" s="38"/>
      <c r="M644" s="39"/>
      <c r="N644" s="40"/>
      <c r="O644" s="34"/>
      <c r="P644" s="35"/>
      <c r="Q644" s="35"/>
      <c r="R644" s="35"/>
      <c r="S644" s="35"/>
      <c r="T644" s="35"/>
      <c r="U644" s="35"/>
      <c r="V644" s="35"/>
      <c r="W644" s="35"/>
      <c r="X644" s="35"/>
      <c r="Y644" s="35"/>
      <c r="Z644" s="35"/>
    </row>
    <row r="645" ht="14.25" customHeight="1">
      <c r="A645" s="83"/>
      <c r="B645" s="84"/>
      <c r="C645" s="120"/>
      <c r="D645" s="98"/>
      <c r="E645" s="98"/>
      <c r="F645" s="194"/>
      <c r="G645" s="88"/>
      <c r="H645" s="36"/>
      <c r="I645" s="37"/>
      <c r="J645" s="38"/>
      <c r="K645" s="39"/>
      <c r="L645" s="38"/>
      <c r="M645" s="39"/>
      <c r="N645" s="40"/>
      <c r="O645" s="34"/>
      <c r="P645" s="35"/>
      <c r="Q645" s="35"/>
      <c r="R645" s="35"/>
      <c r="S645" s="35"/>
      <c r="T645" s="35"/>
      <c r="U645" s="35"/>
      <c r="V645" s="35"/>
      <c r="W645" s="35"/>
      <c r="X645" s="35"/>
      <c r="Y645" s="35"/>
      <c r="Z645" s="35"/>
    </row>
    <row r="646" ht="14.25" customHeight="1">
      <c r="A646" s="83"/>
      <c r="B646" s="84"/>
      <c r="C646" s="120"/>
      <c r="D646" s="98"/>
      <c r="E646" s="98"/>
      <c r="F646" s="194"/>
      <c r="G646" s="88"/>
      <c r="H646" s="36"/>
      <c r="I646" s="37"/>
      <c r="J646" s="38"/>
      <c r="K646" s="39"/>
      <c r="L646" s="38"/>
      <c r="M646" s="39"/>
      <c r="N646" s="40"/>
      <c r="O646" s="34"/>
      <c r="P646" s="35"/>
      <c r="Q646" s="35"/>
      <c r="R646" s="35"/>
      <c r="S646" s="35"/>
      <c r="T646" s="35"/>
      <c r="U646" s="35"/>
      <c r="V646" s="35"/>
      <c r="W646" s="35"/>
      <c r="X646" s="35"/>
      <c r="Y646" s="35"/>
      <c r="Z646" s="35"/>
    </row>
    <row r="647" ht="14.25" customHeight="1">
      <c r="A647" s="83"/>
      <c r="B647" s="84"/>
      <c r="C647" s="120"/>
      <c r="D647" s="98"/>
      <c r="E647" s="98"/>
      <c r="F647" s="194"/>
      <c r="G647" s="88"/>
      <c r="H647" s="36"/>
      <c r="I647" s="37"/>
      <c r="J647" s="38"/>
      <c r="K647" s="39"/>
      <c r="L647" s="38"/>
      <c r="M647" s="39"/>
      <c r="N647" s="40"/>
      <c r="O647" s="34"/>
      <c r="P647" s="35"/>
      <c r="Q647" s="35"/>
      <c r="R647" s="35"/>
      <c r="S647" s="35"/>
      <c r="T647" s="35"/>
      <c r="U647" s="35"/>
      <c r="V647" s="35"/>
      <c r="W647" s="35"/>
      <c r="X647" s="35"/>
      <c r="Y647" s="35"/>
      <c r="Z647" s="35"/>
    </row>
    <row r="648" ht="14.25" customHeight="1">
      <c r="A648" s="83"/>
      <c r="B648" s="84"/>
      <c r="C648" s="120"/>
      <c r="D648" s="98"/>
      <c r="E648" s="98"/>
      <c r="F648" s="194"/>
      <c r="G648" s="88"/>
      <c r="H648" s="36"/>
      <c r="I648" s="37"/>
      <c r="J648" s="38"/>
      <c r="K648" s="39"/>
      <c r="L648" s="38"/>
      <c r="M648" s="39"/>
      <c r="N648" s="40"/>
      <c r="O648" s="34"/>
      <c r="P648" s="35"/>
      <c r="Q648" s="35"/>
      <c r="R648" s="35"/>
      <c r="S648" s="35"/>
      <c r="T648" s="35"/>
      <c r="U648" s="35"/>
      <c r="V648" s="35"/>
      <c r="W648" s="35"/>
      <c r="X648" s="35"/>
      <c r="Y648" s="35"/>
      <c r="Z648" s="35"/>
    </row>
    <row r="649" ht="14.25" customHeight="1">
      <c r="A649" s="83"/>
      <c r="B649" s="84"/>
      <c r="C649" s="120"/>
      <c r="D649" s="98"/>
      <c r="E649" s="98"/>
      <c r="F649" s="194"/>
      <c r="G649" s="88"/>
      <c r="H649" s="36"/>
      <c r="I649" s="37"/>
      <c r="J649" s="38"/>
      <c r="K649" s="39"/>
      <c r="L649" s="38"/>
      <c r="M649" s="39"/>
      <c r="N649" s="40"/>
      <c r="O649" s="34"/>
      <c r="P649" s="35"/>
      <c r="Q649" s="35"/>
      <c r="R649" s="35"/>
      <c r="S649" s="35"/>
      <c r="T649" s="35"/>
      <c r="U649" s="35"/>
      <c r="V649" s="35"/>
      <c r="W649" s="35"/>
      <c r="X649" s="35"/>
      <c r="Y649" s="35"/>
      <c r="Z649" s="35"/>
    </row>
    <row r="650" ht="14.25" customHeight="1">
      <c r="A650" s="83"/>
      <c r="B650" s="84"/>
      <c r="C650" s="120"/>
      <c r="D650" s="98"/>
      <c r="E650" s="98"/>
      <c r="F650" s="194"/>
      <c r="G650" s="88"/>
      <c r="H650" s="36"/>
      <c r="I650" s="37"/>
      <c r="J650" s="38"/>
      <c r="K650" s="39"/>
      <c r="L650" s="38"/>
      <c r="M650" s="39"/>
      <c r="N650" s="40"/>
      <c r="O650" s="34"/>
      <c r="P650" s="35"/>
      <c r="Q650" s="35"/>
      <c r="R650" s="35"/>
      <c r="S650" s="35"/>
      <c r="T650" s="35"/>
      <c r="U650" s="35"/>
      <c r="V650" s="35"/>
      <c r="W650" s="35"/>
      <c r="X650" s="35"/>
      <c r="Y650" s="35"/>
      <c r="Z650" s="35"/>
    </row>
    <row r="651" ht="14.25" customHeight="1">
      <c r="A651" s="83"/>
      <c r="B651" s="84"/>
      <c r="C651" s="120"/>
      <c r="D651" s="98"/>
      <c r="E651" s="98"/>
      <c r="F651" s="194"/>
      <c r="G651" s="88"/>
      <c r="H651" s="36"/>
      <c r="I651" s="37"/>
      <c r="J651" s="38"/>
      <c r="K651" s="39"/>
      <c r="L651" s="38"/>
      <c r="M651" s="39"/>
      <c r="N651" s="40"/>
      <c r="O651" s="34"/>
      <c r="P651" s="35"/>
      <c r="Q651" s="35"/>
      <c r="R651" s="35"/>
      <c r="S651" s="35"/>
      <c r="T651" s="35"/>
      <c r="U651" s="35"/>
      <c r="V651" s="35"/>
      <c r="W651" s="35"/>
      <c r="X651" s="35"/>
      <c r="Y651" s="35"/>
      <c r="Z651" s="35"/>
    </row>
    <row r="652" ht="14.25" customHeight="1">
      <c r="A652" s="83"/>
      <c r="B652" s="84"/>
      <c r="C652" s="120"/>
      <c r="D652" s="98"/>
      <c r="E652" s="98"/>
      <c r="F652" s="194"/>
      <c r="G652" s="88"/>
      <c r="H652" s="36"/>
      <c r="I652" s="37"/>
      <c r="J652" s="38"/>
      <c r="K652" s="39"/>
      <c r="L652" s="38"/>
      <c r="M652" s="39"/>
      <c r="N652" s="40"/>
      <c r="O652" s="34"/>
      <c r="P652" s="35"/>
      <c r="Q652" s="35"/>
      <c r="R652" s="35"/>
      <c r="S652" s="35"/>
      <c r="T652" s="35"/>
      <c r="U652" s="35"/>
      <c r="V652" s="35"/>
      <c r="W652" s="35"/>
      <c r="X652" s="35"/>
      <c r="Y652" s="35"/>
      <c r="Z652" s="35"/>
    </row>
    <row r="653" ht="14.25" customHeight="1">
      <c r="A653" s="83"/>
      <c r="B653" s="84"/>
      <c r="C653" s="120"/>
      <c r="D653" s="98"/>
      <c r="E653" s="98"/>
      <c r="F653" s="194"/>
      <c r="G653" s="88"/>
      <c r="H653" s="36"/>
      <c r="I653" s="37"/>
      <c r="J653" s="38"/>
      <c r="K653" s="39"/>
      <c r="L653" s="38"/>
      <c r="M653" s="39"/>
      <c r="N653" s="40"/>
      <c r="O653" s="34"/>
      <c r="P653" s="35"/>
      <c r="Q653" s="35"/>
      <c r="R653" s="35"/>
      <c r="S653" s="35"/>
      <c r="T653" s="35"/>
      <c r="U653" s="35"/>
      <c r="V653" s="35"/>
      <c r="W653" s="35"/>
      <c r="X653" s="35"/>
      <c r="Y653" s="35"/>
      <c r="Z653" s="35"/>
    </row>
    <row r="654" ht="14.25" customHeight="1">
      <c r="A654" s="83"/>
      <c r="B654" s="84"/>
      <c r="C654" s="120"/>
      <c r="D654" s="98"/>
      <c r="E654" s="98"/>
      <c r="F654" s="194"/>
      <c r="G654" s="88"/>
      <c r="H654" s="36"/>
      <c r="I654" s="37"/>
      <c r="J654" s="38"/>
      <c r="K654" s="39"/>
      <c r="L654" s="38"/>
      <c r="M654" s="39"/>
      <c r="N654" s="40"/>
      <c r="O654" s="34"/>
      <c r="P654" s="35"/>
      <c r="Q654" s="35"/>
      <c r="R654" s="35"/>
      <c r="S654" s="35"/>
      <c r="T654" s="35"/>
      <c r="U654" s="35"/>
      <c r="V654" s="35"/>
      <c r="W654" s="35"/>
      <c r="X654" s="35"/>
      <c r="Y654" s="35"/>
      <c r="Z654" s="35"/>
    </row>
    <row r="655" ht="14.25" customHeight="1">
      <c r="A655" s="83"/>
      <c r="B655" s="84"/>
      <c r="C655" s="120"/>
      <c r="D655" s="98"/>
      <c r="E655" s="98"/>
      <c r="F655" s="194"/>
      <c r="G655" s="88"/>
      <c r="H655" s="36"/>
      <c r="I655" s="37"/>
      <c r="J655" s="38"/>
      <c r="K655" s="39"/>
      <c r="L655" s="38"/>
      <c r="M655" s="39"/>
      <c r="N655" s="40"/>
      <c r="O655" s="34"/>
      <c r="P655" s="35"/>
      <c r="Q655" s="35"/>
      <c r="R655" s="35"/>
      <c r="S655" s="35"/>
      <c r="T655" s="35"/>
      <c r="U655" s="35"/>
      <c r="V655" s="35"/>
      <c r="W655" s="35"/>
      <c r="X655" s="35"/>
      <c r="Y655" s="35"/>
      <c r="Z655" s="35"/>
    </row>
    <row r="656" ht="14.25" customHeight="1">
      <c r="A656" s="83"/>
      <c r="B656" s="84"/>
      <c r="C656" s="120"/>
      <c r="D656" s="98"/>
      <c r="E656" s="98"/>
      <c r="F656" s="194"/>
      <c r="G656" s="88"/>
      <c r="H656" s="36"/>
      <c r="I656" s="37"/>
      <c r="J656" s="38"/>
      <c r="K656" s="39"/>
      <c r="L656" s="38"/>
      <c r="M656" s="39"/>
      <c r="N656" s="40"/>
      <c r="O656" s="34"/>
      <c r="P656" s="35"/>
      <c r="Q656" s="35"/>
      <c r="R656" s="35"/>
      <c r="S656" s="35"/>
      <c r="T656" s="35"/>
      <c r="U656" s="35"/>
      <c r="V656" s="35"/>
      <c r="W656" s="35"/>
      <c r="X656" s="35"/>
      <c r="Y656" s="35"/>
      <c r="Z656" s="35"/>
    </row>
    <row r="657" ht="14.25" customHeight="1">
      <c r="A657" s="83"/>
      <c r="B657" s="84"/>
      <c r="C657" s="120"/>
      <c r="D657" s="98"/>
      <c r="E657" s="98"/>
      <c r="F657" s="194"/>
      <c r="G657" s="88"/>
      <c r="H657" s="36"/>
      <c r="I657" s="37"/>
      <c r="J657" s="38"/>
      <c r="K657" s="39"/>
      <c r="L657" s="38"/>
      <c r="M657" s="39"/>
      <c r="N657" s="40"/>
      <c r="O657" s="34"/>
      <c r="P657" s="35"/>
      <c r="Q657" s="35"/>
      <c r="R657" s="35"/>
      <c r="S657" s="35"/>
      <c r="T657" s="35"/>
      <c r="U657" s="35"/>
      <c r="V657" s="35"/>
      <c r="W657" s="35"/>
      <c r="X657" s="35"/>
      <c r="Y657" s="35"/>
      <c r="Z657" s="35"/>
    </row>
    <row r="658" ht="14.25" customHeight="1">
      <c r="A658" s="83"/>
      <c r="B658" s="84"/>
      <c r="C658" s="120"/>
      <c r="D658" s="98"/>
      <c r="E658" s="98"/>
      <c r="F658" s="194"/>
      <c r="G658" s="88"/>
      <c r="H658" s="36"/>
      <c r="I658" s="37"/>
      <c r="J658" s="38"/>
      <c r="K658" s="39"/>
      <c r="L658" s="38"/>
      <c r="M658" s="39"/>
      <c r="N658" s="40"/>
      <c r="O658" s="34"/>
      <c r="P658" s="35"/>
      <c r="Q658" s="35"/>
      <c r="R658" s="35"/>
      <c r="S658" s="35"/>
      <c r="T658" s="35"/>
      <c r="U658" s="35"/>
      <c r="V658" s="35"/>
      <c r="W658" s="35"/>
      <c r="X658" s="35"/>
      <c r="Y658" s="35"/>
      <c r="Z658" s="35"/>
    </row>
    <row r="659" ht="14.25" customHeight="1">
      <c r="A659" s="83"/>
      <c r="B659" s="84"/>
      <c r="C659" s="120"/>
      <c r="D659" s="98"/>
      <c r="E659" s="98"/>
      <c r="F659" s="194"/>
      <c r="G659" s="88"/>
      <c r="H659" s="36"/>
      <c r="I659" s="37"/>
      <c r="J659" s="38"/>
      <c r="K659" s="39"/>
      <c r="L659" s="38"/>
      <c r="M659" s="39"/>
      <c r="N659" s="40"/>
      <c r="O659" s="34"/>
      <c r="P659" s="35"/>
      <c r="Q659" s="35"/>
      <c r="R659" s="35"/>
      <c r="S659" s="35"/>
      <c r="T659" s="35"/>
      <c r="U659" s="35"/>
      <c r="V659" s="35"/>
      <c r="W659" s="35"/>
      <c r="X659" s="35"/>
      <c r="Y659" s="35"/>
      <c r="Z659" s="35"/>
    </row>
    <row r="660" ht="14.25" customHeight="1">
      <c r="A660" s="83"/>
      <c r="B660" s="84"/>
      <c r="C660" s="120"/>
      <c r="D660" s="98"/>
      <c r="E660" s="98"/>
      <c r="F660" s="194"/>
      <c r="G660" s="88"/>
      <c r="H660" s="36"/>
      <c r="I660" s="37"/>
      <c r="J660" s="38"/>
      <c r="K660" s="39"/>
      <c r="L660" s="38"/>
      <c r="M660" s="39"/>
      <c r="N660" s="40"/>
      <c r="O660" s="34"/>
      <c r="P660" s="35"/>
      <c r="Q660" s="35"/>
      <c r="R660" s="35"/>
      <c r="S660" s="35"/>
      <c r="T660" s="35"/>
      <c r="U660" s="35"/>
      <c r="V660" s="35"/>
      <c r="W660" s="35"/>
      <c r="X660" s="35"/>
      <c r="Y660" s="35"/>
      <c r="Z660" s="35"/>
    </row>
    <row r="661" ht="14.25" customHeight="1">
      <c r="A661" s="83"/>
      <c r="B661" s="84"/>
      <c r="C661" s="120"/>
      <c r="D661" s="98"/>
      <c r="E661" s="98"/>
      <c r="F661" s="194"/>
      <c r="G661" s="88"/>
      <c r="H661" s="36"/>
      <c r="I661" s="37"/>
      <c r="J661" s="38"/>
      <c r="K661" s="39"/>
      <c r="L661" s="38"/>
      <c r="M661" s="39"/>
      <c r="N661" s="40"/>
      <c r="O661" s="34"/>
      <c r="P661" s="35"/>
      <c r="Q661" s="35"/>
      <c r="R661" s="35"/>
      <c r="S661" s="35"/>
      <c r="T661" s="35"/>
      <c r="U661" s="35"/>
      <c r="V661" s="35"/>
      <c r="W661" s="35"/>
      <c r="X661" s="35"/>
      <c r="Y661" s="35"/>
      <c r="Z661" s="35"/>
    </row>
    <row r="662" ht="14.25" customHeight="1">
      <c r="A662" s="83"/>
      <c r="B662" s="84"/>
      <c r="C662" s="120"/>
      <c r="D662" s="98"/>
      <c r="E662" s="98"/>
      <c r="F662" s="194"/>
      <c r="G662" s="88"/>
      <c r="H662" s="36"/>
      <c r="I662" s="37"/>
      <c r="J662" s="38"/>
      <c r="K662" s="39"/>
      <c r="L662" s="38"/>
      <c r="M662" s="39"/>
      <c r="N662" s="40"/>
      <c r="O662" s="34"/>
      <c r="P662" s="35"/>
      <c r="Q662" s="35"/>
      <c r="R662" s="35"/>
      <c r="S662" s="35"/>
      <c r="T662" s="35"/>
      <c r="U662" s="35"/>
      <c r="V662" s="35"/>
      <c r="W662" s="35"/>
      <c r="X662" s="35"/>
      <c r="Y662" s="35"/>
      <c r="Z662" s="35"/>
    </row>
    <row r="663" ht="14.25" customHeight="1">
      <c r="A663" s="83"/>
      <c r="B663" s="84"/>
      <c r="C663" s="120"/>
      <c r="D663" s="98"/>
      <c r="E663" s="98"/>
      <c r="F663" s="194"/>
      <c r="G663" s="88"/>
      <c r="H663" s="36"/>
      <c r="I663" s="37"/>
      <c r="J663" s="38"/>
      <c r="K663" s="39"/>
      <c r="L663" s="38"/>
      <c r="M663" s="39"/>
      <c r="N663" s="40"/>
      <c r="O663" s="34"/>
      <c r="P663" s="35"/>
      <c r="Q663" s="35"/>
      <c r="R663" s="35"/>
      <c r="S663" s="35"/>
      <c r="T663" s="35"/>
      <c r="U663" s="35"/>
      <c r="V663" s="35"/>
      <c r="W663" s="35"/>
      <c r="X663" s="35"/>
      <c r="Y663" s="35"/>
      <c r="Z663" s="35"/>
    </row>
    <row r="664" ht="14.25" customHeight="1">
      <c r="A664" s="83"/>
      <c r="B664" s="84"/>
      <c r="C664" s="120"/>
      <c r="D664" s="98"/>
      <c r="E664" s="98"/>
      <c r="F664" s="194"/>
      <c r="G664" s="88"/>
      <c r="H664" s="36"/>
      <c r="I664" s="37"/>
      <c r="J664" s="38"/>
      <c r="K664" s="39"/>
      <c r="L664" s="38"/>
      <c r="M664" s="39"/>
      <c r="N664" s="40"/>
      <c r="O664" s="34"/>
      <c r="P664" s="35"/>
      <c r="Q664" s="35"/>
      <c r="R664" s="35"/>
      <c r="S664" s="35"/>
      <c r="T664" s="35"/>
      <c r="U664" s="35"/>
      <c r="V664" s="35"/>
      <c r="W664" s="35"/>
      <c r="X664" s="35"/>
      <c r="Y664" s="35"/>
      <c r="Z664" s="35"/>
    </row>
    <row r="665" ht="14.25" customHeight="1">
      <c r="A665" s="83"/>
      <c r="B665" s="84"/>
      <c r="C665" s="120"/>
      <c r="D665" s="98"/>
      <c r="E665" s="98"/>
      <c r="F665" s="194"/>
      <c r="G665" s="88"/>
      <c r="H665" s="36"/>
      <c r="I665" s="37"/>
      <c r="J665" s="38"/>
      <c r="K665" s="39"/>
      <c r="L665" s="38"/>
      <c r="M665" s="39"/>
      <c r="N665" s="40"/>
      <c r="O665" s="34"/>
      <c r="P665" s="35"/>
      <c r="Q665" s="35"/>
      <c r="R665" s="35"/>
      <c r="S665" s="35"/>
      <c r="T665" s="35"/>
      <c r="U665" s="35"/>
      <c r="V665" s="35"/>
      <c r="W665" s="35"/>
      <c r="X665" s="35"/>
      <c r="Y665" s="35"/>
      <c r="Z665" s="35"/>
    </row>
    <row r="666" ht="14.25" customHeight="1">
      <c r="A666" s="83"/>
      <c r="B666" s="84"/>
      <c r="C666" s="120"/>
      <c r="D666" s="98"/>
      <c r="E666" s="98"/>
      <c r="F666" s="194"/>
      <c r="G666" s="88"/>
      <c r="H666" s="36"/>
      <c r="I666" s="37"/>
      <c r="J666" s="38"/>
      <c r="K666" s="39"/>
      <c r="L666" s="38"/>
      <c r="M666" s="39"/>
      <c r="N666" s="40"/>
      <c r="O666" s="34"/>
      <c r="P666" s="35"/>
      <c r="Q666" s="35"/>
      <c r="R666" s="35"/>
      <c r="S666" s="35"/>
      <c r="T666" s="35"/>
      <c r="U666" s="35"/>
      <c r="V666" s="35"/>
      <c r="W666" s="35"/>
      <c r="X666" s="35"/>
      <c r="Y666" s="35"/>
      <c r="Z666" s="35"/>
    </row>
    <row r="667" ht="14.25" customHeight="1">
      <c r="A667" s="83"/>
      <c r="B667" s="84"/>
      <c r="C667" s="120"/>
      <c r="D667" s="98"/>
      <c r="E667" s="98"/>
      <c r="F667" s="194"/>
      <c r="G667" s="88"/>
      <c r="H667" s="36"/>
      <c r="I667" s="37"/>
      <c r="J667" s="38"/>
      <c r="K667" s="39"/>
      <c r="L667" s="38"/>
      <c r="M667" s="39"/>
      <c r="N667" s="40"/>
      <c r="O667" s="34"/>
      <c r="P667" s="35"/>
      <c r="Q667" s="35"/>
      <c r="R667" s="35"/>
      <c r="S667" s="35"/>
      <c r="T667" s="35"/>
      <c r="U667" s="35"/>
      <c r="V667" s="35"/>
      <c r="W667" s="35"/>
      <c r="X667" s="35"/>
      <c r="Y667" s="35"/>
      <c r="Z667" s="35"/>
    </row>
    <row r="668" ht="14.25" customHeight="1">
      <c r="A668" s="83"/>
      <c r="B668" s="84"/>
      <c r="C668" s="120"/>
      <c r="D668" s="98"/>
      <c r="E668" s="98"/>
      <c r="F668" s="194"/>
      <c r="G668" s="88"/>
      <c r="H668" s="36"/>
      <c r="I668" s="37"/>
      <c r="J668" s="38"/>
      <c r="K668" s="39"/>
      <c r="L668" s="38"/>
      <c r="M668" s="39"/>
      <c r="N668" s="40"/>
      <c r="O668" s="34"/>
      <c r="P668" s="35"/>
      <c r="Q668" s="35"/>
      <c r="R668" s="35"/>
      <c r="S668" s="35"/>
      <c r="T668" s="35"/>
      <c r="U668" s="35"/>
      <c r="V668" s="35"/>
      <c r="W668" s="35"/>
      <c r="X668" s="35"/>
      <c r="Y668" s="35"/>
      <c r="Z668" s="35"/>
    </row>
    <row r="669" ht="14.25" customHeight="1">
      <c r="A669" s="83"/>
      <c r="B669" s="84"/>
      <c r="C669" s="120"/>
      <c r="D669" s="98"/>
      <c r="E669" s="98"/>
      <c r="F669" s="194"/>
      <c r="G669" s="88"/>
      <c r="H669" s="36"/>
      <c r="I669" s="37"/>
      <c r="J669" s="38"/>
      <c r="K669" s="39"/>
      <c r="L669" s="38"/>
      <c r="M669" s="39"/>
      <c r="N669" s="40"/>
      <c r="O669" s="34"/>
      <c r="P669" s="35"/>
      <c r="Q669" s="35"/>
      <c r="R669" s="35"/>
      <c r="S669" s="35"/>
      <c r="T669" s="35"/>
      <c r="U669" s="35"/>
      <c r="V669" s="35"/>
      <c r="W669" s="35"/>
      <c r="X669" s="35"/>
      <c r="Y669" s="35"/>
      <c r="Z669" s="35"/>
    </row>
    <row r="670" ht="14.25" customHeight="1">
      <c r="A670" s="83"/>
      <c r="B670" s="84"/>
      <c r="C670" s="120"/>
      <c r="D670" s="98"/>
      <c r="E670" s="98"/>
      <c r="F670" s="194"/>
      <c r="G670" s="88"/>
      <c r="H670" s="36"/>
      <c r="I670" s="37"/>
      <c r="J670" s="38"/>
      <c r="K670" s="39"/>
      <c r="L670" s="38"/>
      <c r="M670" s="39"/>
      <c r="N670" s="40"/>
      <c r="O670" s="34"/>
      <c r="P670" s="35"/>
      <c r="Q670" s="35"/>
      <c r="R670" s="35"/>
      <c r="S670" s="35"/>
      <c r="T670" s="35"/>
      <c r="U670" s="35"/>
      <c r="V670" s="35"/>
      <c r="W670" s="35"/>
      <c r="X670" s="35"/>
      <c r="Y670" s="35"/>
      <c r="Z670" s="35"/>
    </row>
    <row r="671" ht="14.25" customHeight="1">
      <c r="A671" s="83"/>
      <c r="B671" s="84"/>
      <c r="C671" s="120"/>
      <c r="D671" s="98"/>
      <c r="E671" s="98"/>
      <c r="F671" s="194"/>
      <c r="G671" s="88"/>
      <c r="H671" s="36"/>
      <c r="I671" s="37"/>
      <c r="J671" s="38"/>
      <c r="K671" s="39"/>
      <c r="L671" s="38"/>
      <c r="M671" s="39"/>
      <c r="N671" s="40"/>
      <c r="O671" s="34"/>
      <c r="P671" s="35"/>
      <c r="Q671" s="35"/>
      <c r="R671" s="35"/>
      <c r="S671" s="35"/>
      <c r="T671" s="35"/>
      <c r="U671" s="35"/>
      <c r="V671" s="35"/>
      <c r="W671" s="35"/>
      <c r="X671" s="35"/>
      <c r="Y671" s="35"/>
      <c r="Z671" s="35"/>
    </row>
    <row r="672" ht="14.25" customHeight="1">
      <c r="A672" s="83"/>
      <c r="B672" s="84"/>
      <c r="C672" s="120"/>
      <c r="D672" s="98"/>
      <c r="E672" s="98"/>
      <c r="F672" s="194"/>
      <c r="G672" s="88"/>
      <c r="H672" s="36"/>
      <c r="I672" s="37"/>
      <c r="J672" s="38"/>
      <c r="K672" s="39"/>
      <c r="L672" s="38"/>
      <c r="M672" s="39"/>
      <c r="N672" s="40"/>
      <c r="O672" s="34"/>
      <c r="P672" s="35"/>
      <c r="Q672" s="35"/>
      <c r="R672" s="35"/>
      <c r="S672" s="35"/>
      <c r="T672" s="35"/>
      <c r="U672" s="35"/>
      <c r="V672" s="35"/>
      <c r="W672" s="35"/>
      <c r="X672" s="35"/>
      <c r="Y672" s="35"/>
      <c r="Z672" s="35"/>
    </row>
    <row r="673" ht="14.25" customHeight="1">
      <c r="A673" s="83"/>
      <c r="B673" s="84"/>
      <c r="C673" s="120"/>
      <c r="D673" s="98"/>
      <c r="E673" s="98"/>
      <c r="F673" s="194"/>
      <c r="G673" s="88"/>
      <c r="H673" s="36"/>
      <c r="I673" s="37"/>
      <c r="J673" s="38"/>
      <c r="K673" s="39"/>
      <c r="L673" s="38"/>
      <c r="M673" s="39"/>
      <c r="N673" s="40"/>
      <c r="O673" s="34"/>
      <c r="P673" s="35"/>
      <c r="Q673" s="35"/>
      <c r="R673" s="35"/>
      <c r="S673" s="35"/>
      <c r="T673" s="35"/>
      <c r="U673" s="35"/>
      <c r="V673" s="35"/>
      <c r="W673" s="35"/>
      <c r="X673" s="35"/>
      <c r="Y673" s="35"/>
      <c r="Z673" s="35"/>
    </row>
    <row r="674" ht="14.25" customHeight="1">
      <c r="A674" s="83"/>
      <c r="B674" s="84"/>
      <c r="C674" s="120"/>
      <c r="D674" s="98"/>
      <c r="E674" s="98"/>
      <c r="F674" s="194"/>
      <c r="G674" s="88"/>
      <c r="H674" s="36"/>
      <c r="I674" s="37"/>
      <c r="J674" s="38"/>
      <c r="K674" s="39"/>
      <c r="L674" s="38"/>
      <c r="M674" s="39"/>
      <c r="N674" s="40"/>
      <c r="O674" s="34"/>
      <c r="P674" s="35"/>
      <c r="Q674" s="35"/>
      <c r="R674" s="35"/>
      <c r="S674" s="35"/>
      <c r="T674" s="35"/>
      <c r="U674" s="35"/>
      <c r="V674" s="35"/>
      <c r="W674" s="35"/>
      <c r="X674" s="35"/>
      <c r="Y674" s="35"/>
      <c r="Z674" s="35"/>
    </row>
    <row r="675" ht="14.25" customHeight="1">
      <c r="A675" s="83"/>
      <c r="B675" s="84"/>
      <c r="C675" s="120"/>
      <c r="D675" s="98"/>
      <c r="E675" s="98"/>
      <c r="F675" s="194"/>
      <c r="G675" s="88"/>
      <c r="H675" s="36"/>
      <c r="I675" s="37"/>
      <c r="J675" s="38"/>
      <c r="K675" s="39"/>
      <c r="L675" s="38"/>
      <c r="M675" s="39"/>
      <c r="N675" s="40"/>
      <c r="O675" s="34"/>
      <c r="P675" s="35"/>
      <c r="Q675" s="35"/>
      <c r="R675" s="35"/>
      <c r="S675" s="35"/>
      <c r="T675" s="35"/>
      <c r="U675" s="35"/>
      <c r="V675" s="35"/>
      <c r="W675" s="35"/>
      <c r="X675" s="35"/>
      <c r="Y675" s="35"/>
      <c r="Z675" s="35"/>
    </row>
    <row r="676" ht="14.25" customHeight="1">
      <c r="A676" s="83"/>
      <c r="B676" s="84"/>
      <c r="C676" s="120"/>
      <c r="D676" s="98"/>
      <c r="E676" s="98"/>
      <c r="F676" s="194"/>
      <c r="G676" s="88"/>
      <c r="H676" s="36"/>
      <c r="I676" s="37"/>
      <c r="J676" s="38"/>
      <c r="K676" s="39"/>
      <c r="L676" s="38"/>
      <c r="M676" s="39"/>
      <c r="N676" s="40"/>
      <c r="O676" s="34"/>
      <c r="P676" s="35"/>
      <c r="Q676" s="35"/>
      <c r="R676" s="35"/>
      <c r="S676" s="35"/>
      <c r="T676" s="35"/>
      <c r="U676" s="35"/>
      <c r="V676" s="35"/>
      <c r="W676" s="35"/>
      <c r="X676" s="35"/>
      <c r="Y676" s="35"/>
      <c r="Z676" s="35"/>
    </row>
    <row r="677" ht="14.25" customHeight="1">
      <c r="A677" s="83"/>
      <c r="B677" s="84"/>
      <c r="C677" s="120"/>
      <c r="D677" s="98"/>
      <c r="E677" s="98"/>
      <c r="F677" s="194"/>
      <c r="G677" s="88"/>
      <c r="H677" s="36"/>
      <c r="I677" s="37"/>
      <c r="J677" s="38"/>
      <c r="K677" s="39"/>
      <c r="L677" s="38"/>
      <c r="M677" s="39"/>
      <c r="N677" s="40"/>
      <c r="O677" s="34"/>
      <c r="P677" s="35"/>
      <c r="Q677" s="35"/>
      <c r="R677" s="35"/>
      <c r="S677" s="35"/>
      <c r="T677" s="35"/>
      <c r="U677" s="35"/>
      <c r="V677" s="35"/>
      <c r="W677" s="35"/>
      <c r="X677" s="35"/>
      <c r="Y677" s="35"/>
      <c r="Z677" s="35"/>
    </row>
    <row r="678" ht="14.25" customHeight="1">
      <c r="A678" s="83"/>
      <c r="B678" s="84"/>
      <c r="C678" s="120"/>
      <c r="D678" s="98"/>
      <c r="E678" s="98"/>
      <c r="F678" s="194"/>
      <c r="G678" s="88"/>
      <c r="H678" s="36"/>
      <c r="I678" s="37"/>
      <c r="J678" s="38"/>
      <c r="K678" s="39"/>
      <c r="L678" s="38"/>
      <c r="M678" s="39"/>
      <c r="N678" s="40"/>
      <c r="O678" s="34"/>
      <c r="P678" s="35"/>
      <c r="Q678" s="35"/>
      <c r="R678" s="35"/>
      <c r="S678" s="35"/>
      <c r="T678" s="35"/>
      <c r="U678" s="35"/>
      <c r="V678" s="35"/>
      <c r="W678" s="35"/>
      <c r="X678" s="35"/>
      <c r="Y678" s="35"/>
      <c r="Z678" s="35"/>
    </row>
    <row r="679" ht="14.25" customHeight="1">
      <c r="A679" s="83"/>
      <c r="B679" s="84"/>
      <c r="C679" s="120"/>
      <c r="D679" s="98"/>
      <c r="E679" s="98"/>
      <c r="F679" s="194"/>
      <c r="G679" s="88"/>
      <c r="H679" s="36"/>
      <c r="I679" s="37"/>
      <c r="J679" s="38"/>
      <c r="K679" s="39"/>
      <c r="L679" s="38"/>
      <c r="M679" s="39"/>
      <c r="N679" s="40"/>
      <c r="O679" s="34"/>
      <c r="P679" s="35"/>
      <c r="Q679" s="35"/>
      <c r="R679" s="35"/>
      <c r="S679" s="35"/>
      <c r="T679" s="35"/>
      <c r="U679" s="35"/>
      <c r="V679" s="35"/>
      <c r="W679" s="35"/>
      <c r="X679" s="35"/>
      <c r="Y679" s="35"/>
      <c r="Z679" s="35"/>
    </row>
    <row r="680" ht="14.25" customHeight="1">
      <c r="A680" s="83"/>
      <c r="B680" s="84"/>
      <c r="C680" s="120"/>
      <c r="D680" s="98"/>
      <c r="E680" s="98"/>
      <c r="F680" s="194"/>
      <c r="G680" s="88"/>
      <c r="H680" s="36"/>
      <c r="I680" s="37"/>
      <c r="J680" s="38"/>
      <c r="K680" s="39"/>
      <c r="L680" s="38"/>
      <c r="M680" s="39"/>
      <c r="N680" s="40"/>
      <c r="O680" s="34"/>
      <c r="P680" s="35"/>
      <c r="Q680" s="35"/>
      <c r="R680" s="35"/>
      <c r="S680" s="35"/>
      <c r="T680" s="35"/>
      <c r="U680" s="35"/>
      <c r="V680" s="35"/>
      <c r="W680" s="35"/>
      <c r="X680" s="35"/>
      <c r="Y680" s="35"/>
      <c r="Z680" s="35"/>
    </row>
    <row r="681" ht="14.25" customHeight="1">
      <c r="A681" s="136"/>
      <c r="B681" s="137"/>
      <c r="C681" s="138"/>
      <c r="D681" s="215"/>
      <c r="E681" s="215"/>
      <c r="F681" s="216"/>
      <c r="G681" s="140"/>
      <c r="H681" s="141"/>
      <c r="I681" s="141"/>
      <c r="J681" s="142"/>
      <c r="K681" s="142"/>
      <c r="L681" s="142"/>
      <c r="M681" s="142"/>
      <c r="N681" s="136"/>
      <c r="O681" s="34"/>
      <c r="P681" s="35"/>
      <c r="Q681" s="35"/>
      <c r="R681" s="35"/>
      <c r="S681" s="35"/>
      <c r="T681" s="35"/>
      <c r="U681" s="35"/>
      <c r="V681" s="35"/>
      <c r="W681" s="35"/>
      <c r="X681" s="35"/>
      <c r="Y681" s="35"/>
      <c r="Z681" s="35"/>
    </row>
    <row r="682" ht="14.25" customHeight="1">
      <c r="A682" s="136"/>
      <c r="B682" s="137"/>
      <c r="C682" s="138"/>
      <c r="D682" s="215"/>
      <c r="E682" s="215"/>
      <c r="F682" s="216"/>
      <c r="G682" s="140"/>
      <c r="H682" s="141"/>
      <c r="I682" s="141"/>
      <c r="J682" s="142"/>
      <c r="K682" s="142"/>
      <c r="L682" s="142"/>
      <c r="M682" s="142"/>
      <c r="N682" s="136"/>
      <c r="O682" s="34"/>
      <c r="P682" s="35"/>
      <c r="Q682" s="35"/>
      <c r="R682" s="35"/>
      <c r="S682" s="35"/>
      <c r="T682" s="35"/>
      <c r="U682" s="35"/>
      <c r="V682" s="35"/>
      <c r="W682" s="35"/>
      <c r="X682" s="35"/>
      <c r="Y682" s="35"/>
      <c r="Z682" s="35"/>
    </row>
    <row r="683" ht="14.25" customHeight="1">
      <c r="A683" s="136"/>
      <c r="B683" s="137"/>
      <c r="C683" s="138"/>
      <c r="D683" s="215"/>
      <c r="E683" s="215"/>
      <c r="F683" s="216"/>
      <c r="G683" s="140"/>
      <c r="H683" s="141"/>
      <c r="I683" s="141"/>
      <c r="J683" s="142"/>
      <c r="K683" s="142"/>
      <c r="L683" s="142"/>
      <c r="M683" s="142"/>
      <c r="N683" s="136"/>
      <c r="O683" s="34"/>
      <c r="P683" s="35"/>
      <c r="Q683" s="35"/>
      <c r="R683" s="35"/>
      <c r="S683" s="35"/>
      <c r="T683" s="35"/>
      <c r="U683" s="35"/>
      <c r="V683" s="35"/>
      <c r="W683" s="35"/>
      <c r="X683" s="35"/>
      <c r="Y683" s="35"/>
      <c r="Z683" s="35"/>
    </row>
    <row r="684" ht="14.25" customHeight="1">
      <c r="A684" s="136"/>
      <c r="B684" s="137"/>
      <c r="C684" s="138"/>
      <c r="D684" s="215"/>
      <c r="E684" s="215"/>
      <c r="F684" s="216"/>
      <c r="G684" s="140"/>
      <c r="H684" s="141"/>
      <c r="I684" s="141"/>
      <c r="J684" s="142"/>
      <c r="K684" s="142"/>
      <c r="L684" s="142"/>
      <c r="M684" s="142"/>
      <c r="N684" s="136"/>
      <c r="O684" s="34"/>
      <c r="P684" s="35"/>
      <c r="Q684" s="35"/>
      <c r="R684" s="35"/>
      <c r="S684" s="35"/>
      <c r="T684" s="35"/>
      <c r="U684" s="35"/>
      <c r="V684" s="35"/>
      <c r="W684" s="35"/>
      <c r="X684" s="35"/>
      <c r="Y684" s="35"/>
      <c r="Z684" s="35"/>
    </row>
    <row r="685" ht="14.25" customHeight="1">
      <c r="A685" s="136"/>
      <c r="B685" s="137"/>
      <c r="C685" s="138"/>
      <c r="D685" s="215"/>
      <c r="E685" s="215"/>
      <c r="F685" s="216"/>
      <c r="G685" s="140"/>
      <c r="H685" s="141"/>
      <c r="I685" s="141"/>
      <c r="J685" s="142"/>
      <c r="K685" s="142"/>
      <c r="L685" s="142"/>
      <c r="M685" s="142"/>
      <c r="N685" s="136"/>
      <c r="O685" s="34"/>
      <c r="P685" s="35"/>
      <c r="Q685" s="35"/>
      <c r="R685" s="35"/>
      <c r="S685" s="35"/>
      <c r="T685" s="35"/>
      <c r="U685" s="35"/>
      <c r="V685" s="35"/>
      <c r="W685" s="35"/>
      <c r="X685" s="35"/>
      <c r="Y685" s="35"/>
      <c r="Z685" s="35"/>
    </row>
    <row r="686" ht="14.25" customHeight="1">
      <c r="A686" s="136"/>
      <c r="B686" s="137"/>
      <c r="C686" s="138"/>
      <c r="D686" s="215"/>
      <c r="E686" s="215"/>
      <c r="F686" s="216"/>
      <c r="G686" s="140"/>
      <c r="H686" s="141"/>
      <c r="I686" s="141"/>
      <c r="J686" s="142"/>
      <c r="K686" s="142"/>
      <c r="L686" s="142"/>
      <c r="M686" s="142"/>
      <c r="N686" s="136"/>
      <c r="O686" s="34"/>
      <c r="P686" s="35"/>
      <c r="Q686" s="35"/>
      <c r="R686" s="35"/>
      <c r="S686" s="35"/>
      <c r="T686" s="35"/>
      <c r="U686" s="35"/>
      <c r="V686" s="35"/>
      <c r="W686" s="35"/>
      <c r="X686" s="35"/>
      <c r="Y686" s="35"/>
      <c r="Z686" s="35"/>
    </row>
    <row r="687" ht="14.25" customHeight="1">
      <c r="A687" s="136"/>
      <c r="B687" s="137"/>
      <c r="C687" s="138"/>
      <c r="D687" s="215"/>
      <c r="E687" s="215"/>
      <c r="F687" s="216"/>
      <c r="G687" s="140"/>
      <c r="H687" s="141"/>
      <c r="I687" s="141"/>
      <c r="J687" s="142"/>
      <c r="K687" s="142"/>
      <c r="L687" s="142"/>
      <c r="M687" s="142"/>
      <c r="N687" s="136"/>
      <c r="O687" s="34"/>
      <c r="P687" s="35"/>
      <c r="Q687" s="35"/>
      <c r="R687" s="35"/>
      <c r="S687" s="35"/>
      <c r="T687" s="35"/>
      <c r="U687" s="35"/>
      <c r="V687" s="35"/>
      <c r="W687" s="35"/>
      <c r="X687" s="35"/>
      <c r="Y687" s="35"/>
      <c r="Z687" s="35"/>
    </row>
    <row r="688" ht="14.25" customHeight="1">
      <c r="A688" s="136"/>
      <c r="B688" s="137"/>
      <c r="C688" s="138"/>
      <c r="D688" s="215"/>
      <c r="E688" s="215"/>
      <c r="F688" s="216"/>
      <c r="G688" s="140"/>
      <c r="H688" s="141"/>
      <c r="I688" s="141"/>
      <c r="J688" s="142"/>
      <c r="K688" s="142"/>
      <c r="L688" s="142"/>
      <c r="M688" s="142"/>
      <c r="N688" s="136"/>
      <c r="O688" s="34"/>
      <c r="P688" s="35"/>
      <c r="Q688" s="35"/>
      <c r="R688" s="35"/>
      <c r="S688" s="35"/>
      <c r="T688" s="35"/>
      <c r="U688" s="35"/>
      <c r="V688" s="35"/>
      <c r="W688" s="35"/>
      <c r="X688" s="35"/>
      <c r="Y688" s="35"/>
      <c r="Z688" s="35"/>
    </row>
    <row r="689" ht="14.25" customHeight="1">
      <c r="A689" s="136"/>
      <c r="B689" s="137"/>
      <c r="C689" s="138"/>
      <c r="D689" s="215"/>
      <c r="E689" s="215"/>
      <c r="F689" s="216"/>
      <c r="G689" s="140"/>
      <c r="H689" s="141"/>
      <c r="I689" s="141"/>
      <c r="J689" s="142"/>
      <c r="K689" s="142"/>
      <c r="L689" s="142"/>
      <c r="M689" s="142"/>
      <c r="N689" s="136"/>
      <c r="O689" s="34"/>
      <c r="P689" s="35"/>
      <c r="Q689" s="35"/>
      <c r="R689" s="35"/>
      <c r="S689" s="35"/>
      <c r="T689" s="35"/>
      <c r="U689" s="35"/>
      <c r="V689" s="35"/>
      <c r="W689" s="35"/>
      <c r="X689" s="35"/>
      <c r="Y689" s="35"/>
      <c r="Z689" s="35"/>
    </row>
    <row r="690" ht="14.25" customHeight="1">
      <c r="A690" s="136"/>
      <c r="B690" s="137"/>
      <c r="C690" s="138"/>
      <c r="D690" s="215"/>
      <c r="E690" s="215"/>
      <c r="F690" s="216"/>
      <c r="G690" s="140"/>
      <c r="H690" s="141"/>
      <c r="I690" s="141"/>
      <c r="J690" s="142"/>
      <c r="K690" s="142"/>
      <c r="L690" s="142"/>
      <c r="M690" s="142"/>
      <c r="N690" s="136"/>
      <c r="O690" s="34"/>
      <c r="P690" s="35"/>
      <c r="Q690" s="35"/>
      <c r="R690" s="35"/>
      <c r="S690" s="35"/>
      <c r="T690" s="35"/>
      <c r="U690" s="35"/>
      <c r="V690" s="35"/>
      <c r="W690" s="35"/>
      <c r="X690" s="35"/>
      <c r="Y690" s="35"/>
      <c r="Z690" s="35"/>
    </row>
    <row r="691" ht="14.25" customHeight="1">
      <c r="A691" s="136"/>
      <c r="B691" s="137"/>
      <c r="C691" s="138"/>
      <c r="D691" s="215"/>
      <c r="E691" s="215"/>
      <c r="F691" s="216"/>
      <c r="G691" s="140"/>
      <c r="H691" s="141"/>
      <c r="I691" s="141"/>
      <c r="J691" s="142"/>
      <c r="K691" s="142"/>
      <c r="L691" s="142"/>
      <c r="M691" s="142"/>
      <c r="N691" s="136"/>
      <c r="O691" s="34"/>
      <c r="P691" s="35"/>
      <c r="Q691" s="35"/>
      <c r="R691" s="35"/>
      <c r="S691" s="35"/>
      <c r="T691" s="35"/>
      <c r="U691" s="35"/>
      <c r="V691" s="35"/>
      <c r="W691" s="35"/>
      <c r="X691" s="35"/>
      <c r="Y691" s="35"/>
      <c r="Z691" s="35"/>
    </row>
    <row r="692" ht="14.25" customHeight="1">
      <c r="A692" s="136"/>
      <c r="B692" s="137"/>
      <c r="C692" s="138"/>
      <c r="D692" s="215"/>
      <c r="E692" s="215"/>
      <c r="F692" s="216"/>
      <c r="G692" s="140"/>
      <c r="H692" s="141"/>
      <c r="I692" s="141"/>
      <c r="J692" s="142"/>
      <c r="K692" s="142"/>
      <c r="L692" s="142"/>
      <c r="M692" s="142"/>
      <c r="N692" s="136"/>
      <c r="O692" s="34"/>
      <c r="P692" s="35"/>
      <c r="Q692" s="35"/>
      <c r="R692" s="35"/>
      <c r="S692" s="35"/>
      <c r="T692" s="35"/>
      <c r="U692" s="35"/>
      <c r="V692" s="35"/>
      <c r="W692" s="35"/>
      <c r="X692" s="35"/>
      <c r="Y692" s="35"/>
      <c r="Z692" s="35"/>
    </row>
    <row r="693" ht="14.25" customHeight="1">
      <c r="A693" s="136"/>
      <c r="B693" s="137"/>
      <c r="C693" s="138"/>
      <c r="D693" s="215"/>
      <c r="E693" s="215"/>
      <c r="F693" s="216"/>
      <c r="G693" s="140"/>
      <c r="H693" s="141"/>
      <c r="I693" s="141"/>
      <c r="J693" s="142"/>
      <c r="K693" s="142"/>
      <c r="L693" s="142"/>
      <c r="M693" s="142"/>
      <c r="N693" s="136"/>
      <c r="O693" s="34"/>
      <c r="P693" s="35"/>
      <c r="Q693" s="35"/>
      <c r="R693" s="35"/>
      <c r="S693" s="35"/>
      <c r="T693" s="35"/>
      <c r="U693" s="35"/>
      <c r="V693" s="35"/>
      <c r="W693" s="35"/>
      <c r="X693" s="35"/>
      <c r="Y693" s="35"/>
      <c r="Z693" s="35"/>
    </row>
    <row r="694" ht="14.25" customHeight="1">
      <c r="A694" s="136"/>
      <c r="B694" s="137"/>
      <c r="C694" s="138"/>
      <c r="D694" s="215"/>
      <c r="E694" s="215"/>
      <c r="F694" s="216"/>
      <c r="G694" s="140"/>
      <c r="H694" s="141"/>
      <c r="I694" s="141"/>
      <c r="J694" s="142"/>
      <c r="K694" s="142"/>
      <c r="L694" s="142"/>
      <c r="M694" s="142"/>
      <c r="N694" s="136"/>
      <c r="O694" s="34"/>
      <c r="P694" s="35"/>
      <c r="Q694" s="35"/>
      <c r="R694" s="35"/>
      <c r="S694" s="35"/>
      <c r="T694" s="35"/>
      <c r="U694" s="35"/>
      <c r="V694" s="35"/>
      <c r="W694" s="35"/>
      <c r="X694" s="35"/>
      <c r="Y694" s="35"/>
      <c r="Z694" s="35"/>
    </row>
    <row r="695" ht="14.25" customHeight="1">
      <c r="A695" s="136"/>
      <c r="B695" s="137"/>
      <c r="C695" s="138"/>
      <c r="D695" s="215"/>
      <c r="E695" s="215"/>
      <c r="F695" s="216"/>
      <c r="G695" s="140"/>
      <c r="H695" s="141"/>
      <c r="I695" s="141"/>
      <c r="J695" s="142"/>
      <c r="K695" s="142"/>
      <c r="L695" s="142"/>
      <c r="M695" s="142"/>
      <c r="N695" s="136"/>
      <c r="O695" s="34"/>
      <c r="P695" s="35"/>
      <c r="Q695" s="35"/>
      <c r="R695" s="35"/>
      <c r="S695" s="35"/>
      <c r="T695" s="35"/>
      <c r="U695" s="35"/>
      <c r="V695" s="35"/>
      <c r="W695" s="35"/>
      <c r="X695" s="35"/>
      <c r="Y695" s="35"/>
      <c r="Z695" s="35"/>
    </row>
    <row r="696" ht="14.25" customHeight="1">
      <c r="A696" s="136"/>
      <c r="B696" s="137"/>
      <c r="C696" s="138"/>
      <c r="D696" s="215"/>
      <c r="E696" s="215"/>
      <c r="F696" s="216"/>
      <c r="G696" s="140"/>
      <c r="H696" s="141"/>
      <c r="I696" s="141"/>
      <c r="J696" s="142"/>
      <c r="K696" s="142"/>
      <c r="L696" s="142"/>
      <c r="M696" s="142"/>
      <c r="N696" s="136"/>
      <c r="O696" s="34"/>
      <c r="P696" s="35"/>
      <c r="Q696" s="35"/>
      <c r="R696" s="35"/>
      <c r="S696" s="35"/>
      <c r="T696" s="35"/>
      <c r="U696" s="35"/>
      <c r="V696" s="35"/>
      <c r="W696" s="35"/>
      <c r="X696" s="35"/>
      <c r="Y696" s="35"/>
      <c r="Z696" s="35"/>
    </row>
    <row r="697" ht="14.25" customHeight="1">
      <c r="A697" s="136"/>
      <c r="B697" s="137"/>
      <c r="C697" s="138"/>
      <c r="D697" s="215"/>
      <c r="E697" s="215"/>
      <c r="F697" s="216"/>
      <c r="G697" s="140"/>
      <c r="H697" s="141"/>
      <c r="I697" s="141"/>
      <c r="J697" s="142"/>
      <c r="K697" s="142"/>
      <c r="L697" s="142"/>
      <c r="M697" s="142"/>
      <c r="N697" s="136"/>
      <c r="O697" s="34"/>
      <c r="P697" s="35"/>
      <c r="Q697" s="35"/>
      <c r="R697" s="35"/>
      <c r="S697" s="35"/>
      <c r="T697" s="35"/>
      <c r="U697" s="35"/>
      <c r="V697" s="35"/>
      <c r="W697" s="35"/>
      <c r="X697" s="35"/>
      <c r="Y697" s="35"/>
      <c r="Z697" s="35"/>
    </row>
    <row r="698" ht="14.25" customHeight="1">
      <c r="A698" s="136"/>
      <c r="B698" s="137"/>
      <c r="C698" s="138"/>
      <c r="D698" s="215"/>
      <c r="E698" s="215"/>
      <c r="F698" s="216"/>
      <c r="G698" s="140"/>
      <c r="H698" s="141"/>
      <c r="I698" s="141"/>
      <c r="J698" s="142"/>
      <c r="K698" s="142"/>
      <c r="L698" s="142"/>
      <c r="M698" s="142"/>
      <c r="N698" s="136"/>
      <c r="O698" s="34"/>
      <c r="P698" s="35"/>
      <c r="Q698" s="35"/>
      <c r="R698" s="35"/>
      <c r="S698" s="35"/>
      <c r="T698" s="35"/>
      <c r="U698" s="35"/>
      <c r="V698" s="35"/>
      <c r="W698" s="35"/>
      <c r="X698" s="35"/>
      <c r="Y698" s="35"/>
      <c r="Z698" s="35"/>
    </row>
    <row r="699" ht="15.75" customHeight="1">
      <c r="A699" s="164"/>
      <c r="B699" s="164"/>
      <c r="C699" s="164"/>
      <c r="D699" s="165"/>
      <c r="E699" s="165"/>
      <c r="F699" s="164"/>
      <c r="G699" s="164"/>
      <c r="H699" s="164"/>
      <c r="I699" s="164"/>
      <c r="J699" s="164"/>
      <c r="K699" s="164"/>
      <c r="L699" s="164"/>
      <c r="M699" s="164"/>
      <c r="N699" s="164"/>
      <c r="O699" s="164"/>
      <c r="P699" s="164"/>
      <c r="Q699" s="164"/>
      <c r="R699" s="164"/>
      <c r="S699" s="164"/>
      <c r="T699" s="164"/>
      <c r="U699" s="164"/>
      <c r="V699" s="164"/>
      <c r="W699" s="164"/>
      <c r="X699" s="164"/>
      <c r="Y699" s="164"/>
      <c r="Z699" s="164"/>
    </row>
    <row r="700" ht="15.75" customHeight="1">
      <c r="A700" s="164"/>
      <c r="B700" s="164"/>
      <c r="C700" s="164"/>
      <c r="D700" s="165"/>
      <c r="E700" s="165"/>
      <c r="F700" s="164"/>
      <c r="G700" s="164"/>
      <c r="H700" s="164"/>
      <c r="I700" s="164"/>
      <c r="J700" s="164"/>
      <c r="K700" s="164"/>
      <c r="L700" s="164"/>
      <c r="M700" s="164"/>
      <c r="N700" s="164"/>
      <c r="O700" s="164"/>
      <c r="P700" s="164"/>
      <c r="Q700" s="164"/>
      <c r="R700" s="164"/>
      <c r="S700" s="164"/>
      <c r="T700" s="164"/>
      <c r="U700" s="164"/>
      <c r="V700" s="164"/>
      <c r="W700" s="164"/>
      <c r="X700" s="164"/>
      <c r="Y700" s="164"/>
      <c r="Z700" s="164"/>
    </row>
    <row r="701" ht="15.75" customHeight="1">
      <c r="A701" s="164"/>
      <c r="B701" s="164"/>
      <c r="C701" s="164"/>
      <c r="D701" s="165"/>
      <c r="E701" s="165"/>
      <c r="F701" s="164"/>
      <c r="G701" s="164"/>
      <c r="H701" s="164"/>
      <c r="I701" s="164"/>
      <c r="J701" s="164"/>
      <c r="K701" s="164"/>
      <c r="L701" s="164"/>
      <c r="M701" s="164"/>
      <c r="N701" s="164"/>
      <c r="O701" s="164"/>
      <c r="P701" s="164"/>
      <c r="Q701" s="164"/>
      <c r="R701" s="164"/>
      <c r="S701" s="164"/>
      <c r="T701" s="164"/>
      <c r="U701" s="164"/>
      <c r="V701" s="164"/>
      <c r="W701" s="164"/>
      <c r="X701" s="164"/>
      <c r="Y701" s="164"/>
      <c r="Z701" s="164"/>
    </row>
    <row r="702" ht="15.75" customHeight="1">
      <c r="A702" s="164"/>
      <c r="B702" s="164"/>
      <c r="C702" s="164"/>
      <c r="D702" s="165"/>
      <c r="E702" s="165"/>
      <c r="F702" s="164"/>
      <c r="G702" s="164"/>
      <c r="H702" s="164"/>
      <c r="I702" s="164"/>
      <c r="J702" s="164"/>
      <c r="K702" s="164"/>
      <c r="L702" s="164"/>
      <c r="M702" s="164"/>
      <c r="N702" s="164"/>
      <c r="O702" s="164"/>
      <c r="P702" s="164"/>
      <c r="Q702" s="164"/>
      <c r="R702" s="164"/>
      <c r="S702" s="164"/>
      <c r="T702" s="164"/>
      <c r="U702" s="164"/>
      <c r="V702" s="164"/>
      <c r="W702" s="164"/>
      <c r="X702" s="164"/>
      <c r="Y702" s="164"/>
      <c r="Z702" s="164"/>
    </row>
    <row r="703" ht="15.75" customHeight="1">
      <c r="A703" s="164"/>
      <c r="B703" s="164"/>
      <c r="C703" s="164"/>
      <c r="D703" s="165"/>
      <c r="E703" s="165"/>
      <c r="F703" s="164"/>
      <c r="G703" s="164"/>
      <c r="H703" s="164"/>
      <c r="I703" s="164"/>
      <c r="J703" s="164"/>
      <c r="K703" s="164"/>
      <c r="L703" s="164"/>
      <c r="M703" s="164"/>
      <c r="N703" s="164"/>
      <c r="O703" s="164"/>
      <c r="P703" s="164"/>
      <c r="Q703" s="164"/>
      <c r="R703" s="164"/>
      <c r="S703" s="164"/>
      <c r="T703" s="164"/>
      <c r="U703" s="164"/>
      <c r="V703" s="164"/>
      <c r="W703" s="164"/>
      <c r="X703" s="164"/>
      <c r="Y703" s="164"/>
      <c r="Z703" s="164"/>
    </row>
    <row r="704" ht="15.75" customHeight="1">
      <c r="A704" s="164"/>
      <c r="B704" s="164"/>
      <c r="C704" s="164"/>
      <c r="D704" s="165"/>
      <c r="E704" s="165"/>
      <c r="F704" s="164"/>
      <c r="G704" s="164"/>
      <c r="H704" s="164"/>
      <c r="I704" s="164"/>
      <c r="J704" s="164"/>
      <c r="K704" s="164"/>
      <c r="L704" s="164"/>
      <c r="M704" s="164"/>
      <c r="N704" s="164"/>
      <c r="O704" s="164"/>
      <c r="P704" s="164"/>
      <c r="Q704" s="164"/>
      <c r="R704" s="164"/>
      <c r="S704" s="164"/>
      <c r="T704" s="164"/>
      <c r="U704" s="164"/>
      <c r="V704" s="164"/>
      <c r="W704" s="164"/>
      <c r="X704" s="164"/>
      <c r="Y704" s="164"/>
      <c r="Z704" s="164"/>
    </row>
    <row r="705" ht="15.75" customHeight="1">
      <c r="A705" s="164"/>
      <c r="B705" s="164"/>
      <c r="C705" s="164"/>
      <c r="D705" s="165"/>
      <c r="E705" s="165"/>
      <c r="F705" s="164"/>
      <c r="G705" s="164"/>
      <c r="H705" s="164"/>
      <c r="I705" s="164"/>
      <c r="J705" s="164"/>
      <c r="K705" s="164"/>
      <c r="L705" s="164"/>
      <c r="M705" s="164"/>
      <c r="N705" s="164"/>
      <c r="O705" s="164"/>
      <c r="P705" s="164"/>
      <c r="Q705" s="164"/>
      <c r="R705" s="164"/>
      <c r="S705" s="164"/>
      <c r="T705" s="164"/>
      <c r="U705" s="164"/>
      <c r="V705" s="164"/>
      <c r="W705" s="164"/>
      <c r="X705" s="164"/>
      <c r="Y705" s="164"/>
      <c r="Z705" s="164"/>
    </row>
    <row r="706" ht="15.75" customHeight="1">
      <c r="A706" s="164"/>
      <c r="B706" s="164"/>
      <c r="C706" s="164"/>
      <c r="D706" s="165"/>
      <c r="E706" s="165"/>
      <c r="F706" s="164"/>
      <c r="G706" s="164"/>
      <c r="H706" s="164"/>
      <c r="I706" s="164"/>
      <c r="J706" s="164"/>
      <c r="K706" s="164"/>
      <c r="L706" s="164"/>
      <c r="M706" s="164"/>
      <c r="N706" s="164"/>
      <c r="O706" s="164"/>
      <c r="P706" s="164"/>
      <c r="Q706" s="164"/>
      <c r="R706" s="164"/>
      <c r="S706" s="164"/>
      <c r="T706" s="164"/>
      <c r="U706" s="164"/>
      <c r="V706" s="164"/>
      <c r="W706" s="164"/>
      <c r="X706" s="164"/>
      <c r="Y706" s="164"/>
      <c r="Z706" s="164"/>
    </row>
    <row r="707" ht="15.75" customHeight="1">
      <c r="A707" s="164"/>
      <c r="B707" s="164"/>
      <c r="C707" s="164"/>
      <c r="D707" s="165"/>
      <c r="E707" s="165"/>
      <c r="F707" s="164"/>
      <c r="G707" s="164"/>
      <c r="H707" s="164"/>
      <c r="I707" s="164"/>
      <c r="J707" s="164"/>
      <c r="K707" s="164"/>
      <c r="L707" s="164"/>
      <c r="M707" s="164"/>
      <c r="N707" s="164"/>
      <c r="O707" s="164"/>
      <c r="P707" s="164"/>
      <c r="Q707" s="164"/>
      <c r="R707" s="164"/>
      <c r="S707" s="164"/>
      <c r="T707" s="164"/>
      <c r="U707" s="164"/>
      <c r="V707" s="164"/>
      <c r="W707" s="164"/>
      <c r="X707" s="164"/>
      <c r="Y707" s="164"/>
      <c r="Z707" s="164"/>
    </row>
    <row r="708" ht="15.75" customHeight="1">
      <c r="A708" s="164"/>
      <c r="B708" s="164"/>
      <c r="C708" s="164"/>
      <c r="D708" s="165"/>
      <c r="E708" s="165"/>
      <c r="F708" s="164"/>
      <c r="G708" s="164"/>
      <c r="H708" s="164"/>
      <c r="I708" s="164"/>
      <c r="J708" s="164"/>
      <c r="K708" s="164"/>
      <c r="L708" s="164"/>
      <c r="M708" s="164"/>
      <c r="N708" s="164"/>
      <c r="O708" s="164"/>
      <c r="P708" s="164"/>
      <c r="Q708" s="164"/>
      <c r="R708" s="164"/>
      <c r="S708" s="164"/>
      <c r="T708" s="164"/>
      <c r="U708" s="164"/>
      <c r="V708" s="164"/>
      <c r="W708" s="164"/>
      <c r="X708" s="164"/>
      <c r="Y708" s="164"/>
      <c r="Z708" s="164"/>
    </row>
    <row r="709" ht="15.75" customHeight="1">
      <c r="A709" s="164"/>
      <c r="B709" s="164"/>
      <c r="C709" s="164"/>
      <c r="D709" s="165"/>
      <c r="E709" s="165"/>
      <c r="F709" s="164"/>
      <c r="G709" s="164"/>
      <c r="H709" s="164"/>
      <c r="I709" s="164"/>
      <c r="J709" s="164"/>
      <c r="K709" s="164"/>
      <c r="L709" s="164"/>
      <c r="M709" s="164"/>
      <c r="N709" s="164"/>
      <c r="O709" s="164"/>
      <c r="P709" s="164"/>
      <c r="Q709" s="164"/>
      <c r="R709" s="164"/>
      <c r="S709" s="164"/>
      <c r="T709" s="164"/>
      <c r="U709" s="164"/>
      <c r="V709" s="164"/>
      <c r="W709" s="164"/>
      <c r="X709" s="164"/>
      <c r="Y709" s="164"/>
      <c r="Z709" s="164"/>
    </row>
    <row r="710" ht="15.75" customHeight="1">
      <c r="A710" s="164"/>
      <c r="B710" s="164"/>
      <c r="C710" s="164"/>
      <c r="D710" s="165"/>
      <c r="E710" s="165"/>
      <c r="F710" s="164"/>
      <c r="G710" s="164"/>
      <c r="H710" s="164"/>
      <c r="I710" s="164"/>
      <c r="J710" s="164"/>
      <c r="K710" s="164"/>
      <c r="L710" s="164"/>
      <c r="M710" s="164"/>
      <c r="N710" s="164"/>
      <c r="O710" s="164"/>
      <c r="P710" s="164"/>
      <c r="Q710" s="164"/>
      <c r="R710" s="164"/>
      <c r="S710" s="164"/>
      <c r="T710" s="164"/>
      <c r="U710" s="164"/>
      <c r="V710" s="164"/>
      <c r="W710" s="164"/>
      <c r="X710" s="164"/>
      <c r="Y710" s="164"/>
      <c r="Z710" s="164"/>
    </row>
    <row r="711" ht="15.75" customHeight="1">
      <c r="A711" s="164"/>
      <c r="B711" s="164"/>
      <c r="C711" s="164"/>
      <c r="D711" s="165"/>
      <c r="E711" s="165"/>
      <c r="F711" s="164"/>
      <c r="G711" s="164"/>
      <c r="H711" s="164"/>
      <c r="I711" s="164"/>
      <c r="J711" s="164"/>
      <c r="K711" s="164"/>
      <c r="L711" s="164"/>
      <c r="M711" s="164"/>
      <c r="N711" s="164"/>
      <c r="O711" s="164"/>
      <c r="P711" s="164"/>
      <c r="Q711" s="164"/>
      <c r="R711" s="164"/>
      <c r="S711" s="164"/>
      <c r="T711" s="164"/>
      <c r="U711" s="164"/>
      <c r="V711" s="164"/>
      <c r="W711" s="164"/>
      <c r="X711" s="164"/>
      <c r="Y711" s="164"/>
      <c r="Z711" s="164"/>
    </row>
    <row r="712" ht="15.75" customHeight="1">
      <c r="A712" s="164"/>
      <c r="B712" s="164"/>
      <c r="C712" s="164"/>
      <c r="D712" s="165"/>
      <c r="E712" s="165"/>
      <c r="F712" s="164"/>
      <c r="G712" s="164"/>
      <c r="H712" s="164"/>
      <c r="I712" s="164"/>
      <c r="J712" s="164"/>
      <c r="K712" s="164"/>
      <c r="L712" s="164"/>
      <c r="M712" s="164"/>
      <c r="N712" s="164"/>
      <c r="O712" s="164"/>
      <c r="P712" s="164"/>
      <c r="Q712" s="164"/>
      <c r="R712" s="164"/>
      <c r="S712" s="164"/>
      <c r="T712" s="164"/>
      <c r="U712" s="164"/>
      <c r="V712" s="164"/>
      <c r="W712" s="164"/>
      <c r="X712" s="164"/>
      <c r="Y712" s="164"/>
      <c r="Z712" s="164"/>
    </row>
    <row r="713" ht="15.75" customHeight="1">
      <c r="A713" s="164"/>
      <c r="B713" s="164"/>
      <c r="C713" s="164"/>
      <c r="D713" s="165"/>
      <c r="E713" s="165"/>
      <c r="F713" s="164"/>
      <c r="G713" s="164"/>
      <c r="H713" s="164"/>
      <c r="I713" s="164"/>
      <c r="J713" s="164"/>
      <c r="K713" s="164"/>
      <c r="L713" s="164"/>
      <c r="M713" s="164"/>
      <c r="N713" s="164"/>
      <c r="O713" s="164"/>
      <c r="P713" s="164"/>
      <c r="Q713" s="164"/>
      <c r="R713" s="164"/>
      <c r="S713" s="164"/>
      <c r="T713" s="164"/>
      <c r="U713" s="164"/>
      <c r="V713" s="164"/>
      <c r="W713" s="164"/>
      <c r="X713" s="164"/>
      <c r="Y713" s="164"/>
      <c r="Z713" s="164"/>
    </row>
    <row r="714" ht="15.75" customHeight="1">
      <c r="A714" s="164"/>
      <c r="B714" s="164"/>
      <c r="C714" s="164"/>
      <c r="D714" s="165"/>
      <c r="E714" s="165"/>
      <c r="F714" s="164"/>
      <c r="G714" s="164"/>
      <c r="H714" s="164"/>
      <c r="I714" s="164"/>
      <c r="J714" s="164"/>
      <c r="K714" s="164"/>
      <c r="L714" s="164"/>
      <c r="M714" s="164"/>
      <c r="N714" s="164"/>
      <c r="O714" s="164"/>
      <c r="P714" s="164"/>
      <c r="Q714" s="164"/>
      <c r="R714" s="164"/>
      <c r="S714" s="164"/>
      <c r="T714" s="164"/>
      <c r="U714" s="164"/>
      <c r="V714" s="164"/>
      <c r="W714" s="164"/>
      <c r="X714" s="164"/>
      <c r="Y714" s="164"/>
      <c r="Z714" s="164"/>
    </row>
    <row r="715" ht="15.75" customHeight="1">
      <c r="A715" s="164"/>
      <c r="B715" s="164"/>
      <c r="C715" s="164"/>
      <c r="D715" s="165"/>
      <c r="E715" s="165"/>
      <c r="F715" s="164"/>
      <c r="G715" s="164"/>
      <c r="H715" s="164"/>
      <c r="I715" s="164"/>
      <c r="J715" s="164"/>
      <c r="K715" s="164"/>
      <c r="L715" s="164"/>
      <c r="M715" s="164"/>
      <c r="N715" s="164"/>
      <c r="O715" s="164"/>
      <c r="P715" s="164"/>
      <c r="Q715" s="164"/>
      <c r="R715" s="164"/>
      <c r="S715" s="164"/>
      <c r="T715" s="164"/>
      <c r="U715" s="164"/>
      <c r="V715" s="164"/>
      <c r="W715" s="164"/>
      <c r="X715" s="164"/>
      <c r="Y715" s="164"/>
      <c r="Z715" s="164"/>
    </row>
    <row r="716" ht="15.75" customHeight="1">
      <c r="A716" s="164"/>
      <c r="B716" s="164"/>
      <c r="C716" s="164"/>
      <c r="D716" s="165"/>
      <c r="E716" s="165"/>
      <c r="F716" s="164"/>
      <c r="G716" s="164"/>
      <c r="H716" s="164"/>
      <c r="I716" s="164"/>
      <c r="J716" s="164"/>
      <c r="K716" s="164"/>
      <c r="L716" s="164"/>
      <c r="M716" s="164"/>
      <c r="N716" s="164"/>
      <c r="O716" s="164"/>
      <c r="P716" s="164"/>
      <c r="Q716" s="164"/>
      <c r="R716" s="164"/>
      <c r="S716" s="164"/>
      <c r="T716" s="164"/>
      <c r="U716" s="164"/>
      <c r="V716" s="164"/>
      <c r="W716" s="164"/>
      <c r="X716" s="164"/>
      <c r="Y716" s="164"/>
      <c r="Z716" s="164"/>
    </row>
    <row r="717" ht="15.75" customHeight="1">
      <c r="A717" s="164"/>
      <c r="B717" s="164"/>
      <c r="C717" s="164"/>
      <c r="D717" s="165"/>
      <c r="E717" s="165"/>
      <c r="F717" s="164"/>
      <c r="G717" s="164"/>
      <c r="H717" s="164"/>
      <c r="I717" s="164"/>
      <c r="J717" s="164"/>
      <c r="K717" s="164"/>
      <c r="L717" s="164"/>
      <c r="M717" s="164"/>
      <c r="N717" s="164"/>
      <c r="O717" s="164"/>
      <c r="P717" s="164"/>
      <c r="Q717" s="164"/>
      <c r="R717" s="164"/>
      <c r="S717" s="164"/>
      <c r="T717" s="164"/>
      <c r="U717" s="164"/>
      <c r="V717" s="164"/>
      <c r="W717" s="164"/>
      <c r="X717" s="164"/>
      <c r="Y717" s="164"/>
      <c r="Z717" s="164"/>
    </row>
    <row r="718" ht="15.75" customHeight="1">
      <c r="A718" s="164"/>
      <c r="B718" s="164"/>
      <c r="C718" s="164"/>
      <c r="D718" s="165"/>
      <c r="E718" s="165"/>
      <c r="F718" s="164"/>
      <c r="G718" s="164"/>
      <c r="H718" s="164"/>
      <c r="I718" s="164"/>
      <c r="J718" s="164"/>
      <c r="K718" s="164"/>
      <c r="L718" s="164"/>
      <c r="M718" s="164"/>
      <c r="N718" s="164"/>
      <c r="O718" s="164"/>
      <c r="P718" s="164"/>
      <c r="Q718" s="164"/>
      <c r="R718" s="164"/>
      <c r="S718" s="164"/>
      <c r="T718" s="164"/>
      <c r="U718" s="164"/>
      <c r="V718" s="164"/>
      <c r="W718" s="164"/>
      <c r="X718" s="164"/>
      <c r="Y718" s="164"/>
      <c r="Z718" s="164"/>
    </row>
    <row r="719" ht="15.75" customHeight="1">
      <c r="A719" s="164"/>
      <c r="B719" s="164"/>
      <c r="C719" s="164"/>
      <c r="D719" s="165"/>
      <c r="E719" s="165"/>
      <c r="F719" s="164"/>
      <c r="G719" s="164"/>
      <c r="H719" s="164"/>
      <c r="I719" s="164"/>
      <c r="J719" s="164"/>
      <c r="K719" s="164"/>
      <c r="L719" s="164"/>
      <c r="M719" s="164"/>
      <c r="N719" s="164"/>
      <c r="O719" s="164"/>
      <c r="P719" s="164"/>
      <c r="Q719" s="164"/>
      <c r="R719" s="164"/>
      <c r="S719" s="164"/>
      <c r="T719" s="164"/>
      <c r="U719" s="164"/>
      <c r="V719" s="164"/>
      <c r="W719" s="164"/>
      <c r="X719" s="164"/>
      <c r="Y719" s="164"/>
      <c r="Z719" s="164"/>
    </row>
    <row r="720" ht="15.75" customHeight="1">
      <c r="A720" s="164"/>
      <c r="B720" s="164"/>
      <c r="C720" s="164"/>
      <c r="D720" s="165"/>
      <c r="E720" s="165"/>
      <c r="F720" s="164"/>
      <c r="G720" s="164"/>
      <c r="H720" s="164"/>
      <c r="I720" s="164"/>
      <c r="J720" s="164"/>
      <c r="K720" s="164"/>
      <c r="L720" s="164"/>
      <c r="M720" s="164"/>
      <c r="N720" s="164"/>
      <c r="O720" s="164"/>
      <c r="P720" s="164"/>
      <c r="Q720" s="164"/>
      <c r="R720" s="164"/>
      <c r="S720" s="164"/>
      <c r="T720" s="164"/>
      <c r="U720" s="164"/>
      <c r="V720" s="164"/>
      <c r="W720" s="164"/>
      <c r="X720" s="164"/>
      <c r="Y720" s="164"/>
      <c r="Z720" s="164"/>
    </row>
    <row r="721" ht="15.75" customHeight="1">
      <c r="A721" s="164"/>
      <c r="B721" s="164"/>
      <c r="C721" s="164"/>
      <c r="D721" s="165"/>
      <c r="E721" s="165"/>
      <c r="F721" s="164"/>
      <c r="G721" s="164"/>
      <c r="H721" s="164"/>
      <c r="I721" s="164"/>
      <c r="J721" s="164"/>
      <c r="K721" s="164"/>
      <c r="L721" s="164"/>
      <c r="M721" s="164"/>
      <c r="N721" s="164"/>
      <c r="O721" s="164"/>
      <c r="P721" s="164"/>
      <c r="Q721" s="164"/>
      <c r="R721" s="164"/>
      <c r="S721" s="164"/>
      <c r="T721" s="164"/>
      <c r="U721" s="164"/>
      <c r="V721" s="164"/>
      <c r="W721" s="164"/>
      <c r="X721" s="164"/>
      <c r="Y721" s="164"/>
      <c r="Z721" s="164"/>
    </row>
    <row r="722" ht="15.75" customHeight="1">
      <c r="A722" s="164"/>
      <c r="B722" s="164"/>
      <c r="C722" s="164"/>
      <c r="D722" s="165"/>
      <c r="E722" s="165"/>
      <c r="F722" s="164"/>
      <c r="G722" s="164"/>
      <c r="H722" s="164"/>
      <c r="I722" s="164"/>
      <c r="J722" s="164"/>
      <c r="K722" s="164"/>
      <c r="L722" s="164"/>
      <c r="M722" s="164"/>
      <c r="N722" s="164"/>
      <c r="O722" s="164"/>
      <c r="P722" s="164"/>
      <c r="Q722" s="164"/>
      <c r="R722" s="164"/>
      <c r="S722" s="164"/>
      <c r="T722" s="164"/>
      <c r="U722" s="164"/>
      <c r="V722" s="164"/>
      <c r="W722" s="164"/>
      <c r="X722" s="164"/>
      <c r="Y722" s="164"/>
      <c r="Z722" s="164"/>
    </row>
    <row r="723" ht="15.75" customHeight="1">
      <c r="A723" s="164"/>
      <c r="B723" s="164"/>
      <c r="C723" s="164"/>
      <c r="D723" s="165"/>
      <c r="E723" s="165"/>
      <c r="F723" s="164"/>
      <c r="G723" s="164"/>
      <c r="H723" s="164"/>
      <c r="I723" s="164"/>
      <c r="J723" s="164"/>
      <c r="K723" s="164"/>
      <c r="L723" s="164"/>
      <c r="M723" s="164"/>
      <c r="N723" s="164"/>
      <c r="O723" s="164"/>
      <c r="P723" s="164"/>
      <c r="Q723" s="164"/>
      <c r="R723" s="164"/>
      <c r="S723" s="164"/>
      <c r="T723" s="164"/>
      <c r="U723" s="164"/>
      <c r="V723" s="164"/>
      <c r="W723" s="164"/>
      <c r="X723" s="164"/>
      <c r="Y723" s="164"/>
      <c r="Z723" s="164"/>
    </row>
    <row r="724" ht="15.75" customHeight="1">
      <c r="A724" s="164"/>
      <c r="B724" s="164"/>
      <c r="C724" s="164"/>
      <c r="D724" s="165"/>
      <c r="E724" s="165"/>
      <c r="F724" s="164"/>
      <c r="G724" s="164"/>
      <c r="H724" s="164"/>
      <c r="I724" s="164"/>
      <c r="J724" s="164"/>
      <c r="K724" s="164"/>
      <c r="L724" s="164"/>
      <c r="M724" s="164"/>
      <c r="N724" s="164"/>
      <c r="O724" s="164"/>
      <c r="P724" s="164"/>
      <c r="Q724" s="164"/>
      <c r="R724" s="164"/>
      <c r="S724" s="164"/>
      <c r="T724" s="164"/>
      <c r="U724" s="164"/>
      <c r="V724" s="164"/>
      <c r="W724" s="164"/>
      <c r="X724" s="164"/>
      <c r="Y724" s="164"/>
      <c r="Z724" s="164"/>
    </row>
    <row r="725" ht="15.75" customHeight="1">
      <c r="A725" s="164"/>
      <c r="B725" s="164"/>
      <c r="C725" s="164"/>
      <c r="D725" s="165"/>
      <c r="E725" s="165"/>
      <c r="F725" s="164"/>
      <c r="G725" s="164"/>
      <c r="H725" s="164"/>
      <c r="I725" s="164"/>
      <c r="J725" s="164"/>
      <c r="K725" s="164"/>
      <c r="L725" s="164"/>
      <c r="M725" s="164"/>
      <c r="N725" s="164"/>
      <c r="O725" s="164"/>
      <c r="P725" s="164"/>
      <c r="Q725" s="164"/>
      <c r="R725" s="164"/>
      <c r="S725" s="164"/>
      <c r="T725" s="164"/>
      <c r="U725" s="164"/>
      <c r="V725" s="164"/>
      <c r="W725" s="164"/>
      <c r="X725" s="164"/>
      <c r="Y725" s="164"/>
      <c r="Z725" s="164"/>
    </row>
    <row r="726" ht="15.75" customHeight="1">
      <c r="A726" s="164"/>
      <c r="B726" s="164"/>
      <c r="C726" s="164"/>
      <c r="D726" s="165"/>
      <c r="E726" s="165"/>
      <c r="F726" s="164"/>
      <c r="G726" s="164"/>
      <c r="H726" s="164"/>
      <c r="I726" s="164"/>
      <c r="J726" s="164"/>
      <c r="K726" s="164"/>
      <c r="L726" s="164"/>
      <c r="M726" s="164"/>
      <c r="N726" s="164"/>
      <c r="O726" s="164"/>
      <c r="P726" s="164"/>
      <c r="Q726" s="164"/>
      <c r="R726" s="164"/>
      <c r="S726" s="164"/>
      <c r="T726" s="164"/>
      <c r="U726" s="164"/>
      <c r="V726" s="164"/>
      <c r="W726" s="164"/>
      <c r="X726" s="164"/>
      <c r="Y726" s="164"/>
      <c r="Z726" s="164"/>
    </row>
    <row r="727" ht="15.75" customHeight="1">
      <c r="A727" s="164"/>
      <c r="B727" s="164"/>
      <c r="C727" s="164"/>
      <c r="D727" s="165"/>
      <c r="E727" s="165"/>
      <c r="F727" s="164"/>
      <c r="G727" s="164"/>
      <c r="H727" s="164"/>
      <c r="I727" s="164"/>
      <c r="J727" s="164"/>
      <c r="K727" s="164"/>
      <c r="L727" s="164"/>
      <c r="M727" s="164"/>
      <c r="N727" s="164"/>
      <c r="O727" s="164"/>
      <c r="P727" s="164"/>
      <c r="Q727" s="164"/>
      <c r="R727" s="164"/>
      <c r="S727" s="164"/>
      <c r="T727" s="164"/>
      <c r="U727" s="164"/>
      <c r="V727" s="164"/>
      <c r="W727" s="164"/>
      <c r="X727" s="164"/>
      <c r="Y727" s="164"/>
      <c r="Z727" s="164"/>
    </row>
    <row r="728" ht="15.75" customHeight="1">
      <c r="A728" s="164"/>
      <c r="B728" s="164"/>
      <c r="C728" s="164"/>
      <c r="D728" s="165"/>
      <c r="E728" s="165"/>
      <c r="F728" s="164"/>
      <c r="G728" s="164"/>
      <c r="H728" s="164"/>
      <c r="I728" s="164"/>
      <c r="J728" s="164"/>
      <c r="K728" s="164"/>
      <c r="L728" s="164"/>
      <c r="M728" s="164"/>
      <c r="N728" s="164"/>
      <c r="O728" s="164"/>
      <c r="P728" s="164"/>
      <c r="Q728" s="164"/>
      <c r="R728" s="164"/>
      <c r="S728" s="164"/>
      <c r="T728" s="164"/>
      <c r="U728" s="164"/>
      <c r="V728" s="164"/>
      <c r="W728" s="164"/>
      <c r="X728" s="164"/>
      <c r="Y728" s="164"/>
      <c r="Z728" s="164"/>
    </row>
    <row r="729" ht="15.75" customHeight="1">
      <c r="A729" s="164"/>
      <c r="B729" s="164"/>
      <c r="C729" s="164"/>
      <c r="D729" s="165"/>
      <c r="E729" s="165"/>
      <c r="F729" s="164"/>
      <c r="G729" s="164"/>
      <c r="H729" s="164"/>
      <c r="I729" s="164"/>
      <c r="J729" s="164"/>
      <c r="K729" s="164"/>
      <c r="L729" s="164"/>
      <c r="M729" s="164"/>
      <c r="N729" s="164"/>
      <c r="O729" s="164"/>
      <c r="P729" s="164"/>
      <c r="Q729" s="164"/>
      <c r="R729" s="164"/>
      <c r="S729" s="164"/>
      <c r="T729" s="164"/>
      <c r="U729" s="164"/>
      <c r="V729" s="164"/>
      <c r="W729" s="164"/>
      <c r="X729" s="164"/>
      <c r="Y729" s="164"/>
      <c r="Z729" s="164"/>
    </row>
    <row r="730" ht="15.75" customHeight="1">
      <c r="A730" s="164"/>
      <c r="B730" s="164"/>
      <c r="C730" s="164"/>
      <c r="D730" s="165"/>
      <c r="E730" s="165"/>
      <c r="F730" s="164"/>
      <c r="G730" s="164"/>
      <c r="H730" s="164"/>
      <c r="I730" s="164"/>
      <c r="J730" s="164"/>
      <c r="K730" s="164"/>
      <c r="L730" s="164"/>
      <c r="M730" s="164"/>
      <c r="N730" s="164"/>
      <c r="O730" s="164"/>
      <c r="P730" s="164"/>
      <c r="Q730" s="164"/>
      <c r="R730" s="164"/>
      <c r="S730" s="164"/>
      <c r="T730" s="164"/>
      <c r="U730" s="164"/>
      <c r="V730" s="164"/>
      <c r="W730" s="164"/>
      <c r="X730" s="164"/>
      <c r="Y730" s="164"/>
      <c r="Z730" s="164"/>
    </row>
    <row r="731" ht="15.75" customHeight="1">
      <c r="A731" s="164"/>
      <c r="B731" s="164"/>
      <c r="C731" s="164"/>
      <c r="D731" s="165"/>
      <c r="E731" s="165"/>
      <c r="F731" s="164"/>
      <c r="G731" s="164"/>
      <c r="H731" s="164"/>
      <c r="I731" s="164"/>
      <c r="J731" s="164"/>
      <c r="K731" s="164"/>
      <c r="L731" s="164"/>
      <c r="M731" s="164"/>
      <c r="N731" s="164"/>
      <c r="O731" s="164"/>
      <c r="P731" s="164"/>
      <c r="Q731" s="164"/>
      <c r="R731" s="164"/>
      <c r="S731" s="164"/>
      <c r="T731" s="164"/>
      <c r="U731" s="164"/>
      <c r="V731" s="164"/>
      <c r="W731" s="164"/>
      <c r="X731" s="164"/>
      <c r="Y731" s="164"/>
      <c r="Z731" s="164"/>
    </row>
    <row r="732" ht="15.75" customHeight="1">
      <c r="A732" s="164"/>
      <c r="B732" s="164"/>
      <c r="C732" s="164"/>
      <c r="D732" s="165"/>
      <c r="E732" s="165"/>
      <c r="F732" s="164"/>
      <c r="G732" s="164"/>
      <c r="H732" s="164"/>
      <c r="I732" s="164"/>
      <c r="J732" s="164"/>
      <c r="K732" s="164"/>
      <c r="L732" s="164"/>
      <c r="M732" s="164"/>
      <c r="N732" s="164"/>
      <c r="O732" s="164"/>
      <c r="P732" s="164"/>
      <c r="Q732" s="164"/>
      <c r="R732" s="164"/>
      <c r="S732" s="164"/>
      <c r="T732" s="164"/>
      <c r="U732" s="164"/>
      <c r="V732" s="164"/>
      <c r="W732" s="164"/>
      <c r="X732" s="164"/>
      <c r="Y732" s="164"/>
      <c r="Z732" s="164"/>
    </row>
    <row r="733" ht="15.75" customHeight="1">
      <c r="A733" s="164"/>
      <c r="B733" s="164"/>
      <c r="C733" s="164"/>
      <c r="D733" s="165"/>
      <c r="E733" s="165"/>
      <c r="F733" s="164"/>
      <c r="G733" s="164"/>
      <c r="H733" s="164"/>
      <c r="I733" s="164"/>
      <c r="J733" s="164"/>
      <c r="K733" s="164"/>
      <c r="L733" s="164"/>
      <c r="M733" s="164"/>
      <c r="N733" s="164"/>
      <c r="O733" s="164"/>
      <c r="P733" s="164"/>
      <c r="Q733" s="164"/>
      <c r="R733" s="164"/>
      <c r="S733" s="164"/>
      <c r="T733" s="164"/>
      <c r="U733" s="164"/>
      <c r="V733" s="164"/>
      <c r="W733" s="164"/>
      <c r="X733" s="164"/>
      <c r="Y733" s="164"/>
      <c r="Z733" s="164"/>
    </row>
    <row r="734" ht="15.75" customHeight="1">
      <c r="A734" s="164"/>
      <c r="B734" s="164"/>
      <c r="C734" s="164"/>
      <c r="D734" s="165"/>
      <c r="E734" s="165"/>
      <c r="F734" s="164"/>
      <c r="G734" s="164"/>
      <c r="H734" s="164"/>
      <c r="I734" s="164"/>
      <c r="J734" s="164"/>
      <c r="K734" s="164"/>
      <c r="L734" s="164"/>
      <c r="M734" s="164"/>
      <c r="N734" s="164"/>
      <c r="O734" s="164"/>
      <c r="P734" s="164"/>
      <c r="Q734" s="164"/>
      <c r="R734" s="164"/>
      <c r="S734" s="164"/>
      <c r="T734" s="164"/>
      <c r="U734" s="164"/>
      <c r="V734" s="164"/>
      <c r="W734" s="164"/>
      <c r="X734" s="164"/>
      <c r="Y734" s="164"/>
      <c r="Z734" s="164"/>
    </row>
    <row r="735" ht="15.75" customHeight="1">
      <c r="A735" s="164"/>
      <c r="B735" s="164"/>
      <c r="C735" s="164"/>
      <c r="D735" s="165"/>
      <c r="E735" s="165"/>
      <c r="F735" s="164"/>
      <c r="G735" s="164"/>
      <c r="H735" s="164"/>
      <c r="I735" s="164"/>
      <c r="J735" s="164"/>
      <c r="K735" s="164"/>
      <c r="L735" s="164"/>
      <c r="M735" s="164"/>
      <c r="N735" s="164"/>
      <c r="O735" s="164"/>
      <c r="P735" s="164"/>
      <c r="Q735" s="164"/>
      <c r="R735" s="164"/>
      <c r="S735" s="164"/>
      <c r="T735" s="164"/>
      <c r="U735" s="164"/>
      <c r="V735" s="164"/>
      <c r="W735" s="164"/>
      <c r="X735" s="164"/>
      <c r="Y735" s="164"/>
      <c r="Z735" s="164"/>
    </row>
    <row r="736" ht="15.75" customHeight="1">
      <c r="A736" s="164"/>
      <c r="B736" s="164"/>
      <c r="C736" s="164"/>
      <c r="D736" s="165"/>
      <c r="E736" s="165"/>
      <c r="F736" s="164"/>
      <c r="G736" s="164"/>
      <c r="H736" s="164"/>
      <c r="I736" s="164"/>
      <c r="J736" s="164"/>
      <c r="K736" s="164"/>
      <c r="L736" s="164"/>
      <c r="M736" s="164"/>
      <c r="N736" s="164"/>
      <c r="O736" s="164"/>
      <c r="P736" s="164"/>
      <c r="Q736" s="164"/>
      <c r="R736" s="164"/>
      <c r="S736" s="164"/>
      <c r="T736" s="164"/>
      <c r="U736" s="164"/>
      <c r="V736" s="164"/>
      <c r="W736" s="164"/>
      <c r="X736" s="164"/>
      <c r="Y736" s="164"/>
      <c r="Z736" s="164"/>
    </row>
    <row r="737" ht="15.75" customHeight="1">
      <c r="A737" s="164"/>
      <c r="B737" s="164"/>
      <c r="C737" s="164"/>
      <c r="D737" s="165"/>
      <c r="E737" s="165"/>
      <c r="F737" s="164"/>
      <c r="G737" s="164"/>
      <c r="H737" s="164"/>
      <c r="I737" s="164"/>
      <c r="J737" s="164"/>
      <c r="K737" s="164"/>
      <c r="L737" s="164"/>
      <c r="M737" s="164"/>
      <c r="N737" s="164"/>
      <c r="O737" s="164"/>
      <c r="P737" s="164"/>
      <c r="Q737" s="164"/>
      <c r="R737" s="164"/>
      <c r="S737" s="164"/>
      <c r="T737" s="164"/>
      <c r="U737" s="164"/>
      <c r="V737" s="164"/>
      <c r="W737" s="164"/>
      <c r="X737" s="164"/>
      <c r="Y737" s="164"/>
      <c r="Z737" s="164"/>
    </row>
    <row r="738" ht="15.75" customHeight="1">
      <c r="A738" s="164"/>
      <c r="B738" s="164"/>
      <c r="C738" s="164"/>
      <c r="D738" s="165"/>
      <c r="E738" s="165"/>
      <c r="F738" s="164"/>
      <c r="G738" s="164"/>
      <c r="H738" s="164"/>
      <c r="I738" s="164"/>
      <c r="J738" s="164"/>
      <c r="K738" s="164"/>
      <c r="L738" s="164"/>
      <c r="M738" s="164"/>
      <c r="N738" s="164"/>
      <c r="O738" s="164"/>
      <c r="P738" s="164"/>
      <c r="Q738" s="164"/>
      <c r="R738" s="164"/>
      <c r="S738" s="164"/>
      <c r="T738" s="164"/>
      <c r="U738" s="164"/>
      <c r="V738" s="164"/>
      <c r="W738" s="164"/>
      <c r="X738" s="164"/>
      <c r="Y738" s="164"/>
      <c r="Z738" s="164"/>
    </row>
    <row r="739" ht="15.75" customHeight="1">
      <c r="A739" s="164"/>
      <c r="B739" s="164"/>
      <c r="C739" s="164"/>
      <c r="D739" s="165"/>
      <c r="E739" s="165"/>
      <c r="F739" s="164"/>
      <c r="G739" s="164"/>
      <c r="H739" s="164"/>
      <c r="I739" s="164"/>
      <c r="J739" s="164"/>
      <c r="K739" s="164"/>
      <c r="L739" s="164"/>
      <c r="M739" s="164"/>
      <c r="N739" s="164"/>
      <c r="O739" s="164"/>
      <c r="P739" s="164"/>
      <c r="Q739" s="164"/>
      <c r="R739" s="164"/>
      <c r="S739" s="164"/>
      <c r="T739" s="164"/>
      <c r="U739" s="164"/>
      <c r="V739" s="164"/>
      <c r="W739" s="164"/>
      <c r="X739" s="164"/>
      <c r="Y739" s="164"/>
      <c r="Z739" s="164"/>
    </row>
    <row r="740" ht="15.75" customHeight="1">
      <c r="A740" s="164"/>
      <c r="B740" s="164"/>
      <c r="C740" s="164"/>
      <c r="D740" s="165"/>
      <c r="E740" s="165"/>
      <c r="F740" s="164"/>
      <c r="G740" s="164"/>
      <c r="H740" s="164"/>
      <c r="I740" s="164"/>
      <c r="J740" s="164"/>
      <c r="K740" s="164"/>
      <c r="L740" s="164"/>
      <c r="M740" s="164"/>
      <c r="N740" s="164"/>
      <c r="O740" s="164"/>
      <c r="P740" s="164"/>
      <c r="Q740" s="164"/>
      <c r="R740" s="164"/>
      <c r="S740" s="164"/>
      <c r="T740" s="164"/>
      <c r="U740" s="164"/>
      <c r="V740" s="164"/>
      <c r="W740" s="164"/>
      <c r="X740" s="164"/>
      <c r="Y740" s="164"/>
      <c r="Z740" s="164"/>
    </row>
    <row r="741" ht="15.75" customHeight="1">
      <c r="A741" s="164"/>
      <c r="B741" s="164"/>
      <c r="C741" s="164"/>
      <c r="D741" s="165"/>
      <c r="E741" s="165"/>
      <c r="F741" s="164"/>
      <c r="G741" s="164"/>
      <c r="H741" s="164"/>
      <c r="I741" s="164"/>
      <c r="J741" s="164"/>
      <c r="K741" s="164"/>
      <c r="L741" s="164"/>
      <c r="M741" s="164"/>
      <c r="N741" s="164"/>
      <c r="O741" s="164"/>
      <c r="P741" s="164"/>
      <c r="Q741" s="164"/>
      <c r="R741" s="164"/>
      <c r="S741" s="164"/>
      <c r="T741" s="164"/>
      <c r="U741" s="164"/>
      <c r="V741" s="164"/>
      <c r="W741" s="164"/>
      <c r="X741" s="164"/>
      <c r="Y741" s="164"/>
      <c r="Z741" s="164"/>
    </row>
    <row r="742" ht="15.75" customHeight="1">
      <c r="A742" s="164"/>
      <c r="B742" s="164"/>
      <c r="C742" s="164"/>
      <c r="D742" s="165"/>
      <c r="E742" s="165"/>
      <c r="F742" s="164"/>
      <c r="G742" s="164"/>
      <c r="H742" s="164"/>
      <c r="I742" s="164"/>
      <c r="J742" s="164"/>
      <c r="K742" s="164"/>
      <c r="L742" s="164"/>
      <c r="M742" s="164"/>
      <c r="N742" s="164"/>
      <c r="O742" s="164"/>
      <c r="P742" s="164"/>
      <c r="Q742" s="164"/>
      <c r="R742" s="164"/>
      <c r="S742" s="164"/>
      <c r="T742" s="164"/>
      <c r="U742" s="164"/>
      <c r="V742" s="164"/>
      <c r="W742" s="164"/>
      <c r="X742" s="164"/>
      <c r="Y742" s="164"/>
      <c r="Z742" s="164"/>
    </row>
    <row r="743" ht="15.75" customHeight="1">
      <c r="A743" s="164"/>
      <c r="B743" s="164"/>
      <c r="C743" s="164"/>
      <c r="D743" s="165"/>
      <c r="E743" s="165"/>
      <c r="F743" s="164"/>
      <c r="G743" s="164"/>
      <c r="H743" s="164"/>
      <c r="I743" s="164"/>
      <c r="J743" s="164"/>
      <c r="K743" s="164"/>
      <c r="L743" s="164"/>
      <c r="M743" s="164"/>
      <c r="N743" s="164"/>
      <c r="O743" s="164"/>
      <c r="P743" s="164"/>
      <c r="Q743" s="164"/>
      <c r="R743" s="164"/>
      <c r="S743" s="164"/>
      <c r="T743" s="164"/>
      <c r="U743" s="164"/>
      <c r="V743" s="164"/>
      <c r="W743" s="164"/>
      <c r="X743" s="164"/>
      <c r="Y743" s="164"/>
      <c r="Z743" s="164"/>
    </row>
    <row r="744" ht="15.75" customHeight="1">
      <c r="A744" s="164"/>
      <c r="B744" s="164"/>
      <c r="C744" s="164"/>
      <c r="D744" s="165"/>
      <c r="E744" s="165"/>
      <c r="F744" s="164"/>
      <c r="G744" s="164"/>
      <c r="H744" s="164"/>
      <c r="I744" s="164"/>
      <c r="J744" s="164"/>
      <c r="K744" s="164"/>
      <c r="L744" s="164"/>
      <c r="M744" s="164"/>
      <c r="N744" s="164"/>
      <c r="O744" s="164"/>
      <c r="P744" s="164"/>
      <c r="Q744" s="164"/>
      <c r="R744" s="164"/>
      <c r="S744" s="164"/>
      <c r="T744" s="164"/>
      <c r="U744" s="164"/>
      <c r="V744" s="164"/>
      <c r="W744" s="164"/>
      <c r="X744" s="164"/>
      <c r="Y744" s="164"/>
      <c r="Z744" s="164"/>
    </row>
    <row r="745" ht="15.75" customHeight="1">
      <c r="A745" s="164"/>
      <c r="B745" s="164"/>
      <c r="C745" s="164"/>
      <c r="D745" s="165"/>
      <c r="E745" s="165"/>
      <c r="F745" s="164"/>
      <c r="G745" s="164"/>
      <c r="H745" s="164"/>
      <c r="I745" s="164"/>
      <c r="J745" s="164"/>
      <c r="K745" s="164"/>
      <c r="L745" s="164"/>
      <c r="M745" s="164"/>
      <c r="N745" s="164"/>
      <c r="O745" s="164"/>
      <c r="P745" s="164"/>
      <c r="Q745" s="164"/>
      <c r="R745" s="164"/>
      <c r="S745" s="164"/>
      <c r="T745" s="164"/>
      <c r="U745" s="164"/>
      <c r="V745" s="164"/>
      <c r="W745" s="164"/>
      <c r="X745" s="164"/>
      <c r="Y745" s="164"/>
      <c r="Z745" s="164"/>
    </row>
    <row r="746" ht="15.75" customHeight="1">
      <c r="A746" s="164"/>
      <c r="B746" s="164"/>
      <c r="C746" s="164"/>
      <c r="D746" s="165"/>
      <c r="E746" s="165"/>
      <c r="F746" s="164"/>
      <c r="G746" s="164"/>
      <c r="H746" s="164"/>
      <c r="I746" s="164"/>
      <c r="J746" s="164"/>
      <c r="K746" s="164"/>
      <c r="L746" s="164"/>
      <c r="M746" s="164"/>
      <c r="N746" s="164"/>
      <c r="O746" s="164"/>
      <c r="P746" s="164"/>
      <c r="Q746" s="164"/>
      <c r="R746" s="164"/>
      <c r="S746" s="164"/>
      <c r="T746" s="164"/>
      <c r="U746" s="164"/>
      <c r="V746" s="164"/>
      <c r="W746" s="164"/>
      <c r="X746" s="164"/>
      <c r="Y746" s="164"/>
      <c r="Z746" s="164"/>
    </row>
    <row r="747" ht="15.75" customHeight="1">
      <c r="A747" s="164"/>
      <c r="B747" s="164"/>
      <c r="C747" s="164"/>
      <c r="D747" s="165"/>
      <c r="E747" s="165"/>
      <c r="F747" s="164"/>
      <c r="G747" s="164"/>
      <c r="H747" s="164"/>
      <c r="I747" s="164"/>
      <c r="J747" s="164"/>
      <c r="K747" s="164"/>
      <c r="L747" s="164"/>
      <c r="M747" s="164"/>
      <c r="N747" s="164"/>
      <c r="O747" s="164"/>
      <c r="P747" s="164"/>
      <c r="Q747" s="164"/>
      <c r="R747" s="164"/>
      <c r="S747" s="164"/>
      <c r="T747" s="164"/>
      <c r="U747" s="164"/>
      <c r="V747" s="164"/>
      <c r="W747" s="164"/>
      <c r="X747" s="164"/>
      <c r="Y747" s="164"/>
      <c r="Z747" s="164"/>
    </row>
    <row r="748" ht="15.75" customHeight="1">
      <c r="A748" s="164"/>
      <c r="B748" s="164"/>
      <c r="C748" s="164"/>
      <c r="D748" s="165"/>
      <c r="E748" s="165"/>
      <c r="F748" s="164"/>
      <c r="G748" s="164"/>
      <c r="H748" s="164"/>
      <c r="I748" s="164"/>
      <c r="J748" s="164"/>
      <c r="K748" s="164"/>
      <c r="L748" s="164"/>
      <c r="M748" s="164"/>
      <c r="N748" s="164"/>
      <c r="O748" s="164"/>
      <c r="P748" s="164"/>
      <c r="Q748" s="164"/>
      <c r="R748" s="164"/>
      <c r="S748" s="164"/>
      <c r="T748" s="164"/>
      <c r="U748" s="164"/>
      <c r="V748" s="164"/>
      <c r="W748" s="164"/>
      <c r="X748" s="164"/>
      <c r="Y748" s="164"/>
      <c r="Z748" s="164"/>
    </row>
    <row r="749" ht="15.75" customHeight="1">
      <c r="A749" s="164"/>
      <c r="B749" s="164"/>
      <c r="C749" s="164"/>
      <c r="D749" s="165"/>
      <c r="E749" s="165"/>
      <c r="F749" s="164"/>
      <c r="G749" s="164"/>
      <c r="H749" s="164"/>
      <c r="I749" s="164"/>
      <c r="J749" s="164"/>
      <c r="K749" s="164"/>
      <c r="L749" s="164"/>
      <c r="M749" s="164"/>
      <c r="N749" s="164"/>
      <c r="O749" s="164"/>
      <c r="P749" s="164"/>
      <c r="Q749" s="164"/>
      <c r="R749" s="164"/>
      <c r="S749" s="164"/>
      <c r="T749" s="164"/>
      <c r="U749" s="164"/>
      <c r="V749" s="164"/>
      <c r="W749" s="164"/>
      <c r="X749" s="164"/>
      <c r="Y749" s="164"/>
      <c r="Z749" s="164"/>
    </row>
    <row r="750" ht="15.75" customHeight="1">
      <c r="A750" s="164"/>
      <c r="B750" s="164"/>
      <c r="C750" s="164"/>
      <c r="D750" s="165"/>
      <c r="E750" s="165"/>
      <c r="F750" s="164"/>
      <c r="G750" s="164"/>
      <c r="H750" s="164"/>
      <c r="I750" s="164"/>
      <c r="J750" s="164"/>
      <c r="K750" s="164"/>
      <c r="L750" s="164"/>
      <c r="M750" s="164"/>
      <c r="N750" s="164"/>
      <c r="O750" s="164"/>
      <c r="P750" s="164"/>
      <c r="Q750" s="164"/>
      <c r="R750" s="164"/>
      <c r="S750" s="164"/>
      <c r="T750" s="164"/>
      <c r="U750" s="164"/>
      <c r="V750" s="164"/>
      <c r="W750" s="164"/>
      <c r="X750" s="164"/>
      <c r="Y750" s="164"/>
      <c r="Z750" s="164"/>
    </row>
    <row r="751" ht="15.75" customHeight="1">
      <c r="A751" s="164"/>
      <c r="B751" s="164"/>
      <c r="C751" s="164"/>
      <c r="D751" s="165"/>
      <c r="E751" s="165"/>
      <c r="F751" s="164"/>
      <c r="G751" s="164"/>
      <c r="H751" s="164"/>
      <c r="I751" s="164"/>
      <c r="J751" s="164"/>
      <c r="K751" s="164"/>
      <c r="L751" s="164"/>
      <c r="M751" s="164"/>
      <c r="N751" s="164"/>
      <c r="O751" s="164"/>
      <c r="P751" s="164"/>
      <c r="Q751" s="164"/>
      <c r="R751" s="164"/>
      <c r="S751" s="164"/>
      <c r="T751" s="164"/>
      <c r="U751" s="164"/>
      <c r="V751" s="164"/>
      <c r="W751" s="164"/>
      <c r="X751" s="164"/>
      <c r="Y751" s="164"/>
      <c r="Z751" s="164"/>
    </row>
    <row r="752" ht="15.75" customHeight="1">
      <c r="A752" s="164"/>
      <c r="B752" s="164"/>
      <c r="C752" s="164"/>
      <c r="D752" s="165"/>
      <c r="E752" s="165"/>
      <c r="F752" s="164"/>
      <c r="G752" s="164"/>
      <c r="H752" s="164"/>
      <c r="I752" s="164"/>
      <c r="J752" s="164"/>
      <c r="K752" s="164"/>
      <c r="L752" s="164"/>
      <c r="M752" s="164"/>
      <c r="N752" s="164"/>
      <c r="O752" s="164"/>
      <c r="P752" s="164"/>
      <c r="Q752" s="164"/>
      <c r="R752" s="164"/>
      <c r="S752" s="164"/>
      <c r="T752" s="164"/>
      <c r="U752" s="164"/>
      <c r="V752" s="164"/>
      <c r="W752" s="164"/>
      <c r="X752" s="164"/>
      <c r="Y752" s="164"/>
      <c r="Z752" s="164"/>
    </row>
    <row r="753" ht="15.75" customHeight="1">
      <c r="A753" s="164"/>
      <c r="B753" s="164"/>
      <c r="C753" s="164"/>
      <c r="D753" s="165"/>
      <c r="E753" s="165"/>
      <c r="F753" s="164"/>
      <c r="G753" s="164"/>
      <c r="H753" s="164"/>
      <c r="I753" s="164"/>
      <c r="J753" s="164"/>
      <c r="K753" s="164"/>
      <c r="L753" s="164"/>
      <c r="M753" s="164"/>
      <c r="N753" s="164"/>
      <c r="O753" s="164"/>
      <c r="P753" s="164"/>
      <c r="Q753" s="164"/>
      <c r="R753" s="164"/>
      <c r="S753" s="164"/>
      <c r="T753" s="164"/>
      <c r="U753" s="164"/>
      <c r="V753" s="164"/>
      <c r="W753" s="164"/>
      <c r="X753" s="164"/>
      <c r="Y753" s="164"/>
      <c r="Z753" s="164"/>
    </row>
    <row r="754" ht="15.75" customHeight="1">
      <c r="A754" s="164"/>
      <c r="B754" s="164"/>
      <c r="C754" s="164"/>
      <c r="D754" s="165"/>
      <c r="E754" s="165"/>
      <c r="F754" s="164"/>
      <c r="G754" s="164"/>
      <c r="H754" s="164"/>
      <c r="I754" s="164"/>
      <c r="J754" s="164"/>
      <c r="K754" s="164"/>
      <c r="L754" s="164"/>
      <c r="M754" s="164"/>
      <c r="N754" s="164"/>
      <c r="O754" s="164"/>
      <c r="P754" s="164"/>
      <c r="Q754" s="164"/>
      <c r="R754" s="164"/>
      <c r="S754" s="164"/>
      <c r="T754" s="164"/>
      <c r="U754" s="164"/>
      <c r="V754" s="164"/>
      <c r="W754" s="164"/>
      <c r="X754" s="164"/>
      <c r="Y754" s="164"/>
      <c r="Z754" s="164"/>
    </row>
    <row r="755" ht="15.75" customHeight="1">
      <c r="A755" s="164"/>
      <c r="B755" s="164"/>
      <c r="C755" s="164"/>
      <c r="D755" s="165"/>
      <c r="E755" s="165"/>
      <c r="F755" s="164"/>
      <c r="G755" s="164"/>
      <c r="H755" s="164"/>
      <c r="I755" s="164"/>
      <c r="J755" s="164"/>
      <c r="K755" s="164"/>
      <c r="L755" s="164"/>
      <c r="M755" s="164"/>
      <c r="N755" s="164"/>
      <c r="O755" s="164"/>
      <c r="P755" s="164"/>
      <c r="Q755" s="164"/>
      <c r="R755" s="164"/>
      <c r="S755" s="164"/>
      <c r="T755" s="164"/>
      <c r="U755" s="164"/>
      <c r="V755" s="164"/>
      <c r="W755" s="164"/>
      <c r="X755" s="164"/>
      <c r="Y755" s="164"/>
      <c r="Z755" s="164"/>
    </row>
    <row r="756" ht="15.75" customHeight="1">
      <c r="A756" s="164"/>
      <c r="B756" s="164"/>
      <c r="C756" s="164"/>
      <c r="D756" s="165"/>
      <c r="E756" s="165"/>
      <c r="F756" s="164"/>
      <c r="G756" s="164"/>
      <c r="H756" s="164"/>
      <c r="I756" s="164"/>
      <c r="J756" s="164"/>
      <c r="K756" s="164"/>
      <c r="L756" s="164"/>
      <c r="M756" s="164"/>
      <c r="N756" s="164"/>
      <c r="O756" s="164"/>
      <c r="P756" s="164"/>
      <c r="Q756" s="164"/>
      <c r="R756" s="164"/>
      <c r="S756" s="164"/>
      <c r="T756" s="164"/>
      <c r="U756" s="164"/>
      <c r="V756" s="164"/>
      <c r="W756" s="164"/>
      <c r="X756" s="164"/>
      <c r="Y756" s="164"/>
      <c r="Z756" s="164"/>
    </row>
    <row r="757" ht="15.75" customHeight="1">
      <c r="A757" s="164"/>
      <c r="B757" s="164"/>
      <c r="C757" s="164"/>
      <c r="D757" s="165"/>
      <c r="E757" s="165"/>
      <c r="F757" s="164"/>
      <c r="G757" s="164"/>
      <c r="H757" s="164"/>
      <c r="I757" s="164"/>
      <c r="J757" s="164"/>
      <c r="K757" s="164"/>
      <c r="L757" s="164"/>
      <c r="M757" s="164"/>
      <c r="N757" s="164"/>
      <c r="O757" s="164"/>
      <c r="P757" s="164"/>
      <c r="Q757" s="164"/>
      <c r="R757" s="164"/>
      <c r="S757" s="164"/>
      <c r="T757" s="164"/>
      <c r="U757" s="164"/>
      <c r="V757" s="164"/>
      <c r="W757" s="164"/>
      <c r="X757" s="164"/>
      <c r="Y757" s="164"/>
      <c r="Z757" s="164"/>
    </row>
    <row r="758" ht="15.75" customHeight="1">
      <c r="A758" s="164"/>
      <c r="B758" s="164"/>
      <c r="C758" s="164"/>
      <c r="D758" s="165"/>
      <c r="E758" s="165"/>
      <c r="F758" s="164"/>
      <c r="G758" s="164"/>
      <c r="H758" s="164"/>
      <c r="I758" s="164"/>
      <c r="J758" s="164"/>
      <c r="K758" s="164"/>
      <c r="L758" s="164"/>
      <c r="M758" s="164"/>
      <c r="N758" s="164"/>
      <c r="O758" s="164"/>
      <c r="P758" s="164"/>
      <c r="Q758" s="164"/>
      <c r="R758" s="164"/>
      <c r="S758" s="164"/>
      <c r="T758" s="164"/>
      <c r="U758" s="164"/>
      <c r="V758" s="164"/>
      <c r="W758" s="164"/>
      <c r="X758" s="164"/>
      <c r="Y758" s="164"/>
      <c r="Z758" s="164"/>
    </row>
    <row r="759" ht="15.75" customHeight="1">
      <c r="A759" s="164"/>
      <c r="B759" s="164"/>
      <c r="C759" s="164"/>
      <c r="D759" s="165"/>
      <c r="E759" s="165"/>
      <c r="F759" s="164"/>
      <c r="G759" s="164"/>
      <c r="H759" s="164"/>
      <c r="I759" s="164"/>
      <c r="J759" s="164"/>
      <c r="K759" s="164"/>
      <c r="L759" s="164"/>
      <c r="M759" s="164"/>
      <c r="N759" s="164"/>
      <c r="O759" s="164"/>
      <c r="P759" s="164"/>
      <c r="Q759" s="164"/>
      <c r="R759" s="164"/>
      <c r="S759" s="164"/>
      <c r="T759" s="164"/>
      <c r="U759" s="164"/>
      <c r="V759" s="164"/>
      <c r="W759" s="164"/>
      <c r="X759" s="164"/>
      <c r="Y759" s="164"/>
      <c r="Z759" s="164"/>
    </row>
    <row r="760" ht="15.75" customHeight="1">
      <c r="A760" s="164"/>
      <c r="B760" s="164"/>
      <c r="C760" s="164"/>
      <c r="D760" s="165"/>
      <c r="E760" s="165"/>
      <c r="F760" s="164"/>
      <c r="G760" s="164"/>
      <c r="H760" s="164"/>
      <c r="I760" s="164"/>
      <c r="J760" s="164"/>
      <c r="K760" s="164"/>
      <c r="L760" s="164"/>
      <c r="M760" s="164"/>
      <c r="N760" s="164"/>
      <c r="O760" s="164"/>
      <c r="P760" s="164"/>
      <c r="Q760" s="164"/>
      <c r="R760" s="164"/>
      <c r="S760" s="164"/>
      <c r="T760" s="164"/>
      <c r="U760" s="164"/>
      <c r="V760" s="164"/>
      <c r="W760" s="164"/>
      <c r="X760" s="164"/>
      <c r="Y760" s="164"/>
      <c r="Z760" s="164"/>
    </row>
    <row r="761" ht="15.75" customHeight="1">
      <c r="A761" s="164"/>
      <c r="B761" s="164"/>
      <c r="C761" s="164"/>
      <c r="D761" s="165"/>
      <c r="E761" s="165"/>
      <c r="F761" s="164"/>
      <c r="G761" s="164"/>
      <c r="H761" s="164"/>
      <c r="I761" s="164"/>
      <c r="J761" s="164"/>
      <c r="K761" s="164"/>
      <c r="L761" s="164"/>
      <c r="M761" s="164"/>
      <c r="N761" s="164"/>
      <c r="O761" s="164"/>
      <c r="P761" s="164"/>
      <c r="Q761" s="164"/>
      <c r="R761" s="164"/>
      <c r="S761" s="164"/>
      <c r="T761" s="164"/>
      <c r="U761" s="164"/>
      <c r="V761" s="164"/>
      <c r="W761" s="164"/>
      <c r="X761" s="164"/>
      <c r="Y761" s="164"/>
      <c r="Z761" s="164"/>
    </row>
    <row r="762" ht="15.75" customHeight="1">
      <c r="A762" s="164"/>
      <c r="B762" s="164"/>
      <c r="C762" s="164"/>
      <c r="D762" s="165"/>
      <c r="E762" s="165"/>
      <c r="F762" s="164"/>
      <c r="G762" s="164"/>
      <c r="H762" s="164"/>
      <c r="I762" s="164"/>
      <c r="J762" s="164"/>
      <c r="K762" s="164"/>
      <c r="L762" s="164"/>
      <c r="M762" s="164"/>
      <c r="N762" s="164"/>
      <c r="O762" s="164"/>
      <c r="P762" s="164"/>
      <c r="Q762" s="164"/>
      <c r="R762" s="164"/>
      <c r="S762" s="164"/>
      <c r="T762" s="164"/>
      <c r="U762" s="164"/>
      <c r="V762" s="164"/>
      <c r="W762" s="164"/>
      <c r="X762" s="164"/>
      <c r="Y762" s="164"/>
      <c r="Z762" s="164"/>
    </row>
    <row r="763" ht="15.75" customHeight="1">
      <c r="A763" s="164"/>
      <c r="B763" s="164"/>
      <c r="C763" s="164"/>
      <c r="D763" s="165"/>
      <c r="E763" s="165"/>
      <c r="F763" s="164"/>
      <c r="G763" s="164"/>
      <c r="H763" s="164"/>
      <c r="I763" s="164"/>
      <c r="J763" s="164"/>
      <c r="K763" s="164"/>
      <c r="L763" s="164"/>
      <c r="M763" s="164"/>
      <c r="N763" s="164"/>
      <c r="O763" s="164"/>
      <c r="P763" s="164"/>
      <c r="Q763" s="164"/>
      <c r="R763" s="164"/>
      <c r="S763" s="164"/>
      <c r="T763" s="164"/>
      <c r="U763" s="164"/>
      <c r="V763" s="164"/>
      <c r="W763" s="164"/>
      <c r="X763" s="164"/>
      <c r="Y763" s="164"/>
      <c r="Z763" s="164"/>
    </row>
    <row r="764" ht="15.75" customHeight="1">
      <c r="A764" s="164"/>
      <c r="B764" s="164"/>
      <c r="C764" s="164"/>
      <c r="D764" s="165"/>
      <c r="E764" s="165"/>
      <c r="F764" s="164"/>
      <c r="G764" s="164"/>
      <c r="H764" s="164"/>
      <c r="I764" s="164"/>
      <c r="J764" s="164"/>
      <c r="K764" s="164"/>
      <c r="L764" s="164"/>
      <c r="M764" s="164"/>
      <c r="N764" s="164"/>
      <c r="O764" s="164"/>
      <c r="P764" s="164"/>
      <c r="Q764" s="164"/>
      <c r="R764" s="164"/>
      <c r="S764" s="164"/>
      <c r="T764" s="164"/>
      <c r="U764" s="164"/>
      <c r="V764" s="164"/>
      <c r="W764" s="164"/>
      <c r="X764" s="164"/>
      <c r="Y764" s="164"/>
      <c r="Z764" s="164"/>
    </row>
    <row r="765" ht="15.75" customHeight="1">
      <c r="A765" s="164"/>
      <c r="B765" s="164"/>
      <c r="C765" s="164"/>
      <c r="D765" s="165"/>
      <c r="E765" s="165"/>
      <c r="F765" s="164"/>
      <c r="G765" s="164"/>
      <c r="H765" s="164"/>
      <c r="I765" s="164"/>
      <c r="J765" s="164"/>
      <c r="K765" s="164"/>
      <c r="L765" s="164"/>
      <c r="M765" s="164"/>
      <c r="N765" s="164"/>
      <c r="O765" s="164"/>
      <c r="P765" s="164"/>
      <c r="Q765" s="164"/>
      <c r="R765" s="164"/>
      <c r="S765" s="164"/>
      <c r="T765" s="164"/>
      <c r="U765" s="164"/>
      <c r="V765" s="164"/>
      <c r="W765" s="164"/>
      <c r="X765" s="164"/>
      <c r="Y765" s="164"/>
      <c r="Z765" s="164"/>
    </row>
    <row r="766" ht="15.75" customHeight="1">
      <c r="A766" s="164"/>
      <c r="B766" s="164"/>
      <c r="C766" s="164"/>
      <c r="D766" s="165"/>
      <c r="E766" s="165"/>
      <c r="F766" s="164"/>
      <c r="G766" s="164"/>
      <c r="H766" s="164"/>
      <c r="I766" s="164"/>
      <c r="J766" s="164"/>
      <c r="K766" s="164"/>
      <c r="L766" s="164"/>
      <c r="M766" s="164"/>
      <c r="N766" s="164"/>
      <c r="O766" s="164"/>
      <c r="P766" s="164"/>
      <c r="Q766" s="164"/>
      <c r="R766" s="164"/>
      <c r="S766" s="164"/>
      <c r="T766" s="164"/>
      <c r="U766" s="164"/>
      <c r="V766" s="164"/>
      <c r="W766" s="164"/>
      <c r="X766" s="164"/>
      <c r="Y766" s="164"/>
      <c r="Z766" s="164"/>
    </row>
    <row r="767" ht="15.75" customHeight="1">
      <c r="A767" s="164"/>
      <c r="B767" s="164"/>
      <c r="C767" s="164"/>
      <c r="D767" s="165"/>
      <c r="E767" s="165"/>
      <c r="F767" s="164"/>
      <c r="G767" s="164"/>
      <c r="H767" s="164"/>
      <c r="I767" s="164"/>
      <c r="J767" s="164"/>
      <c r="K767" s="164"/>
      <c r="L767" s="164"/>
      <c r="M767" s="164"/>
      <c r="N767" s="164"/>
      <c r="O767" s="164"/>
      <c r="P767" s="164"/>
      <c r="Q767" s="164"/>
      <c r="R767" s="164"/>
      <c r="S767" s="164"/>
      <c r="T767" s="164"/>
      <c r="U767" s="164"/>
      <c r="V767" s="164"/>
      <c r="W767" s="164"/>
      <c r="X767" s="164"/>
      <c r="Y767" s="164"/>
      <c r="Z767" s="164"/>
    </row>
    <row r="768" ht="15.75" customHeight="1">
      <c r="A768" s="164"/>
      <c r="B768" s="164"/>
      <c r="C768" s="164"/>
      <c r="D768" s="165"/>
      <c r="E768" s="165"/>
      <c r="F768" s="164"/>
      <c r="G768" s="164"/>
      <c r="H768" s="164"/>
      <c r="I768" s="164"/>
      <c r="J768" s="164"/>
      <c r="K768" s="164"/>
      <c r="L768" s="164"/>
      <c r="M768" s="164"/>
      <c r="N768" s="164"/>
      <c r="O768" s="164"/>
      <c r="P768" s="164"/>
      <c r="Q768" s="164"/>
      <c r="R768" s="164"/>
      <c r="S768" s="164"/>
      <c r="T768" s="164"/>
      <c r="U768" s="164"/>
      <c r="V768" s="164"/>
      <c r="W768" s="164"/>
      <c r="X768" s="164"/>
      <c r="Y768" s="164"/>
      <c r="Z768" s="164"/>
    </row>
    <row r="769" ht="15.75" customHeight="1">
      <c r="A769" s="164"/>
      <c r="B769" s="164"/>
      <c r="C769" s="164"/>
      <c r="D769" s="165"/>
      <c r="E769" s="165"/>
      <c r="F769" s="164"/>
      <c r="G769" s="164"/>
      <c r="H769" s="164"/>
      <c r="I769" s="164"/>
      <c r="J769" s="164"/>
      <c r="K769" s="164"/>
      <c r="L769" s="164"/>
      <c r="M769" s="164"/>
      <c r="N769" s="164"/>
      <c r="O769" s="164"/>
      <c r="P769" s="164"/>
      <c r="Q769" s="164"/>
      <c r="R769" s="164"/>
      <c r="S769" s="164"/>
      <c r="T769" s="164"/>
      <c r="U769" s="164"/>
      <c r="V769" s="164"/>
      <c r="W769" s="164"/>
      <c r="X769" s="164"/>
      <c r="Y769" s="164"/>
      <c r="Z769" s="164"/>
    </row>
    <row r="770" ht="15.75" customHeight="1">
      <c r="A770" s="164"/>
      <c r="B770" s="164"/>
      <c r="C770" s="164"/>
      <c r="D770" s="165"/>
      <c r="E770" s="165"/>
      <c r="F770" s="164"/>
      <c r="G770" s="164"/>
      <c r="H770" s="164"/>
      <c r="I770" s="164"/>
      <c r="J770" s="164"/>
      <c r="K770" s="164"/>
      <c r="L770" s="164"/>
      <c r="M770" s="164"/>
      <c r="N770" s="164"/>
      <c r="O770" s="164"/>
      <c r="P770" s="164"/>
      <c r="Q770" s="164"/>
      <c r="R770" s="164"/>
      <c r="S770" s="164"/>
      <c r="T770" s="164"/>
      <c r="U770" s="164"/>
      <c r="V770" s="164"/>
      <c r="W770" s="164"/>
      <c r="X770" s="164"/>
      <c r="Y770" s="164"/>
      <c r="Z770" s="164"/>
    </row>
    <row r="771" ht="15.75" customHeight="1">
      <c r="A771" s="164"/>
      <c r="B771" s="164"/>
      <c r="C771" s="164"/>
      <c r="D771" s="165"/>
      <c r="E771" s="165"/>
      <c r="F771" s="164"/>
      <c r="G771" s="164"/>
      <c r="H771" s="164"/>
      <c r="I771" s="164"/>
      <c r="J771" s="164"/>
      <c r="K771" s="164"/>
      <c r="L771" s="164"/>
      <c r="M771" s="164"/>
      <c r="N771" s="164"/>
      <c r="O771" s="164"/>
      <c r="P771" s="164"/>
      <c r="Q771" s="164"/>
      <c r="R771" s="164"/>
      <c r="S771" s="164"/>
      <c r="T771" s="164"/>
      <c r="U771" s="164"/>
      <c r="V771" s="164"/>
      <c r="W771" s="164"/>
      <c r="X771" s="164"/>
      <c r="Y771" s="164"/>
      <c r="Z771" s="164"/>
    </row>
    <row r="772" ht="15.75" customHeight="1">
      <c r="A772" s="164"/>
      <c r="B772" s="164"/>
      <c r="C772" s="164"/>
      <c r="D772" s="165"/>
      <c r="E772" s="165"/>
      <c r="F772" s="164"/>
      <c r="G772" s="164"/>
      <c r="H772" s="164"/>
      <c r="I772" s="164"/>
      <c r="J772" s="164"/>
      <c r="K772" s="164"/>
      <c r="L772" s="164"/>
      <c r="M772" s="164"/>
      <c r="N772" s="164"/>
      <c r="O772" s="164"/>
      <c r="P772" s="164"/>
      <c r="Q772" s="164"/>
      <c r="R772" s="164"/>
      <c r="S772" s="164"/>
      <c r="T772" s="164"/>
      <c r="U772" s="164"/>
      <c r="V772" s="164"/>
      <c r="W772" s="164"/>
      <c r="X772" s="164"/>
      <c r="Y772" s="164"/>
      <c r="Z772" s="164"/>
    </row>
    <row r="773" ht="15.75" customHeight="1">
      <c r="A773" s="164"/>
      <c r="B773" s="164"/>
      <c r="C773" s="164"/>
      <c r="D773" s="165"/>
      <c r="E773" s="165"/>
      <c r="F773" s="164"/>
      <c r="G773" s="164"/>
      <c r="H773" s="164"/>
      <c r="I773" s="164"/>
      <c r="J773" s="164"/>
      <c r="K773" s="164"/>
      <c r="L773" s="164"/>
      <c r="M773" s="164"/>
      <c r="N773" s="164"/>
      <c r="O773" s="164"/>
      <c r="P773" s="164"/>
      <c r="Q773" s="164"/>
      <c r="R773" s="164"/>
      <c r="S773" s="164"/>
      <c r="T773" s="164"/>
      <c r="U773" s="164"/>
      <c r="V773" s="164"/>
      <c r="W773" s="164"/>
      <c r="X773" s="164"/>
      <c r="Y773" s="164"/>
      <c r="Z773" s="164"/>
    </row>
    <row r="774" ht="15.75" customHeight="1">
      <c r="A774" s="164"/>
      <c r="B774" s="164"/>
      <c r="C774" s="164"/>
      <c r="D774" s="165"/>
      <c r="E774" s="165"/>
      <c r="F774" s="164"/>
      <c r="G774" s="164"/>
      <c r="H774" s="164"/>
      <c r="I774" s="164"/>
      <c r="J774" s="164"/>
      <c r="K774" s="164"/>
      <c r="L774" s="164"/>
      <c r="M774" s="164"/>
      <c r="N774" s="164"/>
      <c r="O774" s="164"/>
      <c r="P774" s="164"/>
      <c r="Q774" s="164"/>
      <c r="R774" s="164"/>
      <c r="S774" s="164"/>
      <c r="T774" s="164"/>
      <c r="U774" s="164"/>
      <c r="V774" s="164"/>
      <c r="W774" s="164"/>
      <c r="X774" s="164"/>
      <c r="Y774" s="164"/>
      <c r="Z774" s="164"/>
    </row>
    <row r="775" ht="15.75" customHeight="1">
      <c r="A775" s="164"/>
      <c r="B775" s="164"/>
      <c r="C775" s="164"/>
      <c r="D775" s="165"/>
      <c r="E775" s="165"/>
      <c r="F775" s="164"/>
      <c r="G775" s="164"/>
      <c r="H775" s="164"/>
      <c r="I775" s="164"/>
      <c r="J775" s="164"/>
      <c r="K775" s="164"/>
      <c r="L775" s="164"/>
      <c r="M775" s="164"/>
      <c r="N775" s="164"/>
      <c r="O775" s="164"/>
      <c r="P775" s="164"/>
      <c r="Q775" s="164"/>
      <c r="R775" s="164"/>
      <c r="S775" s="164"/>
      <c r="T775" s="164"/>
      <c r="U775" s="164"/>
      <c r="V775" s="164"/>
      <c r="W775" s="164"/>
      <c r="X775" s="164"/>
      <c r="Y775" s="164"/>
      <c r="Z775" s="164"/>
    </row>
    <row r="776" ht="15.75" customHeight="1">
      <c r="A776" s="164"/>
      <c r="B776" s="164"/>
      <c r="C776" s="164"/>
      <c r="D776" s="165"/>
      <c r="E776" s="165"/>
      <c r="F776" s="164"/>
      <c r="G776" s="164"/>
      <c r="H776" s="164"/>
      <c r="I776" s="164"/>
      <c r="J776" s="164"/>
      <c r="K776" s="164"/>
      <c r="L776" s="164"/>
      <c r="M776" s="164"/>
      <c r="N776" s="164"/>
      <c r="O776" s="164"/>
      <c r="P776" s="164"/>
      <c r="Q776" s="164"/>
      <c r="R776" s="164"/>
      <c r="S776" s="164"/>
      <c r="T776" s="164"/>
      <c r="U776" s="164"/>
      <c r="V776" s="164"/>
      <c r="W776" s="164"/>
      <c r="X776" s="164"/>
      <c r="Y776" s="164"/>
      <c r="Z776" s="164"/>
    </row>
    <row r="777" ht="15.75" customHeight="1">
      <c r="A777" s="164"/>
      <c r="B777" s="164"/>
      <c r="C777" s="164"/>
      <c r="D777" s="165"/>
      <c r="E777" s="165"/>
      <c r="F777" s="164"/>
      <c r="G777" s="164"/>
      <c r="H777" s="164"/>
      <c r="I777" s="164"/>
      <c r="J777" s="164"/>
      <c r="K777" s="164"/>
      <c r="L777" s="164"/>
      <c r="M777" s="164"/>
      <c r="N777" s="164"/>
      <c r="O777" s="164"/>
      <c r="P777" s="164"/>
      <c r="Q777" s="164"/>
      <c r="R777" s="164"/>
      <c r="S777" s="164"/>
      <c r="T777" s="164"/>
      <c r="U777" s="164"/>
      <c r="V777" s="164"/>
      <c r="W777" s="164"/>
      <c r="X777" s="164"/>
      <c r="Y777" s="164"/>
      <c r="Z777" s="164"/>
    </row>
    <row r="778" ht="15.75" customHeight="1">
      <c r="A778" s="164"/>
      <c r="B778" s="164"/>
      <c r="C778" s="164"/>
      <c r="D778" s="165"/>
      <c r="E778" s="165"/>
      <c r="F778" s="164"/>
      <c r="G778" s="164"/>
      <c r="H778" s="164"/>
      <c r="I778" s="164"/>
      <c r="J778" s="164"/>
      <c r="K778" s="164"/>
      <c r="L778" s="164"/>
      <c r="M778" s="164"/>
      <c r="N778" s="164"/>
      <c r="O778" s="164"/>
      <c r="P778" s="164"/>
      <c r="Q778" s="164"/>
      <c r="R778" s="164"/>
      <c r="S778" s="164"/>
      <c r="T778" s="164"/>
      <c r="U778" s="164"/>
      <c r="V778" s="164"/>
      <c r="W778" s="164"/>
      <c r="X778" s="164"/>
      <c r="Y778" s="164"/>
      <c r="Z778" s="164"/>
    </row>
    <row r="779" ht="15.75" customHeight="1">
      <c r="A779" s="164"/>
      <c r="B779" s="164"/>
      <c r="C779" s="164"/>
      <c r="D779" s="165"/>
      <c r="E779" s="165"/>
      <c r="F779" s="164"/>
      <c r="G779" s="164"/>
      <c r="H779" s="164"/>
      <c r="I779" s="164"/>
      <c r="J779" s="164"/>
      <c r="K779" s="164"/>
      <c r="L779" s="164"/>
      <c r="M779" s="164"/>
      <c r="N779" s="164"/>
      <c r="O779" s="164"/>
      <c r="P779" s="164"/>
      <c r="Q779" s="164"/>
      <c r="R779" s="164"/>
      <c r="S779" s="164"/>
      <c r="T779" s="164"/>
      <c r="U779" s="164"/>
      <c r="V779" s="164"/>
      <c r="W779" s="164"/>
      <c r="X779" s="164"/>
      <c r="Y779" s="164"/>
      <c r="Z779" s="164"/>
    </row>
    <row r="780" ht="15.75" customHeight="1">
      <c r="A780" s="164"/>
      <c r="B780" s="164"/>
      <c r="C780" s="164"/>
      <c r="D780" s="165"/>
      <c r="E780" s="165"/>
      <c r="F780" s="164"/>
      <c r="G780" s="164"/>
      <c r="H780" s="164"/>
      <c r="I780" s="164"/>
      <c r="J780" s="164"/>
      <c r="K780" s="164"/>
      <c r="L780" s="164"/>
      <c r="M780" s="164"/>
      <c r="N780" s="164"/>
      <c r="O780" s="164"/>
      <c r="P780" s="164"/>
      <c r="Q780" s="164"/>
      <c r="R780" s="164"/>
      <c r="S780" s="164"/>
      <c r="T780" s="164"/>
      <c r="U780" s="164"/>
      <c r="V780" s="164"/>
      <c r="W780" s="164"/>
      <c r="X780" s="164"/>
      <c r="Y780" s="164"/>
      <c r="Z780" s="164"/>
    </row>
    <row r="781" ht="15.75" customHeight="1">
      <c r="A781" s="164"/>
      <c r="B781" s="164"/>
      <c r="C781" s="164"/>
      <c r="D781" s="165"/>
      <c r="E781" s="165"/>
      <c r="F781" s="164"/>
      <c r="G781" s="164"/>
      <c r="H781" s="164"/>
      <c r="I781" s="164"/>
      <c r="J781" s="164"/>
      <c r="K781" s="164"/>
      <c r="L781" s="164"/>
      <c r="M781" s="164"/>
      <c r="N781" s="164"/>
      <c r="O781" s="164"/>
      <c r="P781" s="164"/>
      <c r="Q781" s="164"/>
      <c r="R781" s="164"/>
      <c r="S781" s="164"/>
      <c r="T781" s="164"/>
      <c r="U781" s="164"/>
      <c r="V781" s="164"/>
      <c r="W781" s="164"/>
      <c r="X781" s="164"/>
      <c r="Y781" s="164"/>
      <c r="Z781" s="164"/>
    </row>
    <row r="782" ht="15.75" customHeight="1">
      <c r="A782" s="164"/>
      <c r="B782" s="164"/>
      <c r="C782" s="164"/>
      <c r="D782" s="165"/>
      <c r="E782" s="165"/>
      <c r="F782" s="164"/>
      <c r="G782" s="164"/>
      <c r="H782" s="164"/>
      <c r="I782" s="164"/>
      <c r="J782" s="164"/>
      <c r="K782" s="164"/>
      <c r="L782" s="164"/>
      <c r="M782" s="164"/>
      <c r="N782" s="164"/>
      <c r="O782" s="164"/>
      <c r="P782" s="164"/>
      <c r="Q782" s="164"/>
      <c r="R782" s="164"/>
      <c r="S782" s="164"/>
      <c r="T782" s="164"/>
      <c r="U782" s="164"/>
      <c r="V782" s="164"/>
      <c r="W782" s="164"/>
      <c r="X782" s="164"/>
      <c r="Y782" s="164"/>
      <c r="Z782" s="164"/>
    </row>
    <row r="783" ht="15.75" customHeight="1">
      <c r="A783" s="164"/>
      <c r="B783" s="164"/>
      <c r="C783" s="164"/>
      <c r="D783" s="165"/>
      <c r="E783" s="165"/>
      <c r="F783" s="164"/>
      <c r="G783" s="164"/>
      <c r="H783" s="164"/>
      <c r="I783" s="164"/>
      <c r="J783" s="164"/>
      <c r="K783" s="164"/>
      <c r="L783" s="164"/>
      <c r="M783" s="164"/>
      <c r="N783" s="164"/>
      <c r="O783" s="164"/>
      <c r="P783" s="164"/>
      <c r="Q783" s="164"/>
      <c r="R783" s="164"/>
      <c r="S783" s="164"/>
      <c r="T783" s="164"/>
      <c r="U783" s="164"/>
      <c r="V783" s="164"/>
      <c r="W783" s="164"/>
      <c r="X783" s="164"/>
      <c r="Y783" s="164"/>
      <c r="Z783" s="164"/>
    </row>
    <row r="784" ht="15.75" customHeight="1">
      <c r="A784" s="164"/>
      <c r="B784" s="164"/>
      <c r="C784" s="164"/>
      <c r="D784" s="165"/>
      <c r="E784" s="165"/>
      <c r="F784" s="164"/>
      <c r="G784" s="164"/>
      <c r="H784" s="164"/>
      <c r="I784" s="164"/>
      <c r="J784" s="164"/>
      <c r="K784" s="164"/>
      <c r="L784" s="164"/>
      <c r="M784" s="164"/>
      <c r="N784" s="164"/>
      <c r="O784" s="164"/>
      <c r="P784" s="164"/>
      <c r="Q784" s="164"/>
      <c r="R784" s="164"/>
      <c r="S784" s="164"/>
      <c r="T784" s="164"/>
      <c r="U784" s="164"/>
      <c r="V784" s="164"/>
      <c r="W784" s="164"/>
      <c r="X784" s="164"/>
      <c r="Y784" s="164"/>
      <c r="Z784" s="164"/>
    </row>
    <row r="785" ht="15.75" customHeight="1">
      <c r="A785" s="164"/>
      <c r="B785" s="164"/>
      <c r="C785" s="164"/>
      <c r="D785" s="165"/>
      <c r="E785" s="165"/>
      <c r="F785" s="164"/>
      <c r="G785" s="164"/>
      <c r="H785" s="164"/>
      <c r="I785" s="164"/>
      <c r="J785" s="164"/>
      <c r="K785" s="164"/>
      <c r="L785" s="164"/>
      <c r="M785" s="164"/>
      <c r="N785" s="164"/>
      <c r="O785" s="164"/>
      <c r="P785" s="164"/>
      <c r="Q785" s="164"/>
      <c r="R785" s="164"/>
      <c r="S785" s="164"/>
      <c r="T785" s="164"/>
      <c r="U785" s="164"/>
      <c r="V785" s="164"/>
      <c r="W785" s="164"/>
      <c r="X785" s="164"/>
      <c r="Y785" s="164"/>
      <c r="Z785" s="164"/>
    </row>
    <row r="786" ht="15.75" customHeight="1">
      <c r="A786" s="164"/>
      <c r="B786" s="164"/>
      <c r="C786" s="164"/>
      <c r="D786" s="165"/>
      <c r="E786" s="165"/>
      <c r="F786" s="164"/>
      <c r="G786" s="164"/>
      <c r="H786" s="164"/>
      <c r="I786" s="164"/>
      <c r="J786" s="164"/>
      <c r="K786" s="164"/>
      <c r="L786" s="164"/>
      <c r="M786" s="164"/>
      <c r="N786" s="164"/>
      <c r="O786" s="164"/>
      <c r="P786" s="164"/>
      <c r="Q786" s="164"/>
      <c r="R786" s="164"/>
      <c r="S786" s="164"/>
      <c r="T786" s="164"/>
      <c r="U786" s="164"/>
      <c r="V786" s="164"/>
      <c r="W786" s="164"/>
      <c r="X786" s="164"/>
      <c r="Y786" s="164"/>
      <c r="Z786" s="164"/>
    </row>
    <row r="787" ht="15.75" customHeight="1">
      <c r="A787" s="164"/>
      <c r="B787" s="164"/>
      <c r="C787" s="164"/>
      <c r="D787" s="165"/>
      <c r="E787" s="165"/>
      <c r="F787" s="164"/>
      <c r="G787" s="164"/>
      <c r="H787" s="164"/>
      <c r="I787" s="164"/>
      <c r="J787" s="164"/>
      <c r="K787" s="164"/>
      <c r="L787" s="164"/>
      <c r="M787" s="164"/>
      <c r="N787" s="164"/>
      <c r="O787" s="164"/>
      <c r="P787" s="164"/>
      <c r="Q787" s="164"/>
      <c r="R787" s="164"/>
      <c r="S787" s="164"/>
      <c r="T787" s="164"/>
      <c r="U787" s="164"/>
      <c r="V787" s="164"/>
      <c r="W787" s="164"/>
      <c r="X787" s="164"/>
      <c r="Y787" s="164"/>
      <c r="Z787" s="164"/>
    </row>
    <row r="788" ht="15.75" customHeight="1">
      <c r="A788" s="164"/>
      <c r="B788" s="164"/>
      <c r="C788" s="164"/>
      <c r="D788" s="165"/>
      <c r="E788" s="165"/>
      <c r="F788" s="164"/>
      <c r="G788" s="164"/>
      <c r="H788" s="164"/>
      <c r="I788" s="164"/>
      <c r="J788" s="164"/>
      <c r="K788" s="164"/>
      <c r="L788" s="164"/>
      <c r="M788" s="164"/>
      <c r="N788" s="164"/>
      <c r="O788" s="164"/>
      <c r="P788" s="164"/>
      <c r="Q788" s="164"/>
      <c r="R788" s="164"/>
      <c r="S788" s="164"/>
      <c r="T788" s="164"/>
      <c r="U788" s="164"/>
      <c r="V788" s="164"/>
      <c r="W788" s="164"/>
      <c r="X788" s="164"/>
      <c r="Y788" s="164"/>
      <c r="Z788" s="164"/>
    </row>
    <row r="789" ht="15.75" customHeight="1">
      <c r="A789" s="164"/>
      <c r="B789" s="164"/>
      <c r="C789" s="164"/>
      <c r="D789" s="165"/>
      <c r="E789" s="165"/>
      <c r="F789" s="164"/>
      <c r="G789" s="164"/>
      <c r="H789" s="164"/>
      <c r="I789" s="164"/>
      <c r="J789" s="164"/>
      <c r="K789" s="164"/>
      <c r="L789" s="164"/>
      <c r="M789" s="164"/>
      <c r="N789" s="164"/>
      <c r="O789" s="164"/>
      <c r="P789" s="164"/>
      <c r="Q789" s="164"/>
      <c r="R789" s="164"/>
      <c r="S789" s="164"/>
      <c r="T789" s="164"/>
      <c r="U789" s="164"/>
      <c r="V789" s="164"/>
      <c r="W789" s="164"/>
      <c r="X789" s="164"/>
      <c r="Y789" s="164"/>
      <c r="Z789" s="164"/>
    </row>
    <row r="790" ht="15.75" customHeight="1">
      <c r="A790" s="164"/>
      <c r="B790" s="164"/>
      <c r="C790" s="164"/>
      <c r="D790" s="165"/>
      <c r="E790" s="165"/>
      <c r="F790" s="164"/>
      <c r="G790" s="164"/>
      <c r="H790" s="164"/>
      <c r="I790" s="164"/>
      <c r="J790" s="164"/>
      <c r="K790" s="164"/>
      <c r="L790" s="164"/>
      <c r="M790" s="164"/>
      <c r="N790" s="164"/>
      <c r="O790" s="164"/>
      <c r="P790" s="164"/>
      <c r="Q790" s="164"/>
      <c r="R790" s="164"/>
      <c r="S790" s="164"/>
      <c r="T790" s="164"/>
      <c r="U790" s="164"/>
      <c r="V790" s="164"/>
      <c r="W790" s="164"/>
      <c r="X790" s="164"/>
      <c r="Y790" s="164"/>
      <c r="Z790" s="164"/>
    </row>
    <row r="791" ht="15.75" customHeight="1">
      <c r="A791" s="164"/>
      <c r="B791" s="164"/>
      <c r="C791" s="164"/>
      <c r="D791" s="165"/>
      <c r="E791" s="165"/>
      <c r="F791" s="164"/>
      <c r="G791" s="164"/>
      <c r="H791" s="164"/>
      <c r="I791" s="164"/>
      <c r="J791" s="164"/>
      <c r="K791" s="164"/>
      <c r="L791" s="164"/>
      <c r="M791" s="164"/>
      <c r="N791" s="164"/>
      <c r="O791" s="164"/>
      <c r="P791" s="164"/>
      <c r="Q791" s="164"/>
      <c r="R791" s="164"/>
      <c r="S791" s="164"/>
      <c r="T791" s="164"/>
      <c r="U791" s="164"/>
      <c r="V791" s="164"/>
      <c r="W791" s="164"/>
      <c r="X791" s="164"/>
      <c r="Y791" s="164"/>
      <c r="Z791" s="164"/>
    </row>
    <row r="792" ht="15.75" customHeight="1">
      <c r="A792" s="164"/>
      <c r="B792" s="164"/>
      <c r="C792" s="164"/>
      <c r="D792" s="165"/>
      <c r="E792" s="165"/>
      <c r="F792" s="164"/>
      <c r="G792" s="164"/>
      <c r="H792" s="164"/>
      <c r="I792" s="164"/>
      <c r="J792" s="164"/>
      <c r="K792" s="164"/>
      <c r="L792" s="164"/>
      <c r="M792" s="164"/>
      <c r="N792" s="164"/>
      <c r="O792" s="164"/>
      <c r="P792" s="164"/>
      <c r="Q792" s="164"/>
      <c r="R792" s="164"/>
      <c r="S792" s="164"/>
      <c r="T792" s="164"/>
      <c r="U792" s="164"/>
      <c r="V792" s="164"/>
      <c r="W792" s="164"/>
      <c r="X792" s="164"/>
      <c r="Y792" s="164"/>
      <c r="Z792" s="164"/>
    </row>
    <row r="793" ht="15.75" customHeight="1">
      <c r="A793" s="164"/>
      <c r="B793" s="164"/>
      <c r="C793" s="164"/>
      <c r="D793" s="165"/>
      <c r="E793" s="165"/>
      <c r="F793" s="164"/>
      <c r="G793" s="164"/>
      <c r="H793" s="164"/>
      <c r="I793" s="164"/>
      <c r="J793" s="164"/>
      <c r="K793" s="164"/>
      <c r="L793" s="164"/>
      <c r="M793" s="164"/>
      <c r="N793" s="164"/>
      <c r="O793" s="164"/>
      <c r="P793" s="164"/>
      <c r="Q793" s="164"/>
      <c r="R793" s="164"/>
      <c r="S793" s="164"/>
      <c r="T793" s="164"/>
      <c r="U793" s="164"/>
      <c r="V793" s="164"/>
      <c r="W793" s="164"/>
      <c r="X793" s="164"/>
      <c r="Y793" s="164"/>
      <c r="Z793" s="164"/>
    </row>
    <row r="794" ht="15.75" customHeight="1">
      <c r="A794" s="164"/>
      <c r="B794" s="164"/>
      <c r="C794" s="164"/>
      <c r="D794" s="165"/>
      <c r="E794" s="165"/>
      <c r="F794" s="164"/>
      <c r="G794" s="164"/>
      <c r="H794" s="164"/>
      <c r="I794" s="164"/>
      <c r="J794" s="164"/>
      <c r="K794" s="164"/>
      <c r="L794" s="164"/>
      <c r="M794" s="164"/>
      <c r="N794" s="164"/>
      <c r="O794" s="164"/>
      <c r="P794" s="164"/>
      <c r="Q794" s="164"/>
      <c r="R794" s="164"/>
      <c r="S794" s="164"/>
      <c r="T794" s="164"/>
      <c r="U794" s="164"/>
      <c r="V794" s="164"/>
      <c r="W794" s="164"/>
      <c r="X794" s="164"/>
      <c r="Y794" s="164"/>
      <c r="Z794" s="164"/>
    </row>
    <row r="795" ht="15.75" customHeight="1">
      <c r="A795" s="164"/>
      <c r="B795" s="164"/>
      <c r="C795" s="164"/>
      <c r="D795" s="165"/>
      <c r="E795" s="165"/>
      <c r="F795" s="164"/>
      <c r="G795" s="164"/>
      <c r="H795" s="164"/>
      <c r="I795" s="164"/>
      <c r="J795" s="164"/>
      <c r="K795" s="164"/>
      <c r="L795" s="164"/>
      <c r="M795" s="164"/>
      <c r="N795" s="164"/>
      <c r="O795" s="164"/>
      <c r="P795" s="164"/>
      <c r="Q795" s="164"/>
      <c r="R795" s="164"/>
      <c r="S795" s="164"/>
      <c r="T795" s="164"/>
      <c r="U795" s="164"/>
      <c r="V795" s="164"/>
      <c r="W795" s="164"/>
      <c r="X795" s="164"/>
      <c r="Y795" s="164"/>
      <c r="Z795" s="164"/>
    </row>
    <row r="796" ht="15.75" customHeight="1">
      <c r="A796" s="164"/>
      <c r="B796" s="164"/>
      <c r="C796" s="164"/>
      <c r="D796" s="165"/>
      <c r="E796" s="165"/>
      <c r="F796" s="164"/>
      <c r="G796" s="164"/>
      <c r="H796" s="164"/>
      <c r="I796" s="164"/>
      <c r="J796" s="164"/>
      <c r="K796" s="164"/>
      <c r="L796" s="164"/>
      <c r="M796" s="164"/>
      <c r="N796" s="164"/>
      <c r="O796" s="164"/>
      <c r="P796" s="164"/>
      <c r="Q796" s="164"/>
      <c r="R796" s="164"/>
      <c r="S796" s="164"/>
      <c r="T796" s="164"/>
      <c r="U796" s="164"/>
      <c r="V796" s="164"/>
      <c r="W796" s="164"/>
      <c r="X796" s="164"/>
      <c r="Y796" s="164"/>
      <c r="Z796" s="164"/>
    </row>
    <row r="797" ht="15.75" customHeight="1">
      <c r="A797" s="164"/>
      <c r="B797" s="164"/>
      <c r="C797" s="164"/>
      <c r="D797" s="165"/>
      <c r="E797" s="165"/>
      <c r="F797" s="164"/>
      <c r="G797" s="164"/>
      <c r="H797" s="164"/>
      <c r="I797" s="164"/>
      <c r="J797" s="164"/>
      <c r="K797" s="164"/>
      <c r="L797" s="164"/>
      <c r="M797" s="164"/>
      <c r="N797" s="164"/>
      <c r="O797" s="164"/>
      <c r="P797" s="164"/>
      <c r="Q797" s="164"/>
      <c r="R797" s="164"/>
      <c r="S797" s="164"/>
      <c r="T797" s="164"/>
      <c r="U797" s="164"/>
      <c r="V797" s="164"/>
      <c r="W797" s="164"/>
      <c r="X797" s="164"/>
      <c r="Y797" s="164"/>
      <c r="Z797" s="164"/>
    </row>
    <row r="798" ht="15.75" customHeight="1">
      <c r="A798" s="164"/>
      <c r="B798" s="164"/>
      <c r="C798" s="164"/>
      <c r="D798" s="165"/>
      <c r="E798" s="165"/>
      <c r="F798" s="164"/>
      <c r="G798" s="164"/>
      <c r="H798" s="164"/>
      <c r="I798" s="164"/>
      <c r="J798" s="164"/>
      <c r="K798" s="164"/>
      <c r="L798" s="164"/>
      <c r="M798" s="164"/>
      <c r="N798" s="164"/>
      <c r="O798" s="164"/>
      <c r="P798" s="164"/>
      <c r="Q798" s="164"/>
      <c r="R798" s="164"/>
      <c r="S798" s="164"/>
      <c r="T798" s="164"/>
      <c r="U798" s="164"/>
      <c r="V798" s="164"/>
      <c r="W798" s="164"/>
      <c r="X798" s="164"/>
      <c r="Y798" s="164"/>
      <c r="Z798" s="164"/>
    </row>
    <row r="799" ht="15.75" customHeight="1">
      <c r="A799" s="164"/>
      <c r="B799" s="164"/>
      <c r="C799" s="164"/>
      <c r="D799" s="165"/>
      <c r="E799" s="165"/>
      <c r="F799" s="164"/>
      <c r="G799" s="164"/>
      <c r="H799" s="164"/>
      <c r="I799" s="164"/>
      <c r="J799" s="164"/>
      <c r="K799" s="164"/>
      <c r="L799" s="164"/>
      <c r="M799" s="164"/>
      <c r="N799" s="164"/>
      <c r="O799" s="164"/>
      <c r="P799" s="164"/>
      <c r="Q799" s="164"/>
      <c r="R799" s="164"/>
      <c r="S799" s="164"/>
      <c r="T799" s="164"/>
      <c r="U799" s="164"/>
      <c r="V799" s="164"/>
      <c r="W799" s="164"/>
      <c r="X799" s="164"/>
      <c r="Y799" s="164"/>
      <c r="Z799" s="164"/>
    </row>
    <row r="800" ht="15.75" customHeight="1">
      <c r="A800" s="164"/>
      <c r="B800" s="164"/>
      <c r="C800" s="164"/>
      <c r="D800" s="165"/>
      <c r="E800" s="165"/>
      <c r="F800" s="164"/>
      <c r="G800" s="164"/>
      <c r="H800" s="164"/>
      <c r="I800" s="164"/>
      <c r="J800" s="164"/>
      <c r="K800" s="164"/>
      <c r="L800" s="164"/>
      <c r="M800" s="164"/>
      <c r="N800" s="164"/>
      <c r="O800" s="164"/>
      <c r="P800" s="164"/>
      <c r="Q800" s="164"/>
      <c r="R800" s="164"/>
      <c r="S800" s="164"/>
      <c r="T800" s="164"/>
      <c r="U800" s="164"/>
      <c r="V800" s="164"/>
      <c r="W800" s="164"/>
      <c r="X800" s="164"/>
      <c r="Y800" s="164"/>
      <c r="Z800" s="164"/>
    </row>
    <row r="801" ht="15.75" customHeight="1">
      <c r="A801" s="164"/>
      <c r="B801" s="164"/>
      <c r="C801" s="164"/>
      <c r="D801" s="165"/>
      <c r="E801" s="165"/>
      <c r="F801" s="164"/>
      <c r="G801" s="164"/>
      <c r="H801" s="164"/>
      <c r="I801" s="164"/>
      <c r="J801" s="164"/>
      <c r="K801" s="164"/>
      <c r="L801" s="164"/>
      <c r="M801" s="164"/>
      <c r="N801" s="164"/>
      <c r="O801" s="164"/>
      <c r="P801" s="164"/>
      <c r="Q801" s="164"/>
      <c r="R801" s="164"/>
      <c r="S801" s="164"/>
      <c r="T801" s="164"/>
      <c r="U801" s="164"/>
      <c r="V801" s="164"/>
      <c r="W801" s="164"/>
      <c r="X801" s="164"/>
      <c r="Y801" s="164"/>
      <c r="Z801" s="164"/>
    </row>
    <row r="802" ht="15.75" customHeight="1">
      <c r="A802" s="164"/>
      <c r="B802" s="164"/>
      <c r="C802" s="164"/>
      <c r="D802" s="165"/>
      <c r="E802" s="165"/>
      <c r="F802" s="164"/>
      <c r="G802" s="164"/>
      <c r="H802" s="164"/>
      <c r="I802" s="164"/>
      <c r="J802" s="164"/>
      <c r="K802" s="164"/>
      <c r="L802" s="164"/>
      <c r="M802" s="164"/>
      <c r="N802" s="164"/>
      <c r="O802" s="164"/>
      <c r="P802" s="164"/>
      <c r="Q802" s="164"/>
      <c r="R802" s="164"/>
      <c r="S802" s="164"/>
      <c r="T802" s="164"/>
      <c r="U802" s="164"/>
      <c r="V802" s="164"/>
      <c r="W802" s="164"/>
      <c r="X802" s="164"/>
      <c r="Y802" s="164"/>
      <c r="Z802" s="164"/>
    </row>
    <row r="803" ht="15.75" customHeight="1">
      <c r="A803" s="164"/>
      <c r="B803" s="164"/>
      <c r="C803" s="164"/>
      <c r="D803" s="165"/>
      <c r="E803" s="165"/>
      <c r="F803" s="164"/>
      <c r="G803" s="164"/>
      <c r="H803" s="164"/>
      <c r="I803" s="164"/>
      <c r="J803" s="164"/>
      <c r="K803" s="164"/>
      <c r="L803" s="164"/>
      <c r="M803" s="164"/>
      <c r="N803" s="164"/>
      <c r="O803" s="164"/>
      <c r="P803" s="164"/>
      <c r="Q803" s="164"/>
      <c r="R803" s="164"/>
      <c r="S803" s="164"/>
      <c r="T803" s="164"/>
      <c r="U803" s="164"/>
      <c r="V803" s="164"/>
      <c r="W803" s="164"/>
      <c r="X803" s="164"/>
      <c r="Y803" s="164"/>
      <c r="Z803" s="164"/>
    </row>
    <row r="804" ht="15.75" customHeight="1">
      <c r="A804" s="164"/>
      <c r="B804" s="164"/>
      <c r="C804" s="164"/>
      <c r="D804" s="165"/>
      <c r="E804" s="165"/>
      <c r="F804" s="164"/>
      <c r="G804" s="164"/>
      <c r="H804" s="164"/>
      <c r="I804" s="164"/>
      <c r="J804" s="164"/>
      <c r="K804" s="164"/>
      <c r="L804" s="164"/>
      <c r="M804" s="164"/>
      <c r="N804" s="164"/>
      <c r="O804" s="164"/>
      <c r="P804" s="164"/>
      <c r="Q804" s="164"/>
      <c r="R804" s="164"/>
      <c r="S804" s="164"/>
      <c r="T804" s="164"/>
      <c r="U804" s="164"/>
      <c r="V804" s="164"/>
      <c r="W804" s="164"/>
      <c r="X804" s="164"/>
      <c r="Y804" s="164"/>
      <c r="Z804" s="164"/>
    </row>
    <row r="805" ht="15.75" customHeight="1">
      <c r="A805" s="164"/>
      <c r="B805" s="164"/>
      <c r="C805" s="164"/>
      <c r="D805" s="165"/>
      <c r="E805" s="165"/>
      <c r="F805" s="164"/>
      <c r="G805" s="164"/>
      <c r="H805" s="164"/>
      <c r="I805" s="164"/>
      <c r="J805" s="164"/>
      <c r="K805" s="164"/>
      <c r="L805" s="164"/>
      <c r="M805" s="164"/>
      <c r="N805" s="164"/>
      <c r="O805" s="164"/>
      <c r="P805" s="164"/>
      <c r="Q805" s="164"/>
      <c r="R805" s="164"/>
      <c r="S805" s="164"/>
      <c r="T805" s="164"/>
      <c r="U805" s="164"/>
      <c r="V805" s="164"/>
      <c r="W805" s="164"/>
      <c r="X805" s="164"/>
      <c r="Y805" s="164"/>
      <c r="Z805" s="164"/>
    </row>
    <row r="806" ht="15.75" customHeight="1">
      <c r="A806" s="164"/>
      <c r="B806" s="164"/>
      <c r="C806" s="164"/>
      <c r="D806" s="165"/>
      <c r="E806" s="165"/>
      <c r="F806" s="164"/>
      <c r="G806" s="164"/>
      <c r="H806" s="164"/>
      <c r="I806" s="164"/>
      <c r="J806" s="164"/>
      <c r="K806" s="164"/>
      <c r="L806" s="164"/>
      <c r="M806" s="164"/>
      <c r="N806" s="164"/>
      <c r="O806" s="164"/>
      <c r="P806" s="164"/>
      <c r="Q806" s="164"/>
      <c r="R806" s="164"/>
      <c r="S806" s="164"/>
      <c r="T806" s="164"/>
      <c r="U806" s="164"/>
      <c r="V806" s="164"/>
      <c r="W806" s="164"/>
      <c r="X806" s="164"/>
      <c r="Y806" s="164"/>
      <c r="Z806" s="164"/>
    </row>
    <row r="807" ht="15.75" customHeight="1">
      <c r="A807" s="164"/>
      <c r="B807" s="164"/>
      <c r="C807" s="164"/>
      <c r="D807" s="165"/>
      <c r="E807" s="165"/>
      <c r="F807" s="164"/>
      <c r="G807" s="164"/>
      <c r="H807" s="164"/>
      <c r="I807" s="164"/>
      <c r="J807" s="164"/>
      <c r="K807" s="164"/>
      <c r="L807" s="164"/>
      <c r="M807" s="164"/>
      <c r="N807" s="164"/>
      <c r="O807" s="164"/>
      <c r="P807" s="164"/>
      <c r="Q807" s="164"/>
      <c r="R807" s="164"/>
      <c r="S807" s="164"/>
      <c r="T807" s="164"/>
      <c r="U807" s="164"/>
      <c r="V807" s="164"/>
      <c r="W807" s="164"/>
      <c r="X807" s="164"/>
      <c r="Y807" s="164"/>
      <c r="Z807" s="164"/>
    </row>
    <row r="808" ht="15.75" customHeight="1">
      <c r="A808" s="164"/>
      <c r="B808" s="164"/>
      <c r="C808" s="164"/>
      <c r="D808" s="165"/>
      <c r="E808" s="165"/>
      <c r="F808" s="164"/>
      <c r="G808" s="164"/>
      <c r="H808" s="164"/>
      <c r="I808" s="164"/>
      <c r="J808" s="164"/>
      <c r="K808" s="164"/>
      <c r="L808" s="164"/>
      <c r="M808" s="164"/>
      <c r="N808" s="164"/>
      <c r="O808" s="164"/>
      <c r="P808" s="164"/>
      <c r="Q808" s="164"/>
      <c r="R808" s="164"/>
      <c r="S808" s="164"/>
      <c r="T808" s="164"/>
      <c r="U808" s="164"/>
      <c r="V808" s="164"/>
      <c r="W808" s="164"/>
      <c r="X808" s="164"/>
      <c r="Y808" s="164"/>
      <c r="Z808" s="164"/>
    </row>
    <row r="809" ht="15.75" customHeight="1">
      <c r="A809" s="164"/>
      <c r="B809" s="164"/>
      <c r="C809" s="164"/>
      <c r="D809" s="165"/>
      <c r="E809" s="165"/>
      <c r="F809" s="164"/>
      <c r="G809" s="164"/>
      <c r="H809" s="164"/>
      <c r="I809" s="164"/>
      <c r="J809" s="164"/>
      <c r="K809" s="164"/>
      <c r="L809" s="164"/>
      <c r="M809" s="164"/>
      <c r="N809" s="164"/>
      <c r="O809" s="164"/>
      <c r="P809" s="164"/>
      <c r="Q809" s="164"/>
      <c r="R809" s="164"/>
      <c r="S809" s="164"/>
      <c r="T809" s="164"/>
      <c r="U809" s="164"/>
      <c r="V809" s="164"/>
      <c r="W809" s="164"/>
      <c r="X809" s="164"/>
      <c r="Y809" s="164"/>
      <c r="Z809" s="164"/>
    </row>
    <row r="810" ht="15.75" customHeight="1">
      <c r="A810" s="164"/>
      <c r="B810" s="164"/>
      <c r="C810" s="164"/>
      <c r="D810" s="165"/>
      <c r="E810" s="165"/>
      <c r="F810" s="164"/>
      <c r="G810" s="164"/>
      <c r="H810" s="164"/>
      <c r="I810" s="164"/>
      <c r="J810" s="164"/>
      <c r="K810" s="164"/>
      <c r="L810" s="164"/>
      <c r="M810" s="164"/>
      <c r="N810" s="164"/>
      <c r="O810" s="164"/>
      <c r="P810" s="164"/>
      <c r="Q810" s="164"/>
      <c r="R810" s="164"/>
      <c r="S810" s="164"/>
      <c r="T810" s="164"/>
      <c r="U810" s="164"/>
      <c r="V810" s="164"/>
      <c r="W810" s="164"/>
      <c r="X810" s="164"/>
      <c r="Y810" s="164"/>
      <c r="Z810" s="164"/>
    </row>
    <row r="811" ht="15.75" customHeight="1">
      <c r="A811" s="164"/>
      <c r="B811" s="164"/>
      <c r="C811" s="164"/>
      <c r="D811" s="165"/>
      <c r="E811" s="165"/>
      <c r="F811" s="164"/>
      <c r="G811" s="164"/>
      <c r="H811" s="164"/>
      <c r="I811" s="164"/>
      <c r="J811" s="164"/>
      <c r="K811" s="164"/>
      <c r="L811" s="164"/>
      <c r="M811" s="164"/>
      <c r="N811" s="164"/>
      <c r="O811" s="164"/>
      <c r="P811" s="164"/>
      <c r="Q811" s="164"/>
      <c r="R811" s="164"/>
      <c r="S811" s="164"/>
      <c r="T811" s="164"/>
      <c r="U811" s="164"/>
      <c r="V811" s="164"/>
      <c r="W811" s="164"/>
      <c r="X811" s="164"/>
      <c r="Y811" s="164"/>
      <c r="Z811" s="164"/>
    </row>
    <row r="812" ht="15.75" customHeight="1">
      <c r="A812" s="164"/>
      <c r="B812" s="164"/>
      <c r="C812" s="164"/>
      <c r="D812" s="165"/>
      <c r="E812" s="165"/>
      <c r="F812" s="164"/>
      <c r="G812" s="164"/>
      <c r="H812" s="164"/>
      <c r="I812" s="164"/>
      <c r="J812" s="164"/>
      <c r="K812" s="164"/>
      <c r="L812" s="164"/>
      <c r="M812" s="164"/>
      <c r="N812" s="164"/>
      <c r="O812" s="164"/>
      <c r="P812" s="164"/>
      <c r="Q812" s="164"/>
      <c r="R812" s="164"/>
      <c r="S812" s="164"/>
      <c r="T812" s="164"/>
      <c r="U812" s="164"/>
      <c r="V812" s="164"/>
      <c r="W812" s="164"/>
      <c r="X812" s="164"/>
      <c r="Y812" s="164"/>
      <c r="Z812" s="164"/>
    </row>
    <row r="813" ht="15.75" customHeight="1">
      <c r="A813" s="164"/>
      <c r="B813" s="164"/>
      <c r="C813" s="164"/>
      <c r="D813" s="165"/>
      <c r="E813" s="165"/>
      <c r="F813" s="164"/>
      <c r="G813" s="164"/>
      <c r="H813" s="164"/>
      <c r="I813" s="164"/>
      <c r="J813" s="164"/>
      <c r="K813" s="164"/>
      <c r="L813" s="164"/>
      <c r="M813" s="164"/>
      <c r="N813" s="164"/>
      <c r="O813" s="164"/>
      <c r="P813" s="164"/>
      <c r="Q813" s="164"/>
      <c r="R813" s="164"/>
      <c r="S813" s="164"/>
      <c r="T813" s="164"/>
      <c r="U813" s="164"/>
      <c r="V813" s="164"/>
      <c r="W813" s="164"/>
      <c r="X813" s="164"/>
      <c r="Y813" s="164"/>
      <c r="Z813" s="164"/>
    </row>
    <row r="814" ht="15.75" customHeight="1">
      <c r="A814" s="164"/>
      <c r="B814" s="164"/>
      <c r="C814" s="164"/>
      <c r="D814" s="165"/>
      <c r="E814" s="165"/>
      <c r="F814" s="164"/>
      <c r="G814" s="164"/>
      <c r="H814" s="164"/>
      <c r="I814" s="164"/>
      <c r="J814" s="164"/>
      <c r="K814" s="164"/>
      <c r="L814" s="164"/>
      <c r="M814" s="164"/>
      <c r="N814" s="164"/>
      <c r="O814" s="164"/>
      <c r="P814" s="164"/>
      <c r="Q814" s="164"/>
      <c r="R814" s="164"/>
      <c r="S814" s="164"/>
      <c r="T814" s="164"/>
      <c r="U814" s="164"/>
      <c r="V814" s="164"/>
      <c r="W814" s="164"/>
      <c r="X814" s="164"/>
      <c r="Y814" s="164"/>
      <c r="Z814" s="164"/>
    </row>
    <row r="815" ht="15.75" customHeight="1">
      <c r="A815" s="164"/>
      <c r="B815" s="164"/>
      <c r="C815" s="164"/>
      <c r="D815" s="165"/>
      <c r="E815" s="165"/>
      <c r="F815" s="164"/>
      <c r="G815" s="164"/>
      <c r="H815" s="164"/>
      <c r="I815" s="164"/>
      <c r="J815" s="164"/>
      <c r="K815" s="164"/>
      <c r="L815" s="164"/>
      <c r="M815" s="164"/>
      <c r="N815" s="164"/>
      <c r="O815" s="164"/>
      <c r="P815" s="164"/>
      <c r="Q815" s="164"/>
      <c r="R815" s="164"/>
      <c r="S815" s="164"/>
      <c r="T815" s="164"/>
      <c r="U815" s="164"/>
      <c r="V815" s="164"/>
      <c r="W815" s="164"/>
      <c r="X815" s="164"/>
      <c r="Y815" s="164"/>
      <c r="Z815" s="164"/>
    </row>
    <row r="816" ht="15.75" customHeight="1">
      <c r="A816" s="164"/>
      <c r="B816" s="164"/>
      <c r="C816" s="164"/>
      <c r="D816" s="165"/>
      <c r="E816" s="165"/>
      <c r="F816" s="164"/>
      <c r="G816" s="164"/>
      <c r="H816" s="164"/>
      <c r="I816" s="164"/>
      <c r="J816" s="164"/>
      <c r="K816" s="164"/>
      <c r="L816" s="164"/>
      <c r="M816" s="164"/>
      <c r="N816" s="164"/>
      <c r="O816" s="164"/>
      <c r="P816" s="164"/>
      <c r="Q816" s="164"/>
      <c r="R816" s="164"/>
      <c r="S816" s="164"/>
      <c r="T816" s="164"/>
      <c r="U816" s="164"/>
      <c r="V816" s="164"/>
      <c r="W816" s="164"/>
      <c r="X816" s="164"/>
      <c r="Y816" s="164"/>
      <c r="Z816" s="164"/>
    </row>
    <row r="817" ht="15.75" customHeight="1">
      <c r="A817" s="164"/>
      <c r="B817" s="164"/>
      <c r="C817" s="164"/>
      <c r="D817" s="165"/>
      <c r="E817" s="165"/>
      <c r="F817" s="164"/>
      <c r="G817" s="164"/>
      <c r="H817" s="164"/>
      <c r="I817" s="164"/>
      <c r="J817" s="164"/>
      <c r="K817" s="164"/>
      <c r="L817" s="164"/>
      <c r="M817" s="164"/>
      <c r="N817" s="164"/>
      <c r="O817" s="164"/>
      <c r="P817" s="164"/>
      <c r="Q817" s="164"/>
      <c r="R817" s="164"/>
      <c r="S817" s="164"/>
      <c r="T817" s="164"/>
      <c r="U817" s="164"/>
      <c r="V817" s="164"/>
      <c r="W817" s="164"/>
      <c r="X817" s="164"/>
      <c r="Y817" s="164"/>
      <c r="Z817" s="164"/>
    </row>
    <row r="818" ht="15.75" customHeight="1">
      <c r="A818" s="164"/>
      <c r="B818" s="164"/>
      <c r="C818" s="164"/>
      <c r="D818" s="165"/>
      <c r="E818" s="165"/>
      <c r="F818" s="164"/>
      <c r="G818" s="164"/>
      <c r="H818" s="164"/>
      <c r="I818" s="164"/>
      <c r="J818" s="164"/>
      <c r="K818" s="164"/>
      <c r="L818" s="164"/>
      <c r="M818" s="164"/>
      <c r="N818" s="164"/>
      <c r="O818" s="164"/>
      <c r="P818" s="164"/>
      <c r="Q818" s="164"/>
      <c r="R818" s="164"/>
      <c r="S818" s="164"/>
      <c r="T818" s="164"/>
      <c r="U818" s="164"/>
      <c r="V818" s="164"/>
      <c r="W818" s="164"/>
      <c r="X818" s="164"/>
      <c r="Y818" s="164"/>
      <c r="Z818" s="164"/>
    </row>
    <row r="819" ht="15.75" customHeight="1">
      <c r="A819" s="164"/>
      <c r="B819" s="164"/>
      <c r="C819" s="164"/>
      <c r="D819" s="165"/>
      <c r="E819" s="165"/>
      <c r="F819" s="164"/>
      <c r="G819" s="164"/>
      <c r="H819" s="164"/>
      <c r="I819" s="164"/>
      <c r="J819" s="164"/>
      <c r="K819" s="164"/>
      <c r="L819" s="164"/>
      <c r="M819" s="164"/>
      <c r="N819" s="164"/>
      <c r="O819" s="164"/>
      <c r="P819" s="164"/>
      <c r="Q819" s="164"/>
      <c r="R819" s="164"/>
      <c r="S819" s="164"/>
      <c r="T819" s="164"/>
      <c r="U819" s="164"/>
      <c r="V819" s="164"/>
      <c r="W819" s="164"/>
      <c r="X819" s="164"/>
      <c r="Y819" s="164"/>
      <c r="Z819" s="164"/>
    </row>
    <row r="820" ht="15.75" customHeight="1">
      <c r="A820" s="164"/>
      <c r="B820" s="164"/>
      <c r="C820" s="164"/>
      <c r="D820" s="165"/>
      <c r="E820" s="165"/>
      <c r="F820" s="164"/>
      <c r="G820" s="164"/>
      <c r="H820" s="164"/>
      <c r="I820" s="164"/>
      <c r="J820" s="164"/>
      <c r="K820" s="164"/>
      <c r="L820" s="164"/>
      <c r="M820" s="164"/>
      <c r="N820" s="164"/>
      <c r="O820" s="164"/>
      <c r="P820" s="164"/>
      <c r="Q820" s="164"/>
      <c r="R820" s="164"/>
      <c r="S820" s="164"/>
      <c r="T820" s="164"/>
      <c r="U820" s="164"/>
      <c r="V820" s="164"/>
      <c r="W820" s="164"/>
      <c r="X820" s="164"/>
      <c r="Y820" s="164"/>
      <c r="Z820" s="164"/>
    </row>
    <row r="821" ht="15.75" customHeight="1">
      <c r="A821" s="164"/>
      <c r="B821" s="164"/>
      <c r="C821" s="164"/>
      <c r="D821" s="165"/>
      <c r="E821" s="165"/>
      <c r="F821" s="164"/>
      <c r="G821" s="164"/>
      <c r="H821" s="164"/>
      <c r="I821" s="164"/>
      <c r="J821" s="164"/>
      <c r="K821" s="164"/>
      <c r="L821" s="164"/>
      <c r="M821" s="164"/>
      <c r="N821" s="164"/>
      <c r="O821" s="164"/>
      <c r="P821" s="164"/>
      <c r="Q821" s="164"/>
      <c r="R821" s="164"/>
      <c r="S821" s="164"/>
      <c r="T821" s="164"/>
      <c r="U821" s="164"/>
      <c r="V821" s="164"/>
      <c r="W821" s="164"/>
      <c r="X821" s="164"/>
      <c r="Y821" s="164"/>
      <c r="Z821" s="164"/>
    </row>
    <row r="822" ht="15.75" customHeight="1">
      <c r="A822" s="164"/>
      <c r="B822" s="164"/>
      <c r="C822" s="164"/>
      <c r="D822" s="165"/>
      <c r="E822" s="165"/>
      <c r="F822" s="164"/>
      <c r="G822" s="164"/>
      <c r="H822" s="164"/>
      <c r="I822" s="164"/>
      <c r="J822" s="164"/>
      <c r="K822" s="164"/>
      <c r="L822" s="164"/>
      <c r="M822" s="164"/>
      <c r="N822" s="164"/>
      <c r="O822" s="164"/>
      <c r="P822" s="164"/>
      <c r="Q822" s="164"/>
      <c r="R822" s="164"/>
      <c r="S822" s="164"/>
      <c r="T822" s="164"/>
      <c r="U822" s="164"/>
      <c r="V822" s="164"/>
      <c r="W822" s="164"/>
      <c r="X822" s="164"/>
      <c r="Y822" s="164"/>
      <c r="Z822" s="164"/>
    </row>
    <row r="823" ht="15.75" customHeight="1">
      <c r="A823" s="164"/>
      <c r="B823" s="164"/>
      <c r="C823" s="164"/>
      <c r="D823" s="165"/>
      <c r="E823" s="165"/>
      <c r="F823" s="164"/>
      <c r="G823" s="164"/>
      <c r="H823" s="164"/>
      <c r="I823" s="164"/>
      <c r="J823" s="164"/>
      <c r="K823" s="164"/>
      <c r="L823" s="164"/>
      <c r="M823" s="164"/>
      <c r="N823" s="164"/>
      <c r="O823" s="164"/>
      <c r="P823" s="164"/>
      <c r="Q823" s="164"/>
      <c r="R823" s="164"/>
      <c r="S823" s="164"/>
      <c r="T823" s="164"/>
      <c r="U823" s="164"/>
      <c r="V823" s="164"/>
      <c r="W823" s="164"/>
      <c r="X823" s="164"/>
      <c r="Y823" s="164"/>
      <c r="Z823" s="164"/>
    </row>
    <row r="824" ht="15.75" customHeight="1">
      <c r="A824" s="164"/>
      <c r="B824" s="164"/>
      <c r="C824" s="164"/>
      <c r="D824" s="165"/>
      <c r="E824" s="165"/>
      <c r="F824" s="164"/>
      <c r="G824" s="164"/>
      <c r="H824" s="164"/>
      <c r="I824" s="164"/>
      <c r="J824" s="164"/>
      <c r="K824" s="164"/>
      <c r="L824" s="164"/>
      <c r="M824" s="164"/>
      <c r="N824" s="164"/>
      <c r="O824" s="164"/>
      <c r="P824" s="164"/>
      <c r="Q824" s="164"/>
      <c r="R824" s="164"/>
      <c r="S824" s="164"/>
      <c r="T824" s="164"/>
      <c r="U824" s="164"/>
      <c r="V824" s="164"/>
      <c r="W824" s="164"/>
      <c r="X824" s="164"/>
      <c r="Y824" s="164"/>
      <c r="Z824" s="164"/>
    </row>
    <row r="825" ht="15.75" customHeight="1">
      <c r="A825" s="164"/>
      <c r="B825" s="164"/>
      <c r="C825" s="164"/>
      <c r="D825" s="165"/>
      <c r="E825" s="165"/>
      <c r="F825" s="164"/>
      <c r="G825" s="164"/>
      <c r="H825" s="164"/>
      <c r="I825" s="164"/>
      <c r="J825" s="164"/>
      <c r="K825" s="164"/>
      <c r="L825" s="164"/>
      <c r="M825" s="164"/>
      <c r="N825" s="164"/>
      <c r="O825" s="164"/>
      <c r="P825" s="164"/>
      <c r="Q825" s="164"/>
      <c r="R825" s="164"/>
      <c r="S825" s="164"/>
      <c r="T825" s="164"/>
      <c r="U825" s="164"/>
      <c r="V825" s="164"/>
      <c r="W825" s="164"/>
      <c r="X825" s="164"/>
      <c r="Y825" s="164"/>
      <c r="Z825" s="164"/>
    </row>
    <row r="826" ht="15.75" customHeight="1">
      <c r="A826" s="164"/>
      <c r="B826" s="164"/>
      <c r="C826" s="164"/>
      <c r="D826" s="165"/>
      <c r="E826" s="165"/>
      <c r="F826" s="164"/>
      <c r="G826" s="164"/>
      <c r="H826" s="164"/>
      <c r="I826" s="164"/>
      <c r="J826" s="164"/>
      <c r="K826" s="164"/>
      <c r="L826" s="164"/>
      <c r="M826" s="164"/>
      <c r="N826" s="164"/>
      <c r="O826" s="164"/>
      <c r="P826" s="164"/>
      <c r="Q826" s="164"/>
      <c r="R826" s="164"/>
      <c r="S826" s="164"/>
      <c r="T826" s="164"/>
      <c r="U826" s="164"/>
      <c r="V826" s="164"/>
      <c r="W826" s="164"/>
      <c r="X826" s="164"/>
      <c r="Y826" s="164"/>
      <c r="Z826" s="164"/>
    </row>
    <row r="827" ht="15.75" customHeight="1">
      <c r="A827" s="164"/>
      <c r="B827" s="164"/>
      <c r="C827" s="164"/>
      <c r="D827" s="165"/>
      <c r="E827" s="165"/>
      <c r="F827" s="164"/>
      <c r="G827" s="164"/>
      <c r="H827" s="164"/>
      <c r="I827" s="164"/>
      <c r="J827" s="164"/>
      <c r="K827" s="164"/>
      <c r="L827" s="164"/>
      <c r="M827" s="164"/>
      <c r="N827" s="164"/>
      <c r="O827" s="164"/>
      <c r="P827" s="164"/>
      <c r="Q827" s="164"/>
      <c r="R827" s="164"/>
      <c r="S827" s="164"/>
      <c r="T827" s="164"/>
      <c r="U827" s="164"/>
      <c r="V827" s="164"/>
      <c r="W827" s="164"/>
      <c r="X827" s="164"/>
      <c r="Y827" s="164"/>
      <c r="Z827" s="164"/>
    </row>
    <row r="828" ht="15.75" customHeight="1">
      <c r="A828" s="164"/>
      <c r="B828" s="164"/>
      <c r="C828" s="164"/>
      <c r="D828" s="165"/>
      <c r="E828" s="165"/>
      <c r="F828" s="164"/>
      <c r="G828" s="164"/>
      <c r="H828" s="164"/>
      <c r="I828" s="164"/>
      <c r="J828" s="164"/>
      <c r="K828" s="164"/>
      <c r="L828" s="164"/>
      <c r="M828" s="164"/>
      <c r="N828" s="164"/>
      <c r="O828" s="164"/>
      <c r="P828" s="164"/>
      <c r="Q828" s="164"/>
      <c r="R828" s="164"/>
      <c r="S828" s="164"/>
      <c r="T828" s="164"/>
      <c r="U828" s="164"/>
      <c r="V828" s="164"/>
      <c r="W828" s="164"/>
      <c r="X828" s="164"/>
      <c r="Y828" s="164"/>
      <c r="Z828" s="164"/>
    </row>
    <row r="829" ht="15.75" customHeight="1">
      <c r="A829" s="164"/>
      <c r="B829" s="164"/>
      <c r="C829" s="164"/>
      <c r="D829" s="165"/>
      <c r="E829" s="165"/>
      <c r="F829" s="164"/>
      <c r="G829" s="164"/>
      <c r="H829" s="164"/>
      <c r="I829" s="164"/>
      <c r="J829" s="164"/>
      <c r="K829" s="164"/>
      <c r="L829" s="164"/>
      <c r="M829" s="164"/>
      <c r="N829" s="164"/>
      <c r="O829" s="164"/>
      <c r="P829" s="164"/>
      <c r="Q829" s="164"/>
      <c r="R829" s="164"/>
      <c r="S829" s="164"/>
      <c r="T829" s="164"/>
      <c r="U829" s="164"/>
      <c r="V829" s="164"/>
      <c r="W829" s="164"/>
      <c r="X829" s="164"/>
      <c r="Y829" s="164"/>
      <c r="Z829" s="164"/>
    </row>
    <row r="830" ht="15.75" customHeight="1">
      <c r="A830" s="164"/>
      <c r="B830" s="164"/>
      <c r="C830" s="164"/>
      <c r="D830" s="165"/>
      <c r="E830" s="165"/>
      <c r="F830" s="164"/>
      <c r="G830" s="164"/>
      <c r="H830" s="164"/>
      <c r="I830" s="164"/>
      <c r="J830" s="164"/>
      <c r="K830" s="164"/>
      <c r="L830" s="164"/>
      <c r="M830" s="164"/>
      <c r="N830" s="164"/>
      <c r="O830" s="164"/>
      <c r="P830" s="164"/>
      <c r="Q830" s="164"/>
      <c r="R830" s="164"/>
      <c r="S830" s="164"/>
      <c r="T830" s="164"/>
      <c r="U830" s="164"/>
      <c r="V830" s="164"/>
      <c r="W830" s="164"/>
      <c r="X830" s="164"/>
      <c r="Y830" s="164"/>
      <c r="Z830" s="164"/>
    </row>
    <row r="831" ht="15.75" customHeight="1">
      <c r="A831" s="164"/>
      <c r="B831" s="164"/>
      <c r="C831" s="164"/>
      <c r="D831" s="165"/>
      <c r="E831" s="165"/>
      <c r="F831" s="164"/>
      <c r="G831" s="164"/>
      <c r="H831" s="164"/>
      <c r="I831" s="164"/>
      <c r="J831" s="164"/>
      <c r="K831" s="164"/>
      <c r="L831" s="164"/>
      <c r="M831" s="164"/>
      <c r="N831" s="164"/>
      <c r="O831" s="164"/>
      <c r="P831" s="164"/>
      <c r="Q831" s="164"/>
      <c r="R831" s="164"/>
      <c r="S831" s="164"/>
      <c r="T831" s="164"/>
      <c r="U831" s="164"/>
      <c r="V831" s="164"/>
      <c r="W831" s="164"/>
      <c r="X831" s="164"/>
      <c r="Y831" s="164"/>
      <c r="Z831" s="164"/>
    </row>
    <row r="832" ht="15.75" customHeight="1">
      <c r="A832" s="164"/>
      <c r="B832" s="164"/>
      <c r="C832" s="164"/>
      <c r="D832" s="165"/>
      <c r="E832" s="165"/>
      <c r="F832" s="164"/>
      <c r="G832" s="164"/>
      <c r="H832" s="164"/>
      <c r="I832" s="164"/>
      <c r="J832" s="164"/>
      <c r="K832" s="164"/>
      <c r="L832" s="164"/>
      <c r="M832" s="164"/>
      <c r="N832" s="164"/>
      <c r="O832" s="164"/>
      <c r="P832" s="164"/>
      <c r="Q832" s="164"/>
      <c r="R832" s="164"/>
      <c r="S832" s="164"/>
      <c r="T832" s="164"/>
      <c r="U832" s="164"/>
      <c r="V832" s="164"/>
      <c r="W832" s="164"/>
      <c r="X832" s="164"/>
      <c r="Y832" s="164"/>
      <c r="Z832" s="164"/>
    </row>
    <row r="833" ht="15.75" customHeight="1">
      <c r="A833" s="164"/>
      <c r="B833" s="164"/>
      <c r="C833" s="164"/>
      <c r="D833" s="165"/>
      <c r="E833" s="165"/>
      <c r="F833" s="164"/>
      <c r="G833" s="164"/>
      <c r="H833" s="164"/>
      <c r="I833" s="164"/>
      <c r="J833" s="164"/>
      <c r="K833" s="164"/>
      <c r="L833" s="164"/>
      <c r="M833" s="164"/>
      <c r="N833" s="164"/>
      <c r="O833" s="164"/>
      <c r="P833" s="164"/>
      <c r="Q833" s="164"/>
      <c r="R833" s="164"/>
      <c r="S833" s="164"/>
      <c r="T833" s="164"/>
      <c r="U833" s="164"/>
      <c r="V833" s="164"/>
      <c r="W833" s="164"/>
      <c r="X833" s="164"/>
      <c r="Y833" s="164"/>
      <c r="Z833" s="164"/>
    </row>
    <row r="834" ht="15.75" customHeight="1">
      <c r="A834" s="164"/>
      <c r="B834" s="164"/>
      <c r="C834" s="164"/>
      <c r="D834" s="165"/>
      <c r="E834" s="165"/>
      <c r="F834" s="164"/>
      <c r="G834" s="164"/>
      <c r="H834" s="164"/>
      <c r="I834" s="164"/>
      <c r="J834" s="164"/>
      <c r="K834" s="164"/>
      <c r="L834" s="164"/>
      <c r="M834" s="164"/>
      <c r="N834" s="164"/>
      <c r="O834" s="164"/>
      <c r="P834" s="164"/>
      <c r="Q834" s="164"/>
      <c r="R834" s="164"/>
      <c r="S834" s="164"/>
      <c r="T834" s="164"/>
      <c r="U834" s="164"/>
      <c r="V834" s="164"/>
      <c r="W834" s="164"/>
      <c r="X834" s="164"/>
      <c r="Y834" s="164"/>
      <c r="Z834" s="164"/>
    </row>
    <row r="835" ht="15.75" customHeight="1">
      <c r="A835" s="164"/>
      <c r="B835" s="164"/>
      <c r="C835" s="164"/>
      <c r="D835" s="165"/>
      <c r="E835" s="165"/>
      <c r="F835" s="164"/>
      <c r="G835" s="164"/>
      <c r="H835" s="164"/>
      <c r="I835" s="164"/>
      <c r="J835" s="164"/>
      <c r="K835" s="164"/>
      <c r="L835" s="164"/>
      <c r="M835" s="164"/>
      <c r="N835" s="164"/>
      <c r="O835" s="164"/>
      <c r="P835" s="164"/>
      <c r="Q835" s="164"/>
      <c r="R835" s="164"/>
      <c r="S835" s="164"/>
      <c r="T835" s="164"/>
      <c r="U835" s="164"/>
      <c r="V835" s="164"/>
      <c r="W835" s="164"/>
      <c r="X835" s="164"/>
      <c r="Y835" s="164"/>
      <c r="Z835" s="164"/>
    </row>
    <row r="836" ht="15.75" customHeight="1">
      <c r="A836" s="164"/>
      <c r="B836" s="164"/>
      <c r="C836" s="164"/>
      <c r="D836" s="165"/>
      <c r="E836" s="165"/>
      <c r="F836" s="164"/>
      <c r="G836" s="164"/>
      <c r="H836" s="164"/>
      <c r="I836" s="164"/>
      <c r="J836" s="164"/>
      <c r="K836" s="164"/>
      <c r="L836" s="164"/>
      <c r="M836" s="164"/>
      <c r="N836" s="164"/>
      <c r="O836" s="164"/>
      <c r="P836" s="164"/>
      <c r="Q836" s="164"/>
      <c r="R836" s="164"/>
      <c r="S836" s="164"/>
      <c r="T836" s="164"/>
      <c r="U836" s="164"/>
      <c r="V836" s="164"/>
      <c r="W836" s="164"/>
      <c r="X836" s="164"/>
      <c r="Y836" s="164"/>
      <c r="Z836" s="164"/>
    </row>
    <row r="837" ht="15.75" customHeight="1">
      <c r="A837" s="164"/>
      <c r="B837" s="164"/>
      <c r="C837" s="164"/>
      <c r="D837" s="165"/>
      <c r="E837" s="165"/>
      <c r="F837" s="164"/>
      <c r="G837" s="164"/>
      <c r="H837" s="164"/>
      <c r="I837" s="164"/>
      <c r="J837" s="164"/>
      <c r="K837" s="164"/>
      <c r="L837" s="164"/>
      <c r="M837" s="164"/>
      <c r="N837" s="164"/>
      <c r="O837" s="164"/>
      <c r="P837" s="164"/>
      <c r="Q837" s="164"/>
      <c r="R837" s="164"/>
      <c r="S837" s="164"/>
      <c r="T837" s="164"/>
      <c r="U837" s="164"/>
      <c r="V837" s="164"/>
      <c r="W837" s="164"/>
      <c r="X837" s="164"/>
      <c r="Y837" s="164"/>
      <c r="Z837" s="164"/>
    </row>
    <row r="838" ht="15.75" customHeight="1">
      <c r="A838" s="164"/>
      <c r="B838" s="164"/>
      <c r="C838" s="164"/>
      <c r="D838" s="165"/>
      <c r="E838" s="165"/>
      <c r="F838" s="164"/>
      <c r="G838" s="164"/>
      <c r="H838" s="164"/>
      <c r="I838" s="164"/>
      <c r="J838" s="164"/>
      <c r="K838" s="164"/>
      <c r="L838" s="164"/>
      <c r="M838" s="164"/>
      <c r="N838" s="164"/>
      <c r="O838" s="164"/>
      <c r="P838" s="164"/>
      <c r="Q838" s="164"/>
      <c r="R838" s="164"/>
      <c r="S838" s="164"/>
      <c r="T838" s="164"/>
      <c r="U838" s="164"/>
      <c r="V838" s="164"/>
      <c r="W838" s="164"/>
      <c r="X838" s="164"/>
      <c r="Y838" s="164"/>
      <c r="Z838" s="164"/>
    </row>
    <row r="839" ht="15.75" customHeight="1">
      <c r="A839" s="164"/>
      <c r="B839" s="164"/>
      <c r="C839" s="164"/>
      <c r="D839" s="165"/>
      <c r="E839" s="165"/>
      <c r="F839" s="164"/>
      <c r="G839" s="164"/>
      <c r="H839" s="164"/>
      <c r="I839" s="164"/>
      <c r="J839" s="164"/>
      <c r="K839" s="164"/>
      <c r="L839" s="164"/>
      <c r="M839" s="164"/>
      <c r="N839" s="164"/>
      <c r="O839" s="164"/>
      <c r="P839" s="164"/>
      <c r="Q839" s="164"/>
      <c r="R839" s="164"/>
      <c r="S839" s="164"/>
      <c r="T839" s="164"/>
      <c r="U839" s="164"/>
      <c r="V839" s="164"/>
      <c r="W839" s="164"/>
      <c r="X839" s="164"/>
      <c r="Y839" s="164"/>
      <c r="Z839" s="164"/>
    </row>
    <row r="840" ht="15.75" customHeight="1">
      <c r="A840" s="164"/>
      <c r="B840" s="164"/>
      <c r="C840" s="164"/>
      <c r="D840" s="165"/>
      <c r="E840" s="165"/>
      <c r="F840" s="164"/>
      <c r="G840" s="164"/>
      <c r="H840" s="164"/>
      <c r="I840" s="164"/>
      <c r="J840" s="164"/>
      <c r="K840" s="164"/>
      <c r="L840" s="164"/>
      <c r="M840" s="164"/>
      <c r="N840" s="164"/>
      <c r="O840" s="164"/>
      <c r="P840" s="164"/>
      <c r="Q840" s="164"/>
      <c r="R840" s="164"/>
      <c r="S840" s="164"/>
      <c r="T840" s="164"/>
      <c r="U840" s="164"/>
      <c r="V840" s="164"/>
      <c r="W840" s="164"/>
      <c r="X840" s="164"/>
      <c r="Y840" s="164"/>
      <c r="Z840" s="164"/>
    </row>
    <row r="841" ht="15.75" customHeight="1">
      <c r="A841" s="164"/>
      <c r="B841" s="164"/>
      <c r="C841" s="164"/>
      <c r="D841" s="165"/>
      <c r="E841" s="165"/>
      <c r="F841" s="164"/>
      <c r="G841" s="164"/>
      <c r="H841" s="164"/>
      <c r="I841" s="164"/>
      <c r="J841" s="164"/>
      <c r="K841" s="164"/>
      <c r="L841" s="164"/>
      <c r="M841" s="164"/>
      <c r="N841" s="164"/>
      <c r="O841" s="164"/>
      <c r="P841" s="164"/>
      <c r="Q841" s="164"/>
      <c r="R841" s="164"/>
      <c r="S841" s="164"/>
      <c r="T841" s="164"/>
      <c r="U841" s="164"/>
      <c r="V841" s="164"/>
      <c r="W841" s="164"/>
      <c r="X841" s="164"/>
      <c r="Y841" s="164"/>
      <c r="Z841" s="164"/>
    </row>
    <row r="842" ht="15.75" customHeight="1">
      <c r="A842" s="164"/>
      <c r="B842" s="164"/>
      <c r="C842" s="164"/>
      <c r="D842" s="165"/>
      <c r="E842" s="165"/>
      <c r="F842" s="164"/>
      <c r="G842" s="164"/>
      <c r="H842" s="164"/>
      <c r="I842" s="164"/>
      <c r="J842" s="164"/>
      <c r="K842" s="164"/>
      <c r="L842" s="164"/>
      <c r="M842" s="164"/>
      <c r="N842" s="164"/>
      <c r="O842" s="164"/>
      <c r="P842" s="164"/>
      <c r="Q842" s="164"/>
      <c r="R842" s="164"/>
      <c r="S842" s="164"/>
      <c r="T842" s="164"/>
      <c r="U842" s="164"/>
      <c r="V842" s="164"/>
      <c r="W842" s="164"/>
      <c r="X842" s="164"/>
      <c r="Y842" s="164"/>
      <c r="Z842" s="164"/>
    </row>
    <row r="843" ht="15.75" customHeight="1">
      <c r="A843" s="164"/>
      <c r="B843" s="164"/>
      <c r="C843" s="164"/>
      <c r="D843" s="165"/>
      <c r="E843" s="165"/>
      <c r="F843" s="164"/>
      <c r="G843" s="164"/>
      <c r="H843" s="164"/>
      <c r="I843" s="164"/>
      <c r="J843" s="164"/>
      <c r="K843" s="164"/>
      <c r="L843" s="164"/>
      <c r="M843" s="164"/>
      <c r="N843" s="164"/>
      <c r="O843" s="164"/>
      <c r="P843" s="164"/>
      <c r="Q843" s="164"/>
      <c r="R843" s="164"/>
      <c r="S843" s="164"/>
      <c r="T843" s="164"/>
      <c r="U843" s="164"/>
      <c r="V843" s="164"/>
      <c r="W843" s="164"/>
      <c r="X843" s="164"/>
      <c r="Y843" s="164"/>
      <c r="Z843" s="164"/>
    </row>
    <row r="844" ht="15.75" customHeight="1">
      <c r="A844" s="164"/>
      <c r="B844" s="164"/>
      <c r="C844" s="164"/>
      <c r="D844" s="165"/>
      <c r="E844" s="165"/>
      <c r="F844" s="164"/>
      <c r="G844" s="164"/>
      <c r="H844" s="164"/>
      <c r="I844" s="164"/>
      <c r="J844" s="164"/>
      <c r="K844" s="164"/>
      <c r="L844" s="164"/>
      <c r="M844" s="164"/>
      <c r="N844" s="164"/>
      <c r="O844" s="164"/>
      <c r="P844" s="164"/>
      <c r="Q844" s="164"/>
      <c r="R844" s="164"/>
      <c r="S844" s="164"/>
      <c r="T844" s="164"/>
      <c r="U844" s="164"/>
      <c r="V844" s="164"/>
      <c r="W844" s="164"/>
      <c r="X844" s="164"/>
      <c r="Y844" s="164"/>
      <c r="Z844" s="164"/>
    </row>
    <row r="845" ht="15.75" customHeight="1">
      <c r="A845" s="164"/>
      <c r="B845" s="164"/>
      <c r="C845" s="164"/>
      <c r="D845" s="165"/>
      <c r="E845" s="165"/>
      <c r="F845" s="164"/>
      <c r="G845" s="164"/>
      <c r="H845" s="164"/>
      <c r="I845" s="164"/>
      <c r="J845" s="164"/>
      <c r="K845" s="164"/>
      <c r="L845" s="164"/>
      <c r="M845" s="164"/>
      <c r="N845" s="164"/>
      <c r="O845" s="164"/>
      <c r="P845" s="164"/>
      <c r="Q845" s="164"/>
      <c r="R845" s="164"/>
      <c r="S845" s="164"/>
      <c r="T845" s="164"/>
      <c r="U845" s="164"/>
      <c r="V845" s="164"/>
      <c r="W845" s="164"/>
      <c r="X845" s="164"/>
      <c r="Y845" s="164"/>
      <c r="Z845" s="164"/>
    </row>
    <row r="846" ht="15.75" customHeight="1">
      <c r="A846" s="164"/>
      <c r="B846" s="164"/>
      <c r="C846" s="164"/>
      <c r="D846" s="165"/>
      <c r="E846" s="165"/>
      <c r="F846" s="164"/>
      <c r="G846" s="164"/>
      <c r="H846" s="164"/>
      <c r="I846" s="164"/>
      <c r="J846" s="164"/>
      <c r="K846" s="164"/>
      <c r="L846" s="164"/>
      <c r="M846" s="164"/>
      <c r="N846" s="164"/>
      <c r="O846" s="164"/>
      <c r="P846" s="164"/>
      <c r="Q846" s="164"/>
      <c r="R846" s="164"/>
      <c r="S846" s="164"/>
      <c r="T846" s="164"/>
      <c r="U846" s="164"/>
      <c r="V846" s="164"/>
      <c r="W846" s="164"/>
      <c r="X846" s="164"/>
      <c r="Y846" s="164"/>
      <c r="Z846" s="164"/>
    </row>
    <row r="847" ht="15.75" customHeight="1">
      <c r="A847" s="164"/>
      <c r="B847" s="164"/>
      <c r="C847" s="164"/>
      <c r="D847" s="165"/>
      <c r="E847" s="165"/>
      <c r="F847" s="164"/>
      <c r="G847" s="164"/>
      <c r="H847" s="164"/>
      <c r="I847" s="164"/>
      <c r="J847" s="164"/>
      <c r="K847" s="164"/>
      <c r="L847" s="164"/>
      <c r="M847" s="164"/>
      <c r="N847" s="164"/>
      <c r="O847" s="164"/>
      <c r="P847" s="164"/>
      <c r="Q847" s="164"/>
      <c r="R847" s="164"/>
      <c r="S847" s="164"/>
      <c r="T847" s="164"/>
      <c r="U847" s="164"/>
      <c r="V847" s="164"/>
      <c r="W847" s="164"/>
      <c r="X847" s="164"/>
      <c r="Y847" s="164"/>
      <c r="Z847" s="164"/>
    </row>
    <row r="848" ht="15.75" customHeight="1">
      <c r="A848" s="164"/>
      <c r="B848" s="164"/>
      <c r="C848" s="164"/>
      <c r="D848" s="165"/>
      <c r="E848" s="165"/>
      <c r="F848" s="164"/>
      <c r="G848" s="164"/>
      <c r="H848" s="164"/>
      <c r="I848" s="164"/>
      <c r="J848" s="164"/>
      <c r="K848" s="164"/>
      <c r="L848" s="164"/>
      <c r="M848" s="164"/>
      <c r="N848" s="164"/>
      <c r="O848" s="164"/>
      <c r="P848" s="164"/>
      <c r="Q848" s="164"/>
      <c r="R848" s="164"/>
      <c r="S848" s="164"/>
      <c r="T848" s="164"/>
      <c r="U848" s="164"/>
      <c r="V848" s="164"/>
      <c r="W848" s="164"/>
      <c r="X848" s="164"/>
      <c r="Y848" s="164"/>
      <c r="Z848" s="164"/>
    </row>
    <row r="849" ht="15.75" customHeight="1">
      <c r="A849" s="164"/>
      <c r="B849" s="164"/>
      <c r="C849" s="164"/>
      <c r="D849" s="165"/>
      <c r="E849" s="165"/>
      <c r="F849" s="164"/>
      <c r="G849" s="164"/>
      <c r="H849" s="164"/>
      <c r="I849" s="164"/>
      <c r="J849" s="164"/>
      <c r="K849" s="164"/>
      <c r="L849" s="164"/>
      <c r="M849" s="164"/>
      <c r="N849" s="164"/>
      <c r="O849" s="164"/>
      <c r="P849" s="164"/>
      <c r="Q849" s="164"/>
      <c r="R849" s="164"/>
      <c r="S849" s="164"/>
      <c r="T849" s="164"/>
      <c r="U849" s="164"/>
      <c r="V849" s="164"/>
      <c r="W849" s="164"/>
      <c r="X849" s="164"/>
      <c r="Y849" s="164"/>
      <c r="Z849" s="164"/>
    </row>
    <row r="850" ht="15.75" customHeight="1">
      <c r="A850" s="164"/>
      <c r="B850" s="164"/>
      <c r="C850" s="164"/>
      <c r="D850" s="165"/>
      <c r="E850" s="165"/>
      <c r="F850" s="164"/>
      <c r="G850" s="164"/>
      <c r="H850" s="164"/>
      <c r="I850" s="164"/>
      <c r="J850" s="164"/>
      <c r="K850" s="164"/>
      <c r="L850" s="164"/>
      <c r="M850" s="164"/>
      <c r="N850" s="164"/>
      <c r="O850" s="164"/>
      <c r="P850" s="164"/>
      <c r="Q850" s="164"/>
      <c r="R850" s="164"/>
      <c r="S850" s="164"/>
      <c r="T850" s="164"/>
      <c r="U850" s="164"/>
      <c r="V850" s="164"/>
      <c r="W850" s="164"/>
      <c r="X850" s="164"/>
      <c r="Y850" s="164"/>
      <c r="Z850" s="164"/>
    </row>
    <row r="851" ht="15.75" customHeight="1">
      <c r="A851" s="164"/>
      <c r="B851" s="164"/>
      <c r="C851" s="164"/>
      <c r="D851" s="165"/>
      <c r="E851" s="165"/>
      <c r="F851" s="164"/>
      <c r="G851" s="164"/>
      <c r="H851" s="164"/>
      <c r="I851" s="164"/>
      <c r="J851" s="164"/>
      <c r="K851" s="164"/>
      <c r="L851" s="164"/>
      <c r="M851" s="164"/>
      <c r="N851" s="164"/>
      <c r="O851" s="164"/>
      <c r="P851" s="164"/>
      <c r="Q851" s="164"/>
      <c r="R851" s="164"/>
      <c r="S851" s="164"/>
      <c r="T851" s="164"/>
      <c r="U851" s="164"/>
      <c r="V851" s="164"/>
      <c r="W851" s="164"/>
      <c r="X851" s="164"/>
      <c r="Y851" s="164"/>
      <c r="Z851" s="164"/>
    </row>
    <row r="852" ht="15.75" customHeight="1">
      <c r="A852" s="164"/>
      <c r="B852" s="164"/>
      <c r="C852" s="164"/>
      <c r="D852" s="165"/>
      <c r="E852" s="165"/>
      <c r="F852" s="164"/>
      <c r="G852" s="164"/>
      <c r="H852" s="164"/>
      <c r="I852" s="164"/>
      <c r="J852" s="164"/>
      <c r="K852" s="164"/>
      <c r="L852" s="164"/>
      <c r="M852" s="164"/>
      <c r="N852" s="164"/>
      <c r="O852" s="164"/>
      <c r="P852" s="164"/>
      <c r="Q852" s="164"/>
      <c r="R852" s="164"/>
      <c r="S852" s="164"/>
      <c r="T852" s="164"/>
      <c r="U852" s="164"/>
      <c r="V852" s="164"/>
      <c r="W852" s="164"/>
      <c r="X852" s="164"/>
      <c r="Y852" s="164"/>
      <c r="Z852" s="164"/>
    </row>
    <row r="853" ht="15.75" customHeight="1">
      <c r="A853" s="164"/>
      <c r="B853" s="164"/>
      <c r="C853" s="164"/>
      <c r="D853" s="165"/>
      <c r="E853" s="165"/>
      <c r="F853" s="164"/>
      <c r="G853" s="164"/>
      <c r="H853" s="164"/>
      <c r="I853" s="164"/>
      <c r="J853" s="164"/>
      <c r="K853" s="164"/>
      <c r="L853" s="164"/>
      <c r="M853" s="164"/>
      <c r="N853" s="164"/>
      <c r="O853" s="164"/>
      <c r="P853" s="164"/>
      <c r="Q853" s="164"/>
      <c r="R853" s="164"/>
      <c r="S853" s="164"/>
      <c r="T853" s="164"/>
      <c r="U853" s="164"/>
      <c r="V853" s="164"/>
      <c r="W853" s="164"/>
      <c r="X853" s="164"/>
      <c r="Y853" s="164"/>
      <c r="Z853" s="164"/>
    </row>
    <row r="854" ht="15.75" customHeight="1">
      <c r="A854" s="164"/>
      <c r="B854" s="164"/>
      <c r="C854" s="164"/>
      <c r="D854" s="165"/>
      <c r="E854" s="165"/>
      <c r="F854" s="164"/>
      <c r="G854" s="164"/>
      <c r="H854" s="164"/>
      <c r="I854" s="164"/>
      <c r="J854" s="164"/>
      <c r="K854" s="164"/>
      <c r="L854" s="164"/>
      <c r="M854" s="164"/>
      <c r="N854" s="164"/>
      <c r="O854" s="164"/>
      <c r="P854" s="164"/>
      <c r="Q854" s="164"/>
      <c r="R854" s="164"/>
      <c r="S854" s="164"/>
      <c r="T854" s="164"/>
      <c r="U854" s="164"/>
      <c r="V854" s="164"/>
      <c r="W854" s="164"/>
      <c r="X854" s="164"/>
      <c r="Y854" s="164"/>
      <c r="Z854" s="164"/>
    </row>
    <row r="855" ht="15.75" customHeight="1">
      <c r="A855" s="164"/>
      <c r="B855" s="164"/>
      <c r="C855" s="164"/>
      <c r="D855" s="165"/>
      <c r="E855" s="165"/>
      <c r="F855" s="164"/>
      <c r="G855" s="164"/>
      <c r="H855" s="164"/>
      <c r="I855" s="164"/>
      <c r="J855" s="164"/>
      <c r="K855" s="164"/>
      <c r="L855" s="164"/>
      <c r="M855" s="164"/>
      <c r="N855" s="164"/>
      <c r="O855" s="164"/>
      <c r="P855" s="164"/>
      <c r="Q855" s="164"/>
      <c r="R855" s="164"/>
      <c r="S855" s="164"/>
      <c r="T855" s="164"/>
      <c r="U855" s="164"/>
      <c r="V855" s="164"/>
      <c r="W855" s="164"/>
      <c r="X855" s="164"/>
      <c r="Y855" s="164"/>
      <c r="Z855" s="164"/>
    </row>
    <row r="856" ht="15.75" customHeight="1">
      <c r="A856" s="164"/>
      <c r="B856" s="164"/>
      <c r="C856" s="164"/>
      <c r="D856" s="165"/>
      <c r="E856" s="165"/>
      <c r="F856" s="164"/>
      <c r="G856" s="164"/>
      <c r="H856" s="164"/>
      <c r="I856" s="164"/>
      <c r="J856" s="164"/>
      <c r="K856" s="164"/>
      <c r="L856" s="164"/>
      <c r="M856" s="164"/>
      <c r="N856" s="164"/>
      <c r="O856" s="164"/>
      <c r="P856" s="164"/>
      <c r="Q856" s="164"/>
      <c r="R856" s="164"/>
      <c r="S856" s="164"/>
      <c r="T856" s="164"/>
      <c r="U856" s="164"/>
      <c r="V856" s="164"/>
      <c r="W856" s="164"/>
      <c r="X856" s="164"/>
      <c r="Y856" s="164"/>
      <c r="Z856" s="164"/>
    </row>
    <row r="857" ht="15.75" customHeight="1">
      <c r="A857" s="164"/>
      <c r="B857" s="164"/>
      <c r="C857" s="164"/>
      <c r="D857" s="165"/>
      <c r="E857" s="165"/>
      <c r="F857" s="164"/>
      <c r="G857" s="164"/>
      <c r="H857" s="164"/>
      <c r="I857" s="164"/>
      <c r="J857" s="164"/>
      <c r="K857" s="164"/>
      <c r="L857" s="164"/>
      <c r="M857" s="164"/>
      <c r="N857" s="164"/>
      <c r="O857" s="164"/>
      <c r="P857" s="164"/>
      <c r="Q857" s="164"/>
      <c r="R857" s="164"/>
      <c r="S857" s="164"/>
      <c r="T857" s="164"/>
      <c r="U857" s="164"/>
      <c r="V857" s="164"/>
      <c r="W857" s="164"/>
      <c r="X857" s="164"/>
      <c r="Y857" s="164"/>
      <c r="Z857" s="164"/>
    </row>
    <row r="858" ht="15.75" customHeight="1">
      <c r="A858" s="164"/>
      <c r="B858" s="164"/>
      <c r="C858" s="164"/>
      <c r="D858" s="165"/>
      <c r="E858" s="165"/>
      <c r="F858" s="164"/>
      <c r="G858" s="164"/>
      <c r="H858" s="164"/>
      <c r="I858" s="164"/>
      <c r="J858" s="164"/>
      <c r="K858" s="164"/>
      <c r="L858" s="164"/>
      <c r="M858" s="164"/>
      <c r="N858" s="164"/>
      <c r="O858" s="164"/>
      <c r="P858" s="164"/>
      <c r="Q858" s="164"/>
      <c r="R858" s="164"/>
      <c r="S858" s="164"/>
      <c r="T858" s="164"/>
      <c r="U858" s="164"/>
      <c r="V858" s="164"/>
      <c r="W858" s="164"/>
      <c r="X858" s="164"/>
      <c r="Y858" s="164"/>
      <c r="Z858" s="164"/>
    </row>
    <row r="859" ht="15.75" customHeight="1">
      <c r="A859" s="164"/>
      <c r="B859" s="164"/>
      <c r="C859" s="164"/>
      <c r="D859" s="165"/>
      <c r="E859" s="165"/>
      <c r="F859" s="164"/>
      <c r="G859" s="164"/>
      <c r="H859" s="164"/>
      <c r="I859" s="164"/>
      <c r="J859" s="164"/>
      <c r="K859" s="164"/>
      <c r="L859" s="164"/>
      <c r="M859" s="164"/>
      <c r="N859" s="164"/>
      <c r="O859" s="164"/>
      <c r="P859" s="164"/>
      <c r="Q859" s="164"/>
      <c r="R859" s="164"/>
      <c r="S859" s="164"/>
      <c r="T859" s="164"/>
      <c r="U859" s="164"/>
      <c r="V859" s="164"/>
      <c r="W859" s="164"/>
      <c r="X859" s="164"/>
      <c r="Y859" s="164"/>
      <c r="Z859" s="164"/>
    </row>
    <row r="860" ht="15.75" customHeight="1">
      <c r="A860" s="164"/>
      <c r="B860" s="164"/>
      <c r="C860" s="164"/>
      <c r="D860" s="165"/>
      <c r="E860" s="165"/>
      <c r="F860" s="164"/>
      <c r="G860" s="164"/>
      <c r="H860" s="164"/>
      <c r="I860" s="164"/>
      <c r="J860" s="164"/>
      <c r="K860" s="164"/>
      <c r="L860" s="164"/>
      <c r="M860" s="164"/>
      <c r="N860" s="164"/>
      <c r="O860" s="164"/>
      <c r="P860" s="164"/>
      <c r="Q860" s="164"/>
      <c r="R860" s="164"/>
      <c r="S860" s="164"/>
      <c r="T860" s="164"/>
      <c r="U860" s="164"/>
      <c r="V860" s="164"/>
      <c r="W860" s="164"/>
      <c r="X860" s="164"/>
      <c r="Y860" s="164"/>
      <c r="Z860" s="164"/>
    </row>
    <row r="861" ht="15.75" customHeight="1">
      <c r="A861" s="164"/>
      <c r="B861" s="164"/>
      <c r="C861" s="164"/>
      <c r="D861" s="165"/>
      <c r="E861" s="165"/>
      <c r="F861" s="164"/>
      <c r="G861" s="164"/>
      <c r="H861" s="164"/>
      <c r="I861" s="164"/>
      <c r="J861" s="164"/>
      <c r="K861" s="164"/>
      <c r="L861" s="164"/>
      <c r="M861" s="164"/>
      <c r="N861" s="164"/>
      <c r="O861" s="164"/>
      <c r="P861" s="164"/>
      <c r="Q861" s="164"/>
      <c r="R861" s="164"/>
      <c r="S861" s="164"/>
      <c r="T861" s="164"/>
      <c r="U861" s="164"/>
      <c r="V861" s="164"/>
      <c r="W861" s="164"/>
      <c r="X861" s="164"/>
      <c r="Y861" s="164"/>
      <c r="Z861" s="164"/>
    </row>
    <row r="862" ht="15.75" customHeight="1">
      <c r="A862" s="164"/>
      <c r="B862" s="164"/>
      <c r="C862" s="164"/>
      <c r="D862" s="165"/>
      <c r="E862" s="165"/>
      <c r="F862" s="164"/>
      <c r="G862" s="164"/>
      <c r="H862" s="164"/>
      <c r="I862" s="164"/>
      <c r="J862" s="164"/>
      <c r="K862" s="164"/>
      <c r="L862" s="164"/>
      <c r="M862" s="164"/>
      <c r="N862" s="164"/>
      <c r="O862" s="164"/>
      <c r="P862" s="164"/>
      <c r="Q862" s="164"/>
      <c r="R862" s="164"/>
      <c r="S862" s="164"/>
      <c r="T862" s="164"/>
      <c r="U862" s="164"/>
      <c r="V862" s="164"/>
      <c r="W862" s="164"/>
      <c r="X862" s="164"/>
      <c r="Y862" s="164"/>
      <c r="Z862" s="164"/>
    </row>
    <row r="863" ht="15.75" customHeight="1">
      <c r="A863" s="164"/>
      <c r="B863" s="164"/>
      <c r="C863" s="164"/>
      <c r="D863" s="165"/>
      <c r="E863" s="165"/>
      <c r="F863" s="164"/>
      <c r="G863" s="164"/>
      <c r="H863" s="164"/>
      <c r="I863" s="164"/>
      <c r="J863" s="164"/>
      <c r="K863" s="164"/>
      <c r="L863" s="164"/>
      <c r="M863" s="164"/>
      <c r="N863" s="164"/>
      <c r="O863" s="164"/>
      <c r="P863" s="164"/>
      <c r="Q863" s="164"/>
      <c r="R863" s="164"/>
      <c r="S863" s="164"/>
      <c r="T863" s="164"/>
      <c r="U863" s="164"/>
      <c r="V863" s="164"/>
      <c r="W863" s="164"/>
      <c r="X863" s="164"/>
      <c r="Y863" s="164"/>
      <c r="Z863" s="164"/>
    </row>
    <row r="864" ht="15.75" customHeight="1">
      <c r="A864" s="164"/>
      <c r="B864" s="164"/>
      <c r="C864" s="164"/>
      <c r="D864" s="165"/>
      <c r="E864" s="165"/>
      <c r="F864" s="164"/>
      <c r="G864" s="164"/>
      <c r="H864" s="164"/>
      <c r="I864" s="164"/>
      <c r="J864" s="164"/>
      <c r="K864" s="164"/>
      <c r="L864" s="164"/>
      <c r="M864" s="164"/>
      <c r="N864" s="164"/>
      <c r="O864" s="164"/>
      <c r="P864" s="164"/>
      <c r="Q864" s="164"/>
      <c r="R864" s="164"/>
      <c r="S864" s="164"/>
      <c r="T864" s="164"/>
      <c r="U864" s="164"/>
      <c r="V864" s="164"/>
      <c r="W864" s="164"/>
      <c r="X864" s="164"/>
      <c r="Y864" s="164"/>
      <c r="Z864" s="164"/>
    </row>
    <row r="865" ht="15.75" customHeight="1">
      <c r="A865" s="164"/>
      <c r="B865" s="164"/>
      <c r="C865" s="164"/>
      <c r="D865" s="165"/>
      <c r="E865" s="165"/>
      <c r="F865" s="164"/>
      <c r="G865" s="164"/>
      <c r="H865" s="164"/>
      <c r="I865" s="164"/>
      <c r="J865" s="164"/>
      <c r="K865" s="164"/>
      <c r="L865" s="164"/>
      <c r="M865" s="164"/>
      <c r="N865" s="164"/>
      <c r="O865" s="164"/>
      <c r="P865" s="164"/>
      <c r="Q865" s="164"/>
      <c r="R865" s="164"/>
      <c r="S865" s="164"/>
      <c r="T865" s="164"/>
      <c r="U865" s="164"/>
      <c r="V865" s="164"/>
      <c r="W865" s="164"/>
      <c r="X865" s="164"/>
      <c r="Y865" s="164"/>
      <c r="Z865" s="164"/>
    </row>
    <row r="866" ht="15.75" customHeight="1">
      <c r="A866" s="164"/>
      <c r="B866" s="164"/>
      <c r="C866" s="164"/>
      <c r="D866" s="165"/>
      <c r="E866" s="165"/>
      <c r="F866" s="164"/>
      <c r="G866" s="164"/>
      <c r="H866" s="164"/>
      <c r="I866" s="164"/>
      <c r="J866" s="164"/>
      <c r="K866" s="164"/>
      <c r="L866" s="164"/>
      <c r="M866" s="164"/>
      <c r="N866" s="164"/>
      <c r="O866" s="164"/>
      <c r="P866" s="164"/>
      <c r="Q866" s="164"/>
      <c r="R866" s="164"/>
      <c r="S866" s="164"/>
      <c r="T866" s="164"/>
      <c r="U866" s="164"/>
      <c r="V866" s="164"/>
      <c r="W866" s="164"/>
      <c r="X866" s="164"/>
      <c r="Y866" s="164"/>
      <c r="Z866" s="164"/>
    </row>
    <row r="867" ht="15.75" customHeight="1">
      <c r="A867" s="164"/>
      <c r="B867" s="164"/>
      <c r="C867" s="164"/>
      <c r="D867" s="165"/>
      <c r="E867" s="165"/>
      <c r="F867" s="164"/>
      <c r="G867" s="164"/>
      <c r="H867" s="164"/>
      <c r="I867" s="164"/>
      <c r="J867" s="164"/>
      <c r="K867" s="164"/>
      <c r="L867" s="164"/>
      <c r="M867" s="164"/>
      <c r="N867" s="164"/>
      <c r="O867" s="164"/>
      <c r="P867" s="164"/>
      <c r="Q867" s="164"/>
      <c r="R867" s="164"/>
      <c r="S867" s="164"/>
      <c r="T867" s="164"/>
      <c r="U867" s="164"/>
      <c r="V867" s="164"/>
      <c r="W867" s="164"/>
      <c r="X867" s="164"/>
      <c r="Y867" s="164"/>
      <c r="Z867" s="164"/>
    </row>
    <row r="868" ht="15.75" customHeight="1">
      <c r="A868" s="164"/>
      <c r="B868" s="164"/>
      <c r="C868" s="164"/>
      <c r="D868" s="165"/>
      <c r="E868" s="165"/>
      <c r="F868" s="164"/>
      <c r="G868" s="164"/>
      <c r="H868" s="164"/>
      <c r="I868" s="164"/>
      <c r="J868" s="164"/>
      <c r="K868" s="164"/>
      <c r="L868" s="164"/>
      <c r="M868" s="164"/>
      <c r="N868" s="164"/>
      <c r="O868" s="164"/>
      <c r="P868" s="164"/>
      <c r="Q868" s="164"/>
      <c r="R868" s="164"/>
      <c r="S868" s="164"/>
      <c r="T868" s="164"/>
      <c r="U868" s="164"/>
      <c r="V868" s="164"/>
      <c r="W868" s="164"/>
      <c r="X868" s="164"/>
      <c r="Y868" s="164"/>
      <c r="Z868" s="164"/>
    </row>
    <row r="869" ht="15.75" customHeight="1">
      <c r="A869" s="164"/>
      <c r="B869" s="164"/>
      <c r="C869" s="164"/>
      <c r="D869" s="165"/>
      <c r="E869" s="165"/>
      <c r="F869" s="164"/>
      <c r="G869" s="164"/>
      <c r="H869" s="164"/>
      <c r="I869" s="164"/>
      <c r="J869" s="164"/>
      <c r="K869" s="164"/>
      <c r="L869" s="164"/>
      <c r="M869" s="164"/>
      <c r="N869" s="164"/>
      <c r="O869" s="164"/>
      <c r="P869" s="164"/>
      <c r="Q869" s="164"/>
      <c r="R869" s="164"/>
      <c r="S869" s="164"/>
      <c r="T869" s="164"/>
      <c r="U869" s="164"/>
      <c r="V869" s="164"/>
      <c r="W869" s="164"/>
      <c r="X869" s="164"/>
      <c r="Y869" s="164"/>
      <c r="Z869" s="164"/>
    </row>
    <row r="870" ht="15.75" customHeight="1">
      <c r="A870" s="164"/>
      <c r="B870" s="164"/>
      <c r="C870" s="164"/>
      <c r="D870" s="165"/>
      <c r="E870" s="165"/>
      <c r="F870" s="164"/>
      <c r="G870" s="164"/>
      <c r="H870" s="164"/>
      <c r="I870" s="164"/>
      <c r="J870" s="164"/>
      <c r="K870" s="164"/>
      <c r="L870" s="164"/>
      <c r="M870" s="164"/>
      <c r="N870" s="164"/>
      <c r="O870" s="164"/>
      <c r="P870" s="164"/>
      <c r="Q870" s="164"/>
      <c r="R870" s="164"/>
      <c r="S870" s="164"/>
      <c r="T870" s="164"/>
      <c r="U870" s="164"/>
      <c r="V870" s="164"/>
      <c r="W870" s="164"/>
      <c r="X870" s="164"/>
      <c r="Y870" s="164"/>
      <c r="Z870" s="164"/>
    </row>
    <row r="871" ht="15.75" customHeight="1">
      <c r="A871" s="164"/>
      <c r="B871" s="164"/>
      <c r="C871" s="164"/>
      <c r="D871" s="165"/>
      <c r="E871" s="165"/>
      <c r="F871" s="164"/>
      <c r="G871" s="164"/>
      <c r="H871" s="164"/>
      <c r="I871" s="164"/>
      <c r="J871" s="164"/>
      <c r="K871" s="164"/>
      <c r="L871" s="164"/>
      <c r="M871" s="164"/>
      <c r="N871" s="164"/>
      <c r="O871" s="164"/>
      <c r="P871" s="164"/>
      <c r="Q871" s="164"/>
      <c r="R871" s="164"/>
      <c r="S871" s="164"/>
      <c r="T871" s="164"/>
      <c r="U871" s="164"/>
      <c r="V871" s="164"/>
      <c r="W871" s="164"/>
      <c r="X871" s="164"/>
      <c r="Y871" s="164"/>
      <c r="Z871" s="164"/>
    </row>
    <row r="872" ht="15.75" customHeight="1">
      <c r="A872" s="164"/>
      <c r="B872" s="164"/>
      <c r="C872" s="164"/>
      <c r="D872" s="165"/>
      <c r="E872" s="165"/>
      <c r="F872" s="164"/>
      <c r="G872" s="164"/>
      <c r="H872" s="164"/>
      <c r="I872" s="164"/>
      <c r="J872" s="164"/>
      <c r="K872" s="164"/>
      <c r="L872" s="164"/>
      <c r="M872" s="164"/>
      <c r="N872" s="164"/>
      <c r="O872" s="164"/>
      <c r="P872" s="164"/>
      <c r="Q872" s="164"/>
      <c r="R872" s="164"/>
      <c r="S872" s="164"/>
      <c r="T872" s="164"/>
      <c r="U872" s="164"/>
      <c r="V872" s="164"/>
      <c r="W872" s="164"/>
      <c r="X872" s="164"/>
      <c r="Y872" s="164"/>
      <c r="Z872" s="164"/>
    </row>
    <row r="873" ht="15.75" customHeight="1">
      <c r="A873" s="164"/>
      <c r="B873" s="164"/>
      <c r="C873" s="164"/>
      <c r="D873" s="165"/>
      <c r="E873" s="165"/>
      <c r="F873" s="164"/>
      <c r="G873" s="164"/>
      <c r="H873" s="164"/>
      <c r="I873" s="164"/>
      <c r="J873" s="164"/>
      <c r="K873" s="164"/>
      <c r="L873" s="164"/>
      <c r="M873" s="164"/>
      <c r="N873" s="164"/>
      <c r="O873" s="164"/>
      <c r="P873" s="164"/>
      <c r="Q873" s="164"/>
      <c r="R873" s="164"/>
      <c r="S873" s="164"/>
      <c r="T873" s="164"/>
      <c r="U873" s="164"/>
      <c r="V873" s="164"/>
      <c r="W873" s="164"/>
      <c r="X873" s="164"/>
      <c r="Y873" s="164"/>
      <c r="Z873" s="164"/>
    </row>
    <row r="874" ht="15.75" customHeight="1">
      <c r="A874" s="164"/>
      <c r="B874" s="164"/>
      <c r="C874" s="164"/>
      <c r="D874" s="165"/>
      <c r="E874" s="165"/>
      <c r="F874" s="164"/>
      <c r="G874" s="164"/>
      <c r="H874" s="164"/>
      <c r="I874" s="164"/>
      <c r="J874" s="164"/>
      <c r="K874" s="164"/>
      <c r="L874" s="164"/>
      <c r="M874" s="164"/>
      <c r="N874" s="164"/>
      <c r="O874" s="164"/>
      <c r="P874" s="164"/>
      <c r="Q874" s="164"/>
      <c r="R874" s="164"/>
      <c r="S874" s="164"/>
      <c r="T874" s="164"/>
      <c r="U874" s="164"/>
      <c r="V874" s="164"/>
      <c r="W874" s="164"/>
      <c r="X874" s="164"/>
      <c r="Y874" s="164"/>
      <c r="Z874" s="164"/>
    </row>
    <row r="875" ht="15.75" customHeight="1">
      <c r="A875" s="164"/>
      <c r="B875" s="164"/>
      <c r="C875" s="164"/>
      <c r="D875" s="165"/>
      <c r="E875" s="165"/>
      <c r="F875" s="164"/>
      <c r="G875" s="164"/>
      <c r="H875" s="164"/>
      <c r="I875" s="164"/>
      <c r="J875" s="164"/>
      <c r="K875" s="164"/>
      <c r="L875" s="164"/>
      <c r="M875" s="164"/>
      <c r="N875" s="164"/>
      <c r="O875" s="164"/>
      <c r="P875" s="164"/>
      <c r="Q875" s="164"/>
      <c r="R875" s="164"/>
      <c r="S875" s="164"/>
      <c r="T875" s="164"/>
      <c r="U875" s="164"/>
      <c r="V875" s="164"/>
      <c r="W875" s="164"/>
      <c r="X875" s="164"/>
      <c r="Y875" s="164"/>
      <c r="Z875" s="164"/>
    </row>
    <row r="876" ht="15.75" customHeight="1">
      <c r="A876" s="164"/>
      <c r="B876" s="164"/>
      <c r="C876" s="164"/>
      <c r="D876" s="165"/>
      <c r="E876" s="165"/>
      <c r="F876" s="164"/>
      <c r="G876" s="164"/>
      <c r="H876" s="164"/>
      <c r="I876" s="164"/>
      <c r="J876" s="164"/>
      <c r="K876" s="164"/>
      <c r="L876" s="164"/>
      <c r="M876" s="164"/>
      <c r="N876" s="164"/>
      <c r="O876" s="164"/>
      <c r="P876" s="164"/>
      <c r="Q876" s="164"/>
      <c r="R876" s="164"/>
      <c r="S876" s="164"/>
      <c r="T876" s="164"/>
      <c r="U876" s="164"/>
      <c r="V876" s="164"/>
      <c r="W876" s="164"/>
      <c r="X876" s="164"/>
      <c r="Y876" s="164"/>
      <c r="Z876" s="164"/>
    </row>
    <row r="877" ht="15.75" customHeight="1">
      <c r="A877" s="164"/>
      <c r="B877" s="164"/>
      <c r="C877" s="164"/>
      <c r="D877" s="165"/>
      <c r="E877" s="165"/>
      <c r="F877" s="164"/>
      <c r="G877" s="164"/>
      <c r="H877" s="164"/>
      <c r="I877" s="164"/>
      <c r="J877" s="164"/>
      <c r="K877" s="164"/>
      <c r="L877" s="164"/>
      <c r="M877" s="164"/>
      <c r="N877" s="164"/>
      <c r="O877" s="164"/>
      <c r="P877" s="164"/>
      <c r="Q877" s="164"/>
      <c r="R877" s="164"/>
      <c r="S877" s="164"/>
      <c r="T877" s="164"/>
      <c r="U877" s="164"/>
      <c r="V877" s="164"/>
      <c r="W877" s="164"/>
      <c r="X877" s="164"/>
      <c r="Y877" s="164"/>
      <c r="Z877" s="164"/>
    </row>
    <row r="878" ht="15.75" customHeight="1">
      <c r="A878" s="164"/>
      <c r="B878" s="164"/>
      <c r="C878" s="164"/>
      <c r="D878" s="165"/>
      <c r="E878" s="165"/>
      <c r="F878" s="164"/>
      <c r="G878" s="164"/>
      <c r="H878" s="164"/>
      <c r="I878" s="164"/>
      <c r="J878" s="164"/>
      <c r="K878" s="164"/>
      <c r="L878" s="164"/>
      <c r="M878" s="164"/>
      <c r="N878" s="164"/>
      <c r="O878" s="164"/>
      <c r="P878" s="164"/>
      <c r="Q878" s="164"/>
      <c r="R878" s="164"/>
      <c r="S878" s="164"/>
      <c r="T878" s="164"/>
      <c r="U878" s="164"/>
      <c r="V878" s="164"/>
      <c r="W878" s="164"/>
      <c r="X878" s="164"/>
      <c r="Y878" s="164"/>
      <c r="Z878" s="164"/>
    </row>
    <row r="879" ht="15.75" customHeight="1">
      <c r="A879" s="164"/>
      <c r="B879" s="164"/>
      <c r="C879" s="164"/>
      <c r="D879" s="165"/>
      <c r="E879" s="165"/>
      <c r="F879" s="164"/>
      <c r="G879" s="164"/>
      <c r="H879" s="164"/>
      <c r="I879" s="164"/>
      <c r="J879" s="164"/>
      <c r="K879" s="164"/>
      <c r="L879" s="164"/>
      <c r="M879" s="164"/>
      <c r="N879" s="164"/>
      <c r="O879" s="164"/>
      <c r="P879" s="164"/>
      <c r="Q879" s="164"/>
      <c r="R879" s="164"/>
      <c r="S879" s="164"/>
      <c r="T879" s="164"/>
      <c r="U879" s="164"/>
      <c r="V879" s="164"/>
      <c r="W879" s="164"/>
      <c r="X879" s="164"/>
      <c r="Y879" s="164"/>
      <c r="Z879" s="164"/>
    </row>
    <row r="880" ht="15.75" customHeight="1">
      <c r="A880" s="164"/>
      <c r="B880" s="164"/>
      <c r="C880" s="164"/>
      <c r="D880" s="165"/>
      <c r="E880" s="165"/>
      <c r="F880" s="164"/>
      <c r="G880" s="164"/>
      <c r="H880" s="164"/>
      <c r="I880" s="164"/>
      <c r="J880" s="164"/>
      <c r="K880" s="164"/>
      <c r="L880" s="164"/>
      <c r="M880" s="164"/>
      <c r="N880" s="164"/>
      <c r="O880" s="164"/>
      <c r="P880" s="164"/>
      <c r="Q880" s="164"/>
      <c r="R880" s="164"/>
      <c r="S880" s="164"/>
      <c r="T880" s="164"/>
      <c r="U880" s="164"/>
      <c r="V880" s="164"/>
      <c r="W880" s="164"/>
      <c r="X880" s="164"/>
      <c r="Y880" s="164"/>
      <c r="Z880" s="164"/>
    </row>
    <row r="881" ht="15.75" customHeight="1">
      <c r="A881" s="164"/>
      <c r="B881" s="164"/>
      <c r="C881" s="164"/>
      <c r="D881" s="165"/>
      <c r="E881" s="165"/>
      <c r="F881" s="164"/>
      <c r="G881" s="164"/>
      <c r="H881" s="164"/>
      <c r="I881" s="164"/>
      <c r="J881" s="164"/>
      <c r="K881" s="164"/>
      <c r="L881" s="164"/>
      <c r="M881" s="164"/>
      <c r="N881" s="164"/>
      <c r="O881" s="164"/>
      <c r="P881" s="164"/>
      <c r="Q881" s="164"/>
      <c r="R881" s="164"/>
      <c r="S881" s="164"/>
      <c r="T881" s="164"/>
      <c r="U881" s="164"/>
      <c r="V881" s="164"/>
      <c r="W881" s="164"/>
      <c r="X881" s="164"/>
      <c r="Y881" s="164"/>
      <c r="Z881" s="164"/>
    </row>
    <row r="882" ht="15.75" customHeight="1">
      <c r="A882" s="164"/>
      <c r="B882" s="164"/>
      <c r="C882" s="164"/>
      <c r="D882" s="165"/>
      <c r="E882" s="165"/>
      <c r="F882" s="164"/>
      <c r="G882" s="164"/>
      <c r="H882" s="164"/>
      <c r="I882" s="164"/>
      <c r="J882" s="164"/>
      <c r="K882" s="164"/>
      <c r="L882" s="164"/>
      <c r="M882" s="164"/>
      <c r="N882" s="164"/>
      <c r="O882" s="164"/>
      <c r="P882" s="164"/>
      <c r="Q882" s="164"/>
      <c r="R882" s="164"/>
      <c r="S882" s="164"/>
      <c r="T882" s="164"/>
      <c r="U882" s="164"/>
      <c r="V882" s="164"/>
      <c r="W882" s="164"/>
      <c r="X882" s="164"/>
      <c r="Y882" s="164"/>
      <c r="Z882" s="164"/>
    </row>
    <row r="883" ht="15.75" customHeight="1">
      <c r="A883" s="164"/>
      <c r="B883" s="164"/>
      <c r="C883" s="164"/>
      <c r="D883" s="165"/>
      <c r="E883" s="165"/>
      <c r="F883" s="164"/>
      <c r="G883" s="164"/>
      <c r="H883" s="164"/>
      <c r="I883" s="164"/>
      <c r="J883" s="164"/>
      <c r="K883" s="164"/>
      <c r="L883" s="164"/>
      <c r="M883" s="164"/>
      <c r="N883" s="164"/>
      <c r="O883" s="164"/>
      <c r="P883" s="164"/>
      <c r="Q883" s="164"/>
      <c r="R883" s="164"/>
      <c r="S883" s="164"/>
      <c r="T883" s="164"/>
      <c r="U883" s="164"/>
      <c r="V883" s="164"/>
      <c r="W883" s="164"/>
      <c r="X883" s="164"/>
      <c r="Y883" s="164"/>
      <c r="Z883" s="164"/>
    </row>
    <row r="884" ht="15.75" customHeight="1">
      <c r="A884" s="164"/>
      <c r="B884" s="164"/>
      <c r="C884" s="164"/>
      <c r="D884" s="165"/>
      <c r="E884" s="165"/>
      <c r="F884" s="164"/>
      <c r="G884" s="164"/>
      <c r="H884" s="164"/>
      <c r="I884" s="164"/>
      <c r="J884" s="164"/>
      <c r="K884" s="164"/>
      <c r="L884" s="164"/>
      <c r="M884" s="164"/>
      <c r="N884" s="164"/>
      <c r="O884" s="164"/>
      <c r="P884" s="164"/>
      <c r="Q884" s="164"/>
      <c r="R884" s="164"/>
      <c r="S884" s="164"/>
      <c r="T884" s="164"/>
      <c r="U884" s="164"/>
      <c r="V884" s="164"/>
      <c r="W884" s="164"/>
      <c r="X884" s="164"/>
      <c r="Y884" s="164"/>
      <c r="Z884" s="164"/>
    </row>
    <row r="885" ht="15.75" customHeight="1">
      <c r="A885" s="164"/>
      <c r="B885" s="164"/>
      <c r="C885" s="164"/>
      <c r="D885" s="165"/>
      <c r="E885" s="165"/>
      <c r="F885" s="164"/>
      <c r="G885" s="164"/>
      <c r="H885" s="164"/>
      <c r="I885" s="164"/>
      <c r="J885" s="164"/>
      <c r="K885" s="164"/>
      <c r="L885" s="164"/>
      <c r="M885" s="164"/>
      <c r="N885" s="164"/>
      <c r="O885" s="164"/>
      <c r="P885" s="164"/>
      <c r="Q885" s="164"/>
      <c r="R885" s="164"/>
      <c r="S885" s="164"/>
      <c r="T885" s="164"/>
      <c r="U885" s="164"/>
      <c r="V885" s="164"/>
      <c r="W885" s="164"/>
      <c r="X885" s="164"/>
      <c r="Y885" s="164"/>
      <c r="Z885" s="164"/>
    </row>
    <row r="886" ht="15.75" customHeight="1">
      <c r="A886" s="164"/>
      <c r="B886" s="164"/>
      <c r="C886" s="164"/>
      <c r="D886" s="165"/>
      <c r="E886" s="165"/>
      <c r="F886" s="164"/>
      <c r="G886" s="164"/>
      <c r="H886" s="164"/>
      <c r="I886" s="164"/>
      <c r="J886" s="164"/>
      <c r="K886" s="164"/>
      <c r="L886" s="164"/>
      <c r="M886" s="164"/>
      <c r="N886" s="164"/>
      <c r="O886" s="164"/>
      <c r="P886" s="164"/>
      <c r="Q886" s="164"/>
      <c r="R886" s="164"/>
      <c r="S886" s="164"/>
      <c r="T886" s="164"/>
      <c r="U886" s="164"/>
      <c r="V886" s="164"/>
      <c r="W886" s="164"/>
      <c r="X886" s="164"/>
      <c r="Y886" s="164"/>
      <c r="Z886" s="164"/>
    </row>
    <row r="887" ht="15.75" customHeight="1">
      <c r="A887" s="164"/>
      <c r="B887" s="164"/>
      <c r="C887" s="164"/>
      <c r="D887" s="165"/>
      <c r="E887" s="165"/>
      <c r="F887" s="164"/>
      <c r="G887" s="164"/>
      <c r="H887" s="164"/>
      <c r="I887" s="164"/>
      <c r="J887" s="164"/>
      <c r="K887" s="164"/>
      <c r="L887" s="164"/>
      <c r="M887" s="164"/>
      <c r="N887" s="164"/>
      <c r="O887" s="164"/>
      <c r="P887" s="164"/>
      <c r="Q887" s="164"/>
      <c r="R887" s="164"/>
      <c r="S887" s="164"/>
      <c r="T887" s="164"/>
      <c r="U887" s="164"/>
      <c r="V887" s="164"/>
      <c r="W887" s="164"/>
      <c r="X887" s="164"/>
      <c r="Y887" s="164"/>
      <c r="Z887" s="164"/>
    </row>
    <row r="888" ht="15.75" customHeight="1">
      <c r="A888" s="164"/>
      <c r="B888" s="164"/>
      <c r="C888" s="164"/>
      <c r="D888" s="165"/>
      <c r="E888" s="165"/>
      <c r="F888" s="164"/>
      <c r="G888" s="164"/>
      <c r="H888" s="164"/>
      <c r="I888" s="164"/>
      <c r="J888" s="164"/>
      <c r="K888" s="164"/>
      <c r="L888" s="164"/>
      <c r="M888" s="164"/>
      <c r="N888" s="164"/>
      <c r="O888" s="164"/>
      <c r="P888" s="164"/>
      <c r="Q888" s="164"/>
      <c r="R888" s="164"/>
      <c r="S888" s="164"/>
      <c r="T888" s="164"/>
      <c r="U888" s="164"/>
      <c r="V888" s="164"/>
      <c r="W888" s="164"/>
      <c r="X888" s="164"/>
      <c r="Y888" s="164"/>
      <c r="Z888" s="164"/>
    </row>
    <row r="889" ht="15.75" customHeight="1">
      <c r="A889" s="164"/>
      <c r="B889" s="164"/>
      <c r="C889" s="164"/>
      <c r="D889" s="165"/>
      <c r="E889" s="165"/>
      <c r="F889" s="164"/>
      <c r="G889" s="164"/>
      <c r="H889" s="164"/>
      <c r="I889" s="164"/>
      <c r="J889" s="164"/>
      <c r="K889" s="164"/>
      <c r="L889" s="164"/>
      <c r="M889" s="164"/>
      <c r="N889" s="164"/>
      <c r="O889" s="164"/>
      <c r="P889" s="164"/>
      <c r="Q889" s="164"/>
      <c r="R889" s="164"/>
      <c r="S889" s="164"/>
      <c r="T889" s="164"/>
      <c r="U889" s="164"/>
      <c r="V889" s="164"/>
      <c r="W889" s="164"/>
      <c r="X889" s="164"/>
      <c r="Y889" s="164"/>
      <c r="Z889" s="164"/>
    </row>
    <row r="890" ht="15.75" customHeight="1">
      <c r="A890" s="164"/>
      <c r="B890" s="164"/>
      <c r="C890" s="164"/>
      <c r="D890" s="165"/>
      <c r="E890" s="165"/>
      <c r="F890" s="164"/>
      <c r="G890" s="164"/>
      <c r="H890" s="164"/>
      <c r="I890" s="164"/>
      <c r="J890" s="164"/>
      <c r="K890" s="164"/>
      <c r="L890" s="164"/>
      <c r="M890" s="164"/>
      <c r="N890" s="164"/>
      <c r="O890" s="164"/>
      <c r="P890" s="164"/>
      <c r="Q890" s="164"/>
      <c r="R890" s="164"/>
      <c r="S890" s="164"/>
      <c r="T890" s="164"/>
      <c r="U890" s="164"/>
      <c r="V890" s="164"/>
      <c r="W890" s="164"/>
      <c r="X890" s="164"/>
      <c r="Y890" s="164"/>
      <c r="Z890" s="164"/>
    </row>
    <row r="891" ht="15.75" customHeight="1">
      <c r="A891" s="164"/>
      <c r="B891" s="164"/>
      <c r="C891" s="164"/>
      <c r="D891" s="165"/>
      <c r="E891" s="165"/>
      <c r="F891" s="164"/>
      <c r="G891" s="164"/>
      <c r="H891" s="164"/>
      <c r="I891" s="164"/>
      <c r="J891" s="164"/>
      <c r="K891" s="164"/>
      <c r="L891" s="164"/>
      <c r="M891" s="164"/>
      <c r="N891" s="164"/>
      <c r="O891" s="164"/>
      <c r="P891" s="164"/>
      <c r="Q891" s="164"/>
      <c r="R891" s="164"/>
      <c r="S891" s="164"/>
      <c r="T891" s="164"/>
      <c r="U891" s="164"/>
      <c r="V891" s="164"/>
      <c r="W891" s="164"/>
      <c r="X891" s="164"/>
      <c r="Y891" s="164"/>
      <c r="Z891" s="164"/>
    </row>
    <row r="892" ht="15.75" customHeight="1">
      <c r="A892" s="164"/>
      <c r="B892" s="164"/>
      <c r="C892" s="164"/>
      <c r="D892" s="165"/>
      <c r="E892" s="165"/>
      <c r="F892" s="164"/>
      <c r="G892" s="164"/>
      <c r="H892" s="164"/>
      <c r="I892" s="164"/>
      <c r="J892" s="164"/>
      <c r="K892" s="164"/>
      <c r="L892" s="164"/>
      <c r="M892" s="164"/>
      <c r="N892" s="164"/>
      <c r="O892" s="164"/>
      <c r="P892" s="164"/>
      <c r="Q892" s="164"/>
      <c r="R892" s="164"/>
      <c r="S892" s="164"/>
      <c r="T892" s="164"/>
      <c r="U892" s="164"/>
      <c r="V892" s="164"/>
      <c r="W892" s="164"/>
      <c r="X892" s="164"/>
      <c r="Y892" s="164"/>
      <c r="Z892" s="164"/>
    </row>
    <row r="893" ht="15.75" customHeight="1">
      <c r="A893" s="164"/>
      <c r="B893" s="164"/>
      <c r="C893" s="164"/>
      <c r="D893" s="165"/>
      <c r="E893" s="165"/>
      <c r="F893" s="164"/>
      <c r="G893" s="164"/>
      <c r="H893" s="164"/>
      <c r="I893" s="164"/>
      <c r="J893" s="164"/>
      <c r="K893" s="164"/>
      <c r="L893" s="164"/>
      <c r="M893" s="164"/>
      <c r="N893" s="164"/>
      <c r="O893" s="164"/>
      <c r="P893" s="164"/>
      <c r="Q893" s="164"/>
      <c r="R893" s="164"/>
      <c r="S893" s="164"/>
      <c r="T893" s="164"/>
      <c r="U893" s="164"/>
      <c r="V893" s="164"/>
      <c r="W893" s="164"/>
      <c r="X893" s="164"/>
      <c r="Y893" s="164"/>
      <c r="Z893" s="164"/>
    </row>
    <row r="894" ht="15.75" customHeight="1">
      <c r="A894" s="164"/>
      <c r="B894" s="164"/>
      <c r="C894" s="164"/>
      <c r="D894" s="165"/>
      <c r="E894" s="165"/>
      <c r="F894" s="164"/>
      <c r="G894" s="164"/>
      <c r="H894" s="164"/>
      <c r="I894" s="164"/>
      <c r="J894" s="164"/>
      <c r="K894" s="164"/>
      <c r="L894" s="164"/>
      <c r="M894" s="164"/>
      <c r="N894" s="164"/>
      <c r="O894" s="164"/>
      <c r="P894" s="164"/>
      <c r="Q894" s="164"/>
      <c r="R894" s="164"/>
      <c r="S894" s="164"/>
      <c r="T894" s="164"/>
      <c r="U894" s="164"/>
      <c r="V894" s="164"/>
      <c r="W894" s="164"/>
      <c r="X894" s="164"/>
      <c r="Y894" s="164"/>
      <c r="Z894" s="164"/>
    </row>
    <row r="895" ht="15.75" customHeight="1">
      <c r="A895" s="164"/>
      <c r="B895" s="164"/>
      <c r="C895" s="164"/>
      <c r="D895" s="165"/>
      <c r="E895" s="165"/>
      <c r="F895" s="164"/>
      <c r="G895" s="164"/>
      <c r="H895" s="164"/>
      <c r="I895" s="164"/>
      <c r="J895" s="164"/>
      <c r="K895" s="164"/>
      <c r="L895" s="164"/>
      <c r="M895" s="164"/>
      <c r="N895" s="164"/>
      <c r="O895" s="164"/>
      <c r="P895" s="164"/>
      <c r="Q895" s="164"/>
      <c r="R895" s="164"/>
      <c r="S895" s="164"/>
      <c r="T895" s="164"/>
      <c r="U895" s="164"/>
      <c r="V895" s="164"/>
      <c r="W895" s="164"/>
      <c r="X895" s="164"/>
      <c r="Y895" s="164"/>
      <c r="Z895" s="164"/>
    </row>
    <row r="896" ht="15.75" customHeight="1">
      <c r="A896" s="164"/>
      <c r="B896" s="164"/>
      <c r="C896" s="164"/>
      <c r="D896" s="165"/>
      <c r="E896" s="165"/>
      <c r="F896" s="164"/>
      <c r="G896" s="164"/>
      <c r="H896" s="164"/>
      <c r="I896" s="164"/>
      <c r="J896" s="164"/>
      <c r="K896" s="164"/>
      <c r="L896" s="164"/>
      <c r="M896" s="164"/>
      <c r="N896" s="164"/>
      <c r="O896" s="164"/>
      <c r="P896" s="164"/>
      <c r="Q896" s="164"/>
      <c r="R896" s="164"/>
      <c r="S896" s="164"/>
      <c r="T896" s="164"/>
      <c r="U896" s="164"/>
      <c r="V896" s="164"/>
      <c r="W896" s="164"/>
      <c r="X896" s="164"/>
      <c r="Y896" s="164"/>
      <c r="Z896" s="164"/>
    </row>
    <row r="897" ht="15.75" customHeight="1">
      <c r="A897" s="164"/>
      <c r="B897" s="164"/>
      <c r="C897" s="164"/>
      <c r="D897" s="165"/>
      <c r="E897" s="165"/>
      <c r="F897" s="164"/>
      <c r="G897" s="164"/>
      <c r="H897" s="164"/>
      <c r="I897" s="164"/>
      <c r="J897" s="164"/>
      <c r="K897" s="164"/>
      <c r="L897" s="164"/>
      <c r="M897" s="164"/>
      <c r="N897" s="164"/>
      <c r="O897" s="164"/>
      <c r="P897" s="164"/>
      <c r="Q897" s="164"/>
      <c r="R897" s="164"/>
      <c r="S897" s="164"/>
      <c r="T897" s="164"/>
      <c r="U897" s="164"/>
      <c r="V897" s="164"/>
      <c r="W897" s="164"/>
      <c r="X897" s="164"/>
      <c r="Y897" s="164"/>
      <c r="Z897" s="164"/>
    </row>
    <row r="898" ht="15.75" customHeight="1">
      <c r="A898" s="164"/>
      <c r="B898" s="164"/>
      <c r="C898" s="164"/>
      <c r="D898" s="165"/>
      <c r="E898" s="165"/>
      <c r="F898" s="164"/>
      <c r="G898" s="164"/>
      <c r="H898" s="164"/>
      <c r="I898" s="164"/>
      <c r="J898" s="164"/>
      <c r="K898" s="164"/>
      <c r="L898" s="164"/>
      <c r="M898" s="164"/>
      <c r="N898" s="164"/>
      <c r="O898" s="164"/>
      <c r="P898" s="164"/>
      <c r="Q898" s="164"/>
      <c r="R898" s="164"/>
      <c r="S898" s="164"/>
      <c r="T898" s="164"/>
      <c r="U898" s="164"/>
      <c r="V898" s="164"/>
      <c r="W898" s="164"/>
      <c r="X898" s="164"/>
      <c r="Y898" s="164"/>
      <c r="Z898" s="164"/>
    </row>
    <row r="899" ht="15.75" customHeight="1">
      <c r="A899" s="164"/>
      <c r="B899" s="164"/>
      <c r="C899" s="164"/>
      <c r="D899" s="165"/>
      <c r="E899" s="165"/>
      <c r="F899" s="164"/>
      <c r="G899" s="164"/>
      <c r="H899" s="164"/>
      <c r="I899" s="164"/>
      <c r="J899" s="164"/>
      <c r="K899" s="164"/>
      <c r="L899" s="164"/>
      <c r="M899" s="164"/>
      <c r="N899" s="164"/>
      <c r="O899" s="164"/>
      <c r="P899" s="164"/>
      <c r="Q899" s="164"/>
      <c r="R899" s="164"/>
      <c r="S899" s="164"/>
      <c r="T899" s="164"/>
      <c r="U899" s="164"/>
      <c r="V899" s="164"/>
      <c r="W899" s="164"/>
      <c r="X899" s="164"/>
      <c r="Y899" s="164"/>
      <c r="Z899" s="164"/>
    </row>
    <row r="900" ht="15.75" customHeight="1">
      <c r="A900" s="164"/>
      <c r="B900" s="164"/>
      <c r="C900" s="164"/>
      <c r="D900" s="165"/>
      <c r="E900" s="165"/>
      <c r="F900" s="164"/>
      <c r="G900" s="164"/>
      <c r="H900" s="164"/>
      <c r="I900" s="164"/>
      <c r="J900" s="164"/>
      <c r="K900" s="164"/>
      <c r="L900" s="164"/>
      <c r="M900" s="164"/>
      <c r="N900" s="164"/>
      <c r="O900" s="164"/>
      <c r="P900" s="164"/>
      <c r="Q900" s="164"/>
      <c r="R900" s="164"/>
      <c r="S900" s="164"/>
      <c r="T900" s="164"/>
      <c r="U900" s="164"/>
      <c r="V900" s="164"/>
      <c r="W900" s="164"/>
      <c r="X900" s="164"/>
      <c r="Y900" s="164"/>
      <c r="Z900" s="164"/>
    </row>
    <row r="901" ht="15.75" customHeight="1">
      <c r="A901" s="164"/>
      <c r="B901" s="164"/>
      <c r="C901" s="164"/>
      <c r="D901" s="165"/>
      <c r="E901" s="165"/>
      <c r="F901" s="164"/>
      <c r="G901" s="164"/>
      <c r="H901" s="164"/>
      <c r="I901" s="164"/>
      <c r="J901" s="164"/>
      <c r="K901" s="164"/>
      <c r="L901" s="164"/>
      <c r="M901" s="164"/>
      <c r="N901" s="164"/>
      <c r="O901" s="164"/>
      <c r="P901" s="164"/>
      <c r="Q901" s="164"/>
      <c r="R901" s="164"/>
      <c r="S901" s="164"/>
      <c r="T901" s="164"/>
      <c r="U901" s="164"/>
      <c r="V901" s="164"/>
      <c r="W901" s="164"/>
      <c r="X901" s="164"/>
      <c r="Y901" s="164"/>
      <c r="Z901" s="164"/>
    </row>
    <row r="902" ht="15.75" customHeight="1">
      <c r="A902" s="164"/>
      <c r="B902" s="164"/>
      <c r="C902" s="164"/>
      <c r="D902" s="165"/>
      <c r="E902" s="165"/>
      <c r="F902" s="164"/>
      <c r="G902" s="164"/>
      <c r="H902" s="164"/>
      <c r="I902" s="164"/>
      <c r="J902" s="164"/>
      <c r="K902" s="164"/>
      <c r="L902" s="164"/>
      <c r="M902" s="164"/>
      <c r="N902" s="164"/>
      <c r="O902" s="164"/>
      <c r="P902" s="164"/>
      <c r="Q902" s="164"/>
      <c r="R902" s="164"/>
      <c r="S902" s="164"/>
      <c r="T902" s="164"/>
      <c r="U902" s="164"/>
      <c r="V902" s="164"/>
      <c r="W902" s="164"/>
      <c r="X902" s="164"/>
      <c r="Y902" s="164"/>
      <c r="Z902" s="164"/>
    </row>
    <row r="903" ht="15.75" customHeight="1">
      <c r="A903" s="164"/>
      <c r="B903" s="164"/>
      <c r="C903" s="164"/>
      <c r="D903" s="165"/>
      <c r="E903" s="165"/>
      <c r="F903" s="164"/>
      <c r="G903" s="164"/>
      <c r="H903" s="164"/>
      <c r="I903" s="164"/>
      <c r="J903" s="164"/>
      <c r="K903" s="164"/>
      <c r="L903" s="164"/>
      <c r="M903" s="164"/>
      <c r="N903" s="164"/>
      <c r="O903" s="164"/>
      <c r="P903" s="164"/>
      <c r="Q903" s="164"/>
      <c r="R903" s="164"/>
      <c r="S903" s="164"/>
      <c r="T903" s="164"/>
      <c r="U903" s="164"/>
      <c r="V903" s="164"/>
      <c r="W903" s="164"/>
      <c r="X903" s="164"/>
      <c r="Y903" s="164"/>
      <c r="Z903" s="164"/>
    </row>
    <row r="904" ht="15.75" customHeight="1">
      <c r="A904" s="164"/>
      <c r="B904" s="164"/>
      <c r="C904" s="164"/>
      <c r="D904" s="165"/>
      <c r="E904" s="165"/>
      <c r="F904" s="164"/>
      <c r="G904" s="164"/>
      <c r="H904" s="164"/>
      <c r="I904" s="164"/>
      <c r="J904" s="164"/>
      <c r="K904" s="164"/>
      <c r="L904" s="164"/>
      <c r="M904" s="164"/>
      <c r="N904" s="164"/>
      <c r="O904" s="164"/>
      <c r="P904" s="164"/>
      <c r="Q904" s="164"/>
      <c r="R904" s="164"/>
      <c r="S904" s="164"/>
      <c r="T904" s="164"/>
      <c r="U904" s="164"/>
      <c r="V904" s="164"/>
      <c r="W904" s="164"/>
      <c r="X904" s="164"/>
      <c r="Y904" s="164"/>
      <c r="Z904" s="164"/>
    </row>
    <row r="905" ht="15.75" customHeight="1">
      <c r="A905" s="164"/>
      <c r="B905" s="164"/>
      <c r="C905" s="164"/>
      <c r="D905" s="165"/>
      <c r="E905" s="165"/>
      <c r="F905" s="164"/>
      <c r="G905" s="164"/>
      <c r="H905" s="164"/>
      <c r="I905" s="164"/>
      <c r="J905" s="164"/>
      <c r="K905" s="164"/>
      <c r="L905" s="164"/>
      <c r="M905" s="164"/>
      <c r="N905" s="164"/>
      <c r="O905" s="164"/>
      <c r="P905" s="164"/>
      <c r="Q905" s="164"/>
      <c r="R905" s="164"/>
      <c r="S905" s="164"/>
      <c r="T905" s="164"/>
      <c r="U905" s="164"/>
      <c r="V905" s="164"/>
      <c r="W905" s="164"/>
      <c r="X905" s="164"/>
      <c r="Y905" s="164"/>
      <c r="Z905" s="164"/>
    </row>
    <row r="906" ht="15.75" customHeight="1">
      <c r="A906" s="164"/>
      <c r="B906" s="164"/>
      <c r="C906" s="164"/>
      <c r="D906" s="165"/>
      <c r="E906" s="165"/>
      <c r="F906" s="164"/>
      <c r="G906" s="164"/>
      <c r="H906" s="164"/>
      <c r="I906" s="164"/>
      <c r="J906" s="164"/>
      <c r="K906" s="164"/>
      <c r="L906" s="164"/>
      <c r="M906" s="164"/>
      <c r="N906" s="164"/>
      <c r="O906" s="164"/>
      <c r="P906" s="164"/>
      <c r="Q906" s="164"/>
      <c r="R906" s="164"/>
      <c r="S906" s="164"/>
      <c r="T906" s="164"/>
      <c r="U906" s="164"/>
      <c r="V906" s="164"/>
      <c r="W906" s="164"/>
      <c r="X906" s="164"/>
      <c r="Y906" s="164"/>
      <c r="Z906" s="164"/>
    </row>
    <row r="907" ht="15.75" customHeight="1">
      <c r="A907" s="164"/>
      <c r="B907" s="164"/>
      <c r="C907" s="164"/>
      <c r="D907" s="165"/>
      <c r="E907" s="165"/>
      <c r="F907" s="164"/>
      <c r="G907" s="164"/>
      <c r="H907" s="164"/>
      <c r="I907" s="164"/>
      <c r="J907" s="164"/>
      <c r="K907" s="164"/>
      <c r="L907" s="164"/>
      <c r="M907" s="164"/>
      <c r="N907" s="164"/>
      <c r="O907" s="164"/>
      <c r="P907" s="164"/>
      <c r="Q907" s="164"/>
      <c r="R907" s="164"/>
      <c r="S907" s="164"/>
      <c r="T907" s="164"/>
      <c r="U907" s="164"/>
      <c r="V907" s="164"/>
      <c r="W907" s="164"/>
      <c r="X907" s="164"/>
      <c r="Y907" s="164"/>
      <c r="Z907" s="164"/>
    </row>
    <row r="908" ht="15.75" customHeight="1">
      <c r="A908" s="164"/>
      <c r="B908" s="164"/>
      <c r="C908" s="164"/>
      <c r="D908" s="165"/>
      <c r="E908" s="165"/>
      <c r="F908" s="164"/>
      <c r="G908" s="164"/>
      <c r="H908" s="164"/>
      <c r="I908" s="164"/>
      <c r="J908" s="164"/>
      <c r="K908" s="164"/>
      <c r="L908" s="164"/>
      <c r="M908" s="164"/>
      <c r="N908" s="164"/>
      <c r="O908" s="164"/>
      <c r="P908" s="164"/>
      <c r="Q908" s="164"/>
      <c r="R908" s="164"/>
      <c r="S908" s="164"/>
      <c r="T908" s="164"/>
      <c r="U908" s="164"/>
      <c r="V908" s="164"/>
      <c r="W908" s="164"/>
      <c r="X908" s="164"/>
      <c r="Y908" s="164"/>
      <c r="Z908" s="164"/>
    </row>
    <row r="909" ht="15.75" customHeight="1">
      <c r="A909" s="164"/>
      <c r="B909" s="164"/>
      <c r="C909" s="164"/>
      <c r="D909" s="165"/>
      <c r="E909" s="165"/>
      <c r="F909" s="164"/>
      <c r="G909" s="164"/>
      <c r="H909" s="164"/>
      <c r="I909" s="164"/>
      <c r="J909" s="164"/>
      <c r="K909" s="164"/>
      <c r="L909" s="164"/>
      <c r="M909" s="164"/>
      <c r="N909" s="164"/>
      <c r="O909" s="164"/>
      <c r="P909" s="164"/>
      <c r="Q909" s="164"/>
      <c r="R909" s="164"/>
      <c r="S909" s="164"/>
      <c r="T909" s="164"/>
      <c r="U909" s="164"/>
      <c r="V909" s="164"/>
      <c r="W909" s="164"/>
      <c r="X909" s="164"/>
      <c r="Y909" s="164"/>
      <c r="Z909" s="164"/>
    </row>
    <row r="910" ht="15.75" customHeight="1">
      <c r="A910" s="164"/>
      <c r="B910" s="164"/>
      <c r="C910" s="164"/>
      <c r="D910" s="165"/>
      <c r="E910" s="165"/>
      <c r="F910" s="164"/>
      <c r="G910" s="164"/>
      <c r="H910" s="164"/>
      <c r="I910" s="164"/>
      <c r="J910" s="164"/>
      <c r="K910" s="164"/>
      <c r="L910" s="164"/>
      <c r="M910" s="164"/>
      <c r="N910" s="164"/>
      <c r="O910" s="164"/>
      <c r="P910" s="164"/>
      <c r="Q910" s="164"/>
      <c r="R910" s="164"/>
      <c r="S910" s="164"/>
      <c r="T910" s="164"/>
      <c r="U910" s="164"/>
      <c r="V910" s="164"/>
      <c r="W910" s="164"/>
      <c r="X910" s="164"/>
      <c r="Y910" s="164"/>
      <c r="Z910" s="164"/>
    </row>
    <row r="911" ht="15.75" customHeight="1">
      <c r="A911" s="164"/>
      <c r="B911" s="164"/>
      <c r="C911" s="164"/>
      <c r="D911" s="165"/>
      <c r="E911" s="165"/>
      <c r="F911" s="164"/>
      <c r="G911" s="164"/>
      <c r="H911" s="164"/>
      <c r="I911" s="164"/>
      <c r="J911" s="164"/>
      <c r="K911" s="164"/>
      <c r="L911" s="164"/>
      <c r="M911" s="164"/>
      <c r="N911" s="164"/>
      <c r="O911" s="164"/>
      <c r="P911" s="164"/>
      <c r="Q911" s="164"/>
      <c r="R911" s="164"/>
      <c r="S911" s="164"/>
      <c r="T911" s="164"/>
      <c r="U911" s="164"/>
      <c r="V911" s="164"/>
      <c r="W911" s="164"/>
      <c r="X911" s="164"/>
      <c r="Y911" s="164"/>
      <c r="Z911" s="164"/>
    </row>
    <row r="912" ht="15.75" customHeight="1">
      <c r="A912" s="164"/>
      <c r="B912" s="164"/>
      <c r="C912" s="164"/>
      <c r="D912" s="165"/>
      <c r="E912" s="165"/>
      <c r="F912" s="164"/>
      <c r="G912" s="164"/>
      <c r="H912" s="164"/>
      <c r="I912" s="164"/>
      <c r="J912" s="164"/>
      <c r="K912" s="164"/>
      <c r="L912" s="164"/>
      <c r="M912" s="164"/>
      <c r="N912" s="164"/>
      <c r="O912" s="164"/>
      <c r="P912" s="164"/>
      <c r="Q912" s="164"/>
      <c r="R912" s="164"/>
      <c r="S912" s="164"/>
      <c r="T912" s="164"/>
      <c r="U912" s="164"/>
      <c r="V912" s="164"/>
      <c r="W912" s="164"/>
      <c r="X912" s="164"/>
      <c r="Y912" s="164"/>
      <c r="Z912" s="164"/>
    </row>
    <row r="913" ht="15.75" customHeight="1">
      <c r="A913" s="164"/>
      <c r="B913" s="164"/>
      <c r="C913" s="164"/>
      <c r="D913" s="165"/>
      <c r="E913" s="165"/>
      <c r="F913" s="164"/>
      <c r="G913" s="164"/>
      <c r="H913" s="164"/>
      <c r="I913" s="164"/>
      <c r="J913" s="164"/>
      <c r="K913" s="164"/>
      <c r="L913" s="164"/>
      <c r="M913" s="164"/>
      <c r="N913" s="164"/>
      <c r="O913" s="164"/>
      <c r="P913" s="164"/>
      <c r="Q913" s="164"/>
      <c r="R913" s="164"/>
      <c r="S913" s="164"/>
      <c r="T913" s="164"/>
      <c r="U913" s="164"/>
      <c r="V913" s="164"/>
      <c r="W913" s="164"/>
      <c r="X913" s="164"/>
      <c r="Y913" s="164"/>
      <c r="Z913" s="164"/>
    </row>
    <row r="914" ht="15.75" customHeight="1">
      <c r="A914" s="164"/>
      <c r="B914" s="164"/>
      <c r="C914" s="164"/>
      <c r="D914" s="165"/>
      <c r="E914" s="165"/>
      <c r="F914" s="164"/>
      <c r="G914" s="164"/>
      <c r="H914" s="164"/>
      <c r="I914" s="164"/>
      <c r="J914" s="164"/>
      <c r="K914" s="164"/>
      <c r="L914" s="164"/>
      <c r="M914" s="164"/>
      <c r="N914" s="164"/>
      <c r="O914" s="164"/>
      <c r="P914" s="164"/>
      <c r="Q914" s="164"/>
      <c r="R914" s="164"/>
      <c r="S914" s="164"/>
      <c r="T914" s="164"/>
      <c r="U914" s="164"/>
      <c r="V914" s="164"/>
      <c r="W914" s="164"/>
      <c r="X914" s="164"/>
      <c r="Y914" s="164"/>
      <c r="Z914" s="164"/>
    </row>
    <row r="915" ht="15.75" customHeight="1">
      <c r="A915" s="164"/>
      <c r="B915" s="164"/>
      <c r="C915" s="164"/>
      <c r="D915" s="165"/>
      <c r="E915" s="165"/>
      <c r="F915" s="164"/>
      <c r="G915" s="164"/>
      <c r="H915" s="164"/>
      <c r="I915" s="164"/>
      <c r="J915" s="164"/>
      <c r="K915" s="164"/>
      <c r="L915" s="164"/>
      <c r="M915" s="164"/>
      <c r="N915" s="164"/>
      <c r="O915" s="164"/>
      <c r="P915" s="164"/>
      <c r="Q915" s="164"/>
      <c r="R915" s="164"/>
      <c r="S915" s="164"/>
      <c r="T915" s="164"/>
      <c r="U915" s="164"/>
      <c r="V915" s="164"/>
      <c r="W915" s="164"/>
      <c r="X915" s="164"/>
      <c r="Y915" s="164"/>
      <c r="Z915" s="164"/>
    </row>
    <row r="916" ht="15.75" customHeight="1">
      <c r="A916" s="164"/>
      <c r="B916" s="164"/>
      <c r="C916" s="164"/>
      <c r="D916" s="165"/>
      <c r="E916" s="165"/>
      <c r="F916" s="164"/>
      <c r="G916" s="164"/>
      <c r="H916" s="164"/>
      <c r="I916" s="164"/>
      <c r="J916" s="164"/>
      <c r="K916" s="164"/>
      <c r="L916" s="164"/>
      <c r="M916" s="164"/>
      <c r="N916" s="164"/>
      <c r="O916" s="164"/>
      <c r="P916" s="164"/>
      <c r="Q916" s="164"/>
      <c r="R916" s="164"/>
      <c r="S916" s="164"/>
      <c r="T916" s="164"/>
      <c r="U916" s="164"/>
      <c r="V916" s="164"/>
      <c r="W916" s="164"/>
      <c r="X916" s="164"/>
      <c r="Y916" s="164"/>
      <c r="Z916" s="164"/>
    </row>
    <row r="917" ht="15.75" customHeight="1">
      <c r="A917" s="164"/>
      <c r="B917" s="164"/>
      <c r="C917" s="164"/>
      <c r="D917" s="165"/>
      <c r="E917" s="165"/>
      <c r="F917" s="164"/>
      <c r="G917" s="164"/>
      <c r="H917" s="164"/>
      <c r="I917" s="164"/>
      <c r="J917" s="164"/>
      <c r="K917" s="164"/>
      <c r="L917" s="164"/>
      <c r="M917" s="164"/>
      <c r="N917" s="164"/>
      <c r="O917" s="164"/>
      <c r="P917" s="164"/>
      <c r="Q917" s="164"/>
      <c r="R917" s="164"/>
      <c r="S917" s="164"/>
      <c r="T917" s="164"/>
      <c r="U917" s="164"/>
      <c r="V917" s="164"/>
      <c r="W917" s="164"/>
      <c r="X917" s="164"/>
      <c r="Y917" s="164"/>
      <c r="Z917" s="164"/>
    </row>
    <row r="918" ht="15.75" customHeight="1">
      <c r="A918" s="164"/>
      <c r="B918" s="164"/>
      <c r="C918" s="164"/>
      <c r="D918" s="165"/>
      <c r="E918" s="165"/>
      <c r="F918" s="164"/>
      <c r="G918" s="164"/>
      <c r="H918" s="164"/>
      <c r="I918" s="164"/>
      <c r="J918" s="164"/>
      <c r="K918" s="164"/>
      <c r="L918" s="164"/>
      <c r="M918" s="164"/>
      <c r="N918" s="164"/>
      <c r="O918" s="164"/>
      <c r="P918" s="164"/>
      <c r="Q918" s="164"/>
      <c r="R918" s="164"/>
      <c r="S918" s="164"/>
      <c r="T918" s="164"/>
      <c r="U918" s="164"/>
      <c r="V918" s="164"/>
      <c r="W918" s="164"/>
      <c r="X918" s="164"/>
      <c r="Y918" s="164"/>
      <c r="Z918" s="164"/>
    </row>
    <row r="919" ht="15.75" customHeight="1">
      <c r="A919" s="164"/>
      <c r="B919" s="164"/>
      <c r="C919" s="164"/>
      <c r="D919" s="165"/>
      <c r="E919" s="165"/>
      <c r="F919" s="164"/>
      <c r="G919" s="164"/>
      <c r="H919" s="164"/>
      <c r="I919" s="164"/>
      <c r="J919" s="164"/>
      <c r="K919" s="164"/>
      <c r="L919" s="164"/>
      <c r="M919" s="164"/>
      <c r="N919" s="164"/>
      <c r="O919" s="164"/>
      <c r="P919" s="164"/>
      <c r="Q919" s="164"/>
      <c r="R919" s="164"/>
      <c r="S919" s="164"/>
      <c r="T919" s="164"/>
      <c r="U919" s="164"/>
      <c r="V919" s="164"/>
      <c r="W919" s="164"/>
      <c r="X919" s="164"/>
      <c r="Y919" s="164"/>
      <c r="Z919" s="164"/>
    </row>
    <row r="920" ht="15.75" customHeight="1">
      <c r="A920" s="164"/>
      <c r="B920" s="164"/>
      <c r="C920" s="164"/>
      <c r="D920" s="165"/>
      <c r="E920" s="165"/>
      <c r="F920" s="164"/>
      <c r="G920" s="164"/>
      <c r="H920" s="164"/>
      <c r="I920" s="164"/>
      <c r="J920" s="164"/>
      <c r="K920" s="164"/>
      <c r="L920" s="164"/>
      <c r="M920" s="164"/>
      <c r="N920" s="164"/>
      <c r="O920" s="164"/>
      <c r="P920" s="164"/>
      <c r="Q920" s="164"/>
      <c r="R920" s="164"/>
      <c r="S920" s="164"/>
      <c r="T920" s="164"/>
      <c r="U920" s="164"/>
      <c r="V920" s="164"/>
      <c r="W920" s="164"/>
      <c r="X920" s="164"/>
      <c r="Y920" s="164"/>
      <c r="Z920" s="164"/>
    </row>
    <row r="921" ht="15.75" customHeight="1">
      <c r="A921" s="164"/>
      <c r="B921" s="164"/>
      <c r="C921" s="164"/>
      <c r="D921" s="165"/>
      <c r="E921" s="165"/>
      <c r="F921" s="164"/>
      <c r="G921" s="164"/>
      <c r="H921" s="164"/>
      <c r="I921" s="164"/>
      <c r="J921" s="164"/>
      <c r="K921" s="164"/>
      <c r="L921" s="164"/>
      <c r="M921" s="164"/>
      <c r="N921" s="164"/>
      <c r="O921" s="164"/>
      <c r="P921" s="164"/>
      <c r="Q921" s="164"/>
      <c r="R921" s="164"/>
      <c r="S921" s="164"/>
      <c r="T921" s="164"/>
      <c r="U921" s="164"/>
      <c r="V921" s="164"/>
      <c r="W921" s="164"/>
      <c r="X921" s="164"/>
      <c r="Y921" s="164"/>
      <c r="Z921" s="164"/>
    </row>
    <row r="922" ht="15.75" customHeight="1">
      <c r="A922" s="164"/>
      <c r="B922" s="164"/>
      <c r="C922" s="164"/>
      <c r="D922" s="165"/>
      <c r="E922" s="165"/>
      <c r="F922" s="164"/>
      <c r="G922" s="164"/>
      <c r="H922" s="164"/>
      <c r="I922" s="164"/>
      <c r="J922" s="164"/>
      <c r="K922" s="164"/>
      <c r="L922" s="164"/>
      <c r="M922" s="164"/>
      <c r="N922" s="164"/>
      <c r="O922" s="164"/>
      <c r="P922" s="164"/>
      <c r="Q922" s="164"/>
      <c r="R922" s="164"/>
      <c r="S922" s="164"/>
      <c r="T922" s="164"/>
      <c r="U922" s="164"/>
      <c r="V922" s="164"/>
      <c r="W922" s="164"/>
      <c r="X922" s="164"/>
      <c r="Y922" s="164"/>
      <c r="Z922" s="164"/>
    </row>
    <row r="923" ht="15.75" customHeight="1">
      <c r="A923" s="164"/>
      <c r="B923" s="164"/>
      <c r="C923" s="164"/>
      <c r="D923" s="165"/>
      <c r="E923" s="165"/>
      <c r="F923" s="164"/>
      <c r="G923" s="164"/>
      <c r="H923" s="164"/>
      <c r="I923" s="164"/>
      <c r="J923" s="164"/>
      <c r="K923" s="164"/>
      <c r="L923" s="164"/>
      <c r="M923" s="164"/>
      <c r="N923" s="164"/>
      <c r="O923" s="164"/>
      <c r="P923" s="164"/>
      <c r="Q923" s="164"/>
      <c r="R923" s="164"/>
      <c r="S923" s="164"/>
      <c r="T923" s="164"/>
      <c r="U923" s="164"/>
      <c r="V923" s="164"/>
      <c r="W923" s="164"/>
      <c r="X923" s="164"/>
      <c r="Y923" s="164"/>
      <c r="Z923" s="164"/>
    </row>
    <row r="924" ht="15.75" customHeight="1">
      <c r="A924" s="164"/>
      <c r="B924" s="164"/>
      <c r="C924" s="164"/>
      <c r="D924" s="165"/>
      <c r="E924" s="165"/>
      <c r="F924" s="164"/>
      <c r="G924" s="164"/>
      <c r="H924" s="164"/>
      <c r="I924" s="164"/>
      <c r="J924" s="164"/>
      <c r="K924" s="164"/>
      <c r="L924" s="164"/>
      <c r="M924" s="164"/>
      <c r="N924" s="164"/>
      <c r="O924" s="164"/>
      <c r="P924" s="164"/>
      <c r="Q924" s="164"/>
      <c r="R924" s="164"/>
      <c r="S924" s="164"/>
      <c r="T924" s="164"/>
      <c r="U924" s="164"/>
      <c r="V924" s="164"/>
      <c r="W924" s="164"/>
      <c r="X924" s="164"/>
      <c r="Y924" s="164"/>
      <c r="Z924" s="164"/>
    </row>
    <row r="925" ht="15.75" customHeight="1">
      <c r="A925" s="164"/>
      <c r="B925" s="164"/>
      <c r="C925" s="164"/>
      <c r="D925" s="165"/>
      <c r="E925" s="165"/>
      <c r="F925" s="164"/>
      <c r="G925" s="164"/>
      <c r="H925" s="164"/>
      <c r="I925" s="164"/>
      <c r="J925" s="164"/>
      <c r="K925" s="164"/>
      <c r="L925" s="164"/>
      <c r="M925" s="164"/>
      <c r="N925" s="164"/>
      <c r="O925" s="164"/>
      <c r="P925" s="164"/>
      <c r="Q925" s="164"/>
      <c r="R925" s="164"/>
      <c r="S925" s="164"/>
      <c r="T925" s="164"/>
      <c r="U925" s="164"/>
      <c r="V925" s="164"/>
      <c r="W925" s="164"/>
      <c r="X925" s="164"/>
      <c r="Y925" s="164"/>
      <c r="Z925" s="164"/>
    </row>
    <row r="926" ht="15.75" customHeight="1">
      <c r="A926" s="164"/>
      <c r="B926" s="164"/>
      <c r="C926" s="164"/>
      <c r="D926" s="165"/>
      <c r="E926" s="165"/>
      <c r="F926" s="164"/>
      <c r="G926" s="164"/>
      <c r="H926" s="164"/>
      <c r="I926" s="164"/>
      <c r="J926" s="164"/>
      <c r="K926" s="164"/>
      <c r="L926" s="164"/>
      <c r="M926" s="164"/>
      <c r="N926" s="164"/>
      <c r="O926" s="164"/>
      <c r="P926" s="164"/>
      <c r="Q926" s="164"/>
      <c r="R926" s="164"/>
      <c r="S926" s="164"/>
      <c r="T926" s="164"/>
      <c r="U926" s="164"/>
      <c r="V926" s="164"/>
      <c r="W926" s="164"/>
      <c r="X926" s="164"/>
      <c r="Y926" s="164"/>
      <c r="Z926" s="164"/>
    </row>
    <row r="927" ht="15.75" customHeight="1">
      <c r="A927" s="164"/>
      <c r="B927" s="164"/>
      <c r="C927" s="164"/>
      <c r="D927" s="165"/>
      <c r="E927" s="165"/>
      <c r="F927" s="164"/>
      <c r="G927" s="164"/>
      <c r="H927" s="164"/>
      <c r="I927" s="164"/>
      <c r="J927" s="164"/>
      <c r="K927" s="164"/>
      <c r="L927" s="164"/>
      <c r="M927" s="164"/>
      <c r="N927" s="164"/>
      <c r="O927" s="164"/>
      <c r="P927" s="164"/>
      <c r="Q927" s="164"/>
      <c r="R927" s="164"/>
      <c r="S927" s="164"/>
      <c r="T927" s="164"/>
      <c r="U927" s="164"/>
      <c r="V927" s="164"/>
      <c r="W927" s="164"/>
      <c r="X927" s="164"/>
      <c r="Y927" s="164"/>
      <c r="Z927" s="164"/>
    </row>
    <row r="928" ht="15.75" customHeight="1">
      <c r="A928" s="164"/>
      <c r="B928" s="164"/>
      <c r="C928" s="164"/>
      <c r="D928" s="165"/>
      <c r="E928" s="165"/>
      <c r="F928" s="164"/>
      <c r="G928" s="164"/>
      <c r="H928" s="164"/>
      <c r="I928" s="164"/>
      <c r="J928" s="164"/>
      <c r="K928" s="164"/>
      <c r="L928" s="164"/>
      <c r="M928" s="164"/>
      <c r="N928" s="164"/>
      <c r="O928" s="164"/>
      <c r="P928" s="164"/>
      <c r="Q928" s="164"/>
      <c r="R928" s="164"/>
      <c r="S928" s="164"/>
      <c r="T928" s="164"/>
      <c r="U928" s="164"/>
      <c r="V928" s="164"/>
      <c r="W928" s="164"/>
      <c r="X928" s="164"/>
      <c r="Y928" s="164"/>
      <c r="Z928" s="164"/>
    </row>
    <row r="929" ht="15.75" customHeight="1">
      <c r="A929" s="164"/>
      <c r="B929" s="164"/>
      <c r="C929" s="164"/>
      <c r="D929" s="165"/>
      <c r="E929" s="165"/>
      <c r="F929" s="164"/>
      <c r="G929" s="164"/>
      <c r="H929" s="164"/>
      <c r="I929" s="164"/>
      <c r="J929" s="164"/>
      <c r="K929" s="164"/>
      <c r="L929" s="164"/>
      <c r="M929" s="164"/>
      <c r="N929" s="164"/>
      <c r="O929" s="164"/>
      <c r="P929" s="164"/>
      <c r="Q929" s="164"/>
      <c r="R929" s="164"/>
      <c r="S929" s="164"/>
      <c r="T929" s="164"/>
      <c r="U929" s="164"/>
      <c r="V929" s="164"/>
      <c r="W929" s="164"/>
      <c r="X929" s="164"/>
      <c r="Y929" s="164"/>
      <c r="Z929" s="164"/>
    </row>
    <row r="930" ht="15.75" customHeight="1">
      <c r="A930" s="164"/>
      <c r="B930" s="164"/>
      <c r="C930" s="164"/>
      <c r="D930" s="165"/>
      <c r="E930" s="165"/>
      <c r="F930" s="164"/>
      <c r="G930" s="164"/>
      <c r="H930" s="164"/>
      <c r="I930" s="164"/>
      <c r="J930" s="164"/>
      <c r="K930" s="164"/>
      <c r="L930" s="164"/>
      <c r="M930" s="164"/>
      <c r="N930" s="164"/>
      <c r="O930" s="164"/>
      <c r="P930" s="164"/>
      <c r="Q930" s="164"/>
      <c r="R930" s="164"/>
      <c r="S930" s="164"/>
      <c r="T930" s="164"/>
      <c r="U930" s="164"/>
      <c r="V930" s="164"/>
      <c r="W930" s="164"/>
      <c r="X930" s="164"/>
      <c r="Y930" s="164"/>
      <c r="Z930" s="164"/>
    </row>
    <row r="931" ht="15.75" customHeight="1">
      <c r="A931" s="164"/>
      <c r="B931" s="164"/>
      <c r="C931" s="164"/>
      <c r="D931" s="165"/>
      <c r="E931" s="165"/>
      <c r="F931" s="164"/>
      <c r="G931" s="164"/>
      <c r="H931" s="164"/>
      <c r="I931" s="164"/>
      <c r="J931" s="164"/>
      <c r="K931" s="164"/>
      <c r="L931" s="164"/>
      <c r="M931" s="164"/>
      <c r="N931" s="164"/>
      <c r="O931" s="164"/>
      <c r="P931" s="164"/>
      <c r="Q931" s="164"/>
      <c r="R931" s="164"/>
      <c r="S931" s="164"/>
      <c r="T931" s="164"/>
      <c r="U931" s="164"/>
      <c r="V931" s="164"/>
      <c r="W931" s="164"/>
      <c r="X931" s="164"/>
      <c r="Y931" s="164"/>
      <c r="Z931" s="164"/>
    </row>
    <row r="932" ht="15.75" customHeight="1">
      <c r="A932" s="164"/>
      <c r="B932" s="164"/>
      <c r="C932" s="164"/>
      <c r="D932" s="165"/>
      <c r="E932" s="165"/>
      <c r="F932" s="164"/>
      <c r="G932" s="164"/>
      <c r="H932" s="164"/>
      <c r="I932" s="164"/>
      <c r="J932" s="164"/>
      <c r="K932" s="164"/>
      <c r="L932" s="164"/>
      <c r="M932" s="164"/>
      <c r="N932" s="164"/>
      <c r="O932" s="164"/>
      <c r="P932" s="164"/>
      <c r="Q932" s="164"/>
      <c r="R932" s="164"/>
      <c r="S932" s="164"/>
      <c r="T932" s="164"/>
      <c r="U932" s="164"/>
      <c r="V932" s="164"/>
      <c r="W932" s="164"/>
      <c r="X932" s="164"/>
      <c r="Y932" s="164"/>
      <c r="Z932" s="164"/>
    </row>
    <row r="933" ht="15.75" customHeight="1">
      <c r="A933" s="164"/>
      <c r="B933" s="164"/>
      <c r="C933" s="164"/>
      <c r="D933" s="165"/>
      <c r="E933" s="165"/>
      <c r="F933" s="164"/>
      <c r="G933" s="164"/>
      <c r="H933" s="164"/>
      <c r="I933" s="164"/>
      <c r="J933" s="164"/>
      <c r="K933" s="164"/>
      <c r="L933" s="164"/>
      <c r="M933" s="164"/>
      <c r="N933" s="164"/>
      <c r="O933" s="164"/>
      <c r="P933" s="164"/>
      <c r="Q933" s="164"/>
      <c r="R933" s="164"/>
      <c r="S933" s="164"/>
      <c r="T933" s="164"/>
      <c r="U933" s="164"/>
      <c r="V933" s="164"/>
      <c r="W933" s="164"/>
      <c r="X933" s="164"/>
      <c r="Y933" s="164"/>
      <c r="Z933" s="164"/>
    </row>
    <row r="934" ht="15.75" customHeight="1">
      <c r="A934" s="164"/>
      <c r="B934" s="164"/>
      <c r="C934" s="164"/>
      <c r="D934" s="165"/>
      <c r="E934" s="165"/>
      <c r="F934" s="164"/>
      <c r="G934" s="164"/>
      <c r="H934" s="164"/>
      <c r="I934" s="164"/>
      <c r="J934" s="164"/>
      <c r="K934" s="164"/>
      <c r="L934" s="164"/>
      <c r="M934" s="164"/>
      <c r="N934" s="164"/>
      <c r="O934" s="164"/>
      <c r="P934" s="164"/>
      <c r="Q934" s="164"/>
      <c r="R934" s="164"/>
      <c r="S934" s="164"/>
      <c r="T934" s="164"/>
      <c r="U934" s="164"/>
      <c r="V934" s="164"/>
      <c r="W934" s="164"/>
      <c r="X934" s="164"/>
      <c r="Y934" s="164"/>
      <c r="Z934" s="164"/>
    </row>
    <row r="935" ht="15.75" customHeight="1">
      <c r="A935" s="164"/>
      <c r="B935" s="164"/>
      <c r="C935" s="164"/>
      <c r="D935" s="165"/>
      <c r="E935" s="165"/>
      <c r="F935" s="164"/>
      <c r="G935" s="164"/>
      <c r="H935" s="164"/>
      <c r="I935" s="164"/>
      <c r="J935" s="164"/>
      <c r="K935" s="164"/>
      <c r="L935" s="164"/>
      <c r="M935" s="164"/>
      <c r="N935" s="164"/>
      <c r="O935" s="164"/>
      <c r="P935" s="164"/>
      <c r="Q935" s="164"/>
      <c r="R935" s="164"/>
      <c r="S935" s="164"/>
      <c r="T935" s="164"/>
      <c r="U935" s="164"/>
      <c r="V935" s="164"/>
      <c r="W935" s="164"/>
      <c r="X935" s="164"/>
      <c r="Y935" s="164"/>
      <c r="Z935" s="164"/>
    </row>
    <row r="936" ht="15.75" customHeight="1">
      <c r="A936" s="164"/>
      <c r="B936" s="164"/>
      <c r="C936" s="164"/>
      <c r="D936" s="165"/>
      <c r="E936" s="165"/>
      <c r="F936" s="164"/>
      <c r="G936" s="164"/>
      <c r="H936" s="164"/>
      <c r="I936" s="164"/>
      <c r="J936" s="164"/>
      <c r="K936" s="164"/>
      <c r="L936" s="164"/>
      <c r="M936" s="164"/>
      <c r="N936" s="164"/>
      <c r="O936" s="164"/>
      <c r="P936" s="164"/>
      <c r="Q936" s="164"/>
      <c r="R936" s="164"/>
      <c r="S936" s="164"/>
      <c r="T936" s="164"/>
      <c r="U936" s="164"/>
      <c r="V936" s="164"/>
      <c r="W936" s="164"/>
      <c r="X936" s="164"/>
      <c r="Y936" s="164"/>
      <c r="Z936" s="164"/>
    </row>
    <row r="937" ht="15.75" customHeight="1">
      <c r="A937" s="164"/>
      <c r="B937" s="164"/>
      <c r="C937" s="164"/>
      <c r="D937" s="165"/>
      <c r="E937" s="165"/>
      <c r="F937" s="164"/>
      <c r="G937" s="164"/>
      <c r="H937" s="164"/>
      <c r="I937" s="164"/>
      <c r="J937" s="164"/>
      <c r="K937" s="164"/>
      <c r="L937" s="164"/>
      <c r="M937" s="164"/>
      <c r="N937" s="164"/>
      <c r="O937" s="164"/>
      <c r="P937" s="164"/>
      <c r="Q937" s="164"/>
      <c r="R937" s="164"/>
      <c r="S937" s="164"/>
      <c r="T937" s="164"/>
      <c r="U937" s="164"/>
      <c r="V937" s="164"/>
      <c r="W937" s="164"/>
      <c r="X937" s="164"/>
      <c r="Y937" s="164"/>
      <c r="Z937" s="164"/>
    </row>
    <row r="938" ht="15.75" customHeight="1">
      <c r="A938" s="164"/>
      <c r="B938" s="164"/>
      <c r="C938" s="164"/>
      <c r="D938" s="165"/>
      <c r="E938" s="165"/>
      <c r="F938" s="164"/>
      <c r="G938" s="164"/>
      <c r="H938" s="164"/>
      <c r="I938" s="164"/>
      <c r="J938" s="164"/>
      <c r="K938" s="164"/>
      <c r="L938" s="164"/>
      <c r="M938" s="164"/>
      <c r="N938" s="164"/>
      <c r="O938" s="164"/>
      <c r="P938" s="164"/>
      <c r="Q938" s="164"/>
      <c r="R938" s="164"/>
      <c r="S938" s="164"/>
      <c r="T938" s="164"/>
      <c r="U938" s="164"/>
      <c r="V938" s="164"/>
      <c r="W938" s="164"/>
      <c r="X938" s="164"/>
      <c r="Y938" s="164"/>
      <c r="Z938" s="164"/>
    </row>
    <row r="939" ht="15.75" customHeight="1">
      <c r="A939" s="164"/>
      <c r="B939" s="164"/>
      <c r="C939" s="164"/>
      <c r="D939" s="165"/>
      <c r="E939" s="165"/>
      <c r="F939" s="164"/>
      <c r="G939" s="164"/>
      <c r="H939" s="164"/>
      <c r="I939" s="164"/>
      <c r="J939" s="164"/>
      <c r="K939" s="164"/>
      <c r="L939" s="164"/>
      <c r="M939" s="164"/>
      <c r="N939" s="164"/>
      <c r="O939" s="164"/>
      <c r="P939" s="164"/>
      <c r="Q939" s="164"/>
      <c r="R939" s="164"/>
      <c r="S939" s="164"/>
      <c r="T939" s="164"/>
      <c r="U939" s="164"/>
      <c r="V939" s="164"/>
      <c r="W939" s="164"/>
      <c r="X939" s="164"/>
      <c r="Y939" s="164"/>
      <c r="Z939" s="164"/>
    </row>
    <row r="940" ht="15.75" customHeight="1">
      <c r="A940" s="164"/>
      <c r="B940" s="164"/>
      <c r="C940" s="164"/>
      <c r="D940" s="165"/>
      <c r="E940" s="165"/>
      <c r="F940" s="164"/>
      <c r="G940" s="164"/>
      <c r="H940" s="164"/>
      <c r="I940" s="164"/>
      <c r="J940" s="164"/>
      <c r="K940" s="164"/>
      <c r="L940" s="164"/>
      <c r="M940" s="164"/>
      <c r="N940" s="164"/>
      <c r="O940" s="164"/>
      <c r="P940" s="164"/>
      <c r="Q940" s="164"/>
      <c r="R940" s="164"/>
      <c r="S940" s="164"/>
      <c r="T940" s="164"/>
      <c r="U940" s="164"/>
      <c r="V940" s="164"/>
      <c r="W940" s="164"/>
      <c r="X940" s="164"/>
      <c r="Y940" s="164"/>
      <c r="Z940" s="164"/>
    </row>
    <row r="941" ht="15.75" customHeight="1">
      <c r="A941" s="164"/>
      <c r="B941" s="164"/>
      <c r="C941" s="164"/>
      <c r="D941" s="165"/>
      <c r="E941" s="165"/>
      <c r="F941" s="164"/>
      <c r="G941" s="164"/>
      <c r="H941" s="164"/>
      <c r="I941" s="164"/>
      <c r="J941" s="164"/>
      <c r="K941" s="164"/>
      <c r="L941" s="164"/>
      <c r="M941" s="164"/>
      <c r="N941" s="164"/>
      <c r="O941" s="164"/>
      <c r="P941" s="164"/>
      <c r="Q941" s="164"/>
      <c r="R941" s="164"/>
      <c r="S941" s="164"/>
      <c r="T941" s="164"/>
      <c r="U941" s="164"/>
      <c r="V941" s="164"/>
      <c r="W941" s="164"/>
      <c r="X941" s="164"/>
      <c r="Y941" s="164"/>
      <c r="Z941" s="164"/>
    </row>
    <row r="942" ht="15.75" customHeight="1">
      <c r="A942" s="164"/>
      <c r="B942" s="164"/>
      <c r="C942" s="164"/>
      <c r="D942" s="165"/>
      <c r="E942" s="165"/>
      <c r="F942" s="164"/>
      <c r="G942" s="164"/>
      <c r="H942" s="164"/>
      <c r="I942" s="164"/>
      <c r="J942" s="164"/>
      <c r="K942" s="164"/>
      <c r="L942" s="164"/>
      <c r="M942" s="164"/>
      <c r="N942" s="164"/>
      <c r="O942" s="164"/>
      <c r="P942" s="164"/>
      <c r="Q942" s="164"/>
      <c r="R942" s="164"/>
      <c r="S942" s="164"/>
      <c r="T942" s="164"/>
      <c r="U942" s="164"/>
      <c r="V942" s="164"/>
      <c r="W942" s="164"/>
      <c r="X942" s="164"/>
      <c r="Y942" s="164"/>
      <c r="Z942" s="164"/>
    </row>
    <row r="943" ht="15.75" customHeight="1">
      <c r="A943" s="164"/>
      <c r="B943" s="164"/>
      <c r="C943" s="164"/>
      <c r="D943" s="165"/>
      <c r="E943" s="165"/>
      <c r="F943" s="164"/>
      <c r="G943" s="164"/>
      <c r="H943" s="164"/>
      <c r="I943" s="164"/>
      <c r="J943" s="164"/>
      <c r="K943" s="164"/>
      <c r="L943" s="164"/>
      <c r="M943" s="164"/>
      <c r="N943" s="164"/>
      <c r="O943" s="164"/>
      <c r="P943" s="164"/>
      <c r="Q943" s="164"/>
      <c r="R943" s="164"/>
      <c r="S943" s="164"/>
      <c r="T943" s="164"/>
      <c r="U943" s="164"/>
      <c r="V943" s="164"/>
      <c r="W943" s="164"/>
      <c r="X943" s="164"/>
      <c r="Y943" s="164"/>
      <c r="Z943" s="164"/>
    </row>
    <row r="944" ht="15.75" customHeight="1">
      <c r="A944" s="164"/>
      <c r="B944" s="164"/>
      <c r="C944" s="164"/>
      <c r="D944" s="165"/>
      <c r="E944" s="165"/>
      <c r="F944" s="164"/>
      <c r="G944" s="164"/>
      <c r="H944" s="164"/>
      <c r="I944" s="164"/>
      <c r="J944" s="164"/>
      <c r="K944" s="164"/>
      <c r="L944" s="164"/>
      <c r="M944" s="164"/>
      <c r="N944" s="164"/>
      <c r="O944" s="164"/>
      <c r="P944" s="164"/>
      <c r="Q944" s="164"/>
      <c r="R944" s="164"/>
      <c r="S944" s="164"/>
      <c r="T944" s="164"/>
      <c r="U944" s="164"/>
      <c r="V944" s="164"/>
      <c r="W944" s="164"/>
      <c r="X944" s="164"/>
      <c r="Y944" s="164"/>
      <c r="Z944" s="164"/>
    </row>
    <row r="945" ht="15.75" customHeight="1">
      <c r="A945" s="164"/>
      <c r="B945" s="164"/>
      <c r="C945" s="164"/>
      <c r="D945" s="165"/>
      <c r="E945" s="165"/>
      <c r="F945" s="164"/>
      <c r="G945" s="164"/>
      <c r="H945" s="164"/>
      <c r="I945" s="164"/>
      <c r="J945" s="164"/>
      <c r="K945" s="164"/>
      <c r="L945" s="164"/>
      <c r="M945" s="164"/>
      <c r="N945" s="164"/>
      <c r="O945" s="164"/>
      <c r="P945" s="164"/>
      <c r="Q945" s="164"/>
      <c r="R945" s="164"/>
      <c r="S945" s="164"/>
      <c r="T945" s="164"/>
      <c r="U945" s="164"/>
      <c r="V945" s="164"/>
      <c r="W945" s="164"/>
      <c r="X945" s="164"/>
      <c r="Y945" s="164"/>
      <c r="Z945" s="164"/>
    </row>
    <row r="946" ht="15.75" customHeight="1">
      <c r="A946" s="164"/>
      <c r="B946" s="164"/>
      <c r="C946" s="164"/>
      <c r="D946" s="165"/>
      <c r="E946" s="165"/>
      <c r="F946" s="164"/>
      <c r="G946" s="164"/>
      <c r="H946" s="164"/>
      <c r="I946" s="164"/>
      <c r="J946" s="164"/>
      <c r="K946" s="164"/>
      <c r="L946" s="164"/>
      <c r="M946" s="164"/>
      <c r="N946" s="164"/>
      <c r="O946" s="164"/>
      <c r="P946" s="164"/>
      <c r="Q946" s="164"/>
      <c r="R946" s="164"/>
      <c r="S946" s="164"/>
      <c r="T946" s="164"/>
      <c r="U946" s="164"/>
      <c r="V946" s="164"/>
      <c r="W946" s="164"/>
      <c r="X946" s="164"/>
      <c r="Y946" s="164"/>
      <c r="Z946" s="164"/>
    </row>
    <row r="947" ht="15.75" customHeight="1">
      <c r="A947" s="164"/>
      <c r="B947" s="164"/>
      <c r="C947" s="164"/>
      <c r="D947" s="165"/>
      <c r="E947" s="165"/>
      <c r="F947" s="164"/>
      <c r="G947" s="164"/>
      <c r="H947" s="164"/>
      <c r="I947" s="164"/>
      <c r="J947" s="164"/>
      <c r="K947" s="164"/>
      <c r="L947" s="164"/>
      <c r="M947" s="164"/>
      <c r="N947" s="164"/>
      <c r="O947" s="164"/>
      <c r="P947" s="164"/>
      <c r="Q947" s="164"/>
      <c r="R947" s="164"/>
      <c r="S947" s="164"/>
      <c r="T947" s="164"/>
      <c r="U947" s="164"/>
      <c r="V947" s="164"/>
      <c r="W947" s="164"/>
      <c r="X947" s="164"/>
      <c r="Y947" s="164"/>
      <c r="Z947" s="164"/>
    </row>
    <row r="948" ht="15.75" customHeight="1">
      <c r="A948" s="164"/>
      <c r="B948" s="164"/>
      <c r="C948" s="164"/>
      <c r="D948" s="165"/>
      <c r="E948" s="165"/>
      <c r="F948" s="164"/>
      <c r="G948" s="164"/>
      <c r="H948" s="164"/>
      <c r="I948" s="164"/>
      <c r="J948" s="164"/>
      <c r="K948" s="164"/>
      <c r="L948" s="164"/>
      <c r="M948" s="164"/>
      <c r="N948" s="164"/>
      <c r="O948" s="164"/>
      <c r="P948" s="164"/>
      <c r="Q948" s="164"/>
      <c r="R948" s="164"/>
      <c r="S948" s="164"/>
      <c r="T948" s="164"/>
      <c r="U948" s="164"/>
      <c r="V948" s="164"/>
      <c r="W948" s="164"/>
      <c r="X948" s="164"/>
      <c r="Y948" s="164"/>
      <c r="Z948" s="164"/>
    </row>
    <row r="949" ht="15.75" customHeight="1">
      <c r="A949" s="164"/>
      <c r="B949" s="164"/>
      <c r="C949" s="164"/>
      <c r="D949" s="165"/>
      <c r="E949" s="165"/>
      <c r="F949" s="164"/>
      <c r="G949" s="164"/>
      <c r="H949" s="164"/>
      <c r="I949" s="164"/>
      <c r="J949" s="164"/>
      <c r="K949" s="164"/>
      <c r="L949" s="164"/>
      <c r="M949" s="164"/>
      <c r="N949" s="164"/>
      <c r="O949" s="164"/>
      <c r="P949" s="164"/>
      <c r="Q949" s="164"/>
      <c r="R949" s="164"/>
      <c r="S949" s="164"/>
      <c r="T949" s="164"/>
      <c r="U949" s="164"/>
      <c r="V949" s="164"/>
      <c r="W949" s="164"/>
      <c r="X949" s="164"/>
      <c r="Y949" s="164"/>
      <c r="Z949" s="164"/>
    </row>
    <row r="950" ht="15.75" customHeight="1">
      <c r="A950" s="164"/>
      <c r="B950" s="164"/>
      <c r="C950" s="164"/>
      <c r="D950" s="165"/>
      <c r="E950" s="165"/>
      <c r="F950" s="164"/>
      <c r="G950" s="164"/>
      <c r="H950" s="164"/>
      <c r="I950" s="164"/>
      <c r="J950" s="164"/>
      <c r="K950" s="164"/>
      <c r="L950" s="164"/>
      <c r="M950" s="164"/>
      <c r="N950" s="164"/>
      <c r="O950" s="164"/>
      <c r="P950" s="164"/>
      <c r="Q950" s="164"/>
      <c r="R950" s="164"/>
      <c r="S950" s="164"/>
      <c r="T950" s="164"/>
      <c r="U950" s="164"/>
      <c r="V950" s="164"/>
      <c r="W950" s="164"/>
      <c r="X950" s="164"/>
      <c r="Y950" s="164"/>
      <c r="Z950" s="164"/>
    </row>
    <row r="951" ht="15.75" customHeight="1">
      <c r="A951" s="164"/>
      <c r="B951" s="164"/>
      <c r="C951" s="164"/>
      <c r="D951" s="165"/>
      <c r="E951" s="165"/>
      <c r="F951" s="164"/>
      <c r="G951" s="164"/>
      <c r="H951" s="164"/>
      <c r="I951" s="164"/>
      <c r="J951" s="164"/>
      <c r="K951" s="164"/>
      <c r="L951" s="164"/>
      <c r="M951" s="164"/>
      <c r="N951" s="164"/>
      <c r="O951" s="164"/>
      <c r="P951" s="164"/>
      <c r="Q951" s="164"/>
      <c r="R951" s="164"/>
      <c r="S951" s="164"/>
      <c r="T951" s="164"/>
      <c r="U951" s="164"/>
      <c r="V951" s="164"/>
      <c r="W951" s="164"/>
      <c r="X951" s="164"/>
      <c r="Y951" s="164"/>
      <c r="Z951" s="164"/>
    </row>
    <row r="952" ht="15.75" customHeight="1">
      <c r="A952" s="164"/>
      <c r="B952" s="164"/>
      <c r="C952" s="164"/>
      <c r="D952" s="165"/>
      <c r="E952" s="165"/>
      <c r="F952" s="164"/>
      <c r="G952" s="164"/>
      <c r="H952" s="164"/>
      <c r="I952" s="164"/>
      <c r="J952" s="164"/>
      <c r="K952" s="164"/>
      <c r="L952" s="164"/>
      <c r="M952" s="164"/>
      <c r="N952" s="164"/>
      <c r="O952" s="164"/>
      <c r="P952" s="164"/>
      <c r="Q952" s="164"/>
      <c r="R952" s="164"/>
      <c r="S952" s="164"/>
      <c r="T952" s="164"/>
      <c r="U952" s="164"/>
      <c r="V952" s="164"/>
      <c r="W952" s="164"/>
      <c r="X952" s="164"/>
      <c r="Y952" s="164"/>
      <c r="Z952" s="164"/>
    </row>
    <row r="953" ht="15.75" customHeight="1">
      <c r="A953" s="164"/>
      <c r="B953" s="164"/>
      <c r="C953" s="164"/>
      <c r="D953" s="165"/>
      <c r="E953" s="165"/>
      <c r="F953" s="164"/>
      <c r="G953" s="164"/>
      <c r="H953" s="164"/>
      <c r="I953" s="164"/>
      <c r="J953" s="164"/>
      <c r="K953" s="164"/>
      <c r="L953" s="164"/>
      <c r="M953" s="164"/>
      <c r="N953" s="164"/>
      <c r="O953" s="164"/>
      <c r="P953" s="164"/>
      <c r="Q953" s="164"/>
      <c r="R953" s="164"/>
      <c r="S953" s="164"/>
      <c r="T953" s="164"/>
      <c r="U953" s="164"/>
      <c r="V953" s="164"/>
      <c r="W953" s="164"/>
      <c r="X953" s="164"/>
      <c r="Y953" s="164"/>
      <c r="Z953" s="164"/>
    </row>
    <row r="954" ht="15.75" customHeight="1">
      <c r="A954" s="164"/>
      <c r="B954" s="164"/>
      <c r="C954" s="164"/>
      <c r="D954" s="165"/>
      <c r="E954" s="165"/>
      <c r="F954" s="164"/>
      <c r="G954" s="164"/>
      <c r="H954" s="164"/>
      <c r="I954" s="164"/>
      <c r="J954" s="164"/>
      <c r="K954" s="164"/>
      <c r="L954" s="164"/>
      <c r="M954" s="164"/>
      <c r="N954" s="164"/>
      <c r="O954" s="164"/>
      <c r="P954" s="164"/>
      <c r="Q954" s="164"/>
      <c r="R954" s="164"/>
      <c r="S954" s="164"/>
      <c r="T954" s="164"/>
      <c r="U954" s="164"/>
      <c r="V954" s="164"/>
      <c r="W954" s="164"/>
      <c r="X954" s="164"/>
      <c r="Y954" s="164"/>
      <c r="Z954" s="164"/>
    </row>
    <row r="955" ht="15.75" customHeight="1">
      <c r="A955" s="164"/>
      <c r="B955" s="164"/>
      <c r="C955" s="164"/>
      <c r="D955" s="165"/>
      <c r="E955" s="165"/>
      <c r="F955" s="164"/>
      <c r="G955" s="164"/>
      <c r="H955" s="164"/>
      <c r="I955" s="164"/>
      <c r="J955" s="164"/>
      <c r="K955" s="164"/>
      <c r="L955" s="164"/>
      <c r="M955" s="164"/>
      <c r="N955" s="164"/>
      <c r="O955" s="164"/>
      <c r="P955" s="164"/>
      <c r="Q955" s="164"/>
      <c r="R955" s="164"/>
      <c r="S955" s="164"/>
      <c r="T955" s="164"/>
      <c r="U955" s="164"/>
      <c r="V955" s="164"/>
      <c r="W955" s="164"/>
      <c r="X955" s="164"/>
      <c r="Y955" s="164"/>
      <c r="Z955" s="164"/>
    </row>
    <row r="956" ht="15.75" customHeight="1">
      <c r="A956" s="164"/>
      <c r="B956" s="164"/>
      <c r="C956" s="164"/>
      <c r="D956" s="165"/>
      <c r="E956" s="165"/>
      <c r="F956" s="164"/>
      <c r="G956" s="164"/>
      <c r="H956" s="164"/>
      <c r="I956" s="164"/>
      <c r="J956" s="164"/>
      <c r="K956" s="164"/>
      <c r="L956" s="164"/>
      <c r="M956" s="164"/>
      <c r="N956" s="164"/>
      <c r="O956" s="164"/>
      <c r="P956" s="164"/>
      <c r="Q956" s="164"/>
      <c r="R956" s="164"/>
      <c r="S956" s="164"/>
      <c r="T956" s="164"/>
      <c r="U956" s="164"/>
      <c r="V956" s="164"/>
      <c r="W956" s="164"/>
      <c r="X956" s="164"/>
      <c r="Y956" s="164"/>
      <c r="Z956" s="164"/>
    </row>
    <row r="957" ht="15.75" customHeight="1">
      <c r="A957" s="164"/>
      <c r="B957" s="164"/>
      <c r="C957" s="164"/>
      <c r="D957" s="165"/>
      <c r="E957" s="165"/>
      <c r="F957" s="164"/>
      <c r="G957" s="164"/>
      <c r="H957" s="164"/>
      <c r="I957" s="164"/>
      <c r="J957" s="164"/>
      <c r="K957" s="164"/>
      <c r="L957" s="164"/>
      <c r="M957" s="164"/>
      <c r="N957" s="164"/>
      <c r="O957" s="164"/>
      <c r="P957" s="164"/>
      <c r="Q957" s="164"/>
      <c r="R957" s="164"/>
      <c r="S957" s="164"/>
      <c r="T957" s="164"/>
      <c r="U957" s="164"/>
      <c r="V957" s="164"/>
      <c r="W957" s="164"/>
      <c r="X957" s="164"/>
      <c r="Y957" s="164"/>
      <c r="Z957" s="164"/>
    </row>
    <row r="958" ht="15.75" customHeight="1">
      <c r="A958" s="164"/>
      <c r="B958" s="164"/>
      <c r="C958" s="164"/>
      <c r="D958" s="165"/>
      <c r="E958" s="165"/>
      <c r="F958" s="164"/>
      <c r="G958" s="164"/>
      <c r="H958" s="164"/>
      <c r="I958" s="164"/>
      <c r="J958" s="164"/>
      <c r="K958" s="164"/>
      <c r="L958" s="164"/>
      <c r="M958" s="164"/>
      <c r="N958" s="164"/>
      <c r="O958" s="164"/>
      <c r="P958" s="164"/>
      <c r="Q958" s="164"/>
      <c r="R958" s="164"/>
      <c r="S958" s="164"/>
      <c r="T958" s="164"/>
      <c r="U958" s="164"/>
      <c r="V958" s="164"/>
      <c r="W958" s="164"/>
      <c r="X958" s="164"/>
      <c r="Y958" s="164"/>
      <c r="Z958" s="164"/>
    </row>
    <row r="959" ht="15.75" customHeight="1">
      <c r="A959" s="164"/>
      <c r="B959" s="164"/>
      <c r="C959" s="164"/>
      <c r="D959" s="165"/>
      <c r="E959" s="165"/>
      <c r="F959" s="164"/>
      <c r="G959" s="164"/>
      <c r="H959" s="164"/>
      <c r="I959" s="164"/>
      <c r="J959" s="164"/>
      <c r="K959" s="164"/>
      <c r="L959" s="164"/>
      <c r="M959" s="164"/>
      <c r="N959" s="164"/>
      <c r="O959" s="164"/>
      <c r="P959" s="164"/>
      <c r="Q959" s="164"/>
      <c r="R959" s="164"/>
      <c r="S959" s="164"/>
      <c r="T959" s="164"/>
      <c r="U959" s="164"/>
      <c r="V959" s="164"/>
      <c r="W959" s="164"/>
      <c r="X959" s="164"/>
      <c r="Y959" s="164"/>
      <c r="Z959" s="164"/>
    </row>
    <row r="960" ht="15.75" customHeight="1">
      <c r="A960" s="164"/>
      <c r="B960" s="164"/>
      <c r="C960" s="164"/>
      <c r="D960" s="165"/>
      <c r="E960" s="165"/>
      <c r="F960" s="164"/>
      <c r="G960" s="164"/>
      <c r="H960" s="164"/>
      <c r="I960" s="164"/>
      <c r="J960" s="164"/>
      <c r="K960" s="164"/>
      <c r="L960" s="164"/>
      <c r="M960" s="164"/>
      <c r="N960" s="164"/>
      <c r="O960" s="164"/>
      <c r="P960" s="164"/>
      <c r="Q960" s="164"/>
      <c r="R960" s="164"/>
      <c r="S960" s="164"/>
      <c r="T960" s="164"/>
      <c r="U960" s="164"/>
      <c r="V960" s="164"/>
      <c r="W960" s="164"/>
      <c r="X960" s="164"/>
      <c r="Y960" s="164"/>
      <c r="Z960" s="164"/>
    </row>
    <row r="961" ht="15.75" customHeight="1">
      <c r="A961" s="164"/>
      <c r="B961" s="164"/>
      <c r="C961" s="164"/>
      <c r="D961" s="165"/>
      <c r="E961" s="165"/>
      <c r="F961" s="164"/>
      <c r="G961" s="164"/>
      <c r="H961" s="164"/>
      <c r="I961" s="164"/>
      <c r="J961" s="164"/>
      <c r="K961" s="164"/>
      <c r="L961" s="164"/>
      <c r="M961" s="164"/>
      <c r="N961" s="164"/>
      <c r="O961" s="164"/>
      <c r="P961" s="164"/>
      <c r="Q961" s="164"/>
      <c r="R961" s="164"/>
      <c r="S961" s="164"/>
      <c r="T961" s="164"/>
      <c r="U961" s="164"/>
      <c r="V961" s="164"/>
      <c r="W961" s="164"/>
      <c r="X961" s="164"/>
      <c r="Y961" s="164"/>
      <c r="Z961" s="164"/>
    </row>
    <row r="962" ht="15.75" customHeight="1">
      <c r="A962" s="164"/>
      <c r="B962" s="164"/>
      <c r="C962" s="164"/>
      <c r="D962" s="165"/>
      <c r="E962" s="165"/>
      <c r="F962" s="164"/>
      <c r="G962" s="164"/>
      <c r="H962" s="164"/>
      <c r="I962" s="164"/>
      <c r="J962" s="164"/>
      <c r="K962" s="164"/>
      <c r="L962" s="164"/>
      <c r="M962" s="164"/>
      <c r="N962" s="164"/>
      <c r="O962" s="164"/>
      <c r="P962" s="164"/>
      <c r="Q962" s="164"/>
      <c r="R962" s="164"/>
      <c r="S962" s="164"/>
      <c r="T962" s="164"/>
      <c r="U962" s="164"/>
      <c r="V962" s="164"/>
      <c r="W962" s="164"/>
      <c r="X962" s="164"/>
      <c r="Y962" s="164"/>
      <c r="Z962" s="164"/>
    </row>
    <row r="963" ht="15.75" customHeight="1">
      <c r="A963" s="164"/>
      <c r="B963" s="164"/>
      <c r="C963" s="164"/>
      <c r="D963" s="165"/>
      <c r="E963" s="165"/>
      <c r="F963" s="164"/>
      <c r="G963" s="164"/>
      <c r="H963" s="164"/>
      <c r="I963" s="164"/>
      <c r="J963" s="164"/>
      <c r="K963" s="164"/>
      <c r="L963" s="164"/>
      <c r="M963" s="164"/>
      <c r="N963" s="164"/>
      <c r="O963" s="164"/>
      <c r="P963" s="164"/>
      <c r="Q963" s="164"/>
      <c r="R963" s="164"/>
      <c r="S963" s="164"/>
      <c r="T963" s="164"/>
      <c r="U963" s="164"/>
      <c r="V963" s="164"/>
      <c r="W963" s="164"/>
      <c r="X963" s="164"/>
      <c r="Y963" s="164"/>
      <c r="Z963" s="164"/>
    </row>
    <row r="964" ht="15.75" customHeight="1">
      <c r="A964" s="164"/>
      <c r="B964" s="164"/>
      <c r="C964" s="164"/>
      <c r="D964" s="165"/>
      <c r="E964" s="165"/>
      <c r="F964" s="164"/>
      <c r="G964" s="164"/>
      <c r="H964" s="164"/>
      <c r="I964" s="164"/>
      <c r="J964" s="164"/>
      <c r="K964" s="164"/>
      <c r="L964" s="164"/>
      <c r="M964" s="164"/>
      <c r="N964" s="164"/>
      <c r="O964" s="164"/>
      <c r="P964" s="164"/>
      <c r="Q964" s="164"/>
      <c r="R964" s="164"/>
      <c r="S964" s="164"/>
      <c r="T964" s="164"/>
      <c r="U964" s="164"/>
      <c r="V964" s="164"/>
      <c r="W964" s="164"/>
      <c r="X964" s="164"/>
      <c r="Y964" s="164"/>
      <c r="Z964" s="164"/>
    </row>
    <row r="965" ht="15.75" customHeight="1">
      <c r="A965" s="164"/>
      <c r="B965" s="164"/>
      <c r="C965" s="164"/>
      <c r="D965" s="165"/>
      <c r="E965" s="165"/>
      <c r="F965" s="164"/>
      <c r="G965" s="164"/>
      <c r="H965" s="164"/>
      <c r="I965" s="164"/>
      <c r="J965" s="164"/>
      <c r="K965" s="164"/>
      <c r="L965" s="164"/>
      <c r="M965" s="164"/>
      <c r="N965" s="164"/>
      <c r="O965" s="164"/>
      <c r="P965" s="164"/>
      <c r="Q965" s="164"/>
      <c r="R965" s="164"/>
      <c r="S965" s="164"/>
      <c r="T965" s="164"/>
      <c r="U965" s="164"/>
      <c r="V965" s="164"/>
      <c r="W965" s="164"/>
      <c r="X965" s="164"/>
      <c r="Y965" s="164"/>
      <c r="Z965" s="164"/>
    </row>
    <row r="966" ht="15.75" customHeight="1">
      <c r="A966" s="164"/>
      <c r="B966" s="164"/>
      <c r="C966" s="164"/>
      <c r="D966" s="165"/>
      <c r="E966" s="165"/>
      <c r="F966" s="164"/>
      <c r="G966" s="164"/>
      <c r="H966" s="164"/>
      <c r="I966" s="164"/>
      <c r="J966" s="164"/>
      <c r="K966" s="164"/>
      <c r="L966" s="164"/>
      <c r="M966" s="164"/>
      <c r="N966" s="164"/>
      <c r="O966" s="164"/>
      <c r="P966" s="164"/>
      <c r="Q966" s="164"/>
      <c r="R966" s="164"/>
      <c r="S966" s="164"/>
      <c r="T966" s="164"/>
      <c r="U966" s="164"/>
      <c r="V966" s="164"/>
      <c r="W966" s="164"/>
      <c r="X966" s="164"/>
      <c r="Y966" s="164"/>
      <c r="Z966" s="164"/>
    </row>
    <row r="967" ht="15.75" customHeight="1">
      <c r="A967" s="164"/>
      <c r="B967" s="164"/>
      <c r="C967" s="164"/>
      <c r="D967" s="165"/>
      <c r="E967" s="165"/>
      <c r="F967" s="164"/>
      <c r="G967" s="164"/>
      <c r="H967" s="164"/>
      <c r="I967" s="164"/>
      <c r="J967" s="164"/>
      <c r="K967" s="164"/>
      <c r="L967" s="164"/>
      <c r="M967" s="164"/>
      <c r="N967" s="164"/>
      <c r="O967" s="164"/>
      <c r="P967" s="164"/>
      <c r="Q967" s="164"/>
      <c r="R967" s="164"/>
      <c r="S967" s="164"/>
      <c r="T967" s="164"/>
      <c r="U967" s="164"/>
      <c r="V967" s="164"/>
      <c r="W967" s="164"/>
      <c r="X967" s="164"/>
      <c r="Y967" s="164"/>
      <c r="Z967" s="164"/>
    </row>
    <row r="968" ht="15.75" customHeight="1">
      <c r="A968" s="164"/>
      <c r="B968" s="164"/>
      <c r="C968" s="164"/>
      <c r="D968" s="165"/>
      <c r="E968" s="165"/>
      <c r="F968" s="164"/>
      <c r="G968" s="164"/>
      <c r="H968" s="164"/>
      <c r="I968" s="164"/>
      <c r="J968" s="164"/>
      <c r="K968" s="164"/>
      <c r="L968" s="164"/>
      <c r="M968" s="164"/>
      <c r="N968" s="164"/>
      <c r="O968" s="164"/>
      <c r="P968" s="164"/>
      <c r="Q968" s="164"/>
      <c r="R968" s="164"/>
      <c r="S968" s="164"/>
      <c r="T968" s="164"/>
      <c r="U968" s="164"/>
      <c r="V968" s="164"/>
      <c r="W968" s="164"/>
      <c r="X968" s="164"/>
      <c r="Y968" s="164"/>
      <c r="Z968" s="164"/>
    </row>
    <row r="969" ht="15.75" customHeight="1">
      <c r="A969" s="164"/>
      <c r="B969" s="164"/>
      <c r="C969" s="164"/>
      <c r="D969" s="165"/>
      <c r="E969" s="165"/>
      <c r="F969" s="164"/>
      <c r="G969" s="164"/>
      <c r="H969" s="164"/>
      <c r="I969" s="164"/>
      <c r="J969" s="164"/>
      <c r="K969" s="164"/>
      <c r="L969" s="164"/>
      <c r="M969" s="164"/>
      <c r="N969" s="164"/>
      <c r="O969" s="164"/>
      <c r="P969" s="164"/>
      <c r="Q969" s="164"/>
      <c r="R969" s="164"/>
      <c r="S969" s="164"/>
      <c r="T969" s="164"/>
      <c r="U969" s="164"/>
      <c r="V969" s="164"/>
      <c r="W969" s="164"/>
      <c r="X969" s="164"/>
      <c r="Y969" s="164"/>
      <c r="Z969" s="164"/>
    </row>
    <row r="970" ht="15.75" customHeight="1">
      <c r="A970" s="164"/>
      <c r="B970" s="164"/>
      <c r="C970" s="164"/>
      <c r="D970" s="165"/>
      <c r="E970" s="165"/>
      <c r="F970" s="164"/>
      <c r="G970" s="164"/>
      <c r="H970" s="164"/>
      <c r="I970" s="164"/>
      <c r="J970" s="164"/>
      <c r="K970" s="164"/>
      <c r="L970" s="164"/>
      <c r="M970" s="164"/>
      <c r="N970" s="164"/>
      <c r="O970" s="164"/>
      <c r="P970" s="164"/>
      <c r="Q970" s="164"/>
      <c r="R970" s="164"/>
      <c r="S970" s="164"/>
      <c r="T970" s="164"/>
      <c r="U970" s="164"/>
      <c r="V970" s="164"/>
      <c r="W970" s="164"/>
      <c r="X970" s="164"/>
      <c r="Y970" s="164"/>
      <c r="Z970" s="164"/>
    </row>
    <row r="971" ht="15.75" customHeight="1">
      <c r="A971" s="164"/>
      <c r="B971" s="164"/>
      <c r="C971" s="164"/>
      <c r="D971" s="165"/>
      <c r="E971" s="165"/>
      <c r="F971" s="164"/>
      <c r="G971" s="164"/>
      <c r="H971" s="164"/>
      <c r="I971" s="164"/>
      <c r="J971" s="164"/>
      <c r="K971" s="164"/>
      <c r="L971" s="164"/>
      <c r="M971" s="164"/>
      <c r="N971" s="164"/>
      <c r="O971" s="164"/>
      <c r="P971" s="164"/>
      <c r="Q971" s="164"/>
      <c r="R971" s="164"/>
      <c r="S971" s="164"/>
      <c r="T971" s="164"/>
      <c r="U971" s="164"/>
      <c r="V971" s="164"/>
      <c r="W971" s="164"/>
      <c r="X971" s="164"/>
      <c r="Y971" s="164"/>
      <c r="Z971" s="164"/>
    </row>
    <row r="972" ht="15.75" customHeight="1">
      <c r="A972" s="164"/>
      <c r="B972" s="164"/>
      <c r="C972" s="164"/>
      <c r="D972" s="165"/>
      <c r="E972" s="165"/>
      <c r="F972" s="164"/>
      <c r="G972" s="164"/>
      <c r="H972" s="164"/>
      <c r="I972" s="164"/>
      <c r="J972" s="164"/>
      <c r="K972" s="164"/>
      <c r="L972" s="164"/>
      <c r="M972" s="164"/>
      <c r="N972" s="164"/>
      <c r="O972" s="164"/>
      <c r="P972" s="164"/>
      <c r="Q972" s="164"/>
      <c r="R972" s="164"/>
      <c r="S972" s="164"/>
      <c r="T972" s="164"/>
      <c r="U972" s="164"/>
      <c r="V972" s="164"/>
      <c r="W972" s="164"/>
      <c r="X972" s="164"/>
      <c r="Y972" s="164"/>
      <c r="Z972" s="164"/>
    </row>
    <row r="973" ht="15.75" customHeight="1">
      <c r="A973" s="164"/>
      <c r="B973" s="164"/>
      <c r="C973" s="164"/>
      <c r="D973" s="165"/>
      <c r="E973" s="165"/>
      <c r="F973" s="164"/>
      <c r="G973" s="164"/>
      <c r="H973" s="164"/>
      <c r="I973" s="164"/>
      <c r="J973" s="164"/>
      <c r="K973" s="164"/>
      <c r="L973" s="164"/>
      <c r="M973" s="164"/>
      <c r="N973" s="164"/>
      <c r="O973" s="164"/>
      <c r="P973" s="164"/>
      <c r="Q973" s="164"/>
      <c r="R973" s="164"/>
      <c r="S973" s="164"/>
      <c r="T973" s="164"/>
      <c r="U973" s="164"/>
      <c r="V973" s="164"/>
      <c r="W973" s="164"/>
      <c r="X973" s="164"/>
      <c r="Y973" s="164"/>
      <c r="Z973" s="164"/>
    </row>
    <row r="974" ht="15.75" customHeight="1">
      <c r="A974" s="164"/>
      <c r="B974" s="164"/>
      <c r="C974" s="164"/>
      <c r="D974" s="165"/>
      <c r="E974" s="165"/>
      <c r="F974" s="164"/>
      <c r="G974" s="164"/>
      <c r="H974" s="164"/>
      <c r="I974" s="164"/>
      <c r="J974" s="164"/>
      <c r="K974" s="164"/>
      <c r="L974" s="164"/>
      <c r="M974" s="164"/>
      <c r="N974" s="164"/>
      <c r="O974" s="164"/>
      <c r="P974" s="164"/>
      <c r="Q974" s="164"/>
      <c r="R974" s="164"/>
      <c r="S974" s="164"/>
      <c r="T974" s="164"/>
      <c r="U974" s="164"/>
      <c r="V974" s="164"/>
      <c r="W974" s="164"/>
      <c r="X974" s="164"/>
      <c r="Y974" s="164"/>
      <c r="Z974" s="164"/>
    </row>
    <row r="975" ht="15.75" customHeight="1">
      <c r="A975" s="164"/>
      <c r="B975" s="164"/>
      <c r="C975" s="164"/>
      <c r="D975" s="165"/>
      <c r="E975" s="165"/>
      <c r="F975" s="164"/>
      <c r="G975" s="164"/>
      <c r="H975" s="164"/>
      <c r="I975" s="164"/>
      <c r="J975" s="164"/>
      <c r="K975" s="164"/>
      <c r="L975" s="164"/>
      <c r="M975" s="164"/>
      <c r="N975" s="164"/>
      <c r="O975" s="164"/>
      <c r="P975" s="164"/>
      <c r="Q975" s="164"/>
      <c r="R975" s="164"/>
      <c r="S975" s="164"/>
      <c r="T975" s="164"/>
      <c r="U975" s="164"/>
      <c r="V975" s="164"/>
      <c r="W975" s="164"/>
      <c r="X975" s="164"/>
      <c r="Y975" s="164"/>
      <c r="Z975" s="164"/>
    </row>
    <row r="976" ht="15.75" customHeight="1">
      <c r="A976" s="164"/>
      <c r="B976" s="164"/>
      <c r="C976" s="164"/>
      <c r="D976" s="165"/>
      <c r="E976" s="165"/>
      <c r="F976" s="164"/>
      <c r="G976" s="164"/>
      <c r="H976" s="164"/>
      <c r="I976" s="164"/>
      <c r="J976" s="164"/>
      <c r="K976" s="164"/>
      <c r="L976" s="164"/>
      <c r="M976" s="164"/>
      <c r="N976" s="164"/>
      <c r="O976" s="164"/>
      <c r="P976" s="164"/>
      <c r="Q976" s="164"/>
      <c r="R976" s="164"/>
      <c r="S976" s="164"/>
      <c r="T976" s="164"/>
      <c r="U976" s="164"/>
      <c r="V976" s="164"/>
      <c r="W976" s="164"/>
      <c r="X976" s="164"/>
      <c r="Y976" s="164"/>
      <c r="Z976" s="164"/>
    </row>
    <row r="977" ht="15.75" customHeight="1">
      <c r="A977" s="164"/>
      <c r="B977" s="164"/>
      <c r="C977" s="164"/>
      <c r="D977" s="165"/>
      <c r="E977" s="165"/>
      <c r="F977" s="164"/>
      <c r="G977" s="164"/>
      <c r="H977" s="164"/>
      <c r="I977" s="164"/>
      <c r="J977" s="164"/>
      <c r="K977" s="164"/>
      <c r="L977" s="164"/>
      <c r="M977" s="164"/>
      <c r="N977" s="164"/>
      <c r="O977" s="164"/>
      <c r="P977" s="164"/>
      <c r="Q977" s="164"/>
      <c r="R977" s="164"/>
      <c r="S977" s="164"/>
      <c r="T977" s="164"/>
      <c r="U977" s="164"/>
      <c r="V977" s="164"/>
      <c r="W977" s="164"/>
      <c r="X977" s="164"/>
      <c r="Y977" s="164"/>
      <c r="Z977" s="164"/>
    </row>
    <row r="978" ht="15.75" customHeight="1">
      <c r="A978" s="164"/>
      <c r="B978" s="164"/>
      <c r="C978" s="164"/>
      <c r="D978" s="165"/>
      <c r="E978" s="165"/>
      <c r="F978" s="164"/>
      <c r="G978" s="164"/>
      <c r="H978" s="164"/>
      <c r="I978" s="164"/>
      <c r="J978" s="164"/>
      <c r="K978" s="164"/>
      <c r="L978" s="164"/>
      <c r="M978" s="164"/>
      <c r="N978" s="164"/>
      <c r="O978" s="164"/>
      <c r="P978" s="164"/>
      <c r="Q978" s="164"/>
      <c r="R978" s="164"/>
      <c r="S978" s="164"/>
      <c r="T978" s="164"/>
      <c r="U978" s="164"/>
      <c r="V978" s="164"/>
      <c r="W978" s="164"/>
      <c r="X978" s="164"/>
      <c r="Y978" s="164"/>
      <c r="Z978" s="164"/>
    </row>
    <row r="979" ht="15.75" customHeight="1">
      <c r="A979" s="164"/>
      <c r="B979" s="164"/>
      <c r="C979" s="164"/>
      <c r="D979" s="165"/>
      <c r="E979" s="165"/>
      <c r="F979" s="164"/>
      <c r="G979" s="164"/>
      <c r="H979" s="164"/>
      <c r="I979" s="164"/>
      <c r="J979" s="164"/>
      <c r="K979" s="164"/>
      <c r="L979" s="164"/>
      <c r="M979" s="164"/>
      <c r="N979" s="164"/>
      <c r="O979" s="164"/>
      <c r="P979" s="164"/>
      <c r="Q979" s="164"/>
      <c r="R979" s="164"/>
      <c r="S979" s="164"/>
      <c r="T979" s="164"/>
      <c r="U979" s="164"/>
      <c r="V979" s="164"/>
      <c r="W979" s="164"/>
      <c r="X979" s="164"/>
      <c r="Y979" s="164"/>
      <c r="Z979" s="164"/>
    </row>
    <row r="980" ht="15.75" customHeight="1">
      <c r="A980" s="164"/>
      <c r="B980" s="164"/>
      <c r="C980" s="164"/>
      <c r="D980" s="165"/>
      <c r="E980" s="165"/>
      <c r="F980" s="164"/>
      <c r="G980" s="164"/>
      <c r="H980" s="164"/>
      <c r="I980" s="164"/>
      <c r="J980" s="164"/>
      <c r="K980" s="164"/>
      <c r="L980" s="164"/>
      <c r="M980" s="164"/>
      <c r="N980" s="164"/>
      <c r="O980" s="164"/>
      <c r="P980" s="164"/>
      <c r="Q980" s="164"/>
      <c r="R980" s="164"/>
      <c r="S980" s="164"/>
      <c r="T980" s="164"/>
      <c r="U980" s="164"/>
      <c r="V980" s="164"/>
      <c r="W980" s="164"/>
      <c r="X980" s="164"/>
      <c r="Y980" s="164"/>
      <c r="Z980" s="164"/>
    </row>
    <row r="981" ht="15.75" customHeight="1">
      <c r="A981" s="164"/>
      <c r="B981" s="164"/>
      <c r="C981" s="164"/>
      <c r="D981" s="165"/>
      <c r="E981" s="165"/>
      <c r="F981" s="164"/>
      <c r="G981" s="164"/>
      <c r="H981" s="164"/>
      <c r="I981" s="164"/>
      <c r="J981" s="164"/>
      <c r="K981" s="164"/>
      <c r="L981" s="164"/>
      <c r="M981" s="164"/>
      <c r="N981" s="164"/>
      <c r="O981" s="164"/>
      <c r="P981" s="164"/>
      <c r="Q981" s="164"/>
      <c r="R981" s="164"/>
      <c r="S981" s="164"/>
      <c r="T981" s="164"/>
      <c r="U981" s="164"/>
      <c r="V981" s="164"/>
      <c r="W981" s="164"/>
      <c r="X981" s="164"/>
      <c r="Y981" s="164"/>
      <c r="Z981" s="164"/>
    </row>
    <row r="982" ht="15.75" customHeight="1">
      <c r="A982" s="164"/>
      <c r="B982" s="164"/>
      <c r="C982" s="164"/>
      <c r="D982" s="165"/>
      <c r="E982" s="165"/>
      <c r="F982" s="164"/>
      <c r="G982" s="164"/>
      <c r="H982" s="164"/>
      <c r="I982" s="164"/>
      <c r="J982" s="164"/>
      <c r="K982" s="164"/>
      <c r="L982" s="164"/>
      <c r="M982" s="164"/>
      <c r="N982" s="164"/>
      <c r="O982" s="164"/>
      <c r="P982" s="164"/>
      <c r="Q982" s="164"/>
      <c r="R982" s="164"/>
      <c r="S982" s="164"/>
      <c r="T982" s="164"/>
      <c r="U982" s="164"/>
      <c r="V982" s="164"/>
      <c r="W982" s="164"/>
      <c r="X982" s="164"/>
      <c r="Y982" s="164"/>
      <c r="Z982" s="164"/>
    </row>
    <row r="983" ht="15.75" customHeight="1">
      <c r="A983" s="164"/>
      <c r="B983" s="164"/>
      <c r="C983" s="164"/>
      <c r="D983" s="165"/>
      <c r="E983" s="165"/>
      <c r="F983" s="164"/>
      <c r="G983" s="164"/>
      <c r="H983" s="164"/>
      <c r="I983" s="164"/>
      <c r="J983" s="164"/>
      <c r="K983" s="164"/>
      <c r="L983" s="164"/>
      <c r="M983" s="164"/>
      <c r="N983" s="164"/>
      <c r="O983" s="164"/>
      <c r="P983" s="164"/>
      <c r="Q983" s="164"/>
      <c r="R983" s="164"/>
      <c r="S983" s="164"/>
      <c r="T983" s="164"/>
      <c r="U983" s="164"/>
      <c r="V983" s="164"/>
      <c r="W983" s="164"/>
      <c r="X983" s="164"/>
      <c r="Y983" s="164"/>
      <c r="Z983" s="164"/>
    </row>
    <row r="984" ht="15.75" customHeight="1">
      <c r="A984" s="164"/>
      <c r="B984" s="164"/>
      <c r="C984" s="164"/>
      <c r="D984" s="165"/>
      <c r="E984" s="165"/>
      <c r="F984" s="164"/>
      <c r="G984" s="164"/>
      <c r="H984" s="164"/>
      <c r="I984" s="164"/>
      <c r="J984" s="164"/>
      <c r="K984" s="164"/>
      <c r="L984" s="164"/>
      <c r="M984" s="164"/>
      <c r="N984" s="164"/>
      <c r="O984" s="164"/>
      <c r="P984" s="164"/>
      <c r="Q984" s="164"/>
      <c r="R984" s="164"/>
      <c r="S984" s="164"/>
      <c r="T984" s="164"/>
      <c r="U984" s="164"/>
      <c r="V984" s="164"/>
      <c r="W984" s="164"/>
      <c r="X984" s="164"/>
      <c r="Y984" s="164"/>
      <c r="Z984" s="164"/>
    </row>
    <row r="985" ht="15.75" customHeight="1">
      <c r="A985" s="164"/>
      <c r="B985" s="164"/>
      <c r="C985" s="164"/>
      <c r="D985" s="165"/>
      <c r="E985" s="165"/>
      <c r="F985" s="164"/>
      <c r="G985" s="164"/>
      <c r="H985" s="164"/>
      <c r="I985" s="164"/>
      <c r="J985" s="164"/>
      <c r="K985" s="164"/>
      <c r="L985" s="164"/>
      <c r="M985" s="164"/>
      <c r="N985" s="164"/>
      <c r="O985" s="164"/>
      <c r="P985" s="164"/>
      <c r="Q985" s="164"/>
      <c r="R985" s="164"/>
      <c r="S985" s="164"/>
      <c r="T985" s="164"/>
      <c r="U985" s="164"/>
      <c r="V985" s="164"/>
      <c r="W985" s="164"/>
      <c r="X985" s="164"/>
      <c r="Y985" s="164"/>
      <c r="Z985" s="164"/>
    </row>
    <row r="986" ht="15.75" customHeight="1">
      <c r="A986" s="164"/>
      <c r="B986" s="164"/>
      <c r="C986" s="164"/>
      <c r="D986" s="165"/>
      <c r="E986" s="165"/>
      <c r="F986" s="164"/>
      <c r="G986" s="164"/>
      <c r="H986" s="164"/>
      <c r="I986" s="164"/>
      <c r="J986" s="164"/>
      <c r="K986" s="164"/>
      <c r="L986" s="164"/>
      <c r="M986" s="164"/>
      <c r="N986" s="164"/>
      <c r="O986" s="164"/>
      <c r="P986" s="164"/>
      <c r="Q986" s="164"/>
      <c r="R986" s="164"/>
      <c r="S986" s="164"/>
      <c r="T986" s="164"/>
      <c r="U986" s="164"/>
      <c r="V986" s="164"/>
      <c r="W986" s="164"/>
      <c r="X986" s="164"/>
      <c r="Y986" s="164"/>
      <c r="Z986" s="164"/>
    </row>
    <row r="987" ht="15.75" customHeight="1">
      <c r="A987" s="164"/>
      <c r="B987" s="164"/>
      <c r="C987" s="164"/>
      <c r="D987" s="165"/>
      <c r="E987" s="165"/>
      <c r="F987" s="164"/>
      <c r="G987" s="164"/>
      <c r="H987" s="164"/>
      <c r="I987" s="164"/>
      <c r="J987" s="164"/>
      <c r="K987" s="164"/>
      <c r="L987" s="164"/>
      <c r="M987" s="164"/>
      <c r="N987" s="164"/>
      <c r="O987" s="164"/>
      <c r="P987" s="164"/>
      <c r="Q987" s="164"/>
      <c r="R987" s="164"/>
      <c r="S987" s="164"/>
      <c r="T987" s="164"/>
      <c r="U987" s="164"/>
      <c r="V987" s="164"/>
      <c r="W987" s="164"/>
      <c r="X987" s="164"/>
      <c r="Y987" s="164"/>
      <c r="Z987" s="164"/>
    </row>
    <row r="988" ht="15.75" customHeight="1">
      <c r="A988" s="164"/>
      <c r="B988" s="164"/>
      <c r="C988" s="164"/>
      <c r="D988" s="165"/>
      <c r="E988" s="165"/>
      <c r="F988" s="164"/>
      <c r="G988" s="164"/>
      <c r="H988" s="164"/>
      <c r="I988" s="164"/>
      <c r="J988" s="164"/>
      <c r="K988" s="164"/>
      <c r="L988" s="164"/>
      <c r="M988" s="164"/>
      <c r="N988" s="164"/>
      <c r="O988" s="164"/>
      <c r="P988" s="164"/>
      <c r="Q988" s="164"/>
      <c r="R988" s="164"/>
      <c r="S988" s="164"/>
      <c r="T988" s="164"/>
      <c r="U988" s="164"/>
      <c r="V988" s="164"/>
      <c r="W988" s="164"/>
      <c r="X988" s="164"/>
      <c r="Y988" s="164"/>
      <c r="Z988" s="164"/>
    </row>
    <row r="989" ht="15.75" customHeight="1">
      <c r="A989" s="164"/>
      <c r="B989" s="164"/>
      <c r="C989" s="164"/>
      <c r="D989" s="165"/>
      <c r="E989" s="165"/>
      <c r="F989" s="164"/>
      <c r="G989" s="164"/>
      <c r="H989" s="164"/>
      <c r="I989" s="164"/>
      <c r="J989" s="164"/>
      <c r="K989" s="164"/>
      <c r="L989" s="164"/>
      <c r="M989" s="164"/>
      <c r="N989" s="164"/>
      <c r="O989" s="164"/>
      <c r="P989" s="164"/>
      <c r="Q989" s="164"/>
      <c r="R989" s="164"/>
      <c r="S989" s="164"/>
      <c r="T989" s="164"/>
      <c r="U989" s="164"/>
      <c r="V989" s="164"/>
      <c r="W989" s="164"/>
      <c r="X989" s="164"/>
      <c r="Y989" s="164"/>
      <c r="Z989" s="164"/>
    </row>
    <row r="990" ht="15.75" customHeight="1">
      <c r="A990" s="164"/>
      <c r="B990" s="164"/>
      <c r="C990" s="164"/>
      <c r="D990" s="165"/>
      <c r="E990" s="165"/>
      <c r="F990" s="164"/>
      <c r="G990" s="164"/>
      <c r="H990" s="164"/>
      <c r="I990" s="164"/>
      <c r="J990" s="164"/>
      <c r="K990" s="164"/>
      <c r="L990" s="164"/>
      <c r="M990" s="164"/>
      <c r="N990" s="164"/>
      <c r="O990" s="164"/>
      <c r="P990" s="164"/>
      <c r="Q990" s="164"/>
      <c r="R990" s="164"/>
      <c r="S990" s="164"/>
      <c r="T990" s="164"/>
      <c r="U990" s="164"/>
      <c r="V990" s="164"/>
      <c r="W990" s="164"/>
      <c r="X990" s="164"/>
      <c r="Y990" s="164"/>
      <c r="Z990" s="164"/>
    </row>
    <row r="991" ht="15.75" customHeight="1">
      <c r="A991" s="164"/>
      <c r="B991" s="164"/>
      <c r="C991" s="164"/>
      <c r="D991" s="165"/>
      <c r="E991" s="165"/>
      <c r="F991" s="164"/>
      <c r="G991" s="164"/>
      <c r="H991" s="164"/>
      <c r="I991" s="164"/>
      <c r="J991" s="164"/>
      <c r="K991" s="164"/>
      <c r="L991" s="164"/>
      <c r="M991" s="164"/>
      <c r="N991" s="164"/>
      <c r="O991" s="164"/>
      <c r="P991" s="164"/>
      <c r="Q991" s="164"/>
      <c r="R991" s="164"/>
      <c r="S991" s="164"/>
      <c r="T991" s="164"/>
      <c r="U991" s="164"/>
      <c r="V991" s="164"/>
      <c r="W991" s="164"/>
      <c r="X991" s="164"/>
      <c r="Y991" s="164"/>
      <c r="Z991" s="164"/>
    </row>
    <row r="992" ht="15.75" customHeight="1">
      <c r="A992" s="164"/>
      <c r="B992" s="164"/>
      <c r="C992" s="164"/>
      <c r="D992" s="165"/>
      <c r="E992" s="165"/>
      <c r="F992" s="164"/>
      <c r="G992" s="164"/>
      <c r="H992" s="164"/>
      <c r="I992" s="164"/>
      <c r="J992" s="164"/>
      <c r="K992" s="164"/>
      <c r="L992" s="164"/>
      <c r="M992" s="164"/>
      <c r="N992" s="164"/>
      <c r="O992" s="164"/>
      <c r="P992" s="164"/>
      <c r="Q992" s="164"/>
      <c r="R992" s="164"/>
      <c r="S992" s="164"/>
      <c r="T992" s="164"/>
      <c r="U992" s="164"/>
      <c r="V992" s="164"/>
      <c r="W992" s="164"/>
      <c r="X992" s="164"/>
      <c r="Y992" s="164"/>
      <c r="Z992" s="164"/>
    </row>
    <row r="993" ht="15.75" customHeight="1">
      <c r="A993" s="164"/>
      <c r="B993" s="164"/>
      <c r="C993" s="164"/>
      <c r="D993" s="165"/>
      <c r="E993" s="165"/>
      <c r="F993" s="164"/>
      <c r="G993" s="164"/>
      <c r="H993" s="164"/>
      <c r="I993" s="164"/>
      <c r="J993" s="164"/>
      <c r="K993" s="164"/>
      <c r="L993" s="164"/>
      <c r="M993" s="164"/>
      <c r="N993" s="164"/>
      <c r="O993" s="164"/>
      <c r="P993" s="164"/>
      <c r="Q993" s="164"/>
      <c r="R993" s="164"/>
      <c r="S993" s="164"/>
      <c r="T993" s="164"/>
      <c r="U993" s="164"/>
      <c r="V993" s="164"/>
      <c r="W993" s="164"/>
      <c r="X993" s="164"/>
      <c r="Y993" s="164"/>
      <c r="Z993" s="164"/>
    </row>
    <row r="994" ht="15.75" customHeight="1">
      <c r="A994" s="164"/>
      <c r="B994" s="164"/>
      <c r="C994" s="164"/>
      <c r="D994" s="165"/>
      <c r="E994" s="165"/>
      <c r="F994" s="164"/>
      <c r="G994" s="164"/>
      <c r="H994" s="164"/>
      <c r="I994" s="164"/>
      <c r="J994" s="164"/>
      <c r="K994" s="164"/>
      <c r="L994" s="164"/>
      <c r="M994" s="164"/>
      <c r="N994" s="164"/>
      <c r="O994" s="164"/>
      <c r="P994" s="164"/>
      <c r="Q994" s="164"/>
      <c r="R994" s="164"/>
      <c r="S994" s="164"/>
      <c r="T994" s="164"/>
      <c r="U994" s="164"/>
      <c r="V994" s="164"/>
      <c r="W994" s="164"/>
      <c r="X994" s="164"/>
      <c r="Y994" s="164"/>
      <c r="Z994" s="164"/>
    </row>
    <row r="995" ht="15.75" customHeight="1">
      <c r="A995" s="164"/>
      <c r="B995" s="164"/>
      <c r="C995" s="164"/>
      <c r="D995" s="165"/>
      <c r="E995" s="165"/>
      <c r="F995" s="164"/>
      <c r="G995" s="164"/>
      <c r="H995" s="164"/>
      <c r="I995" s="164"/>
      <c r="J995" s="164"/>
      <c r="K995" s="164"/>
      <c r="L995" s="164"/>
      <c r="M995" s="164"/>
      <c r="N995" s="164"/>
      <c r="O995" s="164"/>
      <c r="P995" s="164"/>
      <c r="Q995" s="164"/>
      <c r="R995" s="164"/>
      <c r="S995" s="164"/>
      <c r="T995" s="164"/>
      <c r="U995" s="164"/>
      <c r="V995" s="164"/>
      <c r="W995" s="164"/>
      <c r="X995" s="164"/>
      <c r="Y995" s="164"/>
      <c r="Z995" s="164"/>
    </row>
    <row r="996" ht="15.75" customHeight="1">
      <c r="A996" s="164"/>
      <c r="B996" s="164"/>
      <c r="C996" s="164"/>
      <c r="D996" s="165"/>
      <c r="E996" s="165"/>
      <c r="F996" s="164"/>
      <c r="G996" s="164"/>
      <c r="H996" s="164"/>
      <c r="I996" s="164"/>
      <c r="J996" s="164"/>
      <c r="K996" s="164"/>
      <c r="L996" s="164"/>
      <c r="M996" s="164"/>
      <c r="N996" s="164"/>
      <c r="O996" s="164"/>
      <c r="P996" s="164"/>
      <c r="Q996" s="164"/>
      <c r="R996" s="164"/>
      <c r="S996" s="164"/>
      <c r="T996" s="164"/>
      <c r="U996" s="164"/>
      <c r="V996" s="164"/>
      <c r="W996" s="164"/>
      <c r="X996" s="164"/>
      <c r="Y996" s="164"/>
      <c r="Z996" s="164"/>
    </row>
    <row r="997" ht="15.75" customHeight="1">
      <c r="A997" s="164"/>
      <c r="B997" s="164"/>
      <c r="C997" s="164"/>
      <c r="D997" s="165"/>
      <c r="E997" s="165"/>
      <c r="F997" s="164"/>
      <c r="G997" s="164"/>
      <c r="H997" s="164"/>
      <c r="I997" s="164"/>
      <c r="J997" s="164"/>
      <c r="K997" s="164"/>
      <c r="L997" s="164"/>
      <c r="M997" s="164"/>
      <c r="N997" s="164"/>
      <c r="O997" s="164"/>
      <c r="P997" s="164"/>
      <c r="Q997" s="164"/>
      <c r="R997" s="164"/>
      <c r="S997" s="164"/>
      <c r="T997" s="164"/>
      <c r="U997" s="164"/>
      <c r="V997" s="164"/>
      <c r="W997" s="164"/>
      <c r="X997" s="164"/>
      <c r="Y997" s="164"/>
      <c r="Z997" s="164"/>
    </row>
    <row r="998" ht="15.75" customHeight="1">
      <c r="A998" s="164"/>
      <c r="B998" s="164"/>
      <c r="C998" s="164"/>
      <c r="D998" s="165"/>
      <c r="E998" s="165"/>
      <c r="F998" s="164"/>
      <c r="G998" s="164"/>
      <c r="H998" s="164"/>
      <c r="I998" s="164"/>
      <c r="J998" s="164"/>
      <c r="K998" s="164"/>
      <c r="L998" s="164"/>
      <c r="M998" s="164"/>
      <c r="N998" s="164"/>
      <c r="O998" s="164"/>
      <c r="P998" s="164"/>
      <c r="Q998" s="164"/>
      <c r="R998" s="164"/>
      <c r="S998" s="164"/>
      <c r="T998" s="164"/>
      <c r="U998" s="164"/>
      <c r="V998" s="164"/>
      <c r="W998" s="164"/>
      <c r="X998" s="164"/>
      <c r="Y998" s="164"/>
      <c r="Z998" s="164"/>
    </row>
    <row r="999" ht="15.75" customHeight="1">
      <c r="A999" s="164"/>
      <c r="B999" s="164"/>
      <c r="C999" s="164"/>
      <c r="D999" s="165"/>
      <c r="E999" s="165"/>
      <c r="F999" s="164"/>
      <c r="G999" s="164"/>
      <c r="H999" s="164"/>
      <c r="I999" s="164"/>
      <c r="J999" s="164"/>
      <c r="K999" s="164"/>
      <c r="L999" s="164"/>
      <c r="M999" s="164"/>
      <c r="N999" s="164"/>
      <c r="O999" s="164"/>
      <c r="P999" s="164"/>
      <c r="Q999" s="164"/>
      <c r="R999" s="164"/>
      <c r="S999" s="164"/>
      <c r="T999" s="164"/>
      <c r="U999" s="164"/>
      <c r="V999" s="164"/>
      <c r="W999" s="164"/>
      <c r="X999" s="164"/>
      <c r="Y999" s="164"/>
      <c r="Z999" s="164"/>
    </row>
    <row r="1000" ht="15.75" customHeight="1">
      <c r="A1000" s="164"/>
      <c r="B1000" s="164"/>
      <c r="C1000" s="164"/>
      <c r="D1000" s="165"/>
      <c r="E1000" s="165"/>
      <c r="F1000" s="164"/>
      <c r="G1000" s="164"/>
      <c r="H1000" s="164"/>
      <c r="I1000" s="164"/>
      <c r="J1000" s="164"/>
      <c r="K1000" s="164"/>
      <c r="L1000" s="164"/>
      <c r="M1000" s="164"/>
      <c r="N1000" s="164"/>
      <c r="O1000" s="164"/>
      <c r="P1000" s="164"/>
      <c r="Q1000" s="164"/>
      <c r="R1000" s="164"/>
      <c r="S1000" s="164"/>
      <c r="T1000" s="164"/>
      <c r="U1000" s="164"/>
      <c r="V1000" s="164"/>
      <c r="W1000" s="164"/>
      <c r="X1000" s="164"/>
      <c r="Y1000" s="164"/>
      <c r="Z1000" s="164"/>
    </row>
    <row r="1001" ht="15.75" customHeight="1">
      <c r="A1001" s="164"/>
      <c r="B1001" s="164"/>
      <c r="C1001" s="164"/>
      <c r="D1001" s="165"/>
      <c r="E1001" s="165"/>
      <c r="F1001" s="164"/>
      <c r="G1001" s="164"/>
      <c r="H1001" s="164"/>
      <c r="I1001" s="164"/>
      <c r="J1001" s="164"/>
      <c r="K1001" s="164"/>
      <c r="L1001" s="164"/>
      <c r="M1001" s="164"/>
      <c r="N1001" s="164"/>
      <c r="O1001" s="164"/>
      <c r="P1001" s="164"/>
      <c r="Q1001" s="164"/>
      <c r="R1001" s="164"/>
      <c r="S1001" s="164"/>
      <c r="T1001" s="164"/>
      <c r="U1001" s="164"/>
      <c r="V1001" s="164"/>
      <c r="W1001" s="164"/>
      <c r="X1001" s="164"/>
      <c r="Y1001" s="164"/>
      <c r="Z1001" s="164"/>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489:C495">
      <formula1>LTE(LEN(C489),(22))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29"/>
    <col customWidth="1" min="2" max="2" width="10.57"/>
    <col customWidth="1" min="3" max="3" width="20.29"/>
    <col customWidth="1" min="4" max="4" width="39.71"/>
    <col customWidth="1" min="5" max="5" width="32.71"/>
    <col customWidth="1" min="6" max="6" width="10.71"/>
    <col customWidth="1" min="7" max="7" width="15.14"/>
    <col customWidth="1" min="8" max="8" width="11.14"/>
    <col customWidth="1" min="9" max="14" width="13.0"/>
    <col customWidth="1" min="15" max="15" width="29.14"/>
    <col customWidth="1" min="16" max="16" width="13.57"/>
    <col customWidth="1" min="17" max="17" width="15.14"/>
    <col customWidth="1" min="18" max="18" width="43.0"/>
    <col customWidth="1" min="19" max="27" width="9.86"/>
  </cols>
  <sheetData>
    <row r="1" ht="14.25" customHeight="1">
      <c r="A1" s="1" t="s">
        <v>1740</v>
      </c>
      <c r="B1" s="217" t="s">
        <v>555</v>
      </c>
      <c r="C1" s="2" t="s">
        <v>2</v>
      </c>
      <c r="D1" s="2" t="s">
        <v>3</v>
      </c>
      <c r="E1" s="2" t="s">
        <v>4</v>
      </c>
      <c r="F1" s="218" t="s">
        <v>1741</v>
      </c>
      <c r="G1" s="218" t="s">
        <v>1742</v>
      </c>
      <c r="H1" s="4" t="s">
        <v>7</v>
      </c>
      <c r="I1" s="5" t="s">
        <v>8</v>
      </c>
      <c r="J1" s="6"/>
      <c r="K1" s="7" t="s">
        <v>9</v>
      </c>
      <c r="L1" s="6"/>
      <c r="M1" s="8" t="s">
        <v>10</v>
      </c>
      <c r="N1" s="6"/>
      <c r="O1" s="219" t="s">
        <v>11</v>
      </c>
      <c r="P1" s="10"/>
      <c r="Q1" s="11"/>
      <c r="R1" s="11"/>
      <c r="S1" s="11"/>
      <c r="T1" s="11"/>
      <c r="U1" s="11"/>
      <c r="V1" s="11"/>
      <c r="W1" s="11"/>
      <c r="X1" s="11"/>
      <c r="Y1" s="11"/>
      <c r="Z1" s="11"/>
      <c r="AA1" s="11"/>
    </row>
    <row r="2" ht="31.5" customHeight="1">
      <c r="A2" s="12"/>
      <c r="B2" s="12"/>
      <c r="C2" s="13"/>
      <c r="D2" s="13"/>
      <c r="E2" s="13"/>
      <c r="F2" s="13"/>
      <c r="G2" s="13"/>
      <c r="H2" s="14"/>
      <c r="I2" s="15" t="s">
        <v>1743</v>
      </c>
      <c r="J2" s="16" t="s">
        <v>1744</v>
      </c>
      <c r="K2" s="17" t="s">
        <v>1745</v>
      </c>
      <c r="L2" s="18" t="s">
        <v>1746</v>
      </c>
      <c r="M2" s="19" t="s">
        <v>1747</v>
      </c>
      <c r="N2" s="20" t="s">
        <v>1748</v>
      </c>
      <c r="O2" s="220"/>
      <c r="P2" s="10"/>
      <c r="Q2" s="11"/>
      <c r="R2" s="11"/>
      <c r="S2" s="11"/>
      <c r="T2" s="11"/>
      <c r="U2" s="11"/>
      <c r="V2" s="11"/>
      <c r="W2" s="11"/>
      <c r="X2" s="11"/>
      <c r="Y2" s="11"/>
      <c r="Z2" s="11"/>
      <c r="AA2" s="11"/>
    </row>
    <row r="3" ht="14.25" customHeight="1">
      <c r="A3" s="221"/>
      <c r="B3" s="222"/>
      <c r="C3" s="102" t="s">
        <v>1749</v>
      </c>
      <c r="D3" s="223" t="s">
        <v>1750</v>
      </c>
      <c r="E3" s="224" t="s">
        <v>1751</v>
      </c>
      <c r="F3" s="225">
        <v>900.0</v>
      </c>
      <c r="G3" s="225">
        <v>1130.0</v>
      </c>
      <c r="H3" s="226">
        <v>45855.0</v>
      </c>
      <c r="I3" s="29">
        <f t="shared" ref="I3:I322" si="1">F3*0.5+F3</f>
        <v>1350</v>
      </c>
      <c r="J3" s="30">
        <f t="shared" ref="J3:J322" si="2">F3*0.3+F3</f>
        <v>1170</v>
      </c>
      <c r="K3" s="31">
        <f t="shared" ref="K3:K322" si="3">F3*0.3+F3</f>
        <v>1170</v>
      </c>
      <c r="L3" s="32">
        <f t="shared" ref="L3:L322" si="4">F3*0.2+F3</f>
        <v>1080</v>
      </c>
      <c r="M3" s="31">
        <f t="shared" ref="M3:M322" si="5">F3*0.15+F3</f>
        <v>1035</v>
      </c>
      <c r="N3" s="32">
        <f t="shared" ref="N3:N322" si="6">F3*0.1+F3</f>
        <v>990</v>
      </c>
      <c r="O3" s="40"/>
      <c r="P3" s="34"/>
      <c r="Q3" s="35"/>
      <c r="R3" s="35"/>
      <c r="S3" s="35"/>
      <c r="T3" s="35"/>
      <c r="U3" s="35"/>
      <c r="V3" s="35"/>
      <c r="W3" s="35"/>
      <c r="X3" s="35"/>
      <c r="Y3" s="35"/>
      <c r="Z3" s="35"/>
      <c r="AA3" s="35"/>
    </row>
    <row r="4" ht="14.25" customHeight="1">
      <c r="A4" s="221"/>
      <c r="B4" s="222"/>
      <c r="C4" s="102" t="s">
        <v>1752</v>
      </c>
      <c r="D4" s="223" t="s">
        <v>1753</v>
      </c>
      <c r="E4" s="85" t="s">
        <v>1754</v>
      </c>
      <c r="F4" s="225">
        <v>4920.0</v>
      </c>
      <c r="G4" s="225">
        <v>4920.0</v>
      </c>
      <c r="H4" s="226">
        <v>45855.0</v>
      </c>
      <c r="I4" s="36">
        <f t="shared" si="1"/>
        <v>7380</v>
      </c>
      <c r="J4" s="37">
        <f t="shared" si="2"/>
        <v>6396</v>
      </c>
      <c r="K4" s="38">
        <f t="shared" si="3"/>
        <v>6396</v>
      </c>
      <c r="L4" s="39">
        <f t="shared" si="4"/>
        <v>5904</v>
      </c>
      <c r="M4" s="38">
        <f t="shared" si="5"/>
        <v>5658</v>
      </c>
      <c r="N4" s="39">
        <f t="shared" si="6"/>
        <v>5412</v>
      </c>
      <c r="O4" s="40"/>
      <c r="P4" s="34"/>
      <c r="Q4" s="35"/>
      <c r="R4" s="35"/>
      <c r="S4" s="35"/>
      <c r="T4" s="35"/>
      <c r="U4" s="35"/>
      <c r="V4" s="35"/>
      <c r="W4" s="35"/>
      <c r="X4" s="35"/>
      <c r="Y4" s="35"/>
      <c r="Z4" s="35"/>
      <c r="AA4" s="35"/>
    </row>
    <row r="5" ht="14.25" hidden="1" customHeight="1">
      <c r="A5" s="221"/>
      <c r="B5" s="222"/>
      <c r="C5" s="227" t="s">
        <v>1755</v>
      </c>
      <c r="D5" s="223" t="s">
        <v>1756</v>
      </c>
      <c r="E5" s="85" t="s">
        <v>1757</v>
      </c>
      <c r="F5" s="225"/>
      <c r="G5" s="225">
        <v>5740.0</v>
      </c>
      <c r="H5" s="226">
        <v>45855.0</v>
      </c>
      <c r="I5" s="36">
        <f t="shared" si="1"/>
        <v>0</v>
      </c>
      <c r="J5" s="37">
        <f t="shared" si="2"/>
        <v>0</v>
      </c>
      <c r="K5" s="38">
        <f t="shared" si="3"/>
        <v>0</v>
      </c>
      <c r="L5" s="39">
        <f t="shared" si="4"/>
        <v>0</v>
      </c>
      <c r="M5" s="38">
        <f t="shared" si="5"/>
        <v>0</v>
      </c>
      <c r="N5" s="39">
        <f t="shared" si="6"/>
        <v>0</v>
      </c>
      <c r="O5" s="40"/>
      <c r="P5" s="34"/>
      <c r="Q5" s="35"/>
      <c r="R5" s="35"/>
      <c r="S5" s="35"/>
      <c r="T5" s="35"/>
      <c r="U5" s="35"/>
      <c r="V5" s="35"/>
      <c r="W5" s="35"/>
      <c r="X5" s="35"/>
      <c r="Y5" s="35"/>
      <c r="Z5" s="35"/>
      <c r="AA5" s="35"/>
    </row>
    <row r="6" ht="14.25" hidden="1" customHeight="1">
      <c r="A6" s="221"/>
      <c r="B6" s="222"/>
      <c r="C6" s="228" t="s">
        <v>1758</v>
      </c>
      <c r="D6" s="223" t="s">
        <v>1759</v>
      </c>
      <c r="E6" s="85" t="s">
        <v>1760</v>
      </c>
      <c r="F6" s="225"/>
      <c r="G6" s="225">
        <v>5060.0</v>
      </c>
      <c r="H6" s="226">
        <v>45855.0</v>
      </c>
      <c r="I6" s="36">
        <f t="shared" si="1"/>
        <v>0</v>
      </c>
      <c r="J6" s="37">
        <f t="shared" si="2"/>
        <v>0</v>
      </c>
      <c r="K6" s="38">
        <f t="shared" si="3"/>
        <v>0</v>
      </c>
      <c r="L6" s="39">
        <f t="shared" si="4"/>
        <v>0</v>
      </c>
      <c r="M6" s="38">
        <f t="shared" si="5"/>
        <v>0</v>
      </c>
      <c r="N6" s="39">
        <f t="shared" si="6"/>
        <v>0</v>
      </c>
      <c r="O6" s="40"/>
      <c r="P6" s="34"/>
      <c r="Q6" s="35"/>
      <c r="R6" s="35"/>
      <c r="S6" s="35"/>
      <c r="T6" s="35"/>
      <c r="U6" s="35"/>
      <c r="V6" s="35"/>
      <c r="W6" s="35"/>
      <c r="X6" s="35"/>
      <c r="Y6" s="35"/>
      <c r="Z6" s="35"/>
      <c r="AA6" s="35"/>
    </row>
    <row r="7" ht="14.25" hidden="1" customHeight="1">
      <c r="A7" s="221"/>
      <c r="B7" s="222"/>
      <c r="C7" s="211" t="s">
        <v>1761</v>
      </c>
      <c r="D7" s="212" t="s">
        <v>1762</v>
      </c>
      <c r="E7" s="229" t="s">
        <v>1763</v>
      </c>
      <c r="F7" s="214"/>
      <c r="G7" s="214">
        <v>5420.0</v>
      </c>
      <c r="H7" s="226">
        <v>45855.0</v>
      </c>
      <c r="I7" s="36">
        <f t="shared" si="1"/>
        <v>0</v>
      </c>
      <c r="J7" s="37">
        <f t="shared" si="2"/>
        <v>0</v>
      </c>
      <c r="K7" s="38">
        <f t="shared" si="3"/>
        <v>0</v>
      </c>
      <c r="L7" s="39">
        <f t="shared" si="4"/>
        <v>0</v>
      </c>
      <c r="M7" s="38">
        <f t="shared" si="5"/>
        <v>0</v>
      </c>
      <c r="N7" s="39">
        <f t="shared" si="6"/>
        <v>0</v>
      </c>
      <c r="O7" s="40"/>
      <c r="P7" s="34"/>
      <c r="Q7" s="35"/>
      <c r="R7" s="35"/>
      <c r="S7" s="35"/>
      <c r="T7" s="35"/>
      <c r="U7" s="35"/>
      <c r="V7" s="35"/>
      <c r="W7" s="35"/>
      <c r="X7" s="35"/>
      <c r="Y7" s="35"/>
      <c r="Z7" s="35"/>
      <c r="AA7" s="35"/>
    </row>
    <row r="8" ht="14.25" hidden="1" customHeight="1">
      <c r="A8" s="221"/>
      <c r="B8" s="222"/>
      <c r="C8" s="211" t="s">
        <v>1764</v>
      </c>
      <c r="D8" s="212" t="s">
        <v>1765</v>
      </c>
      <c r="E8" s="229" t="s">
        <v>1766</v>
      </c>
      <c r="F8" s="214"/>
      <c r="G8" s="214">
        <v>5420.0</v>
      </c>
      <c r="H8" s="226">
        <v>45855.0</v>
      </c>
      <c r="I8" s="36">
        <f t="shared" si="1"/>
        <v>0</v>
      </c>
      <c r="J8" s="37">
        <f t="shared" si="2"/>
        <v>0</v>
      </c>
      <c r="K8" s="38">
        <f t="shared" si="3"/>
        <v>0</v>
      </c>
      <c r="L8" s="39">
        <f t="shared" si="4"/>
        <v>0</v>
      </c>
      <c r="M8" s="38">
        <f t="shared" si="5"/>
        <v>0</v>
      </c>
      <c r="N8" s="39">
        <f t="shared" si="6"/>
        <v>0</v>
      </c>
      <c r="O8" s="40"/>
      <c r="P8" s="34"/>
      <c r="Q8" s="35"/>
      <c r="R8" s="35"/>
      <c r="S8" s="35"/>
      <c r="T8" s="35"/>
      <c r="U8" s="35"/>
      <c r="V8" s="35"/>
      <c r="W8" s="35"/>
      <c r="X8" s="35"/>
      <c r="Y8" s="35"/>
      <c r="Z8" s="35"/>
      <c r="AA8" s="35"/>
    </row>
    <row r="9" ht="14.25" customHeight="1">
      <c r="A9" s="221"/>
      <c r="B9" s="222"/>
      <c r="C9" s="211" t="s">
        <v>1767</v>
      </c>
      <c r="D9" s="212" t="s">
        <v>1768</v>
      </c>
      <c r="E9" s="229" t="s">
        <v>1769</v>
      </c>
      <c r="F9" s="214">
        <v>2160.0</v>
      </c>
      <c r="G9" s="214">
        <v>2160.0</v>
      </c>
      <c r="H9" s="226">
        <v>45855.0</v>
      </c>
      <c r="I9" s="36">
        <f t="shared" si="1"/>
        <v>3240</v>
      </c>
      <c r="J9" s="37">
        <f t="shared" si="2"/>
        <v>2808</v>
      </c>
      <c r="K9" s="38">
        <f t="shared" si="3"/>
        <v>2808</v>
      </c>
      <c r="L9" s="39">
        <f t="shared" si="4"/>
        <v>2592</v>
      </c>
      <c r="M9" s="38">
        <f t="shared" si="5"/>
        <v>2484</v>
      </c>
      <c r="N9" s="39">
        <f t="shared" si="6"/>
        <v>2376</v>
      </c>
      <c r="O9" s="40"/>
      <c r="P9" s="34"/>
      <c r="Q9" s="35"/>
      <c r="R9" s="35"/>
      <c r="S9" s="35"/>
      <c r="T9" s="35"/>
      <c r="U9" s="35"/>
      <c r="V9" s="35"/>
      <c r="W9" s="35"/>
      <c r="X9" s="35"/>
      <c r="Y9" s="35"/>
      <c r="Z9" s="35"/>
      <c r="AA9" s="35"/>
    </row>
    <row r="10" ht="14.25" customHeight="1">
      <c r="A10" s="221"/>
      <c r="B10" s="222"/>
      <c r="C10" s="211" t="s">
        <v>1770</v>
      </c>
      <c r="D10" s="212" t="s">
        <v>1771</v>
      </c>
      <c r="E10" s="229" t="s">
        <v>1772</v>
      </c>
      <c r="F10" s="214">
        <v>3235.0</v>
      </c>
      <c r="G10" s="214">
        <v>3235.0</v>
      </c>
      <c r="H10" s="226">
        <v>45855.0</v>
      </c>
      <c r="I10" s="36">
        <f t="shared" si="1"/>
        <v>4852.5</v>
      </c>
      <c r="J10" s="37">
        <f t="shared" si="2"/>
        <v>4205.5</v>
      </c>
      <c r="K10" s="38">
        <f t="shared" si="3"/>
        <v>4205.5</v>
      </c>
      <c r="L10" s="39">
        <f t="shared" si="4"/>
        <v>3882</v>
      </c>
      <c r="M10" s="38">
        <f t="shared" si="5"/>
        <v>3720.25</v>
      </c>
      <c r="N10" s="39">
        <f t="shared" si="6"/>
        <v>3558.5</v>
      </c>
      <c r="O10" s="40"/>
      <c r="P10" s="34"/>
      <c r="Q10" s="35"/>
      <c r="R10" s="35"/>
      <c r="S10" s="35"/>
      <c r="T10" s="35"/>
      <c r="U10" s="35"/>
      <c r="V10" s="35"/>
      <c r="W10" s="35"/>
      <c r="X10" s="35"/>
      <c r="Y10" s="35"/>
      <c r="Z10" s="35"/>
      <c r="AA10" s="35"/>
    </row>
    <row r="11" ht="14.25" customHeight="1">
      <c r="A11" s="221"/>
      <c r="B11" s="222"/>
      <c r="C11" s="211" t="s">
        <v>1773</v>
      </c>
      <c r="D11" s="212" t="s">
        <v>1774</v>
      </c>
      <c r="E11" s="229" t="s">
        <v>1775</v>
      </c>
      <c r="F11" s="214">
        <v>12140.0</v>
      </c>
      <c r="G11" s="214">
        <v>12140.0</v>
      </c>
      <c r="H11" s="226">
        <v>45855.0</v>
      </c>
      <c r="I11" s="36">
        <f t="shared" si="1"/>
        <v>18210</v>
      </c>
      <c r="J11" s="37">
        <f t="shared" si="2"/>
        <v>15782</v>
      </c>
      <c r="K11" s="38">
        <f t="shared" si="3"/>
        <v>15782</v>
      </c>
      <c r="L11" s="39">
        <f t="shared" si="4"/>
        <v>14568</v>
      </c>
      <c r="M11" s="38">
        <f t="shared" si="5"/>
        <v>13961</v>
      </c>
      <c r="N11" s="39">
        <f t="shared" si="6"/>
        <v>13354</v>
      </c>
      <c r="O11" s="40"/>
      <c r="P11" s="34"/>
      <c r="Q11" s="35"/>
      <c r="R11" s="35"/>
      <c r="S11" s="35"/>
      <c r="T11" s="35"/>
      <c r="U11" s="35"/>
      <c r="V11" s="35"/>
      <c r="W11" s="35"/>
      <c r="X11" s="35"/>
      <c r="Y11" s="35"/>
      <c r="Z11" s="35"/>
      <c r="AA11" s="35"/>
    </row>
    <row r="12" ht="14.25" hidden="1" customHeight="1">
      <c r="A12" s="221"/>
      <c r="B12" s="222"/>
      <c r="C12" s="211" t="s">
        <v>1776</v>
      </c>
      <c r="D12" s="212" t="s">
        <v>1777</v>
      </c>
      <c r="E12" s="213"/>
      <c r="F12" s="214"/>
      <c r="G12" s="214">
        <v>64700.0</v>
      </c>
      <c r="H12" s="88">
        <v>44714.0</v>
      </c>
      <c r="I12" s="36">
        <f t="shared" si="1"/>
        <v>0</v>
      </c>
      <c r="J12" s="37">
        <f t="shared" si="2"/>
        <v>0</v>
      </c>
      <c r="K12" s="38">
        <f t="shared" si="3"/>
        <v>0</v>
      </c>
      <c r="L12" s="39">
        <f t="shared" si="4"/>
        <v>0</v>
      </c>
      <c r="M12" s="38">
        <f t="shared" si="5"/>
        <v>0</v>
      </c>
      <c r="N12" s="39">
        <f t="shared" si="6"/>
        <v>0</v>
      </c>
      <c r="O12" s="40"/>
      <c r="P12" s="34"/>
      <c r="Q12" s="35"/>
      <c r="R12" s="35"/>
      <c r="S12" s="35"/>
      <c r="T12" s="35"/>
      <c r="U12" s="35"/>
      <c r="V12" s="35"/>
      <c r="W12" s="35"/>
      <c r="X12" s="35"/>
      <c r="Y12" s="35"/>
      <c r="Z12" s="35"/>
      <c r="AA12" s="35"/>
    </row>
    <row r="13" ht="39.0" hidden="1" customHeight="1">
      <c r="A13" s="221"/>
      <c r="B13" s="222"/>
      <c r="C13" s="211" t="s">
        <v>1778</v>
      </c>
      <c r="D13" s="212" t="s">
        <v>1779</v>
      </c>
      <c r="E13" s="213"/>
      <c r="F13" s="214"/>
      <c r="G13" s="214">
        <v>11000.0</v>
      </c>
      <c r="H13" s="88">
        <v>44714.0</v>
      </c>
      <c r="I13" s="36">
        <f t="shared" si="1"/>
        <v>0</v>
      </c>
      <c r="J13" s="37">
        <f t="shared" si="2"/>
        <v>0</v>
      </c>
      <c r="K13" s="38">
        <f t="shared" si="3"/>
        <v>0</v>
      </c>
      <c r="L13" s="39">
        <f t="shared" si="4"/>
        <v>0</v>
      </c>
      <c r="M13" s="38">
        <f t="shared" si="5"/>
        <v>0</v>
      </c>
      <c r="N13" s="39">
        <f t="shared" si="6"/>
        <v>0</v>
      </c>
      <c r="O13" s="40"/>
      <c r="P13" s="34"/>
      <c r="Q13" s="35"/>
      <c r="R13" s="35"/>
      <c r="S13" s="35"/>
      <c r="T13" s="35"/>
      <c r="U13" s="35"/>
      <c r="V13" s="35"/>
      <c r="W13" s="35"/>
      <c r="X13" s="35"/>
      <c r="Y13" s="35"/>
      <c r="Z13" s="35"/>
      <c r="AA13" s="35"/>
    </row>
    <row r="14" ht="39.0" hidden="1" customHeight="1">
      <c r="A14" s="221"/>
      <c r="B14" s="222"/>
      <c r="C14" s="211" t="s">
        <v>1778</v>
      </c>
      <c r="D14" s="212" t="s">
        <v>1779</v>
      </c>
      <c r="E14" s="213"/>
      <c r="F14" s="214"/>
      <c r="G14" s="214">
        <v>11000.0</v>
      </c>
      <c r="H14" s="88">
        <v>44714.0</v>
      </c>
      <c r="I14" s="36">
        <f t="shared" si="1"/>
        <v>0</v>
      </c>
      <c r="J14" s="37">
        <f t="shared" si="2"/>
        <v>0</v>
      </c>
      <c r="K14" s="38">
        <f t="shared" si="3"/>
        <v>0</v>
      </c>
      <c r="L14" s="39">
        <f t="shared" si="4"/>
        <v>0</v>
      </c>
      <c r="M14" s="38">
        <f t="shared" si="5"/>
        <v>0</v>
      </c>
      <c r="N14" s="39">
        <f t="shared" si="6"/>
        <v>0</v>
      </c>
      <c r="O14" s="40"/>
      <c r="P14" s="34"/>
      <c r="Q14" s="35"/>
      <c r="R14" s="35"/>
      <c r="S14" s="35"/>
      <c r="T14" s="35"/>
      <c r="U14" s="35"/>
      <c r="V14" s="35"/>
      <c r="W14" s="35"/>
      <c r="X14" s="35"/>
      <c r="Y14" s="35"/>
      <c r="Z14" s="35"/>
      <c r="AA14" s="35"/>
    </row>
    <row r="15" ht="39.0" hidden="1" customHeight="1">
      <c r="A15" s="221"/>
      <c r="B15" s="222"/>
      <c r="C15" s="211" t="s">
        <v>1780</v>
      </c>
      <c r="D15" s="212" t="s">
        <v>1781</v>
      </c>
      <c r="E15" s="213"/>
      <c r="F15" s="214"/>
      <c r="G15" s="214">
        <v>11000.0</v>
      </c>
      <c r="H15" s="88">
        <v>44714.0</v>
      </c>
      <c r="I15" s="36">
        <f t="shared" si="1"/>
        <v>0</v>
      </c>
      <c r="J15" s="37">
        <f t="shared" si="2"/>
        <v>0</v>
      </c>
      <c r="K15" s="38">
        <f t="shared" si="3"/>
        <v>0</v>
      </c>
      <c r="L15" s="39">
        <f t="shared" si="4"/>
        <v>0</v>
      </c>
      <c r="M15" s="38">
        <f t="shared" si="5"/>
        <v>0</v>
      </c>
      <c r="N15" s="39">
        <f t="shared" si="6"/>
        <v>0</v>
      </c>
      <c r="O15" s="40"/>
      <c r="P15" s="34"/>
      <c r="Q15" s="35"/>
      <c r="R15" s="35"/>
      <c r="S15" s="35"/>
      <c r="T15" s="35"/>
      <c r="U15" s="35"/>
      <c r="V15" s="35"/>
      <c r="W15" s="35"/>
      <c r="X15" s="35"/>
      <c r="Y15" s="35"/>
      <c r="Z15" s="35"/>
      <c r="AA15" s="35"/>
    </row>
    <row r="16" ht="14.25" hidden="1" customHeight="1">
      <c r="A16" s="221"/>
      <c r="B16" s="222"/>
      <c r="C16" s="211" t="s">
        <v>1782</v>
      </c>
      <c r="D16" s="212" t="s">
        <v>1783</v>
      </c>
      <c r="E16" s="213"/>
      <c r="F16" s="214"/>
      <c r="G16" s="214">
        <v>10760.0</v>
      </c>
      <c r="H16" s="230">
        <v>44986.0</v>
      </c>
      <c r="I16" s="36">
        <f t="shared" si="1"/>
        <v>0</v>
      </c>
      <c r="J16" s="37">
        <f t="shared" si="2"/>
        <v>0</v>
      </c>
      <c r="K16" s="38">
        <f t="shared" si="3"/>
        <v>0</v>
      </c>
      <c r="L16" s="39">
        <f t="shared" si="4"/>
        <v>0</v>
      </c>
      <c r="M16" s="38">
        <f t="shared" si="5"/>
        <v>0</v>
      </c>
      <c r="N16" s="39">
        <f t="shared" si="6"/>
        <v>0</v>
      </c>
      <c r="O16" s="40"/>
      <c r="P16" s="34"/>
      <c r="Q16" s="35"/>
      <c r="R16" s="35"/>
      <c r="S16" s="35"/>
      <c r="T16" s="35"/>
      <c r="U16" s="35"/>
      <c r="V16" s="35"/>
      <c r="W16" s="35"/>
      <c r="X16" s="35"/>
      <c r="Y16" s="35"/>
      <c r="Z16" s="35"/>
      <c r="AA16" s="35"/>
    </row>
    <row r="17" ht="27.75" hidden="1" customHeight="1">
      <c r="A17" s="221"/>
      <c r="B17" s="231"/>
      <c r="C17" s="211" t="s">
        <v>1784</v>
      </c>
      <c r="D17" s="212" t="s">
        <v>1785</v>
      </c>
      <c r="E17" s="213"/>
      <c r="F17" s="214"/>
      <c r="G17" s="214">
        <v>10760.0</v>
      </c>
      <c r="H17" s="230">
        <v>44986.0</v>
      </c>
      <c r="I17" s="36">
        <f t="shared" si="1"/>
        <v>0</v>
      </c>
      <c r="J17" s="37">
        <f t="shared" si="2"/>
        <v>0</v>
      </c>
      <c r="K17" s="38">
        <f t="shared" si="3"/>
        <v>0</v>
      </c>
      <c r="L17" s="39">
        <f t="shared" si="4"/>
        <v>0</v>
      </c>
      <c r="M17" s="38">
        <f t="shared" si="5"/>
        <v>0</v>
      </c>
      <c r="N17" s="39">
        <f t="shared" si="6"/>
        <v>0</v>
      </c>
      <c r="O17" s="40"/>
      <c r="P17" s="34"/>
      <c r="Q17" s="35"/>
      <c r="R17" s="35"/>
      <c r="S17" s="35"/>
      <c r="T17" s="35"/>
      <c r="U17" s="35"/>
      <c r="V17" s="35"/>
      <c r="W17" s="35"/>
      <c r="X17" s="35"/>
      <c r="Y17" s="35"/>
      <c r="Z17" s="35"/>
      <c r="AA17" s="35"/>
    </row>
    <row r="18" ht="21.75" hidden="1" customHeight="1">
      <c r="A18" s="221"/>
      <c r="B18" s="231"/>
      <c r="C18" s="211" t="s">
        <v>1786</v>
      </c>
      <c r="D18" s="212" t="s">
        <v>1787</v>
      </c>
      <c r="E18" s="213"/>
      <c r="F18" s="214"/>
      <c r="G18" s="214">
        <v>31380.0</v>
      </c>
      <c r="H18" s="230">
        <v>44986.0</v>
      </c>
      <c r="I18" s="36">
        <f t="shared" si="1"/>
        <v>0</v>
      </c>
      <c r="J18" s="37">
        <f t="shared" si="2"/>
        <v>0</v>
      </c>
      <c r="K18" s="38">
        <f t="shared" si="3"/>
        <v>0</v>
      </c>
      <c r="L18" s="39">
        <f t="shared" si="4"/>
        <v>0</v>
      </c>
      <c r="M18" s="38">
        <f t="shared" si="5"/>
        <v>0</v>
      </c>
      <c r="N18" s="39">
        <f t="shared" si="6"/>
        <v>0</v>
      </c>
      <c r="O18" s="40"/>
      <c r="P18" s="34"/>
      <c r="Q18" s="35"/>
      <c r="R18" s="35"/>
      <c r="S18" s="35"/>
      <c r="T18" s="35"/>
      <c r="U18" s="35"/>
      <c r="V18" s="35"/>
      <c r="W18" s="35"/>
      <c r="X18" s="35"/>
      <c r="Y18" s="35"/>
      <c r="Z18" s="35"/>
      <c r="AA18" s="35"/>
    </row>
    <row r="19" ht="14.25" hidden="1" customHeight="1">
      <c r="A19" s="221"/>
      <c r="B19" s="231" t="s">
        <v>1788</v>
      </c>
      <c r="C19" s="211" t="s">
        <v>1789</v>
      </c>
      <c r="D19" s="212" t="s">
        <v>1790</v>
      </c>
      <c r="E19" s="213"/>
      <c r="F19" s="214"/>
      <c r="G19" s="214">
        <v>28270.0</v>
      </c>
      <c r="H19" s="230">
        <v>44986.0</v>
      </c>
      <c r="I19" s="36">
        <f t="shared" si="1"/>
        <v>0</v>
      </c>
      <c r="J19" s="37">
        <f t="shared" si="2"/>
        <v>0</v>
      </c>
      <c r="K19" s="38">
        <f t="shared" si="3"/>
        <v>0</v>
      </c>
      <c r="L19" s="39">
        <f t="shared" si="4"/>
        <v>0</v>
      </c>
      <c r="M19" s="38">
        <f t="shared" si="5"/>
        <v>0</v>
      </c>
      <c r="N19" s="39">
        <f t="shared" si="6"/>
        <v>0</v>
      </c>
      <c r="O19" s="40"/>
      <c r="P19" s="34"/>
      <c r="Q19" s="35"/>
      <c r="R19" s="35"/>
      <c r="S19" s="35"/>
      <c r="T19" s="35"/>
      <c r="U19" s="35"/>
      <c r="V19" s="35"/>
      <c r="W19" s="35"/>
      <c r="X19" s="35"/>
      <c r="Y19" s="35"/>
      <c r="Z19" s="35"/>
      <c r="AA19" s="35"/>
    </row>
    <row r="20" ht="32.25" hidden="1" customHeight="1">
      <c r="A20" s="221"/>
      <c r="B20" s="231"/>
      <c r="C20" s="211" t="s">
        <v>583</v>
      </c>
      <c r="D20" s="212" t="s">
        <v>1791</v>
      </c>
      <c r="E20" s="213"/>
      <c r="F20" s="214"/>
      <c r="G20" s="214">
        <v>1750.0</v>
      </c>
      <c r="H20" s="230">
        <v>45153.0</v>
      </c>
      <c r="I20" s="36">
        <f t="shared" si="1"/>
        <v>0</v>
      </c>
      <c r="J20" s="37">
        <f t="shared" si="2"/>
        <v>0</v>
      </c>
      <c r="K20" s="38">
        <f t="shared" si="3"/>
        <v>0</v>
      </c>
      <c r="L20" s="39">
        <f t="shared" si="4"/>
        <v>0</v>
      </c>
      <c r="M20" s="38">
        <f t="shared" si="5"/>
        <v>0</v>
      </c>
      <c r="N20" s="39">
        <f t="shared" si="6"/>
        <v>0</v>
      </c>
      <c r="O20" s="40"/>
      <c r="P20" s="35" t="s">
        <v>238</v>
      </c>
      <c r="Q20" s="35"/>
      <c r="R20" s="35"/>
      <c r="S20" s="35"/>
      <c r="T20" s="35"/>
      <c r="U20" s="35"/>
      <c r="V20" s="35"/>
      <c r="W20" s="35"/>
      <c r="X20" s="35"/>
      <c r="Y20" s="35"/>
      <c r="Z20" s="35"/>
      <c r="AA20" s="35"/>
    </row>
    <row r="21" ht="14.25" hidden="1" customHeight="1">
      <c r="A21" s="221"/>
      <c r="B21" s="231"/>
      <c r="C21" s="211" t="s">
        <v>1792</v>
      </c>
      <c r="D21" s="212" t="s">
        <v>1793</v>
      </c>
      <c r="E21" s="213"/>
      <c r="F21" s="214"/>
      <c r="G21" s="214">
        <v>6650.0</v>
      </c>
      <c r="H21" s="226">
        <v>45264.0</v>
      </c>
      <c r="I21" s="36">
        <f t="shared" si="1"/>
        <v>0</v>
      </c>
      <c r="J21" s="37">
        <f t="shared" si="2"/>
        <v>0</v>
      </c>
      <c r="K21" s="38">
        <f t="shared" si="3"/>
        <v>0</v>
      </c>
      <c r="L21" s="39">
        <f t="shared" si="4"/>
        <v>0</v>
      </c>
      <c r="M21" s="38">
        <f t="shared" si="5"/>
        <v>0</v>
      </c>
      <c r="N21" s="39">
        <f t="shared" si="6"/>
        <v>0</v>
      </c>
      <c r="O21" s="40"/>
      <c r="P21" s="34"/>
      <c r="Q21" s="35"/>
      <c r="R21" s="35"/>
      <c r="S21" s="35"/>
      <c r="T21" s="35"/>
      <c r="U21" s="35"/>
      <c r="V21" s="35"/>
      <c r="W21" s="35"/>
      <c r="X21" s="35"/>
      <c r="Y21" s="35"/>
      <c r="Z21" s="35"/>
      <c r="AA21" s="35"/>
    </row>
    <row r="22" ht="30.75" hidden="1" customHeight="1">
      <c r="A22" s="221"/>
      <c r="B22" s="231"/>
      <c r="C22" s="211" t="s">
        <v>1794</v>
      </c>
      <c r="D22" s="212" t="s">
        <v>1795</v>
      </c>
      <c r="E22" s="213"/>
      <c r="F22" s="214"/>
      <c r="G22" s="214">
        <v>74910.0</v>
      </c>
      <c r="H22" s="226">
        <v>45264.0</v>
      </c>
      <c r="I22" s="36">
        <f t="shared" si="1"/>
        <v>0</v>
      </c>
      <c r="J22" s="37">
        <f t="shared" si="2"/>
        <v>0</v>
      </c>
      <c r="K22" s="38">
        <f t="shared" si="3"/>
        <v>0</v>
      </c>
      <c r="L22" s="39">
        <f t="shared" si="4"/>
        <v>0</v>
      </c>
      <c r="M22" s="38">
        <f t="shared" si="5"/>
        <v>0</v>
      </c>
      <c r="N22" s="39">
        <f t="shared" si="6"/>
        <v>0</v>
      </c>
      <c r="O22" s="40" t="s">
        <v>1796</v>
      </c>
      <c r="P22" s="34"/>
      <c r="Q22" s="35"/>
      <c r="R22" s="35"/>
      <c r="S22" s="35"/>
      <c r="T22" s="35"/>
      <c r="U22" s="35"/>
      <c r="V22" s="35"/>
      <c r="W22" s="35"/>
      <c r="X22" s="35"/>
      <c r="Y22" s="35"/>
      <c r="Z22" s="35"/>
      <c r="AA22" s="35"/>
    </row>
    <row r="23" ht="14.25" customHeight="1">
      <c r="A23" s="221"/>
      <c r="B23" s="231"/>
      <c r="C23" s="211"/>
      <c r="D23" s="212"/>
      <c r="E23" s="213"/>
      <c r="F23" s="214"/>
      <c r="G23" s="214"/>
      <c r="H23" s="232"/>
      <c r="I23" s="36">
        <f t="shared" si="1"/>
        <v>0</v>
      </c>
      <c r="J23" s="37">
        <f t="shared" si="2"/>
        <v>0</v>
      </c>
      <c r="K23" s="38">
        <f t="shared" si="3"/>
        <v>0</v>
      </c>
      <c r="L23" s="39">
        <f t="shared" si="4"/>
        <v>0</v>
      </c>
      <c r="M23" s="38">
        <f t="shared" si="5"/>
        <v>0</v>
      </c>
      <c r="N23" s="39">
        <f t="shared" si="6"/>
        <v>0</v>
      </c>
      <c r="O23" s="40"/>
      <c r="P23" s="34"/>
      <c r="Q23" s="35"/>
      <c r="R23" s="35"/>
      <c r="S23" s="35"/>
      <c r="T23" s="35"/>
      <c r="U23" s="35"/>
      <c r="V23" s="35"/>
      <c r="W23" s="35"/>
      <c r="X23" s="35"/>
      <c r="Y23" s="35"/>
      <c r="Z23" s="35"/>
      <c r="AA23" s="35"/>
    </row>
    <row r="24" ht="14.25" customHeight="1">
      <c r="A24" s="221"/>
      <c r="B24" s="231"/>
      <c r="C24" s="211"/>
      <c r="D24" s="212"/>
      <c r="E24" s="213"/>
      <c r="F24" s="214"/>
      <c r="G24" s="214"/>
      <c r="H24" s="232"/>
      <c r="I24" s="36">
        <f t="shared" si="1"/>
        <v>0</v>
      </c>
      <c r="J24" s="37">
        <f t="shared" si="2"/>
        <v>0</v>
      </c>
      <c r="K24" s="38">
        <f t="shared" si="3"/>
        <v>0</v>
      </c>
      <c r="L24" s="39">
        <f t="shared" si="4"/>
        <v>0</v>
      </c>
      <c r="M24" s="38">
        <f t="shared" si="5"/>
        <v>0</v>
      </c>
      <c r="N24" s="39">
        <f t="shared" si="6"/>
        <v>0</v>
      </c>
      <c r="O24" s="40"/>
      <c r="P24" s="34"/>
      <c r="Q24" s="35"/>
      <c r="R24" s="35"/>
      <c r="S24" s="35"/>
      <c r="T24" s="35"/>
      <c r="U24" s="35"/>
      <c r="V24" s="35"/>
      <c r="W24" s="35"/>
      <c r="X24" s="35"/>
      <c r="Y24" s="35"/>
      <c r="Z24" s="35"/>
      <c r="AA24" s="35"/>
    </row>
    <row r="25" ht="14.25" customHeight="1">
      <c r="A25" s="221"/>
      <c r="B25" s="231"/>
      <c r="C25" s="211"/>
      <c r="D25" s="212"/>
      <c r="E25" s="213"/>
      <c r="F25" s="214"/>
      <c r="G25" s="214"/>
      <c r="H25" s="232"/>
      <c r="I25" s="36">
        <f t="shared" si="1"/>
        <v>0</v>
      </c>
      <c r="J25" s="37">
        <f t="shared" si="2"/>
        <v>0</v>
      </c>
      <c r="K25" s="38">
        <f t="shared" si="3"/>
        <v>0</v>
      </c>
      <c r="L25" s="39">
        <f t="shared" si="4"/>
        <v>0</v>
      </c>
      <c r="M25" s="38">
        <f t="shared" si="5"/>
        <v>0</v>
      </c>
      <c r="N25" s="39">
        <f t="shared" si="6"/>
        <v>0</v>
      </c>
      <c r="O25" s="40"/>
      <c r="P25" s="34"/>
      <c r="Q25" s="35"/>
      <c r="R25" s="35"/>
      <c r="S25" s="35"/>
      <c r="T25" s="35"/>
      <c r="U25" s="35"/>
      <c r="V25" s="35"/>
      <c r="W25" s="35"/>
      <c r="X25" s="35"/>
      <c r="Y25" s="35"/>
      <c r="Z25" s="35"/>
      <c r="AA25" s="35"/>
    </row>
    <row r="26" ht="14.25" customHeight="1">
      <c r="A26" s="221"/>
      <c r="B26" s="231"/>
      <c r="C26" s="211"/>
      <c r="D26" s="212"/>
      <c r="E26" s="213"/>
      <c r="F26" s="214"/>
      <c r="G26" s="214"/>
      <c r="H26" s="232"/>
      <c r="I26" s="36">
        <f t="shared" si="1"/>
        <v>0</v>
      </c>
      <c r="J26" s="37">
        <f t="shared" si="2"/>
        <v>0</v>
      </c>
      <c r="K26" s="38">
        <f t="shared" si="3"/>
        <v>0</v>
      </c>
      <c r="L26" s="39">
        <f t="shared" si="4"/>
        <v>0</v>
      </c>
      <c r="M26" s="38">
        <f t="shared" si="5"/>
        <v>0</v>
      </c>
      <c r="N26" s="39">
        <f t="shared" si="6"/>
        <v>0</v>
      </c>
      <c r="O26" s="40"/>
      <c r="P26" s="34"/>
      <c r="Q26" s="35"/>
      <c r="R26" s="35"/>
      <c r="S26" s="35"/>
      <c r="T26" s="35"/>
      <c r="U26" s="35"/>
      <c r="V26" s="35"/>
      <c r="W26" s="35"/>
      <c r="X26" s="35"/>
      <c r="Y26" s="35"/>
      <c r="Z26" s="35"/>
      <c r="AA26" s="35"/>
    </row>
    <row r="27" ht="14.25" customHeight="1">
      <c r="A27" s="221"/>
      <c r="B27" s="231"/>
      <c r="C27" s="211"/>
      <c r="D27" s="212"/>
      <c r="E27" s="213"/>
      <c r="F27" s="214"/>
      <c r="G27" s="214"/>
      <c r="H27" s="232"/>
      <c r="I27" s="36">
        <f t="shared" si="1"/>
        <v>0</v>
      </c>
      <c r="J27" s="37">
        <f t="shared" si="2"/>
        <v>0</v>
      </c>
      <c r="K27" s="38">
        <f t="shared" si="3"/>
        <v>0</v>
      </c>
      <c r="L27" s="39">
        <f t="shared" si="4"/>
        <v>0</v>
      </c>
      <c r="M27" s="38">
        <f t="shared" si="5"/>
        <v>0</v>
      </c>
      <c r="N27" s="39">
        <f t="shared" si="6"/>
        <v>0</v>
      </c>
      <c r="O27" s="40"/>
      <c r="P27" s="34"/>
      <c r="Q27" s="35"/>
      <c r="R27" s="35"/>
      <c r="S27" s="35"/>
      <c r="T27" s="35"/>
      <c r="U27" s="35"/>
      <c r="V27" s="35"/>
      <c r="W27" s="35"/>
      <c r="X27" s="35"/>
      <c r="Y27" s="35"/>
      <c r="Z27" s="35"/>
      <c r="AA27" s="35"/>
    </row>
    <row r="28" ht="14.25" customHeight="1">
      <c r="A28" s="221"/>
      <c r="B28" s="231"/>
      <c r="C28" s="211"/>
      <c r="D28" s="212"/>
      <c r="E28" s="213"/>
      <c r="F28" s="214"/>
      <c r="G28" s="214"/>
      <c r="H28" s="232"/>
      <c r="I28" s="36">
        <f t="shared" si="1"/>
        <v>0</v>
      </c>
      <c r="J28" s="37">
        <f t="shared" si="2"/>
        <v>0</v>
      </c>
      <c r="K28" s="38">
        <f t="shared" si="3"/>
        <v>0</v>
      </c>
      <c r="L28" s="39">
        <f t="shared" si="4"/>
        <v>0</v>
      </c>
      <c r="M28" s="38">
        <f t="shared" si="5"/>
        <v>0</v>
      </c>
      <c r="N28" s="39">
        <f t="shared" si="6"/>
        <v>0</v>
      </c>
      <c r="O28" s="40"/>
      <c r="P28" s="34"/>
      <c r="Q28" s="35"/>
      <c r="R28" s="35"/>
      <c r="S28" s="35"/>
      <c r="T28" s="35"/>
      <c r="U28" s="35"/>
      <c r="V28" s="35"/>
      <c r="W28" s="35"/>
      <c r="X28" s="35"/>
      <c r="Y28" s="35"/>
      <c r="Z28" s="35"/>
      <c r="AA28" s="35"/>
    </row>
    <row r="29" ht="14.25" customHeight="1">
      <c r="A29" s="221"/>
      <c r="B29" s="231"/>
      <c r="C29" s="211"/>
      <c r="D29" s="212"/>
      <c r="E29" s="213"/>
      <c r="F29" s="214"/>
      <c r="G29" s="214"/>
      <c r="H29" s="232"/>
      <c r="I29" s="36">
        <f t="shared" si="1"/>
        <v>0</v>
      </c>
      <c r="J29" s="37">
        <f t="shared" si="2"/>
        <v>0</v>
      </c>
      <c r="K29" s="38">
        <f t="shared" si="3"/>
        <v>0</v>
      </c>
      <c r="L29" s="39">
        <f t="shared" si="4"/>
        <v>0</v>
      </c>
      <c r="M29" s="38">
        <f t="shared" si="5"/>
        <v>0</v>
      </c>
      <c r="N29" s="39">
        <f t="shared" si="6"/>
        <v>0</v>
      </c>
      <c r="O29" s="40"/>
      <c r="P29" s="34"/>
      <c r="Q29" s="35"/>
      <c r="R29" s="35"/>
      <c r="S29" s="35"/>
      <c r="T29" s="35"/>
      <c r="U29" s="35"/>
      <c r="V29" s="35"/>
      <c r="W29" s="35"/>
      <c r="X29" s="35"/>
      <c r="Y29" s="35"/>
      <c r="Z29" s="35"/>
      <c r="AA29" s="35"/>
    </row>
    <row r="30" ht="14.25" customHeight="1">
      <c r="A30" s="221"/>
      <c r="B30" s="231"/>
      <c r="C30" s="211"/>
      <c r="D30" s="212"/>
      <c r="E30" s="213"/>
      <c r="F30" s="214"/>
      <c r="G30" s="214"/>
      <c r="H30" s="232"/>
      <c r="I30" s="36">
        <f t="shared" si="1"/>
        <v>0</v>
      </c>
      <c r="J30" s="37">
        <f t="shared" si="2"/>
        <v>0</v>
      </c>
      <c r="K30" s="38">
        <f t="shared" si="3"/>
        <v>0</v>
      </c>
      <c r="L30" s="39">
        <f t="shared" si="4"/>
        <v>0</v>
      </c>
      <c r="M30" s="38">
        <f t="shared" si="5"/>
        <v>0</v>
      </c>
      <c r="N30" s="39">
        <f t="shared" si="6"/>
        <v>0</v>
      </c>
      <c r="O30" s="40"/>
      <c r="P30" s="34"/>
      <c r="Q30" s="35"/>
      <c r="R30" s="35"/>
      <c r="S30" s="35"/>
      <c r="T30" s="35"/>
      <c r="U30" s="35"/>
      <c r="V30" s="35"/>
      <c r="W30" s="35"/>
      <c r="X30" s="35"/>
      <c r="Y30" s="35"/>
      <c r="Z30" s="35"/>
      <c r="AA30" s="35"/>
    </row>
    <row r="31" ht="14.25" customHeight="1">
      <c r="A31" s="221"/>
      <c r="B31" s="231"/>
      <c r="C31" s="211"/>
      <c r="D31" s="212"/>
      <c r="E31" s="213"/>
      <c r="F31" s="214"/>
      <c r="G31" s="214"/>
      <c r="H31" s="232"/>
      <c r="I31" s="36">
        <f t="shared" si="1"/>
        <v>0</v>
      </c>
      <c r="J31" s="37">
        <f t="shared" si="2"/>
        <v>0</v>
      </c>
      <c r="K31" s="38">
        <f t="shared" si="3"/>
        <v>0</v>
      </c>
      <c r="L31" s="39">
        <f t="shared" si="4"/>
        <v>0</v>
      </c>
      <c r="M31" s="38">
        <f t="shared" si="5"/>
        <v>0</v>
      </c>
      <c r="N31" s="39">
        <f t="shared" si="6"/>
        <v>0</v>
      </c>
      <c r="O31" s="40"/>
      <c r="P31" s="34"/>
      <c r="Q31" s="35"/>
      <c r="R31" s="35"/>
      <c r="S31" s="35"/>
      <c r="T31" s="35"/>
      <c r="U31" s="35"/>
      <c r="V31" s="35"/>
      <c r="W31" s="35"/>
      <c r="X31" s="35"/>
      <c r="Y31" s="35"/>
      <c r="Z31" s="35"/>
      <c r="AA31" s="35"/>
    </row>
    <row r="32" ht="14.25" customHeight="1">
      <c r="A32" s="221"/>
      <c r="B32" s="231"/>
      <c r="C32" s="211"/>
      <c r="D32" s="212"/>
      <c r="E32" s="213"/>
      <c r="F32" s="214"/>
      <c r="G32" s="214"/>
      <c r="H32" s="232"/>
      <c r="I32" s="36">
        <f t="shared" si="1"/>
        <v>0</v>
      </c>
      <c r="J32" s="37">
        <f t="shared" si="2"/>
        <v>0</v>
      </c>
      <c r="K32" s="38">
        <f t="shared" si="3"/>
        <v>0</v>
      </c>
      <c r="L32" s="39">
        <f t="shared" si="4"/>
        <v>0</v>
      </c>
      <c r="M32" s="38">
        <f t="shared" si="5"/>
        <v>0</v>
      </c>
      <c r="N32" s="39">
        <f t="shared" si="6"/>
        <v>0</v>
      </c>
      <c r="O32" s="40"/>
      <c r="P32" s="34"/>
      <c r="Q32" s="35"/>
      <c r="R32" s="35"/>
      <c r="S32" s="35"/>
      <c r="T32" s="35"/>
      <c r="U32" s="35"/>
      <c r="V32" s="35"/>
      <c r="W32" s="35"/>
      <c r="X32" s="35"/>
      <c r="Y32" s="35"/>
      <c r="Z32" s="35"/>
      <c r="AA32" s="35"/>
    </row>
    <row r="33" ht="14.25" customHeight="1">
      <c r="A33" s="221"/>
      <c r="B33" s="231"/>
      <c r="C33" s="211"/>
      <c r="D33" s="212"/>
      <c r="E33" s="213"/>
      <c r="F33" s="214"/>
      <c r="G33" s="214"/>
      <c r="H33" s="232"/>
      <c r="I33" s="36">
        <f t="shared" si="1"/>
        <v>0</v>
      </c>
      <c r="J33" s="37">
        <f t="shared" si="2"/>
        <v>0</v>
      </c>
      <c r="K33" s="38">
        <f t="shared" si="3"/>
        <v>0</v>
      </c>
      <c r="L33" s="39">
        <f t="shared" si="4"/>
        <v>0</v>
      </c>
      <c r="M33" s="38">
        <f t="shared" si="5"/>
        <v>0</v>
      </c>
      <c r="N33" s="39">
        <f t="shared" si="6"/>
        <v>0</v>
      </c>
      <c r="O33" s="40"/>
      <c r="P33" s="34"/>
      <c r="Q33" s="35"/>
      <c r="R33" s="35"/>
      <c r="S33" s="35"/>
      <c r="T33" s="35"/>
      <c r="U33" s="35"/>
      <c r="V33" s="35"/>
      <c r="W33" s="35"/>
      <c r="X33" s="35"/>
      <c r="Y33" s="35"/>
      <c r="Z33" s="35"/>
      <c r="AA33" s="35"/>
    </row>
    <row r="34" ht="14.25" customHeight="1">
      <c r="A34" s="221"/>
      <c r="B34" s="231"/>
      <c r="C34" s="211"/>
      <c r="D34" s="212"/>
      <c r="E34" s="213"/>
      <c r="F34" s="214"/>
      <c r="G34" s="214"/>
      <c r="H34" s="232"/>
      <c r="I34" s="36">
        <f t="shared" si="1"/>
        <v>0</v>
      </c>
      <c r="J34" s="37">
        <f t="shared" si="2"/>
        <v>0</v>
      </c>
      <c r="K34" s="38">
        <f t="shared" si="3"/>
        <v>0</v>
      </c>
      <c r="L34" s="39">
        <f t="shared" si="4"/>
        <v>0</v>
      </c>
      <c r="M34" s="38">
        <f t="shared" si="5"/>
        <v>0</v>
      </c>
      <c r="N34" s="39">
        <f t="shared" si="6"/>
        <v>0</v>
      </c>
      <c r="O34" s="40"/>
      <c r="P34" s="34"/>
      <c r="Q34" s="35"/>
      <c r="R34" s="35"/>
      <c r="S34" s="35"/>
      <c r="T34" s="35"/>
      <c r="U34" s="35"/>
      <c r="V34" s="35"/>
      <c r="W34" s="35"/>
      <c r="X34" s="35"/>
      <c r="Y34" s="35"/>
      <c r="Z34" s="35"/>
      <c r="AA34" s="35"/>
    </row>
    <row r="35" ht="14.25" customHeight="1">
      <c r="A35" s="221"/>
      <c r="B35" s="231"/>
      <c r="C35" s="211"/>
      <c r="D35" s="212"/>
      <c r="E35" s="213"/>
      <c r="F35" s="214"/>
      <c r="G35" s="214"/>
      <c r="H35" s="232"/>
      <c r="I35" s="36">
        <f t="shared" si="1"/>
        <v>0</v>
      </c>
      <c r="J35" s="37">
        <f t="shared" si="2"/>
        <v>0</v>
      </c>
      <c r="K35" s="38">
        <f t="shared" si="3"/>
        <v>0</v>
      </c>
      <c r="L35" s="39">
        <f t="shared" si="4"/>
        <v>0</v>
      </c>
      <c r="M35" s="38">
        <f t="shared" si="5"/>
        <v>0</v>
      </c>
      <c r="N35" s="39">
        <f t="shared" si="6"/>
        <v>0</v>
      </c>
      <c r="O35" s="40"/>
      <c r="P35" s="34"/>
      <c r="Q35" s="35"/>
      <c r="R35" s="35"/>
      <c r="S35" s="35"/>
      <c r="T35" s="35"/>
      <c r="U35" s="35"/>
      <c r="V35" s="35"/>
      <c r="W35" s="35"/>
      <c r="X35" s="35"/>
      <c r="Y35" s="35"/>
      <c r="Z35" s="35"/>
      <c r="AA35" s="35"/>
    </row>
    <row r="36" ht="14.25" customHeight="1">
      <c r="A36" s="221"/>
      <c r="B36" s="231"/>
      <c r="C36" s="211"/>
      <c r="D36" s="212"/>
      <c r="E36" s="213"/>
      <c r="F36" s="214"/>
      <c r="G36" s="214"/>
      <c r="H36" s="232"/>
      <c r="I36" s="36">
        <f t="shared" si="1"/>
        <v>0</v>
      </c>
      <c r="J36" s="37">
        <f t="shared" si="2"/>
        <v>0</v>
      </c>
      <c r="K36" s="38">
        <f t="shared" si="3"/>
        <v>0</v>
      </c>
      <c r="L36" s="39">
        <f t="shared" si="4"/>
        <v>0</v>
      </c>
      <c r="M36" s="38">
        <f t="shared" si="5"/>
        <v>0</v>
      </c>
      <c r="N36" s="39">
        <f t="shared" si="6"/>
        <v>0</v>
      </c>
      <c r="O36" s="40"/>
      <c r="P36" s="34"/>
      <c r="Q36" s="35"/>
      <c r="R36" s="35"/>
      <c r="S36" s="35"/>
      <c r="T36" s="35"/>
      <c r="U36" s="35"/>
      <c r="V36" s="35"/>
      <c r="W36" s="35"/>
      <c r="X36" s="35"/>
      <c r="Y36" s="35"/>
      <c r="Z36" s="35"/>
      <c r="AA36" s="35"/>
    </row>
    <row r="37" ht="14.25" customHeight="1">
      <c r="A37" s="221"/>
      <c r="B37" s="231"/>
      <c r="C37" s="211"/>
      <c r="D37" s="212"/>
      <c r="E37" s="213"/>
      <c r="F37" s="214"/>
      <c r="G37" s="214"/>
      <c r="H37" s="232"/>
      <c r="I37" s="36">
        <f t="shared" si="1"/>
        <v>0</v>
      </c>
      <c r="J37" s="37">
        <f t="shared" si="2"/>
        <v>0</v>
      </c>
      <c r="K37" s="38">
        <f t="shared" si="3"/>
        <v>0</v>
      </c>
      <c r="L37" s="39">
        <f t="shared" si="4"/>
        <v>0</v>
      </c>
      <c r="M37" s="38">
        <f t="shared" si="5"/>
        <v>0</v>
      </c>
      <c r="N37" s="39">
        <f t="shared" si="6"/>
        <v>0</v>
      </c>
      <c r="O37" s="40"/>
      <c r="P37" s="34"/>
      <c r="Q37" s="35"/>
      <c r="R37" s="35"/>
      <c r="S37" s="35"/>
      <c r="T37" s="35"/>
      <c r="U37" s="35"/>
      <c r="V37" s="35"/>
      <c r="W37" s="35"/>
      <c r="X37" s="35"/>
      <c r="Y37" s="35"/>
      <c r="Z37" s="35"/>
      <c r="AA37" s="35"/>
    </row>
    <row r="38" ht="14.25" customHeight="1">
      <c r="A38" s="221"/>
      <c r="B38" s="231"/>
      <c r="C38" s="211"/>
      <c r="D38" s="212"/>
      <c r="E38" s="213"/>
      <c r="F38" s="214"/>
      <c r="G38" s="214"/>
      <c r="H38" s="232"/>
      <c r="I38" s="36">
        <f t="shared" si="1"/>
        <v>0</v>
      </c>
      <c r="J38" s="37">
        <f t="shared" si="2"/>
        <v>0</v>
      </c>
      <c r="K38" s="38">
        <f t="shared" si="3"/>
        <v>0</v>
      </c>
      <c r="L38" s="39">
        <f t="shared" si="4"/>
        <v>0</v>
      </c>
      <c r="M38" s="38">
        <f t="shared" si="5"/>
        <v>0</v>
      </c>
      <c r="N38" s="39">
        <f t="shared" si="6"/>
        <v>0</v>
      </c>
      <c r="O38" s="40"/>
      <c r="P38" s="34"/>
      <c r="Q38" s="35"/>
      <c r="R38" s="35"/>
      <c r="S38" s="35"/>
      <c r="T38" s="35"/>
      <c r="U38" s="35"/>
      <c r="V38" s="35"/>
      <c r="W38" s="35"/>
      <c r="X38" s="35"/>
      <c r="Y38" s="35"/>
      <c r="Z38" s="35"/>
      <c r="AA38" s="35"/>
    </row>
    <row r="39" ht="14.25" customHeight="1">
      <c r="A39" s="221"/>
      <c r="B39" s="231"/>
      <c r="C39" s="211"/>
      <c r="D39" s="212"/>
      <c r="E39" s="213"/>
      <c r="F39" s="214"/>
      <c r="G39" s="214"/>
      <c r="H39" s="232"/>
      <c r="I39" s="36">
        <f t="shared" si="1"/>
        <v>0</v>
      </c>
      <c r="J39" s="37">
        <f t="shared" si="2"/>
        <v>0</v>
      </c>
      <c r="K39" s="38">
        <f t="shared" si="3"/>
        <v>0</v>
      </c>
      <c r="L39" s="39">
        <f t="shared" si="4"/>
        <v>0</v>
      </c>
      <c r="M39" s="38">
        <f t="shared" si="5"/>
        <v>0</v>
      </c>
      <c r="N39" s="39">
        <f t="shared" si="6"/>
        <v>0</v>
      </c>
      <c r="O39" s="40"/>
      <c r="P39" s="34"/>
      <c r="Q39" s="35"/>
      <c r="R39" s="35"/>
      <c r="S39" s="35"/>
      <c r="T39" s="35"/>
      <c r="U39" s="35"/>
      <c r="V39" s="35"/>
      <c r="W39" s="35"/>
      <c r="X39" s="35"/>
      <c r="Y39" s="35"/>
      <c r="Z39" s="35"/>
      <c r="AA39" s="35"/>
    </row>
    <row r="40" ht="14.25" customHeight="1">
      <c r="A40" s="221"/>
      <c r="B40" s="231"/>
      <c r="C40" s="211"/>
      <c r="D40" s="212"/>
      <c r="E40" s="213"/>
      <c r="F40" s="214"/>
      <c r="G40" s="214"/>
      <c r="H40" s="232"/>
      <c r="I40" s="36">
        <f t="shared" si="1"/>
        <v>0</v>
      </c>
      <c r="J40" s="37">
        <f t="shared" si="2"/>
        <v>0</v>
      </c>
      <c r="K40" s="38">
        <f t="shared" si="3"/>
        <v>0</v>
      </c>
      <c r="L40" s="39">
        <f t="shared" si="4"/>
        <v>0</v>
      </c>
      <c r="M40" s="38">
        <f t="shared" si="5"/>
        <v>0</v>
      </c>
      <c r="N40" s="39">
        <f t="shared" si="6"/>
        <v>0</v>
      </c>
      <c r="O40" s="40"/>
      <c r="P40" s="34"/>
      <c r="Q40" s="35"/>
      <c r="R40" s="35"/>
      <c r="S40" s="35"/>
      <c r="T40" s="35"/>
      <c r="U40" s="35"/>
      <c r="V40" s="35"/>
      <c r="W40" s="35"/>
      <c r="X40" s="35"/>
      <c r="Y40" s="35"/>
      <c r="Z40" s="35"/>
      <c r="AA40" s="35"/>
    </row>
    <row r="41" ht="14.25" customHeight="1">
      <c r="A41" s="221"/>
      <c r="B41" s="231"/>
      <c r="C41" s="211"/>
      <c r="D41" s="212"/>
      <c r="E41" s="213"/>
      <c r="F41" s="214"/>
      <c r="G41" s="214"/>
      <c r="H41" s="232"/>
      <c r="I41" s="36">
        <f t="shared" si="1"/>
        <v>0</v>
      </c>
      <c r="J41" s="37">
        <f t="shared" si="2"/>
        <v>0</v>
      </c>
      <c r="K41" s="38">
        <f t="shared" si="3"/>
        <v>0</v>
      </c>
      <c r="L41" s="39">
        <f t="shared" si="4"/>
        <v>0</v>
      </c>
      <c r="M41" s="38">
        <f t="shared" si="5"/>
        <v>0</v>
      </c>
      <c r="N41" s="39">
        <f t="shared" si="6"/>
        <v>0</v>
      </c>
      <c r="O41" s="40"/>
      <c r="P41" s="34"/>
      <c r="Q41" s="35"/>
      <c r="R41" s="35"/>
      <c r="S41" s="35"/>
      <c r="T41" s="35"/>
      <c r="U41" s="35"/>
      <c r="V41" s="35"/>
      <c r="W41" s="35"/>
      <c r="X41" s="35"/>
      <c r="Y41" s="35"/>
      <c r="Z41" s="35"/>
      <c r="AA41" s="35"/>
    </row>
    <row r="42" ht="14.25" customHeight="1">
      <c r="A42" s="221"/>
      <c r="B42" s="231"/>
      <c r="C42" s="211"/>
      <c r="D42" s="212"/>
      <c r="E42" s="213"/>
      <c r="F42" s="214"/>
      <c r="G42" s="214"/>
      <c r="H42" s="232"/>
      <c r="I42" s="36">
        <f t="shared" si="1"/>
        <v>0</v>
      </c>
      <c r="J42" s="37">
        <f t="shared" si="2"/>
        <v>0</v>
      </c>
      <c r="K42" s="38">
        <f t="shared" si="3"/>
        <v>0</v>
      </c>
      <c r="L42" s="39">
        <f t="shared" si="4"/>
        <v>0</v>
      </c>
      <c r="M42" s="38">
        <f t="shared" si="5"/>
        <v>0</v>
      </c>
      <c r="N42" s="39">
        <f t="shared" si="6"/>
        <v>0</v>
      </c>
      <c r="O42" s="40"/>
      <c r="P42" s="34"/>
      <c r="Q42" s="35"/>
      <c r="R42" s="35"/>
      <c r="S42" s="35"/>
      <c r="T42" s="35"/>
      <c r="U42" s="35"/>
      <c r="V42" s="35"/>
      <c r="W42" s="35"/>
      <c r="X42" s="35"/>
      <c r="Y42" s="35"/>
      <c r="Z42" s="35"/>
      <c r="AA42" s="35"/>
    </row>
    <row r="43" ht="14.25" customHeight="1">
      <c r="A43" s="221"/>
      <c r="B43" s="231"/>
      <c r="C43" s="211"/>
      <c r="D43" s="212"/>
      <c r="E43" s="213"/>
      <c r="F43" s="214"/>
      <c r="G43" s="214"/>
      <c r="H43" s="232"/>
      <c r="I43" s="36">
        <f t="shared" si="1"/>
        <v>0</v>
      </c>
      <c r="J43" s="37">
        <f t="shared" si="2"/>
        <v>0</v>
      </c>
      <c r="K43" s="38">
        <f t="shared" si="3"/>
        <v>0</v>
      </c>
      <c r="L43" s="39">
        <f t="shared" si="4"/>
        <v>0</v>
      </c>
      <c r="M43" s="38">
        <f t="shared" si="5"/>
        <v>0</v>
      </c>
      <c r="N43" s="39">
        <f t="shared" si="6"/>
        <v>0</v>
      </c>
      <c r="O43" s="40"/>
      <c r="P43" s="34"/>
      <c r="Q43" s="35"/>
      <c r="R43" s="35"/>
      <c r="S43" s="35"/>
      <c r="T43" s="35"/>
      <c r="U43" s="35"/>
      <c r="V43" s="35"/>
      <c r="W43" s="35"/>
      <c r="X43" s="35"/>
      <c r="Y43" s="35"/>
      <c r="Z43" s="35"/>
      <c r="AA43" s="35"/>
    </row>
    <row r="44" ht="14.25" customHeight="1">
      <c r="A44" s="221"/>
      <c r="B44" s="231"/>
      <c r="C44" s="211"/>
      <c r="D44" s="212"/>
      <c r="E44" s="213"/>
      <c r="F44" s="214"/>
      <c r="G44" s="214"/>
      <c r="H44" s="232"/>
      <c r="I44" s="36">
        <f t="shared" si="1"/>
        <v>0</v>
      </c>
      <c r="J44" s="37">
        <f t="shared" si="2"/>
        <v>0</v>
      </c>
      <c r="K44" s="38">
        <f t="shared" si="3"/>
        <v>0</v>
      </c>
      <c r="L44" s="39">
        <f t="shared" si="4"/>
        <v>0</v>
      </c>
      <c r="M44" s="38">
        <f t="shared" si="5"/>
        <v>0</v>
      </c>
      <c r="N44" s="39">
        <f t="shared" si="6"/>
        <v>0</v>
      </c>
      <c r="O44" s="40"/>
      <c r="P44" s="34"/>
      <c r="Q44" s="35"/>
      <c r="R44" s="35"/>
      <c r="S44" s="35"/>
      <c r="T44" s="35"/>
      <c r="U44" s="35"/>
      <c r="V44" s="35"/>
      <c r="W44" s="35"/>
      <c r="X44" s="35"/>
      <c r="Y44" s="35"/>
      <c r="Z44" s="35"/>
      <c r="AA44" s="35"/>
    </row>
    <row r="45" ht="14.25" customHeight="1">
      <c r="A45" s="221"/>
      <c r="B45" s="231"/>
      <c r="C45" s="211"/>
      <c r="D45" s="212"/>
      <c r="E45" s="213"/>
      <c r="F45" s="214"/>
      <c r="G45" s="214"/>
      <c r="H45" s="232"/>
      <c r="I45" s="36">
        <f t="shared" si="1"/>
        <v>0</v>
      </c>
      <c r="J45" s="37">
        <f t="shared" si="2"/>
        <v>0</v>
      </c>
      <c r="K45" s="38">
        <f t="shared" si="3"/>
        <v>0</v>
      </c>
      <c r="L45" s="39">
        <f t="shared" si="4"/>
        <v>0</v>
      </c>
      <c r="M45" s="38">
        <f t="shared" si="5"/>
        <v>0</v>
      </c>
      <c r="N45" s="39">
        <f t="shared" si="6"/>
        <v>0</v>
      </c>
      <c r="O45" s="40"/>
      <c r="P45" s="34"/>
      <c r="Q45" s="35"/>
      <c r="R45" s="35"/>
      <c r="S45" s="35"/>
      <c r="T45" s="35"/>
      <c r="U45" s="35"/>
      <c r="V45" s="35"/>
      <c r="W45" s="35"/>
      <c r="X45" s="35"/>
      <c r="Y45" s="35"/>
      <c r="Z45" s="35"/>
      <c r="AA45" s="35"/>
    </row>
    <row r="46" ht="14.25" customHeight="1">
      <c r="A46" s="221"/>
      <c r="B46" s="231"/>
      <c r="C46" s="233"/>
      <c r="D46" s="212"/>
      <c r="E46" s="234"/>
      <c r="F46" s="235"/>
      <c r="G46" s="235"/>
      <c r="H46" s="232"/>
      <c r="I46" s="36">
        <f t="shared" si="1"/>
        <v>0</v>
      </c>
      <c r="J46" s="37">
        <f t="shared" si="2"/>
        <v>0</v>
      </c>
      <c r="K46" s="38">
        <f t="shared" si="3"/>
        <v>0</v>
      </c>
      <c r="L46" s="39">
        <f t="shared" si="4"/>
        <v>0</v>
      </c>
      <c r="M46" s="38">
        <f t="shared" si="5"/>
        <v>0</v>
      </c>
      <c r="N46" s="39">
        <f t="shared" si="6"/>
        <v>0</v>
      </c>
      <c r="O46" s="40"/>
      <c r="P46" s="34"/>
      <c r="Q46" s="35"/>
      <c r="R46" s="35"/>
      <c r="S46" s="35"/>
      <c r="T46" s="35"/>
      <c r="U46" s="35"/>
      <c r="V46" s="35"/>
      <c r="W46" s="35"/>
      <c r="X46" s="35"/>
      <c r="Y46" s="35"/>
      <c r="Z46" s="35"/>
      <c r="AA46" s="35"/>
    </row>
    <row r="47" ht="14.25" customHeight="1">
      <c r="A47" s="221"/>
      <c r="B47" s="231"/>
      <c r="C47" s="233"/>
      <c r="D47" s="212"/>
      <c r="E47" s="213"/>
      <c r="F47" s="214"/>
      <c r="G47" s="214"/>
      <c r="H47" s="232"/>
      <c r="I47" s="36">
        <f t="shared" si="1"/>
        <v>0</v>
      </c>
      <c r="J47" s="37">
        <f t="shared" si="2"/>
        <v>0</v>
      </c>
      <c r="K47" s="38">
        <f t="shared" si="3"/>
        <v>0</v>
      </c>
      <c r="L47" s="39">
        <f t="shared" si="4"/>
        <v>0</v>
      </c>
      <c r="M47" s="38">
        <f t="shared" si="5"/>
        <v>0</v>
      </c>
      <c r="N47" s="39">
        <f t="shared" si="6"/>
        <v>0</v>
      </c>
      <c r="O47" s="40"/>
      <c r="P47" s="34"/>
      <c r="Q47" s="35"/>
      <c r="R47" s="35"/>
      <c r="S47" s="35"/>
      <c r="T47" s="35"/>
      <c r="U47" s="35"/>
      <c r="V47" s="35"/>
      <c r="W47" s="35"/>
      <c r="X47" s="35"/>
      <c r="Y47" s="35"/>
      <c r="Z47" s="35"/>
      <c r="AA47" s="35"/>
    </row>
    <row r="48" ht="14.25" customHeight="1">
      <c r="A48" s="221"/>
      <c r="B48" s="231"/>
      <c r="C48" s="233"/>
      <c r="D48" s="212"/>
      <c r="E48" s="213"/>
      <c r="F48" s="214"/>
      <c r="G48" s="214"/>
      <c r="H48" s="232"/>
      <c r="I48" s="36">
        <f t="shared" si="1"/>
        <v>0</v>
      </c>
      <c r="J48" s="37">
        <f t="shared" si="2"/>
        <v>0</v>
      </c>
      <c r="K48" s="38">
        <f t="shared" si="3"/>
        <v>0</v>
      </c>
      <c r="L48" s="39">
        <f t="shared" si="4"/>
        <v>0</v>
      </c>
      <c r="M48" s="38">
        <f t="shared" si="5"/>
        <v>0</v>
      </c>
      <c r="N48" s="39">
        <f t="shared" si="6"/>
        <v>0</v>
      </c>
      <c r="O48" s="40"/>
      <c r="P48" s="34"/>
      <c r="Q48" s="35"/>
      <c r="R48" s="35"/>
      <c r="S48" s="35"/>
      <c r="T48" s="35"/>
      <c r="U48" s="35"/>
      <c r="V48" s="35"/>
      <c r="W48" s="35"/>
      <c r="X48" s="35"/>
      <c r="Y48" s="35"/>
      <c r="Z48" s="35"/>
      <c r="AA48" s="35"/>
    </row>
    <row r="49" ht="14.25" customHeight="1">
      <c r="A49" s="221"/>
      <c r="B49" s="231"/>
      <c r="C49" s="233"/>
      <c r="D49" s="212"/>
      <c r="E49" s="213"/>
      <c r="F49" s="214"/>
      <c r="G49" s="214"/>
      <c r="H49" s="232"/>
      <c r="I49" s="36">
        <f t="shared" si="1"/>
        <v>0</v>
      </c>
      <c r="J49" s="37">
        <f t="shared" si="2"/>
        <v>0</v>
      </c>
      <c r="K49" s="38">
        <f t="shared" si="3"/>
        <v>0</v>
      </c>
      <c r="L49" s="39">
        <f t="shared" si="4"/>
        <v>0</v>
      </c>
      <c r="M49" s="38">
        <f t="shared" si="5"/>
        <v>0</v>
      </c>
      <c r="N49" s="39">
        <f t="shared" si="6"/>
        <v>0</v>
      </c>
      <c r="O49" s="40"/>
      <c r="P49" s="34"/>
      <c r="Q49" s="35"/>
      <c r="R49" s="35"/>
      <c r="S49" s="35"/>
      <c r="T49" s="35"/>
      <c r="U49" s="35"/>
      <c r="V49" s="35"/>
      <c r="W49" s="35"/>
      <c r="X49" s="35"/>
      <c r="Y49" s="35"/>
      <c r="Z49" s="35"/>
      <c r="AA49" s="35"/>
    </row>
    <row r="50" ht="14.25" customHeight="1">
      <c r="A50" s="221"/>
      <c r="B50" s="231"/>
      <c r="C50" s="233"/>
      <c r="D50" s="212"/>
      <c r="E50" s="213"/>
      <c r="F50" s="214"/>
      <c r="G50" s="214"/>
      <c r="H50" s="232"/>
      <c r="I50" s="36">
        <f t="shared" si="1"/>
        <v>0</v>
      </c>
      <c r="J50" s="37">
        <f t="shared" si="2"/>
        <v>0</v>
      </c>
      <c r="K50" s="38">
        <f t="shared" si="3"/>
        <v>0</v>
      </c>
      <c r="L50" s="39">
        <f t="shared" si="4"/>
        <v>0</v>
      </c>
      <c r="M50" s="38">
        <f t="shared" si="5"/>
        <v>0</v>
      </c>
      <c r="N50" s="39">
        <f t="shared" si="6"/>
        <v>0</v>
      </c>
      <c r="O50" s="40"/>
      <c r="P50" s="34"/>
      <c r="Q50" s="35"/>
      <c r="R50" s="35"/>
      <c r="S50" s="35"/>
      <c r="T50" s="35"/>
      <c r="U50" s="35"/>
      <c r="V50" s="35"/>
      <c r="W50" s="35"/>
      <c r="X50" s="35"/>
      <c r="Y50" s="35"/>
      <c r="Z50" s="35"/>
      <c r="AA50" s="35"/>
    </row>
    <row r="51" ht="14.25" customHeight="1">
      <c r="A51" s="221"/>
      <c r="B51" s="231"/>
      <c r="C51" s="233"/>
      <c r="D51" s="212"/>
      <c r="E51" s="234"/>
      <c r="F51" s="235"/>
      <c r="G51" s="235"/>
      <c r="H51" s="232"/>
      <c r="I51" s="36">
        <f t="shared" si="1"/>
        <v>0</v>
      </c>
      <c r="J51" s="37">
        <f t="shared" si="2"/>
        <v>0</v>
      </c>
      <c r="K51" s="38">
        <f t="shared" si="3"/>
        <v>0</v>
      </c>
      <c r="L51" s="39">
        <f t="shared" si="4"/>
        <v>0</v>
      </c>
      <c r="M51" s="38">
        <f t="shared" si="5"/>
        <v>0</v>
      </c>
      <c r="N51" s="39">
        <f t="shared" si="6"/>
        <v>0</v>
      </c>
      <c r="O51" s="40"/>
      <c r="P51" s="34"/>
      <c r="Q51" s="35"/>
      <c r="R51" s="35"/>
      <c r="S51" s="35"/>
      <c r="T51" s="35"/>
      <c r="U51" s="35"/>
      <c r="V51" s="35"/>
      <c r="W51" s="35"/>
      <c r="X51" s="35"/>
      <c r="Y51" s="35"/>
      <c r="Z51" s="35"/>
      <c r="AA51" s="35"/>
    </row>
    <row r="52" ht="14.25" customHeight="1">
      <c r="A52" s="221"/>
      <c r="B52" s="231"/>
      <c r="C52" s="233"/>
      <c r="D52" s="212"/>
      <c r="E52" s="213"/>
      <c r="F52" s="214"/>
      <c r="G52" s="214"/>
      <c r="H52" s="232"/>
      <c r="I52" s="36">
        <f t="shared" si="1"/>
        <v>0</v>
      </c>
      <c r="J52" s="37">
        <f t="shared" si="2"/>
        <v>0</v>
      </c>
      <c r="K52" s="38">
        <f t="shared" si="3"/>
        <v>0</v>
      </c>
      <c r="L52" s="39">
        <f t="shared" si="4"/>
        <v>0</v>
      </c>
      <c r="M52" s="38">
        <f t="shared" si="5"/>
        <v>0</v>
      </c>
      <c r="N52" s="39">
        <f t="shared" si="6"/>
        <v>0</v>
      </c>
      <c r="O52" s="40"/>
      <c r="P52" s="34"/>
      <c r="Q52" s="35"/>
      <c r="R52" s="35"/>
      <c r="S52" s="35"/>
      <c r="T52" s="35"/>
      <c r="U52" s="35"/>
      <c r="V52" s="35"/>
      <c r="W52" s="35"/>
      <c r="X52" s="35"/>
      <c r="Y52" s="35"/>
      <c r="Z52" s="35"/>
      <c r="AA52" s="35"/>
    </row>
    <row r="53" ht="14.25" customHeight="1">
      <c r="A53" s="221"/>
      <c r="B53" s="231"/>
      <c r="C53" s="233"/>
      <c r="D53" s="212"/>
      <c r="E53" s="213"/>
      <c r="F53" s="214"/>
      <c r="G53" s="214"/>
      <c r="H53" s="236"/>
      <c r="I53" s="36">
        <f t="shared" si="1"/>
        <v>0</v>
      </c>
      <c r="J53" s="37">
        <f t="shared" si="2"/>
        <v>0</v>
      </c>
      <c r="K53" s="38">
        <f t="shared" si="3"/>
        <v>0</v>
      </c>
      <c r="L53" s="39">
        <f t="shared" si="4"/>
        <v>0</v>
      </c>
      <c r="M53" s="38">
        <f t="shared" si="5"/>
        <v>0</v>
      </c>
      <c r="N53" s="39">
        <f t="shared" si="6"/>
        <v>0</v>
      </c>
      <c r="O53" s="40"/>
      <c r="P53" s="34"/>
      <c r="Q53" s="35"/>
      <c r="R53" s="35"/>
      <c r="S53" s="35"/>
      <c r="T53" s="35"/>
      <c r="U53" s="35"/>
      <c r="V53" s="35"/>
      <c r="W53" s="35"/>
      <c r="X53" s="35"/>
      <c r="Y53" s="35"/>
      <c r="Z53" s="35"/>
      <c r="AA53" s="35"/>
    </row>
    <row r="54" ht="14.25" customHeight="1">
      <c r="A54" s="221"/>
      <c r="B54" s="231"/>
      <c r="C54" s="233"/>
      <c r="D54" s="212"/>
      <c r="E54" s="213"/>
      <c r="F54" s="214"/>
      <c r="G54" s="214"/>
      <c r="H54" s="232"/>
      <c r="I54" s="36">
        <f t="shared" si="1"/>
        <v>0</v>
      </c>
      <c r="J54" s="37">
        <f t="shared" si="2"/>
        <v>0</v>
      </c>
      <c r="K54" s="38">
        <f t="shared" si="3"/>
        <v>0</v>
      </c>
      <c r="L54" s="39">
        <f t="shared" si="4"/>
        <v>0</v>
      </c>
      <c r="M54" s="38">
        <f t="shared" si="5"/>
        <v>0</v>
      </c>
      <c r="N54" s="39">
        <f t="shared" si="6"/>
        <v>0</v>
      </c>
      <c r="O54" s="40"/>
      <c r="P54" s="34"/>
      <c r="Q54" s="35"/>
      <c r="R54" s="35"/>
      <c r="S54" s="35"/>
      <c r="T54" s="35"/>
      <c r="U54" s="35"/>
      <c r="V54" s="35"/>
      <c r="W54" s="35"/>
      <c r="X54" s="35"/>
      <c r="Y54" s="35"/>
      <c r="Z54" s="35"/>
      <c r="AA54" s="35"/>
    </row>
    <row r="55" ht="14.25" customHeight="1">
      <c r="A55" s="221"/>
      <c r="B55" s="231"/>
      <c r="C55" s="233"/>
      <c r="D55" s="212"/>
      <c r="E55" s="213"/>
      <c r="F55" s="214"/>
      <c r="G55" s="214"/>
      <c r="H55" s="232"/>
      <c r="I55" s="36">
        <f t="shared" si="1"/>
        <v>0</v>
      </c>
      <c r="J55" s="37">
        <f t="shared" si="2"/>
        <v>0</v>
      </c>
      <c r="K55" s="38">
        <f t="shared" si="3"/>
        <v>0</v>
      </c>
      <c r="L55" s="39">
        <f t="shared" si="4"/>
        <v>0</v>
      </c>
      <c r="M55" s="38">
        <f t="shared" si="5"/>
        <v>0</v>
      </c>
      <c r="N55" s="39">
        <f t="shared" si="6"/>
        <v>0</v>
      </c>
      <c r="O55" s="40"/>
      <c r="P55" s="34"/>
      <c r="Q55" s="35"/>
      <c r="R55" s="35"/>
      <c r="S55" s="35"/>
      <c r="T55" s="35"/>
      <c r="U55" s="35"/>
      <c r="V55" s="35"/>
      <c r="W55" s="35"/>
      <c r="X55" s="35"/>
      <c r="Y55" s="35"/>
      <c r="Z55" s="35"/>
      <c r="AA55" s="35"/>
    </row>
    <row r="56" ht="14.25" customHeight="1">
      <c r="A56" s="221"/>
      <c r="B56" s="231"/>
      <c r="C56" s="233"/>
      <c r="D56" s="212"/>
      <c r="E56" s="213"/>
      <c r="F56" s="214"/>
      <c r="G56" s="214"/>
      <c r="H56" s="232"/>
      <c r="I56" s="36">
        <f t="shared" si="1"/>
        <v>0</v>
      </c>
      <c r="J56" s="37">
        <f t="shared" si="2"/>
        <v>0</v>
      </c>
      <c r="K56" s="38">
        <f t="shared" si="3"/>
        <v>0</v>
      </c>
      <c r="L56" s="39">
        <f t="shared" si="4"/>
        <v>0</v>
      </c>
      <c r="M56" s="38">
        <f t="shared" si="5"/>
        <v>0</v>
      </c>
      <c r="N56" s="39">
        <f t="shared" si="6"/>
        <v>0</v>
      </c>
      <c r="O56" s="40"/>
      <c r="P56" s="34"/>
      <c r="Q56" s="35"/>
      <c r="R56" s="35"/>
      <c r="S56" s="35"/>
      <c r="T56" s="35"/>
      <c r="U56" s="35"/>
      <c r="V56" s="35"/>
      <c r="W56" s="35"/>
      <c r="X56" s="35"/>
      <c r="Y56" s="35"/>
      <c r="Z56" s="35"/>
      <c r="AA56" s="35"/>
    </row>
    <row r="57" ht="14.25" customHeight="1">
      <c r="A57" s="221"/>
      <c r="B57" s="231"/>
      <c r="C57" s="233"/>
      <c r="D57" s="212"/>
      <c r="E57" s="213"/>
      <c r="F57" s="214"/>
      <c r="G57" s="214"/>
      <c r="H57" s="232"/>
      <c r="I57" s="36">
        <f t="shared" si="1"/>
        <v>0</v>
      </c>
      <c r="J57" s="37">
        <f t="shared" si="2"/>
        <v>0</v>
      </c>
      <c r="K57" s="38">
        <f t="shared" si="3"/>
        <v>0</v>
      </c>
      <c r="L57" s="39">
        <f t="shared" si="4"/>
        <v>0</v>
      </c>
      <c r="M57" s="38">
        <f t="shared" si="5"/>
        <v>0</v>
      </c>
      <c r="N57" s="39">
        <f t="shared" si="6"/>
        <v>0</v>
      </c>
      <c r="O57" s="40"/>
      <c r="P57" s="34"/>
      <c r="Q57" s="35"/>
      <c r="R57" s="35"/>
      <c r="S57" s="35"/>
      <c r="T57" s="35"/>
      <c r="U57" s="35"/>
      <c r="V57" s="35"/>
      <c r="W57" s="35"/>
      <c r="X57" s="35"/>
      <c r="Y57" s="35"/>
      <c r="Z57" s="35"/>
      <c r="AA57" s="35"/>
    </row>
    <row r="58" ht="14.25" customHeight="1">
      <c r="A58" s="221"/>
      <c r="B58" s="231"/>
      <c r="C58" s="233"/>
      <c r="D58" s="212"/>
      <c r="E58" s="213"/>
      <c r="F58" s="214"/>
      <c r="G58" s="214"/>
      <c r="H58" s="232"/>
      <c r="I58" s="36">
        <f t="shared" si="1"/>
        <v>0</v>
      </c>
      <c r="J58" s="37">
        <f t="shared" si="2"/>
        <v>0</v>
      </c>
      <c r="K58" s="38">
        <f t="shared" si="3"/>
        <v>0</v>
      </c>
      <c r="L58" s="39">
        <f t="shared" si="4"/>
        <v>0</v>
      </c>
      <c r="M58" s="38">
        <f t="shared" si="5"/>
        <v>0</v>
      </c>
      <c r="N58" s="39">
        <f t="shared" si="6"/>
        <v>0</v>
      </c>
      <c r="O58" s="40"/>
      <c r="P58" s="34"/>
      <c r="Q58" s="35"/>
      <c r="R58" s="35"/>
      <c r="S58" s="35"/>
      <c r="T58" s="35"/>
      <c r="U58" s="35"/>
      <c r="V58" s="35"/>
      <c r="W58" s="35"/>
      <c r="X58" s="35"/>
      <c r="Y58" s="35"/>
      <c r="Z58" s="35"/>
      <c r="AA58" s="35"/>
    </row>
    <row r="59" ht="14.25" customHeight="1">
      <c r="A59" s="221"/>
      <c r="B59" s="231"/>
      <c r="C59" s="233"/>
      <c r="D59" s="212"/>
      <c r="E59" s="213"/>
      <c r="F59" s="214"/>
      <c r="G59" s="214"/>
      <c r="H59" s="232"/>
      <c r="I59" s="36">
        <f t="shared" si="1"/>
        <v>0</v>
      </c>
      <c r="J59" s="37">
        <f t="shared" si="2"/>
        <v>0</v>
      </c>
      <c r="K59" s="38">
        <f t="shared" si="3"/>
        <v>0</v>
      </c>
      <c r="L59" s="39">
        <f t="shared" si="4"/>
        <v>0</v>
      </c>
      <c r="M59" s="38">
        <f t="shared" si="5"/>
        <v>0</v>
      </c>
      <c r="N59" s="39">
        <f t="shared" si="6"/>
        <v>0</v>
      </c>
      <c r="O59" s="40"/>
      <c r="P59" s="34"/>
      <c r="Q59" s="35"/>
      <c r="R59" s="35"/>
      <c r="S59" s="35"/>
      <c r="T59" s="35"/>
      <c r="U59" s="35"/>
      <c r="V59" s="35"/>
      <c r="W59" s="35"/>
      <c r="X59" s="35"/>
      <c r="Y59" s="35"/>
      <c r="Z59" s="35"/>
      <c r="AA59" s="35"/>
    </row>
    <row r="60" ht="14.25" customHeight="1">
      <c r="A60" s="221"/>
      <c r="B60" s="231"/>
      <c r="C60" s="233"/>
      <c r="D60" s="212"/>
      <c r="E60" s="213"/>
      <c r="F60" s="214"/>
      <c r="G60" s="214"/>
      <c r="H60" s="232"/>
      <c r="I60" s="36">
        <f t="shared" si="1"/>
        <v>0</v>
      </c>
      <c r="J60" s="37">
        <f t="shared" si="2"/>
        <v>0</v>
      </c>
      <c r="K60" s="38">
        <f t="shared" si="3"/>
        <v>0</v>
      </c>
      <c r="L60" s="39">
        <f t="shared" si="4"/>
        <v>0</v>
      </c>
      <c r="M60" s="38">
        <f t="shared" si="5"/>
        <v>0</v>
      </c>
      <c r="N60" s="39">
        <f t="shared" si="6"/>
        <v>0</v>
      </c>
      <c r="O60" s="40"/>
      <c r="P60" s="34"/>
      <c r="Q60" s="35"/>
      <c r="R60" s="35"/>
      <c r="S60" s="35"/>
      <c r="T60" s="35"/>
      <c r="U60" s="35"/>
      <c r="V60" s="35"/>
      <c r="W60" s="35"/>
      <c r="X60" s="35"/>
      <c r="Y60" s="35"/>
      <c r="Z60" s="35"/>
      <c r="AA60" s="35"/>
    </row>
    <row r="61" ht="14.25" customHeight="1">
      <c r="A61" s="221"/>
      <c r="B61" s="231"/>
      <c r="C61" s="233"/>
      <c r="D61" s="212"/>
      <c r="E61" s="213"/>
      <c r="F61" s="214"/>
      <c r="G61" s="214"/>
      <c r="H61" s="232"/>
      <c r="I61" s="36">
        <f t="shared" si="1"/>
        <v>0</v>
      </c>
      <c r="J61" s="37">
        <f t="shared" si="2"/>
        <v>0</v>
      </c>
      <c r="K61" s="38">
        <f t="shared" si="3"/>
        <v>0</v>
      </c>
      <c r="L61" s="39">
        <f t="shared" si="4"/>
        <v>0</v>
      </c>
      <c r="M61" s="38">
        <f t="shared" si="5"/>
        <v>0</v>
      </c>
      <c r="N61" s="39">
        <f t="shared" si="6"/>
        <v>0</v>
      </c>
      <c r="O61" s="40"/>
      <c r="P61" s="34"/>
      <c r="Q61" s="35"/>
      <c r="R61" s="35"/>
      <c r="S61" s="35"/>
      <c r="T61" s="35"/>
      <c r="U61" s="35"/>
      <c r="V61" s="35"/>
      <c r="W61" s="35"/>
      <c r="X61" s="35"/>
      <c r="Y61" s="35"/>
      <c r="Z61" s="35"/>
      <c r="AA61" s="35"/>
    </row>
    <row r="62" ht="14.25" customHeight="1">
      <c r="A62" s="221"/>
      <c r="B62" s="231"/>
      <c r="C62" s="233"/>
      <c r="D62" s="212"/>
      <c r="E62" s="213"/>
      <c r="F62" s="214"/>
      <c r="G62" s="214"/>
      <c r="H62" s="232"/>
      <c r="I62" s="36">
        <f t="shared" si="1"/>
        <v>0</v>
      </c>
      <c r="J62" s="37">
        <f t="shared" si="2"/>
        <v>0</v>
      </c>
      <c r="K62" s="38">
        <f t="shared" si="3"/>
        <v>0</v>
      </c>
      <c r="L62" s="39">
        <f t="shared" si="4"/>
        <v>0</v>
      </c>
      <c r="M62" s="38">
        <f t="shared" si="5"/>
        <v>0</v>
      </c>
      <c r="N62" s="39">
        <f t="shared" si="6"/>
        <v>0</v>
      </c>
      <c r="O62" s="40"/>
      <c r="P62" s="34"/>
      <c r="R62" s="76"/>
      <c r="S62" s="76"/>
      <c r="T62" s="76"/>
      <c r="U62" s="76"/>
      <c r="V62" s="76"/>
      <c r="W62" s="76"/>
      <c r="X62" s="76"/>
      <c r="Y62" s="76"/>
      <c r="Z62" s="76"/>
      <c r="AA62" s="76"/>
    </row>
    <row r="63" ht="14.25" customHeight="1">
      <c r="A63" s="221"/>
      <c r="B63" s="231"/>
      <c r="C63" s="233"/>
      <c r="D63" s="212"/>
      <c r="E63" s="213"/>
      <c r="F63" s="214"/>
      <c r="G63" s="214"/>
      <c r="H63" s="232"/>
      <c r="I63" s="36">
        <f t="shared" si="1"/>
        <v>0</v>
      </c>
      <c r="J63" s="37">
        <f t="shared" si="2"/>
        <v>0</v>
      </c>
      <c r="K63" s="38">
        <f t="shared" si="3"/>
        <v>0</v>
      </c>
      <c r="L63" s="39">
        <f t="shared" si="4"/>
        <v>0</v>
      </c>
      <c r="M63" s="38">
        <f t="shared" si="5"/>
        <v>0</v>
      </c>
      <c r="N63" s="39">
        <f t="shared" si="6"/>
        <v>0</v>
      </c>
      <c r="O63" s="40"/>
      <c r="P63" s="34"/>
      <c r="Q63" s="35"/>
      <c r="R63" s="35"/>
      <c r="S63" s="35"/>
      <c r="T63" s="35"/>
      <c r="U63" s="35"/>
      <c r="V63" s="35"/>
      <c r="W63" s="35"/>
      <c r="X63" s="35"/>
      <c r="Y63" s="35"/>
      <c r="Z63" s="35"/>
      <c r="AA63" s="35"/>
    </row>
    <row r="64" ht="14.25" customHeight="1">
      <c r="A64" s="221"/>
      <c r="B64" s="231"/>
      <c r="C64" s="233"/>
      <c r="D64" s="212"/>
      <c r="E64" s="213"/>
      <c r="F64" s="214"/>
      <c r="G64" s="214"/>
      <c r="H64" s="232"/>
      <c r="I64" s="36">
        <f t="shared" si="1"/>
        <v>0</v>
      </c>
      <c r="J64" s="37">
        <f t="shared" si="2"/>
        <v>0</v>
      </c>
      <c r="K64" s="38">
        <f t="shared" si="3"/>
        <v>0</v>
      </c>
      <c r="L64" s="39">
        <f t="shared" si="4"/>
        <v>0</v>
      </c>
      <c r="M64" s="38">
        <f t="shared" si="5"/>
        <v>0</v>
      </c>
      <c r="N64" s="39">
        <f t="shared" si="6"/>
        <v>0</v>
      </c>
      <c r="O64" s="40"/>
      <c r="P64" s="34"/>
      <c r="R64" s="76"/>
      <c r="S64" s="76"/>
      <c r="T64" s="76"/>
      <c r="U64" s="76"/>
      <c r="V64" s="76"/>
      <c r="W64" s="76"/>
      <c r="X64" s="76"/>
      <c r="Y64" s="76"/>
      <c r="Z64" s="76"/>
      <c r="AA64" s="76"/>
    </row>
    <row r="65" ht="14.25" customHeight="1">
      <c r="A65" s="221"/>
      <c r="B65" s="231"/>
      <c r="C65" s="233"/>
      <c r="D65" s="212"/>
      <c r="E65" s="213"/>
      <c r="F65" s="214"/>
      <c r="G65" s="214"/>
      <c r="H65" s="232"/>
      <c r="I65" s="36">
        <f t="shared" si="1"/>
        <v>0</v>
      </c>
      <c r="J65" s="37">
        <f t="shared" si="2"/>
        <v>0</v>
      </c>
      <c r="K65" s="38">
        <f t="shared" si="3"/>
        <v>0</v>
      </c>
      <c r="L65" s="39">
        <f t="shared" si="4"/>
        <v>0</v>
      </c>
      <c r="M65" s="38">
        <f t="shared" si="5"/>
        <v>0</v>
      </c>
      <c r="N65" s="39">
        <f t="shared" si="6"/>
        <v>0</v>
      </c>
      <c r="O65" s="40"/>
      <c r="P65" s="34"/>
      <c r="Q65" s="35"/>
      <c r="R65" s="35"/>
      <c r="S65" s="35"/>
      <c r="T65" s="35"/>
      <c r="U65" s="35"/>
      <c r="V65" s="35"/>
      <c r="W65" s="35"/>
      <c r="X65" s="35"/>
      <c r="Y65" s="35"/>
      <c r="Z65" s="35"/>
      <c r="AA65" s="35"/>
    </row>
    <row r="66" ht="14.25" customHeight="1">
      <c r="A66" s="221"/>
      <c r="B66" s="231"/>
      <c r="C66" s="233"/>
      <c r="D66" s="212"/>
      <c r="E66" s="213"/>
      <c r="F66" s="214"/>
      <c r="G66" s="214"/>
      <c r="H66" s="232"/>
      <c r="I66" s="36">
        <f t="shared" si="1"/>
        <v>0</v>
      </c>
      <c r="J66" s="37">
        <f t="shared" si="2"/>
        <v>0</v>
      </c>
      <c r="K66" s="38">
        <f t="shared" si="3"/>
        <v>0</v>
      </c>
      <c r="L66" s="39">
        <f t="shared" si="4"/>
        <v>0</v>
      </c>
      <c r="M66" s="38">
        <f t="shared" si="5"/>
        <v>0</v>
      </c>
      <c r="N66" s="39">
        <f t="shared" si="6"/>
        <v>0</v>
      </c>
      <c r="O66" s="40"/>
      <c r="P66" s="34"/>
      <c r="Q66" s="35"/>
      <c r="R66" s="35"/>
      <c r="S66" s="35"/>
      <c r="T66" s="35"/>
      <c r="U66" s="35"/>
      <c r="V66" s="35"/>
      <c r="W66" s="35"/>
      <c r="X66" s="35"/>
      <c r="Y66" s="35"/>
      <c r="Z66" s="35"/>
      <c r="AA66" s="35"/>
    </row>
    <row r="67" ht="14.25" customHeight="1">
      <c r="A67" s="221"/>
      <c r="B67" s="231"/>
      <c r="C67" s="233"/>
      <c r="D67" s="212"/>
      <c r="E67" s="213"/>
      <c r="F67" s="214"/>
      <c r="G67" s="214"/>
      <c r="H67" s="232"/>
      <c r="I67" s="36">
        <f t="shared" si="1"/>
        <v>0</v>
      </c>
      <c r="J67" s="37">
        <f t="shared" si="2"/>
        <v>0</v>
      </c>
      <c r="K67" s="38">
        <f t="shared" si="3"/>
        <v>0</v>
      </c>
      <c r="L67" s="39">
        <f t="shared" si="4"/>
        <v>0</v>
      </c>
      <c r="M67" s="38">
        <f t="shared" si="5"/>
        <v>0</v>
      </c>
      <c r="N67" s="39">
        <f t="shared" si="6"/>
        <v>0</v>
      </c>
      <c r="O67" s="40"/>
      <c r="P67" s="34"/>
      <c r="Q67" s="35"/>
      <c r="R67" s="35"/>
      <c r="S67" s="35"/>
      <c r="T67" s="35"/>
      <c r="U67" s="35"/>
      <c r="V67" s="35"/>
      <c r="W67" s="35"/>
      <c r="X67" s="35"/>
      <c r="Y67" s="35"/>
      <c r="Z67" s="35"/>
      <c r="AA67" s="35"/>
    </row>
    <row r="68" ht="14.25" customHeight="1">
      <c r="A68" s="221"/>
      <c r="B68" s="231"/>
      <c r="C68" s="233"/>
      <c r="D68" s="212"/>
      <c r="E68" s="213"/>
      <c r="F68" s="214"/>
      <c r="G68" s="214"/>
      <c r="H68" s="232"/>
      <c r="I68" s="36">
        <f t="shared" si="1"/>
        <v>0</v>
      </c>
      <c r="J68" s="37">
        <f t="shared" si="2"/>
        <v>0</v>
      </c>
      <c r="K68" s="38">
        <f t="shared" si="3"/>
        <v>0</v>
      </c>
      <c r="L68" s="39">
        <f t="shared" si="4"/>
        <v>0</v>
      </c>
      <c r="M68" s="38">
        <f t="shared" si="5"/>
        <v>0</v>
      </c>
      <c r="N68" s="39">
        <f t="shared" si="6"/>
        <v>0</v>
      </c>
      <c r="O68" s="40"/>
      <c r="P68" s="34"/>
      <c r="Q68" s="35"/>
      <c r="R68" s="35"/>
      <c r="S68" s="35"/>
      <c r="T68" s="35"/>
      <c r="U68" s="35"/>
      <c r="V68" s="35"/>
      <c r="W68" s="35"/>
      <c r="X68" s="35"/>
      <c r="Y68" s="35"/>
      <c r="Z68" s="35"/>
      <c r="AA68" s="35"/>
    </row>
    <row r="69" ht="14.25" customHeight="1">
      <c r="A69" s="221"/>
      <c r="B69" s="231"/>
      <c r="C69" s="233"/>
      <c r="D69" s="212"/>
      <c r="E69" s="213"/>
      <c r="F69" s="214"/>
      <c r="G69" s="214"/>
      <c r="H69" s="88"/>
      <c r="I69" s="36">
        <f t="shared" si="1"/>
        <v>0</v>
      </c>
      <c r="J69" s="37">
        <f t="shared" si="2"/>
        <v>0</v>
      </c>
      <c r="K69" s="38">
        <f t="shared" si="3"/>
        <v>0</v>
      </c>
      <c r="L69" s="39">
        <f t="shared" si="4"/>
        <v>0</v>
      </c>
      <c r="M69" s="38">
        <f t="shared" si="5"/>
        <v>0</v>
      </c>
      <c r="N69" s="39">
        <f t="shared" si="6"/>
        <v>0</v>
      </c>
      <c r="O69" s="40"/>
      <c r="P69" s="34"/>
      <c r="Q69" s="35"/>
      <c r="R69" s="35"/>
      <c r="S69" s="35"/>
      <c r="T69" s="35"/>
      <c r="U69" s="35"/>
      <c r="V69" s="35"/>
      <c r="W69" s="35"/>
      <c r="X69" s="35"/>
      <c r="Y69" s="35"/>
      <c r="Z69" s="35"/>
      <c r="AA69" s="35"/>
    </row>
    <row r="70" ht="14.25" customHeight="1">
      <c r="A70" s="221"/>
      <c r="B70" s="231"/>
      <c r="C70" s="233"/>
      <c r="D70" s="212"/>
      <c r="E70" s="213"/>
      <c r="F70" s="214"/>
      <c r="G70" s="214"/>
      <c r="H70" s="88"/>
      <c r="I70" s="36">
        <f t="shared" si="1"/>
        <v>0</v>
      </c>
      <c r="J70" s="37">
        <f t="shared" si="2"/>
        <v>0</v>
      </c>
      <c r="K70" s="38">
        <f t="shared" si="3"/>
        <v>0</v>
      </c>
      <c r="L70" s="39">
        <f t="shared" si="4"/>
        <v>0</v>
      </c>
      <c r="M70" s="38">
        <f t="shared" si="5"/>
        <v>0</v>
      </c>
      <c r="N70" s="39">
        <f t="shared" si="6"/>
        <v>0</v>
      </c>
      <c r="O70" s="40"/>
      <c r="P70" s="34"/>
      <c r="Q70" s="35"/>
      <c r="R70" s="35"/>
      <c r="S70" s="35"/>
      <c r="T70" s="35"/>
      <c r="U70" s="35"/>
      <c r="V70" s="35"/>
      <c r="W70" s="35"/>
      <c r="X70" s="35"/>
      <c r="Y70" s="35"/>
      <c r="Z70" s="35"/>
      <c r="AA70" s="35"/>
    </row>
    <row r="71" ht="14.25" customHeight="1">
      <c r="A71" s="221"/>
      <c r="B71" s="231"/>
      <c r="C71" s="233"/>
      <c r="D71" s="212"/>
      <c r="E71" s="213"/>
      <c r="F71" s="214"/>
      <c r="G71" s="214"/>
      <c r="H71" s="88"/>
      <c r="I71" s="36">
        <f t="shared" si="1"/>
        <v>0</v>
      </c>
      <c r="J71" s="37">
        <f t="shared" si="2"/>
        <v>0</v>
      </c>
      <c r="K71" s="38">
        <f t="shared" si="3"/>
        <v>0</v>
      </c>
      <c r="L71" s="39">
        <f t="shared" si="4"/>
        <v>0</v>
      </c>
      <c r="M71" s="38">
        <f t="shared" si="5"/>
        <v>0</v>
      </c>
      <c r="N71" s="39">
        <f t="shared" si="6"/>
        <v>0</v>
      </c>
      <c r="O71" s="40"/>
      <c r="P71" s="34"/>
      <c r="Q71" s="35"/>
      <c r="R71" s="35"/>
      <c r="S71" s="35"/>
      <c r="T71" s="35"/>
      <c r="U71" s="35"/>
      <c r="V71" s="35"/>
      <c r="W71" s="35"/>
      <c r="X71" s="35"/>
      <c r="Y71" s="35"/>
      <c r="Z71" s="35"/>
      <c r="AA71" s="35"/>
    </row>
    <row r="72" ht="14.25" customHeight="1">
      <c r="A72" s="221"/>
      <c r="B72" s="231"/>
      <c r="C72" s="233"/>
      <c r="D72" s="212"/>
      <c r="E72" s="213"/>
      <c r="F72" s="214"/>
      <c r="G72" s="214"/>
      <c r="H72" s="88"/>
      <c r="I72" s="36">
        <f t="shared" si="1"/>
        <v>0</v>
      </c>
      <c r="J72" s="37">
        <f t="shared" si="2"/>
        <v>0</v>
      </c>
      <c r="K72" s="38">
        <f t="shared" si="3"/>
        <v>0</v>
      </c>
      <c r="L72" s="39">
        <f t="shared" si="4"/>
        <v>0</v>
      </c>
      <c r="M72" s="38">
        <f t="shared" si="5"/>
        <v>0</v>
      </c>
      <c r="N72" s="39">
        <f t="shared" si="6"/>
        <v>0</v>
      </c>
      <c r="O72" s="40"/>
      <c r="P72" s="34"/>
      <c r="Q72" s="35"/>
      <c r="R72" s="35"/>
      <c r="S72" s="35"/>
      <c r="T72" s="35"/>
      <c r="U72" s="35"/>
      <c r="V72" s="35"/>
      <c r="W72" s="35"/>
      <c r="X72" s="35"/>
      <c r="Y72" s="35"/>
      <c r="Z72" s="35"/>
      <c r="AA72" s="35"/>
    </row>
    <row r="73" ht="14.25" customHeight="1">
      <c r="A73" s="221"/>
      <c r="B73" s="231"/>
      <c r="C73" s="233"/>
      <c r="D73" s="212"/>
      <c r="E73" s="213"/>
      <c r="F73" s="214"/>
      <c r="G73" s="214"/>
      <c r="H73" s="88"/>
      <c r="I73" s="36">
        <f t="shared" si="1"/>
        <v>0</v>
      </c>
      <c r="J73" s="37">
        <f t="shared" si="2"/>
        <v>0</v>
      </c>
      <c r="K73" s="38">
        <f t="shared" si="3"/>
        <v>0</v>
      </c>
      <c r="L73" s="39">
        <f t="shared" si="4"/>
        <v>0</v>
      </c>
      <c r="M73" s="38">
        <f t="shared" si="5"/>
        <v>0</v>
      </c>
      <c r="N73" s="39">
        <f t="shared" si="6"/>
        <v>0</v>
      </c>
      <c r="O73" s="40"/>
      <c r="P73" s="34"/>
      <c r="Q73" s="35"/>
      <c r="R73" s="35"/>
      <c r="S73" s="35"/>
      <c r="T73" s="35"/>
      <c r="U73" s="35"/>
      <c r="V73" s="35"/>
      <c r="W73" s="35"/>
      <c r="X73" s="35"/>
      <c r="Y73" s="35"/>
      <c r="Z73" s="35"/>
      <c r="AA73" s="35"/>
    </row>
    <row r="74" ht="14.25" customHeight="1">
      <c r="A74" s="221"/>
      <c r="B74" s="231"/>
      <c r="C74" s="233"/>
      <c r="D74" s="212"/>
      <c r="E74" s="213"/>
      <c r="F74" s="214"/>
      <c r="G74" s="214"/>
      <c r="H74" s="88"/>
      <c r="I74" s="36">
        <f t="shared" si="1"/>
        <v>0</v>
      </c>
      <c r="J74" s="37">
        <f t="shared" si="2"/>
        <v>0</v>
      </c>
      <c r="K74" s="38">
        <f t="shared" si="3"/>
        <v>0</v>
      </c>
      <c r="L74" s="39">
        <f t="shared" si="4"/>
        <v>0</v>
      </c>
      <c r="M74" s="38">
        <f t="shared" si="5"/>
        <v>0</v>
      </c>
      <c r="N74" s="39">
        <f t="shared" si="6"/>
        <v>0</v>
      </c>
      <c r="O74" s="40"/>
      <c r="P74" s="34"/>
      <c r="Q74" s="35"/>
      <c r="R74" s="35"/>
      <c r="S74" s="35"/>
      <c r="T74" s="35"/>
      <c r="U74" s="35"/>
      <c r="V74" s="35"/>
      <c r="W74" s="35"/>
      <c r="X74" s="35"/>
      <c r="Y74" s="35"/>
      <c r="Z74" s="35"/>
      <c r="AA74" s="35"/>
    </row>
    <row r="75" ht="14.25" customHeight="1">
      <c r="A75" s="221"/>
      <c r="B75" s="231"/>
      <c r="C75" s="233"/>
      <c r="D75" s="212"/>
      <c r="E75" s="213"/>
      <c r="F75" s="214"/>
      <c r="G75" s="214"/>
      <c r="H75" s="88"/>
      <c r="I75" s="36">
        <f t="shared" si="1"/>
        <v>0</v>
      </c>
      <c r="J75" s="37">
        <f t="shared" si="2"/>
        <v>0</v>
      </c>
      <c r="K75" s="38">
        <f t="shared" si="3"/>
        <v>0</v>
      </c>
      <c r="L75" s="39">
        <f t="shared" si="4"/>
        <v>0</v>
      </c>
      <c r="M75" s="38">
        <f t="shared" si="5"/>
        <v>0</v>
      </c>
      <c r="N75" s="39">
        <f t="shared" si="6"/>
        <v>0</v>
      </c>
      <c r="O75" s="40"/>
      <c r="P75" s="34"/>
      <c r="Q75" s="35"/>
      <c r="R75" s="35"/>
      <c r="S75" s="35"/>
      <c r="T75" s="35"/>
      <c r="U75" s="35"/>
      <c r="V75" s="35"/>
      <c r="W75" s="35"/>
      <c r="X75" s="35"/>
      <c r="Y75" s="35"/>
      <c r="Z75" s="35"/>
      <c r="AA75" s="35"/>
    </row>
    <row r="76" ht="14.25" customHeight="1">
      <c r="A76" s="221"/>
      <c r="B76" s="231"/>
      <c r="C76" s="233"/>
      <c r="D76" s="212"/>
      <c r="E76" s="213"/>
      <c r="F76" s="214"/>
      <c r="G76" s="214"/>
      <c r="H76" s="88"/>
      <c r="I76" s="36">
        <f t="shared" si="1"/>
        <v>0</v>
      </c>
      <c r="J76" s="37">
        <f t="shared" si="2"/>
        <v>0</v>
      </c>
      <c r="K76" s="38">
        <f t="shared" si="3"/>
        <v>0</v>
      </c>
      <c r="L76" s="39">
        <f t="shared" si="4"/>
        <v>0</v>
      </c>
      <c r="M76" s="38">
        <f t="shared" si="5"/>
        <v>0</v>
      </c>
      <c r="N76" s="39">
        <f t="shared" si="6"/>
        <v>0</v>
      </c>
      <c r="O76" s="40"/>
      <c r="P76" s="34"/>
      <c r="Q76" s="35"/>
      <c r="R76" s="35"/>
      <c r="S76" s="35"/>
      <c r="T76" s="35"/>
      <c r="U76" s="35"/>
      <c r="V76" s="35"/>
      <c r="W76" s="35"/>
      <c r="X76" s="35"/>
      <c r="Y76" s="35"/>
      <c r="Z76" s="35"/>
      <c r="AA76" s="35"/>
    </row>
    <row r="77" ht="14.25" customHeight="1">
      <c r="A77" s="221"/>
      <c r="B77" s="231"/>
      <c r="C77" s="233"/>
      <c r="D77" s="212"/>
      <c r="E77" s="213"/>
      <c r="F77" s="214"/>
      <c r="G77" s="214"/>
      <c r="H77" s="88"/>
      <c r="I77" s="36">
        <f t="shared" si="1"/>
        <v>0</v>
      </c>
      <c r="J77" s="37">
        <f t="shared" si="2"/>
        <v>0</v>
      </c>
      <c r="K77" s="38">
        <f t="shared" si="3"/>
        <v>0</v>
      </c>
      <c r="L77" s="39">
        <f t="shared" si="4"/>
        <v>0</v>
      </c>
      <c r="M77" s="38">
        <f t="shared" si="5"/>
        <v>0</v>
      </c>
      <c r="N77" s="39">
        <f t="shared" si="6"/>
        <v>0</v>
      </c>
      <c r="O77" s="40"/>
      <c r="P77" s="34"/>
      <c r="Q77" s="35"/>
      <c r="R77" s="35"/>
      <c r="S77" s="35"/>
      <c r="T77" s="35"/>
      <c r="U77" s="35"/>
      <c r="V77" s="35"/>
      <c r="W77" s="35"/>
      <c r="X77" s="35"/>
      <c r="Y77" s="35"/>
      <c r="Z77" s="35"/>
      <c r="AA77" s="35"/>
    </row>
    <row r="78" ht="14.25" customHeight="1">
      <c r="A78" s="221"/>
      <c r="B78" s="231"/>
      <c r="C78" s="233"/>
      <c r="D78" s="212"/>
      <c r="E78" s="213"/>
      <c r="F78" s="214"/>
      <c r="G78" s="214"/>
      <c r="H78" s="88"/>
      <c r="I78" s="36">
        <f t="shared" si="1"/>
        <v>0</v>
      </c>
      <c r="J78" s="37">
        <f t="shared" si="2"/>
        <v>0</v>
      </c>
      <c r="K78" s="38">
        <f t="shared" si="3"/>
        <v>0</v>
      </c>
      <c r="L78" s="39">
        <f t="shared" si="4"/>
        <v>0</v>
      </c>
      <c r="M78" s="38">
        <f t="shared" si="5"/>
        <v>0</v>
      </c>
      <c r="N78" s="39">
        <f t="shared" si="6"/>
        <v>0</v>
      </c>
      <c r="O78" s="40"/>
      <c r="P78" s="34"/>
      <c r="Q78" s="35"/>
      <c r="R78" s="35"/>
      <c r="S78" s="35"/>
      <c r="T78" s="35"/>
      <c r="U78" s="35"/>
      <c r="V78" s="35"/>
      <c r="W78" s="35"/>
      <c r="X78" s="35"/>
      <c r="Y78" s="35"/>
      <c r="Z78" s="35"/>
      <c r="AA78" s="35"/>
    </row>
    <row r="79" ht="14.25" customHeight="1">
      <c r="A79" s="221"/>
      <c r="B79" s="231"/>
      <c r="C79" s="233"/>
      <c r="D79" s="212"/>
      <c r="E79" s="213"/>
      <c r="F79" s="214"/>
      <c r="G79" s="214"/>
      <c r="H79" s="88"/>
      <c r="I79" s="36">
        <f t="shared" si="1"/>
        <v>0</v>
      </c>
      <c r="J79" s="37">
        <f t="shared" si="2"/>
        <v>0</v>
      </c>
      <c r="K79" s="38">
        <f t="shared" si="3"/>
        <v>0</v>
      </c>
      <c r="L79" s="39">
        <f t="shared" si="4"/>
        <v>0</v>
      </c>
      <c r="M79" s="38">
        <f t="shared" si="5"/>
        <v>0</v>
      </c>
      <c r="N79" s="39">
        <f t="shared" si="6"/>
        <v>0</v>
      </c>
      <c r="O79" s="40"/>
      <c r="P79" s="78"/>
      <c r="Q79" s="76"/>
      <c r="R79" s="76"/>
      <c r="S79" s="76"/>
      <c r="T79" s="76"/>
      <c r="U79" s="76"/>
      <c r="V79" s="76"/>
      <c r="W79" s="76"/>
      <c r="X79" s="76"/>
      <c r="Y79" s="76"/>
      <c r="Z79" s="76"/>
      <c r="AA79" s="76"/>
    </row>
    <row r="80" ht="14.25" customHeight="1">
      <c r="A80" s="221"/>
      <c r="B80" s="231"/>
      <c r="C80" s="233"/>
      <c r="D80" s="212"/>
      <c r="E80" s="213"/>
      <c r="F80" s="214"/>
      <c r="G80" s="214"/>
      <c r="H80" s="88"/>
      <c r="I80" s="36">
        <f t="shared" si="1"/>
        <v>0</v>
      </c>
      <c r="J80" s="37">
        <f t="shared" si="2"/>
        <v>0</v>
      </c>
      <c r="K80" s="38">
        <f t="shared" si="3"/>
        <v>0</v>
      </c>
      <c r="L80" s="39">
        <f t="shared" si="4"/>
        <v>0</v>
      </c>
      <c r="M80" s="38">
        <f t="shared" si="5"/>
        <v>0</v>
      </c>
      <c r="N80" s="39">
        <f t="shared" si="6"/>
        <v>0</v>
      </c>
      <c r="O80" s="40"/>
      <c r="P80" s="78"/>
      <c r="Q80" s="35"/>
      <c r="R80" s="35"/>
      <c r="S80" s="35"/>
      <c r="T80" s="35"/>
      <c r="U80" s="35"/>
      <c r="V80" s="35"/>
      <c r="W80" s="35"/>
      <c r="X80" s="35"/>
      <c r="Y80" s="35"/>
      <c r="Z80" s="35"/>
      <c r="AA80" s="35"/>
    </row>
    <row r="81" ht="14.25" customHeight="1">
      <c r="A81" s="221"/>
      <c r="B81" s="231"/>
      <c r="C81" s="233"/>
      <c r="D81" s="212"/>
      <c r="E81" s="213"/>
      <c r="F81" s="214"/>
      <c r="G81" s="214"/>
      <c r="H81" s="88"/>
      <c r="I81" s="36">
        <f t="shared" si="1"/>
        <v>0</v>
      </c>
      <c r="J81" s="37">
        <f t="shared" si="2"/>
        <v>0</v>
      </c>
      <c r="K81" s="38">
        <f t="shared" si="3"/>
        <v>0</v>
      </c>
      <c r="L81" s="39">
        <f t="shared" si="4"/>
        <v>0</v>
      </c>
      <c r="M81" s="38">
        <f t="shared" si="5"/>
        <v>0</v>
      </c>
      <c r="N81" s="39">
        <f t="shared" si="6"/>
        <v>0</v>
      </c>
      <c r="O81" s="40"/>
      <c r="P81" s="78"/>
      <c r="Q81" s="35"/>
      <c r="R81" s="35"/>
      <c r="S81" s="35"/>
      <c r="T81" s="35"/>
      <c r="U81" s="35"/>
      <c r="V81" s="35"/>
      <c r="W81" s="35"/>
      <c r="X81" s="35"/>
      <c r="Y81" s="35"/>
      <c r="Z81" s="35"/>
      <c r="AA81" s="35"/>
    </row>
    <row r="82" ht="14.25" customHeight="1">
      <c r="A82" s="221"/>
      <c r="B82" s="231"/>
      <c r="C82" s="233"/>
      <c r="D82" s="212"/>
      <c r="E82" s="213"/>
      <c r="F82" s="214"/>
      <c r="G82" s="214"/>
      <c r="H82" s="88"/>
      <c r="I82" s="36">
        <f t="shared" si="1"/>
        <v>0</v>
      </c>
      <c r="J82" s="37">
        <f t="shared" si="2"/>
        <v>0</v>
      </c>
      <c r="K82" s="38">
        <f t="shared" si="3"/>
        <v>0</v>
      </c>
      <c r="L82" s="39">
        <f t="shared" si="4"/>
        <v>0</v>
      </c>
      <c r="M82" s="38">
        <f t="shared" si="5"/>
        <v>0</v>
      </c>
      <c r="N82" s="39">
        <f t="shared" si="6"/>
        <v>0</v>
      </c>
      <c r="O82" s="40"/>
      <c r="P82" s="34"/>
      <c r="Q82" s="35"/>
      <c r="R82" s="35"/>
      <c r="S82" s="35"/>
      <c r="T82" s="35"/>
      <c r="U82" s="35"/>
      <c r="V82" s="35"/>
      <c r="W82" s="35"/>
      <c r="X82" s="35"/>
      <c r="Y82" s="35"/>
      <c r="Z82" s="35"/>
      <c r="AA82" s="35"/>
    </row>
    <row r="83" ht="14.25" customHeight="1">
      <c r="A83" s="221"/>
      <c r="B83" s="231"/>
      <c r="C83" s="233"/>
      <c r="D83" s="212"/>
      <c r="E83" s="213"/>
      <c r="F83" s="214"/>
      <c r="G83" s="214"/>
      <c r="H83" s="88"/>
      <c r="I83" s="36">
        <f t="shared" si="1"/>
        <v>0</v>
      </c>
      <c r="J83" s="37">
        <f t="shared" si="2"/>
        <v>0</v>
      </c>
      <c r="K83" s="38">
        <f t="shared" si="3"/>
        <v>0</v>
      </c>
      <c r="L83" s="39">
        <f t="shared" si="4"/>
        <v>0</v>
      </c>
      <c r="M83" s="38">
        <f t="shared" si="5"/>
        <v>0</v>
      </c>
      <c r="N83" s="39">
        <f t="shared" si="6"/>
        <v>0</v>
      </c>
      <c r="O83" s="40"/>
      <c r="P83" s="78"/>
      <c r="Q83" s="35"/>
      <c r="R83" s="35"/>
      <c r="S83" s="35"/>
      <c r="T83" s="35"/>
      <c r="U83" s="35"/>
      <c r="V83" s="35"/>
      <c r="W83" s="35"/>
      <c r="X83" s="35"/>
      <c r="Y83" s="35"/>
      <c r="Z83" s="35"/>
      <c r="AA83" s="35"/>
    </row>
    <row r="84" ht="14.25" customHeight="1">
      <c r="A84" s="221"/>
      <c r="B84" s="231"/>
      <c r="C84" s="233"/>
      <c r="D84" s="212"/>
      <c r="E84" s="213"/>
      <c r="F84" s="214"/>
      <c r="G84" s="214"/>
      <c r="H84" s="88"/>
      <c r="I84" s="36">
        <f t="shared" si="1"/>
        <v>0</v>
      </c>
      <c r="J84" s="37">
        <f t="shared" si="2"/>
        <v>0</v>
      </c>
      <c r="K84" s="38">
        <f t="shared" si="3"/>
        <v>0</v>
      </c>
      <c r="L84" s="39">
        <f t="shared" si="4"/>
        <v>0</v>
      </c>
      <c r="M84" s="38">
        <f t="shared" si="5"/>
        <v>0</v>
      </c>
      <c r="N84" s="39">
        <f t="shared" si="6"/>
        <v>0</v>
      </c>
      <c r="O84" s="40"/>
      <c r="P84" s="34"/>
      <c r="Q84" s="35"/>
      <c r="R84" s="35"/>
      <c r="S84" s="35"/>
      <c r="T84" s="35"/>
      <c r="U84" s="35"/>
      <c r="V84" s="35"/>
      <c r="W84" s="35"/>
      <c r="X84" s="35"/>
      <c r="Y84" s="35"/>
      <c r="Z84" s="35"/>
      <c r="AA84" s="35"/>
    </row>
    <row r="85" ht="14.25" customHeight="1">
      <c r="A85" s="221"/>
      <c r="B85" s="231"/>
      <c r="C85" s="233"/>
      <c r="D85" s="212"/>
      <c r="E85" s="213"/>
      <c r="F85" s="214"/>
      <c r="G85" s="214"/>
      <c r="H85" s="88"/>
      <c r="I85" s="36">
        <f t="shared" si="1"/>
        <v>0</v>
      </c>
      <c r="J85" s="37">
        <f t="shared" si="2"/>
        <v>0</v>
      </c>
      <c r="K85" s="38">
        <f t="shared" si="3"/>
        <v>0</v>
      </c>
      <c r="L85" s="39">
        <f t="shared" si="4"/>
        <v>0</v>
      </c>
      <c r="M85" s="38">
        <f t="shared" si="5"/>
        <v>0</v>
      </c>
      <c r="N85" s="39">
        <f t="shared" si="6"/>
        <v>0</v>
      </c>
      <c r="O85" s="40"/>
      <c r="P85" s="78"/>
      <c r="Q85" s="35"/>
      <c r="R85" s="35"/>
      <c r="S85" s="35"/>
      <c r="T85" s="35"/>
      <c r="U85" s="35"/>
      <c r="V85" s="35"/>
      <c r="W85" s="35"/>
      <c r="X85" s="35"/>
      <c r="Y85" s="35"/>
      <c r="Z85" s="35"/>
      <c r="AA85" s="35"/>
    </row>
    <row r="86" ht="14.25" customHeight="1">
      <c r="A86" s="221"/>
      <c r="B86" s="231"/>
      <c r="C86" s="233"/>
      <c r="D86" s="212"/>
      <c r="E86" s="213"/>
      <c r="F86" s="214"/>
      <c r="G86" s="214"/>
      <c r="H86" s="88"/>
      <c r="I86" s="36">
        <f t="shared" si="1"/>
        <v>0</v>
      </c>
      <c r="J86" s="37">
        <f t="shared" si="2"/>
        <v>0</v>
      </c>
      <c r="K86" s="38">
        <f t="shared" si="3"/>
        <v>0</v>
      </c>
      <c r="L86" s="39">
        <f t="shared" si="4"/>
        <v>0</v>
      </c>
      <c r="M86" s="38">
        <f t="shared" si="5"/>
        <v>0</v>
      </c>
      <c r="N86" s="39">
        <f t="shared" si="6"/>
        <v>0</v>
      </c>
      <c r="O86" s="40"/>
      <c r="P86" s="78"/>
      <c r="Q86" s="35"/>
      <c r="R86" s="35"/>
      <c r="S86" s="35"/>
      <c r="T86" s="35"/>
      <c r="U86" s="35"/>
      <c r="V86" s="35"/>
      <c r="W86" s="35"/>
      <c r="X86" s="35"/>
      <c r="Y86" s="35"/>
      <c r="Z86" s="35"/>
      <c r="AA86" s="35"/>
    </row>
    <row r="87" ht="14.25" customHeight="1">
      <c r="A87" s="221"/>
      <c r="B87" s="231"/>
      <c r="C87" s="233"/>
      <c r="D87" s="212"/>
      <c r="E87" s="213"/>
      <c r="F87" s="214"/>
      <c r="G87" s="214"/>
      <c r="H87" s="88"/>
      <c r="I87" s="36">
        <f t="shared" si="1"/>
        <v>0</v>
      </c>
      <c r="J87" s="37">
        <f t="shared" si="2"/>
        <v>0</v>
      </c>
      <c r="K87" s="38">
        <f t="shared" si="3"/>
        <v>0</v>
      </c>
      <c r="L87" s="39">
        <f t="shared" si="4"/>
        <v>0</v>
      </c>
      <c r="M87" s="38">
        <f t="shared" si="5"/>
        <v>0</v>
      </c>
      <c r="N87" s="39">
        <f t="shared" si="6"/>
        <v>0</v>
      </c>
      <c r="O87" s="40"/>
      <c r="P87" s="78"/>
      <c r="Q87" s="35"/>
      <c r="R87" s="35"/>
      <c r="S87" s="35"/>
      <c r="T87" s="35"/>
      <c r="U87" s="35"/>
      <c r="V87" s="35"/>
      <c r="W87" s="35"/>
      <c r="X87" s="35"/>
      <c r="Y87" s="35"/>
      <c r="Z87" s="35"/>
      <c r="AA87" s="35"/>
    </row>
    <row r="88" ht="14.25" customHeight="1">
      <c r="A88" s="221"/>
      <c r="B88" s="231"/>
      <c r="C88" s="233"/>
      <c r="D88" s="212"/>
      <c r="E88" s="213"/>
      <c r="F88" s="214"/>
      <c r="G88" s="214"/>
      <c r="H88" s="88"/>
      <c r="I88" s="36">
        <f t="shared" si="1"/>
        <v>0</v>
      </c>
      <c r="J88" s="37">
        <f t="shared" si="2"/>
        <v>0</v>
      </c>
      <c r="K88" s="38">
        <f t="shared" si="3"/>
        <v>0</v>
      </c>
      <c r="L88" s="39">
        <f t="shared" si="4"/>
        <v>0</v>
      </c>
      <c r="M88" s="38">
        <f t="shared" si="5"/>
        <v>0</v>
      </c>
      <c r="N88" s="39">
        <f t="shared" si="6"/>
        <v>0</v>
      </c>
      <c r="O88" s="40"/>
      <c r="P88" s="34"/>
      <c r="Q88" s="35"/>
      <c r="R88" s="35"/>
      <c r="S88" s="35"/>
      <c r="T88" s="35"/>
      <c r="U88" s="35"/>
      <c r="V88" s="35"/>
      <c r="W88" s="35"/>
      <c r="X88" s="35"/>
      <c r="Y88" s="35"/>
      <c r="Z88" s="35"/>
      <c r="AA88" s="35"/>
    </row>
    <row r="89" ht="14.25" customHeight="1">
      <c r="A89" s="221"/>
      <c r="B89" s="231"/>
      <c r="C89" s="233"/>
      <c r="D89" s="212"/>
      <c r="E89" s="213"/>
      <c r="F89" s="214"/>
      <c r="G89" s="214"/>
      <c r="H89" s="88"/>
      <c r="I89" s="36">
        <f t="shared" si="1"/>
        <v>0</v>
      </c>
      <c r="J89" s="37">
        <f t="shared" si="2"/>
        <v>0</v>
      </c>
      <c r="K89" s="38">
        <f t="shared" si="3"/>
        <v>0</v>
      </c>
      <c r="L89" s="39">
        <f t="shared" si="4"/>
        <v>0</v>
      </c>
      <c r="M89" s="38">
        <f t="shared" si="5"/>
        <v>0</v>
      </c>
      <c r="N89" s="39">
        <f t="shared" si="6"/>
        <v>0</v>
      </c>
      <c r="O89" s="40"/>
      <c r="P89" s="34"/>
      <c r="Q89" s="35"/>
      <c r="R89" s="35"/>
      <c r="S89" s="35"/>
      <c r="T89" s="35"/>
      <c r="U89" s="35"/>
      <c r="V89" s="35"/>
      <c r="W89" s="35"/>
      <c r="X89" s="35"/>
      <c r="Y89" s="35"/>
      <c r="Z89" s="35"/>
      <c r="AA89" s="35"/>
    </row>
    <row r="90" ht="14.25" customHeight="1">
      <c r="A90" s="221"/>
      <c r="B90" s="231"/>
      <c r="C90" s="233"/>
      <c r="D90" s="212"/>
      <c r="E90" s="213"/>
      <c r="F90" s="214"/>
      <c r="G90" s="214"/>
      <c r="H90" s="88"/>
      <c r="I90" s="36">
        <f t="shared" si="1"/>
        <v>0</v>
      </c>
      <c r="J90" s="37">
        <f t="shared" si="2"/>
        <v>0</v>
      </c>
      <c r="K90" s="38">
        <f t="shared" si="3"/>
        <v>0</v>
      </c>
      <c r="L90" s="39">
        <f t="shared" si="4"/>
        <v>0</v>
      </c>
      <c r="M90" s="38">
        <f t="shared" si="5"/>
        <v>0</v>
      </c>
      <c r="N90" s="39">
        <f t="shared" si="6"/>
        <v>0</v>
      </c>
      <c r="O90" s="40"/>
      <c r="P90" s="34"/>
      <c r="Q90" s="35"/>
      <c r="R90" s="35"/>
      <c r="S90" s="35"/>
      <c r="T90" s="35"/>
      <c r="U90" s="35"/>
      <c r="V90" s="35"/>
      <c r="W90" s="35"/>
      <c r="X90" s="35"/>
      <c r="Y90" s="35"/>
      <c r="Z90" s="35"/>
      <c r="AA90" s="35"/>
    </row>
    <row r="91" ht="14.25" customHeight="1">
      <c r="A91" s="221"/>
      <c r="B91" s="231"/>
      <c r="C91" s="233"/>
      <c r="D91" s="212"/>
      <c r="E91" s="213"/>
      <c r="F91" s="214"/>
      <c r="G91" s="214"/>
      <c r="H91" s="88"/>
      <c r="I91" s="36">
        <f t="shared" si="1"/>
        <v>0</v>
      </c>
      <c r="J91" s="37">
        <f t="shared" si="2"/>
        <v>0</v>
      </c>
      <c r="K91" s="38">
        <f t="shared" si="3"/>
        <v>0</v>
      </c>
      <c r="L91" s="39">
        <f t="shared" si="4"/>
        <v>0</v>
      </c>
      <c r="M91" s="38">
        <f t="shared" si="5"/>
        <v>0</v>
      </c>
      <c r="N91" s="39">
        <f t="shared" si="6"/>
        <v>0</v>
      </c>
      <c r="O91" s="40"/>
      <c r="P91" s="34"/>
      <c r="Q91" s="35"/>
      <c r="R91" s="35"/>
      <c r="S91" s="35"/>
      <c r="T91" s="35"/>
      <c r="U91" s="35"/>
      <c r="V91" s="35"/>
      <c r="W91" s="35"/>
      <c r="X91" s="35"/>
      <c r="Y91" s="35"/>
      <c r="Z91" s="35"/>
      <c r="AA91" s="35"/>
    </row>
    <row r="92" ht="14.25" customHeight="1">
      <c r="A92" s="221"/>
      <c r="B92" s="231"/>
      <c r="C92" s="233"/>
      <c r="D92" s="212"/>
      <c r="E92" s="213"/>
      <c r="F92" s="214"/>
      <c r="G92" s="214"/>
      <c r="H92" s="88"/>
      <c r="I92" s="36">
        <f t="shared" si="1"/>
        <v>0</v>
      </c>
      <c r="J92" s="37">
        <f t="shared" si="2"/>
        <v>0</v>
      </c>
      <c r="K92" s="38">
        <f t="shared" si="3"/>
        <v>0</v>
      </c>
      <c r="L92" s="39">
        <f t="shared" si="4"/>
        <v>0</v>
      </c>
      <c r="M92" s="38">
        <f t="shared" si="5"/>
        <v>0</v>
      </c>
      <c r="N92" s="39">
        <f t="shared" si="6"/>
        <v>0</v>
      </c>
      <c r="O92" s="40"/>
      <c r="P92" s="34"/>
      <c r="Q92" s="35"/>
      <c r="R92" s="35"/>
      <c r="S92" s="35"/>
      <c r="T92" s="35"/>
      <c r="U92" s="35"/>
      <c r="V92" s="35"/>
      <c r="W92" s="35"/>
      <c r="X92" s="35"/>
      <c r="Y92" s="35"/>
      <c r="Z92" s="35"/>
      <c r="AA92" s="35"/>
    </row>
    <row r="93" ht="14.25" customHeight="1">
      <c r="A93" s="221"/>
      <c r="B93" s="231"/>
      <c r="C93" s="233"/>
      <c r="D93" s="212"/>
      <c r="E93" s="213"/>
      <c r="F93" s="214"/>
      <c r="G93" s="214"/>
      <c r="H93" s="88"/>
      <c r="I93" s="36">
        <f t="shared" si="1"/>
        <v>0</v>
      </c>
      <c r="J93" s="37">
        <f t="shared" si="2"/>
        <v>0</v>
      </c>
      <c r="K93" s="38">
        <f t="shared" si="3"/>
        <v>0</v>
      </c>
      <c r="L93" s="39">
        <f t="shared" si="4"/>
        <v>0</v>
      </c>
      <c r="M93" s="38">
        <f t="shared" si="5"/>
        <v>0</v>
      </c>
      <c r="N93" s="39">
        <f t="shared" si="6"/>
        <v>0</v>
      </c>
      <c r="O93" s="40"/>
      <c r="P93" s="34"/>
      <c r="Q93" s="35"/>
      <c r="R93" s="35"/>
      <c r="S93" s="35"/>
      <c r="T93" s="35"/>
      <c r="U93" s="35"/>
      <c r="V93" s="35"/>
      <c r="W93" s="35"/>
      <c r="X93" s="35"/>
      <c r="Y93" s="35"/>
      <c r="Z93" s="35"/>
      <c r="AA93" s="35"/>
    </row>
    <row r="94" ht="14.25" customHeight="1">
      <c r="A94" s="221"/>
      <c r="B94" s="231"/>
      <c r="C94" s="233"/>
      <c r="D94" s="212"/>
      <c r="E94" s="213"/>
      <c r="F94" s="214"/>
      <c r="G94" s="214"/>
      <c r="H94" s="88"/>
      <c r="I94" s="36">
        <f t="shared" si="1"/>
        <v>0</v>
      </c>
      <c r="J94" s="37">
        <f t="shared" si="2"/>
        <v>0</v>
      </c>
      <c r="K94" s="38">
        <f t="shared" si="3"/>
        <v>0</v>
      </c>
      <c r="L94" s="39">
        <f t="shared" si="4"/>
        <v>0</v>
      </c>
      <c r="M94" s="38">
        <f t="shared" si="5"/>
        <v>0</v>
      </c>
      <c r="N94" s="39">
        <f t="shared" si="6"/>
        <v>0</v>
      </c>
      <c r="O94" s="40"/>
      <c r="P94" s="34"/>
      <c r="Q94" s="35"/>
      <c r="R94" s="35"/>
      <c r="S94" s="35"/>
      <c r="T94" s="35"/>
      <c r="U94" s="35"/>
      <c r="V94" s="35"/>
      <c r="W94" s="35"/>
      <c r="X94" s="35"/>
      <c r="Y94" s="35"/>
      <c r="Z94" s="35"/>
      <c r="AA94" s="35"/>
    </row>
    <row r="95" ht="14.25" customHeight="1">
      <c r="A95" s="221"/>
      <c r="B95" s="231"/>
      <c r="C95" s="233"/>
      <c r="D95" s="212"/>
      <c r="E95" s="213"/>
      <c r="F95" s="214"/>
      <c r="G95" s="214"/>
      <c r="H95" s="88"/>
      <c r="I95" s="36">
        <f t="shared" si="1"/>
        <v>0</v>
      </c>
      <c r="J95" s="37">
        <f t="shared" si="2"/>
        <v>0</v>
      </c>
      <c r="K95" s="38">
        <f t="shared" si="3"/>
        <v>0</v>
      </c>
      <c r="L95" s="39">
        <f t="shared" si="4"/>
        <v>0</v>
      </c>
      <c r="M95" s="38">
        <f t="shared" si="5"/>
        <v>0</v>
      </c>
      <c r="N95" s="39">
        <f t="shared" si="6"/>
        <v>0</v>
      </c>
      <c r="O95" s="40"/>
      <c r="P95" s="78"/>
      <c r="Q95" s="35"/>
      <c r="R95" s="35"/>
      <c r="S95" s="35"/>
      <c r="T95" s="35"/>
      <c r="U95" s="35"/>
      <c r="V95" s="35"/>
      <c r="W95" s="35"/>
      <c r="X95" s="35"/>
      <c r="Y95" s="35"/>
      <c r="Z95" s="35"/>
      <c r="AA95" s="35"/>
    </row>
    <row r="96" ht="14.25" customHeight="1">
      <c r="A96" s="221"/>
      <c r="B96" s="231"/>
      <c r="C96" s="233"/>
      <c r="D96" s="212"/>
      <c r="E96" s="213"/>
      <c r="F96" s="214"/>
      <c r="G96" s="214"/>
      <c r="H96" s="88"/>
      <c r="I96" s="36">
        <f t="shared" si="1"/>
        <v>0</v>
      </c>
      <c r="J96" s="37">
        <f t="shared" si="2"/>
        <v>0</v>
      </c>
      <c r="K96" s="38">
        <f t="shared" si="3"/>
        <v>0</v>
      </c>
      <c r="L96" s="39">
        <f t="shared" si="4"/>
        <v>0</v>
      </c>
      <c r="M96" s="38">
        <f t="shared" si="5"/>
        <v>0</v>
      </c>
      <c r="N96" s="39">
        <f t="shared" si="6"/>
        <v>0</v>
      </c>
      <c r="O96" s="40"/>
      <c r="P96" s="78"/>
      <c r="Q96" s="35"/>
      <c r="R96" s="35"/>
      <c r="S96" s="35"/>
      <c r="T96" s="35"/>
      <c r="U96" s="35"/>
      <c r="V96" s="35"/>
      <c r="W96" s="35"/>
      <c r="X96" s="35"/>
      <c r="Y96" s="35"/>
      <c r="Z96" s="35"/>
      <c r="AA96" s="35"/>
    </row>
    <row r="97" ht="14.25" customHeight="1">
      <c r="A97" s="221"/>
      <c r="B97" s="231"/>
      <c r="C97" s="233"/>
      <c r="D97" s="212"/>
      <c r="E97" s="213"/>
      <c r="F97" s="214"/>
      <c r="G97" s="214"/>
      <c r="H97" s="88"/>
      <c r="I97" s="36">
        <f t="shared" si="1"/>
        <v>0</v>
      </c>
      <c r="J97" s="37">
        <f t="shared" si="2"/>
        <v>0</v>
      </c>
      <c r="K97" s="38">
        <f t="shared" si="3"/>
        <v>0</v>
      </c>
      <c r="L97" s="39">
        <f t="shared" si="4"/>
        <v>0</v>
      </c>
      <c r="M97" s="38">
        <f t="shared" si="5"/>
        <v>0</v>
      </c>
      <c r="N97" s="39">
        <f t="shared" si="6"/>
        <v>0</v>
      </c>
      <c r="O97" s="40"/>
      <c r="P97" s="78"/>
      <c r="Q97" s="35"/>
      <c r="R97" s="35"/>
      <c r="S97" s="35"/>
      <c r="T97" s="35"/>
      <c r="U97" s="35"/>
      <c r="V97" s="35"/>
      <c r="W97" s="35"/>
      <c r="X97" s="35"/>
      <c r="Y97" s="35"/>
      <c r="Z97" s="35"/>
      <c r="AA97" s="35"/>
    </row>
    <row r="98" ht="14.25" customHeight="1">
      <c r="A98" s="221"/>
      <c r="B98" s="231"/>
      <c r="C98" s="233"/>
      <c r="D98" s="212"/>
      <c r="E98" s="213"/>
      <c r="F98" s="214"/>
      <c r="G98" s="214"/>
      <c r="H98" s="88"/>
      <c r="I98" s="36">
        <f t="shared" si="1"/>
        <v>0</v>
      </c>
      <c r="J98" s="37">
        <f t="shared" si="2"/>
        <v>0</v>
      </c>
      <c r="K98" s="38">
        <f t="shared" si="3"/>
        <v>0</v>
      </c>
      <c r="L98" s="39">
        <f t="shared" si="4"/>
        <v>0</v>
      </c>
      <c r="M98" s="38">
        <f t="shared" si="5"/>
        <v>0</v>
      </c>
      <c r="N98" s="39">
        <f t="shared" si="6"/>
        <v>0</v>
      </c>
      <c r="O98" s="40"/>
      <c r="P98" s="78"/>
      <c r="Q98" s="35"/>
      <c r="R98" s="35"/>
      <c r="S98" s="35"/>
      <c r="T98" s="35"/>
      <c r="U98" s="35"/>
      <c r="V98" s="35"/>
      <c r="W98" s="35"/>
      <c r="X98" s="35"/>
      <c r="Y98" s="35"/>
      <c r="Z98" s="35"/>
      <c r="AA98" s="35"/>
    </row>
    <row r="99" ht="14.25" customHeight="1">
      <c r="A99" s="221"/>
      <c r="B99" s="231"/>
      <c r="C99" s="233"/>
      <c r="D99" s="212"/>
      <c r="E99" s="213"/>
      <c r="F99" s="214"/>
      <c r="G99" s="214"/>
      <c r="H99" s="88"/>
      <c r="I99" s="36">
        <f t="shared" si="1"/>
        <v>0</v>
      </c>
      <c r="J99" s="37">
        <f t="shared" si="2"/>
        <v>0</v>
      </c>
      <c r="K99" s="38">
        <f t="shared" si="3"/>
        <v>0</v>
      </c>
      <c r="L99" s="39">
        <f t="shared" si="4"/>
        <v>0</v>
      </c>
      <c r="M99" s="38">
        <f t="shared" si="5"/>
        <v>0</v>
      </c>
      <c r="N99" s="39">
        <f t="shared" si="6"/>
        <v>0</v>
      </c>
      <c r="O99" s="40"/>
      <c r="P99" s="78"/>
      <c r="Q99" s="35"/>
      <c r="R99" s="35"/>
      <c r="S99" s="35"/>
      <c r="T99" s="35"/>
      <c r="U99" s="35"/>
      <c r="V99" s="35"/>
      <c r="W99" s="35"/>
      <c r="X99" s="35"/>
      <c r="Y99" s="35"/>
      <c r="Z99" s="35"/>
      <c r="AA99" s="35"/>
    </row>
    <row r="100" ht="14.25" customHeight="1">
      <c r="A100" s="221"/>
      <c r="B100" s="231"/>
      <c r="C100" s="233"/>
      <c r="D100" s="212"/>
      <c r="E100" s="213"/>
      <c r="F100" s="214"/>
      <c r="G100" s="214"/>
      <c r="H100" s="88"/>
      <c r="I100" s="36">
        <f t="shared" si="1"/>
        <v>0</v>
      </c>
      <c r="J100" s="37">
        <f t="shared" si="2"/>
        <v>0</v>
      </c>
      <c r="K100" s="38">
        <f t="shared" si="3"/>
        <v>0</v>
      </c>
      <c r="L100" s="39">
        <f t="shared" si="4"/>
        <v>0</v>
      </c>
      <c r="M100" s="38">
        <f t="shared" si="5"/>
        <v>0</v>
      </c>
      <c r="N100" s="39">
        <f t="shared" si="6"/>
        <v>0</v>
      </c>
      <c r="O100" s="40"/>
      <c r="P100" s="78"/>
      <c r="Q100" s="35"/>
      <c r="R100" s="35"/>
      <c r="S100" s="35"/>
      <c r="T100" s="35"/>
      <c r="U100" s="35"/>
      <c r="V100" s="35"/>
      <c r="W100" s="35"/>
      <c r="X100" s="35"/>
      <c r="Y100" s="35"/>
      <c r="Z100" s="35"/>
      <c r="AA100" s="35"/>
    </row>
    <row r="101" ht="14.25" customHeight="1">
      <c r="A101" s="221"/>
      <c r="B101" s="231"/>
      <c r="C101" s="233"/>
      <c r="D101" s="212"/>
      <c r="E101" s="213"/>
      <c r="F101" s="214"/>
      <c r="G101" s="214"/>
      <c r="H101" s="88"/>
      <c r="I101" s="36">
        <f t="shared" si="1"/>
        <v>0</v>
      </c>
      <c r="J101" s="37">
        <f t="shared" si="2"/>
        <v>0</v>
      </c>
      <c r="K101" s="38">
        <f t="shared" si="3"/>
        <v>0</v>
      </c>
      <c r="L101" s="39">
        <f t="shared" si="4"/>
        <v>0</v>
      </c>
      <c r="M101" s="38">
        <f t="shared" si="5"/>
        <v>0</v>
      </c>
      <c r="N101" s="39">
        <f t="shared" si="6"/>
        <v>0</v>
      </c>
      <c r="O101" s="40"/>
      <c r="P101" s="78"/>
      <c r="Q101" s="35"/>
      <c r="R101" s="35"/>
      <c r="S101" s="35"/>
      <c r="T101" s="35"/>
      <c r="U101" s="35"/>
      <c r="V101" s="35"/>
      <c r="W101" s="35"/>
      <c r="X101" s="35"/>
      <c r="Y101" s="35"/>
      <c r="Z101" s="35"/>
      <c r="AA101" s="35"/>
    </row>
    <row r="102" ht="14.25" customHeight="1">
      <c r="A102" s="221"/>
      <c r="B102" s="231"/>
      <c r="C102" s="233"/>
      <c r="D102" s="212"/>
      <c r="E102" s="213"/>
      <c r="F102" s="214"/>
      <c r="G102" s="214"/>
      <c r="H102" s="88"/>
      <c r="I102" s="36">
        <f t="shared" si="1"/>
        <v>0</v>
      </c>
      <c r="J102" s="37">
        <f t="shared" si="2"/>
        <v>0</v>
      </c>
      <c r="K102" s="38">
        <f t="shared" si="3"/>
        <v>0</v>
      </c>
      <c r="L102" s="39">
        <f t="shared" si="4"/>
        <v>0</v>
      </c>
      <c r="M102" s="38">
        <f t="shared" si="5"/>
        <v>0</v>
      </c>
      <c r="N102" s="39">
        <f t="shared" si="6"/>
        <v>0</v>
      </c>
      <c r="O102" s="40"/>
      <c r="P102" s="78"/>
      <c r="Q102" s="35"/>
      <c r="R102" s="35"/>
      <c r="S102" s="35"/>
      <c r="T102" s="35"/>
      <c r="U102" s="35"/>
      <c r="V102" s="35"/>
      <c r="W102" s="35"/>
      <c r="X102" s="35"/>
      <c r="Y102" s="35"/>
      <c r="Z102" s="35"/>
      <c r="AA102" s="35"/>
    </row>
    <row r="103" ht="14.25" customHeight="1">
      <c r="A103" s="221"/>
      <c r="B103" s="231"/>
      <c r="C103" s="233"/>
      <c r="D103" s="212"/>
      <c r="E103" s="213"/>
      <c r="F103" s="214"/>
      <c r="G103" s="214"/>
      <c r="H103" s="88"/>
      <c r="I103" s="36">
        <f t="shared" si="1"/>
        <v>0</v>
      </c>
      <c r="J103" s="37">
        <f t="shared" si="2"/>
        <v>0</v>
      </c>
      <c r="K103" s="38">
        <f t="shared" si="3"/>
        <v>0</v>
      </c>
      <c r="L103" s="39">
        <f t="shared" si="4"/>
        <v>0</v>
      </c>
      <c r="M103" s="38">
        <f t="shared" si="5"/>
        <v>0</v>
      </c>
      <c r="N103" s="39">
        <f t="shared" si="6"/>
        <v>0</v>
      </c>
      <c r="O103" s="40"/>
      <c r="P103" s="78"/>
      <c r="Q103" s="35"/>
      <c r="R103" s="35"/>
      <c r="S103" s="35"/>
      <c r="T103" s="35"/>
      <c r="U103" s="35"/>
      <c r="V103" s="35"/>
      <c r="W103" s="35"/>
      <c r="X103" s="35"/>
      <c r="Y103" s="35"/>
      <c r="Z103" s="35"/>
      <c r="AA103" s="35"/>
    </row>
    <row r="104" ht="14.25" customHeight="1">
      <c r="A104" s="221"/>
      <c r="B104" s="231"/>
      <c r="C104" s="233"/>
      <c r="D104" s="212"/>
      <c r="E104" s="213"/>
      <c r="F104" s="214"/>
      <c r="G104" s="214"/>
      <c r="H104" s="88"/>
      <c r="I104" s="36">
        <f t="shared" si="1"/>
        <v>0</v>
      </c>
      <c r="J104" s="37">
        <f t="shared" si="2"/>
        <v>0</v>
      </c>
      <c r="K104" s="38">
        <f t="shared" si="3"/>
        <v>0</v>
      </c>
      <c r="L104" s="39">
        <f t="shared" si="4"/>
        <v>0</v>
      </c>
      <c r="M104" s="38">
        <f t="shared" si="5"/>
        <v>0</v>
      </c>
      <c r="N104" s="39">
        <f t="shared" si="6"/>
        <v>0</v>
      </c>
      <c r="O104" s="40"/>
      <c r="P104" s="78"/>
      <c r="Q104" s="35"/>
      <c r="R104" s="35"/>
      <c r="S104" s="35"/>
      <c r="T104" s="35"/>
      <c r="U104" s="35"/>
      <c r="V104" s="35"/>
      <c r="W104" s="35"/>
      <c r="X104" s="35"/>
      <c r="Y104" s="35"/>
      <c r="Z104" s="35"/>
      <c r="AA104" s="35"/>
    </row>
    <row r="105" ht="14.25" customHeight="1">
      <c r="A105" s="221"/>
      <c r="B105" s="231"/>
      <c r="C105" s="233"/>
      <c r="D105" s="212"/>
      <c r="E105" s="213"/>
      <c r="F105" s="214"/>
      <c r="G105" s="214"/>
      <c r="H105" s="88"/>
      <c r="I105" s="36">
        <f t="shared" si="1"/>
        <v>0</v>
      </c>
      <c r="J105" s="37">
        <f t="shared" si="2"/>
        <v>0</v>
      </c>
      <c r="K105" s="38">
        <f t="shared" si="3"/>
        <v>0</v>
      </c>
      <c r="L105" s="39">
        <f t="shared" si="4"/>
        <v>0</v>
      </c>
      <c r="M105" s="38">
        <f t="shared" si="5"/>
        <v>0</v>
      </c>
      <c r="N105" s="39">
        <f t="shared" si="6"/>
        <v>0</v>
      </c>
      <c r="O105" s="40"/>
      <c r="P105" s="78"/>
      <c r="Q105" s="35"/>
      <c r="R105" s="35"/>
      <c r="S105" s="35"/>
      <c r="T105" s="35"/>
      <c r="U105" s="35"/>
      <c r="V105" s="35"/>
      <c r="W105" s="35"/>
      <c r="X105" s="35"/>
      <c r="Y105" s="35"/>
      <c r="Z105" s="35"/>
      <c r="AA105" s="35"/>
    </row>
    <row r="106" ht="14.25" customHeight="1">
      <c r="A106" s="221"/>
      <c r="B106" s="231"/>
      <c r="C106" s="233"/>
      <c r="D106" s="212"/>
      <c r="E106" s="213"/>
      <c r="F106" s="214"/>
      <c r="G106" s="214"/>
      <c r="H106" s="88"/>
      <c r="I106" s="36">
        <f t="shared" si="1"/>
        <v>0</v>
      </c>
      <c r="J106" s="37">
        <f t="shared" si="2"/>
        <v>0</v>
      </c>
      <c r="K106" s="38">
        <f t="shared" si="3"/>
        <v>0</v>
      </c>
      <c r="L106" s="39">
        <f t="shared" si="4"/>
        <v>0</v>
      </c>
      <c r="M106" s="38">
        <f t="shared" si="5"/>
        <v>0</v>
      </c>
      <c r="N106" s="39">
        <f t="shared" si="6"/>
        <v>0</v>
      </c>
      <c r="O106" s="40"/>
      <c r="P106" s="78"/>
      <c r="Q106" s="35"/>
      <c r="R106" s="35"/>
      <c r="S106" s="35"/>
      <c r="T106" s="35"/>
      <c r="U106" s="35"/>
      <c r="V106" s="35"/>
      <c r="W106" s="35"/>
      <c r="X106" s="35"/>
      <c r="Y106" s="35"/>
      <c r="Z106" s="35"/>
      <c r="AA106" s="35"/>
    </row>
    <row r="107" ht="14.25" customHeight="1">
      <c r="A107" s="221"/>
      <c r="B107" s="231"/>
      <c r="C107" s="233"/>
      <c r="D107" s="212"/>
      <c r="E107" s="213"/>
      <c r="F107" s="214"/>
      <c r="G107" s="214"/>
      <c r="H107" s="88"/>
      <c r="I107" s="36">
        <f t="shared" si="1"/>
        <v>0</v>
      </c>
      <c r="J107" s="37">
        <f t="shared" si="2"/>
        <v>0</v>
      </c>
      <c r="K107" s="38">
        <f t="shared" si="3"/>
        <v>0</v>
      </c>
      <c r="L107" s="39">
        <f t="shared" si="4"/>
        <v>0</v>
      </c>
      <c r="M107" s="38">
        <f t="shared" si="5"/>
        <v>0</v>
      </c>
      <c r="N107" s="39">
        <f t="shared" si="6"/>
        <v>0</v>
      </c>
      <c r="O107" s="40"/>
      <c r="P107" s="78"/>
      <c r="Q107" s="35"/>
      <c r="R107" s="35"/>
      <c r="S107" s="35"/>
      <c r="T107" s="35"/>
      <c r="U107" s="35"/>
      <c r="V107" s="35"/>
      <c r="W107" s="35"/>
      <c r="X107" s="35"/>
      <c r="Y107" s="35"/>
      <c r="Z107" s="35"/>
      <c r="AA107" s="35"/>
    </row>
    <row r="108" ht="14.25" customHeight="1">
      <c r="A108" s="221"/>
      <c r="B108" s="231"/>
      <c r="C108" s="233"/>
      <c r="D108" s="212"/>
      <c r="E108" s="213"/>
      <c r="F108" s="214"/>
      <c r="G108" s="214"/>
      <c r="H108" s="88"/>
      <c r="I108" s="36">
        <f t="shared" si="1"/>
        <v>0</v>
      </c>
      <c r="J108" s="37">
        <f t="shared" si="2"/>
        <v>0</v>
      </c>
      <c r="K108" s="38">
        <f t="shared" si="3"/>
        <v>0</v>
      </c>
      <c r="L108" s="39">
        <f t="shared" si="4"/>
        <v>0</v>
      </c>
      <c r="M108" s="38">
        <f t="shared" si="5"/>
        <v>0</v>
      </c>
      <c r="N108" s="39">
        <f t="shared" si="6"/>
        <v>0</v>
      </c>
      <c r="O108" s="40"/>
      <c r="P108" s="78"/>
      <c r="Q108" s="35"/>
      <c r="R108" s="35"/>
      <c r="S108" s="35"/>
      <c r="T108" s="35"/>
      <c r="U108" s="35"/>
      <c r="V108" s="35"/>
      <c r="W108" s="35"/>
      <c r="X108" s="35"/>
      <c r="Y108" s="35"/>
      <c r="Z108" s="35"/>
      <c r="AA108" s="35"/>
    </row>
    <row r="109" ht="14.25" customHeight="1">
      <c r="A109" s="221"/>
      <c r="B109" s="231"/>
      <c r="C109" s="233"/>
      <c r="D109" s="212"/>
      <c r="E109" s="213"/>
      <c r="F109" s="214"/>
      <c r="G109" s="214"/>
      <c r="H109" s="88"/>
      <c r="I109" s="36">
        <f t="shared" si="1"/>
        <v>0</v>
      </c>
      <c r="J109" s="37">
        <f t="shared" si="2"/>
        <v>0</v>
      </c>
      <c r="K109" s="38">
        <f t="shared" si="3"/>
        <v>0</v>
      </c>
      <c r="L109" s="39">
        <f t="shared" si="4"/>
        <v>0</v>
      </c>
      <c r="M109" s="38">
        <f t="shared" si="5"/>
        <v>0</v>
      </c>
      <c r="N109" s="39">
        <f t="shared" si="6"/>
        <v>0</v>
      </c>
      <c r="O109" s="40"/>
      <c r="P109" s="78"/>
      <c r="Q109" s="35"/>
      <c r="R109" s="35"/>
      <c r="S109" s="35"/>
      <c r="T109" s="35"/>
      <c r="U109" s="35"/>
      <c r="V109" s="35"/>
      <c r="W109" s="35"/>
      <c r="X109" s="35"/>
      <c r="Y109" s="35"/>
      <c r="Z109" s="35"/>
      <c r="AA109" s="35"/>
    </row>
    <row r="110" ht="14.25" customHeight="1">
      <c r="A110" s="221"/>
      <c r="B110" s="231"/>
      <c r="C110" s="233"/>
      <c r="D110" s="212"/>
      <c r="E110" s="213"/>
      <c r="F110" s="214"/>
      <c r="G110" s="214"/>
      <c r="H110" s="88"/>
      <c r="I110" s="36">
        <f t="shared" si="1"/>
        <v>0</v>
      </c>
      <c r="J110" s="37">
        <f t="shared" si="2"/>
        <v>0</v>
      </c>
      <c r="K110" s="38">
        <f t="shared" si="3"/>
        <v>0</v>
      </c>
      <c r="L110" s="39">
        <f t="shared" si="4"/>
        <v>0</v>
      </c>
      <c r="M110" s="38">
        <f t="shared" si="5"/>
        <v>0</v>
      </c>
      <c r="N110" s="39">
        <f t="shared" si="6"/>
        <v>0</v>
      </c>
      <c r="O110" s="40"/>
      <c r="P110" s="78"/>
      <c r="Q110" s="35"/>
      <c r="R110" s="35"/>
      <c r="S110" s="35"/>
      <c r="T110" s="35"/>
      <c r="U110" s="35"/>
      <c r="V110" s="35"/>
      <c r="W110" s="35"/>
      <c r="X110" s="35"/>
      <c r="Y110" s="35"/>
      <c r="Z110" s="35"/>
      <c r="AA110" s="35"/>
    </row>
    <row r="111" ht="14.25" customHeight="1">
      <c r="A111" s="221"/>
      <c r="B111" s="231"/>
      <c r="C111" s="233"/>
      <c r="D111" s="212"/>
      <c r="E111" s="213"/>
      <c r="F111" s="214"/>
      <c r="G111" s="214"/>
      <c r="H111" s="88"/>
      <c r="I111" s="36">
        <f t="shared" si="1"/>
        <v>0</v>
      </c>
      <c r="J111" s="37">
        <f t="shared" si="2"/>
        <v>0</v>
      </c>
      <c r="K111" s="38">
        <f t="shared" si="3"/>
        <v>0</v>
      </c>
      <c r="L111" s="39">
        <f t="shared" si="4"/>
        <v>0</v>
      </c>
      <c r="M111" s="38">
        <f t="shared" si="5"/>
        <v>0</v>
      </c>
      <c r="N111" s="39">
        <f t="shared" si="6"/>
        <v>0</v>
      </c>
      <c r="O111" s="40"/>
      <c r="P111" s="78"/>
      <c r="Q111" s="35"/>
      <c r="R111" s="35"/>
      <c r="S111" s="35"/>
      <c r="T111" s="35"/>
      <c r="U111" s="35"/>
      <c r="V111" s="35"/>
      <c r="W111" s="35"/>
      <c r="X111" s="35"/>
      <c r="Y111" s="35"/>
      <c r="Z111" s="35"/>
      <c r="AA111" s="35"/>
    </row>
    <row r="112" ht="14.25" customHeight="1">
      <c r="A112" s="221"/>
      <c r="B112" s="231"/>
      <c r="C112" s="233"/>
      <c r="D112" s="212"/>
      <c r="E112" s="213"/>
      <c r="F112" s="214"/>
      <c r="G112" s="214"/>
      <c r="H112" s="88"/>
      <c r="I112" s="36">
        <f t="shared" si="1"/>
        <v>0</v>
      </c>
      <c r="J112" s="37">
        <f t="shared" si="2"/>
        <v>0</v>
      </c>
      <c r="K112" s="38">
        <f t="shared" si="3"/>
        <v>0</v>
      </c>
      <c r="L112" s="39">
        <f t="shared" si="4"/>
        <v>0</v>
      </c>
      <c r="M112" s="38">
        <f t="shared" si="5"/>
        <v>0</v>
      </c>
      <c r="N112" s="39">
        <f t="shared" si="6"/>
        <v>0</v>
      </c>
      <c r="O112" s="40"/>
      <c r="P112" s="78"/>
      <c r="Q112" s="35"/>
      <c r="R112" s="35"/>
      <c r="S112" s="35"/>
      <c r="T112" s="35"/>
      <c r="U112" s="35"/>
      <c r="V112" s="35"/>
      <c r="W112" s="35"/>
      <c r="X112" s="35"/>
      <c r="Y112" s="35"/>
      <c r="Z112" s="35"/>
      <c r="AA112" s="35"/>
    </row>
    <row r="113" ht="14.25" customHeight="1">
      <c r="A113" s="221"/>
      <c r="B113" s="231"/>
      <c r="C113" s="233"/>
      <c r="D113" s="212"/>
      <c r="E113" s="213"/>
      <c r="F113" s="214"/>
      <c r="G113" s="214"/>
      <c r="H113" s="88"/>
      <c r="I113" s="36">
        <f t="shared" si="1"/>
        <v>0</v>
      </c>
      <c r="J113" s="37">
        <f t="shared" si="2"/>
        <v>0</v>
      </c>
      <c r="K113" s="38">
        <f t="shared" si="3"/>
        <v>0</v>
      </c>
      <c r="L113" s="39">
        <f t="shared" si="4"/>
        <v>0</v>
      </c>
      <c r="M113" s="38">
        <f t="shared" si="5"/>
        <v>0</v>
      </c>
      <c r="N113" s="39">
        <f t="shared" si="6"/>
        <v>0</v>
      </c>
      <c r="O113" s="40"/>
      <c r="P113" s="78"/>
      <c r="Q113" s="35"/>
      <c r="R113" s="35"/>
      <c r="S113" s="35"/>
      <c r="T113" s="35"/>
      <c r="U113" s="35"/>
      <c r="V113" s="35"/>
      <c r="W113" s="35"/>
      <c r="X113" s="35"/>
      <c r="Y113" s="35"/>
      <c r="Z113" s="35"/>
      <c r="AA113" s="35"/>
    </row>
    <row r="114" ht="14.25" customHeight="1">
      <c r="A114" s="221"/>
      <c r="B114" s="231"/>
      <c r="C114" s="233"/>
      <c r="D114" s="212"/>
      <c r="E114" s="213"/>
      <c r="F114" s="214"/>
      <c r="G114" s="214"/>
      <c r="H114" s="88"/>
      <c r="I114" s="36">
        <f t="shared" si="1"/>
        <v>0</v>
      </c>
      <c r="J114" s="37">
        <f t="shared" si="2"/>
        <v>0</v>
      </c>
      <c r="K114" s="38">
        <f t="shared" si="3"/>
        <v>0</v>
      </c>
      <c r="L114" s="39">
        <f t="shared" si="4"/>
        <v>0</v>
      </c>
      <c r="M114" s="38">
        <f t="shared" si="5"/>
        <v>0</v>
      </c>
      <c r="N114" s="39">
        <f t="shared" si="6"/>
        <v>0</v>
      </c>
      <c r="O114" s="40"/>
      <c r="P114" s="78"/>
      <c r="Q114" s="35"/>
      <c r="R114" s="35"/>
      <c r="S114" s="35"/>
      <c r="T114" s="35"/>
      <c r="U114" s="35"/>
      <c r="V114" s="35"/>
      <c r="W114" s="35"/>
      <c r="X114" s="35"/>
      <c r="Y114" s="35"/>
      <c r="Z114" s="35"/>
      <c r="AA114" s="35"/>
    </row>
    <row r="115" ht="14.25" customHeight="1">
      <c r="A115" s="221"/>
      <c r="B115" s="231"/>
      <c r="C115" s="233"/>
      <c r="D115" s="212"/>
      <c r="E115" s="213"/>
      <c r="F115" s="214"/>
      <c r="G115" s="214"/>
      <c r="H115" s="88"/>
      <c r="I115" s="36">
        <f t="shared" si="1"/>
        <v>0</v>
      </c>
      <c r="J115" s="37">
        <f t="shared" si="2"/>
        <v>0</v>
      </c>
      <c r="K115" s="38">
        <f t="shared" si="3"/>
        <v>0</v>
      </c>
      <c r="L115" s="39">
        <f t="shared" si="4"/>
        <v>0</v>
      </c>
      <c r="M115" s="38">
        <f t="shared" si="5"/>
        <v>0</v>
      </c>
      <c r="N115" s="39">
        <f t="shared" si="6"/>
        <v>0</v>
      </c>
      <c r="O115" s="40"/>
      <c r="P115" s="78"/>
      <c r="Q115" s="35"/>
      <c r="R115" s="35"/>
      <c r="S115" s="35"/>
      <c r="T115" s="35"/>
      <c r="U115" s="35"/>
      <c r="V115" s="35"/>
      <c r="W115" s="35"/>
      <c r="X115" s="35"/>
      <c r="Y115" s="35"/>
      <c r="Z115" s="35"/>
      <c r="AA115" s="35"/>
    </row>
    <row r="116" ht="14.25" customHeight="1">
      <c r="A116" s="221"/>
      <c r="B116" s="231"/>
      <c r="C116" s="233"/>
      <c r="D116" s="212"/>
      <c r="E116" s="213"/>
      <c r="F116" s="214"/>
      <c r="G116" s="214"/>
      <c r="H116" s="88"/>
      <c r="I116" s="36">
        <f t="shared" si="1"/>
        <v>0</v>
      </c>
      <c r="J116" s="37">
        <f t="shared" si="2"/>
        <v>0</v>
      </c>
      <c r="K116" s="38">
        <f t="shared" si="3"/>
        <v>0</v>
      </c>
      <c r="L116" s="39">
        <f t="shared" si="4"/>
        <v>0</v>
      </c>
      <c r="M116" s="38">
        <f t="shared" si="5"/>
        <v>0</v>
      </c>
      <c r="N116" s="39">
        <f t="shared" si="6"/>
        <v>0</v>
      </c>
      <c r="O116" s="40"/>
      <c r="P116" s="78"/>
      <c r="Q116" s="35"/>
      <c r="R116" s="35"/>
      <c r="S116" s="35"/>
      <c r="T116" s="35"/>
      <c r="U116" s="35"/>
      <c r="V116" s="35"/>
      <c r="W116" s="35"/>
      <c r="X116" s="35"/>
      <c r="Y116" s="35"/>
      <c r="Z116" s="35"/>
      <c r="AA116" s="35"/>
    </row>
    <row r="117" ht="14.25" customHeight="1">
      <c r="A117" s="221"/>
      <c r="B117" s="231"/>
      <c r="C117" s="233"/>
      <c r="D117" s="212"/>
      <c r="E117" s="213"/>
      <c r="F117" s="214"/>
      <c r="G117" s="214"/>
      <c r="H117" s="88"/>
      <c r="I117" s="36">
        <f t="shared" si="1"/>
        <v>0</v>
      </c>
      <c r="J117" s="37">
        <f t="shared" si="2"/>
        <v>0</v>
      </c>
      <c r="K117" s="38">
        <f t="shared" si="3"/>
        <v>0</v>
      </c>
      <c r="L117" s="39">
        <f t="shared" si="4"/>
        <v>0</v>
      </c>
      <c r="M117" s="38">
        <f t="shared" si="5"/>
        <v>0</v>
      </c>
      <c r="N117" s="39">
        <f t="shared" si="6"/>
        <v>0</v>
      </c>
      <c r="O117" s="40"/>
      <c r="P117" s="78"/>
      <c r="Q117" s="35"/>
      <c r="R117" s="35"/>
      <c r="S117" s="35"/>
      <c r="T117" s="35"/>
      <c r="U117" s="35"/>
      <c r="V117" s="35"/>
      <c r="W117" s="35"/>
      <c r="X117" s="35"/>
      <c r="Y117" s="35"/>
      <c r="Z117" s="35"/>
      <c r="AA117" s="35"/>
    </row>
    <row r="118" ht="14.25" customHeight="1">
      <c r="A118" s="221"/>
      <c r="B118" s="231"/>
      <c r="C118" s="233"/>
      <c r="D118" s="212"/>
      <c r="E118" s="213"/>
      <c r="F118" s="214"/>
      <c r="G118" s="214"/>
      <c r="H118" s="88"/>
      <c r="I118" s="36">
        <f t="shared" si="1"/>
        <v>0</v>
      </c>
      <c r="J118" s="37">
        <f t="shared" si="2"/>
        <v>0</v>
      </c>
      <c r="K118" s="38">
        <f t="shared" si="3"/>
        <v>0</v>
      </c>
      <c r="L118" s="39">
        <f t="shared" si="4"/>
        <v>0</v>
      </c>
      <c r="M118" s="38">
        <f t="shared" si="5"/>
        <v>0</v>
      </c>
      <c r="N118" s="39">
        <f t="shared" si="6"/>
        <v>0</v>
      </c>
      <c r="O118" s="40"/>
      <c r="P118" s="78"/>
      <c r="Q118" s="35"/>
      <c r="R118" s="35"/>
      <c r="S118" s="35"/>
      <c r="T118" s="35"/>
      <c r="U118" s="35"/>
      <c r="V118" s="35"/>
      <c r="W118" s="35"/>
      <c r="X118" s="35"/>
      <c r="Y118" s="35"/>
      <c r="Z118" s="35"/>
      <c r="AA118" s="35"/>
    </row>
    <row r="119" ht="14.25" customHeight="1">
      <c r="A119" s="221"/>
      <c r="B119" s="231"/>
      <c r="C119" s="233"/>
      <c r="D119" s="212"/>
      <c r="E119" s="213"/>
      <c r="F119" s="214"/>
      <c r="G119" s="214"/>
      <c r="H119" s="88"/>
      <c r="I119" s="36">
        <f t="shared" si="1"/>
        <v>0</v>
      </c>
      <c r="J119" s="37">
        <f t="shared" si="2"/>
        <v>0</v>
      </c>
      <c r="K119" s="38">
        <f t="shared" si="3"/>
        <v>0</v>
      </c>
      <c r="L119" s="39">
        <f t="shared" si="4"/>
        <v>0</v>
      </c>
      <c r="M119" s="38">
        <f t="shared" si="5"/>
        <v>0</v>
      </c>
      <c r="N119" s="39">
        <f t="shared" si="6"/>
        <v>0</v>
      </c>
      <c r="O119" s="40"/>
      <c r="P119" s="78"/>
      <c r="Q119" s="35"/>
      <c r="R119" s="35"/>
      <c r="S119" s="35"/>
      <c r="T119" s="35"/>
      <c r="U119" s="35"/>
      <c r="V119" s="35"/>
      <c r="W119" s="35"/>
      <c r="X119" s="35"/>
      <c r="Y119" s="35"/>
      <c r="Z119" s="35"/>
      <c r="AA119" s="35"/>
    </row>
    <row r="120" ht="14.25" customHeight="1">
      <c r="A120" s="221"/>
      <c r="B120" s="231"/>
      <c r="C120" s="233"/>
      <c r="D120" s="212"/>
      <c r="E120" s="213"/>
      <c r="F120" s="214"/>
      <c r="G120" s="214"/>
      <c r="H120" s="88"/>
      <c r="I120" s="36">
        <f t="shared" si="1"/>
        <v>0</v>
      </c>
      <c r="J120" s="37">
        <f t="shared" si="2"/>
        <v>0</v>
      </c>
      <c r="K120" s="38">
        <f t="shared" si="3"/>
        <v>0</v>
      </c>
      <c r="L120" s="39">
        <f t="shared" si="4"/>
        <v>0</v>
      </c>
      <c r="M120" s="38">
        <f t="shared" si="5"/>
        <v>0</v>
      </c>
      <c r="N120" s="39">
        <f t="shared" si="6"/>
        <v>0</v>
      </c>
      <c r="O120" s="40"/>
      <c r="P120" s="78"/>
      <c r="Q120" s="35"/>
      <c r="R120" s="35"/>
      <c r="S120" s="35"/>
      <c r="T120" s="35"/>
      <c r="U120" s="35"/>
      <c r="V120" s="35"/>
      <c r="W120" s="35"/>
      <c r="X120" s="35"/>
      <c r="Y120" s="35"/>
      <c r="Z120" s="35"/>
      <c r="AA120" s="35"/>
    </row>
    <row r="121" ht="14.25" customHeight="1">
      <c r="A121" s="221"/>
      <c r="B121" s="231"/>
      <c r="C121" s="233"/>
      <c r="D121" s="212"/>
      <c r="E121" s="213"/>
      <c r="F121" s="214"/>
      <c r="G121" s="214"/>
      <c r="H121" s="88"/>
      <c r="I121" s="36">
        <f t="shared" si="1"/>
        <v>0</v>
      </c>
      <c r="J121" s="37">
        <f t="shared" si="2"/>
        <v>0</v>
      </c>
      <c r="K121" s="38">
        <f t="shared" si="3"/>
        <v>0</v>
      </c>
      <c r="L121" s="39">
        <f t="shared" si="4"/>
        <v>0</v>
      </c>
      <c r="M121" s="38">
        <f t="shared" si="5"/>
        <v>0</v>
      </c>
      <c r="N121" s="39">
        <f t="shared" si="6"/>
        <v>0</v>
      </c>
      <c r="O121" s="40"/>
      <c r="P121" s="78"/>
      <c r="Q121" s="35"/>
      <c r="R121" s="35"/>
      <c r="S121" s="35"/>
      <c r="T121" s="35"/>
      <c r="U121" s="35"/>
      <c r="V121" s="35"/>
      <c r="W121" s="35"/>
      <c r="X121" s="35"/>
      <c r="Y121" s="35"/>
      <c r="Z121" s="35"/>
      <c r="AA121" s="35"/>
    </row>
    <row r="122" ht="14.25" customHeight="1">
      <c r="A122" s="221"/>
      <c r="B122" s="231"/>
      <c r="C122" s="233"/>
      <c r="D122" s="212"/>
      <c r="E122" s="213"/>
      <c r="F122" s="214"/>
      <c r="G122" s="214"/>
      <c r="H122" s="88"/>
      <c r="I122" s="36">
        <f t="shared" si="1"/>
        <v>0</v>
      </c>
      <c r="J122" s="37">
        <f t="shared" si="2"/>
        <v>0</v>
      </c>
      <c r="K122" s="38">
        <f t="shared" si="3"/>
        <v>0</v>
      </c>
      <c r="L122" s="39">
        <f t="shared" si="4"/>
        <v>0</v>
      </c>
      <c r="M122" s="38">
        <f t="shared" si="5"/>
        <v>0</v>
      </c>
      <c r="N122" s="39">
        <f t="shared" si="6"/>
        <v>0</v>
      </c>
      <c r="O122" s="40"/>
      <c r="P122" s="78"/>
      <c r="Q122" s="35"/>
      <c r="R122" s="35"/>
      <c r="S122" s="35"/>
      <c r="T122" s="35"/>
      <c r="U122" s="35"/>
      <c r="V122" s="35"/>
      <c r="W122" s="35"/>
      <c r="X122" s="35"/>
      <c r="Y122" s="35"/>
      <c r="Z122" s="35"/>
      <c r="AA122" s="35"/>
    </row>
    <row r="123" ht="14.25" customHeight="1">
      <c r="A123" s="221"/>
      <c r="B123" s="231"/>
      <c r="C123" s="233"/>
      <c r="D123" s="212"/>
      <c r="E123" s="213"/>
      <c r="F123" s="214"/>
      <c r="G123" s="214"/>
      <c r="H123" s="88"/>
      <c r="I123" s="36">
        <f t="shared" si="1"/>
        <v>0</v>
      </c>
      <c r="J123" s="37">
        <f t="shared" si="2"/>
        <v>0</v>
      </c>
      <c r="K123" s="38">
        <f t="shared" si="3"/>
        <v>0</v>
      </c>
      <c r="L123" s="39">
        <f t="shared" si="4"/>
        <v>0</v>
      </c>
      <c r="M123" s="38">
        <f t="shared" si="5"/>
        <v>0</v>
      </c>
      <c r="N123" s="39">
        <f t="shared" si="6"/>
        <v>0</v>
      </c>
      <c r="O123" s="40"/>
      <c r="P123" s="78"/>
      <c r="Q123" s="35"/>
      <c r="R123" s="35"/>
      <c r="S123" s="35"/>
      <c r="T123" s="35"/>
      <c r="U123" s="35"/>
      <c r="V123" s="35"/>
      <c r="W123" s="35"/>
      <c r="X123" s="35"/>
      <c r="Y123" s="35"/>
      <c r="Z123" s="35"/>
      <c r="AA123" s="35"/>
    </row>
    <row r="124" ht="14.25" customHeight="1">
      <c r="A124" s="221"/>
      <c r="B124" s="231"/>
      <c r="C124" s="233"/>
      <c r="D124" s="212"/>
      <c r="E124" s="213"/>
      <c r="F124" s="214"/>
      <c r="G124" s="214"/>
      <c r="H124" s="88"/>
      <c r="I124" s="36">
        <f t="shared" si="1"/>
        <v>0</v>
      </c>
      <c r="J124" s="37">
        <f t="shared" si="2"/>
        <v>0</v>
      </c>
      <c r="K124" s="38">
        <f t="shared" si="3"/>
        <v>0</v>
      </c>
      <c r="L124" s="39">
        <f t="shared" si="4"/>
        <v>0</v>
      </c>
      <c r="M124" s="38">
        <f t="shared" si="5"/>
        <v>0</v>
      </c>
      <c r="N124" s="39">
        <f t="shared" si="6"/>
        <v>0</v>
      </c>
      <c r="O124" s="40"/>
      <c r="P124" s="78"/>
      <c r="Q124" s="35"/>
      <c r="R124" s="35"/>
      <c r="S124" s="35"/>
      <c r="T124" s="35"/>
      <c r="U124" s="35"/>
      <c r="V124" s="35"/>
      <c r="W124" s="35"/>
      <c r="X124" s="35"/>
      <c r="Y124" s="35"/>
      <c r="Z124" s="35"/>
      <c r="AA124" s="35"/>
    </row>
    <row r="125" ht="14.25" customHeight="1">
      <c r="A125" s="221"/>
      <c r="B125" s="231"/>
      <c r="C125" s="233"/>
      <c r="D125" s="212"/>
      <c r="E125" s="213"/>
      <c r="F125" s="214"/>
      <c r="G125" s="214"/>
      <c r="H125" s="88"/>
      <c r="I125" s="36">
        <f t="shared" si="1"/>
        <v>0</v>
      </c>
      <c r="J125" s="37">
        <f t="shared" si="2"/>
        <v>0</v>
      </c>
      <c r="K125" s="38">
        <f t="shared" si="3"/>
        <v>0</v>
      </c>
      <c r="L125" s="39">
        <f t="shared" si="4"/>
        <v>0</v>
      </c>
      <c r="M125" s="38">
        <f t="shared" si="5"/>
        <v>0</v>
      </c>
      <c r="N125" s="39">
        <f t="shared" si="6"/>
        <v>0</v>
      </c>
      <c r="O125" s="40"/>
      <c r="P125" s="78"/>
      <c r="Q125" s="35"/>
      <c r="R125" s="35"/>
      <c r="S125" s="35"/>
      <c r="T125" s="35"/>
      <c r="U125" s="35"/>
      <c r="V125" s="35"/>
      <c r="W125" s="35"/>
      <c r="X125" s="35"/>
      <c r="Y125" s="35"/>
      <c r="Z125" s="35"/>
      <c r="AA125" s="35"/>
    </row>
    <row r="126" ht="14.25" customHeight="1">
      <c r="A126" s="221"/>
      <c r="B126" s="231"/>
      <c r="C126" s="233"/>
      <c r="D126" s="212"/>
      <c r="E126" s="213"/>
      <c r="F126" s="214"/>
      <c r="G126" s="214"/>
      <c r="H126" s="88"/>
      <c r="I126" s="36">
        <f t="shared" si="1"/>
        <v>0</v>
      </c>
      <c r="J126" s="37">
        <f t="shared" si="2"/>
        <v>0</v>
      </c>
      <c r="K126" s="38">
        <f t="shared" si="3"/>
        <v>0</v>
      </c>
      <c r="L126" s="39">
        <f t="shared" si="4"/>
        <v>0</v>
      </c>
      <c r="M126" s="38">
        <f t="shared" si="5"/>
        <v>0</v>
      </c>
      <c r="N126" s="39">
        <f t="shared" si="6"/>
        <v>0</v>
      </c>
      <c r="O126" s="40"/>
      <c r="P126" s="78"/>
      <c r="Q126" s="35"/>
      <c r="R126" s="35"/>
      <c r="S126" s="35"/>
      <c r="T126" s="35"/>
      <c r="U126" s="35"/>
      <c r="V126" s="35"/>
      <c r="W126" s="35"/>
      <c r="X126" s="35"/>
      <c r="Y126" s="35"/>
      <c r="Z126" s="35"/>
      <c r="AA126" s="35"/>
    </row>
    <row r="127" ht="14.25" customHeight="1">
      <c r="A127" s="221"/>
      <c r="B127" s="231"/>
      <c r="C127" s="233"/>
      <c r="D127" s="212"/>
      <c r="E127" s="213"/>
      <c r="F127" s="214"/>
      <c r="G127" s="214"/>
      <c r="H127" s="88"/>
      <c r="I127" s="36">
        <f t="shared" si="1"/>
        <v>0</v>
      </c>
      <c r="J127" s="37">
        <f t="shared" si="2"/>
        <v>0</v>
      </c>
      <c r="K127" s="38">
        <f t="shared" si="3"/>
        <v>0</v>
      </c>
      <c r="L127" s="39">
        <f t="shared" si="4"/>
        <v>0</v>
      </c>
      <c r="M127" s="38">
        <f t="shared" si="5"/>
        <v>0</v>
      </c>
      <c r="N127" s="39">
        <f t="shared" si="6"/>
        <v>0</v>
      </c>
      <c r="O127" s="40"/>
      <c r="P127" s="78"/>
      <c r="Q127" s="35"/>
      <c r="R127" s="35"/>
      <c r="S127" s="35"/>
      <c r="T127" s="35"/>
      <c r="U127" s="35"/>
      <c r="V127" s="35"/>
      <c r="W127" s="35"/>
      <c r="X127" s="35"/>
      <c r="Y127" s="35"/>
      <c r="Z127" s="35"/>
      <c r="AA127" s="35"/>
    </row>
    <row r="128" ht="14.25" customHeight="1">
      <c r="A128" s="221"/>
      <c r="B128" s="231"/>
      <c r="C128" s="233"/>
      <c r="D128" s="212"/>
      <c r="E128" s="213"/>
      <c r="F128" s="214"/>
      <c r="G128" s="214"/>
      <c r="H128" s="88"/>
      <c r="I128" s="36">
        <f t="shared" si="1"/>
        <v>0</v>
      </c>
      <c r="J128" s="37">
        <f t="shared" si="2"/>
        <v>0</v>
      </c>
      <c r="K128" s="38">
        <f t="shared" si="3"/>
        <v>0</v>
      </c>
      <c r="L128" s="39">
        <f t="shared" si="4"/>
        <v>0</v>
      </c>
      <c r="M128" s="38">
        <f t="shared" si="5"/>
        <v>0</v>
      </c>
      <c r="N128" s="39">
        <f t="shared" si="6"/>
        <v>0</v>
      </c>
      <c r="O128" s="40"/>
      <c r="P128" s="78"/>
      <c r="Q128" s="35"/>
      <c r="R128" s="35"/>
      <c r="S128" s="35"/>
      <c r="T128" s="35"/>
      <c r="U128" s="35"/>
      <c r="V128" s="35"/>
      <c r="W128" s="35"/>
      <c r="X128" s="35"/>
      <c r="Y128" s="35"/>
      <c r="Z128" s="35"/>
      <c r="AA128" s="35"/>
    </row>
    <row r="129" ht="14.25" customHeight="1">
      <c r="A129" s="221"/>
      <c r="B129" s="231"/>
      <c r="C129" s="233"/>
      <c r="D129" s="212"/>
      <c r="E129" s="213"/>
      <c r="F129" s="214"/>
      <c r="G129" s="214"/>
      <c r="H129" s="88"/>
      <c r="I129" s="36">
        <f t="shared" si="1"/>
        <v>0</v>
      </c>
      <c r="J129" s="37">
        <f t="shared" si="2"/>
        <v>0</v>
      </c>
      <c r="K129" s="38">
        <f t="shared" si="3"/>
        <v>0</v>
      </c>
      <c r="L129" s="39">
        <f t="shared" si="4"/>
        <v>0</v>
      </c>
      <c r="M129" s="38">
        <f t="shared" si="5"/>
        <v>0</v>
      </c>
      <c r="N129" s="39">
        <f t="shared" si="6"/>
        <v>0</v>
      </c>
      <c r="O129" s="40"/>
      <c r="P129" s="78"/>
      <c r="Q129" s="35"/>
      <c r="R129" s="35"/>
      <c r="S129" s="35"/>
      <c r="T129" s="35"/>
      <c r="U129" s="35"/>
      <c r="V129" s="35"/>
      <c r="W129" s="35"/>
      <c r="X129" s="35"/>
      <c r="Y129" s="35"/>
      <c r="Z129" s="35"/>
      <c r="AA129" s="35"/>
    </row>
    <row r="130" ht="14.25" customHeight="1">
      <c r="A130" s="221"/>
      <c r="B130" s="231"/>
      <c r="C130" s="233"/>
      <c r="D130" s="212"/>
      <c r="E130" s="213"/>
      <c r="F130" s="214"/>
      <c r="G130" s="214"/>
      <c r="H130" s="88"/>
      <c r="I130" s="36">
        <f t="shared" si="1"/>
        <v>0</v>
      </c>
      <c r="J130" s="37">
        <f t="shared" si="2"/>
        <v>0</v>
      </c>
      <c r="K130" s="38">
        <f t="shared" si="3"/>
        <v>0</v>
      </c>
      <c r="L130" s="39">
        <f t="shared" si="4"/>
        <v>0</v>
      </c>
      <c r="M130" s="38">
        <f t="shared" si="5"/>
        <v>0</v>
      </c>
      <c r="N130" s="39">
        <f t="shared" si="6"/>
        <v>0</v>
      </c>
      <c r="O130" s="40"/>
      <c r="P130" s="78"/>
      <c r="Q130" s="35"/>
      <c r="R130" s="35"/>
      <c r="S130" s="35"/>
      <c r="T130" s="35"/>
      <c r="U130" s="35"/>
      <c r="V130" s="35"/>
      <c r="W130" s="35"/>
      <c r="X130" s="35"/>
      <c r="Y130" s="35"/>
      <c r="Z130" s="35"/>
      <c r="AA130" s="35"/>
    </row>
    <row r="131" ht="14.25" customHeight="1">
      <c r="A131" s="221"/>
      <c r="B131" s="231"/>
      <c r="C131" s="233"/>
      <c r="D131" s="212"/>
      <c r="E131" s="213"/>
      <c r="F131" s="214"/>
      <c r="G131" s="214"/>
      <c r="H131" s="88"/>
      <c r="I131" s="36">
        <f t="shared" si="1"/>
        <v>0</v>
      </c>
      <c r="J131" s="37">
        <f t="shared" si="2"/>
        <v>0</v>
      </c>
      <c r="K131" s="38">
        <f t="shared" si="3"/>
        <v>0</v>
      </c>
      <c r="L131" s="39">
        <f t="shared" si="4"/>
        <v>0</v>
      </c>
      <c r="M131" s="38">
        <f t="shared" si="5"/>
        <v>0</v>
      </c>
      <c r="N131" s="39">
        <f t="shared" si="6"/>
        <v>0</v>
      </c>
      <c r="O131" s="40"/>
      <c r="P131" s="78"/>
      <c r="Q131" s="35"/>
      <c r="R131" s="35"/>
      <c r="S131" s="35"/>
      <c r="T131" s="35"/>
      <c r="U131" s="35"/>
      <c r="V131" s="35"/>
      <c r="W131" s="35"/>
      <c r="X131" s="35"/>
      <c r="Y131" s="35"/>
      <c r="Z131" s="35"/>
      <c r="AA131" s="35"/>
    </row>
    <row r="132" ht="14.25" customHeight="1">
      <c r="A132" s="221"/>
      <c r="B132" s="231"/>
      <c r="C132" s="233"/>
      <c r="D132" s="212"/>
      <c r="E132" s="213"/>
      <c r="F132" s="214"/>
      <c r="G132" s="214"/>
      <c r="H132" s="88"/>
      <c r="I132" s="36">
        <f t="shared" si="1"/>
        <v>0</v>
      </c>
      <c r="J132" s="37">
        <f t="shared" si="2"/>
        <v>0</v>
      </c>
      <c r="K132" s="38">
        <f t="shared" si="3"/>
        <v>0</v>
      </c>
      <c r="L132" s="39">
        <f t="shared" si="4"/>
        <v>0</v>
      </c>
      <c r="M132" s="38">
        <f t="shared" si="5"/>
        <v>0</v>
      </c>
      <c r="N132" s="39">
        <f t="shared" si="6"/>
        <v>0</v>
      </c>
      <c r="O132" s="40"/>
      <c r="P132" s="78"/>
      <c r="Q132" s="35"/>
      <c r="R132" s="35"/>
      <c r="S132" s="35"/>
      <c r="T132" s="35"/>
      <c r="U132" s="35"/>
      <c r="V132" s="35"/>
      <c r="W132" s="35"/>
      <c r="X132" s="35"/>
      <c r="Y132" s="35"/>
      <c r="Z132" s="35"/>
      <c r="AA132" s="35"/>
    </row>
    <row r="133" ht="14.25" customHeight="1">
      <c r="A133" s="221"/>
      <c r="B133" s="231"/>
      <c r="C133" s="233"/>
      <c r="D133" s="212"/>
      <c r="E133" s="213"/>
      <c r="F133" s="214"/>
      <c r="G133" s="214"/>
      <c r="H133" s="88"/>
      <c r="I133" s="36">
        <f t="shared" si="1"/>
        <v>0</v>
      </c>
      <c r="J133" s="37">
        <f t="shared" si="2"/>
        <v>0</v>
      </c>
      <c r="K133" s="38">
        <f t="shared" si="3"/>
        <v>0</v>
      </c>
      <c r="L133" s="39">
        <f t="shared" si="4"/>
        <v>0</v>
      </c>
      <c r="M133" s="38">
        <f t="shared" si="5"/>
        <v>0</v>
      </c>
      <c r="N133" s="39">
        <f t="shared" si="6"/>
        <v>0</v>
      </c>
      <c r="O133" s="40"/>
      <c r="P133" s="78"/>
      <c r="Q133" s="35"/>
      <c r="R133" s="35"/>
      <c r="S133" s="35"/>
      <c r="T133" s="35"/>
      <c r="U133" s="35"/>
      <c r="V133" s="35"/>
      <c r="W133" s="35"/>
      <c r="X133" s="35"/>
      <c r="Y133" s="35"/>
      <c r="Z133" s="35"/>
      <c r="AA133" s="35"/>
    </row>
    <row r="134" ht="14.25" customHeight="1">
      <c r="A134" s="221"/>
      <c r="B134" s="231"/>
      <c r="C134" s="233"/>
      <c r="D134" s="212"/>
      <c r="E134" s="213"/>
      <c r="F134" s="214"/>
      <c r="G134" s="214"/>
      <c r="H134" s="88"/>
      <c r="I134" s="36">
        <f t="shared" si="1"/>
        <v>0</v>
      </c>
      <c r="J134" s="37">
        <f t="shared" si="2"/>
        <v>0</v>
      </c>
      <c r="K134" s="38">
        <f t="shared" si="3"/>
        <v>0</v>
      </c>
      <c r="L134" s="39">
        <f t="shared" si="4"/>
        <v>0</v>
      </c>
      <c r="M134" s="38">
        <f t="shared" si="5"/>
        <v>0</v>
      </c>
      <c r="N134" s="39">
        <f t="shared" si="6"/>
        <v>0</v>
      </c>
      <c r="O134" s="40"/>
      <c r="P134" s="78"/>
      <c r="Q134" s="35"/>
      <c r="R134" s="35"/>
      <c r="S134" s="35"/>
      <c r="T134" s="35"/>
      <c r="U134" s="35"/>
      <c r="V134" s="35"/>
      <c r="W134" s="35"/>
      <c r="X134" s="35"/>
      <c r="Y134" s="35"/>
      <c r="Z134" s="35"/>
      <c r="AA134" s="35"/>
    </row>
    <row r="135" ht="14.25" customHeight="1">
      <c r="A135" s="221"/>
      <c r="B135" s="231"/>
      <c r="C135" s="233"/>
      <c r="D135" s="212"/>
      <c r="E135" s="213"/>
      <c r="F135" s="214"/>
      <c r="G135" s="214"/>
      <c r="H135" s="88"/>
      <c r="I135" s="36">
        <f t="shared" si="1"/>
        <v>0</v>
      </c>
      <c r="J135" s="37">
        <f t="shared" si="2"/>
        <v>0</v>
      </c>
      <c r="K135" s="38">
        <f t="shared" si="3"/>
        <v>0</v>
      </c>
      <c r="L135" s="39">
        <f t="shared" si="4"/>
        <v>0</v>
      </c>
      <c r="M135" s="38">
        <f t="shared" si="5"/>
        <v>0</v>
      </c>
      <c r="N135" s="39">
        <f t="shared" si="6"/>
        <v>0</v>
      </c>
      <c r="O135" s="40"/>
      <c r="P135" s="78"/>
      <c r="Q135" s="35"/>
      <c r="R135" s="35"/>
      <c r="S135" s="35"/>
      <c r="T135" s="35"/>
      <c r="U135" s="35"/>
      <c r="V135" s="35"/>
      <c r="W135" s="35"/>
      <c r="X135" s="35"/>
      <c r="Y135" s="35"/>
      <c r="Z135" s="35"/>
      <c r="AA135" s="35"/>
    </row>
    <row r="136" ht="14.25" customHeight="1">
      <c r="A136" s="221"/>
      <c r="B136" s="231"/>
      <c r="C136" s="233"/>
      <c r="D136" s="212"/>
      <c r="E136" s="213"/>
      <c r="F136" s="214"/>
      <c r="G136" s="214"/>
      <c r="H136" s="88"/>
      <c r="I136" s="36">
        <f t="shared" si="1"/>
        <v>0</v>
      </c>
      <c r="J136" s="37">
        <f t="shared" si="2"/>
        <v>0</v>
      </c>
      <c r="K136" s="38">
        <f t="shared" si="3"/>
        <v>0</v>
      </c>
      <c r="L136" s="39">
        <f t="shared" si="4"/>
        <v>0</v>
      </c>
      <c r="M136" s="38">
        <f t="shared" si="5"/>
        <v>0</v>
      </c>
      <c r="N136" s="39">
        <f t="shared" si="6"/>
        <v>0</v>
      </c>
      <c r="O136" s="40"/>
      <c r="P136" s="78"/>
      <c r="Q136" s="35"/>
      <c r="R136" s="35"/>
      <c r="S136" s="35"/>
      <c r="T136" s="35"/>
      <c r="U136" s="35"/>
      <c r="V136" s="35"/>
      <c r="W136" s="35"/>
      <c r="X136" s="35"/>
      <c r="Y136" s="35"/>
      <c r="Z136" s="35"/>
      <c r="AA136" s="35"/>
    </row>
    <row r="137" ht="14.25" customHeight="1">
      <c r="A137" s="221"/>
      <c r="B137" s="231"/>
      <c r="C137" s="233"/>
      <c r="D137" s="212"/>
      <c r="E137" s="213"/>
      <c r="F137" s="214"/>
      <c r="G137" s="214"/>
      <c r="H137" s="88"/>
      <c r="I137" s="36">
        <f t="shared" si="1"/>
        <v>0</v>
      </c>
      <c r="J137" s="37">
        <f t="shared" si="2"/>
        <v>0</v>
      </c>
      <c r="K137" s="38">
        <f t="shared" si="3"/>
        <v>0</v>
      </c>
      <c r="L137" s="39">
        <f t="shared" si="4"/>
        <v>0</v>
      </c>
      <c r="M137" s="38">
        <f t="shared" si="5"/>
        <v>0</v>
      </c>
      <c r="N137" s="39">
        <f t="shared" si="6"/>
        <v>0</v>
      </c>
      <c r="O137" s="40"/>
      <c r="P137" s="78"/>
      <c r="Q137" s="35"/>
      <c r="R137" s="35"/>
      <c r="S137" s="35"/>
      <c r="T137" s="35"/>
      <c r="U137" s="35"/>
      <c r="V137" s="35"/>
      <c r="W137" s="35"/>
      <c r="X137" s="35"/>
      <c r="Y137" s="35"/>
      <c r="Z137" s="35"/>
      <c r="AA137" s="35"/>
    </row>
    <row r="138" ht="14.25" customHeight="1">
      <c r="A138" s="221"/>
      <c r="B138" s="231"/>
      <c r="C138" s="233"/>
      <c r="D138" s="212"/>
      <c r="E138" s="213"/>
      <c r="F138" s="214"/>
      <c r="G138" s="214"/>
      <c r="H138" s="88"/>
      <c r="I138" s="36">
        <f t="shared" si="1"/>
        <v>0</v>
      </c>
      <c r="J138" s="37">
        <f t="shared" si="2"/>
        <v>0</v>
      </c>
      <c r="K138" s="38">
        <f t="shared" si="3"/>
        <v>0</v>
      </c>
      <c r="L138" s="39">
        <f t="shared" si="4"/>
        <v>0</v>
      </c>
      <c r="M138" s="38">
        <f t="shared" si="5"/>
        <v>0</v>
      </c>
      <c r="N138" s="39">
        <f t="shared" si="6"/>
        <v>0</v>
      </c>
      <c r="O138" s="40"/>
      <c r="P138" s="34"/>
      <c r="Q138" s="35"/>
      <c r="R138" s="35"/>
      <c r="S138" s="35"/>
      <c r="T138" s="35"/>
      <c r="U138" s="35"/>
      <c r="V138" s="35"/>
      <c r="W138" s="35"/>
      <c r="X138" s="35"/>
      <c r="Y138" s="35"/>
      <c r="Z138" s="35"/>
      <c r="AA138" s="35"/>
    </row>
    <row r="139" ht="14.25" customHeight="1">
      <c r="A139" s="221"/>
      <c r="B139" s="231"/>
      <c r="C139" s="233"/>
      <c r="D139" s="212"/>
      <c r="E139" s="213"/>
      <c r="F139" s="214"/>
      <c r="G139" s="214"/>
      <c r="H139" s="88"/>
      <c r="I139" s="36">
        <f t="shared" si="1"/>
        <v>0</v>
      </c>
      <c r="J139" s="37">
        <f t="shared" si="2"/>
        <v>0</v>
      </c>
      <c r="K139" s="38">
        <f t="shared" si="3"/>
        <v>0</v>
      </c>
      <c r="L139" s="39">
        <f t="shared" si="4"/>
        <v>0</v>
      </c>
      <c r="M139" s="38">
        <f t="shared" si="5"/>
        <v>0</v>
      </c>
      <c r="N139" s="39">
        <f t="shared" si="6"/>
        <v>0</v>
      </c>
      <c r="O139" s="40"/>
      <c r="P139" s="34"/>
      <c r="Q139" s="35"/>
      <c r="R139" s="35"/>
      <c r="S139" s="35"/>
      <c r="T139" s="35"/>
      <c r="U139" s="35"/>
      <c r="V139" s="35"/>
      <c r="W139" s="35"/>
      <c r="X139" s="35"/>
      <c r="Y139" s="35"/>
      <c r="Z139" s="35"/>
      <c r="AA139" s="35"/>
    </row>
    <row r="140" ht="14.25" customHeight="1">
      <c r="A140" s="221"/>
      <c r="B140" s="231"/>
      <c r="C140" s="233"/>
      <c r="D140" s="212"/>
      <c r="E140" s="213"/>
      <c r="F140" s="214"/>
      <c r="G140" s="214"/>
      <c r="H140" s="88"/>
      <c r="I140" s="36">
        <f t="shared" si="1"/>
        <v>0</v>
      </c>
      <c r="J140" s="37">
        <f t="shared" si="2"/>
        <v>0</v>
      </c>
      <c r="K140" s="38">
        <f t="shared" si="3"/>
        <v>0</v>
      </c>
      <c r="L140" s="39">
        <f t="shared" si="4"/>
        <v>0</v>
      </c>
      <c r="M140" s="38">
        <f t="shared" si="5"/>
        <v>0</v>
      </c>
      <c r="N140" s="39">
        <f t="shared" si="6"/>
        <v>0</v>
      </c>
      <c r="O140" s="40"/>
      <c r="P140" s="34"/>
      <c r="Q140" s="35"/>
      <c r="R140" s="35"/>
      <c r="S140" s="35"/>
      <c r="T140" s="35"/>
      <c r="U140" s="35"/>
      <c r="V140" s="35"/>
      <c r="W140" s="35"/>
      <c r="X140" s="35"/>
      <c r="Y140" s="35"/>
      <c r="Z140" s="35"/>
      <c r="AA140" s="35"/>
    </row>
    <row r="141" ht="14.25" customHeight="1">
      <c r="A141" s="221"/>
      <c r="B141" s="231"/>
      <c r="C141" s="233"/>
      <c r="D141" s="212"/>
      <c r="E141" s="213"/>
      <c r="F141" s="214"/>
      <c r="G141" s="214"/>
      <c r="H141" s="88"/>
      <c r="I141" s="36">
        <f t="shared" si="1"/>
        <v>0</v>
      </c>
      <c r="J141" s="37">
        <f t="shared" si="2"/>
        <v>0</v>
      </c>
      <c r="K141" s="38">
        <f t="shared" si="3"/>
        <v>0</v>
      </c>
      <c r="L141" s="39">
        <f t="shared" si="4"/>
        <v>0</v>
      </c>
      <c r="M141" s="38">
        <f t="shared" si="5"/>
        <v>0</v>
      </c>
      <c r="N141" s="39">
        <f t="shared" si="6"/>
        <v>0</v>
      </c>
      <c r="O141" s="40"/>
      <c r="P141" s="34"/>
      <c r="Q141" s="35"/>
      <c r="R141" s="35"/>
      <c r="S141" s="35"/>
      <c r="T141" s="35"/>
      <c r="U141" s="35"/>
      <c r="V141" s="35"/>
      <c r="W141" s="35"/>
      <c r="X141" s="35"/>
      <c r="Y141" s="35"/>
      <c r="Z141" s="35"/>
      <c r="AA141" s="35"/>
    </row>
    <row r="142" ht="14.25" customHeight="1">
      <c r="A142" s="221"/>
      <c r="B142" s="231"/>
      <c r="C142" s="233"/>
      <c r="D142" s="212"/>
      <c r="E142" s="213"/>
      <c r="F142" s="214"/>
      <c r="G142" s="214"/>
      <c r="H142" s="88"/>
      <c r="I142" s="36">
        <f t="shared" si="1"/>
        <v>0</v>
      </c>
      <c r="J142" s="37">
        <f t="shared" si="2"/>
        <v>0</v>
      </c>
      <c r="K142" s="38">
        <f t="shared" si="3"/>
        <v>0</v>
      </c>
      <c r="L142" s="39">
        <f t="shared" si="4"/>
        <v>0</v>
      </c>
      <c r="M142" s="38">
        <f t="shared" si="5"/>
        <v>0</v>
      </c>
      <c r="N142" s="39">
        <f t="shared" si="6"/>
        <v>0</v>
      </c>
      <c r="O142" s="40"/>
      <c r="P142" s="34"/>
      <c r="Q142" s="35"/>
      <c r="R142" s="35"/>
      <c r="S142" s="35"/>
      <c r="T142" s="35"/>
      <c r="U142" s="35"/>
      <c r="V142" s="35"/>
      <c r="W142" s="35"/>
      <c r="X142" s="35"/>
      <c r="Y142" s="35"/>
      <c r="Z142" s="35"/>
      <c r="AA142" s="35"/>
    </row>
    <row r="143" ht="14.25" customHeight="1">
      <c r="A143" s="221"/>
      <c r="B143" s="231"/>
      <c r="C143" s="233"/>
      <c r="D143" s="212"/>
      <c r="E143" s="213"/>
      <c r="F143" s="214"/>
      <c r="G143" s="214"/>
      <c r="H143" s="88"/>
      <c r="I143" s="36">
        <f t="shared" si="1"/>
        <v>0</v>
      </c>
      <c r="J143" s="37">
        <f t="shared" si="2"/>
        <v>0</v>
      </c>
      <c r="K143" s="38">
        <f t="shared" si="3"/>
        <v>0</v>
      </c>
      <c r="L143" s="39">
        <f t="shared" si="4"/>
        <v>0</v>
      </c>
      <c r="M143" s="38">
        <f t="shared" si="5"/>
        <v>0</v>
      </c>
      <c r="N143" s="39">
        <f t="shared" si="6"/>
        <v>0</v>
      </c>
      <c r="O143" s="40"/>
      <c r="P143" s="34"/>
      <c r="Q143" s="35"/>
      <c r="R143" s="35"/>
      <c r="S143" s="35"/>
      <c r="T143" s="35"/>
      <c r="U143" s="35"/>
      <c r="V143" s="35"/>
      <c r="W143" s="35"/>
      <c r="X143" s="35"/>
      <c r="Y143" s="35"/>
      <c r="Z143" s="35"/>
      <c r="AA143" s="35"/>
    </row>
    <row r="144" ht="14.25" customHeight="1">
      <c r="A144" s="221"/>
      <c r="B144" s="231"/>
      <c r="C144" s="233"/>
      <c r="D144" s="212"/>
      <c r="E144" s="213"/>
      <c r="F144" s="214"/>
      <c r="G144" s="214"/>
      <c r="H144" s="88"/>
      <c r="I144" s="36">
        <f t="shared" si="1"/>
        <v>0</v>
      </c>
      <c r="J144" s="37">
        <f t="shared" si="2"/>
        <v>0</v>
      </c>
      <c r="K144" s="38">
        <f t="shared" si="3"/>
        <v>0</v>
      </c>
      <c r="L144" s="39">
        <f t="shared" si="4"/>
        <v>0</v>
      </c>
      <c r="M144" s="38">
        <f t="shared" si="5"/>
        <v>0</v>
      </c>
      <c r="N144" s="39">
        <f t="shared" si="6"/>
        <v>0</v>
      </c>
      <c r="O144" s="40"/>
      <c r="P144" s="78"/>
      <c r="Q144" s="35"/>
      <c r="R144" s="35"/>
      <c r="S144" s="35"/>
      <c r="T144" s="35"/>
      <c r="U144" s="35"/>
      <c r="V144" s="35"/>
      <c r="W144" s="35"/>
      <c r="X144" s="35"/>
      <c r="Y144" s="35"/>
      <c r="Z144" s="35"/>
      <c r="AA144" s="35"/>
    </row>
    <row r="145" ht="14.25" customHeight="1">
      <c r="A145" s="221"/>
      <c r="B145" s="231"/>
      <c r="C145" s="233"/>
      <c r="D145" s="212"/>
      <c r="E145" s="213"/>
      <c r="F145" s="214"/>
      <c r="G145" s="214"/>
      <c r="H145" s="88"/>
      <c r="I145" s="36">
        <f t="shared" si="1"/>
        <v>0</v>
      </c>
      <c r="J145" s="37">
        <f t="shared" si="2"/>
        <v>0</v>
      </c>
      <c r="K145" s="38">
        <f t="shared" si="3"/>
        <v>0</v>
      </c>
      <c r="L145" s="39">
        <f t="shared" si="4"/>
        <v>0</v>
      </c>
      <c r="M145" s="38">
        <f t="shared" si="5"/>
        <v>0</v>
      </c>
      <c r="N145" s="39">
        <f t="shared" si="6"/>
        <v>0</v>
      </c>
      <c r="O145" s="40"/>
      <c r="P145" s="78"/>
      <c r="Q145" s="35"/>
      <c r="R145" s="35"/>
      <c r="S145" s="35"/>
      <c r="T145" s="35"/>
      <c r="U145" s="35"/>
      <c r="V145" s="35"/>
      <c r="W145" s="35"/>
      <c r="X145" s="35"/>
      <c r="Y145" s="35"/>
      <c r="Z145" s="35"/>
      <c r="AA145" s="35"/>
    </row>
    <row r="146" ht="14.25" customHeight="1">
      <c r="A146" s="221"/>
      <c r="B146" s="231"/>
      <c r="C146" s="233"/>
      <c r="D146" s="212"/>
      <c r="E146" s="213"/>
      <c r="F146" s="214"/>
      <c r="G146" s="214"/>
      <c r="H146" s="88"/>
      <c r="I146" s="36">
        <f t="shared" si="1"/>
        <v>0</v>
      </c>
      <c r="J146" s="37">
        <f t="shared" si="2"/>
        <v>0</v>
      </c>
      <c r="K146" s="38">
        <f t="shared" si="3"/>
        <v>0</v>
      </c>
      <c r="L146" s="39">
        <f t="shared" si="4"/>
        <v>0</v>
      </c>
      <c r="M146" s="38">
        <f t="shared" si="5"/>
        <v>0</v>
      </c>
      <c r="N146" s="39">
        <f t="shared" si="6"/>
        <v>0</v>
      </c>
      <c r="O146" s="40"/>
      <c r="P146" s="78"/>
      <c r="Q146" s="35"/>
      <c r="R146" s="35"/>
      <c r="S146" s="35"/>
      <c r="T146" s="35"/>
      <c r="U146" s="35"/>
      <c r="V146" s="35"/>
      <c r="W146" s="35"/>
      <c r="X146" s="35"/>
      <c r="Y146" s="35"/>
      <c r="Z146" s="35"/>
      <c r="AA146" s="35"/>
    </row>
    <row r="147" ht="14.25" customHeight="1">
      <c r="A147" s="221"/>
      <c r="B147" s="231"/>
      <c r="C147" s="233"/>
      <c r="D147" s="212"/>
      <c r="E147" s="213"/>
      <c r="F147" s="214"/>
      <c r="G147" s="214"/>
      <c r="H147" s="88"/>
      <c r="I147" s="36">
        <f t="shared" si="1"/>
        <v>0</v>
      </c>
      <c r="J147" s="37">
        <f t="shared" si="2"/>
        <v>0</v>
      </c>
      <c r="K147" s="38">
        <f t="shared" si="3"/>
        <v>0</v>
      </c>
      <c r="L147" s="39">
        <f t="shared" si="4"/>
        <v>0</v>
      </c>
      <c r="M147" s="38">
        <f t="shared" si="5"/>
        <v>0</v>
      </c>
      <c r="N147" s="39">
        <f t="shared" si="6"/>
        <v>0</v>
      </c>
      <c r="O147" s="40"/>
      <c r="P147" s="78"/>
      <c r="Q147" s="35"/>
      <c r="R147" s="35"/>
      <c r="S147" s="35"/>
      <c r="T147" s="35"/>
      <c r="U147" s="35"/>
      <c r="V147" s="35"/>
      <c r="W147" s="35"/>
      <c r="X147" s="35"/>
      <c r="Y147" s="35"/>
      <c r="Z147" s="35"/>
      <c r="AA147" s="35"/>
    </row>
    <row r="148" ht="14.25" customHeight="1">
      <c r="A148" s="221"/>
      <c r="B148" s="231"/>
      <c r="C148" s="233"/>
      <c r="D148" s="212"/>
      <c r="E148" s="213"/>
      <c r="F148" s="214"/>
      <c r="G148" s="214"/>
      <c r="H148" s="88"/>
      <c r="I148" s="36">
        <f t="shared" si="1"/>
        <v>0</v>
      </c>
      <c r="J148" s="37">
        <f t="shared" si="2"/>
        <v>0</v>
      </c>
      <c r="K148" s="38">
        <f t="shared" si="3"/>
        <v>0</v>
      </c>
      <c r="L148" s="39">
        <f t="shared" si="4"/>
        <v>0</v>
      </c>
      <c r="M148" s="38">
        <f t="shared" si="5"/>
        <v>0</v>
      </c>
      <c r="N148" s="39">
        <f t="shared" si="6"/>
        <v>0</v>
      </c>
      <c r="O148" s="40"/>
      <c r="P148" s="78"/>
      <c r="Q148" s="35"/>
      <c r="R148" s="35"/>
      <c r="S148" s="35"/>
      <c r="T148" s="35"/>
      <c r="U148" s="35"/>
      <c r="V148" s="35"/>
      <c r="W148" s="35"/>
      <c r="X148" s="35"/>
      <c r="Y148" s="35"/>
      <c r="Z148" s="35"/>
      <c r="AA148" s="35"/>
    </row>
    <row r="149" ht="14.25" customHeight="1">
      <c r="A149" s="221"/>
      <c r="B149" s="231"/>
      <c r="C149" s="233"/>
      <c r="D149" s="212"/>
      <c r="E149" s="213"/>
      <c r="F149" s="214"/>
      <c r="G149" s="214"/>
      <c r="H149" s="88"/>
      <c r="I149" s="36">
        <f t="shared" si="1"/>
        <v>0</v>
      </c>
      <c r="J149" s="37">
        <f t="shared" si="2"/>
        <v>0</v>
      </c>
      <c r="K149" s="38">
        <f t="shared" si="3"/>
        <v>0</v>
      </c>
      <c r="L149" s="39">
        <f t="shared" si="4"/>
        <v>0</v>
      </c>
      <c r="M149" s="38">
        <f t="shared" si="5"/>
        <v>0</v>
      </c>
      <c r="N149" s="39">
        <f t="shared" si="6"/>
        <v>0</v>
      </c>
      <c r="O149" s="40"/>
      <c r="P149" s="78"/>
      <c r="Q149" s="35"/>
      <c r="R149" s="35"/>
      <c r="S149" s="35"/>
      <c r="T149" s="35"/>
      <c r="U149" s="35"/>
      <c r="V149" s="35"/>
      <c r="W149" s="35"/>
      <c r="X149" s="35"/>
      <c r="Y149" s="35"/>
      <c r="Z149" s="35"/>
      <c r="AA149" s="35"/>
    </row>
    <row r="150" ht="14.25" customHeight="1">
      <c r="A150" s="221"/>
      <c r="B150" s="231"/>
      <c r="C150" s="233"/>
      <c r="D150" s="212"/>
      <c r="E150" s="213"/>
      <c r="F150" s="214"/>
      <c r="G150" s="214"/>
      <c r="H150" s="88"/>
      <c r="I150" s="36">
        <f t="shared" si="1"/>
        <v>0</v>
      </c>
      <c r="J150" s="37">
        <f t="shared" si="2"/>
        <v>0</v>
      </c>
      <c r="K150" s="38">
        <f t="shared" si="3"/>
        <v>0</v>
      </c>
      <c r="L150" s="39">
        <f t="shared" si="4"/>
        <v>0</v>
      </c>
      <c r="M150" s="38">
        <f t="shared" si="5"/>
        <v>0</v>
      </c>
      <c r="N150" s="39">
        <f t="shared" si="6"/>
        <v>0</v>
      </c>
      <c r="O150" s="40"/>
      <c r="P150" s="78"/>
      <c r="Q150" s="35"/>
      <c r="R150" s="35"/>
      <c r="S150" s="35"/>
      <c r="T150" s="35"/>
      <c r="U150" s="35"/>
      <c r="V150" s="35"/>
      <c r="W150" s="35"/>
      <c r="X150" s="35"/>
      <c r="Y150" s="35"/>
      <c r="Z150" s="35"/>
      <c r="AA150" s="35"/>
    </row>
    <row r="151" ht="14.25" customHeight="1">
      <c r="A151" s="221"/>
      <c r="B151" s="231"/>
      <c r="C151" s="233"/>
      <c r="D151" s="212"/>
      <c r="E151" s="213"/>
      <c r="F151" s="214"/>
      <c r="G151" s="214"/>
      <c r="H151" s="88"/>
      <c r="I151" s="36">
        <f t="shared" si="1"/>
        <v>0</v>
      </c>
      <c r="J151" s="37">
        <f t="shared" si="2"/>
        <v>0</v>
      </c>
      <c r="K151" s="38">
        <f t="shared" si="3"/>
        <v>0</v>
      </c>
      <c r="L151" s="39">
        <f t="shared" si="4"/>
        <v>0</v>
      </c>
      <c r="M151" s="38">
        <f t="shared" si="5"/>
        <v>0</v>
      </c>
      <c r="N151" s="39">
        <f t="shared" si="6"/>
        <v>0</v>
      </c>
      <c r="O151" s="40"/>
      <c r="P151" s="78"/>
      <c r="Q151" s="35"/>
      <c r="R151" s="35"/>
      <c r="S151" s="35"/>
      <c r="T151" s="35"/>
      <c r="U151" s="35"/>
      <c r="V151" s="35"/>
      <c r="W151" s="35"/>
      <c r="X151" s="35"/>
      <c r="Y151" s="35"/>
      <c r="Z151" s="35"/>
      <c r="AA151" s="35"/>
    </row>
    <row r="152" ht="14.25" customHeight="1">
      <c r="A152" s="221"/>
      <c r="B152" s="231"/>
      <c r="C152" s="233"/>
      <c r="D152" s="212"/>
      <c r="E152" s="213"/>
      <c r="F152" s="214"/>
      <c r="G152" s="214"/>
      <c r="H152" s="88"/>
      <c r="I152" s="36">
        <f t="shared" si="1"/>
        <v>0</v>
      </c>
      <c r="J152" s="37">
        <f t="shared" si="2"/>
        <v>0</v>
      </c>
      <c r="K152" s="38">
        <f t="shared" si="3"/>
        <v>0</v>
      </c>
      <c r="L152" s="39">
        <f t="shared" si="4"/>
        <v>0</v>
      </c>
      <c r="M152" s="38">
        <f t="shared" si="5"/>
        <v>0</v>
      </c>
      <c r="N152" s="39">
        <f t="shared" si="6"/>
        <v>0</v>
      </c>
      <c r="O152" s="40"/>
      <c r="P152" s="78"/>
      <c r="Q152" s="35"/>
      <c r="R152" s="35"/>
      <c r="S152" s="35"/>
      <c r="T152" s="35"/>
      <c r="U152" s="35"/>
      <c r="V152" s="35"/>
      <c r="W152" s="35"/>
      <c r="X152" s="35"/>
      <c r="Y152" s="35"/>
      <c r="Z152" s="35"/>
      <c r="AA152" s="35"/>
    </row>
    <row r="153" ht="14.25" customHeight="1">
      <c r="A153" s="221"/>
      <c r="B153" s="231"/>
      <c r="C153" s="233"/>
      <c r="D153" s="212"/>
      <c r="E153" s="213"/>
      <c r="F153" s="214"/>
      <c r="G153" s="214"/>
      <c r="H153" s="88"/>
      <c r="I153" s="36">
        <f t="shared" si="1"/>
        <v>0</v>
      </c>
      <c r="J153" s="37">
        <f t="shared" si="2"/>
        <v>0</v>
      </c>
      <c r="K153" s="38">
        <f t="shared" si="3"/>
        <v>0</v>
      </c>
      <c r="L153" s="39">
        <f t="shared" si="4"/>
        <v>0</v>
      </c>
      <c r="M153" s="38">
        <f t="shared" si="5"/>
        <v>0</v>
      </c>
      <c r="N153" s="39">
        <f t="shared" si="6"/>
        <v>0</v>
      </c>
      <c r="O153" s="40"/>
      <c r="P153" s="78"/>
      <c r="Q153" s="35"/>
      <c r="R153" s="35"/>
      <c r="S153" s="35"/>
      <c r="T153" s="35"/>
      <c r="U153" s="35"/>
      <c r="V153" s="35"/>
      <c r="W153" s="35"/>
      <c r="X153" s="35"/>
      <c r="Y153" s="35"/>
      <c r="Z153" s="35"/>
      <c r="AA153" s="35"/>
    </row>
    <row r="154" ht="14.25" customHeight="1">
      <c r="A154" s="221"/>
      <c r="B154" s="231"/>
      <c r="C154" s="116"/>
      <c r="D154" s="223"/>
      <c r="E154" s="85"/>
      <c r="F154" s="107"/>
      <c r="G154" s="107"/>
      <c r="H154" s="88"/>
      <c r="I154" s="36">
        <f t="shared" si="1"/>
        <v>0</v>
      </c>
      <c r="J154" s="37">
        <f t="shared" si="2"/>
        <v>0</v>
      </c>
      <c r="K154" s="38">
        <f t="shared" si="3"/>
        <v>0</v>
      </c>
      <c r="L154" s="39">
        <f t="shared" si="4"/>
        <v>0</v>
      </c>
      <c r="M154" s="38">
        <f t="shared" si="5"/>
        <v>0</v>
      </c>
      <c r="N154" s="39">
        <f t="shared" si="6"/>
        <v>0</v>
      </c>
      <c r="O154" s="40"/>
      <c r="P154" s="78"/>
      <c r="Q154" s="35"/>
      <c r="R154" s="35"/>
      <c r="S154" s="35"/>
      <c r="T154" s="35"/>
      <c r="U154" s="35"/>
      <c r="V154" s="35"/>
      <c r="W154" s="35"/>
      <c r="X154" s="35"/>
      <c r="Y154" s="35"/>
      <c r="Z154" s="35"/>
      <c r="AA154" s="35"/>
    </row>
    <row r="155" ht="14.25" customHeight="1">
      <c r="A155" s="221"/>
      <c r="B155" s="231"/>
      <c r="C155" s="116"/>
      <c r="D155" s="223"/>
      <c r="E155" s="85"/>
      <c r="F155" s="107"/>
      <c r="G155" s="107"/>
      <c r="H155" s="88"/>
      <c r="I155" s="36">
        <f t="shared" si="1"/>
        <v>0</v>
      </c>
      <c r="J155" s="37">
        <f t="shared" si="2"/>
        <v>0</v>
      </c>
      <c r="K155" s="38">
        <f t="shared" si="3"/>
        <v>0</v>
      </c>
      <c r="L155" s="39">
        <f t="shared" si="4"/>
        <v>0</v>
      </c>
      <c r="M155" s="38">
        <f t="shared" si="5"/>
        <v>0</v>
      </c>
      <c r="N155" s="39">
        <f t="shared" si="6"/>
        <v>0</v>
      </c>
      <c r="O155" s="40"/>
      <c r="P155" s="78"/>
      <c r="Q155" s="35"/>
      <c r="R155" s="35"/>
      <c r="S155" s="35"/>
      <c r="T155" s="35"/>
      <c r="U155" s="35"/>
      <c r="V155" s="35"/>
      <c r="W155" s="35"/>
      <c r="X155" s="35"/>
      <c r="Y155" s="35"/>
      <c r="Z155" s="35"/>
      <c r="AA155" s="35"/>
    </row>
    <row r="156" ht="14.25" customHeight="1">
      <c r="A156" s="221"/>
      <c r="B156" s="231"/>
      <c r="C156" s="116"/>
      <c r="D156" s="223"/>
      <c r="E156" s="85"/>
      <c r="F156" s="107"/>
      <c r="G156" s="107"/>
      <c r="H156" s="88"/>
      <c r="I156" s="36">
        <f t="shared" si="1"/>
        <v>0</v>
      </c>
      <c r="J156" s="37">
        <f t="shared" si="2"/>
        <v>0</v>
      </c>
      <c r="K156" s="38">
        <f t="shared" si="3"/>
        <v>0</v>
      </c>
      <c r="L156" s="39">
        <f t="shared" si="4"/>
        <v>0</v>
      </c>
      <c r="M156" s="38">
        <f t="shared" si="5"/>
        <v>0</v>
      </c>
      <c r="N156" s="39">
        <f t="shared" si="6"/>
        <v>0</v>
      </c>
      <c r="O156" s="40"/>
      <c r="P156" s="78"/>
      <c r="Q156" s="35"/>
      <c r="R156" s="35"/>
      <c r="S156" s="35"/>
      <c r="T156" s="35"/>
      <c r="U156" s="35"/>
      <c r="V156" s="35"/>
      <c r="W156" s="35"/>
      <c r="X156" s="35"/>
      <c r="Y156" s="35"/>
      <c r="Z156" s="35"/>
      <c r="AA156" s="35"/>
    </row>
    <row r="157" ht="14.25" customHeight="1">
      <c r="A157" s="221"/>
      <c r="B157" s="231"/>
      <c r="C157" s="126"/>
      <c r="D157" s="223"/>
      <c r="E157" s="48"/>
      <c r="F157" s="107"/>
      <c r="G157" s="107"/>
      <c r="H157" s="88"/>
      <c r="I157" s="36">
        <f t="shared" si="1"/>
        <v>0</v>
      </c>
      <c r="J157" s="37">
        <f t="shared" si="2"/>
        <v>0</v>
      </c>
      <c r="K157" s="38">
        <f t="shared" si="3"/>
        <v>0</v>
      </c>
      <c r="L157" s="39">
        <f t="shared" si="4"/>
        <v>0</v>
      </c>
      <c r="M157" s="38">
        <f t="shared" si="5"/>
        <v>0</v>
      </c>
      <c r="N157" s="39">
        <f t="shared" si="6"/>
        <v>0</v>
      </c>
      <c r="O157" s="40"/>
      <c r="P157" s="78"/>
      <c r="Q157" s="35"/>
      <c r="R157" s="35"/>
      <c r="S157" s="35"/>
      <c r="T157" s="35"/>
      <c r="U157" s="35"/>
      <c r="V157" s="35"/>
      <c r="W157" s="35"/>
      <c r="X157" s="35"/>
      <c r="Y157" s="35"/>
      <c r="Z157" s="35"/>
      <c r="AA157" s="35"/>
    </row>
    <row r="158" ht="14.25" customHeight="1">
      <c r="A158" s="221"/>
      <c r="B158" s="231"/>
      <c r="C158" s="126"/>
      <c r="D158" s="223"/>
      <c r="E158" s="85"/>
      <c r="F158" s="107"/>
      <c r="G158" s="107"/>
      <c r="H158" s="88"/>
      <c r="I158" s="36">
        <f t="shared" si="1"/>
        <v>0</v>
      </c>
      <c r="J158" s="37">
        <f t="shared" si="2"/>
        <v>0</v>
      </c>
      <c r="K158" s="38">
        <f t="shared" si="3"/>
        <v>0</v>
      </c>
      <c r="L158" s="39">
        <f t="shared" si="4"/>
        <v>0</v>
      </c>
      <c r="M158" s="38">
        <f t="shared" si="5"/>
        <v>0</v>
      </c>
      <c r="N158" s="39">
        <f t="shared" si="6"/>
        <v>0</v>
      </c>
      <c r="O158" s="40"/>
      <c r="P158" s="78"/>
      <c r="Q158" s="35"/>
      <c r="R158" s="35"/>
      <c r="S158" s="35"/>
      <c r="T158" s="35"/>
      <c r="U158" s="35"/>
      <c r="V158" s="35"/>
      <c r="W158" s="35"/>
      <c r="X158" s="35"/>
      <c r="Y158" s="35"/>
      <c r="Z158" s="35"/>
      <c r="AA158" s="35"/>
    </row>
    <row r="159" ht="14.25" customHeight="1">
      <c r="A159" s="221"/>
      <c r="B159" s="231"/>
      <c r="C159" s="126"/>
      <c r="D159" s="223"/>
      <c r="E159" s="85"/>
      <c r="F159" s="107"/>
      <c r="G159" s="107"/>
      <c r="H159" s="88"/>
      <c r="I159" s="36">
        <f t="shared" si="1"/>
        <v>0</v>
      </c>
      <c r="J159" s="37">
        <f t="shared" si="2"/>
        <v>0</v>
      </c>
      <c r="K159" s="38">
        <f t="shared" si="3"/>
        <v>0</v>
      </c>
      <c r="L159" s="39">
        <f t="shared" si="4"/>
        <v>0</v>
      </c>
      <c r="M159" s="38">
        <f t="shared" si="5"/>
        <v>0</v>
      </c>
      <c r="N159" s="39">
        <f t="shared" si="6"/>
        <v>0</v>
      </c>
      <c r="O159" s="40"/>
      <c r="P159" s="78"/>
      <c r="Q159" s="35"/>
      <c r="R159" s="35"/>
      <c r="S159" s="35"/>
      <c r="T159" s="35"/>
      <c r="U159" s="35"/>
      <c r="V159" s="35"/>
      <c r="W159" s="35"/>
      <c r="X159" s="35"/>
      <c r="Y159" s="35"/>
      <c r="Z159" s="35"/>
      <c r="AA159" s="35"/>
    </row>
    <row r="160" ht="14.25" customHeight="1">
      <c r="A160" s="221"/>
      <c r="B160" s="231"/>
      <c r="C160" s="116"/>
      <c r="D160" s="223"/>
      <c r="E160" s="85"/>
      <c r="F160" s="107"/>
      <c r="G160" s="107"/>
      <c r="H160" s="88"/>
      <c r="I160" s="36">
        <f t="shared" si="1"/>
        <v>0</v>
      </c>
      <c r="J160" s="37">
        <f t="shared" si="2"/>
        <v>0</v>
      </c>
      <c r="K160" s="38">
        <f t="shared" si="3"/>
        <v>0</v>
      </c>
      <c r="L160" s="39">
        <f t="shared" si="4"/>
        <v>0</v>
      </c>
      <c r="M160" s="38">
        <f t="shared" si="5"/>
        <v>0</v>
      </c>
      <c r="N160" s="39">
        <f t="shared" si="6"/>
        <v>0</v>
      </c>
      <c r="O160" s="40"/>
      <c r="P160" s="78"/>
      <c r="Q160" s="35"/>
      <c r="R160" s="35"/>
      <c r="S160" s="35"/>
      <c r="T160" s="35"/>
      <c r="U160" s="35"/>
      <c r="V160" s="35"/>
      <c r="W160" s="35"/>
      <c r="X160" s="35"/>
      <c r="Y160" s="35"/>
      <c r="Z160" s="35"/>
      <c r="AA160" s="35"/>
    </row>
    <row r="161" ht="14.25" customHeight="1">
      <c r="A161" s="221"/>
      <c r="B161" s="231"/>
      <c r="C161" s="116"/>
      <c r="D161" s="223"/>
      <c r="E161" s="85"/>
      <c r="F161" s="107"/>
      <c r="G161" s="107"/>
      <c r="H161" s="88"/>
      <c r="I161" s="36">
        <f t="shared" si="1"/>
        <v>0</v>
      </c>
      <c r="J161" s="37">
        <f t="shared" si="2"/>
        <v>0</v>
      </c>
      <c r="K161" s="38">
        <f t="shared" si="3"/>
        <v>0</v>
      </c>
      <c r="L161" s="39">
        <f t="shared" si="4"/>
        <v>0</v>
      </c>
      <c r="M161" s="38">
        <f t="shared" si="5"/>
        <v>0</v>
      </c>
      <c r="N161" s="39">
        <f t="shared" si="6"/>
        <v>0</v>
      </c>
      <c r="O161" s="40"/>
      <c r="P161" s="78"/>
      <c r="Q161" s="35"/>
      <c r="R161" s="35"/>
      <c r="S161" s="35"/>
      <c r="T161" s="35"/>
      <c r="U161" s="35"/>
      <c r="V161" s="35"/>
      <c r="W161" s="35"/>
      <c r="X161" s="35"/>
      <c r="Y161" s="35"/>
      <c r="Z161" s="35"/>
      <c r="AA161" s="35"/>
    </row>
    <row r="162" ht="14.25" customHeight="1">
      <c r="A162" s="221"/>
      <c r="B162" s="231"/>
      <c r="C162" s="108"/>
      <c r="D162" s="223"/>
      <c r="E162" s="42"/>
      <c r="F162" s="109"/>
      <c r="G162" s="109"/>
      <c r="H162" s="88"/>
      <c r="I162" s="36">
        <f t="shared" si="1"/>
        <v>0</v>
      </c>
      <c r="J162" s="37">
        <f t="shared" si="2"/>
        <v>0</v>
      </c>
      <c r="K162" s="38">
        <f t="shared" si="3"/>
        <v>0</v>
      </c>
      <c r="L162" s="39">
        <f t="shared" si="4"/>
        <v>0</v>
      </c>
      <c r="M162" s="38">
        <f t="shared" si="5"/>
        <v>0</v>
      </c>
      <c r="N162" s="39">
        <f t="shared" si="6"/>
        <v>0</v>
      </c>
      <c r="O162" s="40"/>
      <c r="P162" s="34"/>
      <c r="Q162" s="35"/>
      <c r="R162" s="35"/>
      <c r="S162" s="35"/>
      <c r="T162" s="35"/>
      <c r="U162" s="35"/>
      <c r="V162" s="35"/>
      <c r="W162" s="35"/>
      <c r="X162" s="35"/>
      <c r="Y162" s="35"/>
      <c r="Z162" s="35"/>
      <c r="AA162" s="35"/>
    </row>
    <row r="163" ht="14.25" customHeight="1">
      <c r="A163" s="221"/>
      <c r="B163" s="231"/>
      <c r="C163" s="106"/>
      <c r="D163" s="223"/>
      <c r="E163" s="85"/>
      <c r="F163" s="107"/>
      <c r="G163" s="107"/>
      <c r="H163" s="88"/>
      <c r="I163" s="36">
        <f t="shared" si="1"/>
        <v>0</v>
      </c>
      <c r="J163" s="37">
        <f t="shared" si="2"/>
        <v>0</v>
      </c>
      <c r="K163" s="38">
        <f t="shared" si="3"/>
        <v>0</v>
      </c>
      <c r="L163" s="39">
        <f t="shared" si="4"/>
        <v>0</v>
      </c>
      <c r="M163" s="38">
        <f t="shared" si="5"/>
        <v>0</v>
      </c>
      <c r="N163" s="39">
        <f t="shared" si="6"/>
        <v>0</v>
      </c>
      <c r="O163" s="40"/>
      <c r="P163" s="34"/>
      <c r="Q163" s="35"/>
      <c r="R163" s="35"/>
      <c r="S163" s="35"/>
      <c r="T163" s="35"/>
      <c r="U163" s="35"/>
      <c r="V163" s="35"/>
      <c r="W163" s="35"/>
      <c r="X163" s="35"/>
      <c r="Y163" s="35"/>
      <c r="Z163" s="35"/>
      <c r="AA163" s="35"/>
    </row>
    <row r="164" ht="14.25" customHeight="1">
      <c r="A164" s="221"/>
      <c r="B164" s="231"/>
      <c r="C164" s="106"/>
      <c r="D164" s="223"/>
      <c r="E164" s="85"/>
      <c r="F164" s="107"/>
      <c r="G164" s="107"/>
      <c r="H164" s="88"/>
      <c r="I164" s="36">
        <f t="shared" si="1"/>
        <v>0</v>
      </c>
      <c r="J164" s="37">
        <f t="shared" si="2"/>
        <v>0</v>
      </c>
      <c r="K164" s="38">
        <f t="shared" si="3"/>
        <v>0</v>
      </c>
      <c r="L164" s="39">
        <f t="shared" si="4"/>
        <v>0</v>
      </c>
      <c r="M164" s="38">
        <f t="shared" si="5"/>
        <v>0</v>
      </c>
      <c r="N164" s="39">
        <f t="shared" si="6"/>
        <v>0</v>
      </c>
      <c r="O164" s="40"/>
      <c r="P164" s="34"/>
      <c r="Q164" s="35"/>
      <c r="R164" s="35"/>
      <c r="S164" s="35"/>
      <c r="T164" s="35"/>
      <c r="U164" s="35"/>
      <c r="V164" s="35"/>
      <c r="W164" s="35"/>
      <c r="X164" s="35"/>
      <c r="Y164" s="35"/>
      <c r="Z164" s="35"/>
      <c r="AA164" s="35"/>
    </row>
    <row r="165" ht="14.25" customHeight="1">
      <c r="A165" s="221"/>
      <c r="B165" s="231"/>
      <c r="C165" s="106"/>
      <c r="D165" s="223"/>
      <c r="E165" s="85"/>
      <c r="F165" s="107"/>
      <c r="G165" s="107"/>
      <c r="H165" s="88"/>
      <c r="I165" s="36">
        <f t="shared" si="1"/>
        <v>0</v>
      </c>
      <c r="J165" s="37">
        <f t="shared" si="2"/>
        <v>0</v>
      </c>
      <c r="K165" s="38">
        <f t="shared" si="3"/>
        <v>0</v>
      </c>
      <c r="L165" s="39">
        <f t="shared" si="4"/>
        <v>0</v>
      </c>
      <c r="M165" s="38">
        <f t="shared" si="5"/>
        <v>0</v>
      </c>
      <c r="N165" s="39">
        <f t="shared" si="6"/>
        <v>0</v>
      </c>
      <c r="O165" s="40"/>
      <c r="P165" s="34"/>
      <c r="Q165" s="35"/>
      <c r="R165" s="35"/>
      <c r="S165" s="35"/>
      <c r="T165" s="35"/>
      <c r="U165" s="35"/>
      <c r="V165" s="35"/>
      <c r="W165" s="35"/>
      <c r="X165" s="35"/>
      <c r="Y165" s="35"/>
      <c r="Z165" s="35"/>
      <c r="AA165" s="35"/>
    </row>
    <row r="166" ht="14.25" customHeight="1">
      <c r="A166" s="221"/>
      <c r="B166" s="231"/>
      <c r="C166" s="106"/>
      <c r="D166" s="223"/>
      <c r="E166" s="85"/>
      <c r="F166" s="107"/>
      <c r="G166" s="107"/>
      <c r="H166" s="88"/>
      <c r="I166" s="36">
        <f t="shared" si="1"/>
        <v>0</v>
      </c>
      <c r="J166" s="37">
        <f t="shared" si="2"/>
        <v>0</v>
      </c>
      <c r="K166" s="38">
        <f t="shared" si="3"/>
        <v>0</v>
      </c>
      <c r="L166" s="39">
        <f t="shared" si="4"/>
        <v>0</v>
      </c>
      <c r="M166" s="38">
        <f t="shared" si="5"/>
        <v>0</v>
      </c>
      <c r="N166" s="39">
        <f t="shared" si="6"/>
        <v>0</v>
      </c>
      <c r="O166" s="40"/>
      <c r="P166" s="34"/>
      <c r="Q166" s="35"/>
      <c r="R166" s="35"/>
      <c r="S166" s="35"/>
      <c r="T166" s="35"/>
      <c r="U166" s="35"/>
      <c r="V166" s="35"/>
      <c r="W166" s="35"/>
      <c r="X166" s="35"/>
      <c r="Y166" s="35"/>
      <c r="Z166" s="35"/>
      <c r="AA166" s="35"/>
    </row>
    <row r="167" ht="14.25" customHeight="1">
      <c r="A167" s="221"/>
      <c r="B167" s="231"/>
      <c r="C167" s="106"/>
      <c r="D167" s="223"/>
      <c r="E167" s="85"/>
      <c r="F167" s="107"/>
      <c r="G167" s="107"/>
      <c r="H167" s="88"/>
      <c r="I167" s="36">
        <f t="shared" si="1"/>
        <v>0</v>
      </c>
      <c r="J167" s="37">
        <f t="shared" si="2"/>
        <v>0</v>
      </c>
      <c r="K167" s="38">
        <f t="shared" si="3"/>
        <v>0</v>
      </c>
      <c r="L167" s="39">
        <f t="shared" si="4"/>
        <v>0</v>
      </c>
      <c r="M167" s="38">
        <f t="shared" si="5"/>
        <v>0</v>
      </c>
      <c r="N167" s="39">
        <f t="shared" si="6"/>
        <v>0</v>
      </c>
      <c r="O167" s="40"/>
      <c r="P167" s="34"/>
      <c r="Q167" s="35"/>
      <c r="R167" s="35"/>
      <c r="S167" s="35"/>
      <c r="T167" s="35"/>
      <c r="U167" s="35"/>
      <c r="V167" s="35"/>
      <c r="W167" s="35"/>
      <c r="X167" s="35"/>
      <c r="Y167" s="35"/>
      <c r="Z167" s="35"/>
      <c r="AA167" s="35"/>
    </row>
    <row r="168" ht="14.25" customHeight="1">
      <c r="A168" s="221"/>
      <c r="B168" s="231"/>
      <c r="C168" s="115"/>
      <c r="D168" s="223"/>
      <c r="E168" s="105"/>
      <c r="F168" s="107"/>
      <c r="G168" s="107"/>
      <c r="H168" s="88"/>
      <c r="I168" s="36">
        <f t="shared" si="1"/>
        <v>0</v>
      </c>
      <c r="J168" s="37">
        <f t="shared" si="2"/>
        <v>0</v>
      </c>
      <c r="K168" s="38">
        <f t="shared" si="3"/>
        <v>0</v>
      </c>
      <c r="L168" s="39">
        <f t="shared" si="4"/>
        <v>0</v>
      </c>
      <c r="M168" s="38">
        <f t="shared" si="5"/>
        <v>0</v>
      </c>
      <c r="N168" s="39">
        <f t="shared" si="6"/>
        <v>0</v>
      </c>
      <c r="O168" s="40"/>
      <c r="P168" s="34"/>
      <c r="Q168" s="35"/>
      <c r="R168" s="35"/>
      <c r="S168" s="35"/>
      <c r="T168" s="35"/>
      <c r="U168" s="35"/>
      <c r="V168" s="35"/>
      <c r="W168" s="35"/>
      <c r="X168" s="35"/>
      <c r="Y168" s="35"/>
      <c r="Z168" s="35"/>
      <c r="AA168" s="35"/>
    </row>
    <row r="169" ht="14.25" customHeight="1">
      <c r="A169" s="221"/>
      <c r="B169" s="231"/>
      <c r="C169" s="106"/>
      <c r="D169" s="223"/>
      <c r="E169" s="85"/>
      <c r="F169" s="107"/>
      <c r="G169" s="107"/>
      <c r="H169" s="88"/>
      <c r="I169" s="36">
        <f t="shared" si="1"/>
        <v>0</v>
      </c>
      <c r="J169" s="37">
        <f t="shared" si="2"/>
        <v>0</v>
      </c>
      <c r="K169" s="38">
        <f t="shared" si="3"/>
        <v>0</v>
      </c>
      <c r="L169" s="39">
        <f t="shared" si="4"/>
        <v>0</v>
      </c>
      <c r="M169" s="38">
        <f t="shared" si="5"/>
        <v>0</v>
      </c>
      <c r="N169" s="39">
        <f t="shared" si="6"/>
        <v>0</v>
      </c>
      <c r="O169" s="40"/>
      <c r="P169" s="34"/>
      <c r="Q169" s="35"/>
      <c r="R169" s="35"/>
      <c r="S169" s="35"/>
      <c r="T169" s="35"/>
      <c r="U169" s="35"/>
      <c r="V169" s="35"/>
      <c r="W169" s="35"/>
      <c r="X169" s="35"/>
      <c r="Y169" s="35"/>
      <c r="Z169" s="35"/>
      <c r="AA169" s="35"/>
    </row>
    <row r="170" ht="14.25" customHeight="1">
      <c r="A170" s="221"/>
      <c r="B170" s="231"/>
      <c r="C170" s="108"/>
      <c r="D170" s="237"/>
      <c r="E170" s="85"/>
      <c r="F170" s="107"/>
      <c r="G170" s="107"/>
      <c r="H170" s="88"/>
      <c r="I170" s="36">
        <f t="shared" si="1"/>
        <v>0</v>
      </c>
      <c r="J170" s="37">
        <f t="shared" si="2"/>
        <v>0</v>
      </c>
      <c r="K170" s="38">
        <f t="shared" si="3"/>
        <v>0</v>
      </c>
      <c r="L170" s="39">
        <f t="shared" si="4"/>
        <v>0</v>
      </c>
      <c r="M170" s="38">
        <f t="shared" si="5"/>
        <v>0</v>
      </c>
      <c r="N170" s="39">
        <f t="shared" si="6"/>
        <v>0</v>
      </c>
      <c r="O170" s="40"/>
      <c r="P170" s="34"/>
      <c r="Q170" s="35"/>
      <c r="R170" s="35"/>
      <c r="S170" s="35"/>
      <c r="T170" s="35"/>
      <c r="U170" s="35"/>
      <c r="V170" s="35"/>
      <c r="W170" s="35"/>
      <c r="X170" s="35"/>
      <c r="Y170" s="35"/>
      <c r="Z170" s="35"/>
      <c r="AA170" s="35"/>
    </row>
    <row r="171" ht="14.25" customHeight="1">
      <c r="A171" s="221"/>
      <c r="B171" s="231"/>
      <c r="C171" s="115"/>
      <c r="D171" s="223"/>
      <c r="E171" s="85"/>
      <c r="F171" s="238"/>
      <c r="G171" s="238"/>
      <c r="H171" s="88"/>
      <c r="I171" s="36">
        <f t="shared" si="1"/>
        <v>0</v>
      </c>
      <c r="J171" s="37">
        <f t="shared" si="2"/>
        <v>0</v>
      </c>
      <c r="K171" s="38">
        <f t="shared" si="3"/>
        <v>0</v>
      </c>
      <c r="L171" s="39">
        <f t="shared" si="4"/>
        <v>0</v>
      </c>
      <c r="M171" s="38">
        <f t="shared" si="5"/>
        <v>0</v>
      </c>
      <c r="N171" s="39">
        <f t="shared" si="6"/>
        <v>0</v>
      </c>
      <c r="O171" s="40"/>
      <c r="P171" s="34"/>
      <c r="Q171" s="35"/>
      <c r="R171" s="35"/>
      <c r="S171" s="35"/>
      <c r="T171" s="35"/>
      <c r="U171" s="35"/>
      <c r="V171" s="35"/>
      <c r="W171" s="35"/>
      <c r="X171" s="35"/>
      <c r="Y171" s="35"/>
      <c r="Z171" s="35"/>
      <c r="AA171" s="35"/>
    </row>
    <row r="172" ht="14.25" customHeight="1">
      <c r="A172" s="221"/>
      <c r="B172" s="231"/>
      <c r="C172" s="115"/>
      <c r="D172" s="223"/>
      <c r="E172" s="85"/>
      <c r="F172" s="238"/>
      <c r="G172" s="238"/>
      <c r="H172" s="88"/>
      <c r="I172" s="36">
        <f t="shared" si="1"/>
        <v>0</v>
      </c>
      <c r="J172" s="37">
        <f t="shared" si="2"/>
        <v>0</v>
      </c>
      <c r="K172" s="38">
        <f t="shared" si="3"/>
        <v>0</v>
      </c>
      <c r="L172" s="39">
        <f t="shared" si="4"/>
        <v>0</v>
      </c>
      <c r="M172" s="38">
        <f t="shared" si="5"/>
        <v>0</v>
      </c>
      <c r="N172" s="39">
        <f t="shared" si="6"/>
        <v>0</v>
      </c>
      <c r="O172" s="40"/>
      <c r="P172" s="34"/>
      <c r="Q172" s="35"/>
      <c r="R172" s="35"/>
      <c r="S172" s="35"/>
      <c r="T172" s="35"/>
      <c r="U172" s="35"/>
      <c r="V172" s="35"/>
      <c r="W172" s="35"/>
      <c r="X172" s="35"/>
      <c r="Y172" s="35"/>
      <c r="Z172" s="35"/>
      <c r="AA172" s="35"/>
    </row>
    <row r="173" ht="14.25" customHeight="1">
      <c r="A173" s="221"/>
      <c r="B173" s="231"/>
      <c r="C173" s="115"/>
      <c r="D173" s="223"/>
      <c r="E173" s="85"/>
      <c r="F173" s="238"/>
      <c r="G173" s="238"/>
      <c r="H173" s="88"/>
      <c r="I173" s="36">
        <f t="shared" si="1"/>
        <v>0</v>
      </c>
      <c r="J173" s="37">
        <f t="shared" si="2"/>
        <v>0</v>
      </c>
      <c r="K173" s="38">
        <f t="shared" si="3"/>
        <v>0</v>
      </c>
      <c r="L173" s="39">
        <f t="shared" si="4"/>
        <v>0</v>
      </c>
      <c r="M173" s="38">
        <f t="shared" si="5"/>
        <v>0</v>
      </c>
      <c r="N173" s="39">
        <f t="shared" si="6"/>
        <v>0</v>
      </c>
      <c r="O173" s="40"/>
      <c r="P173" s="34"/>
      <c r="Q173" s="35"/>
      <c r="R173" s="35"/>
      <c r="S173" s="35"/>
      <c r="T173" s="35"/>
      <c r="U173" s="35"/>
      <c r="V173" s="35"/>
      <c r="W173" s="35"/>
      <c r="X173" s="35"/>
      <c r="Y173" s="35"/>
      <c r="Z173" s="35"/>
      <c r="AA173" s="35"/>
    </row>
    <row r="174" ht="14.25" customHeight="1">
      <c r="A174" s="221"/>
      <c r="B174" s="231"/>
      <c r="C174" s="106"/>
      <c r="D174" s="223"/>
      <c r="E174" s="85"/>
      <c r="F174" s="238"/>
      <c r="G174" s="238"/>
      <c r="H174" s="88"/>
      <c r="I174" s="36">
        <f t="shared" si="1"/>
        <v>0</v>
      </c>
      <c r="J174" s="37">
        <f t="shared" si="2"/>
        <v>0</v>
      </c>
      <c r="K174" s="38">
        <f t="shared" si="3"/>
        <v>0</v>
      </c>
      <c r="L174" s="39">
        <f t="shared" si="4"/>
        <v>0</v>
      </c>
      <c r="M174" s="38">
        <f t="shared" si="5"/>
        <v>0</v>
      </c>
      <c r="N174" s="39">
        <f t="shared" si="6"/>
        <v>0</v>
      </c>
      <c r="O174" s="40"/>
      <c r="P174" s="34"/>
      <c r="Q174" s="35"/>
      <c r="R174" s="35"/>
      <c r="S174" s="35"/>
      <c r="T174" s="35"/>
      <c r="U174" s="35"/>
      <c r="V174" s="35"/>
      <c r="W174" s="35"/>
      <c r="X174" s="35"/>
      <c r="Y174" s="35"/>
      <c r="Z174" s="35"/>
      <c r="AA174" s="35"/>
    </row>
    <row r="175" ht="14.25" customHeight="1">
      <c r="A175" s="221"/>
      <c r="B175" s="231"/>
      <c r="C175" s="106"/>
      <c r="D175" s="223"/>
      <c r="E175" s="85"/>
      <c r="F175" s="238"/>
      <c r="G175" s="238"/>
      <c r="H175" s="88"/>
      <c r="I175" s="36">
        <f t="shared" si="1"/>
        <v>0</v>
      </c>
      <c r="J175" s="37">
        <f t="shared" si="2"/>
        <v>0</v>
      </c>
      <c r="K175" s="38">
        <f t="shared" si="3"/>
        <v>0</v>
      </c>
      <c r="L175" s="39">
        <f t="shared" si="4"/>
        <v>0</v>
      </c>
      <c r="M175" s="38">
        <f t="shared" si="5"/>
        <v>0</v>
      </c>
      <c r="N175" s="39">
        <f t="shared" si="6"/>
        <v>0</v>
      </c>
      <c r="O175" s="40"/>
      <c r="P175" s="34"/>
      <c r="Q175" s="35"/>
      <c r="R175" s="35"/>
      <c r="S175" s="35"/>
      <c r="T175" s="35"/>
      <c r="U175" s="35"/>
      <c r="V175" s="35"/>
      <c r="W175" s="35"/>
      <c r="X175" s="35"/>
      <c r="Y175" s="35"/>
      <c r="Z175" s="35"/>
      <c r="AA175" s="35"/>
    </row>
    <row r="176" ht="14.25" customHeight="1">
      <c r="A176" s="221"/>
      <c r="B176" s="231"/>
      <c r="C176" s="106"/>
      <c r="D176" s="223"/>
      <c r="E176" s="85"/>
      <c r="F176" s="238"/>
      <c r="G176" s="238"/>
      <c r="H176" s="88"/>
      <c r="I176" s="36">
        <f t="shared" si="1"/>
        <v>0</v>
      </c>
      <c r="J176" s="37">
        <f t="shared" si="2"/>
        <v>0</v>
      </c>
      <c r="K176" s="38">
        <f t="shared" si="3"/>
        <v>0</v>
      </c>
      <c r="L176" s="39">
        <f t="shared" si="4"/>
        <v>0</v>
      </c>
      <c r="M176" s="38">
        <f t="shared" si="5"/>
        <v>0</v>
      </c>
      <c r="N176" s="39">
        <f t="shared" si="6"/>
        <v>0</v>
      </c>
      <c r="O176" s="40"/>
      <c r="P176" s="34"/>
      <c r="Q176" s="35"/>
      <c r="R176" s="35"/>
      <c r="S176" s="35"/>
      <c r="T176" s="35"/>
      <c r="U176" s="35"/>
      <c r="V176" s="35"/>
      <c r="W176" s="35"/>
      <c r="X176" s="35"/>
      <c r="Y176" s="35"/>
      <c r="Z176" s="35"/>
      <c r="AA176" s="35"/>
    </row>
    <row r="177" ht="14.25" customHeight="1">
      <c r="A177" s="221"/>
      <c r="B177" s="231"/>
      <c r="C177" s="115"/>
      <c r="D177" s="223"/>
      <c r="E177" s="85"/>
      <c r="F177" s="238"/>
      <c r="G177" s="238"/>
      <c r="H177" s="88"/>
      <c r="I177" s="36">
        <f t="shared" si="1"/>
        <v>0</v>
      </c>
      <c r="J177" s="37">
        <f t="shared" si="2"/>
        <v>0</v>
      </c>
      <c r="K177" s="38">
        <f t="shared" si="3"/>
        <v>0</v>
      </c>
      <c r="L177" s="39">
        <f t="shared" si="4"/>
        <v>0</v>
      </c>
      <c r="M177" s="38">
        <f t="shared" si="5"/>
        <v>0</v>
      </c>
      <c r="N177" s="39">
        <f t="shared" si="6"/>
        <v>0</v>
      </c>
      <c r="O177" s="40"/>
      <c r="P177" s="34"/>
      <c r="Q177" s="35"/>
      <c r="R177" s="35"/>
      <c r="S177" s="35"/>
      <c r="T177" s="35"/>
      <c r="U177" s="35"/>
      <c r="V177" s="35"/>
      <c r="W177" s="35"/>
      <c r="X177" s="35"/>
      <c r="Y177" s="35"/>
      <c r="Z177" s="35"/>
      <c r="AA177" s="35"/>
    </row>
    <row r="178" ht="14.25" customHeight="1">
      <c r="A178" s="221"/>
      <c r="B178" s="231"/>
      <c r="C178" s="106"/>
      <c r="D178" s="223"/>
      <c r="E178" s="85"/>
      <c r="F178" s="238"/>
      <c r="G178" s="238"/>
      <c r="H178" s="88"/>
      <c r="I178" s="36">
        <f t="shared" si="1"/>
        <v>0</v>
      </c>
      <c r="J178" s="37">
        <f t="shared" si="2"/>
        <v>0</v>
      </c>
      <c r="K178" s="38">
        <f t="shared" si="3"/>
        <v>0</v>
      </c>
      <c r="L178" s="39">
        <f t="shared" si="4"/>
        <v>0</v>
      </c>
      <c r="M178" s="38">
        <f t="shared" si="5"/>
        <v>0</v>
      </c>
      <c r="N178" s="39">
        <f t="shared" si="6"/>
        <v>0</v>
      </c>
      <c r="O178" s="40"/>
      <c r="P178" s="34"/>
      <c r="Q178" s="35"/>
      <c r="R178" s="35"/>
      <c r="S178" s="35"/>
      <c r="T178" s="35"/>
      <c r="U178" s="35"/>
      <c r="V178" s="35"/>
      <c r="W178" s="35"/>
      <c r="X178" s="35"/>
      <c r="Y178" s="35"/>
      <c r="Z178" s="35"/>
      <c r="AA178" s="35"/>
    </row>
    <row r="179" ht="14.25" customHeight="1">
      <c r="A179" s="221"/>
      <c r="B179" s="231"/>
      <c r="C179" s="106"/>
      <c r="D179" s="223"/>
      <c r="E179" s="85"/>
      <c r="F179" s="238"/>
      <c r="G179" s="238"/>
      <c r="H179" s="88"/>
      <c r="I179" s="36">
        <f t="shared" si="1"/>
        <v>0</v>
      </c>
      <c r="J179" s="37">
        <f t="shared" si="2"/>
        <v>0</v>
      </c>
      <c r="K179" s="38">
        <f t="shared" si="3"/>
        <v>0</v>
      </c>
      <c r="L179" s="39">
        <f t="shared" si="4"/>
        <v>0</v>
      </c>
      <c r="M179" s="38">
        <f t="shared" si="5"/>
        <v>0</v>
      </c>
      <c r="N179" s="39">
        <f t="shared" si="6"/>
        <v>0</v>
      </c>
      <c r="O179" s="40"/>
      <c r="P179" s="34"/>
      <c r="Q179" s="35"/>
      <c r="R179" s="35"/>
      <c r="S179" s="35"/>
      <c r="T179" s="35"/>
      <c r="U179" s="35"/>
      <c r="V179" s="35"/>
      <c r="W179" s="35"/>
      <c r="X179" s="35"/>
      <c r="Y179" s="35"/>
      <c r="Z179" s="35"/>
      <c r="AA179" s="35"/>
    </row>
    <row r="180" ht="14.25" customHeight="1">
      <c r="A180" s="221"/>
      <c r="B180" s="231"/>
      <c r="C180" s="106"/>
      <c r="D180" s="223"/>
      <c r="E180" s="85"/>
      <c r="F180" s="238"/>
      <c r="G180" s="238"/>
      <c r="H180" s="88"/>
      <c r="I180" s="36">
        <f t="shared" si="1"/>
        <v>0</v>
      </c>
      <c r="J180" s="37">
        <f t="shared" si="2"/>
        <v>0</v>
      </c>
      <c r="K180" s="38">
        <f t="shared" si="3"/>
        <v>0</v>
      </c>
      <c r="L180" s="39">
        <f t="shared" si="4"/>
        <v>0</v>
      </c>
      <c r="M180" s="38">
        <f t="shared" si="5"/>
        <v>0</v>
      </c>
      <c r="N180" s="39">
        <f t="shared" si="6"/>
        <v>0</v>
      </c>
      <c r="O180" s="40"/>
      <c r="P180" s="34"/>
      <c r="Q180" s="35"/>
      <c r="R180" s="35"/>
      <c r="S180" s="35"/>
      <c r="T180" s="35"/>
      <c r="U180" s="35"/>
      <c r="V180" s="35"/>
      <c r="W180" s="35"/>
      <c r="X180" s="35"/>
      <c r="Y180" s="35"/>
      <c r="Z180" s="35"/>
      <c r="AA180" s="35"/>
    </row>
    <row r="181" ht="14.25" customHeight="1">
      <c r="A181" s="221"/>
      <c r="B181" s="231"/>
      <c r="C181" s="106"/>
      <c r="D181" s="223"/>
      <c r="E181" s="85"/>
      <c r="F181" s="238"/>
      <c r="G181" s="238"/>
      <c r="H181" s="88"/>
      <c r="I181" s="36">
        <f t="shared" si="1"/>
        <v>0</v>
      </c>
      <c r="J181" s="37">
        <f t="shared" si="2"/>
        <v>0</v>
      </c>
      <c r="K181" s="38">
        <f t="shared" si="3"/>
        <v>0</v>
      </c>
      <c r="L181" s="39">
        <f t="shared" si="4"/>
        <v>0</v>
      </c>
      <c r="M181" s="38">
        <f t="shared" si="5"/>
        <v>0</v>
      </c>
      <c r="N181" s="39">
        <f t="shared" si="6"/>
        <v>0</v>
      </c>
      <c r="O181" s="40"/>
      <c r="P181" s="34"/>
      <c r="Q181" s="35"/>
      <c r="R181" s="35"/>
      <c r="S181" s="35"/>
      <c r="T181" s="35"/>
      <c r="U181" s="35"/>
      <c r="V181" s="35"/>
      <c r="W181" s="35"/>
      <c r="X181" s="35"/>
      <c r="Y181" s="35"/>
      <c r="Z181" s="35"/>
      <c r="AA181" s="35"/>
    </row>
    <row r="182" ht="14.25" customHeight="1">
      <c r="A182" s="221"/>
      <c r="B182" s="231"/>
      <c r="C182" s="106"/>
      <c r="D182" s="223"/>
      <c r="E182" s="85"/>
      <c r="F182" s="238"/>
      <c r="G182" s="238"/>
      <c r="H182" s="88"/>
      <c r="I182" s="36">
        <f t="shared" si="1"/>
        <v>0</v>
      </c>
      <c r="J182" s="37">
        <f t="shared" si="2"/>
        <v>0</v>
      </c>
      <c r="K182" s="38">
        <f t="shared" si="3"/>
        <v>0</v>
      </c>
      <c r="L182" s="39">
        <f t="shared" si="4"/>
        <v>0</v>
      </c>
      <c r="M182" s="38">
        <f t="shared" si="5"/>
        <v>0</v>
      </c>
      <c r="N182" s="39">
        <f t="shared" si="6"/>
        <v>0</v>
      </c>
      <c r="O182" s="40"/>
      <c r="P182" s="34"/>
      <c r="Q182" s="35"/>
      <c r="R182" s="35"/>
      <c r="S182" s="35"/>
      <c r="T182" s="35"/>
      <c r="U182" s="35"/>
      <c r="V182" s="35"/>
      <c r="W182" s="35"/>
      <c r="X182" s="35"/>
      <c r="Y182" s="35"/>
      <c r="Z182" s="35"/>
      <c r="AA182" s="35"/>
    </row>
    <row r="183" ht="14.25" customHeight="1">
      <c r="A183" s="221"/>
      <c r="B183" s="231"/>
      <c r="C183" s="106"/>
      <c r="D183" s="223"/>
      <c r="E183" s="85"/>
      <c r="F183" s="238"/>
      <c r="G183" s="238"/>
      <c r="H183" s="88"/>
      <c r="I183" s="36">
        <f t="shared" si="1"/>
        <v>0</v>
      </c>
      <c r="J183" s="37">
        <f t="shared" si="2"/>
        <v>0</v>
      </c>
      <c r="K183" s="38">
        <f t="shared" si="3"/>
        <v>0</v>
      </c>
      <c r="L183" s="39">
        <f t="shared" si="4"/>
        <v>0</v>
      </c>
      <c r="M183" s="38">
        <f t="shared" si="5"/>
        <v>0</v>
      </c>
      <c r="N183" s="39">
        <f t="shared" si="6"/>
        <v>0</v>
      </c>
      <c r="O183" s="40"/>
      <c r="P183" s="34"/>
      <c r="Q183" s="35"/>
      <c r="R183" s="35"/>
      <c r="S183" s="35"/>
      <c r="T183" s="35"/>
      <c r="U183" s="35"/>
      <c r="V183" s="35"/>
      <c r="W183" s="35"/>
      <c r="X183" s="35"/>
      <c r="Y183" s="35"/>
      <c r="Z183" s="35"/>
      <c r="AA183" s="35"/>
    </row>
    <row r="184" ht="14.25" customHeight="1">
      <c r="A184" s="221"/>
      <c r="B184" s="231"/>
      <c r="C184" s="106"/>
      <c r="D184" s="223"/>
      <c r="E184" s="85"/>
      <c r="F184" s="238"/>
      <c r="G184" s="238"/>
      <c r="H184" s="88"/>
      <c r="I184" s="36">
        <f t="shared" si="1"/>
        <v>0</v>
      </c>
      <c r="J184" s="37">
        <f t="shared" si="2"/>
        <v>0</v>
      </c>
      <c r="K184" s="38">
        <f t="shared" si="3"/>
        <v>0</v>
      </c>
      <c r="L184" s="39">
        <f t="shared" si="4"/>
        <v>0</v>
      </c>
      <c r="M184" s="38">
        <f t="shared" si="5"/>
        <v>0</v>
      </c>
      <c r="N184" s="39">
        <f t="shared" si="6"/>
        <v>0</v>
      </c>
      <c r="O184" s="40"/>
      <c r="P184" s="34"/>
      <c r="Q184" s="35"/>
      <c r="R184" s="35"/>
      <c r="S184" s="35"/>
      <c r="T184" s="35"/>
      <c r="U184" s="35"/>
      <c r="V184" s="35"/>
      <c r="W184" s="35"/>
      <c r="X184" s="35"/>
      <c r="Y184" s="35"/>
      <c r="Z184" s="35"/>
      <c r="AA184" s="35"/>
    </row>
    <row r="185" ht="14.25" customHeight="1">
      <c r="A185" s="221"/>
      <c r="B185" s="231"/>
      <c r="C185" s="106"/>
      <c r="D185" s="223"/>
      <c r="E185" s="85"/>
      <c r="F185" s="238"/>
      <c r="G185" s="238"/>
      <c r="H185" s="88"/>
      <c r="I185" s="36">
        <f t="shared" si="1"/>
        <v>0</v>
      </c>
      <c r="J185" s="37">
        <f t="shared" si="2"/>
        <v>0</v>
      </c>
      <c r="K185" s="38">
        <f t="shared" si="3"/>
        <v>0</v>
      </c>
      <c r="L185" s="39">
        <f t="shared" si="4"/>
        <v>0</v>
      </c>
      <c r="M185" s="38">
        <f t="shared" si="5"/>
        <v>0</v>
      </c>
      <c r="N185" s="39">
        <f t="shared" si="6"/>
        <v>0</v>
      </c>
      <c r="O185" s="40"/>
      <c r="P185" s="34"/>
      <c r="Q185" s="35"/>
      <c r="R185" s="35"/>
      <c r="S185" s="35"/>
      <c r="T185" s="35"/>
      <c r="U185" s="35"/>
      <c r="V185" s="35"/>
      <c r="W185" s="35"/>
      <c r="X185" s="35"/>
      <c r="Y185" s="35"/>
      <c r="Z185" s="35"/>
      <c r="AA185" s="35"/>
    </row>
    <row r="186" ht="14.25" customHeight="1">
      <c r="A186" s="221"/>
      <c r="B186" s="231"/>
      <c r="C186" s="108"/>
      <c r="D186" s="237"/>
      <c r="E186" s="85"/>
      <c r="F186" s="238"/>
      <c r="G186" s="238"/>
      <c r="H186" s="88"/>
      <c r="I186" s="36">
        <f t="shared" si="1"/>
        <v>0</v>
      </c>
      <c r="J186" s="37">
        <f t="shared" si="2"/>
        <v>0</v>
      </c>
      <c r="K186" s="38">
        <f t="shared" si="3"/>
        <v>0</v>
      </c>
      <c r="L186" s="39">
        <f t="shared" si="4"/>
        <v>0</v>
      </c>
      <c r="M186" s="38">
        <f t="shared" si="5"/>
        <v>0</v>
      </c>
      <c r="N186" s="39">
        <f t="shared" si="6"/>
        <v>0</v>
      </c>
      <c r="O186" s="40"/>
      <c r="P186" s="34"/>
      <c r="Q186" s="35"/>
      <c r="R186" s="35"/>
      <c r="S186" s="35"/>
      <c r="T186" s="35"/>
      <c r="U186" s="35"/>
      <c r="V186" s="35"/>
      <c r="W186" s="35"/>
      <c r="X186" s="35"/>
      <c r="Y186" s="35"/>
      <c r="Z186" s="35"/>
      <c r="AA186" s="35"/>
    </row>
    <row r="187" ht="14.25" customHeight="1">
      <c r="A187" s="221"/>
      <c r="B187" s="231"/>
      <c r="C187" s="108"/>
      <c r="D187" s="237"/>
      <c r="E187" s="85"/>
      <c r="F187" s="238"/>
      <c r="G187" s="238"/>
      <c r="H187" s="88"/>
      <c r="I187" s="36">
        <f t="shared" si="1"/>
        <v>0</v>
      </c>
      <c r="J187" s="37">
        <f t="shared" si="2"/>
        <v>0</v>
      </c>
      <c r="K187" s="38">
        <f t="shared" si="3"/>
        <v>0</v>
      </c>
      <c r="L187" s="39">
        <f t="shared" si="4"/>
        <v>0</v>
      </c>
      <c r="M187" s="38">
        <f t="shared" si="5"/>
        <v>0</v>
      </c>
      <c r="N187" s="39">
        <f t="shared" si="6"/>
        <v>0</v>
      </c>
      <c r="O187" s="40"/>
      <c r="P187" s="34"/>
      <c r="Q187" s="35"/>
      <c r="R187" s="35"/>
      <c r="S187" s="35"/>
      <c r="T187" s="35"/>
      <c r="U187" s="35"/>
      <c r="V187" s="35"/>
      <c r="W187" s="35"/>
      <c r="X187" s="35"/>
      <c r="Y187" s="35"/>
      <c r="Z187" s="35"/>
      <c r="AA187" s="35"/>
    </row>
    <row r="188" ht="14.25" customHeight="1">
      <c r="A188" s="221"/>
      <c r="B188" s="231"/>
      <c r="C188" s="106"/>
      <c r="D188" s="223"/>
      <c r="E188" s="85"/>
      <c r="F188" s="238"/>
      <c r="G188" s="238"/>
      <c r="H188" s="88"/>
      <c r="I188" s="36">
        <f t="shared" si="1"/>
        <v>0</v>
      </c>
      <c r="J188" s="37">
        <f t="shared" si="2"/>
        <v>0</v>
      </c>
      <c r="K188" s="38">
        <f t="shared" si="3"/>
        <v>0</v>
      </c>
      <c r="L188" s="39">
        <f t="shared" si="4"/>
        <v>0</v>
      </c>
      <c r="M188" s="38">
        <f t="shared" si="5"/>
        <v>0</v>
      </c>
      <c r="N188" s="39">
        <f t="shared" si="6"/>
        <v>0</v>
      </c>
      <c r="O188" s="40"/>
      <c r="P188" s="34"/>
      <c r="Q188" s="35"/>
      <c r="R188" s="35"/>
      <c r="S188" s="35"/>
      <c r="T188" s="35"/>
      <c r="U188" s="35"/>
      <c r="V188" s="35"/>
      <c r="W188" s="35"/>
      <c r="X188" s="35"/>
      <c r="Y188" s="35"/>
      <c r="Z188" s="35"/>
      <c r="AA188" s="35"/>
    </row>
    <row r="189" ht="14.25" customHeight="1">
      <c r="A189" s="221"/>
      <c r="B189" s="231"/>
      <c r="C189" s="106"/>
      <c r="D189" s="223"/>
      <c r="E189" s="85"/>
      <c r="F189" s="238"/>
      <c r="G189" s="238"/>
      <c r="H189" s="88"/>
      <c r="I189" s="36">
        <f t="shared" si="1"/>
        <v>0</v>
      </c>
      <c r="J189" s="37">
        <f t="shared" si="2"/>
        <v>0</v>
      </c>
      <c r="K189" s="38">
        <f t="shared" si="3"/>
        <v>0</v>
      </c>
      <c r="L189" s="39">
        <f t="shared" si="4"/>
        <v>0</v>
      </c>
      <c r="M189" s="38">
        <f t="shared" si="5"/>
        <v>0</v>
      </c>
      <c r="N189" s="39">
        <f t="shared" si="6"/>
        <v>0</v>
      </c>
      <c r="O189" s="40"/>
      <c r="P189" s="34"/>
      <c r="Q189" s="35"/>
      <c r="R189" s="35"/>
      <c r="S189" s="35"/>
      <c r="T189" s="35"/>
      <c r="U189" s="35"/>
      <c r="V189" s="35"/>
      <c r="W189" s="35"/>
      <c r="X189" s="35"/>
      <c r="Y189" s="35"/>
      <c r="Z189" s="35"/>
      <c r="AA189" s="35"/>
    </row>
    <row r="190" ht="14.25" customHeight="1">
      <c r="A190" s="221"/>
      <c r="B190" s="231"/>
      <c r="C190" s="106"/>
      <c r="D190" s="223"/>
      <c r="E190" s="85"/>
      <c r="F190" s="238"/>
      <c r="G190" s="238"/>
      <c r="H190" s="88"/>
      <c r="I190" s="36">
        <f t="shared" si="1"/>
        <v>0</v>
      </c>
      <c r="J190" s="37">
        <f t="shared" si="2"/>
        <v>0</v>
      </c>
      <c r="K190" s="38">
        <f t="shared" si="3"/>
        <v>0</v>
      </c>
      <c r="L190" s="39">
        <f t="shared" si="4"/>
        <v>0</v>
      </c>
      <c r="M190" s="38">
        <f t="shared" si="5"/>
        <v>0</v>
      </c>
      <c r="N190" s="39">
        <f t="shared" si="6"/>
        <v>0</v>
      </c>
      <c r="O190" s="40"/>
      <c r="P190" s="34"/>
      <c r="Q190" s="35"/>
      <c r="R190" s="35"/>
      <c r="S190" s="35"/>
      <c r="T190" s="35"/>
      <c r="U190" s="35"/>
      <c r="V190" s="35"/>
      <c r="W190" s="35"/>
      <c r="X190" s="35"/>
      <c r="Y190" s="35"/>
      <c r="Z190" s="35"/>
      <c r="AA190" s="35"/>
    </row>
    <row r="191" ht="14.25" customHeight="1">
      <c r="A191" s="221"/>
      <c r="B191" s="231"/>
      <c r="C191" s="106"/>
      <c r="D191" s="223"/>
      <c r="E191" s="85"/>
      <c r="F191" s="238"/>
      <c r="G191" s="238"/>
      <c r="H191" s="88"/>
      <c r="I191" s="36">
        <f t="shared" si="1"/>
        <v>0</v>
      </c>
      <c r="J191" s="37">
        <f t="shared" si="2"/>
        <v>0</v>
      </c>
      <c r="K191" s="38">
        <f t="shared" si="3"/>
        <v>0</v>
      </c>
      <c r="L191" s="39">
        <f t="shared" si="4"/>
        <v>0</v>
      </c>
      <c r="M191" s="38">
        <f t="shared" si="5"/>
        <v>0</v>
      </c>
      <c r="N191" s="39">
        <f t="shared" si="6"/>
        <v>0</v>
      </c>
      <c r="O191" s="40"/>
      <c r="P191" s="34"/>
      <c r="Q191" s="35"/>
      <c r="R191" s="35"/>
      <c r="S191" s="35"/>
      <c r="T191" s="35"/>
      <c r="U191" s="35"/>
      <c r="V191" s="35"/>
      <c r="W191" s="35"/>
      <c r="X191" s="35"/>
      <c r="Y191" s="35"/>
      <c r="Z191" s="35"/>
      <c r="AA191" s="35"/>
    </row>
    <row r="192" ht="14.25" customHeight="1">
      <c r="A192" s="221"/>
      <c r="B192" s="231"/>
      <c r="C192" s="106"/>
      <c r="D192" s="223"/>
      <c r="E192" s="85"/>
      <c r="F192" s="238"/>
      <c r="G192" s="238"/>
      <c r="H192" s="88"/>
      <c r="I192" s="36">
        <f t="shared" si="1"/>
        <v>0</v>
      </c>
      <c r="J192" s="37">
        <f t="shared" si="2"/>
        <v>0</v>
      </c>
      <c r="K192" s="38">
        <f t="shared" si="3"/>
        <v>0</v>
      </c>
      <c r="L192" s="39">
        <f t="shared" si="4"/>
        <v>0</v>
      </c>
      <c r="M192" s="38">
        <f t="shared" si="5"/>
        <v>0</v>
      </c>
      <c r="N192" s="39">
        <f t="shared" si="6"/>
        <v>0</v>
      </c>
      <c r="O192" s="40"/>
      <c r="P192" s="34"/>
      <c r="Q192" s="35"/>
      <c r="R192" s="35"/>
      <c r="S192" s="35"/>
      <c r="T192" s="35"/>
      <c r="U192" s="35"/>
      <c r="V192" s="35"/>
      <c r="W192" s="35"/>
      <c r="X192" s="35"/>
      <c r="Y192" s="35"/>
      <c r="Z192" s="35"/>
      <c r="AA192" s="35"/>
    </row>
    <row r="193" ht="14.25" customHeight="1">
      <c r="A193" s="221"/>
      <c r="B193" s="231"/>
      <c r="C193" s="108"/>
      <c r="D193" s="223"/>
      <c r="E193" s="85"/>
      <c r="F193" s="239"/>
      <c r="G193" s="239"/>
      <c r="H193" s="88"/>
      <c r="I193" s="36">
        <f t="shared" si="1"/>
        <v>0</v>
      </c>
      <c r="J193" s="37">
        <f t="shared" si="2"/>
        <v>0</v>
      </c>
      <c r="K193" s="38">
        <f t="shared" si="3"/>
        <v>0</v>
      </c>
      <c r="L193" s="39">
        <f t="shared" si="4"/>
        <v>0</v>
      </c>
      <c r="M193" s="38">
        <f t="shared" si="5"/>
        <v>0</v>
      </c>
      <c r="N193" s="39">
        <f t="shared" si="6"/>
        <v>0</v>
      </c>
      <c r="O193" s="40"/>
      <c r="P193" s="34"/>
      <c r="Q193" s="35"/>
      <c r="R193" s="35"/>
      <c r="S193" s="35"/>
      <c r="T193" s="35"/>
      <c r="U193" s="35"/>
      <c r="V193" s="35"/>
      <c r="W193" s="35"/>
      <c r="X193" s="35"/>
      <c r="Y193" s="35"/>
      <c r="Z193" s="35"/>
      <c r="AA193" s="35"/>
    </row>
    <row r="194" ht="14.25" customHeight="1">
      <c r="A194" s="221"/>
      <c r="B194" s="231"/>
      <c r="C194" s="106"/>
      <c r="D194" s="240"/>
      <c r="E194" s="85"/>
      <c r="F194" s="238"/>
      <c r="G194" s="238"/>
      <c r="H194" s="88"/>
      <c r="I194" s="36">
        <f t="shared" si="1"/>
        <v>0</v>
      </c>
      <c r="J194" s="37">
        <f t="shared" si="2"/>
        <v>0</v>
      </c>
      <c r="K194" s="38">
        <f t="shared" si="3"/>
        <v>0</v>
      </c>
      <c r="L194" s="39">
        <f t="shared" si="4"/>
        <v>0</v>
      </c>
      <c r="M194" s="38">
        <f t="shared" si="5"/>
        <v>0</v>
      </c>
      <c r="N194" s="39">
        <f t="shared" si="6"/>
        <v>0</v>
      </c>
      <c r="O194" s="40"/>
      <c r="P194" s="34"/>
      <c r="Q194" s="35"/>
      <c r="R194" s="35"/>
      <c r="S194" s="35"/>
      <c r="T194" s="35"/>
      <c r="U194" s="35"/>
      <c r="V194" s="35"/>
      <c r="W194" s="35"/>
      <c r="X194" s="35"/>
      <c r="Y194" s="35"/>
      <c r="Z194" s="35"/>
      <c r="AA194" s="35"/>
    </row>
    <row r="195" ht="14.25" customHeight="1">
      <c r="A195" s="221"/>
      <c r="B195" s="231"/>
      <c r="C195" s="106"/>
      <c r="D195" s="240"/>
      <c r="E195" s="85"/>
      <c r="F195" s="238"/>
      <c r="G195" s="238"/>
      <c r="H195" s="88"/>
      <c r="I195" s="36">
        <f t="shared" si="1"/>
        <v>0</v>
      </c>
      <c r="J195" s="37">
        <f t="shared" si="2"/>
        <v>0</v>
      </c>
      <c r="K195" s="38">
        <f t="shared" si="3"/>
        <v>0</v>
      </c>
      <c r="L195" s="39">
        <f t="shared" si="4"/>
        <v>0</v>
      </c>
      <c r="M195" s="38">
        <f t="shared" si="5"/>
        <v>0</v>
      </c>
      <c r="N195" s="39">
        <f t="shared" si="6"/>
        <v>0</v>
      </c>
      <c r="O195" s="40"/>
      <c r="P195" s="34"/>
      <c r="Q195" s="35"/>
      <c r="R195" s="35"/>
      <c r="S195" s="35"/>
      <c r="T195" s="35"/>
      <c r="U195" s="35"/>
      <c r="V195" s="35"/>
      <c r="W195" s="35"/>
      <c r="X195" s="35"/>
      <c r="Y195" s="35"/>
      <c r="Z195" s="35"/>
      <c r="AA195" s="35"/>
    </row>
    <row r="196" ht="14.25" customHeight="1">
      <c r="A196" s="221"/>
      <c r="B196" s="231"/>
      <c r="C196" s="106"/>
      <c r="D196" s="237"/>
      <c r="E196" s="110"/>
      <c r="F196" s="238"/>
      <c r="G196" s="238"/>
      <c r="H196" s="88"/>
      <c r="I196" s="36">
        <f t="shared" si="1"/>
        <v>0</v>
      </c>
      <c r="J196" s="37">
        <f t="shared" si="2"/>
        <v>0</v>
      </c>
      <c r="K196" s="38">
        <f t="shared" si="3"/>
        <v>0</v>
      </c>
      <c r="L196" s="39">
        <f t="shared" si="4"/>
        <v>0</v>
      </c>
      <c r="M196" s="38">
        <f t="shared" si="5"/>
        <v>0</v>
      </c>
      <c r="N196" s="39">
        <f t="shared" si="6"/>
        <v>0</v>
      </c>
      <c r="O196" s="40"/>
      <c r="P196" s="34"/>
      <c r="Q196" s="35"/>
      <c r="R196" s="35"/>
      <c r="S196" s="35"/>
      <c r="T196" s="35"/>
      <c r="U196" s="35"/>
      <c r="V196" s="35"/>
      <c r="W196" s="35"/>
      <c r="X196" s="35"/>
      <c r="Y196" s="35"/>
      <c r="Z196" s="35"/>
      <c r="AA196" s="35"/>
    </row>
    <row r="197" ht="14.25" customHeight="1">
      <c r="A197" s="221"/>
      <c r="B197" s="231"/>
      <c r="C197" s="108"/>
      <c r="D197" s="237"/>
      <c r="E197" s="85"/>
      <c r="F197" s="238"/>
      <c r="G197" s="238"/>
      <c r="H197" s="88"/>
      <c r="I197" s="36">
        <f t="shared" si="1"/>
        <v>0</v>
      </c>
      <c r="J197" s="37">
        <f t="shared" si="2"/>
        <v>0</v>
      </c>
      <c r="K197" s="38">
        <f t="shared" si="3"/>
        <v>0</v>
      </c>
      <c r="L197" s="39">
        <f t="shared" si="4"/>
        <v>0</v>
      </c>
      <c r="M197" s="38">
        <f t="shared" si="5"/>
        <v>0</v>
      </c>
      <c r="N197" s="39">
        <f t="shared" si="6"/>
        <v>0</v>
      </c>
      <c r="O197" s="40"/>
      <c r="P197" s="34"/>
      <c r="Q197" s="35"/>
      <c r="R197" s="35"/>
      <c r="S197" s="35"/>
      <c r="T197" s="35"/>
      <c r="U197" s="35"/>
      <c r="V197" s="35"/>
      <c r="W197" s="35"/>
      <c r="X197" s="35"/>
      <c r="Y197" s="35"/>
      <c r="Z197" s="35"/>
      <c r="AA197" s="35"/>
    </row>
    <row r="198" ht="14.25" customHeight="1">
      <c r="A198" s="221"/>
      <c r="B198" s="231"/>
      <c r="C198" s="108"/>
      <c r="D198" s="237"/>
      <c r="E198" s="85"/>
      <c r="F198" s="238"/>
      <c r="G198" s="238"/>
      <c r="H198" s="88"/>
      <c r="I198" s="36">
        <f t="shared" si="1"/>
        <v>0</v>
      </c>
      <c r="J198" s="37">
        <f t="shared" si="2"/>
        <v>0</v>
      </c>
      <c r="K198" s="38">
        <f t="shared" si="3"/>
        <v>0</v>
      </c>
      <c r="L198" s="39">
        <f t="shared" si="4"/>
        <v>0</v>
      </c>
      <c r="M198" s="38">
        <f t="shared" si="5"/>
        <v>0</v>
      </c>
      <c r="N198" s="39">
        <f t="shared" si="6"/>
        <v>0</v>
      </c>
      <c r="O198" s="40"/>
      <c r="P198" s="34"/>
      <c r="Q198" s="35"/>
      <c r="R198" s="35"/>
      <c r="S198" s="35"/>
      <c r="T198" s="35"/>
      <c r="U198" s="35"/>
      <c r="V198" s="35"/>
      <c r="W198" s="35"/>
      <c r="X198" s="35"/>
      <c r="Y198" s="35"/>
      <c r="Z198" s="35"/>
      <c r="AA198" s="35"/>
    </row>
    <row r="199" ht="14.25" customHeight="1">
      <c r="A199" s="221"/>
      <c r="B199" s="231"/>
      <c r="C199" s="111"/>
      <c r="D199" s="241"/>
      <c r="E199" s="85"/>
      <c r="F199" s="242"/>
      <c r="G199" s="242"/>
      <c r="H199" s="88"/>
      <c r="I199" s="36">
        <f t="shared" si="1"/>
        <v>0</v>
      </c>
      <c r="J199" s="37">
        <f t="shared" si="2"/>
        <v>0</v>
      </c>
      <c r="K199" s="38">
        <f t="shared" si="3"/>
        <v>0</v>
      </c>
      <c r="L199" s="39">
        <f t="shared" si="4"/>
        <v>0</v>
      </c>
      <c r="M199" s="38">
        <f t="shared" si="5"/>
        <v>0</v>
      </c>
      <c r="N199" s="39">
        <f t="shared" si="6"/>
        <v>0</v>
      </c>
      <c r="O199" s="40"/>
      <c r="P199" s="34"/>
      <c r="Q199" s="35"/>
      <c r="R199" s="35"/>
      <c r="S199" s="35"/>
      <c r="T199" s="35"/>
      <c r="U199" s="35"/>
      <c r="V199" s="35"/>
      <c r="W199" s="35"/>
      <c r="X199" s="35"/>
      <c r="Y199" s="35"/>
      <c r="Z199" s="35"/>
      <c r="AA199" s="35"/>
    </row>
    <row r="200" ht="14.25" customHeight="1">
      <c r="A200" s="221"/>
      <c r="B200" s="231"/>
      <c r="C200" s="111"/>
      <c r="D200" s="241"/>
      <c r="E200" s="85"/>
      <c r="F200" s="242"/>
      <c r="G200" s="242"/>
      <c r="H200" s="88"/>
      <c r="I200" s="36">
        <f t="shared" si="1"/>
        <v>0</v>
      </c>
      <c r="J200" s="37">
        <f t="shared" si="2"/>
        <v>0</v>
      </c>
      <c r="K200" s="38">
        <f t="shared" si="3"/>
        <v>0</v>
      </c>
      <c r="L200" s="39">
        <f t="shared" si="4"/>
        <v>0</v>
      </c>
      <c r="M200" s="38">
        <f t="shared" si="5"/>
        <v>0</v>
      </c>
      <c r="N200" s="39">
        <f t="shared" si="6"/>
        <v>0</v>
      </c>
      <c r="O200" s="40"/>
      <c r="P200" s="34"/>
      <c r="Q200" s="35"/>
      <c r="R200" s="35"/>
      <c r="S200" s="35"/>
      <c r="T200" s="35"/>
      <c r="U200" s="35"/>
      <c r="V200" s="35"/>
      <c r="W200" s="35"/>
      <c r="X200" s="35"/>
      <c r="Y200" s="35"/>
      <c r="Z200" s="35"/>
      <c r="AA200" s="35"/>
    </row>
    <row r="201" ht="14.25" customHeight="1">
      <c r="A201" s="221"/>
      <c r="B201" s="231"/>
      <c r="C201" s="111"/>
      <c r="D201" s="241"/>
      <c r="E201" s="85"/>
      <c r="F201" s="242"/>
      <c r="G201" s="242"/>
      <c r="H201" s="88"/>
      <c r="I201" s="36">
        <f t="shared" si="1"/>
        <v>0</v>
      </c>
      <c r="J201" s="37">
        <f t="shared" si="2"/>
        <v>0</v>
      </c>
      <c r="K201" s="38">
        <f t="shared" si="3"/>
        <v>0</v>
      </c>
      <c r="L201" s="39">
        <f t="shared" si="4"/>
        <v>0</v>
      </c>
      <c r="M201" s="38">
        <f t="shared" si="5"/>
        <v>0</v>
      </c>
      <c r="N201" s="39">
        <f t="shared" si="6"/>
        <v>0</v>
      </c>
      <c r="O201" s="40"/>
      <c r="P201" s="34"/>
      <c r="Q201" s="35"/>
      <c r="R201" s="35"/>
      <c r="S201" s="35"/>
      <c r="T201" s="35"/>
      <c r="U201" s="35"/>
      <c r="V201" s="35"/>
      <c r="W201" s="35"/>
      <c r="X201" s="35"/>
      <c r="Y201" s="35"/>
      <c r="Z201" s="35"/>
      <c r="AA201" s="35"/>
    </row>
    <row r="202" ht="14.25" customHeight="1">
      <c r="A202" s="221"/>
      <c r="B202" s="231"/>
      <c r="C202" s="111"/>
      <c r="D202" s="241"/>
      <c r="E202" s="85"/>
      <c r="F202" s="242"/>
      <c r="G202" s="242"/>
      <c r="H202" s="88"/>
      <c r="I202" s="36">
        <f t="shared" si="1"/>
        <v>0</v>
      </c>
      <c r="J202" s="37">
        <f t="shared" si="2"/>
        <v>0</v>
      </c>
      <c r="K202" s="38">
        <f t="shared" si="3"/>
        <v>0</v>
      </c>
      <c r="L202" s="39">
        <f t="shared" si="4"/>
        <v>0</v>
      </c>
      <c r="M202" s="38">
        <f t="shared" si="5"/>
        <v>0</v>
      </c>
      <c r="N202" s="39">
        <f t="shared" si="6"/>
        <v>0</v>
      </c>
      <c r="O202" s="40"/>
      <c r="P202" s="34"/>
      <c r="Q202" s="35"/>
      <c r="R202" s="35"/>
      <c r="S202" s="35"/>
      <c r="T202" s="35"/>
      <c r="U202" s="35"/>
      <c r="V202" s="35"/>
      <c r="W202" s="35"/>
      <c r="X202" s="35"/>
      <c r="Y202" s="35"/>
      <c r="Z202" s="35"/>
      <c r="AA202" s="35"/>
    </row>
    <row r="203" ht="14.25" customHeight="1">
      <c r="A203" s="221"/>
      <c r="B203" s="231"/>
      <c r="C203" s="111"/>
      <c r="D203" s="241"/>
      <c r="E203" s="85"/>
      <c r="F203" s="242"/>
      <c r="G203" s="242"/>
      <c r="H203" s="88"/>
      <c r="I203" s="36">
        <f t="shared" si="1"/>
        <v>0</v>
      </c>
      <c r="J203" s="37">
        <f t="shared" si="2"/>
        <v>0</v>
      </c>
      <c r="K203" s="38">
        <f t="shared" si="3"/>
        <v>0</v>
      </c>
      <c r="L203" s="39">
        <f t="shared" si="4"/>
        <v>0</v>
      </c>
      <c r="M203" s="38">
        <f t="shared" si="5"/>
        <v>0</v>
      </c>
      <c r="N203" s="39">
        <f t="shared" si="6"/>
        <v>0</v>
      </c>
      <c r="O203" s="40"/>
      <c r="P203" s="34"/>
      <c r="Q203" s="35"/>
      <c r="R203" s="35"/>
      <c r="S203" s="35"/>
      <c r="T203" s="35"/>
      <c r="U203" s="35"/>
      <c r="V203" s="35"/>
      <c r="W203" s="35"/>
      <c r="X203" s="35"/>
      <c r="Y203" s="35"/>
      <c r="Z203" s="35"/>
      <c r="AA203" s="35"/>
    </row>
    <row r="204" ht="14.25" customHeight="1">
      <c r="A204" s="221"/>
      <c r="B204" s="231"/>
      <c r="C204" s="111"/>
      <c r="D204" s="241"/>
      <c r="E204" s="85"/>
      <c r="F204" s="242"/>
      <c r="G204" s="242"/>
      <c r="H204" s="88"/>
      <c r="I204" s="36">
        <f t="shared" si="1"/>
        <v>0</v>
      </c>
      <c r="J204" s="37">
        <f t="shared" si="2"/>
        <v>0</v>
      </c>
      <c r="K204" s="38">
        <f t="shared" si="3"/>
        <v>0</v>
      </c>
      <c r="L204" s="39">
        <f t="shared" si="4"/>
        <v>0</v>
      </c>
      <c r="M204" s="38">
        <f t="shared" si="5"/>
        <v>0</v>
      </c>
      <c r="N204" s="39">
        <f t="shared" si="6"/>
        <v>0</v>
      </c>
      <c r="O204" s="40"/>
      <c r="P204" s="34"/>
      <c r="Q204" s="35"/>
      <c r="R204" s="35"/>
      <c r="S204" s="35"/>
      <c r="T204" s="35"/>
      <c r="U204" s="35"/>
      <c r="V204" s="35"/>
      <c r="W204" s="35"/>
      <c r="X204" s="35"/>
      <c r="Y204" s="35"/>
      <c r="Z204" s="35"/>
      <c r="AA204" s="35"/>
    </row>
    <row r="205" ht="14.25" customHeight="1">
      <c r="A205" s="221"/>
      <c r="B205" s="231"/>
      <c r="C205" s="111"/>
      <c r="D205" s="241"/>
      <c r="E205" s="85"/>
      <c r="F205" s="242"/>
      <c r="G205" s="242"/>
      <c r="H205" s="88"/>
      <c r="I205" s="36">
        <f t="shared" si="1"/>
        <v>0</v>
      </c>
      <c r="J205" s="37">
        <f t="shared" si="2"/>
        <v>0</v>
      </c>
      <c r="K205" s="38">
        <f t="shared" si="3"/>
        <v>0</v>
      </c>
      <c r="L205" s="39">
        <f t="shared" si="4"/>
        <v>0</v>
      </c>
      <c r="M205" s="38">
        <f t="shared" si="5"/>
        <v>0</v>
      </c>
      <c r="N205" s="39">
        <f t="shared" si="6"/>
        <v>0</v>
      </c>
      <c r="O205" s="40"/>
      <c r="P205" s="34"/>
      <c r="Q205" s="35"/>
      <c r="R205" s="35"/>
      <c r="S205" s="35"/>
      <c r="T205" s="35"/>
      <c r="U205" s="35"/>
      <c r="V205" s="35"/>
      <c r="W205" s="35"/>
      <c r="X205" s="35"/>
      <c r="Y205" s="35"/>
      <c r="Z205" s="35"/>
      <c r="AA205" s="35"/>
    </row>
    <row r="206" ht="14.25" customHeight="1">
      <c r="A206" s="221"/>
      <c r="B206" s="231"/>
      <c r="C206" s="111"/>
      <c r="D206" s="241"/>
      <c r="E206" s="85"/>
      <c r="F206" s="242"/>
      <c r="G206" s="242"/>
      <c r="H206" s="88"/>
      <c r="I206" s="36">
        <f t="shared" si="1"/>
        <v>0</v>
      </c>
      <c r="J206" s="37">
        <f t="shared" si="2"/>
        <v>0</v>
      </c>
      <c r="K206" s="38">
        <f t="shared" si="3"/>
        <v>0</v>
      </c>
      <c r="L206" s="39">
        <f t="shared" si="4"/>
        <v>0</v>
      </c>
      <c r="M206" s="38">
        <f t="shared" si="5"/>
        <v>0</v>
      </c>
      <c r="N206" s="39">
        <f t="shared" si="6"/>
        <v>0</v>
      </c>
      <c r="O206" s="40"/>
      <c r="P206" s="34"/>
      <c r="Q206" s="35"/>
      <c r="R206" s="35"/>
      <c r="S206" s="35"/>
      <c r="T206" s="35"/>
      <c r="U206" s="35"/>
      <c r="V206" s="35"/>
      <c r="W206" s="35"/>
      <c r="X206" s="35"/>
      <c r="Y206" s="35"/>
      <c r="Z206" s="35"/>
      <c r="AA206" s="35"/>
    </row>
    <row r="207" ht="14.25" customHeight="1">
      <c r="A207" s="221"/>
      <c r="B207" s="231"/>
      <c r="C207" s="111"/>
      <c r="D207" s="241"/>
      <c r="E207" s="85"/>
      <c r="F207" s="242"/>
      <c r="G207" s="242"/>
      <c r="H207" s="88"/>
      <c r="I207" s="36">
        <f t="shared" si="1"/>
        <v>0</v>
      </c>
      <c r="J207" s="37">
        <f t="shared" si="2"/>
        <v>0</v>
      </c>
      <c r="K207" s="38">
        <f t="shared" si="3"/>
        <v>0</v>
      </c>
      <c r="L207" s="39">
        <f t="shared" si="4"/>
        <v>0</v>
      </c>
      <c r="M207" s="38">
        <f t="shared" si="5"/>
        <v>0</v>
      </c>
      <c r="N207" s="39">
        <f t="shared" si="6"/>
        <v>0</v>
      </c>
      <c r="O207" s="40"/>
      <c r="P207" s="34"/>
      <c r="Q207" s="35"/>
      <c r="R207" s="35"/>
      <c r="S207" s="35"/>
      <c r="T207" s="35"/>
      <c r="U207" s="35"/>
      <c r="V207" s="35"/>
      <c r="W207" s="35"/>
      <c r="X207" s="35"/>
      <c r="Y207" s="35"/>
      <c r="Z207" s="35"/>
      <c r="AA207" s="35"/>
    </row>
    <row r="208" ht="14.25" customHeight="1">
      <c r="A208" s="221"/>
      <c r="B208" s="231"/>
      <c r="C208" s="111"/>
      <c r="D208" s="241"/>
      <c r="E208" s="85"/>
      <c r="F208" s="242"/>
      <c r="G208" s="242"/>
      <c r="H208" s="88"/>
      <c r="I208" s="36">
        <f t="shared" si="1"/>
        <v>0</v>
      </c>
      <c r="J208" s="37">
        <f t="shared" si="2"/>
        <v>0</v>
      </c>
      <c r="K208" s="38">
        <f t="shared" si="3"/>
        <v>0</v>
      </c>
      <c r="L208" s="39">
        <f t="shared" si="4"/>
        <v>0</v>
      </c>
      <c r="M208" s="38">
        <f t="shared" si="5"/>
        <v>0</v>
      </c>
      <c r="N208" s="39">
        <f t="shared" si="6"/>
        <v>0</v>
      </c>
      <c r="O208" s="40"/>
      <c r="P208" s="34"/>
      <c r="Q208" s="35"/>
      <c r="R208" s="35"/>
      <c r="S208" s="35"/>
      <c r="T208" s="35"/>
      <c r="U208" s="35"/>
      <c r="V208" s="35"/>
      <c r="W208" s="35"/>
      <c r="X208" s="35"/>
      <c r="Y208" s="35"/>
      <c r="Z208" s="35"/>
      <c r="AA208" s="35"/>
    </row>
    <row r="209" ht="14.25" customHeight="1">
      <c r="A209" s="221"/>
      <c r="B209" s="231"/>
      <c r="C209" s="111"/>
      <c r="D209" s="241"/>
      <c r="E209" s="85"/>
      <c r="F209" s="242"/>
      <c r="G209" s="242"/>
      <c r="H209" s="88"/>
      <c r="I209" s="36">
        <f t="shared" si="1"/>
        <v>0</v>
      </c>
      <c r="J209" s="37">
        <f t="shared" si="2"/>
        <v>0</v>
      </c>
      <c r="K209" s="38">
        <f t="shared" si="3"/>
        <v>0</v>
      </c>
      <c r="L209" s="39">
        <f t="shared" si="4"/>
        <v>0</v>
      </c>
      <c r="M209" s="38">
        <f t="shared" si="5"/>
        <v>0</v>
      </c>
      <c r="N209" s="39">
        <f t="shared" si="6"/>
        <v>0</v>
      </c>
      <c r="O209" s="40"/>
      <c r="P209" s="34"/>
      <c r="Q209" s="35"/>
      <c r="R209" s="35"/>
      <c r="S209" s="35"/>
      <c r="T209" s="35"/>
      <c r="U209" s="35"/>
      <c r="V209" s="35"/>
      <c r="W209" s="35"/>
      <c r="X209" s="35"/>
      <c r="Y209" s="35"/>
      <c r="Z209" s="35"/>
      <c r="AA209" s="35"/>
    </row>
    <row r="210" ht="14.25" customHeight="1">
      <c r="A210" s="221"/>
      <c r="B210" s="231"/>
      <c r="C210" s="113"/>
      <c r="D210" s="241"/>
      <c r="E210" s="85"/>
      <c r="F210" s="243"/>
      <c r="G210" s="243"/>
      <c r="H210" s="88"/>
      <c r="I210" s="36">
        <f t="shared" si="1"/>
        <v>0</v>
      </c>
      <c r="J210" s="37">
        <f t="shared" si="2"/>
        <v>0</v>
      </c>
      <c r="K210" s="38">
        <f t="shared" si="3"/>
        <v>0</v>
      </c>
      <c r="L210" s="39">
        <f t="shared" si="4"/>
        <v>0</v>
      </c>
      <c r="M210" s="38">
        <f t="shared" si="5"/>
        <v>0</v>
      </c>
      <c r="N210" s="39">
        <f t="shared" si="6"/>
        <v>0</v>
      </c>
      <c r="O210" s="40"/>
      <c r="P210" s="34"/>
      <c r="Q210" s="35"/>
      <c r="R210" s="35"/>
      <c r="S210" s="35"/>
      <c r="T210" s="35"/>
      <c r="U210" s="35"/>
      <c r="V210" s="35"/>
      <c r="W210" s="35"/>
      <c r="X210" s="35"/>
      <c r="Y210" s="35"/>
      <c r="Z210" s="35"/>
      <c r="AA210" s="35"/>
    </row>
    <row r="211" ht="14.25" customHeight="1">
      <c r="A211" s="221"/>
      <c r="B211" s="231"/>
      <c r="C211" s="108"/>
      <c r="D211" s="241"/>
      <c r="E211" s="85"/>
      <c r="F211" s="242"/>
      <c r="G211" s="242"/>
      <c r="H211" s="88"/>
      <c r="I211" s="36">
        <f t="shared" si="1"/>
        <v>0</v>
      </c>
      <c r="J211" s="37">
        <f t="shared" si="2"/>
        <v>0</v>
      </c>
      <c r="K211" s="38">
        <f t="shared" si="3"/>
        <v>0</v>
      </c>
      <c r="L211" s="39">
        <f t="shared" si="4"/>
        <v>0</v>
      </c>
      <c r="M211" s="38">
        <f t="shared" si="5"/>
        <v>0</v>
      </c>
      <c r="N211" s="39">
        <f t="shared" si="6"/>
        <v>0</v>
      </c>
      <c r="O211" s="40"/>
      <c r="P211" s="34"/>
      <c r="Q211" s="35"/>
      <c r="R211" s="35"/>
      <c r="S211" s="35"/>
      <c r="T211" s="35"/>
      <c r="U211" s="35"/>
      <c r="V211" s="35"/>
      <c r="W211" s="35"/>
      <c r="X211" s="35"/>
      <c r="Y211" s="35"/>
      <c r="Z211" s="35"/>
      <c r="AA211" s="35"/>
    </row>
    <row r="212" ht="14.25" customHeight="1">
      <c r="A212" s="221"/>
      <c r="B212" s="231"/>
      <c r="C212" s="108"/>
      <c r="D212" s="241"/>
      <c r="E212" s="101"/>
      <c r="F212" s="242"/>
      <c r="G212" s="242"/>
      <c r="H212" s="88"/>
      <c r="I212" s="36">
        <f t="shared" si="1"/>
        <v>0</v>
      </c>
      <c r="J212" s="37">
        <f t="shared" si="2"/>
        <v>0</v>
      </c>
      <c r="K212" s="38">
        <f t="shared" si="3"/>
        <v>0</v>
      </c>
      <c r="L212" s="39">
        <f t="shared" si="4"/>
        <v>0</v>
      </c>
      <c r="M212" s="38">
        <f t="shared" si="5"/>
        <v>0</v>
      </c>
      <c r="N212" s="39">
        <f t="shared" si="6"/>
        <v>0</v>
      </c>
      <c r="O212" s="40"/>
      <c r="P212" s="34"/>
      <c r="Q212" s="35"/>
      <c r="R212" s="35"/>
      <c r="S212" s="35"/>
      <c r="T212" s="35"/>
      <c r="U212" s="35"/>
      <c r="V212" s="35"/>
      <c r="W212" s="35"/>
      <c r="X212" s="35"/>
      <c r="Y212" s="35"/>
      <c r="Z212" s="35"/>
      <c r="AA212" s="35"/>
    </row>
    <row r="213" ht="14.25" customHeight="1">
      <c r="A213" s="221"/>
      <c r="B213" s="231"/>
      <c r="C213" s="108"/>
      <c r="D213" s="241"/>
      <c r="E213" s="101"/>
      <c r="F213" s="242"/>
      <c r="G213" s="242"/>
      <c r="H213" s="88"/>
      <c r="I213" s="36">
        <f t="shared" si="1"/>
        <v>0</v>
      </c>
      <c r="J213" s="37">
        <f t="shared" si="2"/>
        <v>0</v>
      </c>
      <c r="K213" s="38">
        <f t="shared" si="3"/>
        <v>0</v>
      </c>
      <c r="L213" s="39">
        <f t="shared" si="4"/>
        <v>0</v>
      </c>
      <c r="M213" s="38">
        <f t="shared" si="5"/>
        <v>0</v>
      </c>
      <c r="N213" s="39">
        <f t="shared" si="6"/>
        <v>0</v>
      </c>
      <c r="O213" s="40"/>
      <c r="P213" s="34"/>
      <c r="Q213" s="35"/>
      <c r="R213" s="35"/>
      <c r="S213" s="35"/>
      <c r="T213" s="35"/>
      <c r="U213" s="35"/>
      <c r="V213" s="35"/>
      <c r="W213" s="35"/>
      <c r="X213" s="35"/>
      <c r="Y213" s="35"/>
      <c r="Z213" s="35"/>
      <c r="AA213" s="35"/>
    </row>
    <row r="214" ht="14.25" customHeight="1">
      <c r="A214" s="221"/>
      <c r="B214" s="231"/>
      <c r="C214" s="108"/>
      <c r="D214" s="241"/>
      <c r="E214" s="101"/>
      <c r="F214" s="242"/>
      <c r="G214" s="242"/>
      <c r="H214" s="88"/>
      <c r="I214" s="36">
        <f t="shared" si="1"/>
        <v>0</v>
      </c>
      <c r="J214" s="37">
        <f t="shared" si="2"/>
        <v>0</v>
      </c>
      <c r="K214" s="38">
        <f t="shared" si="3"/>
        <v>0</v>
      </c>
      <c r="L214" s="39">
        <f t="shared" si="4"/>
        <v>0</v>
      </c>
      <c r="M214" s="38">
        <f t="shared" si="5"/>
        <v>0</v>
      </c>
      <c r="N214" s="39">
        <f t="shared" si="6"/>
        <v>0</v>
      </c>
      <c r="O214" s="40"/>
      <c r="P214" s="34"/>
      <c r="Q214" s="35"/>
      <c r="R214" s="35"/>
      <c r="S214" s="35"/>
      <c r="T214" s="35"/>
      <c r="U214" s="35"/>
      <c r="V214" s="35"/>
      <c r="W214" s="35"/>
      <c r="X214" s="35"/>
      <c r="Y214" s="35"/>
      <c r="Z214" s="35"/>
      <c r="AA214" s="35"/>
    </row>
    <row r="215" ht="14.25" customHeight="1">
      <c r="A215" s="221"/>
      <c r="B215" s="231"/>
      <c r="C215" s="108"/>
      <c r="D215" s="241"/>
      <c r="E215" s="101"/>
      <c r="F215" s="242"/>
      <c r="G215" s="242"/>
      <c r="H215" s="88"/>
      <c r="I215" s="36">
        <f t="shared" si="1"/>
        <v>0</v>
      </c>
      <c r="J215" s="37">
        <f t="shared" si="2"/>
        <v>0</v>
      </c>
      <c r="K215" s="38">
        <f t="shared" si="3"/>
        <v>0</v>
      </c>
      <c r="L215" s="39">
        <f t="shared" si="4"/>
        <v>0</v>
      </c>
      <c r="M215" s="38">
        <f t="shared" si="5"/>
        <v>0</v>
      </c>
      <c r="N215" s="39">
        <f t="shared" si="6"/>
        <v>0</v>
      </c>
      <c r="O215" s="40"/>
      <c r="P215" s="34"/>
      <c r="Q215" s="35"/>
      <c r="R215" s="35"/>
      <c r="S215" s="35"/>
      <c r="T215" s="35"/>
      <c r="U215" s="35"/>
      <c r="V215" s="35"/>
      <c r="W215" s="35"/>
      <c r="X215" s="35"/>
      <c r="Y215" s="35"/>
      <c r="Z215" s="35"/>
      <c r="AA215" s="35"/>
    </row>
    <row r="216" ht="14.25" customHeight="1">
      <c r="A216" s="221"/>
      <c r="B216" s="231"/>
      <c r="C216" s="115"/>
      <c r="D216" s="237"/>
      <c r="E216" s="101"/>
      <c r="F216" s="243"/>
      <c r="G216" s="243"/>
      <c r="H216" s="88"/>
      <c r="I216" s="36">
        <f t="shared" si="1"/>
        <v>0</v>
      </c>
      <c r="J216" s="37">
        <f t="shared" si="2"/>
        <v>0</v>
      </c>
      <c r="K216" s="38">
        <f t="shared" si="3"/>
        <v>0</v>
      </c>
      <c r="L216" s="39">
        <f t="shared" si="4"/>
        <v>0</v>
      </c>
      <c r="M216" s="38">
        <f t="shared" si="5"/>
        <v>0</v>
      </c>
      <c r="N216" s="39">
        <f t="shared" si="6"/>
        <v>0</v>
      </c>
      <c r="O216" s="40"/>
      <c r="P216" s="34"/>
      <c r="Q216" s="35"/>
      <c r="R216" s="35"/>
      <c r="S216" s="35"/>
      <c r="T216" s="35"/>
      <c r="U216" s="35"/>
      <c r="V216" s="35"/>
      <c r="W216" s="35"/>
      <c r="X216" s="35"/>
      <c r="Y216" s="35"/>
      <c r="Z216" s="35"/>
      <c r="AA216" s="35"/>
    </row>
    <row r="217" ht="14.25" customHeight="1">
      <c r="A217" s="221"/>
      <c r="B217" s="231"/>
      <c r="C217" s="113"/>
      <c r="D217" s="237"/>
      <c r="E217" s="101"/>
      <c r="F217" s="243"/>
      <c r="G217" s="243"/>
      <c r="H217" s="88"/>
      <c r="I217" s="36">
        <f t="shared" si="1"/>
        <v>0</v>
      </c>
      <c r="J217" s="37">
        <f t="shared" si="2"/>
        <v>0</v>
      </c>
      <c r="K217" s="38">
        <f t="shared" si="3"/>
        <v>0</v>
      </c>
      <c r="L217" s="39">
        <f t="shared" si="4"/>
        <v>0</v>
      </c>
      <c r="M217" s="38">
        <f t="shared" si="5"/>
        <v>0</v>
      </c>
      <c r="N217" s="39">
        <f t="shared" si="6"/>
        <v>0</v>
      </c>
      <c r="O217" s="40"/>
      <c r="P217" s="34"/>
      <c r="Q217" s="35"/>
      <c r="R217" s="35"/>
      <c r="S217" s="35"/>
      <c r="T217" s="35"/>
      <c r="U217" s="35"/>
      <c r="V217" s="35"/>
      <c r="W217" s="35"/>
      <c r="X217" s="35"/>
      <c r="Y217" s="35"/>
      <c r="Z217" s="35"/>
      <c r="AA217" s="35"/>
    </row>
    <row r="218" ht="14.25" customHeight="1">
      <c r="A218" s="221"/>
      <c r="B218" s="231"/>
      <c r="C218" s="113"/>
      <c r="D218" s="237"/>
      <c r="E218" s="100"/>
      <c r="F218" s="243"/>
      <c r="G218" s="243"/>
      <c r="H218" s="88"/>
      <c r="I218" s="36">
        <f t="shared" si="1"/>
        <v>0</v>
      </c>
      <c r="J218" s="37">
        <f t="shared" si="2"/>
        <v>0</v>
      </c>
      <c r="K218" s="38">
        <f t="shared" si="3"/>
        <v>0</v>
      </c>
      <c r="L218" s="39">
        <f t="shared" si="4"/>
        <v>0</v>
      </c>
      <c r="M218" s="38">
        <f t="shared" si="5"/>
        <v>0</v>
      </c>
      <c r="N218" s="39">
        <f t="shared" si="6"/>
        <v>0</v>
      </c>
      <c r="O218" s="40"/>
      <c r="P218" s="34"/>
      <c r="Q218" s="35"/>
      <c r="R218" s="35"/>
      <c r="S218" s="35"/>
      <c r="T218" s="35"/>
      <c r="U218" s="35"/>
      <c r="V218" s="35"/>
      <c r="W218" s="35"/>
      <c r="X218" s="35"/>
      <c r="Y218" s="35"/>
      <c r="Z218" s="35"/>
      <c r="AA218" s="35"/>
    </row>
    <row r="219" ht="14.25" customHeight="1">
      <c r="A219" s="221"/>
      <c r="B219" s="231"/>
      <c r="C219" s="111"/>
      <c r="D219" s="237"/>
      <c r="E219" s="101"/>
      <c r="F219" s="242"/>
      <c r="G219" s="242"/>
      <c r="H219" s="88"/>
      <c r="I219" s="36">
        <f t="shared" si="1"/>
        <v>0</v>
      </c>
      <c r="J219" s="37">
        <f t="shared" si="2"/>
        <v>0</v>
      </c>
      <c r="K219" s="38">
        <f t="shared" si="3"/>
        <v>0</v>
      </c>
      <c r="L219" s="39">
        <f t="shared" si="4"/>
        <v>0</v>
      </c>
      <c r="M219" s="38">
        <f t="shared" si="5"/>
        <v>0</v>
      </c>
      <c r="N219" s="39">
        <f t="shared" si="6"/>
        <v>0</v>
      </c>
      <c r="O219" s="40"/>
      <c r="P219" s="34"/>
      <c r="Q219" s="35"/>
      <c r="R219" s="35"/>
      <c r="S219" s="35"/>
      <c r="T219" s="35"/>
      <c r="U219" s="35"/>
      <c r="V219" s="35"/>
      <c r="W219" s="35"/>
      <c r="X219" s="35"/>
      <c r="Y219" s="35"/>
      <c r="Z219" s="35"/>
      <c r="AA219" s="35"/>
    </row>
    <row r="220" ht="14.25" customHeight="1">
      <c r="A220" s="221"/>
      <c r="B220" s="231"/>
      <c r="C220" s="115"/>
      <c r="D220" s="237"/>
      <c r="E220" s="101"/>
      <c r="F220" s="243"/>
      <c r="G220" s="243"/>
      <c r="H220" s="88"/>
      <c r="I220" s="36">
        <f t="shared" si="1"/>
        <v>0</v>
      </c>
      <c r="J220" s="37">
        <f t="shared" si="2"/>
        <v>0</v>
      </c>
      <c r="K220" s="38">
        <f t="shared" si="3"/>
        <v>0</v>
      </c>
      <c r="L220" s="39">
        <f t="shared" si="4"/>
        <v>0</v>
      </c>
      <c r="M220" s="38">
        <f t="shared" si="5"/>
        <v>0</v>
      </c>
      <c r="N220" s="39">
        <f t="shared" si="6"/>
        <v>0</v>
      </c>
      <c r="O220" s="40"/>
      <c r="P220" s="34"/>
      <c r="Q220" s="35"/>
      <c r="R220" s="35"/>
      <c r="S220" s="35"/>
      <c r="T220" s="35"/>
      <c r="U220" s="35"/>
      <c r="V220" s="35"/>
      <c r="W220" s="35"/>
      <c r="X220" s="35"/>
      <c r="Y220" s="35"/>
      <c r="Z220" s="35"/>
      <c r="AA220" s="35"/>
    </row>
    <row r="221" ht="14.25" customHeight="1">
      <c r="A221" s="221"/>
      <c r="B221" s="231"/>
      <c r="C221" s="113"/>
      <c r="D221" s="237"/>
      <c r="E221" s="101"/>
      <c r="F221" s="242"/>
      <c r="G221" s="242"/>
      <c r="H221" s="88"/>
      <c r="I221" s="36">
        <f t="shared" si="1"/>
        <v>0</v>
      </c>
      <c r="J221" s="37">
        <f t="shared" si="2"/>
        <v>0</v>
      </c>
      <c r="K221" s="38">
        <f t="shared" si="3"/>
        <v>0</v>
      </c>
      <c r="L221" s="39">
        <f t="shared" si="4"/>
        <v>0</v>
      </c>
      <c r="M221" s="38">
        <f t="shared" si="5"/>
        <v>0</v>
      </c>
      <c r="N221" s="39">
        <f t="shared" si="6"/>
        <v>0</v>
      </c>
      <c r="O221" s="40"/>
      <c r="P221" s="34"/>
      <c r="Q221" s="35"/>
      <c r="R221" s="35"/>
      <c r="S221" s="35"/>
      <c r="T221" s="35"/>
      <c r="U221" s="35"/>
      <c r="V221" s="35"/>
      <c r="W221" s="35"/>
      <c r="X221" s="35"/>
      <c r="Y221" s="35"/>
      <c r="Z221" s="35"/>
      <c r="AA221" s="35"/>
    </row>
    <row r="222" ht="14.25" customHeight="1">
      <c r="A222" s="221"/>
      <c r="B222" s="231"/>
      <c r="C222" s="113"/>
      <c r="D222" s="237"/>
      <c r="E222" s="101"/>
      <c r="F222" s="243"/>
      <c r="G222" s="243"/>
      <c r="H222" s="88"/>
      <c r="I222" s="36">
        <f t="shared" si="1"/>
        <v>0</v>
      </c>
      <c r="J222" s="37">
        <f t="shared" si="2"/>
        <v>0</v>
      </c>
      <c r="K222" s="38">
        <f t="shared" si="3"/>
        <v>0</v>
      </c>
      <c r="L222" s="39">
        <f t="shared" si="4"/>
        <v>0</v>
      </c>
      <c r="M222" s="38">
        <f t="shared" si="5"/>
        <v>0</v>
      </c>
      <c r="N222" s="39">
        <f t="shared" si="6"/>
        <v>0</v>
      </c>
      <c r="O222" s="40"/>
      <c r="P222" s="34"/>
      <c r="Q222" s="35"/>
      <c r="R222" s="35"/>
      <c r="S222" s="35"/>
      <c r="T222" s="35"/>
      <c r="U222" s="35"/>
      <c r="V222" s="35"/>
      <c r="W222" s="35"/>
      <c r="X222" s="35"/>
      <c r="Y222" s="35"/>
      <c r="Z222" s="35"/>
      <c r="AA222" s="35"/>
    </row>
    <row r="223" ht="14.25" customHeight="1">
      <c r="A223" s="221"/>
      <c r="B223" s="231"/>
      <c r="C223" s="108"/>
      <c r="D223" s="237"/>
      <c r="E223" s="101"/>
      <c r="F223" s="238"/>
      <c r="G223" s="238"/>
      <c r="H223" s="88"/>
      <c r="I223" s="36">
        <f t="shared" si="1"/>
        <v>0</v>
      </c>
      <c r="J223" s="37">
        <f t="shared" si="2"/>
        <v>0</v>
      </c>
      <c r="K223" s="38">
        <f t="shared" si="3"/>
        <v>0</v>
      </c>
      <c r="L223" s="39">
        <f t="shared" si="4"/>
        <v>0</v>
      </c>
      <c r="M223" s="38">
        <f t="shared" si="5"/>
        <v>0</v>
      </c>
      <c r="N223" s="39">
        <f t="shared" si="6"/>
        <v>0</v>
      </c>
      <c r="O223" s="40"/>
      <c r="P223" s="34"/>
      <c r="Q223" s="35"/>
      <c r="R223" s="35"/>
      <c r="S223" s="35"/>
      <c r="T223" s="35"/>
      <c r="U223" s="35"/>
      <c r="V223" s="35"/>
      <c r="W223" s="35"/>
      <c r="X223" s="35"/>
      <c r="Y223" s="35"/>
      <c r="Z223" s="35"/>
      <c r="AA223" s="35"/>
    </row>
    <row r="224" ht="14.25" customHeight="1">
      <c r="A224" s="221"/>
      <c r="B224" s="231"/>
      <c r="C224" s="108"/>
      <c r="D224" s="237"/>
      <c r="E224" s="101"/>
      <c r="F224" s="243"/>
      <c r="G224" s="243"/>
      <c r="H224" s="88"/>
      <c r="I224" s="36">
        <f t="shared" si="1"/>
        <v>0</v>
      </c>
      <c r="J224" s="37">
        <f t="shared" si="2"/>
        <v>0</v>
      </c>
      <c r="K224" s="38">
        <f t="shared" si="3"/>
        <v>0</v>
      </c>
      <c r="L224" s="39">
        <f t="shared" si="4"/>
        <v>0</v>
      </c>
      <c r="M224" s="38">
        <f t="shared" si="5"/>
        <v>0</v>
      </c>
      <c r="N224" s="39">
        <f t="shared" si="6"/>
        <v>0</v>
      </c>
      <c r="O224" s="40"/>
      <c r="P224" s="34"/>
      <c r="Q224" s="35"/>
      <c r="R224" s="35"/>
      <c r="S224" s="35"/>
      <c r="T224" s="35"/>
      <c r="U224" s="35"/>
      <c r="V224" s="35"/>
      <c r="W224" s="35"/>
      <c r="X224" s="35"/>
      <c r="Y224" s="35"/>
      <c r="Z224" s="35"/>
      <c r="AA224" s="35"/>
    </row>
    <row r="225" ht="14.25" customHeight="1">
      <c r="A225" s="221"/>
      <c r="B225" s="231"/>
      <c r="C225" s="113"/>
      <c r="D225" s="237"/>
      <c r="E225" s="101"/>
      <c r="F225" s="242"/>
      <c r="G225" s="242"/>
      <c r="H225" s="88"/>
      <c r="I225" s="36">
        <f t="shared" si="1"/>
        <v>0</v>
      </c>
      <c r="J225" s="37">
        <f t="shared" si="2"/>
        <v>0</v>
      </c>
      <c r="K225" s="38">
        <f t="shared" si="3"/>
        <v>0</v>
      </c>
      <c r="L225" s="39">
        <f t="shared" si="4"/>
        <v>0</v>
      </c>
      <c r="M225" s="38">
        <f t="shared" si="5"/>
        <v>0</v>
      </c>
      <c r="N225" s="39">
        <f t="shared" si="6"/>
        <v>0</v>
      </c>
      <c r="O225" s="40"/>
      <c r="P225" s="34"/>
      <c r="Q225" s="35"/>
      <c r="R225" s="35"/>
      <c r="S225" s="35"/>
      <c r="T225" s="35"/>
      <c r="U225" s="35"/>
      <c r="V225" s="35"/>
      <c r="W225" s="35"/>
      <c r="X225" s="35"/>
      <c r="Y225" s="35"/>
      <c r="Z225" s="35"/>
      <c r="AA225" s="35"/>
    </row>
    <row r="226" ht="14.25" customHeight="1">
      <c r="A226" s="221"/>
      <c r="B226" s="231"/>
      <c r="C226" s="108"/>
      <c r="D226" s="241"/>
      <c r="E226" s="101"/>
      <c r="F226" s="242"/>
      <c r="G226" s="242"/>
      <c r="H226" s="88"/>
      <c r="I226" s="36">
        <f t="shared" si="1"/>
        <v>0</v>
      </c>
      <c r="J226" s="37">
        <f t="shared" si="2"/>
        <v>0</v>
      </c>
      <c r="K226" s="38">
        <f t="shared" si="3"/>
        <v>0</v>
      </c>
      <c r="L226" s="39">
        <f t="shared" si="4"/>
        <v>0</v>
      </c>
      <c r="M226" s="38">
        <f t="shared" si="5"/>
        <v>0</v>
      </c>
      <c r="N226" s="39">
        <f t="shared" si="6"/>
        <v>0</v>
      </c>
      <c r="O226" s="40"/>
      <c r="P226" s="34"/>
      <c r="Q226" s="35"/>
      <c r="R226" s="35"/>
      <c r="S226" s="35"/>
      <c r="T226" s="35"/>
      <c r="U226" s="35"/>
      <c r="V226" s="35"/>
      <c r="W226" s="35"/>
      <c r="X226" s="35"/>
      <c r="Y226" s="35"/>
      <c r="Z226" s="35"/>
      <c r="AA226" s="35"/>
    </row>
    <row r="227" ht="14.25" customHeight="1">
      <c r="A227" s="221"/>
      <c r="B227" s="231"/>
      <c r="C227" s="108"/>
      <c r="D227" s="241"/>
      <c r="E227" s="101"/>
      <c r="F227" s="242"/>
      <c r="G227" s="242"/>
      <c r="H227" s="88"/>
      <c r="I227" s="36">
        <f t="shared" si="1"/>
        <v>0</v>
      </c>
      <c r="J227" s="37">
        <f t="shared" si="2"/>
        <v>0</v>
      </c>
      <c r="K227" s="38">
        <f t="shared" si="3"/>
        <v>0</v>
      </c>
      <c r="L227" s="39">
        <f t="shared" si="4"/>
        <v>0</v>
      </c>
      <c r="M227" s="38">
        <f t="shared" si="5"/>
        <v>0</v>
      </c>
      <c r="N227" s="39">
        <f t="shared" si="6"/>
        <v>0</v>
      </c>
      <c r="O227" s="40"/>
      <c r="P227" s="34"/>
      <c r="Q227" s="35"/>
      <c r="R227" s="35"/>
      <c r="S227" s="35"/>
      <c r="T227" s="35"/>
      <c r="U227" s="35"/>
      <c r="V227" s="35"/>
      <c r="W227" s="35"/>
      <c r="X227" s="35"/>
      <c r="Y227" s="35"/>
      <c r="Z227" s="35"/>
      <c r="AA227" s="35"/>
    </row>
    <row r="228" ht="14.25" customHeight="1">
      <c r="A228" s="221"/>
      <c r="B228" s="231"/>
      <c r="C228" s="108"/>
      <c r="D228" s="241"/>
      <c r="E228" s="101"/>
      <c r="F228" s="242"/>
      <c r="G228" s="242"/>
      <c r="H228" s="88"/>
      <c r="I228" s="36">
        <f t="shared" si="1"/>
        <v>0</v>
      </c>
      <c r="J228" s="37">
        <f t="shared" si="2"/>
        <v>0</v>
      </c>
      <c r="K228" s="38">
        <f t="shared" si="3"/>
        <v>0</v>
      </c>
      <c r="L228" s="39">
        <f t="shared" si="4"/>
        <v>0</v>
      </c>
      <c r="M228" s="38">
        <f t="shared" si="5"/>
        <v>0</v>
      </c>
      <c r="N228" s="39">
        <f t="shared" si="6"/>
        <v>0</v>
      </c>
      <c r="O228" s="40"/>
      <c r="P228" s="34"/>
      <c r="Q228" s="35"/>
      <c r="R228" s="35"/>
      <c r="S228" s="35"/>
      <c r="T228" s="35"/>
      <c r="U228" s="35"/>
      <c r="V228" s="35"/>
      <c r="W228" s="35"/>
      <c r="X228" s="35"/>
      <c r="Y228" s="35"/>
      <c r="Z228" s="35"/>
      <c r="AA228" s="35"/>
    </row>
    <row r="229" ht="14.25" customHeight="1">
      <c r="A229" s="221"/>
      <c r="B229" s="231"/>
      <c r="C229" s="116"/>
      <c r="D229" s="237"/>
      <c r="E229" s="117"/>
      <c r="F229" s="244"/>
      <c r="G229" s="244"/>
      <c r="H229" s="88"/>
      <c r="I229" s="36">
        <f t="shared" si="1"/>
        <v>0</v>
      </c>
      <c r="J229" s="37">
        <f t="shared" si="2"/>
        <v>0</v>
      </c>
      <c r="K229" s="38">
        <f t="shared" si="3"/>
        <v>0</v>
      </c>
      <c r="L229" s="39">
        <f t="shared" si="4"/>
        <v>0</v>
      </c>
      <c r="M229" s="38">
        <f t="shared" si="5"/>
        <v>0</v>
      </c>
      <c r="N229" s="39">
        <f t="shared" si="6"/>
        <v>0</v>
      </c>
      <c r="O229" s="40"/>
      <c r="P229" s="34"/>
      <c r="Q229" s="35"/>
      <c r="R229" s="35"/>
      <c r="S229" s="35"/>
      <c r="T229" s="35"/>
      <c r="U229" s="35"/>
      <c r="V229" s="35"/>
      <c r="W229" s="35"/>
      <c r="X229" s="35"/>
      <c r="Y229" s="35"/>
      <c r="Z229" s="35"/>
      <c r="AA229" s="35"/>
    </row>
    <row r="230" ht="14.25" customHeight="1">
      <c r="A230" s="221"/>
      <c r="B230" s="231"/>
      <c r="C230" s="116"/>
      <c r="D230" s="237"/>
      <c r="E230" s="117"/>
      <c r="F230" s="244"/>
      <c r="G230" s="244"/>
      <c r="H230" s="88"/>
      <c r="I230" s="36">
        <f t="shared" si="1"/>
        <v>0</v>
      </c>
      <c r="J230" s="37">
        <f t="shared" si="2"/>
        <v>0</v>
      </c>
      <c r="K230" s="38">
        <f t="shared" si="3"/>
        <v>0</v>
      </c>
      <c r="L230" s="39">
        <f t="shared" si="4"/>
        <v>0</v>
      </c>
      <c r="M230" s="38">
        <f t="shared" si="5"/>
        <v>0</v>
      </c>
      <c r="N230" s="39">
        <f t="shared" si="6"/>
        <v>0</v>
      </c>
      <c r="O230" s="40"/>
      <c r="P230" s="34"/>
      <c r="Q230" s="35"/>
      <c r="R230" s="35"/>
      <c r="S230" s="35"/>
      <c r="T230" s="35"/>
      <c r="U230" s="35"/>
      <c r="V230" s="35"/>
      <c r="W230" s="35"/>
      <c r="X230" s="35"/>
      <c r="Y230" s="35"/>
      <c r="Z230" s="35"/>
      <c r="AA230" s="35"/>
    </row>
    <row r="231" ht="14.25" customHeight="1">
      <c r="A231" s="221"/>
      <c r="B231" s="231"/>
      <c r="C231" s="116"/>
      <c r="D231" s="237"/>
      <c r="E231" s="117"/>
      <c r="F231" s="244"/>
      <c r="G231" s="244"/>
      <c r="H231" s="88"/>
      <c r="I231" s="36">
        <f t="shared" si="1"/>
        <v>0</v>
      </c>
      <c r="J231" s="37">
        <f t="shared" si="2"/>
        <v>0</v>
      </c>
      <c r="K231" s="38">
        <f t="shared" si="3"/>
        <v>0</v>
      </c>
      <c r="L231" s="39">
        <f t="shared" si="4"/>
        <v>0</v>
      </c>
      <c r="M231" s="38">
        <f t="shared" si="5"/>
        <v>0</v>
      </c>
      <c r="N231" s="39">
        <f t="shared" si="6"/>
        <v>0</v>
      </c>
      <c r="O231" s="40"/>
      <c r="P231" s="34"/>
      <c r="Q231" s="35"/>
      <c r="R231" s="35"/>
      <c r="S231" s="35"/>
      <c r="T231" s="35"/>
      <c r="U231" s="35"/>
      <c r="V231" s="35"/>
      <c r="W231" s="35"/>
      <c r="X231" s="35"/>
      <c r="Y231" s="35"/>
      <c r="Z231" s="35"/>
      <c r="AA231" s="35"/>
    </row>
    <row r="232" ht="14.25" customHeight="1">
      <c r="A232" s="221"/>
      <c r="B232" s="231"/>
      <c r="C232" s="116"/>
      <c r="D232" s="237"/>
      <c r="E232" s="117"/>
      <c r="F232" s="244"/>
      <c r="G232" s="244"/>
      <c r="H232" s="88"/>
      <c r="I232" s="36">
        <f t="shared" si="1"/>
        <v>0</v>
      </c>
      <c r="J232" s="37">
        <f t="shared" si="2"/>
        <v>0</v>
      </c>
      <c r="K232" s="38">
        <f t="shared" si="3"/>
        <v>0</v>
      </c>
      <c r="L232" s="39">
        <f t="shared" si="4"/>
        <v>0</v>
      </c>
      <c r="M232" s="38">
        <f t="shared" si="5"/>
        <v>0</v>
      </c>
      <c r="N232" s="39">
        <f t="shared" si="6"/>
        <v>0</v>
      </c>
      <c r="O232" s="40"/>
      <c r="P232" s="34"/>
      <c r="Q232" s="35"/>
      <c r="R232" s="35"/>
      <c r="S232" s="35"/>
      <c r="T232" s="35"/>
      <c r="U232" s="35"/>
      <c r="V232" s="35"/>
      <c r="W232" s="35"/>
      <c r="X232" s="35"/>
      <c r="Y232" s="35"/>
      <c r="Z232" s="35"/>
      <c r="AA232" s="35"/>
    </row>
    <row r="233" ht="14.25" customHeight="1">
      <c r="A233" s="221"/>
      <c r="B233" s="231"/>
      <c r="C233" s="116"/>
      <c r="D233" s="237"/>
      <c r="E233" s="117"/>
      <c r="F233" s="244"/>
      <c r="G233" s="244"/>
      <c r="H233" s="88"/>
      <c r="I233" s="36">
        <f t="shared" si="1"/>
        <v>0</v>
      </c>
      <c r="J233" s="37">
        <f t="shared" si="2"/>
        <v>0</v>
      </c>
      <c r="K233" s="38">
        <f t="shared" si="3"/>
        <v>0</v>
      </c>
      <c r="L233" s="39">
        <f t="shared" si="4"/>
        <v>0</v>
      </c>
      <c r="M233" s="38">
        <f t="shared" si="5"/>
        <v>0</v>
      </c>
      <c r="N233" s="39">
        <f t="shared" si="6"/>
        <v>0</v>
      </c>
      <c r="O233" s="40"/>
      <c r="P233" s="34"/>
      <c r="Q233" s="35"/>
      <c r="R233" s="35"/>
      <c r="S233" s="35"/>
      <c r="T233" s="35"/>
      <c r="U233" s="35"/>
      <c r="V233" s="35"/>
      <c r="W233" s="35"/>
      <c r="X233" s="35"/>
      <c r="Y233" s="35"/>
      <c r="Z233" s="35"/>
      <c r="AA233" s="35"/>
    </row>
    <row r="234" ht="14.25" customHeight="1">
      <c r="A234" s="221"/>
      <c r="B234" s="231"/>
      <c r="C234" s="116"/>
      <c r="D234" s="237"/>
      <c r="E234" s="117"/>
      <c r="F234" s="244"/>
      <c r="G234" s="244"/>
      <c r="H234" s="88"/>
      <c r="I234" s="36">
        <f t="shared" si="1"/>
        <v>0</v>
      </c>
      <c r="J234" s="37">
        <f t="shared" si="2"/>
        <v>0</v>
      </c>
      <c r="K234" s="38">
        <f t="shared" si="3"/>
        <v>0</v>
      </c>
      <c r="L234" s="39">
        <f t="shared" si="4"/>
        <v>0</v>
      </c>
      <c r="M234" s="38">
        <f t="shared" si="5"/>
        <v>0</v>
      </c>
      <c r="N234" s="39">
        <f t="shared" si="6"/>
        <v>0</v>
      </c>
      <c r="O234" s="40"/>
      <c r="P234" s="34"/>
      <c r="Q234" s="35"/>
      <c r="R234" s="35"/>
      <c r="S234" s="35"/>
      <c r="T234" s="35"/>
      <c r="U234" s="35"/>
      <c r="V234" s="35"/>
      <c r="W234" s="35"/>
      <c r="X234" s="35"/>
      <c r="Y234" s="35"/>
      <c r="Z234" s="35"/>
      <c r="AA234" s="35"/>
    </row>
    <row r="235" ht="14.25" customHeight="1">
      <c r="A235" s="221"/>
      <c r="B235" s="231"/>
      <c r="C235" s="116"/>
      <c r="D235" s="237"/>
      <c r="E235" s="117"/>
      <c r="F235" s="244"/>
      <c r="G235" s="244"/>
      <c r="H235" s="88"/>
      <c r="I235" s="36">
        <f t="shared" si="1"/>
        <v>0</v>
      </c>
      <c r="J235" s="37">
        <f t="shared" si="2"/>
        <v>0</v>
      </c>
      <c r="K235" s="38">
        <f t="shared" si="3"/>
        <v>0</v>
      </c>
      <c r="L235" s="39">
        <f t="shared" si="4"/>
        <v>0</v>
      </c>
      <c r="M235" s="38">
        <f t="shared" si="5"/>
        <v>0</v>
      </c>
      <c r="N235" s="39">
        <f t="shared" si="6"/>
        <v>0</v>
      </c>
      <c r="O235" s="40"/>
      <c r="P235" s="34"/>
      <c r="Q235" s="35"/>
      <c r="R235" s="35"/>
      <c r="S235" s="35"/>
      <c r="T235" s="35"/>
      <c r="U235" s="35"/>
      <c r="V235" s="35"/>
      <c r="W235" s="35"/>
      <c r="X235" s="35"/>
      <c r="Y235" s="35"/>
      <c r="Z235" s="35"/>
      <c r="AA235" s="35"/>
    </row>
    <row r="236" ht="14.25" customHeight="1">
      <c r="A236" s="221"/>
      <c r="B236" s="231"/>
      <c r="C236" s="115"/>
      <c r="D236" s="237"/>
      <c r="E236" s="117"/>
      <c r="F236" s="244"/>
      <c r="G236" s="244"/>
      <c r="H236" s="88"/>
      <c r="I236" s="36">
        <f t="shared" si="1"/>
        <v>0</v>
      </c>
      <c r="J236" s="37">
        <f t="shared" si="2"/>
        <v>0</v>
      </c>
      <c r="K236" s="38">
        <f t="shared" si="3"/>
        <v>0</v>
      </c>
      <c r="L236" s="39">
        <f t="shared" si="4"/>
        <v>0</v>
      </c>
      <c r="M236" s="38">
        <f t="shared" si="5"/>
        <v>0</v>
      </c>
      <c r="N236" s="39">
        <f t="shared" si="6"/>
        <v>0</v>
      </c>
      <c r="O236" s="40"/>
      <c r="P236" s="34"/>
      <c r="Q236" s="35"/>
      <c r="R236" s="35"/>
      <c r="S236" s="35"/>
      <c r="T236" s="35"/>
      <c r="U236" s="35"/>
      <c r="V236" s="35"/>
      <c r="W236" s="35"/>
      <c r="X236" s="35"/>
      <c r="Y236" s="35"/>
      <c r="Z236" s="35"/>
      <c r="AA236" s="35"/>
    </row>
    <row r="237" ht="14.25" customHeight="1">
      <c r="A237" s="221"/>
      <c r="B237" s="231"/>
      <c r="C237" s="108"/>
      <c r="D237" s="237"/>
      <c r="E237" s="117"/>
      <c r="F237" s="245"/>
      <c r="G237" s="245"/>
      <c r="H237" s="88"/>
      <c r="I237" s="36">
        <f t="shared" si="1"/>
        <v>0</v>
      </c>
      <c r="J237" s="37">
        <f t="shared" si="2"/>
        <v>0</v>
      </c>
      <c r="K237" s="38">
        <f t="shared" si="3"/>
        <v>0</v>
      </c>
      <c r="L237" s="39">
        <f t="shared" si="4"/>
        <v>0</v>
      </c>
      <c r="M237" s="38">
        <f t="shared" si="5"/>
        <v>0</v>
      </c>
      <c r="N237" s="39">
        <f t="shared" si="6"/>
        <v>0</v>
      </c>
      <c r="O237" s="40"/>
      <c r="P237" s="34"/>
      <c r="Q237" s="35"/>
      <c r="R237" s="35"/>
      <c r="S237" s="35"/>
      <c r="T237" s="35"/>
      <c r="U237" s="35"/>
      <c r="V237" s="35"/>
      <c r="W237" s="35"/>
      <c r="X237" s="35"/>
      <c r="Y237" s="35"/>
      <c r="Z237" s="35"/>
      <c r="AA237" s="35"/>
    </row>
    <row r="238" ht="14.25" customHeight="1">
      <c r="A238" s="221"/>
      <c r="B238" s="231"/>
      <c r="C238" s="108"/>
      <c r="D238" s="237"/>
      <c r="E238" s="117"/>
      <c r="F238" s="245"/>
      <c r="G238" s="245"/>
      <c r="H238" s="88"/>
      <c r="I238" s="36">
        <f t="shared" si="1"/>
        <v>0</v>
      </c>
      <c r="J238" s="37">
        <f t="shared" si="2"/>
        <v>0</v>
      </c>
      <c r="K238" s="38">
        <f t="shared" si="3"/>
        <v>0</v>
      </c>
      <c r="L238" s="39">
        <f t="shared" si="4"/>
        <v>0</v>
      </c>
      <c r="M238" s="38">
        <f t="shared" si="5"/>
        <v>0</v>
      </c>
      <c r="N238" s="39">
        <f t="shared" si="6"/>
        <v>0</v>
      </c>
      <c r="O238" s="40"/>
      <c r="P238" s="34"/>
      <c r="Q238" s="35"/>
      <c r="R238" s="35"/>
      <c r="S238" s="35"/>
      <c r="T238" s="35"/>
      <c r="U238" s="35"/>
      <c r="V238" s="35"/>
      <c r="W238" s="35"/>
      <c r="X238" s="35"/>
      <c r="Y238" s="35"/>
      <c r="Z238" s="35"/>
      <c r="AA238" s="35"/>
    </row>
    <row r="239" ht="14.25" customHeight="1">
      <c r="A239" s="221"/>
      <c r="B239" s="231"/>
      <c r="C239" s="108"/>
      <c r="D239" s="237"/>
      <c r="E239" s="117"/>
      <c r="F239" s="245"/>
      <c r="G239" s="245"/>
      <c r="H239" s="88"/>
      <c r="I239" s="36">
        <f t="shared" si="1"/>
        <v>0</v>
      </c>
      <c r="J239" s="37">
        <f t="shared" si="2"/>
        <v>0</v>
      </c>
      <c r="K239" s="38">
        <f t="shared" si="3"/>
        <v>0</v>
      </c>
      <c r="L239" s="39">
        <f t="shared" si="4"/>
        <v>0</v>
      </c>
      <c r="M239" s="38">
        <f t="shared" si="5"/>
        <v>0</v>
      </c>
      <c r="N239" s="39">
        <f t="shared" si="6"/>
        <v>0</v>
      </c>
      <c r="O239" s="40"/>
      <c r="P239" s="34"/>
      <c r="Q239" s="35"/>
      <c r="R239" s="35"/>
      <c r="S239" s="35"/>
      <c r="T239" s="35"/>
      <c r="U239" s="35"/>
      <c r="V239" s="35"/>
      <c r="W239" s="35"/>
      <c r="X239" s="35"/>
      <c r="Y239" s="35"/>
      <c r="Z239" s="35"/>
      <c r="AA239" s="35"/>
    </row>
    <row r="240" ht="14.25" customHeight="1">
      <c r="A240" s="221"/>
      <c r="B240" s="231"/>
      <c r="C240" s="108"/>
      <c r="D240" s="223"/>
      <c r="E240" s="117"/>
      <c r="F240" s="245"/>
      <c r="G240" s="245"/>
      <c r="H240" s="88"/>
      <c r="I240" s="36">
        <f t="shared" si="1"/>
        <v>0</v>
      </c>
      <c r="J240" s="37">
        <f t="shared" si="2"/>
        <v>0</v>
      </c>
      <c r="K240" s="38">
        <f t="shared" si="3"/>
        <v>0</v>
      </c>
      <c r="L240" s="39">
        <f t="shared" si="4"/>
        <v>0</v>
      </c>
      <c r="M240" s="38">
        <f t="shared" si="5"/>
        <v>0</v>
      </c>
      <c r="N240" s="39">
        <f t="shared" si="6"/>
        <v>0</v>
      </c>
      <c r="O240" s="40"/>
      <c r="P240" s="34"/>
      <c r="Q240" s="35"/>
      <c r="R240" s="35"/>
      <c r="S240" s="35"/>
      <c r="T240" s="35"/>
      <c r="U240" s="35"/>
      <c r="V240" s="35"/>
      <c r="W240" s="35"/>
      <c r="X240" s="35"/>
      <c r="Y240" s="35"/>
      <c r="Z240" s="35"/>
      <c r="AA240" s="35"/>
    </row>
    <row r="241" ht="14.25" customHeight="1">
      <c r="A241" s="221"/>
      <c r="B241" s="231"/>
      <c r="C241" s="108"/>
      <c r="D241" s="237"/>
      <c r="E241" s="117"/>
      <c r="F241" s="245"/>
      <c r="G241" s="245"/>
      <c r="H241" s="88"/>
      <c r="I241" s="36">
        <f t="shared" si="1"/>
        <v>0</v>
      </c>
      <c r="J241" s="37">
        <f t="shared" si="2"/>
        <v>0</v>
      </c>
      <c r="K241" s="38">
        <f t="shared" si="3"/>
        <v>0</v>
      </c>
      <c r="L241" s="39">
        <f t="shared" si="4"/>
        <v>0</v>
      </c>
      <c r="M241" s="38">
        <f t="shared" si="5"/>
        <v>0</v>
      </c>
      <c r="N241" s="39">
        <f t="shared" si="6"/>
        <v>0</v>
      </c>
      <c r="O241" s="40"/>
      <c r="P241" s="34"/>
      <c r="Q241" s="35"/>
      <c r="R241" s="35"/>
      <c r="S241" s="35"/>
      <c r="T241" s="35"/>
      <c r="U241" s="35"/>
      <c r="V241" s="35"/>
      <c r="W241" s="35"/>
      <c r="X241" s="35"/>
      <c r="Y241" s="35"/>
      <c r="Z241" s="35"/>
      <c r="AA241" s="35"/>
    </row>
    <row r="242" ht="14.25" customHeight="1">
      <c r="A242" s="221"/>
      <c r="B242" s="231"/>
      <c r="C242" s="108"/>
      <c r="D242" s="237"/>
      <c r="E242" s="117"/>
      <c r="F242" s="245"/>
      <c r="G242" s="245"/>
      <c r="H242" s="88"/>
      <c r="I242" s="36">
        <f t="shared" si="1"/>
        <v>0</v>
      </c>
      <c r="J242" s="37">
        <f t="shared" si="2"/>
        <v>0</v>
      </c>
      <c r="K242" s="38">
        <f t="shared" si="3"/>
        <v>0</v>
      </c>
      <c r="L242" s="39">
        <f t="shared" si="4"/>
        <v>0</v>
      </c>
      <c r="M242" s="38">
        <f t="shared" si="5"/>
        <v>0</v>
      </c>
      <c r="N242" s="39">
        <f t="shared" si="6"/>
        <v>0</v>
      </c>
      <c r="O242" s="40"/>
      <c r="P242" s="34"/>
      <c r="Q242" s="35"/>
      <c r="R242" s="35"/>
      <c r="S242" s="35"/>
      <c r="T242" s="35"/>
      <c r="U242" s="35"/>
      <c r="V242" s="35"/>
      <c r="W242" s="35"/>
      <c r="X242" s="35"/>
      <c r="Y242" s="35"/>
      <c r="Z242" s="35"/>
      <c r="AA242" s="35"/>
    </row>
    <row r="243" ht="14.25" customHeight="1">
      <c r="A243" s="221"/>
      <c r="B243" s="231"/>
      <c r="C243" s="108"/>
      <c r="D243" s="237"/>
      <c r="E243" s="117"/>
      <c r="F243" s="245"/>
      <c r="G243" s="245"/>
      <c r="H243" s="88"/>
      <c r="I243" s="36">
        <f t="shared" si="1"/>
        <v>0</v>
      </c>
      <c r="J243" s="37">
        <f t="shared" si="2"/>
        <v>0</v>
      </c>
      <c r="K243" s="38">
        <f t="shared" si="3"/>
        <v>0</v>
      </c>
      <c r="L243" s="39">
        <f t="shared" si="4"/>
        <v>0</v>
      </c>
      <c r="M243" s="38">
        <f t="shared" si="5"/>
        <v>0</v>
      </c>
      <c r="N243" s="39">
        <f t="shared" si="6"/>
        <v>0</v>
      </c>
      <c r="O243" s="40"/>
      <c r="P243" s="34"/>
      <c r="Q243" s="35"/>
      <c r="R243" s="35"/>
      <c r="S243" s="35"/>
      <c r="T243" s="35"/>
      <c r="U243" s="35"/>
      <c r="V243" s="35"/>
      <c r="W243" s="35"/>
      <c r="X243" s="35"/>
      <c r="Y243" s="35"/>
      <c r="Z243" s="35"/>
      <c r="AA243" s="35"/>
    </row>
    <row r="244" ht="14.25" customHeight="1">
      <c r="A244" s="221"/>
      <c r="B244" s="231"/>
      <c r="C244" s="108"/>
      <c r="D244" s="237"/>
      <c r="E244" s="117"/>
      <c r="F244" s="245"/>
      <c r="G244" s="245"/>
      <c r="H244" s="88"/>
      <c r="I244" s="36">
        <f t="shared" si="1"/>
        <v>0</v>
      </c>
      <c r="J244" s="37">
        <f t="shared" si="2"/>
        <v>0</v>
      </c>
      <c r="K244" s="38">
        <f t="shared" si="3"/>
        <v>0</v>
      </c>
      <c r="L244" s="39">
        <f t="shared" si="4"/>
        <v>0</v>
      </c>
      <c r="M244" s="38">
        <f t="shared" si="5"/>
        <v>0</v>
      </c>
      <c r="N244" s="39">
        <f t="shared" si="6"/>
        <v>0</v>
      </c>
      <c r="O244" s="40"/>
      <c r="P244" s="34"/>
      <c r="Q244" s="35"/>
      <c r="R244" s="35"/>
      <c r="S244" s="35"/>
      <c r="T244" s="35"/>
      <c r="U244" s="35"/>
      <c r="V244" s="35"/>
      <c r="W244" s="35"/>
      <c r="X244" s="35"/>
      <c r="Y244" s="35"/>
      <c r="Z244" s="35"/>
      <c r="AA244" s="35"/>
    </row>
    <row r="245" ht="14.25" customHeight="1">
      <c r="A245" s="221"/>
      <c r="B245" s="231"/>
      <c r="C245" s="108"/>
      <c r="D245" s="237"/>
      <c r="E245" s="117"/>
      <c r="F245" s="245"/>
      <c r="G245" s="245"/>
      <c r="H245" s="88"/>
      <c r="I245" s="36">
        <f t="shared" si="1"/>
        <v>0</v>
      </c>
      <c r="J245" s="37">
        <f t="shared" si="2"/>
        <v>0</v>
      </c>
      <c r="K245" s="38">
        <f t="shared" si="3"/>
        <v>0</v>
      </c>
      <c r="L245" s="39">
        <f t="shared" si="4"/>
        <v>0</v>
      </c>
      <c r="M245" s="38">
        <f t="shared" si="5"/>
        <v>0</v>
      </c>
      <c r="N245" s="39">
        <f t="shared" si="6"/>
        <v>0</v>
      </c>
      <c r="O245" s="40"/>
      <c r="P245" s="34"/>
      <c r="Q245" s="35"/>
      <c r="R245" s="35"/>
      <c r="S245" s="35"/>
      <c r="T245" s="35"/>
      <c r="U245" s="35"/>
      <c r="V245" s="35"/>
      <c r="W245" s="35"/>
      <c r="X245" s="35"/>
      <c r="Y245" s="35"/>
      <c r="Z245" s="35"/>
      <c r="AA245" s="35"/>
    </row>
    <row r="246" ht="14.25" customHeight="1">
      <c r="A246" s="221"/>
      <c r="B246" s="231"/>
      <c r="C246" s="108"/>
      <c r="D246" s="237"/>
      <c r="E246" s="117"/>
      <c r="F246" s="245"/>
      <c r="G246" s="245"/>
      <c r="H246" s="88"/>
      <c r="I246" s="36">
        <f t="shared" si="1"/>
        <v>0</v>
      </c>
      <c r="J246" s="37">
        <f t="shared" si="2"/>
        <v>0</v>
      </c>
      <c r="K246" s="38">
        <f t="shared" si="3"/>
        <v>0</v>
      </c>
      <c r="L246" s="39">
        <f t="shared" si="4"/>
        <v>0</v>
      </c>
      <c r="M246" s="38">
        <f t="shared" si="5"/>
        <v>0</v>
      </c>
      <c r="N246" s="39">
        <f t="shared" si="6"/>
        <v>0</v>
      </c>
      <c r="O246" s="40"/>
      <c r="P246" s="34"/>
      <c r="Q246" s="35"/>
      <c r="R246" s="35"/>
      <c r="S246" s="35"/>
      <c r="T246" s="35"/>
      <c r="U246" s="35"/>
      <c r="V246" s="35"/>
      <c r="W246" s="35"/>
      <c r="X246" s="35"/>
      <c r="Y246" s="35"/>
      <c r="Z246" s="35"/>
      <c r="AA246" s="35"/>
    </row>
    <row r="247" ht="14.25" customHeight="1">
      <c r="A247" s="221"/>
      <c r="B247" s="231"/>
      <c r="C247" s="108"/>
      <c r="D247" s="237"/>
      <c r="E247" s="117"/>
      <c r="F247" s="244"/>
      <c r="G247" s="244"/>
      <c r="H247" s="88"/>
      <c r="I247" s="36">
        <f t="shared" si="1"/>
        <v>0</v>
      </c>
      <c r="J247" s="37">
        <f t="shared" si="2"/>
        <v>0</v>
      </c>
      <c r="K247" s="38">
        <f t="shared" si="3"/>
        <v>0</v>
      </c>
      <c r="L247" s="39">
        <f t="shared" si="4"/>
        <v>0</v>
      </c>
      <c r="M247" s="38">
        <f t="shared" si="5"/>
        <v>0</v>
      </c>
      <c r="N247" s="39">
        <f t="shared" si="6"/>
        <v>0</v>
      </c>
      <c r="O247" s="40"/>
      <c r="P247" s="34"/>
      <c r="Q247" s="35"/>
      <c r="R247" s="35"/>
      <c r="S247" s="35"/>
      <c r="T247" s="35"/>
      <c r="U247" s="35"/>
      <c r="V247" s="35"/>
      <c r="W247" s="35"/>
      <c r="X247" s="35"/>
      <c r="Y247" s="35"/>
      <c r="Z247" s="35"/>
      <c r="AA247" s="35"/>
    </row>
    <row r="248" ht="14.25" customHeight="1">
      <c r="A248" s="221"/>
      <c r="B248" s="231"/>
      <c r="C248" s="108"/>
      <c r="D248" s="223"/>
      <c r="E248" s="117"/>
      <c r="F248" s="246"/>
      <c r="G248" s="246"/>
      <c r="H248" s="88"/>
      <c r="I248" s="36">
        <f t="shared" si="1"/>
        <v>0</v>
      </c>
      <c r="J248" s="37">
        <f t="shared" si="2"/>
        <v>0</v>
      </c>
      <c r="K248" s="38">
        <f t="shared" si="3"/>
        <v>0</v>
      </c>
      <c r="L248" s="39">
        <f t="shared" si="4"/>
        <v>0</v>
      </c>
      <c r="M248" s="38">
        <f t="shared" si="5"/>
        <v>0</v>
      </c>
      <c r="N248" s="39">
        <f t="shared" si="6"/>
        <v>0</v>
      </c>
      <c r="O248" s="40"/>
      <c r="P248" s="34"/>
      <c r="Q248" s="35"/>
      <c r="R248" s="35"/>
      <c r="S248" s="35"/>
      <c r="T248" s="35"/>
      <c r="U248" s="35"/>
      <c r="V248" s="35"/>
      <c r="W248" s="35"/>
      <c r="X248" s="35"/>
      <c r="Y248" s="35"/>
      <c r="Z248" s="35"/>
      <c r="AA248" s="35"/>
    </row>
    <row r="249" ht="14.25" customHeight="1">
      <c r="A249" s="221"/>
      <c r="B249" s="231"/>
      <c r="C249" s="108"/>
      <c r="D249" s="247"/>
      <c r="E249" s="117"/>
      <c r="F249" s="246"/>
      <c r="G249" s="246"/>
      <c r="H249" s="88"/>
      <c r="I249" s="36">
        <f t="shared" si="1"/>
        <v>0</v>
      </c>
      <c r="J249" s="37">
        <f t="shared" si="2"/>
        <v>0</v>
      </c>
      <c r="K249" s="38">
        <f t="shared" si="3"/>
        <v>0</v>
      </c>
      <c r="L249" s="39">
        <f t="shared" si="4"/>
        <v>0</v>
      </c>
      <c r="M249" s="38">
        <f t="shared" si="5"/>
        <v>0</v>
      </c>
      <c r="N249" s="39">
        <f t="shared" si="6"/>
        <v>0</v>
      </c>
      <c r="O249" s="40"/>
      <c r="P249" s="34"/>
      <c r="Q249" s="35"/>
      <c r="R249" s="35"/>
      <c r="S249" s="35"/>
      <c r="T249" s="35"/>
      <c r="U249" s="35"/>
      <c r="V249" s="35"/>
      <c r="W249" s="35"/>
      <c r="X249" s="35"/>
      <c r="Y249" s="35"/>
      <c r="Z249" s="35"/>
      <c r="AA249" s="35"/>
    </row>
    <row r="250" ht="14.25" customHeight="1">
      <c r="A250" s="221"/>
      <c r="B250" s="231"/>
      <c r="C250" s="108"/>
      <c r="D250" s="223"/>
      <c r="E250" s="117"/>
      <c r="F250" s="246"/>
      <c r="G250" s="246"/>
      <c r="H250" s="88"/>
      <c r="I250" s="36">
        <f t="shared" si="1"/>
        <v>0</v>
      </c>
      <c r="J250" s="37">
        <f t="shared" si="2"/>
        <v>0</v>
      </c>
      <c r="K250" s="38">
        <f t="shared" si="3"/>
        <v>0</v>
      </c>
      <c r="L250" s="39">
        <f t="shared" si="4"/>
        <v>0</v>
      </c>
      <c r="M250" s="38">
        <f t="shared" si="5"/>
        <v>0</v>
      </c>
      <c r="N250" s="39">
        <f t="shared" si="6"/>
        <v>0</v>
      </c>
      <c r="O250" s="40"/>
      <c r="P250" s="34"/>
      <c r="Q250" s="35"/>
      <c r="R250" s="35"/>
      <c r="S250" s="35"/>
      <c r="T250" s="35"/>
      <c r="U250" s="35"/>
      <c r="V250" s="35"/>
      <c r="W250" s="35"/>
      <c r="X250" s="35"/>
      <c r="Y250" s="35"/>
      <c r="Z250" s="35"/>
      <c r="AA250" s="35"/>
    </row>
    <row r="251" ht="14.25" customHeight="1">
      <c r="A251" s="221"/>
      <c r="B251" s="231"/>
      <c r="C251" s="108"/>
      <c r="D251" s="223"/>
      <c r="E251" s="117"/>
      <c r="F251" s="246"/>
      <c r="G251" s="246"/>
      <c r="H251" s="88"/>
      <c r="I251" s="36">
        <f t="shared" si="1"/>
        <v>0</v>
      </c>
      <c r="J251" s="37">
        <f t="shared" si="2"/>
        <v>0</v>
      </c>
      <c r="K251" s="38">
        <f t="shared" si="3"/>
        <v>0</v>
      </c>
      <c r="L251" s="39">
        <f t="shared" si="4"/>
        <v>0</v>
      </c>
      <c r="M251" s="38">
        <f t="shared" si="5"/>
        <v>0</v>
      </c>
      <c r="N251" s="39">
        <f t="shared" si="6"/>
        <v>0</v>
      </c>
      <c r="O251" s="40"/>
      <c r="P251" s="34"/>
      <c r="Q251" s="35"/>
      <c r="R251" s="35"/>
      <c r="S251" s="35"/>
      <c r="T251" s="35"/>
      <c r="U251" s="35"/>
      <c r="V251" s="35"/>
      <c r="W251" s="35"/>
      <c r="X251" s="35"/>
      <c r="Y251" s="35"/>
      <c r="Z251" s="35"/>
      <c r="AA251" s="35"/>
    </row>
    <row r="252" ht="14.25" customHeight="1">
      <c r="A252" s="221"/>
      <c r="B252" s="231"/>
      <c r="C252" s="108"/>
      <c r="D252" s="223"/>
      <c r="E252" s="117"/>
      <c r="F252" s="246"/>
      <c r="G252" s="246"/>
      <c r="H252" s="88"/>
      <c r="I252" s="36">
        <f t="shared" si="1"/>
        <v>0</v>
      </c>
      <c r="J252" s="37">
        <f t="shared" si="2"/>
        <v>0</v>
      </c>
      <c r="K252" s="38">
        <f t="shared" si="3"/>
        <v>0</v>
      </c>
      <c r="L252" s="39">
        <f t="shared" si="4"/>
        <v>0</v>
      </c>
      <c r="M252" s="38">
        <f t="shared" si="5"/>
        <v>0</v>
      </c>
      <c r="N252" s="39">
        <f t="shared" si="6"/>
        <v>0</v>
      </c>
      <c r="O252" s="40"/>
      <c r="P252" s="34"/>
      <c r="Q252" s="35"/>
      <c r="R252" s="35"/>
      <c r="S252" s="35"/>
      <c r="T252" s="35"/>
      <c r="U252" s="35"/>
      <c r="V252" s="35"/>
      <c r="W252" s="35"/>
      <c r="X252" s="35"/>
      <c r="Y252" s="35"/>
      <c r="Z252" s="35"/>
      <c r="AA252" s="35"/>
    </row>
    <row r="253" ht="14.25" customHeight="1">
      <c r="A253" s="221"/>
      <c r="B253" s="231"/>
      <c r="C253" s="108"/>
      <c r="D253" s="223"/>
      <c r="E253" s="117"/>
      <c r="F253" s="246"/>
      <c r="G253" s="246"/>
      <c r="H253" s="88"/>
      <c r="I253" s="36">
        <f t="shared" si="1"/>
        <v>0</v>
      </c>
      <c r="J253" s="37">
        <f t="shared" si="2"/>
        <v>0</v>
      </c>
      <c r="K253" s="38">
        <f t="shared" si="3"/>
        <v>0</v>
      </c>
      <c r="L253" s="39">
        <f t="shared" si="4"/>
        <v>0</v>
      </c>
      <c r="M253" s="38">
        <f t="shared" si="5"/>
        <v>0</v>
      </c>
      <c r="N253" s="39">
        <f t="shared" si="6"/>
        <v>0</v>
      </c>
      <c r="O253" s="40"/>
      <c r="P253" s="34"/>
      <c r="Q253" s="35"/>
      <c r="R253" s="35"/>
      <c r="S253" s="35"/>
      <c r="T253" s="35"/>
      <c r="U253" s="35"/>
      <c r="V253" s="35"/>
      <c r="W253" s="35"/>
      <c r="X253" s="35"/>
      <c r="Y253" s="35"/>
      <c r="Z253" s="35"/>
      <c r="AA253" s="35"/>
    </row>
    <row r="254" ht="14.25" customHeight="1">
      <c r="A254" s="221"/>
      <c r="B254" s="231"/>
      <c r="C254" s="108"/>
      <c r="D254" s="223"/>
      <c r="E254" s="117"/>
      <c r="F254" s="245"/>
      <c r="G254" s="245"/>
      <c r="H254" s="88"/>
      <c r="I254" s="36">
        <f t="shared" si="1"/>
        <v>0</v>
      </c>
      <c r="J254" s="37">
        <f t="shared" si="2"/>
        <v>0</v>
      </c>
      <c r="K254" s="38">
        <f t="shared" si="3"/>
        <v>0</v>
      </c>
      <c r="L254" s="39">
        <f t="shared" si="4"/>
        <v>0</v>
      </c>
      <c r="M254" s="38">
        <f t="shared" si="5"/>
        <v>0</v>
      </c>
      <c r="N254" s="39">
        <f t="shared" si="6"/>
        <v>0</v>
      </c>
      <c r="O254" s="40"/>
      <c r="P254" s="34"/>
      <c r="Q254" s="35"/>
      <c r="R254" s="35"/>
      <c r="S254" s="35"/>
      <c r="T254" s="35"/>
      <c r="U254" s="35"/>
      <c r="V254" s="35"/>
      <c r="W254" s="35"/>
      <c r="X254" s="35"/>
      <c r="Y254" s="35"/>
      <c r="Z254" s="35"/>
      <c r="AA254" s="35"/>
    </row>
    <row r="255" ht="14.25" customHeight="1">
      <c r="A255" s="221"/>
      <c r="B255" s="231"/>
      <c r="C255" s="110"/>
      <c r="D255" s="223"/>
      <c r="E255" s="117"/>
      <c r="F255" s="245"/>
      <c r="G255" s="245"/>
      <c r="H255" s="88"/>
      <c r="I255" s="36">
        <f t="shared" si="1"/>
        <v>0</v>
      </c>
      <c r="J255" s="37">
        <f t="shared" si="2"/>
        <v>0</v>
      </c>
      <c r="K255" s="38">
        <f t="shared" si="3"/>
        <v>0</v>
      </c>
      <c r="L255" s="39">
        <f t="shared" si="4"/>
        <v>0</v>
      </c>
      <c r="M255" s="38">
        <f t="shared" si="5"/>
        <v>0</v>
      </c>
      <c r="N255" s="39">
        <f t="shared" si="6"/>
        <v>0</v>
      </c>
      <c r="O255" s="40"/>
      <c r="P255" s="34"/>
      <c r="Q255" s="35"/>
      <c r="R255" s="35"/>
      <c r="S255" s="35"/>
      <c r="T255" s="35"/>
      <c r="U255" s="35"/>
      <c r="V255" s="35"/>
      <c r="W255" s="35"/>
      <c r="X255" s="35"/>
      <c r="Y255" s="35"/>
      <c r="Z255" s="35"/>
      <c r="AA255" s="35"/>
    </row>
    <row r="256" ht="14.25" customHeight="1">
      <c r="A256" s="221"/>
      <c r="B256" s="231"/>
      <c r="C256" s="115"/>
      <c r="D256" s="237"/>
      <c r="E256" s="117"/>
      <c r="F256" s="245"/>
      <c r="G256" s="245"/>
      <c r="H256" s="88"/>
      <c r="I256" s="36">
        <f t="shared" si="1"/>
        <v>0</v>
      </c>
      <c r="J256" s="37">
        <f t="shared" si="2"/>
        <v>0</v>
      </c>
      <c r="K256" s="38">
        <f t="shared" si="3"/>
        <v>0</v>
      </c>
      <c r="L256" s="39">
        <f t="shared" si="4"/>
        <v>0</v>
      </c>
      <c r="M256" s="38">
        <f t="shared" si="5"/>
        <v>0</v>
      </c>
      <c r="N256" s="39">
        <f t="shared" si="6"/>
        <v>0</v>
      </c>
      <c r="O256" s="40"/>
      <c r="P256" s="34"/>
      <c r="Q256" s="35"/>
      <c r="R256" s="35"/>
      <c r="S256" s="35"/>
      <c r="T256" s="35"/>
      <c r="U256" s="35"/>
      <c r="V256" s="35"/>
      <c r="W256" s="35"/>
      <c r="X256" s="35"/>
      <c r="Y256" s="35"/>
      <c r="Z256" s="35"/>
      <c r="AA256" s="35"/>
    </row>
    <row r="257" ht="14.25" customHeight="1">
      <c r="A257" s="221"/>
      <c r="B257" s="231"/>
      <c r="C257" s="115"/>
      <c r="D257" s="237"/>
      <c r="E257" s="117"/>
      <c r="F257" s="245"/>
      <c r="G257" s="245"/>
      <c r="H257" s="88"/>
      <c r="I257" s="36">
        <f t="shared" si="1"/>
        <v>0</v>
      </c>
      <c r="J257" s="37">
        <f t="shared" si="2"/>
        <v>0</v>
      </c>
      <c r="K257" s="38">
        <f t="shared" si="3"/>
        <v>0</v>
      </c>
      <c r="L257" s="39">
        <f t="shared" si="4"/>
        <v>0</v>
      </c>
      <c r="M257" s="38">
        <f t="shared" si="5"/>
        <v>0</v>
      </c>
      <c r="N257" s="39">
        <f t="shared" si="6"/>
        <v>0</v>
      </c>
      <c r="O257" s="40"/>
      <c r="P257" s="34"/>
      <c r="Q257" s="35"/>
      <c r="R257" s="35"/>
      <c r="S257" s="35"/>
      <c r="T257" s="35"/>
      <c r="U257" s="35"/>
      <c r="V257" s="35"/>
      <c r="W257" s="35"/>
      <c r="X257" s="35"/>
      <c r="Y257" s="35"/>
      <c r="Z257" s="35"/>
      <c r="AA257" s="35"/>
    </row>
    <row r="258" ht="14.25" customHeight="1">
      <c r="A258" s="221"/>
      <c r="B258" s="231"/>
      <c r="C258" s="115"/>
      <c r="D258" s="237"/>
      <c r="E258" s="117"/>
      <c r="F258" s="245"/>
      <c r="G258" s="245"/>
      <c r="H258" s="88"/>
      <c r="I258" s="36">
        <f t="shared" si="1"/>
        <v>0</v>
      </c>
      <c r="J258" s="37">
        <f t="shared" si="2"/>
        <v>0</v>
      </c>
      <c r="K258" s="38">
        <f t="shared" si="3"/>
        <v>0</v>
      </c>
      <c r="L258" s="39">
        <f t="shared" si="4"/>
        <v>0</v>
      </c>
      <c r="M258" s="38">
        <f t="shared" si="5"/>
        <v>0</v>
      </c>
      <c r="N258" s="39">
        <f t="shared" si="6"/>
        <v>0</v>
      </c>
      <c r="O258" s="40"/>
      <c r="P258" s="34"/>
      <c r="Q258" s="35"/>
      <c r="R258" s="35"/>
      <c r="S258" s="35"/>
      <c r="T258" s="35"/>
      <c r="U258" s="35"/>
      <c r="V258" s="35"/>
      <c r="W258" s="35"/>
      <c r="X258" s="35"/>
      <c r="Y258" s="35"/>
      <c r="Z258" s="35"/>
      <c r="AA258" s="35"/>
    </row>
    <row r="259" ht="14.25" customHeight="1">
      <c r="A259" s="221"/>
      <c r="B259" s="231"/>
      <c r="C259" s="115"/>
      <c r="D259" s="237"/>
      <c r="E259" s="117"/>
      <c r="F259" s="245"/>
      <c r="G259" s="245"/>
      <c r="H259" s="88"/>
      <c r="I259" s="36">
        <f t="shared" si="1"/>
        <v>0</v>
      </c>
      <c r="J259" s="37">
        <f t="shared" si="2"/>
        <v>0</v>
      </c>
      <c r="K259" s="38">
        <f t="shared" si="3"/>
        <v>0</v>
      </c>
      <c r="L259" s="39">
        <f t="shared" si="4"/>
        <v>0</v>
      </c>
      <c r="M259" s="38">
        <f t="shared" si="5"/>
        <v>0</v>
      </c>
      <c r="N259" s="39">
        <f t="shared" si="6"/>
        <v>0</v>
      </c>
      <c r="O259" s="40"/>
      <c r="P259" s="34"/>
      <c r="Q259" s="35"/>
      <c r="R259" s="35"/>
      <c r="S259" s="35"/>
      <c r="T259" s="35"/>
      <c r="U259" s="35"/>
      <c r="V259" s="35"/>
      <c r="W259" s="35"/>
      <c r="X259" s="35"/>
      <c r="Y259" s="35"/>
      <c r="Z259" s="35"/>
      <c r="AA259" s="35"/>
    </row>
    <row r="260" ht="14.25" customHeight="1">
      <c r="A260" s="221"/>
      <c r="B260" s="231"/>
      <c r="C260" s="108"/>
      <c r="D260" s="237"/>
      <c r="E260" s="117"/>
      <c r="F260" s="245"/>
      <c r="G260" s="245"/>
      <c r="H260" s="88"/>
      <c r="I260" s="36">
        <f t="shared" si="1"/>
        <v>0</v>
      </c>
      <c r="J260" s="37">
        <f t="shared" si="2"/>
        <v>0</v>
      </c>
      <c r="K260" s="38">
        <f t="shared" si="3"/>
        <v>0</v>
      </c>
      <c r="L260" s="39">
        <f t="shared" si="4"/>
        <v>0</v>
      </c>
      <c r="M260" s="38">
        <f t="shared" si="5"/>
        <v>0</v>
      </c>
      <c r="N260" s="39">
        <f t="shared" si="6"/>
        <v>0</v>
      </c>
      <c r="O260" s="40"/>
      <c r="P260" s="34"/>
      <c r="Q260" s="35"/>
      <c r="R260" s="35"/>
      <c r="S260" s="35"/>
      <c r="T260" s="35"/>
      <c r="U260" s="35"/>
      <c r="V260" s="35"/>
      <c r="W260" s="35"/>
      <c r="X260" s="35"/>
      <c r="Y260" s="35"/>
      <c r="Z260" s="35"/>
      <c r="AA260" s="35"/>
    </row>
    <row r="261" ht="14.25" customHeight="1">
      <c r="A261" s="221"/>
      <c r="B261" s="231"/>
      <c r="C261" s="116"/>
      <c r="D261" s="237"/>
      <c r="E261" s="117"/>
      <c r="F261" s="245"/>
      <c r="G261" s="245"/>
      <c r="H261" s="88"/>
      <c r="I261" s="36">
        <f t="shared" si="1"/>
        <v>0</v>
      </c>
      <c r="J261" s="37">
        <f t="shared" si="2"/>
        <v>0</v>
      </c>
      <c r="K261" s="38">
        <f t="shared" si="3"/>
        <v>0</v>
      </c>
      <c r="L261" s="39">
        <f t="shared" si="4"/>
        <v>0</v>
      </c>
      <c r="M261" s="38">
        <f t="shared" si="5"/>
        <v>0</v>
      </c>
      <c r="N261" s="39">
        <f t="shared" si="6"/>
        <v>0</v>
      </c>
      <c r="O261" s="40"/>
      <c r="P261" s="34"/>
      <c r="Q261" s="35"/>
      <c r="R261" s="35"/>
      <c r="S261" s="35"/>
      <c r="T261" s="35"/>
      <c r="U261" s="35"/>
      <c r="V261" s="35"/>
      <c r="W261" s="35"/>
      <c r="X261" s="35"/>
      <c r="Y261" s="35"/>
      <c r="Z261" s="35"/>
      <c r="AA261" s="35"/>
    </row>
    <row r="262" ht="14.25" customHeight="1">
      <c r="A262" s="221"/>
      <c r="B262" s="231"/>
      <c r="C262" s="126"/>
      <c r="D262" s="237"/>
      <c r="E262" s="117"/>
      <c r="F262" s="245"/>
      <c r="G262" s="245"/>
      <c r="H262" s="88"/>
      <c r="I262" s="36">
        <f t="shared" si="1"/>
        <v>0</v>
      </c>
      <c r="J262" s="37">
        <f t="shared" si="2"/>
        <v>0</v>
      </c>
      <c r="K262" s="38">
        <f t="shared" si="3"/>
        <v>0</v>
      </c>
      <c r="L262" s="39">
        <f t="shared" si="4"/>
        <v>0</v>
      </c>
      <c r="M262" s="38">
        <f t="shared" si="5"/>
        <v>0</v>
      </c>
      <c r="N262" s="39">
        <f t="shared" si="6"/>
        <v>0</v>
      </c>
      <c r="O262" s="40"/>
      <c r="P262" s="34"/>
      <c r="Q262" s="35"/>
      <c r="R262" s="35"/>
      <c r="S262" s="35"/>
      <c r="T262" s="35"/>
      <c r="U262" s="35"/>
      <c r="V262" s="35"/>
      <c r="W262" s="35"/>
      <c r="X262" s="35"/>
      <c r="Y262" s="35"/>
      <c r="Z262" s="35"/>
      <c r="AA262" s="35"/>
    </row>
    <row r="263" ht="14.25" customHeight="1">
      <c r="A263" s="221"/>
      <c r="B263" s="231"/>
      <c r="C263" s="115"/>
      <c r="D263" s="237"/>
      <c r="E263" s="117"/>
      <c r="F263" s="245"/>
      <c r="G263" s="245"/>
      <c r="H263" s="88"/>
      <c r="I263" s="36">
        <f t="shared" si="1"/>
        <v>0</v>
      </c>
      <c r="J263" s="37">
        <f t="shared" si="2"/>
        <v>0</v>
      </c>
      <c r="K263" s="38">
        <f t="shared" si="3"/>
        <v>0</v>
      </c>
      <c r="L263" s="39">
        <f t="shared" si="4"/>
        <v>0</v>
      </c>
      <c r="M263" s="38">
        <f t="shared" si="5"/>
        <v>0</v>
      </c>
      <c r="N263" s="39">
        <f t="shared" si="6"/>
        <v>0</v>
      </c>
      <c r="O263" s="40"/>
      <c r="P263" s="34"/>
      <c r="Q263" s="35"/>
      <c r="R263" s="35"/>
      <c r="S263" s="35"/>
      <c r="T263" s="35"/>
      <c r="U263" s="35"/>
      <c r="V263" s="35"/>
      <c r="W263" s="35"/>
      <c r="X263" s="35"/>
      <c r="Y263" s="35"/>
      <c r="Z263" s="35"/>
      <c r="AA263" s="35"/>
    </row>
    <row r="264" ht="14.25" customHeight="1">
      <c r="A264" s="221"/>
      <c r="B264" s="231"/>
      <c r="C264" s="116"/>
      <c r="D264" s="237"/>
      <c r="E264" s="117"/>
      <c r="F264" s="245"/>
      <c r="G264" s="245"/>
      <c r="H264" s="88"/>
      <c r="I264" s="36">
        <f t="shared" si="1"/>
        <v>0</v>
      </c>
      <c r="J264" s="37">
        <f t="shared" si="2"/>
        <v>0</v>
      </c>
      <c r="K264" s="38">
        <f t="shared" si="3"/>
        <v>0</v>
      </c>
      <c r="L264" s="39">
        <f t="shared" si="4"/>
        <v>0</v>
      </c>
      <c r="M264" s="38">
        <f t="shared" si="5"/>
        <v>0</v>
      </c>
      <c r="N264" s="39">
        <f t="shared" si="6"/>
        <v>0</v>
      </c>
      <c r="O264" s="40"/>
      <c r="P264" s="34"/>
      <c r="Q264" s="35"/>
      <c r="R264" s="35"/>
      <c r="S264" s="35"/>
      <c r="T264" s="35"/>
      <c r="U264" s="35"/>
      <c r="V264" s="35"/>
      <c r="W264" s="35"/>
      <c r="X264" s="35"/>
      <c r="Y264" s="35"/>
      <c r="Z264" s="35"/>
      <c r="AA264" s="35"/>
    </row>
    <row r="265" ht="14.25" customHeight="1">
      <c r="A265" s="221"/>
      <c r="B265" s="231"/>
      <c r="C265" s="116"/>
      <c r="D265" s="237"/>
      <c r="E265" s="117"/>
      <c r="F265" s="245"/>
      <c r="G265" s="245"/>
      <c r="H265" s="88"/>
      <c r="I265" s="36">
        <f t="shared" si="1"/>
        <v>0</v>
      </c>
      <c r="J265" s="37">
        <f t="shared" si="2"/>
        <v>0</v>
      </c>
      <c r="K265" s="38">
        <f t="shared" si="3"/>
        <v>0</v>
      </c>
      <c r="L265" s="39">
        <f t="shared" si="4"/>
        <v>0</v>
      </c>
      <c r="M265" s="38">
        <f t="shared" si="5"/>
        <v>0</v>
      </c>
      <c r="N265" s="39">
        <f t="shared" si="6"/>
        <v>0</v>
      </c>
      <c r="O265" s="40"/>
      <c r="P265" s="34"/>
      <c r="Q265" s="35"/>
      <c r="R265" s="35"/>
      <c r="S265" s="35"/>
      <c r="T265" s="35"/>
      <c r="U265" s="35"/>
      <c r="V265" s="35"/>
      <c r="W265" s="35"/>
      <c r="X265" s="35"/>
      <c r="Y265" s="35"/>
      <c r="Z265" s="35"/>
      <c r="AA265" s="35"/>
    </row>
    <row r="266" ht="14.25" customHeight="1">
      <c r="A266" s="221"/>
      <c r="B266" s="231"/>
      <c r="C266" s="116"/>
      <c r="D266" s="237"/>
      <c r="E266" s="117"/>
      <c r="F266" s="245"/>
      <c r="G266" s="245"/>
      <c r="H266" s="88"/>
      <c r="I266" s="36">
        <f t="shared" si="1"/>
        <v>0</v>
      </c>
      <c r="J266" s="37">
        <f t="shared" si="2"/>
        <v>0</v>
      </c>
      <c r="K266" s="38">
        <f t="shared" si="3"/>
        <v>0</v>
      </c>
      <c r="L266" s="39">
        <f t="shared" si="4"/>
        <v>0</v>
      </c>
      <c r="M266" s="38">
        <f t="shared" si="5"/>
        <v>0</v>
      </c>
      <c r="N266" s="39">
        <f t="shared" si="6"/>
        <v>0</v>
      </c>
      <c r="O266" s="40"/>
      <c r="P266" s="34"/>
      <c r="Q266" s="35"/>
      <c r="R266" s="35"/>
      <c r="S266" s="35"/>
      <c r="T266" s="35"/>
      <c r="U266" s="35"/>
      <c r="V266" s="35"/>
      <c r="W266" s="35"/>
      <c r="X266" s="35"/>
      <c r="Y266" s="35"/>
      <c r="Z266" s="35"/>
      <c r="AA266" s="35"/>
    </row>
    <row r="267" ht="14.25" customHeight="1">
      <c r="A267" s="221"/>
      <c r="B267" s="231"/>
      <c r="C267" s="116"/>
      <c r="D267" s="237"/>
      <c r="E267" s="117"/>
      <c r="F267" s="245"/>
      <c r="G267" s="245"/>
      <c r="H267" s="88"/>
      <c r="I267" s="36">
        <f t="shared" si="1"/>
        <v>0</v>
      </c>
      <c r="J267" s="37">
        <f t="shared" si="2"/>
        <v>0</v>
      </c>
      <c r="K267" s="38">
        <f t="shared" si="3"/>
        <v>0</v>
      </c>
      <c r="L267" s="39">
        <f t="shared" si="4"/>
        <v>0</v>
      </c>
      <c r="M267" s="38">
        <f t="shared" si="5"/>
        <v>0</v>
      </c>
      <c r="N267" s="39">
        <f t="shared" si="6"/>
        <v>0</v>
      </c>
      <c r="O267" s="40"/>
      <c r="P267" s="34"/>
      <c r="Q267" s="35"/>
      <c r="R267" s="35"/>
      <c r="S267" s="35"/>
      <c r="T267" s="35"/>
      <c r="U267" s="35"/>
      <c r="V267" s="35"/>
      <c r="W267" s="35"/>
      <c r="X267" s="35"/>
      <c r="Y267" s="35"/>
      <c r="Z267" s="35"/>
      <c r="AA267" s="35"/>
    </row>
    <row r="268" ht="14.25" customHeight="1">
      <c r="A268" s="221"/>
      <c r="B268" s="231"/>
      <c r="C268" s="116"/>
      <c r="D268" s="237"/>
      <c r="E268" s="117"/>
      <c r="F268" s="245"/>
      <c r="G268" s="245"/>
      <c r="H268" s="88"/>
      <c r="I268" s="36">
        <f t="shared" si="1"/>
        <v>0</v>
      </c>
      <c r="J268" s="37">
        <f t="shared" si="2"/>
        <v>0</v>
      </c>
      <c r="K268" s="38">
        <f t="shared" si="3"/>
        <v>0</v>
      </c>
      <c r="L268" s="39">
        <f t="shared" si="4"/>
        <v>0</v>
      </c>
      <c r="M268" s="38">
        <f t="shared" si="5"/>
        <v>0</v>
      </c>
      <c r="N268" s="39">
        <f t="shared" si="6"/>
        <v>0</v>
      </c>
      <c r="O268" s="40"/>
      <c r="P268" s="34"/>
      <c r="Q268" s="35"/>
      <c r="R268" s="35"/>
      <c r="S268" s="35"/>
      <c r="T268" s="35"/>
      <c r="U268" s="35"/>
      <c r="V268" s="35"/>
      <c r="W268" s="35"/>
      <c r="X268" s="35"/>
      <c r="Y268" s="35"/>
      <c r="Z268" s="35"/>
      <c r="AA268" s="35"/>
    </row>
    <row r="269" ht="14.25" customHeight="1">
      <c r="A269" s="221"/>
      <c r="B269" s="231"/>
      <c r="C269" s="116"/>
      <c r="D269" s="237"/>
      <c r="E269" s="117"/>
      <c r="F269" s="245"/>
      <c r="G269" s="245"/>
      <c r="H269" s="88"/>
      <c r="I269" s="36">
        <f t="shared" si="1"/>
        <v>0</v>
      </c>
      <c r="J269" s="37">
        <f t="shared" si="2"/>
        <v>0</v>
      </c>
      <c r="K269" s="38">
        <f t="shared" si="3"/>
        <v>0</v>
      </c>
      <c r="L269" s="39">
        <f t="shared" si="4"/>
        <v>0</v>
      </c>
      <c r="M269" s="38">
        <f t="shared" si="5"/>
        <v>0</v>
      </c>
      <c r="N269" s="39">
        <f t="shared" si="6"/>
        <v>0</v>
      </c>
      <c r="O269" s="40"/>
      <c r="P269" s="34"/>
      <c r="Q269" s="35"/>
      <c r="R269" s="35"/>
      <c r="S269" s="35"/>
      <c r="T269" s="35"/>
      <c r="U269" s="35"/>
      <c r="V269" s="35"/>
      <c r="W269" s="35"/>
      <c r="X269" s="35"/>
      <c r="Y269" s="35"/>
      <c r="Z269" s="35"/>
      <c r="AA269" s="35"/>
    </row>
    <row r="270" ht="14.25" customHeight="1">
      <c r="A270" s="221"/>
      <c r="B270" s="231"/>
      <c r="C270" s="116"/>
      <c r="D270" s="100"/>
      <c r="E270" s="117"/>
      <c r="F270" s="245"/>
      <c r="G270" s="245"/>
      <c r="H270" s="88"/>
      <c r="I270" s="36">
        <f t="shared" si="1"/>
        <v>0</v>
      </c>
      <c r="J270" s="37">
        <f t="shared" si="2"/>
        <v>0</v>
      </c>
      <c r="K270" s="38">
        <f t="shared" si="3"/>
        <v>0</v>
      </c>
      <c r="L270" s="39">
        <f t="shared" si="4"/>
        <v>0</v>
      </c>
      <c r="M270" s="38">
        <f t="shared" si="5"/>
        <v>0</v>
      </c>
      <c r="N270" s="39">
        <f t="shared" si="6"/>
        <v>0</v>
      </c>
      <c r="O270" s="40"/>
      <c r="P270" s="34"/>
      <c r="Q270" s="35"/>
      <c r="R270" s="35"/>
      <c r="S270" s="35"/>
      <c r="T270" s="35"/>
      <c r="U270" s="35"/>
      <c r="V270" s="35"/>
      <c r="W270" s="35"/>
      <c r="X270" s="35"/>
      <c r="Y270" s="35"/>
      <c r="Z270" s="35"/>
      <c r="AA270" s="35"/>
    </row>
    <row r="271" ht="14.25" customHeight="1">
      <c r="A271" s="221"/>
      <c r="B271" s="231"/>
      <c r="C271" s="116"/>
      <c r="D271" s="100"/>
      <c r="E271" s="117"/>
      <c r="F271" s="245"/>
      <c r="G271" s="245"/>
      <c r="H271" s="88"/>
      <c r="I271" s="36">
        <f t="shared" si="1"/>
        <v>0</v>
      </c>
      <c r="J271" s="37">
        <f t="shared" si="2"/>
        <v>0</v>
      </c>
      <c r="K271" s="38">
        <f t="shared" si="3"/>
        <v>0</v>
      </c>
      <c r="L271" s="39">
        <f t="shared" si="4"/>
        <v>0</v>
      </c>
      <c r="M271" s="38">
        <f t="shared" si="5"/>
        <v>0</v>
      </c>
      <c r="N271" s="39">
        <f t="shared" si="6"/>
        <v>0</v>
      </c>
      <c r="O271" s="40"/>
      <c r="P271" s="34"/>
      <c r="Q271" s="35"/>
      <c r="R271" s="35"/>
      <c r="S271" s="35"/>
      <c r="T271" s="35"/>
      <c r="U271" s="35"/>
      <c r="V271" s="35"/>
      <c r="W271" s="35"/>
      <c r="X271" s="35"/>
      <c r="Y271" s="35"/>
      <c r="Z271" s="35"/>
      <c r="AA271" s="35"/>
    </row>
    <row r="272" ht="14.25" customHeight="1">
      <c r="A272" s="221"/>
      <c r="B272" s="231"/>
      <c r="C272" s="116"/>
      <c r="D272" s="100"/>
      <c r="E272" s="117"/>
      <c r="F272" s="245"/>
      <c r="G272" s="245"/>
      <c r="H272" s="88"/>
      <c r="I272" s="36">
        <f t="shared" si="1"/>
        <v>0</v>
      </c>
      <c r="J272" s="37">
        <f t="shared" si="2"/>
        <v>0</v>
      </c>
      <c r="K272" s="38">
        <f t="shared" si="3"/>
        <v>0</v>
      </c>
      <c r="L272" s="39">
        <f t="shared" si="4"/>
        <v>0</v>
      </c>
      <c r="M272" s="38">
        <f t="shared" si="5"/>
        <v>0</v>
      </c>
      <c r="N272" s="39">
        <f t="shared" si="6"/>
        <v>0</v>
      </c>
      <c r="O272" s="40"/>
      <c r="P272" s="34"/>
      <c r="Q272" s="35"/>
      <c r="R272" s="35"/>
      <c r="S272" s="35"/>
      <c r="T272" s="35"/>
      <c r="U272" s="35"/>
      <c r="V272" s="35"/>
      <c r="W272" s="35"/>
      <c r="X272" s="35"/>
      <c r="Y272" s="35"/>
      <c r="Z272" s="35"/>
      <c r="AA272" s="35"/>
    </row>
    <row r="273" ht="14.25" customHeight="1">
      <c r="A273" s="221"/>
      <c r="B273" s="231"/>
      <c r="C273" s="116"/>
      <c r="D273" s="100"/>
      <c r="E273" s="117"/>
      <c r="F273" s="245"/>
      <c r="G273" s="245"/>
      <c r="H273" s="88"/>
      <c r="I273" s="36">
        <f t="shared" si="1"/>
        <v>0</v>
      </c>
      <c r="J273" s="37">
        <f t="shared" si="2"/>
        <v>0</v>
      </c>
      <c r="K273" s="38">
        <f t="shared" si="3"/>
        <v>0</v>
      </c>
      <c r="L273" s="39">
        <f t="shared" si="4"/>
        <v>0</v>
      </c>
      <c r="M273" s="38">
        <f t="shared" si="5"/>
        <v>0</v>
      </c>
      <c r="N273" s="39">
        <f t="shared" si="6"/>
        <v>0</v>
      </c>
      <c r="O273" s="40"/>
      <c r="P273" s="34"/>
      <c r="Q273" s="35"/>
      <c r="R273" s="35"/>
      <c r="S273" s="35"/>
      <c r="T273" s="35"/>
      <c r="U273" s="35"/>
      <c r="V273" s="35"/>
      <c r="W273" s="35"/>
      <c r="X273" s="35"/>
      <c r="Y273" s="35"/>
      <c r="Z273" s="35"/>
      <c r="AA273" s="35"/>
    </row>
    <row r="274" ht="14.25" customHeight="1">
      <c r="A274" s="221"/>
      <c r="B274" s="231"/>
      <c r="C274" s="116"/>
      <c r="D274" s="100"/>
      <c r="E274" s="117"/>
      <c r="F274" s="245"/>
      <c r="G274" s="245"/>
      <c r="H274" s="88"/>
      <c r="I274" s="36">
        <f t="shared" si="1"/>
        <v>0</v>
      </c>
      <c r="J274" s="37">
        <f t="shared" si="2"/>
        <v>0</v>
      </c>
      <c r="K274" s="38">
        <f t="shared" si="3"/>
        <v>0</v>
      </c>
      <c r="L274" s="39">
        <f t="shared" si="4"/>
        <v>0</v>
      </c>
      <c r="M274" s="38">
        <f t="shared" si="5"/>
        <v>0</v>
      </c>
      <c r="N274" s="39">
        <f t="shared" si="6"/>
        <v>0</v>
      </c>
      <c r="O274" s="40"/>
      <c r="P274" s="34"/>
      <c r="Q274" s="35"/>
      <c r="R274" s="35"/>
      <c r="S274" s="35"/>
      <c r="T274" s="35"/>
      <c r="U274" s="35"/>
      <c r="V274" s="35"/>
      <c r="W274" s="35"/>
      <c r="X274" s="35"/>
      <c r="Y274" s="35"/>
      <c r="Z274" s="35"/>
      <c r="AA274" s="35"/>
    </row>
    <row r="275" ht="14.25" customHeight="1">
      <c r="A275" s="221"/>
      <c r="B275" s="231"/>
      <c r="C275" s="108"/>
      <c r="D275" s="100"/>
      <c r="E275" s="117"/>
      <c r="F275" s="245"/>
      <c r="G275" s="245"/>
      <c r="H275" s="88"/>
      <c r="I275" s="36">
        <f t="shared" si="1"/>
        <v>0</v>
      </c>
      <c r="J275" s="37">
        <f t="shared" si="2"/>
        <v>0</v>
      </c>
      <c r="K275" s="38">
        <f t="shared" si="3"/>
        <v>0</v>
      </c>
      <c r="L275" s="39">
        <f t="shared" si="4"/>
        <v>0</v>
      </c>
      <c r="M275" s="38">
        <f t="shared" si="5"/>
        <v>0</v>
      </c>
      <c r="N275" s="39">
        <f t="shared" si="6"/>
        <v>0</v>
      </c>
      <c r="O275" s="40"/>
      <c r="P275" s="34"/>
      <c r="Q275" s="35"/>
      <c r="R275" s="35"/>
      <c r="S275" s="35"/>
      <c r="T275" s="35"/>
      <c r="U275" s="35"/>
      <c r="V275" s="35"/>
      <c r="W275" s="35"/>
      <c r="X275" s="35"/>
      <c r="Y275" s="35"/>
      <c r="Z275" s="35"/>
      <c r="AA275" s="35"/>
    </row>
    <row r="276" ht="14.25" customHeight="1">
      <c r="A276" s="221"/>
      <c r="B276" s="231"/>
      <c r="C276" s="108"/>
      <c r="D276" s="85"/>
      <c r="E276" s="117"/>
      <c r="F276" s="245"/>
      <c r="G276" s="245"/>
      <c r="H276" s="88"/>
      <c r="I276" s="36">
        <f t="shared" si="1"/>
        <v>0</v>
      </c>
      <c r="J276" s="37">
        <f t="shared" si="2"/>
        <v>0</v>
      </c>
      <c r="K276" s="38">
        <f t="shared" si="3"/>
        <v>0</v>
      </c>
      <c r="L276" s="39">
        <f t="shared" si="4"/>
        <v>0</v>
      </c>
      <c r="M276" s="38">
        <f t="shared" si="5"/>
        <v>0</v>
      </c>
      <c r="N276" s="39">
        <f t="shared" si="6"/>
        <v>0</v>
      </c>
      <c r="O276" s="40"/>
      <c r="P276" s="34"/>
      <c r="Q276" s="35"/>
      <c r="R276" s="35"/>
      <c r="S276" s="35"/>
      <c r="T276" s="35"/>
      <c r="U276" s="35"/>
      <c r="V276" s="35"/>
      <c r="W276" s="35"/>
      <c r="X276" s="35"/>
      <c r="Y276" s="35"/>
      <c r="Z276" s="35"/>
      <c r="AA276" s="35"/>
    </row>
    <row r="277" ht="14.25" customHeight="1">
      <c r="A277" s="221"/>
      <c r="B277" s="231"/>
      <c r="C277" s="108"/>
      <c r="D277" s="85"/>
      <c r="E277" s="117"/>
      <c r="F277" s="245"/>
      <c r="G277" s="245"/>
      <c r="H277" s="88"/>
      <c r="I277" s="36">
        <f t="shared" si="1"/>
        <v>0</v>
      </c>
      <c r="J277" s="37">
        <f t="shared" si="2"/>
        <v>0</v>
      </c>
      <c r="K277" s="38">
        <f t="shared" si="3"/>
        <v>0</v>
      </c>
      <c r="L277" s="39">
        <f t="shared" si="4"/>
        <v>0</v>
      </c>
      <c r="M277" s="38">
        <f t="shared" si="5"/>
        <v>0</v>
      </c>
      <c r="N277" s="39">
        <f t="shared" si="6"/>
        <v>0</v>
      </c>
      <c r="O277" s="40"/>
      <c r="P277" s="34"/>
      <c r="Q277" s="35"/>
      <c r="R277" s="35"/>
      <c r="S277" s="35"/>
      <c r="T277" s="35"/>
      <c r="U277" s="35"/>
      <c r="V277" s="35"/>
      <c r="W277" s="35"/>
      <c r="X277" s="35"/>
      <c r="Y277" s="35"/>
      <c r="Z277" s="35"/>
      <c r="AA277" s="35"/>
    </row>
    <row r="278" ht="14.25" customHeight="1">
      <c r="A278" s="221"/>
      <c r="B278" s="231"/>
      <c r="C278" s="108"/>
      <c r="D278" s="100"/>
      <c r="E278" s="117"/>
      <c r="F278" s="245"/>
      <c r="G278" s="245"/>
      <c r="H278" s="88"/>
      <c r="I278" s="36">
        <f t="shared" si="1"/>
        <v>0</v>
      </c>
      <c r="J278" s="37">
        <f t="shared" si="2"/>
        <v>0</v>
      </c>
      <c r="K278" s="38">
        <f t="shared" si="3"/>
        <v>0</v>
      </c>
      <c r="L278" s="39">
        <f t="shared" si="4"/>
        <v>0</v>
      </c>
      <c r="M278" s="38">
        <f t="shared" si="5"/>
        <v>0</v>
      </c>
      <c r="N278" s="39">
        <f t="shared" si="6"/>
        <v>0</v>
      </c>
      <c r="O278" s="40"/>
      <c r="P278" s="34"/>
      <c r="Q278" s="35"/>
      <c r="R278" s="35"/>
      <c r="S278" s="35"/>
      <c r="T278" s="35"/>
      <c r="U278" s="35"/>
      <c r="V278" s="35"/>
      <c r="W278" s="35"/>
      <c r="X278" s="35"/>
      <c r="Y278" s="35"/>
      <c r="Z278" s="35"/>
      <c r="AA278" s="35"/>
    </row>
    <row r="279" ht="14.25" customHeight="1">
      <c r="A279" s="221"/>
      <c r="B279" s="231"/>
      <c r="C279" s="116"/>
      <c r="D279" s="100"/>
      <c r="E279" s="117"/>
      <c r="F279" s="245"/>
      <c r="G279" s="245"/>
      <c r="H279" s="88"/>
      <c r="I279" s="36">
        <f t="shared" si="1"/>
        <v>0</v>
      </c>
      <c r="J279" s="37">
        <f t="shared" si="2"/>
        <v>0</v>
      </c>
      <c r="K279" s="38">
        <f t="shared" si="3"/>
        <v>0</v>
      </c>
      <c r="L279" s="39">
        <f t="shared" si="4"/>
        <v>0</v>
      </c>
      <c r="M279" s="38">
        <f t="shared" si="5"/>
        <v>0</v>
      </c>
      <c r="N279" s="39">
        <f t="shared" si="6"/>
        <v>0</v>
      </c>
      <c r="O279" s="40"/>
      <c r="P279" s="34"/>
      <c r="Q279" s="35"/>
      <c r="R279" s="35"/>
      <c r="S279" s="35"/>
      <c r="T279" s="35"/>
      <c r="U279" s="35"/>
      <c r="V279" s="35"/>
      <c r="W279" s="35"/>
      <c r="X279" s="35"/>
      <c r="Y279" s="35"/>
      <c r="Z279" s="35"/>
      <c r="AA279" s="35"/>
    </row>
    <row r="280" ht="14.25" customHeight="1">
      <c r="A280" s="221"/>
      <c r="B280" s="231"/>
      <c r="C280" s="116"/>
      <c r="D280" s="100"/>
      <c r="E280" s="117"/>
      <c r="F280" s="245"/>
      <c r="G280" s="245"/>
      <c r="H280" s="88"/>
      <c r="I280" s="36">
        <f t="shared" si="1"/>
        <v>0</v>
      </c>
      <c r="J280" s="37">
        <f t="shared" si="2"/>
        <v>0</v>
      </c>
      <c r="K280" s="38">
        <f t="shared" si="3"/>
        <v>0</v>
      </c>
      <c r="L280" s="39">
        <f t="shared" si="4"/>
        <v>0</v>
      </c>
      <c r="M280" s="38">
        <f t="shared" si="5"/>
        <v>0</v>
      </c>
      <c r="N280" s="39">
        <f t="shared" si="6"/>
        <v>0</v>
      </c>
      <c r="O280" s="40"/>
      <c r="P280" s="34"/>
      <c r="Q280" s="35"/>
      <c r="R280" s="35"/>
      <c r="S280" s="35"/>
      <c r="T280" s="35"/>
      <c r="U280" s="35"/>
      <c r="V280" s="35"/>
      <c r="W280" s="35"/>
      <c r="X280" s="35"/>
      <c r="Y280" s="35"/>
      <c r="Z280" s="35"/>
      <c r="AA280" s="35"/>
    </row>
    <row r="281" ht="14.25" customHeight="1">
      <c r="A281" s="221"/>
      <c r="B281" s="231"/>
      <c r="C281" s="116"/>
      <c r="D281" s="100"/>
      <c r="E281" s="117"/>
      <c r="F281" s="245"/>
      <c r="G281" s="245"/>
      <c r="H281" s="88"/>
      <c r="I281" s="36">
        <f t="shared" si="1"/>
        <v>0</v>
      </c>
      <c r="J281" s="37">
        <f t="shared" si="2"/>
        <v>0</v>
      </c>
      <c r="K281" s="38">
        <f t="shared" si="3"/>
        <v>0</v>
      </c>
      <c r="L281" s="39">
        <f t="shared" si="4"/>
        <v>0</v>
      </c>
      <c r="M281" s="38">
        <f t="shared" si="5"/>
        <v>0</v>
      </c>
      <c r="N281" s="39">
        <f t="shared" si="6"/>
        <v>0</v>
      </c>
      <c r="O281" s="40"/>
      <c r="P281" s="34"/>
      <c r="Q281" s="35"/>
      <c r="R281" s="35"/>
      <c r="S281" s="35"/>
      <c r="T281" s="35"/>
      <c r="U281" s="35"/>
      <c r="V281" s="35"/>
      <c r="W281" s="35"/>
      <c r="X281" s="35"/>
      <c r="Y281" s="35"/>
      <c r="Z281" s="35"/>
      <c r="AA281" s="35"/>
    </row>
    <row r="282" ht="14.25" customHeight="1">
      <c r="A282" s="221"/>
      <c r="B282" s="231"/>
      <c r="C282" s="116"/>
      <c r="D282" s="100"/>
      <c r="E282" s="117"/>
      <c r="F282" s="245"/>
      <c r="G282" s="245"/>
      <c r="H282" s="88"/>
      <c r="I282" s="36">
        <f t="shared" si="1"/>
        <v>0</v>
      </c>
      <c r="J282" s="37">
        <f t="shared" si="2"/>
        <v>0</v>
      </c>
      <c r="K282" s="38">
        <f t="shared" si="3"/>
        <v>0</v>
      </c>
      <c r="L282" s="39">
        <f t="shared" si="4"/>
        <v>0</v>
      </c>
      <c r="M282" s="38">
        <f t="shared" si="5"/>
        <v>0</v>
      </c>
      <c r="N282" s="39">
        <f t="shared" si="6"/>
        <v>0</v>
      </c>
      <c r="O282" s="40"/>
      <c r="P282" s="34"/>
      <c r="Q282" s="35"/>
      <c r="R282" s="35"/>
      <c r="S282" s="35"/>
      <c r="T282" s="35"/>
      <c r="U282" s="35"/>
      <c r="V282" s="35"/>
      <c r="W282" s="35"/>
      <c r="X282" s="35"/>
      <c r="Y282" s="35"/>
      <c r="Z282" s="35"/>
      <c r="AA282" s="35"/>
    </row>
    <row r="283" ht="14.25" customHeight="1">
      <c r="A283" s="221"/>
      <c r="B283" s="231"/>
      <c r="C283" s="116"/>
      <c r="D283" s="100"/>
      <c r="E283" s="117"/>
      <c r="F283" s="245"/>
      <c r="G283" s="245"/>
      <c r="H283" s="88"/>
      <c r="I283" s="36">
        <f t="shared" si="1"/>
        <v>0</v>
      </c>
      <c r="J283" s="37">
        <f t="shared" si="2"/>
        <v>0</v>
      </c>
      <c r="K283" s="38">
        <f t="shared" si="3"/>
        <v>0</v>
      </c>
      <c r="L283" s="39">
        <f t="shared" si="4"/>
        <v>0</v>
      </c>
      <c r="M283" s="38">
        <f t="shared" si="5"/>
        <v>0</v>
      </c>
      <c r="N283" s="39">
        <f t="shared" si="6"/>
        <v>0</v>
      </c>
      <c r="O283" s="40"/>
      <c r="P283" s="34"/>
      <c r="Q283" s="35"/>
      <c r="R283" s="35"/>
      <c r="S283" s="35"/>
      <c r="T283" s="35"/>
      <c r="U283" s="35"/>
      <c r="V283" s="35"/>
      <c r="W283" s="35"/>
      <c r="X283" s="35"/>
      <c r="Y283" s="35"/>
      <c r="Z283" s="35"/>
      <c r="AA283" s="35"/>
    </row>
    <row r="284" ht="14.25" customHeight="1">
      <c r="A284" s="221"/>
      <c r="B284" s="231"/>
      <c r="C284" s="116"/>
      <c r="D284" s="100"/>
      <c r="E284" s="117"/>
      <c r="F284" s="245"/>
      <c r="G284" s="245"/>
      <c r="H284" s="88"/>
      <c r="I284" s="36">
        <f t="shared" si="1"/>
        <v>0</v>
      </c>
      <c r="J284" s="37">
        <f t="shared" si="2"/>
        <v>0</v>
      </c>
      <c r="K284" s="38">
        <f t="shared" si="3"/>
        <v>0</v>
      </c>
      <c r="L284" s="39">
        <f t="shared" si="4"/>
        <v>0</v>
      </c>
      <c r="M284" s="38">
        <f t="shared" si="5"/>
        <v>0</v>
      </c>
      <c r="N284" s="39">
        <f t="shared" si="6"/>
        <v>0</v>
      </c>
      <c r="O284" s="40"/>
      <c r="P284" s="34"/>
      <c r="Q284" s="35"/>
      <c r="R284" s="35"/>
      <c r="S284" s="35"/>
      <c r="T284" s="35"/>
      <c r="U284" s="35"/>
      <c r="V284" s="35"/>
      <c r="W284" s="35"/>
      <c r="X284" s="35"/>
      <c r="Y284" s="35"/>
      <c r="Z284" s="35"/>
      <c r="AA284" s="35"/>
    </row>
    <row r="285" ht="14.25" customHeight="1">
      <c r="A285" s="221"/>
      <c r="B285" s="231"/>
      <c r="C285" s="116"/>
      <c r="D285" s="100"/>
      <c r="E285" s="117"/>
      <c r="F285" s="245"/>
      <c r="G285" s="245"/>
      <c r="H285" s="88"/>
      <c r="I285" s="36">
        <f t="shared" si="1"/>
        <v>0</v>
      </c>
      <c r="J285" s="37">
        <f t="shared" si="2"/>
        <v>0</v>
      </c>
      <c r="K285" s="38">
        <f t="shared" si="3"/>
        <v>0</v>
      </c>
      <c r="L285" s="39">
        <f t="shared" si="4"/>
        <v>0</v>
      </c>
      <c r="M285" s="38">
        <f t="shared" si="5"/>
        <v>0</v>
      </c>
      <c r="N285" s="39">
        <f t="shared" si="6"/>
        <v>0</v>
      </c>
      <c r="O285" s="40"/>
      <c r="P285" s="34"/>
      <c r="Q285" s="35"/>
      <c r="R285" s="35"/>
      <c r="S285" s="35"/>
      <c r="T285" s="35"/>
      <c r="U285" s="35"/>
      <c r="V285" s="35"/>
      <c r="W285" s="35"/>
      <c r="X285" s="35"/>
      <c r="Y285" s="35"/>
      <c r="Z285" s="35"/>
      <c r="AA285" s="35"/>
    </row>
    <row r="286" ht="14.25" customHeight="1">
      <c r="A286" s="221"/>
      <c r="B286" s="231"/>
      <c r="C286" s="116"/>
      <c r="D286" s="100"/>
      <c r="E286" s="117"/>
      <c r="F286" s="245"/>
      <c r="G286" s="245"/>
      <c r="H286" s="88"/>
      <c r="I286" s="36">
        <f t="shared" si="1"/>
        <v>0</v>
      </c>
      <c r="J286" s="37">
        <f t="shared" si="2"/>
        <v>0</v>
      </c>
      <c r="K286" s="38">
        <f t="shared" si="3"/>
        <v>0</v>
      </c>
      <c r="L286" s="39">
        <f t="shared" si="4"/>
        <v>0</v>
      </c>
      <c r="M286" s="38">
        <f t="shared" si="5"/>
        <v>0</v>
      </c>
      <c r="N286" s="39">
        <f t="shared" si="6"/>
        <v>0</v>
      </c>
      <c r="O286" s="40"/>
      <c r="P286" s="34"/>
      <c r="Q286" s="35"/>
      <c r="R286" s="35"/>
      <c r="S286" s="35"/>
      <c r="T286" s="35"/>
      <c r="U286" s="35"/>
      <c r="V286" s="35"/>
      <c r="W286" s="35"/>
      <c r="X286" s="35"/>
      <c r="Y286" s="35"/>
      <c r="Z286" s="35"/>
      <c r="AA286" s="35"/>
    </row>
    <row r="287" ht="14.25" customHeight="1">
      <c r="A287" s="221"/>
      <c r="B287" s="231"/>
      <c r="C287" s="108"/>
      <c r="D287" s="85"/>
      <c r="E287" s="117"/>
      <c r="F287" s="245"/>
      <c r="G287" s="245"/>
      <c r="H287" s="88"/>
      <c r="I287" s="36">
        <f t="shared" si="1"/>
        <v>0</v>
      </c>
      <c r="J287" s="37">
        <f t="shared" si="2"/>
        <v>0</v>
      </c>
      <c r="K287" s="38">
        <f t="shared" si="3"/>
        <v>0</v>
      </c>
      <c r="L287" s="39">
        <f t="shared" si="4"/>
        <v>0</v>
      </c>
      <c r="M287" s="38">
        <f t="shared" si="5"/>
        <v>0</v>
      </c>
      <c r="N287" s="39">
        <f t="shared" si="6"/>
        <v>0</v>
      </c>
      <c r="O287" s="40"/>
      <c r="P287" s="34"/>
      <c r="Q287" s="35"/>
      <c r="R287" s="35"/>
      <c r="S287" s="35"/>
      <c r="T287" s="35"/>
      <c r="U287" s="35"/>
      <c r="V287" s="35"/>
      <c r="W287" s="35"/>
      <c r="X287" s="35"/>
      <c r="Y287" s="35"/>
      <c r="Z287" s="35"/>
      <c r="AA287" s="35"/>
    </row>
    <row r="288" ht="14.25" customHeight="1">
      <c r="A288" s="221"/>
      <c r="B288" s="231"/>
      <c r="C288" s="108"/>
      <c r="D288" s="85"/>
      <c r="E288" s="117"/>
      <c r="F288" s="245"/>
      <c r="G288" s="245"/>
      <c r="H288" s="88"/>
      <c r="I288" s="36">
        <f t="shared" si="1"/>
        <v>0</v>
      </c>
      <c r="J288" s="37">
        <f t="shared" si="2"/>
        <v>0</v>
      </c>
      <c r="K288" s="38">
        <f t="shared" si="3"/>
        <v>0</v>
      </c>
      <c r="L288" s="39">
        <f t="shared" si="4"/>
        <v>0</v>
      </c>
      <c r="M288" s="38">
        <f t="shared" si="5"/>
        <v>0</v>
      </c>
      <c r="N288" s="39">
        <f t="shared" si="6"/>
        <v>0</v>
      </c>
      <c r="O288" s="40"/>
      <c r="P288" s="34"/>
      <c r="Q288" s="35"/>
      <c r="R288" s="35"/>
      <c r="S288" s="35"/>
      <c r="T288" s="35"/>
      <c r="U288" s="35"/>
      <c r="V288" s="35"/>
      <c r="W288" s="35"/>
      <c r="X288" s="35"/>
      <c r="Y288" s="35"/>
      <c r="Z288" s="35"/>
      <c r="AA288" s="35"/>
    </row>
    <row r="289" ht="14.25" customHeight="1">
      <c r="A289" s="221"/>
      <c r="B289" s="231"/>
      <c r="C289" s="115"/>
      <c r="D289" s="100"/>
      <c r="E289" s="117"/>
      <c r="F289" s="245"/>
      <c r="G289" s="245"/>
      <c r="H289" s="88"/>
      <c r="I289" s="36">
        <f t="shared" si="1"/>
        <v>0</v>
      </c>
      <c r="J289" s="37">
        <f t="shared" si="2"/>
        <v>0</v>
      </c>
      <c r="K289" s="38">
        <f t="shared" si="3"/>
        <v>0</v>
      </c>
      <c r="L289" s="39">
        <f t="shared" si="4"/>
        <v>0</v>
      </c>
      <c r="M289" s="38">
        <f t="shared" si="5"/>
        <v>0</v>
      </c>
      <c r="N289" s="39">
        <f t="shared" si="6"/>
        <v>0</v>
      </c>
      <c r="O289" s="40"/>
      <c r="P289" s="34"/>
      <c r="Q289" s="35"/>
      <c r="R289" s="35"/>
      <c r="S289" s="35"/>
      <c r="T289" s="35"/>
      <c r="U289" s="35"/>
      <c r="V289" s="35"/>
      <c r="W289" s="35"/>
      <c r="X289" s="35"/>
      <c r="Y289" s="35"/>
      <c r="Z289" s="35"/>
      <c r="AA289" s="35"/>
    </row>
    <row r="290" ht="14.25" customHeight="1">
      <c r="A290" s="221"/>
      <c r="B290" s="231"/>
      <c r="C290" s="116"/>
      <c r="D290" s="100"/>
      <c r="E290" s="117"/>
      <c r="F290" s="245"/>
      <c r="G290" s="245"/>
      <c r="H290" s="88"/>
      <c r="I290" s="36">
        <f t="shared" si="1"/>
        <v>0</v>
      </c>
      <c r="J290" s="37">
        <f t="shared" si="2"/>
        <v>0</v>
      </c>
      <c r="K290" s="38">
        <f t="shared" si="3"/>
        <v>0</v>
      </c>
      <c r="L290" s="39">
        <f t="shared" si="4"/>
        <v>0</v>
      </c>
      <c r="M290" s="38">
        <f t="shared" si="5"/>
        <v>0</v>
      </c>
      <c r="N290" s="39">
        <f t="shared" si="6"/>
        <v>0</v>
      </c>
      <c r="O290" s="40"/>
      <c r="P290" s="34"/>
      <c r="Q290" s="35"/>
      <c r="R290" s="35"/>
      <c r="S290" s="35"/>
      <c r="T290" s="35"/>
      <c r="U290" s="35"/>
      <c r="V290" s="35"/>
      <c r="W290" s="35"/>
      <c r="X290" s="35"/>
      <c r="Y290" s="35"/>
      <c r="Z290" s="35"/>
      <c r="AA290" s="35"/>
    </row>
    <row r="291" ht="14.25" customHeight="1">
      <c r="A291" s="221"/>
      <c r="B291" s="231"/>
      <c r="C291" s="116"/>
      <c r="D291" s="100"/>
      <c r="E291" s="117"/>
      <c r="F291" s="245"/>
      <c r="G291" s="245"/>
      <c r="H291" s="88"/>
      <c r="I291" s="36">
        <f t="shared" si="1"/>
        <v>0</v>
      </c>
      <c r="J291" s="37">
        <f t="shared" si="2"/>
        <v>0</v>
      </c>
      <c r="K291" s="38">
        <f t="shared" si="3"/>
        <v>0</v>
      </c>
      <c r="L291" s="39">
        <f t="shared" si="4"/>
        <v>0</v>
      </c>
      <c r="M291" s="38">
        <f t="shared" si="5"/>
        <v>0</v>
      </c>
      <c r="N291" s="39">
        <f t="shared" si="6"/>
        <v>0</v>
      </c>
      <c r="O291" s="40"/>
      <c r="P291" s="34"/>
      <c r="Q291" s="35"/>
      <c r="R291" s="35"/>
      <c r="S291" s="35"/>
      <c r="T291" s="35"/>
      <c r="U291" s="35"/>
      <c r="V291" s="35"/>
      <c r="W291" s="35"/>
      <c r="X291" s="35"/>
      <c r="Y291" s="35"/>
      <c r="Z291" s="35"/>
      <c r="AA291" s="35"/>
    </row>
    <row r="292" ht="14.25" customHeight="1">
      <c r="A292" s="221"/>
      <c r="B292" s="231"/>
      <c r="C292" s="115"/>
      <c r="D292" s="100"/>
      <c r="E292" s="117"/>
      <c r="F292" s="245"/>
      <c r="G292" s="245"/>
      <c r="H292" s="88"/>
      <c r="I292" s="36">
        <f t="shared" si="1"/>
        <v>0</v>
      </c>
      <c r="J292" s="37">
        <f t="shared" si="2"/>
        <v>0</v>
      </c>
      <c r="K292" s="38">
        <f t="shared" si="3"/>
        <v>0</v>
      </c>
      <c r="L292" s="39">
        <f t="shared" si="4"/>
        <v>0</v>
      </c>
      <c r="M292" s="38">
        <f t="shared" si="5"/>
        <v>0</v>
      </c>
      <c r="N292" s="39">
        <f t="shared" si="6"/>
        <v>0</v>
      </c>
      <c r="O292" s="40"/>
      <c r="P292" s="34"/>
      <c r="Q292" s="35"/>
      <c r="R292" s="35"/>
      <c r="S292" s="35"/>
      <c r="T292" s="35"/>
      <c r="U292" s="35"/>
      <c r="V292" s="35"/>
      <c r="W292" s="35"/>
      <c r="X292" s="35"/>
      <c r="Y292" s="35"/>
      <c r="Z292" s="35"/>
      <c r="AA292" s="35"/>
    </row>
    <row r="293" ht="14.25" customHeight="1">
      <c r="A293" s="221"/>
      <c r="B293" s="231"/>
      <c r="C293" s="115"/>
      <c r="D293" s="100"/>
      <c r="E293" s="117"/>
      <c r="F293" s="245"/>
      <c r="G293" s="245"/>
      <c r="H293" s="88"/>
      <c r="I293" s="36">
        <f t="shared" si="1"/>
        <v>0</v>
      </c>
      <c r="J293" s="37">
        <f t="shared" si="2"/>
        <v>0</v>
      </c>
      <c r="K293" s="38">
        <f t="shared" si="3"/>
        <v>0</v>
      </c>
      <c r="L293" s="39">
        <f t="shared" si="4"/>
        <v>0</v>
      </c>
      <c r="M293" s="38">
        <f t="shared" si="5"/>
        <v>0</v>
      </c>
      <c r="N293" s="39">
        <f t="shared" si="6"/>
        <v>0</v>
      </c>
      <c r="O293" s="40"/>
      <c r="P293" s="34"/>
      <c r="Q293" s="35"/>
      <c r="R293" s="35"/>
      <c r="S293" s="35"/>
      <c r="T293" s="35"/>
      <c r="U293" s="35"/>
      <c r="V293" s="35"/>
      <c r="W293" s="35"/>
      <c r="X293" s="35"/>
      <c r="Y293" s="35"/>
      <c r="Z293" s="35"/>
      <c r="AA293" s="35"/>
    </row>
    <row r="294" ht="14.25" customHeight="1">
      <c r="A294" s="221"/>
      <c r="B294" s="231"/>
      <c r="C294" s="115"/>
      <c r="D294" s="85"/>
      <c r="E294" s="117"/>
      <c r="F294" s="245"/>
      <c r="G294" s="245"/>
      <c r="H294" s="88"/>
      <c r="I294" s="36">
        <f t="shared" si="1"/>
        <v>0</v>
      </c>
      <c r="J294" s="37">
        <f t="shared" si="2"/>
        <v>0</v>
      </c>
      <c r="K294" s="38">
        <f t="shared" si="3"/>
        <v>0</v>
      </c>
      <c r="L294" s="39">
        <f t="shared" si="4"/>
        <v>0</v>
      </c>
      <c r="M294" s="38">
        <f t="shared" si="5"/>
        <v>0</v>
      </c>
      <c r="N294" s="39">
        <f t="shared" si="6"/>
        <v>0</v>
      </c>
      <c r="O294" s="40"/>
      <c r="P294" s="34"/>
      <c r="Q294" s="35"/>
      <c r="R294" s="35"/>
      <c r="S294" s="35"/>
      <c r="T294" s="35"/>
      <c r="U294" s="35"/>
      <c r="V294" s="35"/>
      <c r="W294" s="35"/>
      <c r="X294" s="35"/>
      <c r="Y294" s="35"/>
      <c r="Z294" s="35"/>
      <c r="AA294" s="35"/>
    </row>
    <row r="295" ht="14.25" customHeight="1">
      <c r="A295" s="221"/>
      <c r="B295" s="231"/>
      <c r="C295" s="129"/>
      <c r="D295" s="99"/>
      <c r="E295" s="117"/>
      <c r="F295" s="245"/>
      <c r="G295" s="245"/>
      <c r="H295" s="88"/>
      <c r="I295" s="36">
        <f t="shared" si="1"/>
        <v>0</v>
      </c>
      <c r="J295" s="37">
        <f t="shared" si="2"/>
        <v>0</v>
      </c>
      <c r="K295" s="38">
        <f t="shared" si="3"/>
        <v>0</v>
      </c>
      <c r="L295" s="39">
        <f t="shared" si="4"/>
        <v>0</v>
      </c>
      <c r="M295" s="38">
        <f t="shared" si="5"/>
        <v>0</v>
      </c>
      <c r="N295" s="39">
        <f t="shared" si="6"/>
        <v>0</v>
      </c>
      <c r="O295" s="40"/>
      <c r="P295" s="34"/>
      <c r="Q295" s="35"/>
      <c r="R295" s="35"/>
      <c r="S295" s="35"/>
      <c r="T295" s="35"/>
      <c r="U295" s="35"/>
      <c r="V295" s="35"/>
      <c r="W295" s="35"/>
      <c r="X295" s="35"/>
      <c r="Y295" s="35"/>
      <c r="Z295" s="35"/>
      <c r="AA295" s="35"/>
    </row>
    <row r="296" ht="14.25" customHeight="1">
      <c r="A296" s="221"/>
      <c r="B296" s="231"/>
      <c r="C296" s="110"/>
      <c r="D296" s="85"/>
      <c r="E296" s="117"/>
      <c r="F296" s="245"/>
      <c r="G296" s="245"/>
      <c r="H296" s="88"/>
      <c r="I296" s="36">
        <f t="shared" si="1"/>
        <v>0</v>
      </c>
      <c r="J296" s="37">
        <f t="shared" si="2"/>
        <v>0</v>
      </c>
      <c r="K296" s="38">
        <f t="shared" si="3"/>
        <v>0</v>
      </c>
      <c r="L296" s="39">
        <f t="shared" si="4"/>
        <v>0</v>
      </c>
      <c r="M296" s="38">
        <f t="shared" si="5"/>
        <v>0</v>
      </c>
      <c r="N296" s="39">
        <f t="shared" si="6"/>
        <v>0</v>
      </c>
      <c r="O296" s="40"/>
      <c r="P296" s="34"/>
      <c r="Q296" s="35"/>
      <c r="R296" s="35"/>
      <c r="S296" s="35"/>
      <c r="T296" s="35"/>
      <c r="U296" s="35"/>
      <c r="V296" s="35"/>
      <c r="W296" s="35"/>
      <c r="X296" s="35"/>
      <c r="Y296" s="35"/>
      <c r="Z296" s="35"/>
      <c r="AA296" s="35"/>
    </row>
    <row r="297" ht="14.25" customHeight="1">
      <c r="A297" s="221"/>
      <c r="B297" s="231"/>
      <c r="C297" s="116"/>
      <c r="D297" s="85"/>
      <c r="E297" s="117"/>
      <c r="F297" s="245"/>
      <c r="G297" s="245"/>
      <c r="H297" s="88"/>
      <c r="I297" s="36">
        <f t="shared" si="1"/>
        <v>0</v>
      </c>
      <c r="J297" s="37">
        <f t="shared" si="2"/>
        <v>0</v>
      </c>
      <c r="K297" s="38">
        <f t="shared" si="3"/>
        <v>0</v>
      </c>
      <c r="L297" s="39">
        <f t="shared" si="4"/>
        <v>0</v>
      </c>
      <c r="M297" s="38">
        <f t="shared" si="5"/>
        <v>0</v>
      </c>
      <c r="N297" s="39">
        <f t="shared" si="6"/>
        <v>0</v>
      </c>
      <c r="O297" s="40"/>
      <c r="P297" s="34"/>
      <c r="Q297" s="35"/>
      <c r="R297" s="35"/>
      <c r="S297" s="35"/>
      <c r="T297" s="35"/>
      <c r="U297" s="35"/>
      <c r="V297" s="35"/>
      <c r="W297" s="35"/>
      <c r="X297" s="35"/>
      <c r="Y297" s="35"/>
      <c r="Z297" s="35"/>
      <c r="AA297" s="35"/>
    </row>
    <row r="298" ht="14.25" customHeight="1">
      <c r="A298" s="221"/>
      <c r="B298" s="231"/>
      <c r="C298" s="116"/>
      <c r="D298" s="85"/>
      <c r="E298" s="117"/>
      <c r="F298" s="245"/>
      <c r="G298" s="245"/>
      <c r="H298" s="88"/>
      <c r="I298" s="36">
        <f t="shared" si="1"/>
        <v>0</v>
      </c>
      <c r="J298" s="37">
        <f t="shared" si="2"/>
        <v>0</v>
      </c>
      <c r="K298" s="38">
        <f t="shared" si="3"/>
        <v>0</v>
      </c>
      <c r="L298" s="39">
        <f t="shared" si="4"/>
        <v>0</v>
      </c>
      <c r="M298" s="38">
        <f t="shared" si="5"/>
        <v>0</v>
      </c>
      <c r="N298" s="39">
        <f t="shared" si="6"/>
        <v>0</v>
      </c>
      <c r="O298" s="40"/>
      <c r="P298" s="34"/>
      <c r="Q298" s="35"/>
      <c r="R298" s="35"/>
      <c r="S298" s="35"/>
      <c r="T298" s="35"/>
      <c r="U298" s="35"/>
      <c r="V298" s="35"/>
      <c r="W298" s="35"/>
      <c r="X298" s="35"/>
      <c r="Y298" s="35"/>
      <c r="Z298" s="35"/>
      <c r="AA298" s="35"/>
    </row>
    <row r="299" ht="14.25" customHeight="1">
      <c r="A299" s="221"/>
      <c r="B299" s="231"/>
      <c r="C299" s="116"/>
      <c r="D299" s="85"/>
      <c r="E299" s="117"/>
      <c r="F299" s="245"/>
      <c r="G299" s="245"/>
      <c r="H299" s="88"/>
      <c r="I299" s="36">
        <f t="shared" si="1"/>
        <v>0</v>
      </c>
      <c r="J299" s="37">
        <f t="shared" si="2"/>
        <v>0</v>
      </c>
      <c r="K299" s="38">
        <f t="shared" si="3"/>
        <v>0</v>
      </c>
      <c r="L299" s="39">
        <f t="shared" si="4"/>
        <v>0</v>
      </c>
      <c r="M299" s="38">
        <f t="shared" si="5"/>
        <v>0</v>
      </c>
      <c r="N299" s="39">
        <f t="shared" si="6"/>
        <v>0</v>
      </c>
      <c r="O299" s="40"/>
      <c r="P299" s="34"/>
      <c r="Q299" s="35"/>
      <c r="R299" s="35"/>
      <c r="S299" s="35"/>
      <c r="T299" s="35"/>
      <c r="U299" s="35"/>
      <c r="V299" s="35"/>
      <c r="W299" s="35"/>
      <c r="X299" s="35"/>
      <c r="Y299" s="35"/>
      <c r="Z299" s="35"/>
      <c r="AA299" s="35"/>
    </row>
    <row r="300" ht="14.25" customHeight="1">
      <c r="A300" s="221"/>
      <c r="B300" s="231"/>
      <c r="C300" s="116"/>
      <c r="D300" s="85"/>
      <c r="E300" s="117"/>
      <c r="F300" s="245"/>
      <c r="G300" s="245"/>
      <c r="H300" s="88"/>
      <c r="I300" s="36">
        <f t="shared" si="1"/>
        <v>0</v>
      </c>
      <c r="J300" s="37">
        <f t="shared" si="2"/>
        <v>0</v>
      </c>
      <c r="K300" s="38">
        <f t="shared" si="3"/>
        <v>0</v>
      </c>
      <c r="L300" s="39">
        <f t="shared" si="4"/>
        <v>0</v>
      </c>
      <c r="M300" s="38">
        <f t="shared" si="5"/>
        <v>0</v>
      </c>
      <c r="N300" s="39">
        <f t="shared" si="6"/>
        <v>0</v>
      </c>
      <c r="O300" s="40"/>
      <c r="P300" s="34"/>
      <c r="Q300" s="35"/>
      <c r="R300" s="35"/>
      <c r="S300" s="35"/>
      <c r="T300" s="35"/>
      <c r="U300" s="35"/>
      <c r="V300" s="35"/>
      <c r="W300" s="35"/>
      <c r="X300" s="35"/>
      <c r="Y300" s="35"/>
      <c r="Z300" s="35"/>
      <c r="AA300" s="35"/>
    </row>
    <row r="301" ht="14.25" customHeight="1">
      <c r="A301" s="221"/>
      <c r="B301" s="231"/>
      <c r="C301" s="110"/>
      <c r="D301" s="122"/>
      <c r="E301" s="117"/>
      <c r="F301" s="245"/>
      <c r="G301" s="245"/>
      <c r="H301" s="88"/>
      <c r="I301" s="36">
        <f t="shared" si="1"/>
        <v>0</v>
      </c>
      <c r="J301" s="37">
        <f t="shared" si="2"/>
        <v>0</v>
      </c>
      <c r="K301" s="38">
        <f t="shared" si="3"/>
        <v>0</v>
      </c>
      <c r="L301" s="39">
        <f t="shared" si="4"/>
        <v>0</v>
      </c>
      <c r="M301" s="38">
        <f t="shared" si="5"/>
        <v>0</v>
      </c>
      <c r="N301" s="39">
        <f t="shared" si="6"/>
        <v>0</v>
      </c>
      <c r="O301" s="40"/>
      <c r="P301" s="34"/>
      <c r="Q301" s="35"/>
      <c r="R301" s="35"/>
      <c r="S301" s="35"/>
      <c r="T301" s="35"/>
      <c r="U301" s="35"/>
      <c r="V301" s="35"/>
      <c r="W301" s="35"/>
      <c r="X301" s="35"/>
      <c r="Y301" s="35"/>
      <c r="Z301" s="35"/>
      <c r="AA301" s="35"/>
    </row>
    <row r="302" ht="14.25" customHeight="1">
      <c r="A302" s="221"/>
      <c r="B302" s="231"/>
      <c r="C302" s="110"/>
      <c r="D302" s="122"/>
      <c r="E302" s="117"/>
      <c r="F302" s="245"/>
      <c r="G302" s="245"/>
      <c r="H302" s="88"/>
      <c r="I302" s="36">
        <f t="shared" si="1"/>
        <v>0</v>
      </c>
      <c r="J302" s="37">
        <f t="shared" si="2"/>
        <v>0</v>
      </c>
      <c r="K302" s="38">
        <f t="shared" si="3"/>
        <v>0</v>
      </c>
      <c r="L302" s="39">
        <f t="shared" si="4"/>
        <v>0</v>
      </c>
      <c r="M302" s="38">
        <f t="shared" si="5"/>
        <v>0</v>
      </c>
      <c r="N302" s="39">
        <f t="shared" si="6"/>
        <v>0</v>
      </c>
      <c r="O302" s="40"/>
      <c r="P302" s="34"/>
      <c r="Q302" s="35"/>
      <c r="R302" s="35"/>
      <c r="S302" s="35"/>
      <c r="T302" s="35"/>
      <c r="U302" s="35"/>
      <c r="V302" s="35"/>
      <c r="W302" s="35"/>
      <c r="X302" s="35"/>
      <c r="Y302" s="35"/>
      <c r="Z302" s="35"/>
      <c r="AA302" s="35"/>
    </row>
    <row r="303" ht="14.25" customHeight="1">
      <c r="A303" s="221"/>
      <c r="B303" s="231"/>
      <c r="C303" s="110"/>
      <c r="D303" s="85"/>
      <c r="E303" s="117"/>
      <c r="F303" s="245"/>
      <c r="G303" s="245"/>
      <c r="H303" s="88"/>
      <c r="I303" s="36">
        <f t="shared" si="1"/>
        <v>0</v>
      </c>
      <c r="J303" s="37">
        <f t="shared" si="2"/>
        <v>0</v>
      </c>
      <c r="K303" s="38">
        <f t="shared" si="3"/>
        <v>0</v>
      </c>
      <c r="L303" s="39">
        <f t="shared" si="4"/>
        <v>0</v>
      </c>
      <c r="M303" s="38">
        <f t="shared" si="5"/>
        <v>0</v>
      </c>
      <c r="N303" s="39">
        <f t="shared" si="6"/>
        <v>0</v>
      </c>
      <c r="O303" s="40"/>
      <c r="P303" s="34"/>
      <c r="Q303" s="35"/>
      <c r="R303" s="35"/>
      <c r="S303" s="35"/>
      <c r="T303" s="35"/>
      <c r="U303" s="35"/>
      <c r="V303" s="35"/>
      <c r="W303" s="35"/>
      <c r="X303" s="35"/>
      <c r="Y303" s="35"/>
      <c r="Z303" s="35"/>
      <c r="AA303" s="35"/>
    </row>
    <row r="304" ht="14.25" customHeight="1">
      <c r="A304" s="221"/>
      <c r="B304" s="231"/>
      <c r="C304" s="108"/>
      <c r="D304" s="85"/>
      <c r="E304" s="117"/>
      <c r="F304" s="245"/>
      <c r="G304" s="245"/>
      <c r="H304" s="88"/>
      <c r="I304" s="36">
        <f t="shared" si="1"/>
        <v>0</v>
      </c>
      <c r="J304" s="37">
        <f t="shared" si="2"/>
        <v>0</v>
      </c>
      <c r="K304" s="38">
        <f t="shared" si="3"/>
        <v>0</v>
      </c>
      <c r="L304" s="39">
        <f t="shared" si="4"/>
        <v>0</v>
      </c>
      <c r="M304" s="38">
        <f t="shared" si="5"/>
        <v>0</v>
      </c>
      <c r="N304" s="39">
        <f t="shared" si="6"/>
        <v>0</v>
      </c>
      <c r="O304" s="40"/>
      <c r="P304" s="34"/>
      <c r="Q304" s="35"/>
      <c r="R304" s="35"/>
      <c r="S304" s="35"/>
      <c r="T304" s="35"/>
      <c r="U304" s="35"/>
      <c r="V304" s="35"/>
      <c r="W304" s="35"/>
      <c r="X304" s="35"/>
      <c r="Y304" s="35"/>
      <c r="Z304" s="35"/>
      <c r="AA304" s="35"/>
    </row>
    <row r="305" ht="14.25" customHeight="1">
      <c r="A305" s="221"/>
      <c r="B305" s="231"/>
      <c r="C305" s="108"/>
      <c r="D305" s="85"/>
      <c r="E305" s="117"/>
      <c r="F305" s="245"/>
      <c r="G305" s="245"/>
      <c r="H305" s="88"/>
      <c r="I305" s="36">
        <f t="shared" si="1"/>
        <v>0</v>
      </c>
      <c r="J305" s="37">
        <f t="shared" si="2"/>
        <v>0</v>
      </c>
      <c r="K305" s="38">
        <f t="shared" si="3"/>
        <v>0</v>
      </c>
      <c r="L305" s="39">
        <f t="shared" si="4"/>
        <v>0</v>
      </c>
      <c r="M305" s="38">
        <f t="shared" si="5"/>
        <v>0</v>
      </c>
      <c r="N305" s="39">
        <f t="shared" si="6"/>
        <v>0</v>
      </c>
      <c r="O305" s="40"/>
      <c r="P305" s="34"/>
      <c r="Q305" s="35"/>
      <c r="R305" s="35"/>
      <c r="S305" s="35"/>
      <c r="T305" s="35"/>
      <c r="U305" s="35"/>
      <c r="V305" s="35"/>
      <c r="W305" s="35"/>
      <c r="X305" s="35"/>
      <c r="Y305" s="35"/>
      <c r="Z305" s="35"/>
      <c r="AA305" s="35"/>
    </row>
    <row r="306" ht="14.25" customHeight="1">
      <c r="A306" s="221"/>
      <c r="B306" s="231"/>
      <c r="C306" s="108"/>
      <c r="D306" s="85"/>
      <c r="E306" s="117"/>
      <c r="F306" s="245"/>
      <c r="G306" s="245"/>
      <c r="H306" s="88"/>
      <c r="I306" s="36">
        <f t="shared" si="1"/>
        <v>0</v>
      </c>
      <c r="J306" s="37">
        <f t="shared" si="2"/>
        <v>0</v>
      </c>
      <c r="K306" s="38">
        <f t="shared" si="3"/>
        <v>0</v>
      </c>
      <c r="L306" s="39">
        <f t="shared" si="4"/>
        <v>0</v>
      </c>
      <c r="M306" s="38">
        <f t="shared" si="5"/>
        <v>0</v>
      </c>
      <c r="N306" s="39">
        <f t="shared" si="6"/>
        <v>0</v>
      </c>
      <c r="O306" s="40"/>
      <c r="P306" s="34"/>
      <c r="Q306" s="35"/>
      <c r="R306" s="35"/>
      <c r="S306" s="35"/>
      <c r="T306" s="35"/>
      <c r="U306" s="35"/>
      <c r="V306" s="35"/>
      <c r="W306" s="35"/>
      <c r="X306" s="35"/>
      <c r="Y306" s="35"/>
      <c r="Z306" s="35"/>
      <c r="AA306" s="35"/>
    </row>
    <row r="307" ht="14.25" customHeight="1">
      <c r="A307" s="221"/>
      <c r="B307" s="231"/>
      <c r="C307" s="108"/>
      <c r="D307" s="85"/>
      <c r="E307" s="117"/>
      <c r="F307" s="245"/>
      <c r="G307" s="245"/>
      <c r="H307" s="88"/>
      <c r="I307" s="36">
        <f t="shared" si="1"/>
        <v>0</v>
      </c>
      <c r="J307" s="37">
        <f t="shared" si="2"/>
        <v>0</v>
      </c>
      <c r="K307" s="38">
        <f t="shared" si="3"/>
        <v>0</v>
      </c>
      <c r="L307" s="39">
        <f t="shared" si="4"/>
        <v>0</v>
      </c>
      <c r="M307" s="38">
        <f t="shared" si="5"/>
        <v>0</v>
      </c>
      <c r="N307" s="39">
        <f t="shared" si="6"/>
        <v>0</v>
      </c>
      <c r="O307" s="40"/>
      <c r="P307" s="34"/>
      <c r="Q307" s="35"/>
      <c r="R307" s="35"/>
      <c r="S307" s="35"/>
      <c r="T307" s="35"/>
      <c r="U307" s="35"/>
      <c r="V307" s="35"/>
      <c r="W307" s="35"/>
      <c r="X307" s="35"/>
      <c r="Y307" s="35"/>
      <c r="Z307" s="35"/>
      <c r="AA307" s="35"/>
    </row>
    <row r="308" ht="14.25" customHeight="1">
      <c r="A308" s="221"/>
      <c r="B308" s="231"/>
      <c r="C308" s="108"/>
      <c r="D308" s="85"/>
      <c r="E308" s="117"/>
      <c r="F308" s="245"/>
      <c r="G308" s="245"/>
      <c r="H308" s="88"/>
      <c r="I308" s="36">
        <f t="shared" si="1"/>
        <v>0</v>
      </c>
      <c r="J308" s="37">
        <f t="shared" si="2"/>
        <v>0</v>
      </c>
      <c r="K308" s="38">
        <f t="shared" si="3"/>
        <v>0</v>
      </c>
      <c r="L308" s="39">
        <f t="shared" si="4"/>
        <v>0</v>
      </c>
      <c r="M308" s="38">
        <f t="shared" si="5"/>
        <v>0</v>
      </c>
      <c r="N308" s="39">
        <f t="shared" si="6"/>
        <v>0</v>
      </c>
      <c r="O308" s="40"/>
      <c r="P308" s="34"/>
      <c r="Q308" s="35"/>
      <c r="R308" s="35"/>
      <c r="S308" s="35"/>
      <c r="T308" s="35"/>
      <c r="U308" s="35"/>
      <c r="V308" s="35"/>
      <c r="W308" s="35"/>
      <c r="X308" s="35"/>
      <c r="Y308" s="35"/>
      <c r="Z308" s="35"/>
      <c r="AA308" s="35"/>
    </row>
    <row r="309" ht="14.25" customHeight="1">
      <c r="A309" s="221"/>
      <c r="B309" s="231"/>
      <c r="C309" s="108"/>
      <c r="D309" s="85"/>
      <c r="E309" s="117"/>
      <c r="F309" s="245"/>
      <c r="G309" s="245"/>
      <c r="H309" s="88"/>
      <c r="I309" s="36">
        <f t="shared" si="1"/>
        <v>0</v>
      </c>
      <c r="J309" s="37">
        <f t="shared" si="2"/>
        <v>0</v>
      </c>
      <c r="K309" s="38">
        <f t="shared" si="3"/>
        <v>0</v>
      </c>
      <c r="L309" s="39">
        <f t="shared" si="4"/>
        <v>0</v>
      </c>
      <c r="M309" s="38">
        <f t="shared" si="5"/>
        <v>0</v>
      </c>
      <c r="N309" s="39">
        <f t="shared" si="6"/>
        <v>0</v>
      </c>
      <c r="O309" s="40"/>
      <c r="P309" s="34"/>
      <c r="Q309" s="35"/>
      <c r="R309" s="35"/>
      <c r="S309" s="35"/>
      <c r="T309" s="35"/>
      <c r="U309" s="35"/>
      <c r="V309" s="35"/>
      <c r="W309" s="35"/>
      <c r="X309" s="35"/>
      <c r="Y309" s="35"/>
      <c r="Z309" s="35"/>
      <c r="AA309" s="35"/>
    </row>
    <row r="310" ht="14.25" customHeight="1">
      <c r="A310" s="221"/>
      <c r="B310" s="231"/>
      <c r="C310" s="108"/>
      <c r="D310" s="85"/>
      <c r="E310" s="117"/>
      <c r="F310" s="245"/>
      <c r="G310" s="245"/>
      <c r="H310" s="88"/>
      <c r="I310" s="36">
        <f t="shared" si="1"/>
        <v>0</v>
      </c>
      <c r="J310" s="37">
        <f t="shared" si="2"/>
        <v>0</v>
      </c>
      <c r="K310" s="38">
        <f t="shared" si="3"/>
        <v>0</v>
      </c>
      <c r="L310" s="39">
        <f t="shared" si="4"/>
        <v>0</v>
      </c>
      <c r="M310" s="38">
        <f t="shared" si="5"/>
        <v>0</v>
      </c>
      <c r="N310" s="39">
        <f t="shared" si="6"/>
        <v>0</v>
      </c>
      <c r="O310" s="40"/>
      <c r="P310" s="34"/>
      <c r="Q310" s="35"/>
      <c r="R310" s="35"/>
      <c r="S310" s="35"/>
      <c r="T310" s="35"/>
      <c r="U310" s="35"/>
      <c r="V310" s="35"/>
      <c r="W310" s="35"/>
      <c r="X310" s="35"/>
      <c r="Y310" s="35"/>
      <c r="Z310" s="35"/>
      <c r="AA310" s="35"/>
    </row>
    <row r="311" ht="14.25" customHeight="1">
      <c r="A311" s="221"/>
      <c r="B311" s="231"/>
      <c r="C311" s="129"/>
      <c r="D311" s="85"/>
      <c r="E311" s="117"/>
      <c r="F311" s="245"/>
      <c r="G311" s="245"/>
      <c r="H311" s="88"/>
      <c r="I311" s="36">
        <f t="shared" si="1"/>
        <v>0</v>
      </c>
      <c r="J311" s="37">
        <f t="shared" si="2"/>
        <v>0</v>
      </c>
      <c r="K311" s="38">
        <f t="shared" si="3"/>
        <v>0</v>
      </c>
      <c r="L311" s="39">
        <f t="shared" si="4"/>
        <v>0</v>
      </c>
      <c r="M311" s="38">
        <f t="shared" si="5"/>
        <v>0</v>
      </c>
      <c r="N311" s="39">
        <f t="shared" si="6"/>
        <v>0</v>
      </c>
      <c r="O311" s="40"/>
      <c r="P311" s="34"/>
      <c r="Q311" s="35"/>
      <c r="R311" s="35"/>
      <c r="S311" s="35"/>
      <c r="T311" s="35"/>
      <c r="U311" s="35"/>
      <c r="V311" s="35"/>
      <c r="W311" s="35"/>
      <c r="X311" s="35"/>
      <c r="Y311" s="35"/>
      <c r="Z311" s="35"/>
      <c r="AA311" s="35"/>
    </row>
    <row r="312" ht="14.25" customHeight="1">
      <c r="A312" s="221"/>
      <c r="B312" s="231"/>
      <c r="C312" s="108"/>
      <c r="D312" s="85"/>
      <c r="E312" s="117"/>
      <c r="F312" s="245"/>
      <c r="G312" s="245"/>
      <c r="H312" s="88"/>
      <c r="I312" s="36">
        <f t="shared" si="1"/>
        <v>0</v>
      </c>
      <c r="J312" s="37">
        <f t="shared" si="2"/>
        <v>0</v>
      </c>
      <c r="K312" s="38">
        <f t="shared" si="3"/>
        <v>0</v>
      </c>
      <c r="L312" s="39">
        <f t="shared" si="4"/>
        <v>0</v>
      </c>
      <c r="M312" s="38">
        <f t="shared" si="5"/>
        <v>0</v>
      </c>
      <c r="N312" s="39">
        <f t="shared" si="6"/>
        <v>0</v>
      </c>
      <c r="O312" s="40"/>
      <c r="P312" s="34"/>
      <c r="Q312" s="35"/>
      <c r="R312" s="35"/>
      <c r="S312" s="35"/>
      <c r="T312" s="35"/>
      <c r="U312" s="35"/>
      <c r="V312" s="35"/>
      <c r="W312" s="35"/>
      <c r="X312" s="35"/>
      <c r="Y312" s="35"/>
      <c r="Z312" s="35"/>
      <c r="AA312" s="35"/>
    </row>
    <row r="313" ht="14.25" customHeight="1">
      <c r="A313" s="221"/>
      <c r="B313" s="231"/>
      <c r="C313" s="108"/>
      <c r="D313" s="90"/>
      <c r="E313" s="117"/>
      <c r="F313" s="245"/>
      <c r="G313" s="245"/>
      <c r="H313" s="88"/>
      <c r="I313" s="36">
        <f t="shared" si="1"/>
        <v>0</v>
      </c>
      <c r="J313" s="37">
        <f t="shared" si="2"/>
        <v>0</v>
      </c>
      <c r="K313" s="38">
        <f t="shared" si="3"/>
        <v>0</v>
      </c>
      <c r="L313" s="39">
        <f t="shared" si="4"/>
        <v>0</v>
      </c>
      <c r="M313" s="38">
        <f t="shared" si="5"/>
        <v>0</v>
      </c>
      <c r="N313" s="39">
        <f t="shared" si="6"/>
        <v>0</v>
      </c>
      <c r="O313" s="40"/>
      <c r="P313" s="34"/>
      <c r="Q313" s="35"/>
      <c r="R313" s="35"/>
      <c r="S313" s="35"/>
      <c r="T313" s="35"/>
      <c r="U313" s="35"/>
      <c r="V313" s="35"/>
      <c r="W313" s="35"/>
      <c r="X313" s="35"/>
      <c r="Y313" s="35"/>
      <c r="Z313" s="35"/>
      <c r="AA313" s="35"/>
    </row>
    <row r="314" ht="14.25" customHeight="1">
      <c r="A314" s="221"/>
      <c r="B314" s="231"/>
      <c r="C314" s="132"/>
      <c r="D314" s="42"/>
      <c r="E314" s="117"/>
      <c r="F314" s="248"/>
      <c r="G314" s="248"/>
      <c r="H314" s="88"/>
      <c r="I314" s="36">
        <f t="shared" si="1"/>
        <v>0</v>
      </c>
      <c r="J314" s="37">
        <f t="shared" si="2"/>
        <v>0</v>
      </c>
      <c r="K314" s="38">
        <f t="shared" si="3"/>
        <v>0</v>
      </c>
      <c r="L314" s="39">
        <f t="shared" si="4"/>
        <v>0</v>
      </c>
      <c r="M314" s="38">
        <f t="shared" si="5"/>
        <v>0</v>
      </c>
      <c r="N314" s="39">
        <f t="shared" si="6"/>
        <v>0</v>
      </c>
      <c r="O314" s="40"/>
      <c r="P314" s="34"/>
      <c r="Q314" s="35"/>
      <c r="R314" s="35"/>
      <c r="S314" s="35"/>
      <c r="T314" s="35"/>
      <c r="U314" s="35"/>
      <c r="V314" s="35"/>
      <c r="W314" s="35"/>
      <c r="X314" s="35"/>
      <c r="Y314" s="35"/>
      <c r="Z314" s="35"/>
      <c r="AA314" s="35"/>
    </row>
    <row r="315" ht="14.25" customHeight="1">
      <c r="A315" s="221"/>
      <c r="B315" s="231"/>
      <c r="C315" s="115"/>
      <c r="D315" s="100"/>
      <c r="E315" s="117"/>
      <c r="F315" s="249"/>
      <c r="G315" s="249"/>
      <c r="H315" s="88"/>
      <c r="I315" s="36">
        <f t="shared" si="1"/>
        <v>0</v>
      </c>
      <c r="J315" s="37">
        <f t="shared" si="2"/>
        <v>0</v>
      </c>
      <c r="K315" s="38">
        <f t="shared" si="3"/>
        <v>0</v>
      </c>
      <c r="L315" s="39">
        <f t="shared" si="4"/>
        <v>0</v>
      </c>
      <c r="M315" s="38">
        <f t="shared" si="5"/>
        <v>0</v>
      </c>
      <c r="N315" s="39">
        <f t="shared" si="6"/>
        <v>0</v>
      </c>
      <c r="O315" s="40"/>
      <c r="P315" s="34"/>
      <c r="Q315" s="35"/>
      <c r="R315" s="35"/>
      <c r="S315" s="35"/>
      <c r="T315" s="35"/>
      <c r="U315" s="35"/>
      <c r="V315" s="35"/>
      <c r="W315" s="35"/>
      <c r="X315" s="35"/>
      <c r="Y315" s="35"/>
      <c r="Z315" s="35"/>
      <c r="AA315" s="35"/>
    </row>
    <row r="316" ht="14.25" customHeight="1">
      <c r="A316" s="221"/>
      <c r="B316" s="231"/>
      <c r="C316" s="115"/>
      <c r="D316" s="100"/>
      <c r="E316" s="117"/>
      <c r="F316" s="249"/>
      <c r="G316" s="249"/>
      <c r="H316" s="88"/>
      <c r="I316" s="36">
        <f t="shared" si="1"/>
        <v>0</v>
      </c>
      <c r="J316" s="37">
        <f t="shared" si="2"/>
        <v>0</v>
      </c>
      <c r="K316" s="38">
        <f t="shared" si="3"/>
        <v>0</v>
      </c>
      <c r="L316" s="39">
        <f t="shared" si="4"/>
        <v>0</v>
      </c>
      <c r="M316" s="38">
        <f t="shared" si="5"/>
        <v>0</v>
      </c>
      <c r="N316" s="39">
        <f t="shared" si="6"/>
        <v>0</v>
      </c>
      <c r="O316" s="40"/>
      <c r="P316" s="34"/>
      <c r="Q316" s="35"/>
      <c r="R316" s="35"/>
      <c r="S316" s="35"/>
      <c r="T316" s="35"/>
      <c r="U316" s="35"/>
      <c r="V316" s="35"/>
      <c r="W316" s="35"/>
      <c r="X316" s="35"/>
      <c r="Y316" s="35"/>
      <c r="Z316" s="35"/>
      <c r="AA316" s="35"/>
    </row>
    <row r="317" ht="14.25" customHeight="1">
      <c r="A317" s="221"/>
      <c r="B317" s="231"/>
      <c r="C317" s="115"/>
      <c r="D317" s="100"/>
      <c r="E317" s="117"/>
      <c r="F317" s="249"/>
      <c r="G317" s="249"/>
      <c r="H317" s="88"/>
      <c r="I317" s="36">
        <f t="shared" si="1"/>
        <v>0</v>
      </c>
      <c r="J317" s="37">
        <f t="shared" si="2"/>
        <v>0</v>
      </c>
      <c r="K317" s="38">
        <f t="shared" si="3"/>
        <v>0</v>
      </c>
      <c r="L317" s="39">
        <f t="shared" si="4"/>
        <v>0</v>
      </c>
      <c r="M317" s="38">
        <f t="shared" si="5"/>
        <v>0</v>
      </c>
      <c r="N317" s="39">
        <f t="shared" si="6"/>
        <v>0</v>
      </c>
      <c r="O317" s="40"/>
      <c r="P317" s="34"/>
      <c r="Q317" s="35"/>
      <c r="R317" s="35"/>
      <c r="S317" s="35"/>
      <c r="T317" s="35"/>
      <c r="U317" s="35"/>
      <c r="V317" s="35"/>
      <c r="W317" s="35"/>
      <c r="X317" s="35"/>
      <c r="Y317" s="35"/>
      <c r="Z317" s="35"/>
      <c r="AA317" s="35"/>
    </row>
    <row r="318" ht="14.25" customHeight="1">
      <c r="A318" s="221"/>
      <c r="B318" s="231"/>
      <c r="C318" s="115"/>
      <c r="D318" s="100"/>
      <c r="E318" s="117"/>
      <c r="F318" s="249"/>
      <c r="G318" s="249"/>
      <c r="H318" s="88"/>
      <c r="I318" s="36">
        <f t="shared" si="1"/>
        <v>0</v>
      </c>
      <c r="J318" s="37">
        <f t="shared" si="2"/>
        <v>0</v>
      </c>
      <c r="K318" s="38">
        <f t="shared" si="3"/>
        <v>0</v>
      </c>
      <c r="L318" s="39">
        <f t="shared" si="4"/>
        <v>0</v>
      </c>
      <c r="M318" s="38">
        <f t="shared" si="5"/>
        <v>0</v>
      </c>
      <c r="N318" s="39">
        <f t="shared" si="6"/>
        <v>0</v>
      </c>
      <c r="O318" s="40"/>
      <c r="P318" s="34"/>
      <c r="Q318" s="35"/>
      <c r="R318" s="35"/>
      <c r="S318" s="35"/>
      <c r="T318" s="35"/>
      <c r="U318" s="35"/>
      <c r="V318" s="35"/>
      <c r="W318" s="35"/>
      <c r="X318" s="35"/>
      <c r="Y318" s="35"/>
      <c r="Z318" s="35"/>
      <c r="AA318" s="35"/>
    </row>
    <row r="319" ht="14.25" customHeight="1">
      <c r="A319" s="221"/>
      <c r="B319" s="231"/>
      <c r="C319" s="115"/>
      <c r="D319" s="100"/>
      <c r="E319" s="117"/>
      <c r="F319" s="249"/>
      <c r="G319" s="249"/>
      <c r="H319" s="88"/>
      <c r="I319" s="36">
        <f t="shared" si="1"/>
        <v>0</v>
      </c>
      <c r="J319" s="37">
        <f t="shared" si="2"/>
        <v>0</v>
      </c>
      <c r="K319" s="38">
        <f t="shared" si="3"/>
        <v>0</v>
      </c>
      <c r="L319" s="39">
        <f t="shared" si="4"/>
        <v>0</v>
      </c>
      <c r="M319" s="38">
        <f t="shared" si="5"/>
        <v>0</v>
      </c>
      <c r="N319" s="39">
        <f t="shared" si="6"/>
        <v>0</v>
      </c>
      <c r="O319" s="40"/>
      <c r="P319" s="34"/>
      <c r="Q319" s="35"/>
      <c r="R319" s="35"/>
      <c r="S319" s="35"/>
      <c r="T319" s="35"/>
      <c r="U319" s="35"/>
      <c r="V319" s="35"/>
      <c r="W319" s="35"/>
      <c r="X319" s="35"/>
      <c r="Y319" s="35"/>
      <c r="Z319" s="35"/>
      <c r="AA319" s="35"/>
    </row>
    <row r="320" ht="14.25" customHeight="1">
      <c r="A320" s="221"/>
      <c r="B320" s="231"/>
      <c r="C320" s="115"/>
      <c r="D320" s="100"/>
      <c r="E320" s="117"/>
      <c r="F320" s="249"/>
      <c r="G320" s="249"/>
      <c r="H320" s="88"/>
      <c r="I320" s="36">
        <f t="shared" si="1"/>
        <v>0</v>
      </c>
      <c r="J320" s="37">
        <f t="shared" si="2"/>
        <v>0</v>
      </c>
      <c r="K320" s="38">
        <f t="shared" si="3"/>
        <v>0</v>
      </c>
      <c r="L320" s="39">
        <f t="shared" si="4"/>
        <v>0</v>
      </c>
      <c r="M320" s="38">
        <f t="shared" si="5"/>
        <v>0</v>
      </c>
      <c r="N320" s="39">
        <f t="shared" si="6"/>
        <v>0</v>
      </c>
      <c r="O320" s="40"/>
      <c r="P320" s="34"/>
      <c r="Q320" s="35"/>
      <c r="R320" s="35"/>
      <c r="S320" s="35"/>
      <c r="T320" s="35"/>
      <c r="U320" s="35"/>
      <c r="V320" s="35"/>
      <c r="W320" s="35"/>
      <c r="X320" s="35"/>
      <c r="Y320" s="35"/>
      <c r="Z320" s="35"/>
      <c r="AA320" s="35"/>
    </row>
    <row r="321" ht="14.25" customHeight="1">
      <c r="A321" s="221"/>
      <c r="B321" s="231"/>
      <c r="C321" s="115"/>
      <c r="D321" s="100"/>
      <c r="E321" s="117"/>
      <c r="F321" s="238"/>
      <c r="G321" s="238"/>
      <c r="H321" s="88"/>
      <c r="I321" s="36">
        <f t="shared" si="1"/>
        <v>0</v>
      </c>
      <c r="J321" s="37">
        <f t="shared" si="2"/>
        <v>0</v>
      </c>
      <c r="K321" s="38">
        <f t="shared" si="3"/>
        <v>0</v>
      </c>
      <c r="L321" s="39">
        <f t="shared" si="4"/>
        <v>0</v>
      </c>
      <c r="M321" s="38">
        <f t="shared" si="5"/>
        <v>0</v>
      </c>
      <c r="N321" s="39">
        <f t="shared" si="6"/>
        <v>0</v>
      </c>
      <c r="O321" s="40"/>
      <c r="P321" s="34"/>
      <c r="Q321" s="35"/>
      <c r="R321" s="35"/>
      <c r="S321" s="35"/>
      <c r="T321" s="35"/>
      <c r="U321" s="35"/>
      <c r="V321" s="35"/>
      <c r="W321" s="35"/>
      <c r="X321" s="35"/>
      <c r="Y321" s="35"/>
      <c r="Z321" s="35"/>
      <c r="AA321" s="35"/>
    </row>
    <row r="322" ht="14.25" customHeight="1">
      <c r="A322" s="221"/>
      <c r="B322" s="231"/>
      <c r="C322" s="108"/>
      <c r="D322" s="85"/>
      <c r="E322" s="117"/>
      <c r="F322" s="242"/>
      <c r="G322" s="242"/>
      <c r="H322" s="88"/>
      <c r="I322" s="36">
        <f t="shared" si="1"/>
        <v>0</v>
      </c>
      <c r="J322" s="37">
        <f t="shared" si="2"/>
        <v>0</v>
      </c>
      <c r="K322" s="38">
        <f t="shared" si="3"/>
        <v>0</v>
      </c>
      <c r="L322" s="39">
        <f t="shared" si="4"/>
        <v>0</v>
      </c>
      <c r="M322" s="38">
        <f t="shared" si="5"/>
        <v>0</v>
      </c>
      <c r="N322" s="39">
        <f t="shared" si="6"/>
        <v>0</v>
      </c>
      <c r="O322" s="40"/>
      <c r="P322" s="34"/>
      <c r="Q322" s="35"/>
      <c r="R322" s="35"/>
      <c r="S322" s="35"/>
      <c r="T322" s="35"/>
      <c r="U322" s="35"/>
      <c r="V322" s="35"/>
      <c r="W322" s="35"/>
      <c r="X322" s="35"/>
      <c r="Y322" s="35"/>
      <c r="Z322" s="35"/>
      <c r="AA322" s="35"/>
    </row>
    <row r="323" ht="14.25" customHeight="1">
      <c r="A323" s="83"/>
      <c r="B323" s="84"/>
      <c r="C323" s="108"/>
      <c r="D323" s="85"/>
      <c r="E323" s="117"/>
      <c r="F323" s="250"/>
      <c r="G323" s="250"/>
      <c r="H323" s="88"/>
      <c r="I323" s="36"/>
      <c r="J323" s="37"/>
      <c r="K323" s="38"/>
      <c r="L323" s="39"/>
      <c r="M323" s="38"/>
      <c r="N323" s="39"/>
      <c r="O323" s="40"/>
      <c r="P323" s="34"/>
      <c r="Q323" s="35"/>
      <c r="R323" s="35"/>
      <c r="S323" s="35"/>
      <c r="T323" s="35"/>
      <c r="U323" s="35"/>
      <c r="V323" s="35"/>
      <c r="W323" s="35"/>
      <c r="X323" s="35"/>
      <c r="Y323" s="35"/>
      <c r="Z323" s="35"/>
      <c r="AA323" s="35"/>
    </row>
    <row r="324" ht="14.25" customHeight="1">
      <c r="A324" s="83"/>
      <c r="B324" s="84"/>
      <c r="C324" s="108"/>
      <c r="D324" s="85"/>
      <c r="E324" s="117"/>
      <c r="F324" s="250"/>
      <c r="G324" s="250"/>
      <c r="H324" s="88"/>
      <c r="I324" s="36"/>
      <c r="J324" s="37"/>
      <c r="K324" s="38"/>
      <c r="L324" s="39"/>
      <c r="M324" s="38"/>
      <c r="N324" s="39"/>
      <c r="O324" s="40"/>
      <c r="P324" s="34"/>
      <c r="Q324" s="35"/>
      <c r="R324" s="35"/>
      <c r="S324" s="35"/>
      <c r="T324" s="35"/>
      <c r="U324" s="35"/>
      <c r="V324" s="35"/>
      <c r="W324" s="35"/>
      <c r="X324" s="35"/>
      <c r="Y324" s="35"/>
      <c r="Z324" s="35"/>
      <c r="AA324" s="35"/>
    </row>
    <row r="325" ht="14.25" customHeight="1">
      <c r="A325" s="83"/>
      <c r="B325" s="84"/>
      <c r="C325" s="108"/>
      <c r="D325" s="85"/>
      <c r="E325" s="117"/>
      <c r="F325" s="250"/>
      <c r="G325" s="250"/>
      <c r="H325" s="88"/>
      <c r="I325" s="36"/>
      <c r="J325" s="37"/>
      <c r="K325" s="38"/>
      <c r="L325" s="39"/>
      <c r="M325" s="38"/>
      <c r="N325" s="39"/>
      <c r="O325" s="40"/>
      <c r="P325" s="34"/>
      <c r="Q325" s="35"/>
      <c r="R325" s="35"/>
      <c r="S325" s="35"/>
      <c r="T325" s="35"/>
      <c r="U325" s="35"/>
      <c r="V325" s="35"/>
      <c r="W325" s="35"/>
      <c r="X325" s="35"/>
      <c r="Y325" s="35"/>
      <c r="Z325" s="35"/>
      <c r="AA325" s="35"/>
    </row>
    <row r="326" ht="14.25" customHeight="1">
      <c r="A326" s="83"/>
      <c r="B326" s="84"/>
      <c r="C326" s="108"/>
      <c r="D326" s="85"/>
      <c r="E326" s="117"/>
      <c r="F326" s="250"/>
      <c r="G326" s="250"/>
      <c r="H326" s="88"/>
      <c r="I326" s="36"/>
      <c r="J326" s="37"/>
      <c r="K326" s="38"/>
      <c r="L326" s="39"/>
      <c r="M326" s="38"/>
      <c r="N326" s="39"/>
      <c r="O326" s="40"/>
      <c r="P326" s="34"/>
      <c r="Q326" s="35"/>
      <c r="R326" s="35"/>
      <c r="S326" s="35"/>
      <c r="T326" s="35"/>
      <c r="U326" s="35"/>
      <c r="V326" s="35"/>
      <c r="W326" s="35"/>
      <c r="X326" s="35"/>
      <c r="Y326" s="35"/>
      <c r="Z326" s="35"/>
      <c r="AA326" s="35"/>
    </row>
    <row r="327" ht="14.25" customHeight="1">
      <c r="A327" s="83"/>
      <c r="B327" s="84"/>
      <c r="C327" s="108"/>
      <c r="D327" s="85"/>
      <c r="E327" s="117"/>
      <c r="F327" s="250"/>
      <c r="G327" s="250"/>
      <c r="H327" s="88"/>
      <c r="I327" s="36"/>
      <c r="J327" s="37"/>
      <c r="K327" s="38"/>
      <c r="L327" s="39"/>
      <c r="M327" s="38"/>
      <c r="N327" s="39"/>
      <c r="O327" s="40"/>
      <c r="P327" s="34"/>
      <c r="Q327" s="35"/>
      <c r="R327" s="35"/>
      <c r="S327" s="35"/>
      <c r="T327" s="35"/>
      <c r="U327" s="35"/>
      <c r="V327" s="35"/>
      <c r="W327" s="35"/>
      <c r="X327" s="35"/>
      <c r="Y327" s="35"/>
      <c r="Z327" s="35"/>
      <c r="AA327" s="35"/>
    </row>
    <row r="328" ht="14.25" customHeight="1">
      <c r="A328" s="83"/>
      <c r="B328" s="84"/>
      <c r="C328" s="108"/>
      <c r="D328" s="85"/>
      <c r="E328" s="117"/>
      <c r="F328" s="250"/>
      <c r="G328" s="250"/>
      <c r="H328" s="88"/>
      <c r="I328" s="36"/>
      <c r="J328" s="37"/>
      <c r="K328" s="38"/>
      <c r="L328" s="39"/>
      <c r="M328" s="38"/>
      <c r="N328" s="39"/>
      <c r="O328" s="40"/>
      <c r="P328" s="34"/>
      <c r="Q328" s="35"/>
      <c r="R328" s="35"/>
      <c r="S328" s="35"/>
      <c r="T328" s="35"/>
      <c r="U328" s="35"/>
      <c r="V328" s="35"/>
      <c r="W328" s="35"/>
      <c r="X328" s="35"/>
      <c r="Y328" s="35"/>
      <c r="Z328" s="35"/>
      <c r="AA328" s="35"/>
    </row>
    <row r="329" ht="14.25" customHeight="1">
      <c r="A329" s="83"/>
      <c r="B329" s="84"/>
      <c r="C329" s="108"/>
      <c r="D329" s="85"/>
      <c r="E329" s="117"/>
      <c r="F329" s="250"/>
      <c r="G329" s="250"/>
      <c r="H329" s="88"/>
      <c r="I329" s="36"/>
      <c r="J329" s="37"/>
      <c r="K329" s="38"/>
      <c r="L329" s="39"/>
      <c r="M329" s="38"/>
      <c r="N329" s="39"/>
      <c r="O329" s="40"/>
      <c r="P329" s="34"/>
      <c r="Q329" s="35"/>
      <c r="R329" s="35"/>
      <c r="S329" s="35"/>
      <c r="T329" s="35"/>
      <c r="U329" s="35"/>
      <c r="V329" s="35"/>
      <c r="W329" s="35"/>
      <c r="X329" s="35"/>
      <c r="Y329" s="35"/>
      <c r="Z329" s="35"/>
      <c r="AA329" s="35"/>
    </row>
    <row r="330" ht="14.25" customHeight="1">
      <c r="A330" s="83"/>
      <c r="B330" s="84"/>
      <c r="C330" s="108"/>
      <c r="D330" s="85"/>
      <c r="E330" s="117"/>
      <c r="F330" s="250"/>
      <c r="G330" s="250"/>
      <c r="H330" s="88"/>
      <c r="I330" s="36"/>
      <c r="J330" s="37"/>
      <c r="K330" s="38"/>
      <c r="L330" s="39"/>
      <c r="M330" s="38"/>
      <c r="N330" s="39"/>
      <c r="O330" s="40"/>
      <c r="P330" s="34"/>
      <c r="Q330" s="35"/>
      <c r="R330" s="35"/>
      <c r="S330" s="35"/>
      <c r="T330" s="35"/>
      <c r="U330" s="35"/>
      <c r="V330" s="35"/>
      <c r="W330" s="35"/>
      <c r="X330" s="35"/>
      <c r="Y330" s="35"/>
      <c r="Z330" s="35"/>
      <c r="AA330" s="35"/>
    </row>
    <row r="331" ht="14.25" customHeight="1">
      <c r="A331" s="83"/>
      <c r="B331" s="84"/>
      <c r="C331" s="108"/>
      <c r="D331" s="85"/>
      <c r="E331" s="117"/>
      <c r="F331" s="250"/>
      <c r="G331" s="250"/>
      <c r="H331" s="88"/>
      <c r="I331" s="36"/>
      <c r="J331" s="37"/>
      <c r="K331" s="38"/>
      <c r="L331" s="39"/>
      <c r="M331" s="38"/>
      <c r="N331" s="39"/>
      <c r="O331" s="40"/>
      <c r="P331" s="34"/>
      <c r="Q331" s="35"/>
      <c r="R331" s="35"/>
      <c r="S331" s="35"/>
      <c r="T331" s="35"/>
      <c r="U331" s="35"/>
      <c r="V331" s="35"/>
      <c r="W331" s="35"/>
      <c r="X331" s="35"/>
      <c r="Y331" s="35"/>
      <c r="Z331" s="35"/>
      <c r="AA331" s="35"/>
    </row>
    <row r="332" ht="14.25" customHeight="1">
      <c r="A332" s="83"/>
      <c r="B332" s="84"/>
      <c r="C332" s="108"/>
      <c r="D332" s="85"/>
      <c r="E332" s="117"/>
      <c r="F332" s="250"/>
      <c r="G332" s="250"/>
      <c r="H332" s="88"/>
      <c r="I332" s="36"/>
      <c r="J332" s="37"/>
      <c r="K332" s="38"/>
      <c r="L332" s="39"/>
      <c r="M332" s="38"/>
      <c r="N332" s="39"/>
      <c r="O332" s="40"/>
      <c r="P332" s="34"/>
      <c r="Q332" s="35"/>
      <c r="R332" s="35"/>
      <c r="S332" s="35"/>
      <c r="T332" s="35"/>
      <c r="U332" s="35"/>
      <c r="V332" s="35"/>
      <c r="W332" s="35"/>
      <c r="X332" s="35"/>
      <c r="Y332" s="35"/>
      <c r="Z332" s="35"/>
      <c r="AA332" s="35"/>
    </row>
    <row r="333" ht="14.25" customHeight="1">
      <c r="A333" s="83"/>
      <c r="B333" s="84"/>
      <c r="C333" s="108"/>
      <c r="D333" s="85"/>
      <c r="E333" s="117"/>
      <c r="F333" s="250"/>
      <c r="G333" s="250"/>
      <c r="H333" s="88"/>
      <c r="I333" s="36"/>
      <c r="J333" s="37"/>
      <c r="K333" s="38"/>
      <c r="L333" s="39"/>
      <c r="M333" s="38"/>
      <c r="N333" s="39"/>
      <c r="O333" s="40"/>
      <c r="P333" s="34"/>
      <c r="Q333" s="35"/>
      <c r="R333" s="35"/>
      <c r="S333" s="35"/>
      <c r="T333" s="35"/>
      <c r="U333" s="35"/>
      <c r="V333" s="35"/>
      <c r="W333" s="35"/>
      <c r="X333" s="35"/>
      <c r="Y333" s="35"/>
      <c r="Z333" s="35"/>
      <c r="AA333" s="35"/>
    </row>
    <row r="334" ht="14.25" customHeight="1">
      <c r="A334" s="83"/>
      <c r="B334" s="84"/>
      <c r="C334" s="108"/>
      <c r="D334" s="85"/>
      <c r="E334" s="117"/>
      <c r="F334" s="250"/>
      <c r="G334" s="250"/>
      <c r="H334" s="88"/>
      <c r="I334" s="36"/>
      <c r="J334" s="37"/>
      <c r="K334" s="38"/>
      <c r="L334" s="39"/>
      <c r="M334" s="38"/>
      <c r="N334" s="39"/>
      <c r="O334" s="40"/>
      <c r="P334" s="34"/>
      <c r="Q334" s="35"/>
      <c r="R334" s="35"/>
      <c r="S334" s="35"/>
      <c r="T334" s="35"/>
      <c r="U334" s="35"/>
      <c r="V334" s="35"/>
      <c r="W334" s="35"/>
      <c r="X334" s="35"/>
      <c r="Y334" s="35"/>
      <c r="Z334" s="35"/>
      <c r="AA334" s="35"/>
    </row>
    <row r="335" ht="14.25" customHeight="1">
      <c r="A335" s="83"/>
      <c r="B335" s="84"/>
      <c r="C335" s="108"/>
      <c r="D335" s="85"/>
      <c r="E335" s="117"/>
      <c r="F335" s="250"/>
      <c r="G335" s="250"/>
      <c r="H335" s="88"/>
      <c r="I335" s="36"/>
      <c r="J335" s="37"/>
      <c r="K335" s="38"/>
      <c r="L335" s="39"/>
      <c r="M335" s="38"/>
      <c r="N335" s="39"/>
      <c r="O335" s="40"/>
      <c r="P335" s="34"/>
      <c r="Q335" s="35"/>
      <c r="R335" s="35"/>
      <c r="S335" s="35"/>
      <c r="T335" s="35"/>
      <c r="U335" s="35"/>
      <c r="V335" s="35"/>
      <c r="W335" s="35"/>
      <c r="X335" s="35"/>
      <c r="Y335" s="35"/>
      <c r="Z335" s="35"/>
      <c r="AA335" s="35"/>
    </row>
    <row r="336" ht="14.25" customHeight="1">
      <c r="A336" s="83"/>
      <c r="B336" s="84"/>
      <c r="C336" s="108"/>
      <c r="D336" s="85"/>
      <c r="E336" s="117"/>
      <c r="F336" s="250"/>
      <c r="G336" s="250"/>
      <c r="H336" s="88"/>
      <c r="I336" s="36"/>
      <c r="J336" s="37"/>
      <c r="K336" s="38"/>
      <c r="L336" s="39"/>
      <c r="M336" s="38"/>
      <c r="N336" s="39"/>
      <c r="O336" s="40"/>
      <c r="P336" s="34"/>
      <c r="Q336" s="35"/>
      <c r="R336" s="35"/>
      <c r="S336" s="35"/>
      <c r="T336" s="35"/>
      <c r="U336" s="35"/>
      <c r="V336" s="35"/>
      <c r="W336" s="35"/>
      <c r="X336" s="35"/>
      <c r="Y336" s="35"/>
      <c r="Z336" s="35"/>
      <c r="AA336" s="35"/>
    </row>
    <row r="337" ht="14.25" customHeight="1">
      <c r="A337" s="83"/>
      <c r="B337" s="84"/>
      <c r="C337" s="108"/>
      <c r="D337" s="85"/>
      <c r="E337" s="117"/>
      <c r="F337" s="250"/>
      <c r="G337" s="250"/>
      <c r="H337" s="88"/>
      <c r="I337" s="36"/>
      <c r="J337" s="37"/>
      <c r="K337" s="38"/>
      <c r="L337" s="39"/>
      <c r="M337" s="38"/>
      <c r="N337" s="39"/>
      <c r="O337" s="40"/>
      <c r="P337" s="34"/>
      <c r="Q337" s="35"/>
      <c r="R337" s="35"/>
      <c r="S337" s="35"/>
      <c r="T337" s="35"/>
      <c r="U337" s="35"/>
      <c r="V337" s="35"/>
      <c r="W337" s="35"/>
      <c r="X337" s="35"/>
      <c r="Y337" s="35"/>
      <c r="Z337" s="35"/>
      <c r="AA337" s="35"/>
    </row>
    <row r="338" ht="14.25" customHeight="1">
      <c r="A338" s="83"/>
      <c r="B338" s="84"/>
      <c r="C338" s="108"/>
      <c r="D338" s="85"/>
      <c r="E338" s="117"/>
      <c r="F338" s="250"/>
      <c r="G338" s="250"/>
      <c r="H338" s="88"/>
      <c r="I338" s="36"/>
      <c r="J338" s="37"/>
      <c r="K338" s="38"/>
      <c r="L338" s="39"/>
      <c r="M338" s="38"/>
      <c r="N338" s="39"/>
      <c r="O338" s="40"/>
      <c r="P338" s="34"/>
      <c r="Q338" s="35"/>
      <c r="R338" s="35"/>
      <c r="S338" s="35"/>
      <c r="T338" s="35"/>
      <c r="U338" s="35"/>
      <c r="V338" s="35"/>
      <c r="W338" s="35"/>
      <c r="X338" s="35"/>
      <c r="Y338" s="35"/>
      <c r="Z338" s="35"/>
      <c r="AA338" s="35"/>
    </row>
    <row r="339" ht="14.25" customHeight="1">
      <c r="A339" s="83"/>
      <c r="B339" s="84"/>
      <c r="C339" s="108"/>
      <c r="D339" s="85"/>
      <c r="E339" s="117"/>
      <c r="F339" s="250"/>
      <c r="G339" s="250"/>
      <c r="H339" s="88"/>
      <c r="I339" s="36"/>
      <c r="J339" s="37"/>
      <c r="K339" s="38"/>
      <c r="L339" s="39"/>
      <c r="M339" s="38"/>
      <c r="N339" s="39"/>
      <c r="O339" s="40"/>
      <c r="P339" s="34"/>
      <c r="Q339" s="35"/>
      <c r="R339" s="35"/>
      <c r="S339" s="35"/>
      <c r="T339" s="35"/>
      <c r="U339" s="35"/>
      <c r="V339" s="35"/>
      <c r="W339" s="35"/>
      <c r="X339" s="35"/>
      <c r="Y339" s="35"/>
      <c r="Z339" s="35"/>
      <c r="AA339" s="35"/>
    </row>
    <row r="340" ht="14.25" customHeight="1">
      <c r="A340" s="83"/>
      <c r="B340" s="84"/>
      <c r="C340" s="108"/>
      <c r="D340" s="85"/>
      <c r="E340" s="117"/>
      <c r="F340" s="250"/>
      <c r="G340" s="250"/>
      <c r="H340" s="88"/>
      <c r="I340" s="36"/>
      <c r="J340" s="37"/>
      <c r="K340" s="38"/>
      <c r="L340" s="39"/>
      <c r="M340" s="38"/>
      <c r="N340" s="39"/>
      <c r="O340" s="40"/>
      <c r="P340" s="34"/>
      <c r="Q340" s="35"/>
      <c r="R340" s="35"/>
      <c r="S340" s="35"/>
      <c r="T340" s="35"/>
      <c r="U340" s="35"/>
      <c r="V340" s="35"/>
      <c r="W340" s="35"/>
      <c r="X340" s="35"/>
      <c r="Y340" s="35"/>
      <c r="Z340" s="35"/>
      <c r="AA340" s="35"/>
    </row>
    <row r="341" ht="14.25" customHeight="1">
      <c r="A341" s="83"/>
      <c r="B341" s="84"/>
      <c r="C341" s="108"/>
      <c r="D341" s="85"/>
      <c r="E341" s="117"/>
      <c r="F341" s="250"/>
      <c r="G341" s="250"/>
      <c r="H341" s="88"/>
      <c r="I341" s="36"/>
      <c r="J341" s="37"/>
      <c r="K341" s="38"/>
      <c r="L341" s="39"/>
      <c r="M341" s="38"/>
      <c r="N341" s="39"/>
      <c r="O341" s="40"/>
      <c r="P341" s="34"/>
      <c r="Q341" s="35"/>
      <c r="R341" s="35"/>
      <c r="S341" s="35"/>
      <c r="T341" s="35"/>
      <c r="U341" s="35"/>
      <c r="V341" s="35"/>
      <c r="W341" s="35"/>
      <c r="X341" s="35"/>
      <c r="Y341" s="35"/>
      <c r="Z341" s="35"/>
      <c r="AA341" s="35"/>
    </row>
    <row r="342" ht="14.25" customHeight="1">
      <c r="A342" s="83"/>
      <c r="B342" s="84"/>
      <c r="C342" s="108"/>
      <c r="D342" s="85"/>
      <c r="E342" s="117"/>
      <c r="F342" s="250"/>
      <c r="G342" s="250"/>
      <c r="H342" s="88"/>
      <c r="I342" s="36"/>
      <c r="J342" s="37"/>
      <c r="K342" s="38"/>
      <c r="L342" s="39"/>
      <c r="M342" s="38"/>
      <c r="N342" s="39"/>
      <c r="O342" s="40"/>
      <c r="P342" s="34"/>
      <c r="Q342" s="35"/>
      <c r="R342" s="35"/>
      <c r="S342" s="35"/>
      <c r="T342" s="35"/>
      <c r="U342" s="35"/>
      <c r="V342" s="35"/>
      <c r="W342" s="35"/>
      <c r="X342" s="35"/>
      <c r="Y342" s="35"/>
      <c r="Z342" s="35"/>
      <c r="AA342" s="35"/>
    </row>
    <row r="343" ht="14.25" customHeight="1">
      <c r="A343" s="83"/>
      <c r="B343" s="84"/>
      <c r="C343" s="108"/>
      <c r="D343" s="85"/>
      <c r="E343" s="117"/>
      <c r="F343" s="250"/>
      <c r="G343" s="250"/>
      <c r="H343" s="88"/>
      <c r="I343" s="36"/>
      <c r="J343" s="37"/>
      <c r="K343" s="38"/>
      <c r="L343" s="39"/>
      <c r="M343" s="38"/>
      <c r="N343" s="39"/>
      <c r="O343" s="40"/>
      <c r="P343" s="34"/>
      <c r="Q343" s="35"/>
      <c r="R343" s="35"/>
      <c r="S343" s="35"/>
      <c r="T343" s="35"/>
      <c r="U343" s="35"/>
      <c r="V343" s="35"/>
      <c r="W343" s="35"/>
      <c r="X343" s="35"/>
      <c r="Y343" s="35"/>
      <c r="Z343" s="35"/>
      <c r="AA343" s="35"/>
    </row>
    <row r="344" ht="14.25" customHeight="1">
      <c r="A344" s="83"/>
      <c r="B344" s="84"/>
      <c r="C344" s="108"/>
      <c r="D344" s="85"/>
      <c r="E344" s="117"/>
      <c r="F344" s="250"/>
      <c r="G344" s="250"/>
      <c r="H344" s="88"/>
      <c r="I344" s="36"/>
      <c r="J344" s="37"/>
      <c r="K344" s="38"/>
      <c r="L344" s="39"/>
      <c r="M344" s="38"/>
      <c r="N344" s="39"/>
      <c r="O344" s="40"/>
      <c r="P344" s="34"/>
      <c r="Q344" s="35"/>
      <c r="R344" s="35"/>
      <c r="S344" s="35"/>
      <c r="T344" s="35"/>
      <c r="U344" s="35"/>
      <c r="V344" s="35"/>
      <c r="W344" s="35"/>
      <c r="X344" s="35"/>
      <c r="Y344" s="35"/>
      <c r="Z344" s="35"/>
      <c r="AA344" s="35"/>
    </row>
    <row r="345" ht="14.25" customHeight="1">
      <c r="A345" s="83"/>
      <c r="B345" s="84"/>
      <c r="C345" s="108"/>
      <c r="D345" s="85"/>
      <c r="E345" s="117"/>
      <c r="F345" s="250"/>
      <c r="G345" s="250"/>
      <c r="H345" s="88"/>
      <c r="I345" s="36"/>
      <c r="J345" s="37"/>
      <c r="K345" s="38"/>
      <c r="L345" s="39"/>
      <c r="M345" s="38"/>
      <c r="N345" s="39"/>
      <c r="O345" s="40"/>
      <c r="P345" s="34"/>
      <c r="Q345" s="35"/>
      <c r="R345" s="35"/>
      <c r="S345" s="35"/>
      <c r="T345" s="35"/>
      <c r="U345" s="35"/>
      <c r="V345" s="35"/>
      <c r="W345" s="35"/>
      <c r="X345" s="35"/>
      <c r="Y345" s="35"/>
      <c r="Z345" s="35"/>
      <c r="AA345" s="35"/>
    </row>
    <row r="346" ht="14.25" customHeight="1">
      <c r="A346" s="83"/>
      <c r="B346" s="84"/>
      <c r="C346" s="108"/>
      <c r="D346" s="85"/>
      <c r="E346" s="117"/>
      <c r="F346" s="250"/>
      <c r="G346" s="250"/>
      <c r="H346" s="88"/>
      <c r="I346" s="36"/>
      <c r="J346" s="37"/>
      <c r="K346" s="38"/>
      <c r="L346" s="39"/>
      <c r="M346" s="38"/>
      <c r="N346" s="39"/>
      <c r="O346" s="40"/>
      <c r="P346" s="34"/>
      <c r="Q346" s="35"/>
      <c r="R346" s="35"/>
      <c r="S346" s="35"/>
      <c r="T346" s="35"/>
      <c r="U346" s="35"/>
      <c r="V346" s="35"/>
      <c r="W346" s="35"/>
      <c r="X346" s="35"/>
      <c r="Y346" s="35"/>
      <c r="Z346" s="35"/>
      <c r="AA346" s="35"/>
    </row>
    <row r="347" ht="14.25" customHeight="1">
      <c r="A347" s="83"/>
      <c r="B347" s="84"/>
      <c r="C347" s="108"/>
      <c r="D347" s="85"/>
      <c r="E347" s="117"/>
      <c r="F347" s="250"/>
      <c r="G347" s="250"/>
      <c r="H347" s="88"/>
      <c r="I347" s="36"/>
      <c r="J347" s="37"/>
      <c r="K347" s="38"/>
      <c r="L347" s="39"/>
      <c r="M347" s="38"/>
      <c r="N347" s="39"/>
      <c r="O347" s="40"/>
      <c r="P347" s="34"/>
      <c r="Q347" s="35"/>
      <c r="R347" s="35"/>
      <c r="S347" s="35"/>
      <c r="T347" s="35"/>
      <c r="U347" s="35"/>
      <c r="V347" s="35"/>
      <c r="W347" s="35"/>
      <c r="X347" s="35"/>
      <c r="Y347" s="35"/>
      <c r="Z347" s="35"/>
      <c r="AA347" s="35"/>
    </row>
    <row r="348" ht="14.25" customHeight="1">
      <c r="A348" s="83"/>
      <c r="B348" s="84"/>
      <c r="C348" s="108"/>
      <c r="D348" s="85"/>
      <c r="E348" s="117"/>
      <c r="F348" s="250"/>
      <c r="G348" s="250"/>
      <c r="H348" s="88"/>
      <c r="I348" s="36"/>
      <c r="J348" s="37"/>
      <c r="K348" s="38"/>
      <c r="L348" s="39"/>
      <c r="M348" s="38"/>
      <c r="N348" s="39"/>
      <c r="O348" s="40"/>
      <c r="P348" s="34"/>
      <c r="Q348" s="35"/>
      <c r="R348" s="35"/>
      <c r="S348" s="35"/>
      <c r="T348" s="35"/>
      <c r="U348" s="35"/>
      <c r="V348" s="35"/>
      <c r="W348" s="35"/>
      <c r="X348" s="35"/>
      <c r="Y348" s="35"/>
      <c r="Z348" s="35"/>
      <c r="AA348" s="35"/>
    </row>
    <row r="349" ht="14.25" customHeight="1">
      <c r="A349" s="83"/>
      <c r="B349" s="84"/>
      <c r="C349" s="108"/>
      <c r="D349" s="85"/>
      <c r="E349" s="117"/>
      <c r="F349" s="250"/>
      <c r="G349" s="250"/>
      <c r="H349" s="88"/>
      <c r="I349" s="36"/>
      <c r="J349" s="37"/>
      <c r="K349" s="38"/>
      <c r="L349" s="39"/>
      <c r="M349" s="38"/>
      <c r="N349" s="39"/>
      <c r="O349" s="40"/>
      <c r="P349" s="34"/>
      <c r="Q349" s="35"/>
      <c r="R349" s="35"/>
      <c r="S349" s="35"/>
      <c r="T349" s="35"/>
      <c r="U349" s="35"/>
      <c r="V349" s="35"/>
      <c r="W349" s="35"/>
      <c r="X349" s="35"/>
      <c r="Y349" s="35"/>
      <c r="Z349" s="35"/>
      <c r="AA349" s="35"/>
    </row>
    <row r="350" ht="14.25" customHeight="1">
      <c r="A350" s="83"/>
      <c r="B350" s="84"/>
      <c r="C350" s="108"/>
      <c r="D350" s="85"/>
      <c r="E350" s="117"/>
      <c r="F350" s="250"/>
      <c r="G350" s="250"/>
      <c r="H350" s="88"/>
      <c r="I350" s="36"/>
      <c r="J350" s="37"/>
      <c r="K350" s="38"/>
      <c r="L350" s="39"/>
      <c r="M350" s="38"/>
      <c r="N350" s="39"/>
      <c r="O350" s="40"/>
      <c r="P350" s="34"/>
      <c r="Q350" s="35"/>
      <c r="R350" s="35"/>
      <c r="S350" s="35"/>
      <c r="T350" s="35"/>
      <c r="U350" s="35"/>
      <c r="V350" s="35"/>
      <c r="W350" s="35"/>
      <c r="X350" s="35"/>
      <c r="Y350" s="35"/>
      <c r="Z350" s="35"/>
      <c r="AA350" s="35"/>
    </row>
    <row r="351" ht="14.25" customHeight="1">
      <c r="A351" s="83"/>
      <c r="B351" s="84"/>
      <c r="C351" s="108"/>
      <c r="D351" s="85"/>
      <c r="E351" s="117"/>
      <c r="F351" s="250"/>
      <c r="G351" s="250"/>
      <c r="H351" s="88"/>
      <c r="I351" s="36"/>
      <c r="J351" s="37"/>
      <c r="K351" s="38"/>
      <c r="L351" s="39"/>
      <c r="M351" s="38"/>
      <c r="N351" s="39"/>
      <c r="O351" s="40"/>
      <c r="P351" s="34"/>
      <c r="Q351" s="35"/>
      <c r="R351" s="35"/>
      <c r="S351" s="35"/>
      <c r="T351" s="35"/>
      <c r="U351" s="35"/>
      <c r="V351" s="35"/>
      <c r="W351" s="35"/>
      <c r="X351" s="35"/>
      <c r="Y351" s="35"/>
      <c r="Z351" s="35"/>
      <c r="AA351" s="35"/>
    </row>
    <row r="352" ht="14.25" customHeight="1">
      <c r="A352" s="83"/>
      <c r="B352" s="84"/>
      <c r="C352" s="108"/>
      <c r="D352" s="85"/>
      <c r="E352" s="117"/>
      <c r="F352" s="250"/>
      <c r="G352" s="250"/>
      <c r="H352" s="88"/>
      <c r="I352" s="36"/>
      <c r="J352" s="37"/>
      <c r="K352" s="38"/>
      <c r="L352" s="39"/>
      <c r="M352" s="38"/>
      <c r="N352" s="39"/>
      <c r="O352" s="40"/>
      <c r="P352" s="34"/>
      <c r="Q352" s="35"/>
      <c r="R352" s="35"/>
      <c r="S352" s="35"/>
      <c r="T352" s="35"/>
      <c r="U352" s="35"/>
      <c r="V352" s="35"/>
      <c r="W352" s="35"/>
      <c r="X352" s="35"/>
      <c r="Y352" s="35"/>
      <c r="Z352" s="35"/>
      <c r="AA352" s="35"/>
    </row>
    <row r="353" ht="14.25" customHeight="1">
      <c r="A353" s="83"/>
      <c r="B353" s="84"/>
      <c r="C353" s="108"/>
      <c r="D353" s="85"/>
      <c r="E353" s="117"/>
      <c r="F353" s="250"/>
      <c r="G353" s="250"/>
      <c r="H353" s="88"/>
      <c r="I353" s="36"/>
      <c r="J353" s="37"/>
      <c r="K353" s="38"/>
      <c r="L353" s="39"/>
      <c r="M353" s="38"/>
      <c r="N353" s="39"/>
      <c r="O353" s="40"/>
      <c r="P353" s="34"/>
      <c r="Q353" s="35"/>
      <c r="R353" s="35"/>
      <c r="S353" s="35"/>
      <c r="T353" s="35"/>
      <c r="U353" s="35"/>
      <c r="V353" s="35"/>
      <c r="W353" s="35"/>
      <c r="X353" s="35"/>
      <c r="Y353" s="35"/>
      <c r="Z353" s="35"/>
      <c r="AA353" s="35"/>
    </row>
    <row r="354" ht="14.25" customHeight="1">
      <c r="A354" s="83"/>
      <c r="B354" s="84"/>
      <c r="C354" s="108"/>
      <c r="D354" s="85"/>
      <c r="E354" s="117"/>
      <c r="F354" s="250"/>
      <c r="G354" s="250"/>
      <c r="H354" s="88"/>
      <c r="I354" s="36"/>
      <c r="J354" s="37"/>
      <c r="K354" s="38"/>
      <c r="L354" s="39"/>
      <c r="M354" s="38"/>
      <c r="N354" s="39"/>
      <c r="O354" s="40"/>
      <c r="P354" s="34"/>
      <c r="Q354" s="35"/>
      <c r="R354" s="35"/>
      <c r="S354" s="35"/>
      <c r="T354" s="35"/>
      <c r="U354" s="35"/>
      <c r="V354" s="35"/>
      <c r="W354" s="35"/>
      <c r="X354" s="35"/>
      <c r="Y354" s="35"/>
      <c r="Z354" s="35"/>
      <c r="AA354" s="35"/>
    </row>
    <row r="355" ht="14.25" customHeight="1">
      <c r="A355" s="83"/>
      <c r="B355" s="84"/>
      <c r="C355" s="108"/>
      <c r="D355" s="85"/>
      <c r="E355" s="117"/>
      <c r="F355" s="250"/>
      <c r="G355" s="250"/>
      <c r="H355" s="88"/>
      <c r="I355" s="36"/>
      <c r="J355" s="37"/>
      <c r="K355" s="38"/>
      <c r="L355" s="39"/>
      <c r="M355" s="38"/>
      <c r="N355" s="39"/>
      <c r="O355" s="40"/>
      <c r="P355" s="34"/>
      <c r="Q355" s="35"/>
      <c r="R355" s="35"/>
      <c r="S355" s="35"/>
      <c r="T355" s="35"/>
      <c r="U355" s="35"/>
      <c r="V355" s="35"/>
      <c r="W355" s="35"/>
      <c r="X355" s="35"/>
      <c r="Y355" s="35"/>
      <c r="Z355" s="35"/>
      <c r="AA355" s="35"/>
    </row>
    <row r="356" ht="14.25" customHeight="1">
      <c r="A356" s="83"/>
      <c r="B356" s="84"/>
      <c r="C356" s="108"/>
      <c r="D356" s="85"/>
      <c r="E356" s="117"/>
      <c r="F356" s="250"/>
      <c r="G356" s="250"/>
      <c r="H356" s="88"/>
      <c r="I356" s="36"/>
      <c r="J356" s="37"/>
      <c r="K356" s="38"/>
      <c r="L356" s="39"/>
      <c r="M356" s="38"/>
      <c r="N356" s="39"/>
      <c r="O356" s="40"/>
      <c r="P356" s="34"/>
      <c r="Q356" s="35"/>
      <c r="R356" s="35"/>
      <c r="S356" s="35"/>
      <c r="T356" s="35"/>
      <c r="U356" s="35"/>
      <c r="V356" s="35"/>
      <c r="W356" s="35"/>
      <c r="X356" s="35"/>
      <c r="Y356" s="35"/>
      <c r="Z356" s="35"/>
      <c r="AA356" s="35"/>
    </row>
    <row r="357" ht="14.25" customHeight="1">
      <c r="A357" s="83"/>
      <c r="B357" s="84"/>
      <c r="C357" s="108"/>
      <c r="D357" s="85"/>
      <c r="E357" s="117"/>
      <c r="F357" s="250"/>
      <c r="G357" s="250"/>
      <c r="H357" s="88"/>
      <c r="I357" s="36"/>
      <c r="J357" s="37"/>
      <c r="K357" s="38"/>
      <c r="L357" s="39"/>
      <c r="M357" s="38"/>
      <c r="N357" s="39"/>
      <c r="O357" s="40"/>
      <c r="P357" s="34"/>
      <c r="Q357" s="35"/>
      <c r="R357" s="35"/>
      <c r="S357" s="35"/>
      <c r="T357" s="35"/>
      <c r="U357" s="35"/>
      <c r="V357" s="35"/>
      <c r="W357" s="35"/>
      <c r="X357" s="35"/>
      <c r="Y357" s="35"/>
      <c r="Z357" s="35"/>
      <c r="AA357" s="35"/>
    </row>
    <row r="358" ht="14.25" customHeight="1">
      <c r="A358" s="83"/>
      <c r="B358" s="84"/>
      <c r="C358" s="108"/>
      <c r="D358" s="85"/>
      <c r="E358" s="117"/>
      <c r="F358" s="250"/>
      <c r="G358" s="250"/>
      <c r="H358" s="88"/>
      <c r="I358" s="36"/>
      <c r="J358" s="37"/>
      <c r="K358" s="38"/>
      <c r="L358" s="39"/>
      <c r="M358" s="38"/>
      <c r="N358" s="39"/>
      <c r="O358" s="40"/>
      <c r="P358" s="34"/>
      <c r="Q358" s="35"/>
      <c r="R358" s="35"/>
      <c r="S358" s="35"/>
      <c r="T358" s="35"/>
      <c r="U358" s="35"/>
      <c r="V358" s="35"/>
      <c r="W358" s="35"/>
      <c r="X358" s="35"/>
      <c r="Y358" s="35"/>
      <c r="Z358" s="35"/>
      <c r="AA358" s="35"/>
    </row>
    <row r="359" ht="14.25" customHeight="1">
      <c r="A359" s="83"/>
      <c r="B359" s="84"/>
      <c r="C359" s="108"/>
      <c r="D359" s="85"/>
      <c r="E359" s="117"/>
      <c r="F359" s="250"/>
      <c r="G359" s="250"/>
      <c r="H359" s="88"/>
      <c r="I359" s="36"/>
      <c r="J359" s="37"/>
      <c r="K359" s="38"/>
      <c r="L359" s="39"/>
      <c r="M359" s="38"/>
      <c r="N359" s="39"/>
      <c r="O359" s="40"/>
      <c r="P359" s="34"/>
      <c r="Q359" s="35"/>
      <c r="R359" s="35"/>
      <c r="S359" s="35"/>
      <c r="T359" s="35"/>
      <c r="U359" s="35"/>
      <c r="V359" s="35"/>
      <c r="W359" s="35"/>
      <c r="X359" s="35"/>
      <c r="Y359" s="35"/>
      <c r="Z359" s="35"/>
      <c r="AA359" s="35"/>
    </row>
    <row r="360" ht="14.25" customHeight="1">
      <c r="A360" s="83"/>
      <c r="B360" s="84"/>
      <c r="C360" s="108"/>
      <c r="D360" s="85"/>
      <c r="E360" s="117"/>
      <c r="F360" s="250"/>
      <c r="G360" s="250"/>
      <c r="H360" s="88"/>
      <c r="I360" s="36"/>
      <c r="J360" s="37"/>
      <c r="K360" s="38"/>
      <c r="L360" s="39"/>
      <c r="M360" s="38"/>
      <c r="N360" s="39"/>
      <c r="O360" s="40"/>
      <c r="P360" s="34"/>
      <c r="Q360" s="35"/>
      <c r="R360" s="35"/>
      <c r="S360" s="35"/>
      <c r="T360" s="35"/>
      <c r="U360" s="35"/>
      <c r="V360" s="35"/>
      <c r="W360" s="35"/>
      <c r="X360" s="35"/>
      <c r="Y360" s="35"/>
      <c r="Z360" s="35"/>
      <c r="AA360" s="35"/>
    </row>
    <row r="361" ht="14.25" customHeight="1">
      <c r="A361" s="83"/>
      <c r="B361" s="84"/>
      <c r="C361" s="108"/>
      <c r="D361" s="85"/>
      <c r="E361" s="117"/>
      <c r="F361" s="250"/>
      <c r="G361" s="250"/>
      <c r="H361" s="88"/>
      <c r="I361" s="36"/>
      <c r="J361" s="37"/>
      <c r="K361" s="38"/>
      <c r="L361" s="39"/>
      <c r="M361" s="38"/>
      <c r="N361" s="39"/>
      <c r="O361" s="40"/>
      <c r="P361" s="34"/>
      <c r="Q361" s="35"/>
      <c r="R361" s="35"/>
      <c r="S361" s="35"/>
      <c r="T361" s="35"/>
      <c r="U361" s="35"/>
      <c r="V361" s="35"/>
      <c r="W361" s="35"/>
      <c r="X361" s="35"/>
      <c r="Y361" s="35"/>
      <c r="Z361" s="35"/>
      <c r="AA361" s="35"/>
    </row>
    <row r="362" ht="14.25" customHeight="1">
      <c r="A362" s="83"/>
      <c r="B362" s="84"/>
      <c r="C362" s="108"/>
      <c r="D362" s="85"/>
      <c r="E362" s="117"/>
      <c r="F362" s="250"/>
      <c r="G362" s="250"/>
      <c r="H362" s="88"/>
      <c r="I362" s="36"/>
      <c r="J362" s="37"/>
      <c r="K362" s="38"/>
      <c r="L362" s="39"/>
      <c r="M362" s="38"/>
      <c r="N362" s="39"/>
      <c r="O362" s="40"/>
      <c r="P362" s="34"/>
      <c r="Q362" s="35"/>
      <c r="R362" s="35"/>
      <c r="S362" s="35"/>
      <c r="T362" s="35"/>
      <c r="U362" s="35"/>
      <c r="V362" s="35"/>
      <c r="W362" s="35"/>
      <c r="X362" s="35"/>
      <c r="Y362" s="35"/>
      <c r="Z362" s="35"/>
      <c r="AA362" s="35"/>
    </row>
    <row r="363" ht="14.25" customHeight="1">
      <c r="A363" s="83"/>
      <c r="B363" s="84"/>
      <c r="C363" s="108"/>
      <c r="D363" s="85"/>
      <c r="E363" s="117"/>
      <c r="F363" s="250"/>
      <c r="G363" s="250"/>
      <c r="H363" s="88"/>
      <c r="I363" s="36"/>
      <c r="J363" s="37"/>
      <c r="K363" s="38"/>
      <c r="L363" s="39"/>
      <c r="M363" s="38"/>
      <c r="N363" s="39"/>
      <c r="O363" s="40"/>
      <c r="P363" s="34"/>
      <c r="Q363" s="35"/>
      <c r="R363" s="35"/>
      <c r="S363" s="35"/>
      <c r="T363" s="35"/>
      <c r="U363" s="35"/>
      <c r="V363" s="35"/>
      <c r="W363" s="35"/>
      <c r="X363" s="35"/>
      <c r="Y363" s="35"/>
      <c r="Z363" s="35"/>
      <c r="AA363" s="35"/>
    </row>
    <row r="364" ht="14.25" customHeight="1">
      <c r="A364" s="83"/>
      <c r="B364" s="84"/>
      <c r="C364" s="108"/>
      <c r="D364" s="85"/>
      <c r="E364" s="117"/>
      <c r="F364" s="250"/>
      <c r="G364" s="250"/>
      <c r="H364" s="88"/>
      <c r="I364" s="36"/>
      <c r="J364" s="37"/>
      <c r="K364" s="38"/>
      <c r="L364" s="39"/>
      <c r="M364" s="38"/>
      <c r="N364" s="39"/>
      <c r="O364" s="40"/>
      <c r="P364" s="34"/>
      <c r="Q364" s="35"/>
      <c r="R364" s="35"/>
      <c r="S364" s="35"/>
      <c r="T364" s="35"/>
      <c r="U364" s="35"/>
      <c r="V364" s="35"/>
      <c r="W364" s="35"/>
      <c r="X364" s="35"/>
      <c r="Y364" s="35"/>
      <c r="Z364" s="35"/>
      <c r="AA364" s="35"/>
    </row>
    <row r="365" ht="14.25" customHeight="1">
      <c r="A365" s="83"/>
      <c r="B365" s="84"/>
      <c r="C365" s="108"/>
      <c r="D365" s="85"/>
      <c r="E365" s="117"/>
      <c r="F365" s="250"/>
      <c r="G365" s="250"/>
      <c r="H365" s="88"/>
      <c r="I365" s="36"/>
      <c r="J365" s="37"/>
      <c r="K365" s="38"/>
      <c r="L365" s="39"/>
      <c r="M365" s="38"/>
      <c r="N365" s="39"/>
      <c r="O365" s="40"/>
      <c r="P365" s="34"/>
      <c r="Q365" s="35"/>
      <c r="R365" s="35"/>
      <c r="S365" s="35"/>
      <c r="T365" s="35"/>
      <c r="U365" s="35"/>
      <c r="V365" s="35"/>
      <c r="W365" s="35"/>
      <c r="X365" s="35"/>
      <c r="Y365" s="35"/>
      <c r="Z365" s="35"/>
      <c r="AA365" s="35"/>
    </row>
    <row r="366" ht="14.25" customHeight="1">
      <c r="A366" s="83"/>
      <c r="B366" s="84"/>
      <c r="C366" s="108"/>
      <c r="D366" s="85"/>
      <c r="E366" s="117"/>
      <c r="F366" s="250"/>
      <c r="G366" s="250"/>
      <c r="H366" s="88"/>
      <c r="I366" s="36"/>
      <c r="J366" s="37"/>
      <c r="K366" s="38"/>
      <c r="L366" s="39"/>
      <c r="M366" s="38"/>
      <c r="N366" s="39"/>
      <c r="O366" s="40"/>
      <c r="P366" s="34"/>
      <c r="Q366" s="35"/>
      <c r="R366" s="35"/>
      <c r="S366" s="35"/>
      <c r="T366" s="35"/>
      <c r="U366" s="35"/>
      <c r="V366" s="35"/>
      <c r="W366" s="35"/>
      <c r="X366" s="35"/>
      <c r="Y366" s="35"/>
      <c r="Z366" s="35"/>
      <c r="AA366" s="35"/>
    </row>
    <row r="367" ht="14.25" customHeight="1">
      <c r="A367" s="83"/>
      <c r="B367" s="84"/>
      <c r="C367" s="108"/>
      <c r="D367" s="85"/>
      <c r="E367" s="117"/>
      <c r="F367" s="250"/>
      <c r="G367" s="250"/>
      <c r="H367" s="88"/>
      <c r="I367" s="36"/>
      <c r="J367" s="37"/>
      <c r="K367" s="38"/>
      <c r="L367" s="39"/>
      <c r="M367" s="38"/>
      <c r="N367" s="39"/>
      <c r="O367" s="40"/>
      <c r="P367" s="34"/>
      <c r="Q367" s="35"/>
      <c r="R367" s="35"/>
      <c r="S367" s="35"/>
      <c r="T367" s="35"/>
      <c r="U367" s="35"/>
      <c r="V367" s="35"/>
      <c r="W367" s="35"/>
      <c r="X367" s="35"/>
      <c r="Y367" s="35"/>
      <c r="Z367" s="35"/>
      <c r="AA367" s="35"/>
    </row>
    <row r="368" ht="14.25" customHeight="1">
      <c r="A368" s="83"/>
      <c r="B368" s="84"/>
      <c r="C368" s="108"/>
      <c r="D368" s="85"/>
      <c r="E368" s="117"/>
      <c r="F368" s="250"/>
      <c r="G368" s="250"/>
      <c r="H368" s="88"/>
      <c r="I368" s="36"/>
      <c r="J368" s="37"/>
      <c r="K368" s="38"/>
      <c r="L368" s="39"/>
      <c r="M368" s="38"/>
      <c r="N368" s="39"/>
      <c r="O368" s="40"/>
      <c r="P368" s="34"/>
      <c r="Q368" s="35"/>
      <c r="R368" s="35"/>
      <c r="S368" s="35"/>
      <c r="T368" s="35"/>
      <c r="U368" s="35"/>
      <c r="V368" s="35"/>
      <c r="W368" s="35"/>
      <c r="X368" s="35"/>
      <c r="Y368" s="35"/>
      <c r="Z368" s="35"/>
      <c r="AA368" s="35"/>
    </row>
    <row r="369" ht="14.25" customHeight="1">
      <c r="A369" s="83"/>
      <c r="B369" s="84"/>
      <c r="C369" s="108"/>
      <c r="D369" s="85"/>
      <c r="E369" s="117"/>
      <c r="F369" s="250"/>
      <c r="G369" s="250"/>
      <c r="H369" s="88"/>
      <c r="I369" s="36"/>
      <c r="J369" s="37"/>
      <c r="K369" s="38"/>
      <c r="L369" s="39"/>
      <c r="M369" s="38"/>
      <c r="N369" s="39"/>
      <c r="O369" s="40"/>
      <c r="P369" s="34"/>
      <c r="Q369" s="35"/>
      <c r="R369" s="35"/>
      <c r="S369" s="35"/>
      <c r="T369" s="35"/>
      <c r="U369" s="35"/>
      <c r="V369" s="35"/>
      <c r="W369" s="35"/>
      <c r="X369" s="35"/>
      <c r="Y369" s="35"/>
      <c r="Z369" s="35"/>
      <c r="AA369" s="35"/>
    </row>
    <row r="370" ht="14.25" customHeight="1">
      <c r="A370" s="83"/>
      <c r="B370" s="84"/>
      <c r="C370" s="108"/>
      <c r="D370" s="85"/>
      <c r="E370" s="117"/>
      <c r="F370" s="250"/>
      <c r="G370" s="250"/>
      <c r="H370" s="88"/>
      <c r="I370" s="36"/>
      <c r="J370" s="37"/>
      <c r="K370" s="38"/>
      <c r="L370" s="39"/>
      <c r="M370" s="38"/>
      <c r="N370" s="39"/>
      <c r="O370" s="40"/>
      <c r="P370" s="34"/>
      <c r="Q370" s="35"/>
      <c r="R370" s="35"/>
      <c r="S370" s="35"/>
      <c r="T370" s="35"/>
      <c r="U370" s="35"/>
      <c r="V370" s="35"/>
      <c r="W370" s="35"/>
      <c r="X370" s="35"/>
      <c r="Y370" s="35"/>
      <c r="Z370" s="35"/>
      <c r="AA370" s="35"/>
    </row>
    <row r="371" ht="14.25" customHeight="1">
      <c r="A371" s="83"/>
      <c r="B371" s="84"/>
      <c r="C371" s="108"/>
      <c r="D371" s="85"/>
      <c r="E371" s="117"/>
      <c r="F371" s="250"/>
      <c r="G371" s="250"/>
      <c r="H371" s="88"/>
      <c r="I371" s="36"/>
      <c r="J371" s="37"/>
      <c r="K371" s="38"/>
      <c r="L371" s="39"/>
      <c r="M371" s="38"/>
      <c r="N371" s="39"/>
      <c r="O371" s="40"/>
      <c r="P371" s="34"/>
      <c r="Q371" s="35"/>
      <c r="R371" s="35"/>
      <c r="S371" s="35"/>
      <c r="T371" s="35"/>
      <c r="U371" s="35"/>
      <c r="V371" s="35"/>
      <c r="W371" s="35"/>
      <c r="X371" s="35"/>
      <c r="Y371" s="35"/>
      <c r="Z371" s="35"/>
      <c r="AA371" s="35"/>
    </row>
    <row r="372" ht="14.25" customHeight="1">
      <c r="A372" s="83"/>
      <c r="B372" s="84"/>
      <c r="C372" s="108"/>
      <c r="D372" s="85"/>
      <c r="E372" s="117"/>
      <c r="F372" s="250"/>
      <c r="G372" s="250"/>
      <c r="H372" s="88"/>
      <c r="I372" s="36"/>
      <c r="J372" s="37"/>
      <c r="K372" s="38"/>
      <c r="L372" s="39"/>
      <c r="M372" s="38"/>
      <c r="N372" s="39"/>
      <c r="O372" s="40"/>
      <c r="P372" s="34"/>
      <c r="Q372" s="35"/>
      <c r="R372" s="35"/>
      <c r="S372" s="35"/>
      <c r="T372" s="35"/>
      <c r="U372" s="35"/>
      <c r="V372" s="35"/>
      <c r="W372" s="35"/>
      <c r="X372" s="35"/>
      <c r="Y372" s="35"/>
      <c r="Z372" s="35"/>
      <c r="AA372" s="35"/>
    </row>
    <row r="373" ht="14.25" customHeight="1">
      <c r="A373" s="83"/>
      <c r="B373" s="84"/>
      <c r="C373" s="108"/>
      <c r="D373" s="85"/>
      <c r="E373" s="117"/>
      <c r="F373" s="250"/>
      <c r="G373" s="250"/>
      <c r="H373" s="88"/>
      <c r="I373" s="36"/>
      <c r="J373" s="37"/>
      <c r="K373" s="38"/>
      <c r="L373" s="39"/>
      <c r="M373" s="38"/>
      <c r="N373" s="39"/>
      <c r="O373" s="40"/>
      <c r="P373" s="34"/>
      <c r="Q373" s="35"/>
      <c r="R373" s="35"/>
      <c r="S373" s="35"/>
      <c r="T373" s="35"/>
      <c r="U373" s="35"/>
      <c r="V373" s="35"/>
      <c r="W373" s="35"/>
      <c r="X373" s="35"/>
      <c r="Y373" s="35"/>
      <c r="Z373" s="35"/>
      <c r="AA373" s="35"/>
    </row>
    <row r="374" ht="14.25" customHeight="1">
      <c r="A374" s="83"/>
      <c r="B374" s="84"/>
      <c r="C374" s="108"/>
      <c r="D374" s="85"/>
      <c r="E374" s="117"/>
      <c r="F374" s="250"/>
      <c r="G374" s="250"/>
      <c r="H374" s="88"/>
      <c r="I374" s="36"/>
      <c r="J374" s="37"/>
      <c r="K374" s="38"/>
      <c r="L374" s="39"/>
      <c r="M374" s="38"/>
      <c r="N374" s="39"/>
      <c r="O374" s="40"/>
      <c r="P374" s="34"/>
      <c r="Q374" s="35"/>
      <c r="R374" s="35"/>
      <c r="S374" s="35"/>
      <c r="T374" s="35"/>
      <c r="U374" s="35"/>
      <c r="V374" s="35"/>
      <c r="W374" s="35"/>
      <c r="X374" s="35"/>
      <c r="Y374" s="35"/>
      <c r="Z374" s="35"/>
      <c r="AA374" s="35"/>
    </row>
    <row r="375" ht="14.25" customHeight="1">
      <c r="A375" s="83"/>
      <c r="B375" s="84"/>
      <c r="C375" s="108"/>
      <c r="D375" s="85"/>
      <c r="E375" s="117"/>
      <c r="F375" s="250"/>
      <c r="G375" s="250"/>
      <c r="H375" s="88"/>
      <c r="I375" s="36"/>
      <c r="J375" s="37"/>
      <c r="K375" s="38"/>
      <c r="L375" s="39"/>
      <c r="M375" s="38"/>
      <c r="N375" s="39"/>
      <c r="O375" s="40"/>
      <c r="P375" s="34"/>
      <c r="Q375" s="35"/>
      <c r="R375" s="35"/>
      <c r="S375" s="35"/>
      <c r="T375" s="35"/>
      <c r="U375" s="35"/>
      <c r="V375" s="35"/>
      <c r="W375" s="35"/>
      <c r="X375" s="35"/>
      <c r="Y375" s="35"/>
      <c r="Z375" s="35"/>
      <c r="AA375" s="35"/>
    </row>
    <row r="376" ht="14.25" customHeight="1">
      <c r="A376" s="83"/>
      <c r="B376" s="84"/>
      <c r="C376" s="108"/>
      <c r="D376" s="85"/>
      <c r="E376" s="117"/>
      <c r="F376" s="250"/>
      <c r="G376" s="250"/>
      <c r="H376" s="88"/>
      <c r="I376" s="36"/>
      <c r="J376" s="37"/>
      <c r="K376" s="38"/>
      <c r="L376" s="39"/>
      <c r="M376" s="38"/>
      <c r="N376" s="39"/>
      <c r="O376" s="40"/>
      <c r="P376" s="34"/>
      <c r="Q376" s="35"/>
      <c r="R376" s="35"/>
      <c r="S376" s="35"/>
      <c r="T376" s="35"/>
      <c r="U376" s="35"/>
      <c r="V376" s="35"/>
      <c r="W376" s="35"/>
      <c r="X376" s="35"/>
      <c r="Y376" s="35"/>
      <c r="Z376" s="35"/>
      <c r="AA376" s="35"/>
    </row>
    <row r="377" ht="14.25" customHeight="1">
      <c r="A377" s="83"/>
      <c r="B377" s="84"/>
      <c r="C377" s="108"/>
      <c r="D377" s="85"/>
      <c r="E377" s="117"/>
      <c r="F377" s="250"/>
      <c r="G377" s="250"/>
      <c r="H377" s="88"/>
      <c r="I377" s="36"/>
      <c r="J377" s="37"/>
      <c r="K377" s="38"/>
      <c r="L377" s="39"/>
      <c r="M377" s="38"/>
      <c r="N377" s="39"/>
      <c r="O377" s="40"/>
      <c r="P377" s="34"/>
      <c r="Q377" s="35"/>
      <c r="R377" s="35"/>
      <c r="S377" s="35"/>
      <c r="T377" s="35"/>
      <c r="U377" s="35"/>
      <c r="V377" s="35"/>
      <c r="W377" s="35"/>
      <c r="X377" s="35"/>
      <c r="Y377" s="35"/>
      <c r="Z377" s="35"/>
      <c r="AA377" s="35"/>
    </row>
    <row r="378" ht="14.25" customHeight="1">
      <c r="A378" s="83"/>
      <c r="B378" s="84"/>
      <c r="C378" s="108"/>
      <c r="D378" s="85"/>
      <c r="E378" s="117"/>
      <c r="F378" s="250"/>
      <c r="G378" s="250"/>
      <c r="H378" s="88"/>
      <c r="I378" s="36"/>
      <c r="J378" s="37"/>
      <c r="K378" s="38"/>
      <c r="L378" s="39"/>
      <c r="M378" s="38"/>
      <c r="N378" s="39"/>
      <c r="O378" s="40"/>
      <c r="P378" s="34"/>
      <c r="Q378" s="35"/>
      <c r="R378" s="35"/>
      <c r="S378" s="35"/>
      <c r="T378" s="35"/>
      <c r="U378" s="35"/>
      <c r="V378" s="35"/>
      <c r="W378" s="35"/>
      <c r="X378" s="35"/>
      <c r="Y378" s="35"/>
      <c r="Z378" s="35"/>
      <c r="AA378" s="35"/>
    </row>
    <row r="379" ht="14.25" customHeight="1">
      <c r="A379" s="83"/>
      <c r="B379" s="84"/>
      <c r="C379" s="108"/>
      <c r="D379" s="85"/>
      <c r="E379" s="117"/>
      <c r="F379" s="250"/>
      <c r="G379" s="250"/>
      <c r="H379" s="88"/>
      <c r="I379" s="36"/>
      <c r="J379" s="37"/>
      <c r="K379" s="38"/>
      <c r="L379" s="39"/>
      <c r="M379" s="38"/>
      <c r="N379" s="39"/>
      <c r="O379" s="40"/>
      <c r="P379" s="34"/>
      <c r="Q379" s="35"/>
      <c r="R379" s="35"/>
      <c r="S379" s="35"/>
      <c r="T379" s="35"/>
      <c r="U379" s="35"/>
      <c r="V379" s="35"/>
      <c r="W379" s="35"/>
      <c r="X379" s="35"/>
      <c r="Y379" s="35"/>
      <c r="Z379" s="35"/>
      <c r="AA379" s="35"/>
    </row>
    <row r="380" ht="14.25" customHeight="1">
      <c r="A380" s="83"/>
      <c r="B380" s="84"/>
      <c r="C380" s="108"/>
      <c r="D380" s="85"/>
      <c r="E380" s="117"/>
      <c r="F380" s="250"/>
      <c r="G380" s="250"/>
      <c r="H380" s="88"/>
      <c r="I380" s="36"/>
      <c r="J380" s="37"/>
      <c r="K380" s="38"/>
      <c r="L380" s="39"/>
      <c r="M380" s="38"/>
      <c r="N380" s="39"/>
      <c r="O380" s="40"/>
      <c r="P380" s="34"/>
      <c r="Q380" s="35"/>
      <c r="R380" s="35"/>
      <c r="S380" s="35"/>
      <c r="T380" s="35"/>
      <c r="U380" s="35"/>
      <c r="V380" s="35"/>
      <c r="W380" s="35"/>
      <c r="X380" s="35"/>
      <c r="Y380" s="35"/>
      <c r="Z380" s="35"/>
      <c r="AA380" s="35"/>
    </row>
    <row r="381" ht="14.25" customHeight="1">
      <c r="A381" s="83"/>
      <c r="B381" s="84"/>
      <c r="C381" s="108"/>
      <c r="D381" s="85"/>
      <c r="E381" s="117"/>
      <c r="F381" s="250"/>
      <c r="G381" s="250"/>
      <c r="H381" s="88"/>
      <c r="I381" s="36"/>
      <c r="J381" s="37"/>
      <c r="K381" s="38"/>
      <c r="L381" s="39"/>
      <c r="M381" s="38"/>
      <c r="N381" s="39"/>
      <c r="O381" s="40"/>
      <c r="P381" s="34"/>
      <c r="Q381" s="35"/>
      <c r="R381" s="35"/>
      <c r="S381" s="35"/>
      <c r="T381" s="35"/>
      <c r="U381" s="35"/>
      <c r="V381" s="35"/>
      <c r="W381" s="35"/>
      <c r="X381" s="35"/>
      <c r="Y381" s="35"/>
      <c r="Z381" s="35"/>
      <c r="AA381" s="35"/>
    </row>
    <row r="382" ht="14.25" customHeight="1">
      <c r="A382" s="83"/>
      <c r="B382" s="84"/>
      <c r="C382" s="108"/>
      <c r="D382" s="85"/>
      <c r="E382" s="117"/>
      <c r="F382" s="250"/>
      <c r="G382" s="250"/>
      <c r="H382" s="88"/>
      <c r="I382" s="36"/>
      <c r="J382" s="37"/>
      <c r="K382" s="38"/>
      <c r="L382" s="39"/>
      <c r="M382" s="38"/>
      <c r="N382" s="39"/>
      <c r="O382" s="40"/>
      <c r="P382" s="34"/>
      <c r="Q382" s="35"/>
      <c r="R382" s="35"/>
      <c r="S382" s="35"/>
      <c r="T382" s="35"/>
      <c r="U382" s="35"/>
      <c r="V382" s="35"/>
      <c r="W382" s="35"/>
      <c r="X382" s="35"/>
      <c r="Y382" s="35"/>
      <c r="Z382" s="35"/>
      <c r="AA382" s="35"/>
    </row>
    <row r="383" ht="14.25" customHeight="1">
      <c r="A383" s="83"/>
      <c r="B383" s="84"/>
      <c r="C383" s="108"/>
      <c r="D383" s="85"/>
      <c r="E383" s="117"/>
      <c r="F383" s="250"/>
      <c r="G383" s="250"/>
      <c r="H383" s="88"/>
      <c r="I383" s="36"/>
      <c r="J383" s="37"/>
      <c r="K383" s="38"/>
      <c r="L383" s="39"/>
      <c r="M383" s="38"/>
      <c r="N383" s="39"/>
      <c r="O383" s="40"/>
      <c r="P383" s="34"/>
      <c r="Q383" s="35"/>
      <c r="R383" s="35"/>
      <c r="S383" s="35"/>
      <c r="T383" s="35"/>
      <c r="U383" s="35"/>
      <c r="V383" s="35"/>
      <c r="W383" s="35"/>
      <c r="X383" s="35"/>
      <c r="Y383" s="35"/>
      <c r="Z383" s="35"/>
      <c r="AA383" s="35"/>
    </row>
    <row r="384" ht="14.25" customHeight="1">
      <c r="A384" s="83"/>
      <c r="B384" s="84"/>
      <c r="C384" s="108"/>
      <c r="D384" s="85"/>
      <c r="E384" s="117"/>
      <c r="F384" s="250"/>
      <c r="G384" s="250"/>
      <c r="H384" s="88"/>
      <c r="I384" s="36"/>
      <c r="J384" s="37"/>
      <c r="K384" s="38"/>
      <c r="L384" s="39"/>
      <c r="M384" s="38"/>
      <c r="N384" s="39"/>
      <c r="O384" s="40"/>
      <c r="P384" s="34"/>
      <c r="Q384" s="35"/>
      <c r="R384" s="35"/>
      <c r="S384" s="35"/>
      <c r="T384" s="35"/>
      <c r="U384" s="35"/>
      <c r="V384" s="35"/>
      <c r="W384" s="35"/>
      <c r="X384" s="35"/>
      <c r="Y384" s="35"/>
      <c r="Z384" s="35"/>
      <c r="AA384" s="35"/>
    </row>
    <row r="385" ht="14.25" customHeight="1">
      <c r="A385" s="83"/>
      <c r="B385" s="84"/>
      <c r="C385" s="108"/>
      <c r="D385" s="85"/>
      <c r="E385" s="117"/>
      <c r="F385" s="250"/>
      <c r="G385" s="250"/>
      <c r="H385" s="88"/>
      <c r="I385" s="36"/>
      <c r="J385" s="37"/>
      <c r="K385" s="38"/>
      <c r="L385" s="39"/>
      <c r="M385" s="38"/>
      <c r="N385" s="39"/>
      <c r="O385" s="40"/>
      <c r="P385" s="34"/>
      <c r="Q385" s="35"/>
      <c r="R385" s="35"/>
      <c r="S385" s="35"/>
      <c r="T385" s="35"/>
      <c r="U385" s="35"/>
      <c r="V385" s="35"/>
      <c r="W385" s="35"/>
      <c r="X385" s="35"/>
      <c r="Y385" s="35"/>
      <c r="Z385" s="35"/>
      <c r="AA385" s="35"/>
    </row>
    <row r="386" ht="14.25" customHeight="1">
      <c r="A386" s="83"/>
      <c r="B386" s="84"/>
      <c r="C386" s="108"/>
      <c r="D386" s="85"/>
      <c r="E386" s="117"/>
      <c r="F386" s="250"/>
      <c r="G386" s="250"/>
      <c r="H386" s="88"/>
      <c r="I386" s="36"/>
      <c r="J386" s="37"/>
      <c r="K386" s="38"/>
      <c r="L386" s="39"/>
      <c r="M386" s="38"/>
      <c r="N386" s="39"/>
      <c r="O386" s="40"/>
      <c r="P386" s="34"/>
      <c r="Q386" s="35"/>
      <c r="R386" s="35"/>
      <c r="S386" s="35"/>
      <c r="T386" s="35"/>
      <c r="U386" s="35"/>
      <c r="V386" s="35"/>
      <c r="W386" s="35"/>
      <c r="X386" s="35"/>
      <c r="Y386" s="35"/>
      <c r="Z386" s="35"/>
      <c r="AA386" s="35"/>
    </row>
    <row r="387" ht="14.25" customHeight="1">
      <c r="A387" s="83"/>
      <c r="B387" s="84"/>
      <c r="C387" s="108"/>
      <c r="D387" s="85"/>
      <c r="E387" s="117"/>
      <c r="F387" s="250"/>
      <c r="G387" s="250"/>
      <c r="H387" s="88"/>
      <c r="I387" s="36"/>
      <c r="J387" s="37"/>
      <c r="K387" s="38"/>
      <c r="L387" s="39"/>
      <c r="M387" s="38"/>
      <c r="N387" s="39"/>
      <c r="O387" s="40"/>
      <c r="P387" s="34"/>
      <c r="Q387" s="35"/>
      <c r="R387" s="35"/>
      <c r="S387" s="35"/>
      <c r="T387" s="35"/>
      <c r="U387" s="35"/>
      <c r="V387" s="35"/>
      <c r="W387" s="35"/>
      <c r="X387" s="35"/>
      <c r="Y387" s="35"/>
      <c r="Z387" s="35"/>
      <c r="AA387" s="35"/>
    </row>
    <row r="388" ht="14.25" customHeight="1">
      <c r="A388" s="83"/>
      <c r="B388" s="84"/>
      <c r="C388" s="108"/>
      <c r="D388" s="85"/>
      <c r="E388" s="117"/>
      <c r="F388" s="250"/>
      <c r="G388" s="250"/>
      <c r="H388" s="88"/>
      <c r="I388" s="36"/>
      <c r="J388" s="37"/>
      <c r="K388" s="38"/>
      <c r="L388" s="39"/>
      <c r="M388" s="38"/>
      <c r="N388" s="39"/>
      <c r="O388" s="40"/>
      <c r="P388" s="34"/>
      <c r="Q388" s="35"/>
      <c r="R388" s="35"/>
      <c r="S388" s="35"/>
      <c r="T388" s="35"/>
      <c r="U388" s="35"/>
      <c r="V388" s="35"/>
      <c r="W388" s="35"/>
      <c r="X388" s="35"/>
      <c r="Y388" s="35"/>
      <c r="Z388" s="35"/>
      <c r="AA388" s="35"/>
    </row>
    <row r="389" ht="14.25" customHeight="1">
      <c r="A389" s="83"/>
      <c r="B389" s="84"/>
      <c r="C389" s="108"/>
      <c r="D389" s="85"/>
      <c r="E389" s="117"/>
      <c r="F389" s="250"/>
      <c r="G389" s="250"/>
      <c r="H389" s="88"/>
      <c r="I389" s="36"/>
      <c r="J389" s="37"/>
      <c r="K389" s="38"/>
      <c r="L389" s="39"/>
      <c r="M389" s="38"/>
      <c r="N389" s="39"/>
      <c r="O389" s="40"/>
      <c r="P389" s="34"/>
      <c r="Q389" s="35"/>
      <c r="R389" s="35"/>
      <c r="S389" s="35"/>
      <c r="T389" s="35"/>
      <c r="U389" s="35"/>
      <c r="V389" s="35"/>
      <c r="W389" s="35"/>
      <c r="X389" s="35"/>
      <c r="Y389" s="35"/>
      <c r="Z389" s="35"/>
      <c r="AA389" s="35"/>
    </row>
    <row r="390" ht="14.25" customHeight="1">
      <c r="A390" s="83"/>
      <c r="B390" s="84"/>
      <c r="C390" s="108"/>
      <c r="D390" s="85"/>
      <c r="E390" s="117"/>
      <c r="F390" s="250"/>
      <c r="G390" s="250"/>
      <c r="H390" s="88"/>
      <c r="I390" s="36"/>
      <c r="J390" s="37"/>
      <c r="K390" s="38"/>
      <c r="L390" s="39"/>
      <c r="M390" s="38"/>
      <c r="N390" s="39"/>
      <c r="O390" s="40"/>
      <c r="P390" s="34"/>
      <c r="Q390" s="35"/>
      <c r="R390" s="35"/>
      <c r="S390" s="35"/>
      <c r="T390" s="35"/>
      <c r="U390" s="35"/>
      <c r="V390" s="35"/>
      <c r="W390" s="35"/>
      <c r="X390" s="35"/>
      <c r="Y390" s="35"/>
      <c r="Z390" s="35"/>
      <c r="AA390" s="35"/>
    </row>
    <row r="391" ht="14.25" customHeight="1">
      <c r="A391" s="83"/>
      <c r="B391" s="84"/>
      <c r="C391" s="108"/>
      <c r="D391" s="85"/>
      <c r="E391" s="117"/>
      <c r="F391" s="250"/>
      <c r="G391" s="250"/>
      <c r="H391" s="88"/>
      <c r="I391" s="36"/>
      <c r="J391" s="37"/>
      <c r="K391" s="38"/>
      <c r="L391" s="39"/>
      <c r="M391" s="38"/>
      <c r="N391" s="39"/>
      <c r="O391" s="40"/>
      <c r="P391" s="34"/>
      <c r="Q391" s="35"/>
      <c r="R391" s="35"/>
      <c r="S391" s="35"/>
      <c r="T391" s="35"/>
      <c r="U391" s="35"/>
      <c r="V391" s="35"/>
      <c r="W391" s="35"/>
      <c r="X391" s="35"/>
      <c r="Y391" s="35"/>
      <c r="Z391" s="35"/>
      <c r="AA391" s="35"/>
    </row>
    <row r="392" ht="14.25" customHeight="1">
      <c r="A392" s="83"/>
      <c r="B392" s="84"/>
      <c r="C392" s="108"/>
      <c r="D392" s="85"/>
      <c r="E392" s="117"/>
      <c r="F392" s="250"/>
      <c r="G392" s="250"/>
      <c r="H392" s="88"/>
      <c r="I392" s="36"/>
      <c r="J392" s="37"/>
      <c r="K392" s="38"/>
      <c r="L392" s="39"/>
      <c r="M392" s="38"/>
      <c r="N392" s="39"/>
      <c r="O392" s="40"/>
      <c r="P392" s="34"/>
      <c r="Q392" s="35"/>
      <c r="R392" s="35"/>
      <c r="S392" s="35"/>
      <c r="T392" s="35"/>
      <c r="U392" s="35"/>
      <c r="V392" s="35"/>
      <c r="W392" s="35"/>
      <c r="X392" s="35"/>
      <c r="Y392" s="35"/>
      <c r="Z392" s="35"/>
      <c r="AA392" s="35"/>
    </row>
    <row r="393" ht="14.25" customHeight="1">
      <c r="A393" s="83"/>
      <c r="B393" s="84"/>
      <c r="C393" s="108"/>
      <c r="D393" s="85"/>
      <c r="E393" s="117"/>
      <c r="F393" s="250"/>
      <c r="G393" s="250"/>
      <c r="H393" s="88"/>
      <c r="I393" s="36"/>
      <c r="J393" s="37"/>
      <c r="K393" s="38"/>
      <c r="L393" s="39"/>
      <c r="M393" s="38"/>
      <c r="N393" s="39"/>
      <c r="O393" s="40"/>
      <c r="P393" s="34"/>
      <c r="Q393" s="35"/>
      <c r="R393" s="35"/>
      <c r="S393" s="35"/>
      <c r="T393" s="35"/>
      <c r="U393" s="35"/>
      <c r="V393" s="35"/>
      <c r="W393" s="35"/>
      <c r="X393" s="35"/>
      <c r="Y393" s="35"/>
      <c r="Z393" s="35"/>
      <c r="AA393" s="35"/>
    </row>
    <row r="394" ht="14.25" customHeight="1">
      <c r="A394" s="83"/>
      <c r="B394" s="84"/>
      <c r="C394" s="108"/>
      <c r="D394" s="85"/>
      <c r="E394" s="117"/>
      <c r="F394" s="250"/>
      <c r="G394" s="250"/>
      <c r="H394" s="88"/>
      <c r="I394" s="36"/>
      <c r="J394" s="37"/>
      <c r="K394" s="38"/>
      <c r="L394" s="39"/>
      <c r="M394" s="38"/>
      <c r="N394" s="39"/>
      <c r="O394" s="40"/>
      <c r="P394" s="34"/>
      <c r="Q394" s="35"/>
      <c r="R394" s="35"/>
      <c r="S394" s="35"/>
      <c r="T394" s="35"/>
      <c r="U394" s="35"/>
      <c r="V394" s="35"/>
      <c r="W394" s="35"/>
      <c r="X394" s="35"/>
      <c r="Y394" s="35"/>
      <c r="Z394" s="35"/>
      <c r="AA394" s="35"/>
    </row>
    <row r="395" ht="14.25" customHeight="1">
      <c r="A395" s="83"/>
      <c r="B395" s="84"/>
      <c r="C395" s="108"/>
      <c r="D395" s="85"/>
      <c r="E395" s="117"/>
      <c r="F395" s="250"/>
      <c r="G395" s="250"/>
      <c r="H395" s="88"/>
      <c r="I395" s="36"/>
      <c r="J395" s="37"/>
      <c r="K395" s="38"/>
      <c r="L395" s="39"/>
      <c r="M395" s="38"/>
      <c r="N395" s="39"/>
      <c r="O395" s="40"/>
      <c r="P395" s="34"/>
      <c r="Q395" s="35"/>
      <c r="R395" s="35"/>
      <c r="S395" s="35"/>
      <c r="T395" s="35"/>
      <c r="U395" s="35"/>
      <c r="V395" s="35"/>
      <c r="W395" s="35"/>
      <c r="X395" s="35"/>
      <c r="Y395" s="35"/>
      <c r="Z395" s="35"/>
      <c r="AA395" s="35"/>
    </row>
    <row r="396" ht="14.25" customHeight="1">
      <c r="A396" s="83"/>
      <c r="B396" s="84"/>
      <c r="C396" s="108"/>
      <c r="D396" s="85"/>
      <c r="E396" s="117"/>
      <c r="F396" s="250"/>
      <c r="G396" s="250"/>
      <c r="H396" s="88"/>
      <c r="I396" s="36"/>
      <c r="J396" s="37"/>
      <c r="K396" s="38"/>
      <c r="L396" s="39"/>
      <c r="M396" s="38"/>
      <c r="N396" s="39"/>
      <c r="O396" s="40"/>
      <c r="P396" s="34"/>
      <c r="Q396" s="35"/>
      <c r="R396" s="35"/>
      <c r="S396" s="35"/>
      <c r="T396" s="35"/>
      <c r="U396" s="35"/>
      <c r="V396" s="35"/>
      <c r="W396" s="35"/>
      <c r="X396" s="35"/>
      <c r="Y396" s="35"/>
      <c r="Z396" s="35"/>
      <c r="AA396" s="35"/>
    </row>
    <row r="397" ht="14.25" customHeight="1">
      <c r="A397" s="83"/>
      <c r="B397" s="84"/>
      <c r="C397" s="108"/>
      <c r="D397" s="85"/>
      <c r="E397" s="117"/>
      <c r="F397" s="250"/>
      <c r="G397" s="250"/>
      <c r="H397" s="88"/>
      <c r="I397" s="36"/>
      <c r="J397" s="37"/>
      <c r="K397" s="38"/>
      <c r="L397" s="39"/>
      <c r="M397" s="38"/>
      <c r="N397" s="39"/>
      <c r="O397" s="40"/>
      <c r="P397" s="34"/>
      <c r="Q397" s="35"/>
      <c r="R397" s="35"/>
      <c r="S397" s="35"/>
      <c r="T397" s="35"/>
      <c r="U397" s="35"/>
      <c r="V397" s="35"/>
      <c r="W397" s="35"/>
      <c r="X397" s="35"/>
      <c r="Y397" s="35"/>
      <c r="Z397" s="35"/>
      <c r="AA397" s="35"/>
    </row>
    <row r="398" ht="14.25" customHeight="1">
      <c r="A398" s="83"/>
      <c r="B398" s="84"/>
      <c r="C398" s="108"/>
      <c r="D398" s="85"/>
      <c r="E398" s="117"/>
      <c r="F398" s="250"/>
      <c r="G398" s="250"/>
      <c r="H398" s="88"/>
      <c r="I398" s="36"/>
      <c r="J398" s="37"/>
      <c r="K398" s="38"/>
      <c r="L398" s="39"/>
      <c r="M398" s="38"/>
      <c r="N398" s="39"/>
      <c r="O398" s="40"/>
      <c r="P398" s="34"/>
      <c r="Q398" s="35"/>
      <c r="R398" s="35"/>
      <c r="S398" s="35"/>
      <c r="T398" s="35"/>
      <c r="U398" s="35"/>
      <c r="V398" s="35"/>
      <c r="W398" s="35"/>
      <c r="X398" s="35"/>
      <c r="Y398" s="35"/>
      <c r="Z398" s="35"/>
      <c r="AA398" s="35"/>
    </row>
    <row r="399" ht="14.25" customHeight="1">
      <c r="A399" s="83"/>
      <c r="B399" s="84"/>
      <c r="C399" s="108"/>
      <c r="D399" s="85"/>
      <c r="E399" s="117"/>
      <c r="F399" s="250"/>
      <c r="G399" s="250"/>
      <c r="H399" s="88"/>
      <c r="I399" s="36"/>
      <c r="J399" s="37"/>
      <c r="K399" s="38"/>
      <c r="L399" s="39"/>
      <c r="M399" s="38"/>
      <c r="N399" s="39"/>
      <c r="O399" s="40"/>
      <c r="P399" s="34"/>
      <c r="Q399" s="35"/>
      <c r="R399" s="35"/>
      <c r="S399" s="35"/>
      <c r="T399" s="35"/>
      <c r="U399" s="35"/>
      <c r="V399" s="35"/>
      <c r="W399" s="35"/>
      <c r="X399" s="35"/>
      <c r="Y399" s="35"/>
      <c r="Z399" s="35"/>
      <c r="AA399" s="35"/>
    </row>
    <row r="400" ht="14.25" customHeight="1">
      <c r="A400" s="83"/>
      <c r="B400" s="84"/>
      <c r="C400" s="108"/>
      <c r="D400" s="85"/>
      <c r="E400" s="117"/>
      <c r="F400" s="250"/>
      <c r="G400" s="250"/>
      <c r="H400" s="88"/>
      <c r="I400" s="36"/>
      <c r="J400" s="37"/>
      <c r="K400" s="38"/>
      <c r="L400" s="39"/>
      <c r="M400" s="38"/>
      <c r="N400" s="39"/>
      <c r="O400" s="40"/>
      <c r="P400" s="34"/>
      <c r="Q400" s="35"/>
      <c r="R400" s="35"/>
      <c r="S400" s="35"/>
      <c r="T400" s="35"/>
      <c r="U400" s="35"/>
      <c r="V400" s="35"/>
      <c r="W400" s="35"/>
      <c r="X400" s="35"/>
      <c r="Y400" s="35"/>
      <c r="Z400" s="35"/>
      <c r="AA400" s="35"/>
    </row>
    <row r="401" ht="14.25" customHeight="1">
      <c r="A401" s="83"/>
      <c r="B401" s="84"/>
      <c r="C401" s="108"/>
      <c r="D401" s="85"/>
      <c r="E401" s="117"/>
      <c r="F401" s="250"/>
      <c r="G401" s="250"/>
      <c r="H401" s="88"/>
      <c r="I401" s="36"/>
      <c r="J401" s="37"/>
      <c r="K401" s="38"/>
      <c r="L401" s="39"/>
      <c r="M401" s="38"/>
      <c r="N401" s="39"/>
      <c r="O401" s="40"/>
      <c r="P401" s="34"/>
      <c r="Q401" s="35"/>
      <c r="R401" s="35"/>
      <c r="S401" s="35"/>
      <c r="T401" s="35"/>
      <c r="U401" s="35"/>
      <c r="V401" s="35"/>
      <c r="W401" s="35"/>
      <c r="X401" s="35"/>
      <c r="Y401" s="35"/>
      <c r="Z401" s="35"/>
      <c r="AA401" s="35"/>
    </row>
    <row r="402" ht="14.25" customHeight="1">
      <c r="A402" s="83"/>
      <c r="B402" s="84"/>
      <c r="C402" s="108"/>
      <c r="D402" s="85"/>
      <c r="E402" s="117"/>
      <c r="F402" s="250"/>
      <c r="G402" s="250"/>
      <c r="H402" s="88"/>
      <c r="I402" s="36"/>
      <c r="J402" s="37"/>
      <c r="K402" s="38"/>
      <c r="L402" s="39"/>
      <c r="M402" s="38"/>
      <c r="N402" s="39"/>
      <c r="O402" s="40"/>
      <c r="P402" s="34"/>
      <c r="Q402" s="35"/>
      <c r="R402" s="35"/>
      <c r="S402" s="35"/>
      <c r="T402" s="35"/>
      <c r="U402" s="35"/>
      <c r="V402" s="35"/>
      <c r="W402" s="35"/>
      <c r="X402" s="35"/>
      <c r="Y402" s="35"/>
      <c r="Z402" s="35"/>
      <c r="AA402" s="35"/>
    </row>
    <row r="403" ht="14.25" customHeight="1">
      <c r="A403" s="83"/>
      <c r="B403" s="84"/>
      <c r="C403" s="108"/>
      <c r="D403" s="85"/>
      <c r="E403" s="117"/>
      <c r="F403" s="250"/>
      <c r="G403" s="250"/>
      <c r="H403" s="88"/>
      <c r="I403" s="36"/>
      <c r="J403" s="37"/>
      <c r="K403" s="38"/>
      <c r="L403" s="39"/>
      <c r="M403" s="38"/>
      <c r="N403" s="39"/>
      <c r="O403" s="40"/>
      <c r="P403" s="34"/>
      <c r="Q403" s="35"/>
      <c r="R403" s="35"/>
      <c r="S403" s="35"/>
      <c r="T403" s="35"/>
      <c r="U403" s="35"/>
      <c r="V403" s="35"/>
      <c r="W403" s="35"/>
      <c r="X403" s="35"/>
      <c r="Y403" s="35"/>
      <c r="Z403" s="35"/>
      <c r="AA403" s="35"/>
    </row>
    <row r="404" ht="14.25" customHeight="1">
      <c r="A404" s="83"/>
      <c r="B404" s="84"/>
      <c r="C404" s="108"/>
      <c r="D404" s="85"/>
      <c r="E404" s="117"/>
      <c r="F404" s="250"/>
      <c r="G404" s="250"/>
      <c r="H404" s="88"/>
      <c r="I404" s="36"/>
      <c r="J404" s="37"/>
      <c r="K404" s="38"/>
      <c r="L404" s="39"/>
      <c r="M404" s="38"/>
      <c r="N404" s="39"/>
      <c r="O404" s="40"/>
      <c r="P404" s="34"/>
      <c r="Q404" s="35"/>
      <c r="R404" s="35"/>
      <c r="S404" s="35"/>
      <c r="T404" s="35"/>
      <c r="U404" s="35"/>
      <c r="V404" s="35"/>
      <c r="W404" s="35"/>
      <c r="X404" s="35"/>
      <c r="Y404" s="35"/>
      <c r="Z404" s="35"/>
      <c r="AA404" s="35"/>
    </row>
    <row r="405" ht="14.25" customHeight="1">
      <c r="A405" s="83"/>
      <c r="B405" s="84"/>
      <c r="C405" s="108"/>
      <c r="D405" s="85"/>
      <c r="E405" s="117"/>
      <c r="F405" s="250"/>
      <c r="G405" s="250"/>
      <c r="H405" s="88"/>
      <c r="I405" s="36"/>
      <c r="J405" s="37"/>
      <c r="K405" s="38"/>
      <c r="L405" s="39"/>
      <c r="M405" s="38"/>
      <c r="N405" s="39"/>
      <c r="O405" s="40"/>
      <c r="P405" s="34"/>
      <c r="Q405" s="35"/>
      <c r="R405" s="35"/>
      <c r="S405" s="35"/>
      <c r="T405" s="35"/>
      <c r="U405" s="35"/>
      <c r="V405" s="35"/>
      <c r="W405" s="35"/>
      <c r="X405" s="35"/>
      <c r="Y405" s="35"/>
      <c r="Z405" s="35"/>
      <c r="AA405" s="35"/>
    </row>
    <row r="406" ht="14.25" customHeight="1">
      <c r="A406" s="83"/>
      <c r="B406" s="84"/>
      <c r="C406" s="108"/>
      <c r="D406" s="85"/>
      <c r="E406" s="117"/>
      <c r="F406" s="250"/>
      <c r="G406" s="250"/>
      <c r="H406" s="88"/>
      <c r="I406" s="36"/>
      <c r="J406" s="37"/>
      <c r="K406" s="38"/>
      <c r="L406" s="39"/>
      <c r="M406" s="38"/>
      <c r="N406" s="39"/>
      <c r="O406" s="40"/>
      <c r="P406" s="34"/>
      <c r="Q406" s="35"/>
      <c r="R406" s="35"/>
      <c r="S406" s="35"/>
      <c r="T406" s="35"/>
      <c r="U406" s="35"/>
      <c r="V406" s="35"/>
      <c r="W406" s="35"/>
      <c r="X406" s="35"/>
      <c r="Y406" s="35"/>
      <c r="Z406" s="35"/>
      <c r="AA406" s="35"/>
    </row>
    <row r="407" ht="14.25" customHeight="1">
      <c r="A407" s="83"/>
      <c r="B407" s="84"/>
      <c r="C407" s="108"/>
      <c r="D407" s="85"/>
      <c r="E407" s="117"/>
      <c r="F407" s="250"/>
      <c r="G407" s="250"/>
      <c r="H407" s="88"/>
      <c r="I407" s="36"/>
      <c r="J407" s="37"/>
      <c r="K407" s="38"/>
      <c r="L407" s="39"/>
      <c r="M407" s="38"/>
      <c r="N407" s="39"/>
      <c r="O407" s="40"/>
      <c r="P407" s="34"/>
      <c r="Q407" s="35"/>
      <c r="R407" s="35"/>
      <c r="S407" s="35"/>
      <c r="T407" s="35"/>
      <c r="U407" s="35"/>
      <c r="V407" s="35"/>
      <c r="W407" s="35"/>
      <c r="X407" s="35"/>
      <c r="Y407" s="35"/>
      <c r="Z407" s="35"/>
      <c r="AA407" s="35"/>
    </row>
    <row r="408" ht="14.25" customHeight="1">
      <c r="A408" s="83"/>
      <c r="B408" s="84"/>
      <c r="C408" s="108"/>
      <c r="D408" s="85"/>
      <c r="E408" s="117"/>
      <c r="F408" s="250"/>
      <c r="G408" s="250"/>
      <c r="H408" s="88"/>
      <c r="I408" s="36"/>
      <c r="J408" s="37"/>
      <c r="K408" s="38"/>
      <c r="L408" s="39"/>
      <c r="M408" s="38"/>
      <c r="N408" s="39"/>
      <c r="O408" s="40"/>
      <c r="P408" s="34"/>
      <c r="Q408" s="35"/>
      <c r="R408" s="35"/>
      <c r="S408" s="35"/>
      <c r="T408" s="35"/>
      <c r="U408" s="35"/>
      <c r="V408" s="35"/>
      <c r="W408" s="35"/>
      <c r="X408" s="35"/>
      <c r="Y408" s="35"/>
      <c r="Z408" s="35"/>
      <c r="AA408" s="35"/>
    </row>
    <row r="409" ht="14.25" customHeight="1">
      <c r="A409" s="83"/>
      <c r="B409" s="84"/>
      <c r="C409" s="108"/>
      <c r="D409" s="85"/>
      <c r="E409" s="117"/>
      <c r="F409" s="250"/>
      <c r="G409" s="250"/>
      <c r="H409" s="88"/>
      <c r="I409" s="36"/>
      <c r="J409" s="37"/>
      <c r="K409" s="38"/>
      <c r="L409" s="39"/>
      <c r="M409" s="38"/>
      <c r="N409" s="39"/>
      <c r="O409" s="40"/>
      <c r="P409" s="34"/>
      <c r="Q409" s="35"/>
      <c r="R409" s="35"/>
      <c r="S409" s="35"/>
      <c r="T409" s="35"/>
      <c r="U409" s="35"/>
      <c r="V409" s="35"/>
      <c r="W409" s="35"/>
      <c r="X409" s="35"/>
      <c r="Y409" s="35"/>
      <c r="Z409" s="35"/>
      <c r="AA409" s="35"/>
    </row>
    <row r="410" ht="14.25" customHeight="1">
      <c r="A410" s="83"/>
      <c r="B410" s="84"/>
      <c r="C410" s="108"/>
      <c r="D410" s="85"/>
      <c r="E410" s="117"/>
      <c r="F410" s="250"/>
      <c r="G410" s="250"/>
      <c r="H410" s="88"/>
      <c r="I410" s="36"/>
      <c r="J410" s="37"/>
      <c r="K410" s="38"/>
      <c r="L410" s="39"/>
      <c r="M410" s="38"/>
      <c r="N410" s="39"/>
      <c r="O410" s="40"/>
      <c r="P410" s="34"/>
      <c r="Q410" s="35"/>
      <c r="R410" s="35"/>
      <c r="S410" s="35"/>
      <c r="T410" s="35"/>
      <c r="U410" s="35"/>
      <c r="V410" s="35"/>
      <c r="W410" s="35"/>
      <c r="X410" s="35"/>
      <c r="Y410" s="35"/>
      <c r="Z410" s="35"/>
      <c r="AA410" s="35"/>
    </row>
    <row r="411" ht="14.25" customHeight="1">
      <c r="A411" s="83"/>
      <c r="B411" s="84"/>
      <c r="C411" s="108"/>
      <c r="D411" s="85"/>
      <c r="E411" s="117"/>
      <c r="F411" s="250"/>
      <c r="G411" s="250"/>
      <c r="H411" s="88"/>
      <c r="I411" s="36"/>
      <c r="J411" s="37"/>
      <c r="K411" s="38"/>
      <c r="L411" s="39"/>
      <c r="M411" s="38"/>
      <c r="N411" s="39"/>
      <c r="O411" s="40"/>
      <c r="P411" s="34"/>
      <c r="Q411" s="35"/>
      <c r="R411" s="35"/>
      <c r="S411" s="35"/>
      <c r="T411" s="35"/>
      <c r="U411" s="35"/>
      <c r="V411" s="35"/>
      <c r="W411" s="35"/>
      <c r="X411" s="35"/>
      <c r="Y411" s="35"/>
      <c r="Z411" s="35"/>
      <c r="AA411" s="35"/>
    </row>
    <row r="412" ht="14.25" customHeight="1">
      <c r="A412" s="83"/>
      <c r="B412" s="84"/>
      <c r="C412" s="108"/>
      <c r="D412" s="85"/>
      <c r="E412" s="117"/>
      <c r="F412" s="250"/>
      <c r="G412" s="250"/>
      <c r="H412" s="88"/>
      <c r="I412" s="36"/>
      <c r="J412" s="37"/>
      <c r="K412" s="38"/>
      <c r="L412" s="39"/>
      <c r="M412" s="38"/>
      <c r="N412" s="39"/>
      <c r="O412" s="40"/>
      <c r="P412" s="34"/>
      <c r="Q412" s="35"/>
      <c r="R412" s="35"/>
      <c r="S412" s="35"/>
      <c r="T412" s="35"/>
      <c r="U412" s="35"/>
      <c r="V412" s="35"/>
      <c r="W412" s="35"/>
      <c r="X412" s="35"/>
      <c r="Y412" s="35"/>
      <c r="Z412" s="35"/>
      <c r="AA412" s="35"/>
    </row>
    <row r="413" ht="14.25" customHeight="1">
      <c r="A413" s="83"/>
      <c r="B413" s="84"/>
      <c r="C413" s="108"/>
      <c r="D413" s="85"/>
      <c r="E413" s="117"/>
      <c r="F413" s="250"/>
      <c r="G413" s="250"/>
      <c r="H413" s="88"/>
      <c r="I413" s="36"/>
      <c r="J413" s="37"/>
      <c r="K413" s="38"/>
      <c r="L413" s="39"/>
      <c r="M413" s="38"/>
      <c r="N413" s="39"/>
      <c r="O413" s="40"/>
      <c r="P413" s="34"/>
      <c r="Q413" s="35"/>
      <c r="R413" s="35"/>
      <c r="S413" s="35"/>
      <c r="T413" s="35"/>
      <c r="U413" s="35"/>
      <c r="V413" s="35"/>
      <c r="W413" s="35"/>
      <c r="X413" s="35"/>
      <c r="Y413" s="35"/>
      <c r="Z413" s="35"/>
      <c r="AA413" s="35"/>
    </row>
    <row r="414" ht="14.25" customHeight="1">
      <c r="A414" s="83"/>
      <c r="B414" s="84"/>
      <c r="C414" s="108"/>
      <c r="D414" s="85"/>
      <c r="E414" s="117"/>
      <c r="F414" s="250"/>
      <c r="G414" s="250"/>
      <c r="H414" s="88"/>
      <c r="I414" s="36"/>
      <c r="J414" s="37"/>
      <c r="K414" s="38"/>
      <c r="L414" s="39"/>
      <c r="M414" s="38"/>
      <c r="N414" s="39"/>
      <c r="O414" s="40"/>
      <c r="P414" s="34"/>
      <c r="Q414" s="35"/>
      <c r="R414" s="35"/>
      <c r="S414" s="35"/>
      <c r="T414" s="35"/>
      <c r="U414" s="35"/>
      <c r="V414" s="35"/>
      <c r="W414" s="35"/>
      <c r="X414" s="35"/>
      <c r="Y414" s="35"/>
      <c r="Z414" s="35"/>
      <c r="AA414" s="35"/>
    </row>
    <row r="415" ht="14.25" customHeight="1">
      <c r="A415" s="83"/>
      <c r="B415" s="84"/>
      <c r="C415" s="108"/>
      <c r="D415" s="85"/>
      <c r="E415" s="117"/>
      <c r="F415" s="250"/>
      <c r="G415" s="250"/>
      <c r="H415" s="88"/>
      <c r="I415" s="36"/>
      <c r="J415" s="37"/>
      <c r="K415" s="38"/>
      <c r="L415" s="39"/>
      <c r="M415" s="38"/>
      <c r="N415" s="39"/>
      <c r="O415" s="40"/>
      <c r="P415" s="34"/>
      <c r="Q415" s="35"/>
      <c r="R415" s="35"/>
      <c r="S415" s="35"/>
      <c r="T415" s="35"/>
      <c r="U415" s="35"/>
      <c r="V415" s="35"/>
      <c r="W415" s="35"/>
      <c r="X415" s="35"/>
      <c r="Y415" s="35"/>
      <c r="Z415" s="35"/>
      <c r="AA415" s="35"/>
    </row>
    <row r="416" ht="14.25" customHeight="1">
      <c r="A416" s="83"/>
      <c r="B416" s="84"/>
      <c r="C416" s="108"/>
      <c r="D416" s="85"/>
      <c r="E416" s="117"/>
      <c r="F416" s="250"/>
      <c r="G416" s="250"/>
      <c r="H416" s="88"/>
      <c r="I416" s="36"/>
      <c r="J416" s="37"/>
      <c r="K416" s="38"/>
      <c r="L416" s="39"/>
      <c r="M416" s="38"/>
      <c r="N416" s="39"/>
      <c r="O416" s="40"/>
      <c r="P416" s="34"/>
      <c r="Q416" s="35"/>
      <c r="R416" s="35"/>
      <c r="S416" s="35"/>
      <c r="T416" s="35"/>
      <c r="U416" s="35"/>
      <c r="V416" s="35"/>
      <c r="W416" s="35"/>
      <c r="X416" s="35"/>
      <c r="Y416" s="35"/>
      <c r="Z416" s="35"/>
      <c r="AA416" s="35"/>
    </row>
    <row r="417" ht="14.25" customHeight="1">
      <c r="A417" s="83"/>
      <c r="B417" s="84"/>
      <c r="C417" s="108"/>
      <c r="D417" s="85"/>
      <c r="E417" s="117"/>
      <c r="F417" s="250"/>
      <c r="G417" s="250"/>
      <c r="H417" s="88"/>
      <c r="I417" s="36"/>
      <c r="J417" s="37"/>
      <c r="K417" s="38"/>
      <c r="L417" s="39"/>
      <c r="M417" s="38"/>
      <c r="N417" s="39"/>
      <c r="O417" s="40"/>
      <c r="P417" s="34"/>
      <c r="Q417" s="35"/>
      <c r="R417" s="35"/>
      <c r="S417" s="35"/>
      <c r="T417" s="35"/>
      <c r="U417" s="35"/>
      <c r="V417" s="35"/>
      <c r="W417" s="35"/>
      <c r="X417" s="35"/>
      <c r="Y417" s="35"/>
      <c r="Z417" s="35"/>
      <c r="AA417" s="35"/>
    </row>
    <row r="418" ht="14.25" customHeight="1">
      <c r="A418" s="83"/>
      <c r="B418" s="84"/>
      <c r="C418" s="108"/>
      <c r="D418" s="85"/>
      <c r="E418" s="117"/>
      <c r="F418" s="250"/>
      <c r="G418" s="250"/>
      <c r="H418" s="88"/>
      <c r="I418" s="36"/>
      <c r="J418" s="37"/>
      <c r="K418" s="38"/>
      <c r="L418" s="39"/>
      <c r="M418" s="38"/>
      <c r="N418" s="39"/>
      <c r="O418" s="40"/>
      <c r="P418" s="34"/>
      <c r="Q418" s="35"/>
      <c r="R418" s="35"/>
      <c r="S418" s="35"/>
      <c r="T418" s="35"/>
      <c r="U418" s="35"/>
      <c r="V418" s="35"/>
      <c r="W418" s="35"/>
      <c r="X418" s="35"/>
      <c r="Y418" s="35"/>
      <c r="Z418" s="35"/>
      <c r="AA418" s="35"/>
    </row>
    <row r="419" ht="14.25" customHeight="1">
      <c r="A419" s="83"/>
      <c r="B419" s="84"/>
      <c r="C419" s="108"/>
      <c r="D419" s="85"/>
      <c r="E419" s="117"/>
      <c r="F419" s="250"/>
      <c r="G419" s="250"/>
      <c r="H419" s="88"/>
      <c r="I419" s="36"/>
      <c r="J419" s="37"/>
      <c r="K419" s="38"/>
      <c r="L419" s="39"/>
      <c r="M419" s="38"/>
      <c r="N419" s="39"/>
      <c r="O419" s="40"/>
      <c r="P419" s="34"/>
      <c r="Q419" s="35"/>
      <c r="R419" s="35"/>
      <c r="S419" s="35"/>
      <c r="T419" s="35"/>
      <c r="U419" s="35"/>
      <c r="V419" s="35"/>
      <c r="W419" s="35"/>
      <c r="X419" s="35"/>
      <c r="Y419" s="35"/>
      <c r="Z419" s="35"/>
      <c r="AA419" s="35"/>
    </row>
    <row r="420" ht="14.25" customHeight="1">
      <c r="A420" s="83"/>
      <c r="B420" s="84"/>
      <c r="C420" s="108"/>
      <c r="D420" s="85"/>
      <c r="E420" s="117"/>
      <c r="F420" s="250"/>
      <c r="G420" s="250"/>
      <c r="H420" s="88"/>
      <c r="I420" s="36"/>
      <c r="J420" s="37"/>
      <c r="K420" s="38"/>
      <c r="L420" s="39"/>
      <c r="M420" s="38"/>
      <c r="N420" s="39"/>
      <c r="O420" s="40"/>
      <c r="P420" s="34"/>
      <c r="Q420" s="35"/>
      <c r="R420" s="35"/>
      <c r="S420" s="35"/>
      <c r="T420" s="35"/>
      <c r="U420" s="35"/>
      <c r="V420" s="35"/>
      <c r="W420" s="35"/>
      <c r="X420" s="35"/>
      <c r="Y420" s="35"/>
      <c r="Z420" s="35"/>
      <c r="AA420" s="35"/>
    </row>
    <row r="421" ht="14.25" customHeight="1">
      <c r="A421" s="83"/>
      <c r="B421" s="84"/>
      <c r="C421" s="108"/>
      <c r="D421" s="85"/>
      <c r="E421" s="117"/>
      <c r="F421" s="250"/>
      <c r="G421" s="250"/>
      <c r="H421" s="88"/>
      <c r="I421" s="36"/>
      <c r="J421" s="37"/>
      <c r="K421" s="38"/>
      <c r="L421" s="39"/>
      <c r="M421" s="38"/>
      <c r="N421" s="39"/>
      <c r="O421" s="40"/>
      <c r="P421" s="34"/>
      <c r="Q421" s="35"/>
      <c r="R421" s="35"/>
      <c r="S421" s="35"/>
      <c r="T421" s="35"/>
      <c r="U421" s="35"/>
      <c r="V421" s="35"/>
      <c r="W421" s="35"/>
      <c r="X421" s="35"/>
      <c r="Y421" s="35"/>
      <c r="Z421" s="35"/>
      <c r="AA421" s="35"/>
    </row>
    <row r="422" ht="14.25" customHeight="1">
      <c r="A422" s="83"/>
      <c r="B422" s="84"/>
      <c r="C422" s="108"/>
      <c r="D422" s="85"/>
      <c r="E422" s="117"/>
      <c r="F422" s="250"/>
      <c r="G422" s="250"/>
      <c r="H422" s="88"/>
      <c r="I422" s="36"/>
      <c r="J422" s="37"/>
      <c r="K422" s="38"/>
      <c r="L422" s="39"/>
      <c r="M422" s="38"/>
      <c r="N422" s="39"/>
      <c r="O422" s="40"/>
      <c r="P422" s="34"/>
      <c r="Q422" s="35"/>
      <c r="R422" s="35"/>
      <c r="S422" s="35"/>
      <c r="T422" s="35"/>
      <c r="U422" s="35"/>
      <c r="V422" s="35"/>
      <c r="W422" s="35"/>
      <c r="X422" s="35"/>
      <c r="Y422" s="35"/>
      <c r="Z422" s="35"/>
      <c r="AA422" s="35"/>
    </row>
    <row r="423" ht="14.25" customHeight="1">
      <c r="A423" s="83"/>
      <c r="B423" s="84"/>
      <c r="C423" s="108"/>
      <c r="D423" s="85"/>
      <c r="E423" s="117"/>
      <c r="F423" s="250"/>
      <c r="G423" s="250"/>
      <c r="H423" s="88"/>
      <c r="I423" s="36"/>
      <c r="J423" s="37"/>
      <c r="K423" s="38"/>
      <c r="L423" s="39"/>
      <c r="M423" s="38"/>
      <c r="N423" s="39"/>
      <c r="O423" s="40"/>
      <c r="P423" s="34"/>
      <c r="Q423" s="35"/>
      <c r="R423" s="35"/>
      <c r="S423" s="35"/>
      <c r="T423" s="35"/>
      <c r="U423" s="35"/>
      <c r="V423" s="35"/>
      <c r="W423" s="35"/>
      <c r="X423" s="35"/>
      <c r="Y423" s="35"/>
      <c r="Z423" s="35"/>
      <c r="AA423" s="35"/>
    </row>
    <row r="424" ht="14.25" customHeight="1">
      <c r="A424" s="83"/>
      <c r="B424" s="84"/>
      <c r="C424" s="108"/>
      <c r="D424" s="85"/>
      <c r="E424" s="117"/>
      <c r="F424" s="250"/>
      <c r="G424" s="250"/>
      <c r="H424" s="88"/>
      <c r="I424" s="36"/>
      <c r="J424" s="37"/>
      <c r="K424" s="38"/>
      <c r="L424" s="39"/>
      <c r="M424" s="38"/>
      <c r="N424" s="39"/>
      <c r="O424" s="40"/>
      <c r="P424" s="34"/>
      <c r="Q424" s="35"/>
      <c r="R424" s="35"/>
      <c r="S424" s="35"/>
      <c r="T424" s="35"/>
      <c r="U424" s="35"/>
      <c r="V424" s="35"/>
      <c r="W424" s="35"/>
      <c r="X424" s="35"/>
      <c r="Y424" s="35"/>
      <c r="Z424" s="35"/>
      <c r="AA424" s="35"/>
    </row>
    <row r="425" ht="14.25" customHeight="1">
      <c r="A425" s="83"/>
      <c r="B425" s="84"/>
      <c r="C425" s="108"/>
      <c r="D425" s="85"/>
      <c r="E425" s="117"/>
      <c r="F425" s="250"/>
      <c r="G425" s="250"/>
      <c r="H425" s="88"/>
      <c r="I425" s="36"/>
      <c r="J425" s="37"/>
      <c r="K425" s="38"/>
      <c r="L425" s="39"/>
      <c r="M425" s="38"/>
      <c r="N425" s="39"/>
      <c r="O425" s="40"/>
      <c r="P425" s="34"/>
      <c r="Q425" s="35"/>
      <c r="R425" s="35"/>
      <c r="S425" s="35"/>
      <c r="T425" s="35"/>
      <c r="U425" s="35"/>
      <c r="V425" s="35"/>
      <c r="W425" s="35"/>
      <c r="X425" s="35"/>
      <c r="Y425" s="35"/>
      <c r="Z425" s="35"/>
      <c r="AA425" s="35"/>
    </row>
    <row r="426" ht="14.25" customHeight="1">
      <c r="A426" s="83"/>
      <c r="B426" s="84"/>
      <c r="C426" s="108"/>
      <c r="D426" s="85"/>
      <c r="E426" s="117"/>
      <c r="F426" s="250"/>
      <c r="G426" s="250"/>
      <c r="H426" s="88"/>
      <c r="I426" s="36"/>
      <c r="J426" s="37"/>
      <c r="K426" s="38"/>
      <c r="L426" s="39"/>
      <c r="M426" s="38"/>
      <c r="N426" s="39"/>
      <c r="O426" s="40"/>
      <c r="P426" s="34"/>
      <c r="Q426" s="35"/>
      <c r="R426" s="35"/>
      <c r="S426" s="35"/>
      <c r="T426" s="35"/>
      <c r="U426" s="35"/>
      <c r="V426" s="35"/>
      <c r="W426" s="35"/>
      <c r="X426" s="35"/>
      <c r="Y426" s="35"/>
      <c r="Z426" s="35"/>
      <c r="AA426" s="35"/>
    </row>
    <row r="427" ht="14.25" customHeight="1">
      <c r="A427" s="83"/>
      <c r="B427" s="84"/>
      <c r="C427" s="108"/>
      <c r="D427" s="85"/>
      <c r="E427" s="117"/>
      <c r="F427" s="250"/>
      <c r="G427" s="250"/>
      <c r="H427" s="88"/>
      <c r="I427" s="36"/>
      <c r="J427" s="37"/>
      <c r="K427" s="38"/>
      <c r="L427" s="39"/>
      <c r="M427" s="38"/>
      <c r="N427" s="39"/>
      <c r="O427" s="40"/>
      <c r="P427" s="34"/>
      <c r="Q427" s="35"/>
      <c r="R427" s="35"/>
      <c r="S427" s="35"/>
      <c r="T427" s="35"/>
      <c r="U427" s="35"/>
      <c r="V427" s="35"/>
      <c r="W427" s="35"/>
      <c r="X427" s="35"/>
      <c r="Y427" s="35"/>
      <c r="Z427" s="35"/>
      <c r="AA427" s="35"/>
    </row>
    <row r="428" ht="14.25" customHeight="1">
      <c r="A428" s="83"/>
      <c r="B428" s="84"/>
      <c r="C428" s="108"/>
      <c r="D428" s="85"/>
      <c r="E428" s="117"/>
      <c r="F428" s="250"/>
      <c r="G428" s="250"/>
      <c r="H428" s="88"/>
      <c r="I428" s="36"/>
      <c r="J428" s="37"/>
      <c r="K428" s="38"/>
      <c r="L428" s="39"/>
      <c r="M428" s="38"/>
      <c r="N428" s="39"/>
      <c r="O428" s="40"/>
      <c r="P428" s="34"/>
      <c r="Q428" s="35"/>
      <c r="R428" s="35"/>
      <c r="S428" s="35"/>
      <c r="T428" s="35"/>
      <c r="U428" s="35"/>
      <c r="V428" s="35"/>
      <c r="W428" s="35"/>
      <c r="X428" s="35"/>
      <c r="Y428" s="35"/>
      <c r="Z428" s="35"/>
      <c r="AA428" s="35"/>
    </row>
    <row r="429" ht="14.25" customHeight="1">
      <c r="A429" s="83"/>
      <c r="B429" s="84"/>
      <c r="C429" s="108"/>
      <c r="D429" s="85"/>
      <c r="E429" s="117"/>
      <c r="F429" s="250"/>
      <c r="G429" s="250"/>
      <c r="H429" s="88"/>
      <c r="I429" s="36"/>
      <c r="J429" s="37"/>
      <c r="K429" s="38"/>
      <c r="L429" s="39"/>
      <c r="M429" s="38"/>
      <c r="N429" s="39"/>
      <c r="O429" s="40"/>
      <c r="P429" s="34"/>
      <c r="Q429" s="35"/>
      <c r="R429" s="35"/>
      <c r="S429" s="35"/>
      <c r="T429" s="35"/>
      <c r="U429" s="35"/>
      <c r="V429" s="35"/>
      <c r="W429" s="35"/>
      <c r="X429" s="35"/>
      <c r="Y429" s="35"/>
      <c r="Z429" s="35"/>
      <c r="AA429" s="35"/>
    </row>
    <row r="430" ht="14.25" customHeight="1">
      <c r="A430" s="83"/>
      <c r="B430" s="84"/>
      <c r="C430" s="108"/>
      <c r="D430" s="85"/>
      <c r="E430" s="117"/>
      <c r="F430" s="250"/>
      <c r="G430" s="250"/>
      <c r="H430" s="88"/>
      <c r="I430" s="36"/>
      <c r="J430" s="37"/>
      <c r="K430" s="38"/>
      <c r="L430" s="39"/>
      <c r="M430" s="38"/>
      <c r="N430" s="39"/>
      <c r="O430" s="40"/>
      <c r="P430" s="34"/>
      <c r="Q430" s="35"/>
      <c r="R430" s="35"/>
      <c r="S430" s="35"/>
      <c r="T430" s="35"/>
      <c r="U430" s="35"/>
      <c r="V430" s="35"/>
      <c r="W430" s="35"/>
      <c r="X430" s="35"/>
      <c r="Y430" s="35"/>
      <c r="Z430" s="35"/>
      <c r="AA430" s="35"/>
    </row>
    <row r="431" ht="14.25" customHeight="1">
      <c r="A431" s="83"/>
      <c r="B431" s="84"/>
      <c r="C431" s="108"/>
      <c r="D431" s="85"/>
      <c r="E431" s="117"/>
      <c r="F431" s="250"/>
      <c r="G431" s="250"/>
      <c r="H431" s="88"/>
      <c r="I431" s="36"/>
      <c r="J431" s="37"/>
      <c r="K431" s="38"/>
      <c r="L431" s="39"/>
      <c r="M431" s="38"/>
      <c r="N431" s="39"/>
      <c r="O431" s="40"/>
      <c r="P431" s="34"/>
      <c r="Q431" s="35"/>
      <c r="R431" s="35"/>
      <c r="S431" s="35"/>
      <c r="T431" s="35"/>
      <c r="U431" s="35"/>
      <c r="V431" s="35"/>
      <c r="W431" s="35"/>
      <c r="X431" s="35"/>
      <c r="Y431" s="35"/>
      <c r="Z431" s="35"/>
      <c r="AA431" s="35"/>
    </row>
    <row r="432" ht="14.25" customHeight="1">
      <c r="A432" s="83"/>
      <c r="B432" s="84"/>
      <c r="C432" s="108"/>
      <c r="D432" s="85"/>
      <c r="E432" s="117"/>
      <c r="F432" s="250"/>
      <c r="G432" s="250"/>
      <c r="H432" s="88"/>
      <c r="I432" s="36"/>
      <c r="J432" s="37"/>
      <c r="K432" s="38"/>
      <c r="L432" s="39"/>
      <c r="M432" s="38"/>
      <c r="N432" s="39"/>
      <c r="O432" s="40"/>
      <c r="P432" s="34"/>
      <c r="Q432" s="35"/>
      <c r="R432" s="35"/>
      <c r="S432" s="35"/>
      <c r="T432" s="35"/>
      <c r="U432" s="35"/>
      <c r="V432" s="35"/>
      <c r="W432" s="35"/>
      <c r="X432" s="35"/>
      <c r="Y432" s="35"/>
      <c r="Z432" s="35"/>
      <c r="AA432" s="35"/>
    </row>
    <row r="433" ht="14.25" customHeight="1">
      <c r="A433" s="83"/>
      <c r="B433" s="84"/>
      <c r="C433" s="108"/>
      <c r="D433" s="85"/>
      <c r="E433" s="117"/>
      <c r="F433" s="250"/>
      <c r="G433" s="250"/>
      <c r="H433" s="88"/>
      <c r="I433" s="36"/>
      <c r="J433" s="37"/>
      <c r="K433" s="38"/>
      <c r="L433" s="39"/>
      <c r="M433" s="38"/>
      <c r="N433" s="39"/>
      <c r="O433" s="40"/>
      <c r="P433" s="34"/>
      <c r="Q433" s="35"/>
      <c r="R433" s="35"/>
      <c r="S433" s="35"/>
      <c r="T433" s="35"/>
      <c r="U433" s="35"/>
      <c r="V433" s="35"/>
      <c r="W433" s="35"/>
      <c r="X433" s="35"/>
      <c r="Y433" s="35"/>
      <c r="Z433" s="35"/>
      <c r="AA433" s="35"/>
    </row>
    <row r="434" ht="14.25" customHeight="1">
      <c r="A434" s="83"/>
      <c r="B434" s="84"/>
      <c r="C434" s="108"/>
      <c r="D434" s="85"/>
      <c r="E434" s="117"/>
      <c r="F434" s="250"/>
      <c r="G434" s="250"/>
      <c r="H434" s="88"/>
      <c r="I434" s="36"/>
      <c r="J434" s="37"/>
      <c r="K434" s="38"/>
      <c r="L434" s="39"/>
      <c r="M434" s="38"/>
      <c r="N434" s="39"/>
      <c r="O434" s="40"/>
      <c r="P434" s="34"/>
      <c r="Q434" s="35"/>
      <c r="R434" s="35"/>
      <c r="S434" s="35"/>
      <c r="T434" s="35"/>
      <c r="U434" s="35"/>
      <c r="V434" s="35"/>
      <c r="W434" s="35"/>
      <c r="X434" s="35"/>
      <c r="Y434" s="35"/>
      <c r="Z434" s="35"/>
      <c r="AA434" s="35"/>
    </row>
    <row r="435" ht="14.25" customHeight="1">
      <c r="A435" s="83"/>
      <c r="B435" s="84"/>
      <c r="C435" s="108"/>
      <c r="D435" s="85"/>
      <c r="E435" s="117"/>
      <c r="F435" s="250"/>
      <c r="G435" s="250"/>
      <c r="H435" s="88"/>
      <c r="I435" s="36"/>
      <c r="J435" s="37"/>
      <c r="K435" s="38"/>
      <c r="L435" s="39"/>
      <c r="M435" s="38"/>
      <c r="N435" s="39"/>
      <c r="O435" s="40"/>
      <c r="P435" s="34"/>
      <c r="Q435" s="35"/>
      <c r="R435" s="35"/>
      <c r="S435" s="35"/>
      <c r="T435" s="35"/>
      <c r="U435" s="35"/>
      <c r="V435" s="35"/>
      <c r="W435" s="35"/>
      <c r="X435" s="35"/>
      <c r="Y435" s="35"/>
      <c r="Z435" s="35"/>
      <c r="AA435" s="35"/>
    </row>
    <row r="436" ht="14.25" customHeight="1">
      <c r="A436" s="83"/>
      <c r="B436" s="84"/>
      <c r="C436" s="108"/>
      <c r="D436" s="85"/>
      <c r="E436" s="117"/>
      <c r="F436" s="250"/>
      <c r="G436" s="250"/>
      <c r="H436" s="88"/>
      <c r="I436" s="36"/>
      <c r="J436" s="37"/>
      <c r="K436" s="38"/>
      <c r="L436" s="39"/>
      <c r="M436" s="38"/>
      <c r="N436" s="39"/>
      <c r="O436" s="40"/>
      <c r="P436" s="34"/>
      <c r="Q436" s="35"/>
      <c r="R436" s="35"/>
      <c r="S436" s="35"/>
      <c r="T436" s="35"/>
      <c r="U436" s="35"/>
      <c r="V436" s="35"/>
      <c r="W436" s="35"/>
      <c r="X436" s="35"/>
      <c r="Y436" s="35"/>
      <c r="Z436" s="35"/>
      <c r="AA436" s="35"/>
    </row>
    <row r="437" ht="14.25" customHeight="1">
      <c r="A437" s="83"/>
      <c r="B437" s="84"/>
      <c r="C437" s="108"/>
      <c r="D437" s="85"/>
      <c r="E437" s="117"/>
      <c r="F437" s="250"/>
      <c r="G437" s="250"/>
      <c r="H437" s="88"/>
      <c r="I437" s="36"/>
      <c r="J437" s="37"/>
      <c r="K437" s="38"/>
      <c r="L437" s="39"/>
      <c r="M437" s="38"/>
      <c r="N437" s="39"/>
      <c r="O437" s="40"/>
      <c r="P437" s="34"/>
      <c r="Q437" s="35"/>
      <c r="R437" s="35"/>
      <c r="S437" s="35"/>
      <c r="T437" s="35"/>
      <c r="U437" s="35"/>
      <c r="V437" s="35"/>
      <c r="W437" s="35"/>
      <c r="X437" s="35"/>
      <c r="Y437" s="35"/>
      <c r="Z437" s="35"/>
      <c r="AA437" s="35"/>
    </row>
    <row r="438" ht="14.25" customHeight="1">
      <c r="A438" s="83"/>
      <c r="B438" s="84"/>
      <c r="C438" s="108"/>
      <c r="D438" s="85"/>
      <c r="E438" s="117"/>
      <c r="F438" s="250"/>
      <c r="G438" s="250"/>
      <c r="H438" s="88"/>
      <c r="I438" s="36"/>
      <c r="J438" s="37"/>
      <c r="K438" s="38"/>
      <c r="L438" s="39"/>
      <c r="M438" s="38"/>
      <c r="N438" s="39"/>
      <c r="O438" s="40"/>
      <c r="P438" s="34"/>
      <c r="Q438" s="35"/>
      <c r="R438" s="35"/>
      <c r="S438" s="35"/>
      <c r="T438" s="35"/>
      <c r="U438" s="35"/>
      <c r="V438" s="35"/>
      <c r="W438" s="35"/>
      <c r="X438" s="35"/>
      <c r="Y438" s="35"/>
      <c r="Z438" s="35"/>
      <c r="AA438" s="35"/>
    </row>
    <row r="439" ht="14.25" customHeight="1">
      <c r="A439" s="83"/>
      <c r="B439" s="84"/>
      <c r="C439" s="108"/>
      <c r="D439" s="85"/>
      <c r="E439" s="117"/>
      <c r="F439" s="250"/>
      <c r="G439" s="250"/>
      <c r="H439" s="88"/>
      <c r="I439" s="36"/>
      <c r="J439" s="37"/>
      <c r="K439" s="38"/>
      <c r="L439" s="39"/>
      <c r="M439" s="38"/>
      <c r="N439" s="39"/>
      <c r="O439" s="40"/>
      <c r="P439" s="34"/>
      <c r="Q439" s="35"/>
      <c r="R439" s="35"/>
      <c r="S439" s="35"/>
      <c r="T439" s="35"/>
      <c r="U439" s="35"/>
      <c r="V439" s="35"/>
      <c r="W439" s="35"/>
      <c r="X439" s="35"/>
      <c r="Y439" s="35"/>
      <c r="Z439" s="35"/>
      <c r="AA439" s="35"/>
    </row>
    <row r="440" ht="14.25" customHeight="1">
      <c r="A440" s="83"/>
      <c r="B440" s="84"/>
      <c r="C440" s="108"/>
      <c r="D440" s="85"/>
      <c r="E440" s="117"/>
      <c r="F440" s="250"/>
      <c r="G440" s="250"/>
      <c r="H440" s="88"/>
      <c r="I440" s="36"/>
      <c r="J440" s="37"/>
      <c r="K440" s="38"/>
      <c r="L440" s="39"/>
      <c r="M440" s="38"/>
      <c r="N440" s="39"/>
      <c r="O440" s="40"/>
      <c r="P440" s="34"/>
      <c r="Q440" s="35"/>
      <c r="R440" s="35"/>
      <c r="S440" s="35"/>
      <c r="T440" s="35"/>
      <c r="U440" s="35"/>
      <c r="V440" s="35"/>
      <c r="W440" s="35"/>
      <c r="X440" s="35"/>
      <c r="Y440" s="35"/>
      <c r="Z440" s="35"/>
      <c r="AA440" s="35"/>
    </row>
    <row r="441" ht="14.25" customHeight="1">
      <c r="A441" s="83"/>
      <c r="B441" s="84"/>
      <c r="C441" s="108"/>
      <c r="D441" s="85"/>
      <c r="E441" s="117"/>
      <c r="F441" s="250"/>
      <c r="G441" s="250"/>
      <c r="H441" s="88"/>
      <c r="I441" s="36"/>
      <c r="J441" s="37"/>
      <c r="K441" s="38"/>
      <c r="L441" s="39"/>
      <c r="M441" s="38"/>
      <c r="N441" s="39"/>
      <c r="O441" s="40"/>
      <c r="P441" s="34"/>
      <c r="Q441" s="35"/>
      <c r="R441" s="35"/>
      <c r="S441" s="35"/>
      <c r="T441" s="35"/>
      <c r="U441" s="35"/>
      <c r="V441" s="35"/>
      <c r="W441" s="35"/>
      <c r="X441" s="35"/>
      <c r="Y441" s="35"/>
      <c r="Z441" s="35"/>
      <c r="AA441" s="35"/>
    </row>
    <row r="442" ht="14.25" customHeight="1">
      <c r="A442" s="83"/>
      <c r="B442" s="84"/>
      <c r="C442" s="108"/>
      <c r="D442" s="85"/>
      <c r="E442" s="117"/>
      <c r="F442" s="250"/>
      <c r="G442" s="250"/>
      <c r="H442" s="88"/>
      <c r="I442" s="36"/>
      <c r="J442" s="37"/>
      <c r="K442" s="38"/>
      <c r="L442" s="39"/>
      <c r="M442" s="38"/>
      <c r="N442" s="39"/>
      <c r="O442" s="40"/>
      <c r="P442" s="34"/>
      <c r="Q442" s="35"/>
      <c r="R442" s="35"/>
      <c r="S442" s="35"/>
      <c r="T442" s="35"/>
      <c r="U442" s="35"/>
      <c r="V442" s="35"/>
      <c r="W442" s="35"/>
      <c r="X442" s="35"/>
      <c r="Y442" s="35"/>
      <c r="Z442" s="35"/>
      <c r="AA442" s="35"/>
    </row>
    <row r="443" ht="14.25" customHeight="1">
      <c r="A443" s="83"/>
      <c r="B443" s="84"/>
      <c r="C443" s="108"/>
      <c r="D443" s="85"/>
      <c r="E443" s="117"/>
      <c r="F443" s="250"/>
      <c r="G443" s="250"/>
      <c r="H443" s="88"/>
      <c r="I443" s="36"/>
      <c r="J443" s="37"/>
      <c r="K443" s="38"/>
      <c r="L443" s="39"/>
      <c r="M443" s="38"/>
      <c r="N443" s="39"/>
      <c r="O443" s="40"/>
      <c r="P443" s="34"/>
      <c r="Q443" s="35"/>
      <c r="R443" s="35"/>
      <c r="S443" s="35"/>
      <c r="T443" s="35"/>
      <c r="U443" s="35"/>
      <c r="V443" s="35"/>
      <c r="W443" s="35"/>
      <c r="X443" s="35"/>
      <c r="Y443" s="35"/>
      <c r="Z443" s="35"/>
      <c r="AA443" s="35"/>
    </row>
    <row r="444" ht="14.25" customHeight="1">
      <c r="A444" s="83"/>
      <c r="B444" s="84"/>
      <c r="C444" s="108"/>
      <c r="D444" s="85"/>
      <c r="E444" s="117"/>
      <c r="F444" s="250"/>
      <c r="G444" s="250"/>
      <c r="H444" s="88"/>
      <c r="I444" s="36"/>
      <c r="J444" s="37"/>
      <c r="K444" s="38"/>
      <c r="L444" s="39"/>
      <c r="M444" s="38"/>
      <c r="N444" s="39"/>
      <c r="O444" s="40"/>
      <c r="P444" s="34"/>
      <c r="Q444" s="35"/>
      <c r="R444" s="35"/>
      <c r="S444" s="35"/>
      <c r="T444" s="35"/>
      <c r="U444" s="35"/>
      <c r="V444" s="35"/>
      <c r="W444" s="35"/>
      <c r="X444" s="35"/>
      <c r="Y444" s="35"/>
      <c r="Z444" s="35"/>
      <c r="AA444" s="35"/>
    </row>
    <row r="445" ht="14.25" customHeight="1">
      <c r="A445" s="83"/>
      <c r="B445" s="84"/>
      <c r="C445" s="108"/>
      <c r="D445" s="85"/>
      <c r="E445" s="117"/>
      <c r="F445" s="250"/>
      <c r="G445" s="250"/>
      <c r="H445" s="88"/>
      <c r="I445" s="36"/>
      <c r="J445" s="37"/>
      <c r="K445" s="38"/>
      <c r="L445" s="39"/>
      <c r="M445" s="38"/>
      <c r="N445" s="39"/>
      <c r="O445" s="40"/>
      <c r="P445" s="34"/>
      <c r="Q445" s="35"/>
      <c r="R445" s="35"/>
      <c r="S445" s="35"/>
      <c r="T445" s="35"/>
      <c r="U445" s="35"/>
      <c r="V445" s="35"/>
      <c r="W445" s="35"/>
      <c r="X445" s="35"/>
      <c r="Y445" s="35"/>
      <c r="Z445" s="35"/>
      <c r="AA445" s="35"/>
    </row>
    <row r="446" ht="14.25" customHeight="1">
      <c r="A446" s="83"/>
      <c r="B446" s="84"/>
      <c r="C446" s="108"/>
      <c r="D446" s="85"/>
      <c r="E446" s="117"/>
      <c r="F446" s="250"/>
      <c r="G446" s="250"/>
      <c r="H446" s="88"/>
      <c r="I446" s="36"/>
      <c r="J446" s="37"/>
      <c r="K446" s="38"/>
      <c r="L446" s="39"/>
      <c r="M446" s="38"/>
      <c r="N446" s="39"/>
      <c r="O446" s="40"/>
      <c r="P446" s="34"/>
      <c r="Q446" s="35"/>
      <c r="R446" s="35"/>
      <c r="S446" s="35"/>
      <c r="T446" s="35"/>
      <c r="U446" s="35"/>
      <c r="V446" s="35"/>
      <c r="W446" s="35"/>
      <c r="X446" s="35"/>
      <c r="Y446" s="35"/>
      <c r="Z446" s="35"/>
      <c r="AA446" s="35"/>
    </row>
    <row r="447" ht="14.25" customHeight="1">
      <c r="A447" s="83"/>
      <c r="B447" s="84"/>
      <c r="C447" s="108"/>
      <c r="D447" s="85"/>
      <c r="E447" s="117"/>
      <c r="F447" s="250"/>
      <c r="G447" s="250"/>
      <c r="H447" s="88"/>
      <c r="I447" s="36"/>
      <c r="J447" s="37"/>
      <c r="K447" s="38"/>
      <c r="L447" s="39"/>
      <c r="M447" s="38"/>
      <c r="N447" s="39"/>
      <c r="O447" s="40"/>
      <c r="P447" s="34"/>
      <c r="Q447" s="35"/>
      <c r="R447" s="35"/>
      <c r="S447" s="35"/>
      <c r="T447" s="35"/>
      <c r="U447" s="35"/>
      <c r="V447" s="35"/>
      <c r="W447" s="35"/>
      <c r="X447" s="35"/>
      <c r="Y447" s="35"/>
      <c r="Z447" s="35"/>
      <c r="AA447" s="35"/>
    </row>
    <row r="448" ht="14.25" customHeight="1">
      <c r="A448" s="83"/>
      <c r="B448" s="84"/>
      <c r="C448" s="108"/>
      <c r="D448" s="85"/>
      <c r="E448" s="117"/>
      <c r="F448" s="250"/>
      <c r="G448" s="250"/>
      <c r="H448" s="88"/>
      <c r="I448" s="36"/>
      <c r="J448" s="37"/>
      <c r="K448" s="38"/>
      <c r="L448" s="39"/>
      <c r="M448" s="38"/>
      <c r="N448" s="39"/>
      <c r="O448" s="40"/>
      <c r="P448" s="34"/>
      <c r="Q448" s="35"/>
      <c r="R448" s="35"/>
      <c r="S448" s="35"/>
      <c r="T448" s="35"/>
      <c r="U448" s="35"/>
      <c r="V448" s="35"/>
      <c r="W448" s="35"/>
      <c r="X448" s="35"/>
      <c r="Y448" s="35"/>
      <c r="Z448" s="35"/>
      <c r="AA448" s="35"/>
    </row>
    <row r="449" ht="14.25" customHeight="1">
      <c r="A449" s="83"/>
      <c r="B449" s="84"/>
      <c r="C449" s="108"/>
      <c r="D449" s="85"/>
      <c r="E449" s="117"/>
      <c r="F449" s="250"/>
      <c r="G449" s="250"/>
      <c r="H449" s="88"/>
      <c r="I449" s="36"/>
      <c r="J449" s="37"/>
      <c r="K449" s="38"/>
      <c r="L449" s="39"/>
      <c r="M449" s="38"/>
      <c r="N449" s="39"/>
      <c r="O449" s="40"/>
      <c r="P449" s="34"/>
      <c r="Q449" s="35"/>
      <c r="R449" s="35"/>
      <c r="S449" s="35"/>
      <c r="T449" s="35"/>
      <c r="U449" s="35"/>
      <c r="V449" s="35"/>
      <c r="W449" s="35"/>
      <c r="X449" s="35"/>
      <c r="Y449" s="35"/>
      <c r="Z449" s="35"/>
      <c r="AA449" s="35"/>
    </row>
    <row r="450" ht="14.25" customHeight="1">
      <c r="A450" s="83"/>
      <c r="B450" s="84"/>
      <c r="C450" s="108"/>
      <c r="D450" s="85"/>
      <c r="E450" s="117"/>
      <c r="F450" s="250"/>
      <c r="G450" s="250"/>
      <c r="H450" s="88"/>
      <c r="I450" s="36"/>
      <c r="J450" s="37"/>
      <c r="K450" s="38"/>
      <c r="L450" s="39"/>
      <c r="M450" s="38"/>
      <c r="N450" s="39"/>
      <c r="O450" s="40"/>
      <c r="P450" s="34"/>
      <c r="Q450" s="35"/>
      <c r="R450" s="35"/>
      <c r="S450" s="35"/>
      <c r="T450" s="35"/>
      <c r="U450" s="35"/>
      <c r="V450" s="35"/>
      <c r="W450" s="35"/>
      <c r="X450" s="35"/>
      <c r="Y450" s="35"/>
      <c r="Z450" s="35"/>
      <c r="AA450" s="35"/>
    </row>
    <row r="451" ht="14.25" customHeight="1">
      <c r="A451" s="83"/>
      <c r="B451" s="84"/>
      <c r="C451" s="108"/>
      <c r="D451" s="85"/>
      <c r="E451" s="117"/>
      <c r="F451" s="250"/>
      <c r="G451" s="250"/>
      <c r="H451" s="88"/>
      <c r="I451" s="36"/>
      <c r="J451" s="37"/>
      <c r="K451" s="38"/>
      <c r="L451" s="39"/>
      <c r="M451" s="38"/>
      <c r="N451" s="39"/>
      <c r="O451" s="40"/>
      <c r="P451" s="34"/>
      <c r="Q451" s="35"/>
      <c r="R451" s="35"/>
      <c r="S451" s="35"/>
      <c r="T451" s="35"/>
      <c r="U451" s="35"/>
      <c r="V451" s="35"/>
      <c r="W451" s="35"/>
      <c r="X451" s="35"/>
      <c r="Y451" s="35"/>
      <c r="Z451" s="35"/>
      <c r="AA451" s="35"/>
    </row>
    <row r="452" ht="14.25" customHeight="1">
      <c r="A452" s="83"/>
      <c r="B452" s="84"/>
      <c r="C452" s="108"/>
      <c r="D452" s="85"/>
      <c r="E452" s="117"/>
      <c r="F452" s="250"/>
      <c r="G452" s="250"/>
      <c r="H452" s="88"/>
      <c r="I452" s="36"/>
      <c r="J452" s="37"/>
      <c r="K452" s="38"/>
      <c r="L452" s="39"/>
      <c r="M452" s="38"/>
      <c r="N452" s="39"/>
      <c r="O452" s="40"/>
      <c r="P452" s="34"/>
      <c r="Q452" s="35"/>
      <c r="R452" s="35"/>
      <c r="S452" s="35"/>
      <c r="T452" s="35"/>
      <c r="U452" s="35"/>
      <c r="V452" s="35"/>
      <c r="W452" s="35"/>
      <c r="X452" s="35"/>
      <c r="Y452" s="35"/>
      <c r="Z452" s="35"/>
      <c r="AA452" s="35"/>
    </row>
    <row r="453" ht="14.25" customHeight="1">
      <c r="A453" s="83"/>
      <c r="B453" s="84"/>
      <c r="C453" s="108"/>
      <c r="D453" s="85"/>
      <c r="E453" s="117"/>
      <c r="F453" s="250"/>
      <c r="G453" s="250"/>
      <c r="H453" s="88"/>
      <c r="I453" s="36"/>
      <c r="J453" s="37"/>
      <c r="K453" s="38"/>
      <c r="L453" s="39"/>
      <c r="M453" s="38"/>
      <c r="N453" s="39"/>
      <c r="O453" s="40"/>
      <c r="P453" s="34"/>
      <c r="Q453" s="35"/>
      <c r="R453" s="35"/>
      <c r="S453" s="35"/>
      <c r="T453" s="35"/>
      <c r="U453" s="35"/>
      <c r="V453" s="35"/>
      <c r="W453" s="35"/>
      <c r="X453" s="35"/>
      <c r="Y453" s="35"/>
      <c r="Z453" s="35"/>
      <c r="AA453" s="35"/>
    </row>
    <row r="454" ht="14.25" customHeight="1">
      <c r="A454" s="83"/>
      <c r="B454" s="84"/>
      <c r="C454" s="108"/>
      <c r="D454" s="85"/>
      <c r="E454" s="117"/>
      <c r="F454" s="250"/>
      <c r="G454" s="250"/>
      <c r="H454" s="88"/>
      <c r="I454" s="36"/>
      <c r="J454" s="37"/>
      <c r="K454" s="38"/>
      <c r="L454" s="39"/>
      <c r="M454" s="38"/>
      <c r="N454" s="39"/>
      <c r="O454" s="40"/>
      <c r="P454" s="34"/>
      <c r="Q454" s="35"/>
      <c r="R454" s="35"/>
      <c r="S454" s="35"/>
      <c r="T454" s="35"/>
      <c r="U454" s="35"/>
      <c r="V454" s="35"/>
      <c r="W454" s="35"/>
      <c r="X454" s="35"/>
      <c r="Y454" s="35"/>
      <c r="Z454" s="35"/>
      <c r="AA454" s="35"/>
    </row>
    <row r="455" ht="14.25" customHeight="1">
      <c r="A455" s="83"/>
      <c r="B455" s="84"/>
      <c r="C455" s="108"/>
      <c r="D455" s="85"/>
      <c r="E455" s="117"/>
      <c r="F455" s="250"/>
      <c r="G455" s="250"/>
      <c r="H455" s="88"/>
      <c r="I455" s="36"/>
      <c r="J455" s="37"/>
      <c r="K455" s="38"/>
      <c r="L455" s="39"/>
      <c r="M455" s="38"/>
      <c r="N455" s="39"/>
      <c r="O455" s="40"/>
      <c r="P455" s="34"/>
      <c r="Q455" s="35"/>
      <c r="R455" s="35"/>
      <c r="S455" s="35"/>
      <c r="T455" s="35"/>
      <c r="U455" s="35"/>
      <c r="V455" s="35"/>
      <c r="W455" s="35"/>
      <c r="X455" s="35"/>
      <c r="Y455" s="35"/>
      <c r="Z455" s="35"/>
      <c r="AA455" s="35"/>
    </row>
    <row r="456" ht="14.25" customHeight="1">
      <c r="A456" s="83"/>
      <c r="B456" s="84"/>
      <c r="C456" s="108"/>
      <c r="D456" s="85"/>
      <c r="E456" s="117"/>
      <c r="F456" s="250"/>
      <c r="G456" s="250"/>
      <c r="H456" s="88"/>
      <c r="I456" s="36"/>
      <c r="J456" s="37"/>
      <c r="K456" s="38"/>
      <c r="L456" s="39"/>
      <c r="M456" s="38"/>
      <c r="N456" s="39"/>
      <c r="O456" s="40"/>
      <c r="P456" s="34"/>
      <c r="Q456" s="35"/>
      <c r="R456" s="35"/>
      <c r="S456" s="35"/>
      <c r="T456" s="35"/>
      <c r="U456" s="35"/>
      <c r="V456" s="35"/>
      <c r="W456" s="35"/>
      <c r="X456" s="35"/>
      <c r="Y456" s="35"/>
      <c r="Z456" s="35"/>
      <c r="AA456" s="35"/>
    </row>
    <row r="457" ht="14.25" customHeight="1">
      <c r="A457" s="83"/>
      <c r="B457" s="84"/>
      <c r="C457" s="108"/>
      <c r="D457" s="85"/>
      <c r="E457" s="117"/>
      <c r="F457" s="250"/>
      <c r="G457" s="250"/>
      <c r="H457" s="88"/>
      <c r="I457" s="36"/>
      <c r="J457" s="37"/>
      <c r="K457" s="38"/>
      <c r="L457" s="39"/>
      <c r="M457" s="38"/>
      <c r="N457" s="39"/>
      <c r="O457" s="40"/>
      <c r="P457" s="34"/>
      <c r="Q457" s="35"/>
      <c r="R457" s="35"/>
      <c r="S457" s="35"/>
      <c r="T457" s="35"/>
      <c r="U457" s="35"/>
      <c r="V457" s="35"/>
      <c r="W457" s="35"/>
      <c r="X457" s="35"/>
      <c r="Y457" s="35"/>
      <c r="Z457" s="35"/>
      <c r="AA457" s="35"/>
    </row>
    <row r="458" ht="14.25" customHeight="1">
      <c r="A458" s="83"/>
      <c r="B458" s="84"/>
      <c r="C458" s="108"/>
      <c r="D458" s="85"/>
      <c r="E458" s="117"/>
      <c r="F458" s="250"/>
      <c r="G458" s="250"/>
      <c r="H458" s="88"/>
      <c r="I458" s="36"/>
      <c r="J458" s="37"/>
      <c r="K458" s="38"/>
      <c r="L458" s="39"/>
      <c r="M458" s="38"/>
      <c r="N458" s="39"/>
      <c r="O458" s="40"/>
      <c r="P458" s="34"/>
      <c r="Q458" s="35"/>
      <c r="R458" s="35"/>
      <c r="S458" s="35"/>
      <c r="T458" s="35"/>
      <c r="U458" s="35"/>
      <c r="V458" s="35"/>
      <c r="W458" s="35"/>
      <c r="X458" s="35"/>
      <c r="Y458" s="35"/>
      <c r="Z458" s="35"/>
      <c r="AA458" s="35"/>
    </row>
    <row r="459" ht="14.25" customHeight="1">
      <c r="A459" s="83"/>
      <c r="B459" s="84"/>
      <c r="C459" s="108"/>
      <c r="D459" s="85"/>
      <c r="E459" s="117"/>
      <c r="F459" s="250"/>
      <c r="G459" s="250"/>
      <c r="H459" s="88"/>
      <c r="I459" s="36"/>
      <c r="J459" s="37"/>
      <c r="K459" s="38"/>
      <c r="L459" s="39"/>
      <c r="M459" s="38"/>
      <c r="N459" s="39"/>
      <c r="O459" s="40"/>
      <c r="P459" s="34"/>
      <c r="Q459" s="35"/>
      <c r="R459" s="35"/>
      <c r="S459" s="35"/>
      <c r="T459" s="35"/>
      <c r="U459" s="35"/>
      <c r="V459" s="35"/>
      <c r="W459" s="35"/>
      <c r="X459" s="35"/>
      <c r="Y459" s="35"/>
      <c r="Z459" s="35"/>
      <c r="AA459" s="35"/>
    </row>
    <row r="460" ht="14.25" customHeight="1">
      <c r="A460" s="83"/>
      <c r="B460" s="84"/>
      <c r="C460" s="108"/>
      <c r="D460" s="85"/>
      <c r="E460" s="117"/>
      <c r="F460" s="250"/>
      <c r="G460" s="250"/>
      <c r="H460" s="88"/>
      <c r="I460" s="36"/>
      <c r="J460" s="37"/>
      <c r="K460" s="38"/>
      <c r="L460" s="39"/>
      <c r="M460" s="38"/>
      <c r="N460" s="39"/>
      <c r="O460" s="40"/>
      <c r="P460" s="34"/>
      <c r="Q460" s="35"/>
      <c r="R460" s="35"/>
      <c r="S460" s="35"/>
      <c r="T460" s="35"/>
      <c r="U460" s="35"/>
      <c r="V460" s="35"/>
      <c r="W460" s="35"/>
      <c r="X460" s="35"/>
      <c r="Y460" s="35"/>
      <c r="Z460" s="35"/>
      <c r="AA460" s="35"/>
    </row>
    <row r="461" ht="14.25" customHeight="1">
      <c r="A461" s="83"/>
      <c r="B461" s="84"/>
      <c r="C461" s="108"/>
      <c r="D461" s="85"/>
      <c r="E461" s="117"/>
      <c r="F461" s="250"/>
      <c r="G461" s="250"/>
      <c r="H461" s="88"/>
      <c r="I461" s="36"/>
      <c r="J461" s="37"/>
      <c r="K461" s="38"/>
      <c r="L461" s="39"/>
      <c r="M461" s="38"/>
      <c r="N461" s="39"/>
      <c r="O461" s="40"/>
      <c r="P461" s="34"/>
      <c r="Q461" s="35"/>
      <c r="R461" s="35"/>
      <c r="S461" s="35"/>
      <c r="T461" s="35"/>
      <c r="U461" s="35"/>
      <c r="V461" s="35"/>
      <c r="W461" s="35"/>
      <c r="X461" s="35"/>
      <c r="Y461" s="35"/>
      <c r="Z461" s="35"/>
      <c r="AA461" s="35"/>
    </row>
    <row r="462" ht="14.25" customHeight="1">
      <c r="A462" s="83"/>
      <c r="B462" s="84"/>
      <c r="C462" s="108"/>
      <c r="D462" s="85"/>
      <c r="E462" s="117"/>
      <c r="F462" s="250"/>
      <c r="G462" s="250"/>
      <c r="H462" s="88"/>
      <c r="I462" s="36"/>
      <c r="J462" s="37"/>
      <c r="K462" s="38"/>
      <c r="L462" s="39"/>
      <c r="M462" s="38"/>
      <c r="N462" s="39"/>
      <c r="O462" s="40"/>
      <c r="P462" s="34"/>
      <c r="Q462" s="35"/>
      <c r="R462" s="35"/>
      <c r="S462" s="35"/>
      <c r="T462" s="35"/>
      <c r="U462" s="35"/>
      <c r="V462" s="35"/>
      <c r="W462" s="35"/>
      <c r="X462" s="35"/>
      <c r="Y462" s="35"/>
      <c r="Z462" s="35"/>
      <c r="AA462" s="35"/>
    </row>
    <row r="463" ht="14.25" customHeight="1">
      <c r="A463" s="83"/>
      <c r="B463" s="84"/>
      <c r="C463" s="108"/>
      <c r="D463" s="85"/>
      <c r="E463" s="117"/>
      <c r="F463" s="250"/>
      <c r="G463" s="250"/>
      <c r="H463" s="88"/>
      <c r="I463" s="36"/>
      <c r="J463" s="37"/>
      <c r="K463" s="38"/>
      <c r="L463" s="39"/>
      <c r="M463" s="38"/>
      <c r="N463" s="39"/>
      <c r="O463" s="40"/>
      <c r="P463" s="34"/>
      <c r="Q463" s="35"/>
      <c r="R463" s="35"/>
      <c r="S463" s="35"/>
      <c r="T463" s="35"/>
      <c r="U463" s="35"/>
      <c r="V463" s="35"/>
      <c r="W463" s="35"/>
      <c r="X463" s="35"/>
      <c r="Y463" s="35"/>
      <c r="Z463" s="35"/>
      <c r="AA463" s="35"/>
    </row>
    <row r="464" ht="14.25" customHeight="1">
      <c r="A464" s="83"/>
      <c r="B464" s="84"/>
      <c r="C464" s="108"/>
      <c r="D464" s="85"/>
      <c r="E464" s="117"/>
      <c r="F464" s="250"/>
      <c r="G464" s="250"/>
      <c r="H464" s="88"/>
      <c r="I464" s="36"/>
      <c r="J464" s="37"/>
      <c r="K464" s="38"/>
      <c r="L464" s="39"/>
      <c r="M464" s="38"/>
      <c r="N464" s="39"/>
      <c r="O464" s="40"/>
      <c r="P464" s="34"/>
      <c r="Q464" s="35"/>
      <c r="R464" s="35"/>
      <c r="S464" s="35"/>
      <c r="T464" s="35"/>
      <c r="U464" s="35"/>
      <c r="V464" s="35"/>
      <c r="W464" s="35"/>
      <c r="X464" s="35"/>
      <c r="Y464" s="35"/>
      <c r="Z464" s="35"/>
      <c r="AA464" s="35"/>
    </row>
    <row r="465" ht="14.25" customHeight="1">
      <c r="A465" s="83"/>
      <c r="B465" s="84"/>
      <c r="C465" s="108"/>
      <c r="D465" s="85"/>
      <c r="E465" s="117"/>
      <c r="F465" s="250"/>
      <c r="G465" s="250"/>
      <c r="H465" s="88"/>
      <c r="I465" s="36"/>
      <c r="J465" s="37"/>
      <c r="K465" s="38"/>
      <c r="L465" s="39"/>
      <c r="M465" s="38"/>
      <c r="N465" s="39"/>
      <c r="O465" s="40"/>
      <c r="P465" s="34"/>
      <c r="Q465" s="35"/>
      <c r="R465" s="35"/>
      <c r="S465" s="35"/>
      <c r="T465" s="35"/>
      <c r="U465" s="35"/>
      <c r="V465" s="35"/>
      <c r="W465" s="35"/>
      <c r="X465" s="35"/>
      <c r="Y465" s="35"/>
      <c r="Z465" s="35"/>
      <c r="AA465" s="35"/>
    </row>
    <row r="466" ht="14.25" customHeight="1">
      <c r="A466" s="83"/>
      <c r="B466" s="84"/>
      <c r="C466" s="108"/>
      <c r="D466" s="85"/>
      <c r="E466" s="117"/>
      <c r="F466" s="250"/>
      <c r="G466" s="250"/>
      <c r="H466" s="88"/>
      <c r="I466" s="36"/>
      <c r="J466" s="37"/>
      <c r="K466" s="38"/>
      <c r="L466" s="39"/>
      <c r="M466" s="38"/>
      <c r="N466" s="39"/>
      <c r="O466" s="40"/>
      <c r="P466" s="34"/>
      <c r="Q466" s="35"/>
      <c r="R466" s="35"/>
      <c r="S466" s="35"/>
      <c r="T466" s="35"/>
      <c r="U466" s="35"/>
      <c r="V466" s="35"/>
      <c r="W466" s="35"/>
      <c r="X466" s="35"/>
      <c r="Y466" s="35"/>
      <c r="Z466" s="35"/>
      <c r="AA466" s="35"/>
    </row>
    <row r="467" ht="14.25" customHeight="1">
      <c r="A467" s="83"/>
      <c r="B467" s="84"/>
      <c r="C467" s="108"/>
      <c r="D467" s="85"/>
      <c r="E467" s="117"/>
      <c r="F467" s="250"/>
      <c r="G467" s="250"/>
      <c r="H467" s="88"/>
      <c r="I467" s="36"/>
      <c r="J467" s="37"/>
      <c r="K467" s="38"/>
      <c r="L467" s="39"/>
      <c r="M467" s="38"/>
      <c r="N467" s="39"/>
      <c r="O467" s="40"/>
      <c r="P467" s="34"/>
      <c r="Q467" s="35"/>
      <c r="R467" s="35"/>
      <c r="S467" s="35"/>
      <c r="T467" s="35"/>
      <c r="U467" s="35"/>
      <c r="V467" s="35"/>
      <c r="W467" s="35"/>
      <c r="X467" s="35"/>
      <c r="Y467" s="35"/>
      <c r="Z467" s="35"/>
      <c r="AA467" s="35"/>
    </row>
    <row r="468" ht="14.25" customHeight="1">
      <c r="A468" s="83"/>
      <c r="B468" s="84"/>
      <c r="C468" s="108"/>
      <c r="D468" s="85"/>
      <c r="E468" s="117"/>
      <c r="F468" s="250"/>
      <c r="G468" s="250"/>
      <c r="H468" s="88"/>
      <c r="I468" s="36"/>
      <c r="J468" s="37"/>
      <c r="K468" s="38"/>
      <c r="L468" s="39"/>
      <c r="M468" s="38"/>
      <c r="N468" s="39"/>
      <c r="O468" s="40"/>
      <c r="P468" s="34"/>
      <c r="Q468" s="35"/>
      <c r="R468" s="35"/>
      <c r="S468" s="35"/>
      <c r="T468" s="35"/>
      <c r="U468" s="35"/>
      <c r="V468" s="35"/>
      <c r="W468" s="35"/>
      <c r="X468" s="35"/>
      <c r="Y468" s="35"/>
      <c r="Z468" s="35"/>
      <c r="AA468" s="35"/>
    </row>
    <row r="469" ht="14.25" customHeight="1">
      <c r="A469" s="83"/>
      <c r="B469" s="84"/>
      <c r="C469" s="108"/>
      <c r="D469" s="85"/>
      <c r="E469" s="117"/>
      <c r="F469" s="250"/>
      <c r="G469" s="250"/>
      <c r="H469" s="88"/>
      <c r="I469" s="36"/>
      <c r="J469" s="37"/>
      <c r="K469" s="38"/>
      <c r="L469" s="39"/>
      <c r="M469" s="38"/>
      <c r="N469" s="39"/>
      <c r="O469" s="40"/>
      <c r="P469" s="34"/>
      <c r="Q469" s="35"/>
      <c r="R469" s="35"/>
      <c r="S469" s="35"/>
      <c r="T469" s="35"/>
      <c r="U469" s="35"/>
      <c r="V469" s="35"/>
      <c r="W469" s="35"/>
      <c r="X469" s="35"/>
      <c r="Y469" s="35"/>
      <c r="Z469" s="35"/>
      <c r="AA469" s="35"/>
    </row>
    <row r="470" ht="14.25" customHeight="1">
      <c r="A470" s="83"/>
      <c r="B470" s="84"/>
      <c r="C470" s="108"/>
      <c r="D470" s="85"/>
      <c r="E470" s="117"/>
      <c r="F470" s="250"/>
      <c r="G470" s="250"/>
      <c r="H470" s="88"/>
      <c r="I470" s="36"/>
      <c r="J470" s="37"/>
      <c r="K470" s="38"/>
      <c r="L470" s="39"/>
      <c r="M470" s="38"/>
      <c r="N470" s="39"/>
      <c r="O470" s="40"/>
      <c r="P470" s="34"/>
      <c r="Q470" s="35"/>
      <c r="R470" s="35"/>
      <c r="S470" s="35"/>
      <c r="T470" s="35"/>
      <c r="U470" s="35"/>
      <c r="V470" s="35"/>
      <c r="W470" s="35"/>
      <c r="X470" s="35"/>
      <c r="Y470" s="35"/>
      <c r="Z470" s="35"/>
      <c r="AA470" s="35"/>
    </row>
    <row r="471" ht="14.25" customHeight="1">
      <c r="A471" s="83"/>
      <c r="B471" s="84"/>
      <c r="C471" s="108"/>
      <c r="D471" s="85"/>
      <c r="E471" s="117"/>
      <c r="F471" s="250"/>
      <c r="G471" s="250"/>
      <c r="H471" s="88"/>
      <c r="I471" s="36"/>
      <c r="J471" s="37"/>
      <c r="K471" s="38"/>
      <c r="L471" s="39"/>
      <c r="M471" s="38"/>
      <c r="N471" s="39"/>
      <c r="O471" s="40"/>
      <c r="P471" s="34"/>
      <c r="Q471" s="35"/>
      <c r="R471" s="35"/>
      <c r="S471" s="35"/>
      <c r="T471" s="35"/>
      <c r="U471" s="35"/>
      <c r="V471" s="35"/>
      <c r="W471" s="35"/>
      <c r="X471" s="35"/>
      <c r="Y471" s="35"/>
      <c r="Z471" s="35"/>
      <c r="AA471" s="35"/>
    </row>
    <row r="472" ht="14.25" customHeight="1">
      <c r="A472" s="83"/>
      <c r="B472" s="84"/>
      <c r="C472" s="108"/>
      <c r="D472" s="85"/>
      <c r="E472" s="117"/>
      <c r="F472" s="250"/>
      <c r="G472" s="250"/>
      <c r="H472" s="88"/>
      <c r="I472" s="36"/>
      <c r="J472" s="37"/>
      <c r="K472" s="38"/>
      <c r="L472" s="39"/>
      <c r="M472" s="38"/>
      <c r="N472" s="39"/>
      <c r="O472" s="40"/>
      <c r="P472" s="34"/>
      <c r="Q472" s="35"/>
      <c r="R472" s="35"/>
      <c r="S472" s="35"/>
      <c r="T472" s="35"/>
      <c r="U472" s="35"/>
      <c r="V472" s="35"/>
      <c r="W472" s="35"/>
      <c r="X472" s="35"/>
      <c r="Y472" s="35"/>
      <c r="Z472" s="35"/>
      <c r="AA472" s="35"/>
    </row>
    <row r="473" ht="14.25" customHeight="1">
      <c r="A473" s="83"/>
      <c r="B473" s="84"/>
      <c r="C473" s="108"/>
      <c r="D473" s="85"/>
      <c r="E473" s="117"/>
      <c r="F473" s="250"/>
      <c r="G473" s="250"/>
      <c r="H473" s="88"/>
      <c r="I473" s="36"/>
      <c r="J473" s="37"/>
      <c r="K473" s="38"/>
      <c r="L473" s="39"/>
      <c r="M473" s="38"/>
      <c r="N473" s="39"/>
      <c r="O473" s="40"/>
      <c r="P473" s="34"/>
      <c r="Q473" s="35"/>
      <c r="R473" s="35"/>
      <c r="S473" s="35"/>
      <c r="T473" s="35"/>
      <c r="U473" s="35"/>
      <c r="V473" s="35"/>
      <c r="W473" s="35"/>
      <c r="X473" s="35"/>
      <c r="Y473" s="35"/>
      <c r="Z473" s="35"/>
      <c r="AA473" s="35"/>
    </row>
    <row r="474" ht="14.25" customHeight="1">
      <c r="A474" s="83"/>
      <c r="B474" s="84"/>
      <c r="C474" s="108"/>
      <c r="D474" s="85"/>
      <c r="E474" s="117"/>
      <c r="F474" s="250"/>
      <c r="G474" s="250"/>
      <c r="H474" s="88"/>
      <c r="I474" s="36"/>
      <c r="J474" s="37"/>
      <c r="K474" s="38"/>
      <c r="L474" s="39"/>
      <c r="M474" s="38"/>
      <c r="N474" s="39"/>
      <c r="O474" s="40"/>
      <c r="P474" s="34"/>
      <c r="Q474" s="35"/>
      <c r="R474" s="35"/>
      <c r="S474" s="35"/>
      <c r="T474" s="35"/>
      <c r="U474" s="35"/>
      <c r="V474" s="35"/>
      <c r="W474" s="35"/>
      <c r="X474" s="35"/>
      <c r="Y474" s="35"/>
      <c r="Z474" s="35"/>
      <c r="AA474" s="35"/>
    </row>
    <row r="475" ht="14.25" customHeight="1">
      <c r="A475" s="83"/>
      <c r="B475" s="84"/>
      <c r="C475" s="108"/>
      <c r="D475" s="85"/>
      <c r="E475" s="117"/>
      <c r="F475" s="250"/>
      <c r="G475" s="250"/>
      <c r="H475" s="88"/>
      <c r="I475" s="36"/>
      <c r="J475" s="37"/>
      <c r="K475" s="38"/>
      <c r="L475" s="39"/>
      <c r="M475" s="38"/>
      <c r="N475" s="39"/>
      <c r="O475" s="40"/>
      <c r="P475" s="34"/>
      <c r="Q475" s="35"/>
      <c r="R475" s="35"/>
      <c r="S475" s="35"/>
      <c r="T475" s="35"/>
      <c r="U475" s="35"/>
      <c r="V475" s="35"/>
      <c r="W475" s="35"/>
      <c r="X475" s="35"/>
      <c r="Y475" s="35"/>
      <c r="Z475" s="35"/>
      <c r="AA475" s="35"/>
    </row>
    <row r="476" ht="14.25" customHeight="1">
      <c r="A476" s="83"/>
      <c r="B476" s="84"/>
      <c r="C476" s="108"/>
      <c r="D476" s="85"/>
      <c r="E476" s="117"/>
      <c r="F476" s="250"/>
      <c r="G476" s="250"/>
      <c r="H476" s="88"/>
      <c r="I476" s="36"/>
      <c r="J476" s="37"/>
      <c r="K476" s="38"/>
      <c r="L476" s="39"/>
      <c r="M476" s="38"/>
      <c r="N476" s="39"/>
      <c r="O476" s="40"/>
      <c r="P476" s="34"/>
      <c r="Q476" s="35"/>
      <c r="R476" s="35"/>
      <c r="S476" s="35"/>
      <c r="T476" s="35"/>
      <c r="U476" s="35"/>
      <c r="V476" s="35"/>
      <c r="W476" s="35"/>
      <c r="X476" s="35"/>
      <c r="Y476" s="35"/>
      <c r="Z476" s="35"/>
      <c r="AA476" s="35"/>
    </row>
    <row r="477" ht="14.25" customHeight="1">
      <c r="A477" s="83"/>
      <c r="B477" s="84"/>
      <c r="C477" s="108"/>
      <c r="D477" s="85"/>
      <c r="E477" s="117"/>
      <c r="F477" s="250"/>
      <c r="G477" s="250"/>
      <c r="H477" s="88"/>
      <c r="I477" s="36"/>
      <c r="J477" s="37"/>
      <c r="K477" s="38"/>
      <c r="L477" s="39"/>
      <c r="M477" s="38"/>
      <c r="N477" s="39"/>
      <c r="O477" s="40"/>
      <c r="P477" s="34"/>
      <c r="Q477" s="35"/>
      <c r="R477" s="35"/>
      <c r="S477" s="35"/>
      <c r="T477" s="35"/>
      <c r="U477" s="35"/>
      <c r="V477" s="35"/>
      <c r="W477" s="35"/>
      <c r="X477" s="35"/>
      <c r="Y477" s="35"/>
      <c r="Z477" s="35"/>
      <c r="AA477" s="35"/>
    </row>
    <row r="478" ht="14.25" customHeight="1">
      <c r="A478" s="83"/>
      <c r="B478" s="84"/>
      <c r="C478" s="108"/>
      <c r="D478" s="85"/>
      <c r="E478" s="117"/>
      <c r="F478" s="250"/>
      <c r="G478" s="250"/>
      <c r="H478" s="88"/>
      <c r="I478" s="36"/>
      <c r="J478" s="37"/>
      <c r="K478" s="38"/>
      <c r="L478" s="39"/>
      <c r="M478" s="38"/>
      <c r="N478" s="39"/>
      <c r="O478" s="40"/>
      <c r="P478" s="34"/>
      <c r="Q478" s="35"/>
      <c r="R478" s="35"/>
      <c r="S478" s="35"/>
      <c r="T478" s="35"/>
      <c r="U478" s="35"/>
      <c r="V478" s="35"/>
      <c r="W478" s="35"/>
      <c r="X478" s="35"/>
      <c r="Y478" s="35"/>
      <c r="Z478" s="35"/>
      <c r="AA478" s="35"/>
    </row>
    <row r="479" ht="14.25" customHeight="1">
      <c r="A479" s="83"/>
      <c r="B479" s="84"/>
      <c r="C479" s="108"/>
      <c r="D479" s="85"/>
      <c r="E479" s="117"/>
      <c r="F479" s="250"/>
      <c r="G479" s="250"/>
      <c r="H479" s="88"/>
      <c r="I479" s="36"/>
      <c r="J479" s="37"/>
      <c r="K479" s="38"/>
      <c r="L479" s="39"/>
      <c r="M479" s="38"/>
      <c r="N479" s="39"/>
      <c r="O479" s="40"/>
      <c r="P479" s="34"/>
      <c r="Q479" s="35"/>
      <c r="R479" s="35"/>
      <c r="S479" s="35"/>
      <c r="T479" s="35"/>
      <c r="U479" s="35"/>
      <c r="V479" s="35"/>
      <c r="W479" s="35"/>
      <c r="X479" s="35"/>
      <c r="Y479" s="35"/>
      <c r="Z479" s="35"/>
      <c r="AA479" s="35"/>
    </row>
    <row r="480" ht="14.25" customHeight="1">
      <c r="A480" s="83"/>
      <c r="B480" s="84"/>
      <c r="C480" s="108"/>
      <c r="D480" s="85"/>
      <c r="E480" s="117"/>
      <c r="F480" s="250"/>
      <c r="G480" s="250"/>
      <c r="H480" s="88"/>
      <c r="I480" s="36"/>
      <c r="J480" s="37"/>
      <c r="K480" s="38"/>
      <c r="L480" s="39"/>
      <c r="M480" s="38"/>
      <c r="N480" s="39"/>
      <c r="O480" s="40"/>
      <c r="P480" s="34"/>
      <c r="Q480" s="35"/>
      <c r="R480" s="35"/>
      <c r="S480" s="35"/>
      <c r="T480" s="35"/>
      <c r="U480" s="35"/>
      <c r="V480" s="35"/>
      <c r="W480" s="35"/>
      <c r="X480" s="35"/>
      <c r="Y480" s="35"/>
      <c r="Z480" s="35"/>
      <c r="AA480" s="35"/>
    </row>
    <row r="481" ht="14.25" customHeight="1">
      <c r="A481" s="83"/>
      <c r="B481" s="84"/>
      <c r="C481" s="108"/>
      <c r="D481" s="85"/>
      <c r="E481" s="117"/>
      <c r="F481" s="250"/>
      <c r="G481" s="250"/>
      <c r="H481" s="88"/>
      <c r="I481" s="36"/>
      <c r="J481" s="37"/>
      <c r="K481" s="38"/>
      <c r="L481" s="39"/>
      <c r="M481" s="38"/>
      <c r="N481" s="39"/>
      <c r="O481" s="40"/>
      <c r="P481" s="34"/>
      <c r="Q481" s="35"/>
      <c r="R481" s="35"/>
      <c r="S481" s="35"/>
      <c r="T481" s="35"/>
      <c r="U481" s="35"/>
      <c r="V481" s="35"/>
      <c r="W481" s="35"/>
      <c r="X481" s="35"/>
      <c r="Y481" s="35"/>
      <c r="Z481" s="35"/>
      <c r="AA481" s="35"/>
    </row>
    <row r="482" ht="14.25" customHeight="1">
      <c r="A482" s="83"/>
      <c r="B482" s="84"/>
      <c r="C482" s="108"/>
      <c r="D482" s="85"/>
      <c r="E482" s="117"/>
      <c r="F482" s="250"/>
      <c r="G482" s="250"/>
      <c r="H482" s="88"/>
      <c r="I482" s="36"/>
      <c r="J482" s="37"/>
      <c r="K482" s="38"/>
      <c r="L482" s="39"/>
      <c r="M482" s="38"/>
      <c r="N482" s="39"/>
      <c r="O482" s="40"/>
      <c r="P482" s="34"/>
      <c r="Q482" s="35"/>
      <c r="R482" s="35"/>
      <c r="S482" s="35"/>
      <c r="T482" s="35"/>
      <c r="U482" s="35"/>
      <c r="V482" s="35"/>
      <c r="W482" s="35"/>
      <c r="X482" s="35"/>
      <c r="Y482" s="35"/>
      <c r="Z482" s="35"/>
      <c r="AA482" s="35"/>
    </row>
    <row r="483" ht="14.25" customHeight="1">
      <c r="A483" s="83"/>
      <c r="B483" s="84"/>
      <c r="C483" s="108"/>
      <c r="D483" s="85"/>
      <c r="E483" s="117"/>
      <c r="F483" s="250"/>
      <c r="G483" s="250"/>
      <c r="H483" s="88"/>
      <c r="I483" s="36"/>
      <c r="J483" s="37"/>
      <c r="K483" s="38"/>
      <c r="L483" s="39"/>
      <c r="M483" s="38"/>
      <c r="N483" s="39"/>
      <c r="O483" s="40"/>
      <c r="P483" s="34"/>
      <c r="Q483" s="35"/>
      <c r="R483" s="35"/>
      <c r="S483" s="35"/>
      <c r="T483" s="35"/>
      <c r="U483" s="35"/>
      <c r="V483" s="35"/>
      <c r="W483" s="35"/>
      <c r="X483" s="35"/>
      <c r="Y483" s="35"/>
      <c r="Z483" s="35"/>
      <c r="AA483" s="35"/>
    </row>
    <row r="484" ht="14.25" customHeight="1">
      <c r="A484" s="83"/>
      <c r="B484" s="84"/>
      <c r="C484" s="108"/>
      <c r="D484" s="85"/>
      <c r="E484" s="117"/>
      <c r="F484" s="250"/>
      <c r="G484" s="250"/>
      <c r="H484" s="88"/>
      <c r="I484" s="36"/>
      <c r="J484" s="37"/>
      <c r="K484" s="38"/>
      <c r="L484" s="39"/>
      <c r="M484" s="38"/>
      <c r="N484" s="39"/>
      <c r="O484" s="40"/>
      <c r="P484" s="34"/>
      <c r="Q484" s="35"/>
      <c r="R484" s="35"/>
      <c r="S484" s="35"/>
      <c r="T484" s="35"/>
      <c r="U484" s="35"/>
      <c r="V484" s="35"/>
      <c r="W484" s="35"/>
      <c r="X484" s="35"/>
      <c r="Y484" s="35"/>
      <c r="Z484" s="35"/>
      <c r="AA484" s="35"/>
    </row>
    <row r="485" ht="14.25" customHeight="1">
      <c r="A485" s="83"/>
      <c r="B485" s="84"/>
      <c r="C485" s="108"/>
      <c r="D485" s="85"/>
      <c r="E485" s="117"/>
      <c r="F485" s="250"/>
      <c r="G485" s="250"/>
      <c r="H485" s="88"/>
      <c r="I485" s="36"/>
      <c r="J485" s="37"/>
      <c r="K485" s="38"/>
      <c r="L485" s="39"/>
      <c r="M485" s="38"/>
      <c r="N485" s="39"/>
      <c r="O485" s="40"/>
      <c r="P485" s="34"/>
      <c r="Q485" s="35"/>
      <c r="R485" s="35"/>
      <c r="S485" s="35"/>
      <c r="T485" s="35"/>
      <c r="U485" s="35"/>
      <c r="V485" s="35"/>
      <c r="W485" s="35"/>
      <c r="X485" s="35"/>
      <c r="Y485" s="35"/>
      <c r="Z485" s="35"/>
      <c r="AA485" s="35"/>
    </row>
    <row r="486" ht="14.25" customHeight="1">
      <c r="A486" s="83"/>
      <c r="B486" s="84"/>
      <c r="C486" s="108"/>
      <c r="D486" s="85"/>
      <c r="E486" s="117"/>
      <c r="F486" s="250"/>
      <c r="G486" s="250"/>
      <c r="H486" s="88"/>
      <c r="I486" s="36"/>
      <c r="J486" s="37"/>
      <c r="K486" s="38"/>
      <c r="L486" s="39"/>
      <c r="M486" s="38"/>
      <c r="N486" s="39"/>
      <c r="O486" s="40"/>
      <c r="P486" s="34"/>
      <c r="Q486" s="35"/>
      <c r="R486" s="35"/>
      <c r="S486" s="35"/>
      <c r="T486" s="35"/>
      <c r="U486" s="35"/>
      <c r="V486" s="35"/>
      <c r="W486" s="35"/>
      <c r="X486" s="35"/>
      <c r="Y486" s="35"/>
      <c r="Z486" s="35"/>
      <c r="AA486" s="35"/>
    </row>
    <row r="487" ht="14.25" customHeight="1">
      <c r="A487" s="83"/>
      <c r="B487" s="84"/>
      <c r="C487" s="108"/>
      <c r="D487" s="85"/>
      <c r="E487" s="117"/>
      <c r="F487" s="250"/>
      <c r="G487" s="250"/>
      <c r="H487" s="88"/>
      <c r="I487" s="36"/>
      <c r="J487" s="37"/>
      <c r="K487" s="38"/>
      <c r="L487" s="39"/>
      <c r="M487" s="38"/>
      <c r="N487" s="39"/>
      <c r="O487" s="40"/>
      <c r="P487" s="34"/>
      <c r="Q487" s="35"/>
      <c r="R487" s="35"/>
      <c r="S487" s="35"/>
      <c r="T487" s="35"/>
      <c r="U487" s="35"/>
      <c r="V487" s="35"/>
      <c r="W487" s="35"/>
      <c r="X487" s="35"/>
      <c r="Y487" s="35"/>
      <c r="Z487" s="35"/>
      <c r="AA487" s="35"/>
    </row>
    <row r="488" ht="14.25" customHeight="1">
      <c r="A488" s="83"/>
      <c r="B488" s="84"/>
      <c r="C488" s="108"/>
      <c r="D488" s="85"/>
      <c r="E488" s="117"/>
      <c r="F488" s="250"/>
      <c r="G488" s="250"/>
      <c r="H488" s="88"/>
      <c r="I488" s="36"/>
      <c r="J488" s="37"/>
      <c r="K488" s="38"/>
      <c r="L488" s="39"/>
      <c r="M488" s="38"/>
      <c r="N488" s="39"/>
      <c r="O488" s="40"/>
      <c r="P488" s="34"/>
      <c r="Q488" s="35"/>
      <c r="R488" s="35"/>
      <c r="S488" s="35"/>
      <c r="T488" s="35"/>
      <c r="U488" s="35"/>
      <c r="V488" s="35"/>
      <c r="W488" s="35"/>
      <c r="X488" s="35"/>
      <c r="Y488" s="35"/>
      <c r="Z488" s="35"/>
      <c r="AA488" s="35"/>
    </row>
    <row r="489" ht="14.25" customHeight="1">
      <c r="A489" s="83"/>
      <c r="B489" s="84"/>
      <c r="C489" s="108"/>
      <c r="D489" s="85"/>
      <c r="E489" s="117"/>
      <c r="F489" s="250"/>
      <c r="G489" s="250"/>
      <c r="H489" s="88"/>
      <c r="I489" s="36"/>
      <c r="J489" s="37"/>
      <c r="K489" s="38"/>
      <c r="L489" s="39"/>
      <c r="M489" s="38"/>
      <c r="N489" s="39"/>
      <c r="O489" s="40"/>
      <c r="P489" s="34"/>
      <c r="Q489" s="35"/>
      <c r="R489" s="35"/>
      <c r="S489" s="35"/>
      <c r="T489" s="35"/>
      <c r="U489" s="35"/>
      <c r="V489" s="35"/>
      <c r="W489" s="35"/>
      <c r="X489" s="35"/>
      <c r="Y489" s="35"/>
      <c r="Z489" s="35"/>
      <c r="AA489" s="35"/>
    </row>
    <row r="490" ht="14.25" customHeight="1">
      <c r="A490" s="83"/>
      <c r="B490" s="84"/>
      <c r="C490" s="108"/>
      <c r="D490" s="85"/>
      <c r="E490" s="117"/>
      <c r="F490" s="250"/>
      <c r="G490" s="250"/>
      <c r="H490" s="88"/>
      <c r="I490" s="36"/>
      <c r="J490" s="37"/>
      <c r="K490" s="38"/>
      <c r="L490" s="39"/>
      <c r="M490" s="38"/>
      <c r="N490" s="39"/>
      <c r="O490" s="40"/>
      <c r="P490" s="34"/>
      <c r="Q490" s="35"/>
      <c r="R490" s="35"/>
      <c r="S490" s="35"/>
      <c r="T490" s="35"/>
      <c r="U490" s="35"/>
      <c r="V490" s="35"/>
      <c r="W490" s="35"/>
      <c r="X490" s="35"/>
      <c r="Y490" s="35"/>
      <c r="Z490" s="35"/>
      <c r="AA490" s="35"/>
    </row>
    <row r="491" ht="14.25" customHeight="1">
      <c r="A491" s="83"/>
      <c r="B491" s="84"/>
      <c r="C491" s="108"/>
      <c r="D491" s="85"/>
      <c r="E491" s="117"/>
      <c r="F491" s="250"/>
      <c r="G491" s="250"/>
      <c r="H491" s="88"/>
      <c r="I491" s="36"/>
      <c r="J491" s="37"/>
      <c r="K491" s="38"/>
      <c r="L491" s="39"/>
      <c r="M491" s="38"/>
      <c r="N491" s="39"/>
      <c r="O491" s="40"/>
      <c r="P491" s="34"/>
      <c r="Q491" s="35"/>
      <c r="R491" s="35"/>
      <c r="S491" s="35"/>
      <c r="T491" s="35"/>
      <c r="U491" s="35"/>
      <c r="V491" s="35"/>
      <c r="W491" s="35"/>
      <c r="X491" s="35"/>
      <c r="Y491" s="35"/>
      <c r="Z491" s="35"/>
      <c r="AA491" s="35"/>
    </row>
    <row r="492" ht="14.25" customHeight="1">
      <c r="A492" s="83"/>
      <c r="B492" s="84"/>
      <c r="C492" s="108"/>
      <c r="D492" s="85"/>
      <c r="E492" s="117"/>
      <c r="F492" s="250"/>
      <c r="G492" s="250"/>
      <c r="H492" s="88"/>
      <c r="I492" s="36"/>
      <c r="J492" s="37"/>
      <c r="K492" s="38"/>
      <c r="L492" s="39"/>
      <c r="M492" s="38"/>
      <c r="N492" s="39"/>
      <c r="O492" s="40"/>
      <c r="P492" s="34"/>
      <c r="Q492" s="35"/>
      <c r="R492" s="35"/>
      <c r="S492" s="35"/>
      <c r="T492" s="35"/>
      <c r="U492" s="35"/>
      <c r="V492" s="35"/>
      <c r="W492" s="35"/>
      <c r="X492" s="35"/>
      <c r="Y492" s="35"/>
      <c r="Z492" s="35"/>
      <c r="AA492" s="35"/>
    </row>
    <row r="493" ht="14.25" customHeight="1">
      <c r="A493" s="83"/>
      <c r="B493" s="84"/>
      <c r="C493" s="108"/>
      <c r="D493" s="85"/>
      <c r="E493" s="117"/>
      <c r="F493" s="250"/>
      <c r="G493" s="250"/>
      <c r="H493" s="88"/>
      <c r="I493" s="36"/>
      <c r="J493" s="37"/>
      <c r="K493" s="38"/>
      <c r="L493" s="39"/>
      <c r="M493" s="38"/>
      <c r="N493" s="39"/>
      <c r="O493" s="40"/>
      <c r="P493" s="34"/>
      <c r="Q493" s="35"/>
      <c r="R493" s="35"/>
      <c r="S493" s="35"/>
      <c r="T493" s="35"/>
      <c r="U493" s="35"/>
      <c r="V493" s="35"/>
      <c r="W493" s="35"/>
      <c r="X493" s="35"/>
      <c r="Y493" s="35"/>
      <c r="Z493" s="35"/>
      <c r="AA493" s="35"/>
    </row>
    <row r="494" ht="14.25" customHeight="1">
      <c r="A494" s="83"/>
      <c r="B494" s="84"/>
      <c r="C494" s="108"/>
      <c r="D494" s="85"/>
      <c r="E494" s="117"/>
      <c r="F494" s="250"/>
      <c r="G494" s="250"/>
      <c r="H494" s="88"/>
      <c r="I494" s="36"/>
      <c r="J494" s="37"/>
      <c r="K494" s="38"/>
      <c r="L494" s="39"/>
      <c r="M494" s="38"/>
      <c r="N494" s="39"/>
      <c r="O494" s="40"/>
      <c r="P494" s="34"/>
      <c r="Q494" s="35"/>
      <c r="R494" s="35"/>
      <c r="S494" s="35"/>
      <c r="T494" s="35"/>
      <c r="U494" s="35"/>
      <c r="V494" s="35"/>
      <c r="W494" s="35"/>
      <c r="X494" s="35"/>
      <c r="Y494" s="35"/>
      <c r="Z494" s="35"/>
      <c r="AA494" s="35"/>
    </row>
    <row r="495" ht="14.25" customHeight="1">
      <c r="A495" s="83"/>
      <c r="B495" s="84"/>
      <c r="C495" s="108"/>
      <c r="D495" s="85"/>
      <c r="E495" s="117"/>
      <c r="F495" s="250"/>
      <c r="G495" s="250"/>
      <c r="H495" s="88"/>
      <c r="I495" s="36"/>
      <c r="J495" s="37"/>
      <c r="K495" s="38"/>
      <c r="L495" s="39"/>
      <c r="M495" s="38"/>
      <c r="N495" s="39"/>
      <c r="O495" s="40"/>
      <c r="P495" s="34"/>
      <c r="Q495" s="35"/>
      <c r="R495" s="35"/>
      <c r="S495" s="35"/>
      <c r="T495" s="35"/>
      <c r="U495" s="35"/>
      <c r="V495" s="35"/>
      <c r="W495" s="35"/>
      <c r="X495" s="35"/>
      <c r="Y495" s="35"/>
      <c r="Z495" s="35"/>
      <c r="AA495" s="35"/>
    </row>
    <row r="496" ht="14.25" customHeight="1">
      <c r="A496" s="83"/>
      <c r="B496" s="84"/>
      <c r="C496" s="108"/>
      <c r="D496" s="85"/>
      <c r="E496" s="117"/>
      <c r="F496" s="250"/>
      <c r="G496" s="250"/>
      <c r="H496" s="88"/>
      <c r="I496" s="36"/>
      <c r="J496" s="37"/>
      <c r="K496" s="38"/>
      <c r="L496" s="39"/>
      <c r="M496" s="38"/>
      <c r="N496" s="39"/>
      <c r="O496" s="40"/>
      <c r="P496" s="34"/>
      <c r="Q496" s="35"/>
      <c r="R496" s="35"/>
      <c r="S496" s="35"/>
      <c r="T496" s="35"/>
      <c r="U496" s="35"/>
      <c r="V496" s="35"/>
      <c r="W496" s="35"/>
      <c r="X496" s="35"/>
      <c r="Y496" s="35"/>
      <c r="Z496" s="35"/>
      <c r="AA496" s="35"/>
    </row>
    <row r="497" ht="14.25" customHeight="1">
      <c r="A497" s="83"/>
      <c r="B497" s="84"/>
      <c r="C497" s="108"/>
      <c r="D497" s="85"/>
      <c r="E497" s="117"/>
      <c r="F497" s="250"/>
      <c r="G497" s="250"/>
      <c r="H497" s="88"/>
      <c r="I497" s="36"/>
      <c r="J497" s="37"/>
      <c r="K497" s="38"/>
      <c r="L497" s="39"/>
      <c r="M497" s="38"/>
      <c r="N497" s="39"/>
      <c r="O497" s="40"/>
      <c r="P497" s="34"/>
      <c r="Q497" s="35"/>
      <c r="R497" s="35"/>
      <c r="S497" s="35"/>
      <c r="T497" s="35"/>
      <c r="U497" s="35"/>
      <c r="V497" s="35"/>
      <c r="W497" s="35"/>
      <c r="X497" s="35"/>
      <c r="Y497" s="35"/>
      <c r="Z497" s="35"/>
      <c r="AA497" s="35"/>
    </row>
    <row r="498" ht="14.25" customHeight="1">
      <c r="A498" s="83"/>
      <c r="B498" s="84"/>
      <c r="C498" s="108"/>
      <c r="D498" s="85"/>
      <c r="E498" s="117"/>
      <c r="F498" s="250"/>
      <c r="G498" s="250"/>
      <c r="H498" s="88"/>
      <c r="I498" s="36"/>
      <c r="J498" s="37"/>
      <c r="K498" s="38"/>
      <c r="L498" s="39"/>
      <c r="M498" s="38"/>
      <c r="N498" s="39"/>
      <c r="O498" s="40"/>
      <c r="P498" s="34"/>
      <c r="Q498" s="35"/>
      <c r="R498" s="35"/>
      <c r="S498" s="35"/>
      <c r="T498" s="35"/>
      <c r="U498" s="35"/>
      <c r="V498" s="35"/>
      <c r="W498" s="35"/>
      <c r="X498" s="35"/>
      <c r="Y498" s="35"/>
      <c r="Z498" s="35"/>
      <c r="AA498" s="35"/>
    </row>
    <row r="499" ht="14.25" customHeight="1">
      <c r="A499" s="83"/>
      <c r="B499" s="84"/>
      <c r="C499" s="108"/>
      <c r="D499" s="85"/>
      <c r="E499" s="117"/>
      <c r="F499" s="250"/>
      <c r="G499" s="250"/>
      <c r="H499" s="88"/>
      <c r="I499" s="36"/>
      <c r="J499" s="37"/>
      <c r="K499" s="38"/>
      <c r="L499" s="39"/>
      <c r="M499" s="38"/>
      <c r="N499" s="39"/>
      <c r="O499" s="40"/>
      <c r="P499" s="34"/>
      <c r="Q499" s="35"/>
      <c r="R499" s="35"/>
      <c r="S499" s="35"/>
      <c r="T499" s="35"/>
      <c r="U499" s="35"/>
      <c r="V499" s="35"/>
      <c r="W499" s="35"/>
      <c r="X499" s="35"/>
      <c r="Y499" s="35"/>
      <c r="Z499" s="35"/>
      <c r="AA499" s="35"/>
    </row>
    <row r="500" ht="14.25" customHeight="1">
      <c r="A500" s="83"/>
      <c r="B500" s="84"/>
      <c r="C500" s="108"/>
      <c r="D500" s="85"/>
      <c r="E500" s="117"/>
      <c r="F500" s="250"/>
      <c r="G500" s="250"/>
      <c r="H500" s="88"/>
      <c r="I500" s="36"/>
      <c r="J500" s="37"/>
      <c r="K500" s="38"/>
      <c r="L500" s="39"/>
      <c r="M500" s="38"/>
      <c r="N500" s="39"/>
      <c r="O500" s="40"/>
      <c r="P500" s="34"/>
      <c r="Q500" s="35"/>
      <c r="R500" s="35"/>
      <c r="S500" s="35"/>
      <c r="T500" s="35"/>
      <c r="U500" s="35"/>
      <c r="V500" s="35"/>
      <c r="W500" s="35"/>
      <c r="X500" s="35"/>
      <c r="Y500" s="35"/>
      <c r="Z500" s="35"/>
      <c r="AA500" s="35"/>
    </row>
    <row r="501" ht="14.25" customHeight="1">
      <c r="A501" s="83"/>
      <c r="B501" s="84"/>
      <c r="C501" s="108"/>
      <c r="D501" s="85"/>
      <c r="E501" s="117"/>
      <c r="F501" s="250"/>
      <c r="G501" s="250"/>
      <c r="H501" s="88"/>
      <c r="I501" s="36"/>
      <c r="J501" s="37"/>
      <c r="K501" s="38"/>
      <c r="L501" s="39"/>
      <c r="M501" s="38"/>
      <c r="N501" s="39"/>
      <c r="O501" s="40"/>
      <c r="P501" s="34"/>
      <c r="Q501" s="35"/>
      <c r="R501" s="35"/>
      <c r="S501" s="35"/>
      <c r="T501" s="35"/>
      <c r="U501" s="35"/>
      <c r="V501" s="35"/>
      <c r="W501" s="35"/>
      <c r="X501" s="35"/>
      <c r="Y501" s="35"/>
      <c r="Z501" s="35"/>
      <c r="AA501" s="35"/>
    </row>
    <row r="502" ht="14.25" customHeight="1">
      <c r="A502" s="83"/>
      <c r="B502" s="84"/>
      <c r="C502" s="108"/>
      <c r="D502" s="85"/>
      <c r="E502" s="117"/>
      <c r="F502" s="250"/>
      <c r="G502" s="250"/>
      <c r="H502" s="88"/>
      <c r="I502" s="36"/>
      <c r="J502" s="37"/>
      <c r="K502" s="38"/>
      <c r="L502" s="39"/>
      <c r="M502" s="38"/>
      <c r="N502" s="39"/>
      <c r="O502" s="40"/>
      <c r="P502" s="34"/>
      <c r="Q502" s="35"/>
      <c r="R502" s="35"/>
      <c r="S502" s="35"/>
      <c r="T502" s="35"/>
      <c r="U502" s="35"/>
      <c r="V502" s="35"/>
      <c r="W502" s="35"/>
      <c r="X502" s="35"/>
      <c r="Y502" s="35"/>
      <c r="Z502" s="35"/>
      <c r="AA502" s="35"/>
    </row>
    <row r="503" ht="14.25" customHeight="1">
      <c r="A503" s="83"/>
      <c r="B503" s="84"/>
      <c r="C503" s="108"/>
      <c r="D503" s="85"/>
      <c r="E503" s="117"/>
      <c r="F503" s="250"/>
      <c r="G503" s="250"/>
      <c r="H503" s="88"/>
      <c r="I503" s="36"/>
      <c r="J503" s="37"/>
      <c r="K503" s="38"/>
      <c r="L503" s="39"/>
      <c r="M503" s="38"/>
      <c r="N503" s="39"/>
      <c r="O503" s="40"/>
      <c r="P503" s="34"/>
      <c r="Q503" s="35"/>
      <c r="R503" s="35"/>
      <c r="S503" s="35"/>
      <c r="T503" s="35"/>
      <c r="U503" s="35"/>
      <c r="V503" s="35"/>
      <c r="W503" s="35"/>
      <c r="X503" s="35"/>
      <c r="Y503" s="35"/>
      <c r="Z503" s="35"/>
      <c r="AA503" s="35"/>
    </row>
    <row r="504" ht="14.25" customHeight="1">
      <c r="A504" s="83"/>
      <c r="B504" s="84"/>
      <c r="C504" s="108"/>
      <c r="D504" s="85"/>
      <c r="E504" s="117"/>
      <c r="F504" s="250"/>
      <c r="G504" s="250"/>
      <c r="H504" s="88"/>
      <c r="I504" s="36"/>
      <c r="J504" s="37"/>
      <c r="K504" s="38"/>
      <c r="L504" s="39"/>
      <c r="M504" s="38"/>
      <c r="N504" s="39"/>
      <c r="O504" s="40"/>
      <c r="P504" s="34"/>
      <c r="Q504" s="35"/>
      <c r="R504" s="35"/>
      <c r="S504" s="35"/>
      <c r="T504" s="35"/>
      <c r="U504" s="35"/>
      <c r="V504" s="35"/>
      <c r="W504" s="35"/>
      <c r="X504" s="35"/>
      <c r="Y504" s="35"/>
      <c r="Z504" s="35"/>
      <c r="AA504" s="35"/>
    </row>
    <row r="505" ht="14.25" customHeight="1">
      <c r="A505" s="83"/>
      <c r="B505" s="84"/>
      <c r="C505" s="108"/>
      <c r="D505" s="85"/>
      <c r="E505" s="117"/>
      <c r="F505" s="250"/>
      <c r="G505" s="250"/>
      <c r="H505" s="88"/>
      <c r="I505" s="36"/>
      <c r="J505" s="37"/>
      <c r="K505" s="38"/>
      <c r="L505" s="39"/>
      <c r="M505" s="38"/>
      <c r="N505" s="39"/>
      <c r="O505" s="40"/>
      <c r="P505" s="34"/>
      <c r="Q505" s="35"/>
      <c r="R505" s="35"/>
      <c r="S505" s="35"/>
      <c r="T505" s="35"/>
      <c r="U505" s="35"/>
      <c r="V505" s="35"/>
      <c r="W505" s="35"/>
      <c r="X505" s="35"/>
      <c r="Y505" s="35"/>
      <c r="Z505" s="35"/>
      <c r="AA505" s="35"/>
    </row>
    <row r="506" ht="14.25" customHeight="1">
      <c r="A506" s="83"/>
      <c r="B506" s="84"/>
      <c r="C506" s="108"/>
      <c r="D506" s="85"/>
      <c r="E506" s="117"/>
      <c r="F506" s="250"/>
      <c r="G506" s="250"/>
      <c r="H506" s="88"/>
      <c r="I506" s="36"/>
      <c r="J506" s="37"/>
      <c r="K506" s="38"/>
      <c r="L506" s="39"/>
      <c r="M506" s="38"/>
      <c r="N506" s="39"/>
      <c r="O506" s="40"/>
      <c r="P506" s="34"/>
      <c r="Q506" s="35"/>
      <c r="R506" s="35"/>
      <c r="S506" s="35"/>
      <c r="T506" s="35"/>
      <c r="U506" s="35"/>
      <c r="V506" s="35"/>
      <c r="W506" s="35"/>
      <c r="X506" s="35"/>
      <c r="Y506" s="35"/>
      <c r="Z506" s="35"/>
      <c r="AA506" s="35"/>
    </row>
    <row r="507" ht="14.25" customHeight="1">
      <c r="A507" s="83"/>
      <c r="B507" s="84"/>
      <c r="C507" s="108"/>
      <c r="D507" s="85"/>
      <c r="E507" s="117"/>
      <c r="F507" s="250"/>
      <c r="G507" s="250"/>
      <c r="H507" s="88"/>
      <c r="I507" s="36"/>
      <c r="J507" s="37"/>
      <c r="K507" s="38"/>
      <c r="L507" s="39"/>
      <c r="M507" s="38"/>
      <c r="N507" s="39"/>
      <c r="O507" s="40"/>
      <c r="P507" s="34"/>
      <c r="Q507" s="35"/>
      <c r="R507" s="35"/>
      <c r="S507" s="35"/>
      <c r="T507" s="35"/>
      <c r="U507" s="35"/>
      <c r="V507" s="35"/>
      <c r="W507" s="35"/>
      <c r="X507" s="35"/>
      <c r="Y507" s="35"/>
      <c r="Z507" s="35"/>
      <c r="AA507" s="35"/>
    </row>
    <row r="508" ht="14.25" customHeight="1">
      <c r="A508" s="83"/>
      <c r="B508" s="84"/>
      <c r="C508" s="108"/>
      <c r="D508" s="85"/>
      <c r="E508" s="117"/>
      <c r="F508" s="250"/>
      <c r="G508" s="250"/>
      <c r="H508" s="88"/>
      <c r="I508" s="36"/>
      <c r="J508" s="37"/>
      <c r="K508" s="38"/>
      <c r="L508" s="39"/>
      <c r="M508" s="38"/>
      <c r="N508" s="39"/>
      <c r="O508" s="40"/>
      <c r="P508" s="34"/>
      <c r="Q508" s="35"/>
      <c r="R508" s="35"/>
      <c r="S508" s="35"/>
      <c r="T508" s="35"/>
      <c r="U508" s="35"/>
      <c r="V508" s="35"/>
      <c r="W508" s="35"/>
      <c r="X508" s="35"/>
      <c r="Y508" s="35"/>
      <c r="Z508" s="35"/>
      <c r="AA508" s="35"/>
    </row>
    <row r="509" ht="14.25" customHeight="1">
      <c r="A509" s="83"/>
      <c r="B509" s="84"/>
      <c r="C509" s="108"/>
      <c r="D509" s="85"/>
      <c r="E509" s="117"/>
      <c r="F509" s="250"/>
      <c r="G509" s="250"/>
      <c r="H509" s="88"/>
      <c r="I509" s="36"/>
      <c r="J509" s="37"/>
      <c r="K509" s="38"/>
      <c r="L509" s="39"/>
      <c r="M509" s="38"/>
      <c r="N509" s="39"/>
      <c r="O509" s="40"/>
      <c r="P509" s="34"/>
      <c r="Q509" s="35"/>
      <c r="R509" s="35"/>
      <c r="S509" s="35"/>
      <c r="T509" s="35"/>
      <c r="U509" s="35"/>
      <c r="V509" s="35"/>
      <c r="W509" s="35"/>
      <c r="X509" s="35"/>
      <c r="Y509" s="35"/>
      <c r="Z509" s="35"/>
      <c r="AA509" s="35"/>
    </row>
    <row r="510" ht="14.25" customHeight="1">
      <c r="A510" s="83"/>
      <c r="B510" s="84"/>
      <c r="C510" s="108"/>
      <c r="D510" s="85"/>
      <c r="E510" s="117"/>
      <c r="F510" s="250"/>
      <c r="G510" s="250"/>
      <c r="H510" s="88"/>
      <c r="I510" s="36"/>
      <c r="J510" s="37"/>
      <c r="K510" s="38"/>
      <c r="L510" s="39"/>
      <c r="M510" s="38"/>
      <c r="N510" s="39"/>
      <c r="O510" s="40"/>
      <c r="P510" s="34"/>
      <c r="Q510" s="35"/>
      <c r="R510" s="35"/>
      <c r="S510" s="35"/>
      <c r="T510" s="35"/>
      <c r="U510" s="35"/>
      <c r="V510" s="35"/>
      <c r="W510" s="35"/>
      <c r="X510" s="35"/>
      <c r="Y510" s="35"/>
      <c r="Z510" s="35"/>
      <c r="AA510" s="35"/>
    </row>
    <row r="511" ht="14.25" customHeight="1">
      <c r="A511" s="83"/>
      <c r="B511" s="84"/>
      <c r="C511" s="108"/>
      <c r="D511" s="85"/>
      <c r="E511" s="117"/>
      <c r="F511" s="250"/>
      <c r="G511" s="250"/>
      <c r="H511" s="88"/>
      <c r="I511" s="36"/>
      <c r="J511" s="37"/>
      <c r="K511" s="38"/>
      <c r="L511" s="39"/>
      <c r="M511" s="38"/>
      <c r="N511" s="39"/>
      <c r="O511" s="40"/>
      <c r="P511" s="34"/>
      <c r="Q511" s="35"/>
      <c r="R511" s="35"/>
      <c r="S511" s="35"/>
      <c r="T511" s="35"/>
      <c r="U511" s="35"/>
      <c r="V511" s="35"/>
      <c r="W511" s="35"/>
      <c r="X511" s="35"/>
      <c r="Y511" s="35"/>
      <c r="Z511" s="35"/>
      <c r="AA511" s="35"/>
    </row>
    <row r="512" ht="14.25" customHeight="1">
      <c r="A512" s="83"/>
      <c r="B512" s="84"/>
      <c r="C512" s="108"/>
      <c r="D512" s="85"/>
      <c r="E512" s="117"/>
      <c r="F512" s="250"/>
      <c r="G512" s="250"/>
      <c r="H512" s="88"/>
      <c r="I512" s="36"/>
      <c r="J512" s="37"/>
      <c r="K512" s="38"/>
      <c r="L512" s="39"/>
      <c r="M512" s="38"/>
      <c r="N512" s="39"/>
      <c r="O512" s="40"/>
      <c r="P512" s="34"/>
      <c r="Q512" s="35"/>
      <c r="R512" s="35"/>
      <c r="S512" s="35"/>
      <c r="T512" s="35"/>
      <c r="U512" s="35"/>
      <c r="V512" s="35"/>
      <c r="W512" s="35"/>
      <c r="X512" s="35"/>
      <c r="Y512" s="35"/>
      <c r="Z512" s="35"/>
      <c r="AA512" s="35"/>
    </row>
    <row r="513" ht="14.25" customHeight="1">
      <c r="A513" s="83"/>
      <c r="B513" s="84"/>
      <c r="C513" s="108"/>
      <c r="D513" s="85"/>
      <c r="E513" s="117"/>
      <c r="F513" s="250"/>
      <c r="G513" s="250"/>
      <c r="H513" s="88"/>
      <c r="I513" s="36"/>
      <c r="J513" s="37"/>
      <c r="K513" s="38"/>
      <c r="L513" s="39"/>
      <c r="M513" s="38"/>
      <c r="N513" s="39"/>
      <c r="O513" s="40"/>
      <c r="P513" s="34"/>
      <c r="Q513" s="35"/>
      <c r="R513" s="35"/>
      <c r="S513" s="35"/>
      <c r="T513" s="35"/>
      <c r="U513" s="35"/>
      <c r="V513" s="35"/>
      <c r="W513" s="35"/>
      <c r="X513" s="35"/>
      <c r="Y513" s="35"/>
      <c r="Z513" s="35"/>
      <c r="AA513" s="35"/>
    </row>
    <row r="514" ht="14.25" customHeight="1">
      <c r="A514" s="83"/>
      <c r="B514" s="84"/>
      <c r="C514" s="108"/>
      <c r="D514" s="85"/>
      <c r="E514" s="117"/>
      <c r="F514" s="250"/>
      <c r="G514" s="250"/>
      <c r="H514" s="88"/>
      <c r="I514" s="36"/>
      <c r="J514" s="37"/>
      <c r="K514" s="38"/>
      <c r="L514" s="39"/>
      <c r="M514" s="38"/>
      <c r="N514" s="39"/>
      <c r="O514" s="40"/>
      <c r="P514" s="34"/>
      <c r="Q514" s="35"/>
      <c r="R514" s="35"/>
      <c r="S514" s="35"/>
      <c r="T514" s="35"/>
      <c r="U514" s="35"/>
      <c r="V514" s="35"/>
      <c r="W514" s="35"/>
      <c r="X514" s="35"/>
      <c r="Y514" s="35"/>
      <c r="Z514" s="35"/>
      <c r="AA514" s="35"/>
    </row>
    <row r="515" ht="14.25" customHeight="1">
      <c r="A515" s="83"/>
      <c r="B515" s="84"/>
      <c r="C515" s="108"/>
      <c r="D515" s="85"/>
      <c r="E515" s="117"/>
      <c r="F515" s="250"/>
      <c r="G515" s="250"/>
      <c r="H515" s="88"/>
      <c r="I515" s="36"/>
      <c r="J515" s="37"/>
      <c r="K515" s="38"/>
      <c r="L515" s="39"/>
      <c r="M515" s="38"/>
      <c r="N515" s="39"/>
      <c r="O515" s="40"/>
      <c r="P515" s="34"/>
      <c r="Q515" s="35"/>
      <c r="R515" s="35"/>
      <c r="S515" s="35"/>
      <c r="T515" s="35"/>
      <c r="U515" s="35"/>
      <c r="V515" s="35"/>
      <c r="W515" s="35"/>
      <c r="X515" s="35"/>
      <c r="Y515" s="35"/>
      <c r="Z515" s="35"/>
      <c r="AA515" s="35"/>
    </row>
    <row r="516" ht="14.25" customHeight="1">
      <c r="A516" s="83"/>
      <c r="B516" s="84"/>
      <c r="C516" s="108"/>
      <c r="D516" s="85"/>
      <c r="E516" s="117"/>
      <c r="F516" s="250"/>
      <c r="G516" s="250"/>
      <c r="H516" s="88"/>
      <c r="I516" s="36"/>
      <c r="J516" s="37"/>
      <c r="K516" s="38"/>
      <c r="L516" s="39"/>
      <c r="M516" s="38"/>
      <c r="N516" s="39"/>
      <c r="O516" s="40"/>
      <c r="P516" s="34"/>
      <c r="Q516" s="35"/>
      <c r="R516" s="35"/>
      <c r="S516" s="35"/>
      <c r="T516" s="35"/>
      <c r="U516" s="35"/>
      <c r="V516" s="35"/>
      <c r="W516" s="35"/>
      <c r="X516" s="35"/>
      <c r="Y516" s="35"/>
      <c r="Z516" s="35"/>
      <c r="AA516" s="35"/>
    </row>
    <row r="517" ht="14.25" customHeight="1">
      <c r="A517" s="83"/>
      <c r="B517" s="84"/>
      <c r="C517" s="108"/>
      <c r="D517" s="85"/>
      <c r="E517" s="117"/>
      <c r="F517" s="250"/>
      <c r="G517" s="250"/>
      <c r="H517" s="88"/>
      <c r="I517" s="36"/>
      <c r="J517" s="37"/>
      <c r="K517" s="38"/>
      <c r="L517" s="39"/>
      <c r="M517" s="38"/>
      <c r="N517" s="39"/>
      <c r="O517" s="40"/>
      <c r="P517" s="34"/>
      <c r="Q517" s="35"/>
      <c r="R517" s="35"/>
      <c r="S517" s="35"/>
      <c r="T517" s="35"/>
      <c r="U517" s="35"/>
      <c r="V517" s="35"/>
      <c r="W517" s="35"/>
      <c r="X517" s="35"/>
      <c r="Y517" s="35"/>
      <c r="Z517" s="35"/>
      <c r="AA517" s="35"/>
    </row>
    <row r="518" ht="14.25" customHeight="1">
      <c r="A518" s="83"/>
      <c r="B518" s="84"/>
      <c r="C518" s="108"/>
      <c r="D518" s="85"/>
      <c r="E518" s="117"/>
      <c r="F518" s="250"/>
      <c r="G518" s="250"/>
      <c r="H518" s="88"/>
      <c r="I518" s="36"/>
      <c r="J518" s="37"/>
      <c r="K518" s="38"/>
      <c r="L518" s="39"/>
      <c r="M518" s="38"/>
      <c r="N518" s="39"/>
      <c r="O518" s="40"/>
      <c r="P518" s="34"/>
      <c r="Q518" s="35"/>
      <c r="R518" s="35"/>
      <c r="S518" s="35"/>
      <c r="T518" s="35"/>
      <c r="U518" s="35"/>
      <c r="V518" s="35"/>
      <c r="W518" s="35"/>
      <c r="X518" s="35"/>
      <c r="Y518" s="35"/>
      <c r="Z518" s="35"/>
      <c r="AA518" s="35"/>
    </row>
    <row r="519" ht="14.25" customHeight="1">
      <c r="A519" s="83"/>
      <c r="B519" s="84"/>
      <c r="C519" s="108"/>
      <c r="D519" s="85"/>
      <c r="E519" s="117"/>
      <c r="F519" s="250"/>
      <c r="G519" s="250"/>
      <c r="H519" s="88"/>
      <c r="I519" s="36"/>
      <c r="J519" s="37"/>
      <c r="K519" s="38"/>
      <c r="L519" s="39"/>
      <c r="M519" s="38"/>
      <c r="N519" s="39"/>
      <c r="O519" s="40"/>
      <c r="P519" s="34"/>
      <c r="Q519" s="35"/>
      <c r="R519" s="35"/>
      <c r="S519" s="35"/>
      <c r="T519" s="35"/>
      <c r="U519" s="35"/>
      <c r="V519" s="35"/>
      <c r="W519" s="35"/>
      <c r="X519" s="35"/>
      <c r="Y519" s="35"/>
      <c r="Z519" s="35"/>
      <c r="AA519" s="35"/>
    </row>
    <row r="520" ht="14.25" customHeight="1">
      <c r="A520" s="83"/>
      <c r="B520" s="84"/>
      <c r="C520" s="108"/>
      <c r="D520" s="85"/>
      <c r="E520" s="117"/>
      <c r="F520" s="250"/>
      <c r="G520" s="250"/>
      <c r="H520" s="88"/>
      <c r="I520" s="36"/>
      <c r="J520" s="37"/>
      <c r="K520" s="38"/>
      <c r="L520" s="39"/>
      <c r="M520" s="38"/>
      <c r="N520" s="39"/>
      <c r="O520" s="40"/>
      <c r="P520" s="34"/>
      <c r="Q520" s="35"/>
      <c r="R520" s="35"/>
      <c r="S520" s="35"/>
      <c r="T520" s="35"/>
      <c r="U520" s="35"/>
      <c r="V520" s="35"/>
      <c r="W520" s="35"/>
      <c r="X520" s="35"/>
      <c r="Y520" s="35"/>
      <c r="Z520" s="35"/>
      <c r="AA520" s="35"/>
    </row>
    <row r="521" ht="14.25" customHeight="1">
      <c r="A521" s="83"/>
      <c r="B521" s="84"/>
      <c r="C521" s="108"/>
      <c r="D521" s="85"/>
      <c r="E521" s="117"/>
      <c r="F521" s="250"/>
      <c r="G521" s="250"/>
      <c r="H521" s="88"/>
      <c r="I521" s="36"/>
      <c r="J521" s="37"/>
      <c r="K521" s="38"/>
      <c r="L521" s="39"/>
      <c r="M521" s="38"/>
      <c r="N521" s="39"/>
      <c r="O521" s="40"/>
      <c r="P521" s="34"/>
      <c r="Q521" s="35"/>
      <c r="R521" s="35"/>
      <c r="S521" s="35"/>
      <c r="T521" s="35"/>
      <c r="U521" s="35"/>
      <c r="V521" s="35"/>
      <c r="W521" s="35"/>
      <c r="X521" s="35"/>
      <c r="Y521" s="35"/>
      <c r="Z521" s="35"/>
      <c r="AA521" s="35"/>
    </row>
    <row r="522" ht="14.25" customHeight="1">
      <c r="A522" s="83"/>
      <c r="B522" s="84"/>
      <c r="C522" s="108"/>
      <c r="D522" s="85"/>
      <c r="E522" s="117"/>
      <c r="F522" s="250"/>
      <c r="G522" s="250"/>
      <c r="H522" s="88"/>
      <c r="I522" s="36"/>
      <c r="J522" s="37"/>
      <c r="K522" s="38"/>
      <c r="L522" s="39"/>
      <c r="M522" s="38"/>
      <c r="N522" s="39"/>
      <c r="O522" s="40"/>
      <c r="P522" s="34"/>
      <c r="Q522" s="35"/>
      <c r="R522" s="35"/>
      <c r="S522" s="35"/>
      <c r="T522" s="35"/>
      <c r="U522" s="35"/>
      <c r="V522" s="35"/>
      <c r="W522" s="35"/>
      <c r="X522" s="35"/>
      <c r="Y522" s="35"/>
      <c r="Z522" s="35"/>
      <c r="AA522" s="35"/>
    </row>
    <row r="523" ht="14.25" customHeight="1">
      <c r="A523" s="136"/>
      <c r="B523" s="137"/>
      <c r="C523" s="251"/>
      <c r="D523" s="252"/>
      <c r="E523" s="136"/>
      <c r="F523" s="253"/>
      <c r="G523" s="253"/>
      <c r="H523" s="140"/>
      <c r="I523" s="141"/>
      <c r="J523" s="141"/>
      <c r="K523" s="142"/>
      <c r="L523" s="142"/>
      <c r="M523" s="142"/>
      <c r="N523" s="142"/>
      <c r="O523" s="136"/>
      <c r="P523" s="34"/>
      <c r="Q523" s="35"/>
      <c r="R523" s="35"/>
      <c r="S523" s="35"/>
      <c r="T523" s="35"/>
      <c r="U523" s="35"/>
      <c r="V523" s="35"/>
      <c r="W523" s="35"/>
      <c r="X523" s="35"/>
      <c r="Y523" s="35"/>
      <c r="Z523" s="35"/>
      <c r="AA523" s="35"/>
    </row>
    <row r="524" ht="14.25" customHeight="1">
      <c r="A524" s="136"/>
      <c r="B524" s="137"/>
      <c r="C524" s="251"/>
      <c r="D524" s="252"/>
      <c r="E524" s="136"/>
      <c r="F524" s="253"/>
      <c r="G524" s="253"/>
      <c r="H524" s="140"/>
      <c r="I524" s="141"/>
      <c r="J524" s="141"/>
      <c r="K524" s="142"/>
      <c r="L524" s="142"/>
      <c r="M524" s="142"/>
      <c r="N524" s="142"/>
      <c r="O524" s="136"/>
      <c r="P524" s="34"/>
      <c r="Q524" s="35"/>
      <c r="R524" s="35"/>
      <c r="S524" s="35"/>
      <c r="T524" s="35"/>
      <c r="U524" s="35"/>
      <c r="V524" s="35"/>
      <c r="W524" s="35"/>
      <c r="X524" s="35"/>
      <c r="Y524" s="35"/>
      <c r="Z524" s="35"/>
      <c r="AA524" s="35"/>
    </row>
    <row r="525" ht="14.25" customHeight="1">
      <c r="A525" s="136"/>
      <c r="B525" s="137"/>
      <c r="C525" s="251"/>
      <c r="D525" s="252"/>
      <c r="E525" s="136"/>
      <c r="F525" s="253"/>
      <c r="G525" s="253"/>
      <c r="H525" s="140"/>
      <c r="I525" s="141"/>
      <c r="J525" s="141"/>
      <c r="K525" s="142"/>
      <c r="L525" s="142"/>
      <c r="M525" s="142"/>
      <c r="N525" s="142"/>
      <c r="O525" s="136"/>
      <c r="P525" s="34"/>
      <c r="Q525" s="35"/>
      <c r="R525" s="35"/>
      <c r="S525" s="35"/>
      <c r="T525" s="35"/>
      <c r="U525" s="35"/>
      <c r="V525" s="35"/>
      <c r="W525" s="35"/>
      <c r="X525" s="35"/>
      <c r="Y525" s="35"/>
      <c r="Z525" s="35"/>
      <c r="AA525" s="35"/>
    </row>
    <row r="526" ht="14.25" customHeight="1">
      <c r="A526" s="136"/>
      <c r="B526" s="137"/>
      <c r="C526" s="251"/>
      <c r="D526" s="252"/>
      <c r="E526" s="136"/>
      <c r="F526" s="253"/>
      <c r="G526" s="253"/>
      <c r="H526" s="140"/>
      <c r="I526" s="141"/>
      <c r="J526" s="141"/>
      <c r="K526" s="142"/>
      <c r="L526" s="142"/>
      <c r="M526" s="142"/>
      <c r="N526" s="142"/>
      <c r="O526" s="136"/>
      <c r="P526" s="34"/>
      <c r="Q526" s="35"/>
      <c r="R526" s="35"/>
      <c r="S526" s="35"/>
      <c r="T526" s="35"/>
      <c r="U526" s="35"/>
      <c r="V526" s="35"/>
      <c r="W526" s="35"/>
      <c r="X526" s="35"/>
      <c r="Y526" s="35"/>
      <c r="Z526" s="35"/>
      <c r="AA526" s="35"/>
    </row>
    <row r="527" ht="14.25" customHeight="1">
      <c r="A527" s="136"/>
      <c r="B527" s="137"/>
      <c r="C527" s="251"/>
      <c r="D527" s="252"/>
      <c r="E527" s="136"/>
      <c r="F527" s="253"/>
      <c r="G527" s="253"/>
      <c r="H527" s="140"/>
      <c r="I527" s="141"/>
      <c r="J527" s="141"/>
      <c r="K527" s="142"/>
      <c r="L527" s="142"/>
      <c r="M527" s="142"/>
      <c r="N527" s="142"/>
      <c r="O527" s="136"/>
      <c r="P527" s="34"/>
      <c r="Q527" s="35"/>
      <c r="R527" s="35"/>
      <c r="S527" s="35"/>
      <c r="T527" s="35"/>
      <c r="U527" s="35"/>
      <c r="V527" s="35"/>
      <c r="W527" s="35"/>
      <c r="X527" s="35"/>
      <c r="Y527" s="35"/>
      <c r="Z527" s="35"/>
      <c r="AA527" s="35"/>
    </row>
    <row r="528" ht="14.25" customHeight="1">
      <c r="A528" s="136"/>
      <c r="B528" s="137"/>
      <c r="C528" s="251"/>
      <c r="D528" s="252"/>
      <c r="E528" s="136"/>
      <c r="F528" s="253"/>
      <c r="G528" s="253"/>
      <c r="H528" s="140"/>
      <c r="I528" s="141"/>
      <c r="J528" s="141"/>
      <c r="K528" s="142"/>
      <c r="L528" s="142"/>
      <c r="M528" s="142"/>
      <c r="N528" s="142"/>
      <c r="O528" s="136"/>
      <c r="P528" s="34"/>
      <c r="Q528" s="35"/>
      <c r="R528" s="35"/>
      <c r="S528" s="35"/>
      <c r="T528" s="35"/>
      <c r="U528" s="35"/>
      <c r="V528" s="35"/>
      <c r="W528" s="35"/>
      <c r="X528" s="35"/>
      <c r="Y528" s="35"/>
      <c r="Z528" s="35"/>
      <c r="AA528" s="35"/>
    </row>
    <row r="529" ht="14.25" customHeight="1">
      <c r="A529" s="136"/>
      <c r="B529" s="137"/>
      <c r="C529" s="251"/>
      <c r="D529" s="252"/>
      <c r="E529" s="136"/>
      <c r="F529" s="253"/>
      <c r="G529" s="253"/>
      <c r="H529" s="140"/>
      <c r="I529" s="141"/>
      <c r="J529" s="141"/>
      <c r="K529" s="142"/>
      <c r="L529" s="142"/>
      <c r="M529" s="142"/>
      <c r="N529" s="142"/>
      <c r="O529" s="136"/>
      <c r="P529" s="34"/>
      <c r="Q529" s="35"/>
      <c r="R529" s="35"/>
      <c r="S529" s="35"/>
      <c r="T529" s="35"/>
      <c r="U529" s="35"/>
      <c r="V529" s="35"/>
      <c r="W529" s="35"/>
      <c r="X529" s="35"/>
      <c r="Y529" s="35"/>
      <c r="Z529" s="35"/>
      <c r="AA529" s="35"/>
    </row>
    <row r="530" ht="14.25" customHeight="1">
      <c r="A530" s="136"/>
      <c r="B530" s="137"/>
      <c r="C530" s="251"/>
      <c r="D530" s="252"/>
      <c r="E530" s="136"/>
      <c r="F530" s="253"/>
      <c r="G530" s="253"/>
      <c r="H530" s="140"/>
      <c r="I530" s="141"/>
      <c r="J530" s="141"/>
      <c r="K530" s="142"/>
      <c r="L530" s="142"/>
      <c r="M530" s="142"/>
      <c r="N530" s="142"/>
      <c r="O530" s="136"/>
      <c r="P530" s="34"/>
      <c r="Q530" s="35"/>
      <c r="R530" s="35"/>
      <c r="S530" s="35"/>
      <c r="T530" s="35"/>
      <c r="U530" s="35"/>
      <c r="V530" s="35"/>
      <c r="W530" s="35"/>
      <c r="X530" s="35"/>
      <c r="Y530" s="35"/>
      <c r="Z530" s="35"/>
      <c r="AA530" s="35"/>
    </row>
    <row r="531" ht="14.25" customHeight="1">
      <c r="A531" s="136"/>
      <c r="B531" s="137"/>
      <c r="C531" s="251"/>
      <c r="D531" s="252"/>
      <c r="E531" s="136"/>
      <c r="F531" s="253"/>
      <c r="G531" s="253"/>
      <c r="H531" s="140"/>
      <c r="I531" s="141"/>
      <c r="J531" s="141"/>
      <c r="K531" s="142"/>
      <c r="L531" s="142"/>
      <c r="M531" s="142"/>
      <c r="N531" s="142"/>
      <c r="O531" s="136"/>
      <c r="P531" s="34"/>
      <c r="Q531" s="35"/>
      <c r="R531" s="35"/>
      <c r="S531" s="35"/>
      <c r="T531" s="35"/>
      <c r="U531" s="35"/>
      <c r="V531" s="35"/>
      <c r="W531" s="35"/>
      <c r="X531" s="35"/>
      <c r="Y531" s="35"/>
      <c r="Z531" s="35"/>
      <c r="AA531" s="35"/>
    </row>
    <row r="532" ht="14.25" customHeight="1">
      <c r="A532" s="136"/>
      <c r="B532" s="137"/>
      <c r="C532" s="251"/>
      <c r="D532" s="252"/>
      <c r="E532" s="136"/>
      <c r="F532" s="253"/>
      <c r="G532" s="253"/>
      <c r="H532" s="140"/>
      <c r="I532" s="141"/>
      <c r="J532" s="141"/>
      <c r="K532" s="142"/>
      <c r="L532" s="142"/>
      <c r="M532" s="142"/>
      <c r="N532" s="142"/>
      <c r="O532" s="136"/>
      <c r="P532" s="34"/>
      <c r="Q532" s="35"/>
      <c r="R532" s="35"/>
      <c r="S532" s="35"/>
      <c r="T532" s="35"/>
      <c r="U532" s="35"/>
      <c r="V532" s="35"/>
      <c r="W532" s="35"/>
      <c r="X532" s="35"/>
      <c r="Y532" s="35"/>
      <c r="Z532" s="35"/>
      <c r="AA532" s="35"/>
    </row>
    <row r="533" ht="14.25" customHeight="1">
      <c r="A533" s="136"/>
      <c r="B533" s="137"/>
      <c r="C533" s="251"/>
      <c r="D533" s="252"/>
      <c r="E533" s="136"/>
      <c r="F533" s="253"/>
      <c r="G533" s="253"/>
      <c r="H533" s="140"/>
      <c r="I533" s="141"/>
      <c r="J533" s="141"/>
      <c r="K533" s="142"/>
      <c r="L533" s="142"/>
      <c r="M533" s="142"/>
      <c r="N533" s="142"/>
      <c r="O533" s="136"/>
      <c r="P533" s="34"/>
      <c r="Q533" s="35"/>
      <c r="R533" s="35"/>
      <c r="S533" s="35"/>
      <c r="T533" s="35"/>
      <c r="U533" s="35"/>
      <c r="V533" s="35"/>
      <c r="W533" s="35"/>
      <c r="X533" s="35"/>
      <c r="Y533" s="35"/>
      <c r="Z533" s="35"/>
      <c r="AA533" s="35"/>
    </row>
    <row r="534" ht="14.25" customHeight="1">
      <c r="A534" s="136"/>
      <c r="B534" s="137"/>
      <c r="C534" s="251"/>
      <c r="D534" s="252"/>
      <c r="E534" s="136"/>
      <c r="F534" s="253"/>
      <c r="G534" s="253"/>
      <c r="H534" s="140"/>
      <c r="I534" s="141"/>
      <c r="J534" s="141"/>
      <c r="K534" s="142"/>
      <c r="L534" s="142"/>
      <c r="M534" s="142"/>
      <c r="N534" s="142"/>
      <c r="O534" s="136"/>
      <c r="P534" s="34"/>
      <c r="Q534" s="35"/>
      <c r="R534" s="35"/>
      <c r="S534" s="35"/>
      <c r="T534" s="35"/>
      <c r="U534" s="35"/>
      <c r="V534" s="35"/>
      <c r="W534" s="35"/>
      <c r="X534" s="35"/>
      <c r="Y534" s="35"/>
      <c r="Z534" s="35"/>
      <c r="AA534" s="35"/>
    </row>
    <row r="535" ht="14.25" customHeight="1">
      <c r="A535" s="136"/>
      <c r="B535" s="137"/>
      <c r="C535" s="251"/>
      <c r="D535" s="252"/>
      <c r="E535" s="136"/>
      <c r="F535" s="253"/>
      <c r="G535" s="253"/>
      <c r="H535" s="140"/>
      <c r="I535" s="141"/>
      <c r="J535" s="141"/>
      <c r="K535" s="142"/>
      <c r="L535" s="142"/>
      <c r="M535" s="142"/>
      <c r="N535" s="142"/>
      <c r="O535" s="136"/>
      <c r="P535" s="34"/>
      <c r="Q535" s="35"/>
      <c r="R535" s="35"/>
      <c r="S535" s="35"/>
      <c r="T535" s="35"/>
      <c r="U535" s="35"/>
      <c r="V535" s="35"/>
      <c r="W535" s="35"/>
      <c r="X535" s="35"/>
      <c r="Y535" s="35"/>
      <c r="Z535" s="35"/>
      <c r="AA535" s="35"/>
    </row>
    <row r="536" ht="14.25" customHeight="1">
      <c r="A536" s="136"/>
      <c r="B536" s="137"/>
      <c r="C536" s="251"/>
      <c r="D536" s="252"/>
      <c r="E536" s="136"/>
      <c r="F536" s="253"/>
      <c r="G536" s="253"/>
      <c r="H536" s="140"/>
      <c r="I536" s="141"/>
      <c r="J536" s="141"/>
      <c r="K536" s="142"/>
      <c r="L536" s="142"/>
      <c r="M536" s="142"/>
      <c r="N536" s="142"/>
      <c r="O536" s="136"/>
      <c r="P536" s="34"/>
      <c r="Q536" s="35"/>
      <c r="R536" s="35"/>
      <c r="S536" s="35"/>
      <c r="T536" s="35"/>
      <c r="U536" s="35"/>
      <c r="V536" s="35"/>
      <c r="W536" s="35"/>
      <c r="X536" s="35"/>
      <c r="Y536" s="35"/>
      <c r="Z536" s="35"/>
      <c r="AA536" s="35"/>
    </row>
    <row r="537" ht="14.25" customHeight="1">
      <c r="A537" s="136"/>
      <c r="B537" s="137"/>
      <c r="C537" s="251"/>
      <c r="D537" s="252"/>
      <c r="E537" s="136"/>
      <c r="F537" s="253"/>
      <c r="G537" s="253"/>
      <c r="H537" s="140"/>
      <c r="I537" s="141"/>
      <c r="J537" s="141"/>
      <c r="K537" s="142"/>
      <c r="L537" s="142"/>
      <c r="M537" s="142"/>
      <c r="N537" s="142"/>
      <c r="O537" s="136"/>
      <c r="P537" s="34"/>
      <c r="Q537" s="35"/>
      <c r="R537" s="35"/>
      <c r="S537" s="35"/>
      <c r="T537" s="35"/>
      <c r="U537" s="35"/>
      <c r="V537" s="35"/>
      <c r="W537" s="35"/>
      <c r="X537" s="35"/>
      <c r="Y537" s="35"/>
      <c r="Z537" s="35"/>
      <c r="AA537" s="35"/>
    </row>
    <row r="538" ht="14.25" customHeight="1">
      <c r="A538" s="136"/>
      <c r="B538" s="137"/>
      <c r="C538" s="251"/>
      <c r="D538" s="252"/>
      <c r="E538" s="136"/>
      <c r="F538" s="253"/>
      <c r="G538" s="253"/>
      <c r="H538" s="140"/>
      <c r="I538" s="141"/>
      <c r="J538" s="141"/>
      <c r="K538" s="142"/>
      <c r="L538" s="142"/>
      <c r="M538" s="142"/>
      <c r="N538" s="142"/>
      <c r="O538" s="136"/>
      <c r="P538" s="34"/>
      <c r="Q538" s="35"/>
      <c r="R538" s="35"/>
      <c r="S538" s="35"/>
      <c r="T538" s="35"/>
      <c r="U538" s="35"/>
      <c r="V538" s="35"/>
      <c r="W538" s="35"/>
      <c r="X538" s="35"/>
      <c r="Y538" s="35"/>
      <c r="Z538" s="35"/>
      <c r="AA538" s="35"/>
    </row>
    <row r="539" ht="14.25" customHeight="1">
      <c r="A539" s="136"/>
      <c r="B539" s="137"/>
      <c r="C539" s="251"/>
      <c r="D539" s="252"/>
      <c r="E539" s="136"/>
      <c r="F539" s="253"/>
      <c r="G539" s="253"/>
      <c r="H539" s="140"/>
      <c r="I539" s="141"/>
      <c r="J539" s="141"/>
      <c r="K539" s="142"/>
      <c r="L539" s="142"/>
      <c r="M539" s="142"/>
      <c r="N539" s="142"/>
      <c r="O539" s="136"/>
      <c r="P539" s="34"/>
      <c r="Q539" s="35"/>
      <c r="R539" s="35"/>
      <c r="S539" s="35"/>
      <c r="T539" s="35"/>
      <c r="U539" s="35"/>
      <c r="V539" s="35"/>
      <c r="W539" s="35"/>
      <c r="X539" s="35"/>
      <c r="Y539" s="35"/>
      <c r="Z539" s="35"/>
      <c r="AA539" s="35"/>
    </row>
    <row r="540" ht="14.25" customHeight="1">
      <c r="A540" s="136"/>
      <c r="B540" s="137"/>
      <c r="C540" s="251"/>
      <c r="D540" s="252"/>
      <c r="E540" s="136"/>
      <c r="F540" s="253"/>
      <c r="G540" s="253"/>
      <c r="H540" s="140"/>
      <c r="I540" s="141"/>
      <c r="J540" s="141"/>
      <c r="K540" s="142"/>
      <c r="L540" s="142"/>
      <c r="M540" s="142"/>
      <c r="N540" s="142"/>
      <c r="O540" s="136"/>
      <c r="P540" s="34"/>
      <c r="Q540" s="35"/>
      <c r="R540" s="35"/>
      <c r="S540" s="35"/>
      <c r="T540" s="35"/>
      <c r="U540" s="35"/>
      <c r="V540" s="35"/>
      <c r="W540" s="35"/>
      <c r="X540" s="35"/>
      <c r="Y540" s="35"/>
      <c r="Z540" s="35"/>
      <c r="AA540" s="35"/>
    </row>
    <row r="541" ht="14.25" customHeight="1">
      <c r="A541" s="136"/>
      <c r="B541" s="137"/>
      <c r="C541" s="251"/>
      <c r="D541" s="252"/>
      <c r="E541" s="136"/>
      <c r="F541" s="253"/>
      <c r="G541" s="253"/>
      <c r="H541" s="140"/>
      <c r="I541" s="141"/>
      <c r="J541" s="141"/>
      <c r="K541" s="142"/>
      <c r="L541" s="142"/>
      <c r="M541" s="142"/>
      <c r="N541" s="142"/>
      <c r="O541" s="136"/>
      <c r="P541" s="34"/>
      <c r="Q541" s="35"/>
      <c r="R541" s="35"/>
      <c r="S541" s="35"/>
      <c r="T541" s="35"/>
      <c r="U541" s="35"/>
      <c r="V541" s="35"/>
      <c r="W541" s="35"/>
      <c r="X541" s="35"/>
      <c r="Y541" s="35"/>
      <c r="Z541" s="35"/>
      <c r="AA541" s="35"/>
    </row>
    <row r="542" ht="14.25" customHeight="1">
      <c r="A542" s="136"/>
      <c r="B542" s="137"/>
      <c r="C542" s="251"/>
      <c r="D542" s="252"/>
      <c r="E542" s="136"/>
      <c r="F542" s="253"/>
      <c r="G542" s="253"/>
      <c r="H542" s="140"/>
      <c r="I542" s="141"/>
      <c r="J542" s="141"/>
      <c r="K542" s="142"/>
      <c r="L542" s="142"/>
      <c r="M542" s="142"/>
      <c r="N542" s="142"/>
      <c r="O542" s="136"/>
      <c r="P542" s="34"/>
      <c r="Q542" s="35"/>
      <c r="R542" s="35"/>
      <c r="S542" s="35"/>
      <c r="T542" s="35"/>
      <c r="U542" s="35"/>
      <c r="V542" s="35"/>
      <c r="W542" s="35"/>
      <c r="X542" s="35"/>
      <c r="Y542" s="35"/>
      <c r="Z542" s="35"/>
      <c r="AA542" s="35"/>
    </row>
    <row r="543" ht="14.25" customHeight="1">
      <c r="A543" s="136"/>
      <c r="B543" s="137"/>
      <c r="C543" s="251"/>
      <c r="D543" s="252"/>
      <c r="E543" s="136"/>
      <c r="F543" s="253"/>
      <c r="G543" s="253"/>
      <c r="H543" s="140"/>
      <c r="I543" s="141"/>
      <c r="J543" s="141"/>
      <c r="K543" s="142"/>
      <c r="L543" s="142"/>
      <c r="M543" s="142"/>
      <c r="N543" s="142"/>
      <c r="O543" s="136"/>
      <c r="P543" s="34"/>
      <c r="Q543" s="35"/>
      <c r="R543" s="35"/>
      <c r="S543" s="35"/>
      <c r="T543" s="35"/>
      <c r="U543" s="35"/>
      <c r="V543" s="35"/>
      <c r="W543" s="35"/>
      <c r="X543" s="35"/>
      <c r="Y543" s="35"/>
      <c r="Z543" s="35"/>
      <c r="AA543" s="35"/>
    </row>
    <row r="544" ht="14.25" customHeight="1">
      <c r="A544" s="136"/>
      <c r="B544" s="137"/>
      <c r="C544" s="251"/>
      <c r="D544" s="252"/>
      <c r="E544" s="136"/>
      <c r="F544" s="253"/>
      <c r="G544" s="253"/>
      <c r="H544" s="140"/>
      <c r="I544" s="141"/>
      <c r="J544" s="141"/>
      <c r="K544" s="142"/>
      <c r="L544" s="142"/>
      <c r="M544" s="142"/>
      <c r="N544" s="142"/>
      <c r="O544" s="136"/>
      <c r="P544" s="34"/>
      <c r="Q544" s="35"/>
      <c r="R544" s="35"/>
      <c r="S544" s="35"/>
      <c r="T544" s="35"/>
      <c r="U544" s="35"/>
      <c r="V544" s="35"/>
      <c r="W544" s="35"/>
      <c r="X544" s="35"/>
      <c r="Y544" s="35"/>
      <c r="Z544" s="35"/>
      <c r="AA544" s="35"/>
    </row>
    <row r="545" ht="14.25" customHeight="1">
      <c r="A545" s="136"/>
      <c r="B545" s="137"/>
      <c r="C545" s="251"/>
      <c r="D545" s="252"/>
      <c r="E545" s="136"/>
      <c r="F545" s="253"/>
      <c r="G545" s="253"/>
      <c r="H545" s="140"/>
      <c r="I545" s="141"/>
      <c r="J545" s="141"/>
      <c r="K545" s="142"/>
      <c r="L545" s="142"/>
      <c r="M545" s="142"/>
      <c r="N545" s="142"/>
      <c r="O545" s="136"/>
      <c r="P545" s="34"/>
      <c r="Q545" s="35"/>
      <c r="R545" s="35"/>
      <c r="S545" s="35"/>
      <c r="T545" s="35"/>
      <c r="U545" s="35"/>
      <c r="V545" s="35"/>
      <c r="W545" s="35"/>
      <c r="X545" s="35"/>
      <c r="Y545" s="35"/>
      <c r="Z545" s="35"/>
      <c r="AA545" s="35"/>
    </row>
    <row r="546" ht="14.25" customHeight="1">
      <c r="A546" s="136"/>
      <c r="B546" s="137"/>
      <c r="C546" s="251"/>
      <c r="D546" s="252"/>
      <c r="E546" s="136"/>
      <c r="F546" s="253"/>
      <c r="G546" s="253"/>
      <c r="H546" s="140"/>
      <c r="I546" s="141"/>
      <c r="J546" s="141"/>
      <c r="K546" s="142"/>
      <c r="L546" s="142"/>
      <c r="M546" s="142"/>
      <c r="N546" s="142"/>
      <c r="O546" s="136"/>
      <c r="P546" s="34"/>
      <c r="Q546" s="35"/>
      <c r="R546" s="35"/>
      <c r="S546" s="35"/>
      <c r="T546" s="35"/>
      <c r="U546" s="35"/>
      <c r="V546" s="35"/>
      <c r="W546" s="35"/>
      <c r="X546" s="35"/>
      <c r="Y546" s="35"/>
      <c r="Z546" s="35"/>
      <c r="AA546" s="35"/>
    </row>
    <row r="547" ht="14.25" customHeight="1">
      <c r="A547" s="136"/>
      <c r="B547" s="137"/>
      <c r="C547" s="251"/>
      <c r="D547" s="252"/>
      <c r="E547" s="136"/>
      <c r="F547" s="253"/>
      <c r="G547" s="253"/>
      <c r="H547" s="140"/>
      <c r="I547" s="141"/>
      <c r="J547" s="141"/>
      <c r="K547" s="142"/>
      <c r="L547" s="142"/>
      <c r="M547" s="142"/>
      <c r="N547" s="142"/>
      <c r="O547" s="136"/>
      <c r="P547" s="34"/>
      <c r="Q547" s="35"/>
      <c r="R547" s="35"/>
      <c r="S547" s="35"/>
      <c r="T547" s="35"/>
      <c r="U547" s="35"/>
      <c r="V547" s="35"/>
      <c r="W547" s="35"/>
      <c r="X547" s="35"/>
      <c r="Y547" s="35"/>
      <c r="Z547" s="35"/>
      <c r="AA547" s="35"/>
    </row>
    <row r="548" ht="14.25" customHeight="1">
      <c r="A548" s="136"/>
      <c r="B548" s="137"/>
      <c r="C548" s="251"/>
      <c r="D548" s="252"/>
      <c r="E548" s="136"/>
      <c r="F548" s="253"/>
      <c r="G548" s="253"/>
      <c r="H548" s="140"/>
      <c r="I548" s="141"/>
      <c r="J548" s="141"/>
      <c r="K548" s="142"/>
      <c r="L548" s="142"/>
      <c r="M548" s="142"/>
      <c r="N548" s="142"/>
      <c r="O548" s="136"/>
      <c r="P548" s="34"/>
      <c r="Q548" s="35"/>
      <c r="R548" s="35"/>
      <c r="S548" s="35"/>
      <c r="T548" s="35"/>
      <c r="U548" s="35"/>
      <c r="V548" s="35"/>
      <c r="W548" s="35"/>
      <c r="X548" s="35"/>
      <c r="Y548" s="35"/>
      <c r="Z548" s="35"/>
      <c r="AA548" s="35"/>
    </row>
    <row r="549" ht="14.25" customHeight="1">
      <c r="A549" s="136"/>
      <c r="B549" s="137"/>
      <c r="C549" s="251"/>
      <c r="D549" s="252"/>
      <c r="E549" s="136"/>
      <c r="F549" s="253"/>
      <c r="G549" s="253"/>
      <c r="H549" s="140"/>
      <c r="I549" s="141"/>
      <c r="J549" s="141"/>
      <c r="K549" s="142"/>
      <c r="L549" s="142"/>
      <c r="M549" s="142"/>
      <c r="N549" s="142"/>
      <c r="O549" s="136"/>
      <c r="P549" s="34"/>
      <c r="Q549" s="35"/>
      <c r="R549" s="35"/>
      <c r="S549" s="35"/>
      <c r="T549" s="35"/>
      <c r="U549" s="35"/>
      <c r="V549" s="35"/>
      <c r="W549" s="35"/>
      <c r="X549" s="35"/>
      <c r="Y549" s="35"/>
      <c r="Z549" s="35"/>
      <c r="AA549" s="35"/>
    </row>
    <row r="550" ht="14.25" customHeight="1">
      <c r="A550" s="136"/>
      <c r="B550" s="137"/>
      <c r="C550" s="251"/>
      <c r="D550" s="252"/>
      <c r="E550" s="136"/>
      <c r="F550" s="253"/>
      <c r="G550" s="253"/>
      <c r="H550" s="140"/>
      <c r="I550" s="141"/>
      <c r="J550" s="141"/>
      <c r="K550" s="142"/>
      <c r="L550" s="142"/>
      <c r="M550" s="142"/>
      <c r="N550" s="142"/>
      <c r="O550" s="136"/>
      <c r="P550" s="34"/>
      <c r="Q550" s="35"/>
      <c r="R550" s="35"/>
      <c r="S550" s="35"/>
      <c r="T550" s="35"/>
      <c r="U550" s="35"/>
      <c r="V550" s="35"/>
      <c r="W550" s="35"/>
      <c r="X550" s="35"/>
      <c r="Y550" s="35"/>
      <c r="Z550" s="35"/>
      <c r="AA550" s="35"/>
    </row>
    <row r="551" ht="14.25" customHeight="1">
      <c r="A551" s="136"/>
      <c r="B551" s="137"/>
      <c r="C551" s="251"/>
      <c r="D551" s="252"/>
      <c r="E551" s="136"/>
      <c r="F551" s="253"/>
      <c r="G551" s="253"/>
      <c r="H551" s="140"/>
      <c r="I551" s="141"/>
      <c r="J551" s="141"/>
      <c r="K551" s="142"/>
      <c r="L551" s="142"/>
      <c r="M551" s="142"/>
      <c r="N551" s="142"/>
      <c r="O551" s="136"/>
      <c r="P551" s="34"/>
      <c r="Q551" s="35"/>
      <c r="R551" s="35"/>
      <c r="S551" s="35"/>
      <c r="T551" s="35"/>
      <c r="U551" s="35"/>
      <c r="V551" s="35"/>
      <c r="W551" s="35"/>
      <c r="X551" s="35"/>
      <c r="Y551" s="35"/>
      <c r="Z551" s="35"/>
      <c r="AA551" s="35"/>
    </row>
    <row r="552" ht="14.25" customHeight="1">
      <c r="A552" s="136"/>
      <c r="B552" s="137"/>
      <c r="C552" s="251"/>
      <c r="D552" s="252"/>
      <c r="E552" s="136"/>
      <c r="F552" s="253"/>
      <c r="G552" s="253"/>
      <c r="H552" s="140"/>
      <c r="I552" s="141"/>
      <c r="J552" s="141"/>
      <c r="K552" s="142"/>
      <c r="L552" s="142"/>
      <c r="M552" s="142"/>
      <c r="N552" s="142"/>
      <c r="O552" s="136"/>
      <c r="P552" s="34"/>
      <c r="Q552" s="35"/>
      <c r="R552" s="35"/>
      <c r="S552" s="35"/>
      <c r="T552" s="35"/>
      <c r="U552" s="35"/>
      <c r="V552" s="35"/>
      <c r="W552" s="35"/>
      <c r="X552" s="35"/>
      <c r="Y552" s="35"/>
      <c r="Z552" s="35"/>
      <c r="AA552" s="35"/>
    </row>
    <row r="553" ht="14.25" customHeight="1">
      <c r="A553" s="136"/>
      <c r="B553" s="137"/>
      <c r="C553" s="251"/>
      <c r="D553" s="252"/>
      <c r="E553" s="136"/>
      <c r="F553" s="253"/>
      <c r="G553" s="253"/>
      <c r="H553" s="140"/>
      <c r="I553" s="141"/>
      <c r="J553" s="141"/>
      <c r="K553" s="142"/>
      <c r="L553" s="142"/>
      <c r="M553" s="142"/>
      <c r="N553" s="142"/>
      <c r="O553" s="136"/>
      <c r="P553" s="34"/>
      <c r="Q553" s="35"/>
      <c r="R553" s="35"/>
      <c r="S553" s="35"/>
      <c r="T553" s="35"/>
      <c r="U553" s="35"/>
      <c r="V553" s="35"/>
      <c r="W553" s="35"/>
      <c r="X553" s="35"/>
      <c r="Y553" s="35"/>
      <c r="Z553" s="35"/>
      <c r="AA553" s="35"/>
    </row>
    <row r="554" ht="14.25" customHeight="1">
      <c r="A554" s="136"/>
      <c r="B554" s="137"/>
      <c r="C554" s="251"/>
      <c r="D554" s="252"/>
      <c r="E554" s="136"/>
      <c r="F554" s="253"/>
      <c r="G554" s="253"/>
      <c r="H554" s="140"/>
      <c r="I554" s="141"/>
      <c r="J554" s="141"/>
      <c r="K554" s="142"/>
      <c r="L554" s="142"/>
      <c r="M554" s="142"/>
      <c r="N554" s="142"/>
      <c r="O554" s="136"/>
      <c r="P554" s="34"/>
      <c r="Q554" s="35"/>
      <c r="R554" s="35"/>
      <c r="S554" s="35"/>
      <c r="T554" s="35"/>
      <c r="U554" s="35"/>
      <c r="V554" s="35"/>
      <c r="W554" s="35"/>
      <c r="X554" s="35"/>
      <c r="Y554" s="35"/>
      <c r="Z554" s="35"/>
      <c r="AA554" s="35"/>
    </row>
    <row r="555" ht="14.25" customHeight="1">
      <c r="A555" s="136"/>
      <c r="B555" s="137"/>
      <c r="C555" s="251"/>
      <c r="D555" s="252"/>
      <c r="E555" s="136"/>
      <c r="F555" s="253"/>
      <c r="G555" s="253"/>
      <c r="H555" s="140"/>
      <c r="I555" s="141"/>
      <c r="J555" s="141"/>
      <c r="K555" s="142"/>
      <c r="L555" s="142"/>
      <c r="M555" s="142"/>
      <c r="N555" s="142"/>
      <c r="O555" s="136"/>
      <c r="P555" s="34"/>
      <c r="Q555" s="35"/>
      <c r="R555" s="35"/>
      <c r="S555" s="35"/>
      <c r="T555" s="35"/>
      <c r="U555" s="35"/>
      <c r="V555" s="35"/>
      <c r="W555" s="35"/>
      <c r="X555" s="35"/>
      <c r="Y555" s="35"/>
      <c r="Z555" s="35"/>
      <c r="AA555" s="35"/>
    </row>
    <row r="556" ht="14.25" customHeight="1">
      <c r="A556" s="136"/>
      <c r="B556" s="137"/>
      <c r="C556" s="251"/>
      <c r="D556" s="252"/>
      <c r="E556" s="136"/>
      <c r="F556" s="253"/>
      <c r="G556" s="253"/>
      <c r="H556" s="140"/>
      <c r="I556" s="141"/>
      <c r="J556" s="141"/>
      <c r="K556" s="142"/>
      <c r="L556" s="142"/>
      <c r="M556" s="142"/>
      <c r="N556" s="142"/>
      <c r="O556" s="136"/>
      <c r="P556" s="34"/>
      <c r="Q556" s="35"/>
      <c r="R556" s="35"/>
      <c r="S556" s="35"/>
      <c r="T556" s="35"/>
      <c r="U556" s="35"/>
      <c r="V556" s="35"/>
      <c r="W556" s="35"/>
      <c r="X556" s="35"/>
      <c r="Y556" s="35"/>
      <c r="Z556" s="35"/>
      <c r="AA556" s="35"/>
    </row>
    <row r="557" ht="14.25" customHeight="1">
      <c r="A557" s="136"/>
      <c r="B557" s="137"/>
      <c r="C557" s="251"/>
      <c r="D557" s="252"/>
      <c r="E557" s="136"/>
      <c r="F557" s="253"/>
      <c r="G557" s="253"/>
      <c r="H557" s="140"/>
      <c r="I557" s="141"/>
      <c r="J557" s="141"/>
      <c r="K557" s="142"/>
      <c r="L557" s="142"/>
      <c r="M557" s="142"/>
      <c r="N557" s="142"/>
      <c r="O557" s="136"/>
      <c r="P557" s="34"/>
      <c r="Q557" s="35"/>
      <c r="R557" s="35"/>
      <c r="S557" s="35"/>
      <c r="T557" s="35"/>
      <c r="U557" s="35"/>
      <c r="V557" s="35"/>
      <c r="W557" s="35"/>
      <c r="X557" s="35"/>
      <c r="Y557" s="35"/>
      <c r="Z557" s="35"/>
      <c r="AA557" s="35"/>
    </row>
    <row r="558" ht="14.25" customHeight="1">
      <c r="A558" s="136"/>
      <c r="B558" s="137"/>
      <c r="C558" s="251"/>
      <c r="D558" s="252"/>
      <c r="E558" s="136"/>
      <c r="F558" s="253"/>
      <c r="G558" s="253"/>
      <c r="H558" s="140"/>
      <c r="I558" s="141"/>
      <c r="J558" s="141"/>
      <c r="K558" s="142"/>
      <c r="L558" s="142"/>
      <c r="M558" s="142"/>
      <c r="N558" s="142"/>
      <c r="O558" s="136"/>
      <c r="P558" s="34"/>
      <c r="Q558" s="35"/>
      <c r="R558" s="35"/>
      <c r="S558" s="35"/>
      <c r="T558" s="35"/>
      <c r="U558" s="35"/>
      <c r="V558" s="35"/>
      <c r="W558" s="35"/>
      <c r="X558" s="35"/>
      <c r="Y558" s="35"/>
      <c r="Z558" s="35"/>
      <c r="AA558" s="35"/>
    </row>
    <row r="559" ht="14.25" customHeight="1">
      <c r="A559" s="136"/>
      <c r="B559" s="137"/>
      <c r="C559" s="251"/>
      <c r="D559" s="252"/>
      <c r="E559" s="136"/>
      <c r="F559" s="253"/>
      <c r="G559" s="253"/>
      <c r="H559" s="140"/>
      <c r="I559" s="141"/>
      <c r="J559" s="141"/>
      <c r="K559" s="142"/>
      <c r="L559" s="142"/>
      <c r="M559" s="142"/>
      <c r="N559" s="142"/>
      <c r="O559" s="136"/>
      <c r="P559" s="34"/>
      <c r="Q559" s="35"/>
      <c r="R559" s="35"/>
      <c r="S559" s="35"/>
      <c r="T559" s="35"/>
      <c r="U559" s="35"/>
      <c r="V559" s="35"/>
      <c r="W559" s="35"/>
      <c r="X559" s="35"/>
      <c r="Y559" s="35"/>
      <c r="Z559" s="35"/>
      <c r="AA559" s="35"/>
    </row>
    <row r="560" ht="14.25" customHeight="1">
      <c r="A560" s="136"/>
      <c r="B560" s="137"/>
      <c r="C560" s="251"/>
      <c r="D560" s="252"/>
      <c r="E560" s="136"/>
      <c r="F560" s="253"/>
      <c r="G560" s="253"/>
      <c r="H560" s="140"/>
      <c r="I560" s="141"/>
      <c r="J560" s="141"/>
      <c r="K560" s="142"/>
      <c r="L560" s="142"/>
      <c r="M560" s="142"/>
      <c r="N560" s="142"/>
      <c r="O560" s="136"/>
      <c r="P560" s="34"/>
      <c r="Q560" s="35"/>
      <c r="R560" s="35"/>
      <c r="S560" s="35"/>
      <c r="T560" s="35"/>
      <c r="U560" s="35"/>
      <c r="V560" s="35"/>
      <c r="W560" s="35"/>
      <c r="X560" s="35"/>
      <c r="Y560" s="35"/>
      <c r="Z560" s="35"/>
      <c r="AA560" s="35"/>
    </row>
    <row r="561" ht="14.25" customHeight="1">
      <c r="A561" s="136"/>
      <c r="B561" s="137"/>
      <c r="C561" s="251"/>
      <c r="D561" s="252"/>
      <c r="E561" s="136"/>
      <c r="F561" s="253"/>
      <c r="G561" s="253"/>
      <c r="H561" s="140"/>
      <c r="I561" s="141"/>
      <c r="J561" s="141"/>
      <c r="K561" s="142"/>
      <c r="L561" s="142"/>
      <c r="M561" s="142"/>
      <c r="N561" s="142"/>
      <c r="O561" s="136"/>
      <c r="P561" s="34"/>
      <c r="Q561" s="35"/>
      <c r="R561" s="35"/>
      <c r="S561" s="35"/>
      <c r="T561" s="35"/>
      <c r="U561" s="35"/>
      <c r="V561" s="35"/>
      <c r="W561" s="35"/>
      <c r="X561" s="35"/>
      <c r="Y561" s="35"/>
      <c r="Z561" s="35"/>
      <c r="AA561" s="35"/>
    </row>
    <row r="562" ht="14.25" customHeight="1">
      <c r="A562" s="136"/>
      <c r="B562" s="137"/>
      <c r="C562" s="251"/>
      <c r="D562" s="252"/>
      <c r="E562" s="136"/>
      <c r="F562" s="253"/>
      <c r="G562" s="253"/>
      <c r="H562" s="140"/>
      <c r="I562" s="141"/>
      <c r="J562" s="141"/>
      <c r="K562" s="142"/>
      <c r="L562" s="142"/>
      <c r="M562" s="142"/>
      <c r="N562" s="142"/>
      <c r="O562" s="136"/>
      <c r="P562" s="34"/>
      <c r="Q562" s="35"/>
      <c r="R562" s="35"/>
      <c r="S562" s="35"/>
      <c r="T562" s="35"/>
      <c r="U562" s="35"/>
      <c r="V562" s="35"/>
      <c r="W562" s="35"/>
      <c r="X562" s="35"/>
      <c r="Y562" s="35"/>
      <c r="Z562" s="35"/>
      <c r="AA562" s="35"/>
    </row>
    <row r="563" ht="14.25" customHeight="1">
      <c r="A563" s="136"/>
      <c r="B563" s="137"/>
      <c r="C563" s="251"/>
      <c r="D563" s="252"/>
      <c r="E563" s="136"/>
      <c r="F563" s="253"/>
      <c r="G563" s="253"/>
      <c r="H563" s="140"/>
      <c r="I563" s="141"/>
      <c r="J563" s="141"/>
      <c r="K563" s="142"/>
      <c r="L563" s="142"/>
      <c r="M563" s="142"/>
      <c r="N563" s="142"/>
      <c r="O563" s="136"/>
      <c r="P563" s="34"/>
      <c r="Q563" s="35"/>
      <c r="R563" s="35"/>
      <c r="S563" s="35"/>
      <c r="T563" s="35"/>
      <c r="U563" s="35"/>
      <c r="V563" s="35"/>
      <c r="W563" s="35"/>
      <c r="X563" s="35"/>
      <c r="Y563" s="35"/>
      <c r="Z563" s="35"/>
      <c r="AA563" s="35"/>
    </row>
    <row r="564" ht="14.25" customHeight="1">
      <c r="A564" s="136"/>
      <c r="B564" s="137"/>
      <c r="C564" s="251"/>
      <c r="D564" s="252"/>
      <c r="E564" s="136"/>
      <c r="F564" s="253"/>
      <c r="G564" s="253"/>
      <c r="H564" s="140"/>
      <c r="I564" s="141"/>
      <c r="J564" s="141"/>
      <c r="K564" s="142"/>
      <c r="L564" s="142"/>
      <c r="M564" s="142"/>
      <c r="N564" s="142"/>
      <c r="O564" s="136"/>
      <c r="P564" s="34"/>
      <c r="Q564" s="35"/>
      <c r="R564" s="35"/>
      <c r="S564" s="35"/>
      <c r="T564" s="35"/>
      <c r="U564" s="35"/>
      <c r="V564" s="35"/>
      <c r="W564" s="35"/>
      <c r="X564" s="35"/>
      <c r="Y564" s="35"/>
      <c r="Z564" s="35"/>
      <c r="AA564" s="35"/>
    </row>
    <row r="565" ht="14.25" customHeight="1">
      <c r="A565" s="136"/>
      <c r="B565" s="137"/>
      <c r="C565" s="251"/>
      <c r="D565" s="252"/>
      <c r="E565" s="136"/>
      <c r="F565" s="253"/>
      <c r="G565" s="253"/>
      <c r="H565" s="140"/>
      <c r="I565" s="141"/>
      <c r="J565" s="141"/>
      <c r="K565" s="142"/>
      <c r="L565" s="142"/>
      <c r="M565" s="142"/>
      <c r="N565" s="142"/>
      <c r="O565" s="136"/>
      <c r="P565" s="34"/>
      <c r="Q565" s="35"/>
      <c r="R565" s="35"/>
      <c r="S565" s="35"/>
      <c r="T565" s="35"/>
      <c r="U565" s="35"/>
      <c r="V565" s="35"/>
      <c r="W565" s="35"/>
      <c r="X565" s="35"/>
      <c r="Y565" s="35"/>
      <c r="Z565" s="35"/>
      <c r="AA565" s="35"/>
    </row>
    <row r="566" ht="14.25" customHeight="1">
      <c r="A566" s="136"/>
      <c r="B566" s="137"/>
      <c r="C566" s="251"/>
      <c r="D566" s="252"/>
      <c r="E566" s="136"/>
      <c r="F566" s="253"/>
      <c r="G566" s="253"/>
      <c r="H566" s="140"/>
      <c r="I566" s="141"/>
      <c r="J566" s="141"/>
      <c r="K566" s="142"/>
      <c r="L566" s="142"/>
      <c r="M566" s="142"/>
      <c r="N566" s="142"/>
      <c r="O566" s="136"/>
      <c r="P566" s="34"/>
      <c r="Q566" s="35"/>
      <c r="R566" s="35"/>
      <c r="S566" s="35"/>
      <c r="T566" s="35"/>
      <c r="U566" s="35"/>
      <c r="V566" s="35"/>
      <c r="W566" s="35"/>
      <c r="X566" s="35"/>
      <c r="Y566" s="35"/>
      <c r="Z566" s="35"/>
      <c r="AA566" s="35"/>
    </row>
    <row r="567" ht="14.25" customHeight="1">
      <c r="A567" s="136"/>
      <c r="B567" s="137"/>
      <c r="C567" s="251"/>
      <c r="D567" s="252"/>
      <c r="E567" s="136"/>
      <c r="F567" s="253"/>
      <c r="G567" s="253"/>
      <c r="H567" s="140"/>
      <c r="I567" s="141"/>
      <c r="J567" s="141"/>
      <c r="K567" s="142"/>
      <c r="L567" s="142"/>
      <c r="M567" s="142"/>
      <c r="N567" s="142"/>
      <c r="O567" s="136"/>
      <c r="P567" s="34"/>
      <c r="Q567" s="35"/>
      <c r="R567" s="35"/>
      <c r="S567" s="35"/>
      <c r="T567" s="35"/>
      <c r="U567" s="35"/>
      <c r="V567" s="35"/>
      <c r="W567" s="35"/>
      <c r="X567" s="35"/>
      <c r="Y567" s="35"/>
      <c r="Z567" s="35"/>
      <c r="AA567" s="35"/>
    </row>
    <row r="568" ht="14.25" customHeight="1">
      <c r="A568" s="136"/>
      <c r="B568" s="137"/>
      <c r="C568" s="251"/>
      <c r="D568" s="252"/>
      <c r="E568" s="136"/>
      <c r="F568" s="253"/>
      <c r="G568" s="253"/>
      <c r="H568" s="140"/>
      <c r="I568" s="141"/>
      <c r="J568" s="141"/>
      <c r="K568" s="142"/>
      <c r="L568" s="142"/>
      <c r="M568" s="142"/>
      <c r="N568" s="142"/>
      <c r="O568" s="136"/>
      <c r="P568" s="34"/>
      <c r="Q568" s="35"/>
      <c r="R568" s="35"/>
      <c r="S568" s="35"/>
      <c r="T568" s="35"/>
      <c r="U568" s="35"/>
      <c r="V568" s="35"/>
      <c r="W568" s="35"/>
      <c r="X568" s="35"/>
      <c r="Y568" s="35"/>
      <c r="Z568" s="35"/>
      <c r="AA568" s="35"/>
    </row>
    <row r="569" ht="14.25" customHeight="1">
      <c r="A569" s="136"/>
      <c r="B569" s="137"/>
      <c r="C569" s="251"/>
      <c r="D569" s="252"/>
      <c r="E569" s="136"/>
      <c r="F569" s="253"/>
      <c r="G569" s="253"/>
      <c r="H569" s="140"/>
      <c r="I569" s="141"/>
      <c r="J569" s="141"/>
      <c r="K569" s="142"/>
      <c r="L569" s="142"/>
      <c r="M569" s="142"/>
      <c r="N569" s="142"/>
      <c r="O569" s="136"/>
      <c r="P569" s="34"/>
      <c r="Q569" s="35"/>
      <c r="R569" s="35"/>
      <c r="S569" s="35"/>
      <c r="T569" s="35"/>
      <c r="U569" s="35"/>
      <c r="V569" s="35"/>
      <c r="W569" s="35"/>
      <c r="X569" s="35"/>
      <c r="Y569" s="35"/>
      <c r="Z569" s="35"/>
      <c r="AA569" s="35"/>
    </row>
    <row r="570" ht="14.25" customHeight="1">
      <c r="A570" s="136"/>
      <c r="B570" s="137"/>
      <c r="C570" s="251"/>
      <c r="D570" s="252"/>
      <c r="E570" s="136"/>
      <c r="F570" s="253"/>
      <c r="G570" s="253"/>
      <c r="H570" s="140"/>
      <c r="I570" s="141"/>
      <c r="J570" s="141"/>
      <c r="K570" s="142"/>
      <c r="L570" s="142"/>
      <c r="M570" s="142"/>
      <c r="N570" s="142"/>
      <c r="O570" s="136"/>
      <c r="P570" s="34"/>
      <c r="Q570" s="35"/>
      <c r="R570" s="35"/>
      <c r="S570" s="35"/>
      <c r="T570" s="35"/>
      <c r="U570" s="35"/>
      <c r="V570" s="35"/>
      <c r="W570" s="35"/>
      <c r="X570" s="35"/>
      <c r="Y570" s="35"/>
      <c r="Z570" s="35"/>
      <c r="AA570" s="35"/>
    </row>
    <row r="571" ht="14.25" customHeight="1">
      <c r="A571" s="136"/>
      <c r="B571" s="137"/>
      <c r="C571" s="251"/>
      <c r="D571" s="252"/>
      <c r="E571" s="136"/>
      <c r="F571" s="253"/>
      <c r="G571" s="253"/>
      <c r="H571" s="140"/>
      <c r="I571" s="141"/>
      <c r="J571" s="141"/>
      <c r="K571" s="142"/>
      <c r="L571" s="142"/>
      <c r="M571" s="142"/>
      <c r="N571" s="142"/>
      <c r="O571" s="136"/>
      <c r="P571" s="34"/>
      <c r="Q571" s="35"/>
      <c r="R571" s="35"/>
      <c r="S571" s="35"/>
      <c r="T571" s="35"/>
      <c r="U571" s="35"/>
      <c r="V571" s="35"/>
      <c r="W571" s="35"/>
      <c r="X571" s="35"/>
      <c r="Y571" s="35"/>
      <c r="Z571" s="35"/>
      <c r="AA571" s="35"/>
    </row>
    <row r="572" ht="14.25" customHeight="1">
      <c r="A572" s="136"/>
      <c r="B572" s="137"/>
      <c r="C572" s="251"/>
      <c r="D572" s="252"/>
      <c r="E572" s="136"/>
      <c r="F572" s="253"/>
      <c r="G572" s="253"/>
      <c r="H572" s="140"/>
      <c r="I572" s="141"/>
      <c r="J572" s="141"/>
      <c r="K572" s="142"/>
      <c r="L572" s="142"/>
      <c r="M572" s="142"/>
      <c r="N572" s="142"/>
      <c r="O572" s="136"/>
      <c r="P572" s="34"/>
      <c r="Q572" s="35"/>
      <c r="R572" s="35"/>
      <c r="S572" s="35"/>
      <c r="T572" s="35"/>
      <c r="U572" s="35"/>
      <c r="V572" s="35"/>
      <c r="W572" s="35"/>
      <c r="X572" s="35"/>
      <c r="Y572" s="35"/>
      <c r="Z572" s="35"/>
      <c r="AA572" s="35"/>
    </row>
    <row r="573" ht="14.25" customHeight="1">
      <c r="A573" s="136"/>
      <c r="B573" s="137"/>
      <c r="C573" s="251"/>
      <c r="D573" s="252"/>
      <c r="E573" s="136"/>
      <c r="F573" s="253"/>
      <c r="G573" s="253"/>
      <c r="H573" s="140"/>
      <c r="I573" s="141"/>
      <c r="J573" s="141"/>
      <c r="K573" s="142"/>
      <c r="L573" s="142"/>
      <c r="M573" s="142"/>
      <c r="N573" s="142"/>
      <c r="O573" s="136"/>
      <c r="P573" s="34"/>
      <c r="Q573" s="35"/>
      <c r="R573" s="35"/>
      <c r="S573" s="35"/>
      <c r="T573" s="35"/>
      <c r="U573" s="35"/>
      <c r="V573" s="35"/>
      <c r="W573" s="35"/>
      <c r="X573" s="35"/>
      <c r="Y573" s="35"/>
      <c r="Z573" s="35"/>
      <c r="AA573" s="35"/>
    </row>
    <row r="574" ht="14.25" customHeight="1">
      <c r="A574" s="136"/>
      <c r="B574" s="137"/>
      <c r="C574" s="251"/>
      <c r="D574" s="252"/>
      <c r="E574" s="136"/>
      <c r="F574" s="253"/>
      <c r="G574" s="253"/>
      <c r="H574" s="140"/>
      <c r="I574" s="141"/>
      <c r="J574" s="141"/>
      <c r="K574" s="142"/>
      <c r="L574" s="142"/>
      <c r="M574" s="142"/>
      <c r="N574" s="142"/>
      <c r="O574" s="136"/>
      <c r="P574" s="34"/>
      <c r="Q574" s="35"/>
      <c r="R574" s="35"/>
      <c r="S574" s="35"/>
      <c r="T574" s="35"/>
      <c r="U574" s="35"/>
      <c r="V574" s="35"/>
      <c r="W574" s="35"/>
      <c r="X574" s="35"/>
      <c r="Y574" s="35"/>
      <c r="Z574" s="35"/>
      <c r="AA574" s="35"/>
    </row>
    <row r="575" ht="14.25" customHeight="1">
      <c r="A575" s="136"/>
      <c r="B575" s="137"/>
      <c r="C575" s="251"/>
      <c r="D575" s="252"/>
      <c r="E575" s="136"/>
      <c r="F575" s="253"/>
      <c r="G575" s="253"/>
      <c r="H575" s="140"/>
      <c r="I575" s="141"/>
      <c r="J575" s="141"/>
      <c r="K575" s="142"/>
      <c r="L575" s="142"/>
      <c r="M575" s="142"/>
      <c r="N575" s="142"/>
      <c r="O575" s="136"/>
      <c r="P575" s="34"/>
      <c r="Q575" s="35"/>
      <c r="R575" s="35"/>
      <c r="S575" s="35"/>
      <c r="T575" s="35"/>
      <c r="U575" s="35"/>
      <c r="V575" s="35"/>
      <c r="W575" s="35"/>
      <c r="X575" s="35"/>
      <c r="Y575" s="35"/>
      <c r="Z575" s="35"/>
      <c r="AA575" s="35"/>
    </row>
    <row r="576" ht="14.25" customHeight="1">
      <c r="A576" s="136"/>
      <c r="B576" s="137"/>
      <c r="C576" s="251"/>
      <c r="D576" s="252"/>
      <c r="E576" s="136"/>
      <c r="F576" s="253"/>
      <c r="G576" s="253"/>
      <c r="H576" s="140"/>
      <c r="I576" s="141"/>
      <c r="J576" s="141"/>
      <c r="K576" s="142"/>
      <c r="L576" s="142"/>
      <c r="M576" s="142"/>
      <c r="N576" s="142"/>
      <c r="O576" s="136"/>
      <c r="P576" s="34"/>
      <c r="Q576" s="35"/>
      <c r="R576" s="35"/>
      <c r="S576" s="35"/>
      <c r="T576" s="35"/>
      <c r="U576" s="35"/>
      <c r="V576" s="35"/>
      <c r="W576" s="35"/>
      <c r="X576" s="35"/>
      <c r="Y576" s="35"/>
      <c r="Z576" s="35"/>
      <c r="AA576" s="35"/>
    </row>
    <row r="577" ht="14.25" customHeight="1">
      <c r="A577" s="136"/>
      <c r="B577" s="137"/>
      <c r="C577" s="251"/>
      <c r="D577" s="252"/>
      <c r="E577" s="136"/>
      <c r="F577" s="253"/>
      <c r="G577" s="253"/>
      <c r="H577" s="140"/>
      <c r="I577" s="141"/>
      <c r="J577" s="141"/>
      <c r="K577" s="142"/>
      <c r="L577" s="142"/>
      <c r="M577" s="142"/>
      <c r="N577" s="142"/>
      <c r="O577" s="136"/>
      <c r="P577" s="34"/>
      <c r="Q577" s="35"/>
      <c r="R577" s="35"/>
      <c r="S577" s="35"/>
      <c r="T577" s="35"/>
      <c r="U577" s="35"/>
      <c r="V577" s="35"/>
      <c r="W577" s="35"/>
      <c r="X577" s="35"/>
      <c r="Y577" s="35"/>
      <c r="Z577" s="35"/>
      <c r="AA577" s="35"/>
    </row>
    <row r="578" ht="14.25" customHeight="1">
      <c r="A578" s="136"/>
      <c r="B578" s="137"/>
      <c r="C578" s="251"/>
      <c r="D578" s="252"/>
      <c r="E578" s="136"/>
      <c r="F578" s="253"/>
      <c r="G578" s="253"/>
      <c r="H578" s="140"/>
      <c r="I578" s="141"/>
      <c r="J578" s="141"/>
      <c r="K578" s="142"/>
      <c r="L578" s="142"/>
      <c r="M578" s="142"/>
      <c r="N578" s="142"/>
      <c r="O578" s="136"/>
      <c r="P578" s="34"/>
      <c r="Q578" s="35"/>
      <c r="R578" s="35"/>
      <c r="S578" s="35"/>
      <c r="T578" s="35"/>
      <c r="U578" s="35"/>
      <c r="V578" s="35"/>
      <c r="W578" s="35"/>
      <c r="X578" s="35"/>
      <c r="Y578" s="35"/>
      <c r="Z578" s="35"/>
      <c r="AA578" s="35"/>
    </row>
    <row r="579" ht="14.25" customHeight="1">
      <c r="A579" s="136"/>
      <c r="B579" s="137"/>
      <c r="C579" s="251"/>
      <c r="D579" s="252"/>
      <c r="E579" s="136"/>
      <c r="F579" s="253"/>
      <c r="G579" s="253"/>
      <c r="H579" s="140"/>
      <c r="I579" s="141"/>
      <c r="J579" s="141"/>
      <c r="K579" s="142"/>
      <c r="L579" s="142"/>
      <c r="M579" s="142"/>
      <c r="N579" s="142"/>
      <c r="O579" s="136"/>
      <c r="P579" s="34"/>
      <c r="Q579" s="35"/>
      <c r="R579" s="35"/>
      <c r="S579" s="35"/>
      <c r="T579" s="35"/>
      <c r="U579" s="35"/>
      <c r="V579" s="35"/>
      <c r="W579" s="35"/>
      <c r="X579" s="35"/>
      <c r="Y579" s="35"/>
      <c r="Z579" s="35"/>
      <c r="AA579" s="35"/>
    </row>
    <row r="580" ht="14.25" customHeight="1">
      <c r="A580" s="136"/>
      <c r="B580" s="137"/>
      <c r="C580" s="251"/>
      <c r="D580" s="252"/>
      <c r="E580" s="136"/>
      <c r="F580" s="253"/>
      <c r="G580" s="253"/>
      <c r="H580" s="140"/>
      <c r="I580" s="141"/>
      <c r="J580" s="141"/>
      <c r="K580" s="142"/>
      <c r="L580" s="142"/>
      <c r="M580" s="142"/>
      <c r="N580" s="142"/>
      <c r="O580" s="136"/>
      <c r="P580" s="34"/>
      <c r="Q580" s="35"/>
      <c r="R580" s="35"/>
      <c r="S580" s="35"/>
      <c r="T580" s="35"/>
      <c r="U580" s="35"/>
      <c r="V580" s="35"/>
      <c r="W580" s="35"/>
      <c r="X580" s="35"/>
      <c r="Y580" s="35"/>
      <c r="Z580" s="35"/>
      <c r="AA580" s="35"/>
    </row>
    <row r="581" ht="14.25" customHeight="1">
      <c r="A581" s="136"/>
      <c r="B581" s="137"/>
      <c r="C581" s="251"/>
      <c r="D581" s="252"/>
      <c r="E581" s="136"/>
      <c r="F581" s="253"/>
      <c r="G581" s="253"/>
      <c r="H581" s="140"/>
      <c r="I581" s="141"/>
      <c r="J581" s="141"/>
      <c r="K581" s="142"/>
      <c r="L581" s="142"/>
      <c r="M581" s="142"/>
      <c r="N581" s="142"/>
      <c r="O581" s="136"/>
      <c r="P581" s="34"/>
      <c r="Q581" s="35"/>
      <c r="R581" s="35"/>
      <c r="S581" s="35"/>
      <c r="T581" s="35"/>
      <c r="U581" s="35"/>
      <c r="V581" s="35"/>
      <c r="W581" s="35"/>
      <c r="X581" s="35"/>
      <c r="Y581" s="35"/>
      <c r="Z581" s="35"/>
      <c r="AA581" s="35"/>
    </row>
    <row r="582" ht="14.25" customHeight="1">
      <c r="A582" s="136"/>
      <c r="B582" s="137"/>
      <c r="C582" s="251"/>
      <c r="D582" s="252"/>
      <c r="E582" s="136"/>
      <c r="F582" s="253"/>
      <c r="G582" s="253"/>
      <c r="H582" s="140"/>
      <c r="I582" s="141"/>
      <c r="J582" s="141"/>
      <c r="K582" s="142"/>
      <c r="L582" s="142"/>
      <c r="M582" s="142"/>
      <c r="N582" s="142"/>
      <c r="O582" s="136"/>
      <c r="P582" s="34"/>
      <c r="Q582" s="35"/>
      <c r="R582" s="35"/>
      <c r="S582" s="35"/>
      <c r="T582" s="35"/>
      <c r="U582" s="35"/>
      <c r="V582" s="35"/>
      <c r="W582" s="35"/>
      <c r="X582" s="35"/>
      <c r="Y582" s="35"/>
      <c r="Z582" s="35"/>
      <c r="AA582" s="35"/>
    </row>
    <row r="583" ht="14.25" customHeight="1">
      <c r="A583" s="136"/>
      <c r="B583" s="137"/>
      <c r="C583" s="251"/>
      <c r="D583" s="252"/>
      <c r="E583" s="136"/>
      <c r="F583" s="253"/>
      <c r="G583" s="253"/>
      <c r="H583" s="140"/>
      <c r="I583" s="141"/>
      <c r="J583" s="141"/>
      <c r="K583" s="142"/>
      <c r="L583" s="142"/>
      <c r="M583" s="142"/>
      <c r="N583" s="142"/>
      <c r="O583" s="136"/>
      <c r="P583" s="34"/>
      <c r="Q583" s="35"/>
      <c r="R583" s="35"/>
      <c r="S583" s="35"/>
      <c r="T583" s="35"/>
      <c r="U583" s="35"/>
      <c r="V583" s="35"/>
      <c r="W583" s="35"/>
      <c r="X583" s="35"/>
      <c r="Y583" s="35"/>
      <c r="Z583" s="35"/>
      <c r="AA583" s="35"/>
    </row>
    <row r="584" ht="14.25" customHeight="1">
      <c r="A584" s="136"/>
      <c r="B584" s="137"/>
      <c r="C584" s="251"/>
      <c r="D584" s="252"/>
      <c r="E584" s="136"/>
      <c r="F584" s="253"/>
      <c r="G584" s="253"/>
      <c r="H584" s="140"/>
      <c r="I584" s="141"/>
      <c r="J584" s="141"/>
      <c r="K584" s="142"/>
      <c r="L584" s="142"/>
      <c r="M584" s="142"/>
      <c r="N584" s="142"/>
      <c r="O584" s="136"/>
      <c r="P584" s="34"/>
      <c r="Q584" s="35"/>
      <c r="R584" s="35"/>
      <c r="S584" s="35"/>
      <c r="T584" s="35"/>
      <c r="U584" s="35"/>
      <c r="V584" s="35"/>
      <c r="W584" s="35"/>
      <c r="X584" s="35"/>
      <c r="Y584" s="35"/>
      <c r="Z584" s="35"/>
      <c r="AA584" s="35"/>
    </row>
    <row r="585" ht="14.25" customHeight="1">
      <c r="A585" s="136"/>
      <c r="B585" s="137"/>
      <c r="C585" s="251"/>
      <c r="D585" s="252"/>
      <c r="E585" s="136"/>
      <c r="F585" s="253"/>
      <c r="G585" s="253"/>
      <c r="H585" s="140"/>
      <c r="I585" s="141"/>
      <c r="J585" s="141"/>
      <c r="K585" s="142"/>
      <c r="L585" s="142"/>
      <c r="M585" s="142"/>
      <c r="N585" s="142"/>
      <c r="O585" s="136"/>
      <c r="P585" s="34"/>
      <c r="Q585" s="35"/>
      <c r="R585" s="35"/>
      <c r="S585" s="35"/>
      <c r="T585" s="35"/>
      <c r="U585" s="35"/>
      <c r="V585" s="35"/>
      <c r="W585" s="35"/>
      <c r="X585" s="35"/>
      <c r="Y585" s="35"/>
      <c r="Z585" s="35"/>
      <c r="AA585" s="35"/>
    </row>
    <row r="586" ht="14.25" customHeight="1">
      <c r="A586" s="136"/>
      <c r="B586" s="137"/>
      <c r="C586" s="251"/>
      <c r="D586" s="252"/>
      <c r="E586" s="136"/>
      <c r="F586" s="253"/>
      <c r="G586" s="253"/>
      <c r="H586" s="140"/>
      <c r="I586" s="141"/>
      <c r="J586" s="141"/>
      <c r="K586" s="142"/>
      <c r="L586" s="142"/>
      <c r="M586" s="142"/>
      <c r="N586" s="142"/>
      <c r="O586" s="136"/>
      <c r="P586" s="34"/>
      <c r="Q586" s="35"/>
      <c r="R586" s="35"/>
      <c r="S586" s="35"/>
      <c r="T586" s="35"/>
      <c r="U586" s="35"/>
      <c r="V586" s="35"/>
      <c r="W586" s="35"/>
      <c r="X586" s="35"/>
      <c r="Y586" s="35"/>
      <c r="Z586" s="35"/>
      <c r="AA586" s="35"/>
    </row>
    <row r="587" ht="14.25" customHeight="1">
      <c r="A587" s="136"/>
      <c r="B587" s="137"/>
      <c r="C587" s="251"/>
      <c r="D587" s="252"/>
      <c r="E587" s="136"/>
      <c r="F587" s="253"/>
      <c r="G587" s="253"/>
      <c r="H587" s="140"/>
      <c r="I587" s="141"/>
      <c r="J587" s="141"/>
      <c r="K587" s="142"/>
      <c r="L587" s="142"/>
      <c r="M587" s="142"/>
      <c r="N587" s="142"/>
      <c r="O587" s="136"/>
      <c r="P587" s="34"/>
      <c r="Q587" s="35"/>
      <c r="R587" s="35"/>
      <c r="S587" s="35"/>
      <c r="T587" s="35"/>
      <c r="U587" s="35"/>
      <c r="V587" s="35"/>
      <c r="W587" s="35"/>
      <c r="X587" s="35"/>
      <c r="Y587" s="35"/>
      <c r="Z587" s="35"/>
      <c r="AA587" s="35"/>
    </row>
    <row r="588" ht="14.25" customHeight="1">
      <c r="A588" s="136"/>
      <c r="B588" s="137"/>
      <c r="C588" s="251"/>
      <c r="D588" s="252"/>
      <c r="E588" s="136"/>
      <c r="F588" s="253"/>
      <c r="G588" s="253"/>
      <c r="H588" s="140"/>
      <c r="I588" s="141"/>
      <c r="J588" s="141"/>
      <c r="K588" s="142"/>
      <c r="L588" s="142"/>
      <c r="M588" s="142"/>
      <c r="N588" s="142"/>
      <c r="O588" s="136"/>
      <c r="P588" s="34"/>
      <c r="Q588" s="35"/>
      <c r="R588" s="35"/>
      <c r="S588" s="35"/>
      <c r="T588" s="35"/>
      <c r="U588" s="35"/>
      <c r="V588" s="35"/>
      <c r="W588" s="35"/>
      <c r="X588" s="35"/>
      <c r="Y588" s="35"/>
      <c r="Z588" s="35"/>
      <c r="AA588" s="35"/>
    </row>
    <row r="589" ht="14.25" customHeight="1">
      <c r="A589" s="136"/>
      <c r="B589" s="137"/>
      <c r="C589" s="251"/>
      <c r="D589" s="252"/>
      <c r="E589" s="136"/>
      <c r="F589" s="253"/>
      <c r="G589" s="253"/>
      <c r="H589" s="140"/>
      <c r="I589" s="141"/>
      <c r="J589" s="141"/>
      <c r="K589" s="142"/>
      <c r="L589" s="142"/>
      <c r="M589" s="142"/>
      <c r="N589" s="142"/>
      <c r="O589" s="136"/>
      <c r="P589" s="34"/>
      <c r="Q589" s="35"/>
      <c r="R589" s="35"/>
      <c r="S589" s="35"/>
      <c r="T589" s="35"/>
      <c r="U589" s="35"/>
      <c r="V589" s="35"/>
      <c r="W589" s="35"/>
      <c r="X589" s="35"/>
      <c r="Y589" s="35"/>
      <c r="Z589" s="35"/>
      <c r="AA589" s="35"/>
    </row>
    <row r="590" ht="14.25" customHeight="1">
      <c r="A590" s="136"/>
      <c r="B590" s="137"/>
      <c r="C590" s="251"/>
      <c r="D590" s="252"/>
      <c r="E590" s="136"/>
      <c r="F590" s="253"/>
      <c r="G590" s="253"/>
      <c r="H590" s="140"/>
      <c r="I590" s="141"/>
      <c r="J590" s="141"/>
      <c r="K590" s="142"/>
      <c r="L590" s="142"/>
      <c r="M590" s="142"/>
      <c r="N590" s="142"/>
      <c r="O590" s="136"/>
      <c r="P590" s="34"/>
      <c r="Q590" s="35"/>
      <c r="R590" s="35"/>
      <c r="S590" s="35"/>
      <c r="T590" s="35"/>
      <c r="U590" s="35"/>
      <c r="V590" s="35"/>
      <c r="W590" s="35"/>
      <c r="X590" s="35"/>
      <c r="Y590" s="35"/>
      <c r="Z590" s="35"/>
      <c r="AA590" s="35"/>
    </row>
    <row r="591" ht="14.25" customHeight="1">
      <c r="A591" s="136"/>
      <c r="B591" s="137"/>
      <c r="C591" s="251"/>
      <c r="D591" s="252"/>
      <c r="E591" s="136"/>
      <c r="F591" s="253"/>
      <c r="G591" s="253"/>
      <c r="H591" s="140"/>
      <c r="I591" s="141"/>
      <c r="J591" s="141"/>
      <c r="K591" s="142"/>
      <c r="L591" s="142"/>
      <c r="M591" s="142"/>
      <c r="N591" s="142"/>
      <c r="O591" s="136"/>
      <c r="P591" s="34"/>
      <c r="Q591" s="35"/>
      <c r="R591" s="35"/>
      <c r="S591" s="35"/>
      <c r="T591" s="35"/>
      <c r="U591" s="35"/>
      <c r="V591" s="35"/>
      <c r="W591" s="35"/>
      <c r="X591" s="35"/>
      <c r="Y591" s="35"/>
      <c r="Z591" s="35"/>
      <c r="AA591" s="35"/>
    </row>
    <row r="592" ht="14.25" customHeight="1">
      <c r="A592" s="136"/>
      <c r="B592" s="137"/>
      <c r="C592" s="251"/>
      <c r="D592" s="252"/>
      <c r="E592" s="136"/>
      <c r="F592" s="253"/>
      <c r="G592" s="253"/>
      <c r="H592" s="140"/>
      <c r="I592" s="141"/>
      <c r="J592" s="141"/>
      <c r="K592" s="142"/>
      <c r="L592" s="142"/>
      <c r="M592" s="142"/>
      <c r="N592" s="142"/>
      <c r="O592" s="136"/>
      <c r="P592" s="34"/>
      <c r="Q592" s="35"/>
      <c r="R592" s="35"/>
      <c r="S592" s="35"/>
      <c r="T592" s="35"/>
      <c r="U592" s="35"/>
      <c r="V592" s="35"/>
      <c r="W592" s="35"/>
      <c r="X592" s="35"/>
      <c r="Y592" s="35"/>
      <c r="Z592" s="35"/>
      <c r="AA592" s="35"/>
    </row>
    <row r="593" ht="14.25" customHeight="1">
      <c r="A593" s="136"/>
      <c r="B593" s="137"/>
      <c r="C593" s="251"/>
      <c r="D593" s="252"/>
      <c r="E593" s="136"/>
      <c r="F593" s="253"/>
      <c r="G593" s="253"/>
      <c r="H593" s="140"/>
      <c r="I593" s="141"/>
      <c r="J593" s="141"/>
      <c r="K593" s="142"/>
      <c r="L593" s="142"/>
      <c r="M593" s="142"/>
      <c r="N593" s="142"/>
      <c r="O593" s="136"/>
      <c r="P593" s="34"/>
      <c r="Q593" s="35"/>
      <c r="R593" s="35"/>
      <c r="S593" s="35"/>
      <c r="T593" s="35"/>
      <c r="U593" s="35"/>
      <c r="V593" s="35"/>
      <c r="W593" s="35"/>
      <c r="X593" s="35"/>
      <c r="Y593" s="35"/>
      <c r="Z593" s="35"/>
      <c r="AA593" s="35"/>
    </row>
    <row r="594" ht="14.25" customHeight="1">
      <c r="A594" s="136"/>
      <c r="B594" s="137"/>
      <c r="C594" s="251"/>
      <c r="D594" s="252"/>
      <c r="E594" s="136"/>
      <c r="F594" s="253"/>
      <c r="G594" s="253"/>
      <c r="H594" s="140"/>
      <c r="I594" s="141"/>
      <c r="J594" s="141"/>
      <c r="K594" s="142"/>
      <c r="L594" s="142"/>
      <c r="M594" s="142"/>
      <c r="N594" s="142"/>
      <c r="O594" s="136"/>
      <c r="P594" s="34"/>
      <c r="Q594" s="35"/>
      <c r="R594" s="35"/>
      <c r="S594" s="35"/>
      <c r="T594" s="35"/>
      <c r="U594" s="35"/>
      <c r="V594" s="35"/>
      <c r="W594" s="35"/>
      <c r="X594" s="35"/>
      <c r="Y594" s="35"/>
      <c r="Z594" s="35"/>
      <c r="AA594" s="35"/>
    </row>
    <row r="595" ht="14.25" customHeight="1">
      <c r="A595" s="136"/>
      <c r="B595" s="137"/>
      <c r="C595" s="251"/>
      <c r="D595" s="252"/>
      <c r="E595" s="136"/>
      <c r="F595" s="253"/>
      <c r="G595" s="253"/>
      <c r="H595" s="140"/>
      <c r="I595" s="141"/>
      <c r="J595" s="141"/>
      <c r="K595" s="142"/>
      <c r="L595" s="142"/>
      <c r="M595" s="142"/>
      <c r="N595" s="142"/>
      <c r="O595" s="136"/>
      <c r="P595" s="34"/>
      <c r="Q595" s="35"/>
      <c r="R595" s="35"/>
      <c r="S595" s="35"/>
      <c r="T595" s="35"/>
      <c r="U595" s="35"/>
      <c r="V595" s="35"/>
      <c r="W595" s="35"/>
      <c r="X595" s="35"/>
      <c r="Y595" s="35"/>
      <c r="Z595" s="35"/>
      <c r="AA595" s="35"/>
    </row>
    <row r="596" ht="14.25" customHeight="1">
      <c r="A596" s="136"/>
      <c r="B596" s="137"/>
      <c r="C596" s="251"/>
      <c r="D596" s="252"/>
      <c r="E596" s="136"/>
      <c r="F596" s="253"/>
      <c r="G596" s="253"/>
      <c r="H596" s="140"/>
      <c r="I596" s="141"/>
      <c r="J596" s="141"/>
      <c r="K596" s="142"/>
      <c r="L596" s="142"/>
      <c r="M596" s="142"/>
      <c r="N596" s="142"/>
      <c r="O596" s="136"/>
      <c r="P596" s="34"/>
      <c r="Q596" s="35"/>
      <c r="R596" s="35"/>
      <c r="S596" s="35"/>
      <c r="T596" s="35"/>
      <c r="U596" s="35"/>
      <c r="V596" s="35"/>
      <c r="W596" s="35"/>
      <c r="X596" s="35"/>
      <c r="Y596" s="35"/>
      <c r="Z596" s="35"/>
      <c r="AA596" s="35"/>
    </row>
    <row r="597" ht="14.25" customHeight="1">
      <c r="A597" s="136"/>
      <c r="B597" s="137"/>
      <c r="C597" s="251"/>
      <c r="D597" s="252"/>
      <c r="E597" s="136"/>
      <c r="F597" s="253"/>
      <c r="G597" s="253"/>
      <c r="H597" s="140"/>
      <c r="I597" s="141"/>
      <c r="J597" s="141"/>
      <c r="K597" s="142"/>
      <c r="L597" s="142"/>
      <c r="M597" s="142"/>
      <c r="N597" s="142"/>
      <c r="O597" s="136"/>
      <c r="P597" s="34"/>
      <c r="Q597" s="35"/>
      <c r="R597" s="35"/>
      <c r="S597" s="35"/>
      <c r="T597" s="35"/>
      <c r="U597" s="35"/>
      <c r="V597" s="35"/>
      <c r="W597" s="35"/>
      <c r="X597" s="35"/>
      <c r="Y597" s="35"/>
      <c r="Z597" s="35"/>
      <c r="AA597" s="35"/>
    </row>
    <row r="598" ht="14.25" customHeight="1">
      <c r="A598" s="136"/>
      <c r="B598" s="137"/>
      <c r="C598" s="251"/>
      <c r="D598" s="252"/>
      <c r="E598" s="136"/>
      <c r="F598" s="253"/>
      <c r="G598" s="253"/>
      <c r="H598" s="140"/>
      <c r="I598" s="141"/>
      <c r="J598" s="141"/>
      <c r="K598" s="142"/>
      <c r="L598" s="142"/>
      <c r="M598" s="142"/>
      <c r="N598" s="142"/>
      <c r="O598" s="136"/>
      <c r="P598" s="34"/>
      <c r="Q598" s="35"/>
      <c r="R598" s="35"/>
      <c r="S598" s="35"/>
      <c r="T598" s="35"/>
      <c r="U598" s="35"/>
      <c r="V598" s="35"/>
      <c r="W598" s="35"/>
      <c r="X598" s="35"/>
      <c r="Y598" s="35"/>
      <c r="Z598" s="35"/>
      <c r="AA598" s="35"/>
    </row>
    <row r="599" ht="14.25" customHeight="1">
      <c r="A599" s="136"/>
      <c r="B599" s="137"/>
      <c r="C599" s="251"/>
      <c r="D599" s="252"/>
      <c r="E599" s="136"/>
      <c r="F599" s="253"/>
      <c r="G599" s="253"/>
      <c r="H599" s="140"/>
      <c r="I599" s="141"/>
      <c r="J599" s="141"/>
      <c r="K599" s="142"/>
      <c r="L599" s="142"/>
      <c r="M599" s="142"/>
      <c r="N599" s="142"/>
      <c r="O599" s="136"/>
      <c r="P599" s="34"/>
      <c r="Q599" s="35"/>
      <c r="R599" s="35"/>
      <c r="S599" s="35"/>
      <c r="T599" s="35"/>
      <c r="U599" s="35"/>
      <c r="V599" s="35"/>
      <c r="W599" s="35"/>
      <c r="X599" s="35"/>
      <c r="Y599" s="35"/>
      <c r="Z599" s="35"/>
      <c r="AA599" s="35"/>
    </row>
    <row r="600" ht="14.25" customHeight="1">
      <c r="A600" s="136"/>
      <c r="B600" s="137"/>
      <c r="C600" s="251"/>
      <c r="D600" s="252"/>
      <c r="E600" s="136"/>
      <c r="F600" s="253"/>
      <c r="G600" s="253"/>
      <c r="H600" s="140"/>
      <c r="I600" s="141"/>
      <c r="J600" s="141"/>
      <c r="K600" s="142"/>
      <c r="L600" s="142"/>
      <c r="M600" s="142"/>
      <c r="N600" s="142"/>
      <c r="O600" s="136"/>
      <c r="P600" s="34"/>
      <c r="Q600" s="35"/>
      <c r="R600" s="35"/>
      <c r="S600" s="35"/>
      <c r="T600" s="35"/>
      <c r="U600" s="35"/>
      <c r="V600" s="35"/>
      <c r="W600" s="35"/>
      <c r="X600" s="35"/>
      <c r="Y600" s="35"/>
      <c r="Z600" s="35"/>
      <c r="AA600" s="35"/>
    </row>
    <row r="601" ht="14.25" customHeight="1">
      <c r="A601" s="136"/>
      <c r="B601" s="137"/>
      <c r="C601" s="251"/>
      <c r="D601" s="252"/>
      <c r="E601" s="136"/>
      <c r="F601" s="253"/>
      <c r="G601" s="253"/>
      <c r="H601" s="140"/>
      <c r="I601" s="141"/>
      <c r="J601" s="141"/>
      <c r="K601" s="142"/>
      <c r="L601" s="142"/>
      <c r="M601" s="142"/>
      <c r="N601" s="142"/>
      <c r="O601" s="136"/>
      <c r="P601" s="34"/>
      <c r="Q601" s="35"/>
      <c r="R601" s="35"/>
      <c r="S601" s="35"/>
      <c r="T601" s="35"/>
      <c r="U601" s="35"/>
      <c r="V601" s="35"/>
      <c r="W601" s="35"/>
      <c r="X601" s="35"/>
      <c r="Y601" s="35"/>
      <c r="Z601" s="35"/>
      <c r="AA601" s="35"/>
    </row>
    <row r="602" ht="14.25" customHeight="1">
      <c r="A602" s="136"/>
      <c r="B602" s="137"/>
      <c r="C602" s="251"/>
      <c r="D602" s="252"/>
      <c r="E602" s="136"/>
      <c r="F602" s="253"/>
      <c r="G602" s="253"/>
      <c r="H602" s="140"/>
      <c r="I602" s="141"/>
      <c r="J602" s="141"/>
      <c r="K602" s="142"/>
      <c r="L602" s="142"/>
      <c r="M602" s="142"/>
      <c r="N602" s="142"/>
      <c r="O602" s="136"/>
      <c r="P602" s="34"/>
      <c r="Q602" s="35"/>
      <c r="R602" s="35"/>
      <c r="S602" s="35"/>
      <c r="T602" s="35"/>
      <c r="U602" s="35"/>
      <c r="V602" s="35"/>
      <c r="W602" s="35"/>
      <c r="X602" s="35"/>
      <c r="Y602" s="35"/>
      <c r="Z602" s="35"/>
      <c r="AA602" s="35"/>
    </row>
    <row r="603" ht="14.25" customHeight="1">
      <c r="A603" s="136"/>
      <c r="B603" s="137"/>
      <c r="C603" s="251"/>
      <c r="D603" s="252"/>
      <c r="E603" s="136"/>
      <c r="F603" s="253"/>
      <c r="G603" s="253"/>
      <c r="H603" s="140"/>
      <c r="I603" s="141"/>
      <c r="J603" s="141"/>
      <c r="K603" s="142"/>
      <c r="L603" s="142"/>
      <c r="M603" s="142"/>
      <c r="N603" s="142"/>
      <c r="O603" s="136"/>
      <c r="P603" s="34"/>
      <c r="Q603" s="35"/>
      <c r="R603" s="35"/>
      <c r="S603" s="35"/>
      <c r="T603" s="35"/>
      <c r="U603" s="35"/>
      <c r="V603" s="35"/>
      <c r="W603" s="35"/>
      <c r="X603" s="35"/>
      <c r="Y603" s="35"/>
      <c r="Z603" s="35"/>
      <c r="AA603" s="35"/>
    </row>
    <row r="604" ht="14.25" customHeight="1">
      <c r="A604" s="136"/>
      <c r="B604" s="137"/>
      <c r="C604" s="251"/>
      <c r="D604" s="252"/>
      <c r="E604" s="136"/>
      <c r="F604" s="253"/>
      <c r="G604" s="253"/>
      <c r="H604" s="140"/>
      <c r="I604" s="141"/>
      <c r="J604" s="141"/>
      <c r="K604" s="142"/>
      <c r="L604" s="142"/>
      <c r="M604" s="142"/>
      <c r="N604" s="142"/>
      <c r="O604" s="136"/>
      <c r="P604" s="34"/>
      <c r="Q604" s="35"/>
      <c r="R604" s="35"/>
      <c r="S604" s="35"/>
      <c r="T604" s="35"/>
      <c r="U604" s="35"/>
      <c r="V604" s="35"/>
      <c r="W604" s="35"/>
      <c r="X604" s="35"/>
      <c r="Y604" s="35"/>
      <c r="Z604" s="35"/>
      <c r="AA604" s="35"/>
    </row>
    <row r="605" ht="14.25" customHeight="1">
      <c r="A605" s="136"/>
      <c r="B605" s="137"/>
      <c r="C605" s="251"/>
      <c r="D605" s="252"/>
      <c r="E605" s="136"/>
      <c r="F605" s="253"/>
      <c r="G605" s="253"/>
      <c r="H605" s="140"/>
      <c r="I605" s="141"/>
      <c r="J605" s="141"/>
      <c r="K605" s="142"/>
      <c r="L605" s="142"/>
      <c r="M605" s="142"/>
      <c r="N605" s="142"/>
      <c r="O605" s="136"/>
      <c r="P605" s="34"/>
      <c r="Q605" s="35"/>
      <c r="R605" s="35"/>
      <c r="S605" s="35"/>
      <c r="T605" s="35"/>
      <c r="U605" s="35"/>
      <c r="V605" s="35"/>
      <c r="W605" s="35"/>
      <c r="X605" s="35"/>
      <c r="Y605" s="35"/>
      <c r="Z605" s="35"/>
      <c r="AA605" s="35"/>
    </row>
    <row r="606" ht="14.25" customHeight="1">
      <c r="A606" s="136"/>
      <c r="B606" s="137"/>
      <c r="C606" s="251"/>
      <c r="D606" s="252"/>
      <c r="E606" s="136"/>
      <c r="F606" s="253"/>
      <c r="G606" s="253"/>
      <c r="H606" s="140"/>
      <c r="I606" s="141"/>
      <c r="J606" s="141"/>
      <c r="K606" s="142"/>
      <c r="L606" s="142"/>
      <c r="M606" s="142"/>
      <c r="N606" s="142"/>
      <c r="O606" s="136"/>
      <c r="P606" s="34"/>
      <c r="Q606" s="35"/>
      <c r="R606" s="35"/>
      <c r="S606" s="35"/>
      <c r="T606" s="35"/>
      <c r="U606" s="35"/>
      <c r="V606" s="35"/>
      <c r="W606" s="35"/>
      <c r="X606" s="35"/>
      <c r="Y606" s="35"/>
      <c r="Z606" s="35"/>
      <c r="AA606" s="35"/>
    </row>
    <row r="607" ht="14.25" customHeight="1">
      <c r="A607" s="136"/>
      <c r="B607" s="137"/>
      <c r="C607" s="251"/>
      <c r="D607" s="252"/>
      <c r="E607" s="136"/>
      <c r="F607" s="253"/>
      <c r="G607" s="253"/>
      <c r="H607" s="140"/>
      <c r="I607" s="141"/>
      <c r="J607" s="141"/>
      <c r="K607" s="142"/>
      <c r="L607" s="142"/>
      <c r="M607" s="142"/>
      <c r="N607" s="142"/>
      <c r="O607" s="136"/>
      <c r="P607" s="34"/>
      <c r="Q607" s="35"/>
      <c r="R607" s="35"/>
      <c r="S607" s="35"/>
      <c r="T607" s="35"/>
      <c r="U607" s="35"/>
      <c r="V607" s="35"/>
      <c r="W607" s="35"/>
      <c r="X607" s="35"/>
      <c r="Y607" s="35"/>
      <c r="Z607" s="35"/>
      <c r="AA607" s="35"/>
    </row>
    <row r="608" ht="14.25" customHeight="1">
      <c r="A608" s="136"/>
      <c r="B608" s="137"/>
      <c r="C608" s="251"/>
      <c r="D608" s="252"/>
      <c r="E608" s="136"/>
      <c r="F608" s="253"/>
      <c r="G608" s="253"/>
      <c r="H608" s="140"/>
      <c r="I608" s="141"/>
      <c r="J608" s="141"/>
      <c r="K608" s="142"/>
      <c r="L608" s="142"/>
      <c r="M608" s="142"/>
      <c r="N608" s="142"/>
      <c r="O608" s="136"/>
      <c r="P608" s="34"/>
      <c r="Q608" s="35"/>
      <c r="R608" s="35"/>
      <c r="S608" s="35"/>
      <c r="T608" s="35"/>
      <c r="U608" s="35"/>
      <c r="V608" s="35"/>
      <c r="W608" s="35"/>
      <c r="X608" s="35"/>
      <c r="Y608" s="35"/>
      <c r="Z608" s="35"/>
      <c r="AA608" s="35"/>
    </row>
    <row r="609" ht="14.25" customHeight="1">
      <c r="A609" s="136"/>
      <c r="B609" s="137"/>
      <c r="C609" s="251"/>
      <c r="D609" s="252"/>
      <c r="E609" s="136"/>
      <c r="F609" s="253"/>
      <c r="G609" s="253"/>
      <c r="H609" s="140"/>
      <c r="I609" s="141"/>
      <c r="J609" s="141"/>
      <c r="K609" s="142"/>
      <c r="L609" s="142"/>
      <c r="M609" s="142"/>
      <c r="N609" s="142"/>
      <c r="O609" s="136"/>
      <c r="P609" s="34"/>
      <c r="Q609" s="35"/>
      <c r="R609" s="35"/>
      <c r="S609" s="35"/>
      <c r="T609" s="35"/>
      <c r="U609" s="35"/>
      <c r="V609" s="35"/>
      <c r="W609" s="35"/>
      <c r="X609" s="35"/>
      <c r="Y609" s="35"/>
      <c r="Z609" s="35"/>
      <c r="AA609" s="35"/>
    </row>
    <row r="610" ht="14.25" customHeight="1">
      <c r="A610" s="136"/>
      <c r="B610" s="137"/>
      <c r="C610" s="251"/>
      <c r="D610" s="252"/>
      <c r="E610" s="136"/>
      <c r="F610" s="253"/>
      <c r="G610" s="253"/>
      <c r="H610" s="140"/>
      <c r="I610" s="141"/>
      <c r="J610" s="141"/>
      <c r="K610" s="142"/>
      <c r="L610" s="142"/>
      <c r="M610" s="142"/>
      <c r="N610" s="142"/>
      <c r="O610" s="136"/>
      <c r="P610" s="34"/>
      <c r="Q610" s="35"/>
      <c r="R610" s="35"/>
      <c r="S610" s="35"/>
      <c r="T610" s="35"/>
      <c r="U610" s="35"/>
      <c r="V610" s="35"/>
      <c r="W610" s="35"/>
      <c r="X610" s="35"/>
      <c r="Y610" s="35"/>
      <c r="Z610" s="35"/>
      <c r="AA610" s="35"/>
    </row>
    <row r="611" ht="14.25" customHeight="1">
      <c r="A611" s="136"/>
      <c r="B611" s="137"/>
      <c r="C611" s="251"/>
      <c r="D611" s="252"/>
      <c r="E611" s="136"/>
      <c r="F611" s="253"/>
      <c r="G611" s="253"/>
      <c r="H611" s="140"/>
      <c r="I611" s="141"/>
      <c r="J611" s="141"/>
      <c r="K611" s="142"/>
      <c r="L611" s="142"/>
      <c r="M611" s="142"/>
      <c r="N611" s="142"/>
      <c r="O611" s="136"/>
      <c r="P611" s="34"/>
      <c r="Q611" s="35"/>
      <c r="R611" s="35"/>
      <c r="S611" s="35"/>
      <c r="T611" s="35"/>
      <c r="U611" s="35"/>
      <c r="V611" s="35"/>
      <c r="W611" s="35"/>
      <c r="X611" s="35"/>
      <c r="Y611" s="35"/>
      <c r="Z611" s="35"/>
      <c r="AA611" s="35"/>
    </row>
    <row r="612" ht="14.25" customHeight="1">
      <c r="A612" s="136"/>
      <c r="B612" s="137"/>
      <c r="C612" s="251"/>
      <c r="D612" s="252"/>
      <c r="E612" s="136"/>
      <c r="F612" s="253"/>
      <c r="G612" s="253"/>
      <c r="H612" s="140"/>
      <c r="I612" s="141"/>
      <c r="J612" s="141"/>
      <c r="K612" s="142"/>
      <c r="L612" s="142"/>
      <c r="M612" s="142"/>
      <c r="N612" s="142"/>
      <c r="O612" s="136"/>
      <c r="P612" s="34"/>
      <c r="Q612" s="35"/>
      <c r="R612" s="35"/>
      <c r="S612" s="35"/>
      <c r="T612" s="35"/>
      <c r="U612" s="35"/>
      <c r="V612" s="35"/>
      <c r="W612" s="35"/>
      <c r="X612" s="35"/>
      <c r="Y612" s="35"/>
      <c r="Z612" s="35"/>
      <c r="AA612" s="35"/>
    </row>
    <row r="613" ht="14.25" customHeight="1">
      <c r="A613" s="136"/>
      <c r="B613" s="137"/>
      <c r="C613" s="251"/>
      <c r="D613" s="252"/>
      <c r="E613" s="136"/>
      <c r="F613" s="253"/>
      <c r="G613" s="253"/>
      <c r="H613" s="140"/>
      <c r="I613" s="141"/>
      <c r="J613" s="141"/>
      <c r="K613" s="142"/>
      <c r="L613" s="142"/>
      <c r="M613" s="142"/>
      <c r="N613" s="142"/>
      <c r="O613" s="136"/>
      <c r="P613" s="34"/>
      <c r="Q613" s="35"/>
      <c r="R613" s="35"/>
      <c r="S613" s="35"/>
      <c r="T613" s="35"/>
      <c r="U613" s="35"/>
      <c r="V613" s="35"/>
      <c r="W613" s="35"/>
      <c r="X613" s="35"/>
      <c r="Y613" s="35"/>
      <c r="Z613" s="35"/>
      <c r="AA613" s="35"/>
    </row>
    <row r="614" ht="14.25" customHeight="1">
      <c r="A614" s="136"/>
      <c r="B614" s="137"/>
      <c r="C614" s="251"/>
      <c r="D614" s="252"/>
      <c r="E614" s="136"/>
      <c r="F614" s="253"/>
      <c r="G614" s="253"/>
      <c r="H614" s="140"/>
      <c r="I614" s="141"/>
      <c r="J614" s="141"/>
      <c r="K614" s="142"/>
      <c r="L614" s="142"/>
      <c r="M614" s="142"/>
      <c r="N614" s="142"/>
      <c r="O614" s="136"/>
      <c r="P614" s="34"/>
      <c r="Q614" s="35"/>
      <c r="R614" s="35"/>
      <c r="S614" s="35"/>
      <c r="T614" s="35"/>
      <c r="U614" s="35"/>
      <c r="V614" s="35"/>
      <c r="W614" s="35"/>
      <c r="X614" s="35"/>
      <c r="Y614" s="35"/>
      <c r="Z614" s="35"/>
      <c r="AA614" s="35"/>
    </row>
    <row r="615" ht="14.25" customHeight="1">
      <c r="A615" s="136"/>
      <c r="B615" s="137"/>
      <c r="C615" s="251"/>
      <c r="D615" s="252"/>
      <c r="E615" s="136"/>
      <c r="F615" s="253"/>
      <c r="G615" s="253"/>
      <c r="H615" s="140"/>
      <c r="I615" s="141"/>
      <c r="J615" s="141"/>
      <c r="K615" s="142"/>
      <c r="L615" s="142"/>
      <c r="M615" s="142"/>
      <c r="N615" s="142"/>
      <c r="O615" s="136"/>
      <c r="P615" s="34"/>
      <c r="Q615" s="35"/>
      <c r="R615" s="35"/>
      <c r="S615" s="35"/>
      <c r="T615" s="35"/>
      <c r="U615" s="35"/>
      <c r="V615" s="35"/>
      <c r="W615" s="35"/>
      <c r="X615" s="35"/>
      <c r="Y615" s="35"/>
      <c r="Z615" s="35"/>
      <c r="AA615" s="35"/>
    </row>
    <row r="616" ht="14.25" customHeight="1">
      <c r="A616" s="136"/>
      <c r="B616" s="137"/>
      <c r="C616" s="251"/>
      <c r="D616" s="252"/>
      <c r="E616" s="136"/>
      <c r="F616" s="253"/>
      <c r="G616" s="253"/>
      <c r="H616" s="140"/>
      <c r="I616" s="141"/>
      <c r="J616" s="141"/>
      <c r="K616" s="142"/>
      <c r="L616" s="142"/>
      <c r="M616" s="142"/>
      <c r="N616" s="142"/>
      <c r="O616" s="136"/>
      <c r="P616" s="34"/>
      <c r="Q616" s="35"/>
      <c r="R616" s="35"/>
      <c r="S616" s="35"/>
      <c r="T616" s="35"/>
      <c r="U616" s="35"/>
      <c r="V616" s="35"/>
      <c r="W616" s="35"/>
      <c r="X616" s="35"/>
      <c r="Y616" s="35"/>
      <c r="Z616" s="35"/>
      <c r="AA616" s="35"/>
    </row>
    <row r="617" ht="14.25" customHeight="1">
      <c r="A617" s="136"/>
      <c r="B617" s="137"/>
      <c r="C617" s="251"/>
      <c r="D617" s="252"/>
      <c r="E617" s="136"/>
      <c r="F617" s="253"/>
      <c r="G617" s="253"/>
      <c r="H617" s="140"/>
      <c r="I617" s="141"/>
      <c r="J617" s="141"/>
      <c r="K617" s="142"/>
      <c r="L617" s="142"/>
      <c r="M617" s="142"/>
      <c r="N617" s="142"/>
      <c r="O617" s="136"/>
      <c r="P617" s="34"/>
      <c r="Q617" s="35"/>
      <c r="R617" s="35"/>
      <c r="S617" s="35"/>
      <c r="T617" s="35"/>
      <c r="U617" s="35"/>
      <c r="V617" s="35"/>
      <c r="W617" s="35"/>
      <c r="X617" s="35"/>
      <c r="Y617" s="35"/>
      <c r="Z617" s="35"/>
      <c r="AA617" s="35"/>
    </row>
    <row r="618" ht="14.25" customHeight="1">
      <c r="A618" s="136"/>
      <c r="B618" s="137"/>
      <c r="C618" s="251"/>
      <c r="D618" s="252"/>
      <c r="E618" s="136"/>
      <c r="F618" s="253"/>
      <c r="G618" s="253"/>
      <c r="H618" s="140"/>
      <c r="I618" s="141"/>
      <c r="J618" s="141"/>
      <c r="K618" s="142"/>
      <c r="L618" s="142"/>
      <c r="M618" s="142"/>
      <c r="N618" s="142"/>
      <c r="O618" s="136"/>
      <c r="P618" s="34"/>
      <c r="Q618" s="35"/>
      <c r="R618" s="35"/>
      <c r="S618" s="35"/>
      <c r="T618" s="35"/>
      <c r="U618" s="35"/>
      <c r="V618" s="35"/>
      <c r="W618" s="35"/>
      <c r="X618" s="35"/>
      <c r="Y618" s="35"/>
      <c r="Z618" s="35"/>
      <c r="AA618" s="35"/>
    </row>
    <row r="619" ht="14.25" customHeight="1">
      <c r="A619" s="136"/>
      <c r="B619" s="137"/>
      <c r="C619" s="251"/>
      <c r="D619" s="252"/>
      <c r="E619" s="136"/>
      <c r="F619" s="253"/>
      <c r="G619" s="253"/>
      <c r="H619" s="140"/>
      <c r="I619" s="141"/>
      <c r="J619" s="141"/>
      <c r="K619" s="142"/>
      <c r="L619" s="142"/>
      <c r="M619" s="142"/>
      <c r="N619" s="142"/>
      <c r="O619" s="136"/>
      <c r="P619" s="34"/>
      <c r="Q619" s="35"/>
      <c r="R619" s="35"/>
      <c r="S619" s="35"/>
      <c r="T619" s="35"/>
      <c r="U619" s="35"/>
      <c r="V619" s="35"/>
      <c r="W619" s="35"/>
      <c r="X619" s="35"/>
      <c r="Y619" s="35"/>
      <c r="Z619" s="35"/>
      <c r="AA619" s="35"/>
    </row>
    <row r="620" ht="14.25" customHeight="1">
      <c r="A620" s="136"/>
      <c r="B620" s="137"/>
      <c r="C620" s="251"/>
      <c r="D620" s="252"/>
      <c r="E620" s="136"/>
      <c r="F620" s="253"/>
      <c r="G620" s="253"/>
      <c r="H620" s="140"/>
      <c r="I620" s="141"/>
      <c r="J620" s="141"/>
      <c r="K620" s="142"/>
      <c r="L620" s="142"/>
      <c r="M620" s="142"/>
      <c r="N620" s="142"/>
      <c r="O620" s="136"/>
      <c r="P620" s="34"/>
      <c r="Q620" s="35"/>
      <c r="R620" s="35"/>
      <c r="S620" s="35"/>
      <c r="T620" s="35"/>
      <c r="U620" s="35"/>
      <c r="V620" s="35"/>
      <c r="W620" s="35"/>
      <c r="X620" s="35"/>
      <c r="Y620" s="35"/>
      <c r="Z620" s="35"/>
      <c r="AA620" s="35"/>
    </row>
    <row r="621" ht="14.25" customHeight="1">
      <c r="A621" s="136"/>
      <c r="B621" s="137"/>
      <c r="C621" s="251"/>
      <c r="D621" s="252"/>
      <c r="E621" s="136"/>
      <c r="F621" s="253"/>
      <c r="G621" s="253"/>
      <c r="H621" s="140"/>
      <c r="I621" s="141"/>
      <c r="J621" s="141"/>
      <c r="K621" s="142"/>
      <c r="L621" s="142"/>
      <c r="M621" s="142"/>
      <c r="N621" s="142"/>
      <c r="O621" s="136"/>
      <c r="P621" s="34"/>
      <c r="Q621" s="35"/>
      <c r="R621" s="35"/>
      <c r="S621" s="35"/>
      <c r="T621" s="35"/>
      <c r="U621" s="35"/>
      <c r="V621" s="35"/>
      <c r="W621" s="35"/>
      <c r="X621" s="35"/>
      <c r="Y621" s="35"/>
      <c r="Z621" s="35"/>
      <c r="AA621" s="35"/>
    </row>
    <row r="622" ht="14.25" customHeight="1">
      <c r="A622" s="136"/>
      <c r="B622" s="137"/>
      <c r="C622" s="251"/>
      <c r="D622" s="252"/>
      <c r="E622" s="136"/>
      <c r="F622" s="253"/>
      <c r="G622" s="253"/>
      <c r="H622" s="140"/>
      <c r="I622" s="141"/>
      <c r="J622" s="141"/>
      <c r="K622" s="142"/>
      <c r="L622" s="142"/>
      <c r="M622" s="142"/>
      <c r="N622" s="142"/>
      <c r="O622" s="136"/>
      <c r="P622" s="34"/>
      <c r="Q622" s="35"/>
      <c r="R622" s="35"/>
      <c r="S622" s="35"/>
      <c r="T622" s="35"/>
      <c r="U622" s="35"/>
      <c r="V622" s="35"/>
      <c r="W622" s="35"/>
      <c r="X622" s="35"/>
      <c r="Y622" s="35"/>
      <c r="Z622" s="35"/>
      <c r="AA622" s="35"/>
    </row>
    <row r="623" ht="14.25" customHeight="1">
      <c r="A623" s="136"/>
      <c r="B623" s="137"/>
      <c r="C623" s="251"/>
      <c r="D623" s="252"/>
      <c r="E623" s="136"/>
      <c r="F623" s="253"/>
      <c r="G623" s="253"/>
      <c r="H623" s="140"/>
      <c r="I623" s="141"/>
      <c r="J623" s="141"/>
      <c r="K623" s="142"/>
      <c r="L623" s="142"/>
      <c r="M623" s="142"/>
      <c r="N623" s="142"/>
      <c r="O623" s="136"/>
      <c r="P623" s="34"/>
      <c r="Q623" s="35"/>
      <c r="R623" s="35"/>
      <c r="S623" s="35"/>
      <c r="T623" s="35"/>
      <c r="U623" s="35"/>
      <c r="V623" s="35"/>
      <c r="W623" s="35"/>
      <c r="X623" s="35"/>
      <c r="Y623" s="35"/>
      <c r="Z623" s="35"/>
      <c r="AA623" s="35"/>
    </row>
    <row r="624" ht="14.25" customHeight="1">
      <c r="A624" s="136"/>
      <c r="B624" s="137"/>
      <c r="C624" s="251"/>
      <c r="D624" s="252"/>
      <c r="E624" s="136"/>
      <c r="F624" s="253"/>
      <c r="G624" s="253"/>
      <c r="H624" s="140"/>
      <c r="I624" s="141"/>
      <c r="J624" s="141"/>
      <c r="K624" s="142"/>
      <c r="L624" s="142"/>
      <c r="M624" s="142"/>
      <c r="N624" s="142"/>
      <c r="O624" s="136"/>
      <c r="P624" s="34"/>
      <c r="Q624" s="35"/>
      <c r="R624" s="35"/>
      <c r="S624" s="35"/>
      <c r="T624" s="35"/>
      <c r="U624" s="35"/>
      <c r="V624" s="35"/>
      <c r="W624" s="35"/>
      <c r="X624" s="35"/>
      <c r="Y624" s="35"/>
      <c r="Z624" s="35"/>
      <c r="AA624" s="35"/>
    </row>
    <row r="625" ht="14.25" customHeight="1">
      <c r="A625" s="136"/>
      <c r="B625" s="137"/>
      <c r="C625" s="251"/>
      <c r="D625" s="252"/>
      <c r="E625" s="136"/>
      <c r="F625" s="253"/>
      <c r="G625" s="253"/>
      <c r="H625" s="140"/>
      <c r="I625" s="141"/>
      <c r="J625" s="141"/>
      <c r="K625" s="142"/>
      <c r="L625" s="142"/>
      <c r="M625" s="142"/>
      <c r="N625" s="142"/>
      <c r="O625" s="136"/>
      <c r="P625" s="34"/>
      <c r="Q625" s="35"/>
      <c r="R625" s="35"/>
      <c r="S625" s="35"/>
      <c r="T625" s="35"/>
      <c r="U625" s="35"/>
      <c r="V625" s="35"/>
      <c r="W625" s="35"/>
      <c r="X625" s="35"/>
      <c r="Y625" s="35"/>
      <c r="Z625" s="35"/>
      <c r="AA625" s="35"/>
    </row>
    <row r="626" ht="14.25" customHeight="1">
      <c r="A626" s="136"/>
      <c r="B626" s="137"/>
      <c r="C626" s="251"/>
      <c r="D626" s="252"/>
      <c r="E626" s="136"/>
      <c r="F626" s="253"/>
      <c r="G626" s="253"/>
      <c r="H626" s="140"/>
      <c r="I626" s="141"/>
      <c r="J626" s="141"/>
      <c r="K626" s="142"/>
      <c r="L626" s="142"/>
      <c r="M626" s="142"/>
      <c r="N626" s="142"/>
      <c r="O626" s="136"/>
      <c r="P626" s="34"/>
      <c r="Q626" s="35"/>
      <c r="R626" s="35"/>
      <c r="S626" s="35"/>
      <c r="T626" s="35"/>
      <c r="U626" s="35"/>
      <c r="V626" s="35"/>
      <c r="W626" s="35"/>
      <c r="X626" s="35"/>
      <c r="Y626" s="35"/>
      <c r="Z626" s="35"/>
      <c r="AA626" s="35"/>
    </row>
    <row r="627" ht="14.25" customHeight="1">
      <c r="A627" s="136"/>
      <c r="B627" s="137"/>
      <c r="C627" s="251"/>
      <c r="D627" s="252"/>
      <c r="E627" s="136"/>
      <c r="F627" s="253"/>
      <c r="G627" s="253"/>
      <c r="H627" s="140"/>
      <c r="I627" s="141"/>
      <c r="J627" s="141"/>
      <c r="K627" s="142"/>
      <c r="L627" s="142"/>
      <c r="M627" s="142"/>
      <c r="N627" s="142"/>
      <c r="O627" s="136"/>
      <c r="P627" s="34"/>
      <c r="Q627" s="35"/>
      <c r="R627" s="35"/>
      <c r="S627" s="35"/>
      <c r="T627" s="35"/>
      <c r="U627" s="35"/>
      <c r="V627" s="35"/>
      <c r="W627" s="35"/>
      <c r="X627" s="35"/>
      <c r="Y627" s="35"/>
      <c r="Z627" s="35"/>
      <c r="AA627" s="35"/>
    </row>
    <row r="628" ht="14.25" customHeight="1">
      <c r="A628" s="136"/>
      <c r="B628" s="137"/>
      <c r="C628" s="251"/>
      <c r="D628" s="252"/>
      <c r="E628" s="136"/>
      <c r="F628" s="253"/>
      <c r="G628" s="253"/>
      <c r="H628" s="140"/>
      <c r="I628" s="141"/>
      <c r="J628" s="141"/>
      <c r="K628" s="142"/>
      <c r="L628" s="142"/>
      <c r="M628" s="142"/>
      <c r="N628" s="142"/>
      <c r="O628" s="136"/>
      <c r="P628" s="34"/>
      <c r="Q628" s="35"/>
      <c r="R628" s="35"/>
      <c r="S628" s="35"/>
      <c r="T628" s="35"/>
      <c r="U628" s="35"/>
      <c r="V628" s="35"/>
      <c r="W628" s="35"/>
      <c r="X628" s="35"/>
      <c r="Y628" s="35"/>
      <c r="Z628" s="35"/>
      <c r="AA628" s="35"/>
    </row>
    <row r="629" ht="14.25" customHeight="1">
      <c r="A629" s="136"/>
      <c r="B629" s="137"/>
      <c r="C629" s="251"/>
      <c r="D629" s="252"/>
      <c r="E629" s="136"/>
      <c r="F629" s="253"/>
      <c r="G629" s="253"/>
      <c r="H629" s="140"/>
      <c r="I629" s="141"/>
      <c r="J629" s="141"/>
      <c r="K629" s="142"/>
      <c r="L629" s="142"/>
      <c r="M629" s="142"/>
      <c r="N629" s="142"/>
      <c r="O629" s="136"/>
      <c r="P629" s="34"/>
      <c r="Q629" s="35"/>
      <c r="R629" s="35"/>
      <c r="S629" s="35"/>
      <c r="T629" s="35"/>
      <c r="U629" s="35"/>
      <c r="V629" s="35"/>
      <c r="W629" s="35"/>
      <c r="X629" s="35"/>
      <c r="Y629" s="35"/>
      <c r="Z629" s="35"/>
      <c r="AA629" s="35"/>
    </row>
    <row r="630" ht="14.25" customHeight="1">
      <c r="A630" s="136"/>
      <c r="B630" s="137"/>
      <c r="C630" s="251"/>
      <c r="D630" s="252"/>
      <c r="E630" s="136"/>
      <c r="F630" s="253"/>
      <c r="G630" s="253"/>
      <c r="H630" s="140"/>
      <c r="I630" s="141"/>
      <c r="J630" s="141"/>
      <c r="K630" s="142"/>
      <c r="L630" s="142"/>
      <c r="M630" s="142"/>
      <c r="N630" s="142"/>
      <c r="O630" s="136"/>
      <c r="P630" s="34"/>
      <c r="Q630" s="35"/>
      <c r="R630" s="35"/>
      <c r="S630" s="35"/>
      <c r="T630" s="35"/>
      <c r="U630" s="35"/>
      <c r="V630" s="35"/>
      <c r="W630" s="35"/>
      <c r="X630" s="35"/>
      <c r="Y630" s="35"/>
      <c r="Z630" s="35"/>
      <c r="AA630" s="35"/>
    </row>
    <row r="631" ht="14.25" customHeight="1">
      <c r="A631" s="136"/>
      <c r="B631" s="137"/>
      <c r="C631" s="251"/>
      <c r="D631" s="252"/>
      <c r="E631" s="136"/>
      <c r="F631" s="253"/>
      <c r="G631" s="253"/>
      <c r="H631" s="140"/>
      <c r="I631" s="141"/>
      <c r="J631" s="141"/>
      <c r="K631" s="142"/>
      <c r="L631" s="142"/>
      <c r="M631" s="142"/>
      <c r="N631" s="142"/>
      <c r="O631" s="136"/>
      <c r="P631" s="34"/>
      <c r="Q631" s="35"/>
      <c r="R631" s="35"/>
      <c r="S631" s="35"/>
      <c r="T631" s="35"/>
      <c r="U631" s="35"/>
      <c r="V631" s="35"/>
      <c r="W631" s="35"/>
      <c r="X631" s="35"/>
      <c r="Y631" s="35"/>
      <c r="Z631" s="35"/>
      <c r="AA631" s="35"/>
    </row>
    <row r="632" ht="14.25" customHeight="1">
      <c r="A632" s="136"/>
      <c r="B632" s="137"/>
      <c r="C632" s="251"/>
      <c r="D632" s="252"/>
      <c r="E632" s="136"/>
      <c r="F632" s="253"/>
      <c r="G632" s="253"/>
      <c r="H632" s="140"/>
      <c r="I632" s="141"/>
      <c r="J632" s="141"/>
      <c r="K632" s="142"/>
      <c r="L632" s="142"/>
      <c r="M632" s="142"/>
      <c r="N632" s="142"/>
      <c r="O632" s="136"/>
      <c r="P632" s="34"/>
      <c r="Q632" s="35"/>
      <c r="R632" s="35"/>
      <c r="S632" s="35"/>
      <c r="T632" s="35"/>
      <c r="U632" s="35"/>
      <c r="V632" s="35"/>
      <c r="W632" s="35"/>
      <c r="X632" s="35"/>
      <c r="Y632" s="35"/>
      <c r="Z632" s="35"/>
      <c r="AA632" s="35"/>
    </row>
    <row r="633" ht="14.25" customHeight="1">
      <c r="A633" s="136"/>
      <c r="B633" s="137"/>
      <c r="C633" s="251"/>
      <c r="D633" s="252"/>
      <c r="E633" s="136"/>
      <c r="F633" s="253"/>
      <c r="G633" s="253"/>
      <c r="H633" s="140"/>
      <c r="I633" s="141"/>
      <c r="J633" s="141"/>
      <c r="K633" s="142"/>
      <c r="L633" s="142"/>
      <c r="M633" s="142"/>
      <c r="N633" s="142"/>
      <c r="O633" s="136"/>
      <c r="P633" s="34"/>
      <c r="Q633" s="35"/>
      <c r="R633" s="35"/>
      <c r="S633" s="35"/>
      <c r="T633" s="35"/>
      <c r="U633" s="35"/>
      <c r="V633" s="35"/>
      <c r="W633" s="35"/>
      <c r="X633" s="35"/>
      <c r="Y633" s="35"/>
      <c r="Z633" s="35"/>
      <c r="AA633" s="35"/>
    </row>
    <row r="634" ht="14.25" customHeight="1">
      <c r="A634" s="136"/>
      <c r="B634" s="137"/>
      <c r="C634" s="251"/>
      <c r="D634" s="252"/>
      <c r="E634" s="136"/>
      <c r="F634" s="253"/>
      <c r="G634" s="253"/>
      <c r="H634" s="140"/>
      <c r="I634" s="141"/>
      <c r="J634" s="141"/>
      <c r="K634" s="142"/>
      <c r="L634" s="142"/>
      <c r="M634" s="142"/>
      <c r="N634" s="142"/>
      <c r="O634" s="136"/>
      <c r="P634" s="34"/>
      <c r="Q634" s="35"/>
      <c r="R634" s="35"/>
      <c r="S634" s="35"/>
      <c r="T634" s="35"/>
      <c r="U634" s="35"/>
      <c r="V634" s="35"/>
      <c r="W634" s="35"/>
      <c r="X634" s="35"/>
      <c r="Y634" s="35"/>
      <c r="Z634" s="35"/>
      <c r="AA634" s="35"/>
    </row>
    <row r="635" ht="14.25" customHeight="1">
      <c r="A635" s="136"/>
      <c r="B635" s="137"/>
      <c r="C635" s="251"/>
      <c r="D635" s="252"/>
      <c r="E635" s="136"/>
      <c r="F635" s="253"/>
      <c r="G635" s="253"/>
      <c r="H635" s="140"/>
      <c r="I635" s="141"/>
      <c r="J635" s="141"/>
      <c r="K635" s="142"/>
      <c r="L635" s="142"/>
      <c r="M635" s="142"/>
      <c r="N635" s="142"/>
      <c r="O635" s="136"/>
      <c r="P635" s="34"/>
      <c r="Q635" s="35"/>
      <c r="R635" s="35"/>
      <c r="S635" s="35"/>
      <c r="T635" s="35"/>
      <c r="U635" s="35"/>
      <c r="V635" s="35"/>
      <c r="W635" s="35"/>
      <c r="X635" s="35"/>
      <c r="Y635" s="35"/>
      <c r="Z635" s="35"/>
      <c r="AA635" s="35"/>
    </row>
    <row r="636" ht="14.25" customHeight="1">
      <c r="A636" s="136"/>
      <c r="B636" s="137"/>
      <c r="C636" s="251"/>
      <c r="D636" s="252"/>
      <c r="E636" s="136"/>
      <c r="F636" s="253"/>
      <c r="G636" s="253"/>
      <c r="H636" s="140"/>
      <c r="I636" s="141"/>
      <c r="J636" s="141"/>
      <c r="K636" s="142"/>
      <c r="L636" s="142"/>
      <c r="M636" s="142"/>
      <c r="N636" s="142"/>
      <c r="O636" s="136"/>
      <c r="P636" s="34"/>
      <c r="Q636" s="35"/>
      <c r="R636" s="35"/>
      <c r="S636" s="35"/>
      <c r="T636" s="35"/>
      <c r="U636" s="35"/>
      <c r="V636" s="35"/>
      <c r="W636" s="35"/>
      <c r="X636" s="35"/>
      <c r="Y636" s="35"/>
      <c r="Z636" s="35"/>
      <c r="AA636" s="35"/>
    </row>
    <row r="637" ht="14.25" customHeight="1">
      <c r="A637" s="136"/>
      <c r="B637" s="137"/>
      <c r="C637" s="251"/>
      <c r="D637" s="252"/>
      <c r="E637" s="136"/>
      <c r="F637" s="253"/>
      <c r="G637" s="253"/>
      <c r="H637" s="140"/>
      <c r="I637" s="141"/>
      <c r="J637" s="141"/>
      <c r="K637" s="142"/>
      <c r="L637" s="142"/>
      <c r="M637" s="142"/>
      <c r="N637" s="142"/>
      <c r="O637" s="136"/>
      <c r="P637" s="34"/>
      <c r="Q637" s="35"/>
      <c r="R637" s="35"/>
      <c r="S637" s="35"/>
      <c r="T637" s="35"/>
      <c r="U637" s="35"/>
      <c r="V637" s="35"/>
      <c r="W637" s="35"/>
      <c r="X637" s="35"/>
      <c r="Y637" s="35"/>
      <c r="Z637" s="35"/>
      <c r="AA637" s="35"/>
    </row>
    <row r="638" ht="14.25" customHeight="1">
      <c r="A638" s="136"/>
      <c r="B638" s="137"/>
      <c r="C638" s="251"/>
      <c r="D638" s="252"/>
      <c r="E638" s="136"/>
      <c r="F638" s="253"/>
      <c r="G638" s="253"/>
      <c r="H638" s="140"/>
      <c r="I638" s="141"/>
      <c r="J638" s="141"/>
      <c r="K638" s="142"/>
      <c r="L638" s="142"/>
      <c r="M638" s="142"/>
      <c r="N638" s="142"/>
      <c r="O638" s="136"/>
      <c r="P638" s="34"/>
      <c r="Q638" s="35"/>
      <c r="R638" s="35"/>
      <c r="S638" s="35"/>
      <c r="T638" s="35"/>
      <c r="U638" s="35"/>
      <c r="V638" s="35"/>
      <c r="W638" s="35"/>
      <c r="X638" s="35"/>
      <c r="Y638" s="35"/>
      <c r="Z638" s="35"/>
      <c r="AA638" s="35"/>
    </row>
    <row r="639" ht="14.25" customHeight="1">
      <c r="A639" s="136"/>
      <c r="B639" s="137"/>
      <c r="C639" s="251"/>
      <c r="D639" s="252"/>
      <c r="E639" s="136"/>
      <c r="F639" s="253"/>
      <c r="G639" s="253"/>
      <c r="H639" s="140"/>
      <c r="I639" s="141"/>
      <c r="J639" s="141"/>
      <c r="K639" s="142"/>
      <c r="L639" s="142"/>
      <c r="M639" s="142"/>
      <c r="N639" s="142"/>
      <c r="O639" s="136"/>
      <c r="P639" s="34"/>
      <c r="Q639" s="35"/>
      <c r="R639" s="35"/>
      <c r="S639" s="35"/>
      <c r="T639" s="35"/>
      <c r="U639" s="35"/>
      <c r="V639" s="35"/>
      <c r="W639" s="35"/>
      <c r="X639" s="35"/>
      <c r="Y639" s="35"/>
      <c r="Z639" s="35"/>
      <c r="AA639" s="35"/>
    </row>
    <row r="640" ht="14.25" customHeight="1">
      <c r="A640" s="136"/>
      <c r="B640" s="137"/>
      <c r="C640" s="251"/>
      <c r="D640" s="252"/>
      <c r="E640" s="136"/>
      <c r="F640" s="253"/>
      <c r="G640" s="253"/>
      <c r="H640" s="140"/>
      <c r="I640" s="141"/>
      <c r="J640" s="141"/>
      <c r="K640" s="142"/>
      <c r="L640" s="142"/>
      <c r="M640" s="142"/>
      <c r="N640" s="142"/>
      <c r="O640" s="136"/>
      <c r="P640" s="34"/>
      <c r="Q640" s="35"/>
      <c r="R640" s="35"/>
      <c r="S640" s="35"/>
      <c r="T640" s="35"/>
      <c r="U640" s="35"/>
      <c r="V640" s="35"/>
      <c r="W640" s="35"/>
      <c r="X640" s="35"/>
      <c r="Y640" s="35"/>
      <c r="Z640" s="35"/>
      <c r="AA640" s="35"/>
    </row>
    <row r="641" ht="14.25" customHeight="1">
      <c r="A641" s="136"/>
      <c r="B641" s="137"/>
      <c r="C641" s="251"/>
      <c r="D641" s="252"/>
      <c r="E641" s="136"/>
      <c r="F641" s="253"/>
      <c r="G641" s="253"/>
      <c r="H641" s="140"/>
      <c r="I641" s="141"/>
      <c r="J641" s="141"/>
      <c r="K641" s="142"/>
      <c r="L641" s="142"/>
      <c r="M641" s="142"/>
      <c r="N641" s="142"/>
      <c r="O641" s="136"/>
      <c r="P641" s="34"/>
      <c r="Q641" s="35"/>
      <c r="R641" s="35"/>
      <c r="S641" s="35"/>
      <c r="T641" s="35"/>
      <c r="U641" s="35"/>
      <c r="V641" s="35"/>
      <c r="W641" s="35"/>
      <c r="X641" s="35"/>
      <c r="Y641" s="35"/>
      <c r="Z641" s="35"/>
      <c r="AA641" s="35"/>
    </row>
    <row r="642" ht="14.25" customHeight="1">
      <c r="A642" s="136"/>
      <c r="B642" s="137"/>
      <c r="C642" s="251"/>
      <c r="D642" s="252"/>
      <c r="E642" s="136"/>
      <c r="F642" s="253"/>
      <c r="G642" s="253"/>
      <c r="H642" s="140"/>
      <c r="I642" s="141"/>
      <c r="J642" s="141"/>
      <c r="K642" s="142"/>
      <c r="L642" s="142"/>
      <c r="M642" s="142"/>
      <c r="N642" s="142"/>
      <c r="O642" s="136"/>
      <c r="P642" s="34"/>
      <c r="Q642" s="35"/>
      <c r="R642" s="35"/>
      <c r="S642" s="35"/>
      <c r="T642" s="35"/>
      <c r="U642" s="35"/>
      <c r="V642" s="35"/>
      <c r="W642" s="35"/>
      <c r="X642" s="35"/>
      <c r="Y642" s="35"/>
      <c r="Z642" s="35"/>
      <c r="AA642" s="35"/>
    </row>
    <row r="643" ht="14.25" customHeight="1">
      <c r="A643" s="136"/>
      <c r="B643" s="137"/>
      <c r="C643" s="251"/>
      <c r="D643" s="252"/>
      <c r="E643" s="136"/>
      <c r="F643" s="253"/>
      <c r="G643" s="253"/>
      <c r="H643" s="140"/>
      <c r="I643" s="141"/>
      <c r="J643" s="141"/>
      <c r="K643" s="142"/>
      <c r="L643" s="142"/>
      <c r="M643" s="142"/>
      <c r="N643" s="142"/>
      <c r="O643" s="136"/>
      <c r="P643" s="34"/>
      <c r="Q643" s="35"/>
      <c r="R643" s="35"/>
      <c r="S643" s="35"/>
      <c r="T643" s="35"/>
      <c r="U643" s="35"/>
      <c r="V643" s="35"/>
      <c r="W643" s="35"/>
      <c r="X643" s="35"/>
      <c r="Y643" s="35"/>
      <c r="Z643" s="35"/>
      <c r="AA643" s="35"/>
    </row>
    <row r="644" ht="14.25" customHeight="1">
      <c r="A644" s="136"/>
      <c r="B644" s="137"/>
      <c r="C644" s="251"/>
      <c r="D644" s="252"/>
      <c r="E644" s="136"/>
      <c r="F644" s="253"/>
      <c r="G644" s="253"/>
      <c r="H644" s="140"/>
      <c r="I644" s="141"/>
      <c r="J644" s="141"/>
      <c r="K644" s="142"/>
      <c r="L644" s="142"/>
      <c r="M644" s="142"/>
      <c r="N644" s="142"/>
      <c r="O644" s="136"/>
      <c r="P644" s="34"/>
      <c r="Q644" s="35"/>
      <c r="R644" s="35"/>
      <c r="S644" s="35"/>
      <c r="T644" s="35"/>
      <c r="U644" s="35"/>
      <c r="V644" s="35"/>
      <c r="W644" s="35"/>
      <c r="X644" s="35"/>
      <c r="Y644" s="35"/>
      <c r="Z644" s="35"/>
      <c r="AA644" s="35"/>
    </row>
    <row r="645" ht="14.25" customHeight="1">
      <c r="A645" s="136"/>
      <c r="B645" s="137"/>
      <c r="C645" s="251"/>
      <c r="D645" s="252"/>
      <c r="E645" s="136"/>
      <c r="F645" s="253"/>
      <c r="G645" s="253"/>
      <c r="H645" s="140"/>
      <c r="I645" s="141"/>
      <c r="J645" s="141"/>
      <c r="K645" s="142"/>
      <c r="L645" s="142"/>
      <c r="M645" s="142"/>
      <c r="N645" s="142"/>
      <c r="O645" s="136"/>
      <c r="P645" s="34"/>
      <c r="Q645" s="35"/>
      <c r="R645" s="35"/>
      <c r="S645" s="35"/>
      <c r="T645" s="35"/>
      <c r="U645" s="35"/>
      <c r="V645" s="35"/>
      <c r="W645" s="35"/>
      <c r="X645" s="35"/>
      <c r="Y645" s="35"/>
      <c r="Z645" s="35"/>
      <c r="AA645" s="35"/>
    </row>
    <row r="646" ht="14.25" customHeight="1">
      <c r="A646" s="136"/>
      <c r="B646" s="137"/>
      <c r="C646" s="251"/>
      <c r="D646" s="252"/>
      <c r="E646" s="136"/>
      <c r="F646" s="253"/>
      <c r="G646" s="253"/>
      <c r="H646" s="140"/>
      <c r="I646" s="141"/>
      <c r="J646" s="141"/>
      <c r="K646" s="142"/>
      <c r="L646" s="142"/>
      <c r="M646" s="142"/>
      <c r="N646" s="142"/>
      <c r="O646" s="136"/>
      <c r="P646" s="34"/>
      <c r="Q646" s="35"/>
      <c r="R646" s="35"/>
      <c r="S646" s="35"/>
      <c r="T646" s="35"/>
      <c r="U646" s="35"/>
      <c r="V646" s="35"/>
      <c r="W646" s="35"/>
      <c r="X646" s="35"/>
      <c r="Y646" s="35"/>
      <c r="Z646" s="35"/>
      <c r="AA646" s="35"/>
    </row>
    <row r="647" ht="14.25" customHeight="1">
      <c r="A647" s="136"/>
      <c r="B647" s="137"/>
      <c r="C647" s="251"/>
      <c r="D647" s="252"/>
      <c r="E647" s="136"/>
      <c r="F647" s="253"/>
      <c r="G647" s="253"/>
      <c r="H647" s="140"/>
      <c r="I647" s="141"/>
      <c r="J647" s="141"/>
      <c r="K647" s="142"/>
      <c r="L647" s="142"/>
      <c r="M647" s="142"/>
      <c r="N647" s="142"/>
      <c r="O647" s="136"/>
      <c r="P647" s="34"/>
      <c r="Q647" s="35"/>
      <c r="R647" s="35"/>
      <c r="S647" s="35"/>
      <c r="T647" s="35"/>
      <c r="U647" s="35"/>
      <c r="V647" s="35"/>
      <c r="W647" s="35"/>
      <c r="X647" s="35"/>
      <c r="Y647" s="35"/>
      <c r="Z647" s="35"/>
      <c r="AA647" s="35"/>
    </row>
    <row r="648" ht="14.25" customHeight="1">
      <c r="A648" s="136"/>
      <c r="B648" s="137"/>
      <c r="C648" s="251"/>
      <c r="D648" s="252"/>
      <c r="E648" s="136"/>
      <c r="F648" s="253"/>
      <c r="G648" s="253"/>
      <c r="H648" s="140"/>
      <c r="I648" s="141"/>
      <c r="J648" s="141"/>
      <c r="K648" s="142"/>
      <c r="L648" s="142"/>
      <c r="M648" s="142"/>
      <c r="N648" s="142"/>
      <c r="O648" s="136"/>
      <c r="P648" s="34"/>
      <c r="Q648" s="35"/>
      <c r="R648" s="35"/>
      <c r="S648" s="35"/>
      <c r="T648" s="35"/>
      <c r="U648" s="35"/>
      <c r="V648" s="35"/>
      <c r="W648" s="35"/>
      <c r="X648" s="35"/>
      <c r="Y648" s="35"/>
      <c r="Z648" s="35"/>
      <c r="AA648" s="35"/>
    </row>
    <row r="649" ht="14.25" customHeight="1">
      <c r="A649" s="136"/>
      <c r="B649" s="137"/>
      <c r="C649" s="251"/>
      <c r="D649" s="252"/>
      <c r="E649" s="136"/>
      <c r="F649" s="253"/>
      <c r="G649" s="253"/>
      <c r="H649" s="140"/>
      <c r="I649" s="141"/>
      <c r="J649" s="141"/>
      <c r="K649" s="142"/>
      <c r="L649" s="142"/>
      <c r="M649" s="142"/>
      <c r="N649" s="142"/>
      <c r="O649" s="136"/>
      <c r="P649" s="34"/>
      <c r="Q649" s="35"/>
      <c r="R649" s="35"/>
      <c r="S649" s="35"/>
      <c r="T649" s="35"/>
      <c r="U649" s="35"/>
      <c r="V649" s="35"/>
      <c r="W649" s="35"/>
      <c r="X649" s="35"/>
      <c r="Y649" s="35"/>
      <c r="Z649" s="35"/>
      <c r="AA649" s="35"/>
    </row>
    <row r="650" ht="14.25" customHeight="1">
      <c r="A650" s="136"/>
      <c r="B650" s="137"/>
      <c r="C650" s="251"/>
      <c r="D650" s="252"/>
      <c r="E650" s="136"/>
      <c r="F650" s="253"/>
      <c r="G650" s="253"/>
      <c r="H650" s="140"/>
      <c r="I650" s="141"/>
      <c r="J650" s="141"/>
      <c r="K650" s="142"/>
      <c r="L650" s="142"/>
      <c r="M650" s="142"/>
      <c r="N650" s="142"/>
      <c r="O650" s="136"/>
      <c r="P650" s="34"/>
      <c r="Q650" s="35"/>
      <c r="R650" s="35"/>
      <c r="S650" s="35"/>
      <c r="T650" s="35"/>
      <c r="U650" s="35"/>
      <c r="V650" s="35"/>
      <c r="W650" s="35"/>
      <c r="X650" s="35"/>
      <c r="Y650" s="35"/>
      <c r="Z650" s="35"/>
      <c r="AA650" s="35"/>
    </row>
    <row r="651" ht="14.25" customHeight="1">
      <c r="A651" s="136"/>
      <c r="B651" s="137"/>
      <c r="C651" s="251"/>
      <c r="D651" s="252"/>
      <c r="E651" s="136"/>
      <c r="F651" s="253"/>
      <c r="G651" s="253"/>
      <c r="H651" s="140"/>
      <c r="I651" s="141"/>
      <c r="J651" s="141"/>
      <c r="K651" s="142"/>
      <c r="L651" s="142"/>
      <c r="M651" s="142"/>
      <c r="N651" s="142"/>
      <c r="O651" s="136"/>
      <c r="P651" s="34"/>
      <c r="Q651" s="35"/>
      <c r="R651" s="35"/>
      <c r="S651" s="35"/>
      <c r="T651" s="35"/>
      <c r="U651" s="35"/>
      <c r="V651" s="35"/>
      <c r="W651" s="35"/>
      <c r="X651" s="35"/>
      <c r="Y651" s="35"/>
      <c r="Z651" s="35"/>
      <c r="AA651" s="35"/>
    </row>
    <row r="652" ht="14.25" customHeight="1">
      <c r="A652" s="136"/>
      <c r="B652" s="137"/>
      <c r="C652" s="251"/>
      <c r="D652" s="252"/>
      <c r="E652" s="136"/>
      <c r="F652" s="253"/>
      <c r="G652" s="253"/>
      <c r="H652" s="140"/>
      <c r="I652" s="141"/>
      <c r="J652" s="141"/>
      <c r="K652" s="142"/>
      <c r="L652" s="142"/>
      <c r="M652" s="142"/>
      <c r="N652" s="142"/>
      <c r="O652" s="136"/>
      <c r="P652" s="34"/>
      <c r="Q652" s="35"/>
      <c r="R652" s="35"/>
      <c r="S652" s="35"/>
      <c r="T652" s="35"/>
      <c r="U652" s="35"/>
      <c r="V652" s="35"/>
      <c r="W652" s="35"/>
      <c r="X652" s="35"/>
      <c r="Y652" s="35"/>
      <c r="Z652" s="35"/>
      <c r="AA652" s="35"/>
    </row>
    <row r="653" ht="14.25" customHeight="1">
      <c r="A653" s="136"/>
      <c r="B653" s="137"/>
      <c r="C653" s="251"/>
      <c r="D653" s="252"/>
      <c r="E653" s="136"/>
      <c r="F653" s="253"/>
      <c r="G653" s="253"/>
      <c r="H653" s="140"/>
      <c r="I653" s="141"/>
      <c r="J653" s="141"/>
      <c r="K653" s="142"/>
      <c r="L653" s="142"/>
      <c r="M653" s="142"/>
      <c r="N653" s="142"/>
      <c r="O653" s="136"/>
      <c r="P653" s="34"/>
      <c r="Q653" s="35"/>
      <c r="R653" s="35"/>
      <c r="S653" s="35"/>
      <c r="T653" s="35"/>
      <c r="U653" s="35"/>
      <c r="V653" s="35"/>
      <c r="W653" s="35"/>
      <c r="X653" s="35"/>
      <c r="Y653" s="35"/>
      <c r="Z653" s="35"/>
      <c r="AA653" s="35"/>
    </row>
    <row r="654" ht="14.25" customHeight="1">
      <c r="A654" s="136"/>
      <c r="B654" s="137"/>
      <c r="C654" s="251"/>
      <c r="D654" s="252"/>
      <c r="E654" s="136"/>
      <c r="F654" s="253"/>
      <c r="G654" s="253"/>
      <c r="H654" s="140"/>
      <c r="I654" s="141"/>
      <c r="J654" s="141"/>
      <c r="K654" s="142"/>
      <c r="L654" s="142"/>
      <c r="M654" s="142"/>
      <c r="N654" s="142"/>
      <c r="O654" s="136"/>
      <c r="P654" s="34"/>
      <c r="Q654" s="35"/>
      <c r="R654" s="35"/>
      <c r="S654" s="35"/>
      <c r="T654" s="35"/>
      <c r="U654" s="35"/>
      <c r="V654" s="35"/>
      <c r="W654" s="35"/>
      <c r="X654" s="35"/>
      <c r="Y654" s="35"/>
      <c r="Z654" s="35"/>
      <c r="AA654" s="35"/>
    </row>
    <row r="655" ht="14.25" customHeight="1">
      <c r="A655" s="136"/>
      <c r="B655" s="137"/>
      <c r="C655" s="251"/>
      <c r="D655" s="252"/>
      <c r="E655" s="136"/>
      <c r="F655" s="253"/>
      <c r="G655" s="253"/>
      <c r="H655" s="140"/>
      <c r="I655" s="141"/>
      <c r="J655" s="141"/>
      <c r="K655" s="142"/>
      <c r="L655" s="142"/>
      <c r="M655" s="142"/>
      <c r="N655" s="142"/>
      <c r="O655" s="136"/>
      <c r="P655" s="34"/>
      <c r="Q655" s="35"/>
      <c r="R655" s="35"/>
      <c r="S655" s="35"/>
      <c r="T655" s="35"/>
      <c r="U655" s="35"/>
      <c r="V655" s="35"/>
      <c r="W655" s="35"/>
      <c r="X655" s="35"/>
      <c r="Y655" s="35"/>
      <c r="Z655" s="35"/>
      <c r="AA655" s="35"/>
    </row>
    <row r="656" ht="14.25" customHeight="1">
      <c r="A656" s="136"/>
      <c r="B656" s="137"/>
      <c r="C656" s="251"/>
      <c r="D656" s="252"/>
      <c r="E656" s="136"/>
      <c r="F656" s="253"/>
      <c r="G656" s="253"/>
      <c r="H656" s="140"/>
      <c r="I656" s="141"/>
      <c r="J656" s="141"/>
      <c r="K656" s="142"/>
      <c r="L656" s="142"/>
      <c r="M656" s="142"/>
      <c r="N656" s="142"/>
      <c r="O656" s="136"/>
      <c r="P656" s="34"/>
      <c r="Q656" s="35"/>
      <c r="R656" s="35"/>
      <c r="S656" s="35"/>
      <c r="T656" s="35"/>
      <c r="U656" s="35"/>
      <c r="V656" s="35"/>
      <c r="W656" s="35"/>
      <c r="X656" s="35"/>
      <c r="Y656" s="35"/>
      <c r="Z656" s="35"/>
      <c r="AA656" s="35"/>
    </row>
    <row r="657" ht="14.25" customHeight="1">
      <c r="A657" s="136"/>
      <c r="B657" s="137"/>
      <c r="C657" s="251"/>
      <c r="D657" s="252"/>
      <c r="E657" s="136"/>
      <c r="F657" s="253"/>
      <c r="G657" s="253"/>
      <c r="H657" s="140"/>
      <c r="I657" s="141"/>
      <c r="J657" s="141"/>
      <c r="K657" s="142"/>
      <c r="L657" s="142"/>
      <c r="M657" s="142"/>
      <c r="N657" s="142"/>
      <c r="O657" s="136"/>
      <c r="P657" s="34"/>
      <c r="Q657" s="35"/>
      <c r="R657" s="35"/>
      <c r="S657" s="35"/>
      <c r="T657" s="35"/>
      <c r="U657" s="35"/>
      <c r="V657" s="35"/>
      <c r="W657" s="35"/>
      <c r="X657" s="35"/>
      <c r="Y657" s="35"/>
      <c r="Z657" s="35"/>
      <c r="AA657" s="35"/>
    </row>
    <row r="658" ht="14.25" customHeight="1">
      <c r="A658" s="136"/>
      <c r="B658" s="137"/>
      <c r="C658" s="251"/>
      <c r="D658" s="252"/>
      <c r="E658" s="136"/>
      <c r="F658" s="253"/>
      <c r="G658" s="253"/>
      <c r="H658" s="140"/>
      <c r="I658" s="141"/>
      <c r="J658" s="141"/>
      <c r="K658" s="142"/>
      <c r="L658" s="142"/>
      <c r="M658" s="142"/>
      <c r="N658" s="142"/>
      <c r="O658" s="136"/>
      <c r="P658" s="34"/>
      <c r="Q658" s="35"/>
      <c r="R658" s="35"/>
      <c r="S658" s="35"/>
      <c r="T658" s="35"/>
      <c r="U658" s="35"/>
      <c r="V658" s="35"/>
      <c r="W658" s="35"/>
      <c r="X658" s="35"/>
      <c r="Y658" s="35"/>
      <c r="Z658" s="35"/>
      <c r="AA658" s="35"/>
    </row>
    <row r="659" ht="14.25" customHeight="1">
      <c r="A659" s="136"/>
      <c r="B659" s="137"/>
      <c r="C659" s="251"/>
      <c r="D659" s="252"/>
      <c r="E659" s="136"/>
      <c r="F659" s="253"/>
      <c r="G659" s="253"/>
      <c r="H659" s="140"/>
      <c r="I659" s="141"/>
      <c r="J659" s="141"/>
      <c r="K659" s="142"/>
      <c r="L659" s="142"/>
      <c r="M659" s="142"/>
      <c r="N659" s="142"/>
      <c r="O659" s="136"/>
      <c r="P659" s="34"/>
      <c r="Q659" s="35"/>
      <c r="R659" s="35"/>
      <c r="S659" s="35"/>
      <c r="T659" s="35"/>
      <c r="U659" s="35"/>
      <c r="V659" s="35"/>
      <c r="W659" s="35"/>
      <c r="X659" s="35"/>
      <c r="Y659" s="35"/>
      <c r="Z659" s="35"/>
      <c r="AA659" s="35"/>
    </row>
    <row r="660" ht="14.25" customHeight="1">
      <c r="A660" s="136"/>
      <c r="B660" s="137"/>
      <c r="C660" s="251"/>
      <c r="D660" s="252"/>
      <c r="E660" s="136"/>
      <c r="F660" s="253"/>
      <c r="G660" s="253"/>
      <c r="H660" s="140"/>
      <c r="I660" s="141"/>
      <c r="J660" s="141"/>
      <c r="K660" s="142"/>
      <c r="L660" s="142"/>
      <c r="M660" s="142"/>
      <c r="N660" s="142"/>
      <c r="O660" s="136"/>
      <c r="P660" s="34"/>
      <c r="Q660" s="35"/>
      <c r="R660" s="35"/>
      <c r="S660" s="35"/>
      <c r="T660" s="35"/>
      <c r="U660" s="35"/>
      <c r="V660" s="35"/>
      <c r="W660" s="35"/>
      <c r="X660" s="35"/>
      <c r="Y660" s="35"/>
      <c r="Z660" s="35"/>
      <c r="AA660" s="35"/>
    </row>
    <row r="661" ht="14.25" customHeight="1">
      <c r="A661" s="136"/>
      <c r="B661" s="137"/>
      <c r="C661" s="251"/>
      <c r="D661" s="252"/>
      <c r="E661" s="136"/>
      <c r="F661" s="253"/>
      <c r="G661" s="253"/>
      <c r="H661" s="140"/>
      <c r="I661" s="141"/>
      <c r="J661" s="141"/>
      <c r="K661" s="142"/>
      <c r="L661" s="142"/>
      <c r="M661" s="142"/>
      <c r="N661" s="142"/>
      <c r="O661" s="136"/>
      <c r="P661" s="34"/>
      <c r="Q661" s="35"/>
      <c r="R661" s="35"/>
      <c r="S661" s="35"/>
      <c r="T661" s="35"/>
      <c r="U661" s="35"/>
      <c r="V661" s="35"/>
      <c r="W661" s="35"/>
      <c r="X661" s="35"/>
      <c r="Y661" s="35"/>
      <c r="Z661" s="35"/>
      <c r="AA661" s="35"/>
    </row>
    <row r="662" ht="14.25" customHeight="1">
      <c r="A662" s="136"/>
      <c r="B662" s="137"/>
      <c r="C662" s="251"/>
      <c r="D662" s="252"/>
      <c r="E662" s="136"/>
      <c r="F662" s="253"/>
      <c r="G662" s="253"/>
      <c r="H662" s="140"/>
      <c r="I662" s="141"/>
      <c r="J662" s="141"/>
      <c r="K662" s="142"/>
      <c r="L662" s="142"/>
      <c r="M662" s="142"/>
      <c r="N662" s="142"/>
      <c r="O662" s="136"/>
      <c r="P662" s="34"/>
      <c r="Q662" s="35"/>
      <c r="R662" s="35"/>
      <c r="S662" s="35"/>
      <c r="T662" s="35"/>
      <c r="U662" s="35"/>
      <c r="V662" s="35"/>
      <c r="W662" s="35"/>
      <c r="X662" s="35"/>
      <c r="Y662" s="35"/>
      <c r="Z662" s="35"/>
      <c r="AA662" s="35"/>
    </row>
    <row r="663" ht="14.25" customHeight="1">
      <c r="A663" s="136"/>
      <c r="B663" s="137"/>
      <c r="C663" s="251"/>
      <c r="D663" s="252"/>
      <c r="E663" s="136"/>
      <c r="F663" s="253"/>
      <c r="G663" s="253"/>
      <c r="H663" s="140"/>
      <c r="I663" s="141"/>
      <c r="J663" s="141"/>
      <c r="K663" s="142"/>
      <c r="L663" s="142"/>
      <c r="M663" s="142"/>
      <c r="N663" s="142"/>
      <c r="O663" s="136"/>
      <c r="P663" s="34"/>
      <c r="Q663" s="35"/>
      <c r="R663" s="35"/>
      <c r="S663" s="35"/>
      <c r="T663" s="35"/>
      <c r="U663" s="35"/>
      <c r="V663" s="35"/>
      <c r="W663" s="35"/>
      <c r="X663" s="35"/>
      <c r="Y663" s="35"/>
      <c r="Z663" s="35"/>
      <c r="AA663" s="35"/>
    </row>
    <row r="664" ht="14.25" customHeight="1">
      <c r="A664" s="136"/>
      <c r="B664" s="137"/>
      <c r="C664" s="251"/>
      <c r="D664" s="252"/>
      <c r="E664" s="136"/>
      <c r="F664" s="253"/>
      <c r="G664" s="253"/>
      <c r="H664" s="140"/>
      <c r="I664" s="141"/>
      <c r="J664" s="141"/>
      <c r="K664" s="142"/>
      <c r="L664" s="142"/>
      <c r="M664" s="142"/>
      <c r="N664" s="142"/>
      <c r="O664" s="136"/>
      <c r="P664" s="34"/>
      <c r="Q664" s="35"/>
      <c r="R664" s="35"/>
      <c r="S664" s="35"/>
      <c r="T664" s="35"/>
      <c r="U664" s="35"/>
      <c r="V664" s="35"/>
      <c r="W664" s="35"/>
      <c r="X664" s="35"/>
      <c r="Y664" s="35"/>
      <c r="Z664" s="35"/>
      <c r="AA664" s="35"/>
    </row>
    <row r="665" ht="14.25" customHeight="1">
      <c r="A665" s="136"/>
      <c r="B665" s="137"/>
      <c r="C665" s="251"/>
      <c r="D665" s="252"/>
      <c r="E665" s="136"/>
      <c r="F665" s="253"/>
      <c r="G665" s="253"/>
      <c r="H665" s="140"/>
      <c r="I665" s="141"/>
      <c r="J665" s="141"/>
      <c r="K665" s="142"/>
      <c r="L665" s="142"/>
      <c r="M665" s="142"/>
      <c r="N665" s="142"/>
      <c r="O665" s="136"/>
      <c r="P665" s="34"/>
      <c r="Q665" s="35"/>
      <c r="R665" s="35"/>
      <c r="S665" s="35"/>
      <c r="T665" s="35"/>
      <c r="U665" s="35"/>
      <c r="V665" s="35"/>
      <c r="W665" s="35"/>
      <c r="X665" s="35"/>
      <c r="Y665" s="35"/>
      <c r="Z665" s="35"/>
      <c r="AA665" s="35"/>
    </row>
    <row r="666" ht="14.25" customHeight="1">
      <c r="A666" s="136"/>
      <c r="B666" s="137"/>
      <c r="C666" s="251"/>
      <c r="D666" s="252"/>
      <c r="E666" s="136"/>
      <c r="F666" s="253"/>
      <c r="G666" s="253"/>
      <c r="H666" s="140"/>
      <c r="I666" s="141"/>
      <c r="J666" s="141"/>
      <c r="K666" s="142"/>
      <c r="L666" s="142"/>
      <c r="M666" s="142"/>
      <c r="N666" s="142"/>
      <c r="O666" s="136"/>
      <c r="P666" s="34"/>
      <c r="Q666" s="35"/>
      <c r="R666" s="35"/>
      <c r="S666" s="35"/>
      <c r="T666" s="35"/>
      <c r="U666" s="35"/>
      <c r="V666" s="35"/>
      <c r="W666" s="35"/>
      <c r="X666" s="35"/>
      <c r="Y666" s="35"/>
      <c r="Z666" s="35"/>
      <c r="AA666" s="35"/>
    </row>
    <row r="667" ht="14.25" customHeight="1">
      <c r="A667" s="136"/>
      <c r="B667" s="137"/>
      <c r="C667" s="251"/>
      <c r="D667" s="252"/>
      <c r="E667" s="136"/>
      <c r="F667" s="253"/>
      <c r="G667" s="253"/>
      <c r="H667" s="140"/>
      <c r="I667" s="141"/>
      <c r="J667" s="141"/>
      <c r="K667" s="142"/>
      <c r="L667" s="142"/>
      <c r="M667" s="142"/>
      <c r="N667" s="142"/>
      <c r="O667" s="136"/>
      <c r="P667" s="34"/>
      <c r="Q667" s="35"/>
      <c r="R667" s="35"/>
      <c r="S667" s="35"/>
      <c r="T667" s="35"/>
      <c r="U667" s="35"/>
      <c r="V667" s="35"/>
      <c r="W667" s="35"/>
      <c r="X667" s="35"/>
      <c r="Y667" s="35"/>
      <c r="Z667" s="35"/>
      <c r="AA667" s="35"/>
    </row>
    <row r="668" ht="14.25" customHeight="1">
      <c r="A668" s="136"/>
      <c r="B668" s="137"/>
      <c r="C668" s="251"/>
      <c r="D668" s="252"/>
      <c r="E668" s="136"/>
      <c r="F668" s="253"/>
      <c r="G668" s="253"/>
      <c r="H668" s="140"/>
      <c r="I668" s="141"/>
      <c r="J668" s="141"/>
      <c r="K668" s="142"/>
      <c r="L668" s="142"/>
      <c r="M668" s="142"/>
      <c r="N668" s="142"/>
      <c r="O668" s="136"/>
      <c r="P668" s="34"/>
      <c r="Q668" s="35"/>
      <c r="R668" s="35"/>
      <c r="S668" s="35"/>
      <c r="T668" s="35"/>
      <c r="U668" s="35"/>
      <c r="V668" s="35"/>
      <c r="W668" s="35"/>
      <c r="X668" s="35"/>
      <c r="Y668" s="35"/>
      <c r="Z668" s="35"/>
      <c r="AA668" s="35"/>
    </row>
    <row r="669" ht="14.25" customHeight="1">
      <c r="A669" s="136"/>
      <c r="B669" s="137"/>
      <c r="C669" s="251"/>
      <c r="D669" s="252"/>
      <c r="E669" s="136"/>
      <c r="F669" s="253"/>
      <c r="G669" s="253"/>
      <c r="H669" s="140"/>
      <c r="I669" s="141"/>
      <c r="J669" s="141"/>
      <c r="K669" s="142"/>
      <c r="L669" s="142"/>
      <c r="M669" s="142"/>
      <c r="N669" s="142"/>
      <c r="O669" s="136"/>
      <c r="P669" s="34"/>
      <c r="Q669" s="35"/>
      <c r="R669" s="35"/>
      <c r="S669" s="35"/>
      <c r="T669" s="35"/>
      <c r="U669" s="35"/>
      <c r="V669" s="35"/>
      <c r="W669" s="35"/>
      <c r="X669" s="35"/>
      <c r="Y669" s="35"/>
      <c r="Z669" s="35"/>
      <c r="AA669" s="35"/>
    </row>
    <row r="670" ht="14.25" customHeight="1">
      <c r="A670" s="136"/>
      <c r="B670" s="137"/>
      <c r="C670" s="251"/>
      <c r="D670" s="252"/>
      <c r="E670" s="136"/>
      <c r="F670" s="253"/>
      <c r="G670" s="253"/>
      <c r="H670" s="140"/>
      <c r="I670" s="141"/>
      <c r="J670" s="141"/>
      <c r="K670" s="142"/>
      <c r="L670" s="142"/>
      <c r="M670" s="142"/>
      <c r="N670" s="142"/>
      <c r="O670" s="136"/>
      <c r="P670" s="34"/>
      <c r="Q670" s="35"/>
      <c r="R670" s="35"/>
      <c r="S670" s="35"/>
      <c r="T670" s="35"/>
      <c r="U670" s="35"/>
      <c r="V670" s="35"/>
      <c r="W670" s="35"/>
      <c r="X670" s="35"/>
      <c r="Y670" s="35"/>
      <c r="Z670" s="35"/>
      <c r="AA670" s="35"/>
    </row>
    <row r="671" ht="14.25" customHeight="1">
      <c r="A671" s="136"/>
      <c r="B671" s="137"/>
      <c r="C671" s="251"/>
      <c r="D671" s="252"/>
      <c r="E671" s="136"/>
      <c r="F671" s="253"/>
      <c r="G671" s="253"/>
      <c r="H671" s="140"/>
      <c r="I671" s="141"/>
      <c r="J671" s="141"/>
      <c r="K671" s="142"/>
      <c r="L671" s="142"/>
      <c r="M671" s="142"/>
      <c r="N671" s="142"/>
      <c r="O671" s="136"/>
      <c r="P671" s="34"/>
      <c r="Q671" s="35"/>
      <c r="R671" s="35"/>
      <c r="S671" s="35"/>
      <c r="T671" s="35"/>
      <c r="U671" s="35"/>
      <c r="V671" s="35"/>
      <c r="W671" s="35"/>
      <c r="X671" s="35"/>
      <c r="Y671" s="35"/>
      <c r="Z671" s="35"/>
      <c r="AA671" s="35"/>
    </row>
    <row r="672" ht="14.25" customHeight="1">
      <c r="A672" s="136"/>
      <c r="B672" s="137"/>
      <c r="C672" s="251"/>
      <c r="D672" s="252"/>
      <c r="E672" s="136"/>
      <c r="F672" s="253"/>
      <c r="G672" s="253"/>
      <c r="H672" s="140"/>
      <c r="I672" s="141"/>
      <c r="J672" s="141"/>
      <c r="K672" s="142"/>
      <c r="L672" s="142"/>
      <c r="M672" s="142"/>
      <c r="N672" s="142"/>
      <c r="O672" s="136"/>
      <c r="P672" s="34"/>
      <c r="Q672" s="35"/>
      <c r="R672" s="35"/>
      <c r="S672" s="35"/>
      <c r="T672" s="35"/>
      <c r="U672" s="35"/>
      <c r="V672" s="35"/>
      <c r="W672" s="35"/>
      <c r="X672" s="35"/>
      <c r="Y672" s="35"/>
      <c r="Z672" s="35"/>
      <c r="AA672" s="35"/>
    </row>
    <row r="673" ht="14.25" customHeight="1">
      <c r="A673" s="136"/>
      <c r="B673" s="137"/>
      <c r="C673" s="251"/>
      <c r="D673" s="252"/>
      <c r="E673" s="136"/>
      <c r="F673" s="253"/>
      <c r="G673" s="253"/>
      <c r="H673" s="140"/>
      <c r="I673" s="141"/>
      <c r="J673" s="141"/>
      <c r="K673" s="142"/>
      <c r="L673" s="142"/>
      <c r="M673" s="142"/>
      <c r="N673" s="142"/>
      <c r="O673" s="136"/>
      <c r="P673" s="34"/>
      <c r="Q673" s="35"/>
      <c r="R673" s="35"/>
      <c r="S673" s="35"/>
      <c r="T673" s="35"/>
      <c r="U673" s="35"/>
      <c r="V673" s="35"/>
      <c r="W673" s="35"/>
      <c r="X673" s="35"/>
      <c r="Y673" s="35"/>
      <c r="Z673" s="35"/>
      <c r="AA673" s="35"/>
    </row>
    <row r="674" ht="14.25" customHeight="1">
      <c r="A674" s="136"/>
      <c r="B674" s="137"/>
      <c r="C674" s="251"/>
      <c r="D674" s="252"/>
      <c r="E674" s="136"/>
      <c r="F674" s="253"/>
      <c r="G674" s="253"/>
      <c r="H674" s="140"/>
      <c r="I674" s="141"/>
      <c r="J674" s="141"/>
      <c r="K674" s="142"/>
      <c r="L674" s="142"/>
      <c r="M674" s="142"/>
      <c r="N674" s="142"/>
      <c r="O674" s="136"/>
      <c r="P674" s="34"/>
      <c r="Q674" s="35"/>
      <c r="R674" s="35"/>
      <c r="S674" s="35"/>
      <c r="T674" s="35"/>
      <c r="U674" s="35"/>
      <c r="V674" s="35"/>
      <c r="W674" s="35"/>
      <c r="X674" s="35"/>
      <c r="Y674" s="35"/>
      <c r="Z674" s="35"/>
      <c r="AA674" s="35"/>
    </row>
    <row r="675" ht="14.25" customHeight="1">
      <c r="A675" s="136"/>
      <c r="B675" s="137"/>
      <c r="C675" s="251"/>
      <c r="D675" s="252"/>
      <c r="E675" s="136"/>
      <c r="F675" s="253"/>
      <c r="G675" s="253"/>
      <c r="H675" s="140"/>
      <c r="I675" s="141"/>
      <c r="J675" s="141"/>
      <c r="K675" s="142"/>
      <c r="L675" s="142"/>
      <c r="M675" s="142"/>
      <c r="N675" s="142"/>
      <c r="O675" s="136"/>
      <c r="P675" s="34"/>
      <c r="Q675" s="35"/>
      <c r="R675" s="35"/>
      <c r="S675" s="35"/>
      <c r="T675" s="35"/>
      <c r="U675" s="35"/>
      <c r="V675" s="35"/>
      <c r="W675" s="35"/>
      <c r="X675" s="35"/>
      <c r="Y675" s="35"/>
      <c r="Z675" s="35"/>
      <c r="AA675" s="35"/>
    </row>
    <row r="676" ht="14.25" customHeight="1">
      <c r="A676" s="136"/>
      <c r="B676" s="137"/>
      <c r="C676" s="251"/>
      <c r="D676" s="252"/>
      <c r="E676" s="136"/>
      <c r="F676" s="253"/>
      <c r="G676" s="253"/>
      <c r="H676" s="140"/>
      <c r="I676" s="141"/>
      <c r="J676" s="141"/>
      <c r="K676" s="142"/>
      <c r="L676" s="142"/>
      <c r="M676" s="142"/>
      <c r="N676" s="142"/>
      <c r="O676" s="136"/>
      <c r="P676" s="34"/>
      <c r="Q676" s="35"/>
      <c r="R676" s="35"/>
      <c r="S676" s="35"/>
      <c r="T676" s="35"/>
      <c r="U676" s="35"/>
      <c r="V676" s="35"/>
      <c r="W676" s="35"/>
      <c r="X676" s="35"/>
      <c r="Y676" s="35"/>
      <c r="Z676" s="35"/>
      <c r="AA676" s="35"/>
    </row>
    <row r="677" ht="14.25" customHeight="1">
      <c r="A677" s="136"/>
      <c r="B677" s="137"/>
      <c r="C677" s="251"/>
      <c r="D677" s="252"/>
      <c r="E677" s="136"/>
      <c r="F677" s="253"/>
      <c r="G677" s="253"/>
      <c r="H677" s="140"/>
      <c r="I677" s="141"/>
      <c r="J677" s="141"/>
      <c r="K677" s="142"/>
      <c r="L677" s="142"/>
      <c r="M677" s="142"/>
      <c r="N677" s="142"/>
      <c r="O677" s="136"/>
      <c r="P677" s="34"/>
      <c r="Q677" s="35"/>
      <c r="R677" s="35"/>
      <c r="S677" s="35"/>
      <c r="T677" s="35"/>
      <c r="U677" s="35"/>
      <c r="V677" s="35"/>
      <c r="W677" s="35"/>
      <c r="X677" s="35"/>
      <c r="Y677" s="35"/>
      <c r="Z677" s="35"/>
      <c r="AA677" s="35"/>
    </row>
    <row r="678" ht="14.25" customHeight="1">
      <c r="A678" s="136"/>
      <c r="B678" s="137"/>
      <c r="C678" s="251"/>
      <c r="D678" s="252"/>
      <c r="E678" s="136"/>
      <c r="F678" s="253"/>
      <c r="G678" s="253"/>
      <c r="H678" s="140"/>
      <c r="I678" s="141"/>
      <c r="J678" s="141"/>
      <c r="K678" s="142"/>
      <c r="L678" s="142"/>
      <c r="M678" s="142"/>
      <c r="N678" s="142"/>
      <c r="O678" s="136"/>
      <c r="P678" s="34"/>
      <c r="Q678" s="35"/>
      <c r="R678" s="35"/>
      <c r="S678" s="35"/>
      <c r="T678" s="35"/>
      <c r="U678" s="35"/>
      <c r="V678" s="35"/>
      <c r="W678" s="35"/>
      <c r="X678" s="35"/>
      <c r="Y678" s="35"/>
      <c r="Z678" s="35"/>
      <c r="AA678" s="35"/>
    </row>
    <row r="679" ht="14.25" customHeight="1">
      <c r="A679" s="136"/>
      <c r="B679" s="137"/>
      <c r="C679" s="251"/>
      <c r="D679" s="252"/>
      <c r="E679" s="136"/>
      <c r="F679" s="253"/>
      <c r="G679" s="253"/>
      <c r="H679" s="140"/>
      <c r="I679" s="141"/>
      <c r="J679" s="141"/>
      <c r="K679" s="142"/>
      <c r="L679" s="142"/>
      <c r="M679" s="142"/>
      <c r="N679" s="142"/>
      <c r="O679" s="136"/>
      <c r="P679" s="34"/>
      <c r="Q679" s="35"/>
      <c r="R679" s="35"/>
      <c r="S679" s="35"/>
      <c r="T679" s="35"/>
      <c r="U679" s="35"/>
      <c r="V679" s="35"/>
      <c r="W679" s="35"/>
      <c r="X679" s="35"/>
      <c r="Y679" s="35"/>
      <c r="Z679" s="35"/>
      <c r="AA679" s="35"/>
    </row>
    <row r="680" ht="14.25" customHeight="1">
      <c r="A680" s="136"/>
      <c r="B680" s="137"/>
      <c r="C680" s="251"/>
      <c r="D680" s="252"/>
      <c r="E680" s="136"/>
      <c r="F680" s="253"/>
      <c r="G680" s="253"/>
      <c r="H680" s="140"/>
      <c r="I680" s="141"/>
      <c r="J680" s="141"/>
      <c r="K680" s="142"/>
      <c r="L680" s="142"/>
      <c r="M680" s="142"/>
      <c r="N680" s="142"/>
      <c r="O680" s="136"/>
      <c r="P680" s="34"/>
      <c r="Q680" s="35"/>
      <c r="R680" s="35"/>
      <c r="S680" s="35"/>
      <c r="T680" s="35"/>
      <c r="U680" s="35"/>
      <c r="V680" s="35"/>
      <c r="W680" s="35"/>
      <c r="X680" s="35"/>
      <c r="Y680" s="35"/>
      <c r="Z680" s="35"/>
      <c r="AA680" s="35"/>
    </row>
    <row r="681" ht="14.25" customHeight="1">
      <c r="A681" s="136"/>
      <c r="B681" s="137"/>
      <c r="C681" s="251"/>
      <c r="D681" s="252"/>
      <c r="E681" s="136"/>
      <c r="F681" s="253"/>
      <c r="G681" s="253"/>
      <c r="H681" s="140"/>
      <c r="I681" s="141"/>
      <c r="J681" s="141"/>
      <c r="K681" s="142"/>
      <c r="L681" s="142"/>
      <c r="M681" s="142"/>
      <c r="N681" s="142"/>
      <c r="O681" s="136"/>
      <c r="P681" s="34"/>
      <c r="Q681" s="35"/>
      <c r="R681" s="35"/>
      <c r="S681" s="35"/>
      <c r="T681" s="35"/>
      <c r="U681" s="35"/>
      <c r="V681" s="35"/>
      <c r="W681" s="35"/>
      <c r="X681" s="35"/>
      <c r="Y681" s="35"/>
      <c r="Z681" s="35"/>
      <c r="AA681" s="35"/>
    </row>
    <row r="682" ht="14.25" customHeight="1">
      <c r="A682" s="136"/>
      <c r="B682" s="137"/>
      <c r="C682" s="251"/>
      <c r="D682" s="252"/>
      <c r="E682" s="136"/>
      <c r="F682" s="253"/>
      <c r="G682" s="253"/>
      <c r="H682" s="140"/>
      <c r="I682" s="141"/>
      <c r="J682" s="141"/>
      <c r="K682" s="142"/>
      <c r="L682" s="142"/>
      <c r="M682" s="142"/>
      <c r="N682" s="142"/>
      <c r="O682" s="136"/>
      <c r="P682" s="34"/>
      <c r="Q682" s="35"/>
      <c r="R682" s="35"/>
      <c r="S682" s="35"/>
      <c r="T682" s="35"/>
      <c r="U682" s="35"/>
      <c r="V682" s="35"/>
      <c r="W682" s="35"/>
      <c r="X682" s="35"/>
      <c r="Y682" s="35"/>
      <c r="Z682" s="35"/>
      <c r="AA682" s="35"/>
    </row>
    <row r="683" ht="14.25" customHeight="1">
      <c r="A683" s="136"/>
      <c r="B683" s="137"/>
      <c r="C683" s="251"/>
      <c r="D683" s="252"/>
      <c r="E683" s="136"/>
      <c r="F683" s="253"/>
      <c r="G683" s="253"/>
      <c r="H683" s="140"/>
      <c r="I683" s="141"/>
      <c r="J683" s="141"/>
      <c r="K683" s="142"/>
      <c r="L683" s="142"/>
      <c r="M683" s="142"/>
      <c r="N683" s="142"/>
      <c r="O683" s="136"/>
      <c r="P683" s="34"/>
      <c r="Q683" s="35"/>
      <c r="R683" s="35"/>
      <c r="S683" s="35"/>
      <c r="T683" s="35"/>
      <c r="U683" s="35"/>
      <c r="V683" s="35"/>
      <c r="W683" s="35"/>
      <c r="X683" s="35"/>
      <c r="Y683" s="35"/>
      <c r="Z683" s="35"/>
      <c r="AA683" s="35"/>
    </row>
    <row r="684" ht="14.25" customHeight="1">
      <c r="A684" s="136"/>
      <c r="B684" s="137"/>
      <c r="C684" s="251"/>
      <c r="D684" s="252"/>
      <c r="E684" s="136"/>
      <c r="F684" s="253"/>
      <c r="G684" s="253"/>
      <c r="H684" s="140"/>
      <c r="I684" s="141"/>
      <c r="J684" s="141"/>
      <c r="K684" s="142"/>
      <c r="L684" s="142"/>
      <c r="M684" s="142"/>
      <c r="N684" s="142"/>
      <c r="O684" s="136"/>
      <c r="P684" s="34"/>
      <c r="Q684" s="35"/>
      <c r="R684" s="35"/>
      <c r="S684" s="35"/>
      <c r="T684" s="35"/>
      <c r="U684" s="35"/>
      <c r="V684" s="35"/>
      <c r="W684" s="35"/>
      <c r="X684" s="35"/>
      <c r="Y684" s="35"/>
      <c r="Z684" s="35"/>
      <c r="AA684" s="35"/>
    </row>
    <row r="685" ht="14.25" customHeight="1">
      <c r="A685" s="136"/>
      <c r="B685" s="137"/>
      <c r="C685" s="251"/>
      <c r="D685" s="252"/>
      <c r="E685" s="136"/>
      <c r="F685" s="253"/>
      <c r="G685" s="253"/>
      <c r="H685" s="140"/>
      <c r="I685" s="141"/>
      <c r="J685" s="141"/>
      <c r="K685" s="142"/>
      <c r="L685" s="142"/>
      <c r="M685" s="142"/>
      <c r="N685" s="142"/>
      <c r="O685" s="136"/>
      <c r="P685" s="34"/>
      <c r="Q685" s="35"/>
      <c r="R685" s="35"/>
      <c r="S685" s="35"/>
      <c r="T685" s="35"/>
      <c r="U685" s="35"/>
      <c r="V685" s="35"/>
      <c r="W685" s="35"/>
      <c r="X685" s="35"/>
      <c r="Y685" s="35"/>
      <c r="Z685" s="35"/>
      <c r="AA685" s="35"/>
    </row>
    <row r="686" ht="14.25" customHeight="1">
      <c r="A686" s="136"/>
      <c r="B686" s="137"/>
      <c r="C686" s="251"/>
      <c r="D686" s="252"/>
      <c r="E686" s="136"/>
      <c r="F686" s="253"/>
      <c r="G686" s="253"/>
      <c r="H686" s="140"/>
      <c r="I686" s="141"/>
      <c r="J686" s="141"/>
      <c r="K686" s="142"/>
      <c r="L686" s="142"/>
      <c r="M686" s="142"/>
      <c r="N686" s="142"/>
      <c r="O686" s="136"/>
      <c r="P686" s="34"/>
      <c r="Q686" s="35"/>
      <c r="R686" s="35"/>
      <c r="S686" s="35"/>
      <c r="T686" s="35"/>
      <c r="U686" s="35"/>
      <c r="V686" s="35"/>
      <c r="W686" s="35"/>
      <c r="X686" s="35"/>
      <c r="Y686" s="35"/>
      <c r="Z686" s="35"/>
      <c r="AA686" s="35"/>
    </row>
    <row r="687" ht="14.25" customHeight="1">
      <c r="A687" s="136"/>
      <c r="B687" s="137"/>
      <c r="C687" s="251"/>
      <c r="D687" s="252"/>
      <c r="E687" s="136"/>
      <c r="F687" s="253"/>
      <c r="G687" s="253"/>
      <c r="H687" s="140"/>
      <c r="I687" s="141"/>
      <c r="J687" s="141"/>
      <c r="K687" s="142"/>
      <c r="L687" s="142"/>
      <c r="M687" s="142"/>
      <c r="N687" s="142"/>
      <c r="O687" s="136"/>
      <c r="P687" s="34"/>
      <c r="Q687" s="35"/>
      <c r="R687" s="35"/>
      <c r="S687" s="35"/>
      <c r="T687" s="35"/>
      <c r="U687" s="35"/>
      <c r="V687" s="35"/>
      <c r="W687" s="35"/>
      <c r="X687" s="35"/>
      <c r="Y687" s="35"/>
      <c r="Z687" s="35"/>
      <c r="AA687" s="35"/>
    </row>
    <row r="688" ht="14.25" customHeight="1">
      <c r="A688" s="136"/>
      <c r="B688" s="137"/>
      <c r="C688" s="251"/>
      <c r="D688" s="252"/>
      <c r="E688" s="136"/>
      <c r="F688" s="253"/>
      <c r="G688" s="253"/>
      <c r="H688" s="140"/>
      <c r="I688" s="141"/>
      <c r="J688" s="141"/>
      <c r="K688" s="142"/>
      <c r="L688" s="142"/>
      <c r="M688" s="142"/>
      <c r="N688" s="142"/>
      <c r="O688" s="136"/>
      <c r="P688" s="34"/>
      <c r="Q688" s="35"/>
      <c r="R688" s="35"/>
      <c r="S688" s="35"/>
      <c r="T688" s="35"/>
      <c r="U688" s="35"/>
      <c r="V688" s="35"/>
      <c r="W688" s="35"/>
      <c r="X688" s="35"/>
      <c r="Y688" s="35"/>
      <c r="Z688" s="35"/>
      <c r="AA688" s="35"/>
    </row>
    <row r="689" ht="14.25" customHeight="1">
      <c r="A689" s="136"/>
      <c r="B689" s="137"/>
      <c r="C689" s="251"/>
      <c r="D689" s="252"/>
      <c r="E689" s="136"/>
      <c r="F689" s="253"/>
      <c r="G689" s="253"/>
      <c r="H689" s="140"/>
      <c r="I689" s="141"/>
      <c r="J689" s="141"/>
      <c r="K689" s="142"/>
      <c r="L689" s="142"/>
      <c r="M689" s="142"/>
      <c r="N689" s="142"/>
      <c r="O689" s="136"/>
      <c r="P689" s="34"/>
      <c r="Q689" s="35"/>
      <c r="R689" s="35"/>
      <c r="S689" s="35"/>
      <c r="T689" s="35"/>
      <c r="U689" s="35"/>
      <c r="V689" s="35"/>
      <c r="W689" s="35"/>
      <c r="X689" s="35"/>
      <c r="Y689" s="35"/>
      <c r="Z689" s="35"/>
      <c r="AA689" s="35"/>
    </row>
    <row r="690" ht="14.25" customHeight="1">
      <c r="A690" s="136"/>
      <c r="B690" s="137"/>
      <c r="C690" s="251"/>
      <c r="D690" s="252"/>
      <c r="E690" s="136"/>
      <c r="F690" s="253"/>
      <c r="G690" s="253"/>
      <c r="H690" s="140"/>
      <c r="I690" s="141"/>
      <c r="J690" s="141"/>
      <c r="K690" s="142"/>
      <c r="L690" s="142"/>
      <c r="M690" s="142"/>
      <c r="N690" s="142"/>
      <c r="O690" s="136"/>
      <c r="P690" s="34"/>
      <c r="Q690" s="35"/>
      <c r="R690" s="35"/>
      <c r="S690" s="35"/>
      <c r="T690" s="35"/>
      <c r="U690" s="35"/>
      <c r="V690" s="35"/>
      <c r="W690" s="35"/>
      <c r="X690" s="35"/>
      <c r="Y690" s="35"/>
      <c r="Z690" s="35"/>
      <c r="AA690" s="35"/>
    </row>
    <row r="691" ht="14.25" customHeight="1">
      <c r="A691" s="136"/>
      <c r="B691" s="137"/>
      <c r="C691" s="251"/>
      <c r="D691" s="252"/>
      <c r="E691" s="136"/>
      <c r="F691" s="253"/>
      <c r="G691" s="253"/>
      <c r="H691" s="140"/>
      <c r="I691" s="141"/>
      <c r="J691" s="141"/>
      <c r="K691" s="142"/>
      <c r="L691" s="142"/>
      <c r="M691" s="142"/>
      <c r="N691" s="142"/>
      <c r="O691" s="136"/>
      <c r="P691" s="34"/>
      <c r="Q691" s="35"/>
      <c r="R691" s="35"/>
      <c r="S691" s="35"/>
      <c r="T691" s="35"/>
      <c r="U691" s="35"/>
      <c r="V691" s="35"/>
      <c r="W691" s="35"/>
      <c r="X691" s="35"/>
      <c r="Y691" s="35"/>
      <c r="Z691" s="35"/>
      <c r="AA691" s="35"/>
    </row>
    <row r="692" ht="14.25" customHeight="1">
      <c r="A692" s="136"/>
      <c r="B692" s="137"/>
      <c r="C692" s="251"/>
      <c r="D692" s="252"/>
      <c r="E692" s="136"/>
      <c r="F692" s="253"/>
      <c r="G692" s="253"/>
      <c r="H692" s="140"/>
      <c r="I692" s="141"/>
      <c r="J692" s="141"/>
      <c r="K692" s="142"/>
      <c r="L692" s="142"/>
      <c r="M692" s="142"/>
      <c r="N692" s="142"/>
      <c r="O692" s="136"/>
      <c r="P692" s="34"/>
      <c r="Q692" s="35"/>
      <c r="R692" s="35"/>
      <c r="S692" s="35"/>
      <c r="T692" s="35"/>
      <c r="U692" s="35"/>
      <c r="V692" s="35"/>
      <c r="W692" s="35"/>
      <c r="X692" s="35"/>
      <c r="Y692" s="35"/>
      <c r="Z692" s="35"/>
      <c r="AA692" s="35"/>
    </row>
    <row r="693" ht="14.25" customHeight="1">
      <c r="A693" s="136"/>
      <c r="B693" s="137"/>
      <c r="C693" s="251"/>
      <c r="D693" s="252"/>
      <c r="E693" s="136"/>
      <c r="F693" s="253"/>
      <c r="G693" s="253"/>
      <c r="H693" s="140"/>
      <c r="I693" s="141"/>
      <c r="J693" s="141"/>
      <c r="K693" s="142"/>
      <c r="L693" s="142"/>
      <c r="M693" s="142"/>
      <c r="N693" s="142"/>
      <c r="O693" s="136"/>
      <c r="P693" s="34"/>
      <c r="Q693" s="35"/>
      <c r="R693" s="35"/>
      <c r="S693" s="35"/>
      <c r="T693" s="35"/>
      <c r="U693" s="35"/>
      <c r="V693" s="35"/>
      <c r="W693" s="35"/>
      <c r="X693" s="35"/>
      <c r="Y693" s="35"/>
      <c r="Z693" s="35"/>
      <c r="AA693" s="35"/>
    </row>
    <row r="694" ht="14.25" customHeight="1">
      <c r="A694" s="136"/>
      <c r="B694" s="137"/>
      <c r="C694" s="251"/>
      <c r="D694" s="252"/>
      <c r="E694" s="136"/>
      <c r="F694" s="253"/>
      <c r="G694" s="253"/>
      <c r="H694" s="140"/>
      <c r="I694" s="141"/>
      <c r="J694" s="141"/>
      <c r="K694" s="142"/>
      <c r="L694" s="142"/>
      <c r="M694" s="142"/>
      <c r="N694" s="142"/>
      <c r="O694" s="136"/>
      <c r="P694" s="34"/>
      <c r="Q694" s="35"/>
      <c r="R694" s="35"/>
      <c r="S694" s="35"/>
      <c r="T694" s="35"/>
      <c r="U694" s="35"/>
      <c r="V694" s="35"/>
      <c r="W694" s="35"/>
      <c r="X694" s="35"/>
      <c r="Y694" s="35"/>
      <c r="Z694" s="35"/>
      <c r="AA694" s="35"/>
    </row>
    <row r="695" ht="14.25" customHeight="1">
      <c r="A695" s="136"/>
      <c r="B695" s="137"/>
      <c r="C695" s="251"/>
      <c r="D695" s="252"/>
      <c r="E695" s="136"/>
      <c r="F695" s="253"/>
      <c r="G695" s="253"/>
      <c r="H695" s="140"/>
      <c r="I695" s="141"/>
      <c r="J695" s="141"/>
      <c r="K695" s="142"/>
      <c r="L695" s="142"/>
      <c r="M695" s="142"/>
      <c r="N695" s="142"/>
      <c r="O695" s="136"/>
      <c r="P695" s="34"/>
      <c r="Q695" s="35"/>
      <c r="R695" s="35"/>
      <c r="S695" s="35"/>
      <c r="T695" s="35"/>
      <c r="U695" s="35"/>
      <c r="V695" s="35"/>
      <c r="W695" s="35"/>
      <c r="X695" s="35"/>
      <c r="Y695" s="35"/>
      <c r="Z695" s="35"/>
      <c r="AA695" s="35"/>
    </row>
    <row r="696" ht="14.25" customHeight="1">
      <c r="A696" s="136"/>
      <c r="B696" s="137"/>
      <c r="C696" s="251"/>
      <c r="D696" s="252"/>
      <c r="E696" s="136"/>
      <c r="F696" s="253"/>
      <c r="G696" s="253"/>
      <c r="H696" s="140"/>
      <c r="I696" s="141"/>
      <c r="J696" s="141"/>
      <c r="K696" s="142"/>
      <c r="L696" s="142"/>
      <c r="M696" s="142"/>
      <c r="N696" s="142"/>
      <c r="O696" s="136"/>
      <c r="P696" s="34"/>
      <c r="Q696" s="35"/>
      <c r="R696" s="35"/>
      <c r="S696" s="35"/>
      <c r="T696" s="35"/>
      <c r="U696" s="35"/>
      <c r="V696" s="35"/>
      <c r="W696" s="35"/>
      <c r="X696" s="35"/>
      <c r="Y696" s="35"/>
      <c r="Z696" s="35"/>
      <c r="AA696" s="35"/>
    </row>
    <row r="697" ht="14.25" customHeight="1">
      <c r="A697" s="136"/>
      <c r="B697" s="137"/>
      <c r="C697" s="251"/>
      <c r="D697" s="252"/>
      <c r="E697" s="136"/>
      <c r="F697" s="253"/>
      <c r="G697" s="253"/>
      <c r="H697" s="140"/>
      <c r="I697" s="141"/>
      <c r="J697" s="141"/>
      <c r="K697" s="142"/>
      <c r="L697" s="142"/>
      <c r="M697" s="142"/>
      <c r="N697" s="142"/>
      <c r="O697" s="136"/>
      <c r="P697" s="34"/>
      <c r="Q697" s="35"/>
      <c r="R697" s="35"/>
      <c r="S697" s="35"/>
      <c r="T697" s="35"/>
      <c r="U697" s="35"/>
      <c r="V697" s="35"/>
      <c r="W697" s="35"/>
      <c r="X697" s="35"/>
      <c r="Y697" s="35"/>
      <c r="Z697" s="35"/>
      <c r="AA697" s="35"/>
    </row>
    <row r="698" ht="14.25" customHeight="1">
      <c r="A698" s="136"/>
      <c r="B698" s="137"/>
      <c r="C698" s="251"/>
      <c r="D698" s="252"/>
      <c r="E698" s="136"/>
      <c r="F698" s="253"/>
      <c r="G698" s="253"/>
      <c r="H698" s="140"/>
      <c r="I698" s="141"/>
      <c r="J698" s="141"/>
      <c r="K698" s="142"/>
      <c r="L698" s="142"/>
      <c r="M698" s="142"/>
      <c r="N698" s="142"/>
      <c r="O698" s="136"/>
      <c r="P698" s="34"/>
      <c r="Q698" s="35"/>
      <c r="R698" s="35"/>
      <c r="S698" s="35"/>
      <c r="T698" s="35"/>
      <c r="U698" s="35"/>
      <c r="V698" s="35"/>
      <c r="W698" s="35"/>
      <c r="X698" s="35"/>
      <c r="Y698" s="35"/>
      <c r="Z698" s="35"/>
      <c r="AA698" s="35"/>
    </row>
    <row r="699" ht="14.25" customHeight="1">
      <c r="A699" s="136"/>
      <c r="B699" s="137"/>
      <c r="C699" s="251"/>
      <c r="D699" s="252"/>
      <c r="E699" s="136"/>
      <c r="F699" s="253"/>
      <c r="G699" s="253"/>
      <c r="H699" s="140"/>
      <c r="I699" s="141"/>
      <c r="J699" s="141"/>
      <c r="K699" s="142"/>
      <c r="L699" s="142"/>
      <c r="M699" s="142"/>
      <c r="N699" s="142"/>
      <c r="O699" s="136"/>
      <c r="P699" s="34"/>
      <c r="Q699" s="35"/>
      <c r="R699" s="35"/>
      <c r="S699" s="35"/>
      <c r="T699" s="35"/>
      <c r="U699" s="35"/>
      <c r="V699" s="35"/>
      <c r="W699" s="35"/>
      <c r="X699" s="35"/>
      <c r="Y699" s="35"/>
      <c r="Z699" s="35"/>
      <c r="AA699" s="35"/>
    </row>
    <row r="700" ht="14.25" customHeight="1">
      <c r="A700" s="136"/>
      <c r="B700" s="137"/>
      <c r="C700" s="251"/>
      <c r="D700" s="252"/>
      <c r="E700" s="136"/>
      <c r="F700" s="253"/>
      <c r="G700" s="253"/>
      <c r="H700" s="140"/>
      <c r="I700" s="141"/>
      <c r="J700" s="141"/>
      <c r="K700" s="142"/>
      <c r="L700" s="142"/>
      <c r="M700" s="142"/>
      <c r="N700" s="142"/>
      <c r="O700" s="136"/>
      <c r="P700" s="34"/>
      <c r="Q700" s="35"/>
      <c r="R700" s="35"/>
      <c r="S700" s="35"/>
      <c r="T700" s="35"/>
      <c r="U700" s="35"/>
      <c r="V700" s="35"/>
      <c r="W700" s="35"/>
      <c r="X700" s="35"/>
      <c r="Y700" s="35"/>
      <c r="Z700" s="35"/>
      <c r="AA700" s="35"/>
    </row>
    <row r="701" ht="14.25" customHeight="1">
      <c r="A701" s="136"/>
      <c r="B701" s="137"/>
      <c r="C701" s="251"/>
      <c r="D701" s="252"/>
      <c r="E701" s="136"/>
      <c r="F701" s="253"/>
      <c r="G701" s="253"/>
      <c r="H701" s="140"/>
      <c r="I701" s="141"/>
      <c r="J701" s="141"/>
      <c r="K701" s="142"/>
      <c r="L701" s="142"/>
      <c r="M701" s="142"/>
      <c r="N701" s="142"/>
      <c r="O701" s="136"/>
      <c r="P701" s="34"/>
      <c r="Q701" s="35"/>
      <c r="R701" s="35"/>
      <c r="S701" s="35"/>
      <c r="T701" s="35"/>
      <c r="U701" s="35"/>
      <c r="V701" s="35"/>
      <c r="W701" s="35"/>
      <c r="X701" s="35"/>
      <c r="Y701" s="35"/>
      <c r="Z701" s="35"/>
      <c r="AA701" s="35"/>
    </row>
    <row r="702" ht="14.25" customHeight="1">
      <c r="A702" s="136"/>
      <c r="B702" s="137"/>
      <c r="C702" s="251"/>
      <c r="D702" s="252"/>
      <c r="E702" s="136"/>
      <c r="F702" s="253"/>
      <c r="G702" s="253"/>
      <c r="H702" s="140"/>
      <c r="I702" s="141"/>
      <c r="J702" s="141"/>
      <c r="K702" s="142"/>
      <c r="L702" s="142"/>
      <c r="M702" s="142"/>
      <c r="N702" s="142"/>
      <c r="O702" s="136"/>
      <c r="P702" s="34"/>
      <c r="Q702" s="35"/>
      <c r="R702" s="35"/>
      <c r="S702" s="35"/>
      <c r="T702" s="35"/>
      <c r="U702" s="35"/>
      <c r="V702" s="35"/>
      <c r="W702" s="35"/>
      <c r="X702" s="35"/>
      <c r="Y702" s="35"/>
      <c r="Z702" s="35"/>
      <c r="AA702" s="35"/>
    </row>
    <row r="703" ht="14.25" customHeight="1">
      <c r="A703" s="136"/>
      <c r="B703" s="137"/>
      <c r="C703" s="251"/>
      <c r="D703" s="252"/>
      <c r="E703" s="136"/>
      <c r="F703" s="253"/>
      <c r="G703" s="253"/>
      <c r="H703" s="140"/>
      <c r="I703" s="141"/>
      <c r="J703" s="141"/>
      <c r="K703" s="142"/>
      <c r="L703" s="142"/>
      <c r="M703" s="142"/>
      <c r="N703" s="142"/>
      <c r="O703" s="136"/>
      <c r="P703" s="34"/>
      <c r="Q703" s="35"/>
      <c r="R703" s="35"/>
      <c r="S703" s="35"/>
      <c r="T703" s="35"/>
      <c r="U703" s="35"/>
      <c r="V703" s="35"/>
      <c r="W703" s="35"/>
      <c r="X703" s="35"/>
      <c r="Y703" s="35"/>
      <c r="Z703" s="35"/>
      <c r="AA703" s="35"/>
    </row>
    <row r="704" ht="14.25" customHeight="1">
      <c r="A704" s="136"/>
      <c r="B704" s="137"/>
      <c r="C704" s="251"/>
      <c r="D704" s="252"/>
      <c r="E704" s="136"/>
      <c r="F704" s="253"/>
      <c r="G704" s="253"/>
      <c r="H704" s="140"/>
      <c r="I704" s="141"/>
      <c r="J704" s="141"/>
      <c r="K704" s="142"/>
      <c r="L704" s="142"/>
      <c r="M704" s="142"/>
      <c r="N704" s="142"/>
      <c r="O704" s="136"/>
      <c r="P704" s="34"/>
      <c r="Q704" s="35"/>
      <c r="R704" s="35"/>
      <c r="S704" s="35"/>
      <c r="T704" s="35"/>
      <c r="U704" s="35"/>
      <c r="V704" s="35"/>
      <c r="W704" s="35"/>
      <c r="X704" s="35"/>
      <c r="Y704" s="35"/>
      <c r="Z704" s="35"/>
      <c r="AA704" s="35"/>
    </row>
    <row r="705" ht="14.25" customHeight="1">
      <c r="A705" s="136"/>
      <c r="B705" s="137"/>
      <c r="C705" s="251"/>
      <c r="D705" s="252"/>
      <c r="E705" s="136"/>
      <c r="F705" s="253"/>
      <c r="G705" s="253"/>
      <c r="H705" s="140"/>
      <c r="I705" s="141"/>
      <c r="J705" s="141"/>
      <c r="K705" s="142"/>
      <c r="L705" s="142"/>
      <c r="M705" s="142"/>
      <c r="N705" s="142"/>
      <c r="O705" s="136"/>
      <c r="P705" s="34"/>
      <c r="Q705" s="35"/>
      <c r="R705" s="35"/>
      <c r="S705" s="35"/>
      <c r="T705" s="35"/>
      <c r="U705" s="35"/>
      <c r="V705" s="35"/>
      <c r="W705" s="35"/>
      <c r="X705" s="35"/>
      <c r="Y705" s="35"/>
      <c r="Z705" s="35"/>
      <c r="AA705" s="35"/>
    </row>
    <row r="706" ht="14.25" customHeight="1">
      <c r="A706" s="136"/>
      <c r="B706" s="137"/>
      <c r="C706" s="251"/>
      <c r="D706" s="252"/>
      <c r="E706" s="136"/>
      <c r="F706" s="253"/>
      <c r="G706" s="253"/>
      <c r="H706" s="140"/>
      <c r="I706" s="141"/>
      <c r="J706" s="141"/>
      <c r="K706" s="142"/>
      <c r="L706" s="142"/>
      <c r="M706" s="142"/>
      <c r="N706" s="142"/>
      <c r="O706" s="136"/>
      <c r="P706" s="34"/>
      <c r="Q706" s="35"/>
      <c r="R706" s="35"/>
      <c r="S706" s="35"/>
      <c r="T706" s="35"/>
      <c r="U706" s="35"/>
      <c r="V706" s="35"/>
      <c r="W706" s="35"/>
      <c r="X706" s="35"/>
      <c r="Y706" s="35"/>
      <c r="Z706" s="35"/>
      <c r="AA706" s="35"/>
    </row>
    <row r="707" ht="14.25" customHeight="1">
      <c r="A707" s="136"/>
      <c r="B707" s="137"/>
      <c r="C707" s="251"/>
      <c r="D707" s="252"/>
      <c r="E707" s="136"/>
      <c r="F707" s="253"/>
      <c r="G707" s="253"/>
      <c r="H707" s="140"/>
      <c r="I707" s="141"/>
      <c r="J707" s="141"/>
      <c r="K707" s="142"/>
      <c r="L707" s="142"/>
      <c r="M707" s="142"/>
      <c r="N707" s="142"/>
      <c r="O707" s="136"/>
      <c r="P707" s="34"/>
      <c r="Q707" s="35"/>
      <c r="R707" s="35"/>
      <c r="S707" s="35"/>
      <c r="T707" s="35"/>
      <c r="U707" s="35"/>
      <c r="V707" s="35"/>
      <c r="W707" s="35"/>
      <c r="X707" s="35"/>
      <c r="Y707" s="35"/>
      <c r="Z707" s="35"/>
      <c r="AA707" s="35"/>
    </row>
    <row r="708" ht="14.25" customHeight="1">
      <c r="A708" s="136"/>
      <c r="B708" s="137"/>
      <c r="C708" s="251"/>
      <c r="D708" s="252"/>
      <c r="E708" s="136"/>
      <c r="F708" s="253"/>
      <c r="G708" s="253"/>
      <c r="H708" s="140"/>
      <c r="I708" s="141"/>
      <c r="J708" s="141"/>
      <c r="K708" s="142"/>
      <c r="L708" s="142"/>
      <c r="M708" s="142"/>
      <c r="N708" s="142"/>
      <c r="O708" s="136"/>
      <c r="P708" s="34"/>
      <c r="Q708" s="35"/>
      <c r="R708" s="35"/>
      <c r="S708" s="35"/>
      <c r="T708" s="35"/>
      <c r="U708" s="35"/>
      <c r="V708" s="35"/>
      <c r="W708" s="35"/>
      <c r="X708" s="35"/>
      <c r="Y708" s="35"/>
      <c r="Z708" s="35"/>
      <c r="AA708" s="35"/>
    </row>
    <row r="709" ht="14.25" customHeight="1">
      <c r="A709" s="136"/>
      <c r="B709" s="137"/>
      <c r="C709" s="251"/>
      <c r="D709" s="252"/>
      <c r="E709" s="136"/>
      <c r="F709" s="253"/>
      <c r="G709" s="253"/>
      <c r="H709" s="140"/>
      <c r="I709" s="141"/>
      <c r="J709" s="141"/>
      <c r="K709" s="142"/>
      <c r="L709" s="142"/>
      <c r="M709" s="142"/>
      <c r="N709" s="142"/>
      <c r="O709" s="136"/>
      <c r="P709" s="34"/>
      <c r="Q709" s="35"/>
      <c r="R709" s="35"/>
      <c r="S709" s="35"/>
      <c r="T709" s="35"/>
      <c r="U709" s="35"/>
      <c r="V709" s="35"/>
      <c r="W709" s="35"/>
      <c r="X709" s="35"/>
      <c r="Y709" s="35"/>
      <c r="Z709" s="35"/>
      <c r="AA709" s="35"/>
    </row>
    <row r="710" ht="14.25" customHeight="1">
      <c r="A710" s="136"/>
      <c r="B710" s="137"/>
      <c r="C710" s="251"/>
      <c r="D710" s="252"/>
      <c r="E710" s="136"/>
      <c r="F710" s="253"/>
      <c r="G710" s="253"/>
      <c r="H710" s="140"/>
      <c r="I710" s="141"/>
      <c r="J710" s="141"/>
      <c r="K710" s="142"/>
      <c r="L710" s="142"/>
      <c r="M710" s="142"/>
      <c r="N710" s="142"/>
      <c r="O710" s="136"/>
      <c r="P710" s="34"/>
      <c r="Q710" s="35"/>
      <c r="R710" s="35"/>
      <c r="S710" s="35"/>
      <c r="T710" s="35"/>
      <c r="U710" s="35"/>
      <c r="V710" s="35"/>
      <c r="W710" s="35"/>
      <c r="X710" s="35"/>
      <c r="Y710" s="35"/>
      <c r="Z710" s="35"/>
      <c r="AA710" s="35"/>
    </row>
    <row r="711" ht="14.25" customHeight="1">
      <c r="A711" s="136"/>
      <c r="B711" s="137"/>
      <c r="C711" s="251"/>
      <c r="D711" s="252"/>
      <c r="E711" s="136"/>
      <c r="F711" s="253"/>
      <c r="G711" s="253"/>
      <c r="H711" s="140"/>
      <c r="I711" s="141"/>
      <c r="J711" s="141"/>
      <c r="K711" s="142"/>
      <c r="L711" s="142"/>
      <c r="M711" s="142"/>
      <c r="N711" s="142"/>
      <c r="O711" s="136"/>
      <c r="P711" s="34"/>
      <c r="Q711" s="35"/>
      <c r="R711" s="35"/>
      <c r="S711" s="35"/>
      <c r="T711" s="35"/>
      <c r="U711" s="35"/>
      <c r="V711" s="35"/>
      <c r="W711" s="35"/>
      <c r="X711" s="35"/>
      <c r="Y711" s="35"/>
      <c r="Z711" s="35"/>
      <c r="AA711" s="35"/>
    </row>
    <row r="712" ht="14.25" customHeight="1">
      <c r="A712" s="136"/>
      <c r="B712" s="137"/>
      <c r="C712" s="251"/>
      <c r="D712" s="252"/>
      <c r="E712" s="136"/>
      <c r="F712" s="253"/>
      <c r="G712" s="253"/>
      <c r="H712" s="140"/>
      <c r="I712" s="141"/>
      <c r="J712" s="141"/>
      <c r="K712" s="142"/>
      <c r="L712" s="142"/>
      <c r="M712" s="142"/>
      <c r="N712" s="142"/>
      <c r="O712" s="136"/>
      <c r="P712" s="34"/>
      <c r="Q712" s="35"/>
      <c r="R712" s="35"/>
      <c r="S712" s="35"/>
      <c r="T712" s="35"/>
      <c r="U712" s="35"/>
      <c r="V712" s="35"/>
      <c r="W712" s="35"/>
      <c r="X712" s="35"/>
      <c r="Y712" s="35"/>
      <c r="Z712" s="35"/>
      <c r="AA712" s="35"/>
    </row>
    <row r="713" ht="14.25" customHeight="1">
      <c r="A713" s="136"/>
      <c r="B713" s="137"/>
      <c r="C713" s="251"/>
      <c r="D713" s="252"/>
      <c r="E713" s="136"/>
      <c r="F713" s="253"/>
      <c r="G713" s="253"/>
      <c r="H713" s="140"/>
      <c r="I713" s="141"/>
      <c r="J713" s="141"/>
      <c r="K713" s="142"/>
      <c r="L713" s="142"/>
      <c r="M713" s="142"/>
      <c r="N713" s="142"/>
      <c r="O713" s="136"/>
      <c r="P713" s="34"/>
      <c r="Q713" s="35"/>
      <c r="R713" s="35"/>
      <c r="S713" s="35"/>
      <c r="T713" s="35"/>
      <c r="U713" s="35"/>
      <c r="V713" s="35"/>
      <c r="W713" s="35"/>
      <c r="X713" s="35"/>
      <c r="Y713" s="35"/>
      <c r="Z713" s="35"/>
      <c r="AA713" s="35"/>
    </row>
    <row r="714" ht="14.25" customHeight="1">
      <c r="A714" s="136"/>
      <c r="B714" s="137"/>
      <c r="C714" s="251"/>
      <c r="D714" s="252"/>
      <c r="E714" s="136"/>
      <c r="F714" s="253"/>
      <c r="G714" s="253"/>
      <c r="H714" s="140"/>
      <c r="I714" s="141"/>
      <c r="J714" s="141"/>
      <c r="K714" s="142"/>
      <c r="L714" s="142"/>
      <c r="M714" s="142"/>
      <c r="N714" s="142"/>
      <c r="O714" s="136"/>
      <c r="P714" s="34"/>
      <c r="Q714" s="35"/>
      <c r="R714" s="35"/>
      <c r="S714" s="35"/>
      <c r="T714" s="35"/>
      <c r="U714" s="35"/>
      <c r="V714" s="35"/>
      <c r="W714" s="35"/>
      <c r="X714" s="35"/>
      <c r="Y714" s="35"/>
      <c r="Z714" s="35"/>
      <c r="AA714" s="35"/>
    </row>
    <row r="715" ht="14.25" customHeight="1">
      <c r="A715" s="136"/>
      <c r="B715" s="137"/>
      <c r="C715" s="251"/>
      <c r="D715" s="252"/>
      <c r="E715" s="136"/>
      <c r="F715" s="253"/>
      <c r="G715" s="253"/>
      <c r="H715" s="140"/>
      <c r="I715" s="141"/>
      <c r="J715" s="141"/>
      <c r="K715" s="142"/>
      <c r="L715" s="142"/>
      <c r="M715" s="142"/>
      <c r="N715" s="142"/>
      <c r="O715" s="136"/>
      <c r="P715" s="34"/>
      <c r="Q715" s="35"/>
      <c r="R715" s="35"/>
      <c r="S715" s="35"/>
      <c r="T715" s="35"/>
      <c r="U715" s="35"/>
      <c r="V715" s="35"/>
      <c r="W715" s="35"/>
      <c r="X715" s="35"/>
      <c r="Y715" s="35"/>
      <c r="Z715" s="35"/>
      <c r="AA715" s="35"/>
    </row>
    <row r="716" ht="14.25" customHeight="1">
      <c r="A716" s="136"/>
      <c r="B716" s="137"/>
      <c r="C716" s="251"/>
      <c r="D716" s="252"/>
      <c r="E716" s="136"/>
      <c r="F716" s="253"/>
      <c r="G716" s="253"/>
      <c r="H716" s="140"/>
      <c r="I716" s="141"/>
      <c r="J716" s="141"/>
      <c r="K716" s="142"/>
      <c r="L716" s="142"/>
      <c r="M716" s="142"/>
      <c r="N716" s="142"/>
      <c r="O716" s="136"/>
      <c r="P716" s="34"/>
      <c r="Q716" s="35"/>
      <c r="R716" s="35"/>
      <c r="S716" s="35"/>
      <c r="T716" s="35"/>
      <c r="U716" s="35"/>
      <c r="V716" s="35"/>
      <c r="W716" s="35"/>
      <c r="X716" s="35"/>
      <c r="Y716" s="35"/>
      <c r="Z716" s="35"/>
      <c r="AA716" s="35"/>
    </row>
    <row r="717" ht="14.25" customHeight="1">
      <c r="A717" s="136"/>
      <c r="B717" s="137"/>
      <c r="C717" s="251"/>
      <c r="D717" s="252"/>
      <c r="E717" s="136"/>
      <c r="F717" s="253"/>
      <c r="G717" s="253"/>
      <c r="H717" s="140"/>
      <c r="I717" s="141"/>
      <c r="J717" s="141"/>
      <c r="K717" s="142"/>
      <c r="L717" s="142"/>
      <c r="M717" s="142"/>
      <c r="N717" s="142"/>
      <c r="O717" s="136"/>
      <c r="P717" s="34"/>
      <c r="Q717" s="35"/>
      <c r="R717" s="35"/>
      <c r="S717" s="35"/>
      <c r="T717" s="35"/>
      <c r="U717" s="35"/>
      <c r="V717" s="35"/>
      <c r="W717" s="35"/>
      <c r="X717" s="35"/>
      <c r="Y717" s="35"/>
      <c r="Z717" s="35"/>
      <c r="AA717" s="35"/>
    </row>
    <row r="718" ht="14.25" customHeight="1">
      <c r="A718" s="136"/>
      <c r="B718" s="137"/>
      <c r="C718" s="251"/>
      <c r="D718" s="252"/>
      <c r="E718" s="136"/>
      <c r="F718" s="253"/>
      <c r="G718" s="253"/>
      <c r="H718" s="140"/>
      <c r="I718" s="141"/>
      <c r="J718" s="141"/>
      <c r="K718" s="142"/>
      <c r="L718" s="142"/>
      <c r="M718" s="142"/>
      <c r="N718" s="142"/>
      <c r="O718" s="136"/>
      <c r="P718" s="34"/>
      <c r="Q718" s="35"/>
      <c r="R718" s="35"/>
      <c r="S718" s="35"/>
      <c r="T718" s="35"/>
      <c r="U718" s="35"/>
      <c r="V718" s="35"/>
      <c r="W718" s="35"/>
      <c r="X718" s="35"/>
      <c r="Y718" s="35"/>
      <c r="Z718" s="35"/>
      <c r="AA718" s="35"/>
    </row>
    <row r="719" ht="14.25" customHeight="1">
      <c r="A719" s="136"/>
      <c r="B719" s="137"/>
      <c r="C719" s="251"/>
      <c r="D719" s="252"/>
      <c r="E719" s="136"/>
      <c r="F719" s="253"/>
      <c r="G719" s="253"/>
      <c r="H719" s="140"/>
      <c r="I719" s="141"/>
      <c r="J719" s="141"/>
      <c r="K719" s="142"/>
      <c r="L719" s="142"/>
      <c r="M719" s="142"/>
      <c r="N719" s="142"/>
      <c r="O719" s="136"/>
      <c r="P719" s="34"/>
      <c r="Q719" s="35"/>
      <c r="R719" s="35"/>
      <c r="S719" s="35"/>
      <c r="T719" s="35"/>
      <c r="U719" s="35"/>
      <c r="V719" s="35"/>
      <c r="W719" s="35"/>
      <c r="X719" s="35"/>
      <c r="Y719" s="35"/>
      <c r="Z719" s="35"/>
      <c r="AA719" s="35"/>
    </row>
    <row r="720" ht="14.25" customHeight="1">
      <c r="A720" s="136"/>
      <c r="B720" s="137"/>
      <c r="C720" s="251"/>
      <c r="D720" s="252"/>
      <c r="E720" s="136"/>
      <c r="F720" s="253"/>
      <c r="G720" s="253"/>
      <c r="H720" s="140"/>
      <c r="I720" s="141"/>
      <c r="J720" s="141"/>
      <c r="K720" s="142"/>
      <c r="L720" s="142"/>
      <c r="M720" s="142"/>
      <c r="N720" s="142"/>
      <c r="O720" s="136"/>
      <c r="P720" s="34"/>
      <c r="Q720" s="35"/>
      <c r="R720" s="35"/>
      <c r="S720" s="35"/>
      <c r="T720" s="35"/>
      <c r="U720" s="35"/>
      <c r="V720" s="35"/>
      <c r="W720" s="35"/>
      <c r="X720" s="35"/>
      <c r="Y720" s="35"/>
      <c r="Z720" s="35"/>
      <c r="AA720" s="35"/>
    </row>
    <row r="721" ht="14.25" customHeight="1">
      <c r="A721" s="136"/>
      <c r="B721" s="137"/>
      <c r="C721" s="251"/>
      <c r="D721" s="252"/>
      <c r="E721" s="136"/>
      <c r="F721" s="253"/>
      <c r="G721" s="253"/>
      <c r="H721" s="140"/>
      <c r="I721" s="141"/>
      <c r="J721" s="141"/>
      <c r="K721" s="142"/>
      <c r="L721" s="142"/>
      <c r="M721" s="142"/>
      <c r="N721" s="142"/>
      <c r="O721" s="136"/>
      <c r="P721" s="34"/>
      <c r="Q721" s="35"/>
      <c r="R721" s="35"/>
      <c r="S721" s="35"/>
      <c r="T721" s="35"/>
      <c r="U721" s="35"/>
      <c r="V721" s="35"/>
      <c r="W721" s="35"/>
      <c r="X721" s="35"/>
      <c r="Y721" s="35"/>
      <c r="Z721" s="35"/>
      <c r="AA721" s="35"/>
    </row>
    <row r="722" ht="14.25" customHeight="1">
      <c r="A722" s="136"/>
      <c r="B722" s="137"/>
      <c r="C722" s="251"/>
      <c r="D722" s="252"/>
      <c r="E722" s="136"/>
      <c r="F722" s="253"/>
      <c r="G722" s="253"/>
      <c r="H722" s="140"/>
      <c r="I722" s="141"/>
      <c r="J722" s="141"/>
      <c r="K722" s="142"/>
      <c r="L722" s="142"/>
      <c r="M722" s="142"/>
      <c r="N722" s="142"/>
      <c r="O722" s="136"/>
      <c r="P722" s="34"/>
      <c r="Q722" s="35"/>
      <c r="R722" s="35"/>
      <c r="S722" s="35"/>
      <c r="T722" s="35"/>
      <c r="U722" s="35"/>
      <c r="V722" s="35"/>
      <c r="W722" s="35"/>
      <c r="X722" s="35"/>
      <c r="Y722" s="35"/>
      <c r="Z722" s="35"/>
      <c r="AA722" s="35"/>
    </row>
    <row r="723" ht="14.25" customHeight="1">
      <c r="A723" s="136"/>
      <c r="B723" s="137"/>
      <c r="C723" s="251"/>
      <c r="D723" s="252"/>
      <c r="E723" s="136"/>
      <c r="F723" s="253"/>
      <c r="G723" s="253"/>
      <c r="H723" s="140"/>
      <c r="I723" s="141"/>
      <c r="J723" s="141"/>
      <c r="K723" s="142"/>
      <c r="L723" s="142"/>
      <c r="M723" s="142"/>
      <c r="N723" s="142"/>
      <c r="O723" s="136"/>
      <c r="P723" s="34"/>
      <c r="Q723" s="35"/>
      <c r="R723" s="35"/>
      <c r="S723" s="35"/>
      <c r="T723" s="35"/>
      <c r="U723" s="35"/>
      <c r="V723" s="35"/>
      <c r="W723" s="35"/>
      <c r="X723" s="35"/>
      <c r="Y723" s="35"/>
      <c r="Z723" s="35"/>
      <c r="AA723" s="35"/>
    </row>
    <row r="724" ht="14.25" customHeight="1">
      <c r="A724" s="136"/>
      <c r="B724" s="137"/>
      <c r="C724" s="251"/>
      <c r="D724" s="252"/>
      <c r="E724" s="136"/>
      <c r="F724" s="253"/>
      <c r="G724" s="253"/>
      <c r="H724" s="140"/>
      <c r="I724" s="141"/>
      <c r="J724" s="141"/>
      <c r="K724" s="142"/>
      <c r="L724" s="142"/>
      <c r="M724" s="142"/>
      <c r="N724" s="142"/>
      <c r="O724" s="136"/>
      <c r="P724" s="34"/>
      <c r="Q724" s="35"/>
      <c r="R724" s="35"/>
      <c r="S724" s="35"/>
      <c r="T724" s="35"/>
      <c r="U724" s="35"/>
      <c r="V724" s="35"/>
      <c r="W724" s="35"/>
      <c r="X724" s="35"/>
      <c r="Y724" s="35"/>
      <c r="Z724" s="35"/>
      <c r="AA724" s="35"/>
    </row>
    <row r="725" ht="14.25" customHeight="1">
      <c r="A725" s="136"/>
      <c r="B725" s="137"/>
      <c r="C725" s="251"/>
      <c r="D725" s="252"/>
      <c r="E725" s="136"/>
      <c r="F725" s="253"/>
      <c r="G725" s="253"/>
      <c r="H725" s="140"/>
      <c r="I725" s="141"/>
      <c r="J725" s="141"/>
      <c r="K725" s="142"/>
      <c r="L725" s="142"/>
      <c r="M725" s="142"/>
      <c r="N725" s="142"/>
      <c r="O725" s="136"/>
      <c r="P725" s="34"/>
      <c r="Q725" s="35"/>
      <c r="R725" s="35"/>
      <c r="S725" s="35"/>
      <c r="T725" s="35"/>
      <c r="U725" s="35"/>
      <c r="V725" s="35"/>
      <c r="W725" s="35"/>
      <c r="X725" s="35"/>
      <c r="Y725" s="35"/>
      <c r="Z725" s="35"/>
      <c r="AA725" s="35"/>
    </row>
    <row r="726" ht="14.25" customHeight="1">
      <c r="A726" s="136"/>
      <c r="B726" s="137"/>
      <c r="C726" s="251"/>
      <c r="D726" s="252"/>
      <c r="E726" s="136"/>
      <c r="F726" s="253"/>
      <c r="G726" s="253"/>
      <c r="H726" s="140"/>
      <c r="I726" s="141"/>
      <c r="J726" s="141"/>
      <c r="K726" s="142"/>
      <c r="L726" s="142"/>
      <c r="M726" s="142"/>
      <c r="N726" s="142"/>
      <c r="O726" s="136"/>
      <c r="P726" s="34"/>
      <c r="Q726" s="35"/>
      <c r="R726" s="35"/>
      <c r="S726" s="35"/>
      <c r="T726" s="35"/>
      <c r="U726" s="35"/>
      <c r="V726" s="35"/>
      <c r="W726" s="35"/>
      <c r="X726" s="35"/>
      <c r="Y726" s="35"/>
      <c r="Z726" s="35"/>
      <c r="AA726" s="35"/>
    </row>
    <row r="727" ht="14.25" customHeight="1">
      <c r="A727" s="136"/>
      <c r="B727" s="137"/>
      <c r="C727" s="251"/>
      <c r="D727" s="252"/>
      <c r="E727" s="136"/>
      <c r="F727" s="253"/>
      <c r="G727" s="253"/>
      <c r="H727" s="140"/>
      <c r="I727" s="141"/>
      <c r="J727" s="141"/>
      <c r="K727" s="142"/>
      <c r="L727" s="142"/>
      <c r="M727" s="142"/>
      <c r="N727" s="142"/>
      <c r="O727" s="136"/>
      <c r="P727" s="34"/>
      <c r="Q727" s="35"/>
      <c r="R727" s="35"/>
      <c r="S727" s="35"/>
      <c r="T727" s="35"/>
      <c r="U727" s="35"/>
      <c r="V727" s="35"/>
      <c r="W727" s="35"/>
      <c r="X727" s="35"/>
      <c r="Y727" s="35"/>
      <c r="Z727" s="35"/>
      <c r="AA727" s="35"/>
    </row>
    <row r="728" ht="14.25" customHeight="1">
      <c r="A728" s="136"/>
      <c r="B728" s="137"/>
      <c r="C728" s="251"/>
      <c r="D728" s="252"/>
      <c r="E728" s="136"/>
      <c r="F728" s="253"/>
      <c r="G728" s="253"/>
      <c r="H728" s="140"/>
      <c r="I728" s="141"/>
      <c r="J728" s="141"/>
      <c r="K728" s="142"/>
      <c r="L728" s="142"/>
      <c r="M728" s="142"/>
      <c r="N728" s="142"/>
      <c r="O728" s="136"/>
      <c r="P728" s="34"/>
      <c r="Q728" s="35"/>
      <c r="R728" s="35"/>
      <c r="S728" s="35"/>
      <c r="T728" s="35"/>
      <c r="U728" s="35"/>
      <c r="V728" s="35"/>
      <c r="W728" s="35"/>
      <c r="X728" s="35"/>
      <c r="Y728" s="35"/>
      <c r="Z728" s="35"/>
      <c r="AA728" s="35"/>
    </row>
    <row r="729" ht="14.25" customHeight="1">
      <c r="A729" s="136"/>
      <c r="B729" s="137"/>
      <c r="C729" s="251"/>
      <c r="D729" s="252"/>
      <c r="E729" s="136"/>
      <c r="F729" s="253"/>
      <c r="G729" s="253"/>
      <c r="H729" s="140"/>
      <c r="I729" s="141"/>
      <c r="J729" s="141"/>
      <c r="K729" s="142"/>
      <c r="L729" s="142"/>
      <c r="M729" s="142"/>
      <c r="N729" s="142"/>
      <c r="O729" s="136"/>
      <c r="P729" s="34"/>
      <c r="Q729" s="35"/>
      <c r="R729" s="35"/>
      <c r="S729" s="35"/>
      <c r="T729" s="35"/>
      <c r="U729" s="35"/>
      <c r="V729" s="35"/>
      <c r="W729" s="35"/>
      <c r="X729" s="35"/>
      <c r="Y729" s="35"/>
      <c r="Z729" s="35"/>
      <c r="AA729" s="35"/>
    </row>
    <row r="730" ht="14.25" customHeight="1">
      <c r="A730" s="136"/>
      <c r="B730" s="137"/>
      <c r="C730" s="251"/>
      <c r="D730" s="252"/>
      <c r="E730" s="136"/>
      <c r="F730" s="253"/>
      <c r="G730" s="253"/>
      <c r="H730" s="140"/>
      <c r="I730" s="141"/>
      <c r="J730" s="141"/>
      <c r="K730" s="142"/>
      <c r="L730" s="142"/>
      <c r="M730" s="142"/>
      <c r="N730" s="142"/>
      <c r="O730" s="136"/>
      <c r="P730" s="34"/>
      <c r="Q730" s="35"/>
      <c r="R730" s="35"/>
      <c r="S730" s="35"/>
      <c r="T730" s="35"/>
      <c r="U730" s="35"/>
      <c r="V730" s="35"/>
      <c r="W730" s="35"/>
      <c r="X730" s="35"/>
      <c r="Y730" s="35"/>
      <c r="Z730" s="35"/>
      <c r="AA730" s="35"/>
    </row>
    <row r="731" ht="14.25" customHeight="1">
      <c r="A731" s="136"/>
      <c r="B731" s="137"/>
      <c r="C731" s="251"/>
      <c r="D731" s="252"/>
      <c r="E731" s="136"/>
      <c r="F731" s="253"/>
      <c r="G731" s="253"/>
      <c r="H731" s="140"/>
      <c r="I731" s="141"/>
      <c r="J731" s="141"/>
      <c r="K731" s="142"/>
      <c r="L731" s="142"/>
      <c r="M731" s="142"/>
      <c r="N731" s="142"/>
      <c r="O731" s="136"/>
      <c r="P731" s="34"/>
      <c r="Q731" s="35"/>
      <c r="R731" s="35"/>
      <c r="S731" s="35"/>
      <c r="T731" s="35"/>
      <c r="U731" s="35"/>
      <c r="V731" s="35"/>
      <c r="W731" s="35"/>
      <c r="X731" s="35"/>
      <c r="Y731" s="35"/>
      <c r="Z731" s="35"/>
      <c r="AA731" s="35"/>
    </row>
    <row r="732" ht="14.25" customHeight="1">
      <c r="A732" s="136"/>
      <c r="B732" s="137"/>
      <c r="C732" s="251"/>
      <c r="D732" s="252"/>
      <c r="E732" s="136"/>
      <c r="F732" s="253"/>
      <c r="G732" s="253"/>
      <c r="H732" s="140"/>
      <c r="I732" s="141"/>
      <c r="J732" s="141"/>
      <c r="K732" s="142"/>
      <c r="L732" s="142"/>
      <c r="M732" s="142"/>
      <c r="N732" s="142"/>
      <c r="O732" s="136"/>
      <c r="P732" s="34"/>
      <c r="Q732" s="35"/>
      <c r="R732" s="35"/>
      <c r="S732" s="35"/>
      <c r="T732" s="35"/>
      <c r="U732" s="35"/>
      <c r="V732" s="35"/>
      <c r="W732" s="35"/>
      <c r="X732" s="35"/>
      <c r="Y732" s="35"/>
      <c r="Z732" s="35"/>
      <c r="AA732" s="35"/>
    </row>
    <row r="733" ht="14.25" customHeight="1">
      <c r="A733" s="136"/>
      <c r="B733" s="137"/>
      <c r="C733" s="251"/>
      <c r="D733" s="252"/>
      <c r="E733" s="136"/>
      <c r="F733" s="253"/>
      <c r="G733" s="253"/>
      <c r="H733" s="140"/>
      <c r="I733" s="141"/>
      <c r="J733" s="141"/>
      <c r="K733" s="142"/>
      <c r="L733" s="142"/>
      <c r="M733" s="142"/>
      <c r="N733" s="142"/>
      <c r="O733" s="136"/>
      <c r="P733" s="34"/>
      <c r="Q733" s="35"/>
      <c r="R733" s="35"/>
      <c r="S733" s="35"/>
      <c r="T733" s="35"/>
      <c r="U733" s="35"/>
      <c r="V733" s="35"/>
      <c r="W733" s="35"/>
      <c r="X733" s="35"/>
      <c r="Y733" s="35"/>
      <c r="Z733" s="35"/>
      <c r="AA733" s="35"/>
    </row>
    <row r="734" ht="14.25" customHeight="1">
      <c r="A734" s="136"/>
      <c r="B734" s="137"/>
      <c r="C734" s="251"/>
      <c r="D734" s="252"/>
      <c r="E734" s="136"/>
      <c r="F734" s="253"/>
      <c r="G734" s="253"/>
      <c r="H734" s="140"/>
      <c r="I734" s="141"/>
      <c r="J734" s="141"/>
      <c r="K734" s="142"/>
      <c r="L734" s="142"/>
      <c r="M734" s="142"/>
      <c r="N734" s="142"/>
      <c r="O734" s="136"/>
      <c r="P734" s="34"/>
      <c r="Q734" s="35"/>
      <c r="R734" s="35"/>
      <c r="S734" s="35"/>
      <c r="T734" s="35"/>
      <c r="U734" s="35"/>
      <c r="V734" s="35"/>
      <c r="W734" s="35"/>
      <c r="X734" s="35"/>
      <c r="Y734" s="35"/>
      <c r="Z734" s="35"/>
      <c r="AA734" s="35"/>
    </row>
    <row r="735" ht="14.25" customHeight="1">
      <c r="A735" s="136"/>
      <c r="B735" s="137"/>
      <c r="C735" s="251"/>
      <c r="D735" s="252"/>
      <c r="E735" s="136"/>
      <c r="F735" s="253"/>
      <c r="G735" s="253"/>
      <c r="H735" s="140"/>
      <c r="I735" s="141"/>
      <c r="J735" s="141"/>
      <c r="K735" s="142"/>
      <c r="L735" s="142"/>
      <c r="M735" s="142"/>
      <c r="N735" s="142"/>
      <c r="O735" s="136"/>
      <c r="P735" s="34"/>
      <c r="Q735" s="35"/>
      <c r="R735" s="35"/>
      <c r="S735" s="35"/>
      <c r="T735" s="35"/>
      <c r="U735" s="35"/>
      <c r="V735" s="35"/>
      <c r="W735" s="35"/>
      <c r="X735" s="35"/>
      <c r="Y735" s="35"/>
      <c r="Z735" s="35"/>
      <c r="AA735" s="35"/>
    </row>
    <row r="736" ht="14.25" customHeight="1">
      <c r="A736" s="136"/>
      <c r="B736" s="137"/>
      <c r="C736" s="251"/>
      <c r="D736" s="252"/>
      <c r="E736" s="136"/>
      <c r="F736" s="253"/>
      <c r="G736" s="253"/>
      <c r="H736" s="140"/>
      <c r="I736" s="141"/>
      <c r="J736" s="141"/>
      <c r="K736" s="142"/>
      <c r="L736" s="142"/>
      <c r="M736" s="142"/>
      <c r="N736" s="142"/>
      <c r="O736" s="136"/>
      <c r="P736" s="34"/>
      <c r="Q736" s="35"/>
      <c r="R736" s="35"/>
      <c r="S736" s="35"/>
      <c r="T736" s="35"/>
      <c r="U736" s="35"/>
      <c r="V736" s="35"/>
      <c r="W736" s="35"/>
      <c r="X736" s="35"/>
      <c r="Y736" s="35"/>
      <c r="Z736" s="35"/>
      <c r="AA736" s="35"/>
    </row>
    <row r="737" ht="14.25" customHeight="1">
      <c r="A737" s="136"/>
      <c r="B737" s="137"/>
      <c r="C737" s="251"/>
      <c r="D737" s="252"/>
      <c r="E737" s="136"/>
      <c r="F737" s="253"/>
      <c r="G737" s="253"/>
      <c r="H737" s="140"/>
      <c r="I737" s="141"/>
      <c r="J737" s="141"/>
      <c r="K737" s="142"/>
      <c r="L737" s="142"/>
      <c r="M737" s="142"/>
      <c r="N737" s="142"/>
      <c r="O737" s="136"/>
      <c r="P737" s="34"/>
      <c r="Q737" s="35"/>
      <c r="R737" s="35"/>
      <c r="S737" s="35"/>
      <c r="T737" s="35"/>
      <c r="U737" s="35"/>
      <c r="V737" s="35"/>
      <c r="W737" s="35"/>
      <c r="X737" s="35"/>
      <c r="Y737" s="35"/>
      <c r="Z737" s="35"/>
      <c r="AA737" s="35"/>
    </row>
    <row r="738" ht="14.25" customHeight="1">
      <c r="A738" s="136"/>
      <c r="B738" s="137"/>
      <c r="C738" s="251"/>
      <c r="D738" s="252"/>
      <c r="E738" s="136"/>
      <c r="F738" s="253"/>
      <c r="G738" s="253"/>
      <c r="H738" s="140"/>
      <c r="I738" s="141"/>
      <c r="J738" s="141"/>
      <c r="K738" s="142"/>
      <c r="L738" s="142"/>
      <c r="M738" s="142"/>
      <c r="N738" s="142"/>
      <c r="O738" s="136"/>
      <c r="P738" s="34"/>
      <c r="Q738" s="35"/>
      <c r="R738" s="35"/>
      <c r="S738" s="35"/>
      <c r="T738" s="35"/>
      <c r="U738" s="35"/>
      <c r="V738" s="35"/>
      <c r="W738" s="35"/>
      <c r="X738" s="35"/>
      <c r="Y738" s="35"/>
      <c r="Z738" s="35"/>
      <c r="AA738" s="35"/>
    </row>
    <row r="739" ht="14.25" customHeight="1">
      <c r="A739" s="136"/>
      <c r="B739" s="137"/>
      <c r="C739" s="251"/>
      <c r="D739" s="252"/>
      <c r="E739" s="136"/>
      <c r="F739" s="253"/>
      <c r="G739" s="253"/>
      <c r="H739" s="140"/>
      <c r="I739" s="141"/>
      <c r="J739" s="141"/>
      <c r="K739" s="142"/>
      <c r="L739" s="142"/>
      <c r="M739" s="142"/>
      <c r="N739" s="142"/>
      <c r="O739" s="136"/>
      <c r="P739" s="34"/>
      <c r="Q739" s="35"/>
      <c r="R739" s="35"/>
      <c r="S739" s="35"/>
      <c r="T739" s="35"/>
      <c r="U739" s="35"/>
      <c r="V739" s="35"/>
      <c r="W739" s="35"/>
      <c r="X739" s="35"/>
      <c r="Y739" s="35"/>
      <c r="Z739" s="35"/>
      <c r="AA739" s="35"/>
    </row>
    <row r="740" ht="14.25" customHeight="1">
      <c r="A740" s="136"/>
      <c r="B740" s="137"/>
      <c r="C740" s="251"/>
      <c r="D740" s="252"/>
      <c r="E740" s="136"/>
      <c r="F740" s="253"/>
      <c r="G740" s="253"/>
      <c r="H740" s="140"/>
      <c r="I740" s="141"/>
      <c r="J740" s="141"/>
      <c r="K740" s="142"/>
      <c r="L740" s="142"/>
      <c r="M740" s="142"/>
      <c r="N740" s="142"/>
      <c r="O740" s="136"/>
      <c r="P740" s="34"/>
      <c r="Q740" s="35"/>
      <c r="R740" s="35"/>
      <c r="S740" s="35"/>
      <c r="T740" s="35"/>
      <c r="U740" s="35"/>
      <c r="V740" s="35"/>
      <c r="W740" s="35"/>
      <c r="X740" s="35"/>
      <c r="Y740" s="35"/>
      <c r="Z740" s="35"/>
      <c r="AA740" s="35"/>
    </row>
    <row r="741" ht="14.25" customHeight="1">
      <c r="A741" s="136"/>
      <c r="B741" s="137"/>
      <c r="C741" s="251"/>
      <c r="D741" s="252"/>
      <c r="E741" s="136"/>
      <c r="F741" s="253"/>
      <c r="G741" s="253"/>
      <c r="H741" s="140"/>
      <c r="I741" s="141"/>
      <c r="J741" s="141"/>
      <c r="K741" s="142"/>
      <c r="L741" s="142"/>
      <c r="M741" s="142"/>
      <c r="N741" s="142"/>
      <c r="O741" s="136"/>
      <c r="P741" s="34"/>
      <c r="Q741" s="35"/>
      <c r="R741" s="35"/>
      <c r="S741" s="35"/>
      <c r="T741" s="35"/>
      <c r="U741" s="35"/>
      <c r="V741" s="35"/>
      <c r="W741" s="35"/>
      <c r="X741" s="35"/>
      <c r="Y741" s="35"/>
      <c r="Z741" s="35"/>
      <c r="AA741" s="35"/>
    </row>
    <row r="742" ht="14.25" customHeight="1">
      <c r="A742" s="136"/>
      <c r="B742" s="137"/>
      <c r="C742" s="251"/>
      <c r="D742" s="252"/>
      <c r="E742" s="136"/>
      <c r="F742" s="253"/>
      <c r="G742" s="253"/>
      <c r="H742" s="140"/>
      <c r="I742" s="141"/>
      <c r="J742" s="141"/>
      <c r="K742" s="142"/>
      <c r="L742" s="142"/>
      <c r="M742" s="142"/>
      <c r="N742" s="142"/>
      <c r="O742" s="136"/>
      <c r="P742" s="34"/>
      <c r="Q742" s="35"/>
      <c r="R742" s="35"/>
      <c r="S742" s="35"/>
      <c r="T742" s="35"/>
      <c r="U742" s="35"/>
      <c r="V742" s="35"/>
      <c r="W742" s="35"/>
      <c r="X742" s="35"/>
      <c r="Y742" s="35"/>
      <c r="Z742" s="35"/>
      <c r="AA742" s="35"/>
    </row>
    <row r="743" ht="14.25" customHeight="1">
      <c r="A743" s="136"/>
      <c r="B743" s="137"/>
      <c r="C743" s="251"/>
      <c r="D743" s="252"/>
      <c r="E743" s="136"/>
      <c r="F743" s="253"/>
      <c r="G743" s="253"/>
      <c r="H743" s="140"/>
      <c r="I743" s="141"/>
      <c r="J743" s="141"/>
      <c r="K743" s="142"/>
      <c r="L743" s="142"/>
      <c r="M743" s="142"/>
      <c r="N743" s="142"/>
      <c r="O743" s="136"/>
      <c r="P743" s="34"/>
      <c r="Q743" s="35"/>
      <c r="R743" s="35"/>
      <c r="S743" s="35"/>
      <c r="T743" s="35"/>
      <c r="U743" s="35"/>
      <c r="V743" s="35"/>
      <c r="W743" s="35"/>
      <c r="X743" s="35"/>
      <c r="Y743" s="35"/>
      <c r="Z743" s="35"/>
      <c r="AA743" s="35"/>
    </row>
    <row r="744" ht="14.25" customHeight="1">
      <c r="A744" s="136"/>
      <c r="B744" s="137"/>
      <c r="C744" s="251"/>
      <c r="D744" s="252"/>
      <c r="E744" s="136"/>
      <c r="F744" s="253"/>
      <c r="G744" s="253"/>
      <c r="H744" s="140"/>
      <c r="I744" s="141"/>
      <c r="J744" s="141"/>
      <c r="K744" s="142"/>
      <c r="L744" s="142"/>
      <c r="M744" s="142"/>
      <c r="N744" s="142"/>
      <c r="O744" s="136"/>
      <c r="P744" s="34"/>
      <c r="Q744" s="35"/>
      <c r="R744" s="35"/>
      <c r="S744" s="35"/>
      <c r="T744" s="35"/>
      <c r="U744" s="35"/>
      <c r="V744" s="35"/>
      <c r="W744" s="35"/>
      <c r="X744" s="35"/>
      <c r="Y744" s="35"/>
      <c r="Z744" s="35"/>
      <c r="AA744" s="35"/>
    </row>
    <row r="745" ht="14.25" customHeight="1">
      <c r="A745" s="136"/>
      <c r="B745" s="137"/>
      <c r="C745" s="251"/>
      <c r="D745" s="252"/>
      <c r="E745" s="136"/>
      <c r="F745" s="253"/>
      <c r="G745" s="253"/>
      <c r="H745" s="140"/>
      <c r="I745" s="141"/>
      <c r="J745" s="141"/>
      <c r="K745" s="142"/>
      <c r="L745" s="142"/>
      <c r="M745" s="142"/>
      <c r="N745" s="142"/>
      <c r="O745" s="136"/>
      <c r="P745" s="34"/>
      <c r="Q745" s="35"/>
      <c r="R745" s="35"/>
      <c r="S745" s="35"/>
      <c r="T745" s="35"/>
      <c r="U745" s="35"/>
      <c r="V745" s="35"/>
      <c r="W745" s="35"/>
      <c r="X745" s="35"/>
      <c r="Y745" s="35"/>
      <c r="Z745" s="35"/>
      <c r="AA745" s="35"/>
    </row>
    <row r="746" ht="14.25" customHeight="1">
      <c r="A746" s="136"/>
      <c r="B746" s="137"/>
      <c r="C746" s="251"/>
      <c r="D746" s="252"/>
      <c r="E746" s="136"/>
      <c r="F746" s="253"/>
      <c r="G746" s="253"/>
      <c r="H746" s="140"/>
      <c r="I746" s="141"/>
      <c r="J746" s="141"/>
      <c r="K746" s="142"/>
      <c r="L746" s="142"/>
      <c r="M746" s="142"/>
      <c r="N746" s="142"/>
      <c r="O746" s="136"/>
      <c r="P746" s="34"/>
      <c r="Q746" s="35"/>
      <c r="R746" s="35"/>
      <c r="S746" s="35"/>
      <c r="T746" s="35"/>
      <c r="U746" s="35"/>
      <c r="V746" s="35"/>
      <c r="W746" s="35"/>
      <c r="X746" s="35"/>
      <c r="Y746" s="35"/>
      <c r="Z746" s="35"/>
      <c r="AA746" s="35"/>
    </row>
    <row r="747" ht="14.25" customHeight="1">
      <c r="A747" s="136"/>
      <c r="B747" s="137"/>
      <c r="C747" s="251"/>
      <c r="D747" s="252"/>
      <c r="E747" s="136"/>
      <c r="F747" s="253"/>
      <c r="G747" s="253"/>
      <c r="H747" s="140"/>
      <c r="I747" s="141"/>
      <c r="J747" s="141"/>
      <c r="K747" s="142"/>
      <c r="L747" s="142"/>
      <c r="M747" s="142"/>
      <c r="N747" s="142"/>
      <c r="O747" s="136"/>
      <c r="P747" s="34"/>
      <c r="Q747" s="35"/>
      <c r="R747" s="35"/>
      <c r="S747" s="35"/>
      <c r="T747" s="35"/>
      <c r="U747" s="35"/>
      <c r="V747" s="35"/>
      <c r="W747" s="35"/>
      <c r="X747" s="35"/>
      <c r="Y747" s="35"/>
      <c r="Z747" s="35"/>
      <c r="AA747" s="35"/>
    </row>
    <row r="748" ht="14.25" customHeight="1">
      <c r="A748" s="136"/>
      <c r="B748" s="137"/>
      <c r="C748" s="251"/>
      <c r="D748" s="252"/>
      <c r="E748" s="136"/>
      <c r="F748" s="253"/>
      <c r="G748" s="253"/>
      <c r="H748" s="140"/>
      <c r="I748" s="141"/>
      <c r="J748" s="141"/>
      <c r="K748" s="142"/>
      <c r="L748" s="142"/>
      <c r="M748" s="142"/>
      <c r="N748" s="142"/>
      <c r="O748" s="136"/>
      <c r="P748" s="34"/>
      <c r="Q748" s="35"/>
      <c r="R748" s="35"/>
      <c r="S748" s="35"/>
      <c r="T748" s="35"/>
      <c r="U748" s="35"/>
      <c r="V748" s="35"/>
      <c r="W748" s="35"/>
      <c r="X748" s="35"/>
      <c r="Y748" s="35"/>
      <c r="Z748" s="35"/>
      <c r="AA748" s="35"/>
    </row>
    <row r="749" ht="14.25" customHeight="1">
      <c r="A749" s="136"/>
      <c r="B749" s="137"/>
      <c r="C749" s="251"/>
      <c r="D749" s="252"/>
      <c r="E749" s="136"/>
      <c r="F749" s="253"/>
      <c r="G749" s="253"/>
      <c r="H749" s="140"/>
      <c r="I749" s="141"/>
      <c r="J749" s="141"/>
      <c r="K749" s="142"/>
      <c r="L749" s="142"/>
      <c r="M749" s="142"/>
      <c r="N749" s="142"/>
      <c r="O749" s="136"/>
      <c r="P749" s="34"/>
      <c r="Q749" s="35"/>
      <c r="R749" s="35"/>
      <c r="S749" s="35"/>
      <c r="T749" s="35"/>
      <c r="U749" s="35"/>
      <c r="V749" s="35"/>
      <c r="W749" s="35"/>
      <c r="X749" s="35"/>
      <c r="Y749" s="35"/>
      <c r="Z749" s="35"/>
      <c r="AA749" s="35"/>
    </row>
    <row r="750" ht="14.25" customHeight="1">
      <c r="A750" s="136"/>
      <c r="B750" s="137"/>
      <c r="C750" s="251"/>
      <c r="D750" s="252"/>
      <c r="E750" s="136"/>
      <c r="F750" s="253"/>
      <c r="G750" s="253"/>
      <c r="H750" s="140"/>
      <c r="I750" s="141"/>
      <c r="J750" s="141"/>
      <c r="K750" s="142"/>
      <c r="L750" s="142"/>
      <c r="M750" s="142"/>
      <c r="N750" s="142"/>
      <c r="O750" s="136"/>
      <c r="P750" s="34"/>
      <c r="Q750" s="35"/>
      <c r="R750" s="35"/>
      <c r="S750" s="35"/>
      <c r="T750" s="35"/>
      <c r="U750" s="35"/>
      <c r="V750" s="35"/>
      <c r="W750" s="35"/>
      <c r="X750" s="35"/>
      <c r="Y750" s="35"/>
      <c r="Z750" s="35"/>
      <c r="AA750" s="35"/>
    </row>
    <row r="751" ht="14.25" customHeight="1">
      <c r="A751" s="136"/>
      <c r="B751" s="137"/>
      <c r="C751" s="251"/>
      <c r="D751" s="252"/>
      <c r="E751" s="136"/>
      <c r="F751" s="253"/>
      <c r="G751" s="253"/>
      <c r="H751" s="140"/>
      <c r="I751" s="141"/>
      <c r="J751" s="141"/>
      <c r="K751" s="142"/>
      <c r="L751" s="142"/>
      <c r="M751" s="142"/>
      <c r="N751" s="142"/>
      <c r="O751" s="136"/>
      <c r="P751" s="34"/>
      <c r="Q751" s="35"/>
      <c r="R751" s="35"/>
      <c r="S751" s="35"/>
      <c r="T751" s="35"/>
      <c r="U751" s="35"/>
      <c r="V751" s="35"/>
      <c r="W751" s="35"/>
      <c r="X751" s="35"/>
      <c r="Y751" s="35"/>
      <c r="Z751" s="35"/>
      <c r="AA751" s="35"/>
    </row>
    <row r="752" ht="14.25" customHeight="1">
      <c r="A752" s="136"/>
      <c r="B752" s="137"/>
      <c r="C752" s="251"/>
      <c r="D752" s="252"/>
      <c r="E752" s="136"/>
      <c r="F752" s="253"/>
      <c r="G752" s="253"/>
      <c r="H752" s="140"/>
      <c r="I752" s="141"/>
      <c r="J752" s="141"/>
      <c r="K752" s="142"/>
      <c r="L752" s="142"/>
      <c r="M752" s="142"/>
      <c r="N752" s="142"/>
      <c r="O752" s="136"/>
      <c r="P752" s="34"/>
      <c r="Q752" s="35"/>
      <c r="R752" s="35"/>
      <c r="S752" s="35"/>
      <c r="T752" s="35"/>
      <c r="U752" s="35"/>
      <c r="V752" s="35"/>
      <c r="W752" s="35"/>
      <c r="X752" s="35"/>
      <c r="Y752" s="35"/>
      <c r="Z752" s="35"/>
      <c r="AA752" s="35"/>
    </row>
    <row r="753" ht="14.25" customHeight="1">
      <c r="A753" s="136"/>
      <c r="B753" s="137"/>
      <c r="C753" s="251"/>
      <c r="D753" s="252"/>
      <c r="E753" s="136"/>
      <c r="F753" s="253"/>
      <c r="G753" s="253"/>
      <c r="H753" s="140"/>
      <c r="I753" s="141"/>
      <c r="J753" s="141"/>
      <c r="K753" s="142"/>
      <c r="L753" s="142"/>
      <c r="M753" s="142"/>
      <c r="N753" s="142"/>
      <c r="O753" s="136"/>
      <c r="P753" s="34"/>
      <c r="Q753" s="35"/>
      <c r="R753" s="35"/>
      <c r="S753" s="35"/>
      <c r="T753" s="35"/>
      <c r="U753" s="35"/>
      <c r="V753" s="35"/>
      <c r="W753" s="35"/>
      <c r="X753" s="35"/>
      <c r="Y753" s="35"/>
      <c r="Z753" s="35"/>
      <c r="AA753" s="35"/>
    </row>
    <row r="754" ht="14.25" customHeight="1">
      <c r="A754" s="136"/>
      <c r="B754" s="137"/>
      <c r="C754" s="251"/>
      <c r="D754" s="252"/>
      <c r="E754" s="136"/>
      <c r="F754" s="253"/>
      <c r="G754" s="253"/>
      <c r="H754" s="140"/>
      <c r="I754" s="141"/>
      <c r="J754" s="141"/>
      <c r="K754" s="142"/>
      <c r="L754" s="142"/>
      <c r="M754" s="142"/>
      <c r="N754" s="142"/>
      <c r="O754" s="136"/>
      <c r="P754" s="34"/>
      <c r="Q754" s="35"/>
      <c r="R754" s="35"/>
      <c r="S754" s="35"/>
      <c r="T754" s="35"/>
      <c r="U754" s="35"/>
      <c r="V754" s="35"/>
      <c r="W754" s="35"/>
      <c r="X754" s="35"/>
      <c r="Y754" s="35"/>
      <c r="Z754" s="35"/>
      <c r="AA754" s="35"/>
    </row>
    <row r="755" ht="14.25" customHeight="1">
      <c r="A755" s="136"/>
      <c r="B755" s="137"/>
      <c r="C755" s="251"/>
      <c r="D755" s="252"/>
      <c r="E755" s="136"/>
      <c r="F755" s="253"/>
      <c r="G755" s="253"/>
      <c r="H755" s="140"/>
      <c r="I755" s="141"/>
      <c r="J755" s="141"/>
      <c r="K755" s="142"/>
      <c r="L755" s="142"/>
      <c r="M755" s="142"/>
      <c r="N755" s="142"/>
      <c r="O755" s="136"/>
      <c r="P755" s="34"/>
      <c r="Q755" s="35"/>
      <c r="R755" s="35"/>
      <c r="S755" s="35"/>
      <c r="T755" s="35"/>
      <c r="U755" s="35"/>
      <c r="V755" s="35"/>
      <c r="W755" s="35"/>
      <c r="X755" s="35"/>
      <c r="Y755" s="35"/>
      <c r="Z755" s="35"/>
      <c r="AA755" s="35"/>
    </row>
    <row r="756" ht="14.25" customHeight="1">
      <c r="A756" s="136"/>
      <c r="B756" s="137"/>
      <c r="C756" s="251"/>
      <c r="D756" s="252"/>
      <c r="E756" s="136"/>
      <c r="F756" s="253"/>
      <c r="G756" s="253"/>
      <c r="H756" s="140"/>
      <c r="I756" s="141"/>
      <c r="J756" s="141"/>
      <c r="K756" s="142"/>
      <c r="L756" s="142"/>
      <c r="M756" s="142"/>
      <c r="N756" s="142"/>
      <c r="O756" s="136"/>
      <c r="P756" s="34"/>
      <c r="Q756" s="35"/>
      <c r="R756" s="35"/>
      <c r="S756" s="35"/>
      <c r="T756" s="35"/>
      <c r="U756" s="35"/>
      <c r="V756" s="35"/>
      <c r="W756" s="35"/>
      <c r="X756" s="35"/>
      <c r="Y756" s="35"/>
      <c r="Z756" s="35"/>
      <c r="AA756" s="35"/>
    </row>
    <row r="757" ht="14.25" customHeight="1">
      <c r="A757" s="136"/>
      <c r="B757" s="137"/>
      <c r="C757" s="251"/>
      <c r="D757" s="252"/>
      <c r="E757" s="136"/>
      <c r="F757" s="253"/>
      <c r="G757" s="253"/>
      <c r="H757" s="140"/>
      <c r="I757" s="141"/>
      <c r="J757" s="141"/>
      <c r="K757" s="142"/>
      <c r="L757" s="142"/>
      <c r="M757" s="142"/>
      <c r="N757" s="142"/>
      <c r="O757" s="136"/>
      <c r="P757" s="34"/>
      <c r="Q757" s="35"/>
      <c r="R757" s="35"/>
      <c r="S757" s="35"/>
      <c r="T757" s="35"/>
      <c r="U757" s="35"/>
      <c r="V757" s="35"/>
      <c r="W757" s="35"/>
      <c r="X757" s="35"/>
      <c r="Y757" s="35"/>
      <c r="Z757" s="35"/>
      <c r="AA757" s="35"/>
    </row>
    <row r="758" ht="14.25" customHeight="1">
      <c r="A758" s="136"/>
      <c r="B758" s="137"/>
      <c r="C758" s="251"/>
      <c r="D758" s="252"/>
      <c r="E758" s="136"/>
      <c r="F758" s="253"/>
      <c r="G758" s="253"/>
      <c r="H758" s="140"/>
      <c r="I758" s="141"/>
      <c r="J758" s="141"/>
      <c r="K758" s="142"/>
      <c r="L758" s="142"/>
      <c r="M758" s="142"/>
      <c r="N758" s="142"/>
      <c r="O758" s="136"/>
      <c r="P758" s="34"/>
      <c r="Q758" s="35"/>
      <c r="R758" s="35"/>
      <c r="S758" s="35"/>
      <c r="T758" s="35"/>
      <c r="U758" s="35"/>
      <c r="V758" s="35"/>
      <c r="W758" s="35"/>
      <c r="X758" s="35"/>
      <c r="Y758" s="35"/>
      <c r="Z758" s="35"/>
      <c r="AA758" s="35"/>
    </row>
    <row r="759" ht="14.25" customHeight="1">
      <c r="A759" s="136"/>
      <c r="B759" s="137"/>
      <c r="C759" s="251"/>
      <c r="D759" s="252"/>
      <c r="E759" s="136"/>
      <c r="F759" s="253"/>
      <c r="G759" s="253"/>
      <c r="H759" s="140"/>
      <c r="I759" s="141"/>
      <c r="J759" s="141"/>
      <c r="K759" s="142"/>
      <c r="L759" s="142"/>
      <c r="M759" s="142"/>
      <c r="N759" s="142"/>
      <c r="O759" s="136"/>
      <c r="P759" s="34"/>
      <c r="Q759" s="35"/>
      <c r="R759" s="35"/>
      <c r="S759" s="35"/>
      <c r="T759" s="35"/>
      <c r="U759" s="35"/>
      <c r="V759" s="35"/>
      <c r="W759" s="35"/>
      <c r="X759" s="35"/>
      <c r="Y759" s="35"/>
      <c r="Z759" s="35"/>
      <c r="AA759" s="35"/>
    </row>
    <row r="760" ht="14.25" customHeight="1">
      <c r="A760" s="136"/>
      <c r="B760" s="137"/>
      <c r="C760" s="251"/>
      <c r="D760" s="252"/>
      <c r="E760" s="136"/>
      <c r="F760" s="253"/>
      <c r="G760" s="253"/>
      <c r="H760" s="140"/>
      <c r="I760" s="141"/>
      <c r="J760" s="141"/>
      <c r="K760" s="142"/>
      <c r="L760" s="142"/>
      <c r="M760" s="142"/>
      <c r="N760" s="142"/>
      <c r="O760" s="136"/>
      <c r="P760" s="34"/>
      <c r="Q760" s="35"/>
      <c r="R760" s="35"/>
      <c r="S760" s="35"/>
      <c r="T760" s="35"/>
      <c r="U760" s="35"/>
      <c r="V760" s="35"/>
      <c r="W760" s="35"/>
      <c r="X760" s="35"/>
      <c r="Y760" s="35"/>
      <c r="Z760" s="35"/>
      <c r="AA760" s="35"/>
    </row>
    <row r="761" ht="14.25" customHeight="1">
      <c r="A761" s="136"/>
      <c r="B761" s="137"/>
      <c r="C761" s="251"/>
      <c r="D761" s="252"/>
      <c r="E761" s="136"/>
      <c r="F761" s="253"/>
      <c r="G761" s="253"/>
      <c r="H761" s="140"/>
      <c r="I761" s="141"/>
      <c r="J761" s="141"/>
      <c r="K761" s="142"/>
      <c r="L761" s="142"/>
      <c r="M761" s="142"/>
      <c r="N761" s="142"/>
      <c r="O761" s="136"/>
      <c r="P761" s="34"/>
      <c r="Q761" s="35"/>
      <c r="R761" s="35"/>
      <c r="S761" s="35"/>
      <c r="T761" s="35"/>
      <c r="U761" s="35"/>
      <c r="V761" s="35"/>
      <c r="W761" s="35"/>
      <c r="X761" s="35"/>
      <c r="Y761" s="35"/>
      <c r="Z761" s="35"/>
      <c r="AA761" s="35"/>
    </row>
    <row r="762" ht="14.25" customHeight="1">
      <c r="A762" s="136"/>
      <c r="B762" s="137"/>
      <c r="C762" s="251"/>
      <c r="D762" s="252"/>
      <c r="E762" s="136"/>
      <c r="F762" s="253"/>
      <c r="G762" s="253"/>
      <c r="H762" s="140"/>
      <c r="I762" s="141"/>
      <c r="J762" s="141"/>
      <c r="K762" s="142"/>
      <c r="L762" s="142"/>
      <c r="M762" s="142"/>
      <c r="N762" s="142"/>
      <c r="O762" s="136"/>
      <c r="P762" s="34"/>
      <c r="Q762" s="35"/>
      <c r="R762" s="35"/>
      <c r="S762" s="35"/>
      <c r="T762" s="35"/>
      <c r="U762" s="35"/>
      <c r="V762" s="35"/>
      <c r="W762" s="35"/>
      <c r="X762" s="35"/>
      <c r="Y762" s="35"/>
      <c r="Z762" s="35"/>
      <c r="AA762" s="35"/>
    </row>
    <row r="763" ht="14.25" customHeight="1">
      <c r="A763" s="136"/>
      <c r="B763" s="137"/>
      <c r="C763" s="251"/>
      <c r="D763" s="252"/>
      <c r="E763" s="136"/>
      <c r="F763" s="253"/>
      <c r="G763" s="253"/>
      <c r="H763" s="140"/>
      <c r="I763" s="141"/>
      <c r="J763" s="141"/>
      <c r="K763" s="142"/>
      <c r="L763" s="142"/>
      <c r="M763" s="142"/>
      <c r="N763" s="142"/>
      <c r="O763" s="136"/>
      <c r="P763" s="34"/>
      <c r="Q763" s="35"/>
      <c r="R763" s="35"/>
      <c r="S763" s="35"/>
      <c r="T763" s="35"/>
      <c r="U763" s="35"/>
      <c r="V763" s="35"/>
      <c r="W763" s="35"/>
      <c r="X763" s="35"/>
      <c r="Y763" s="35"/>
      <c r="Z763" s="35"/>
      <c r="AA763" s="35"/>
    </row>
    <row r="764" ht="14.25" customHeight="1">
      <c r="A764" s="136"/>
      <c r="B764" s="137"/>
      <c r="C764" s="251"/>
      <c r="D764" s="252"/>
      <c r="E764" s="136"/>
      <c r="F764" s="253"/>
      <c r="G764" s="253"/>
      <c r="H764" s="140"/>
      <c r="I764" s="141"/>
      <c r="J764" s="141"/>
      <c r="K764" s="142"/>
      <c r="L764" s="142"/>
      <c r="M764" s="142"/>
      <c r="N764" s="142"/>
      <c r="O764" s="136"/>
      <c r="P764" s="34"/>
      <c r="Q764" s="35"/>
      <c r="R764" s="35"/>
      <c r="S764" s="35"/>
      <c r="T764" s="35"/>
      <c r="U764" s="35"/>
      <c r="V764" s="35"/>
      <c r="W764" s="35"/>
      <c r="X764" s="35"/>
      <c r="Y764" s="35"/>
      <c r="Z764" s="35"/>
      <c r="AA764" s="35"/>
    </row>
    <row r="765" ht="14.25" customHeight="1">
      <c r="A765" s="136"/>
      <c r="B765" s="137"/>
      <c r="C765" s="251"/>
      <c r="D765" s="252"/>
      <c r="E765" s="136"/>
      <c r="F765" s="253"/>
      <c r="G765" s="253"/>
      <c r="H765" s="140"/>
      <c r="I765" s="141"/>
      <c r="J765" s="141"/>
      <c r="K765" s="142"/>
      <c r="L765" s="142"/>
      <c r="M765" s="142"/>
      <c r="N765" s="142"/>
      <c r="O765" s="136"/>
      <c r="P765" s="34"/>
      <c r="Q765" s="35"/>
      <c r="R765" s="35"/>
      <c r="S765" s="35"/>
      <c r="T765" s="35"/>
      <c r="U765" s="35"/>
      <c r="V765" s="35"/>
      <c r="W765" s="35"/>
      <c r="X765" s="35"/>
      <c r="Y765" s="35"/>
      <c r="Z765" s="35"/>
      <c r="AA765" s="35"/>
    </row>
    <row r="766" ht="14.25" customHeight="1">
      <c r="A766" s="136"/>
      <c r="B766" s="137"/>
      <c r="C766" s="251"/>
      <c r="D766" s="252"/>
      <c r="E766" s="136"/>
      <c r="F766" s="253"/>
      <c r="G766" s="253"/>
      <c r="H766" s="140"/>
      <c r="I766" s="141"/>
      <c r="J766" s="141"/>
      <c r="K766" s="142"/>
      <c r="L766" s="142"/>
      <c r="M766" s="142"/>
      <c r="N766" s="142"/>
      <c r="O766" s="136"/>
      <c r="P766" s="34"/>
      <c r="Q766" s="35"/>
      <c r="R766" s="35"/>
      <c r="S766" s="35"/>
      <c r="T766" s="35"/>
      <c r="U766" s="35"/>
      <c r="V766" s="35"/>
      <c r="W766" s="35"/>
      <c r="X766" s="35"/>
      <c r="Y766" s="35"/>
      <c r="Z766" s="35"/>
      <c r="AA766" s="35"/>
    </row>
    <row r="767" ht="14.25" customHeight="1">
      <c r="A767" s="136"/>
      <c r="B767" s="137"/>
      <c r="C767" s="251"/>
      <c r="D767" s="252"/>
      <c r="E767" s="136"/>
      <c r="F767" s="253"/>
      <c r="G767" s="253"/>
      <c r="H767" s="140"/>
      <c r="I767" s="141"/>
      <c r="J767" s="141"/>
      <c r="K767" s="142"/>
      <c r="L767" s="142"/>
      <c r="M767" s="142"/>
      <c r="N767" s="142"/>
      <c r="O767" s="136"/>
      <c r="P767" s="34"/>
      <c r="Q767" s="35"/>
      <c r="R767" s="35"/>
      <c r="S767" s="35"/>
      <c r="T767" s="35"/>
      <c r="U767" s="35"/>
      <c r="V767" s="35"/>
      <c r="W767" s="35"/>
      <c r="X767" s="35"/>
      <c r="Y767" s="35"/>
      <c r="Z767" s="35"/>
      <c r="AA767" s="35"/>
    </row>
    <row r="768" ht="14.25" customHeight="1">
      <c r="A768" s="136"/>
      <c r="B768" s="137"/>
      <c r="C768" s="251"/>
      <c r="D768" s="252"/>
      <c r="E768" s="136"/>
      <c r="F768" s="253"/>
      <c r="G768" s="253"/>
      <c r="H768" s="140"/>
      <c r="I768" s="141"/>
      <c r="J768" s="141"/>
      <c r="K768" s="142"/>
      <c r="L768" s="142"/>
      <c r="M768" s="142"/>
      <c r="N768" s="142"/>
      <c r="O768" s="136"/>
      <c r="P768" s="34"/>
      <c r="Q768" s="35"/>
      <c r="R768" s="35"/>
      <c r="S768" s="35"/>
      <c r="T768" s="35"/>
      <c r="U768" s="35"/>
      <c r="V768" s="35"/>
      <c r="W768" s="35"/>
      <c r="X768" s="35"/>
      <c r="Y768" s="35"/>
      <c r="Z768" s="35"/>
      <c r="AA768" s="35"/>
    </row>
    <row r="769" ht="14.25" customHeight="1">
      <c r="A769" s="136"/>
      <c r="B769" s="137"/>
      <c r="C769" s="251"/>
      <c r="D769" s="252"/>
      <c r="E769" s="136"/>
      <c r="F769" s="253"/>
      <c r="G769" s="253"/>
      <c r="H769" s="140"/>
      <c r="I769" s="141"/>
      <c r="J769" s="141"/>
      <c r="K769" s="142"/>
      <c r="L769" s="142"/>
      <c r="M769" s="142"/>
      <c r="N769" s="142"/>
      <c r="O769" s="136"/>
      <c r="P769" s="34"/>
      <c r="Q769" s="35"/>
      <c r="R769" s="35"/>
      <c r="S769" s="35"/>
      <c r="T769" s="35"/>
      <c r="U769" s="35"/>
      <c r="V769" s="35"/>
      <c r="W769" s="35"/>
      <c r="X769" s="35"/>
      <c r="Y769" s="35"/>
      <c r="Z769" s="35"/>
      <c r="AA769" s="35"/>
    </row>
    <row r="770" ht="14.25" customHeight="1">
      <c r="A770" s="136"/>
      <c r="B770" s="137"/>
      <c r="C770" s="251"/>
      <c r="D770" s="252"/>
      <c r="E770" s="136"/>
      <c r="F770" s="253"/>
      <c r="G770" s="253"/>
      <c r="H770" s="140"/>
      <c r="I770" s="141"/>
      <c r="J770" s="141"/>
      <c r="K770" s="142"/>
      <c r="L770" s="142"/>
      <c r="M770" s="142"/>
      <c r="N770" s="142"/>
      <c r="O770" s="136"/>
      <c r="P770" s="34"/>
      <c r="Q770" s="35"/>
      <c r="R770" s="35"/>
      <c r="S770" s="35"/>
      <c r="T770" s="35"/>
      <c r="U770" s="35"/>
      <c r="V770" s="35"/>
      <c r="W770" s="35"/>
      <c r="X770" s="35"/>
      <c r="Y770" s="35"/>
      <c r="Z770" s="35"/>
      <c r="AA770" s="35"/>
    </row>
    <row r="771" ht="14.25" customHeight="1">
      <c r="A771" s="136"/>
      <c r="B771" s="137"/>
      <c r="C771" s="251"/>
      <c r="D771" s="252"/>
      <c r="E771" s="136"/>
      <c r="F771" s="253"/>
      <c r="G771" s="253"/>
      <c r="H771" s="140"/>
      <c r="I771" s="141"/>
      <c r="J771" s="141"/>
      <c r="K771" s="142"/>
      <c r="L771" s="142"/>
      <c r="M771" s="142"/>
      <c r="N771" s="142"/>
      <c r="O771" s="136"/>
      <c r="P771" s="34"/>
      <c r="Q771" s="35"/>
      <c r="R771" s="35"/>
      <c r="S771" s="35"/>
      <c r="T771" s="35"/>
      <c r="U771" s="35"/>
      <c r="V771" s="35"/>
      <c r="W771" s="35"/>
      <c r="X771" s="35"/>
      <c r="Y771" s="35"/>
      <c r="Z771" s="35"/>
      <c r="AA771" s="35"/>
    </row>
    <row r="772" ht="14.25" customHeight="1">
      <c r="A772" s="136"/>
      <c r="B772" s="137"/>
      <c r="C772" s="251"/>
      <c r="D772" s="252"/>
      <c r="E772" s="136"/>
      <c r="F772" s="253"/>
      <c r="G772" s="253"/>
      <c r="H772" s="140"/>
      <c r="I772" s="141"/>
      <c r="J772" s="141"/>
      <c r="K772" s="142"/>
      <c r="L772" s="142"/>
      <c r="M772" s="142"/>
      <c r="N772" s="142"/>
      <c r="O772" s="136"/>
      <c r="P772" s="34"/>
      <c r="Q772" s="35"/>
      <c r="R772" s="35"/>
      <c r="S772" s="35"/>
      <c r="T772" s="35"/>
      <c r="U772" s="35"/>
      <c r="V772" s="35"/>
      <c r="W772" s="35"/>
      <c r="X772" s="35"/>
      <c r="Y772" s="35"/>
      <c r="Z772" s="35"/>
      <c r="AA772" s="35"/>
    </row>
    <row r="773" ht="14.25" customHeight="1">
      <c r="A773" s="136"/>
      <c r="B773" s="137"/>
      <c r="C773" s="251"/>
      <c r="D773" s="252"/>
      <c r="E773" s="136"/>
      <c r="F773" s="253"/>
      <c r="G773" s="253"/>
      <c r="H773" s="140"/>
      <c r="I773" s="141"/>
      <c r="J773" s="141"/>
      <c r="K773" s="142"/>
      <c r="L773" s="142"/>
      <c r="M773" s="142"/>
      <c r="N773" s="142"/>
      <c r="O773" s="136"/>
      <c r="P773" s="34"/>
      <c r="Q773" s="35"/>
      <c r="R773" s="35"/>
      <c r="S773" s="35"/>
      <c r="T773" s="35"/>
      <c r="U773" s="35"/>
      <c r="V773" s="35"/>
      <c r="W773" s="35"/>
      <c r="X773" s="35"/>
      <c r="Y773" s="35"/>
      <c r="Z773" s="35"/>
      <c r="AA773" s="35"/>
    </row>
    <row r="774" ht="14.25" customHeight="1">
      <c r="A774" s="136"/>
      <c r="B774" s="137"/>
      <c r="C774" s="251"/>
      <c r="D774" s="252"/>
      <c r="E774" s="136"/>
      <c r="F774" s="253"/>
      <c r="G774" s="253"/>
      <c r="H774" s="140"/>
      <c r="I774" s="141"/>
      <c r="J774" s="141"/>
      <c r="K774" s="142"/>
      <c r="L774" s="142"/>
      <c r="M774" s="142"/>
      <c r="N774" s="142"/>
      <c r="O774" s="136"/>
      <c r="P774" s="34"/>
      <c r="Q774" s="35"/>
      <c r="R774" s="35"/>
      <c r="S774" s="35"/>
      <c r="T774" s="35"/>
      <c r="U774" s="35"/>
      <c r="V774" s="35"/>
      <c r="W774" s="35"/>
      <c r="X774" s="35"/>
      <c r="Y774" s="35"/>
      <c r="Z774" s="35"/>
      <c r="AA774" s="35"/>
    </row>
    <row r="775" ht="14.25" customHeight="1">
      <c r="A775" s="136"/>
      <c r="B775" s="137"/>
      <c r="C775" s="251"/>
      <c r="D775" s="252"/>
      <c r="E775" s="136"/>
      <c r="F775" s="253"/>
      <c r="G775" s="253"/>
      <c r="H775" s="140"/>
      <c r="I775" s="141"/>
      <c r="J775" s="141"/>
      <c r="K775" s="142"/>
      <c r="L775" s="142"/>
      <c r="M775" s="142"/>
      <c r="N775" s="142"/>
      <c r="O775" s="136"/>
      <c r="P775" s="34"/>
      <c r="Q775" s="35"/>
      <c r="R775" s="35"/>
      <c r="S775" s="35"/>
      <c r="T775" s="35"/>
      <c r="U775" s="35"/>
      <c r="V775" s="35"/>
      <c r="W775" s="35"/>
      <c r="X775" s="35"/>
      <c r="Y775" s="35"/>
      <c r="Z775" s="35"/>
      <c r="AA775" s="35"/>
    </row>
    <row r="776" ht="14.25" customHeight="1">
      <c r="A776" s="136"/>
      <c r="B776" s="137"/>
      <c r="C776" s="251"/>
      <c r="D776" s="252"/>
      <c r="E776" s="136"/>
      <c r="F776" s="253"/>
      <c r="G776" s="253"/>
      <c r="H776" s="140"/>
      <c r="I776" s="141"/>
      <c r="J776" s="141"/>
      <c r="K776" s="142"/>
      <c r="L776" s="142"/>
      <c r="M776" s="142"/>
      <c r="N776" s="142"/>
      <c r="O776" s="136"/>
      <c r="P776" s="34"/>
      <c r="Q776" s="35"/>
      <c r="R776" s="35"/>
      <c r="S776" s="35"/>
      <c r="T776" s="35"/>
      <c r="U776" s="35"/>
      <c r="V776" s="35"/>
      <c r="W776" s="35"/>
      <c r="X776" s="35"/>
      <c r="Y776" s="35"/>
      <c r="Z776" s="35"/>
      <c r="AA776" s="35"/>
    </row>
    <row r="777" ht="14.25" customHeight="1">
      <c r="A777" s="136"/>
      <c r="B777" s="137"/>
      <c r="C777" s="251"/>
      <c r="D777" s="252"/>
      <c r="E777" s="136"/>
      <c r="F777" s="253"/>
      <c r="G777" s="253"/>
      <c r="H777" s="140"/>
      <c r="I777" s="141"/>
      <c r="J777" s="141"/>
      <c r="K777" s="142"/>
      <c r="L777" s="142"/>
      <c r="M777" s="142"/>
      <c r="N777" s="142"/>
      <c r="O777" s="136"/>
      <c r="P777" s="34"/>
      <c r="Q777" s="35"/>
      <c r="R777" s="35"/>
      <c r="S777" s="35"/>
      <c r="T777" s="35"/>
      <c r="U777" s="35"/>
      <c r="V777" s="35"/>
      <c r="W777" s="35"/>
      <c r="X777" s="35"/>
      <c r="Y777" s="35"/>
      <c r="Z777" s="35"/>
      <c r="AA777" s="35"/>
    </row>
    <row r="778" ht="14.25" customHeight="1">
      <c r="A778" s="136"/>
      <c r="B778" s="137"/>
      <c r="C778" s="251"/>
      <c r="D778" s="252"/>
      <c r="E778" s="136"/>
      <c r="F778" s="253"/>
      <c r="G778" s="253"/>
      <c r="H778" s="140"/>
      <c r="I778" s="141"/>
      <c r="J778" s="141"/>
      <c r="K778" s="142"/>
      <c r="L778" s="142"/>
      <c r="M778" s="142"/>
      <c r="N778" s="142"/>
      <c r="O778" s="136"/>
      <c r="P778" s="34"/>
      <c r="Q778" s="35"/>
      <c r="R778" s="35"/>
      <c r="S778" s="35"/>
      <c r="T778" s="35"/>
      <c r="U778" s="35"/>
      <c r="V778" s="35"/>
      <c r="W778" s="35"/>
      <c r="X778" s="35"/>
      <c r="Y778" s="35"/>
      <c r="Z778" s="35"/>
      <c r="AA778" s="35"/>
    </row>
    <row r="779" ht="14.25" customHeight="1">
      <c r="A779" s="136"/>
      <c r="B779" s="137"/>
      <c r="C779" s="251"/>
      <c r="D779" s="252"/>
      <c r="E779" s="136"/>
      <c r="F779" s="253"/>
      <c r="G779" s="253"/>
      <c r="H779" s="140"/>
      <c r="I779" s="141"/>
      <c r="J779" s="141"/>
      <c r="K779" s="142"/>
      <c r="L779" s="142"/>
      <c r="M779" s="142"/>
      <c r="N779" s="142"/>
      <c r="O779" s="136"/>
      <c r="P779" s="34"/>
      <c r="Q779" s="35"/>
      <c r="R779" s="35"/>
      <c r="S779" s="35"/>
      <c r="T779" s="35"/>
      <c r="U779" s="35"/>
      <c r="V779" s="35"/>
      <c r="W779" s="35"/>
      <c r="X779" s="35"/>
      <c r="Y779" s="35"/>
      <c r="Z779" s="35"/>
      <c r="AA779" s="35"/>
    </row>
    <row r="780" ht="14.25" customHeight="1">
      <c r="A780" s="136"/>
      <c r="B780" s="137"/>
      <c r="C780" s="251"/>
      <c r="D780" s="252"/>
      <c r="E780" s="136"/>
      <c r="F780" s="253"/>
      <c r="G780" s="253"/>
      <c r="H780" s="140"/>
      <c r="I780" s="141"/>
      <c r="J780" s="141"/>
      <c r="K780" s="142"/>
      <c r="L780" s="142"/>
      <c r="M780" s="142"/>
      <c r="N780" s="142"/>
      <c r="O780" s="136"/>
      <c r="P780" s="34"/>
      <c r="Q780" s="35"/>
      <c r="R780" s="35"/>
      <c r="S780" s="35"/>
      <c r="T780" s="35"/>
      <c r="U780" s="35"/>
      <c r="V780" s="35"/>
      <c r="W780" s="35"/>
      <c r="X780" s="35"/>
      <c r="Y780" s="35"/>
      <c r="Z780" s="35"/>
      <c r="AA780" s="35"/>
    </row>
    <row r="781" ht="14.25" customHeight="1">
      <c r="A781" s="136"/>
      <c r="B781" s="137"/>
      <c r="C781" s="251"/>
      <c r="D781" s="252"/>
      <c r="E781" s="136"/>
      <c r="F781" s="253"/>
      <c r="G781" s="253"/>
      <c r="H781" s="140"/>
      <c r="I781" s="141"/>
      <c r="J781" s="141"/>
      <c r="K781" s="142"/>
      <c r="L781" s="142"/>
      <c r="M781" s="142"/>
      <c r="N781" s="142"/>
      <c r="O781" s="136"/>
      <c r="P781" s="34"/>
      <c r="Q781" s="35"/>
      <c r="R781" s="35"/>
      <c r="S781" s="35"/>
      <c r="T781" s="35"/>
      <c r="U781" s="35"/>
      <c r="V781" s="35"/>
      <c r="W781" s="35"/>
      <c r="X781" s="35"/>
      <c r="Y781" s="35"/>
      <c r="Z781" s="35"/>
      <c r="AA781" s="35"/>
    </row>
    <row r="782" ht="14.25" customHeight="1">
      <c r="A782" s="136"/>
      <c r="B782" s="137"/>
      <c r="C782" s="251"/>
      <c r="D782" s="252"/>
      <c r="E782" s="136"/>
      <c r="F782" s="253"/>
      <c r="G782" s="253"/>
      <c r="H782" s="140"/>
      <c r="I782" s="141"/>
      <c r="J782" s="141"/>
      <c r="K782" s="142"/>
      <c r="L782" s="142"/>
      <c r="M782" s="142"/>
      <c r="N782" s="142"/>
      <c r="O782" s="136"/>
      <c r="P782" s="34"/>
      <c r="Q782" s="35"/>
      <c r="R782" s="35"/>
      <c r="S782" s="35"/>
      <c r="T782" s="35"/>
      <c r="U782" s="35"/>
      <c r="V782" s="35"/>
      <c r="W782" s="35"/>
      <c r="X782" s="35"/>
      <c r="Y782" s="35"/>
      <c r="Z782" s="35"/>
      <c r="AA782" s="35"/>
    </row>
    <row r="783" ht="14.25" customHeight="1">
      <c r="A783" s="136"/>
      <c r="B783" s="137"/>
      <c r="C783" s="251"/>
      <c r="D783" s="252"/>
      <c r="E783" s="136"/>
      <c r="F783" s="253"/>
      <c r="G783" s="253"/>
      <c r="H783" s="140"/>
      <c r="I783" s="141"/>
      <c r="J783" s="141"/>
      <c r="K783" s="142"/>
      <c r="L783" s="142"/>
      <c r="M783" s="142"/>
      <c r="N783" s="142"/>
      <c r="O783" s="136"/>
      <c r="P783" s="34"/>
      <c r="Q783" s="35"/>
      <c r="R783" s="35"/>
      <c r="S783" s="35"/>
      <c r="T783" s="35"/>
      <c r="U783" s="35"/>
      <c r="V783" s="35"/>
      <c r="W783" s="35"/>
      <c r="X783" s="35"/>
      <c r="Y783" s="35"/>
      <c r="Z783" s="35"/>
      <c r="AA783" s="35"/>
    </row>
    <row r="784" ht="14.25" customHeight="1">
      <c r="A784" s="136"/>
      <c r="B784" s="137"/>
      <c r="C784" s="251"/>
      <c r="D784" s="252"/>
      <c r="E784" s="136"/>
      <c r="F784" s="253"/>
      <c r="G784" s="253"/>
      <c r="H784" s="140"/>
      <c r="I784" s="141"/>
      <c r="J784" s="141"/>
      <c r="K784" s="142"/>
      <c r="L784" s="142"/>
      <c r="M784" s="142"/>
      <c r="N784" s="142"/>
      <c r="O784" s="136"/>
      <c r="P784" s="34"/>
      <c r="Q784" s="35"/>
      <c r="R784" s="35"/>
      <c r="S784" s="35"/>
      <c r="T784" s="35"/>
      <c r="U784" s="35"/>
      <c r="V784" s="35"/>
      <c r="W784" s="35"/>
      <c r="X784" s="35"/>
      <c r="Y784" s="35"/>
      <c r="Z784" s="35"/>
      <c r="AA784" s="35"/>
    </row>
    <row r="785" ht="14.25" customHeight="1">
      <c r="A785" s="136"/>
      <c r="B785" s="137"/>
      <c r="C785" s="251"/>
      <c r="D785" s="252"/>
      <c r="E785" s="136"/>
      <c r="F785" s="253"/>
      <c r="G785" s="253"/>
      <c r="H785" s="140"/>
      <c r="I785" s="141"/>
      <c r="J785" s="141"/>
      <c r="K785" s="142"/>
      <c r="L785" s="142"/>
      <c r="M785" s="142"/>
      <c r="N785" s="142"/>
      <c r="O785" s="136"/>
      <c r="P785" s="34"/>
      <c r="Q785" s="35"/>
      <c r="R785" s="35"/>
      <c r="S785" s="35"/>
      <c r="T785" s="35"/>
      <c r="U785" s="35"/>
      <c r="V785" s="35"/>
      <c r="W785" s="35"/>
      <c r="X785" s="35"/>
      <c r="Y785" s="35"/>
      <c r="Z785" s="35"/>
      <c r="AA785" s="35"/>
    </row>
    <row r="786" ht="14.25" customHeight="1">
      <c r="A786" s="136"/>
      <c r="B786" s="137"/>
      <c r="C786" s="251"/>
      <c r="D786" s="252"/>
      <c r="E786" s="136"/>
      <c r="F786" s="253"/>
      <c r="G786" s="253"/>
      <c r="H786" s="140"/>
      <c r="I786" s="141"/>
      <c r="J786" s="141"/>
      <c r="K786" s="142"/>
      <c r="L786" s="142"/>
      <c r="M786" s="142"/>
      <c r="N786" s="142"/>
      <c r="O786" s="136"/>
      <c r="P786" s="34"/>
      <c r="Q786" s="35"/>
      <c r="R786" s="35"/>
      <c r="S786" s="35"/>
      <c r="T786" s="35"/>
      <c r="U786" s="35"/>
      <c r="V786" s="35"/>
      <c r="W786" s="35"/>
      <c r="X786" s="35"/>
      <c r="Y786" s="35"/>
      <c r="Z786" s="35"/>
      <c r="AA786" s="35"/>
    </row>
    <row r="787" ht="14.25" customHeight="1">
      <c r="A787" s="136"/>
      <c r="B787" s="137"/>
      <c r="C787" s="251"/>
      <c r="D787" s="252"/>
      <c r="E787" s="136"/>
      <c r="F787" s="253"/>
      <c r="G787" s="253"/>
      <c r="H787" s="140"/>
      <c r="I787" s="141"/>
      <c r="J787" s="141"/>
      <c r="K787" s="142"/>
      <c r="L787" s="142"/>
      <c r="M787" s="142"/>
      <c r="N787" s="142"/>
      <c r="O787" s="136"/>
      <c r="P787" s="34"/>
      <c r="Q787" s="35"/>
      <c r="R787" s="35"/>
      <c r="S787" s="35"/>
      <c r="T787" s="35"/>
      <c r="U787" s="35"/>
      <c r="V787" s="35"/>
      <c r="W787" s="35"/>
      <c r="X787" s="35"/>
      <c r="Y787" s="35"/>
      <c r="Z787" s="35"/>
      <c r="AA787" s="35"/>
    </row>
    <row r="788" ht="14.25" customHeight="1">
      <c r="A788" s="136"/>
      <c r="B788" s="137"/>
      <c r="C788" s="251"/>
      <c r="D788" s="252"/>
      <c r="E788" s="136"/>
      <c r="F788" s="253"/>
      <c r="G788" s="253"/>
      <c r="H788" s="140"/>
      <c r="I788" s="141"/>
      <c r="J788" s="141"/>
      <c r="K788" s="142"/>
      <c r="L788" s="142"/>
      <c r="M788" s="142"/>
      <c r="N788" s="142"/>
      <c r="O788" s="136"/>
      <c r="P788" s="34"/>
      <c r="Q788" s="35"/>
      <c r="R788" s="35"/>
      <c r="S788" s="35"/>
      <c r="T788" s="35"/>
      <c r="U788" s="35"/>
      <c r="V788" s="35"/>
      <c r="W788" s="35"/>
      <c r="X788" s="35"/>
      <c r="Y788" s="35"/>
      <c r="Z788" s="35"/>
      <c r="AA788" s="35"/>
    </row>
    <row r="789" ht="14.25" customHeight="1">
      <c r="A789" s="136"/>
      <c r="B789" s="137"/>
      <c r="C789" s="251"/>
      <c r="D789" s="252"/>
      <c r="E789" s="136"/>
      <c r="F789" s="253"/>
      <c r="G789" s="253"/>
      <c r="H789" s="140"/>
      <c r="I789" s="141"/>
      <c r="J789" s="141"/>
      <c r="K789" s="142"/>
      <c r="L789" s="142"/>
      <c r="M789" s="142"/>
      <c r="N789" s="142"/>
      <c r="O789" s="136"/>
      <c r="P789" s="34"/>
      <c r="Q789" s="35"/>
      <c r="R789" s="35"/>
      <c r="S789" s="35"/>
      <c r="T789" s="35"/>
      <c r="U789" s="35"/>
      <c r="V789" s="35"/>
      <c r="W789" s="35"/>
      <c r="X789" s="35"/>
      <c r="Y789" s="35"/>
      <c r="Z789" s="35"/>
      <c r="AA789" s="35"/>
    </row>
    <row r="790" ht="14.25" customHeight="1">
      <c r="A790" s="136"/>
      <c r="B790" s="137"/>
      <c r="C790" s="251"/>
      <c r="D790" s="252"/>
      <c r="E790" s="136"/>
      <c r="F790" s="253"/>
      <c r="G790" s="253"/>
      <c r="H790" s="140"/>
      <c r="I790" s="141"/>
      <c r="J790" s="141"/>
      <c r="K790" s="142"/>
      <c r="L790" s="142"/>
      <c r="M790" s="142"/>
      <c r="N790" s="142"/>
      <c r="O790" s="136"/>
      <c r="P790" s="34"/>
      <c r="Q790" s="35"/>
      <c r="R790" s="35"/>
      <c r="S790" s="35"/>
      <c r="T790" s="35"/>
      <c r="U790" s="35"/>
      <c r="V790" s="35"/>
      <c r="W790" s="35"/>
      <c r="X790" s="35"/>
      <c r="Y790" s="35"/>
      <c r="Z790" s="35"/>
      <c r="AA790" s="35"/>
    </row>
    <row r="791" ht="14.25" customHeight="1">
      <c r="A791" s="136"/>
      <c r="B791" s="137"/>
      <c r="C791" s="251"/>
      <c r="D791" s="252"/>
      <c r="E791" s="136"/>
      <c r="F791" s="253"/>
      <c r="G791" s="253"/>
      <c r="H791" s="140"/>
      <c r="I791" s="141"/>
      <c r="J791" s="141"/>
      <c r="K791" s="142"/>
      <c r="L791" s="142"/>
      <c r="M791" s="142"/>
      <c r="N791" s="142"/>
      <c r="O791" s="136"/>
      <c r="P791" s="34"/>
      <c r="Q791" s="35"/>
      <c r="R791" s="35"/>
      <c r="S791" s="35"/>
      <c r="T791" s="35"/>
      <c r="U791" s="35"/>
      <c r="V791" s="35"/>
      <c r="W791" s="35"/>
      <c r="X791" s="35"/>
      <c r="Y791" s="35"/>
      <c r="Z791" s="35"/>
      <c r="AA791" s="35"/>
    </row>
    <row r="792" ht="14.25" customHeight="1">
      <c r="A792" s="136"/>
      <c r="B792" s="137"/>
      <c r="C792" s="251"/>
      <c r="D792" s="252"/>
      <c r="E792" s="136"/>
      <c r="F792" s="253"/>
      <c r="G792" s="253"/>
      <c r="H792" s="140"/>
      <c r="I792" s="141"/>
      <c r="J792" s="141"/>
      <c r="K792" s="142"/>
      <c r="L792" s="142"/>
      <c r="M792" s="142"/>
      <c r="N792" s="142"/>
      <c r="O792" s="136"/>
      <c r="P792" s="34"/>
      <c r="Q792" s="35"/>
      <c r="R792" s="35"/>
      <c r="S792" s="35"/>
      <c r="T792" s="35"/>
      <c r="U792" s="35"/>
      <c r="V792" s="35"/>
      <c r="W792" s="35"/>
      <c r="X792" s="35"/>
      <c r="Y792" s="35"/>
      <c r="Z792" s="35"/>
      <c r="AA792" s="35"/>
    </row>
    <row r="793" ht="14.25" customHeight="1">
      <c r="A793" s="136"/>
      <c r="B793" s="137"/>
      <c r="C793" s="251"/>
      <c r="D793" s="252"/>
      <c r="E793" s="136"/>
      <c r="F793" s="253"/>
      <c r="G793" s="253"/>
      <c r="H793" s="140"/>
      <c r="I793" s="141"/>
      <c r="J793" s="141"/>
      <c r="K793" s="142"/>
      <c r="L793" s="142"/>
      <c r="M793" s="142"/>
      <c r="N793" s="142"/>
      <c r="O793" s="136"/>
      <c r="P793" s="34"/>
      <c r="Q793" s="35"/>
      <c r="R793" s="35"/>
      <c r="S793" s="35"/>
      <c r="T793" s="35"/>
      <c r="U793" s="35"/>
      <c r="V793" s="35"/>
      <c r="W793" s="35"/>
      <c r="X793" s="35"/>
      <c r="Y793" s="35"/>
      <c r="Z793" s="35"/>
      <c r="AA793" s="35"/>
    </row>
    <row r="794" ht="14.25" customHeight="1">
      <c r="A794" s="136"/>
      <c r="B794" s="137"/>
      <c r="C794" s="251"/>
      <c r="D794" s="252"/>
      <c r="E794" s="136"/>
      <c r="F794" s="253"/>
      <c r="G794" s="253"/>
      <c r="H794" s="140"/>
      <c r="I794" s="141"/>
      <c r="J794" s="141"/>
      <c r="K794" s="142"/>
      <c r="L794" s="142"/>
      <c r="M794" s="142"/>
      <c r="N794" s="142"/>
      <c r="O794" s="136"/>
      <c r="P794" s="34"/>
      <c r="Q794" s="35"/>
      <c r="R794" s="35"/>
      <c r="S794" s="35"/>
      <c r="T794" s="35"/>
      <c r="U794" s="35"/>
      <c r="V794" s="35"/>
      <c r="W794" s="35"/>
      <c r="X794" s="35"/>
      <c r="Y794" s="35"/>
      <c r="Z794" s="35"/>
      <c r="AA794" s="35"/>
    </row>
    <row r="795" ht="14.25" customHeight="1">
      <c r="A795" s="136"/>
      <c r="B795" s="137"/>
      <c r="C795" s="251"/>
      <c r="D795" s="252"/>
      <c r="E795" s="136"/>
      <c r="F795" s="253"/>
      <c r="G795" s="253"/>
      <c r="H795" s="140"/>
      <c r="I795" s="141"/>
      <c r="J795" s="141"/>
      <c r="K795" s="142"/>
      <c r="L795" s="142"/>
      <c r="M795" s="142"/>
      <c r="N795" s="142"/>
      <c r="O795" s="136"/>
      <c r="P795" s="34"/>
      <c r="Q795" s="35"/>
      <c r="R795" s="35"/>
      <c r="S795" s="35"/>
      <c r="T795" s="35"/>
      <c r="U795" s="35"/>
      <c r="V795" s="35"/>
      <c r="W795" s="35"/>
      <c r="X795" s="35"/>
      <c r="Y795" s="35"/>
      <c r="Z795" s="35"/>
      <c r="AA795" s="35"/>
    </row>
    <row r="796" ht="14.25" customHeight="1">
      <c r="A796" s="136"/>
      <c r="B796" s="137"/>
      <c r="C796" s="251"/>
      <c r="D796" s="252"/>
      <c r="E796" s="136"/>
      <c r="F796" s="253"/>
      <c r="G796" s="253"/>
      <c r="H796" s="140"/>
      <c r="I796" s="141"/>
      <c r="J796" s="141"/>
      <c r="K796" s="142"/>
      <c r="L796" s="142"/>
      <c r="M796" s="142"/>
      <c r="N796" s="142"/>
      <c r="O796" s="136"/>
      <c r="P796" s="34"/>
      <c r="Q796" s="35"/>
      <c r="R796" s="35"/>
      <c r="S796" s="35"/>
      <c r="T796" s="35"/>
      <c r="U796" s="35"/>
      <c r="V796" s="35"/>
      <c r="W796" s="35"/>
      <c r="X796" s="35"/>
      <c r="Y796" s="35"/>
      <c r="Z796" s="35"/>
      <c r="AA796" s="35"/>
    </row>
    <row r="797" ht="14.25" customHeight="1">
      <c r="A797" s="136"/>
      <c r="B797" s="137"/>
      <c r="C797" s="251"/>
      <c r="D797" s="252"/>
      <c r="E797" s="136"/>
      <c r="F797" s="253"/>
      <c r="G797" s="253"/>
      <c r="H797" s="140"/>
      <c r="I797" s="141"/>
      <c r="J797" s="141"/>
      <c r="K797" s="142"/>
      <c r="L797" s="142"/>
      <c r="M797" s="142"/>
      <c r="N797" s="142"/>
      <c r="O797" s="136"/>
      <c r="P797" s="34"/>
      <c r="Q797" s="35"/>
      <c r="R797" s="35"/>
      <c r="S797" s="35"/>
      <c r="T797" s="35"/>
      <c r="U797" s="35"/>
      <c r="V797" s="35"/>
      <c r="W797" s="35"/>
      <c r="X797" s="35"/>
      <c r="Y797" s="35"/>
      <c r="Z797" s="35"/>
      <c r="AA797" s="35"/>
    </row>
    <row r="798" ht="14.25" customHeight="1">
      <c r="A798" s="136"/>
      <c r="B798" s="137"/>
      <c r="C798" s="251"/>
      <c r="D798" s="252"/>
      <c r="E798" s="136"/>
      <c r="F798" s="253"/>
      <c r="G798" s="253"/>
      <c r="H798" s="140"/>
      <c r="I798" s="141"/>
      <c r="J798" s="141"/>
      <c r="K798" s="142"/>
      <c r="L798" s="142"/>
      <c r="M798" s="142"/>
      <c r="N798" s="142"/>
      <c r="O798" s="136"/>
      <c r="P798" s="34"/>
      <c r="Q798" s="35"/>
      <c r="R798" s="35"/>
      <c r="S798" s="35"/>
      <c r="T798" s="35"/>
      <c r="U798" s="35"/>
      <c r="V798" s="35"/>
      <c r="W798" s="35"/>
      <c r="X798" s="35"/>
      <c r="Y798" s="35"/>
      <c r="Z798" s="35"/>
      <c r="AA798" s="35"/>
    </row>
    <row r="799" ht="14.25" customHeight="1">
      <c r="A799" s="136"/>
      <c r="B799" s="137"/>
      <c r="C799" s="251"/>
      <c r="D799" s="252"/>
      <c r="E799" s="136"/>
      <c r="F799" s="253"/>
      <c r="G799" s="253"/>
      <c r="H799" s="140"/>
      <c r="I799" s="141"/>
      <c r="J799" s="141"/>
      <c r="K799" s="142"/>
      <c r="L799" s="142"/>
      <c r="M799" s="142"/>
      <c r="N799" s="142"/>
      <c r="O799" s="136"/>
      <c r="P799" s="34"/>
      <c r="Q799" s="35"/>
      <c r="R799" s="35"/>
      <c r="S799" s="35"/>
      <c r="T799" s="35"/>
      <c r="U799" s="35"/>
      <c r="V799" s="35"/>
      <c r="W799" s="35"/>
      <c r="X799" s="35"/>
      <c r="Y799" s="35"/>
      <c r="Z799" s="35"/>
      <c r="AA799" s="35"/>
    </row>
    <row r="800" ht="14.25" customHeight="1">
      <c r="A800" s="136"/>
      <c r="B800" s="137"/>
      <c r="C800" s="251"/>
      <c r="D800" s="252"/>
      <c r="E800" s="136"/>
      <c r="F800" s="253"/>
      <c r="G800" s="253"/>
      <c r="H800" s="140"/>
      <c r="I800" s="141"/>
      <c r="J800" s="141"/>
      <c r="K800" s="142"/>
      <c r="L800" s="142"/>
      <c r="M800" s="142"/>
      <c r="N800" s="142"/>
      <c r="O800" s="136"/>
      <c r="P800" s="34"/>
      <c r="Q800" s="35"/>
      <c r="R800" s="35"/>
      <c r="S800" s="35"/>
      <c r="T800" s="35"/>
      <c r="U800" s="35"/>
      <c r="V800" s="35"/>
      <c r="W800" s="35"/>
      <c r="X800" s="35"/>
      <c r="Y800" s="35"/>
      <c r="Z800" s="35"/>
      <c r="AA800" s="35"/>
    </row>
    <row r="801" ht="14.25" customHeight="1">
      <c r="A801" s="136"/>
      <c r="B801" s="137"/>
      <c r="C801" s="251"/>
      <c r="D801" s="252"/>
      <c r="E801" s="136"/>
      <c r="F801" s="253"/>
      <c r="G801" s="253"/>
      <c r="H801" s="140"/>
      <c r="I801" s="141"/>
      <c r="J801" s="141"/>
      <c r="K801" s="142"/>
      <c r="L801" s="142"/>
      <c r="M801" s="142"/>
      <c r="N801" s="142"/>
      <c r="O801" s="136"/>
      <c r="P801" s="34"/>
      <c r="Q801" s="35"/>
      <c r="R801" s="35"/>
      <c r="S801" s="35"/>
      <c r="T801" s="35"/>
      <c r="U801" s="35"/>
      <c r="V801" s="35"/>
      <c r="W801" s="35"/>
      <c r="X801" s="35"/>
      <c r="Y801" s="35"/>
      <c r="Z801" s="35"/>
      <c r="AA801" s="35"/>
    </row>
    <row r="802" ht="14.25" customHeight="1">
      <c r="A802" s="136"/>
      <c r="B802" s="137"/>
      <c r="C802" s="251"/>
      <c r="D802" s="252"/>
      <c r="E802" s="136"/>
      <c r="F802" s="253"/>
      <c r="G802" s="253"/>
      <c r="H802" s="140"/>
      <c r="I802" s="141"/>
      <c r="J802" s="141"/>
      <c r="K802" s="142"/>
      <c r="L802" s="142"/>
      <c r="M802" s="142"/>
      <c r="N802" s="142"/>
      <c r="O802" s="136"/>
      <c r="P802" s="34"/>
      <c r="Q802" s="35"/>
      <c r="R802" s="35"/>
      <c r="S802" s="35"/>
      <c r="T802" s="35"/>
      <c r="U802" s="35"/>
      <c r="V802" s="35"/>
      <c r="W802" s="35"/>
      <c r="X802" s="35"/>
      <c r="Y802" s="35"/>
      <c r="Z802" s="35"/>
      <c r="AA802" s="35"/>
    </row>
    <row r="803" ht="14.25" customHeight="1">
      <c r="A803" s="136"/>
      <c r="B803" s="137"/>
      <c r="C803" s="251"/>
      <c r="D803" s="252"/>
      <c r="E803" s="136"/>
      <c r="F803" s="253"/>
      <c r="G803" s="253"/>
      <c r="H803" s="140"/>
      <c r="I803" s="141"/>
      <c r="J803" s="141"/>
      <c r="K803" s="142"/>
      <c r="L803" s="142"/>
      <c r="M803" s="142"/>
      <c r="N803" s="142"/>
      <c r="O803" s="136"/>
      <c r="P803" s="34"/>
      <c r="Q803" s="35"/>
      <c r="R803" s="35"/>
      <c r="S803" s="35"/>
      <c r="T803" s="35"/>
      <c r="U803" s="35"/>
      <c r="V803" s="35"/>
      <c r="W803" s="35"/>
      <c r="X803" s="35"/>
      <c r="Y803" s="35"/>
      <c r="Z803" s="35"/>
      <c r="AA803" s="35"/>
    </row>
    <row r="804" ht="14.25" customHeight="1">
      <c r="A804" s="136"/>
      <c r="B804" s="137"/>
      <c r="C804" s="251"/>
      <c r="D804" s="252"/>
      <c r="E804" s="136"/>
      <c r="F804" s="253"/>
      <c r="G804" s="253"/>
      <c r="H804" s="140"/>
      <c r="I804" s="141"/>
      <c r="J804" s="141"/>
      <c r="K804" s="142"/>
      <c r="L804" s="142"/>
      <c r="M804" s="142"/>
      <c r="N804" s="142"/>
      <c r="O804" s="136"/>
      <c r="P804" s="34"/>
      <c r="Q804" s="35"/>
      <c r="R804" s="35"/>
      <c r="S804" s="35"/>
      <c r="T804" s="35"/>
      <c r="U804" s="35"/>
      <c r="V804" s="35"/>
      <c r="W804" s="35"/>
      <c r="X804" s="35"/>
      <c r="Y804" s="35"/>
      <c r="Z804" s="35"/>
      <c r="AA804" s="35"/>
    </row>
    <row r="805" ht="14.25" customHeight="1">
      <c r="A805" s="136"/>
      <c r="B805" s="137"/>
      <c r="C805" s="251"/>
      <c r="D805" s="252"/>
      <c r="E805" s="136"/>
      <c r="F805" s="253"/>
      <c r="G805" s="253"/>
      <c r="H805" s="140"/>
      <c r="I805" s="141"/>
      <c r="J805" s="141"/>
      <c r="K805" s="142"/>
      <c r="L805" s="142"/>
      <c r="M805" s="142"/>
      <c r="N805" s="142"/>
      <c r="O805" s="136"/>
      <c r="P805" s="34"/>
      <c r="Q805" s="35"/>
      <c r="R805" s="35"/>
      <c r="S805" s="35"/>
      <c r="T805" s="35"/>
      <c r="U805" s="35"/>
      <c r="V805" s="35"/>
      <c r="W805" s="35"/>
      <c r="X805" s="35"/>
      <c r="Y805" s="35"/>
      <c r="Z805" s="35"/>
      <c r="AA805" s="35"/>
    </row>
    <row r="806" ht="14.25" customHeight="1">
      <c r="A806" s="136"/>
      <c r="B806" s="137"/>
      <c r="C806" s="251"/>
      <c r="D806" s="252"/>
      <c r="E806" s="136"/>
      <c r="F806" s="253"/>
      <c r="G806" s="253"/>
      <c r="H806" s="140"/>
      <c r="I806" s="141"/>
      <c r="J806" s="141"/>
      <c r="K806" s="142"/>
      <c r="L806" s="142"/>
      <c r="M806" s="142"/>
      <c r="N806" s="142"/>
      <c r="O806" s="136"/>
      <c r="P806" s="34"/>
      <c r="Q806" s="35"/>
      <c r="R806" s="35"/>
      <c r="S806" s="35"/>
      <c r="T806" s="35"/>
      <c r="U806" s="35"/>
      <c r="V806" s="35"/>
      <c r="W806" s="35"/>
      <c r="X806" s="35"/>
      <c r="Y806" s="35"/>
      <c r="Z806" s="35"/>
      <c r="AA806" s="35"/>
    </row>
    <row r="807" ht="14.25" customHeight="1">
      <c r="A807" s="136"/>
      <c r="B807" s="137"/>
      <c r="C807" s="251"/>
      <c r="D807" s="252"/>
      <c r="E807" s="136"/>
      <c r="F807" s="253"/>
      <c r="G807" s="253"/>
      <c r="H807" s="140"/>
      <c r="I807" s="141"/>
      <c r="J807" s="141"/>
      <c r="K807" s="142"/>
      <c r="L807" s="142"/>
      <c r="M807" s="142"/>
      <c r="N807" s="142"/>
      <c r="O807" s="136"/>
      <c r="P807" s="34"/>
      <c r="Q807" s="35"/>
      <c r="R807" s="35"/>
      <c r="S807" s="35"/>
      <c r="T807" s="35"/>
      <c r="U807" s="35"/>
      <c r="V807" s="35"/>
      <c r="W807" s="35"/>
      <c r="X807" s="35"/>
      <c r="Y807" s="35"/>
      <c r="Z807" s="35"/>
      <c r="AA807" s="35"/>
    </row>
    <row r="808" ht="14.25" customHeight="1">
      <c r="A808" s="136"/>
      <c r="B808" s="137"/>
      <c r="C808" s="251"/>
      <c r="D808" s="252"/>
      <c r="E808" s="136"/>
      <c r="F808" s="253"/>
      <c r="G808" s="253"/>
      <c r="H808" s="140"/>
      <c r="I808" s="141"/>
      <c r="J808" s="141"/>
      <c r="K808" s="142"/>
      <c r="L808" s="142"/>
      <c r="M808" s="142"/>
      <c r="N808" s="142"/>
      <c r="O808" s="136"/>
      <c r="P808" s="34"/>
      <c r="Q808" s="35"/>
      <c r="R808" s="35"/>
      <c r="S808" s="35"/>
      <c r="T808" s="35"/>
      <c r="U808" s="35"/>
      <c r="V808" s="35"/>
      <c r="W808" s="35"/>
      <c r="X808" s="35"/>
      <c r="Y808" s="35"/>
      <c r="Z808" s="35"/>
      <c r="AA808" s="35"/>
    </row>
    <row r="809" ht="14.25" customHeight="1">
      <c r="A809" s="136"/>
      <c r="B809" s="137"/>
      <c r="C809" s="251"/>
      <c r="D809" s="252"/>
      <c r="E809" s="136"/>
      <c r="F809" s="253"/>
      <c r="G809" s="253"/>
      <c r="H809" s="140"/>
      <c r="I809" s="141"/>
      <c r="J809" s="141"/>
      <c r="K809" s="142"/>
      <c r="L809" s="142"/>
      <c r="M809" s="142"/>
      <c r="N809" s="142"/>
      <c r="O809" s="136"/>
      <c r="P809" s="34"/>
      <c r="Q809" s="35"/>
      <c r="R809" s="35"/>
      <c r="S809" s="35"/>
      <c r="T809" s="35"/>
      <c r="U809" s="35"/>
      <c r="V809" s="35"/>
      <c r="W809" s="35"/>
      <c r="X809" s="35"/>
      <c r="Y809" s="35"/>
      <c r="Z809" s="35"/>
      <c r="AA809" s="35"/>
    </row>
    <row r="810" ht="14.25" customHeight="1">
      <c r="A810" s="136"/>
      <c r="B810" s="137"/>
      <c r="C810" s="251"/>
      <c r="D810" s="252"/>
      <c r="E810" s="136"/>
      <c r="F810" s="253"/>
      <c r="G810" s="253"/>
      <c r="H810" s="140"/>
      <c r="I810" s="141"/>
      <c r="J810" s="141"/>
      <c r="K810" s="142"/>
      <c r="L810" s="142"/>
      <c r="M810" s="142"/>
      <c r="N810" s="142"/>
      <c r="O810" s="136"/>
      <c r="P810" s="34"/>
      <c r="Q810" s="35"/>
      <c r="R810" s="35"/>
      <c r="S810" s="35"/>
      <c r="T810" s="35"/>
      <c r="U810" s="35"/>
      <c r="V810" s="35"/>
      <c r="W810" s="35"/>
      <c r="X810" s="35"/>
      <c r="Y810" s="35"/>
      <c r="Z810" s="35"/>
      <c r="AA810" s="35"/>
    </row>
    <row r="811" ht="14.25" customHeight="1">
      <c r="A811" s="136"/>
      <c r="B811" s="137"/>
      <c r="C811" s="251"/>
      <c r="D811" s="252"/>
      <c r="E811" s="136"/>
      <c r="F811" s="253"/>
      <c r="G811" s="253"/>
      <c r="H811" s="140"/>
      <c r="I811" s="141"/>
      <c r="J811" s="141"/>
      <c r="K811" s="142"/>
      <c r="L811" s="142"/>
      <c r="M811" s="142"/>
      <c r="N811" s="142"/>
      <c r="O811" s="136"/>
      <c r="P811" s="34"/>
      <c r="Q811" s="35"/>
      <c r="R811" s="35"/>
      <c r="S811" s="35"/>
      <c r="T811" s="35"/>
      <c r="U811" s="35"/>
      <c r="V811" s="35"/>
      <c r="W811" s="35"/>
      <c r="X811" s="35"/>
      <c r="Y811" s="35"/>
      <c r="Z811" s="35"/>
      <c r="AA811" s="35"/>
    </row>
    <row r="812" ht="14.25" customHeight="1">
      <c r="A812" s="136"/>
      <c r="B812" s="137"/>
      <c r="C812" s="251"/>
      <c r="D812" s="252"/>
      <c r="E812" s="136"/>
      <c r="F812" s="253"/>
      <c r="G812" s="253"/>
      <c r="H812" s="140"/>
      <c r="I812" s="141"/>
      <c r="J812" s="141"/>
      <c r="K812" s="142"/>
      <c r="L812" s="142"/>
      <c r="M812" s="142"/>
      <c r="N812" s="142"/>
      <c r="O812" s="136"/>
      <c r="P812" s="34"/>
      <c r="Q812" s="35"/>
      <c r="R812" s="35"/>
      <c r="S812" s="35"/>
      <c r="T812" s="35"/>
      <c r="U812" s="35"/>
      <c r="V812" s="35"/>
      <c r="W812" s="35"/>
      <c r="X812" s="35"/>
      <c r="Y812" s="35"/>
      <c r="Z812" s="35"/>
      <c r="AA812" s="35"/>
    </row>
    <row r="813" ht="14.25" customHeight="1">
      <c r="A813" s="136"/>
      <c r="B813" s="137"/>
      <c r="C813" s="251"/>
      <c r="D813" s="252"/>
      <c r="E813" s="136"/>
      <c r="F813" s="253"/>
      <c r="G813" s="253"/>
      <c r="H813" s="140"/>
      <c r="I813" s="141"/>
      <c r="J813" s="141"/>
      <c r="K813" s="142"/>
      <c r="L813" s="142"/>
      <c r="M813" s="142"/>
      <c r="N813" s="142"/>
      <c r="O813" s="136"/>
      <c r="P813" s="34"/>
      <c r="Q813" s="35"/>
      <c r="R813" s="35"/>
      <c r="S813" s="35"/>
      <c r="T813" s="35"/>
      <c r="U813" s="35"/>
      <c r="V813" s="35"/>
      <c r="W813" s="35"/>
      <c r="X813" s="35"/>
      <c r="Y813" s="35"/>
      <c r="Z813" s="35"/>
      <c r="AA813" s="35"/>
    </row>
    <row r="814" ht="14.25" customHeight="1">
      <c r="A814" s="136"/>
      <c r="B814" s="137"/>
      <c r="C814" s="251"/>
      <c r="D814" s="252"/>
      <c r="E814" s="136"/>
      <c r="F814" s="253"/>
      <c r="G814" s="253"/>
      <c r="H814" s="140"/>
      <c r="I814" s="141"/>
      <c r="J814" s="141"/>
      <c r="K814" s="142"/>
      <c r="L814" s="142"/>
      <c r="M814" s="142"/>
      <c r="N814" s="142"/>
      <c r="O814" s="136"/>
      <c r="P814" s="34"/>
      <c r="Q814" s="35"/>
      <c r="R814" s="35"/>
      <c r="S814" s="35"/>
      <c r="T814" s="35"/>
      <c r="U814" s="35"/>
      <c r="V814" s="35"/>
      <c r="W814" s="35"/>
      <c r="X814" s="35"/>
      <c r="Y814" s="35"/>
      <c r="Z814" s="35"/>
      <c r="AA814" s="35"/>
    </row>
    <row r="815" ht="14.25" customHeight="1">
      <c r="A815" s="136"/>
      <c r="B815" s="137"/>
      <c r="C815" s="251"/>
      <c r="D815" s="252"/>
      <c r="E815" s="136"/>
      <c r="F815" s="253"/>
      <c r="G815" s="253"/>
      <c r="H815" s="140"/>
      <c r="I815" s="141"/>
      <c r="J815" s="141"/>
      <c r="K815" s="142"/>
      <c r="L815" s="142"/>
      <c r="M815" s="142"/>
      <c r="N815" s="142"/>
      <c r="O815" s="136"/>
      <c r="P815" s="34"/>
      <c r="Q815" s="35"/>
      <c r="R815" s="35"/>
      <c r="S815" s="35"/>
      <c r="T815" s="35"/>
      <c r="U815" s="35"/>
      <c r="V815" s="35"/>
      <c r="W815" s="35"/>
      <c r="X815" s="35"/>
      <c r="Y815" s="35"/>
      <c r="Z815" s="35"/>
      <c r="AA815" s="35"/>
    </row>
    <row r="816" ht="14.25" customHeight="1">
      <c r="A816" s="136"/>
      <c r="B816" s="137"/>
      <c r="C816" s="251"/>
      <c r="D816" s="252"/>
      <c r="E816" s="136"/>
      <c r="F816" s="253"/>
      <c r="G816" s="253"/>
      <c r="H816" s="140"/>
      <c r="I816" s="141"/>
      <c r="J816" s="141"/>
      <c r="K816" s="142"/>
      <c r="L816" s="142"/>
      <c r="M816" s="142"/>
      <c r="N816" s="142"/>
      <c r="O816" s="136"/>
      <c r="P816" s="34"/>
      <c r="Q816" s="35"/>
      <c r="R816" s="35"/>
      <c r="S816" s="35"/>
      <c r="T816" s="35"/>
      <c r="U816" s="35"/>
      <c r="V816" s="35"/>
      <c r="W816" s="35"/>
      <c r="X816" s="35"/>
      <c r="Y816" s="35"/>
      <c r="Z816" s="35"/>
      <c r="AA816" s="35"/>
    </row>
    <row r="817" ht="14.25" customHeight="1">
      <c r="A817" s="136"/>
      <c r="B817" s="137"/>
      <c r="C817" s="251"/>
      <c r="D817" s="252"/>
      <c r="E817" s="136"/>
      <c r="F817" s="253"/>
      <c r="G817" s="253"/>
      <c r="H817" s="140"/>
      <c r="I817" s="141"/>
      <c r="J817" s="141"/>
      <c r="K817" s="142"/>
      <c r="L817" s="142"/>
      <c r="M817" s="142"/>
      <c r="N817" s="142"/>
      <c r="O817" s="136"/>
      <c r="P817" s="34"/>
      <c r="Q817" s="35"/>
      <c r="R817" s="35"/>
      <c r="S817" s="35"/>
      <c r="T817" s="35"/>
      <c r="U817" s="35"/>
      <c r="V817" s="35"/>
      <c r="W817" s="35"/>
      <c r="X817" s="35"/>
      <c r="Y817" s="35"/>
      <c r="Z817" s="35"/>
      <c r="AA817" s="35"/>
    </row>
    <row r="818" ht="14.25" customHeight="1">
      <c r="A818" s="136"/>
      <c r="B818" s="137"/>
      <c r="C818" s="251"/>
      <c r="D818" s="252"/>
      <c r="E818" s="136"/>
      <c r="F818" s="253"/>
      <c r="G818" s="253"/>
      <c r="H818" s="140"/>
      <c r="I818" s="141"/>
      <c r="J818" s="141"/>
      <c r="K818" s="142"/>
      <c r="L818" s="142"/>
      <c r="M818" s="142"/>
      <c r="N818" s="142"/>
      <c r="O818" s="136"/>
      <c r="P818" s="34"/>
      <c r="Q818" s="35"/>
      <c r="R818" s="35"/>
      <c r="S818" s="35"/>
      <c r="T818" s="35"/>
      <c r="U818" s="35"/>
      <c r="V818" s="35"/>
      <c r="W818" s="35"/>
      <c r="X818" s="35"/>
      <c r="Y818" s="35"/>
      <c r="Z818" s="35"/>
      <c r="AA818" s="35"/>
    </row>
    <row r="819" ht="14.25" customHeight="1">
      <c r="A819" s="136"/>
      <c r="B819" s="137"/>
      <c r="C819" s="251"/>
      <c r="D819" s="252"/>
      <c r="E819" s="136"/>
      <c r="F819" s="253"/>
      <c r="G819" s="253"/>
      <c r="H819" s="140"/>
      <c r="I819" s="141"/>
      <c r="J819" s="141"/>
      <c r="K819" s="142"/>
      <c r="L819" s="142"/>
      <c r="M819" s="142"/>
      <c r="N819" s="142"/>
      <c r="O819" s="136"/>
      <c r="P819" s="34"/>
      <c r="Q819" s="35"/>
      <c r="R819" s="35"/>
      <c r="S819" s="35"/>
      <c r="T819" s="35"/>
      <c r="U819" s="35"/>
      <c r="V819" s="35"/>
      <c r="W819" s="35"/>
      <c r="X819" s="35"/>
      <c r="Y819" s="35"/>
      <c r="Z819" s="35"/>
      <c r="AA819" s="35"/>
    </row>
    <row r="820" ht="14.25" customHeight="1">
      <c r="A820" s="136"/>
      <c r="B820" s="137"/>
      <c r="C820" s="251"/>
      <c r="D820" s="252"/>
      <c r="E820" s="136"/>
      <c r="F820" s="253"/>
      <c r="G820" s="253"/>
      <c r="H820" s="140"/>
      <c r="I820" s="141"/>
      <c r="J820" s="141"/>
      <c r="K820" s="142"/>
      <c r="L820" s="142"/>
      <c r="M820" s="142"/>
      <c r="N820" s="142"/>
      <c r="O820" s="136"/>
      <c r="P820" s="34"/>
      <c r="Q820" s="35"/>
      <c r="R820" s="35"/>
      <c r="S820" s="35"/>
      <c r="T820" s="35"/>
      <c r="U820" s="35"/>
      <c r="V820" s="35"/>
      <c r="W820" s="35"/>
      <c r="X820" s="35"/>
      <c r="Y820" s="35"/>
      <c r="Z820" s="35"/>
      <c r="AA820" s="35"/>
    </row>
    <row r="821" ht="14.25" customHeight="1">
      <c r="A821" s="136"/>
      <c r="B821" s="137"/>
      <c r="C821" s="251"/>
      <c r="D821" s="252"/>
      <c r="E821" s="136"/>
      <c r="F821" s="253"/>
      <c r="G821" s="253"/>
      <c r="H821" s="140"/>
      <c r="I821" s="141"/>
      <c r="J821" s="141"/>
      <c r="K821" s="142"/>
      <c r="L821" s="142"/>
      <c r="M821" s="142"/>
      <c r="N821" s="142"/>
      <c r="O821" s="136"/>
      <c r="P821" s="34"/>
      <c r="Q821" s="35"/>
      <c r="R821" s="35"/>
      <c r="S821" s="35"/>
      <c r="T821" s="35"/>
      <c r="U821" s="35"/>
      <c r="V821" s="35"/>
      <c r="W821" s="35"/>
      <c r="X821" s="35"/>
      <c r="Y821" s="35"/>
      <c r="Z821" s="35"/>
      <c r="AA821" s="35"/>
    </row>
    <row r="822" ht="14.25" customHeight="1">
      <c r="A822" s="136"/>
      <c r="B822" s="137"/>
      <c r="C822" s="251"/>
      <c r="D822" s="252"/>
      <c r="E822" s="136"/>
      <c r="F822" s="253"/>
      <c r="G822" s="253"/>
      <c r="H822" s="140"/>
      <c r="I822" s="141"/>
      <c r="J822" s="141"/>
      <c r="K822" s="142"/>
      <c r="L822" s="142"/>
      <c r="M822" s="142"/>
      <c r="N822" s="142"/>
      <c r="O822" s="136"/>
      <c r="P822" s="34"/>
      <c r="Q822" s="35"/>
      <c r="R822" s="35"/>
      <c r="S822" s="35"/>
      <c r="T822" s="35"/>
      <c r="U822" s="35"/>
      <c r="V822" s="35"/>
      <c r="W822" s="35"/>
      <c r="X822" s="35"/>
      <c r="Y822" s="35"/>
      <c r="Z822" s="35"/>
      <c r="AA822" s="35"/>
    </row>
    <row r="823" ht="14.25" customHeight="1">
      <c r="A823" s="136"/>
      <c r="B823" s="137"/>
      <c r="C823" s="251"/>
      <c r="D823" s="252"/>
      <c r="E823" s="136"/>
      <c r="F823" s="253"/>
      <c r="G823" s="253"/>
      <c r="H823" s="140"/>
      <c r="I823" s="141"/>
      <c r="J823" s="141"/>
      <c r="K823" s="142"/>
      <c r="L823" s="142"/>
      <c r="M823" s="142"/>
      <c r="N823" s="142"/>
      <c r="O823" s="136"/>
      <c r="P823" s="34"/>
      <c r="Q823" s="35"/>
      <c r="R823" s="35"/>
      <c r="S823" s="35"/>
      <c r="T823" s="35"/>
      <c r="U823" s="35"/>
      <c r="V823" s="35"/>
      <c r="W823" s="35"/>
      <c r="X823" s="35"/>
      <c r="Y823" s="35"/>
      <c r="Z823" s="35"/>
      <c r="AA823" s="35"/>
    </row>
    <row r="824" ht="14.25" customHeight="1">
      <c r="A824" s="136"/>
      <c r="B824" s="137"/>
      <c r="C824" s="251"/>
      <c r="D824" s="252"/>
      <c r="E824" s="136"/>
      <c r="F824" s="253"/>
      <c r="G824" s="253"/>
      <c r="H824" s="140"/>
      <c r="I824" s="141"/>
      <c r="J824" s="141"/>
      <c r="K824" s="142"/>
      <c r="L824" s="142"/>
      <c r="M824" s="142"/>
      <c r="N824" s="142"/>
      <c r="O824" s="136"/>
      <c r="P824" s="34"/>
      <c r="Q824" s="35"/>
      <c r="R824" s="35"/>
      <c r="S824" s="35"/>
      <c r="T824" s="35"/>
      <c r="U824" s="35"/>
      <c r="V824" s="35"/>
      <c r="W824" s="35"/>
      <c r="X824" s="35"/>
      <c r="Y824" s="35"/>
      <c r="Z824" s="35"/>
      <c r="AA824" s="35"/>
    </row>
    <row r="825" ht="14.25" customHeight="1">
      <c r="A825" s="136"/>
      <c r="B825" s="137"/>
      <c r="C825" s="251"/>
      <c r="D825" s="252"/>
      <c r="E825" s="136"/>
      <c r="F825" s="253"/>
      <c r="G825" s="253"/>
      <c r="H825" s="140"/>
      <c r="I825" s="141"/>
      <c r="J825" s="141"/>
      <c r="K825" s="142"/>
      <c r="L825" s="142"/>
      <c r="M825" s="142"/>
      <c r="N825" s="142"/>
      <c r="O825" s="136"/>
      <c r="P825" s="34"/>
      <c r="Q825" s="35"/>
      <c r="R825" s="35"/>
      <c r="S825" s="35"/>
      <c r="T825" s="35"/>
      <c r="U825" s="35"/>
      <c r="V825" s="35"/>
      <c r="W825" s="35"/>
      <c r="X825" s="35"/>
      <c r="Y825" s="35"/>
      <c r="Z825" s="35"/>
      <c r="AA825" s="35"/>
    </row>
    <row r="826" ht="14.25" customHeight="1">
      <c r="A826" s="136"/>
      <c r="B826" s="137"/>
      <c r="C826" s="251"/>
      <c r="D826" s="252"/>
      <c r="E826" s="136"/>
      <c r="F826" s="253"/>
      <c r="G826" s="253"/>
      <c r="H826" s="140"/>
      <c r="I826" s="141"/>
      <c r="J826" s="141"/>
      <c r="K826" s="142"/>
      <c r="L826" s="142"/>
      <c r="M826" s="142"/>
      <c r="N826" s="142"/>
      <c r="O826" s="136"/>
      <c r="P826" s="34"/>
      <c r="Q826" s="35"/>
      <c r="R826" s="35"/>
      <c r="S826" s="35"/>
      <c r="T826" s="35"/>
      <c r="U826" s="35"/>
      <c r="V826" s="35"/>
      <c r="W826" s="35"/>
      <c r="X826" s="35"/>
      <c r="Y826" s="35"/>
      <c r="Z826" s="35"/>
      <c r="AA826" s="35"/>
    </row>
    <row r="827" ht="14.25" customHeight="1">
      <c r="A827" s="136"/>
      <c r="B827" s="137"/>
      <c r="C827" s="251"/>
      <c r="D827" s="252"/>
      <c r="E827" s="136"/>
      <c r="F827" s="253"/>
      <c r="G827" s="253"/>
      <c r="H827" s="140"/>
      <c r="I827" s="141"/>
      <c r="J827" s="141"/>
      <c r="K827" s="142"/>
      <c r="L827" s="142"/>
      <c r="M827" s="142"/>
      <c r="N827" s="142"/>
      <c r="O827" s="136"/>
      <c r="P827" s="34"/>
      <c r="Q827" s="35"/>
      <c r="R827" s="35"/>
      <c r="S827" s="35"/>
      <c r="T827" s="35"/>
      <c r="U827" s="35"/>
      <c r="V827" s="35"/>
      <c r="W827" s="35"/>
      <c r="X827" s="35"/>
      <c r="Y827" s="35"/>
      <c r="Z827" s="35"/>
      <c r="AA827" s="35"/>
    </row>
    <row r="828" ht="14.25" customHeight="1">
      <c r="A828" s="136"/>
      <c r="B828" s="137"/>
      <c r="C828" s="251"/>
      <c r="D828" s="252"/>
      <c r="E828" s="136"/>
      <c r="F828" s="253"/>
      <c r="G828" s="253"/>
      <c r="H828" s="140"/>
      <c r="I828" s="141"/>
      <c r="J828" s="141"/>
      <c r="K828" s="142"/>
      <c r="L828" s="142"/>
      <c r="M828" s="142"/>
      <c r="N828" s="142"/>
      <c r="O828" s="136"/>
      <c r="P828" s="34"/>
      <c r="Q828" s="35"/>
      <c r="R828" s="35"/>
      <c r="S828" s="35"/>
      <c r="T828" s="35"/>
      <c r="U828" s="35"/>
      <c r="V828" s="35"/>
      <c r="W828" s="35"/>
      <c r="X828" s="35"/>
      <c r="Y828" s="35"/>
      <c r="Z828" s="35"/>
      <c r="AA828" s="35"/>
    </row>
    <row r="829" ht="14.25" customHeight="1">
      <c r="A829" s="136"/>
      <c r="B829" s="137"/>
      <c r="C829" s="251"/>
      <c r="D829" s="252"/>
      <c r="E829" s="136"/>
      <c r="F829" s="253"/>
      <c r="G829" s="253"/>
      <c r="H829" s="140"/>
      <c r="I829" s="141"/>
      <c r="J829" s="141"/>
      <c r="K829" s="142"/>
      <c r="L829" s="142"/>
      <c r="M829" s="142"/>
      <c r="N829" s="142"/>
      <c r="O829" s="136"/>
      <c r="P829" s="34"/>
      <c r="Q829" s="35"/>
      <c r="R829" s="35"/>
      <c r="S829" s="35"/>
      <c r="T829" s="35"/>
      <c r="U829" s="35"/>
      <c r="V829" s="35"/>
      <c r="W829" s="35"/>
      <c r="X829" s="35"/>
      <c r="Y829" s="35"/>
      <c r="Z829" s="35"/>
      <c r="AA829" s="35"/>
    </row>
    <row r="830" ht="14.25" customHeight="1">
      <c r="A830" s="136"/>
      <c r="B830" s="137"/>
      <c r="C830" s="251"/>
      <c r="D830" s="252"/>
      <c r="E830" s="136"/>
      <c r="F830" s="253"/>
      <c r="G830" s="253"/>
      <c r="H830" s="140"/>
      <c r="I830" s="141"/>
      <c r="J830" s="141"/>
      <c r="K830" s="142"/>
      <c r="L830" s="142"/>
      <c r="M830" s="142"/>
      <c r="N830" s="142"/>
      <c r="O830" s="136"/>
      <c r="P830" s="34"/>
      <c r="Q830" s="35"/>
      <c r="R830" s="35"/>
      <c r="S830" s="35"/>
      <c r="T830" s="35"/>
      <c r="U830" s="35"/>
      <c r="V830" s="35"/>
      <c r="W830" s="35"/>
      <c r="X830" s="35"/>
      <c r="Y830" s="35"/>
      <c r="Z830" s="35"/>
      <c r="AA830" s="35"/>
    </row>
    <row r="831" ht="14.25" customHeight="1">
      <c r="A831" s="136"/>
      <c r="B831" s="137"/>
      <c r="C831" s="251"/>
      <c r="D831" s="252"/>
      <c r="E831" s="136"/>
      <c r="F831" s="253"/>
      <c r="G831" s="253"/>
      <c r="H831" s="140"/>
      <c r="I831" s="141"/>
      <c r="J831" s="141"/>
      <c r="K831" s="142"/>
      <c r="L831" s="142"/>
      <c r="M831" s="142"/>
      <c r="N831" s="142"/>
      <c r="O831" s="136"/>
      <c r="P831" s="34"/>
      <c r="Q831" s="35"/>
      <c r="R831" s="35"/>
      <c r="S831" s="35"/>
      <c r="T831" s="35"/>
      <c r="U831" s="35"/>
      <c r="V831" s="35"/>
      <c r="W831" s="35"/>
      <c r="X831" s="35"/>
      <c r="Y831" s="35"/>
      <c r="Z831" s="35"/>
      <c r="AA831" s="35"/>
    </row>
    <row r="832" ht="14.25" customHeight="1">
      <c r="A832" s="136"/>
      <c r="B832" s="137"/>
      <c r="C832" s="251"/>
      <c r="D832" s="252"/>
      <c r="E832" s="136"/>
      <c r="F832" s="253"/>
      <c r="G832" s="253"/>
      <c r="H832" s="140"/>
      <c r="I832" s="141"/>
      <c r="J832" s="141"/>
      <c r="K832" s="142"/>
      <c r="L832" s="142"/>
      <c r="M832" s="142"/>
      <c r="N832" s="142"/>
      <c r="O832" s="136"/>
      <c r="P832" s="34"/>
      <c r="Q832" s="35"/>
      <c r="R832" s="35"/>
      <c r="S832" s="35"/>
      <c r="T832" s="35"/>
      <c r="U832" s="35"/>
      <c r="V832" s="35"/>
      <c r="W832" s="35"/>
      <c r="X832" s="35"/>
      <c r="Y832" s="35"/>
      <c r="Z832" s="35"/>
      <c r="AA832" s="35"/>
    </row>
    <row r="833" ht="14.25" customHeight="1">
      <c r="A833" s="136"/>
      <c r="B833" s="137"/>
      <c r="C833" s="251"/>
      <c r="D833" s="252"/>
      <c r="E833" s="136"/>
      <c r="F833" s="253"/>
      <c r="G833" s="253"/>
      <c r="H833" s="140"/>
      <c r="I833" s="141"/>
      <c r="J833" s="141"/>
      <c r="K833" s="142"/>
      <c r="L833" s="142"/>
      <c r="M833" s="142"/>
      <c r="N833" s="142"/>
      <c r="O833" s="136"/>
      <c r="P833" s="34"/>
      <c r="Q833" s="35"/>
      <c r="R833" s="35"/>
      <c r="S833" s="35"/>
      <c r="T833" s="35"/>
      <c r="U833" s="35"/>
      <c r="V833" s="35"/>
      <c r="W833" s="35"/>
      <c r="X833" s="35"/>
      <c r="Y833" s="35"/>
      <c r="Z833" s="35"/>
      <c r="AA833" s="35"/>
    </row>
    <row r="834" ht="14.25" customHeight="1">
      <c r="A834" s="136"/>
      <c r="B834" s="137"/>
      <c r="C834" s="251"/>
      <c r="D834" s="252"/>
      <c r="E834" s="136"/>
      <c r="F834" s="253"/>
      <c r="G834" s="253"/>
      <c r="H834" s="140"/>
      <c r="I834" s="141"/>
      <c r="J834" s="141"/>
      <c r="K834" s="142"/>
      <c r="L834" s="142"/>
      <c r="M834" s="142"/>
      <c r="N834" s="142"/>
      <c r="O834" s="136"/>
      <c r="P834" s="34"/>
      <c r="Q834" s="35"/>
      <c r="R834" s="35"/>
      <c r="S834" s="35"/>
      <c r="T834" s="35"/>
      <c r="U834" s="35"/>
      <c r="V834" s="35"/>
      <c r="W834" s="35"/>
      <c r="X834" s="35"/>
      <c r="Y834" s="35"/>
      <c r="Z834" s="35"/>
      <c r="AA834" s="35"/>
    </row>
    <row r="835" ht="14.25" customHeight="1">
      <c r="A835" s="136"/>
      <c r="B835" s="137"/>
      <c r="C835" s="251"/>
      <c r="D835" s="252"/>
      <c r="E835" s="136"/>
      <c r="F835" s="253"/>
      <c r="G835" s="253"/>
      <c r="H835" s="140"/>
      <c r="I835" s="141"/>
      <c r="J835" s="141"/>
      <c r="K835" s="142"/>
      <c r="L835" s="142"/>
      <c r="M835" s="142"/>
      <c r="N835" s="142"/>
      <c r="O835" s="136"/>
      <c r="P835" s="34"/>
      <c r="Q835" s="35"/>
      <c r="R835" s="35"/>
      <c r="S835" s="35"/>
      <c r="T835" s="35"/>
      <c r="U835" s="35"/>
      <c r="V835" s="35"/>
      <c r="W835" s="35"/>
      <c r="X835" s="35"/>
      <c r="Y835" s="35"/>
      <c r="Z835" s="35"/>
      <c r="AA835" s="35"/>
    </row>
    <row r="836" ht="14.25" customHeight="1">
      <c r="A836" s="136"/>
      <c r="B836" s="137"/>
      <c r="C836" s="251"/>
      <c r="D836" s="252"/>
      <c r="E836" s="136"/>
      <c r="F836" s="253"/>
      <c r="G836" s="253"/>
      <c r="H836" s="140"/>
      <c r="I836" s="141"/>
      <c r="J836" s="141"/>
      <c r="K836" s="142"/>
      <c r="L836" s="142"/>
      <c r="M836" s="142"/>
      <c r="N836" s="142"/>
      <c r="O836" s="136"/>
      <c r="P836" s="34"/>
      <c r="Q836" s="35"/>
      <c r="R836" s="35"/>
      <c r="S836" s="35"/>
      <c r="T836" s="35"/>
      <c r="U836" s="35"/>
      <c r="V836" s="35"/>
      <c r="W836" s="35"/>
      <c r="X836" s="35"/>
      <c r="Y836" s="35"/>
      <c r="Z836" s="35"/>
      <c r="AA836" s="35"/>
    </row>
    <row r="837" ht="14.25" customHeight="1">
      <c r="A837" s="136"/>
      <c r="B837" s="137"/>
      <c r="C837" s="251"/>
      <c r="D837" s="252"/>
      <c r="E837" s="136"/>
      <c r="F837" s="253"/>
      <c r="G837" s="253"/>
      <c r="H837" s="140"/>
      <c r="I837" s="141"/>
      <c r="J837" s="141"/>
      <c r="K837" s="142"/>
      <c r="L837" s="142"/>
      <c r="M837" s="142"/>
      <c r="N837" s="142"/>
      <c r="O837" s="136"/>
      <c r="P837" s="34"/>
      <c r="Q837" s="35"/>
      <c r="R837" s="35"/>
      <c r="S837" s="35"/>
      <c r="T837" s="35"/>
      <c r="U837" s="35"/>
      <c r="V837" s="35"/>
      <c r="W837" s="35"/>
      <c r="X837" s="35"/>
      <c r="Y837" s="35"/>
      <c r="Z837" s="35"/>
      <c r="AA837" s="35"/>
    </row>
    <row r="838" ht="14.25" customHeight="1">
      <c r="A838" s="136"/>
      <c r="B838" s="137"/>
      <c r="C838" s="251"/>
      <c r="D838" s="252"/>
      <c r="E838" s="136"/>
      <c r="F838" s="253"/>
      <c r="G838" s="253"/>
      <c r="H838" s="140"/>
      <c r="I838" s="141"/>
      <c r="J838" s="141"/>
      <c r="K838" s="142"/>
      <c r="L838" s="142"/>
      <c r="M838" s="142"/>
      <c r="N838" s="142"/>
      <c r="O838" s="136"/>
      <c r="P838" s="34"/>
      <c r="Q838" s="35"/>
      <c r="R838" s="35"/>
      <c r="S838" s="35"/>
      <c r="T838" s="35"/>
      <c r="U838" s="35"/>
      <c r="V838" s="35"/>
      <c r="W838" s="35"/>
      <c r="X838" s="35"/>
      <c r="Y838" s="35"/>
      <c r="Z838" s="35"/>
      <c r="AA838" s="35"/>
    </row>
    <row r="839" ht="14.25" customHeight="1">
      <c r="A839" s="136"/>
      <c r="B839" s="137"/>
      <c r="C839" s="251"/>
      <c r="D839" s="252"/>
      <c r="E839" s="136"/>
      <c r="F839" s="253"/>
      <c r="G839" s="253"/>
      <c r="H839" s="140"/>
      <c r="I839" s="141"/>
      <c r="J839" s="141"/>
      <c r="K839" s="142"/>
      <c r="L839" s="142"/>
      <c r="M839" s="142"/>
      <c r="N839" s="142"/>
      <c r="O839" s="136"/>
      <c r="P839" s="34"/>
      <c r="Q839" s="35"/>
      <c r="R839" s="35"/>
      <c r="S839" s="35"/>
      <c r="T839" s="35"/>
      <c r="U839" s="35"/>
      <c r="V839" s="35"/>
      <c r="W839" s="35"/>
      <c r="X839" s="35"/>
      <c r="Y839" s="35"/>
      <c r="Z839" s="35"/>
      <c r="AA839" s="35"/>
    </row>
    <row r="840" ht="14.25" customHeight="1">
      <c r="A840" s="136"/>
      <c r="B840" s="137"/>
      <c r="C840" s="251"/>
      <c r="D840" s="252"/>
      <c r="E840" s="136"/>
      <c r="F840" s="253"/>
      <c r="G840" s="253"/>
      <c r="H840" s="140"/>
      <c r="I840" s="141"/>
      <c r="J840" s="141"/>
      <c r="K840" s="142"/>
      <c r="L840" s="142"/>
      <c r="M840" s="142"/>
      <c r="N840" s="142"/>
      <c r="O840" s="136"/>
      <c r="P840" s="34"/>
      <c r="Q840" s="35"/>
      <c r="R840" s="35"/>
      <c r="S840" s="35"/>
      <c r="T840" s="35"/>
      <c r="U840" s="35"/>
      <c r="V840" s="35"/>
      <c r="W840" s="35"/>
      <c r="X840" s="35"/>
      <c r="Y840" s="35"/>
      <c r="Z840" s="35"/>
      <c r="AA840" s="35"/>
    </row>
    <row r="841" ht="14.25" customHeight="1">
      <c r="A841" s="136"/>
      <c r="B841" s="137"/>
      <c r="C841" s="251"/>
      <c r="D841" s="252"/>
      <c r="E841" s="136"/>
      <c r="F841" s="253"/>
      <c r="G841" s="253"/>
      <c r="H841" s="140"/>
      <c r="I841" s="141"/>
      <c r="J841" s="141"/>
      <c r="K841" s="142"/>
      <c r="L841" s="142"/>
      <c r="M841" s="142"/>
      <c r="N841" s="142"/>
      <c r="O841" s="136"/>
      <c r="P841" s="34"/>
      <c r="Q841" s="35"/>
      <c r="R841" s="35"/>
      <c r="S841" s="35"/>
      <c r="T841" s="35"/>
      <c r="U841" s="35"/>
      <c r="V841" s="35"/>
      <c r="W841" s="35"/>
      <c r="X841" s="35"/>
      <c r="Y841" s="35"/>
      <c r="Z841" s="35"/>
      <c r="AA841" s="35"/>
    </row>
    <row r="842" ht="14.25" customHeight="1">
      <c r="A842" s="136"/>
      <c r="B842" s="137"/>
      <c r="C842" s="251"/>
      <c r="D842" s="252"/>
      <c r="E842" s="136"/>
      <c r="F842" s="253"/>
      <c r="G842" s="253"/>
      <c r="H842" s="140"/>
      <c r="I842" s="141"/>
      <c r="J842" s="141"/>
      <c r="K842" s="142"/>
      <c r="L842" s="142"/>
      <c r="M842" s="142"/>
      <c r="N842" s="142"/>
      <c r="O842" s="136"/>
      <c r="P842" s="34"/>
      <c r="Q842" s="35"/>
      <c r="R842" s="35"/>
      <c r="S842" s="35"/>
      <c r="T842" s="35"/>
      <c r="U842" s="35"/>
      <c r="V842" s="35"/>
      <c r="W842" s="35"/>
      <c r="X842" s="35"/>
      <c r="Y842" s="35"/>
      <c r="Z842" s="35"/>
      <c r="AA842" s="35"/>
    </row>
    <row r="843" ht="14.25" customHeight="1">
      <c r="A843" s="136"/>
      <c r="B843" s="137"/>
      <c r="C843" s="251"/>
      <c r="D843" s="252"/>
      <c r="E843" s="136"/>
      <c r="F843" s="253"/>
      <c r="G843" s="253"/>
      <c r="H843" s="140"/>
      <c r="I843" s="141"/>
      <c r="J843" s="141"/>
      <c r="K843" s="142"/>
      <c r="L843" s="142"/>
      <c r="M843" s="142"/>
      <c r="N843" s="142"/>
      <c r="O843" s="136"/>
      <c r="P843" s="34"/>
      <c r="Q843" s="35"/>
      <c r="R843" s="35"/>
      <c r="S843" s="35"/>
      <c r="T843" s="35"/>
      <c r="U843" s="35"/>
      <c r="V843" s="35"/>
      <c r="W843" s="35"/>
      <c r="X843" s="35"/>
      <c r="Y843" s="35"/>
      <c r="Z843" s="35"/>
      <c r="AA843" s="35"/>
    </row>
    <row r="844" ht="14.25" customHeight="1">
      <c r="A844" s="136"/>
      <c r="B844" s="137"/>
      <c r="C844" s="251"/>
      <c r="D844" s="252"/>
      <c r="E844" s="136"/>
      <c r="F844" s="253"/>
      <c r="G844" s="253"/>
      <c r="H844" s="140"/>
      <c r="I844" s="141"/>
      <c r="J844" s="141"/>
      <c r="K844" s="142"/>
      <c r="L844" s="142"/>
      <c r="M844" s="142"/>
      <c r="N844" s="142"/>
      <c r="O844" s="136"/>
      <c r="P844" s="34"/>
      <c r="Q844" s="35"/>
      <c r="R844" s="35"/>
      <c r="S844" s="35"/>
      <c r="T844" s="35"/>
      <c r="U844" s="35"/>
      <c r="V844" s="35"/>
      <c r="W844" s="35"/>
      <c r="X844" s="35"/>
      <c r="Y844" s="35"/>
      <c r="Z844" s="35"/>
      <c r="AA844" s="35"/>
    </row>
    <row r="845" ht="14.25" customHeight="1">
      <c r="A845" s="136"/>
      <c r="B845" s="137"/>
      <c r="C845" s="251"/>
      <c r="D845" s="252"/>
      <c r="E845" s="136"/>
      <c r="F845" s="253"/>
      <c r="G845" s="253"/>
      <c r="H845" s="140"/>
      <c r="I845" s="141"/>
      <c r="J845" s="141"/>
      <c r="K845" s="142"/>
      <c r="L845" s="142"/>
      <c r="M845" s="142"/>
      <c r="N845" s="142"/>
      <c r="O845" s="136"/>
      <c r="P845" s="34"/>
      <c r="Q845" s="35"/>
      <c r="R845" s="35"/>
      <c r="S845" s="35"/>
      <c r="T845" s="35"/>
      <c r="U845" s="35"/>
      <c r="V845" s="35"/>
      <c r="W845" s="35"/>
      <c r="X845" s="35"/>
      <c r="Y845" s="35"/>
      <c r="Z845" s="35"/>
      <c r="AA845" s="35"/>
    </row>
    <row r="846" ht="14.25" customHeight="1">
      <c r="A846" s="136"/>
      <c r="B846" s="137"/>
      <c r="C846" s="251"/>
      <c r="D846" s="252"/>
      <c r="E846" s="136"/>
      <c r="F846" s="253"/>
      <c r="G846" s="253"/>
      <c r="H846" s="140"/>
      <c r="I846" s="141"/>
      <c r="J846" s="141"/>
      <c r="K846" s="142"/>
      <c r="L846" s="142"/>
      <c r="M846" s="142"/>
      <c r="N846" s="142"/>
      <c r="O846" s="136"/>
      <c r="P846" s="34"/>
      <c r="Q846" s="35"/>
      <c r="R846" s="35"/>
      <c r="S846" s="35"/>
      <c r="T846" s="35"/>
      <c r="U846" s="35"/>
      <c r="V846" s="35"/>
      <c r="W846" s="35"/>
      <c r="X846" s="35"/>
      <c r="Y846" s="35"/>
      <c r="Z846" s="35"/>
      <c r="AA846" s="35"/>
    </row>
    <row r="847" ht="14.25" customHeight="1">
      <c r="A847" s="136"/>
      <c r="B847" s="137"/>
      <c r="C847" s="251"/>
      <c r="D847" s="252"/>
      <c r="E847" s="136"/>
      <c r="F847" s="253"/>
      <c r="G847" s="253"/>
      <c r="H847" s="140"/>
      <c r="I847" s="141"/>
      <c r="J847" s="141"/>
      <c r="K847" s="142"/>
      <c r="L847" s="142"/>
      <c r="M847" s="142"/>
      <c r="N847" s="142"/>
      <c r="O847" s="136"/>
      <c r="P847" s="34"/>
      <c r="Q847" s="35"/>
      <c r="R847" s="35"/>
      <c r="S847" s="35"/>
      <c r="T847" s="35"/>
      <c r="U847" s="35"/>
      <c r="V847" s="35"/>
      <c r="W847" s="35"/>
      <c r="X847" s="35"/>
      <c r="Y847" s="35"/>
      <c r="Z847" s="35"/>
      <c r="AA847" s="35"/>
    </row>
    <row r="848" ht="14.25" customHeight="1">
      <c r="A848" s="136"/>
      <c r="B848" s="137"/>
      <c r="C848" s="251"/>
      <c r="D848" s="252"/>
      <c r="E848" s="136"/>
      <c r="F848" s="253"/>
      <c r="G848" s="253"/>
      <c r="H848" s="140"/>
      <c r="I848" s="141"/>
      <c r="J848" s="141"/>
      <c r="K848" s="142"/>
      <c r="L848" s="142"/>
      <c r="M848" s="142"/>
      <c r="N848" s="142"/>
      <c r="O848" s="136"/>
      <c r="P848" s="34"/>
      <c r="Q848" s="35"/>
      <c r="R848" s="35"/>
      <c r="S848" s="35"/>
      <c r="T848" s="35"/>
      <c r="U848" s="35"/>
      <c r="V848" s="35"/>
      <c r="W848" s="35"/>
      <c r="X848" s="35"/>
      <c r="Y848" s="35"/>
      <c r="Z848" s="35"/>
      <c r="AA848" s="35"/>
    </row>
    <row r="849" ht="14.25" customHeight="1">
      <c r="A849" s="136"/>
      <c r="B849" s="137"/>
      <c r="C849" s="251"/>
      <c r="D849" s="252"/>
      <c r="E849" s="136"/>
      <c r="F849" s="253"/>
      <c r="G849" s="253"/>
      <c r="H849" s="140"/>
      <c r="I849" s="141"/>
      <c r="J849" s="141"/>
      <c r="K849" s="142"/>
      <c r="L849" s="142"/>
      <c r="M849" s="142"/>
      <c r="N849" s="142"/>
      <c r="O849" s="136"/>
      <c r="P849" s="34"/>
      <c r="Q849" s="35"/>
      <c r="R849" s="35"/>
      <c r="S849" s="35"/>
      <c r="T849" s="35"/>
      <c r="U849" s="35"/>
      <c r="V849" s="35"/>
      <c r="W849" s="35"/>
      <c r="X849" s="35"/>
      <c r="Y849" s="35"/>
      <c r="Z849" s="35"/>
      <c r="AA849" s="35"/>
    </row>
    <row r="850" ht="14.25" customHeight="1">
      <c r="A850" s="136"/>
      <c r="B850" s="137"/>
      <c r="C850" s="251"/>
      <c r="D850" s="252"/>
      <c r="E850" s="136"/>
      <c r="F850" s="253"/>
      <c r="G850" s="253"/>
      <c r="H850" s="140"/>
      <c r="I850" s="141"/>
      <c r="J850" s="141"/>
      <c r="K850" s="142"/>
      <c r="L850" s="142"/>
      <c r="M850" s="142"/>
      <c r="N850" s="142"/>
      <c r="O850" s="136"/>
      <c r="P850" s="34"/>
      <c r="Q850" s="35"/>
      <c r="R850" s="35"/>
      <c r="S850" s="35"/>
      <c r="T850" s="35"/>
      <c r="U850" s="35"/>
      <c r="V850" s="35"/>
      <c r="W850" s="35"/>
      <c r="X850" s="35"/>
      <c r="Y850" s="35"/>
      <c r="Z850" s="35"/>
      <c r="AA850" s="35"/>
    </row>
    <row r="851" ht="14.25" customHeight="1">
      <c r="A851" s="136"/>
      <c r="B851" s="137"/>
      <c r="C851" s="251"/>
      <c r="D851" s="252"/>
      <c r="E851" s="136"/>
      <c r="F851" s="253"/>
      <c r="G851" s="253"/>
      <c r="H851" s="140"/>
      <c r="I851" s="141"/>
      <c r="J851" s="141"/>
      <c r="K851" s="142"/>
      <c r="L851" s="142"/>
      <c r="M851" s="142"/>
      <c r="N851" s="142"/>
      <c r="O851" s="136"/>
      <c r="P851" s="34"/>
      <c r="Q851" s="35"/>
      <c r="R851" s="35"/>
      <c r="S851" s="35"/>
      <c r="T851" s="35"/>
      <c r="U851" s="35"/>
      <c r="V851" s="35"/>
      <c r="W851" s="35"/>
      <c r="X851" s="35"/>
      <c r="Y851" s="35"/>
      <c r="Z851" s="35"/>
      <c r="AA851" s="35"/>
    </row>
    <row r="852" ht="14.25" customHeight="1">
      <c r="A852" s="136"/>
      <c r="B852" s="137"/>
      <c r="C852" s="251"/>
      <c r="D852" s="252"/>
      <c r="E852" s="136"/>
      <c r="F852" s="253"/>
      <c r="G852" s="253"/>
      <c r="H852" s="140"/>
      <c r="I852" s="141"/>
      <c r="J852" s="141"/>
      <c r="K852" s="142"/>
      <c r="L852" s="142"/>
      <c r="M852" s="142"/>
      <c r="N852" s="142"/>
      <c r="O852" s="136"/>
      <c r="P852" s="34"/>
      <c r="Q852" s="35"/>
      <c r="R852" s="35"/>
      <c r="S852" s="35"/>
      <c r="T852" s="35"/>
      <c r="U852" s="35"/>
      <c r="V852" s="35"/>
      <c r="W852" s="35"/>
      <c r="X852" s="35"/>
      <c r="Y852" s="35"/>
      <c r="Z852" s="35"/>
      <c r="AA852" s="35"/>
    </row>
    <row r="853" ht="14.25" customHeight="1">
      <c r="A853" s="136"/>
      <c r="B853" s="137"/>
      <c r="C853" s="251"/>
      <c r="D853" s="252"/>
      <c r="E853" s="136"/>
      <c r="F853" s="253"/>
      <c r="G853" s="253"/>
      <c r="H853" s="140"/>
      <c r="I853" s="141"/>
      <c r="J853" s="141"/>
      <c r="K853" s="142"/>
      <c r="L853" s="142"/>
      <c r="M853" s="142"/>
      <c r="N853" s="142"/>
      <c r="O853" s="136"/>
      <c r="P853" s="34"/>
      <c r="Q853" s="35"/>
      <c r="R853" s="35"/>
      <c r="S853" s="35"/>
      <c r="T853" s="35"/>
      <c r="U853" s="35"/>
      <c r="V853" s="35"/>
      <c r="W853" s="35"/>
      <c r="X853" s="35"/>
      <c r="Y853" s="35"/>
      <c r="Z853" s="35"/>
      <c r="AA853" s="35"/>
    </row>
    <row r="854" ht="14.25" customHeight="1">
      <c r="A854" s="136"/>
      <c r="B854" s="137"/>
      <c r="C854" s="251"/>
      <c r="D854" s="252"/>
      <c r="E854" s="136"/>
      <c r="F854" s="253"/>
      <c r="G854" s="253"/>
      <c r="H854" s="140"/>
      <c r="I854" s="141"/>
      <c r="J854" s="141"/>
      <c r="K854" s="142"/>
      <c r="L854" s="142"/>
      <c r="M854" s="142"/>
      <c r="N854" s="142"/>
      <c r="O854" s="136"/>
      <c r="P854" s="34"/>
      <c r="Q854" s="35"/>
      <c r="R854" s="35"/>
      <c r="S854" s="35"/>
      <c r="T854" s="35"/>
      <c r="U854" s="35"/>
      <c r="V854" s="35"/>
      <c r="W854" s="35"/>
      <c r="X854" s="35"/>
      <c r="Y854" s="35"/>
      <c r="Z854" s="35"/>
      <c r="AA854" s="35"/>
    </row>
    <row r="855" ht="14.25" customHeight="1">
      <c r="A855" s="136"/>
      <c r="B855" s="137"/>
      <c r="C855" s="251"/>
      <c r="D855" s="252"/>
      <c r="E855" s="136"/>
      <c r="F855" s="253"/>
      <c r="G855" s="253"/>
      <c r="H855" s="140"/>
      <c r="I855" s="141"/>
      <c r="J855" s="141"/>
      <c r="K855" s="142"/>
      <c r="L855" s="142"/>
      <c r="M855" s="142"/>
      <c r="N855" s="142"/>
      <c r="O855" s="136"/>
      <c r="P855" s="34"/>
      <c r="Q855" s="35"/>
      <c r="R855" s="35"/>
      <c r="S855" s="35"/>
      <c r="T855" s="35"/>
      <c r="U855" s="35"/>
      <c r="V855" s="35"/>
      <c r="W855" s="35"/>
      <c r="X855" s="35"/>
      <c r="Y855" s="35"/>
      <c r="Z855" s="35"/>
      <c r="AA855" s="35"/>
    </row>
    <row r="856" ht="14.25" customHeight="1">
      <c r="A856" s="136"/>
      <c r="B856" s="137"/>
      <c r="C856" s="251"/>
      <c r="D856" s="252"/>
      <c r="E856" s="136"/>
      <c r="F856" s="253"/>
      <c r="G856" s="253"/>
      <c r="H856" s="140"/>
      <c r="I856" s="141"/>
      <c r="J856" s="141"/>
      <c r="K856" s="142"/>
      <c r="L856" s="142"/>
      <c r="M856" s="142"/>
      <c r="N856" s="142"/>
      <c r="O856" s="136"/>
      <c r="P856" s="34"/>
      <c r="Q856" s="35"/>
      <c r="R856" s="35"/>
      <c r="S856" s="35"/>
      <c r="T856" s="35"/>
      <c r="U856" s="35"/>
      <c r="V856" s="35"/>
      <c r="W856" s="35"/>
      <c r="X856" s="35"/>
      <c r="Y856" s="35"/>
      <c r="Z856" s="35"/>
      <c r="AA856" s="35"/>
    </row>
    <row r="857" ht="14.25" customHeight="1">
      <c r="A857" s="136"/>
      <c r="B857" s="137"/>
      <c r="C857" s="251"/>
      <c r="D857" s="252"/>
      <c r="E857" s="136"/>
      <c r="F857" s="253"/>
      <c r="G857" s="253"/>
      <c r="H857" s="140"/>
      <c r="I857" s="141"/>
      <c r="J857" s="141"/>
      <c r="K857" s="142"/>
      <c r="L857" s="142"/>
      <c r="M857" s="142"/>
      <c r="N857" s="142"/>
      <c r="O857" s="136"/>
      <c r="P857" s="34"/>
      <c r="Q857" s="35"/>
      <c r="R857" s="35"/>
      <c r="S857" s="35"/>
      <c r="T857" s="35"/>
      <c r="U857" s="35"/>
      <c r="V857" s="35"/>
      <c r="W857" s="35"/>
      <c r="X857" s="35"/>
      <c r="Y857" s="35"/>
      <c r="Z857" s="35"/>
      <c r="AA857" s="35"/>
    </row>
    <row r="858" ht="14.25" customHeight="1">
      <c r="A858" s="136"/>
      <c r="B858" s="137"/>
      <c r="C858" s="251"/>
      <c r="D858" s="252"/>
      <c r="E858" s="136"/>
      <c r="F858" s="253"/>
      <c r="G858" s="253"/>
      <c r="H858" s="140"/>
      <c r="I858" s="141"/>
      <c r="J858" s="141"/>
      <c r="K858" s="142"/>
      <c r="L858" s="142"/>
      <c r="M858" s="142"/>
      <c r="N858" s="142"/>
      <c r="O858" s="136"/>
      <c r="P858" s="34"/>
      <c r="Q858" s="35"/>
      <c r="R858" s="35"/>
      <c r="S858" s="35"/>
      <c r="T858" s="35"/>
      <c r="U858" s="35"/>
      <c r="V858" s="35"/>
      <c r="W858" s="35"/>
      <c r="X858" s="35"/>
      <c r="Y858" s="35"/>
      <c r="Z858" s="35"/>
      <c r="AA858" s="35"/>
    </row>
    <row r="859" ht="14.25" customHeight="1">
      <c r="A859" s="136"/>
      <c r="B859" s="137"/>
      <c r="C859" s="251"/>
      <c r="D859" s="252"/>
      <c r="E859" s="136"/>
      <c r="F859" s="253"/>
      <c r="G859" s="253"/>
      <c r="H859" s="140"/>
      <c r="I859" s="141"/>
      <c r="J859" s="141"/>
      <c r="K859" s="142"/>
      <c r="L859" s="142"/>
      <c r="M859" s="142"/>
      <c r="N859" s="142"/>
      <c r="O859" s="136"/>
      <c r="P859" s="34"/>
      <c r="Q859" s="35"/>
      <c r="R859" s="35"/>
      <c r="S859" s="35"/>
      <c r="T859" s="35"/>
      <c r="U859" s="35"/>
      <c r="V859" s="35"/>
      <c r="W859" s="35"/>
      <c r="X859" s="35"/>
      <c r="Y859" s="35"/>
      <c r="Z859" s="35"/>
      <c r="AA859" s="35"/>
    </row>
    <row r="860" ht="14.25" customHeight="1">
      <c r="A860" s="136"/>
      <c r="B860" s="137"/>
      <c r="C860" s="251"/>
      <c r="D860" s="252"/>
      <c r="E860" s="136"/>
      <c r="F860" s="253"/>
      <c r="G860" s="253"/>
      <c r="H860" s="140"/>
      <c r="I860" s="141"/>
      <c r="J860" s="141"/>
      <c r="K860" s="142"/>
      <c r="L860" s="142"/>
      <c r="M860" s="142"/>
      <c r="N860" s="142"/>
      <c r="O860" s="136"/>
      <c r="P860" s="34"/>
      <c r="Q860" s="35"/>
      <c r="R860" s="35"/>
      <c r="S860" s="35"/>
      <c r="T860" s="35"/>
      <c r="U860" s="35"/>
      <c r="V860" s="35"/>
      <c r="W860" s="35"/>
      <c r="X860" s="35"/>
      <c r="Y860" s="35"/>
      <c r="Z860" s="35"/>
      <c r="AA860" s="35"/>
    </row>
    <row r="861" ht="14.25" customHeight="1">
      <c r="A861" s="136"/>
      <c r="B861" s="137"/>
      <c r="C861" s="251"/>
      <c r="D861" s="252"/>
      <c r="E861" s="136"/>
      <c r="F861" s="253"/>
      <c r="G861" s="253"/>
      <c r="H861" s="140"/>
      <c r="I861" s="141"/>
      <c r="J861" s="141"/>
      <c r="K861" s="142"/>
      <c r="L861" s="142"/>
      <c r="M861" s="142"/>
      <c r="N861" s="142"/>
      <c r="O861" s="136"/>
      <c r="P861" s="34"/>
      <c r="Q861" s="35"/>
      <c r="R861" s="35"/>
      <c r="S861" s="35"/>
      <c r="T861" s="35"/>
      <c r="U861" s="35"/>
      <c r="V861" s="35"/>
      <c r="W861" s="35"/>
      <c r="X861" s="35"/>
      <c r="Y861" s="35"/>
      <c r="Z861" s="35"/>
      <c r="AA861" s="35"/>
    </row>
    <row r="862" ht="14.25" customHeight="1">
      <c r="A862" s="136"/>
      <c r="B862" s="137"/>
      <c r="C862" s="251"/>
      <c r="D862" s="252"/>
      <c r="E862" s="136"/>
      <c r="F862" s="253"/>
      <c r="G862" s="253"/>
      <c r="H862" s="140"/>
      <c r="I862" s="141"/>
      <c r="J862" s="141"/>
      <c r="K862" s="142"/>
      <c r="L862" s="142"/>
      <c r="M862" s="142"/>
      <c r="N862" s="142"/>
      <c r="O862" s="136"/>
      <c r="P862" s="34"/>
      <c r="Q862" s="35"/>
      <c r="R862" s="35"/>
      <c r="S862" s="35"/>
      <c r="T862" s="35"/>
      <c r="U862" s="35"/>
      <c r="V862" s="35"/>
      <c r="W862" s="35"/>
      <c r="X862" s="35"/>
      <c r="Y862" s="35"/>
      <c r="Z862" s="35"/>
      <c r="AA862" s="35"/>
    </row>
    <row r="863" ht="14.25" customHeight="1">
      <c r="A863" s="136"/>
      <c r="B863" s="137"/>
      <c r="C863" s="251"/>
      <c r="D863" s="252"/>
      <c r="E863" s="136"/>
      <c r="F863" s="253"/>
      <c r="G863" s="253"/>
      <c r="H863" s="140"/>
      <c r="I863" s="141"/>
      <c r="J863" s="141"/>
      <c r="K863" s="142"/>
      <c r="L863" s="142"/>
      <c r="M863" s="142"/>
      <c r="N863" s="142"/>
      <c r="O863" s="136"/>
      <c r="P863" s="34"/>
      <c r="Q863" s="35"/>
      <c r="R863" s="35"/>
      <c r="S863" s="35"/>
      <c r="T863" s="35"/>
      <c r="U863" s="35"/>
      <c r="V863" s="35"/>
      <c r="W863" s="35"/>
      <c r="X863" s="35"/>
      <c r="Y863" s="35"/>
      <c r="Z863" s="35"/>
      <c r="AA863" s="35"/>
    </row>
    <row r="864" ht="14.25" customHeight="1">
      <c r="A864" s="136"/>
      <c r="B864" s="137"/>
      <c r="C864" s="251"/>
      <c r="D864" s="252"/>
      <c r="E864" s="136"/>
      <c r="F864" s="253"/>
      <c r="G864" s="253"/>
      <c r="H864" s="140"/>
      <c r="I864" s="141"/>
      <c r="J864" s="141"/>
      <c r="K864" s="142"/>
      <c r="L864" s="142"/>
      <c r="M864" s="142"/>
      <c r="N864" s="142"/>
      <c r="O864" s="136"/>
      <c r="P864" s="34"/>
      <c r="Q864" s="35"/>
      <c r="R864" s="35"/>
      <c r="S864" s="35"/>
      <c r="T864" s="35"/>
      <c r="U864" s="35"/>
      <c r="V864" s="35"/>
      <c r="W864" s="35"/>
      <c r="X864" s="35"/>
      <c r="Y864" s="35"/>
      <c r="Z864" s="35"/>
      <c r="AA864" s="35"/>
    </row>
    <row r="865" ht="14.25" customHeight="1">
      <c r="A865" s="136"/>
      <c r="B865" s="137"/>
      <c r="C865" s="251"/>
      <c r="D865" s="252"/>
      <c r="E865" s="136"/>
      <c r="F865" s="253"/>
      <c r="G865" s="253"/>
      <c r="H865" s="140"/>
      <c r="I865" s="141"/>
      <c r="J865" s="141"/>
      <c r="K865" s="142"/>
      <c r="L865" s="142"/>
      <c r="M865" s="142"/>
      <c r="N865" s="142"/>
      <c r="O865" s="136"/>
      <c r="P865" s="34"/>
      <c r="Q865" s="35"/>
      <c r="R865" s="35"/>
      <c r="S865" s="35"/>
      <c r="T865" s="35"/>
      <c r="U865" s="35"/>
      <c r="V865" s="35"/>
      <c r="W865" s="35"/>
      <c r="X865" s="35"/>
      <c r="Y865" s="35"/>
      <c r="Z865" s="35"/>
      <c r="AA865" s="35"/>
    </row>
    <row r="866" ht="14.25" customHeight="1">
      <c r="A866" s="136"/>
      <c r="B866" s="137"/>
      <c r="C866" s="251"/>
      <c r="D866" s="252"/>
      <c r="E866" s="136"/>
      <c r="F866" s="253"/>
      <c r="G866" s="253"/>
      <c r="H866" s="140"/>
      <c r="I866" s="141"/>
      <c r="J866" s="141"/>
      <c r="K866" s="142"/>
      <c r="L866" s="142"/>
      <c r="M866" s="142"/>
      <c r="N866" s="142"/>
      <c r="O866" s="136"/>
      <c r="P866" s="34"/>
      <c r="Q866" s="35"/>
      <c r="R866" s="35"/>
      <c r="S866" s="35"/>
      <c r="T866" s="35"/>
      <c r="U866" s="35"/>
      <c r="V866" s="35"/>
      <c r="W866" s="35"/>
      <c r="X866" s="35"/>
      <c r="Y866" s="35"/>
      <c r="Z866" s="35"/>
      <c r="AA866" s="35"/>
    </row>
    <row r="867" ht="14.25" customHeight="1">
      <c r="A867" s="136"/>
      <c r="B867" s="137"/>
      <c r="C867" s="251"/>
      <c r="D867" s="252"/>
      <c r="E867" s="136"/>
      <c r="F867" s="253"/>
      <c r="G867" s="253"/>
      <c r="H867" s="140"/>
      <c r="I867" s="141"/>
      <c r="J867" s="141"/>
      <c r="K867" s="142"/>
      <c r="L867" s="142"/>
      <c r="M867" s="142"/>
      <c r="N867" s="142"/>
      <c r="O867" s="136"/>
      <c r="P867" s="34"/>
      <c r="Q867" s="35"/>
      <c r="R867" s="35"/>
      <c r="S867" s="35"/>
      <c r="T867" s="35"/>
      <c r="U867" s="35"/>
      <c r="V867" s="35"/>
      <c r="W867" s="35"/>
      <c r="X867" s="35"/>
      <c r="Y867" s="35"/>
      <c r="Z867" s="35"/>
      <c r="AA867" s="35"/>
    </row>
    <row r="868" ht="14.25" customHeight="1">
      <c r="A868" s="136"/>
      <c r="B868" s="137"/>
      <c r="C868" s="251"/>
      <c r="D868" s="252"/>
      <c r="E868" s="136"/>
      <c r="F868" s="253"/>
      <c r="G868" s="253"/>
      <c r="H868" s="140"/>
      <c r="I868" s="141"/>
      <c r="J868" s="141"/>
      <c r="K868" s="142"/>
      <c r="L868" s="142"/>
      <c r="M868" s="142"/>
      <c r="N868" s="142"/>
      <c r="O868" s="136"/>
      <c r="P868" s="34"/>
      <c r="Q868" s="35"/>
      <c r="R868" s="35"/>
      <c r="S868" s="35"/>
      <c r="T868" s="35"/>
      <c r="U868" s="35"/>
      <c r="V868" s="35"/>
      <c r="W868" s="35"/>
      <c r="X868" s="35"/>
      <c r="Y868" s="35"/>
      <c r="Z868" s="35"/>
      <c r="AA868" s="35"/>
    </row>
    <row r="869" ht="14.25" customHeight="1">
      <c r="A869" s="136"/>
      <c r="B869" s="137"/>
      <c r="C869" s="251"/>
      <c r="D869" s="252"/>
      <c r="E869" s="136"/>
      <c r="F869" s="253"/>
      <c r="G869" s="253"/>
      <c r="H869" s="140"/>
      <c r="I869" s="141"/>
      <c r="J869" s="141"/>
      <c r="K869" s="142"/>
      <c r="L869" s="142"/>
      <c r="M869" s="142"/>
      <c r="N869" s="142"/>
      <c r="O869" s="136"/>
      <c r="P869" s="34"/>
      <c r="Q869" s="35"/>
      <c r="R869" s="35"/>
      <c r="S869" s="35"/>
      <c r="T869" s="35"/>
      <c r="U869" s="35"/>
      <c r="V869" s="35"/>
      <c r="W869" s="35"/>
      <c r="X869" s="35"/>
      <c r="Y869" s="35"/>
      <c r="Z869" s="35"/>
      <c r="AA869" s="35"/>
    </row>
    <row r="870" ht="14.25" customHeight="1">
      <c r="A870" s="136"/>
      <c r="B870" s="137"/>
      <c r="C870" s="251"/>
      <c r="D870" s="252"/>
      <c r="E870" s="136"/>
      <c r="F870" s="253"/>
      <c r="G870" s="253"/>
      <c r="H870" s="140"/>
      <c r="I870" s="141"/>
      <c r="J870" s="141"/>
      <c r="K870" s="142"/>
      <c r="L870" s="142"/>
      <c r="M870" s="142"/>
      <c r="N870" s="142"/>
      <c r="O870" s="136"/>
      <c r="P870" s="34"/>
      <c r="Q870" s="35"/>
      <c r="R870" s="35"/>
      <c r="S870" s="35"/>
      <c r="T870" s="35"/>
      <c r="U870" s="35"/>
      <c r="V870" s="35"/>
      <c r="W870" s="35"/>
      <c r="X870" s="35"/>
      <c r="Y870" s="35"/>
      <c r="Z870" s="35"/>
      <c r="AA870" s="35"/>
    </row>
    <row r="871" ht="14.25" customHeight="1">
      <c r="A871" s="136"/>
      <c r="B871" s="137"/>
      <c r="C871" s="251"/>
      <c r="D871" s="252"/>
      <c r="E871" s="136"/>
      <c r="F871" s="253"/>
      <c r="G871" s="253"/>
      <c r="H871" s="140"/>
      <c r="I871" s="141"/>
      <c r="J871" s="141"/>
      <c r="K871" s="142"/>
      <c r="L871" s="142"/>
      <c r="M871" s="142"/>
      <c r="N871" s="142"/>
      <c r="O871" s="136"/>
      <c r="P871" s="34"/>
      <c r="Q871" s="35"/>
      <c r="R871" s="35"/>
      <c r="S871" s="35"/>
      <c r="T871" s="35"/>
      <c r="U871" s="35"/>
      <c r="V871" s="35"/>
      <c r="W871" s="35"/>
      <c r="X871" s="35"/>
      <c r="Y871" s="35"/>
      <c r="Z871" s="35"/>
      <c r="AA871" s="35"/>
    </row>
    <row r="872" ht="14.25" customHeight="1">
      <c r="A872" s="136"/>
      <c r="B872" s="137"/>
      <c r="C872" s="251"/>
      <c r="D872" s="252"/>
      <c r="E872" s="136"/>
      <c r="F872" s="253"/>
      <c r="G872" s="253"/>
      <c r="H872" s="140"/>
      <c r="I872" s="141"/>
      <c r="J872" s="141"/>
      <c r="K872" s="142"/>
      <c r="L872" s="142"/>
      <c r="M872" s="142"/>
      <c r="N872" s="142"/>
      <c r="O872" s="136"/>
      <c r="P872" s="34"/>
      <c r="Q872" s="35"/>
      <c r="R872" s="35"/>
      <c r="S872" s="35"/>
      <c r="T872" s="35"/>
      <c r="U872" s="35"/>
      <c r="V872" s="35"/>
      <c r="W872" s="35"/>
      <c r="X872" s="35"/>
      <c r="Y872" s="35"/>
      <c r="Z872" s="35"/>
      <c r="AA872" s="35"/>
    </row>
    <row r="873" ht="14.25" customHeight="1">
      <c r="A873" s="136"/>
      <c r="B873" s="137"/>
      <c r="C873" s="251"/>
      <c r="D873" s="252"/>
      <c r="E873" s="136"/>
      <c r="F873" s="253"/>
      <c r="G873" s="253"/>
      <c r="H873" s="140"/>
      <c r="I873" s="141"/>
      <c r="J873" s="141"/>
      <c r="K873" s="142"/>
      <c r="L873" s="142"/>
      <c r="M873" s="142"/>
      <c r="N873" s="142"/>
      <c r="O873" s="136"/>
      <c r="P873" s="34"/>
      <c r="Q873" s="35"/>
      <c r="R873" s="35"/>
      <c r="S873" s="35"/>
      <c r="T873" s="35"/>
      <c r="U873" s="35"/>
      <c r="V873" s="35"/>
      <c r="W873" s="35"/>
      <c r="X873" s="35"/>
      <c r="Y873" s="35"/>
      <c r="Z873" s="35"/>
      <c r="AA873" s="35"/>
    </row>
    <row r="874" ht="14.25" customHeight="1">
      <c r="A874" s="136"/>
      <c r="B874" s="137"/>
      <c r="C874" s="251"/>
      <c r="D874" s="252"/>
      <c r="E874" s="136"/>
      <c r="F874" s="253"/>
      <c r="G874" s="253"/>
      <c r="H874" s="140"/>
      <c r="I874" s="141"/>
      <c r="J874" s="141"/>
      <c r="K874" s="142"/>
      <c r="L874" s="142"/>
      <c r="M874" s="142"/>
      <c r="N874" s="142"/>
      <c r="O874" s="136"/>
      <c r="P874" s="34"/>
      <c r="Q874" s="35"/>
      <c r="R874" s="35"/>
      <c r="S874" s="35"/>
      <c r="T874" s="35"/>
      <c r="U874" s="35"/>
      <c r="V874" s="35"/>
      <c r="W874" s="35"/>
      <c r="X874" s="35"/>
      <c r="Y874" s="35"/>
      <c r="Z874" s="35"/>
      <c r="AA874" s="35"/>
    </row>
    <row r="875" ht="14.25" customHeight="1">
      <c r="A875" s="136"/>
      <c r="B875" s="137"/>
      <c r="C875" s="251"/>
      <c r="D875" s="252"/>
      <c r="E875" s="136"/>
      <c r="F875" s="253"/>
      <c r="G875" s="253"/>
      <c r="H875" s="140"/>
      <c r="I875" s="141"/>
      <c r="J875" s="141"/>
      <c r="K875" s="142"/>
      <c r="L875" s="142"/>
      <c r="M875" s="142"/>
      <c r="N875" s="142"/>
      <c r="O875" s="136"/>
      <c r="P875" s="34"/>
      <c r="Q875" s="35"/>
      <c r="R875" s="35"/>
      <c r="S875" s="35"/>
      <c r="T875" s="35"/>
      <c r="U875" s="35"/>
      <c r="V875" s="35"/>
      <c r="W875" s="35"/>
      <c r="X875" s="35"/>
      <c r="Y875" s="35"/>
      <c r="Z875" s="35"/>
      <c r="AA875" s="35"/>
    </row>
    <row r="876" ht="14.25" customHeight="1">
      <c r="A876" s="136"/>
      <c r="B876" s="137"/>
      <c r="C876" s="251"/>
      <c r="D876" s="252"/>
      <c r="E876" s="136"/>
      <c r="F876" s="253"/>
      <c r="G876" s="253"/>
      <c r="H876" s="140"/>
      <c r="I876" s="141"/>
      <c r="J876" s="141"/>
      <c r="K876" s="142"/>
      <c r="L876" s="142"/>
      <c r="M876" s="142"/>
      <c r="N876" s="142"/>
      <c r="O876" s="136"/>
      <c r="P876" s="34"/>
      <c r="Q876" s="35"/>
      <c r="R876" s="35"/>
      <c r="S876" s="35"/>
      <c r="T876" s="35"/>
      <c r="U876" s="35"/>
      <c r="V876" s="35"/>
      <c r="W876" s="35"/>
      <c r="X876" s="35"/>
      <c r="Y876" s="35"/>
      <c r="Z876" s="35"/>
      <c r="AA876" s="35"/>
    </row>
    <row r="877" ht="14.25" customHeight="1">
      <c r="A877" s="136"/>
      <c r="B877" s="137"/>
      <c r="C877" s="251"/>
      <c r="D877" s="252"/>
      <c r="E877" s="136"/>
      <c r="F877" s="253"/>
      <c r="G877" s="253"/>
      <c r="H877" s="140"/>
      <c r="I877" s="141"/>
      <c r="J877" s="141"/>
      <c r="K877" s="142"/>
      <c r="L877" s="142"/>
      <c r="M877" s="142"/>
      <c r="N877" s="142"/>
      <c r="O877" s="136"/>
      <c r="P877" s="34"/>
      <c r="Q877" s="35"/>
      <c r="R877" s="35"/>
      <c r="S877" s="35"/>
      <c r="T877" s="35"/>
      <c r="U877" s="35"/>
      <c r="V877" s="35"/>
      <c r="W877" s="35"/>
      <c r="X877" s="35"/>
      <c r="Y877" s="35"/>
      <c r="Z877" s="35"/>
      <c r="AA877" s="35"/>
    </row>
    <row r="878" ht="14.25" customHeight="1">
      <c r="A878" s="136"/>
      <c r="B878" s="137"/>
      <c r="C878" s="251"/>
      <c r="D878" s="252"/>
      <c r="E878" s="136"/>
      <c r="F878" s="253"/>
      <c r="G878" s="253"/>
      <c r="H878" s="140"/>
      <c r="I878" s="141"/>
      <c r="J878" s="141"/>
      <c r="K878" s="142"/>
      <c r="L878" s="142"/>
      <c r="M878" s="142"/>
      <c r="N878" s="142"/>
      <c r="O878" s="136"/>
      <c r="P878" s="34"/>
      <c r="Q878" s="35"/>
      <c r="R878" s="35"/>
      <c r="S878" s="35"/>
      <c r="T878" s="35"/>
      <c r="U878" s="35"/>
      <c r="V878" s="35"/>
      <c r="W878" s="35"/>
      <c r="X878" s="35"/>
      <c r="Y878" s="35"/>
      <c r="Z878" s="35"/>
      <c r="AA878" s="35"/>
    </row>
    <row r="879" ht="14.25" customHeight="1">
      <c r="A879" s="136"/>
      <c r="B879" s="137"/>
      <c r="C879" s="251"/>
      <c r="D879" s="252"/>
      <c r="E879" s="136"/>
      <c r="F879" s="253"/>
      <c r="G879" s="253"/>
      <c r="H879" s="140"/>
      <c r="I879" s="141"/>
      <c r="J879" s="141"/>
      <c r="K879" s="142"/>
      <c r="L879" s="142"/>
      <c r="M879" s="142"/>
      <c r="N879" s="142"/>
      <c r="O879" s="136"/>
      <c r="P879" s="34"/>
      <c r="Q879" s="35"/>
      <c r="R879" s="35"/>
      <c r="S879" s="35"/>
      <c r="T879" s="35"/>
      <c r="U879" s="35"/>
      <c r="V879" s="35"/>
      <c r="W879" s="35"/>
      <c r="X879" s="35"/>
      <c r="Y879" s="35"/>
      <c r="Z879" s="35"/>
      <c r="AA879" s="35"/>
    </row>
    <row r="880" ht="14.25" customHeight="1">
      <c r="A880" s="136"/>
      <c r="B880" s="137"/>
      <c r="C880" s="251"/>
      <c r="D880" s="252"/>
      <c r="E880" s="136"/>
      <c r="F880" s="253"/>
      <c r="G880" s="253"/>
      <c r="H880" s="140"/>
      <c r="I880" s="141"/>
      <c r="J880" s="141"/>
      <c r="K880" s="142"/>
      <c r="L880" s="142"/>
      <c r="M880" s="142"/>
      <c r="N880" s="142"/>
      <c r="O880" s="136"/>
      <c r="P880" s="34"/>
      <c r="Q880" s="35"/>
      <c r="R880" s="35"/>
      <c r="S880" s="35"/>
      <c r="T880" s="35"/>
      <c r="U880" s="35"/>
      <c r="V880" s="35"/>
      <c r="W880" s="35"/>
      <c r="X880" s="35"/>
      <c r="Y880" s="35"/>
      <c r="Z880" s="35"/>
      <c r="AA880" s="35"/>
    </row>
    <row r="881" ht="14.25" customHeight="1">
      <c r="A881" s="136"/>
      <c r="B881" s="137"/>
      <c r="C881" s="251"/>
      <c r="D881" s="252"/>
      <c r="E881" s="136"/>
      <c r="F881" s="253"/>
      <c r="G881" s="253"/>
      <c r="H881" s="140"/>
      <c r="I881" s="141"/>
      <c r="J881" s="141"/>
      <c r="K881" s="142"/>
      <c r="L881" s="142"/>
      <c r="M881" s="142"/>
      <c r="N881" s="142"/>
      <c r="O881" s="136"/>
      <c r="P881" s="34"/>
      <c r="Q881" s="35"/>
      <c r="R881" s="35"/>
      <c r="S881" s="35"/>
      <c r="T881" s="35"/>
      <c r="U881" s="35"/>
      <c r="V881" s="35"/>
      <c r="W881" s="35"/>
      <c r="X881" s="35"/>
      <c r="Y881" s="35"/>
      <c r="Z881" s="35"/>
      <c r="AA881" s="35"/>
    </row>
    <row r="882" ht="14.25" customHeight="1">
      <c r="A882" s="136"/>
      <c r="B882" s="137"/>
      <c r="C882" s="251"/>
      <c r="D882" s="252"/>
      <c r="E882" s="136"/>
      <c r="F882" s="253"/>
      <c r="G882" s="253"/>
      <c r="H882" s="140"/>
      <c r="I882" s="141"/>
      <c r="J882" s="141"/>
      <c r="K882" s="142"/>
      <c r="L882" s="142"/>
      <c r="M882" s="142"/>
      <c r="N882" s="142"/>
      <c r="O882" s="136"/>
      <c r="P882" s="34"/>
      <c r="Q882" s="35"/>
      <c r="R882" s="35"/>
      <c r="S882" s="35"/>
      <c r="T882" s="35"/>
      <c r="U882" s="35"/>
      <c r="V882" s="35"/>
      <c r="W882" s="35"/>
      <c r="X882" s="35"/>
      <c r="Y882" s="35"/>
      <c r="Z882" s="35"/>
      <c r="AA882" s="35"/>
    </row>
    <row r="883" ht="14.25" customHeight="1">
      <c r="A883" s="136"/>
      <c r="B883" s="137"/>
      <c r="C883" s="251"/>
      <c r="D883" s="252"/>
      <c r="E883" s="136"/>
      <c r="F883" s="253"/>
      <c r="G883" s="253"/>
      <c r="H883" s="140"/>
      <c r="I883" s="141"/>
      <c r="J883" s="141"/>
      <c r="K883" s="142"/>
      <c r="L883" s="142"/>
      <c r="M883" s="142"/>
      <c r="N883" s="142"/>
      <c r="O883" s="136"/>
      <c r="P883" s="34"/>
      <c r="Q883" s="35"/>
      <c r="R883" s="35"/>
      <c r="S883" s="35"/>
      <c r="T883" s="35"/>
      <c r="U883" s="35"/>
      <c r="V883" s="35"/>
      <c r="W883" s="35"/>
      <c r="X883" s="35"/>
      <c r="Y883" s="35"/>
      <c r="Z883" s="35"/>
      <c r="AA883" s="35"/>
    </row>
    <row r="884" ht="14.25" customHeight="1">
      <c r="A884" s="136"/>
      <c r="B884" s="137"/>
      <c r="C884" s="251"/>
      <c r="D884" s="252"/>
      <c r="E884" s="136"/>
      <c r="F884" s="253"/>
      <c r="G884" s="253"/>
      <c r="H884" s="140"/>
      <c r="I884" s="141"/>
      <c r="J884" s="141"/>
      <c r="K884" s="142"/>
      <c r="L884" s="142"/>
      <c r="M884" s="142"/>
      <c r="N884" s="142"/>
      <c r="O884" s="136"/>
      <c r="P884" s="34"/>
      <c r="Q884" s="35"/>
      <c r="R884" s="35"/>
      <c r="S884" s="35"/>
      <c r="T884" s="35"/>
      <c r="U884" s="35"/>
      <c r="V884" s="35"/>
      <c r="W884" s="35"/>
      <c r="X884" s="35"/>
      <c r="Y884" s="35"/>
      <c r="Z884" s="35"/>
      <c r="AA884" s="35"/>
    </row>
    <row r="885" ht="14.25" customHeight="1">
      <c r="A885" s="136"/>
      <c r="B885" s="137"/>
      <c r="C885" s="251"/>
      <c r="D885" s="252"/>
      <c r="E885" s="136"/>
      <c r="F885" s="253"/>
      <c r="G885" s="253"/>
      <c r="H885" s="140"/>
      <c r="I885" s="141"/>
      <c r="J885" s="141"/>
      <c r="K885" s="142"/>
      <c r="L885" s="142"/>
      <c r="M885" s="142"/>
      <c r="N885" s="142"/>
      <c r="O885" s="136"/>
      <c r="P885" s="34"/>
      <c r="Q885" s="35"/>
      <c r="R885" s="35"/>
      <c r="S885" s="35"/>
      <c r="T885" s="35"/>
      <c r="U885" s="35"/>
      <c r="V885" s="35"/>
      <c r="W885" s="35"/>
      <c r="X885" s="35"/>
      <c r="Y885" s="35"/>
      <c r="Z885" s="35"/>
      <c r="AA885" s="35"/>
    </row>
    <row r="886" ht="14.25" customHeight="1">
      <c r="A886" s="136"/>
      <c r="B886" s="137"/>
      <c r="C886" s="251"/>
      <c r="D886" s="252"/>
      <c r="E886" s="136"/>
      <c r="F886" s="253"/>
      <c r="G886" s="253"/>
      <c r="H886" s="140"/>
      <c r="I886" s="141"/>
      <c r="J886" s="141"/>
      <c r="K886" s="142"/>
      <c r="L886" s="142"/>
      <c r="M886" s="142"/>
      <c r="N886" s="142"/>
      <c r="O886" s="136"/>
      <c r="P886" s="34"/>
      <c r="Q886" s="35"/>
      <c r="R886" s="35"/>
      <c r="S886" s="35"/>
      <c r="T886" s="35"/>
      <c r="U886" s="35"/>
      <c r="V886" s="35"/>
      <c r="W886" s="35"/>
      <c r="X886" s="35"/>
      <c r="Y886" s="35"/>
      <c r="Z886" s="35"/>
      <c r="AA886" s="35"/>
    </row>
    <row r="887" ht="14.25" customHeight="1">
      <c r="A887" s="136"/>
      <c r="B887" s="137"/>
      <c r="C887" s="251"/>
      <c r="D887" s="252"/>
      <c r="E887" s="136"/>
      <c r="F887" s="253"/>
      <c r="G887" s="253"/>
      <c r="H887" s="140"/>
      <c r="I887" s="141"/>
      <c r="J887" s="141"/>
      <c r="K887" s="142"/>
      <c r="L887" s="142"/>
      <c r="M887" s="142"/>
      <c r="N887" s="142"/>
      <c r="O887" s="136"/>
      <c r="P887" s="34"/>
      <c r="Q887" s="35"/>
      <c r="R887" s="35"/>
      <c r="S887" s="35"/>
      <c r="T887" s="35"/>
      <c r="U887" s="35"/>
      <c r="V887" s="35"/>
      <c r="W887" s="35"/>
      <c r="X887" s="35"/>
      <c r="Y887" s="35"/>
      <c r="Z887" s="35"/>
      <c r="AA887" s="35"/>
    </row>
    <row r="888" ht="14.25" customHeight="1">
      <c r="A888" s="136"/>
      <c r="B888" s="137"/>
      <c r="C888" s="251"/>
      <c r="D888" s="252"/>
      <c r="E888" s="136"/>
      <c r="F888" s="253"/>
      <c r="G888" s="253"/>
      <c r="H888" s="140"/>
      <c r="I888" s="141"/>
      <c r="J888" s="141"/>
      <c r="K888" s="142"/>
      <c r="L888" s="142"/>
      <c r="M888" s="142"/>
      <c r="N888" s="142"/>
      <c r="O888" s="136"/>
      <c r="P888" s="34"/>
      <c r="Q888" s="35"/>
      <c r="R888" s="35"/>
      <c r="S888" s="35"/>
      <c r="T888" s="35"/>
      <c r="U888" s="35"/>
      <c r="V888" s="35"/>
      <c r="W888" s="35"/>
      <c r="X888" s="35"/>
      <c r="Y888" s="35"/>
      <c r="Z888" s="35"/>
      <c r="AA888" s="35"/>
    </row>
    <row r="889" ht="14.25" customHeight="1">
      <c r="A889" s="136"/>
      <c r="B889" s="137"/>
      <c r="C889" s="251"/>
      <c r="D889" s="252"/>
      <c r="E889" s="136"/>
      <c r="F889" s="253"/>
      <c r="G889" s="253"/>
      <c r="H889" s="140"/>
      <c r="I889" s="141"/>
      <c r="J889" s="141"/>
      <c r="K889" s="142"/>
      <c r="L889" s="142"/>
      <c r="M889" s="142"/>
      <c r="N889" s="142"/>
      <c r="O889" s="136"/>
      <c r="P889" s="34"/>
      <c r="Q889" s="35"/>
      <c r="R889" s="35"/>
      <c r="S889" s="35"/>
      <c r="T889" s="35"/>
      <c r="U889" s="35"/>
      <c r="V889" s="35"/>
      <c r="W889" s="35"/>
      <c r="X889" s="35"/>
      <c r="Y889" s="35"/>
      <c r="Z889" s="35"/>
      <c r="AA889" s="35"/>
    </row>
    <row r="890" ht="14.25" customHeight="1">
      <c r="A890" s="136"/>
      <c r="B890" s="137"/>
      <c r="C890" s="251"/>
      <c r="D890" s="252"/>
      <c r="E890" s="136"/>
      <c r="F890" s="253"/>
      <c r="G890" s="253"/>
      <c r="H890" s="140"/>
      <c r="I890" s="141"/>
      <c r="J890" s="141"/>
      <c r="K890" s="142"/>
      <c r="L890" s="142"/>
      <c r="M890" s="142"/>
      <c r="N890" s="142"/>
      <c r="O890" s="136"/>
      <c r="P890" s="34"/>
      <c r="Q890" s="35"/>
      <c r="R890" s="35"/>
      <c r="S890" s="35"/>
      <c r="T890" s="35"/>
      <c r="U890" s="35"/>
      <c r="V890" s="35"/>
      <c r="W890" s="35"/>
      <c r="X890" s="35"/>
      <c r="Y890" s="35"/>
      <c r="Z890" s="35"/>
      <c r="AA890" s="35"/>
    </row>
    <row r="891" ht="14.25" customHeight="1">
      <c r="A891" s="136"/>
      <c r="B891" s="137"/>
      <c r="C891" s="251"/>
      <c r="D891" s="252"/>
      <c r="E891" s="136"/>
      <c r="F891" s="253"/>
      <c r="G891" s="253"/>
      <c r="H891" s="140"/>
      <c r="I891" s="141"/>
      <c r="J891" s="141"/>
      <c r="K891" s="142"/>
      <c r="L891" s="142"/>
      <c r="M891" s="142"/>
      <c r="N891" s="142"/>
      <c r="O891" s="136"/>
      <c r="P891" s="34"/>
      <c r="Q891" s="35"/>
      <c r="R891" s="35"/>
      <c r="S891" s="35"/>
      <c r="T891" s="35"/>
      <c r="U891" s="35"/>
      <c r="V891" s="35"/>
      <c r="W891" s="35"/>
      <c r="X891" s="35"/>
      <c r="Y891" s="35"/>
      <c r="Z891" s="35"/>
      <c r="AA891" s="35"/>
    </row>
    <row r="892" ht="14.25" customHeight="1">
      <c r="A892" s="136"/>
      <c r="B892" s="137"/>
      <c r="C892" s="251"/>
      <c r="D892" s="252"/>
      <c r="E892" s="136"/>
      <c r="F892" s="253"/>
      <c r="G892" s="253"/>
      <c r="H892" s="140"/>
      <c r="I892" s="141"/>
      <c r="J892" s="141"/>
      <c r="K892" s="142"/>
      <c r="L892" s="142"/>
      <c r="M892" s="142"/>
      <c r="N892" s="142"/>
      <c r="O892" s="136"/>
      <c r="P892" s="34"/>
      <c r="Q892" s="35"/>
      <c r="R892" s="35"/>
      <c r="S892" s="35"/>
      <c r="T892" s="35"/>
      <c r="U892" s="35"/>
      <c r="V892" s="35"/>
      <c r="W892" s="35"/>
      <c r="X892" s="35"/>
      <c r="Y892" s="35"/>
      <c r="Z892" s="35"/>
      <c r="AA892" s="35"/>
    </row>
    <row r="893" ht="14.25" customHeight="1">
      <c r="A893" s="136"/>
      <c r="B893" s="137"/>
      <c r="C893" s="251"/>
      <c r="D893" s="252"/>
      <c r="E893" s="136"/>
      <c r="F893" s="253"/>
      <c r="G893" s="253"/>
      <c r="H893" s="140"/>
      <c r="I893" s="141"/>
      <c r="J893" s="141"/>
      <c r="K893" s="142"/>
      <c r="L893" s="142"/>
      <c r="M893" s="142"/>
      <c r="N893" s="142"/>
      <c r="O893" s="136"/>
      <c r="P893" s="34"/>
      <c r="Q893" s="35"/>
      <c r="R893" s="35"/>
      <c r="S893" s="35"/>
      <c r="T893" s="35"/>
      <c r="U893" s="35"/>
      <c r="V893" s="35"/>
      <c r="W893" s="35"/>
      <c r="X893" s="35"/>
      <c r="Y893" s="35"/>
      <c r="Z893" s="35"/>
      <c r="AA893" s="35"/>
    </row>
    <row r="894" ht="14.25" customHeight="1">
      <c r="A894" s="136"/>
      <c r="B894" s="137"/>
      <c r="C894" s="251"/>
      <c r="D894" s="252"/>
      <c r="E894" s="136"/>
      <c r="F894" s="253"/>
      <c r="G894" s="253"/>
      <c r="H894" s="140"/>
      <c r="I894" s="141"/>
      <c r="J894" s="141"/>
      <c r="K894" s="142"/>
      <c r="L894" s="142"/>
      <c r="M894" s="142"/>
      <c r="N894" s="142"/>
      <c r="O894" s="136"/>
      <c r="P894" s="34"/>
      <c r="Q894" s="35"/>
      <c r="R894" s="35"/>
      <c r="S894" s="35"/>
      <c r="T894" s="35"/>
      <c r="U894" s="35"/>
      <c r="V894" s="35"/>
      <c r="W894" s="35"/>
      <c r="X894" s="35"/>
      <c r="Y894" s="35"/>
      <c r="Z894" s="35"/>
      <c r="AA894" s="35"/>
    </row>
    <row r="895" ht="14.25" customHeight="1">
      <c r="A895" s="136"/>
      <c r="B895" s="137"/>
      <c r="C895" s="251"/>
      <c r="D895" s="252"/>
      <c r="E895" s="136"/>
      <c r="F895" s="253"/>
      <c r="G895" s="253"/>
      <c r="H895" s="140"/>
      <c r="I895" s="141"/>
      <c r="J895" s="141"/>
      <c r="K895" s="142"/>
      <c r="L895" s="142"/>
      <c r="M895" s="142"/>
      <c r="N895" s="142"/>
      <c r="O895" s="136"/>
      <c r="P895" s="34"/>
      <c r="Q895" s="35"/>
      <c r="R895" s="35"/>
      <c r="S895" s="35"/>
      <c r="T895" s="35"/>
      <c r="U895" s="35"/>
      <c r="V895" s="35"/>
      <c r="W895" s="35"/>
      <c r="X895" s="35"/>
      <c r="Y895" s="35"/>
      <c r="Z895" s="35"/>
      <c r="AA895" s="35"/>
    </row>
    <row r="896" ht="14.25" customHeight="1">
      <c r="A896" s="136"/>
      <c r="B896" s="137"/>
      <c r="C896" s="251"/>
      <c r="D896" s="252"/>
      <c r="E896" s="136"/>
      <c r="F896" s="253"/>
      <c r="G896" s="253"/>
      <c r="H896" s="140"/>
      <c r="I896" s="141"/>
      <c r="J896" s="141"/>
      <c r="K896" s="142"/>
      <c r="L896" s="142"/>
      <c r="M896" s="142"/>
      <c r="N896" s="142"/>
      <c r="O896" s="136"/>
      <c r="P896" s="34"/>
      <c r="Q896" s="35"/>
      <c r="R896" s="35"/>
      <c r="S896" s="35"/>
      <c r="T896" s="35"/>
      <c r="U896" s="35"/>
      <c r="V896" s="35"/>
      <c r="W896" s="35"/>
      <c r="X896" s="35"/>
      <c r="Y896" s="35"/>
      <c r="Z896" s="35"/>
      <c r="AA896" s="35"/>
    </row>
    <row r="897" ht="14.25" customHeight="1">
      <c r="A897" s="136"/>
      <c r="B897" s="137"/>
      <c r="C897" s="251"/>
      <c r="D897" s="252"/>
      <c r="E897" s="136"/>
      <c r="F897" s="253"/>
      <c r="G897" s="253"/>
      <c r="H897" s="140"/>
      <c r="I897" s="141"/>
      <c r="J897" s="141"/>
      <c r="K897" s="142"/>
      <c r="L897" s="142"/>
      <c r="M897" s="142"/>
      <c r="N897" s="142"/>
      <c r="O897" s="136"/>
      <c r="P897" s="34"/>
      <c r="Q897" s="35"/>
      <c r="R897" s="35"/>
      <c r="S897" s="35"/>
      <c r="T897" s="35"/>
      <c r="U897" s="35"/>
      <c r="V897" s="35"/>
      <c r="W897" s="35"/>
      <c r="X897" s="35"/>
      <c r="Y897" s="35"/>
      <c r="Z897" s="35"/>
      <c r="AA897" s="35"/>
    </row>
    <row r="898" ht="14.25" customHeight="1">
      <c r="A898" s="136"/>
      <c r="B898" s="137"/>
      <c r="C898" s="251"/>
      <c r="D898" s="252"/>
      <c r="E898" s="136"/>
      <c r="F898" s="253"/>
      <c r="G898" s="253"/>
      <c r="H898" s="140"/>
      <c r="I898" s="141"/>
      <c r="J898" s="141"/>
      <c r="K898" s="142"/>
      <c r="L898" s="142"/>
      <c r="M898" s="142"/>
      <c r="N898" s="142"/>
      <c r="O898" s="136"/>
      <c r="P898" s="34"/>
      <c r="Q898" s="35"/>
      <c r="R898" s="35"/>
      <c r="S898" s="35"/>
      <c r="T898" s="35"/>
      <c r="U898" s="35"/>
      <c r="V898" s="35"/>
      <c r="W898" s="35"/>
      <c r="X898" s="35"/>
      <c r="Y898" s="35"/>
      <c r="Z898" s="35"/>
      <c r="AA898" s="35"/>
    </row>
    <row r="899" ht="14.25" customHeight="1">
      <c r="A899" s="136"/>
      <c r="B899" s="137"/>
      <c r="C899" s="251"/>
      <c r="D899" s="252"/>
      <c r="E899" s="136"/>
      <c r="F899" s="253"/>
      <c r="G899" s="253"/>
      <c r="H899" s="140"/>
      <c r="I899" s="141"/>
      <c r="J899" s="141"/>
      <c r="K899" s="142"/>
      <c r="L899" s="142"/>
      <c r="M899" s="142"/>
      <c r="N899" s="142"/>
      <c r="O899" s="136"/>
      <c r="P899" s="34"/>
      <c r="Q899" s="35"/>
      <c r="R899" s="35"/>
      <c r="S899" s="35"/>
      <c r="T899" s="35"/>
      <c r="U899" s="35"/>
      <c r="V899" s="35"/>
      <c r="W899" s="35"/>
      <c r="X899" s="35"/>
      <c r="Y899" s="35"/>
      <c r="Z899" s="35"/>
      <c r="AA899" s="35"/>
    </row>
    <row r="900" ht="14.25" customHeight="1">
      <c r="A900" s="136"/>
      <c r="B900" s="137"/>
      <c r="C900" s="251"/>
      <c r="D900" s="252"/>
      <c r="E900" s="136"/>
      <c r="F900" s="253"/>
      <c r="G900" s="253"/>
      <c r="H900" s="140"/>
      <c r="I900" s="141"/>
      <c r="J900" s="141"/>
      <c r="K900" s="142"/>
      <c r="L900" s="142"/>
      <c r="M900" s="142"/>
      <c r="N900" s="142"/>
      <c r="O900" s="136"/>
      <c r="P900" s="34"/>
      <c r="Q900" s="35"/>
      <c r="R900" s="35"/>
      <c r="S900" s="35"/>
      <c r="T900" s="35"/>
      <c r="U900" s="35"/>
      <c r="V900" s="35"/>
      <c r="W900" s="35"/>
      <c r="X900" s="35"/>
      <c r="Y900" s="35"/>
      <c r="Z900" s="35"/>
      <c r="AA900" s="35"/>
    </row>
    <row r="901" ht="14.25" customHeight="1">
      <c r="A901" s="136"/>
      <c r="B901" s="137"/>
      <c r="C901" s="251"/>
      <c r="D901" s="252"/>
      <c r="E901" s="136"/>
      <c r="F901" s="253"/>
      <c r="G901" s="253"/>
      <c r="H901" s="140"/>
      <c r="I901" s="141"/>
      <c r="J901" s="141"/>
      <c r="K901" s="142"/>
      <c r="L901" s="142"/>
      <c r="M901" s="142"/>
      <c r="N901" s="142"/>
      <c r="O901" s="136"/>
      <c r="P901" s="34"/>
      <c r="Q901" s="35"/>
      <c r="R901" s="35"/>
      <c r="S901" s="35"/>
      <c r="T901" s="35"/>
      <c r="U901" s="35"/>
      <c r="V901" s="35"/>
      <c r="W901" s="35"/>
      <c r="X901" s="35"/>
      <c r="Y901" s="35"/>
      <c r="Z901" s="35"/>
      <c r="AA901" s="35"/>
    </row>
    <row r="902" ht="14.25" customHeight="1">
      <c r="A902" s="136"/>
      <c r="B902" s="137"/>
      <c r="C902" s="251"/>
      <c r="D902" s="252"/>
      <c r="E902" s="136"/>
      <c r="F902" s="253"/>
      <c r="G902" s="253"/>
      <c r="H902" s="140"/>
      <c r="I902" s="141"/>
      <c r="J902" s="141"/>
      <c r="K902" s="142"/>
      <c r="L902" s="142"/>
      <c r="M902" s="142"/>
      <c r="N902" s="142"/>
      <c r="O902" s="136"/>
      <c r="P902" s="34"/>
      <c r="Q902" s="35"/>
      <c r="R902" s="35"/>
      <c r="S902" s="35"/>
      <c r="T902" s="35"/>
      <c r="U902" s="35"/>
      <c r="V902" s="35"/>
      <c r="W902" s="35"/>
      <c r="X902" s="35"/>
      <c r="Y902" s="35"/>
      <c r="Z902" s="35"/>
      <c r="AA902" s="35"/>
    </row>
    <row r="903" ht="14.25" customHeight="1">
      <c r="A903" s="136"/>
      <c r="B903" s="137"/>
      <c r="C903" s="251"/>
      <c r="D903" s="252"/>
      <c r="E903" s="136"/>
      <c r="F903" s="253"/>
      <c r="G903" s="253"/>
      <c r="H903" s="140"/>
      <c r="I903" s="141"/>
      <c r="J903" s="141"/>
      <c r="K903" s="142"/>
      <c r="L903" s="142"/>
      <c r="M903" s="142"/>
      <c r="N903" s="142"/>
      <c r="O903" s="136"/>
      <c r="P903" s="34"/>
      <c r="Q903" s="35"/>
      <c r="R903" s="35"/>
      <c r="S903" s="35"/>
      <c r="T903" s="35"/>
      <c r="U903" s="35"/>
      <c r="V903" s="35"/>
      <c r="W903" s="35"/>
      <c r="X903" s="35"/>
      <c r="Y903" s="35"/>
      <c r="Z903" s="35"/>
      <c r="AA903" s="35"/>
    </row>
    <row r="904" ht="14.25" customHeight="1">
      <c r="A904" s="136"/>
      <c r="B904" s="137"/>
      <c r="C904" s="251"/>
      <c r="D904" s="252"/>
      <c r="E904" s="136"/>
      <c r="F904" s="253"/>
      <c r="G904" s="253"/>
      <c r="H904" s="140"/>
      <c r="I904" s="141"/>
      <c r="J904" s="141"/>
      <c r="K904" s="142"/>
      <c r="L904" s="142"/>
      <c r="M904" s="142"/>
      <c r="N904" s="142"/>
      <c r="O904" s="136"/>
      <c r="P904" s="34"/>
      <c r="Q904" s="35"/>
      <c r="R904" s="35"/>
      <c r="S904" s="35"/>
      <c r="T904" s="35"/>
      <c r="U904" s="35"/>
      <c r="V904" s="35"/>
      <c r="W904" s="35"/>
      <c r="X904" s="35"/>
      <c r="Y904" s="35"/>
      <c r="Z904" s="35"/>
      <c r="AA904" s="35"/>
    </row>
    <row r="905" ht="14.25" customHeight="1">
      <c r="A905" s="136"/>
      <c r="B905" s="137"/>
      <c r="C905" s="251"/>
      <c r="D905" s="252"/>
      <c r="E905" s="136"/>
      <c r="F905" s="253"/>
      <c r="G905" s="253"/>
      <c r="H905" s="140"/>
      <c r="I905" s="141"/>
      <c r="J905" s="141"/>
      <c r="K905" s="142"/>
      <c r="L905" s="142"/>
      <c r="M905" s="142"/>
      <c r="N905" s="142"/>
      <c r="O905" s="136"/>
      <c r="P905" s="34"/>
      <c r="Q905" s="35"/>
      <c r="R905" s="35"/>
      <c r="S905" s="35"/>
      <c r="T905" s="35"/>
      <c r="U905" s="35"/>
      <c r="V905" s="35"/>
      <c r="W905" s="35"/>
      <c r="X905" s="35"/>
      <c r="Y905" s="35"/>
      <c r="Z905" s="35"/>
      <c r="AA905" s="35"/>
    </row>
    <row r="906" ht="14.25" customHeight="1">
      <c r="A906" s="136"/>
      <c r="B906" s="137"/>
      <c r="C906" s="251"/>
      <c r="D906" s="252"/>
      <c r="E906" s="136"/>
      <c r="F906" s="253"/>
      <c r="G906" s="253"/>
      <c r="H906" s="140"/>
      <c r="I906" s="141"/>
      <c r="J906" s="141"/>
      <c r="K906" s="142"/>
      <c r="L906" s="142"/>
      <c r="M906" s="142"/>
      <c r="N906" s="142"/>
      <c r="O906" s="136"/>
      <c r="P906" s="34"/>
      <c r="Q906" s="35"/>
      <c r="R906" s="35"/>
      <c r="S906" s="35"/>
      <c r="T906" s="35"/>
      <c r="U906" s="35"/>
      <c r="V906" s="35"/>
      <c r="W906" s="35"/>
      <c r="X906" s="35"/>
      <c r="Y906" s="35"/>
      <c r="Z906" s="35"/>
      <c r="AA906" s="35"/>
    </row>
    <row r="907" ht="14.25" customHeight="1">
      <c r="A907" s="136"/>
      <c r="B907" s="137"/>
      <c r="C907" s="251"/>
      <c r="D907" s="252"/>
      <c r="E907" s="136"/>
      <c r="F907" s="253"/>
      <c r="G907" s="253"/>
      <c r="H907" s="140"/>
      <c r="I907" s="141"/>
      <c r="J907" s="141"/>
      <c r="K907" s="142"/>
      <c r="L907" s="142"/>
      <c r="M907" s="142"/>
      <c r="N907" s="142"/>
      <c r="O907" s="136"/>
      <c r="P907" s="34"/>
      <c r="Q907" s="35"/>
      <c r="R907" s="35"/>
      <c r="S907" s="35"/>
      <c r="T907" s="35"/>
      <c r="U907" s="35"/>
      <c r="V907" s="35"/>
      <c r="W907" s="35"/>
      <c r="X907" s="35"/>
      <c r="Y907" s="35"/>
      <c r="Z907" s="35"/>
      <c r="AA907" s="35"/>
    </row>
    <row r="908" ht="14.25" customHeight="1">
      <c r="A908" s="136"/>
      <c r="B908" s="137"/>
      <c r="C908" s="251"/>
      <c r="D908" s="252"/>
      <c r="E908" s="136"/>
      <c r="F908" s="253"/>
      <c r="G908" s="253"/>
      <c r="H908" s="140"/>
      <c r="I908" s="141"/>
      <c r="J908" s="141"/>
      <c r="K908" s="142"/>
      <c r="L908" s="142"/>
      <c r="M908" s="142"/>
      <c r="N908" s="142"/>
      <c r="O908" s="136"/>
      <c r="P908" s="34"/>
      <c r="Q908" s="35"/>
      <c r="R908" s="35"/>
      <c r="S908" s="35"/>
      <c r="T908" s="35"/>
      <c r="U908" s="35"/>
      <c r="V908" s="35"/>
      <c r="W908" s="35"/>
      <c r="X908" s="35"/>
      <c r="Y908" s="35"/>
      <c r="Z908" s="35"/>
      <c r="AA908" s="35"/>
    </row>
    <row r="909" ht="14.25" customHeight="1">
      <c r="A909" s="136"/>
      <c r="B909" s="137"/>
      <c r="C909" s="251"/>
      <c r="D909" s="252"/>
      <c r="E909" s="136"/>
      <c r="F909" s="253"/>
      <c r="G909" s="253"/>
      <c r="H909" s="140"/>
      <c r="I909" s="141"/>
      <c r="J909" s="141"/>
      <c r="K909" s="142"/>
      <c r="L909" s="142"/>
      <c r="M909" s="142"/>
      <c r="N909" s="142"/>
      <c r="O909" s="136"/>
      <c r="P909" s="34"/>
      <c r="Q909" s="35"/>
      <c r="R909" s="35"/>
      <c r="S909" s="35"/>
      <c r="T909" s="35"/>
      <c r="U909" s="35"/>
      <c r="V909" s="35"/>
      <c r="W909" s="35"/>
      <c r="X909" s="35"/>
      <c r="Y909" s="35"/>
      <c r="Z909" s="35"/>
      <c r="AA909" s="35"/>
    </row>
    <row r="910" ht="14.25" customHeight="1">
      <c r="A910" s="136"/>
      <c r="B910" s="137"/>
      <c r="C910" s="251"/>
      <c r="D910" s="252"/>
      <c r="E910" s="136"/>
      <c r="F910" s="253"/>
      <c r="G910" s="253"/>
      <c r="H910" s="140"/>
      <c r="I910" s="141"/>
      <c r="J910" s="141"/>
      <c r="K910" s="142"/>
      <c r="L910" s="142"/>
      <c r="M910" s="142"/>
      <c r="N910" s="142"/>
      <c r="O910" s="136"/>
      <c r="P910" s="34"/>
      <c r="Q910" s="35"/>
      <c r="R910" s="35"/>
      <c r="S910" s="35"/>
      <c r="T910" s="35"/>
      <c r="U910" s="35"/>
      <c r="V910" s="35"/>
      <c r="W910" s="35"/>
      <c r="X910" s="35"/>
      <c r="Y910" s="35"/>
      <c r="Z910" s="35"/>
      <c r="AA910" s="35"/>
    </row>
    <row r="911" ht="14.25" customHeight="1">
      <c r="A911" s="136"/>
      <c r="B911" s="137"/>
      <c r="C911" s="251"/>
      <c r="D911" s="252"/>
      <c r="E911" s="136"/>
      <c r="F911" s="253"/>
      <c r="G911" s="253"/>
      <c r="H911" s="140"/>
      <c r="I911" s="141"/>
      <c r="J911" s="141"/>
      <c r="K911" s="142"/>
      <c r="L911" s="142"/>
      <c r="M911" s="142"/>
      <c r="N911" s="142"/>
      <c r="O911" s="136"/>
      <c r="P911" s="34"/>
      <c r="Q911" s="35"/>
      <c r="R911" s="35"/>
      <c r="S911" s="35"/>
      <c r="T911" s="35"/>
      <c r="U911" s="35"/>
      <c r="V911" s="35"/>
      <c r="W911" s="35"/>
      <c r="X911" s="35"/>
      <c r="Y911" s="35"/>
      <c r="Z911" s="35"/>
      <c r="AA911" s="35"/>
    </row>
    <row r="912" ht="14.25" customHeight="1">
      <c r="A912" s="136"/>
      <c r="B912" s="137"/>
      <c r="C912" s="251"/>
      <c r="D912" s="252"/>
      <c r="E912" s="136"/>
      <c r="F912" s="253"/>
      <c r="G912" s="253"/>
      <c r="H912" s="140"/>
      <c r="I912" s="141"/>
      <c r="J912" s="141"/>
      <c r="K912" s="142"/>
      <c r="L912" s="142"/>
      <c r="M912" s="142"/>
      <c r="N912" s="142"/>
      <c r="O912" s="136"/>
      <c r="P912" s="34"/>
      <c r="Q912" s="35"/>
      <c r="R912" s="35"/>
      <c r="S912" s="35"/>
      <c r="T912" s="35"/>
      <c r="U912" s="35"/>
      <c r="V912" s="35"/>
      <c r="W912" s="35"/>
      <c r="X912" s="35"/>
      <c r="Y912" s="35"/>
      <c r="Z912" s="35"/>
      <c r="AA912" s="35"/>
    </row>
    <row r="913" ht="14.25" customHeight="1">
      <c r="A913" s="136"/>
      <c r="B913" s="137"/>
      <c r="C913" s="251"/>
      <c r="D913" s="252"/>
      <c r="E913" s="136"/>
      <c r="F913" s="253"/>
      <c r="G913" s="253"/>
      <c r="H913" s="140"/>
      <c r="I913" s="141"/>
      <c r="J913" s="141"/>
      <c r="K913" s="142"/>
      <c r="L913" s="142"/>
      <c r="M913" s="142"/>
      <c r="N913" s="142"/>
      <c r="O913" s="136"/>
      <c r="P913" s="34"/>
      <c r="Q913" s="35"/>
      <c r="R913" s="35"/>
      <c r="S913" s="35"/>
      <c r="T913" s="35"/>
      <c r="U913" s="35"/>
      <c r="V913" s="35"/>
      <c r="W913" s="35"/>
      <c r="X913" s="35"/>
      <c r="Y913" s="35"/>
      <c r="Z913" s="35"/>
      <c r="AA913" s="35"/>
    </row>
    <row r="914" ht="14.25" customHeight="1">
      <c r="A914" s="136"/>
      <c r="B914" s="137"/>
      <c r="C914" s="251"/>
      <c r="D914" s="252"/>
      <c r="E914" s="136"/>
      <c r="F914" s="253"/>
      <c r="G914" s="253"/>
      <c r="H914" s="140"/>
      <c r="I914" s="141"/>
      <c r="J914" s="141"/>
      <c r="K914" s="142"/>
      <c r="L914" s="142"/>
      <c r="M914" s="142"/>
      <c r="N914" s="142"/>
      <c r="O914" s="136"/>
      <c r="P914" s="34"/>
      <c r="Q914" s="35"/>
      <c r="R914" s="35"/>
      <c r="S914" s="35"/>
      <c r="T914" s="35"/>
      <c r="U914" s="35"/>
      <c r="V914" s="35"/>
      <c r="W914" s="35"/>
      <c r="X914" s="35"/>
      <c r="Y914" s="35"/>
      <c r="Z914" s="35"/>
      <c r="AA914" s="35"/>
    </row>
    <row r="915" ht="14.25" customHeight="1">
      <c r="A915" s="136"/>
      <c r="B915" s="137"/>
      <c r="C915" s="251"/>
      <c r="D915" s="252"/>
      <c r="E915" s="136"/>
      <c r="F915" s="253"/>
      <c r="G915" s="253"/>
      <c r="H915" s="140"/>
      <c r="I915" s="141"/>
      <c r="J915" s="141"/>
      <c r="K915" s="142"/>
      <c r="L915" s="142"/>
      <c r="M915" s="142"/>
      <c r="N915" s="142"/>
      <c r="O915" s="136"/>
      <c r="P915" s="34"/>
      <c r="Q915" s="35"/>
      <c r="R915" s="35"/>
      <c r="S915" s="35"/>
      <c r="T915" s="35"/>
      <c r="U915" s="35"/>
      <c r="V915" s="35"/>
      <c r="W915" s="35"/>
      <c r="X915" s="35"/>
      <c r="Y915" s="35"/>
      <c r="Z915" s="35"/>
      <c r="AA915" s="35"/>
    </row>
    <row r="916" ht="14.25" customHeight="1">
      <c r="A916" s="136"/>
      <c r="B916" s="137"/>
      <c r="C916" s="251"/>
      <c r="D916" s="252"/>
      <c r="E916" s="136"/>
      <c r="F916" s="253"/>
      <c r="G916" s="253"/>
      <c r="H916" s="140"/>
      <c r="I916" s="141"/>
      <c r="J916" s="141"/>
      <c r="K916" s="142"/>
      <c r="L916" s="142"/>
      <c r="M916" s="142"/>
      <c r="N916" s="142"/>
      <c r="O916" s="136"/>
      <c r="P916" s="34"/>
      <c r="Q916" s="35"/>
      <c r="R916" s="35"/>
      <c r="S916" s="35"/>
      <c r="T916" s="35"/>
      <c r="U916" s="35"/>
      <c r="V916" s="35"/>
      <c r="W916" s="35"/>
      <c r="X916" s="35"/>
      <c r="Y916" s="35"/>
      <c r="Z916" s="35"/>
      <c r="AA916" s="35"/>
    </row>
    <row r="917" ht="14.25" customHeight="1">
      <c r="A917" s="136"/>
      <c r="B917" s="137"/>
      <c r="C917" s="251"/>
      <c r="D917" s="252"/>
      <c r="E917" s="136"/>
      <c r="F917" s="253"/>
      <c r="G917" s="253"/>
      <c r="H917" s="140"/>
      <c r="I917" s="141"/>
      <c r="J917" s="141"/>
      <c r="K917" s="142"/>
      <c r="L917" s="142"/>
      <c r="M917" s="142"/>
      <c r="N917" s="142"/>
      <c r="O917" s="136"/>
      <c r="P917" s="34"/>
      <c r="Q917" s="35"/>
      <c r="R917" s="35"/>
      <c r="S917" s="35"/>
      <c r="T917" s="35"/>
      <c r="U917" s="35"/>
      <c r="V917" s="35"/>
      <c r="W917" s="35"/>
      <c r="X917" s="35"/>
      <c r="Y917" s="35"/>
      <c r="Z917" s="35"/>
      <c r="AA917" s="35"/>
    </row>
    <row r="918" ht="14.25" customHeight="1">
      <c r="A918" s="136"/>
      <c r="B918" s="137"/>
      <c r="C918" s="251"/>
      <c r="D918" s="252"/>
      <c r="E918" s="136"/>
      <c r="F918" s="253"/>
      <c r="G918" s="253"/>
      <c r="H918" s="140"/>
      <c r="I918" s="141"/>
      <c r="J918" s="141"/>
      <c r="K918" s="142"/>
      <c r="L918" s="142"/>
      <c r="M918" s="142"/>
      <c r="N918" s="142"/>
      <c r="O918" s="136"/>
      <c r="P918" s="34"/>
      <c r="Q918" s="35"/>
      <c r="R918" s="35"/>
      <c r="S918" s="35"/>
      <c r="T918" s="35"/>
      <c r="U918" s="35"/>
      <c r="V918" s="35"/>
      <c r="W918" s="35"/>
      <c r="X918" s="35"/>
      <c r="Y918" s="35"/>
      <c r="Z918" s="35"/>
      <c r="AA918" s="35"/>
    </row>
    <row r="919" ht="14.25" customHeight="1">
      <c r="A919" s="136"/>
      <c r="B919" s="137"/>
      <c r="C919" s="251"/>
      <c r="D919" s="252"/>
      <c r="E919" s="136"/>
      <c r="F919" s="253"/>
      <c r="G919" s="253"/>
      <c r="H919" s="140"/>
      <c r="I919" s="141"/>
      <c r="J919" s="141"/>
      <c r="K919" s="142"/>
      <c r="L919" s="142"/>
      <c r="M919" s="142"/>
      <c r="N919" s="142"/>
      <c r="O919" s="136"/>
      <c r="P919" s="34"/>
      <c r="Q919" s="35"/>
      <c r="R919" s="35"/>
      <c r="S919" s="35"/>
      <c r="T919" s="35"/>
      <c r="U919" s="35"/>
      <c r="V919" s="35"/>
      <c r="W919" s="35"/>
      <c r="X919" s="35"/>
      <c r="Y919" s="35"/>
      <c r="Z919" s="35"/>
      <c r="AA919" s="35"/>
    </row>
    <row r="920" ht="14.25" customHeight="1">
      <c r="A920" s="136"/>
      <c r="B920" s="137"/>
      <c r="C920" s="251"/>
      <c r="D920" s="252"/>
      <c r="E920" s="136"/>
      <c r="F920" s="253"/>
      <c r="G920" s="253"/>
      <c r="H920" s="140"/>
      <c r="I920" s="141"/>
      <c r="J920" s="141"/>
      <c r="K920" s="142"/>
      <c r="L920" s="142"/>
      <c r="M920" s="142"/>
      <c r="N920" s="142"/>
      <c r="O920" s="136"/>
      <c r="P920" s="34"/>
      <c r="Q920" s="35"/>
      <c r="R920" s="35"/>
      <c r="S920" s="35"/>
      <c r="T920" s="35"/>
      <c r="U920" s="35"/>
      <c r="V920" s="35"/>
      <c r="W920" s="35"/>
      <c r="X920" s="35"/>
      <c r="Y920" s="35"/>
      <c r="Z920" s="35"/>
      <c r="AA920" s="35"/>
    </row>
    <row r="921" ht="14.25" customHeight="1">
      <c r="A921" s="136"/>
      <c r="B921" s="137"/>
      <c r="C921" s="251"/>
      <c r="D921" s="252"/>
      <c r="E921" s="136"/>
      <c r="F921" s="253"/>
      <c r="G921" s="253"/>
      <c r="H921" s="140"/>
      <c r="I921" s="141"/>
      <c r="J921" s="141"/>
      <c r="K921" s="142"/>
      <c r="L921" s="142"/>
      <c r="M921" s="142"/>
      <c r="N921" s="142"/>
      <c r="O921" s="136"/>
      <c r="P921" s="34"/>
      <c r="Q921" s="35"/>
      <c r="R921" s="35"/>
      <c r="S921" s="35"/>
      <c r="T921" s="35"/>
      <c r="U921" s="35"/>
      <c r="V921" s="35"/>
      <c r="W921" s="35"/>
      <c r="X921" s="35"/>
      <c r="Y921" s="35"/>
      <c r="Z921" s="35"/>
      <c r="AA921" s="35"/>
    </row>
    <row r="922" ht="14.25" customHeight="1">
      <c r="A922" s="136"/>
      <c r="B922" s="137"/>
      <c r="C922" s="251"/>
      <c r="D922" s="252"/>
      <c r="E922" s="136"/>
      <c r="F922" s="253"/>
      <c r="G922" s="253"/>
      <c r="H922" s="140"/>
      <c r="I922" s="141"/>
      <c r="J922" s="141"/>
      <c r="K922" s="142"/>
      <c r="L922" s="142"/>
      <c r="M922" s="142"/>
      <c r="N922" s="142"/>
      <c r="O922" s="136"/>
      <c r="P922" s="34"/>
      <c r="Q922" s="35"/>
      <c r="R922" s="35"/>
      <c r="S922" s="35"/>
      <c r="T922" s="35"/>
      <c r="U922" s="35"/>
      <c r="V922" s="35"/>
      <c r="W922" s="35"/>
      <c r="X922" s="35"/>
      <c r="Y922" s="35"/>
      <c r="Z922" s="35"/>
      <c r="AA922" s="35"/>
    </row>
    <row r="923" ht="14.25" customHeight="1">
      <c r="A923" s="136"/>
      <c r="B923" s="137"/>
      <c r="C923" s="251"/>
      <c r="D923" s="252"/>
      <c r="E923" s="136"/>
      <c r="F923" s="253"/>
      <c r="G923" s="253"/>
      <c r="H923" s="140"/>
      <c r="I923" s="141"/>
      <c r="J923" s="141"/>
      <c r="K923" s="142"/>
      <c r="L923" s="142"/>
      <c r="M923" s="142"/>
      <c r="N923" s="142"/>
      <c r="O923" s="136"/>
      <c r="P923" s="34"/>
      <c r="Q923" s="35"/>
      <c r="R923" s="35"/>
      <c r="S923" s="35"/>
      <c r="T923" s="35"/>
      <c r="U923" s="35"/>
      <c r="V923" s="35"/>
      <c r="W923" s="35"/>
      <c r="X923" s="35"/>
      <c r="Y923" s="35"/>
      <c r="Z923" s="35"/>
      <c r="AA923" s="35"/>
    </row>
    <row r="924" ht="14.25" customHeight="1">
      <c r="A924" s="136"/>
      <c r="B924" s="137"/>
      <c r="C924" s="251"/>
      <c r="D924" s="252"/>
      <c r="E924" s="136"/>
      <c r="F924" s="253"/>
      <c r="G924" s="253"/>
      <c r="H924" s="140"/>
      <c r="I924" s="141"/>
      <c r="J924" s="141"/>
      <c r="K924" s="142"/>
      <c r="L924" s="142"/>
      <c r="M924" s="142"/>
      <c r="N924" s="142"/>
      <c r="O924" s="136"/>
      <c r="P924" s="34"/>
      <c r="Q924" s="35"/>
      <c r="R924" s="35"/>
      <c r="S924" s="35"/>
      <c r="T924" s="35"/>
      <c r="U924" s="35"/>
      <c r="V924" s="35"/>
      <c r="W924" s="35"/>
      <c r="X924" s="35"/>
      <c r="Y924" s="35"/>
      <c r="Z924" s="35"/>
      <c r="AA924" s="35"/>
    </row>
    <row r="925" ht="14.25" customHeight="1">
      <c r="A925" s="136"/>
      <c r="B925" s="137"/>
      <c r="C925" s="251"/>
      <c r="D925" s="252"/>
      <c r="E925" s="136"/>
      <c r="F925" s="253"/>
      <c r="G925" s="253"/>
      <c r="H925" s="140"/>
      <c r="I925" s="141"/>
      <c r="J925" s="141"/>
      <c r="K925" s="142"/>
      <c r="L925" s="142"/>
      <c r="M925" s="142"/>
      <c r="N925" s="142"/>
      <c r="O925" s="136"/>
      <c r="P925" s="34"/>
      <c r="Q925" s="35"/>
      <c r="R925" s="35"/>
      <c r="S925" s="35"/>
      <c r="T925" s="35"/>
      <c r="U925" s="35"/>
      <c r="V925" s="35"/>
      <c r="W925" s="35"/>
      <c r="X925" s="35"/>
      <c r="Y925" s="35"/>
      <c r="Z925" s="35"/>
      <c r="AA925" s="35"/>
    </row>
    <row r="926" ht="14.25" customHeight="1">
      <c r="A926" s="136"/>
      <c r="B926" s="137"/>
      <c r="C926" s="251"/>
      <c r="D926" s="252"/>
      <c r="E926" s="136"/>
      <c r="F926" s="253"/>
      <c r="G926" s="253"/>
      <c r="H926" s="140"/>
      <c r="I926" s="141"/>
      <c r="J926" s="141"/>
      <c r="K926" s="142"/>
      <c r="L926" s="142"/>
      <c r="M926" s="142"/>
      <c r="N926" s="142"/>
      <c r="O926" s="136"/>
      <c r="P926" s="34"/>
      <c r="Q926" s="35"/>
      <c r="R926" s="35"/>
      <c r="S926" s="35"/>
      <c r="T926" s="35"/>
      <c r="U926" s="35"/>
      <c r="V926" s="35"/>
      <c r="W926" s="35"/>
      <c r="X926" s="35"/>
      <c r="Y926" s="35"/>
      <c r="Z926" s="35"/>
      <c r="AA926" s="35"/>
    </row>
    <row r="927" ht="14.25" customHeight="1">
      <c r="A927" s="136"/>
      <c r="B927" s="137"/>
      <c r="C927" s="251"/>
      <c r="D927" s="252"/>
      <c r="E927" s="136"/>
      <c r="F927" s="253"/>
      <c r="G927" s="253"/>
      <c r="H927" s="140"/>
      <c r="I927" s="141"/>
      <c r="J927" s="141"/>
      <c r="K927" s="142"/>
      <c r="L927" s="142"/>
      <c r="M927" s="142"/>
      <c r="N927" s="142"/>
      <c r="O927" s="136"/>
      <c r="P927" s="34"/>
      <c r="Q927" s="35"/>
      <c r="R927" s="35"/>
      <c r="S927" s="35"/>
      <c r="T927" s="35"/>
      <c r="U927" s="35"/>
      <c r="V927" s="35"/>
      <c r="W927" s="35"/>
      <c r="X927" s="35"/>
      <c r="Y927" s="35"/>
      <c r="Z927" s="35"/>
      <c r="AA927" s="35"/>
    </row>
    <row r="928" ht="14.25" customHeight="1">
      <c r="A928" s="136"/>
      <c r="B928" s="137"/>
      <c r="C928" s="251"/>
      <c r="D928" s="252"/>
      <c r="E928" s="136"/>
      <c r="F928" s="253"/>
      <c r="G928" s="253"/>
      <c r="H928" s="140"/>
      <c r="I928" s="141"/>
      <c r="J928" s="141"/>
      <c r="K928" s="142"/>
      <c r="L928" s="142"/>
      <c r="M928" s="142"/>
      <c r="N928" s="142"/>
      <c r="O928" s="136"/>
      <c r="P928" s="34"/>
      <c r="Q928" s="35"/>
      <c r="R928" s="35"/>
      <c r="S928" s="35"/>
      <c r="T928" s="35"/>
      <c r="U928" s="35"/>
      <c r="V928" s="35"/>
      <c r="W928" s="35"/>
      <c r="X928" s="35"/>
      <c r="Y928" s="35"/>
      <c r="Z928" s="35"/>
      <c r="AA928" s="35"/>
    </row>
    <row r="929" ht="14.25" customHeight="1">
      <c r="A929" s="136"/>
      <c r="B929" s="137"/>
      <c r="C929" s="251"/>
      <c r="D929" s="252"/>
      <c r="E929" s="136"/>
      <c r="F929" s="253"/>
      <c r="G929" s="253"/>
      <c r="H929" s="140"/>
      <c r="I929" s="141"/>
      <c r="J929" s="141"/>
      <c r="K929" s="142"/>
      <c r="L929" s="142"/>
      <c r="M929" s="142"/>
      <c r="N929" s="142"/>
      <c r="O929" s="136"/>
      <c r="P929" s="34"/>
      <c r="Q929" s="35"/>
      <c r="R929" s="35"/>
      <c r="S929" s="35"/>
      <c r="T929" s="35"/>
      <c r="U929" s="35"/>
      <c r="V929" s="35"/>
      <c r="W929" s="35"/>
      <c r="X929" s="35"/>
      <c r="Y929" s="35"/>
      <c r="Z929" s="35"/>
      <c r="AA929" s="35"/>
    </row>
    <row r="930" ht="14.25" customHeight="1">
      <c r="A930" s="136"/>
      <c r="B930" s="137"/>
      <c r="C930" s="251"/>
      <c r="D930" s="252"/>
      <c r="E930" s="136"/>
      <c r="F930" s="253"/>
      <c r="G930" s="253"/>
      <c r="H930" s="140"/>
      <c r="I930" s="141"/>
      <c r="J930" s="141"/>
      <c r="K930" s="142"/>
      <c r="L930" s="142"/>
      <c r="M930" s="142"/>
      <c r="N930" s="142"/>
      <c r="O930" s="136"/>
      <c r="P930" s="34"/>
      <c r="Q930" s="35"/>
      <c r="R930" s="35"/>
      <c r="S930" s="35"/>
      <c r="T930" s="35"/>
      <c r="U930" s="35"/>
      <c r="V930" s="35"/>
      <c r="W930" s="35"/>
      <c r="X930" s="35"/>
      <c r="Y930" s="35"/>
      <c r="Z930" s="35"/>
      <c r="AA930" s="35"/>
    </row>
    <row r="931" ht="14.25" customHeight="1">
      <c r="A931" s="136"/>
      <c r="B931" s="137"/>
      <c r="C931" s="251"/>
      <c r="D931" s="252"/>
      <c r="E931" s="136"/>
      <c r="F931" s="253"/>
      <c r="G931" s="253"/>
      <c r="H931" s="140"/>
      <c r="I931" s="141"/>
      <c r="J931" s="141"/>
      <c r="K931" s="142"/>
      <c r="L931" s="142"/>
      <c r="M931" s="142"/>
      <c r="N931" s="142"/>
      <c r="O931" s="136"/>
      <c r="P931" s="34"/>
      <c r="Q931" s="35"/>
      <c r="R931" s="35"/>
      <c r="S931" s="35"/>
      <c r="T931" s="35"/>
      <c r="U931" s="35"/>
      <c r="V931" s="35"/>
      <c r="W931" s="35"/>
      <c r="X931" s="35"/>
      <c r="Y931" s="35"/>
      <c r="Z931" s="35"/>
      <c r="AA931" s="35"/>
    </row>
    <row r="932" ht="14.25" customHeight="1">
      <c r="A932" s="136"/>
      <c r="B932" s="137"/>
      <c r="C932" s="251"/>
      <c r="D932" s="252"/>
      <c r="E932" s="136"/>
      <c r="F932" s="253"/>
      <c r="G932" s="253"/>
      <c r="H932" s="140"/>
      <c r="I932" s="141"/>
      <c r="J932" s="141"/>
      <c r="K932" s="142"/>
      <c r="L932" s="142"/>
      <c r="M932" s="142"/>
      <c r="N932" s="142"/>
      <c r="O932" s="136"/>
      <c r="P932" s="34"/>
      <c r="Q932" s="35"/>
      <c r="R932" s="35"/>
      <c r="S932" s="35"/>
      <c r="T932" s="35"/>
      <c r="U932" s="35"/>
      <c r="V932" s="35"/>
      <c r="W932" s="35"/>
      <c r="X932" s="35"/>
      <c r="Y932" s="35"/>
      <c r="Z932" s="35"/>
      <c r="AA932" s="35"/>
    </row>
    <row r="933" ht="14.25" customHeight="1">
      <c r="A933" s="136"/>
      <c r="B933" s="137"/>
      <c r="C933" s="251"/>
      <c r="D933" s="252"/>
      <c r="E933" s="136"/>
      <c r="F933" s="253"/>
      <c r="G933" s="253"/>
      <c r="H933" s="140"/>
      <c r="I933" s="141"/>
      <c r="J933" s="141"/>
      <c r="K933" s="142"/>
      <c r="L933" s="142"/>
      <c r="M933" s="142"/>
      <c r="N933" s="142"/>
      <c r="O933" s="136"/>
      <c r="P933" s="34"/>
      <c r="Q933" s="35"/>
      <c r="R933" s="35"/>
      <c r="S933" s="35"/>
      <c r="T933" s="35"/>
      <c r="U933" s="35"/>
      <c r="V933" s="35"/>
      <c r="W933" s="35"/>
      <c r="X933" s="35"/>
      <c r="Y933" s="35"/>
      <c r="Z933" s="35"/>
      <c r="AA933" s="35"/>
    </row>
    <row r="934" ht="14.25" customHeight="1">
      <c r="A934" s="136"/>
      <c r="B934" s="137"/>
      <c r="C934" s="251"/>
      <c r="D934" s="252"/>
      <c r="E934" s="136"/>
      <c r="F934" s="253"/>
      <c r="G934" s="253"/>
      <c r="H934" s="140"/>
      <c r="I934" s="141"/>
      <c r="J934" s="141"/>
      <c r="K934" s="142"/>
      <c r="L934" s="142"/>
      <c r="M934" s="142"/>
      <c r="N934" s="142"/>
      <c r="O934" s="136"/>
      <c r="P934" s="34"/>
      <c r="Q934" s="35"/>
      <c r="R934" s="35"/>
      <c r="S934" s="35"/>
      <c r="T934" s="35"/>
      <c r="U934" s="35"/>
      <c r="V934" s="35"/>
      <c r="W934" s="35"/>
      <c r="X934" s="35"/>
      <c r="Y934" s="35"/>
      <c r="Z934" s="35"/>
      <c r="AA934" s="35"/>
    </row>
    <row r="935" ht="14.25" customHeight="1">
      <c r="A935" s="136"/>
      <c r="B935" s="137"/>
      <c r="C935" s="251"/>
      <c r="D935" s="252"/>
      <c r="E935" s="136"/>
      <c r="F935" s="253"/>
      <c r="G935" s="253"/>
      <c r="H935" s="140"/>
      <c r="I935" s="141"/>
      <c r="J935" s="141"/>
      <c r="K935" s="142"/>
      <c r="L935" s="142"/>
      <c r="M935" s="142"/>
      <c r="N935" s="142"/>
      <c r="O935" s="136"/>
      <c r="P935" s="34"/>
      <c r="Q935" s="35"/>
      <c r="R935" s="35"/>
      <c r="S935" s="35"/>
      <c r="T935" s="35"/>
      <c r="U935" s="35"/>
      <c r="V935" s="35"/>
      <c r="W935" s="35"/>
      <c r="X935" s="35"/>
      <c r="Y935" s="35"/>
      <c r="Z935" s="35"/>
      <c r="AA935" s="35"/>
    </row>
    <row r="936" ht="14.25" customHeight="1">
      <c r="A936" s="136"/>
      <c r="B936" s="137"/>
      <c r="C936" s="251"/>
      <c r="D936" s="252"/>
      <c r="E936" s="136"/>
      <c r="F936" s="253"/>
      <c r="G936" s="253"/>
      <c r="H936" s="140"/>
      <c r="I936" s="141"/>
      <c r="J936" s="141"/>
      <c r="K936" s="142"/>
      <c r="L936" s="142"/>
      <c r="M936" s="142"/>
      <c r="N936" s="142"/>
      <c r="O936" s="136"/>
      <c r="P936" s="34"/>
      <c r="Q936" s="35"/>
      <c r="R936" s="35"/>
      <c r="S936" s="35"/>
      <c r="T936" s="35"/>
      <c r="U936" s="35"/>
      <c r="V936" s="35"/>
      <c r="W936" s="35"/>
      <c r="X936" s="35"/>
      <c r="Y936" s="35"/>
      <c r="Z936" s="35"/>
      <c r="AA936" s="35"/>
    </row>
    <row r="937" ht="14.25" customHeight="1">
      <c r="A937" s="136"/>
      <c r="B937" s="137"/>
      <c r="C937" s="251"/>
      <c r="D937" s="252"/>
      <c r="E937" s="136"/>
      <c r="F937" s="253"/>
      <c r="G937" s="253"/>
      <c r="H937" s="140"/>
      <c r="I937" s="141"/>
      <c r="J937" s="141"/>
      <c r="K937" s="142"/>
      <c r="L937" s="142"/>
      <c r="M937" s="142"/>
      <c r="N937" s="142"/>
      <c r="O937" s="136"/>
      <c r="P937" s="34"/>
      <c r="Q937" s="35"/>
      <c r="R937" s="35"/>
      <c r="S937" s="35"/>
      <c r="T937" s="35"/>
      <c r="U937" s="35"/>
      <c r="V937" s="35"/>
      <c r="W937" s="35"/>
      <c r="X937" s="35"/>
      <c r="Y937" s="35"/>
      <c r="Z937" s="35"/>
      <c r="AA937" s="35"/>
    </row>
    <row r="938" ht="14.25" customHeight="1">
      <c r="A938" s="136"/>
      <c r="B938" s="137"/>
      <c r="C938" s="251"/>
      <c r="D938" s="252"/>
      <c r="E938" s="136"/>
      <c r="F938" s="253"/>
      <c r="G938" s="253"/>
      <c r="H938" s="140"/>
      <c r="I938" s="141"/>
      <c r="J938" s="141"/>
      <c r="K938" s="142"/>
      <c r="L938" s="142"/>
      <c r="M938" s="142"/>
      <c r="N938" s="142"/>
      <c r="O938" s="136"/>
      <c r="P938" s="34"/>
      <c r="Q938" s="35"/>
      <c r="R938" s="35"/>
      <c r="S938" s="35"/>
      <c r="T938" s="35"/>
      <c r="U938" s="35"/>
      <c r="V938" s="35"/>
      <c r="W938" s="35"/>
      <c r="X938" s="35"/>
      <c r="Y938" s="35"/>
      <c r="Z938" s="35"/>
      <c r="AA938" s="35"/>
    </row>
    <row r="939" ht="14.25" customHeight="1">
      <c r="A939" s="136"/>
      <c r="B939" s="137"/>
      <c r="C939" s="251"/>
      <c r="D939" s="252"/>
      <c r="E939" s="136"/>
      <c r="F939" s="253"/>
      <c r="G939" s="253"/>
      <c r="H939" s="140"/>
      <c r="I939" s="141"/>
      <c r="J939" s="141"/>
      <c r="K939" s="142"/>
      <c r="L939" s="142"/>
      <c r="M939" s="142"/>
      <c r="N939" s="142"/>
      <c r="O939" s="136"/>
      <c r="P939" s="34"/>
      <c r="Q939" s="35"/>
      <c r="R939" s="35"/>
      <c r="S939" s="35"/>
      <c r="T939" s="35"/>
      <c r="U939" s="35"/>
      <c r="V939" s="35"/>
      <c r="W939" s="35"/>
      <c r="X939" s="35"/>
      <c r="Y939" s="35"/>
      <c r="Z939" s="35"/>
      <c r="AA939" s="35"/>
    </row>
    <row r="940" ht="14.25" customHeight="1">
      <c r="A940" s="136"/>
      <c r="B940" s="137"/>
      <c r="C940" s="251"/>
      <c r="D940" s="252"/>
      <c r="E940" s="136"/>
      <c r="F940" s="253"/>
      <c r="G940" s="253"/>
      <c r="H940" s="140"/>
      <c r="I940" s="141"/>
      <c r="J940" s="141"/>
      <c r="K940" s="142"/>
      <c r="L940" s="142"/>
      <c r="M940" s="142"/>
      <c r="N940" s="142"/>
      <c r="O940" s="136"/>
      <c r="P940" s="34"/>
      <c r="Q940" s="35"/>
      <c r="R940" s="35"/>
      <c r="S940" s="35"/>
      <c r="T940" s="35"/>
      <c r="U940" s="35"/>
      <c r="V940" s="35"/>
      <c r="W940" s="35"/>
      <c r="X940" s="35"/>
      <c r="Y940" s="35"/>
      <c r="Z940" s="35"/>
      <c r="AA940" s="35"/>
    </row>
    <row r="941" ht="14.25" customHeight="1">
      <c r="A941" s="136"/>
      <c r="B941" s="137"/>
      <c r="C941" s="251"/>
      <c r="D941" s="252"/>
      <c r="E941" s="136"/>
      <c r="F941" s="253"/>
      <c r="G941" s="253"/>
      <c r="H941" s="140"/>
      <c r="I941" s="141"/>
      <c r="J941" s="141"/>
      <c r="K941" s="142"/>
      <c r="L941" s="142"/>
      <c r="M941" s="142"/>
      <c r="N941" s="142"/>
      <c r="O941" s="136"/>
      <c r="P941" s="34"/>
      <c r="Q941" s="35"/>
      <c r="R941" s="35"/>
      <c r="S941" s="35"/>
      <c r="T941" s="35"/>
      <c r="U941" s="35"/>
      <c r="V941" s="35"/>
      <c r="W941" s="35"/>
      <c r="X941" s="35"/>
      <c r="Y941" s="35"/>
      <c r="Z941" s="35"/>
      <c r="AA941" s="35"/>
    </row>
    <row r="942" ht="14.25" customHeight="1">
      <c r="A942" s="136"/>
      <c r="B942" s="137"/>
      <c r="C942" s="251"/>
      <c r="D942" s="252"/>
      <c r="E942" s="136"/>
      <c r="F942" s="253"/>
      <c r="G942" s="253"/>
      <c r="H942" s="140"/>
      <c r="I942" s="141"/>
      <c r="J942" s="141"/>
      <c r="K942" s="142"/>
      <c r="L942" s="142"/>
      <c r="M942" s="142"/>
      <c r="N942" s="142"/>
      <c r="O942" s="136"/>
      <c r="P942" s="34"/>
      <c r="Q942" s="35"/>
      <c r="R942" s="35"/>
      <c r="S942" s="35"/>
      <c r="T942" s="35"/>
      <c r="U942" s="35"/>
      <c r="V942" s="35"/>
      <c r="W942" s="35"/>
      <c r="X942" s="35"/>
      <c r="Y942" s="35"/>
      <c r="Z942" s="35"/>
      <c r="AA942" s="35"/>
    </row>
    <row r="943" ht="14.25" customHeight="1">
      <c r="A943" s="136"/>
      <c r="B943" s="137"/>
      <c r="C943" s="251"/>
      <c r="D943" s="252"/>
      <c r="E943" s="136"/>
      <c r="F943" s="253"/>
      <c r="G943" s="253"/>
      <c r="H943" s="140"/>
      <c r="I943" s="141"/>
      <c r="J943" s="141"/>
      <c r="K943" s="142"/>
      <c r="L943" s="142"/>
      <c r="M943" s="142"/>
      <c r="N943" s="142"/>
      <c r="O943" s="136"/>
      <c r="P943" s="34"/>
      <c r="Q943" s="35"/>
      <c r="R943" s="35"/>
      <c r="S943" s="35"/>
      <c r="T943" s="35"/>
      <c r="U943" s="35"/>
      <c r="V943" s="35"/>
      <c r="W943" s="35"/>
      <c r="X943" s="35"/>
      <c r="Y943" s="35"/>
      <c r="Z943" s="35"/>
      <c r="AA943" s="35"/>
    </row>
    <row r="944" ht="14.25" customHeight="1">
      <c r="A944" s="136"/>
      <c r="B944" s="137"/>
      <c r="C944" s="251"/>
      <c r="D944" s="252"/>
      <c r="E944" s="136"/>
      <c r="F944" s="253"/>
      <c r="G944" s="253"/>
      <c r="H944" s="140"/>
      <c r="I944" s="141"/>
      <c r="J944" s="141"/>
      <c r="K944" s="142"/>
      <c r="L944" s="142"/>
      <c r="M944" s="142"/>
      <c r="N944" s="142"/>
      <c r="O944" s="136"/>
      <c r="P944" s="34"/>
      <c r="Q944" s="35"/>
      <c r="R944" s="35"/>
      <c r="S944" s="35"/>
      <c r="T944" s="35"/>
      <c r="U944" s="35"/>
      <c r="V944" s="35"/>
      <c r="W944" s="35"/>
      <c r="X944" s="35"/>
      <c r="Y944" s="35"/>
      <c r="Z944" s="35"/>
      <c r="AA944" s="35"/>
    </row>
    <row r="945" ht="14.25" customHeight="1">
      <c r="A945" s="136"/>
      <c r="B945" s="137"/>
      <c r="C945" s="251"/>
      <c r="D945" s="252"/>
      <c r="E945" s="136"/>
      <c r="F945" s="253"/>
      <c r="G945" s="253"/>
      <c r="H945" s="140"/>
      <c r="I945" s="141"/>
      <c r="J945" s="141"/>
      <c r="K945" s="142"/>
      <c r="L945" s="142"/>
      <c r="M945" s="142"/>
      <c r="N945" s="142"/>
      <c r="O945" s="136"/>
      <c r="P945" s="34"/>
      <c r="Q945" s="35"/>
      <c r="R945" s="35"/>
      <c r="S945" s="35"/>
      <c r="T945" s="35"/>
      <c r="U945" s="35"/>
      <c r="V945" s="35"/>
      <c r="W945" s="35"/>
      <c r="X945" s="35"/>
      <c r="Y945" s="35"/>
      <c r="Z945" s="35"/>
      <c r="AA945" s="35"/>
    </row>
    <row r="946" ht="14.25" customHeight="1">
      <c r="A946" s="136"/>
      <c r="B946" s="137"/>
      <c r="C946" s="251"/>
      <c r="D946" s="252"/>
      <c r="E946" s="136"/>
      <c r="F946" s="253"/>
      <c r="G946" s="253"/>
      <c r="H946" s="140"/>
      <c r="I946" s="141"/>
      <c r="J946" s="141"/>
      <c r="K946" s="142"/>
      <c r="L946" s="142"/>
      <c r="M946" s="142"/>
      <c r="N946" s="142"/>
      <c r="O946" s="136"/>
      <c r="P946" s="34"/>
      <c r="Q946" s="35"/>
      <c r="R946" s="35"/>
      <c r="S946" s="35"/>
      <c r="T946" s="35"/>
      <c r="U946" s="35"/>
      <c r="V946" s="35"/>
      <c r="W946" s="35"/>
      <c r="X946" s="35"/>
      <c r="Y946" s="35"/>
      <c r="Z946" s="35"/>
      <c r="AA946" s="35"/>
    </row>
    <row r="947" ht="14.25" customHeight="1">
      <c r="A947" s="136"/>
      <c r="B947" s="137"/>
      <c r="C947" s="251"/>
      <c r="D947" s="252"/>
      <c r="E947" s="136"/>
      <c r="F947" s="253"/>
      <c r="G947" s="253"/>
      <c r="H947" s="140"/>
      <c r="I947" s="141"/>
      <c r="J947" s="141"/>
      <c r="K947" s="142"/>
      <c r="L947" s="142"/>
      <c r="M947" s="142"/>
      <c r="N947" s="142"/>
      <c r="O947" s="136"/>
      <c r="P947" s="34"/>
      <c r="Q947" s="35"/>
      <c r="R947" s="35"/>
      <c r="S947" s="35"/>
      <c r="T947" s="35"/>
      <c r="U947" s="35"/>
      <c r="V947" s="35"/>
      <c r="W947" s="35"/>
      <c r="X947" s="35"/>
      <c r="Y947" s="35"/>
      <c r="Z947" s="35"/>
      <c r="AA947" s="35"/>
    </row>
    <row r="948" ht="14.25" customHeight="1">
      <c r="A948" s="136"/>
      <c r="B948" s="137"/>
      <c r="C948" s="251"/>
      <c r="D948" s="252"/>
      <c r="E948" s="136"/>
      <c r="F948" s="253"/>
      <c r="G948" s="253"/>
      <c r="H948" s="140"/>
      <c r="I948" s="141"/>
      <c r="J948" s="141"/>
      <c r="K948" s="142"/>
      <c r="L948" s="142"/>
      <c r="M948" s="142"/>
      <c r="N948" s="142"/>
      <c r="O948" s="136"/>
      <c r="P948" s="34"/>
      <c r="Q948" s="35"/>
      <c r="R948" s="35"/>
      <c r="S948" s="35"/>
      <c r="T948" s="35"/>
      <c r="U948" s="35"/>
      <c r="V948" s="35"/>
      <c r="W948" s="35"/>
      <c r="X948" s="35"/>
      <c r="Y948" s="35"/>
      <c r="Z948" s="35"/>
      <c r="AA948" s="35"/>
    </row>
    <row r="949" ht="14.25" customHeight="1">
      <c r="A949" s="136"/>
      <c r="B949" s="137"/>
      <c r="C949" s="251"/>
      <c r="D949" s="252"/>
      <c r="E949" s="136"/>
      <c r="F949" s="253"/>
      <c r="G949" s="253"/>
      <c r="H949" s="140"/>
      <c r="I949" s="141"/>
      <c r="J949" s="141"/>
      <c r="K949" s="142"/>
      <c r="L949" s="142"/>
      <c r="M949" s="142"/>
      <c r="N949" s="142"/>
      <c r="O949" s="136"/>
      <c r="P949" s="34"/>
      <c r="Q949" s="35"/>
      <c r="R949" s="35"/>
      <c r="S949" s="35"/>
      <c r="T949" s="35"/>
      <c r="U949" s="35"/>
      <c r="V949" s="35"/>
      <c r="W949" s="35"/>
      <c r="X949" s="35"/>
      <c r="Y949" s="35"/>
      <c r="Z949" s="35"/>
      <c r="AA949" s="35"/>
    </row>
    <row r="950" ht="14.25" customHeight="1">
      <c r="A950" s="136"/>
      <c r="B950" s="137"/>
      <c r="C950" s="251"/>
      <c r="D950" s="252"/>
      <c r="E950" s="136"/>
      <c r="F950" s="253"/>
      <c r="G950" s="253"/>
      <c r="H950" s="140"/>
      <c r="I950" s="141"/>
      <c r="J950" s="141"/>
      <c r="K950" s="142"/>
      <c r="L950" s="142"/>
      <c r="M950" s="142"/>
      <c r="N950" s="142"/>
      <c r="O950" s="136"/>
      <c r="P950" s="34"/>
      <c r="Q950" s="35"/>
      <c r="R950" s="35"/>
      <c r="S950" s="35"/>
      <c r="T950" s="35"/>
      <c r="U950" s="35"/>
      <c r="V950" s="35"/>
      <c r="W950" s="35"/>
      <c r="X950" s="35"/>
      <c r="Y950" s="35"/>
      <c r="Z950" s="35"/>
      <c r="AA950" s="35"/>
    </row>
    <row r="951" ht="14.25" customHeight="1">
      <c r="A951" s="136"/>
      <c r="B951" s="137"/>
      <c r="C951" s="251"/>
      <c r="D951" s="252"/>
      <c r="E951" s="136"/>
      <c r="F951" s="253"/>
      <c r="G951" s="253"/>
      <c r="H951" s="140"/>
      <c r="I951" s="141"/>
      <c r="J951" s="141"/>
      <c r="K951" s="142"/>
      <c r="L951" s="142"/>
      <c r="M951" s="142"/>
      <c r="N951" s="142"/>
      <c r="O951" s="136"/>
      <c r="P951" s="34"/>
      <c r="Q951" s="35"/>
      <c r="R951" s="35"/>
      <c r="S951" s="35"/>
      <c r="T951" s="35"/>
      <c r="U951" s="35"/>
      <c r="V951" s="35"/>
      <c r="W951" s="35"/>
      <c r="X951" s="35"/>
      <c r="Y951" s="35"/>
      <c r="Z951" s="35"/>
      <c r="AA951" s="35"/>
    </row>
    <row r="952" ht="14.25" customHeight="1">
      <c r="A952" s="136"/>
      <c r="B952" s="137"/>
      <c r="C952" s="251"/>
      <c r="D952" s="252"/>
      <c r="E952" s="136"/>
      <c r="F952" s="253"/>
      <c r="G952" s="253"/>
      <c r="H952" s="140"/>
      <c r="I952" s="141"/>
      <c r="J952" s="141"/>
      <c r="K952" s="142"/>
      <c r="L952" s="142"/>
      <c r="M952" s="142"/>
      <c r="N952" s="142"/>
      <c r="O952" s="136"/>
      <c r="P952" s="34"/>
      <c r="Q952" s="35"/>
      <c r="R952" s="35"/>
      <c r="S952" s="35"/>
      <c r="T952" s="35"/>
      <c r="U952" s="35"/>
      <c r="V952" s="35"/>
      <c r="W952" s="35"/>
      <c r="X952" s="35"/>
      <c r="Y952" s="35"/>
      <c r="Z952" s="35"/>
      <c r="AA952" s="35"/>
    </row>
    <row r="953" ht="14.25" customHeight="1">
      <c r="A953" s="136"/>
      <c r="B953" s="137"/>
      <c r="C953" s="251"/>
      <c r="D953" s="252"/>
      <c r="E953" s="136"/>
      <c r="F953" s="253"/>
      <c r="G953" s="253"/>
      <c r="H953" s="140"/>
      <c r="I953" s="141"/>
      <c r="J953" s="141"/>
      <c r="K953" s="142"/>
      <c r="L953" s="142"/>
      <c r="M953" s="142"/>
      <c r="N953" s="142"/>
      <c r="O953" s="136"/>
      <c r="P953" s="34"/>
      <c r="Q953" s="35"/>
      <c r="R953" s="35"/>
      <c r="S953" s="35"/>
      <c r="T953" s="35"/>
      <c r="U953" s="35"/>
      <c r="V953" s="35"/>
      <c r="W953" s="35"/>
      <c r="X953" s="35"/>
      <c r="Y953" s="35"/>
      <c r="Z953" s="35"/>
      <c r="AA953" s="35"/>
    </row>
    <row r="954" ht="14.25" customHeight="1">
      <c r="A954" s="136"/>
      <c r="B954" s="137"/>
      <c r="C954" s="251"/>
      <c r="D954" s="252"/>
      <c r="E954" s="136"/>
      <c r="F954" s="253"/>
      <c r="G954" s="253"/>
      <c r="H954" s="140"/>
      <c r="I954" s="141"/>
      <c r="J954" s="141"/>
      <c r="K954" s="142"/>
      <c r="L954" s="142"/>
      <c r="M954" s="142"/>
      <c r="N954" s="142"/>
      <c r="O954" s="136"/>
      <c r="P954" s="34"/>
      <c r="Q954" s="35"/>
      <c r="R954" s="35"/>
      <c r="S954" s="35"/>
      <c r="T954" s="35"/>
      <c r="U954" s="35"/>
      <c r="V954" s="35"/>
      <c r="W954" s="35"/>
      <c r="X954" s="35"/>
      <c r="Y954" s="35"/>
      <c r="Z954" s="35"/>
      <c r="AA954" s="35"/>
    </row>
    <row r="955" ht="14.25" customHeight="1">
      <c r="A955" s="136"/>
      <c r="B955" s="137"/>
      <c r="C955" s="251"/>
      <c r="D955" s="252"/>
      <c r="E955" s="136"/>
      <c r="F955" s="253"/>
      <c r="G955" s="253"/>
      <c r="H955" s="140"/>
      <c r="I955" s="141"/>
      <c r="J955" s="141"/>
      <c r="K955" s="142"/>
      <c r="L955" s="142"/>
      <c r="M955" s="142"/>
      <c r="N955" s="142"/>
      <c r="O955" s="136"/>
      <c r="P955" s="34"/>
      <c r="Q955" s="35"/>
      <c r="R955" s="35"/>
      <c r="S955" s="35"/>
      <c r="T955" s="35"/>
      <c r="U955" s="35"/>
      <c r="V955" s="35"/>
      <c r="W955" s="35"/>
      <c r="X955" s="35"/>
      <c r="Y955" s="35"/>
      <c r="Z955" s="35"/>
      <c r="AA955" s="35"/>
    </row>
    <row r="956" ht="14.25" customHeight="1">
      <c r="A956" s="136"/>
      <c r="B956" s="137"/>
      <c r="C956" s="251"/>
      <c r="D956" s="252"/>
      <c r="E956" s="136"/>
      <c r="F956" s="253"/>
      <c r="G956" s="253"/>
      <c r="H956" s="140"/>
      <c r="I956" s="141"/>
      <c r="J956" s="141"/>
      <c r="K956" s="142"/>
      <c r="L956" s="142"/>
      <c r="M956" s="142"/>
      <c r="N956" s="142"/>
      <c r="O956" s="136"/>
      <c r="P956" s="34"/>
      <c r="Q956" s="35"/>
      <c r="R956" s="35"/>
      <c r="S956" s="35"/>
      <c r="T956" s="35"/>
      <c r="U956" s="35"/>
      <c r="V956" s="35"/>
      <c r="W956" s="35"/>
      <c r="X956" s="35"/>
      <c r="Y956" s="35"/>
      <c r="Z956" s="35"/>
      <c r="AA956" s="35"/>
    </row>
    <row r="957" ht="14.25" customHeight="1">
      <c r="A957" s="136"/>
      <c r="B957" s="137"/>
      <c r="C957" s="251"/>
      <c r="D957" s="252"/>
      <c r="E957" s="136"/>
      <c r="F957" s="253"/>
      <c r="G957" s="253"/>
      <c r="H957" s="140"/>
      <c r="I957" s="141"/>
      <c r="J957" s="141"/>
      <c r="K957" s="142"/>
      <c r="L957" s="142"/>
      <c r="M957" s="142"/>
      <c r="N957" s="142"/>
      <c r="O957" s="136"/>
      <c r="P957" s="34"/>
      <c r="Q957" s="35"/>
      <c r="R957" s="35"/>
      <c r="S957" s="35"/>
      <c r="T957" s="35"/>
      <c r="U957" s="35"/>
      <c r="V957" s="35"/>
      <c r="W957" s="35"/>
      <c r="X957" s="35"/>
      <c r="Y957" s="35"/>
      <c r="Z957" s="35"/>
      <c r="AA957" s="35"/>
    </row>
    <row r="958" ht="14.25" customHeight="1">
      <c r="A958" s="136"/>
      <c r="B958" s="137"/>
      <c r="C958" s="251"/>
      <c r="D958" s="252"/>
      <c r="E958" s="136"/>
      <c r="F958" s="253"/>
      <c r="G958" s="253"/>
      <c r="H958" s="140"/>
      <c r="I958" s="141"/>
      <c r="J958" s="141"/>
      <c r="K958" s="142"/>
      <c r="L958" s="142"/>
      <c r="M958" s="142"/>
      <c r="N958" s="142"/>
      <c r="O958" s="136"/>
      <c r="P958" s="34"/>
      <c r="Q958" s="35"/>
      <c r="R958" s="35"/>
      <c r="S958" s="35"/>
      <c r="T958" s="35"/>
      <c r="U958" s="35"/>
      <c r="V958" s="35"/>
      <c r="W958" s="35"/>
      <c r="X958" s="35"/>
      <c r="Y958" s="35"/>
      <c r="Z958" s="35"/>
      <c r="AA958" s="35"/>
    </row>
    <row r="959" ht="14.25" customHeight="1">
      <c r="A959" s="136"/>
      <c r="B959" s="137"/>
      <c r="C959" s="251"/>
      <c r="D959" s="252"/>
      <c r="E959" s="136"/>
      <c r="F959" s="253"/>
      <c r="G959" s="253"/>
      <c r="H959" s="140"/>
      <c r="I959" s="141"/>
      <c r="J959" s="141"/>
      <c r="K959" s="142"/>
      <c r="L959" s="142"/>
      <c r="M959" s="142"/>
      <c r="N959" s="142"/>
      <c r="O959" s="136"/>
      <c r="P959" s="34"/>
      <c r="Q959" s="35"/>
      <c r="R959" s="35"/>
      <c r="S959" s="35"/>
      <c r="T959" s="35"/>
      <c r="U959" s="35"/>
      <c r="V959" s="35"/>
      <c r="W959" s="35"/>
      <c r="X959" s="35"/>
      <c r="Y959" s="35"/>
      <c r="Z959" s="35"/>
      <c r="AA959" s="35"/>
    </row>
    <row r="960" ht="14.25" customHeight="1">
      <c r="A960" s="136"/>
      <c r="B960" s="137"/>
      <c r="C960" s="251"/>
      <c r="D960" s="252"/>
      <c r="E960" s="136"/>
      <c r="F960" s="253"/>
      <c r="G960" s="253"/>
      <c r="H960" s="140"/>
      <c r="I960" s="141"/>
      <c r="J960" s="141"/>
      <c r="K960" s="142"/>
      <c r="L960" s="142"/>
      <c r="M960" s="142"/>
      <c r="N960" s="142"/>
      <c r="O960" s="136"/>
      <c r="P960" s="34"/>
      <c r="Q960" s="35"/>
      <c r="R960" s="35"/>
      <c r="S960" s="35"/>
      <c r="T960" s="35"/>
      <c r="U960" s="35"/>
      <c r="V960" s="35"/>
      <c r="W960" s="35"/>
      <c r="X960" s="35"/>
      <c r="Y960" s="35"/>
      <c r="Z960" s="35"/>
      <c r="AA960" s="35"/>
    </row>
    <row r="961" ht="14.25" customHeight="1">
      <c r="A961" s="136"/>
      <c r="B961" s="137"/>
      <c r="C961" s="251"/>
      <c r="D961" s="252"/>
      <c r="E961" s="136"/>
      <c r="F961" s="253"/>
      <c r="G961" s="253"/>
      <c r="H961" s="140"/>
      <c r="I961" s="141"/>
      <c r="J961" s="141"/>
      <c r="K961" s="142"/>
      <c r="L961" s="142"/>
      <c r="M961" s="142"/>
      <c r="N961" s="142"/>
      <c r="O961" s="136"/>
      <c r="P961" s="34"/>
      <c r="Q961" s="35"/>
      <c r="R961" s="35"/>
      <c r="S961" s="35"/>
      <c r="T961" s="35"/>
      <c r="U961" s="35"/>
      <c r="V961" s="35"/>
      <c r="W961" s="35"/>
      <c r="X961" s="35"/>
      <c r="Y961" s="35"/>
      <c r="Z961" s="35"/>
      <c r="AA961" s="35"/>
    </row>
    <row r="962" ht="14.25" customHeight="1">
      <c r="A962" s="136"/>
      <c r="B962" s="137"/>
      <c r="C962" s="251"/>
      <c r="D962" s="252"/>
      <c r="E962" s="136"/>
      <c r="F962" s="253"/>
      <c r="G962" s="253"/>
      <c r="H962" s="140"/>
      <c r="I962" s="141"/>
      <c r="J962" s="141"/>
      <c r="K962" s="142"/>
      <c r="L962" s="142"/>
      <c r="M962" s="142"/>
      <c r="N962" s="142"/>
      <c r="O962" s="136"/>
      <c r="P962" s="34"/>
      <c r="Q962" s="35"/>
      <c r="R962" s="35"/>
      <c r="S962" s="35"/>
      <c r="T962" s="35"/>
      <c r="U962" s="35"/>
      <c r="V962" s="35"/>
      <c r="W962" s="35"/>
      <c r="X962" s="35"/>
      <c r="Y962" s="35"/>
      <c r="Z962" s="35"/>
      <c r="AA962" s="35"/>
    </row>
    <row r="963" ht="14.25" customHeight="1">
      <c r="A963" s="136"/>
      <c r="B963" s="137"/>
      <c r="C963" s="251"/>
      <c r="D963" s="252"/>
      <c r="E963" s="136"/>
      <c r="F963" s="253"/>
      <c r="G963" s="253"/>
      <c r="H963" s="140"/>
      <c r="I963" s="141"/>
      <c r="J963" s="141"/>
      <c r="K963" s="142"/>
      <c r="L963" s="142"/>
      <c r="M963" s="142"/>
      <c r="N963" s="142"/>
      <c r="O963" s="136"/>
      <c r="P963" s="34"/>
      <c r="Q963" s="35"/>
      <c r="R963" s="35"/>
      <c r="S963" s="35"/>
      <c r="T963" s="35"/>
      <c r="U963" s="35"/>
      <c r="V963" s="35"/>
      <c r="W963" s="35"/>
      <c r="X963" s="35"/>
      <c r="Y963" s="35"/>
      <c r="Z963" s="35"/>
      <c r="AA963" s="35"/>
    </row>
    <row r="964" ht="14.25" customHeight="1">
      <c r="A964" s="136"/>
      <c r="B964" s="137"/>
      <c r="C964" s="251"/>
      <c r="D964" s="252"/>
      <c r="E964" s="136"/>
      <c r="F964" s="253"/>
      <c r="G964" s="253"/>
      <c r="H964" s="140"/>
      <c r="I964" s="141"/>
      <c r="J964" s="141"/>
      <c r="K964" s="142"/>
      <c r="L964" s="142"/>
      <c r="M964" s="142"/>
      <c r="N964" s="142"/>
      <c r="O964" s="136"/>
      <c r="P964" s="34"/>
      <c r="Q964" s="35"/>
      <c r="R964" s="35"/>
      <c r="S964" s="35"/>
      <c r="T964" s="35"/>
      <c r="U964" s="35"/>
      <c r="V964" s="35"/>
      <c r="W964" s="35"/>
      <c r="X964" s="35"/>
      <c r="Y964" s="35"/>
      <c r="Z964" s="35"/>
      <c r="AA964" s="35"/>
    </row>
    <row r="965" ht="14.25" customHeight="1">
      <c r="A965" s="136"/>
      <c r="B965" s="137"/>
      <c r="C965" s="251"/>
      <c r="D965" s="252"/>
      <c r="E965" s="136"/>
      <c r="F965" s="253"/>
      <c r="G965" s="253"/>
      <c r="H965" s="140"/>
      <c r="I965" s="141"/>
      <c r="J965" s="141"/>
      <c r="K965" s="142"/>
      <c r="L965" s="142"/>
      <c r="M965" s="142"/>
      <c r="N965" s="142"/>
      <c r="O965" s="136"/>
      <c r="P965" s="34"/>
      <c r="Q965" s="35"/>
      <c r="R965" s="35"/>
      <c r="S965" s="35"/>
      <c r="T965" s="35"/>
      <c r="U965" s="35"/>
      <c r="V965" s="35"/>
      <c r="W965" s="35"/>
      <c r="X965" s="35"/>
      <c r="Y965" s="35"/>
      <c r="Z965" s="35"/>
      <c r="AA965" s="35"/>
    </row>
    <row r="966" ht="14.25" customHeight="1">
      <c r="A966" s="136"/>
      <c r="B966" s="137"/>
      <c r="C966" s="251"/>
      <c r="D966" s="252"/>
      <c r="E966" s="136"/>
      <c r="F966" s="253"/>
      <c r="G966" s="253"/>
      <c r="H966" s="140"/>
      <c r="I966" s="141"/>
      <c r="J966" s="141"/>
      <c r="K966" s="142"/>
      <c r="L966" s="142"/>
      <c r="M966" s="142"/>
      <c r="N966" s="142"/>
      <c r="O966" s="136"/>
      <c r="P966" s="34"/>
      <c r="Q966" s="35"/>
      <c r="R966" s="35"/>
      <c r="S966" s="35"/>
      <c r="T966" s="35"/>
      <c r="U966" s="35"/>
      <c r="V966" s="35"/>
      <c r="W966" s="35"/>
      <c r="X966" s="35"/>
      <c r="Y966" s="35"/>
      <c r="Z966" s="35"/>
      <c r="AA966" s="35"/>
    </row>
    <row r="967" ht="14.25" customHeight="1">
      <c r="A967" s="136"/>
      <c r="B967" s="137"/>
      <c r="C967" s="251"/>
      <c r="D967" s="252"/>
      <c r="E967" s="136"/>
      <c r="F967" s="253"/>
      <c r="G967" s="253"/>
      <c r="H967" s="140"/>
      <c r="I967" s="141"/>
      <c r="J967" s="141"/>
      <c r="K967" s="142"/>
      <c r="L967" s="142"/>
      <c r="M967" s="142"/>
      <c r="N967" s="142"/>
      <c r="O967" s="136"/>
      <c r="P967" s="34"/>
      <c r="Q967" s="35"/>
      <c r="R967" s="35"/>
      <c r="S967" s="35"/>
      <c r="T967" s="35"/>
      <c r="U967" s="35"/>
      <c r="V967" s="35"/>
      <c r="W967" s="35"/>
      <c r="X967" s="35"/>
      <c r="Y967" s="35"/>
      <c r="Z967" s="35"/>
      <c r="AA967" s="35"/>
    </row>
    <row r="968" ht="14.25" customHeight="1">
      <c r="A968" s="136"/>
      <c r="B968" s="137"/>
      <c r="C968" s="251"/>
      <c r="D968" s="252"/>
      <c r="E968" s="136"/>
      <c r="F968" s="253"/>
      <c r="G968" s="253"/>
      <c r="H968" s="140"/>
      <c r="I968" s="141"/>
      <c r="J968" s="141"/>
      <c r="K968" s="142"/>
      <c r="L968" s="142"/>
      <c r="M968" s="142"/>
      <c r="N968" s="142"/>
      <c r="O968" s="136"/>
      <c r="P968" s="34"/>
      <c r="Q968" s="35"/>
      <c r="R968" s="35"/>
      <c r="S968" s="35"/>
      <c r="T968" s="35"/>
      <c r="U968" s="35"/>
      <c r="V968" s="35"/>
      <c r="W968" s="35"/>
      <c r="X968" s="35"/>
      <c r="Y968" s="35"/>
      <c r="Z968" s="35"/>
      <c r="AA968" s="35"/>
    </row>
    <row r="969" ht="14.25" customHeight="1">
      <c r="A969" s="136"/>
      <c r="B969" s="137"/>
      <c r="C969" s="251"/>
      <c r="D969" s="252"/>
      <c r="E969" s="136"/>
      <c r="F969" s="253"/>
      <c r="G969" s="253"/>
      <c r="H969" s="140"/>
      <c r="I969" s="141"/>
      <c r="J969" s="141"/>
      <c r="K969" s="142"/>
      <c r="L969" s="142"/>
      <c r="M969" s="142"/>
      <c r="N969" s="142"/>
      <c r="O969" s="136"/>
      <c r="P969" s="34"/>
      <c r="Q969" s="35"/>
      <c r="R969" s="35"/>
      <c r="S969" s="35"/>
      <c r="T969" s="35"/>
      <c r="U969" s="35"/>
      <c r="V969" s="35"/>
      <c r="W969" s="35"/>
      <c r="X969" s="35"/>
      <c r="Y969" s="35"/>
      <c r="Z969" s="35"/>
      <c r="AA969" s="35"/>
    </row>
    <row r="970" ht="14.25" customHeight="1">
      <c r="A970" s="136"/>
      <c r="B970" s="137"/>
      <c r="C970" s="251"/>
      <c r="D970" s="252"/>
      <c r="E970" s="136"/>
      <c r="F970" s="253"/>
      <c r="G970" s="253"/>
      <c r="H970" s="140"/>
      <c r="I970" s="141"/>
      <c r="J970" s="141"/>
      <c r="K970" s="142"/>
      <c r="L970" s="142"/>
      <c r="M970" s="142"/>
      <c r="N970" s="142"/>
      <c r="O970" s="136"/>
      <c r="P970" s="34"/>
      <c r="Q970" s="35"/>
      <c r="R970" s="35"/>
      <c r="S970" s="35"/>
      <c r="T970" s="35"/>
      <c r="U970" s="35"/>
      <c r="V970" s="35"/>
      <c r="W970" s="35"/>
      <c r="X970" s="35"/>
      <c r="Y970" s="35"/>
      <c r="Z970" s="35"/>
      <c r="AA970" s="35"/>
    </row>
    <row r="971" ht="14.25" customHeight="1">
      <c r="A971" s="136"/>
      <c r="B971" s="137"/>
      <c r="C971" s="251"/>
      <c r="D971" s="252"/>
      <c r="E971" s="136"/>
      <c r="F971" s="253"/>
      <c r="G971" s="253"/>
      <c r="H971" s="140"/>
      <c r="I971" s="141"/>
      <c r="J971" s="141"/>
      <c r="K971" s="142"/>
      <c r="L971" s="142"/>
      <c r="M971" s="142"/>
      <c r="N971" s="142"/>
      <c r="O971" s="136"/>
      <c r="P971" s="34"/>
      <c r="Q971" s="35"/>
      <c r="R971" s="35"/>
      <c r="S971" s="35"/>
      <c r="T971" s="35"/>
      <c r="U971" s="35"/>
      <c r="V971" s="35"/>
      <c r="W971" s="35"/>
      <c r="X971" s="35"/>
      <c r="Y971" s="35"/>
      <c r="Z971" s="35"/>
      <c r="AA971" s="35"/>
    </row>
    <row r="972" ht="14.25" customHeight="1">
      <c r="A972" s="136"/>
      <c r="B972" s="137"/>
      <c r="C972" s="251"/>
      <c r="D972" s="252"/>
      <c r="E972" s="136"/>
      <c r="F972" s="253"/>
      <c r="G972" s="253"/>
      <c r="H972" s="140"/>
      <c r="I972" s="141"/>
      <c r="J972" s="141"/>
      <c r="K972" s="142"/>
      <c r="L972" s="142"/>
      <c r="M972" s="142"/>
      <c r="N972" s="142"/>
      <c r="O972" s="136"/>
      <c r="P972" s="34"/>
      <c r="Q972" s="35"/>
      <c r="R972" s="35"/>
      <c r="S972" s="35"/>
      <c r="T972" s="35"/>
      <c r="U972" s="35"/>
      <c r="V972" s="35"/>
      <c r="W972" s="35"/>
      <c r="X972" s="35"/>
      <c r="Y972" s="35"/>
      <c r="Z972" s="35"/>
      <c r="AA972" s="35"/>
    </row>
    <row r="973" ht="14.25" customHeight="1">
      <c r="A973" s="136"/>
      <c r="B973" s="137"/>
      <c r="C973" s="251"/>
      <c r="D973" s="252"/>
      <c r="E973" s="136"/>
      <c r="F973" s="253"/>
      <c r="G973" s="253"/>
      <c r="H973" s="140"/>
      <c r="I973" s="141"/>
      <c r="J973" s="141"/>
      <c r="K973" s="142"/>
      <c r="L973" s="142"/>
      <c r="M973" s="142"/>
      <c r="N973" s="142"/>
      <c r="O973" s="136"/>
      <c r="P973" s="34"/>
      <c r="Q973" s="35"/>
      <c r="R973" s="35"/>
      <c r="S973" s="35"/>
      <c r="T973" s="35"/>
      <c r="U973" s="35"/>
      <c r="V973" s="35"/>
      <c r="W973" s="35"/>
      <c r="X973" s="35"/>
      <c r="Y973" s="35"/>
      <c r="Z973" s="35"/>
      <c r="AA973" s="35"/>
    </row>
    <row r="974" ht="14.25" customHeight="1">
      <c r="A974" s="136"/>
      <c r="B974" s="137"/>
      <c r="C974" s="251"/>
      <c r="D974" s="252"/>
      <c r="E974" s="136"/>
      <c r="F974" s="253"/>
      <c r="G974" s="253"/>
      <c r="H974" s="140"/>
      <c r="I974" s="141"/>
      <c r="J974" s="141"/>
      <c r="K974" s="142"/>
      <c r="L974" s="142"/>
      <c r="M974" s="142"/>
      <c r="N974" s="142"/>
      <c r="O974" s="136"/>
      <c r="P974" s="34"/>
      <c r="Q974" s="35"/>
      <c r="R974" s="35"/>
      <c r="S974" s="35"/>
      <c r="T974" s="35"/>
      <c r="U974" s="35"/>
      <c r="V974" s="35"/>
      <c r="W974" s="35"/>
      <c r="X974" s="35"/>
      <c r="Y974" s="35"/>
      <c r="Z974" s="35"/>
      <c r="AA974" s="35"/>
    </row>
    <row r="975" ht="14.25" customHeight="1">
      <c r="A975" s="136"/>
      <c r="B975" s="137"/>
      <c r="C975" s="251"/>
      <c r="D975" s="252"/>
      <c r="E975" s="136"/>
      <c r="F975" s="253"/>
      <c r="G975" s="253"/>
      <c r="H975" s="140"/>
      <c r="I975" s="141"/>
      <c r="J975" s="141"/>
      <c r="K975" s="142"/>
      <c r="L975" s="142"/>
      <c r="M975" s="142"/>
      <c r="N975" s="142"/>
      <c r="O975" s="136"/>
      <c r="P975" s="34"/>
      <c r="Q975" s="35"/>
      <c r="R975" s="35"/>
      <c r="S975" s="35"/>
      <c r="T975" s="35"/>
      <c r="U975" s="35"/>
      <c r="V975" s="35"/>
      <c r="W975" s="35"/>
      <c r="X975" s="35"/>
      <c r="Y975" s="35"/>
      <c r="Z975" s="35"/>
      <c r="AA975" s="35"/>
    </row>
    <row r="976" ht="14.25" customHeight="1">
      <c r="A976" s="136"/>
      <c r="B976" s="137"/>
      <c r="C976" s="251"/>
      <c r="D976" s="252"/>
      <c r="E976" s="136"/>
      <c r="F976" s="253"/>
      <c r="G976" s="253"/>
      <c r="H976" s="140"/>
      <c r="I976" s="141"/>
      <c r="J976" s="141"/>
      <c r="K976" s="142"/>
      <c r="L976" s="142"/>
      <c r="M976" s="142"/>
      <c r="N976" s="142"/>
      <c r="O976" s="136"/>
      <c r="P976" s="34"/>
      <c r="Q976" s="35"/>
      <c r="R976" s="35"/>
      <c r="S976" s="35"/>
      <c r="T976" s="35"/>
      <c r="U976" s="35"/>
      <c r="V976" s="35"/>
      <c r="W976" s="35"/>
      <c r="X976" s="35"/>
      <c r="Y976" s="35"/>
      <c r="Z976" s="35"/>
      <c r="AA976" s="35"/>
    </row>
    <row r="977" ht="14.25" customHeight="1">
      <c r="A977" s="136"/>
      <c r="B977" s="137"/>
      <c r="C977" s="251"/>
      <c r="D977" s="252"/>
      <c r="E977" s="136"/>
      <c r="F977" s="253"/>
      <c r="G977" s="253"/>
      <c r="H977" s="140"/>
      <c r="I977" s="141"/>
      <c r="J977" s="141"/>
      <c r="K977" s="142"/>
      <c r="L977" s="142"/>
      <c r="M977" s="142"/>
      <c r="N977" s="142"/>
      <c r="O977" s="136"/>
      <c r="P977" s="34"/>
      <c r="Q977" s="35"/>
      <c r="R977" s="35"/>
      <c r="S977" s="35"/>
      <c r="T977" s="35"/>
      <c r="U977" s="35"/>
      <c r="V977" s="35"/>
      <c r="W977" s="35"/>
      <c r="X977" s="35"/>
      <c r="Y977" s="35"/>
      <c r="Z977" s="35"/>
      <c r="AA977" s="35"/>
    </row>
    <row r="978" ht="14.25" customHeight="1">
      <c r="A978" s="136"/>
      <c r="B978" s="137"/>
      <c r="C978" s="251"/>
      <c r="D978" s="252"/>
      <c r="E978" s="136"/>
      <c r="F978" s="253"/>
      <c r="G978" s="253"/>
      <c r="H978" s="140"/>
      <c r="I978" s="141"/>
      <c r="J978" s="141"/>
      <c r="K978" s="142"/>
      <c r="L978" s="142"/>
      <c r="M978" s="142"/>
      <c r="N978" s="142"/>
      <c r="O978" s="136"/>
      <c r="P978" s="34"/>
      <c r="Q978" s="35"/>
      <c r="R978" s="35"/>
      <c r="S978" s="35"/>
      <c r="T978" s="35"/>
      <c r="U978" s="35"/>
      <c r="V978" s="35"/>
      <c r="W978" s="35"/>
      <c r="X978" s="35"/>
      <c r="Y978" s="35"/>
      <c r="Z978" s="35"/>
      <c r="AA978" s="35"/>
    </row>
    <row r="979" ht="14.25" customHeight="1">
      <c r="A979" s="136"/>
      <c r="B979" s="137"/>
      <c r="C979" s="251"/>
      <c r="D979" s="252"/>
      <c r="E979" s="136"/>
      <c r="F979" s="253"/>
      <c r="G979" s="253"/>
      <c r="H979" s="140"/>
      <c r="I979" s="141"/>
      <c r="J979" s="141"/>
      <c r="K979" s="142"/>
      <c r="L979" s="142"/>
      <c r="M979" s="142"/>
      <c r="N979" s="142"/>
      <c r="O979" s="136"/>
      <c r="P979" s="34"/>
      <c r="Q979" s="35"/>
      <c r="R979" s="35"/>
      <c r="S979" s="35"/>
      <c r="T979" s="35"/>
      <c r="U979" s="35"/>
      <c r="V979" s="35"/>
      <c r="W979" s="35"/>
      <c r="X979" s="35"/>
      <c r="Y979" s="35"/>
      <c r="Z979" s="35"/>
      <c r="AA979" s="35"/>
    </row>
    <row r="980" ht="14.25" customHeight="1">
      <c r="A980" s="136"/>
      <c r="B980" s="137"/>
      <c r="C980" s="251"/>
      <c r="D980" s="252"/>
      <c r="E980" s="136"/>
      <c r="F980" s="253"/>
      <c r="G980" s="253"/>
      <c r="H980" s="140"/>
      <c r="I980" s="141"/>
      <c r="J980" s="141"/>
      <c r="K980" s="142"/>
      <c r="L980" s="142"/>
      <c r="M980" s="142"/>
      <c r="N980" s="142"/>
      <c r="O980" s="136"/>
      <c r="P980" s="34"/>
      <c r="Q980" s="35"/>
      <c r="R980" s="35"/>
      <c r="S980" s="35"/>
      <c r="T980" s="35"/>
      <c r="U980" s="35"/>
      <c r="V980" s="35"/>
      <c r="W980" s="35"/>
      <c r="X980" s="35"/>
      <c r="Y980" s="35"/>
      <c r="Z980" s="35"/>
      <c r="AA980" s="35"/>
    </row>
    <row r="981" ht="14.25" customHeight="1">
      <c r="A981" s="136"/>
      <c r="B981" s="137"/>
      <c r="C981" s="251"/>
      <c r="D981" s="252"/>
      <c r="E981" s="136"/>
      <c r="F981" s="253"/>
      <c r="G981" s="253"/>
      <c r="H981" s="140"/>
      <c r="I981" s="141"/>
      <c r="J981" s="141"/>
      <c r="K981" s="142"/>
      <c r="L981" s="142"/>
      <c r="M981" s="142"/>
      <c r="N981" s="142"/>
      <c r="O981" s="136"/>
      <c r="P981" s="34"/>
      <c r="Q981" s="35"/>
      <c r="R981" s="35"/>
      <c r="S981" s="35"/>
      <c r="T981" s="35"/>
      <c r="U981" s="35"/>
      <c r="V981" s="35"/>
      <c r="W981" s="35"/>
      <c r="X981" s="35"/>
      <c r="Y981" s="35"/>
      <c r="Z981" s="35"/>
      <c r="AA981" s="35"/>
    </row>
    <row r="982" ht="14.25" customHeight="1">
      <c r="A982" s="136"/>
      <c r="B982" s="137"/>
      <c r="C982" s="251"/>
      <c r="D982" s="252"/>
      <c r="E982" s="136"/>
      <c r="F982" s="253"/>
      <c r="G982" s="253"/>
      <c r="H982" s="140"/>
      <c r="I982" s="141"/>
      <c r="J982" s="141"/>
      <c r="K982" s="142"/>
      <c r="L982" s="142"/>
      <c r="M982" s="142"/>
      <c r="N982" s="142"/>
      <c r="O982" s="136"/>
      <c r="P982" s="34"/>
      <c r="Q982" s="35"/>
      <c r="R982" s="35"/>
      <c r="S982" s="35"/>
      <c r="T982" s="35"/>
      <c r="U982" s="35"/>
      <c r="V982" s="35"/>
      <c r="W982" s="35"/>
      <c r="X982" s="35"/>
      <c r="Y982" s="35"/>
      <c r="Z982" s="35"/>
      <c r="AA982" s="35"/>
    </row>
    <row r="983" ht="14.25" customHeight="1">
      <c r="A983" s="136"/>
      <c r="B983" s="137"/>
      <c r="C983" s="251"/>
      <c r="D983" s="252"/>
      <c r="E983" s="136"/>
      <c r="F983" s="253"/>
      <c r="G983" s="253"/>
      <c r="H983" s="140"/>
      <c r="I983" s="141"/>
      <c r="J983" s="141"/>
      <c r="K983" s="142"/>
      <c r="L983" s="142"/>
      <c r="M983" s="142"/>
      <c r="N983" s="142"/>
      <c r="O983" s="136"/>
      <c r="P983" s="34"/>
      <c r="Q983" s="35"/>
      <c r="R983" s="35"/>
      <c r="S983" s="35"/>
      <c r="T983" s="35"/>
      <c r="U983" s="35"/>
      <c r="V983" s="35"/>
      <c r="W983" s="35"/>
      <c r="X983" s="35"/>
      <c r="Y983" s="35"/>
      <c r="Z983" s="35"/>
      <c r="AA983" s="35"/>
    </row>
    <row r="984" ht="14.25" customHeight="1">
      <c r="A984" s="136"/>
      <c r="B984" s="137"/>
      <c r="C984" s="251"/>
      <c r="D984" s="252"/>
      <c r="E984" s="136"/>
      <c r="F984" s="253"/>
      <c r="G984" s="253"/>
      <c r="H984" s="140"/>
      <c r="I984" s="141"/>
      <c r="J984" s="141"/>
      <c r="K984" s="142"/>
      <c r="L984" s="142"/>
      <c r="M984" s="142"/>
      <c r="N984" s="142"/>
      <c r="O984" s="136"/>
      <c r="P984" s="34"/>
      <c r="Q984" s="35"/>
      <c r="R984" s="35"/>
      <c r="S984" s="35"/>
      <c r="T984" s="35"/>
      <c r="U984" s="35"/>
      <c r="V984" s="35"/>
      <c r="W984" s="35"/>
      <c r="X984" s="35"/>
      <c r="Y984" s="35"/>
      <c r="Z984" s="35"/>
      <c r="AA984" s="35"/>
    </row>
    <row r="985" ht="14.25" customHeight="1">
      <c r="A985" s="136"/>
      <c r="B985" s="137"/>
      <c r="C985" s="251"/>
      <c r="D985" s="252"/>
      <c r="E985" s="136"/>
      <c r="F985" s="253"/>
      <c r="G985" s="253"/>
      <c r="H985" s="140"/>
      <c r="I985" s="141"/>
      <c r="J985" s="141"/>
      <c r="K985" s="142"/>
      <c r="L985" s="142"/>
      <c r="M985" s="142"/>
      <c r="N985" s="142"/>
      <c r="O985" s="136"/>
      <c r="P985" s="34"/>
      <c r="Q985" s="35"/>
      <c r="R985" s="35"/>
      <c r="S985" s="35"/>
      <c r="T985" s="35"/>
      <c r="U985" s="35"/>
      <c r="V985" s="35"/>
      <c r="W985" s="35"/>
      <c r="X985" s="35"/>
      <c r="Y985" s="35"/>
      <c r="Z985" s="35"/>
      <c r="AA985" s="35"/>
    </row>
    <row r="986" ht="14.25" customHeight="1">
      <c r="A986" s="136"/>
      <c r="B986" s="137"/>
      <c r="C986" s="251"/>
      <c r="D986" s="252"/>
      <c r="E986" s="136"/>
      <c r="F986" s="253"/>
      <c r="G986" s="253"/>
      <c r="H986" s="140"/>
      <c r="I986" s="141"/>
      <c r="J986" s="141"/>
      <c r="K986" s="142"/>
      <c r="L986" s="142"/>
      <c r="M986" s="142"/>
      <c r="N986" s="142"/>
      <c r="O986" s="136"/>
      <c r="P986" s="34"/>
      <c r="Q986" s="35"/>
      <c r="R986" s="35"/>
      <c r="S986" s="35"/>
      <c r="T986" s="35"/>
      <c r="U986" s="35"/>
      <c r="V986" s="35"/>
      <c r="W986" s="35"/>
      <c r="X986" s="35"/>
      <c r="Y986" s="35"/>
      <c r="Z986" s="35"/>
      <c r="AA986" s="35"/>
    </row>
    <row r="987" ht="14.25" customHeight="1">
      <c r="A987" s="136"/>
      <c r="B987" s="137"/>
      <c r="C987" s="251"/>
      <c r="D987" s="252"/>
      <c r="E987" s="136"/>
      <c r="F987" s="253"/>
      <c r="G987" s="253"/>
      <c r="H987" s="140"/>
      <c r="I987" s="141"/>
      <c r="J987" s="141"/>
      <c r="K987" s="142"/>
      <c r="L987" s="142"/>
      <c r="M987" s="142"/>
      <c r="N987" s="142"/>
      <c r="O987" s="136"/>
      <c r="P987" s="34"/>
      <c r="Q987" s="35"/>
      <c r="R987" s="35"/>
      <c r="S987" s="35"/>
      <c r="T987" s="35"/>
      <c r="U987" s="35"/>
      <c r="V987" s="35"/>
      <c r="W987" s="35"/>
      <c r="X987" s="35"/>
      <c r="Y987" s="35"/>
      <c r="Z987" s="35"/>
      <c r="AA987" s="35"/>
    </row>
    <row r="988" ht="14.25" customHeight="1">
      <c r="A988" s="136"/>
      <c r="B988" s="137"/>
      <c r="C988" s="251"/>
      <c r="D988" s="252"/>
      <c r="E988" s="136"/>
      <c r="F988" s="253"/>
      <c r="G988" s="253"/>
      <c r="H988" s="140"/>
      <c r="I988" s="141"/>
      <c r="J988" s="141"/>
      <c r="K988" s="142"/>
      <c r="L988" s="142"/>
      <c r="M988" s="142"/>
      <c r="N988" s="142"/>
      <c r="O988" s="136"/>
      <c r="P988" s="34"/>
      <c r="Q988" s="35"/>
      <c r="R988" s="35"/>
      <c r="S988" s="35"/>
      <c r="T988" s="35"/>
      <c r="U988" s="35"/>
      <c r="V988" s="35"/>
      <c r="W988" s="35"/>
      <c r="X988" s="35"/>
      <c r="Y988" s="35"/>
      <c r="Z988" s="35"/>
      <c r="AA988" s="35"/>
    </row>
    <row r="989" ht="14.25" customHeight="1">
      <c r="A989" s="136"/>
      <c r="B989" s="137"/>
      <c r="C989" s="251"/>
      <c r="D989" s="252"/>
      <c r="E989" s="136"/>
      <c r="F989" s="253"/>
      <c r="G989" s="253"/>
      <c r="H989" s="140"/>
      <c r="I989" s="141"/>
      <c r="J989" s="141"/>
      <c r="K989" s="142"/>
      <c r="L989" s="142"/>
      <c r="M989" s="142"/>
      <c r="N989" s="142"/>
      <c r="O989" s="136"/>
      <c r="P989" s="34"/>
      <c r="Q989" s="35"/>
      <c r="R989" s="35"/>
      <c r="S989" s="35"/>
      <c r="T989" s="35"/>
      <c r="U989" s="35"/>
      <c r="V989" s="35"/>
      <c r="W989" s="35"/>
      <c r="X989" s="35"/>
      <c r="Y989" s="35"/>
      <c r="Z989" s="35"/>
      <c r="AA989" s="35"/>
    </row>
    <row r="990" ht="14.25" customHeight="1">
      <c r="A990" s="136"/>
      <c r="B990" s="137"/>
      <c r="C990" s="251"/>
      <c r="D990" s="252"/>
      <c r="E990" s="136"/>
      <c r="F990" s="253"/>
      <c r="G990" s="253"/>
      <c r="H990" s="140"/>
      <c r="I990" s="141"/>
      <c r="J990" s="141"/>
      <c r="K990" s="142"/>
      <c r="L990" s="142"/>
      <c r="M990" s="142"/>
      <c r="N990" s="142"/>
      <c r="O990" s="136"/>
      <c r="P990" s="34"/>
      <c r="Q990" s="35"/>
      <c r="R990" s="35"/>
      <c r="S990" s="35"/>
      <c r="T990" s="35"/>
      <c r="U990" s="35"/>
      <c r="V990" s="35"/>
      <c r="W990" s="35"/>
      <c r="X990" s="35"/>
      <c r="Y990" s="35"/>
      <c r="Z990" s="35"/>
      <c r="AA990" s="35"/>
    </row>
    <row r="991" ht="14.25" customHeight="1">
      <c r="A991" s="136"/>
      <c r="B991" s="137"/>
      <c r="C991" s="251"/>
      <c r="D991" s="252"/>
      <c r="E991" s="136"/>
      <c r="F991" s="253"/>
      <c r="G991" s="253"/>
      <c r="H991" s="140"/>
      <c r="I991" s="141"/>
      <c r="J991" s="141"/>
      <c r="K991" s="142"/>
      <c r="L991" s="142"/>
      <c r="M991" s="142"/>
      <c r="N991" s="142"/>
      <c r="O991" s="136"/>
      <c r="P991" s="34"/>
      <c r="Q991" s="35"/>
      <c r="R991" s="35"/>
      <c r="S991" s="35"/>
      <c r="T991" s="35"/>
      <c r="U991" s="35"/>
      <c r="V991" s="35"/>
      <c r="W991" s="35"/>
      <c r="X991" s="35"/>
      <c r="Y991" s="35"/>
      <c r="Z991" s="35"/>
      <c r="AA991" s="35"/>
    </row>
    <row r="992" ht="14.25" customHeight="1">
      <c r="A992" s="136"/>
      <c r="B992" s="137"/>
      <c r="C992" s="251"/>
      <c r="D992" s="252"/>
      <c r="E992" s="136"/>
      <c r="F992" s="253"/>
      <c r="G992" s="253"/>
      <c r="H992" s="140"/>
      <c r="I992" s="141"/>
      <c r="J992" s="141"/>
      <c r="K992" s="142"/>
      <c r="L992" s="142"/>
      <c r="M992" s="142"/>
      <c r="N992" s="142"/>
      <c r="O992" s="136"/>
      <c r="P992" s="34"/>
      <c r="Q992" s="35"/>
      <c r="R992" s="35"/>
      <c r="S992" s="35"/>
      <c r="T992" s="35"/>
      <c r="U992" s="35"/>
      <c r="V992" s="35"/>
      <c r="W992" s="35"/>
      <c r="X992" s="35"/>
      <c r="Y992" s="35"/>
      <c r="Z992" s="35"/>
      <c r="AA992" s="35"/>
    </row>
    <row r="993" ht="14.25" customHeight="1">
      <c r="A993" s="136"/>
      <c r="B993" s="137"/>
      <c r="C993" s="251"/>
      <c r="D993" s="252"/>
      <c r="E993" s="136"/>
      <c r="F993" s="253"/>
      <c r="G993" s="253"/>
      <c r="H993" s="140"/>
      <c r="I993" s="141"/>
      <c r="J993" s="141"/>
      <c r="K993" s="142"/>
      <c r="L993" s="142"/>
      <c r="M993" s="142"/>
      <c r="N993" s="142"/>
      <c r="O993" s="136"/>
      <c r="P993" s="34"/>
      <c r="Q993" s="35"/>
      <c r="R993" s="35"/>
      <c r="S993" s="35"/>
      <c r="T993" s="35"/>
      <c r="U993" s="35"/>
      <c r="V993" s="35"/>
      <c r="W993" s="35"/>
      <c r="X993" s="35"/>
      <c r="Y993" s="35"/>
      <c r="Z993" s="35"/>
      <c r="AA993" s="35"/>
    </row>
  </sheetData>
  <mergeCells count="11">
    <mergeCell ref="H1:H2"/>
    <mergeCell ref="I1:J1"/>
    <mergeCell ref="K1:L1"/>
    <mergeCell ref="M1:N1"/>
    <mergeCell ref="A1:A2"/>
    <mergeCell ref="B1:B2"/>
    <mergeCell ref="C1:C2"/>
    <mergeCell ref="D1:D2"/>
    <mergeCell ref="E1:E2"/>
    <mergeCell ref="F1:F2"/>
    <mergeCell ref="G1:G2"/>
  </mergeCells>
  <dataValidations>
    <dataValidation type="custom" allowBlank="1" showErrorMessage="1" sqref="C3:C38 C40:C63">
      <formula1>LTE(LEN(C3),(22))</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1.14"/>
    <col customWidth="1" min="3" max="3" width="24.86"/>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ht="14.25" customHeight="1">
      <c r="A1" s="254" t="s">
        <v>1740</v>
      </c>
      <c r="B1" s="255" t="s">
        <v>555</v>
      </c>
      <c r="C1" s="256" t="s">
        <v>2</v>
      </c>
      <c r="D1" s="257" t="s">
        <v>3</v>
      </c>
      <c r="E1" s="256" t="s">
        <v>4</v>
      </c>
      <c r="F1" s="258" t="s">
        <v>1797</v>
      </c>
      <c r="G1" s="259" t="s">
        <v>7</v>
      </c>
      <c r="H1" s="260" t="s">
        <v>8</v>
      </c>
      <c r="I1" s="6"/>
      <c r="J1" s="261" t="s">
        <v>9</v>
      </c>
      <c r="K1" s="6"/>
      <c r="L1" s="262" t="s">
        <v>10</v>
      </c>
      <c r="M1" s="6"/>
      <c r="N1" s="263" t="s">
        <v>11</v>
      </c>
      <c r="O1" s="10"/>
      <c r="P1" s="11"/>
      <c r="Q1" s="11"/>
      <c r="R1" s="11"/>
      <c r="S1" s="11"/>
      <c r="T1" s="11"/>
      <c r="U1" s="11"/>
      <c r="V1" s="11"/>
      <c r="W1" s="11"/>
      <c r="X1" s="11"/>
      <c r="Y1" s="11"/>
      <c r="Z1" s="11"/>
    </row>
    <row r="2" ht="31.5" customHeight="1">
      <c r="A2" s="12"/>
      <c r="B2" s="12"/>
      <c r="C2" s="13"/>
      <c r="D2" s="13"/>
      <c r="E2" s="13"/>
      <c r="F2" s="13"/>
      <c r="G2" s="14"/>
      <c r="H2" s="264" t="s">
        <v>1798</v>
      </c>
      <c r="I2" s="265" t="s">
        <v>1799</v>
      </c>
      <c r="J2" s="266" t="s">
        <v>1800</v>
      </c>
      <c r="K2" s="267" t="s">
        <v>1801</v>
      </c>
      <c r="L2" s="268" t="s">
        <v>1802</v>
      </c>
      <c r="M2" s="269" t="s">
        <v>1803</v>
      </c>
      <c r="N2" s="21"/>
      <c r="O2" s="10"/>
      <c r="P2" s="11"/>
      <c r="Q2" s="11"/>
      <c r="R2" s="11"/>
      <c r="S2" s="11"/>
      <c r="T2" s="11"/>
      <c r="U2" s="11"/>
      <c r="V2" s="11"/>
      <c r="W2" s="11"/>
      <c r="X2" s="11"/>
      <c r="Y2" s="11"/>
      <c r="Z2" s="11"/>
    </row>
    <row r="3" ht="32.25" hidden="1" customHeight="1">
      <c r="A3" s="270" t="s">
        <v>1804</v>
      </c>
      <c r="B3" s="271"/>
      <c r="C3" s="272" t="s">
        <v>1805</v>
      </c>
      <c r="D3" s="273" t="s">
        <v>1806</v>
      </c>
      <c r="E3" s="274"/>
      <c r="F3" s="275">
        <v>4700.0</v>
      </c>
      <c r="G3" s="276">
        <v>44805.0</v>
      </c>
      <c r="H3" s="277">
        <f t="shared" ref="H3:H104" si="1">F3*0.5+F3</f>
        <v>7050</v>
      </c>
      <c r="I3" s="278">
        <f t="shared" ref="I3:I104" si="2">F3*0.3+F3</f>
        <v>6110</v>
      </c>
      <c r="J3" s="279">
        <f t="shared" ref="J3:J104" si="3">F3*0.3+F3</f>
        <v>6110</v>
      </c>
      <c r="K3" s="280">
        <f t="shared" ref="K3:K104" si="4">F3*0.2+F3</f>
        <v>5640</v>
      </c>
      <c r="L3" s="279">
        <f t="shared" ref="L3:L104" si="5">F3*0.15+F3</f>
        <v>5405</v>
      </c>
      <c r="M3" s="280">
        <f t="shared" ref="M3:M104" si="6">F3*0.1+F3</f>
        <v>5170</v>
      </c>
      <c r="N3" s="281"/>
      <c r="O3" s="34"/>
      <c r="P3" s="35"/>
      <c r="Q3" s="35"/>
      <c r="R3" s="35"/>
      <c r="S3" s="35"/>
      <c r="T3" s="35"/>
      <c r="U3" s="35"/>
      <c r="V3" s="35"/>
      <c r="W3" s="35"/>
      <c r="X3" s="35"/>
      <c r="Y3" s="35"/>
      <c r="Z3" s="35"/>
    </row>
    <row r="4" ht="32.25" hidden="1" customHeight="1">
      <c r="A4" s="270" t="s">
        <v>1804</v>
      </c>
      <c r="B4" s="282"/>
      <c r="C4" s="283" t="s">
        <v>1807</v>
      </c>
      <c r="D4" s="284" t="s">
        <v>1808</v>
      </c>
      <c r="E4" s="274"/>
      <c r="F4" s="275">
        <v>7900.0</v>
      </c>
      <c r="G4" s="276">
        <v>44805.0</v>
      </c>
      <c r="H4" s="285">
        <f t="shared" si="1"/>
        <v>11850</v>
      </c>
      <c r="I4" s="286">
        <f t="shared" si="2"/>
        <v>10270</v>
      </c>
      <c r="J4" s="287">
        <f t="shared" si="3"/>
        <v>10270</v>
      </c>
      <c r="K4" s="288">
        <f t="shared" si="4"/>
        <v>9480</v>
      </c>
      <c r="L4" s="287">
        <f t="shared" si="5"/>
        <v>9085</v>
      </c>
      <c r="M4" s="288">
        <f t="shared" si="6"/>
        <v>8690</v>
      </c>
      <c r="N4" s="281"/>
      <c r="O4" s="34"/>
      <c r="P4" s="35"/>
      <c r="Q4" s="35"/>
      <c r="R4" s="35"/>
      <c r="S4" s="35"/>
      <c r="T4" s="35"/>
      <c r="U4" s="35"/>
      <c r="V4" s="35"/>
      <c r="W4" s="35"/>
      <c r="X4" s="35"/>
      <c r="Y4" s="35"/>
      <c r="Z4" s="35"/>
    </row>
    <row r="5" ht="32.25" hidden="1" customHeight="1">
      <c r="A5" s="270" t="s">
        <v>1804</v>
      </c>
      <c r="B5" s="271"/>
      <c r="C5" s="272" t="s">
        <v>1809</v>
      </c>
      <c r="D5" s="273" t="s">
        <v>1810</v>
      </c>
      <c r="E5" s="274"/>
      <c r="F5" s="275">
        <v>4700.0</v>
      </c>
      <c r="G5" s="276">
        <v>44805.0</v>
      </c>
      <c r="H5" s="277">
        <f t="shared" si="1"/>
        <v>7050</v>
      </c>
      <c r="I5" s="278">
        <f t="shared" si="2"/>
        <v>6110</v>
      </c>
      <c r="J5" s="279">
        <f t="shared" si="3"/>
        <v>6110</v>
      </c>
      <c r="K5" s="280">
        <f t="shared" si="4"/>
        <v>5640</v>
      </c>
      <c r="L5" s="279">
        <f t="shared" si="5"/>
        <v>5405</v>
      </c>
      <c r="M5" s="280">
        <f t="shared" si="6"/>
        <v>5170</v>
      </c>
      <c r="N5" s="281"/>
      <c r="O5" s="34"/>
      <c r="P5" s="35"/>
      <c r="Q5" s="35"/>
      <c r="R5" s="35"/>
      <c r="S5" s="35"/>
      <c r="T5" s="35"/>
      <c r="U5" s="35"/>
      <c r="V5" s="35"/>
      <c r="W5" s="35"/>
      <c r="X5" s="35"/>
      <c r="Y5" s="35"/>
      <c r="Z5" s="35"/>
    </row>
    <row r="6" ht="32.25" hidden="1" customHeight="1">
      <c r="A6" s="270" t="s">
        <v>1804</v>
      </c>
      <c r="B6" s="282"/>
      <c r="C6" s="283" t="s">
        <v>1811</v>
      </c>
      <c r="D6" s="284" t="s">
        <v>1812</v>
      </c>
      <c r="E6" s="274"/>
      <c r="F6" s="275">
        <v>7900.0</v>
      </c>
      <c r="G6" s="276">
        <v>44805.0</v>
      </c>
      <c r="H6" s="285">
        <f t="shared" si="1"/>
        <v>11850</v>
      </c>
      <c r="I6" s="286">
        <f t="shared" si="2"/>
        <v>10270</v>
      </c>
      <c r="J6" s="287">
        <f t="shared" si="3"/>
        <v>10270</v>
      </c>
      <c r="K6" s="288">
        <f t="shared" si="4"/>
        <v>9480</v>
      </c>
      <c r="L6" s="287">
        <f t="shared" si="5"/>
        <v>9085</v>
      </c>
      <c r="M6" s="288">
        <f t="shared" si="6"/>
        <v>8690</v>
      </c>
      <c r="N6" s="281"/>
      <c r="O6" s="34"/>
      <c r="P6" s="35"/>
      <c r="Q6" s="35"/>
      <c r="R6" s="35"/>
      <c r="S6" s="35"/>
      <c r="T6" s="35"/>
      <c r="U6" s="35"/>
      <c r="V6" s="35"/>
      <c r="W6" s="35"/>
      <c r="X6" s="35"/>
      <c r="Y6" s="35"/>
      <c r="Z6" s="35"/>
    </row>
    <row r="7" ht="14.25" hidden="1" customHeight="1">
      <c r="A7" s="270" t="s">
        <v>1209</v>
      </c>
      <c r="B7" s="282"/>
      <c r="C7" s="283" t="s">
        <v>1813</v>
      </c>
      <c r="D7" s="289" t="s">
        <v>1814</v>
      </c>
      <c r="E7" s="283" t="s">
        <v>1815</v>
      </c>
      <c r="F7" s="275">
        <v>2160.0</v>
      </c>
      <c r="G7" s="276">
        <v>44805.0</v>
      </c>
      <c r="H7" s="285">
        <f t="shared" si="1"/>
        <v>3240</v>
      </c>
      <c r="I7" s="286">
        <f t="shared" si="2"/>
        <v>2808</v>
      </c>
      <c r="J7" s="287">
        <f t="shared" si="3"/>
        <v>2808</v>
      </c>
      <c r="K7" s="288">
        <f t="shared" si="4"/>
        <v>2592</v>
      </c>
      <c r="L7" s="287">
        <f t="shared" si="5"/>
        <v>2484</v>
      </c>
      <c r="M7" s="288">
        <f t="shared" si="6"/>
        <v>2376</v>
      </c>
      <c r="N7" s="281"/>
      <c r="O7" s="34"/>
      <c r="P7" s="35"/>
      <c r="Q7" s="35"/>
      <c r="R7" s="35"/>
      <c r="S7" s="35"/>
      <c r="T7" s="35"/>
      <c r="U7" s="35"/>
      <c r="V7" s="35"/>
      <c r="W7" s="35"/>
      <c r="X7" s="35"/>
      <c r="Y7" s="35"/>
      <c r="Z7" s="35"/>
    </row>
    <row r="8" ht="14.25" hidden="1" customHeight="1">
      <c r="A8" s="270" t="s">
        <v>1209</v>
      </c>
      <c r="B8" s="282"/>
      <c r="C8" s="283" t="s">
        <v>1816</v>
      </c>
      <c r="D8" s="289" t="s">
        <v>1817</v>
      </c>
      <c r="E8" s="283" t="s">
        <v>1818</v>
      </c>
      <c r="F8" s="275">
        <v>1840.0</v>
      </c>
      <c r="G8" s="276">
        <v>44805.0</v>
      </c>
      <c r="H8" s="285">
        <f t="shared" si="1"/>
        <v>2760</v>
      </c>
      <c r="I8" s="286">
        <f t="shared" si="2"/>
        <v>2392</v>
      </c>
      <c r="J8" s="287">
        <f t="shared" si="3"/>
        <v>2392</v>
      </c>
      <c r="K8" s="288">
        <f t="shared" si="4"/>
        <v>2208</v>
      </c>
      <c r="L8" s="287">
        <f t="shared" si="5"/>
        <v>2116</v>
      </c>
      <c r="M8" s="288">
        <f t="shared" si="6"/>
        <v>2024</v>
      </c>
      <c r="N8" s="281"/>
      <c r="O8" s="34"/>
      <c r="P8" s="35"/>
      <c r="Q8" s="35"/>
      <c r="R8" s="35"/>
      <c r="S8" s="35"/>
      <c r="T8" s="35"/>
      <c r="U8" s="35"/>
      <c r="V8" s="35"/>
      <c r="W8" s="35"/>
      <c r="X8" s="35"/>
      <c r="Y8" s="35"/>
      <c r="Z8" s="35"/>
    </row>
    <row r="9" ht="14.25" hidden="1" customHeight="1">
      <c r="A9" s="270" t="s">
        <v>1209</v>
      </c>
      <c r="B9" s="282" t="s">
        <v>1819</v>
      </c>
      <c r="C9" s="283" t="s">
        <v>1820</v>
      </c>
      <c r="D9" s="289" t="s">
        <v>1821</v>
      </c>
      <c r="E9" s="283" t="s">
        <v>1822</v>
      </c>
      <c r="F9" s="275">
        <v>500.0</v>
      </c>
      <c r="G9" s="276">
        <v>44805.0</v>
      </c>
      <c r="H9" s="285">
        <f t="shared" si="1"/>
        <v>750</v>
      </c>
      <c r="I9" s="286">
        <f t="shared" si="2"/>
        <v>650</v>
      </c>
      <c r="J9" s="287">
        <f t="shared" si="3"/>
        <v>650</v>
      </c>
      <c r="K9" s="288">
        <f t="shared" si="4"/>
        <v>600</v>
      </c>
      <c r="L9" s="287">
        <f t="shared" si="5"/>
        <v>575</v>
      </c>
      <c r="M9" s="288">
        <f t="shared" si="6"/>
        <v>550</v>
      </c>
      <c r="N9" s="281"/>
      <c r="O9" s="34"/>
      <c r="P9" s="35"/>
      <c r="Q9" s="35"/>
      <c r="R9" s="35"/>
      <c r="S9" s="35"/>
      <c r="T9" s="35"/>
      <c r="U9" s="35"/>
      <c r="V9" s="35"/>
      <c r="W9" s="35"/>
      <c r="X9" s="35"/>
      <c r="Y9" s="35"/>
      <c r="Z9" s="35"/>
    </row>
    <row r="10" ht="14.25" hidden="1" customHeight="1">
      <c r="A10" s="270" t="s">
        <v>1209</v>
      </c>
      <c r="B10" s="282" t="s">
        <v>1819</v>
      </c>
      <c r="C10" s="283" t="s">
        <v>1823</v>
      </c>
      <c r="D10" s="289" t="s">
        <v>1824</v>
      </c>
      <c r="E10" s="283"/>
      <c r="F10" s="275">
        <v>870.0</v>
      </c>
      <c r="G10" s="276">
        <v>44805.0</v>
      </c>
      <c r="H10" s="285">
        <f t="shared" si="1"/>
        <v>1305</v>
      </c>
      <c r="I10" s="286">
        <f t="shared" si="2"/>
        <v>1131</v>
      </c>
      <c r="J10" s="287">
        <f t="shared" si="3"/>
        <v>1131</v>
      </c>
      <c r="K10" s="288">
        <f t="shared" si="4"/>
        <v>1044</v>
      </c>
      <c r="L10" s="287">
        <f t="shared" si="5"/>
        <v>1000.5</v>
      </c>
      <c r="M10" s="288">
        <f t="shared" si="6"/>
        <v>957</v>
      </c>
      <c r="N10" s="281"/>
      <c r="O10" s="34"/>
      <c r="P10" s="35"/>
      <c r="Q10" s="35"/>
      <c r="R10" s="35"/>
      <c r="S10" s="35"/>
      <c r="T10" s="35"/>
      <c r="U10" s="35"/>
      <c r="V10" s="35"/>
      <c r="W10" s="35"/>
      <c r="X10" s="35"/>
      <c r="Y10" s="35"/>
      <c r="Z10" s="35"/>
    </row>
    <row r="11" ht="14.25" hidden="1" customHeight="1">
      <c r="A11" s="270" t="s">
        <v>1209</v>
      </c>
      <c r="B11" s="282" t="s">
        <v>1825</v>
      </c>
      <c r="C11" s="283" t="s">
        <v>1826</v>
      </c>
      <c r="D11" s="289" t="s">
        <v>1827</v>
      </c>
      <c r="E11" s="283" t="s">
        <v>1828</v>
      </c>
      <c r="F11" s="275">
        <v>450.0</v>
      </c>
      <c r="G11" s="276">
        <v>44805.0</v>
      </c>
      <c r="H11" s="285">
        <f t="shared" si="1"/>
        <v>675</v>
      </c>
      <c r="I11" s="286">
        <f t="shared" si="2"/>
        <v>585</v>
      </c>
      <c r="J11" s="287">
        <f t="shared" si="3"/>
        <v>585</v>
      </c>
      <c r="K11" s="288">
        <f t="shared" si="4"/>
        <v>540</v>
      </c>
      <c r="L11" s="287">
        <f t="shared" si="5"/>
        <v>517.5</v>
      </c>
      <c r="M11" s="288">
        <f t="shared" si="6"/>
        <v>495</v>
      </c>
      <c r="N11" s="281"/>
      <c r="O11" s="34"/>
      <c r="P11" s="35"/>
      <c r="Q11" s="35"/>
      <c r="R11" s="35"/>
      <c r="S11" s="35"/>
      <c r="T11" s="35"/>
      <c r="U11" s="35"/>
      <c r="V11" s="35"/>
      <c r="W11" s="35"/>
      <c r="X11" s="35"/>
      <c r="Y11" s="35"/>
      <c r="Z11" s="35"/>
    </row>
    <row r="12" ht="14.25" hidden="1" customHeight="1">
      <c r="A12" s="270" t="s">
        <v>1209</v>
      </c>
      <c r="B12" s="282" t="s">
        <v>1819</v>
      </c>
      <c r="C12" s="283" t="s">
        <v>1829</v>
      </c>
      <c r="D12" s="289" t="s">
        <v>1830</v>
      </c>
      <c r="E12" s="283" t="s">
        <v>1831</v>
      </c>
      <c r="F12" s="275">
        <v>540.0</v>
      </c>
      <c r="G12" s="276">
        <v>44805.0</v>
      </c>
      <c r="H12" s="285">
        <f t="shared" si="1"/>
        <v>810</v>
      </c>
      <c r="I12" s="286">
        <f t="shared" si="2"/>
        <v>702</v>
      </c>
      <c r="J12" s="287">
        <f t="shared" si="3"/>
        <v>702</v>
      </c>
      <c r="K12" s="288">
        <f t="shared" si="4"/>
        <v>648</v>
      </c>
      <c r="L12" s="287">
        <f t="shared" si="5"/>
        <v>621</v>
      </c>
      <c r="M12" s="288">
        <f t="shared" si="6"/>
        <v>594</v>
      </c>
      <c r="N12" s="281"/>
      <c r="O12" s="34"/>
      <c r="P12" s="35"/>
      <c r="Q12" s="35"/>
      <c r="R12" s="35"/>
      <c r="S12" s="35"/>
      <c r="T12" s="35"/>
      <c r="U12" s="35"/>
      <c r="V12" s="35"/>
      <c r="W12" s="35"/>
      <c r="X12" s="35"/>
      <c r="Y12" s="35"/>
      <c r="Z12" s="35"/>
    </row>
    <row r="13" ht="14.25" hidden="1" customHeight="1">
      <c r="A13" s="270" t="s">
        <v>1209</v>
      </c>
      <c r="B13" s="282" t="s">
        <v>1819</v>
      </c>
      <c r="C13" s="290" t="s">
        <v>1832</v>
      </c>
      <c r="D13" s="289" t="s">
        <v>1833</v>
      </c>
      <c r="E13" s="274" t="s">
        <v>1834</v>
      </c>
      <c r="F13" s="275">
        <v>930.0</v>
      </c>
      <c r="G13" s="276">
        <v>44805.0</v>
      </c>
      <c r="H13" s="285">
        <f t="shared" si="1"/>
        <v>1395</v>
      </c>
      <c r="I13" s="286">
        <f t="shared" si="2"/>
        <v>1209</v>
      </c>
      <c r="J13" s="287">
        <f t="shared" si="3"/>
        <v>1209</v>
      </c>
      <c r="K13" s="288">
        <f t="shared" si="4"/>
        <v>1116</v>
      </c>
      <c r="L13" s="287">
        <f t="shared" si="5"/>
        <v>1069.5</v>
      </c>
      <c r="M13" s="288">
        <f t="shared" si="6"/>
        <v>1023</v>
      </c>
      <c r="N13" s="281"/>
      <c r="O13" s="34"/>
      <c r="P13" s="35"/>
      <c r="Q13" s="35"/>
      <c r="R13" s="35"/>
      <c r="S13" s="35"/>
      <c r="T13" s="35"/>
      <c r="U13" s="35"/>
      <c r="V13" s="35"/>
      <c r="W13" s="35"/>
      <c r="X13" s="35"/>
      <c r="Y13" s="35"/>
      <c r="Z13" s="35"/>
    </row>
    <row r="14" ht="14.25" hidden="1" customHeight="1">
      <c r="A14" s="270" t="s">
        <v>1209</v>
      </c>
      <c r="B14" s="282" t="s">
        <v>1835</v>
      </c>
      <c r="C14" s="283" t="s">
        <v>1836</v>
      </c>
      <c r="D14" s="289" t="s">
        <v>1821</v>
      </c>
      <c r="E14" s="274" t="s">
        <v>1837</v>
      </c>
      <c r="F14" s="291">
        <v>861.25</v>
      </c>
      <c r="G14" s="292">
        <v>44805.0</v>
      </c>
      <c r="H14" s="285">
        <f t="shared" si="1"/>
        <v>1291.875</v>
      </c>
      <c r="I14" s="286">
        <f t="shared" si="2"/>
        <v>1119.625</v>
      </c>
      <c r="J14" s="287">
        <f t="shared" si="3"/>
        <v>1119.625</v>
      </c>
      <c r="K14" s="288">
        <f t="shared" si="4"/>
        <v>1033.5</v>
      </c>
      <c r="L14" s="287">
        <f t="shared" si="5"/>
        <v>990.4375</v>
      </c>
      <c r="M14" s="288">
        <f t="shared" si="6"/>
        <v>947.375</v>
      </c>
      <c r="N14" s="281"/>
      <c r="O14" s="34"/>
      <c r="P14" s="35"/>
      <c r="Q14" s="35"/>
      <c r="R14" s="35"/>
      <c r="S14" s="35"/>
      <c r="T14" s="35"/>
      <c r="U14" s="35"/>
      <c r="V14" s="35"/>
      <c r="W14" s="35"/>
      <c r="X14" s="35"/>
      <c r="Y14" s="35"/>
      <c r="Z14" s="35"/>
    </row>
    <row r="15" ht="14.25" hidden="1" customHeight="1">
      <c r="A15" s="270" t="s">
        <v>1209</v>
      </c>
      <c r="B15" s="282" t="s">
        <v>1835</v>
      </c>
      <c r="C15" s="283" t="s">
        <v>1838</v>
      </c>
      <c r="D15" s="289" t="s">
        <v>1839</v>
      </c>
      <c r="E15" s="274" t="s">
        <v>1840</v>
      </c>
      <c r="F15" s="291">
        <v>880.0</v>
      </c>
      <c r="G15" s="292">
        <v>44805.0</v>
      </c>
      <c r="H15" s="285">
        <f t="shared" si="1"/>
        <v>1320</v>
      </c>
      <c r="I15" s="286">
        <f t="shared" si="2"/>
        <v>1144</v>
      </c>
      <c r="J15" s="287">
        <f t="shared" si="3"/>
        <v>1144</v>
      </c>
      <c r="K15" s="288">
        <f t="shared" si="4"/>
        <v>1056</v>
      </c>
      <c r="L15" s="287">
        <f t="shared" si="5"/>
        <v>1012</v>
      </c>
      <c r="M15" s="288">
        <f t="shared" si="6"/>
        <v>968</v>
      </c>
      <c r="N15" s="281"/>
      <c r="O15" s="34"/>
      <c r="P15" s="35"/>
      <c r="Q15" s="35"/>
      <c r="R15" s="35"/>
      <c r="S15" s="35"/>
      <c r="T15" s="35"/>
      <c r="U15" s="35"/>
      <c r="V15" s="35"/>
      <c r="W15" s="35"/>
      <c r="X15" s="35"/>
      <c r="Y15" s="35"/>
      <c r="Z15" s="35"/>
    </row>
    <row r="16" ht="14.25" hidden="1" customHeight="1">
      <c r="A16" s="270" t="s">
        <v>1209</v>
      </c>
      <c r="B16" s="282" t="s">
        <v>1835</v>
      </c>
      <c r="C16" s="283" t="s">
        <v>1841</v>
      </c>
      <c r="D16" s="289" t="s">
        <v>1839</v>
      </c>
      <c r="E16" s="274" t="s">
        <v>1840</v>
      </c>
      <c r="F16" s="291">
        <v>1300.0</v>
      </c>
      <c r="G16" s="292">
        <v>44805.0</v>
      </c>
      <c r="H16" s="285">
        <f t="shared" si="1"/>
        <v>1950</v>
      </c>
      <c r="I16" s="286">
        <f t="shared" si="2"/>
        <v>1690</v>
      </c>
      <c r="J16" s="287">
        <f t="shared" si="3"/>
        <v>1690</v>
      </c>
      <c r="K16" s="288">
        <f t="shared" si="4"/>
        <v>1560</v>
      </c>
      <c r="L16" s="287">
        <f t="shared" si="5"/>
        <v>1495</v>
      </c>
      <c r="M16" s="288">
        <f t="shared" si="6"/>
        <v>1430</v>
      </c>
      <c r="N16" s="281"/>
      <c r="O16" s="34"/>
      <c r="P16" s="35"/>
      <c r="Q16" s="35"/>
      <c r="R16" s="35"/>
      <c r="S16" s="35"/>
      <c r="T16" s="35"/>
      <c r="U16" s="35"/>
      <c r="V16" s="35"/>
      <c r="W16" s="35"/>
      <c r="X16" s="35"/>
      <c r="Y16" s="35"/>
      <c r="Z16" s="35"/>
    </row>
    <row r="17" ht="14.25" hidden="1" customHeight="1">
      <c r="A17" s="270" t="s">
        <v>1209</v>
      </c>
      <c r="B17" s="282" t="s">
        <v>1842</v>
      </c>
      <c r="C17" s="283" t="s">
        <v>1843</v>
      </c>
      <c r="D17" s="289" t="s">
        <v>1830</v>
      </c>
      <c r="E17" s="274" t="s">
        <v>1844</v>
      </c>
      <c r="F17" s="291">
        <v>1100.0</v>
      </c>
      <c r="G17" s="292">
        <v>44805.0</v>
      </c>
      <c r="H17" s="285">
        <f t="shared" si="1"/>
        <v>1650</v>
      </c>
      <c r="I17" s="286">
        <f t="shared" si="2"/>
        <v>1430</v>
      </c>
      <c r="J17" s="287">
        <f t="shared" si="3"/>
        <v>1430</v>
      </c>
      <c r="K17" s="288">
        <f t="shared" si="4"/>
        <v>1320</v>
      </c>
      <c r="L17" s="287">
        <f t="shared" si="5"/>
        <v>1265</v>
      </c>
      <c r="M17" s="288">
        <f t="shared" si="6"/>
        <v>1210</v>
      </c>
      <c r="N17" s="281"/>
      <c r="O17" s="34"/>
      <c r="P17" s="35"/>
      <c r="Q17" s="35"/>
      <c r="R17" s="35"/>
      <c r="S17" s="35"/>
      <c r="T17" s="35"/>
      <c r="U17" s="35"/>
      <c r="V17" s="35"/>
      <c r="W17" s="35"/>
      <c r="X17" s="35"/>
      <c r="Y17" s="35"/>
      <c r="Z17" s="35"/>
    </row>
    <row r="18" ht="14.25" hidden="1" customHeight="1">
      <c r="A18" s="270" t="s">
        <v>1209</v>
      </c>
      <c r="B18" s="282" t="s">
        <v>1842</v>
      </c>
      <c r="C18" s="283" t="s">
        <v>1845</v>
      </c>
      <c r="D18" s="293" t="s">
        <v>1846</v>
      </c>
      <c r="E18" s="270" t="s">
        <v>1847</v>
      </c>
      <c r="F18" s="291">
        <v>1430.0</v>
      </c>
      <c r="G18" s="292">
        <v>44805.0</v>
      </c>
      <c r="H18" s="285">
        <f t="shared" si="1"/>
        <v>2145</v>
      </c>
      <c r="I18" s="286">
        <f t="shared" si="2"/>
        <v>1859</v>
      </c>
      <c r="J18" s="287">
        <f t="shared" si="3"/>
        <v>1859</v>
      </c>
      <c r="K18" s="288">
        <f t="shared" si="4"/>
        <v>1716</v>
      </c>
      <c r="L18" s="287">
        <f t="shared" si="5"/>
        <v>1644.5</v>
      </c>
      <c r="M18" s="288">
        <f t="shared" si="6"/>
        <v>1573</v>
      </c>
      <c r="N18" s="281"/>
      <c r="O18" s="34"/>
      <c r="P18" s="35"/>
      <c r="Q18" s="35"/>
      <c r="R18" s="35"/>
      <c r="S18" s="35"/>
      <c r="T18" s="35"/>
      <c r="U18" s="35"/>
      <c r="V18" s="35"/>
      <c r="W18" s="35"/>
      <c r="X18" s="35"/>
      <c r="Y18" s="35"/>
      <c r="Z18" s="35"/>
    </row>
    <row r="19" ht="14.25" hidden="1" customHeight="1">
      <c r="A19" s="270" t="s">
        <v>1209</v>
      </c>
      <c r="B19" s="282" t="s">
        <v>1848</v>
      </c>
      <c r="C19" s="283" t="s">
        <v>1849</v>
      </c>
      <c r="D19" s="294" t="s">
        <v>1850</v>
      </c>
      <c r="E19" s="274" t="s">
        <v>1837</v>
      </c>
      <c r="F19" s="291">
        <v>1010.0</v>
      </c>
      <c r="G19" s="292">
        <v>44805.0</v>
      </c>
      <c r="H19" s="285">
        <f t="shared" si="1"/>
        <v>1515</v>
      </c>
      <c r="I19" s="286">
        <f t="shared" si="2"/>
        <v>1313</v>
      </c>
      <c r="J19" s="287">
        <f t="shared" si="3"/>
        <v>1313</v>
      </c>
      <c r="K19" s="288">
        <f t="shared" si="4"/>
        <v>1212</v>
      </c>
      <c r="L19" s="287">
        <f t="shared" si="5"/>
        <v>1161.5</v>
      </c>
      <c r="M19" s="288">
        <f t="shared" si="6"/>
        <v>1111</v>
      </c>
      <c r="N19" s="281"/>
      <c r="O19" s="34"/>
      <c r="P19" s="35"/>
      <c r="Q19" s="35"/>
      <c r="R19" s="35"/>
      <c r="S19" s="35"/>
      <c r="T19" s="35"/>
      <c r="U19" s="35"/>
      <c r="V19" s="35"/>
      <c r="W19" s="35"/>
      <c r="X19" s="35"/>
      <c r="Y19" s="35"/>
      <c r="Z19" s="35"/>
    </row>
    <row r="20" ht="14.25" hidden="1" customHeight="1">
      <c r="A20" s="270" t="s">
        <v>1209</v>
      </c>
      <c r="B20" s="282" t="s">
        <v>1848</v>
      </c>
      <c r="C20" s="283" t="s">
        <v>1851</v>
      </c>
      <c r="D20" s="289" t="s">
        <v>1852</v>
      </c>
      <c r="E20" s="274" t="s">
        <v>1853</v>
      </c>
      <c r="F20" s="291">
        <v>2860.0</v>
      </c>
      <c r="G20" s="292">
        <v>44805.0</v>
      </c>
      <c r="H20" s="285">
        <f t="shared" si="1"/>
        <v>4290</v>
      </c>
      <c r="I20" s="286">
        <f t="shared" si="2"/>
        <v>3718</v>
      </c>
      <c r="J20" s="287">
        <f t="shared" si="3"/>
        <v>3718</v>
      </c>
      <c r="K20" s="288">
        <f t="shared" si="4"/>
        <v>3432</v>
      </c>
      <c r="L20" s="287">
        <f t="shared" si="5"/>
        <v>3289</v>
      </c>
      <c r="M20" s="288">
        <f t="shared" si="6"/>
        <v>3146</v>
      </c>
      <c r="N20" s="281"/>
      <c r="O20" s="34"/>
      <c r="P20" s="35"/>
      <c r="Q20" s="35"/>
      <c r="R20" s="35"/>
      <c r="S20" s="35"/>
      <c r="T20" s="35"/>
      <c r="U20" s="35"/>
      <c r="V20" s="35"/>
      <c r="W20" s="35"/>
      <c r="X20" s="35"/>
      <c r="Y20" s="35"/>
      <c r="Z20" s="35"/>
    </row>
    <row r="21" ht="14.25" hidden="1" customHeight="1">
      <c r="A21" s="270" t="s">
        <v>1209</v>
      </c>
      <c r="B21" s="282" t="s">
        <v>1848</v>
      </c>
      <c r="C21" s="283" t="s">
        <v>1854</v>
      </c>
      <c r="D21" s="289" t="s">
        <v>1850</v>
      </c>
      <c r="E21" s="274" t="s">
        <v>1853</v>
      </c>
      <c r="F21" s="291">
        <v>2600.0</v>
      </c>
      <c r="G21" s="292">
        <v>44593.0</v>
      </c>
      <c r="H21" s="285">
        <f t="shared" si="1"/>
        <v>3900</v>
      </c>
      <c r="I21" s="286">
        <f t="shared" si="2"/>
        <v>3380</v>
      </c>
      <c r="J21" s="287">
        <f t="shared" si="3"/>
        <v>3380</v>
      </c>
      <c r="K21" s="288">
        <f t="shared" si="4"/>
        <v>3120</v>
      </c>
      <c r="L21" s="287">
        <f t="shared" si="5"/>
        <v>2990</v>
      </c>
      <c r="M21" s="288">
        <f t="shared" si="6"/>
        <v>2860</v>
      </c>
      <c r="N21" s="281"/>
      <c r="O21" s="34"/>
      <c r="P21" s="35"/>
      <c r="Q21" s="35"/>
      <c r="R21" s="35"/>
      <c r="S21" s="35"/>
      <c r="T21" s="35"/>
      <c r="U21" s="35"/>
      <c r="V21" s="35"/>
      <c r="W21" s="35"/>
      <c r="X21" s="35"/>
      <c r="Y21" s="35"/>
      <c r="Z21" s="35"/>
    </row>
    <row r="22" ht="14.25" hidden="1" customHeight="1">
      <c r="A22" s="270" t="s">
        <v>1209</v>
      </c>
      <c r="B22" s="282" t="s">
        <v>1848</v>
      </c>
      <c r="C22" s="283" t="s">
        <v>1855</v>
      </c>
      <c r="D22" s="289" t="s">
        <v>1850</v>
      </c>
      <c r="E22" s="274" t="s">
        <v>1856</v>
      </c>
      <c r="F22" s="291">
        <v>1960.0</v>
      </c>
      <c r="G22" s="292">
        <v>44593.0</v>
      </c>
      <c r="H22" s="285">
        <f t="shared" si="1"/>
        <v>2940</v>
      </c>
      <c r="I22" s="286">
        <f t="shared" si="2"/>
        <v>2548</v>
      </c>
      <c r="J22" s="287">
        <f t="shared" si="3"/>
        <v>2548</v>
      </c>
      <c r="K22" s="288">
        <f t="shared" si="4"/>
        <v>2352</v>
      </c>
      <c r="L22" s="287">
        <f t="shared" si="5"/>
        <v>2254</v>
      </c>
      <c r="M22" s="288">
        <f t="shared" si="6"/>
        <v>2156</v>
      </c>
      <c r="N22" s="281"/>
      <c r="O22" s="34"/>
      <c r="P22" s="35"/>
      <c r="Q22" s="35"/>
      <c r="R22" s="35"/>
      <c r="S22" s="35"/>
      <c r="T22" s="35"/>
      <c r="U22" s="35"/>
      <c r="V22" s="35"/>
      <c r="W22" s="35"/>
      <c r="X22" s="35"/>
      <c r="Y22" s="35"/>
      <c r="Z22" s="35"/>
    </row>
    <row r="23" ht="14.25" hidden="1" customHeight="1">
      <c r="A23" s="270" t="s">
        <v>1209</v>
      </c>
      <c r="B23" s="282" t="s">
        <v>1848</v>
      </c>
      <c r="C23" s="283" t="s">
        <v>1857</v>
      </c>
      <c r="D23" s="289" t="s">
        <v>1858</v>
      </c>
      <c r="E23" s="274" t="s">
        <v>1856</v>
      </c>
      <c r="F23" s="291">
        <v>3220.0</v>
      </c>
      <c r="G23" s="292">
        <v>44805.0</v>
      </c>
      <c r="H23" s="285">
        <f t="shared" si="1"/>
        <v>4830</v>
      </c>
      <c r="I23" s="286">
        <f t="shared" si="2"/>
        <v>4186</v>
      </c>
      <c r="J23" s="287">
        <f t="shared" si="3"/>
        <v>4186</v>
      </c>
      <c r="K23" s="288">
        <f t="shared" si="4"/>
        <v>3864</v>
      </c>
      <c r="L23" s="287">
        <f t="shared" si="5"/>
        <v>3703</v>
      </c>
      <c r="M23" s="288">
        <f t="shared" si="6"/>
        <v>3542</v>
      </c>
      <c r="N23" s="281"/>
      <c r="O23" s="34"/>
      <c r="P23" s="35"/>
      <c r="Q23" s="35"/>
      <c r="R23" s="35"/>
      <c r="S23" s="35"/>
      <c r="T23" s="35"/>
      <c r="U23" s="35"/>
      <c r="V23" s="35"/>
      <c r="W23" s="35"/>
      <c r="X23" s="35"/>
      <c r="Y23" s="35"/>
      <c r="Z23" s="35"/>
    </row>
    <row r="24" ht="14.25" hidden="1" customHeight="1">
      <c r="A24" s="270" t="s">
        <v>1209</v>
      </c>
      <c r="B24" s="282" t="s">
        <v>1848</v>
      </c>
      <c r="C24" s="283" t="s">
        <v>1859</v>
      </c>
      <c r="D24" s="289" t="s">
        <v>1858</v>
      </c>
      <c r="E24" s="274" t="s">
        <v>1831</v>
      </c>
      <c r="F24" s="291">
        <v>1210.0</v>
      </c>
      <c r="G24" s="292">
        <v>44805.0</v>
      </c>
      <c r="H24" s="285">
        <f t="shared" si="1"/>
        <v>1815</v>
      </c>
      <c r="I24" s="286">
        <f t="shared" si="2"/>
        <v>1573</v>
      </c>
      <c r="J24" s="287">
        <f t="shared" si="3"/>
        <v>1573</v>
      </c>
      <c r="K24" s="288">
        <f t="shared" si="4"/>
        <v>1452</v>
      </c>
      <c r="L24" s="287">
        <f t="shared" si="5"/>
        <v>1391.5</v>
      </c>
      <c r="M24" s="288">
        <f t="shared" si="6"/>
        <v>1331</v>
      </c>
      <c r="N24" s="281"/>
      <c r="O24" s="34"/>
      <c r="P24" s="35"/>
      <c r="Q24" s="35"/>
      <c r="R24" s="35"/>
      <c r="S24" s="35"/>
      <c r="T24" s="35"/>
      <c r="U24" s="35"/>
      <c r="V24" s="35"/>
      <c r="W24" s="35"/>
      <c r="X24" s="35"/>
      <c r="Y24" s="35"/>
      <c r="Z24" s="35"/>
    </row>
    <row r="25" ht="14.25" hidden="1" customHeight="1">
      <c r="A25" s="270" t="s">
        <v>1209</v>
      </c>
      <c r="B25" s="282" t="s">
        <v>1848</v>
      </c>
      <c r="C25" s="283" t="s">
        <v>1860</v>
      </c>
      <c r="D25" s="289" t="s">
        <v>1858</v>
      </c>
      <c r="E25" s="274" t="s">
        <v>1861</v>
      </c>
      <c r="F25" s="291">
        <v>5970.0</v>
      </c>
      <c r="G25" s="292">
        <v>44805.0</v>
      </c>
      <c r="H25" s="285">
        <f t="shared" si="1"/>
        <v>8955</v>
      </c>
      <c r="I25" s="286">
        <f t="shared" si="2"/>
        <v>7761</v>
      </c>
      <c r="J25" s="287">
        <f t="shared" si="3"/>
        <v>7761</v>
      </c>
      <c r="K25" s="288">
        <f t="shared" si="4"/>
        <v>7164</v>
      </c>
      <c r="L25" s="287">
        <f t="shared" si="5"/>
        <v>6865.5</v>
      </c>
      <c r="M25" s="288">
        <f t="shared" si="6"/>
        <v>6567</v>
      </c>
      <c r="N25" s="281"/>
      <c r="O25" s="34"/>
      <c r="P25" s="35"/>
      <c r="Q25" s="35"/>
      <c r="R25" s="35"/>
      <c r="S25" s="35"/>
      <c r="T25" s="35"/>
      <c r="U25" s="35"/>
      <c r="V25" s="35"/>
      <c r="W25" s="35"/>
      <c r="X25" s="35"/>
      <c r="Y25" s="35"/>
      <c r="Z25" s="35"/>
    </row>
    <row r="26" ht="14.25" hidden="1" customHeight="1">
      <c r="A26" s="270" t="s">
        <v>1209</v>
      </c>
      <c r="B26" s="282" t="s">
        <v>1862</v>
      </c>
      <c r="C26" s="283" t="s">
        <v>1863</v>
      </c>
      <c r="D26" s="293" t="s">
        <v>1864</v>
      </c>
      <c r="E26" s="270" t="s">
        <v>1831</v>
      </c>
      <c r="F26" s="291">
        <v>1200.0</v>
      </c>
      <c r="G26" s="292">
        <v>44593.0</v>
      </c>
      <c r="H26" s="285">
        <f t="shared" si="1"/>
        <v>1800</v>
      </c>
      <c r="I26" s="286">
        <f t="shared" si="2"/>
        <v>1560</v>
      </c>
      <c r="J26" s="287">
        <f t="shared" si="3"/>
        <v>1560</v>
      </c>
      <c r="K26" s="288">
        <f t="shared" si="4"/>
        <v>1440</v>
      </c>
      <c r="L26" s="287">
        <f t="shared" si="5"/>
        <v>1380</v>
      </c>
      <c r="M26" s="288">
        <f t="shared" si="6"/>
        <v>1320</v>
      </c>
      <c r="N26" s="281"/>
      <c r="O26" s="34"/>
      <c r="P26" s="35"/>
      <c r="Q26" s="35"/>
      <c r="R26" s="35"/>
      <c r="S26" s="35"/>
      <c r="T26" s="35"/>
      <c r="U26" s="35"/>
      <c r="V26" s="35"/>
      <c r="W26" s="35"/>
      <c r="X26" s="35"/>
      <c r="Y26" s="35"/>
      <c r="Z26" s="35"/>
    </row>
    <row r="27" ht="14.25" hidden="1" customHeight="1">
      <c r="A27" s="270" t="s">
        <v>1209</v>
      </c>
      <c r="B27" s="282" t="s">
        <v>1862</v>
      </c>
      <c r="C27" s="283" t="s">
        <v>1865</v>
      </c>
      <c r="D27" s="294" t="s">
        <v>1866</v>
      </c>
      <c r="E27" s="274" t="s">
        <v>1831</v>
      </c>
      <c r="F27" s="291">
        <v>1500.0</v>
      </c>
      <c r="G27" s="292">
        <v>44805.0</v>
      </c>
      <c r="H27" s="285">
        <f t="shared" si="1"/>
        <v>2250</v>
      </c>
      <c r="I27" s="286">
        <f t="shared" si="2"/>
        <v>1950</v>
      </c>
      <c r="J27" s="287">
        <f t="shared" si="3"/>
        <v>1950</v>
      </c>
      <c r="K27" s="288">
        <f t="shared" si="4"/>
        <v>1800</v>
      </c>
      <c r="L27" s="287">
        <f t="shared" si="5"/>
        <v>1725</v>
      </c>
      <c r="M27" s="288">
        <f t="shared" si="6"/>
        <v>1650</v>
      </c>
      <c r="N27" s="281"/>
      <c r="O27" s="34"/>
      <c r="P27" s="35"/>
      <c r="Q27" s="35"/>
      <c r="R27" s="35"/>
      <c r="S27" s="35"/>
      <c r="T27" s="35"/>
      <c r="U27" s="35"/>
      <c r="V27" s="35"/>
      <c r="W27" s="35"/>
      <c r="X27" s="35"/>
      <c r="Y27" s="35"/>
      <c r="Z27" s="35"/>
    </row>
    <row r="28" ht="14.25" hidden="1" customHeight="1">
      <c r="A28" s="270" t="s">
        <v>1209</v>
      </c>
      <c r="B28" s="282" t="s">
        <v>1862</v>
      </c>
      <c r="C28" s="283" t="s">
        <v>1867</v>
      </c>
      <c r="D28" s="289" t="s">
        <v>1866</v>
      </c>
      <c r="E28" s="274" t="s">
        <v>1831</v>
      </c>
      <c r="F28" s="291">
        <v>1400.0</v>
      </c>
      <c r="G28" s="292">
        <v>44805.0</v>
      </c>
      <c r="H28" s="285">
        <f t="shared" si="1"/>
        <v>2100</v>
      </c>
      <c r="I28" s="286">
        <f t="shared" si="2"/>
        <v>1820</v>
      </c>
      <c r="J28" s="287">
        <f t="shared" si="3"/>
        <v>1820</v>
      </c>
      <c r="K28" s="288">
        <f t="shared" si="4"/>
        <v>1680</v>
      </c>
      <c r="L28" s="287">
        <f t="shared" si="5"/>
        <v>1610</v>
      </c>
      <c r="M28" s="288">
        <f t="shared" si="6"/>
        <v>1540</v>
      </c>
      <c r="N28" s="281"/>
      <c r="O28" s="34"/>
      <c r="P28" s="35"/>
      <c r="Q28" s="35"/>
      <c r="R28" s="35"/>
      <c r="S28" s="35"/>
      <c r="T28" s="35"/>
      <c r="U28" s="35"/>
      <c r="V28" s="35"/>
      <c r="W28" s="35"/>
      <c r="X28" s="35"/>
      <c r="Y28" s="35"/>
      <c r="Z28" s="35"/>
    </row>
    <row r="29" ht="14.25" hidden="1" customHeight="1">
      <c r="A29" s="270" t="s">
        <v>1209</v>
      </c>
      <c r="B29" s="282" t="s">
        <v>1842</v>
      </c>
      <c r="C29" s="274" t="s">
        <v>1868</v>
      </c>
      <c r="D29" s="295" t="s">
        <v>1869</v>
      </c>
      <c r="E29" s="283" t="s">
        <v>1870</v>
      </c>
      <c r="F29" s="291">
        <v>1450.0</v>
      </c>
      <c r="G29" s="292">
        <v>44805.0</v>
      </c>
      <c r="H29" s="285">
        <f t="shared" si="1"/>
        <v>2175</v>
      </c>
      <c r="I29" s="286">
        <f t="shared" si="2"/>
        <v>1885</v>
      </c>
      <c r="J29" s="287">
        <f t="shared" si="3"/>
        <v>1885</v>
      </c>
      <c r="K29" s="288">
        <f t="shared" si="4"/>
        <v>1740</v>
      </c>
      <c r="L29" s="287">
        <f t="shared" si="5"/>
        <v>1667.5</v>
      </c>
      <c r="M29" s="288">
        <f t="shared" si="6"/>
        <v>1595</v>
      </c>
      <c r="N29" s="281"/>
      <c r="O29" s="34"/>
      <c r="P29" s="35"/>
      <c r="Q29" s="35"/>
      <c r="R29" s="35"/>
      <c r="S29" s="35"/>
      <c r="T29" s="35"/>
      <c r="U29" s="35"/>
      <c r="V29" s="35"/>
      <c r="W29" s="35"/>
      <c r="X29" s="35"/>
      <c r="Y29" s="35"/>
      <c r="Z29" s="35"/>
    </row>
    <row r="30" ht="14.25" hidden="1" customHeight="1">
      <c r="A30" s="270" t="s">
        <v>1209</v>
      </c>
      <c r="B30" s="282" t="s">
        <v>1842</v>
      </c>
      <c r="C30" s="274" t="s">
        <v>1871</v>
      </c>
      <c r="D30" s="295" t="s">
        <v>1872</v>
      </c>
      <c r="E30" s="274" t="s">
        <v>1837</v>
      </c>
      <c r="F30" s="291">
        <v>1070.0</v>
      </c>
      <c r="G30" s="292">
        <v>44805.0</v>
      </c>
      <c r="H30" s="285">
        <f t="shared" si="1"/>
        <v>1605</v>
      </c>
      <c r="I30" s="286">
        <f t="shared" si="2"/>
        <v>1391</v>
      </c>
      <c r="J30" s="287">
        <f t="shared" si="3"/>
        <v>1391</v>
      </c>
      <c r="K30" s="288">
        <f t="shared" si="4"/>
        <v>1284</v>
      </c>
      <c r="L30" s="287">
        <f t="shared" si="5"/>
        <v>1230.5</v>
      </c>
      <c r="M30" s="288">
        <f t="shared" si="6"/>
        <v>1177</v>
      </c>
      <c r="N30" s="281"/>
      <c r="O30" s="34"/>
      <c r="P30" s="35"/>
      <c r="Q30" s="35"/>
      <c r="R30" s="35"/>
      <c r="S30" s="35"/>
      <c r="T30" s="35"/>
      <c r="U30" s="35"/>
      <c r="V30" s="35"/>
      <c r="W30" s="35"/>
      <c r="X30" s="35"/>
      <c r="Y30" s="35"/>
      <c r="Z30" s="35"/>
    </row>
    <row r="31" ht="14.25" hidden="1" customHeight="1">
      <c r="A31" s="270" t="s">
        <v>1209</v>
      </c>
      <c r="B31" s="282" t="s">
        <v>1842</v>
      </c>
      <c r="C31" s="274" t="s">
        <v>1873</v>
      </c>
      <c r="D31" s="295" t="s">
        <v>1872</v>
      </c>
      <c r="E31" s="274" t="s">
        <v>1874</v>
      </c>
      <c r="F31" s="291">
        <v>1475.0</v>
      </c>
      <c r="G31" s="292">
        <v>44805.0</v>
      </c>
      <c r="H31" s="285">
        <f t="shared" si="1"/>
        <v>2212.5</v>
      </c>
      <c r="I31" s="286">
        <f t="shared" si="2"/>
        <v>1917.5</v>
      </c>
      <c r="J31" s="287">
        <f t="shared" si="3"/>
        <v>1917.5</v>
      </c>
      <c r="K31" s="288">
        <f t="shared" si="4"/>
        <v>1770</v>
      </c>
      <c r="L31" s="287">
        <f t="shared" si="5"/>
        <v>1696.25</v>
      </c>
      <c r="M31" s="288">
        <f t="shared" si="6"/>
        <v>1622.5</v>
      </c>
      <c r="N31" s="281"/>
      <c r="O31" s="34"/>
      <c r="P31" s="35"/>
      <c r="Q31" s="35"/>
      <c r="R31" s="35"/>
      <c r="S31" s="35"/>
      <c r="T31" s="35"/>
      <c r="U31" s="35"/>
      <c r="V31" s="35"/>
      <c r="W31" s="35"/>
      <c r="X31" s="35"/>
      <c r="Y31" s="35"/>
      <c r="Z31" s="35"/>
    </row>
    <row r="32" ht="14.25" hidden="1" customHeight="1">
      <c r="A32" s="270" t="s">
        <v>1209</v>
      </c>
      <c r="B32" s="282" t="s">
        <v>1848</v>
      </c>
      <c r="C32" s="274" t="s">
        <v>1875</v>
      </c>
      <c r="D32" s="295" t="s">
        <v>1852</v>
      </c>
      <c r="E32" s="274" t="s">
        <v>1874</v>
      </c>
      <c r="F32" s="291">
        <v>5970.0</v>
      </c>
      <c r="G32" s="292">
        <v>44805.0</v>
      </c>
      <c r="H32" s="285">
        <f t="shared" si="1"/>
        <v>8955</v>
      </c>
      <c r="I32" s="286">
        <f t="shared" si="2"/>
        <v>7761</v>
      </c>
      <c r="J32" s="287">
        <f t="shared" si="3"/>
        <v>7761</v>
      </c>
      <c r="K32" s="288">
        <f t="shared" si="4"/>
        <v>7164</v>
      </c>
      <c r="L32" s="287">
        <f t="shared" si="5"/>
        <v>6865.5</v>
      </c>
      <c r="M32" s="288">
        <f t="shared" si="6"/>
        <v>6567</v>
      </c>
      <c r="N32" s="281"/>
      <c r="O32" s="34"/>
      <c r="P32" s="35"/>
      <c r="Q32" s="35"/>
      <c r="R32" s="35"/>
      <c r="S32" s="35"/>
      <c r="T32" s="35"/>
      <c r="U32" s="35"/>
      <c r="V32" s="35"/>
      <c r="W32" s="35"/>
      <c r="X32" s="35"/>
      <c r="Y32" s="35"/>
      <c r="Z32" s="35"/>
    </row>
    <row r="33" ht="14.25" hidden="1" customHeight="1">
      <c r="A33" s="270" t="s">
        <v>1209</v>
      </c>
      <c r="B33" s="282" t="s">
        <v>1835</v>
      </c>
      <c r="C33" s="274" t="s">
        <v>1876</v>
      </c>
      <c r="D33" s="295" t="s">
        <v>1821</v>
      </c>
      <c r="E33" s="274" t="s">
        <v>1874</v>
      </c>
      <c r="F33" s="291">
        <v>1430.0</v>
      </c>
      <c r="G33" s="292">
        <v>44805.0</v>
      </c>
      <c r="H33" s="285">
        <f t="shared" si="1"/>
        <v>2145</v>
      </c>
      <c r="I33" s="286">
        <f t="shared" si="2"/>
        <v>1859</v>
      </c>
      <c r="J33" s="287">
        <f t="shared" si="3"/>
        <v>1859</v>
      </c>
      <c r="K33" s="288">
        <f t="shared" si="4"/>
        <v>1716</v>
      </c>
      <c r="L33" s="287">
        <f t="shared" si="5"/>
        <v>1644.5</v>
      </c>
      <c r="M33" s="288">
        <f t="shared" si="6"/>
        <v>1573</v>
      </c>
      <c r="N33" s="281"/>
      <c r="O33" s="34"/>
      <c r="P33" s="35"/>
      <c r="Q33" s="35"/>
      <c r="R33" s="35"/>
      <c r="S33" s="35"/>
      <c r="T33" s="35"/>
      <c r="U33" s="35"/>
      <c r="V33" s="35"/>
      <c r="W33" s="35"/>
      <c r="X33" s="35"/>
      <c r="Y33" s="35"/>
      <c r="Z33" s="35"/>
    </row>
    <row r="34" ht="14.25" hidden="1" customHeight="1">
      <c r="A34" s="270" t="s">
        <v>1209</v>
      </c>
      <c r="B34" s="282" t="s">
        <v>1835</v>
      </c>
      <c r="C34" s="274" t="s">
        <v>1877</v>
      </c>
      <c r="D34" s="295" t="s">
        <v>1878</v>
      </c>
      <c r="E34" s="274" t="s">
        <v>1831</v>
      </c>
      <c r="F34" s="291">
        <v>2100.0</v>
      </c>
      <c r="G34" s="292">
        <v>44805.0</v>
      </c>
      <c r="H34" s="285">
        <f t="shared" si="1"/>
        <v>3150</v>
      </c>
      <c r="I34" s="286">
        <f t="shared" si="2"/>
        <v>2730</v>
      </c>
      <c r="J34" s="287">
        <f t="shared" si="3"/>
        <v>2730</v>
      </c>
      <c r="K34" s="288">
        <f t="shared" si="4"/>
        <v>2520</v>
      </c>
      <c r="L34" s="287">
        <f t="shared" si="5"/>
        <v>2415</v>
      </c>
      <c r="M34" s="288">
        <f t="shared" si="6"/>
        <v>2310</v>
      </c>
      <c r="N34" s="281"/>
      <c r="O34" s="34"/>
      <c r="P34" s="35"/>
      <c r="Q34" s="35"/>
      <c r="R34" s="35"/>
      <c r="S34" s="35"/>
      <c r="T34" s="35"/>
      <c r="U34" s="35"/>
      <c r="V34" s="35"/>
      <c r="W34" s="35"/>
      <c r="X34" s="35"/>
      <c r="Y34" s="35"/>
      <c r="Z34" s="35"/>
    </row>
    <row r="35" ht="14.25" hidden="1" customHeight="1">
      <c r="A35" s="270" t="s">
        <v>1209</v>
      </c>
      <c r="B35" s="282" t="s">
        <v>1848</v>
      </c>
      <c r="C35" s="274" t="s">
        <v>1879</v>
      </c>
      <c r="D35" s="296" t="s">
        <v>1880</v>
      </c>
      <c r="E35" s="274" t="s">
        <v>1881</v>
      </c>
      <c r="F35" s="291">
        <v>2520.0</v>
      </c>
      <c r="G35" s="292">
        <v>44805.0</v>
      </c>
      <c r="H35" s="285">
        <f t="shared" si="1"/>
        <v>3780</v>
      </c>
      <c r="I35" s="286">
        <f t="shared" si="2"/>
        <v>3276</v>
      </c>
      <c r="J35" s="287">
        <f t="shared" si="3"/>
        <v>3276</v>
      </c>
      <c r="K35" s="288">
        <f t="shared" si="4"/>
        <v>3024</v>
      </c>
      <c r="L35" s="287">
        <f t="shared" si="5"/>
        <v>2898</v>
      </c>
      <c r="M35" s="288">
        <f t="shared" si="6"/>
        <v>2772</v>
      </c>
      <c r="N35" s="281"/>
      <c r="O35" s="34"/>
      <c r="P35" s="35"/>
      <c r="Q35" s="35"/>
      <c r="R35" s="35"/>
      <c r="S35" s="35"/>
      <c r="T35" s="35"/>
      <c r="U35" s="35"/>
      <c r="V35" s="35"/>
      <c r="W35" s="35"/>
      <c r="X35" s="35"/>
      <c r="Y35" s="35"/>
      <c r="Z35" s="35"/>
    </row>
    <row r="36" ht="14.25" hidden="1" customHeight="1">
      <c r="A36" s="270" t="s">
        <v>1209</v>
      </c>
      <c r="B36" s="282" t="s">
        <v>1848</v>
      </c>
      <c r="C36" s="274" t="s">
        <v>1882</v>
      </c>
      <c r="D36" s="295" t="s">
        <v>1880</v>
      </c>
      <c r="E36" s="274" t="s">
        <v>1831</v>
      </c>
      <c r="F36" s="291">
        <v>1250.0</v>
      </c>
      <c r="G36" s="292">
        <v>44593.0</v>
      </c>
      <c r="H36" s="285">
        <f t="shared" si="1"/>
        <v>1875</v>
      </c>
      <c r="I36" s="286">
        <f t="shared" si="2"/>
        <v>1625</v>
      </c>
      <c r="J36" s="287">
        <f t="shared" si="3"/>
        <v>1625</v>
      </c>
      <c r="K36" s="288">
        <f t="shared" si="4"/>
        <v>1500</v>
      </c>
      <c r="L36" s="287">
        <f t="shared" si="5"/>
        <v>1437.5</v>
      </c>
      <c r="M36" s="288">
        <f t="shared" si="6"/>
        <v>1375</v>
      </c>
      <c r="N36" s="281"/>
      <c r="O36" s="34"/>
      <c r="P36" s="35"/>
      <c r="Q36" s="35"/>
      <c r="R36" s="35"/>
      <c r="S36" s="35"/>
      <c r="T36" s="35"/>
      <c r="U36" s="35"/>
      <c r="V36" s="35"/>
      <c r="W36" s="35"/>
      <c r="X36" s="35"/>
      <c r="Y36" s="35"/>
      <c r="Z36" s="35"/>
    </row>
    <row r="37" ht="14.25" hidden="1" customHeight="1">
      <c r="A37" s="270" t="s">
        <v>1209</v>
      </c>
      <c r="B37" s="282" t="s">
        <v>1842</v>
      </c>
      <c r="C37" s="274" t="s">
        <v>1883</v>
      </c>
      <c r="D37" s="295" t="s">
        <v>1827</v>
      </c>
      <c r="E37" s="283" t="s">
        <v>1828</v>
      </c>
      <c r="F37" s="291">
        <v>400.0</v>
      </c>
      <c r="G37" s="292">
        <v>44805.0</v>
      </c>
      <c r="H37" s="285">
        <f t="shared" si="1"/>
        <v>600</v>
      </c>
      <c r="I37" s="286">
        <f t="shared" si="2"/>
        <v>520</v>
      </c>
      <c r="J37" s="287">
        <f t="shared" si="3"/>
        <v>520</v>
      </c>
      <c r="K37" s="288">
        <f t="shared" si="4"/>
        <v>480</v>
      </c>
      <c r="L37" s="287">
        <f t="shared" si="5"/>
        <v>460</v>
      </c>
      <c r="M37" s="288">
        <f t="shared" si="6"/>
        <v>440</v>
      </c>
      <c r="N37" s="281"/>
      <c r="O37" s="34"/>
      <c r="P37" s="35"/>
      <c r="Q37" s="35"/>
      <c r="R37" s="35"/>
      <c r="S37" s="35"/>
      <c r="T37" s="35"/>
      <c r="U37" s="35"/>
      <c r="V37" s="35"/>
      <c r="W37" s="35"/>
      <c r="X37" s="35"/>
      <c r="Y37" s="35"/>
      <c r="Z37" s="35"/>
    </row>
    <row r="38" ht="14.25" hidden="1" customHeight="1">
      <c r="A38" s="270" t="s">
        <v>1209</v>
      </c>
      <c r="B38" s="282" t="s">
        <v>1842</v>
      </c>
      <c r="C38" s="274" t="s">
        <v>1884</v>
      </c>
      <c r="D38" s="295" t="s">
        <v>1830</v>
      </c>
      <c r="E38" s="274" t="s">
        <v>1874</v>
      </c>
      <c r="F38" s="291">
        <v>1450.0</v>
      </c>
      <c r="G38" s="292">
        <v>44805.0</v>
      </c>
      <c r="H38" s="285">
        <f t="shared" si="1"/>
        <v>2175</v>
      </c>
      <c r="I38" s="286">
        <f t="shared" si="2"/>
        <v>1885</v>
      </c>
      <c r="J38" s="287">
        <f t="shared" si="3"/>
        <v>1885</v>
      </c>
      <c r="K38" s="288">
        <f t="shared" si="4"/>
        <v>1740</v>
      </c>
      <c r="L38" s="287">
        <f t="shared" si="5"/>
        <v>1667.5</v>
      </c>
      <c r="M38" s="288">
        <f t="shared" si="6"/>
        <v>1595</v>
      </c>
      <c r="N38" s="281"/>
      <c r="O38" s="34"/>
      <c r="P38" s="35"/>
      <c r="Q38" s="35"/>
      <c r="R38" s="35"/>
      <c r="S38" s="35"/>
      <c r="T38" s="35"/>
      <c r="U38" s="35"/>
      <c r="V38" s="35"/>
      <c r="W38" s="35"/>
      <c r="X38" s="35"/>
      <c r="Y38" s="35"/>
      <c r="Z38" s="35"/>
    </row>
    <row r="39" ht="14.25" hidden="1" customHeight="1">
      <c r="A39" s="270" t="s">
        <v>1209</v>
      </c>
      <c r="B39" s="282" t="s">
        <v>1842</v>
      </c>
      <c r="C39" s="274" t="s">
        <v>1885</v>
      </c>
      <c r="D39" s="295" t="s">
        <v>1886</v>
      </c>
      <c r="E39" s="274" t="s">
        <v>1831</v>
      </c>
      <c r="F39" s="291">
        <v>550.0</v>
      </c>
      <c r="G39" s="292">
        <v>44805.0</v>
      </c>
      <c r="H39" s="285">
        <f t="shared" si="1"/>
        <v>825</v>
      </c>
      <c r="I39" s="286">
        <f t="shared" si="2"/>
        <v>715</v>
      </c>
      <c r="J39" s="287">
        <f t="shared" si="3"/>
        <v>715</v>
      </c>
      <c r="K39" s="288">
        <f t="shared" si="4"/>
        <v>660</v>
      </c>
      <c r="L39" s="287">
        <f t="shared" si="5"/>
        <v>632.5</v>
      </c>
      <c r="M39" s="288">
        <f t="shared" si="6"/>
        <v>605</v>
      </c>
      <c r="N39" s="281"/>
      <c r="O39" s="34"/>
      <c r="P39" s="35"/>
      <c r="Q39" s="35"/>
      <c r="R39" s="35"/>
      <c r="S39" s="35"/>
      <c r="T39" s="35"/>
      <c r="U39" s="35"/>
      <c r="V39" s="35"/>
      <c r="W39" s="35"/>
      <c r="X39" s="35"/>
      <c r="Y39" s="35"/>
      <c r="Z39" s="35"/>
    </row>
    <row r="40" ht="14.25" hidden="1" customHeight="1">
      <c r="A40" s="270" t="s">
        <v>1209</v>
      </c>
      <c r="B40" s="282" t="s">
        <v>1862</v>
      </c>
      <c r="C40" s="274" t="s">
        <v>1887</v>
      </c>
      <c r="D40" s="295" t="s">
        <v>1888</v>
      </c>
      <c r="E40" s="274" t="s">
        <v>1831</v>
      </c>
      <c r="F40" s="291">
        <v>1150.0</v>
      </c>
      <c r="G40" s="292">
        <v>44805.0</v>
      </c>
      <c r="H40" s="285">
        <f t="shared" si="1"/>
        <v>1725</v>
      </c>
      <c r="I40" s="286">
        <f t="shared" si="2"/>
        <v>1495</v>
      </c>
      <c r="J40" s="287">
        <f t="shared" si="3"/>
        <v>1495</v>
      </c>
      <c r="K40" s="288">
        <f t="shared" si="4"/>
        <v>1380</v>
      </c>
      <c r="L40" s="287">
        <f t="shared" si="5"/>
        <v>1322.5</v>
      </c>
      <c r="M40" s="288">
        <f t="shared" si="6"/>
        <v>1265</v>
      </c>
      <c r="N40" s="281"/>
      <c r="O40" s="34"/>
      <c r="P40" s="35"/>
      <c r="Q40" s="35"/>
      <c r="R40" s="35"/>
      <c r="S40" s="35"/>
      <c r="T40" s="35"/>
      <c r="U40" s="35"/>
      <c r="V40" s="35"/>
      <c r="W40" s="35"/>
      <c r="X40" s="35"/>
      <c r="Y40" s="35"/>
      <c r="Z40" s="35"/>
    </row>
    <row r="41" ht="14.25" hidden="1" customHeight="1">
      <c r="A41" s="270" t="s">
        <v>1209</v>
      </c>
      <c r="B41" s="282" t="s">
        <v>1842</v>
      </c>
      <c r="C41" s="274" t="s">
        <v>1889</v>
      </c>
      <c r="D41" s="295" t="s">
        <v>1890</v>
      </c>
      <c r="E41" s="283" t="s">
        <v>1891</v>
      </c>
      <c r="F41" s="291">
        <v>395.0</v>
      </c>
      <c r="G41" s="292">
        <v>44805.0</v>
      </c>
      <c r="H41" s="285">
        <f t="shared" si="1"/>
        <v>592.5</v>
      </c>
      <c r="I41" s="286">
        <f t="shared" si="2"/>
        <v>513.5</v>
      </c>
      <c r="J41" s="287">
        <f t="shared" si="3"/>
        <v>513.5</v>
      </c>
      <c r="K41" s="288">
        <f t="shared" si="4"/>
        <v>474</v>
      </c>
      <c r="L41" s="287">
        <f t="shared" si="5"/>
        <v>454.25</v>
      </c>
      <c r="M41" s="288">
        <f t="shared" si="6"/>
        <v>434.5</v>
      </c>
      <c r="N41" s="281"/>
      <c r="O41" s="34"/>
      <c r="P41" s="35"/>
      <c r="Q41" s="35"/>
      <c r="R41" s="35"/>
      <c r="S41" s="35"/>
      <c r="T41" s="35"/>
      <c r="U41" s="35"/>
      <c r="V41" s="35"/>
      <c r="W41" s="35"/>
      <c r="X41" s="35"/>
      <c r="Y41" s="35"/>
      <c r="Z41" s="35"/>
    </row>
    <row r="42" ht="14.25" hidden="1" customHeight="1">
      <c r="A42" s="270" t="s">
        <v>1209</v>
      </c>
      <c r="B42" s="282" t="s">
        <v>1892</v>
      </c>
      <c r="C42" s="274" t="s">
        <v>1893</v>
      </c>
      <c r="D42" s="295" t="s">
        <v>1830</v>
      </c>
      <c r="E42" s="274" t="s">
        <v>1831</v>
      </c>
      <c r="F42" s="291">
        <v>750.0</v>
      </c>
      <c r="G42" s="292">
        <v>44805.0</v>
      </c>
      <c r="H42" s="285">
        <f t="shared" si="1"/>
        <v>1125</v>
      </c>
      <c r="I42" s="286">
        <f t="shared" si="2"/>
        <v>975</v>
      </c>
      <c r="J42" s="287">
        <f t="shared" si="3"/>
        <v>975</v>
      </c>
      <c r="K42" s="288">
        <f t="shared" si="4"/>
        <v>900</v>
      </c>
      <c r="L42" s="287">
        <f t="shared" si="5"/>
        <v>862.5</v>
      </c>
      <c r="M42" s="288">
        <f t="shared" si="6"/>
        <v>825</v>
      </c>
      <c r="N42" s="281"/>
      <c r="O42" s="34"/>
      <c r="P42" s="35"/>
      <c r="Q42" s="35"/>
      <c r="R42" s="35"/>
      <c r="S42" s="35"/>
      <c r="T42" s="35"/>
      <c r="U42" s="35"/>
      <c r="V42" s="35"/>
      <c r="W42" s="35"/>
      <c r="X42" s="35"/>
      <c r="Y42" s="35"/>
      <c r="Z42" s="35"/>
    </row>
    <row r="43" ht="14.25" hidden="1" customHeight="1">
      <c r="A43" s="270" t="s">
        <v>1209</v>
      </c>
      <c r="B43" s="282" t="s">
        <v>1892</v>
      </c>
      <c r="C43" s="274" t="s">
        <v>1894</v>
      </c>
      <c r="D43" s="295" t="s">
        <v>1830</v>
      </c>
      <c r="E43" s="274" t="s">
        <v>1831</v>
      </c>
      <c r="F43" s="291">
        <v>850.0</v>
      </c>
      <c r="G43" s="292">
        <v>44805.0</v>
      </c>
      <c r="H43" s="285">
        <f t="shared" si="1"/>
        <v>1275</v>
      </c>
      <c r="I43" s="286">
        <f t="shared" si="2"/>
        <v>1105</v>
      </c>
      <c r="J43" s="287">
        <f t="shared" si="3"/>
        <v>1105</v>
      </c>
      <c r="K43" s="288">
        <f t="shared" si="4"/>
        <v>1020</v>
      </c>
      <c r="L43" s="287">
        <f t="shared" si="5"/>
        <v>977.5</v>
      </c>
      <c r="M43" s="288">
        <f t="shared" si="6"/>
        <v>935</v>
      </c>
      <c r="N43" s="281"/>
      <c r="O43" s="34"/>
      <c r="P43" s="35"/>
      <c r="Q43" s="35"/>
      <c r="R43" s="35"/>
      <c r="S43" s="35"/>
      <c r="T43" s="35"/>
      <c r="U43" s="35"/>
      <c r="V43" s="35"/>
      <c r="W43" s="35"/>
      <c r="X43" s="35"/>
      <c r="Y43" s="35"/>
      <c r="Z43" s="35"/>
    </row>
    <row r="44" ht="14.25" hidden="1" customHeight="1">
      <c r="A44" s="270" t="s">
        <v>1209</v>
      </c>
      <c r="B44" s="282" t="s">
        <v>1892</v>
      </c>
      <c r="C44" s="274" t="s">
        <v>1895</v>
      </c>
      <c r="D44" s="295" t="s">
        <v>1821</v>
      </c>
      <c r="E44" s="274" t="s">
        <v>1831</v>
      </c>
      <c r="F44" s="291">
        <v>595.0</v>
      </c>
      <c r="G44" s="292">
        <v>44805.0</v>
      </c>
      <c r="H44" s="285">
        <f t="shared" si="1"/>
        <v>892.5</v>
      </c>
      <c r="I44" s="286">
        <f t="shared" si="2"/>
        <v>773.5</v>
      </c>
      <c r="J44" s="287">
        <f t="shared" si="3"/>
        <v>773.5</v>
      </c>
      <c r="K44" s="288">
        <f t="shared" si="4"/>
        <v>714</v>
      </c>
      <c r="L44" s="287">
        <f t="shared" si="5"/>
        <v>684.25</v>
      </c>
      <c r="M44" s="288">
        <f t="shared" si="6"/>
        <v>654.5</v>
      </c>
      <c r="N44" s="281"/>
      <c r="O44" s="34"/>
      <c r="P44" s="35"/>
      <c r="Q44" s="35"/>
      <c r="R44" s="35"/>
      <c r="S44" s="35"/>
      <c r="T44" s="35"/>
      <c r="U44" s="35"/>
      <c r="V44" s="35"/>
      <c r="W44" s="35"/>
      <c r="X44" s="35"/>
      <c r="Y44" s="35"/>
      <c r="Z44" s="35"/>
    </row>
    <row r="45" ht="14.25" hidden="1" customHeight="1">
      <c r="A45" s="270" t="s">
        <v>1209</v>
      </c>
      <c r="B45" s="282" t="s">
        <v>1892</v>
      </c>
      <c r="C45" s="274" t="s">
        <v>1896</v>
      </c>
      <c r="D45" s="295" t="s">
        <v>1897</v>
      </c>
      <c r="E45" s="274" t="s">
        <v>1831</v>
      </c>
      <c r="F45" s="291">
        <v>765.0</v>
      </c>
      <c r="G45" s="292">
        <v>44805.0</v>
      </c>
      <c r="H45" s="285">
        <f t="shared" si="1"/>
        <v>1147.5</v>
      </c>
      <c r="I45" s="286">
        <f t="shared" si="2"/>
        <v>994.5</v>
      </c>
      <c r="J45" s="287">
        <f t="shared" si="3"/>
        <v>994.5</v>
      </c>
      <c r="K45" s="288">
        <f t="shared" si="4"/>
        <v>918</v>
      </c>
      <c r="L45" s="287">
        <f t="shared" si="5"/>
        <v>879.75</v>
      </c>
      <c r="M45" s="288">
        <f t="shared" si="6"/>
        <v>841.5</v>
      </c>
      <c r="N45" s="281"/>
      <c r="O45" s="34"/>
      <c r="P45" s="35"/>
      <c r="Q45" s="35"/>
      <c r="R45" s="35"/>
      <c r="S45" s="35"/>
      <c r="T45" s="35"/>
      <c r="U45" s="35"/>
      <c r="V45" s="35"/>
      <c r="W45" s="35"/>
      <c r="X45" s="35"/>
      <c r="Y45" s="35"/>
      <c r="Z45" s="35"/>
    </row>
    <row r="46" ht="14.25" hidden="1" customHeight="1">
      <c r="A46" s="297" t="s">
        <v>1209</v>
      </c>
      <c r="B46" s="298" t="s">
        <v>1892</v>
      </c>
      <c r="C46" s="299" t="s">
        <v>1898</v>
      </c>
      <c r="D46" s="300" t="s">
        <v>1899</v>
      </c>
      <c r="E46" s="299" t="s">
        <v>1831</v>
      </c>
      <c r="F46" s="301">
        <v>1030.0</v>
      </c>
      <c r="G46" s="292">
        <v>44805.0</v>
      </c>
      <c r="H46" s="285">
        <f t="shared" si="1"/>
        <v>1545</v>
      </c>
      <c r="I46" s="286">
        <f t="shared" si="2"/>
        <v>1339</v>
      </c>
      <c r="J46" s="287">
        <f t="shared" si="3"/>
        <v>1339</v>
      </c>
      <c r="K46" s="288">
        <f t="shared" si="4"/>
        <v>1236</v>
      </c>
      <c r="L46" s="287">
        <f t="shared" si="5"/>
        <v>1184.5</v>
      </c>
      <c r="M46" s="288">
        <f t="shared" si="6"/>
        <v>1133</v>
      </c>
      <c r="N46" s="302"/>
      <c r="O46" s="303"/>
      <c r="P46" s="304"/>
      <c r="Q46" s="304"/>
      <c r="R46" s="304"/>
      <c r="S46" s="304"/>
      <c r="T46" s="304"/>
      <c r="U46" s="304"/>
      <c r="V46" s="304"/>
      <c r="W46" s="304"/>
      <c r="X46" s="304"/>
      <c r="Y46" s="304"/>
      <c r="Z46" s="304"/>
    </row>
    <row r="47" ht="14.25" hidden="1" customHeight="1">
      <c r="A47" s="270" t="s">
        <v>1209</v>
      </c>
      <c r="B47" s="305" t="s">
        <v>1900</v>
      </c>
      <c r="C47" s="274" t="s">
        <v>1901</v>
      </c>
      <c r="D47" s="306" t="s">
        <v>1821</v>
      </c>
      <c r="E47" s="307" t="s">
        <v>1837</v>
      </c>
      <c r="F47" s="308">
        <v>865.0</v>
      </c>
      <c r="G47" s="276">
        <v>44805.0</v>
      </c>
      <c r="H47" s="285">
        <f t="shared" si="1"/>
        <v>1297.5</v>
      </c>
      <c r="I47" s="286">
        <f t="shared" si="2"/>
        <v>1124.5</v>
      </c>
      <c r="J47" s="287">
        <f t="shared" si="3"/>
        <v>1124.5</v>
      </c>
      <c r="K47" s="288">
        <f t="shared" si="4"/>
        <v>1038</v>
      </c>
      <c r="L47" s="287">
        <f t="shared" si="5"/>
        <v>994.75</v>
      </c>
      <c r="M47" s="288">
        <f t="shared" si="6"/>
        <v>951.5</v>
      </c>
      <c r="N47" s="281"/>
      <c r="O47" s="34"/>
      <c r="P47" s="35"/>
      <c r="Q47" s="35"/>
      <c r="R47" s="35"/>
      <c r="S47" s="35"/>
      <c r="T47" s="35"/>
      <c r="U47" s="35"/>
      <c r="V47" s="35"/>
      <c r="W47" s="35"/>
      <c r="X47" s="35"/>
      <c r="Y47" s="35"/>
      <c r="Z47" s="35"/>
    </row>
    <row r="48" ht="14.25" hidden="1" customHeight="1">
      <c r="A48" s="270" t="s">
        <v>1209</v>
      </c>
      <c r="B48" s="282" t="s">
        <v>1902</v>
      </c>
      <c r="C48" s="274" t="s">
        <v>1903</v>
      </c>
      <c r="D48" s="295" t="s">
        <v>1904</v>
      </c>
      <c r="E48" s="274" t="s">
        <v>1831</v>
      </c>
      <c r="F48" s="309">
        <v>960.0</v>
      </c>
      <c r="G48" s="292">
        <v>44805.0</v>
      </c>
      <c r="H48" s="285">
        <f t="shared" si="1"/>
        <v>1440</v>
      </c>
      <c r="I48" s="286">
        <f t="shared" si="2"/>
        <v>1248</v>
      </c>
      <c r="J48" s="287">
        <f t="shared" si="3"/>
        <v>1248</v>
      </c>
      <c r="K48" s="288">
        <f t="shared" si="4"/>
        <v>1152</v>
      </c>
      <c r="L48" s="287">
        <f t="shared" si="5"/>
        <v>1104</v>
      </c>
      <c r="M48" s="288">
        <f t="shared" si="6"/>
        <v>1056</v>
      </c>
      <c r="N48" s="281"/>
      <c r="O48" s="34"/>
      <c r="P48" s="35"/>
      <c r="Q48" s="35"/>
      <c r="R48" s="35"/>
      <c r="S48" s="35"/>
      <c r="T48" s="35"/>
      <c r="U48" s="35"/>
      <c r="V48" s="35"/>
      <c r="W48" s="35"/>
      <c r="X48" s="35"/>
      <c r="Y48" s="35"/>
      <c r="Z48" s="35"/>
    </row>
    <row r="49" ht="14.25" hidden="1" customHeight="1">
      <c r="A49" s="270" t="s">
        <v>1209</v>
      </c>
      <c r="B49" s="282" t="s">
        <v>1902</v>
      </c>
      <c r="C49" s="299" t="s">
        <v>1905</v>
      </c>
      <c r="D49" s="300" t="s">
        <v>1906</v>
      </c>
      <c r="E49" s="299" t="s">
        <v>1831</v>
      </c>
      <c r="F49" s="310">
        <v>1180.0</v>
      </c>
      <c r="G49" s="292">
        <v>44805.0</v>
      </c>
      <c r="H49" s="285">
        <f t="shared" si="1"/>
        <v>1770</v>
      </c>
      <c r="I49" s="286">
        <f t="shared" si="2"/>
        <v>1534</v>
      </c>
      <c r="J49" s="287">
        <f t="shared" si="3"/>
        <v>1534</v>
      </c>
      <c r="K49" s="288">
        <f t="shared" si="4"/>
        <v>1416</v>
      </c>
      <c r="L49" s="287">
        <f t="shared" si="5"/>
        <v>1357</v>
      </c>
      <c r="M49" s="288">
        <f t="shared" si="6"/>
        <v>1298</v>
      </c>
      <c r="N49" s="302"/>
      <c r="O49" s="303"/>
      <c r="P49" s="304"/>
      <c r="Q49" s="304"/>
      <c r="R49" s="304"/>
      <c r="S49" s="304"/>
      <c r="T49" s="304"/>
      <c r="U49" s="304"/>
      <c r="V49" s="304"/>
      <c r="W49" s="304"/>
      <c r="X49" s="304"/>
      <c r="Y49" s="304"/>
      <c r="Z49" s="304"/>
    </row>
    <row r="50" ht="14.25" hidden="1" customHeight="1">
      <c r="A50" s="270" t="s">
        <v>1209</v>
      </c>
      <c r="B50" s="282" t="s">
        <v>1902</v>
      </c>
      <c r="C50" s="274" t="s">
        <v>1907</v>
      </c>
      <c r="D50" s="295" t="s">
        <v>1908</v>
      </c>
      <c r="E50" s="274"/>
      <c r="F50" s="275">
        <v>1495.0</v>
      </c>
      <c r="G50" s="276">
        <v>44805.0</v>
      </c>
      <c r="H50" s="285">
        <f t="shared" si="1"/>
        <v>2242.5</v>
      </c>
      <c r="I50" s="286">
        <f t="shared" si="2"/>
        <v>1943.5</v>
      </c>
      <c r="J50" s="287">
        <f t="shared" si="3"/>
        <v>1943.5</v>
      </c>
      <c r="K50" s="288">
        <f t="shared" si="4"/>
        <v>1794</v>
      </c>
      <c r="L50" s="287">
        <f t="shared" si="5"/>
        <v>1719.25</v>
      </c>
      <c r="M50" s="288">
        <f t="shared" si="6"/>
        <v>1644.5</v>
      </c>
      <c r="N50" s="281"/>
      <c r="O50" s="34"/>
      <c r="P50" s="35"/>
      <c r="Q50" s="35"/>
      <c r="R50" s="35"/>
      <c r="S50" s="35"/>
      <c r="T50" s="35"/>
      <c r="U50" s="35"/>
      <c r="V50" s="35"/>
      <c r="W50" s="35"/>
      <c r="X50" s="35"/>
      <c r="Y50" s="35"/>
      <c r="Z50" s="35"/>
    </row>
    <row r="51" ht="14.25" hidden="1" customHeight="1">
      <c r="A51" s="270" t="s">
        <v>1209</v>
      </c>
      <c r="B51" s="282" t="s">
        <v>1902</v>
      </c>
      <c r="C51" s="274" t="s">
        <v>1909</v>
      </c>
      <c r="D51" s="295" t="s">
        <v>1910</v>
      </c>
      <c r="E51" s="274"/>
      <c r="F51" s="275">
        <v>1600.0</v>
      </c>
      <c r="G51" s="292">
        <v>44805.0</v>
      </c>
      <c r="H51" s="285">
        <f t="shared" si="1"/>
        <v>2400</v>
      </c>
      <c r="I51" s="286">
        <f t="shared" si="2"/>
        <v>2080</v>
      </c>
      <c r="J51" s="287">
        <f t="shared" si="3"/>
        <v>2080</v>
      </c>
      <c r="K51" s="288">
        <f t="shared" si="4"/>
        <v>1920</v>
      </c>
      <c r="L51" s="287">
        <f t="shared" si="5"/>
        <v>1840</v>
      </c>
      <c r="M51" s="288">
        <f t="shared" si="6"/>
        <v>1760</v>
      </c>
      <c r="N51" s="281"/>
      <c r="O51" s="34"/>
      <c r="P51" s="35"/>
      <c r="Q51" s="35"/>
      <c r="R51" s="35"/>
      <c r="S51" s="35"/>
      <c r="T51" s="35"/>
      <c r="U51" s="35"/>
      <c r="V51" s="35"/>
      <c r="W51" s="35"/>
      <c r="X51" s="35"/>
      <c r="Y51" s="35"/>
      <c r="Z51" s="35"/>
    </row>
    <row r="52" ht="14.25" hidden="1" customHeight="1">
      <c r="A52" s="270" t="s">
        <v>1209</v>
      </c>
      <c r="B52" s="282" t="s">
        <v>1902</v>
      </c>
      <c r="C52" s="311" t="s">
        <v>1911</v>
      </c>
      <c r="D52" s="312" t="s">
        <v>1912</v>
      </c>
      <c r="E52" s="274"/>
      <c r="F52" s="313">
        <v>1690.0</v>
      </c>
      <c r="G52" s="276">
        <v>44805.0</v>
      </c>
      <c r="H52" s="285">
        <f t="shared" si="1"/>
        <v>2535</v>
      </c>
      <c r="I52" s="286">
        <f t="shared" si="2"/>
        <v>2197</v>
      </c>
      <c r="J52" s="287">
        <f t="shared" si="3"/>
        <v>2197</v>
      </c>
      <c r="K52" s="288">
        <f t="shared" si="4"/>
        <v>2028</v>
      </c>
      <c r="L52" s="287">
        <f t="shared" si="5"/>
        <v>1943.5</v>
      </c>
      <c r="M52" s="288">
        <f t="shared" si="6"/>
        <v>1859</v>
      </c>
      <c r="N52" s="281"/>
      <c r="O52" s="34"/>
      <c r="P52" s="35"/>
      <c r="Q52" s="35"/>
      <c r="R52" s="35"/>
      <c r="S52" s="35"/>
      <c r="T52" s="35"/>
      <c r="U52" s="35"/>
      <c r="V52" s="35"/>
      <c r="W52" s="35"/>
      <c r="X52" s="35"/>
      <c r="Y52" s="35"/>
      <c r="Z52" s="35"/>
    </row>
    <row r="53" ht="14.25" hidden="1" customHeight="1">
      <c r="A53" s="270" t="s">
        <v>1209</v>
      </c>
      <c r="B53" s="282" t="s">
        <v>1902</v>
      </c>
      <c r="C53" s="270" t="s">
        <v>1913</v>
      </c>
      <c r="D53" s="314" t="s">
        <v>1914</v>
      </c>
      <c r="E53" s="274"/>
      <c r="F53" s="315">
        <v>1755.0</v>
      </c>
      <c r="G53" s="292">
        <v>44805.0</v>
      </c>
      <c r="H53" s="285">
        <f t="shared" si="1"/>
        <v>2632.5</v>
      </c>
      <c r="I53" s="286">
        <f t="shared" si="2"/>
        <v>2281.5</v>
      </c>
      <c r="J53" s="287">
        <f t="shared" si="3"/>
        <v>2281.5</v>
      </c>
      <c r="K53" s="288">
        <f t="shared" si="4"/>
        <v>2106</v>
      </c>
      <c r="L53" s="287">
        <f t="shared" si="5"/>
        <v>2018.25</v>
      </c>
      <c r="M53" s="288">
        <f t="shared" si="6"/>
        <v>1930.5</v>
      </c>
      <c r="N53" s="281"/>
      <c r="O53" s="34"/>
      <c r="P53" s="35"/>
      <c r="Q53" s="35"/>
      <c r="R53" s="35"/>
      <c r="S53" s="35"/>
      <c r="T53" s="35"/>
      <c r="U53" s="35"/>
      <c r="V53" s="35"/>
      <c r="W53" s="35"/>
      <c r="X53" s="35"/>
      <c r="Y53" s="35"/>
      <c r="Z53" s="35"/>
    </row>
    <row r="54" ht="14.25" hidden="1" customHeight="1">
      <c r="A54" s="270" t="s">
        <v>1209</v>
      </c>
      <c r="B54" s="282" t="s">
        <v>1902</v>
      </c>
      <c r="C54" s="311" t="s">
        <v>1915</v>
      </c>
      <c r="D54" s="314" t="s">
        <v>1916</v>
      </c>
      <c r="E54" s="274"/>
      <c r="F54" s="315">
        <v>1755.0</v>
      </c>
      <c r="G54" s="276">
        <v>44805.0</v>
      </c>
      <c r="H54" s="285">
        <f t="shared" si="1"/>
        <v>2632.5</v>
      </c>
      <c r="I54" s="286">
        <f t="shared" si="2"/>
        <v>2281.5</v>
      </c>
      <c r="J54" s="287">
        <f t="shared" si="3"/>
        <v>2281.5</v>
      </c>
      <c r="K54" s="288">
        <f t="shared" si="4"/>
        <v>2106</v>
      </c>
      <c r="L54" s="287">
        <f t="shared" si="5"/>
        <v>2018.25</v>
      </c>
      <c r="M54" s="288">
        <f t="shared" si="6"/>
        <v>1930.5</v>
      </c>
      <c r="N54" s="281"/>
      <c r="O54" s="34"/>
      <c r="P54" s="35"/>
      <c r="Q54" s="35"/>
      <c r="R54" s="35"/>
      <c r="S54" s="35"/>
      <c r="T54" s="35"/>
      <c r="U54" s="35"/>
      <c r="V54" s="35"/>
      <c r="W54" s="35"/>
      <c r="X54" s="35"/>
      <c r="Y54" s="35"/>
      <c r="Z54" s="35"/>
    </row>
    <row r="55" ht="14.25" hidden="1" customHeight="1">
      <c r="A55" s="270" t="s">
        <v>1209</v>
      </c>
      <c r="B55" s="282" t="s">
        <v>1902</v>
      </c>
      <c r="C55" s="270" t="s">
        <v>1917</v>
      </c>
      <c r="D55" s="314" t="s">
        <v>1918</v>
      </c>
      <c r="E55" s="274"/>
      <c r="F55" s="315">
        <v>1820.0</v>
      </c>
      <c r="G55" s="292">
        <v>44805.0</v>
      </c>
      <c r="H55" s="285">
        <f t="shared" si="1"/>
        <v>2730</v>
      </c>
      <c r="I55" s="286">
        <f t="shared" si="2"/>
        <v>2366</v>
      </c>
      <c r="J55" s="287">
        <f t="shared" si="3"/>
        <v>2366</v>
      </c>
      <c r="K55" s="288">
        <f t="shared" si="4"/>
        <v>2184</v>
      </c>
      <c r="L55" s="287">
        <f t="shared" si="5"/>
        <v>2093</v>
      </c>
      <c r="M55" s="288">
        <f t="shared" si="6"/>
        <v>2002</v>
      </c>
      <c r="N55" s="281"/>
      <c r="O55" s="34"/>
      <c r="P55" s="35"/>
      <c r="Q55" s="35"/>
      <c r="R55" s="35"/>
      <c r="S55" s="35"/>
      <c r="T55" s="35"/>
      <c r="U55" s="35"/>
      <c r="V55" s="35"/>
      <c r="W55" s="35"/>
      <c r="X55" s="35"/>
      <c r="Y55" s="35"/>
      <c r="Z55" s="35"/>
    </row>
    <row r="56" ht="14.25" hidden="1" customHeight="1">
      <c r="A56" s="270" t="s">
        <v>1209</v>
      </c>
      <c r="B56" s="282" t="s">
        <v>1919</v>
      </c>
      <c r="C56" s="274" t="s">
        <v>1920</v>
      </c>
      <c r="D56" s="295" t="s">
        <v>1921</v>
      </c>
      <c r="E56" s="274" t="s">
        <v>1922</v>
      </c>
      <c r="F56" s="275">
        <v>10300.0</v>
      </c>
      <c r="G56" s="276">
        <v>44593.0</v>
      </c>
      <c r="H56" s="285">
        <f t="shared" si="1"/>
        <v>15450</v>
      </c>
      <c r="I56" s="286">
        <f t="shared" si="2"/>
        <v>13390</v>
      </c>
      <c r="J56" s="287">
        <f t="shared" si="3"/>
        <v>13390</v>
      </c>
      <c r="K56" s="288">
        <f t="shared" si="4"/>
        <v>12360</v>
      </c>
      <c r="L56" s="287">
        <f t="shared" si="5"/>
        <v>11845</v>
      </c>
      <c r="M56" s="288">
        <f t="shared" si="6"/>
        <v>11330</v>
      </c>
      <c r="N56" s="281"/>
      <c r="O56" s="34"/>
      <c r="P56" s="35"/>
      <c r="Q56" s="35"/>
      <c r="R56" s="35"/>
      <c r="S56" s="35"/>
      <c r="T56" s="35"/>
      <c r="U56" s="35"/>
      <c r="V56" s="35"/>
      <c r="W56" s="35"/>
      <c r="X56" s="35"/>
      <c r="Y56" s="35"/>
      <c r="Z56" s="35"/>
    </row>
    <row r="57" ht="14.25" hidden="1" customHeight="1">
      <c r="A57" s="270" t="s">
        <v>1209</v>
      </c>
      <c r="B57" s="282" t="s">
        <v>1892</v>
      </c>
      <c r="C57" s="274" t="s">
        <v>1923</v>
      </c>
      <c r="D57" s="295" t="s">
        <v>1924</v>
      </c>
      <c r="E57" s="274" t="s">
        <v>1831</v>
      </c>
      <c r="F57" s="275">
        <v>1171.0</v>
      </c>
      <c r="G57" s="276">
        <v>44593.0</v>
      </c>
      <c r="H57" s="285">
        <f t="shared" si="1"/>
        <v>1756.5</v>
      </c>
      <c r="I57" s="286">
        <f t="shared" si="2"/>
        <v>1522.3</v>
      </c>
      <c r="J57" s="287">
        <f t="shared" si="3"/>
        <v>1522.3</v>
      </c>
      <c r="K57" s="288">
        <f t="shared" si="4"/>
        <v>1405.2</v>
      </c>
      <c r="L57" s="287">
        <f t="shared" si="5"/>
        <v>1346.65</v>
      </c>
      <c r="M57" s="288">
        <f t="shared" si="6"/>
        <v>1288.1</v>
      </c>
      <c r="N57" s="281"/>
      <c r="O57" s="34"/>
      <c r="P57" s="35"/>
      <c r="Q57" s="35"/>
      <c r="R57" s="35"/>
      <c r="S57" s="35"/>
      <c r="T57" s="35"/>
      <c r="U57" s="35"/>
      <c r="V57" s="35"/>
      <c r="W57" s="35"/>
      <c r="X57" s="35"/>
      <c r="Y57" s="35"/>
      <c r="Z57" s="35"/>
    </row>
    <row r="58" ht="14.25" hidden="1" customHeight="1">
      <c r="A58" s="270" t="s">
        <v>1209</v>
      </c>
      <c r="B58" s="282" t="s">
        <v>1925</v>
      </c>
      <c r="C58" s="283" t="s">
        <v>1926</v>
      </c>
      <c r="D58" s="289" t="s">
        <v>1927</v>
      </c>
      <c r="E58" s="274" t="s">
        <v>1831</v>
      </c>
      <c r="F58" s="275">
        <v>2200.0</v>
      </c>
      <c r="G58" s="276">
        <v>44593.0</v>
      </c>
      <c r="H58" s="285">
        <f t="shared" si="1"/>
        <v>3300</v>
      </c>
      <c r="I58" s="286">
        <f t="shared" si="2"/>
        <v>2860</v>
      </c>
      <c r="J58" s="287">
        <f t="shared" si="3"/>
        <v>2860</v>
      </c>
      <c r="K58" s="288">
        <f t="shared" si="4"/>
        <v>2640</v>
      </c>
      <c r="L58" s="287">
        <f t="shared" si="5"/>
        <v>2530</v>
      </c>
      <c r="M58" s="288">
        <f t="shared" si="6"/>
        <v>2420</v>
      </c>
      <c r="N58" s="281"/>
      <c r="O58" s="34"/>
      <c r="P58" s="35"/>
      <c r="Q58" s="35"/>
      <c r="R58" s="35"/>
      <c r="S58" s="35"/>
      <c r="T58" s="35"/>
      <c r="U58" s="35"/>
      <c r="V58" s="35"/>
      <c r="W58" s="35"/>
      <c r="X58" s="35"/>
      <c r="Y58" s="35"/>
      <c r="Z58" s="35"/>
    </row>
    <row r="59" ht="14.25" hidden="1" customHeight="1">
      <c r="A59" s="270" t="s">
        <v>1209</v>
      </c>
      <c r="B59" s="282" t="s">
        <v>1900</v>
      </c>
      <c r="C59" s="316" t="s">
        <v>1928</v>
      </c>
      <c r="D59" s="317" t="s">
        <v>1929</v>
      </c>
      <c r="E59" s="274" t="s">
        <v>1930</v>
      </c>
      <c r="F59" s="275">
        <v>1450.0</v>
      </c>
      <c r="G59" s="276">
        <v>44805.0</v>
      </c>
      <c r="H59" s="285">
        <f t="shared" si="1"/>
        <v>2175</v>
      </c>
      <c r="I59" s="286">
        <f t="shared" si="2"/>
        <v>1885</v>
      </c>
      <c r="J59" s="287">
        <f t="shared" si="3"/>
        <v>1885</v>
      </c>
      <c r="K59" s="288">
        <f t="shared" si="4"/>
        <v>1740</v>
      </c>
      <c r="L59" s="287">
        <f t="shared" si="5"/>
        <v>1667.5</v>
      </c>
      <c r="M59" s="288">
        <f t="shared" si="6"/>
        <v>1595</v>
      </c>
      <c r="N59" s="281"/>
      <c r="O59" s="34"/>
      <c r="P59" s="35"/>
      <c r="Q59" s="35"/>
      <c r="R59" s="35"/>
      <c r="S59" s="35"/>
      <c r="T59" s="35"/>
      <c r="U59" s="35"/>
      <c r="V59" s="35"/>
      <c r="W59" s="35"/>
      <c r="X59" s="35"/>
      <c r="Y59" s="35"/>
      <c r="Z59" s="35"/>
    </row>
    <row r="60" ht="14.25" hidden="1" customHeight="1">
      <c r="A60" s="270" t="s">
        <v>1209</v>
      </c>
      <c r="B60" s="282" t="s">
        <v>1931</v>
      </c>
      <c r="C60" s="318" t="s">
        <v>1932</v>
      </c>
      <c r="D60" s="319" t="s">
        <v>1933</v>
      </c>
      <c r="E60" s="320" t="s">
        <v>1934</v>
      </c>
      <c r="F60" s="321">
        <v>1100.0</v>
      </c>
      <c r="G60" s="276">
        <v>44805.0</v>
      </c>
      <c r="H60" s="285">
        <f t="shared" si="1"/>
        <v>1650</v>
      </c>
      <c r="I60" s="286">
        <f t="shared" si="2"/>
        <v>1430</v>
      </c>
      <c r="J60" s="287">
        <f t="shared" si="3"/>
        <v>1430</v>
      </c>
      <c r="K60" s="288">
        <f t="shared" si="4"/>
        <v>1320</v>
      </c>
      <c r="L60" s="287">
        <f t="shared" si="5"/>
        <v>1265</v>
      </c>
      <c r="M60" s="288">
        <f t="shared" si="6"/>
        <v>1210</v>
      </c>
      <c r="N60" s="281"/>
      <c r="O60" s="34"/>
      <c r="P60" s="35"/>
      <c r="Q60" s="35"/>
      <c r="R60" s="35"/>
      <c r="S60" s="35"/>
      <c r="T60" s="35"/>
      <c r="U60" s="35"/>
      <c r="V60" s="35"/>
      <c r="W60" s="35"/>
      <c r="X60" s="35"/>
      <c r="Y60" s="35"/>
      <c r="Z60" s="35"/>
    </row>
    <row r="61" ht="14.25" hidden="1" customHeight="1">
      <c r="A61" s="270" t="s">
        <v>1209</v>
      </c>
      <c r="B61" s="282" t="s">
        <v>1931</v>
      </c>
      <c r="C61" s="322" t="s">
        <v>1935</v>
      </c>
      <c r="D61" s="323" t="s">
        <v>1936</v>
      </c>
      <c r="E61" s="324" t="s">
        <v>1934</v>
      </c>
      <c r="F61" s="315">
        <v>1200.0</v>
      </c>
      <c r="G61" s="276">
        <v>44805.0</v>
      </c>
      <c r="H61" s="285">
        <f t="shared" si="1"/>
        <v>1800</v>
      </c>
      <c r="I61" s="286">
        <f t="shared" si="2"/>
        <v>1560</v>
      </c>
      <c r="J61" s="287">
        <f t="shared" si="3"/>
        <v>1560</v>
      </c>
      <c r="K61" s="288">
        <f t="shared" si="4"/>
        <v>1440</v>
      </c>
      <c r="L61" s="287">
        <f t="shared" si="5"/>
        <v>1380</v>
      </c>
      <c r="M61" s="288">
        <f t="shared" si="6"/>
        <v>1320</v>
      </c>
      <c r="N61" s="281"/>
      <c r="O61" s="34"/>
      <c r="P61" s="35"/>
      <c r="Q61" s="35"/>
      <c r="R61" s="35"/>
      <c r="S61" s="35"/>
      <c r="T61" s="35"/>
      <c r="U61" s="35"/>
      <c r="V61" s="35"/>
      <c r="W61" s="35"/>
      <c r="X61" s="35"/>
      <c r="Y61" s="35"/>
      <c r="Z61" s="35"/>
    </row>
    <row r="62" ht="14.25" hidden="1" customHeight="1">
      <c r="A62" s="270" t="s">
        <v>1209</v>
      </c>
      <c r="B62" s="282" t="s">
        <v>1931</v>
      </c>
      <c r="C62" s="322" t="s">
        <v>1879</v>
      </c>
      <c r="D62" s="323" t="s">
        <v>1937</v>
      </c>
      <c r="E62" s="324" t="s">
        <v>1818</v>
      </c>
      <c r="F62" s="315">
        <v>2520.0</v>
      </c>
      <c r="G62" s="276">
        <v>44805.0</v>
      </c>
      <c r="H62" s="285">
        <f t="shared" si="1"/>
        <v>3780</v>
      </c>
      <c r="I62" s="286">
        <f t="shared" si="2"/>
        <v>3276</v>
      </c>
      <c r="J62" s="287">
        <f t="shared" si="3"/>
        <v>3276</v>
      </c>
      <c r="K62" s="288">
        <f t="shared" si="4"/>
        <v>3024</v>
      </c>
      <c r="L62" s="287">
        <f t="shared" si="5"/>
        <v>2898</v>
      </c>
      <c r="M62" s="288">
        <f t="shared" si="6"/>
        <v>2772</v>
      </c>
      <c r="N62" s="281"/>
      <c r="O62" s="34"/>
      <c r="P62" s="35"/>
      <c r="Q62" s="35"/>
      <c r="R62" s="35"/>
      <c r="S62" s="35"/>
      <c r="T62" s="35"/>
      <c r="U62" s="35"/>
      <c r="V62" s="35"/>
      <c r="W62" s="35"/>
      <c r="X62" s="35"/>
      <c r="Y62" s="35"/>
      <c r="Z62" s="35"/>
    </row>
    <row r="63" ht="14.25" hidden="1" customHeight="1">
      <c r="A63" s="270" t="s">
        <v>1209</v>
      </c>
      <c r="B63" s="282" t="s">
        <v>1931</v>
      </c>
      <c r="C63" s="322" t="s">
        <v>1938</v>
      </c>
      <c r="D63" s="323" t="s">
        <v>1939</v>
      </c>
      <c r="E63" s="324" t="s">
        <v>1934</v>
      </c>
      <c r="F63" s="315">
        <v>1560.0</v>
      </c>
      <c r="G63" s="276">
        <v>44805.0</v>
      </c>
      <c r="H63" s="285">
        <f t="shared" si="1"/>
        <v>2340</v>
      </c>
      <c r="I63" s="286">
        <f t="shared" si="2"/>
        <v>2028</v>
      </c>
      <c r="J63" s="287">
        <f t="shared" si="3"/>
        <v>2028</v>
      </c>
      <c r="K63" s="288">
        <f t="shared" si="4"/>
        <v>1872</v>
      </c>
      <c r="L63" s="287">
        <f t="shared" si="5"/>
        <v>1794</v>
      </c>
      <c r="M63" s="288">
        <f t="shared" si="6"/>
        <v>1716</v>
      </c>
      <c r="N63" s="281"/>
      <c r="O63" s="34"/>
      <c r="P63" s="35"/>
      <c r="Q63" s="35"/>
      <c r="R63" s="35"/>
      <c r="S63" s="35"/>
      <c r="T63" s="35"/>
      <c r="U63" s="35"/>
      <c r="V63" s="35"/>
      <c r="W63" s="35"/>
      <c r="X63" s="35"/>
      <c r="Y63" s="35"/>
      <c r="Z63" s="35"/>
    </row>
    <row r="64" ht="14.25" hidden="1" customHeight="1">
      <c r="A64" s="270" t="s">
        <v>1209</v>
      </c>
      <c r="B64" s="282" t="s">
        <v>1931</v>
      </c>
      <c r="C64" s="322" t="s">
        <v>1940</v>
      </c>
      <c r="D64" s="323" t="s">
        <v>1941</v>
      </c>
      <c r="E64" s="324" t="s">
        <v>1934</v>
      </c>
      <c r="F64" s="315">
        <v>1625.0</v>
      </c>
      <c r="G64" s="276">
        <v>44805.0</v>
      </c>
      <c r="H64" s="285">
        <f t="shared" si="1"/>
        <v>2437.5</v>
      </c>
      <c r="I64" s="286">
        <f t="shared" si="2"/>
        <v>2112.5</v>
      </c>
      <c r="J64" s="287">
        <f t="shared" si="3"/>
        <v>2112.5</v>
      </c>
      <c r="K64" s="288">
        <f t="shared" si="4"/>
        <v>1950</v>
      </c>
      <c r="L64" s="287">
        <f t="shared" si="5"/>
        <v>1868.75</v>
      </c>
      <c r="M64" s="288">
        <f t="shared" si="6"/>
        <v>1787.5</v>
      </c>
      <c r="N64" s="281"/>
      <c r="O64" s="34"/>
      <c r="P64" s="35"/>
      <c r="Q64" s="35"/>
      <c r="R64" s="35"/>
      <c r="S64" s="35"/>
      <c r="T64" s="35"/>
      <c r="U64" s="35"/>
      <c r="V64" s="35"/>
      <c r="W64" s="35"/>
      <c r="X64" s="35"/>
      <c r="Y64" s="35"/>
      <c r="Z64" s="35"/>
    </row>
    <row r="65" ht="14.25" hidden="1" customHeight="1">
      <c r="A65" s="270" t="s">
        <v>1209</v>
      </c>
      <c r="B65" s="282" t="s">
        <v>1931</v>
      </c>
      <c r="C65" s="322" t="s">
        <v>1942</v>
      </c>
      <c r="D65" s="323" t="s">
        <v>1943</v>
      </c>
      <c r="E65" s="324" t="s">
        <v>1818</v>
      </c>
      <c r="F65" s="315">
        <v>1690.0</v>
      </c>
      <c r="G65" s="276">
        <v>44805.0</v>
      </c>
      <c r="H65" s="285">
        <f t="shared" si="1"/>
        <v>2535</v>
      </c>
      <c r="I65" s="286">
        <f t="shared" si="2"/>
        <v>2197</v>
      </c>
      <c r="J65" s="287">
        <f t="shared" si="3"/>
        <v>2197</v>
      </c>
      <c r="K65" s="288">
        <f t="shared" si="4"/>
        <v>2028</v>
      </c>
      <c r="L65" s="287">
        <f t="shared" si="5"/>
        <v>1943.5</v>
      </c>
      <c r="M65" s="288">
        <f t="shared" si="6"/>
        <v>1859</v>
      </c>
      <c r="N65" s="281"/>
      <c r="O65" s="34"/>
      <c r="P65" s="35"/>
      <c r="Q65" s="35"/>
      <c r="R65" s="35"/>
      <c r="S65" s="35"/>
      <c r="T65" s="35"/>
      <c r="U65" s="35"/>
      <c r="V65" s="35"/>
      <c r="W65" s="35"/>
      <c r="X65" s="35"/>
      <c r="Y65" s="35"/>
      <c r="Z65" s="35"/>
    </row>
    <row r="66" ht="14.25" hidden="1" customHeight="1">
      <c r="A66" s="270" t="s">
        <v>1209</v>
      </c>
      <c r="B66" s="282" t="s">
        <v>1931</v>
      </c>
      <c r="C66" s="322" t="s">
        <v>1944</v>
      </c>
      <c r="D66" s="323" t="s">
        <v>1945</v>
      </c>
      <c r="E66" s="324" t="s">
        <v>1818</v>
      </c>
      <c r="F66" s="315">
        <v>1755.0</v>
      </c>
      <c r="G66" s="276">
        <v>44805.0</v>
      </c>
      <c r="H66" s="285">
        <f t="shared" si="1"/>
        <v>2632.5</v>
      </c>
      <c r="I66" s="286">
        <f t="shared" si="2"/>
        <v>2281.5</v>
      </c>
      <c r="J66" s="287">
        <f t="shared" si="3"/>
        <v>2281.5</v>
      </c>
      <c r="K66" s="288">
        <f t="shared" si="4"/>
        <v>2106</v>
      </c>
      <c r="L66" s="287">
        <f t="shared" si="5"/>
        <v>2018.25</v>
      </c>
      <c r="M66" s="288">
        <f t="shared" si="6"/>
        <v>1930.5</v>
      </c>
      <c r="N66" s="281"/>
      <c r="O66" s="34"/>
      <c r="P66" s="35"/>
      <c r="Q66" s="35"/>
      <c r="R66" s="35"/>
      <c r="S66" s="35"/>
      <c r="T66" s="35"/>
      <c r="U66" s="35"/>
      <c r="V66" s="35"/>
      <c r="W66" s="35"/>
      <c r="X66" s="35"/>
      <c r="Y66" s="35"/>
      <c r="Z66" s="35"/>
    </row>
    <row r="67" ht="14.25" hidden="1" customHeight="1">
      <c r="A67" s="270" t="s">
        <v>1209</v>
      </c>
      <c r="B67" s="282" t="s">
        <v>1931</v>
      </c>
      <c r="C67" s="322" t="s">
        <v>1926</v>
      </c>
      <c r="D67" s="323" t="s">
        <v>1946</v>
      </c>
      <c r="E67" s="324" t="s">
        <v>1815</v>
      </c>
      <c r="F67" s="315">
        <v>2200.0</v>
      </c>
      <c r="G67" s="276">
        <v>44805.0</v>
      </c>
      <c r="H67" s="285">
        <f t="shared" si="1"/>
        <v>3300</v>
      </c>
      <c r="I67" s="286">
        <f t="shared" si="2"/>
        <v>2860</v>
      </c>
      <c r="J67" s="287">
        <f t="shared" si="3"/>
        <v>2860</v>
      </c>
      <c r="K67" s="288">
        <f t="shared" si="4"/>
        <v>2640</v>
      </c>
      <c r="L67" s="287">
        <f t="shared" si="5"/>
        <v>2530</v>
      </c>
      <c r="M67" s="288">
        <f t="shared" si="6"/>
        <v>2420</v>
      </c>
      <c r="N67" s="281"/>
      <c r="O67" s="34"/>
      <c r="P67" s="35"/>
      <c r="Q67" s="35"/>
      <c r="R67" s="35"/>
      <c r="S67" s="35"/>
      <c r="T67" s="35"/>
      <c r="U67" s="35"/>
      <c r="V67" s="35"/>
      <c r="W67" s="35"/>
      <c r="X67" s="35"/>
      <c r="Y67" s="35"/>
      <c r="Z67" s="35"/>
    </row>
    <row r="68" ht="14.25" hidden="1" customHeight="1">
      <c r="A68" s="270" t="s">
        <v>580</v>
      </c>
      <c r="B68" s="282" t="s">
        <v>1947</v>
      </c>
      <c r="C68" s="283" t="s">
        <v>1948</v>
      </c>
      <c r="D68" s="294" t="s">
        <v>1949</v>
      </c>
      <c r="E68" s="307" t="s">
        <v>1822</v>
      </c>
      <c r="F68" s="275">
        <v>1650.0</v>
      </c>
      <c r="G68" s="276">
        <v>44805.0</v>
      </c>
      <c r="H68" s="285">
        <f t="shared" si="1"/>
        <v>2475</v>
      </c>
      <c r="I68" s="286">
        <f t="shared" si="2"/>
        <v>2145</v>
      </c>
      <c r="J68" s="287">
        <f t="shared" si="3"/>
        <v>2145</v>
      </c>
      <c r="K68" s="288">
        <f t="shared" si="4"/>
        <v>1980</v>
      </c>
      <c r="L68" s="287">
        <f t="shared" si="5"/>
        <v>1897.5</v>
      </c>
      <c r="M68" s="288">
        <f t="shared" si="6"/>
        <v>1815</v>
      </c>
      <c r="N68" s="281"/>
      <c r="O68" s="34"/>
      <c r="P68" s="35"/>
      <c r="Q68" s="35"/>
      <c r="R68" s="35"/>
      <c r="S68" s="35"/>
      <c r="T68" s="35"/>
      <c r="U68" s="35"/>
      <c r="V68" s="35"/>
      <c r="W68" s="35"/>
      <c r="X68" s="35"/>
      <c r="Y68" s="35"/>
      <c r="Z68" s="35"/>
    </row>
    <row r="69" ht="14.25" hidden="1" customHeight="1">
      <c r="A69" s="270" t="s">
        <v>580</v>
      </c>
      <c r="B69" s="282" t="s">
        <v>1842</v>
      </c>
      <c r="C69" s="283" t="s">
        <v>1950</v>
      </c>
      <c r="D69" s="289" t="s">
        <v>1951</v>
      </c>
      <c r="E69" s="274" t="s">
        <v>1952</v>
      </c>
      <c r="F69" s="275">
        <v>3040.0</v>
      </c>
      <c r="G69" s="276">
        <v>44805.0</v>
      </c>
      <c r="H69" s="285">
        <f t="shared" si="1"/>
        <v>4560</v>
      </c>
      <c r="I69" s="286">
        <f t="shared" si="2"/>
        <v>3952</v>
      </c>
      <c r="J69" s="287">
        <f t="shared" si="3"/>
        <v>3952</v>
      </c>
      <c r="K69" s="288">
        <f t="shared" si="4"/>
        <v>3648</v>
      </c>
      <c r="L69" s="287">
        <f t="shared" si="5"/>
        <v>3496</v>
      </c>
      <c r="M69" s="288">
        <f t="shared" si="6"/>
        <v>3344</v>
      </c>
      <c r="N69" s="281"/>
      <c r="O69" s="34"/>
      <c r="P69" s="35"/>
      <c r="Q69" s="35"/>
      <c r="R69" s="35"/>
      <c r="S69" s="35"/>
      <c r="T69" s="35"/>
      <c r="U69" s="35"/>
      <c r="V69" s="35"/>
      <c r="W69" s="35"/>
      <c r="X69" s="35"/>
      <c r="Y69" s="35"/>
      <c r="Z69" s="35"/>
    </row>
    <row r="70" ht="14.25" hidden="1" customHeight="1">
      <c r="A70" s="270" t="s">
        <v>580</v>
      </c>
      <c r="B70" s="282" t="s">
        <v>1842</v>
      </c>
      <c r="C70" s="274" t="s">
        <v>1953</v>
      </c>
      <c r="D70" s="295" t="s">
        <v>1954</v>
      </c>
      <c r="E70" s="274" t="s">
        <v>1822</v>
      </c>
      <c r="F70" s="275">
        <v>3840.0</v>
      </c>
      <c r="G70" s="276">
        <v>44805.0</v>
      </c>
      <c r="H70" s="285">
        <f t="shared" si="1"/>
        <v>5760</v>
      </c>
      <c r="I70" s="286">
        <f t="shared" si="2"/>
        <v>4992</v>
      </c>
      <c r="J70" s="287">
        <f t="shared" si="3"/>
        <v>4992</v>
      </c>
      <c r="K70" s="288">
        <f t="shared" si="4"/>
        <v>4608</v>
      </c>
      <c r="L70" s="287">
        <f t="shared" si="5"/>
        <v>4416</v>
      </c>
      <c r="M70" s="288">
        <f t="shared" si="6"/>
        <v>4224</v>
      </c>
      <c r="N70" s="281"/>
      <c r="O70" s="34"/>
      <c r="P70" s="35"/>
      <c r="Q70" s="35"/>
      <c r="R70" s="35"/>
      <c r="S70" s="35"/>
      <c r="T70" s="35"/>
      <c r="U70" s="35"/>
      <c r="V70" s="35"/>
      <c r="W70" s="35"/>
      <c r="X70" s="35"/>
      <c r="Y70" s="35"/>
      <c r="Z70" s="35"/>
    </row>
    <row r="71" ht="14.25" hidden="1" customHeight="1">
      <c r="A71" s="270" t="s">
        <v>580</v>
      </c>
      <c r="B71" s="282" t="s">
        <v>1842</v>
      </c>
      <c r="C71" s="274" t="s">
        <v>1955</v>
      </c>
      <c r="D71" s="295" t="s">
        <v>1956</v>
      </c>
      <c r="E71" s="274" t="s">
        <v>1822</v>
      </c>
      <c r="F71" s="275">
        <v>3840.0</v>
      </c>
      <c r="G71" s="276">
        <v>44805.0</v>
      </c>
      <c r="H71" s="285">
        <f t="shared" si="1"/>
        <v>5760</v>
      </c>
      <c r="I71" s="286">
        <f t="shared" si="2"/>
        <v>4992</v>
      </c>
      <c r="J71" s="287">
        <f t="shared" si="3"/>
        <v>4992</v>
      </c>
      <c r="K71" s="288">
        <f t="shared" si="4"/>
        <v>4608</v>
      </c>
      <c r="L71" s="287">
        <f t="shared" si="5"/>
        <v>4416</v>
      </c>
      <c r="M71" s="288">
        <f t="shared" si="6"/>
        <v>4224</v>
      </c>
      <c r="N71" s="281"/>
      <c r="O71" s="34"/>
      <c r="P71" s="35"/>
      <c r="Q71" s="35"/>
      <c r="R71" s="35"/>
      <c r="S71" s="35"/>
      <c r="T71" s="35"/>
      <c r="U71" s="35"/>
      <c r="V71" s="35"/>
      <c r="W71" s="35"/>
      <c r="X71" s="35"/>
      <c r="Y71" s="35"/>
      <c r="Z71" s="35"/>
    </row>
    <row r="72" ht="14.25" hidden="1" customHeight="1">
      <c r="A72" s="270" t="s">
        <v>580</v>
      </c>
      <c r="B72" s="282" t="s">
        <v>1842</v>
      </c>
      <c r="C72" s="283" t="s">
        <v>1957</v>
      </c>
      <c r="D72" s="325" t="s">
        <v>1958</v>
      </c>
      <c r="E72" s="274" t="s">
        <v>1959</v>
      </c>
      <c r="F72" s="275">
        <v>4180.0</v>
      </c>
      <c r="G72" s="276">
        <v>44805.0</v>
      </c>
      <c r="H72" s="285">
        <f t="shared" si="1"/>
        <v>6270</v>
      </c>
      <c r="I72" s="286">
        <f t="shared" si="2"/>
        <v>5434</v>
      </c>
      <c r="J72" s="287">
        <f t="shared" si="3"/>
        <v>5434</v>
      </c>
      <c r="K72" s="288">
        <f t="shared" si="4"/>
        <v>5016</v>
      </c>
      <c r="L72" s="287">
        <f t="shared" si="5"/>
        <v>4807</v>
      </c>
      <c r="M72" s="288">
        <f t="shared" si="6"/>
        <v>4598</v>
      </c>
      <c r="N72" s="281"/>
      <c r="O72" s="34"/>
      <c r="P72" s="35"/>
      <c r="Q72" s="35"/>
      <c r="R72" s="35"/>
      <c r="S72" s="35"/>
      <c r="T72" s="35"/>
      <c r="U72" s="35"/>
      <c r="V72" s="35"/>
      <c r="W72" s="35"/>
      <c r="X72" s="35"/>
      <c r="Y72" s="35"/>
      <c r="Z72" s="35"/>
    </row>
    <row r="73" ht="14.25" hidden="1" customHeight="1">
      <c r="A73" s="270" t="s">
        <v>580</v>
      </c>
      <c r="B73" s="282" t="s">
        <v>1842</v>
      </c>
      <c r="C73" s="283" t="s">
        <v>1960</v>
      </c>
      <c r="D73" s="289" t="s">
        <v>1961</v>
      </c>
      <c r="E73" s="274" t="s">
        <v>1959</v>
      </c>
      <c r="F73" s="275">
        <v>3040.0</v>
      </c>
      <c r="G73" s="276">
        <v>44593.0</v>
      </c>
      <c r="H73" s="285">
        <f t="shared" si="1"/>
        <v>4560</v>
      </c>
      <c r="I73" s="286">
        <f t="shared" si="2"/>
        <v>3952</v>
      </c>
      <c r="J73" s="287">
        <f t="shared" si="3"/>
        <v>3952</v>
      </c>
      <c r="K73" s="288">
        <f t="shared" si="4"/>
        <v>3648</v>
      </c>
      <c r="L73" s="287">
        <f t="shared" si="5"/>
        <v>3496</v>
      </c>
      <c r="M73" s="288">
        <f t="shared" si="6"/>
        <v>3344</v>
      </c>
      <c r="N73" s="281"/>
      <c r="O73" s="34"/>
      <c r="P73" s="35"/>
      <c r="Q73" s="35"/>
      <c r="R73" s="35"/>
      <c r="S73" s="35"/>
      <c r="T73" s="35"/>
      <c r="U73" s="35"/>
      <c r="V73" s="35"/>
      <c r="W73" s="35"/>
      <c r="X73" s="35"/>
      <c r="Y73" s="35"/>
      <c r="Z73" s="35"/>
    </row>
    <row r="74" ht="14.25" hidden="1" customHeight="1">
      <c r="A74" s="270" t="s">
        <v>580</v>
      </c>
      <c r="B74" s="282" t="s">
        <v>1842</v>
      </c>
      <c r="C74" s="283" t="s">
        <v>1962</v>
      </c>
      <c r="D74" s="289" t="s">
        <v>1956</v>
      </c>
      <c r="E74" s="274" t="s">
        <v>1963</v>
      </c>
      <c r="F74" s="275">
        <v>1820.0</v>
      </c>
      <c r="G74" s="276">
        <v>44593.0</v>
      </c>
      <c r="H74" s="285">
        <f t="shared" si="1"/>
        <v>2730</v>
      </c>
      <c r="I74" s="286">
        <f t="shared" si="2"/>
        <v>2366</v>
      </c>
      <c r="J74" s="287">
        <f t="shared" si="3"/>
        <v>2366</v>
      </c>
      <c r="K74" s="288">
        <f t="shared" si="4"/>
        <v>2184</v>
      </c>
      <c r="L74" s="287">
        <f t="shared" si="5"/>
        <v>2093</v>
      </c>
      <c r="M74" s="288">
        <f t="shared" si="6"/>
        <v>2002</v>
      </c>
      <c r="N74" s="281"/>
      <c r="O74" s="34"/>
      <c r="P74" s="35"/>
      <c r="Q74" s="35"/>
      <c r="R74" s="35"/>
      <c r="S74" s="35"/>
      <c r="T74" s="35"/>
      <c r="U74" s="35"/>
      <c r="V74" s="35"/>
      <c r="W74" s="35"/>
      <c r="X74" s="35"/>
      <c r="Y74" s="35"/>
      <c r="Z74" s="35"/>
    </row>
    <row r="75" ht="14.25" hidden="1" customHeight="1">
      <c r="A75" s="270" t="s">
        <v>580</v>
      </c>
      <c r="B75" s="282" t="s">
        <v>1842</v>
      </c>
      <c r="C75" s="283" t="s">
        <v>1964</v>
      </c>
      <c r="D75" s="289" t="s">
        <v>1965</v>
      </c>
      <c r="E75" s="274" t="s">
        <v>1966</v>
      </c>
      <c r="F75" s="275">
        <v>2275.0</v>
      </c>
      <c r="G75" s="276">
        <v>44593.0</v>
      </c>
      <c r="H75" s="285">
        <f t="shared" si="1"/>
        <v>3412.5</v>
      </c>
      <c r="I75" s="286">
        <f t="shared" si="2"/>
        <v>2957.5</v>
      </c>
      <c r="J75" s="287">
        <f t="shared" si="3"/>
        <v>2957.5</v>
      </c>
      <c r="K75" s="288">
        <f t="shared" si="4"/>
        <v>2730</v>
      </c>
      <c r="L75" s="287">
        <f t="shared" si="5"/>
        <v>2616.25</v>
      </c>
      <c r="M75" s="288">
        <f t="shared" si="6"/>
        <v>2502.5</v>
      </c>
      <c r="N75" s="281"/>
      <c r="O75" s="34"/>
      <c r="P75" s="35"/>
      <c r="Q75" s="35"/>
      <c r="R75" s="35"/>
      <c r="S75" s="35"/>
      <c r="T75" s="35"/>
      <c r="U75" s="35"/>
      <c r="V75" s="35"/>
      <c r="W75" s="35"/>
      <c r="X75" s="35"/>
      <c r="Y75" s="35"/>
      <c r="Z75" s="35"/>
    </row>
    <row r="76" ht="14.25" hidden="1" customHeight="1">
      <c r="A76" s="270" t="s">
        <v>580</v>
      </c>
      <c r="B76" s="282" t="s">
        <v>1842</v>
      </c>
      <c r="C76" s="283" t="s">
        <v>1967</v>
      </c>
      <c r="D76" s="289" t="s">
        <v>1968</v>
      </c>
      <c r="E76" s="274" t="s">
        <v>1969</v>
      </c>
      <c r="F76" s="275">
        <v>4200.0</v>
      </c>
      <c r="G76" s="276">
        <v>44593.0</v>
      </c>
      <c r="H76" s="326">
        <f t="shared" si="1"/>
        <v>6300</v>
      </c>
      <c r="I76" s="327">
        <f t="shared" si="2"/>
        <v>5460</v>
      </c>
      <c r="J76" s="328">
        <f t="shared" si="3"/>
        <v>5460</v>
      </c>
      <c r="K76" s="329">
        <f t="shared" si="4"/>
        <v>5040</v>
      </c>
      <c r="L76" s="328">
        <f t="shared" si="5"/>
        <v>4830</v>
      </c>
      <c r="M76" s="329">
        <f t="shared" si="6"/>
        <v>4620</v>
      </c>
      <c r="N76" s="330"/>
      <c r="O76" s="58"/>
      <c r="P76" s="59"/>
      <c r="Q76" s="59"/>
      <c r="R76" s="59"/>
      <c r="S76" s="59"/>
      <c r="T76" s="59"/>
      <c r="U76" s="59"/>
      <c r="V76" s="59"/>
      <c r="W76" s="59"/>
      <c r="X76" s="59"/>
      <c r="Y76" s="59"/>
      <c r="Z76" s="59"/>
    </row>
    <row r="77" ht="14.25" hidden="1" customHeight="1">
      <c r="A77" s="270" t="s">
        <v>580</v>
      </c>
      <c r="B77" s="282" t="s">
        <v>1842</v>
      </c>
      <c r="C77" s="283" t="s">
        <v>1970</v>
      </c>
      <c r="D77" s="289" t="s">
        <v>1971</v>
      </c>
      <c r="E77" s="274" t="s">
        <v>1822</v>
      </c>
      <c r="F77" s="275">
        <v>2360.0</v>
      </c>
      <c r="G77" s="276">
        <v>44593.0</v>
      </c>
      <c r="H77" s="326">
        <f t="shared" si="1"/>
        <v>3540</v>
      </c>
      <c r="I77" s="327">
        <f t="shared" si="2"/>
        <v>3068</v>
      </c>
      <c r="J77" s="328">
        <f t="shared" si="3"/>
        <v>3068</v>
      </c>
      <c r="K77" s="329">
        <f t="shared" si="4"/>
        <v>2832</v>
      </c>
      <c r="L77" s="328">
        <f t="shared" si="5"/>
        <v>2714</v>
      </c>
      <c r="M77" s="329">
        <f t="shared" si="6"/>
        <v>2596</v>
      </c>
      <c r="N77" s="330"/>
      <c r="O77" s="58"/>
      <c r="P77" s="59"/>
      <c r="Q77" s="59"/>
      <c r="R77" s="59"/>
      <c r="S77" s="59"/>
      <c r="T77" s="59"/>
      <c r="U77" s="59"/>
      <c r="V77" s="59"/>
      <c r="W77" s="59"/>
      <c r="X77" s="59"/>
      <c r="Y77" s="59"/>
      <c r="Z77" s="59"/>
    </row>
    <row r="78" ht="14.25" hidden="1" customHeight="1">
      <c r="A78" s="270" t="s">
        <v>580</v>
      </c>
      <c r="B78" s="282" t="s">
        <v>1842</v>
      </c>
      <c r="C78" s="274" t="s">
        <v>1972</v>
      </c>
      <c r="D78" s="295" t="s">
        <v>1973</v>
      </c>
      <c r="E78" s="274" t="s">
        <v>1822</v>
      </c>
      <c r="F78" s="275">
        <v>3720.0</v>
      </c>
      <c r="G78" s="276">
        <v>44593.0</v>
      </c>
      <c r="H78" s="285">
        <f t="shared" si="1"/>
        <v>5580</v>
      </c>
      <c r="I78" s="286">
        <f t="shared" si="2"/>
        <v>4836</v>
      </c>
      <c r="J78" s="287">
        <f t="shared" si="3"/>
        <v>4836</v>
      </c>
      <c r="K78" s="288">
        <f t="shared" si="4"/>
        <v>4464</v>
      </c>
      <c r="L78" s="287">
        <f t="shared" si="5"/>
        <v>4278</v>
      </c>
      <c r="M78" s="288">
        <f t="shared" si="6"/>
        <v>4092</v>
      </c>
      <c r="N78" s="281"/>
      <c r="O78" s="34"/>
      <c r="P78" s="35"/>
      <c r="Q78" s="35"/>
      <c r="R78" s="35"/>
      <c r="S78" s="35"/>
      <c r="T78" s="35"/>
      <c r="U78" s="35"/>
      <c r="V78" s="35"/>
      <c r="W78" s="35"/>
      <c r="X78" s="35"/>
      <c r="Y78" s="35"/>
      <c r="Z78" s="35"/>
    </row>
    <row r="79" ht="14.25" hidden="1" customHeight="1">
      <c r="A79" s="270" t="s">
        <v>580</v>
      </c>
      <c r="B79" s="282" t="s">
        <v>1842</v>
      </c>
      <c r="C79" s="274" t="s">
        <v>1974</v>
      </c>
      <c r="D79" s="295" t="s">
        <v>1973</v>
      </c>
      <c r="E79" s="274" t="s">
        <v>1822</v>
      </c>
      <c r="F79" s="275">
        <v>3640.0</v>
      </c>
      <c r="G79" s="276">
        <v>44593.0</v>
      </c>
      <c r="H79" s="326">
        <f t="shared" si="1"/>
        <v>5460</v>
      </c>
      <c r="I79" s="327">
        <f t="shared" si="2"/>
        <v>4732</v>
      </c>
      <c r="J79" s="328">
        <f t="shared" si="3"/>
        <v>4732</v>
      </c>
      <c r="K79" s="329">
        <f t="shared" si="4"/>
        <v>4368</v>
      </c>
      <c r="L79" s="328">
        <f t="shared" si="5"/>
        <v>4186</v>
      </c>
      <c r="M79" s="329">
        <f t="shared" si="6"/>
        <v>4004</v>
      </c>
      <c r="N79" s="281"/>
      <c r="O79" s="34"/>
      <c r="P79" s="35"/>
      <c r="Q79" s="35"/>
      <c r="R79" s="35"/>
      <c r="S79" s="35"/>
      <c r="T79" s="35"/>
      <c r="U79" s="35"/>
      <c r="V79" s="35"/>
      <c r="W79" s="35"/>
      <c r="X79" s="35"/>
      <c r="Y79" s="35"/>
      <c r="Z79" s="35"/>
    </row>
    <row r="80" ht="15.0" hidden="1" customHeight="1">
      <c r="A80" s="270" t="s">
        <v>580</v>
      </c>
      <c r="B80" s="282" t="s">
        <v>1842</v>
      </c>
      <c r="C80" s="274" t="s">
        <v>1975</v>
      </c>
      <c r="D80" s="295" t="s">
        <v>1976</v>
      </c>
      <c r="E80" s="274" t="s">
        <v>1977</v>
      </c>
      <c r="F80" s="275">
        <v>3040.0</v>
      </c>
      <c r="G80" s="276">
        <v>44593.0</v>
      </c>
      <c r="H80" s="326">
        <f t="shared" si="1"/>
        <v>4560</v>
      </c>
      <c r="I80" s="327">
        <f t="shared" si="2"/>
        <v>3952</v>
      </c>
      <c r="J80" s="328">
        <f t="shared" si="3"/>
        <v>3952</v>
      </c>
      <c r="K80" s="329">
        <f t="shared" si="4"/>
        <v>3648</v>
      </c>
      <c r="L80" s="328">
        <f t="shared" si="5"/>
        <v>3496</v>
      </c>
      <c r="M80" s="329">
        <f t="shared" si="6"/>
        <v>3344</v>
      </c>
      <c r="N80" s="281"/>
      <c r="O80" s="34"/>
      <c r="P80" s="35"/>
      <c r="Q80" s="35"/>
      <c r="R80" s="35"/>
      <c r="S80" s="35"/>
      <c r="T80" s="35"/>
      <c r="U80" s="35"/>
      <c r="V80" s="35"/>
      <c r="W80" s="35"/>
      <c r="X80" s="35"/>
      <c r="Y80" s="35"/>
      <c r="Z80" s="35"/>
    </row>
    <row r="81" ht="14.25" hidden="1" customHeight="1">
      <c r="A81" s="270" t="s">
        <v>580</v>
      </c>
      <c r="B81" s="282" t="s">
        <v>1842</v>
      </c>
      <c r="C81" s="274" t="s">
        <v>1978</v>
      </c>
      <c r="D81" s="295" t="s">
        <v>1973</v>
      </c>
      <c r="E81" s="274" t="s">
        <v>1822</v>
      </c>
      <c r="F81" s="275">
        <v>3910.0</v>
      </c>
      <c r="G81" s="276">
        <v>44593.0</v>
      </c>
      <c r="H81" s="285">
        <f t="shared" si="1"/>
        <v>5865</v>
      </c>
      <c r="I81" s="286">
        <f t="shared" si="2"/>
        <v>5083</v>
      </c>
      <c r="J81" s="287">
        <f t="shared" si="3"/>
        <v>5083</v>
      </c>
      <c r="K81" s="288">
        <f t="shared" si="4"/>
        <v>4692</v>
      </c>
      <c r="L81" s="287">
        <f t="shared" si="5"/>
        <v>4496.5</v>
      </c>
      <c r="M81" s="288">
        <f t="shared" si="6"/>
        <v>4301</v>
      </c>
      <c r="N81" s="281"/>
      <c r="O81" s="34"/>
      <c r="P81" s="35"/>
      <c r="Q81" s="35"/>
      <c r="R81" s="35"/>
      <c r="S81" s="35"/>
      <c r="T81" s="35"/>
      <c r="U81" s="35"/>
      <c r="V81" s="35"/>
      <c r="W81" s="35"/>
      <c r="X81" s="35"/>
      <c r="Y81" s="35"/>
      <c r="Z81" s="35"/>
    </row>
    <row r="82" ht="14.25" hidden="1" customHeight="1">
      <c r="A82" s="270" t="s">
        <v>580</v>
      </c>
      <c r="B82" s="282" t="s">
        <v>1842</v>
      </c>
      <c r="C82" s="274" t="s">
        <v>1979</v>
      </c>
      <c r="D82" s="295" t="s">
        <v>1980</v>
      </c>
      <c r="E82" s="274" t="s">
        <v>1981</v>
      </c>
      <c r="F82" s="275">
        <v>3510.0</v>
      </c>
      <c r="G82" s="276">
        <v>44593.0</v>
      </c>
      <c r="H82" s="285">
        <f t="shared" si="1"/>
        <v>5265</v>
      </c>
      <c r="I82" s="286">
        <f t="shared" si="2"/>
        <v>4563</v>
      </c>
      <c r="J82" s="287">
        <f t="shared" si="3"/>
        <v>4563</v>
      </c>
      <c r="K82" s="288">
        <f t="shared" si="4"/>
        <v>4212</v>
      </c>
      <c r="L82" s="287">
        <f t="shared" si="5"/>
        <v>4036.5</v>
      </c>
      <c r="M82" s="288">
        <f t="shared" si="6"/>
        <v>3861</v>
      </c>
      <c r="N82" s="281"/>
      <c r="O82" s="34"/>
      <c r="P82" s="35"/>
      <c r="Q82" s="35"/>
      <c r="R82" s="35"/>
      <c r="S82" s="35"/>
      <c r="T82" s="35"/>
      <c r="U82" s="35"/>
      <c r="V82" s="35"/>
      <c r="W82" s="35"/>
      <c r="X82" s="35"/>
      <c r="Y82" s="35"/>
      <c r="Z82" s="35"/>
    </row>
    <row r="83" ht="14.25" hidden="1" customHeight="1">
      <c r="A83" s="270" t="s">
        <v>580</v>
      </c>
      <c r="B83" s="282" t="s">
        <v>1842</v>
      </c>
      <c r="C83" s="274" t="s">
        <v>1982</v>
      </c>
      <c r="D83" s="295" t="s">
        <v>1983</v>
      </c>
      <c r="E83" s="274" t="s">
        <v>1984</v>
      </c>
      <c r="F83" s="275">
        <v>1690.0</v>
      </c>
      <c r="G83" s="276">
        <v>44593.0</v>
      </c>
      <c r="H83" s="326">
        <f t="shared" si="1"/>
        <v>2535</v>
      </c>
      <c r="I83" s="327">
        <f t="shared" si="2"/>
        <v>2197</v>
      </c>
      <c r="J83" s="328">
        <f t="shared" si="3"/>
        <v>2197</v>
      </c>
      <c r="K83" s="329">
        <f t="shared" si="4"/>
        <v>2028</v>
      </c>
      <c r="L83" s="328">
        <f t="shared" si="5"/>
        <v>1943.5</v>
      </c>
      <c r="M83" s="329">
        <f t="shared" si="6"/>
        <v>1859</v>
      </c>
      <c r="N83" s="281"/>
      <c r="O83" s="34"/>
      <c r="P83" s="35"/>
      <c r="Q83" s="35"/>
      <c r="R83" s="35"/>
      <c r="S83" s="35"/>
      <c r="T83" s="35"/>
      <c r="U83" s="35"/>
      <c r="V83" s="35"/>
      <c r="W83" s="35"/>
      <c r="X83" s="35"/>
      <c r="Y83" s="35"/>
      <c r="Z83" s="35"/>
    </row>
    <row r="84" ht="14.25" hidden="1" customHeight="1">
      <c r="A84" s="270" t="s">
        <v>580</v>
      </c>
      <c r="B84" s="282" t="s">
        <v>1842</v>
      </c>
      <c r="C84" s="283" t="s">
        <v>1985</v>
      </c>
      <c r="D84" s="289" t="s">
        <v>1986</v>
      </c>
      <c r="E84" s="283" t="s">
        <v>1959</v>
      </c>
      <c r="F84" s="275">
        <v>3200.0</v>
      </c>
      <c r="G84" s="276">
        <v>44593.0</v>
      </c>
      <c r="H84" s="326">
        <f t="shared" si="1"/>
        <v>4800</v>
      </c>
      <c r="I84" s="327">
        <f t="shared" si="2"/>
        <v>4160</v>
      </c>
      <c r="J84" s="328">
        <f t="shared" si="3"/>
        <v>4160</v>
      </c>
      <c r="K84" s="329">
        <f t="shared" si="4"/>
        <v>3840</v>
      </c>
      <c r="L84" s="328">
        <f t="shared" si="5"/>
        <v>3680</v>
      </c>
      <c r="M84" s="329">
        <f t="shared" si="6"/>
        <v>3520</v>
      </c>
      <c r="N84" s="281"/>
      <c r="O84" s="34"/>
      <c r="P84" s="35"/>
      <c r="Q84" s="35"/>
      <c r="R84" s="35"/>
      <c r="S84" s="35"/>
      <c r="T84" s="35"/>
      <c r="U84" s="35"/>
      <c r="V84" s="35"/>
      <c r="W84" s="35"/>
      <c r="X84" s="35"/>
      <c r="Y84" s="35"/>
      <c r="Z84" s="35"/>
    </row>
    <row r="85" ht="14.25" hidden="1" customHeight="1">
      <c r="A85" s="270" t="s">
        <v>580</v>
      </c>
      <c r="B85" s="282" t="s">
        <v>1842</v>
      </c>
      <c r="C85" s="274" t="s">
        <v>1987</v>
      </c>
      <c r="D85" s="295" t="s">
        <v>1988</v>
      </c>
      <c r="E85" s="274" t="s">
        <v>1989</v>
      </c>
      <c r="F85" s="275">
        <v>1690.0</v>
      </c>
      <c r="G85" s="276">
        <v>44593.0</v>
      </c>
      <c r="H85" s="285">
        <f t="shared" si="1"/>
        <v>2535</v>
      </c>
      <c r="I85" s="286">
        <f t="shared" si="2"/>
        <v>2197</v>
      </c>
      <c r="J85" s="287">
        <f t="shared" si="3"/>
        <v>2197</v>
      </c>
      <c r="K85" s="288">
        <f t="shared" si="4"/>
        <v>2028</v>
      </c>
      <c r="L85" s="287">
        <f t="shared" si="5"/>
        <v>1943.5</v>
      </c>
      <c r="M85" s="288">
        <f t="shared" si="6"/>
        <v>1859</v>
      </c>
      <c r="N85" s="281"/>
      <c r="O85" s="34"/>
      <c r="P85" s="35"/>
      <c r="Q85" s="35"/>
      <c r="R85" s="35"/>
      <c r="S85" s="35"/>
      <c r="T85" s="35"/>
      <c r="U85" s="35"/>
      <c r="V85" s="35"/>
      <c r="W85" s="35"/>
      <c r="X85" s="35"/>
      <c r="Y85" s="35"/>
      <c r="Z85" s="35"/>
    </row>
    <row r="86" ht="14.25" hidden="1" customHeight="1">
      <c r="A86" s="270" t="s">
        <v>580</v>
      </c>
      <c r="B86" s="282" t="s">
        <v>1842</v>
      </c>
      <c r="C86" s="283" t="s">
        <v>1990</v>
      </c>
      <c r="D86" s="289" t="s">
        <v>1991</v>
      </c>
      <c r="E86" s="274" t="s">
        <v>1992</v>
      </c>
      <c r="F86" s="275">
        <v>1885.0</v>
      </c>
      <c r="G86" s="276">
        <v>44593.0</v>
      </c>
      <c r="H86" s="326">
        <f t="shared" si="1"/>
        <v>2827.5</v>
      </c>
      <c r="I86" s="327">
        <f t="shared" si="2"/>
        <v>2450.5</v>
      </c>
      <c r="J86" s="328">
        <f t="shared" si="3"/>
        <v>2450.5</v>
      </c>
      <c r="K86" s="329">
        <f t="shared" si="4"/>
        <v>2262</v>
      </c>
      <c r="L86" s="328">
        <f t="shared" si="5"/>
        <v>2167.75</v>
      </c>
      <c r="M86" s="329">
        <f t="shared" si="6"/>
        <v>2073.5</v>
      </c>
      <c r="N86" s="281"/>
      <c r="O86" s="34"/>
      <c r="P86" s="35"/>
      <c r="Q86" s="35"/>
      <c r="R86" s="35"/>
      <c r="S86" s="35"/>
      <c r="T86" s="35"/>
      <c r="U86" s="35"/>
      <c r="V86" s="35"/>
      <c r="W86" s="35"/>
      <c r="X86" s="35"/>
      <c r="Y86" s="35"/>
      <c r="Z86" s="35"/>
    </row>
    <row r="87" ht="14.25" hidden="1" customHeight="1">
      <c r="A87" s="270" t="s">
        <v>580</v>
      </c>
      <c r="B87" s="282" t="s">
        <v>1842</v>
      </c>
      <c r="C87" s="274" t="s">
        <v>1993</v>
      </c>
      <c r="D87" s="289" t="s">
        <v>1994</v>
      </c>
      <c r="E87" s="274" t="s">
        <v>1952</v>
      </c>
      <c r="F87" s="275">
        <v>2150.0</v>
      </c>
      <c r="G87" s="276">
        <v>44593.0</v>
      </c>
      <c r="H87" s="285">
        <f t="shared" si="1"/>
        <v>3225</v>
      </c>
      <c r="I87" s="286">
        <f t="shared" si="2"/>
        <v>2795</v>
      </c>
      <c r="J87" s="287">
        <f t="shared" si="3"/>
        <v>2795</v>
      </c>
      <c r="K87" s="288">
        <f t="shared" si="4"/>
        <v>2580</v>
      </c>
      <c r="L87" s="287">
        <f t="shared" si="5"/>
        <v>2472.5</v>
      </c>
      <c r="M87" s="288">
        <f t="shared" si="6"/>
        <v>2365</v>
      </c>
      <c r="N87" s="281"/>
      <c r="O87" s="34"/>
      <c r="P87" s="35"/>
      <c r="Q87" s="35"/>
      <c r="R87" s="35"/>
      <c r="S87" s="35"/>
      <c r="T87" s="35"/>
      <c r="U87" s="35"/>
      <c r="V87" s="35"/>
      <c r="W87" s="35"/>
      <c r="X87" s="35"/>
      <c r="Y87" s="35"/>
      <c r="Z87" s="35"/>
    </row>
    <row r="88" ht="14.25" hidden="1" customHeight="1">
      <c r="A88" s="270" t="s">
        <v>580</v>
      </c>
      <c r="B88" s="282" t="s">
        <v>1842</v>
      </c>
      <c r="C88" s="274" t="s">
        <v>1995</v>
      </c>
      <c r="D88" s="289" t="s">
        <v>1996</v>
      </c>
      <c r="E88" s="274" t="s">
        <v>1989</v>
      </c>
      <c r="F88" s="275">
        <v>2100.0</v>
      </c>
      <c r="G88" s="276">
        <v>44593.0</v>
      </c>
      <c r="H88" s="285">
        <f t="shared" si="1"/>
        <v>3150</v>
      </c>
      <c r="I88" s="286">
        <f t="shared" si="2"/>
        <v>2730</v>
      </c>
      <c r="J88" s="287">
        <f t="shared" si="3"/>
        <v>2730</v>
      </c>
      <c r="K88" s="288">
        <f t="shared" si="4"/>
        <v>2520</v>
      </c>
      <c r="L88" s="287">
        <f t="shared" si="5"/>
        <v>2415</v>
      </c>
      <c r="M88" s="288">
        <f t="shared" si="6"/>
        <v>2310</v>
      </c>
      <c r="N88" s="281"/>
      <c r="O88" s="34"/>
      <c r="P88" s="35"/>
      <c r="Q88" s="35"/>
      <c r="R88" s="35"/>
      <c r="S88" s="35"/>
      <c r="T88" s="35"/>
      <c r="U88" s="35"/>
      <c r="V88" s="35"/>
      <c r="W88" s="35"/>
      <c r="X88" s="35"/>
      <c r="Y88" s="35"/>
      <c r="Z88" s="35"/>
    </row>
    <row r="89" ht="14.25" hidden="1" customHeight="1">
      <c r="A89" s="270" t="s">
        <v>580</v>
      </c>
      <c r="B89" s="282" t="s">
        <v>1997</v>
      </c>
      <c r="C89" s="274" t="s">
        <v>1998</v>
      </c>
      <c r="D89" s="306" t="s">
        <v>1999</v>
      </c>
      <c r="E89" s="272" t="s">
        <v>1822</v>
      </c>
      <c r="F89" s="275">
        <v>3605.0</v>
      </c>
      <c r="G89" s="276">
        <v>44593.0</v>
      </c>
      <c r="H89" s="285">
        <f t="shared" si="1"/>
        <v>5407.5</v>
      </c>
      <c r="I89" s="286">
        <f t="shared" si="2"/>
        <v>4686.5</v>
      </c>
      <c r="J89" s="287">
        <f t="shared" si="3"/>
        <v>4686.5</v>
      </c>
      <c r="K89" s="288">
        <f t="shared" si="4"/>
        <v>4326</v>
      </c>
      <c r="L89" s="287">
        <f t="shared" si="5"/>
        <v>4145.75</v>
      </c>
      <c r="M89" s="288">
        <f t="shared" si="6"/>
        <v>3965.5</v>
      </c>
      <c r="N89" s="281"/>
      <c r="O89" s="34"/>
      <c r="P89" s="35"/>
      <c r="Q89" s="35"/>
      <c r="R89" s="35"/>
      <c r="S89" s="35"/>
      <c r="T89" s="35"/>
      <c r="U89" s="35"/>
      <c r="V89" s="35"/>
      <c r="W89" s="35"/>
      <c r="X89" s="35"/>
      <c r="Y89" s="35"/>
      <c r="Z89" s="35"/>
    </row>
    <row r="90" ht="14.25" hidden="1" customHeight="1">
      <c r="A90" s="270" t="s">
        <v>580</v>
      </c>
      <c r="B90" s="282" t="s">
        <v>1997</v>
      </c>
      <c r="C90" s="283" t="s">
        <v>2000</v>
      </c>
      <c r="D90" s="289" t="s">
        <v>2001</v>
      </c>
      <c r="E90" s="274" t="s">
        <v>1959</v>
      </c>
      <c r="F90" s="275">
        <v>2250.0</v>
      </c>
      <c r="G90" s="276">
        <v>44593.0</v>
      </c>
      <c r="H90" s="285">
        <f t="shared" si="1"/>
        <v>3375</v>
      </c>
      <c r="I90" s="286">
        <f t="shared" si="2"/>
        <v>2925</v>
      </c>
      <c r="J90" s="287">
        <f t="shared" si="3"/>
        <v>2925</v>
      </c>
      <c r="K90" s="288">
        <f t="shared" si="4"/>
        <v>2700</v>
      </c>
      <c r="L90" s="287">
        <f t="shared" si="5"/>
        <v>2587.5</v>
      </c>
      <c r="M90" s="288">
        <f t="shared" si="6"/>
        <v>2475</v>
      </c>
      <c r="N90" s="281"/>
      <c r="O90" s="34"/>
      <c r="P90" s="35"/>
      <c r="Q90" s="35"/>
      <c r="R90" s="35"/>
      <c r="S90" s="35"/>
      <c r="T90" s="35"/>
      <c r="U90" s="35"/>
      <c r="V90" s="35"/>
      <c r="W90" s="35"/>
      <c r="X90" s="35"/>
      <c r="Y90" s="35"/>
      <c r="Z90" s="35"/>
    </row>
    <row r="91" ht="15.0" hidden="1" customHeight="1">
      <c r="A91" s="270" t="s">
        <v>580</v>
      </c>
      <c r="B91" s="282" t="s">
        <v>1997</v>
      </c>
      <c r="C91" s="283" t="s">
        <v>2002</v>
      </c>
      <c r="D91" s="295" t="s">
        <v>2003</v>
      </c>
      <c r="E91" s="283" t="s">
        <v>2004</v>
      </c>
      <c r="F91" s="275">
        <v>3910.0</v>
      </c>
      <c r="G91" s="276">
        <v>44593.0</v>
      </c>
      <c r="H91" s="285">
        <f t="shared" si="1"/>
        <v>5865</v>
      </c>
      <c r="I91" s="286">
        <f t="shared" si="2"/>
        <v>5083</v>
      </c>
      <c r="J91" s="287">
        <f t="shared" si="3"/>
        <v>5083</v>
      </c>
      <c r="K91" s="288">
        <f t="shared" si="4"/>
        <v>4692</v>
      </c>
      <c r="L91" s="287">
        <f t="shared" si="5"/>
        <v>4496.5</v>
      </c>
      <c r="M91" s="288">
        <f t="shared" si="6"/>
        <v>4301</v>
      </c>
      <c r="N91" s="281"/>
      <c r="O91" s="34"/>
      <c r="P91" s="35"/>
      <c r="Q91" s="35"/>
      <c r="R91" s="35"/>
      <c r="S91" s="35"/>
      <c r="T91" s="35"/>
      <c r="U91" s="35"/>
      <c r="V91" s="35"/>
      <c r="W91" s="35"/>
      <c r="X91" s="35"/>
      <c r="Y91" s="35"/>
      <c r="Z91" s="35"/>
    </row>
    <row r="92" ht="15.0" hidden="1" customHeight="1">
      <c r="A92" s="270" t="s">
        <v>580</v>
      </c>
      <c r="B92" s="282" t="s">
        <v>1997</v>
      </c>
      <c r="C92" s="274" t="s">
        <v>2005</v>
      </c>
      <c r="D92" s="295" t="s">
        <v>2006</v>
      </c>
      <c r="E92" s="274" t="s">
        <v>2007</v>
      </c>
      <c r="F92" s="275">
        <v>2050.0</v>
      </c>
      <c r="G92" s="276">
        <v>44593.0</v>
      </c>
      <c r="H92" s="285">
        <f t="shared" si="1"/>
        <v>3075</v>
      </c>
      <c r="I92" s="286">
        <f t="shared" si="2"/>
        <v>2665</v>
      </c>
      <c r="J92" s="287">
        <f t="shared" si="3"/>
        <v>2665</v>
      </c>
      <c r="K92" s="288">
        <f t="shared" si="4"/>
        <v>2460</v>
      </c>
      <c r="L92" s="287">
        <f t="shared" si="5"/>
        <v>2357.5</v>
      </c>
      <c r="M92" s="288">
        <f t="shared" si="6"/>
        <v>2255</v>
      </c>
      <c r="N92" s="281"/>
      <c r="O92" s="34"/>
      <c r="P92" s="35"/>
      <c r="Q92" s="35"/>
      <c r="R92" s="35"/>
      <c r="S92" s="35"/>
      <c r="T92" s="35"/>
      <c r="U92" s="35"/>
      <c r="V92" s="35"/>
      <c r="W92" s="35"/>
      <c r="X92" s="35"/>
      <c r="Y92" s="35"/>
      <c r="Z92" s="35"/>
    </row>
    <row r="93" ht="14.25" hidden="1" customHeight="1">
      <c r="A93" s="270" t="s">
        <v>580</v>
      </c>
      <c r="B93" s="282" t="s">
        <v>1997</v>
      </c>
      <c r="C93" s="274" t="s">
        <v>2008</v>
      </c>
      <c r="D93" s="295" t="s">
        <v>1980</v>
      </c>
      <c r="E93" s="274" t="s">
        <v>2009</v>
      </c>
      <c r="F93" s="275">
        <v>2015.0</v>
      </c>
      <c r="G93" s="276">
        <v>44593.0</v>
      </c>
      <c r="H93" s="285">
        <f t="shared" si="1"/>
        <v>3022.5</v>
      </c>
      <c r="I93" s="286">
        <f t="shared" si="2"/>
        <v>2619.5</v>
      </c>
      <c r="J93" s="287">
        <f t="shared" si="3"/>
        <v>2619.5</v>
      </c>
      <c r="K93" s="288">
        <f t="shared" si="4"/>
        <v>2418</v>
      </c>
      <c r="L93" s="287">
        <f t="shared" si="5"/>
        <v>2317.25</v>
      </c>
      <c r="M93" s="288">
        <f t="shared" si="6"/>
        <v>2216.5</v>
      </c>
      <c r="N93" s="281"/>
      <c r="O93" s="34"/>
      <c r="P93" s="35"/>
      <c r="Q93" s="35"/>
      <c r="R93" s="35"/>
      <c r="S93" s="35"/>
      <c r="T93" s="35"/>
      <c r="U93" s="35"/>
      <c r="V93" s="35"/>
      <c r="W93" s="35"/>
      <c r="X93" s="35"/>
      <c r="Y93" s="35"/>
      <c r="Z93" s="35"/>
    </row>
    <row r="94" ht="14.25" hidden="1" customHeight="1">
      <c r="A94" s="270" t="s">
        <v>580</v>
      </c>
      <c r="B94" s="282" t="s">
        <v>1997</v>
      </c>
      <c r="C94" s="274" t="s">
        <v>2010</v>
      </c>
      <c r="D94" s="295" t="s">
        <v>1973</v>
      </c>
      <c r="E94" s="274" t="s">
        <v>1822</v>
      </c>
      <c r="F94" s="275">
        <v>3200.0</v>
      </c>
      <c r="G94" s="276">
        <v>44593.0</v>
      </c>
      <c r="H94" s="285">
        <f t="shared" si="1"/>
        <v>4800</v>
      </c>
      <c r="I94" s="286">
        <f t="shared" si="2"/>
        <v>4160</v>
      </c>
      <c r="J94" s="287">
        <f t="shared" si="3"/>
        <v>4160</v>
      </c>
      <c r="K94" s="288">
        <f t="shared" si="4"/>
        <v>3840</v>
      </c>
      <c r="L94" s="287">
        <f t="shared" si="5"/>
        <v>3680</v>
      </c>
      <c r="M94" s="288">
        <f t="shared" si="6"/>
        <v>3520</v>
      </c>
      <c r="N94" s="281"/>
      <c r="O94" s="34"/>
      <c r="P94" s="35"/>
      <c r="Q94" s="35"/>
      <c r="R94" s="35"/>
      <c r="S94" s="35"/>
      <c r="T94" s="35"/>
      <c r="U94" s="35"/>
      <c r="V94" s="35"/>
      <c r="W94" s="35"/>
      <c r="X94" s="35"/>
      <c r="Y94" s="35"/>
      <c r="Z94" s="35"/>
    </row>
    <row r="95" ht="14.25" hidden="1" customHeight="1">
      <c r="A95" s="270" t="s">
        <v>580</v>
      </c>
      <c r="B95" s="282" t="s">
        <v>1997</v>
      </c>
      <c r="C95" s="274" t="s">
        <v>2011</v>
      </c>
      <c r="D95" s="295" t="s">
        <v>2012</v>
      </c>
      <c r="E95" s="274" t="s">
        <v>1959</v>
      </c>
      <c r="F95" s="275">
        <v>4050.0</v>
      </c>
      <c r="G95" s="276">
        <v>44593.0</v>
      </c>
      <c r="H95" s="285">
        <f t="shared" si="1"/>
        <v>6075</v>
      </c>
      <c r="I95" s="286">
        <f t="shared" si="2"/>
        <v>5265</v>
      </c>
      <c r="J95" s="287">
        <f t="shared" si="3"/>
        <v>5265</v>
      </c>
      <c r="K95" s="288">
        <f t="shared" si="4"/>
        <v>4860</v>
      </c>
      <c r="L95" s="287">
        <f t="shared" si="5"/>
        <v>4657.5</v>
      </c>
      <c r="M95" s="288">
        <f t="shared" si="6"/>
        <v>4455</v>
      </c>
      <c r="N95" s="281"/>
      <c r="O95" s="34"/>
      <c r="P95" s="35"/>
      <c r="Q95" s="35"/>
      <c r="R95" s="35"/>
      <c r="S95" s="35"/>
      <c r="T95" s="35"/>
      <c r="U95" s="35"/>
      <c r="V95" s="35"/>
      <c r="W95" s="35"/>
      <c r="X95" s="35"/>
      <c r="Y95" s="35"/>
      <c r="Z95" s="35"/>
    </row>
    <row r="96" ht="14.25" hidden="1" customHeight="1">
      <c r="A96" s="270" t="s">
        <v>580</v>
      </c>
      <c r="B96" s="282" t="s">
        <v>1997</v>
      </c>
      <c r="C96" s="274" t="s">
        <v>2013</v>
      </c>
      <c r="D96" s="295" t="s">
        <v>1980</v>
      </c>
      <c r="E96" s="274" t="s">
        <v>2014</v>
      </c>
      <c r="F96" s="275">
        <v>11100.0</v>
      </c>
      <c r="G96" s="276">
        <v>44593.0</v>
      </c>
      <c r="H96" s="285">
        <f t="shared" si="1"/>
        <v>16650</v>
      </c>
      <c r="I96" s="286">
        <f t="shared" si="2"/>
        <v>14430</v>
      </c>
      <c r="J96" s="287">
        <f t="shared" si="3"/>
        <v>14430</v>
      </c>
      <c r="K96" s="288">
        <f t="shared" si="4"/>
        <v>13320</v>
      </c>
      <c r="L96" s="287">
        <f t="shared" si="5"/>
        <v>12765</v>
      </c>
      <c r="M96" s="288">
        <f t="shared" si="6"/>
        <v>12210</v>
      </c>
      <c r="N96" s="281"/>
      <c r="O96" s="34"/>
      <c r="P96" s="35"/>
      <c r="Q96" s="35"/>
      <c r="R96" s="35"/>
      <c r="S96" s="35"/>
      <c r="T96" s="35"/>
      <c r="U96" s="35"/>
      <c r="V96" s="35"/>
      <c r="W96" s="35"/>
      <c r="X96" s="35"/>
      <c r="Y96" s="35"/>
      <c r="Z96" s="35"/>
    </row>
    <row r="97" ht="14.25" hidden="1" customHeight="1">
      <c r="A97" s="270" t="s">
        <v>580</v>
      </c>
      <c r="B97" s="282" t="s">
        <v>1997</v>
      </c>
      <c r="C97" s="274" t="s">
        <v>2015</v>
      </c>
      <c r="D97" s="325" t="s">
        <v>2016</v>
      </c>
      <c r="E97" s="274" t="s">
        <v>2017</v>
      </c>
      <c r="F97" s="275">
        <v>12500.0</v>
      </c>
      <c r="G97" s="276">
        <v>44593.0</v>
      </c>
      <c r="H97" s="285">
        <f t="shared" si="1"/>
        <v>18750</v>
      </c>
      <c r="I97" s="286">
        <f t="shared" si="2"/>
        <v>16250</v>
      </c>
      <c r="J97" s="287">
        <f t="shared" si="3"/>
        <v>16250</v>
      </c>
      <c r="K97" s="288">
        <f t="shared" si="4"/>
        <v>15000</v>
      </c>
      <c r="L97" s="287">
        <f t="shared" si="5"/>
        <v>14375</v>
      </c>
      <c r="M97" s="288">
        <f t="shared" si="6"/>
        <v>13750</v>
      </c>
      <c r="N97" s="281"/>
      <c r="O97" s="34"/>
      <c r="P97" s="35"/>
      <c r="Q97" s="35"/>
      <c r="R97" s="35"/>
      <c r="S97" s="35"/>
      <c r="T97" s="35"/>
      <c r="U97" s="35"/>
      <c r="V97" s="35"/>
      <c r="W97" s="35"/>
      <c r="X97" s="35"/>
      <c r="Y97" s="35"/>
      <c r="Z97" s="35"/>
    </row>
    <row r="98" ht="14.25" hidden="1" customHeight="1">
      <c r="A98" s="270" t="s">
        <v>580</v>
      </c>
      <c r="B98" s="282" t="s">
        <v>1997</v>
      </c>
      <c r="C98" s="274" t="s">
        <v>2018</v>
      </c>
      <c r="D98" s="295" t="s">
        <v>2012</v>
      </c>
      <c r="E98" s="274" t="s">
        <v>1959</v>
      </c>
      <c r="F98" s="275">
        <v>4409.0</v>
      </c>
      <c r="G98" s="276">
        <v>44593.0</v>
      </c>
      <c r="H98" s="285">
        <f t="shared" si="1"/>
        <v>6613.5</v>
      </c>
      <c r="I98" s="286">
        <f t="shared" si="2"/>
        <v>5731.7</v>
      </c>
      <c r="J98" s="287">
        <f t="shared" si="3"/>
        <v>5731.7</v>
      </c>
      <c r="K98" s="288">
        <f t="shared" si="4"/>
        <v>5290.8</v>
      </c>
      <c r="L98" s="287">
        <f t="shared" si="5"/>
        <v>5070.35</v>
      </c>
      <c r="M98" s="288">
        <f t="shared" si="6"/>
        <v>4849.9</v>
      </c>
      <c r="N98" s="281"/>
      <c r="O98" s="34"/>
      <c r="P98" s="35"/>
      <c r="Q98" s="35"/>
      <c r="R98" s="35"/>
      <c r="S98" s="35"/>
      <c r="T98" s="35"/>
      <c r="U98" s="35"/>
      <c r="V98" s="35"/>
      <c r="W98" s="35"/>
      <c r="X98" s="35"/>
      <c r="Y98" s="35"/>
      <c r="Z98" s="35"/>
    </row>
    <row r="99" ht="14.25" hidden="1" customHeight="1">
      <c r="A99" s="270" t="s">
        <v>580</v>
      </c>
      <c r="B99" s="282" t="s">
        <v>2019</v>
      </c>
      <c r="C99" s="274" t="s">
        <v>2020</v>
      </c>
      <c r="D99" s="295" t="s">
        <v>2021</v>
      </c>
      <c r="E99" s="274" t="s">
        <v>1984</v>
      </c>
      <c r="F99" s="275">
        <v>1820.0</v>
      </c>
      <c r="G99" s="276">
        <v>44593.0</v>
      </c>
      <c r="H99" s="285">
        <f t="shared" si="1"/>
        <v>2730</v>
      </c>
      <c r="I99" s="286">
        <f t="shared" si="2"/>
        <v>2366</v>
      </c>
      <c r="J99" s="287">
        <f t="shared" si="3"/>
        <v>2366</v>
      </c>
      <c r="K99" s="288">
        <f t="shared" si="4"/>
        <v>2184</v>
      </c>
      <c r="L99" s="287">
        <f t="shared" si="5"/>
        <v>2093</v>
      </c>
      <c r="M99" s="288">
        <f t="shared" si="6"/>
        <v>2002</v>
      </c>
      <c r="N99" s="281"/>
      <c r="O99" s="34"/>
      <c r="P99" s="35"/>
      <c r="Q99" s="35"/>
      <c r="R99" s="35"/>
      <c r="S99" s="35"/>
      <c r="T99" s="35"/>
      <c r="U99" s="35"/>
      <c r="V99" s="35"/>
      <c r="W99" s="35"/>
      <c r="X99" s="35"/>
      <c r="Y99" s="35"/>
      <c r="Z99" s="35"/>
    </row>
    <row r="100" ht="14.25" hidden="1" customHeight="1">
      <c r="A100" s="270" t="s">
        <v>580</v>
      </c>
      <c r="B100" s="282" t="s">
        <v>2019</v>
      </c>
      <c r="C100" s="274" t="s">
        <v>2022</v>
      </c>
      <c r="D100" s="295" t="s">
        <v>2023</v>
      </c>
      <c r="E100" s="274" t="s">
        <v>1984</v>
      </c>
      <c r="F100" s="275">
        <v>1820.0</v>
      </c>
      <c r="G100" s="276">
        <v>44593.0</v>
      </c>
      <c r="H100" s="285">
        <f t="shared" si="1"/>
        <v>2730</v>
      </c>
      <c r="I100" s="286">
        <f t="shared" si="2"/>
        <v>2366</v>
      </c>
      <c r="J100" s="287">
        <f t="shared" si="3"/>
        <v>2366</v>
      </c>
      <c r="K100" s="288">
        <f t="shared" si="4"/>
        <v>2184</v>
      </c>
      <c r="L100" s="287">
        <f t="shared" si="5"/>
        <v>2093</v>
      </c>
      <c r="M100" s="288">
        <f t="shared" si="6"/>
        <v>2002</v>
      </c>
      <c r="N100" s="281"/>
      <c r="O100" s="34"/>
      <c r="P100" s="35"/>
      <c r="Q100" s="35"/>
      <c r="R100" s="35"/>
      <c r="S100" s="35"/>
      <c r="T100" s="35"/>
      <c r="U100" s="35"/>
      <c r="V100" s="35"/>
      <c r="W100" s="35"/>
      <c r="X100" s="35"/>
      <c r="Y100" s="35"/>
      <c r="Z100" s="35"/>
    </row>
    <row r="101" ht="14.25" hidden="1" customHeight="1">
      <c r="A101" s="270" t="s">
        <v>580</v>
      </c>
      <c r="B101" s="282" t="s">
        <v>2019</v>
      </c>
      <c r="C101" s="274" t="s">
        <v>2024</v>
      </c>
      <c r="D101" s="295" t="s">
        <v>2025</v>
      </c>
      <c r="E101" s="274" t="s">
        <v>1984</v>
      </c>
      <c r="F101" s="275">
        <v>1820.0</v>
      </c>
      <c r="G101" s="276">
        <v>44593.0</v>
      </c>
      <c r="H101" s="285">
        <f t="shared" si="1"/>
        <v>2730</v>
      </c>
      <c r="I101" s="286">
        <f t="shared" si="2"/>
        <v>2366</v>
      </c>
      <c r="J101" s="287">
        <f t="shared" si="3"/>
        <v>2366</v>
      </c>
      <c r="K101" s="288">
        <f t="shared" si="4"/>
        <v>2184</v>
      </c>
      <c r="L101" s="287">
        <f t="shared" si="5"/>
        <v>2093</v>
      </c>
      <c r="M101" s="288">
        <f t="shared" si="6"/>
        <v>2002</v>
      </c>
      <c r="N101" s="281"/>
      <c r="O101" s="34"/>
      <c r="P101" s="35"/>
      <c r="Q101" s="35"/>
      <c r="R101" s="35"/>
      <c r="S101" s="35"/>
      <c r="T101" s="35"/>
      <c r="U101" s="35"/>
      <c r="V101" s="35"/>
      <c r="W101" s="35"/>
      <c r="X101" s="35"/>
      <c r="Y101" s="35"/>
      <c r="Z101" s="35"/>
    </row>
    <row r="102" ht="14.25" hidden="1" customHeight="1">
      <c r="A102" s="270" t="s">
        <v>580</v>
      </c>
      <c r="B102" s="282" t="s">
        <v>2026</v>
      </c>
      <c r="C102" s="274" t="s">
        <v>2027</v>
      </c>
      <c r="D102" s="295" t="s">
        <v>2028</v>
      </c>
      <c r="E102" s="274" t="s">
        <v>2029</v>
      </c>
      <c r="F102" s="275">
        <v>3500.0</v>
      </c>
      <c r="G102" s="276">
        <v>44593.0</v>
      </c>
      <c r="H102" s="285">
        <f t="shared" si="1"/>
        <v>5250</v>
      </c>
      <c r="I102" s="286">
        <f t="shared" si="2"/>
        <v>4550</v>
      </c>
      <c r="J102" s="287">
        <f t="shared" si="3"/>
        <v>4550</v>
      </c>
      <c r="K102" s="288">
        <f t="shared" si="4"/>
        <v>4200</v>
      </c>
      <c r="L102" s="287">
        <f t="shared" si="5"/>
        <v>4025</v>
      </c>
      <c r="M102" s="288">
        <f t="shared" si="6"/>
        <v>3850</v>
      </c>
      <c r="N102" s="281"/>
      <c r="O102" s="34"/>
      <c r="P102" s="35"/>
      <c r="Q102" s="35"/>
      <c r="R102" s="35"/>
      <c r="S102" s="35"/>
      <c r="T102" s="35"/>
      <c r="U102" s="35"/>
      <c r="V102" s="35"/>
      <c r="W102" s="35"/>
      <c r="X102" s="35"/>
      <c r="Y102" s="35"/>
      <c r="Z102" s="35"/>
    </row>
    <row r="103" ht="14.25" hidden="1" customHeight="1">
      <c r="A103" s="270" t="s">
        <v>580</v>
      </c>
      <c r="B103" s="282" t="s">
        <v>2030</v>
      </c>
      <c r="C103" s="274" t="s">
        <v>2031</v>
      </c>
      <c r="D103" s="295" t="s">
        <v>2032</v>
      </c>
      <c r="E103" s="274" t="s">
        <v>2033</v>
      </c>
      <c r="F103" s="275">
        <v>3705.0</v>
      </c>
      <c r="G103" s="276">
        <v>44593.0</v>
      </c>
      <c r="H103" s="285">
        <f t="shared" si="1"/>
        <v>5557.5</v>
      </c>
      <c r="I103" s="286">
        <f t="shared" si="2"/>
        <v>4816.5</v>
      </c>
      <c r="J103" s="287">
        <f t="shared" si="3"/>
        <v>4816.5</v>
      </c>
      <c r="K103" s="288">
        <f t="shared" si="4"/>
        <v>4446</v>
      </c>
      <c r="L103" s="287">
        <f t="shared" si="5"/>
        <v>4260.75</v>
      </c>
      <c r="M103" s="288">
        <f t="shared" si="6"/>
        <v>4075.5</v>
      </c>
      <c r="N103" s="281"/>
      <c r="O103" s="34"/>
      <c r="P103" s="35"/>
      <c r="Q103" s="35"/>
      <c r="R103" s="35"/>
      <c r="S103" s="35"/>
      <c r="T103" s="35"/>
      <c r="U103" s="35"/>
      <c r="V103" s="35"/>
      <c r="W103" s="35"/>
      <c r="X103" s="35"/>
      <c r="Y103" s="35"/>
      <c r="Z103" s="35"/>
    </row>
    <row r="104" ht="14.25" hidden="1" customHeight="1">
      <c r="A104" s="270" t="s">
        <v>580</v>
      </c>
      <c r="B104" s="282" t="s">
        <v>2034</v>
      </c>
      <c r="C104" s="274" t="s">
        <v>2035</v>
      </c>
      <c r="D104" s="295" t="s">
        <v>2036</v>
      </c>
      <c r="E104" s="274" t="s">
        <v>2037</v>
      </c>
      <c r="F104" s="275">
        <v>4650.0</v>
      </c>
      <c r="G104" s="276">
        <v>44593.0</v>
      </c>
      <c r="H104" s="285">
        <f t="shared" si="1"/>
        <v>6975</v>
      </c>
      <c r="I104" s="286">
        <f t="shared" si="2"/>
        <v>6045</v>
      </c>
      <c r="J104" s="287">
        <f t="shared" si="3"/>
        <v>6045</v>
      </c>
      <c r="K104" s="288">
        <f t="shared" si="4"/>
        <v>5580</v>
      </c>
      <c r="L104" s="287">
        <f t="shared" si="5"/>
        <v>5347.5</v>
      </c>
      <c r="M104" s="288">
        <f t="shared" si="6"/>
        <v>5115</v>
      </c>
      <c r="N104" s="281"/>
      <c r="O104" s="34"/>
      <c r="P104" s="35"/>
      <c r="Q104" s="35"/>
      <c r="R104" s="35"/>
      <c r="S104" s="35"/>
      <c r="T104" s="35"/>
      <c r="U104" s="35"/>
      <c r="V104" s="35"/>
      <c r="W104" s="35"/>
      <c r="X104" s="35"/>
      <c r="Y104" s="35"/>
      <c r="Z104" s="35"/>
    </row>
    <row r="105" ht="14.25" hidden="1" customHeight="1">
      <c r="A105" s="270" t="s">
        <v>580</v>
      </c>
      <c r="B105" s="282" t="s">
        <v>2038</v>
      </c>
      <c r="C105" s="274" t="s">
        <v>2039</v>
      </c>
      <c r="D105" s="295" t="s">
        <v>2040</v>
      </c>
      <c r="E105" s="274" t="s">
        <v>2041</v>
      </c>
      <c r="F105" s="275">
        <v>1560.0</v>
      </c>
      <c r="G105" s="276">
        <v>44805.0</v>
      </c>
      <c r="H105" s="285"/>
      <c r="I105" s="286"/>
      <c r="J105" s="287"/>
      <c r="K105" s="288"/>
      <c r="L105" s="287"/>
      <c r="M105" s="288"/>
      <c r="N105" s="281"/>
      <c r="O105" s="34"/>
      <c r="P105" s="35"/>
      <c r="Q105" s="35"/>
      <c r="R105" s="35"/>
      <c r="S105" s="35"/>
      <c r="T105" s="35"/>
      <c r="U105" s="35"/>
      <c r="V105" s="35"/>
      <c r="W105" s="35"/>
      <c r="X105" s="35"/>
      <c r="Y105" s="35"/>
      <c r="Z105" s="35"/>
    </row>
    <row r="106" ht="14.25" hidden="1" customHeight="1">
      <c r="A106" s="270" t="s">
        <v>580</v>
      </c>
      <c r="B106" s="282" t="s">
        <v>2042</v>
      </c>
      <c r="C106" s="274" t="s">
        <v>2043</v>
      </c>
      <c r="D106" s="331" t="s">
        <v>2044</v>
      </c>
      <c r="E106" s="307" t="s">
        <v>1977</v>
      </c>
      <c r="F106" s="275">
        <v>2850.0</v>
      </c>
      <c r="G106" s="276">
        <v>44593.0</v>
      </c>
      <c r="H106" s="285">
        <f t="shared" ref="H106:H237" si="7">F106*0.5+F106</f>
        <v>4275</v>
      </c>
      <c r="I106" s="286">
        <f t="shared" ref="I106:I237" si="8">F106*0.3+F106</f>
        <v>3705</v>
      </c>
      <c r="J106" s="287">
        <f t="shared" ref="J106:J237" si="9">F106*0.3+F106</f>
        <v>3705</v>
      </c>
      <c r="K106" s="288">
        <f t="shared" ref="K106:K237" si="10">F106*0.2+F106</f>
        <v>3420</v>
      </c>
      <c r="L106" s="287">
        <f t="shared" ref="L106:L237" si="11">F106*0.15+F106</f>
        <v>3277.5</v>
      </c>
      <c r="M106" s="288">
        <f t="shared" ref="M106:M237" si="12">F106*0.1+F106</f>
        <v>3135</v>
      </c>
      <c r="N106" s="281"/>
      <c r="O106" s="34"/>
      <c r="P106" s="35"/>
      <c r="Q106" s="35"/>
      <c r="R106" s="35"/>
      <c r="S106" s="35"/>
      <c r="T106" s="35"/>
      <c r="U106" s="35"/>
      <c r="V106" s="35"/>
      <c r="W106" s="35"/>
      <c r="X106" s="35"/>
      <c r="Y106" s="35"/>
      <c r="Z106" s="35"/>
    </row>
    <row r="107" ht="14.25" hidden="1" customHeight="1">
      <c r="A107" s="270" t="s">
        <v>580</v>
      </c>
      <c r="B107" s="282" t="s">
        <v>2042</v>
      </c>
      <c r="C107" s="274" t="s">
        <v>2045</v>
      </c>
      <c r="D107" s="332" t="s">
        <v>2046</v>
      </c>
      <c r="E107" s="274" t="s">
        <v>1992</v>
      </c>
      <c r="F107" s="275">
        <v>2850.0</v>
      </c>
      <c r="G107" s="276">
        <v>44593.0</v>
      </c>
      <c r="H107" s="285">
        <f t="shared" si="7"/>
        <v>4275</v>
      </c>
      <c r="I107" s="286">
        <f t="shared" si="8"/>
        <v>3705</v>
      </c>
      <c r="J107" s="287">
        <f t="shared" si="9"/>
        <v>3705</v>
      </c>
      <c r="K107" s="288">
        <f t="shared" si="10"/>
        <v>3420</v>
      </c>
      <c r="L107" s="287">
        <f t="shared" si="11"/>
        <v>3277.5</v>
      </c>
      <c r="M107" s="288">
        <f t="shared" si="12"/>
        <v>3135</v>
      </c>
      <c r="N107" s="281"/>
      <c r="O107" s="34"/>
      <c r="P107" s="35"/>
      <c r="Q107" s="35"/>
      <c r="R107" s="35"/>
      <c r="S107" s="35"/>
      <c r="T107" s="35"/>
      <c r="U107" s="35"/>
      <c r="V107" s="35"/>
      <c r="W107" s="35"/>
      <c r="X107" s="35"/>
      <c r="Y107" s="35"/>
      <c r="Z107" s="35"/>
    </row>
    <row r="108" ht="14.25" hidden="1" customHeight="1">
      <c r="A108" s="270" t="s">
        <v>580</v>
      </c>
      <c r="B108" s="282" t="s">
        <v>2047</v>
      </c>
      <c r="C108" s="274" t="s">
        <v>2048</v>
      </c>
      <c r="D108" s="295" t="s">
        <v>1986</v>
      </c>
      <c r="E108" s="274" t="s">
        <v>1977</v>
      </c>
      <c r="F108" s="275">
        <v>3927.5</v>
      </c>
      <c r="G108" s="276">
        <v>44593.0</v>
      </c>
      <c r="H108" s="285">
        <f t="shared" si="7"/>
        <v>5891.25</v>
      </c>
      <c r="I108" s="286">
        <f t="shared" si="8"/>
        <v>5105.75</v>
      </c>
      <c r="J108" s="287">
        <f t="shared" si="9"/>
        <v>5105.75</v>
      </c>
      <c r="K108" s="288">
        <f t="shared" si="10"/>
        <v>4713</v>
      </c>
      <c r="L108" s="287">
        <f t="shared" si="11"/>
        <v>4516.625</v>
      </c>
      <c r="M108" s="288">
        <f t="shared" si="12"/>
        <v>4320.25</v>
      </c>
      <c r="N108" s="281"/>
      <c r="O108" s="34"/>
      <c r="P108" s="35"/>
      <c r="Q108" s="35"/>
      <c r="R108" s="35"/>
      <c r="S108" s="35"/>
      <c r="T108" s="35"/>
      <c r="U108" s="35"/>
      <c r="V108" s="35"/>
      <c r="W108" s="35"/>
      <c r="X108" s="35"/>
      <c r="Y108" s="35"/>
      <c r="Z108" s="35"/>
    </row>
    <row r="109" ht="14.25" hidden="1" customHeight="1">
      <c r="A109" s="270" t="s">
        <v>580</v>
      </c>
      <c r="B109" s="282" t="s">
        <v>1900</v>
      </c>
      <c r="C109" s="274" t="s">
        <v>2049</v>
      </c>
      <c r="D109" s="295" t="s">
        <v>2050</v>
      </c>
      <c r="E109" s="274" t="s">
        <v>2051</v>
      </c>
      <c r="F109" s="275">
        <v>2750.0</v>
      </c>
      <c r="G109" s="276">
        <v>44593.0</v>
      </c>
      <c r="H109" s="285">
        <f t="shared" si="7"/>
        <v>4125</v>
      </c>
      <c r="I109" s="286">
        <f t="shared" si="8"/>
        <v>3575</v>
      </c>
      <c r="J109" s="287">
        <f t="shared" si="9"/>
        <v>3575</v>
      </c>
      <c r="K109" s="288">
        <f t="shared" si="10"/>
        <v>3300</v>
      </c>
      <c r="L109" s="287">
        <f t="shared" si="11"/>
        <v>3162.5</v>
      </c>
      <c r="M109" s="288">
        <f t="shared" si="12"/>
        <v>3025</v>
      </c>
      <c r="N109" s="281"/>
      <c r="O109" s="34"/>
      <c r="P109" s="35"/>
      <c r="Q109" s="35"/>
      <c r="R109" s="35"/>
      <c r="S109" s="35"/>
      <c r="T109" s="35"/>
      <c r="U109" s="35"/>
      <c r="V109" s="35"/>
      <c r="W109" s="35"/>
      <c r="X109" s="35"/>
      <c r="Y109" s="35"/>
      <c r="Z109" s="35"/>
    </row>
    <row r="110" ht="14.25" hidden="1" customHeight="1">
      <c r="A110" s="270" t="s">
        <v>580</v>
      </c>
      <c r="B110" s="282" t="s">
        <v>1900</v>
      </c>
      <c r="C110" s="274" t="s">
        <v>2052</v>
      </c>
      <c r="D110" s="295" t="s">
        <v>2053</v>
      </c>
      <c r="E110" s="274" t="s">
        <v>2054</v>
      </c>
      <c r="F110" s="275">
        <v>4700.0</v>
      </c>
      <c r="G110" s="276">
        <v>44593.0</v>
      </c>
      <c r="H110" s="285">
        <f t="shared" si="7"/>
        <v>7050</v>
      </c>
      <c r="I110" s="286">
        <f t="shared" si="8"/>
        <v>6110</v>
      </c>
      <c r="J110" s="287">
        <f t="shared" si="9"/>
        <v>6110</v>
      </c>
      <c r="K110" s="288">
        <f t="shared" si="10"/>
        <v>5640</v>
      </c>
      <c r="L110" s="287">
        <f t="shared" si="11"/>
        <v>5405</v>
      </c>
      <c r="M110" s="288">
        <f t="shared" si="12"/>
        <v>5170</v>
      </c>
      <c r="N110" s="281"/>
      <c r="O110" s="34"/>
      <c r="P110" s="35"/>
      <c r="Q110" s="35"/>
      <c r="R110" s="35"/>
      <c r="S110" s="35"/>
      <c r="T110" s="35"/>
      <c r="U110" s="35"/>
      <c r="V110" s="35"/>
      <c r="W110" s="35"/>
      <c r="X110" s="35"/>
      <c r="Y110" s="35"/>
      <c r="Z110" s="35"/>
    </row>
    <row r="111" ht="14.25" hidden="1" customHeight="1">
      <c r="A111" s="270" t="s">
        <v>580</v>
      </c>
      <c r="B111" s="282" t="s">
        <v>2055</v>
      </c>
      <c r="C111" s="274" t="s">
        <v>2056</v>
      </c>
      <c r="D111" s="306" t="s">
        <v>2057</v>
      </c>
      <c r="E111" s="307" t="s">
        <v>2058</v>
      </c>
      <c r="F111" s="275">
        <v>2150.0</v>
      </c>
      <c r="G111" s="276">
        <v>44593.0</v>
      </c>
      <c r="H111" s="285">
        <f t="shared" si="7"/>
        <v>3225</v>
      </c>
      <c r="I111" s="286">
        <f t="shared" si="8"/>
        <v>2795</v>
      </c>
      <c r="J111" s="287">
        <f t="shared" si="9"/>
        <v>2795</v>
      </c>
      <c r="K111" s="288">
        <f t="shared" si="10"/>
        <v>2580</v>
      </c>
      <c r="L111" s="287">
        <f t="shared" si="11"/>
        <v>2472.5</v>
      </c>
      <c r="M111" s="288">
        <f t="shared" si="12"/>
        <v>2365</v>
      </c>
      <c r="N111" s="281"/>
      <c r="O111" s="34"/>
      <c r="P111" s="35"/>
      <c r="Q111" s="35"/>
      <c r="R111" s="35"/>
      <c r="S111" s="35"/>
      <c r="T111" s="35"/>
      <c r="U111" s="35"/>
      <c r="V111" s="35"/>
      <c r="W111" s="35"/>
      <c r="X111" s="35"/>
      <c r="Y111" s="35"/>
      <c r="Z111" s="35"/>
    </row>
    <row r="112" ht="14.25" hidden="1" customHeight="1">
      <c r="A112" s="270" t="s">
        <v>580</v>
      </c>
      <c r="B112" s="282" t="s">
        <v>2055</v>
      </c>
      <c r="C112" s="274" t="s">
        <v>2059</v>
      </c>
      <c r="D112" s="295" t="s">
        <v>2060</v>
      </c>
      <c r="E112" s="274" t="s">
        <v>2058</v>
      </c>
      <c r="F112" s="275">
        <v>1900.0</v>
      </c>
      <c r="G112" s="276">
        <v>44593.0</v>
      </c>
      <c r="H112" s="285">
        <f t="shared" si="7"/>
        <v>2850</v>
      </c>
      <c r="I112" s="286">
        <f t="shared" si="8"/>
        <v>2470</v>
      </c>
      <c r="J112" s="287">
        <f t="shared" si="9"/>
        <v>2470</v>
      </c>
      <c r="K112" s="288">
        <f t="shared" si="10"/>
        <v>2280</v>
      </c>
      <c r="L112" s="287">
        <f t="shared" si="11"/>
        <v>2185</v>
      </c>
      <c r="M112" s="288">
        <f t="shared" si="12"/>
        <v>2090</v>
      </c>
      <c r="N112" s="281"/>
      <c r="O112" s="34"/>
      <c r="P112" s="35"/>
      <c r="Q112" s="35"/>
      <c r="R112" s="35"/>
      <c r="S112" s="35"/>
      <c r="T112" s="35"/>
      <c r="U112" s="35"/>
      <c r="V112" s="35"/>
      <c r="W112" s="35"/>
      <c r="X112" s="35"/>
      <c r="Y112" s="35"/>
      <c r="Z112" s="35"/>
    </row>
    <row r="113" ht="14.25" hidden="1" customHeight="1">
      <c r="A113" s="270" t="s">
        <v>580</v>
      </c>
      <c r="B113" s="282" t="s">
        <v>2061</v>
      </c>
      <c r="C113" s="283" t="s">
        <v>2062</v>
      </c>
      <c r="D113" s="295" t="s">
        <v>2060</v>
      </c>
      <c r="E113" s="274" t="s">
        <v>2058</v>
      </c>
      <c r="F113" s="275">
        <v>2150.0</v>
      </c>
      <c r="G113" s="276">
        <v>44593.0</v>
      </c>
      <c r="H113" s="285">
        <f t="shared" si="7"/>
        <v>3225</v>
      </c>
      <c r="I113" s="286">
        <f t="shared" si="8"/>
        <v>2795</v>
      </c>
      <c r="J113" s="287">
        <f t="shared" si="9"/>
        <v>2795</v>
      </c>
      <c r="K113" s="288">
        <f t="shared" si="10"/>
        <v>2580</v>
      </c>
      <c r="L113" s="287">
        <f t="shared" si="11"/>
        <v>2472.5</v>
      </c>
      <c r="M113" s="288">
        <f t="shared" si="12"/>
        <v>2365</v>
      </c>
      <c r="N113" s="281"/>
      <c r="O113" s="34"/>
      <c r="P113" s="35"/>
      <c r="Q113" s="35"/>
      <c r="R113" s="35"/>
      <c r="S113" s="35"/>
      <c r="T113" s="35"/>
      <c r="U113" s="35"/>
      <c r="V113" s="35"/>
      <c r="W113" s="35"/>
      <c r="X113" s="35"/>
      <c r="Y113" s="35"/>
      <c r="Z113" s="35"/>
    </row>
    <row r="114" ht="15.0" hidden="1" customHeight="1">
      <c r="A114" s="270" t="s">
        <v>580</v>
      </c>
      <c r="B114" s="282" t="s">
        <v>1862</v>
      </c>
      <c r="C114" s="283" t="s">
        <v>2063</v>
      </c>
      <c r="D114" s="295" t="s">
        <v>2064</v>
      </c>
      <c r="E114" s="274" t="s">
        <v>2058</v>
      </c>
      <c r="F114" s="275">
        <v>3000.0</v>
      </c>
      <c r="G114" s="276">
        <v>44593.0</v>
      </c>
      <c r="H114" s="285">
        <f t="shared" si="7"/>
        <v>4500</v>
      </c>
      <c r="I114" s="286">
        <f t="shared" si="8"/>
        <v>3900</v>
      </c>
      <c r="J114" s="287">
        <f t="shared" si="9"/>
        <v>3900</v>
      </c>
      <c r="K114" s="288">
        <f t="shared" si="10"/>
        <v>3600</v>
      </c>
      <c r="L114" s="287">
        <f t="shared" si="11"/>
        <v>3450</v>
      </c>
      <c r="M114" s="288">
        <f t="shared" si="12"/>
        <v>3300</v>
      </c>
      <c r="N114" s="281"/>
      <c r="O114" s="34"/>
      <c r="P114" s="35"/>
      <c r="Q114" s="35"/>
      <c r="R114" s="35"/>
      <c r="S114" s="35"/>
      <c r="T114" s="35"/>
      <c r="U114" s="35"/>
      <c r="V114" s="35"/>
      <c r="W114" s="35"/>
      <c r="X114" s="35"/>
      <c r="Y114" s="35"/>
      <c r="Z114" s="35"/>
    </row>
    <row r="115" ht="15.0" hidden="1" customHeight="1">
      <c r="A115" s="270" t="s">
        <v>580</v>
      </c>
      <c r="B115" s="282" t="s">
        <v>2065</v>
      </c>
      <c r="C115" s="274" t="s">
        <v>2066</v>
      </c>
      <c r="D115" s="295" t="s">
        <v>2067</v>
      </c>
      <c r="E115" s="274" t="s">
        <v>1992</v>
      </c>
      <c r="F115" s="275">
        <v>2150.0</v>
      </c>
      <c r="G115" s="276">
        <v>44593.0</v>
      </c>
      <c r="H115" s="285">
        <f t="shared" si="7"/>
        <v>3225</v>
      </c>
      <c r="I115" s="286">
        <f t="shared" si="8"/>
        <v>2795</v>
      </c>
      <c r="J115" s="287">
        <f t="shared" si="9"/>
        <v>2795</v>
      </c>
      <c r="K115" s="288">
        <f t="shared" si="10"/>
        <v>2580</v>
      </c>
      <c r="L115" s="287">
        <f t="shared" si="11"/>
        <v>2472.5</v>
      </c>
      <c r="M115" s="288">
        <f t="shared" si="12"/>
        <v>2365</v>
      </c>
      <c r="N115" s="281"/>
      <c r="O115" s="34"/>
      <c r="P115" s="35"/>
      <c r="Q115" s="35"/>
      <c r="R115" s="35"/>
      <c r="S115" s="35"/>
      <c r="T115" s="35"/>
      <c r="U115" s="35"/>
      <c r="V115" s="35"/>
      <c r="W115" s="35"/>
      <c r="X115" s="35"/>
      <c r="Y115" s="35"/>
      <c r="Z115" s="35"/>
    </row>
    <row r="116" ht="15.0" hidden="1" customHeight="1">
      <c r="A116" s="270" t="s">
        <v>580</v>
      </c>
      <c r="B116" s="282" t="s">
        <v>2068</v>
      </c>
      <c r="C116" s="274" t="s">
        <v>2069</v>
      </c>
      <c r="D116" s="295" t="s">
        <v>1965</v>
      </c>
      <c r="E116" s="274" t="s">
        <v>2058</v>
      </c>
      <c r="F116" s="275">
        <v>2750.0</v>
      </c>
      <c r="G116" s="276">
        <v>44593.0</v>
      </c>
      <c r="H116" s="285">
        <f t="shared" si="7"/>
        <v>4125</v>
      </c>
      <c r="I116" s="286">
        <f t="shared" si="8"/>
        <v>3575</v>
      </c>
      <c r="J116" s="287">
        <f t="shared" si="9"/>
        <v>3575</v>
      </c>
      <c r="K116" s="288">
        <f t="shared" si="10"/>
        <v>3300</v>
      </c>
      <c r="L116" s="287">
        <f t="shared" si="11"/>
        <v>3162.5</v>
      </c>
      <c r="M116" s="288">
        <f t="shared" si="12"/>
        <v>3025</v>
      </c>
      <c r="N116" s="281"/>
      <c r="O116" s="34"/>
      <c r="P116" s="35"/>
      <c r="Q116" s="35"/>
      <c r="R116" s="35"/>
      <c r="S116" s="35"/>
      <c r="T116" s="35"/>
      <c r="U116" s="35"/>
      <c r="V116" s="35"/>
      <c r="W116" s="35"/>
      <c r="X116" s="35"/>
      <c r="Y116" s="35"/>
      <c r="Z116" s="35"/>
    </row>
    <row r="117" ht="15.0" hidden="1" customHeight="1">
      <c r="A117" s="270" t="s">
        <v>580</v>
      </c>
      <c r="B117" s="282" t="s">
        <v>2065</v>
      </c>
      <c r="C117" s="274" t="s">
        <v>2070</v>
      </c>
      <c r="D117" s="295" t="s">
        <v>2050</v>
      </c>
      <c r="E117" s="274" t="s">
        <v>2071</v>
      </c>
      <c r="F117" s="275">
        <v>5600.0</v>
      </c>
      <c r="G117" s="276">
        <v>44593.0</v>
      </c>
      <c r="H117" s="285">
        <f t="shared" si="7"/>
        <v>8400</v>
      </c>
      <c r="I117" s="286">
        <f t="shared" si="8"/>
        <v>7280</v>
      </c>
      <c r="J117" s="287">
        <f t="shared" si="9"/>
        <v>7280</v>
      </c>
      <c r="K117" s="288">
        <f t="shared" si="10"/>
        <v>6720</v>
      </c>
      <c r="L117" s="287">
        <f t="shared" si="11"/>
        <v>6440</v>
      </c>
      <c r="M117" s="288">
        <f t="shared" si="12"/>
        <v>6160</v>
      </c>
      <c r="N117" s="281"/>
      <c r="O117" s="34"/>
      <c r="P117" s="35"/>
      <c r="Q117" s="35"/>
      <c r="R117" s="35"/>
      <c r="S117" s="35"/>
      <c r="T117" s="35"/>
      <c r="U117" s="35"/>
      <c r="V117" s="35"/>
      <c r="W117" s="35"/>
      <c r="X117" s="35"/>
      <c r="Y117" s="35"/>
      <c r="Z117" s="35"/>
    </row>
    <row r="118" ht="15.0" hidden="1" customHeight="1">
      <c r="A118" s="270" t="s">
        <v>2072</v>
      </c>
      <c r="B118" s="282" t="s">
        <v>2073</v>
      </c>
      <c r="C118" s="274" t="s">
        <v>2074</v>
      </c>
      <c r="D118" s="306" t="s">
        <v>2075</v>
      </c>
      <c r="E118" s="307" t="s">
        <v>2076</v>
      </c>
      <c r="F118" s="275">
        <v>5400.0</v>
      </c>
      <c r="G118" s="276">
        <v>44593.0</v>
      </c>
      <c r="H118" s="285">
        <f t="shared" si="7"/>
        <v>8100</v>
      </c>
      <c r="I118" s="286">
        <f t="shared" si="8"/>
        <v>7020</v>
      </c>
      <c r="J118" s="287">
        <f t="shared" si="9"/>
        <v>7020</v>
      </c>
      <c r="K118" s="288">
        <f t="shared" si="10"/>
        <v>6480</v>
      </c>
      <c r="L118" s="287">
        <f t="shared" si="11"/>
        <v>6210</v>
      </c>
      <c r="M118" s="288">
        <f t="shared" si="12"/>
        <v>5940</v>
      </c>
      <c r="N118" s="281"/>
      <c r="O118" s="34"/>
      <c r="P118" s="35"/>
      <c r="Q118" s="35"/>
      <c r="R118" s="35"/>
      <c r="S118" s="35"/>
      <c r="T118" s="35"/>
      <c r="U118" s="35"/>
      <c r="V118" s="35"/>
      <c r="W118" s="35"/>
      <c r="X118" s="35"/>
      <c r="Y118" s="35"/>
      <c r="Z118" s="35"/>
    </row>
    <row r="119" ht="14.25" hidden="1" customHeight="1">
      <c r="A119" s="270" t="s">
        <v>2072</v>
      </c>
      <c r="B119" s="282" t="s">
        <v>2077</v>
      </c>
      <c r="C119" s="274" t="s">
        <v>2078</v>
      </c>
      <c r="D119" s="289" t="s">
        <v>2079</v>
      </c>
      <c r="E119" s="274" t="s">
        <v>2080</v>
      </c>
      <c r="F119" s="275">
        <v>25000.0</v>
      </c>
      <c r="G119" s="276">
        <v>44805.0</v>
      </c>
      <c r="H119" s="285">
        <f t="shared" si="7"/>
        <v>37500</v>
      </c>
      <c r="I119" s="286">
        <f t="shared" si="8"/>
        <v>32500</v>
      </c>
      <c r="J119" s="287">
        <f t="shared" si="9"/>
        <v>32500</v>
      </c>
      <c r="K119" s="288">
        <f t="shared" si="10"/>
        <v>30000</v>
      </c>
      <c r="L119" s="287">
        <f t="shared" si="11"/>
        <v>28750</v>
      </c>
      <c r="M119" s="288">
        <f t="shared" si="12"/>
        <v>27500</v>
      </c>
      <c r="N119" s="281"/>
      <c r="O119" s="34"/>
      <c r="P119" s="35"/>
      <c r="Q119" s="35"/>
      <c r="R119" s="35"/>
      <c r="S119" s="35"/>
      <c r="T119" s="35"/>
      <c r="U119" s="35"/>
      <c r="V119" s="35"/>
      <c r="W119" s="35"/>
      <c r="X119" s="35"/>
      <c r="Y119" s="35"/>
      <c r="Z119" s="35"/>
    </row>
    <row r="120" ht="14.25" hidden="1" customHeight="1">
      <c r="A120" s="270" t="s">
        <v>2072</v>
      </c>
      <c r="B120" s="282" t="s">
        <v>2077</v>
      </c>
      <c r="C120" s="274" t="s">
        <v>2081</v>
      </c>
      <c r="D120" s="295" t="s">
        <v>2082</v>
      </c>
      <c r="E120" s="274" t="s">
        <v>2083</v>
      </c>
      <c r="F120" s="275">
        <v>73700.0</v>
      </c>
      <c r="G120" s="276">
        <v>44805.0</v>
      </c>
      <c r="H120" s="285">
        <f t="shared" si="7"/>
        <v>110550</v>
      </c>
      <c r="I120" s="286">
        <f t="shared" si="8"/>
        <v>95810</v>
      </c>
      <c r="J120" s="287">
        <f t="shared" si="9"/>
        <v>95810</v>
      </c>
      <c r="K120" s="288">
        <f t="shared" si="10"/>
        <v>88440</v>
      </c>
      <c r="L120" s="287">
        <f t="shared" si="11"/>
        <v>84755</v>
      </c>
      <c r="M120" s="288">
        <f t="shared" si="12"/>
        <v>81070</v>
      </c>
      <c r="N120" s="281"/>
      <c r="O120" s="34"/>
      <c r="P120" s="35"/>
      <c r="Q120" s="35"/>
      <c r="R120" s="35"/>
      <c r="S120" s="35"/>
      <c r="T120" s="35"/>
      <c r="U120" s="35"/>
      <c r="V120" s="35"/>
      <c r="W120" s="35"/>
      <c r="X120" s="35"/>
      <c r="Y120" s="35"/>
      <c r="Z120" s="35"/>
    </row>
    <row r="121" ht="14.25" hidden="1" customHeight="1">
      <c r="A121" s="270" t="s">
        <v>2072</v>
      </c>
      <c r="B121" s="282" t="s">
        <v>2077</v>
      </c>
      <c r="C121" s="274" t="s">
        <v>2084</v>
      </c>
      <c r="D121" s="289" t="s">
        <v>2085</v>
      </c>
      <c r="E121" s="274" t="s">
        <v>2086</v>
      </c>
      <c r="F121" s="275">
        <v>11375.0</v>
      </c>
      <c r="G121" s="276">
        <v>44805.0</v>
      </c>
      <c r="H121" s="285">
        <f t="shared" si="7"/>
        <v>17062.5</v>
      </c>
      <c r="I121" s="286">
        <f t="shared" si="8"/>
        <v>14787.5</v>
      </c>
      <c r="J121" s="287">
        <f t="shared" si="9"/>
        <v>14787.5</v>
      </c>
      <c r="K121" s="288">
        <f t="shared" si="10"/>
        <v>13650</v>
      </c>
      <c r="L121" s="287">
        <f t="shared" si="11"/>
        <v>13081.25</v>
      </c>
      <c r="M121" s="288">
        <f t="shared" si="12"/>
        <v>12512.5</v>
      </c>
      <c r="N121" s="281"/>
      <c r="O121" s="34"/>
      <c r="P121" s="35"/>
      <c r="Q121" s="35"/>
      <c r="R121" s="35"/>
      <c r="S121" s="35"/>
      <c r="T121" s="35"/>
      <c r="U121" s="35"/>
      <c r="V121" s="35"/>
      <c r="W121" s="35"/>
      <c r="X121" s="35"/>
      <c r="Y121" s="35"/>
      <c r="Z121" s="35"/>
    </row>
    <row r="122" ht="14.25" hidden="1" customHeight="1">
      <c r="A122" s="270" t="s">
        <v>2072</v>
      </c>
      <c r="B122" s="282" t="s">
        <v>2077</v>
      </c>
      <c r="C122" s="274" t="s">
        <v>2087</v>
      </c>
      <c r="D122" s="295" t="s">
        <v>2088</v>
      </c>
      <c r="E122" s="274" t="s">
        <v>2086</v>
      </c>
      <c r="F122" s="275">
        <v>13260.0</v>
      </c>
      <c r="G122" s="276">
        <v>44593.0</v>
      </c>
      <c r="H122" s="285">
        <f t="shared" si="7"/>
        <v>19890</v>
      </c>
      <c r="I122" s="286">
        <f t="shared" si="8"/>
        <v>17238</v>
      </c>
      <c r="J122" s="287">
        <f t="shared" si="9"/>
        <v>17238</v>
      </c>
      <c r="K122" s="288">
        <f t="shared" si="10"/>
        <v>15912</v>
      </c>
      <c r="L122" s="287">
        <f t="shared" si="11"/>
        <v>15249</v>
      </c>
      <c r="M122" s="288">
        <f t="shared" si="12"/>
        <v>14586</v>
      </c>
      <c r="N122" s="281"/>
      <c r="O122" s="34"/>
      <c r="P122" s="35"/>
      <c r="Q122" s="35"/>
      <c r="R122" s="35"/>
      <c r="S122" s="35"/>
      <c r="T122" s="35"/>
      <c r="U122" s="35"/>
      <c r="V122" s="35"/>
      <c r="W122" s="35"/>
      <c r="X122" s="35"/>
      <c r="Y122" s="35"/>
      <c r="Z122" s="35"/>
    </row>
    <row r="123" ht="14.25" hidden="1" customHeight="1">
      <c r="A123" s="270" t="s">
        <v>2072</v>
      </c>
      <c r="B123" s="282" t="s">
        <v>2077</v>
      </c>
      <c r="C123" s="274" t="s">
        <v>2089</v>
      </c>
      <c r="D123" s="295" t="s">
        <v>2090</v>
      </c>
      <c r="E123" s="274" t="s">
        <v>2091</v>
      </c>
      <c r="F123" s="275">
        <v>15847.0</v>
      </c>
      <c r="G123" s="276">
        <v>44593.0</v>
      </c>
      <c r="H123" s="285">
        <f t="shared" si="7"/>
        <v>23770.5</v>
      </c>
      <c r="I123" s="286">
        <f t="shared" si="8"/>
        <v>20601.1</v>
      </c>
      <c r="J123" s="287">
        <f t="shared" si="9"/>
        <v>20601.1</v>
      </c>
      <c r="K123" s="288">
        <f t="shared" si="10"/>
        <v>19016.4</v>
      </c>
      <c r="L123" s="287">
        <f t="shared" si="11"/>
        <v>18224.05</v>
      </c>
      <c r="M123" s="288">
        <f t="shared" si="12"/>
        <v>17431.7</v>
      </c>
      <c r="N123" s="281"/>
      <c r="O123" s="34"/>
      <c r="Q123" s="76"/>
      <c r="R123" s="76"/>
      <c r="S123" s="76"/>
      <c r="T123" s="76"/>
      <c r="U123" s="76"/>
      <c r="V123" s="76"/>
      <c r="W123" s="76"/>
      <c r="X123" s="76"/>
      <c r="Y123" s="76"/>
      <c r="Z123" s="76"/>
    </row>
    <row r="124" ht="14.25" hidden="1" customHeight="1">
      <c r="A124" s="270" t="s">
        <v>2072</v>
      </c>
      <c r="B124" s="282" t="s">
        <v>2092</v>
      </c>
      <c r="C124" s="274" t="s">
        <v>2093</v>
      </c>
      <c r="D124" s="295" t="s">
        <v>2094</v>
      </c>
      <c r="E124" s="274" t="s">
        <v>2095</v>
      </c>
      <c r="F124" s="275">
        <v>21100.0</v>
      </c>
      <c r="G124" s="276">
        <v>44805.0</v>
      </c>
      <c r="H124" s="285">
        <f t="shared" si="7"/>
        <v>31650</v>
      </c>
      <c r="I124" s="286">
        <f t="shared" si="8"/>
        <v>27430</v>
      </c>
      <c r="J124" s="287">
        <f t="shared" si="9"/>
        <v>27430</v>
      </c>
      <c r="K124" s="288">
        <f t="shared" si="10"/>
        <v>25320</v>
      </c>
      <c r="L124" s="287">
        <f t="shared" si="11"/>
        <v>24265</v>
      </c>
      <c r="M124" s="288">
        <f t="shared" si="12"/>
        <v>23210</v>
      </c>
      <c r="N124" s="281"/>
      <c r="O124" s="34"/>
      <c r="P124" s="35"/>
      <c r="Q124" s="35"/>
      <c r="R124" s="35"/>
      <c r="S124" s="35"/>
      <c r="T124" s="35"/>
      <c r="U124" s="35"/>
      <c r="V124" s="35"/>
      <c r="W124" s="35"/>
      <c r="X124" s="35"/>
      <c r="Y124" s="35"/>
      <c r="Z124" s="35"/>
    </row>
    <row r="125" ht="14.25" hidden="1" customHeight="1">
      <c r="A125" s="270" t="s">
        <v>2072</v>
      </c>
      <c r="B125" s="282" t="s">
        <v>2096</v>
      </c>
      <c r="C125" s="283" t="s">
        <v>2097</v>
      </c>
      <c r="D125" s="295" t="s">
        <v>2098</v>
      </c>
      <c r="E125" s="274" t="s">
        <v>2099</v>
      </c>
      <c r="F125" s="275">
        <v>46800.0</v>
      </c>
      <c r="G125" s="276">
        <v>44805.0</v>
      </c>
      <c r="H125" s="285">
        <f t="shared" si="7"/>
        <v>70200</v>
      </c>
      <c r="I125" s="286">
        <f t="shared" si="8"/>
        <v>60840</v>
      </c>
      <c r="J125" s="287">
        <f t="shared" si="9"/>
        <v>60840</v>
      </c>
      <c r="K125" s="288">
        <f t="shared" si="10"/>
        <v>56160</v>
      </c>
      <c r="L125" s="287">
        <f t="shared" si="11"/>
        <v>53820</v>
      </c>
      <c r="M125" s="288">
        <f t="shared" si="12"/>
        <v>51480</v>
      </c>
      <c r="N125" s="281"/>
      <c r="O125" s="34"/>
      <c r="Q125" s="76"/>
      <c r="R125" s="76"/>
      <c r="S125" s="76"/>
      <c r="T125" s="76"/>
      <c r="U125" s="76"/>
      <c r="V125" s="76"/>
      <c r="W125" s="76"/>
      <c r="X125" s="76"/>
      <c r="Y125" s="76"/>
      <c r="Z125" s="76"/>
    </row>
    <row r="126" ht="14.25" hidden="1" customHeight="1">
      <c r="A126" s="270" t="s">
        <v>2072</v>
      </c>
      <c r="B126" s="282" t="s">
        <v>2100</v>
      </c>
      <c r="C126" s="283" t="s">
        <v>2101</v>
      </c>
      <c r="D126" s="289" t="s">
        <v>2102</v>
      </c>
      <c r="E126" s="274" t="s">
        <v>2103</v>
      </c>
      <c r="F126" s="275">
        <v>12740.0</v>
      </c>
      <c r="G126" s="276">
        <v>44593.0</v>
      </c>
      <c r="H126" s="285">
        <f t="shared" si="7"/>
        <v>19110</v>
      </c>
      <c r="I126" s="286">
        <f t="shared" si="8"/>
        <v>16562</v>
      </c>
      <c r="J126" s="287">
        <f t="shared" si="9"/>
        <v>16562</v>
      </c>
      <c r="K126" s="288">
        <f t="shared" si="10"/>
        <v>15288</v>
      </c>
      <c r="L126" s="287">
        <f t="shared" si="11"/>
        <v>14651</v>
      </c>
      <c r="M126" s="288">
        <f t="shared" si="12"/>
        <v>14014</v>
      </c>
      <c r="N126" s="281"/>
      <c r="O126" s="34"/>
      <c r="P126" s="35"/>
      <c r="Q126" s="35"/>
      <c r="R126" s="35"/>
      <c r="S126" s="35"/>
      <c r="T126" s="35"/>
      <c r="U126" s="35"/>
      <c r="V126" s="35"/>
      <c r="W126" s="35"/>
      <c r="X126" s="35"/>
      <c r="Y126" s="35"/>
      <c r="Z126" s="35"/>
    </row>
    <row r="127" ht="14.25" hidden="1" customHeight="1">
      <c r="A127" s="270" t="s">
        <v>2072</v>
      </c>
      <c r="B127" s="282" t="s">
        <v>2096</v>
      </c>
      <c r="C127" s="283" t="s">
        <v>2104</v>
      </c>
      <c r="D127" s="295" t="s">
        <v>2105</v>
      </c>
      <c r="E127" s="274" t="s">
        <v>2106</v>
      </c>
      <c r="F127" s="275">
        <v>6240.0</v>
      </c>
      <c r="G127" s="276">
        <v>44593.0</v>
      </c>
      <c r="H127" s="285">
        <f t="shared" si="7"/>
        <v>9360</v>
      </c>
      <c r="I127" s="286">
        <f t="shared" si="8"/>
        <v>8112</v>
      </c>
      <c r="J127" s="287">
        <f t="shared" si="9"/>
        <v>8112</v>
      </c>
      <c r="K127" s="288">
        <f t="shared" si="10"/>
        <v>7488</v>
      </c>
      <c r="L127" s="287">
        <f t="shared" si="11"/>
        <v>7176</v>
      </c>
      <c r="M127" s="288">
        <f t="shared" si="12"/>
        <v>6864</v>
      </c>
      <c r="N127" s="281"/>
      <c r="O127" s="34"/>
      <c r="P127" s="35"/>
      <c r="Q127" s="35"/>
      <c r="R127" s="35"/>
      <c r="S127" s="35"/>
      <c r="T127" s="35"/>
      <c r="U127" s="35"/>
      <c r="V127" s="35"/>
      <c r="W127" s="35"/>
      <c r="X127" s="35"/>
      <c r="Y127" s="35"/>
      <c r="Z127" s="35"/>
    </row>
    <row r="128" ht="14.25" hidden="1" customHeight="1">
      <c r="A128" s="270" t="s">
        <v>1664</v>
      </c>
      <c r="B128" s="271"/>
      <c r="C128" s="318" t="s">
        <v>2107</v>
      </c>
      <c r="D128" s="294" t="s">
        <v>2108</v>
      </c>
      <c r="E128" s="307"/>
      <c r="F128" s="275">
        <v>1450.0</v>
      </c>
      <c r="G128" s="276">
        <v>44593.0</v>
      </c>
      <c r="H128" s="285">
        <f t="shared" si="7"/>
        <v>2175</v>
      </c>
      <c r="I128" s="286">
        <f t="shared" si="8"/>
        <v>1885</v>
      </c>
      <c r="J128" s="287">
        <f t="shared" si="9"/>
        <v>1885</v>
      </c>
      <c r="K128" s="288">
        <f t="shared" si="10"/>
        <v>1740</v>
      </c>
      <c r="L128" s="287">
        <f t="shared" si="11"/>
        <v>1667.5</v>
      </c>
      <c r="M128" s="288">
        <f t="shared" si="12"/>
        <v>1595</v>
      </c>
      <c r="N128" s="281"/>
      <c r="O128" s="34"/>
      <c r="P128" s="35"/>
      <c r="Q128" s="35"/>
      <c r="R128" s="35"/>
      <c r="S128" s="35"/>
      <c r="T128" s="35"/>
      <c r="U128" s="35"/>
      <c r="V128" s="35"/>
      <c r="W128" s="35"/>
      <c r="X128" s="35"/>
      <c r="Y128" s="35"/>
      <c r="Z128" s="35"/>
    </row>
    <row r="129" ht="14.25" hidden="1" customHeight="1">
      <c r="A129" s="270" t="s">
        <v>1664</v>
      </c>
      <c r="B129" s="282"/>
      <c r="C129" s="322" t="s">
        <v>2109</v>
      </c>
      <c r="D129" s="289" t="s">
        <v>2110</v>
      </c>
      <c r="E129" s="274"/>
      <c r="F129" s="275">
        <v>1700.0</v>
      </c>
      <c r="G129" s="276">
        <v>44593.0</v>
      </c>
      <c r="H129" s="285">
        <f t="shared" si="7"/>
        <v>2550</v>
      </c>
      <c r="I129" s="286">
        <f t="shared" si="8"/>
        <v>2210</v>
      </c>
      <c r="J129" s="287">
        <f t="shared" si="9"/>
        <v>2210</v>
      </c>
      <c r="K129" s="288">
        <f t="shared" si="10"/>
        <v>2040</v>
      </c>
      <c r="L129" s="287">
        <f t="shared" si="11"/>
        <v>1955</v>
      </c>
      <c r="M129" s="288">
        <f t="shared" si="12"/>
        <v>1870</v>
      </c>
      <c r="N129" s="281"/>
      <c r="O129" s="34"/>
      <c r="P129" s="35"/>
      <c r="Q129" s="35"/>
      <c r="R129" s="35"/>
      <c r="S129" s="35"/>
      <c r="T129" s="35"/>
      <c r="U129" s="35"/>
      <c r="V129" s="35"/>
      <c r="W129" s="35"/>
      <c r="X129" s="35"/>
      <c r="Y129" s="35"/>
      <c r="Z129" s="35"/>
    </row>
    <row r="130" ht="14.25" hidden="1" customHeight="1">
      <c r="A130" s="270" t="s">
        <v>1664</v>
      </c>
      <c r="B130" s="282"/>
      <c r="C130" s="322" t="s">
        <v>2111</v>
      </c>
      <c r="D130" s="289" t="s">
        <v>2112</v>
      </c>
      <c r="E130" s="274"/>
      <c r="F130" s="275">
        <v>1310.0</v>
      </c>
      <c r="G130" s="276">
        <v>44593.0</v>
      </c>
      <c r="H130" s="285">
        <f t="shared" si="7"/>
        <v>1965</v>
      </c>
      <c r="I130" s="286">
        <f t="shared" si="8"/>
        <v>1703</v>
      </c>
      <c r="J130" s="287">
        <f t="shared" si="9"/>
        <v>1703</v>
      </c>
      <c r="K130" s="288">
        <f t="shared" si="10"/>
        <v>1572</v>
      </c>
      <c r="L130" s="287">
        <f t="shared" si="11"/>
        <v>1506.5</v>
      </c>
      <c r="M130" s="288">
        <f t="shared" si="12"/>
        <v>1441</v>
      </c>
      <c r="N130" s="281"/>
      <c r="O130" s="34"/>
      <c r="P130" s="35"/>
      <c r="Q130" s="35"/>
      <c r="R130" s="35"/>
      <c r="S130" s="35"/>
      <c r="T130" s="35"/>
      <c r="U130" s="35"/>
      <c r="V130" s="35"/>
      <c r="W130" s="35"/>
      <c r="X130" s="35"/>
      <c r="Y130" s="35"/>
      <c r="Z130" s="35"/>
    </row>
    <row r="131" ht="14.25" hidden="1" customHeight="1">
      <c r="A131" s="270" t="s">
        <v>1664</v>
      </c>
      <c r="B131" s="282"/>
      <c r="C131" s="270" t="s">
        <v>2113</v>
      </c>
      <c r="D131" s="325" t="s">
        <v>2114</v>
      </c>
      <c r="E131" s="333"/>
      <c r="F131" s="275">
        <v>1990.0</v>
      </c>
      <c r="G131" s="276">
        <v>44593.0</v>
      </c>
      <c r="H131" s="285">
        <f t="shared" si="7"/>
        <v>2985</v>
      </c>
      <c r="I131" s="286">
        <f t="shared" si="8"/>
        <v>2587</v>
      </c>
      <c r="J131" s="287">
        <f t="shared" si="9"/>
        <v>2587</v>
      </c>
      <c r="K131" s="288">
        <f t="shared" si="10"/>
        <v>2388</v>
      </c>
      <c r="L131" s="287">
        <f t="shared" si="11"/>
        <v>2288.5</v>
      </c>
      <c r="M131" s="288">
        <f t="shared" si="12"/>
        <v>2189</v>
      </c>
      <c r="N131" s="281"/>
      <c r="O131" s="34"/>
      <c r="P131" s="35"/>
      <c r="Q131" s="35"/>
      <c r="R131" s="35"/>
      <c r="S131" s="35"/>
      <c r="T131" s="35"/>
      <c r="U131" s="35"/>
      <c r="V131" s="35"/>
      <c r="W131" s="35"/>
      <c r="X131" s="35"/>
      <c r="Y131" s="35"/>
      <c r="Z131" s="35"/>
    </row>
    <row r="132" ht="14.25" hidden="1" customHeight="1">
      <c r="A132" s="270" t="s">
        <v>1664</v>
      </c>
      <c r="B132" s="282"/>
      <c r="C132" s="270" t="s">
        <v>2115</v>
      </c>
      <c r="D132" s="295" t="s">
        <v>2116</v>
      </c>
      <c r="E132" s="333"/>
      <c r="F132" s="275">
        <v>7200.0</v>
      </c>
      <c r="G132" s="276">
        <v>44593.0</v>
      </c>
      <c r="H132" s="285">
        <f t="shared" si="7"/>
        <v>10800</v>
      </c>
      <c r="I132" s="286">
        <f t="shared" si="8"/>
        <v>9360</v>
      </c>
      <c r="J132" s="287">
        <f t="shared" si="9"/>
        <v>9360</v>
      </c>
      <c r="K132" s="288">
        <f t="shared" si="10"/>
        <v>8640</v>
      </c>
      <c r="L132" s="287">
        <f t="shared" si="11"/>
        <v>8280</v>
      </c>
      <c r="M132" s="288">
        <f t="shared" si="12"/>
        <v>7920</v>
      </c>
      <c r="N132" s="281"/>
      <c r="O132" s="34"/>
      <c r="P132" s="35"/>
      <c r="Q132" s="35"/>
      <c r="R132" s="35"/>
      <c r="S132" s="35"/>
      <c r="T132" s="35"/>
      <c r="U132" s="35"/>
      <c r="V132" s="35"/>
      <c r="W132" s="35"/>
      <c r="X132" s="35"/>
      <c r="Y132" s="35"/>
      <c r="Z132" s="35"/>
    </row>
    <row r="133" ht="14.25" hidden="1" customHeight="1">
      <c r="A133" s="270" t="s">
        <v>1664</v>
      </c>
      <c r="B133" s="282"/>
      <c r="C133" s="270" t="s">
        <v>2117</v>
      </c>
      <c r="D133" s="295" t="s">
        <v>2118</v>
      </c>
      <c r="E133" s="333"/>
      <c r="F133" s="275">
        <v>7550.0</v>
      </c>
      <c r="G133" s="276">
        <v>44593.0</v>
      </c>
      <c r="H133" s="285">
        <f t="shared" si="7"/>
        <v>11325</v>
      </c>
      <c r="I133" s="286">
        <f t="shared" si="8"/>
        <v>9815</v>
      </c>
      <c r="J133" s="287">
        <f t="shared" si="9"/>
        <v>9815</v>
      </c>
      <c r="K133" s="288">
        <f t="shared" si="10"/>
        <v>9060</v>
      </c>
      <c r="L133" s="287">
        <f t="shared" si="11"/>
        <v>8682.5</v>
      </c>
      <c r="M133" s="288">
        <f t="shared" si="12"/>
        <v>8305</v>
      </c>
      <c r="N133" s="281"/>
      <c r="O133" s="34"/>
      <c r="P133" s="35"/>
      <c r="Q133" s="35"/>
      <c r="R133" s="35"/>
      <c r="S133" s="35"/>
      <c r="T133" s="35"/>
      <c r="U133" s="35"/>
      <c r="V133" s="35"/>
      <c r="W133" s="35"/>
      <c r="X133" s="35"/>
      <c r="Y133" s="35"/>
      <c r="Z133" s="35"/>
    </row>
    <row r="134" ht="14.25" hidden="1" customHeight="1">
      <c r="A134" s="270" t="s">
        <v>1664</v>
      </c>
      <c r="B134" s="282"/>
      <c r="C134" s="270" t="s">
        <v>2119</v>
      </c>
      <c r="D134" s="295" t="s">
        <v>2120</v>
      </c>
      <c r="E134" s="333"/>
      <c r="F134" s="275">
        <v>9260.0</v>
      </c>
      <c r="G134" s="276">
        <v>44593.0</v>
      </c>
      <c r="H134" s="285">
        <f t="shared" si="7"/>
        <v>13890</v>
      </c>
      <c r="I134" s="286">
        <f t="shared" si="8"/>
        <v>12038</v>
      </c>
      <c r="J134" s="287">
        <f t="shared" si="9"/>
        <v>12038</v>
      </c>
      <c r="K134" s="288">
        <f t="shared" si="10"/>
        <v>11112</v>
      </c>
      <c r="L134" s="287">
        <f t="shared" si="11"/>
        <v>10649</v>
      </c>
      <c r="M134" s="288">
        <f t="shared" si="12"/>
        <v>10186</v>
      </c>
      <c r="N134" s="281"/>
      <c r="O134" s="34"/>
      <c r="P134" s="35"/>
      <c r="Q134" s="35"/>
      <c r="R134" s="35"/>
      <c r="S134" s="35"/>
      <c r="T134" s="35"/>
      <c r="U134" s="35"/>
      <c r="V134" s="35"/>
      <c r="W134" s="35"/>
      <c r="X134" s="35"/>
      <c r="Y134" s="35"/>
      <c r="Z134" s="35"/>
    </row>
    <row r="135" ht="14.25" hidden="1" customHeight="1">
      <c r="A135" s="270" t="s">
        <v>1664</v>
      </c>
      <c r="B135" s="282"/>
      <c r="C135" s="270" t="s">
        <v>2121</v>
      </c>
      <c r="D135" s="295" t="s">
        <v>2122</v>
      </c>
      <c r="E135" s="333"/>
      <c r="F135" s="275">
        <v>24101.0</v>
      </c>
      <c r="G135" s="276">
        <v>44593.0</v>
      </c>
      <c r="H135" s="285">
        <f t="shared" si="7"/>
        <v>36151.5</v>
      </c>
      <c r="I135" s="286">
        <f t="shared" si="8"/>
        <v>31331.3</v>
      </c>
      <c r="J135" s="287">
        <f t="shared" si="9"/>
        <v>31331.3</v>
      </c>
      <c r="K135" s="288">
        <f t="shared" si="10"/>
        <v>28921.2</v>
      </c>
      <c r="L135" s="287">
        <f t="shared" si="11"/>
        <v>27716.15</v>
      </c>
      <c r="M135" s="288">
        <f t="shared" si="12"/>
        <v>26511.1</v>
      </c>
      <c r="N135" s="281"/>
      <c r="O135" s="34"/>
      <c r="P135" s="35"/>
      <c r="Q135" s="35"/>
      <c r="R135" s="35"/>
      <c r="S135" s="35"/>
      <c r="T135" s="35"/>
      <c r="U135" s="35"/>
      <c r="V135" s="35"/>
      <c r="W135" s="35"/>
      <c r="X135" s="35"/>
      <c r="Y135" s="35"/>
      <c r="Z135" s="35"/>
    </row>
    <row r="136" ht="14.25" hidden="1" customHeight="1">
      <c r="A136" s="270" t="s">
        <v>1664</v>
      </c>
      <c r="B136" s="282"/>
      <c r="C136" s="270" t="s">
        <v>2123</v>
      </c>
      <c r="D136" s="295" t="s">
        <v>2124</v>
      </c>
      <c r="E136" s="333"/>
      <c r="F136" s="275">
        <v>1250.0</v>
      </c>
      <c r="G136" s="276">
        <v>44593.0</v>
      </c>
      <c r="H136" s="285">
        <f t="shared" si="7"/>
        <v>1875</v>
      </c>
      <c r="I136" s="286">
        <f t="shared" si="8"/>
        <v>1625</v>
      </c>
      <c r="J136" s="287">
        <f t="shared" si="9"/>
        <v>1625</v>
      </c>
      <c r="K136" s="288">
        <f t="shared" si="10"/>
        <v>1500</v>
      </c>
      <c r="L136" s="287">
        <f t="shared" si="11"/>
        <v>1437.5</v>
      </c>
      <c r="M136" s="288">
        <f t="shared" si="12"/>
        <v>1375</v>
      </c>
      <c r="N136" s="281"/>
      <c r="O136" s="34"/>
      <c r="P136" s="35"/>
      <c r="Q136" s="35"/>
      <c r="R136" s="35"/>
      <c r="S136" s="35"/>
      <c r="T136" s="35"/>
      <c r="U136" s="35"/>
      <c r="V136" s="35"/>
      <c r="W136" s="35"/>
      <c r="X136" s="35"/>
      <c r="Y136" s="35"/>
      <c r="Z136" s="35"/>
    </row>
    <row r="137" ht="14.25" hidden="1" customHeight="1">
      <c r="A137" s="270" t="s">
        <v>1664</v>
      </c>
      <c r="B137" s="282"/>
      <c r="C137" s="322" t="s">
        <v>2125</v>
      </c>
      <c r="D137" s="289" t="s">
        <v>2126</v>
      </c>
      <c r="E137" s="274"/>
      <c r="F137" s="275">
        <v>2275.0</v>
      </c>
      <c r="G137" s="276">
        <v>44593.0</v>
      </c>
      <c r="H137" s="285">
        <f t="shared" si="7"/>
        <v>3412.5</v>
      </c>
      <c r="I137" s="286">
        <f t="shared" si="8"/>
        <v>2957.5</v>
      </c>
      <c r="J137" s="287">
        <f t="shared" si="9"/>
        <v>2957.5</v>
      </c>
      <c r="K137" s="288">
        <f t="shared" si="10"/>
        <v>2730</v>
      </c>
      <c r="L137" s="287">
        <f t="shared" si="11"/>
        <v>2616.25</v>
      </c>
      <c r="M137" s="288">
        <f t="shared" si="12"/>
        <v>2502.5</v>
      </c>
      <c r="N137" s="281"/>
      <c r="O137" s="34"/>
      <c r="P137" s="35"/>
      <c r="Q137" s="35"/>
      <c r="R137" s="35"/>
      <c r="S137" s="35"/>
      <c r="T137" s="35"/>
      <c r="U137" s="35"/>
      <c r="V137" s="35"/>
      <c r="W137" s="35"/>
      <c r="X137" s="35"/>
      <c r="Y137" s="35"/>
      <c r="Z137" s="35"/>
    </row>
    <row r="138" ht="14.25" hidden="1" customHeight="1">
      <c r="A138" s="270" t="s">
        <v>1664</v>
      </c>
      <c r="B138" s="282"/>
      <c r="C138" s="270" t="s">
        <v>2127</v>
      </c>
      <c r="D138" s="295" t="s">
        <v>2128</v>
      </c>
      <c r="E138" s="274"/>
      <c r="F138" s="275">
        <v>10290.0</v>
      </c>
      <c r="G138" s="276">
        <v>44593.0</v>
      </c>
      <c r="H138" s="285">
        <f t="shared" si="7"/>
        <v>15435</v>
      </c>
      <c r="I138" s="286">
        <f t="shared" si="8"/>
        <v>13377</v>
      </c>
      <c r="J138" s="287">
        <f t="shared" si="9"/>
        <v>13377</v>
      </c>
      <c r="K138" s="288">
        <f t="shared" si="10"/>
        <v>12348</v>
      </c>
      <c r="L138" s="287">
        <f t="shared" si="11"/>
        <v>11833.5</v>
      </c>
      <c r="M138" s="288">
        <f t="shared" si="12"/>
        <v>11319</v>
      </c>
      <c r="N138" s="281"/>
      <c r="O138" s="34"/>
      <c r="P138" s="35"/>
      <c r="Q138" s="35"/>
      <c r="R138" s="35"/>
      <c r="S138" s="35"/>
      <c r="T138" s="35"/>
      <c r="U138" s="35"/>
      <c r="V138" s="35"/>
      <c r="W138" s="35"/>
      <c r="X138" s="35"/>
      <c r="Y138" s="35"/>
      <c r="Z138" s="35"/>
    </row>
    <row r="139" ht="14.25" hidden="1" customHeight="1">
      <c r="A139" s="270" t="s">
        <v>1664</v>
      </c>
      <c r="B139" s="282"/>
      <c r="C139" s="270" t="s">
        <v>2129</v>
      </c>
      <c r="D139" s="295" t="s">
        <v>2130</v>
      </c>
      <c r="E139" s="274"/>
      <c r="F139" s="275">
        <v>12350.0</v>
      </c>
      <c r="G139" s="276">
        <v>44593.0</v>
      </c>
      <c r="H139" s="285">
        <f t="shared" si="7"/>
        <v>18525</v>
      </c>
      <c r="I139" s="286">
        <f t="shared" si="8"/>
        <v>16055</v>
      </c>
      <c r="J139" s="287">
        <f t="shared" si="9"/>
        <v>16055</v>
      </c>
      <c r="K139" s="288">
        <f t="shared" si="10"/>
        <v>14820</v>
      </c>
      <c r="L139" s="287">
        <f t="shared" si="11"/>
        <v>14202.5</v>
      </c>
      <c r="M139" s="288">
        <f t="shared" si="12"/>
        <v>13585</v>
      </c>
      <c r="N139" s="281"/>
      <c r="O139" s="34"/>
      <c r="P139" s="35"/>
      <c r="Q139" s="35"/>
      <c r="R139" s="35"/>
      <c r="S139" s="35"/>
      <c r="T139" s="35"/>
      <c r="U139" s="35"/>
      <c r="V139" s="35"/>
      <c r="W139" s="35"/>
      <c r="X139" s="35"/>
      <c r="Y139" s="35"/>
      <c r="Z139" s="35"/>
    </row>
    <row r="140" ht="14.25" hidden="1" customHeight="1">
      <c r="A140" s="270" t="s">
        <v>1664</v>
      </c>
      <c r="B140" s="282"/>
      <c r="C140" s="322" t="s">
        <v>2131</v>
      </c>
      <c r="D140" s="295" t="s">
        <v>2132</v>
      </c>
      <c r="E140" s="274"/>
      <c r="F140" s="275">
        <v>4050.0</v>
      </c>
      <c r="G140" s="276">
        <v>44593.0</v>
      </c>
      <c r="H140" s="285">
        <f t="shared" si="7"/>
        <v>6075</v>
      </c>
      <c r="I140" s="286">
        <f t="shared" si="8"/>
        <v>5265</v>
      </c>
      <c r="J140" s="287">
        <f t="shared" si="9"/>
        <v>5265</v>
      </c>
      <c r="K140" s="288">
        <f t="shared" si="10"/>
        <v>4860</v>
      </c>
      <c r="L140" s="287">
        <f t="shared" si="11"/>
        <v>4657.5</v>
      </c>
      <c r="M140" s="288">
        <f t="shared" si="12"/>
        <v>4455</v>
      </c>
      <c r="N140" s="281"/>
      <c r="O140" s="78"/>
      <c r="P140" s="76"/>
      <c r="Q140" s="76"/>
      <c r="R140" s="76"/>
      <c r="S140" s="76"/>
      <c r="T140" s="76"/>
      <c r="U140" s="76"/>
      <c r="V140" s="76"/>
      <c r="W140" s="76"/>
      <c r="X140" s="76"/>
      <c r="Y140" s="76"/>
      <c r="Z140" s="76"/>
    </row>
    <row r="141" ht="14.25" hidden="1" customHeight="1">
      <c r="A141" s="270" t="s">
        <v>1664</v>
      </c>
      <c r="B141" s="282"/>
      <c r="C141" s="322" t="s">
        <v>2133</v>
      </c>
      <c r="D141" s="295" t="s">
        <v>2126</v>
      </c>
      <c r="E141" s="274"/>
      <c r="F141" s="275">
        <v>1000.0</v>
      </c>
      <c r="G141" s="276">
        <v>44593.0</v>
      </c>
      <c r="H141" s="285">
        <f t="shared" si="7"/>
        <v>1500</v>
      </c>
      <c r="I141" s="286">
        <f t="shared" si="8"/>
        <v>1300</v>
      </c>
      <c r="J141" s="287">
        <f t="shared" si="9"/>
        <v>1300</v>
      </c>
      <c r="K141" s="288">
        <f t="shared" si="10"/>
        <v>1200</v>
      </c>
      <c r="L141" s="287">
        <f t="shared" si="11"/>
        <v>1150</v>
      </c>
      <c r="M141" s="288">
        <f t="shared" si="12"/>
        <v>1100</v>
      </c>
      <c r="N141" s="281"/>
      <c r="O141" s="78"/>
      <c r="P141" s="35"/>
      <c r="Q141" s="35"/>
      <c r="R141" s="35"/>
      <c r="S141" s="35"/>
      <c r="T141" s="35"/>
      <c r="U141" s="35"/>
      <c r="V141" s="35"/>
      <c r="W141" s="35"/>
      <c r="X141" s="35"/>
      <c r="Y141" s="35"/>
      <c r="Z141" s="35"/>
    </row>
    <row r="142" ht="14.25" hidden="1" customHeight="1">
      <c r="A142" s="270" t="s">
        <v>2134</v>
      </c>
      <c r="B142" s="282" t="s">
        <v>1819</v>
      </c>
      <c r="C142" s="318" t="s">
        <v>2135</v>
      </c>
      <c r="D142" s="334" t="s">
        <v>2136</v>
      </c>
      <c r="E142" s="335" t="s">
        <v>2137</v>
      </c>
      <c r="F142" s="275">
        <v>1200.0</v>
      </c>
      <c r="G142" s="276">
        <v>44593.0</v>
      </c>
      <c r="H142" s="285">
        <f t="shared" si="7"/>
        <v>1800</v>
      </c>
      <c r="I142" s="286">
        <f t="shared" si="8"/>
        <v>1560</v>
      </c>
      <c r="J142" s="287">
        <f t="shared" si="9"/>
        <v>1560</v>
      </c>
      <c r="K142" s="288">
        <f t="shared" si="10"/>
        <v>1440</v>
      </c>
      <c r="L142" s="287">
        <f t="shared" si="11"/>
        <v>1380</v>
      </c>
      <c r="M142" s="288">
        <f t="shared" si="12"/>
        <v>1320</v>
      </c>
      <c r="N142" s="281"/>
      <c r="O142" s="78"/>
      <c r="P142" s="35"/>
      <c r="Q142" s="35"/>
      <c r="R142" s="35"/>
      <c r="S142" s="35"/>
      <c r="T142" s="35"/>
      <c r="U142" s="35"/>
      <c r="V142" s="35"/>
      <c r="W142" s="35"/>
      <c r="X142" s="35"/>
      <c r="Y142" s="35"/>
      <c r="Z142" s="35"/>
    </row>
    <row r="143" ht="14.25" hidden="1" customHeight="1">
      <c r="A143" s="270" t="s">
        <v>2134</v>
      </c>
      <c r="B143" s="271" t="s">
        <v>1819</v>
      </c>
      <c r="C143" s="322" t="s">
        <v>2138</v>
      </c>
      <c r="D143" s="336" t="s">
        <v>2139</v>
      </c>
      <c r="E143" s="307" t="s">
        <v>2140</v>
      </c>
      <c r="F143" s="275">
        <v>1220.0</v>
      </c>
      <c r="G143" s="276">
        <v>44593.0</v>
      </c>
      <c r="H143" s="285">
        <f t="shared" si="7"/>
        <v>1830</v>
      </c>
      <c r="I143" s="286">
        <f t="shared" si="8"/>
        <v>1586</v>
      </c>
      <c r="J143" s="287">
        <f t="shared" si="9"/>
        <v>1586</v>
      </c>
      <c r="K143" s="288">
        <f t="shared" si="10"/>
        <v>1464</v>
      </c>
      <c r="L143" s="287">
        <f t="shared" si="11"/>
        <v>1403</v>
      </c>
      <c r="M143" s="288">
        <f t="shared" si="12"/>
        <v>1342</v>
      </c>
      <c r="N143" s="281"/>
      <c r="O143" s="34"/>
      <c r="P143" s="35"/>
      <c r="Q143" s="35"/>
      <c r="R143" s="35"/>
      <c r="S143" s="35"/>
      <c r="T143" s="35"/>
      <c r="U143" s="35"/>
      <c r="V143" s="35"/>
      <c r="W143" s="35"/>
      <c r="X143" s="35"/>
      <c r="Y143" s="35"/>
      <c r="Z143" s="35"/>
    </row>
    <row r="144" ht="14.25" hidden="1" customHeight="1">
      <c r="A144" s="270" t="s">
        <v>2134</v>
      </c>
      <c r="B144" s="282"/>
      <c r="C144" s="322" t="s">
        <v>2141</v>
      </c>
      <c r="D144" s="337">
        <v>8.0</v>
      </c>
      <c r="E144" s="338" t="s">
        <v>2140</v>
      </c>
      <c r="F144" s="275">
        <v>1960.0</v>
      </c>
      <c r="G144" s="276">
        <v>44593.0</v>
      </c>
      <c r="H144" s="285">
        <f t="shared" si="7"/>
        <v>2940</v>
      </c>
      <c r="I144" s="286">
        <f t="shared" si="8"/>
        <v>2548</v>
      </c>
      <c r="J144" s="287">
        <f t="shared" si="9"/>
        <v>2548</v>
      </c>
      <c r="K144" s="288">
        <f t="shared" si="10"/>
        <v>2352</v>
      </c>
      <c r="L144" s="287">
        <f t="shared" si="11"/>
        <v>2254</v>
      </c>
      <c r="M144" s="288">
        <f t="shared" si="12"/>
        <v>2156</v>
      </c>
      <c r="N144" s="281"/>
      <c r="O144" s="78"/>
      <c r="P144" s="35"/>
      <c r="Q144" s="35"/>
      <c r="R144" s="35"/>
      <c r="S144" s="35"/>
      <c r="T144" s="35"/>
      <c r="U144" s="35"/>
      <c r="V144" s="35"/>
      <c r="W144" s="35"/>
      <c r="X144" s="35"/>
      <c r="Y144" s="35"/>
      <c r="Z144" s="35"/>
    </row>
    <row r="145" ht="14.25" hidden="1" customHeight="1">
      <c r="A145" s="270" t="s">
        <v>2134</v>
      </c>
      <c r="B145" s="282" t="s">
        <v>2142</v>
      </c>
      <c r="C145" s="322" t="s">
        <v>2143</v>
      </c>
      <c r="D145" s="336" t="s">
        <v>2136</v>
      </c>
      <c r="E145" s="335" t="s">
        <v>2137</v>
      </c>
      <c r="F145" s="275">
        <v>1500.0</v>
      </c>
      <c r="G145" s="276">
        <v>44593.0</v>
      </c>
      <c r="H145" s="285">
        <f t="shared" si="7"/>
        <v>2250</v>
      </c>
      <c r="I145" s="286">
        <f t="shared" si="8"/>
        <v>1950</v>
      </c>
      <c r="J145" s="287">
        <f t="shared" si="9"/>
        <v>1950</v>
      </c>
      <c r="K145" s="288">
        <f t="shared" si="10"/>
        <v>1800</v>
      </c>
      <c r="L145" s="287">
        <f t="shared" si="11"/>
        <v>1725</v>
      </c>
      <c r="M145" s="288">
        <f t="shared" si="12"/>
        <v>1650</v>
      </c>
      <c r="N145" s="281"/>
      <c r="O145" s="34"/>
      <c r="P145" s="35"/>
      <c r="Q145" s="35"/>
      <c r="R145" s="35"/>
      <c r="S145" s="35"/>
      <c r="T145" s="35"/>
      <c r="U145" s="35"/>
      <c r="V145" s="35"/>
      <c r="W145" s="35"/>
      <c r="X145" s="35"/>
      <c r="Y145" s="35"/>
      <c r="Z145" s="35"/>
    </row>
    <row r="146" ht="14.25" hidden="1" customHeight="1">
      <c r="A146" s="270" t="s">
        <v>2134</v>
      </c>
      <c r="B146" s="282" t="s">
        <v>2142</v>
      </c>
      <c r="C146" s="322" t="s">
        <v>2144</v>
      </c>
      <c r="D146" s="337" t="s">
        <v>2145</v>
      </c>
      <c r="E146" s="335" t="s">
        <v>2137</v>
      </c>
      <c r="F146" s="275">
        <v>2000.0</v>
      </c>
      <c r="G146" s="276">
        <v>44593.0</v>
      </c>
      <c r="H146" s="285">
        <f t="shared" si="7"/>
        <v>3000</v>
      </c>
      <c r="I146" s="286">
        <f t="shared" si="8"/>
        <v>2600</v>
      </c>
      <c r="J146" s="287">
        <f t="shared" si="9"/>
        <v>2600</v>
      </c>
      <c r="K146" s="288">
        <f t="shared" si="10"/>
        <v>2400</v>
      </c>
      <c r="L146" s="287">
        <f t="shared" si="11"/>
        <v>2300</v>
      </c>
      <c r="M146" s="288">
        <f t="shared" si="12"/>
        <v>2200</v>
      </c>
      <c r="N146" s="281"/>
      <c r="O146" s="78"/>
      <c r="P146" s="35"/>
      <c r="Q146" s="35"/>
      <c r="R146" s="35"/>
      <c r="S146" s="35"/>
      <c r="T146" s="35"/>
      <c r="U146" s="35"/>
      <c r="V146" s="35"/>
      <c r="W146" s="35"/>
      <c r="X146" s="35"/>
      <c r="Y146" s="35"/>
      <c r="Z146" s="35"/>
    </row>
    <row r="147" ht="14.25" hidden="1" customHeight="1">
      <c r="A147" s="270" t="s">
        <v>2134</v>
      </c>
      <c r="B147" s="282" t="s">
        <v>2142</v>
      </c>
      <c r="C147" s="270" t="s">
        <v>2146</v>
      </c>
      <c r="D147" s="336" t="s">
        <v>2147</v>
      </c>
      <c r="E147" s="335" t="s">
        <v>2137</v>
      </c>
      <c r="F147" s="275">
        <v>3630.0</v>
      </c>
      <c r="G147" s="276">
        <v>44593.0</v>
      </c>
      <c r="H147" s="285">
        <f t="shared" si="7"/>
        <v>5445</v>
      </c>
      <c r="I147" s="286">
        <f t="shared" si="8"/>
        <v>4719</v>
      </c>
      <c r="J147" s="287">
        <f t="shared" si="9"/>
        <v>4719</v>
      </c>
      <c r="K147" s="288">
        <f t="shared" si="10"/>
        <v>4356</v>
      </c>
      <c r="L147" s="287">
        <f t="shared" si="11"/>
        <v>4174.5</v>
      </c>
      <c r="M147" s="288">
        <f t="shared" si="12"/>
        <v>3993</v>
      </c>
      <c r="N147" s="281"/>
      <c r="O147" s="78"/>
      <c r="P147" s="35"/>
      <c r="Q147" s="35"/>
      <c r="R147" s="35"/>
      <c r="S147" s="35"/>
      <c r="T147" s="35"/>
      <c r="U147" s="35"/>
      <c r="V147" s="35"/>
      <c r="W147" s="35"/>
      <c r="X147" s="35"/>
      <c r="Y147" s="35"/>
      <c r="Z147" s="35"/>
    </row>
    <row r="148" ht="14.25" hidden="1" customHeight="1">
      <c r="A148" s="270" t="s">
        <v>2134</v>
      </c>
      <c r="B148" s="282" t="s">
        <v>2142</v>
      </c>
      <c r="C148" s="270" t="s">
        <v>2148</v>
      </c>
      <c r="D148" s="336" t="s">
        <v>2147</v>
      </c>
      <c r="E148" s="307" t="s">
        <v>2149</v>
      </c>
      <c r="F148" s="275">
        <v>4910.0</v>
      </c>
      <c r="G148" s="276">
        <v>44593.0</v>
      </c>
      <c r="H148" s="285">
        <f t="shared" si="7"/>
        <v>7365</v>
      </c>
      <c r="I148" s="286">
        <f t="shared" si="8"/>
        <v>6383</v>
      </c>
      <c r="J148" s="287">
        <f t="shared" si="9"/>
        <v>6383</v>
      </c>
      <c r="K148" s="288">
        <f t="shared" si="10"/>
        <v>5892</v>
      </c>
      <c r="L148" s="287">
        <f t="shared" si="11"/>
        <v>5646.5</v>
      </c>
      <c r="M148" s="288">
        <f t="shared" si="12"/>
        <v>5401</v>
      </c>
      <c r="N148" s="281"/>
      <c r="O148" s="78"/>
      <c r="P148" s="35"/>
      <c r="Q148" s="35"/>
      <c r="R148" s="35"/>
      <c r="S148" s="35"/>
      <c r="T148" s="35"/>
      <c r="U148" s="35"/>
      <c r="V148" s="35"/>
      <c r="W148" s="35"/>
      <c r="X148" s="35"/>
      <c r="Y148" s="35"/>
      <c r="Z148" s="35"/>
    </row>
    <row r="149" ht="14.25" hidden="1" customHeight="1">
      <c r="A149" s="270" t="s">
        <v>2134</v>
      </c>
      <c r="B149" s="339" t="s">
        <v>2150</v>
      </c>
      <c r="C149" s="322" t="s">
        <v>2151</v>
      </c>
      <c r="D149" s="336" t="s">
        <v>2136</v>
      </c>
      <c r="E149" s="338" t="s">
        <v>2137</v>
      </c>
      <c r="F149" s="275">
        <v>2060.0</v>
      </c>
      <c r="G149" s="276">
        <v>44593.0</v>
      </c>
      <c r="H149" s="285">
        <f t="shared" si="7"/>
        <v>3090</v>
      </c>
      <c r="I149" s="286">
        <f t="shared" si="8"/>
        <v>2678</v>
      </c>
      <c r="J149" s="287">
        <f t="shared" si="9"/>
        <v>2678</v>
      </c>
      <c r="K149" s="288">
        <f t="shared" si="10"/>
        <v>2472</v>
      </c>
      <c r="L149" s="287">
        <f t="shared" si="11"/>
        <v>2369</v>
      </c>
      <c r="M149" s="288">
        <f t="shared" si="12"/>
        <v>2266</v>
      </c>
      <c r="N149" s="281"/>
      <c r="O149" s="34"/>
      <c r="P149" s="35"/>
      <c r="Q149" s="35"/>
      <c r="R149" s="35"/>
      <c r="S149" s="35"/>
      <c r="T149" s="35"/>
      <c r="U149" s="35"/>
      <c r="V149" s="35"/>
      <c r="W149" s="35"/>
      <c r="X149" s="35"/>
      <c r="Y149" s="35"/>
      <c r="Z149" s="35"/>
    </row>
    <row r="150" ht="14.25" hidden="1" customHeight="1">
      <c r="A150" s="270" t="s">
        <v>2134</v>
      </c>
      <c r="B150" s="340" t="s">
        <v>2150</v>
      </c>
      <c r="C150" s="270" t="s">
        <v>2152</v>
      </c>
      <c r="D150" s="336" t="s">
        <v>2145</v>
      </c>
      <c r="E150" s="335" t="s">
        <v>2137</v>
      </c>
      <c r="F150" s="275">
        <v>3380.0</v>
      </c>
      <c r="G150" s="276">
        <v>44593.0</v>
      </c>
      <c r="H150" s="285">
        <f t="shared" si="7"/>
        <v>5070</v>
      </c>
      <c r="I150" s="286">
        <f t="shared" si="8"/>
        <v>4394</v>
      </c>
      <c r="J150" s="287">
        <f t="shared" si="9"/>
        <v>4394</v>
      </c>
      <c r="K150" s="288">
        <f t="shared" si="10"/>
        <v>4056</v>
      </c>
      <c r="L150" s="287">
        <f t="shared" si="11"/>
        <v>3887</v>
      </c>
      <c r="M150" s="288">
        <f t="shared" si="12"/>
        <v>3718</v>
      </c>
      <c r="N150" s="281"/>
      <c r="O150" s="34"/>
      <c r="P150" s="35"/>
      <c r="Q150" s="35"/>
      <c r="R150" s="35"/>
      <c r="S150" s="35"/>
      <c r="T150" s="35"/>
      <c r="U150" s="35"/>
      <c r="V150" s="35"/>
      <c r="W150" s="35"/>
      <c r="X150" s="35"/>
      <c r="Y150" s="35"/>
      <c r="Z150" s="35"/>
    </row>
    <row r="151" ht="14.25" hidden="1" customHeight="1">
      <c r="A151" s="270" t="s">
        <v>2134</v>
      </c>
      <c r="B151" s="340" t="s">
        <v>2150</v>
      </c>
      <c r="C151" s="270" t="s">
        <v>2153</v>
      </c>
      <c r="D151" s="336" t="s">
        <v>2136</v>
      </c>
      <c r="E151" s="335" t="s">
        <v>2154</v>
      </c>
      <c r="F151" s="275">
        <v>2730.0</v>
      </c>
      <c r="G151" s="276">
        <v>44593.0</v>
      </c>
      <c r="H151" s="285">
        <f t="shared" si="7"/>
        <v>4095</v>
      </c>
      <c r="I151" s="286">
        <f t="shared" si="8"/>
        <v>3549</v>
      </c>
      <c r="J151" s="287">
        <f t="shared" si="9"/>
        <v>3549</v>
      </c>
      <c r="K151" s="288">
        <f t="shared" si="10"/>
        <v>3276</v>
      </c>
      <c r="L151" s="287">
        <f t="shared" si="11"/>
        <v>3139.5</v>
      </c>
      <c r="M151" s="288">
        <f t="shared" si="12"/>
        <v>3003</v>
      </c>
      <c r="N151" s="281"/>
      <c r="O151" s="34"/>
      <c r="P151" s="35"/>
      <c r="Q151" s="35"/>
      <c r="R151" s="35"/>
      <c r="S151" s="35"/>
      <c r="T151" s="35"/>
      <c r="U151" s="35"/>
      <c r="V151" s="35"/>
      <c r="W151" s="35"/>
      <c r="X151" s="35"/>
      <c r="Y151" s="35"/>
      <c r="Z151" s="35"/>
    </row>
    <row r="152" ht="14.25" hidden="1" customHeight="1">
      <c r="A152" s="270" t="s">
        <v>2134</v>
      </c>
      <c r="B152" s="340" t="s">
        <v>2150</v>
      </c>
      <c r="C152" s="311" t="s">
        <v>2155</v>
      </c>
      <c r="D152" s="295" t="s">
        <v>2147</v>
      </c>
      <c r="E152" s="335" t="s">
        <v>2154</v>
      </c>
      <c r="F152" s="275">
        <v>6600.0</v>
      </c>
      <c r="G152" s="276">
        <v>44593.0</v>
      </c>
      <c r="H152" s="285">
        <f t="shared" si="7"/>
        <v>9900</v>
      </c>
      <c r="I152" s="286">
        <f t="shared" si="8"/>
        <v>8580</v>
      </c>
      <c r="J152" s="287">
        <f t="shared" si="9"/>
        <v>8580</v>
      </c>
      <c r="K152" s="288">
        <f t="shared" si="10"/>
        <v>7920</v>
      </c>
      <c r="L152" s="287">
        <f t="shared" si="11"/>
        <v>7590</v>
      </c>
      <c r="M152" s="288">
        <f t="shared" si="12"/>
        <v>7260</v>
      </c>
      <c r="N152" s="281"/>
      <c r="O152" s="34"/>
      <c r="P152" s="35"/>
      <c r="Q152" s="35"/>
      <c r="R152" s="35"/>
      <c r="S152" s="35"/>
      <c r="T152" s="35"/>
      <c r="U152" s="35"/>
      <c r="V152" s="35"/>
      <c r="W152" s="35"/>
      <c r="X152" s="35"/>
      <c r="Y152" s="35"/>
      <c r="Z152" s="35"/>
    </row>
    <row r="153" ht="14.25" hidden="1" customHeight="1">
      <c r="A153" s="270" t="s">
        <v>2134</v>
      </c>
      <c r="B153" s="340" t="s">
        <v>2150</v>
      </c>
      <c r="C153" s="311" t="s">
        <v>2156</v>
      </c>
      <c r="D153" s="289" t="s">
        <v>2157</v>
      </c>
      <c r="E153" s="335" t="s">
        <v>2154</v>
      </c>
      <c r="F153" s="275">
        <v>11200.0</v>
      </c>
      <c r="G153" s="276">
        <v>44593.0</v>
      </c>
      <c r="H153" s="285">
        <f t="shared" si="7"/>
        <v>16800</v>
      </c>
      <c r="I153" s="286">
        <f t="shared" si="8"/>
        <v>14560</v>
      </c>
      <c r="J153" s="287">
        <f t="shared" si="9"/>
        <v>14560</v>
      </c>
      <c r="K153" s="288">
        <f t="shared" si="10"/>
        <v>13440</v>
      </c>
      <c r="L153" s="287">
        <f t="shared" si="11"/>
        <v>12880</v>
      </c>
      <c r="M153" s="288">
        <f t="shared" si="12"/>
        <v>12320</v>
      </c>
      <c r="N153" s="281"/>
      <c r="O153" s="34"/>
      <c r="P153" s="35"/>
      <c r="Q153" s="35"/>
      <c r="R153" s="35"/>
      <c r="S153" s="35"/>
      <c r="T153" s="35"/>
      <c r="U153" s="35"/>
      <c r="V153" s="35"/>
      <c r="W153" s="35"/>
      <c r="X153" s="35"/>
      <c r="Y153" s="35"/>
      <c r="Z153" s="35"/>
    </row>
    <row r="154" ht="14.25" hidden="1" customHeight="1">
      <c r="A154" s="270" t="s">
        <v>2134</v>
      </c>
      <c r="B154" s="340" t="s">
        <v>2150</v>
      </c>
      <c r="C154" s="341" t="s">
        <v>2158</v>
      </c>
      <c r="D154" s="336" t="s">
        <v>2147</v>
      </c>
      <c r="E154" s="307" t="s">
        <v>2154</v>
      </c>
      <c r="F154" s="275">
        <v>10800.0</v>
      </c>
      <c r="G154" s="276">
        <v>44593.0</v>
      </c>
      <c r="H154" s="285">
        <f t="shared" si="7"/>
        <v>16200</v>
      </c>
      <c r="I154" s="286">
        <f t="shared" si="8"/>
        <v>14040</v>
      </c>
      <c r="J154" s="287">
        <f t="shared" si="9"/>
        <v>14040</v>
      </c>
      <c r="K154" s="288">
        <f t="shared" si="10"/>
        <v>12960</v>
      </c>
      <c r="L154" s="287">
        <f t="shared" si="11"/>
        <v>12420</v>
      </c>
      <c r="M154" s="288">
        <f t="shared" si="12"/>
        <v>11880</v>
      </c>
      <c r="N154" s="281"/>
      <c r="O154" s="34"/>
      <c r="P154" s="35"/>
      <c r="Q154" s="35"/>
      <c r="R154" s="35"/>
      <c r="S154" s="35"/>
      <c r="T154" s="35"/>
      <c r="U154" s="35"/>
      <c r="V154" s="35"/>
      <c r="W154" s="35"/>
      <c r="X154" s="35"/>
      <c r="Y154" s="35"/>
      <c r="Z154" s="35"/>
    </row>
    <row r="155" ht="14.25" hidden="1" customHeight="1">
      <c r="A155" s="270" t="s">
        <v>2134</v>
      </c>
      <c r="B155" s="340" t="s">
        <v>2150</v>
      </c>
      <c r="C155" s="311" t="s">
        <v>2159</v>
      </c>
      <c r="D155" s="289" t="s">
        <v>2157</v>
      </c>
      <c r="E155" s="274" t="s">
        <v>2154</v>
      </c>
      <c r="F155" s="275">
        <v>17200.0</v>
      </c>
      <c r="G155" s="276">
        <v>44593.0</v>
      </c>
      <c r="H155" s="285">
        <f t="shared" si="7"/>
        <v>25800</v>
      </c>
      <c r="I155" s="286">
        <f t="shared" si="8"/>
        <v>22360</v>
      </c>
      <c r="J155" s="287">
        <f t="shared" si="9"/>
        <v>22360</v>
      </c>
      <c r="K155" s="288">
        <f t="shared" si="10"/>
        <v>20640</v>
      </c>
      <c r="L155" s="287">
        <f t="shared" si="11"/>
        <v>19780</v>
      </c>
      <c r="M155" s="288">
        <f t="shared" si="12"/>
        <v>18920</v>
      </c>
      <c r="N155" s="281"/>
      <c r="O155" s="34"/>
      <c r="P155" s="35"/>
      <c r="Q155" s="35"/>
      <c r="R155" s="35"/>
      <c r="S155" s="35"/>
      <c r="T155" s="35"/>
      <c r="U155" s="35"/>
      <c r="V155" s="35"/>
      <c r="W155" s="35"/>
      <c r="X155" s="35"/>
      <c r="Y155" s="35"/>
      <c r="Z155" s="35"/>
    </row>
    <row r="156" ht="14.25" hidden="1" customHeight="1">
      <c r="A156" s="270" t="s">
        <v>2134</v>
      </c>
      <c r="B156" s="340" t="s">
        <v>2150</v>
      </c>
      <c r="C156" s="311" t="s">
        <v>2160</v>
      </c>
      <c r="D156" s="295" t="s">
        <v>2157</v>
      </c>
      <c r="E156" s="274" t="s">
        <v>2154</v>
      </c>
      <c r="F156" s="275">
        <v>19200.0</v>
      </c>
      <c r="G156" s="276">
        <v>44593.0</v>
      </c>
      <c r="H156" s="285">
        <f t="shared" si="7"/>
        <v>28800</v>
      </c>
      <c r="I156" s="286">
        <f t="shared" si="8"/>
        <v>24960</v>
      </c>
      <c r="J156" s="287">
        <f t="shared" si="9"/>
        <v>24960</v>
      </c>
      <c r="K156" s="288">
        <f t="shared" si="10"/>
        <v>23040</v>
      </c>
      <c r="L156" s="287">
        <f t="shared" si="11"/>
        <v>22080</v>
      </c>
      <c r="M156" s="288">
        <f t="shared" si="12"/>
        <v>21120</v>
      </c>
      <c r="N156" s="281"/>
      <c r="O156" s="78"/>
      <c r="P156" s="35"/>
      <c r="Q156" s="35"/>
      <c r="R156" s="35"/>
      <c r="S156" s="35"/>
      <c r="T156" s="35"/>
      <c r="U156" s="35"/>
      <c r="V156" s="35"/>
      <c r="W156" s="35"/>
      <c r="X156" s="35"/>
      <c r="Y156" s="35"/>
      <c r="Z156" s="35"/>
    </row>
    <row r="157" ht="14.25" hidden="1" customHeight="1">
      <c r="A157" s="270" t="s">
        <v>2134</v>
      </c>
      <c r="B157" s="340" t="s">
        <v>2161</v>
      </c>
      <c r="C157" s="341" t="s">
        <v>2162</v>
      </c>
      <c r="D157" s="336" t="s">
        <v>2136</v>
      </c>
      <c r="E157" s="274" t="s">
        <v>2154</v>
      </c>
      <c r="F157" s="275">
        <v>3000.0</v>
      </c>
      <c r="G157" s="276">
        <v>44593.0</v>
      </c>
      <c r="H157" s="285">
        <f t="shared" si="7"/>
        <v>4500</v>
      </c>
      <c r="I157" s="286">
        <f t="shared" si="8"/>
        <v>3900</v>
      </c>
      <c r="J157" s="287">
        <f t="shared" si="9"/>
        <v>3900</v>
      </c>
      <c r="K157" s="288">
        <f t="shared" si="10"/>
        <v>3600</v>
      </c>
      <c r="L157" s="287">
        <f t="shared" si="11"/>
        <v>3450</v>
      </c>
      <c r="M157" s="288">
        <f t="shared" si="12"/>
        <v>3300</v>
      </c>
      <c r="N157" s="281"/>
      <c r="O157" s="78"/>
      <c r="P157" s="35"/>
      <c r="Q157" s="35"/>
      <c r="R157" s="35"/>
      <c r="S157" s="35"/>
      <c r="T157" s="35"/>
      <c r="U157" s="35"/>
      <c r="V157" s="35"/>
      <c r="W157" s="35"/>
      <c r="X157" s="35"/>
      <c r="Y157" s="35"/>
      <c r="Z157" s="35"/>
    </row>
    <row r="158" ht="14.25" hidden="1" customHeight="1">
      <c r="A158" s="270" t="s">
        <v>2134</v>
      </c>
      <c r="B158" s="340" t="s">
        <v>2161</v>
      </c>
      <c r="C158" s="341" t="s">
        <v>2163</v>
      </c>
      <c r="D158" s="306" t="s">
        <v>2145</v>
      </c>
      <c r="E158" s="307" t="s">
        <v>2154</v>
      </c>
      <c r="F158" s="275">
        <v>11000.0</v>
      </c>
      <c r="G158" s="276">
        <v>44593.0</v>
      </c>
      <c r="H158" s="285">
        <f t="shared" si="7"/>
        <v>16500</v>
      </c>
      <c r="I158" s="286">
        <f t="shared" si="8"/>
        <v>14300</v>
      </c>
      <c r="J158" s="287">
        <f t="shared" si="9"/>
        <v>14300</v>
      </c>
      <c r="K158" s="288">
        <f t="shared" si="10"/>
        <v>13200</v>
      </c>
      <c r="L158" s="287">
        <f t="shared" si="11"/>
        <v>12650</v>
      </c>
      <c r="M158" s="288">
        <f t="shared" si="12"/>
        <v>12100</v>
      </c>
      <c r="N158" s="281"/>
      <c r="O158" s="78"/>
      <c r="P158" s="35"/>
      <c r="Q158" s="35"/>
      <c r="R158" s="35"/>
      <c r="S158" s="35"/>
      <c r="T158" s="35"/>
      <c r="U158" s="35"/>
      <c r="V158" s="35"/>
      <c r="W158" s="35"/>
      <c r="X158" s="35"/>
      <c r="Y158" s="35"/>
      <c r="Z158" s="35"/>
    </row>
    <row r="159" ht="14.25" hidden="1" customHeight="1">
      <c r="A159" s="270" t="s">
        <v>2134</v>
      </c>
      <c r="B159" s="340" t="s">
        <v>2161</v>
      </c>
      <c r="C159" s="270" t="s">
        <v>2164</v>
      </c>
      <c r="D159" s="289" t="s">
        <v>2147</v>
      </c>
      <c r="E159" s="274" t="s">
        <v>2154</v>
      </c>
      <c r="F159" s="275">
        <v>13900.0</v>
      </c>
      <c r="G159" s="276">
        <v>44593.0</v>
      </c>
      <c r="H159" s="285">
        <f t="shared" si="7"/>
        <v>20850</v>
      </c>
      <c r="I159" s="286">
        <f t="shared" si="8"/>
        <v>18070</v>
      </c>
      <c r="J159" s="287">
        <f t="shared" si="9"/>
        <v>18070</v>
      </c>
      <c r="K159" s="288">
        <f t="shared" si="10"/>
        <v>16680</v>
      </c>
      <c r="L159" s="287">
        <f t="shared" si="11"/>
        <v>15985</v>
      </c>
      <c r="M159" s="288">
        <f t="shared" si="12"/>
        <v>15290</v>
      </c>
      <c r="N159" s="281"/>
      <c r="O159" s="78"/>
      <c r="P159" s="35"/>
      <c r="Q159" s="35"/>
      <c r="R159" s="35"/>
      <c r="S159" s="35"/>
      <c r="T159" s="35"/>
      <c r="U159" s="35"/>
      <c r="V159" s="35"/>
      <c r="W159" s="35"/>
      <c r="X159" s="35"/>
      <c r="Y159" s="35"/>
      <c r="Z159" s="35"/>
    </row>
    <row r="160" ht="14.25" hidden="1" customHeight="1">
      <c r="A160" s="270" t="s">
        <v>2134</v>
      </c>
      <c r="B160" s="271" t="s">
        <v>2165</v>
      </c>
      <c r="C160" s="342" t="s">
        <v>2166</v>
      </c>
      <c r="D160" s="294" t="s">
        <v>2145</v>
      </c>
      <c r="E160" s="307" t="s">
        <v>2154</v>
      </c>
      <c r="F160" s="275">
        <v>3250.0</v>
      </c>
      <c r="G160" s="276">
        <v>44593.0</v>
      </c>
      <c r="H160" s="285">
        <f t="shared" si="7"/>
        <v>4875</v>
      </c>
      <c r="I160" s="286">
        <f t="shared" si="8"/>
        <v>4225</v>
      </c>
      <c r="J160" s="287">
        <f t="shared" si="9"/>
        <v>4225</v>
      </c>
      <c r="K160" s="288">
        <f t="shared" si="10"/>
        <v>3900</v>
      </c>
      <c r="L160" s="287">
        <f t="shared" si="11"/>
        <v>3737.5</v>
      </c>
      <c r="M160" s="288">
        <f t="shared" si="12"/>
        <v>3575</v>
      </c>
      <c r="N160" s="281"/>
      <c r="O160" s="78"/>
      <c r="P160" s="35"/>
      <c r="Q160" s="35"/>
      <c r="R160" s="35"/>
      <c r="S160" s="35"/>
      <c r="T160" s="35"/>
      <c r="U160" s="35"/>
      <c r="V160" s="35"/>
      <c r="W160" s="35"/>
      <c r="X160" s="35"/>
      <c r="Y160" s="35"/>
      <c r="Z160" s="35"/>
    </row>
    <row r="161" ht="14.25" hidden="1" customHeight="1">
      <c r="A161" s="270" t="s">
        <v>2134</v>
      </c>
      <c r="B161" s="282" t="s">
        <v>2165</v>
      </c>
      <c r="C161" s="343" t="s">
        <v>2167</v>
      </c>
      <c r="D161" s="295" t="s">
        <v>2136</v>
      </c>
      <c r="E161" s="274" t="s">
        <v>2154</v>
      </c>
      <c r="F161" s="275">
        <v>2100.0</v>
      </c>
      <c r="G161" s="276">
        <v>44593.0</v>
      </c>
      <c r="H161" s="285">
        <f t="shared" si="7"/>
        <v>3150</v>
      </c>
      <c r="I161" s="286">
        <f t="shared" si="8"/>
        <v>2730</v>
      </c>
      <c r="J161" s="287">
        <f t="shared" si="9"/>
        <v>2730</v>
      </c>
      <c r="K161" s="288">
        <f t="shared" si="10"/>
        <v>2520</v>
      </c>
      <c r="L161" s="287">
        <f t="shared" si="11"/>
        <v>2415</v>
      </c>
      <c r="M161" s="288">
        <f t="shared" si="12"/>
        <v>2310</v>
      </c>
      <c r="N161" s="281"/>
      <c r="O161" s="78"/>
      <c r="P161" s="35"/>
      <c r="Q161" s="35"/>
      <c r="R161" s="35"/>
      <c r="S161" s="35"/>
      <c r="T161" s="35"/>
      <c r="U161" s="35"/>
      <c r="V161" s="35"/>
      <c r="W161" s="35"/>
      <c r="X161" s="35"/>
      <c r="Y161" s="35"/>
      <c r="Z161" s="35"/>
    </row>
    <row r="162" ht="14.25" hidden="1" customHeight="1">
      <c r="A162" s="270" t="s">
        <v>2134</v>
      </c>
      <c r="B162" s="282" t="s">
        <v>2165</v>
      </c>
      <c r="C162" s="343" t="s">
        <v>2168</v>
      </c>
      <c r="D162" s="289" t="s">
        <v>2145</v>
      </c>
      <c r="E162" s="274" t="s">
        <v>2154</v>
      </c>
      <c r="F162" s="275">
        <v>4780.0</v>
      </c>
      <c r="G162" s="276">
        <v>44593.0</v>
      </c>
      <c r="H162" s="285">
        <f t="shared" si="7"/>
        <v>7170</v>
      </c>
      <c r="I162" s="286">
        <f t="shared" si="8"/>
        <v>6214</v>
      </c>
      <c r="J162" s="287">
        <f t="shared" si="9"/>
        <v>6214</v>
      </c>
      <c r="K162" s="288">
        <f t="shared" si="10"/>
        <v>5736</v>
      </c>
      <c r="L162" s="287">
        <f t="shared" si="11"/>
        <v>5497</v>
      </c>
      <c r="M162" s="288">
        <f t="shared" si="12"/>
        <v>5258</v>
      </c>
      <c r="N162" s="281"/>
      <c r="O162" s="78"/>
      <c r="P162" s="35"/>
      <c r="Q162" s="35"/>
      <c r="R162" s="35"/>
      <c r="S162" s="35"/>
      <c r="T162" s="35"/>
      <c r="U162" s="35"/>
      <c r="V162" s="35"/>
      <c r="W162" s="35"/>
      <c r="X162" s="35"/>
      <c r="Y162" s="35"/>
      <c r="Z162" s="35"/>
    </row>
    <row r="163" ht="14.25" hidden="1" customHeight="1">
      <c r="A163" s="270" t="s">
        <v>2134</v>
      </c>
      <c r="B163" s="282" t="s">
        <v>2165</v>
      </c>
      <c r="C163" s="343" t="s">
        <v>2169</v>
      </c>
      <c r="D163" s="289" t="s">
        <v>2136</v>
      </c>
      <c r="E163" s="274" t="s">
        <v>2170</v>
      </c>
      <c r="F163" s="275">
        <v>2190.0</v>
      </c>
      <c r="G163" s="276">
        <v>44593.0</v>
      </c>
      <c r="H163" s="285">
        <f t="shared" si="7"/>
        <v>3285</v>
      </c>
      <c r="I163" s="286">
        <f t="shared" si="8"/>
        <v>2847</v>
      </c>
      <c r="J163" s="287">
        <f t="shared" si="9"/>
        <v>2847</v>
      </c>
      <c r="K163" s="288">
        <f t="shared" si="10"/>
        <v>2628</v>
      </c>
      <c r="L163" s="287">
        <f t="shared" si="11"/>
        <v>2518.5</v>
      </c>
      <c r="M163" s="288">
        <f t="shared" si="12"/>
        <v>2409</v>
      </c>
      <c r="N163" s="281"/>
      <c r="O163" s="78"/>
      <c r="P163" s="35"/>
      <c r="Q163" s="35"/>
      <c r="R163" s="35"/>
      <c r="S163" s="35"/>
      <c r="T163" s="35"/>
      <c r="U163" s="35"/>
      <c r="V163" s="35"/>
      <c r="W163" s="35"/>
      <c r="X163" s="35"/>
      <c r="Y163" s="35"/>
      <c r="Z163" s="35"/>
    </row>
    <row r="164" ht="14.25" hidden="1" customHeight="1">
      <c r="A164" s="270" t="s">
        <v>2134</v>
      </c>
      <c r="B164" s="282" t="s">
        <v>2165</v>
      </c>
      <c r="C164" s="343" t="s">
        <v>2171</v>
      </c>
      <c r="D164" s="289" t="s">
        <v>2147</v>
      </c>
      <c r="E164" s="274" t="s">
        <v>2172</v>
      </c>
      <c r="F164" s="275">
        <v>3500.0</v>
      </c>
      <c r="G164" s="276">
        <v>44593.0</v>
      </c>
      <c r="H164" s="285">
        <f t="shared" si="7"/>
        <v>5250</v>
      </c>
      <c r="I164" s="286">
        <f t="shared" si="8"/>
        <v>4550</v>
      </c>
      <c r="J164" s="287">
        <f t="shared" si="9"/>
        <v>4550</v>
      </c>
      <c r="K164" s="288">
        <f t="shared" si="10"/>
        <v>4200</v>
      </c>
      <c r="L164" s="287">
        <f t="shared" si="11"/>
        <v>4025</v>
      </c>
      <c r="M164" s="288">
        <f t="shared" si="12"/>
        <v>3850</v>
      </c>
      <c r="N164" s="281"/>
      <c r="O164" s="78"/>
      <c r="P164" s="35"/>
      <c r="Q164" s="35"/>
      <c r="R164" s="35"/>
      <c r="S164" s="35"/>
      <c r="T164" s="35"/>
      <c r="U164" s="35"/>
      <c r="V164" s="35"/>
      <c r="W164" s="35"/>
      <c r="X164" s="35"/>
      <c r="Y164" s="35"/>
      <c r="Z164" s="35"/>
    </row>
    <row r="165" ht="14.25" hidden="1" customHeight="1">
      <c r="A165" s="270" t="s">
        <v>2134</v>
      </c>
      <c r="B165" s="282" t="s">
        <v>2165</v>
      </c>
      <c r="C165" s="344" t="s">
        <v>2173</v>
      </c>
      <c r="D165" s="295" t="s">
        <v>2147</v>
      </c>
      <c r="E165" s="274" t="s">
        <v>2174</v>
      </c>
      <c r="F165" s="275">
        <v>11500.0</v>
      </c>
      <c r="G165" s="276">
        <v>44593.0</v>
      </c>
      <c r="H165" s="285">
        <f t="shared" si="7"/>
        <v>17250</v>
      </c>
      <c r="I165" s="286">
        <f t="shared" si="8"/>
        <v>14950</v>
      </c>
      <c r="J165" s="287">
        <f t="shared" si="9"/>
        <v>14950</v>
      </c>
      <c r="K165" s="288">
        <f t="shared" si="10"/>
        <v>13800</v>
      </c>
      <c r="L165" s="287">
        <f t="shared" si="11"/>
        <v>13225</v>
      </c>
      <c r="M165" s="288">
        <f t="shared" si="12"/>
        <v>12650</v>
      </c>
      <c r="N165" s="281"/>
      <c r="O165" s="78"/>
      <c r="P165" s="35"/>
      <c r="Q165" s="35"/>
      <c r="R165" s="35"/>
      <c r="S165" s="35"/>
      <c r="T165" s="35"/>
      <c r="U165" s="35"/>
      <c r="V165" s="35"/>
      <c r="W165" s="35"/>
      <c r="X165" s="35"/>
      <c r="Y165" s="35"/>
      <c r="Z165" s="35"/>
    </row>
    <row r="166" ht="14.25" hidden="1" customHeight="1">
      <c r="A166" s="270" t="s">
        <v>2134</v>
      </c>
      <c r="B166" s="282" t="s">
        <v>2165</v>
      </c>
      <c r="C166" s="344" t="s">
        <v>2175</v>
      </c>
      <c r="D166" s="295" t="s">
        <v>2136</v>
      </c>
      <c r="E166" s="274" t="s">
        <v>2154</v>
      </c>
      <c r="F166" s="275">
        <v>1520.0</v>
      </c>
      <c r="G166" s="276">
        <v>44593.0</v>
      </c>
      <c r="H166" s="285">
        <f t="shared" si="7"/>
        <v>2280</v>
      </c>
      <c r="I166" s="286">
        <f t="shared" si="8"/>
        <v>1976</v>
      </c>
      <c r="J166" s="287">
        <f t="shared" si="9"/>
        <v>1976</v>
      </c>
      <c r="K166" s="288">
        <f t="shared" si="10"/>
        <v>1824</v>
      </c>
      <c r="L166" s="287">
        <f t="shared" si="11"/>
        <v>1748</v>
      </c>
      <c r="M166" s="288">
        <f t="shared" si="12"/>
        <v>1672</v>
      </c>
      <c r="N166" s="281"/>
      <c r="O166" s="78"/>
      <c r="P166" s="35"/>
      <c r="Q166" s="35"/>
      <c r="R166" s="35"/>
      <c r="S166" s="35"/>
      <c r="T166" s="35"/>
      <c r="U166" s="35"/>
      <c r="V166" s="35"/>
      <c r="W166" s="35"/>
      <c r="X166" s="35"/>
      <c r="Y166" s="35"/>
      <c r="Z166" s="35"/>
    </row>
    <row r="167" ht="14.25" hidden="1" customHeight="1">
      <c r="A167" s="270" t="s">
        <v>2134</v>
      </c>
      <c r="B167" s="282" t="s">
        <v>2165</v>
      </c>
      <c r="C167" s="344" t="s">
        <v>2176</v>
      </c>
      <c r="D167" s="295" t="s">
        <v>2145</v>
      </c>
      <c r="E167" s="274" t="s">
        <v>2154</v>
      </c>
      <c r="F167" s="275">
        <v>2050.0</v>
      </c>
      <c r="G167" s="276">
        <v>44593.0</v>
      </c>
      <c r="H167" s="285">
        <f t="shared" si="7"/>
        <v>3075</v>
      </c>
      <c r="I167" s="286">
        <f t="shared" si="8"/>
        <v>2665</v>
      </c>
      <c r="J167" s="287">
        <f t="shared" si="9"/>
        <v>2665</v>
      </c>
      <c r="K167" s="288">
        <f t="shared" si="10"/>
        <v>2460</v>
      </c>
      <c r="L167" s="287">
        <f t="shared" si="11"/>
        <v>2357.5</v>
      </c>
      <c r="M167" s="288">
        <f t="shared" si="12"/>
        <v>2255</v>
      </c>
      <c r="N167" s="281"/>
      <c r="O167" s="78"/>
      <c r="P167" s="35"/>
      <c r="Q167" s="35"/>
      <c r="R167" s="35"/>
      <c r="S167" s="35"/>
      <c r="T167" s="35"/>
      <c r="U167" s="35"/>
      <c r="V167" s="35"/>
      <c r="W167" s="35"/>
      <c r="X167" s="35"/>
      <c r="Y167" s="35"/>
      <c r="Z167" s="35"/>
    </row>
    <row r="168" ht="14.25" hidden="1" customHeight="1">
      <c r="A168" s="270" t="s">
        <v>2134</v>
      </c>
      <c r="B168" s="282" t="s">
        <v>2165</v>
      </c>
      <c r="C168" s="344" t="s">
        <v>2177</v>
      </c>
      <c r="D168" s="295" t="s">
        <v>2147</v>
      </c>
      <c r="E168" s="274" t="s">
        <v>2174</v>
      </c>
      <c r="F168" s="275">
        <v>5400.0</v>
      </c>
      <c r="G168" s="276">
        <v>44593.0</v>
      </c>
      <c r="H168" s="285">
        <f t="shared" si="7"/>
        <v>8100</v>
      </c>
      <c r="I168" s="286">
        <f t="shared" si="8"/>
        <v>7020</v>
      </c>
      <c r="J168" s="287">
        <f t="shared" si="9"/>
        <v>7020</v>
      </c>
      <c r="K168" s="288">
        <f t="shared" si="10"/>
        <v>6480</v>
      </c>
      <c r="L168" s="287">
        <f t="shared" si="11"/>
        <v>6210</v>
      </c>
      <c r="M168" s="288">
        <f t="shared" si="12"/>
        <v>5940</v>
      </c>
      <c r="N168" s="281"/>
      <c r="O168" s="78"/>
      <c r="P168" s="35"/>
      <c r="Q168" s="35"/>
      <c r="R168" s="35"/>
      <c r="S168" s="35"/>
      <c r="T168" s="35"/>
      <c r="U168" s="35"/>
      <c r="V168" s="35"/>
      <c r="W168" s="35"/>
      <c r="X168" s="35"/>
      <c r="Y168" s="35"/>
      <c r="Z168" s="35"/>
    </row>
    <row r="169" ht="14.25" hidden="1" customHeight="1">
      <c r="A169" s="270" t="s">
        <v>2134</v>
      </c>
      <c r="B169" s="282" t="s">
        <v>2165</v>
      </c>
      <c r="C169" s="342" t="s">
        <v>2178</v>
      </c>
      <c r="D169" s="295" t="s">
        <v>2147</v>
      </c>
      <c r="E169" s="274" t="s">
        <v>2137</v>
      </c>
      <c r="F169" s="275">
        <v>10800.0</v>
      </c>
      <c r="G169" s="276">
        <v>44593.0</v>
      </c>
      <c r="H169" s="285">
        <f t="shared" si="7"/>
        <v>16200</v>
      </c>
      <c r="I169" s="286">
        <f t="shared" si="8"/>
        <v>14040</v>
      </c>
      <c r="J169" s="287">
        <f t="shared" si="9"/>
        <v>14040</v>
      </c>
      <c r="K169" s="288">
        <f t="shared" si="10"/>
        <v>12960</v>
      </c>
      <c r="L169" s="287">
        <f t="shared" si="11"/>
        <v>12420</v>
      </c>
      <c r="M169" s="288">
        <f t="shared" si="12"/>
        <v>11880</v>
      </c>
      <c r="N169" s="281"/>
      <c r="O169" s="78"/>
      <c r="P169" s="35"/>
      <c r="Q169" s="35"/>
      <c r="R169" s="35"/>
      <c r="S169" s="35"/>
      <c r="T169" s="35"/>
      <c r="U169" s="35"/>
      <c r="V169" s="35"/>
      <c r="W169" s="35"/>
      <c r="X169" s="35"/>
      <c r="Y169" s="35"/>
      <c r="Z169" s="35"/>
    </row>
    <row r="170" ht="14.25" hidden="1" customHeight="1">
      <c r="A170" s="270" t="s">
        <v>1788</v>
      </c>
      <c r="B170" s="339" t="s">
        <v>2179</v>
      </c>
      <c r="C170" s="318" t="s">
        <v>2180</v>
      </c>
      <c r="D170" s="345" t="s">
        <v>2136</v>
      </c>
      <c r="E170" s="307"/>
      <c r="F170" s="275">
        <v>2160.0</v>
      </c>
      <c r="G170" s="276">
        <v>44593.0</v>
      </c>
      <c r="H170" s="285">
        <f t="shared" si="7"/>
        <v>3240</v>
      </c>
      <c r="I170" s="286">
        <f t="shared" si="8"/>
        <v>2808</v>
      </c>
      <c r="J170" s="287">
        <f t="shared" si="9"/>
        <v>2808</v>
      </c>
      <c r="K170" s="288">
        <f t="shared" si="10"/>
        <v>2592</v>
      </c>
      <c r="L170" s="287">
        <f t="shared" si="11"/>
        <v>2484</v>
      </c>
      <c r="M170" s="288">
        <f t="shared" si="12"/>
        <v>2376</v>
      </c>
      <c r="N170" s="281"/>
      <c r="O170" s="78"/>
      <c r="P170" s="35"/>
      <c r="Q170" s="35"/>
      <c r="R170" s="35"/>
      <c r="S170" s="35"/>
      <c r="T170" s="35"/>
      <c r="U170" s="35"/>
      <c r="V170" s="35"/>
      <c r="W170" s="35"/>
      <c r="X170" s="35"/>
      <c r="Y170" s="35"/>
      <c r="Z170" s="35"/>
    </row>
    <row r="171" ht="14.25" hidden="1" customHeight="1">
      <c r="A171" s="270" t="s">
        <v>1788</v>
      </c>
      <c r="B171" s="340" t="s">
        <v>2179</v>
      </c>
      <c r="C171" s="322" t="s">
        <v>2181</v>
      </c>
      <c r="D171" s="337" t="s">
        <v>2145</v>
      </c>
      <c r="E171" s="274"/>
      <c r="F171" s="275">
        <v>2430.0</v>
      </c>
      <c r="G171" s="276">
        <v>44593.0</v>
      </c>
      <c r="H171" s="285">
        <f t="shared" si="7"/>
        <v>3645</v>
      </c>
      <c r="I171" s="286">
        <f t="shared" si="8"/>
        <v>3159</v>
      </c>
      <c r="J171" s="287">
        <f t="shared" si="9"/>
        <v>3159</v>
      </c>
      <c r="K171" s="288">
        <f t="shared" si="10"/>
        <v>2916</v>
      </c>
      <c r="L171" s="287">
        <f t="shared" si="11"/>
        <v>2794.5</v>
      </c>
      <c r="M171" s="288">
        <f t="shared" si="12"/>
        <v>2673</v>
      </c>
      <c r="N171" s="281"/>
      <c r="O171" s="78"/>
      <c r="P171" s="35"/>
      <c r="Q171" s="35"/>
      <c r="R171" s="35"/>
      <c r="S171" s="35"/>
      <c r="T171" s="35"/>
      <c r="U171" s="35"/>
      <c r="V171" s="35"/>
      <c r="W171" s="35"/>
      <c r="X171" s="35"/>
      <c r="Y171" s="35"/>
      <c r="Z171" s="35"/>
    </row>
    <row r="172" ht="14.25" hidden="1" customHeight="1">
      <c r="A172" s="270" t="s">
        <v>1788</v>
      </c>
      <c r="B172" s="340" t="s">
        <v>2179</v>
      </c>
      <c r="C172" s="322" t="s">
        <v>2182</v>
      </c>
      <c r="D172" s="337" t="s">
        <v>2147</v>
      </c>
      <c r="E172" s="274"/>
      <c r="F172" s="275">
        <v>2770.0</v>
      </c>
      <c r="G172" s="276">
        <v>44593.0</v>
      </c>
      <c r="H172" s="285">
        <f t="shared" si="7"/>
        <v>4155</v>
      </c>
      <c r="I172" s="286">
        <f t="shared" si="8"/>
        <v>3601</v>
      </c>
      <c r="J172" s="287">
        <f t="shared" si="9"/>
        <v>3601</v>
      </c>
      <c r="K172" s="288">
        <f t="shared" si="10"/>
        <v>3324</v>
      </c>
      <c r="L172" s="287">
        <f t="shared" si="11"/>
        <v>3185.5</v>
      </c>
      <c r="M172" s="288">
        <f t="shared" si="12"/>
        <v>3047</v>
      </c>
      <c r="N172" s="281"/>
      <c r="O172" s="78"/>
      <c r="P172" s="35"/>
      <c r="Q172" s="35"/>
      <c r="R172" s="35"/>
      <c r="S172" s="35"/>
      <c r="T172" s="35"/>
      <c r="U172" s="35"/>
      <c r="V172" s="35"/>
      <c r="W172" s="35"/>
      <c r="X172" s="35"/>
      <c r="Y172" s="35"/>
      <c r="Z172" s="35"/>
    </row>
    <row r="173" ht="14.25" hidden="1" customHeight="1">
      <c r="A173" s="270" t="s">
        <v>1788</v>
      </c>
      <c r="B173" s="340" t="s">
        <v>2179</v>
      </c>
      <c r="C173" s="322" t="s">
        <v>2183</v>
      </c>
      <c r="D173" s="336" t="s">
        <v>2184</v>
      </c>
      <c r="E173" s="333" t="s">
        <v>2149</v>
      </c>
      <c r="F173" s="275">
        <v>52220.0</v>
      </c>
      <c r="G173" s="276">
        <v>44593.0</v>
      </c>
      <c r="H173" s="285">
        <f t="shared" si="7"/>
        <v>78330</v>
      </c>
      <c r="I173" s="286">
        <f t="shared" si="8"/>
        <v>67886</v>
      </c>
      <c r="J173" s="287">
        <f t="shared" si="9"/>
        <v>67886</v>
      </c>
      <c r="K173" s="288">
        <f t="shared" si="10"/>
        <v>62664</v>
      </c>
      <c r="L173" s="287">
        <f t="shared" si="11"/>
        <v>60053</v>
      </c>
      <c r="M173" s="288">
        <f t="shared" si="12"/>
        <v>57442</v>
      </c>
      <c r="N173" s="281"/>
      <c r="O173" s="78"/>
      <c r="P173" s="35"/>
      <c r="Q173" s="35"/>
      <c r="R173" s="35"/>
      <c r="S173" s="35"/>
      <c r="T173" s="35"/>
      <c r="U173" s="35"/>
      <c r="V173" s="35"/>
      <c r="W173" s="35"/>
      <c r="X173" s="35"/>
      <c r="Y173" s="35"/>
      <c r="Z173" s="35"/>
    </row>
    <row r="174" ht="14.25" hidden="1" customHeight="1">
      <c r="A174" s="270" t="s">
        <v>1788</v>
      </c>
      <c r="B174" s="340" t="s">
        <v>2185</v>
      </c>
      <c r="C174" s="322" t="s">
        <v>2186</v>
      </c>
      <c r="D174" s="336" t="s">
        <v>2145</v>
      </c>
      <c r="E174" s="333"/>
      <c r="F174" s="275">
        <v>8360.0</v>
      </c>
      <c r="G174" s="276">
        <v>44593.0</v>
      </c>
      <c r="H174" s="285">
        <f t="shared" si="7"/>
        <v>12540</v>
      </c>
      <c r="I174" s="286">
        <f t="shared" si="8"/>
        <v>10868</v>
      </c>
      <c r="J174" s="287">
        <f t="shared" si="9"/>
        <v>10868</v>
      </c>
      <c r="K174" s="288">
        <f t="shared" si="10"/>
        <v>10032</v>
      </c>
      <c r="L174" s="287">
        <f t="shared" si="11"/>
        <v>9614</v>
      </c>
      <c r="M174" s="288">
        <f t="shared" si="12"/>
        <v>9196</v>
      </c>
      <c r="N174" s="281"/>
      <c r="O174" s="78"/>
      <c r="P174" s="35"/>
      <c r="Q174" s="35"/>
      <c r="R174" s="35"/>
      <c r="S174" s="35"/>
      <c r="T174" s="35"/>
      <c r="U174" s="35"/>
      <c r="V174" s="35"/>
      <c r="W174" s="35"/>
      <c r="X174" s="35"/>
      <c r="Y174" s="35"/>
      <c r="Z174" s="35"/>
    </row>
    <row r="175" ht="14.25" hidden="1" customHeight="1">
      <c r="A175" s="270" t="s">
        <v>1788</v>
      </c>
      <c r="B175" s="340" t="s">
        <v>2185</v>
      </c>
      <c r="C175" s="322" t="s">
        <v>2187</v>
      </c>
      <c r="D175" s="337" t="s">
        <v>2136</v>
      </c>
      <c r="E175" s="274"/>
      <c r="F175" s="275">
        <v>2950.0</v>
      </c>
      <c r="G175" s="276">
        <v>44593.0</v>
      </c>
      <c r="H175" s="285">
        <f t="shared" si="7"/>
        <v>4425</v>
      </c>
      <c r="I175" s="286">
        <f t="shared" si="8"/>
        <v>3835</v>
      </c>
      <c r="J175" s="287">
        <f t="shared" si="9"/>
        <v>3835</v>
      </c>
      <c r="K175" s="288">
        <f t="shared" si="10"/>
        <v>3540</v>
      </c>
      <c r="L175" s="287">
        <f t="shared" si="11"/>
        <v>3392.5</v>
      </c>
      <c r="M175" s="288">
        <f t="shared" si="12"/>
        <v>3245</v>
      </c>
      <c r="N175" s="281"/>
      <c r="O175" s="78"/>
      <c r="P175" s="35"/>
      <c r="Q175" s="35"/>
      <c r="R175" s="35"/>
      <c r="S175" s="35"/>
      <c r="T175" s="35"/>
      <c r="U175" s="35"/>
      <c r="V175" s="35"/>
      <c r="W175" s="35"/>
      <c r="X175" s="35"/>
      <c r="Y175" s="35"/>
      <c r="Z175" s="35"/>
    </row>
    <row r="176" ht="14.25" hidden="1" customHeight="1">
      <c r="A176" s="270" t="s">
        <v>1788</v>
      </c>
      <c r="B176" s="340" t="s">
        <v>2185</v>
      </c>
      <c r="C176" s="322" t="s">
        <v>2188</v>
      </c>
      <c r="D176" s="337" t="s">
        <v>2145</v>
      </c>
      <c r="E176" s="333"/>
      <c r="F176" s="275">
        <v>6750.0</v>
      </c>
      <c r="G176" s="276">
        <v>44593.0</v>
      </c>
      <c r="H176" s="285">
        <f t="shared" si="7"/>
        <v>10125</v>
      </c>
      <c r="I176" s="286">
        <f t="shared" si="8"/>
        <v>8775</v>
      </c>
      <c r="J176" s="287">
        <f t="shared" si="9"/>
        <v>8775</v>
      </c>
      <c r="K176" s="288">
        <f t="shared" si="10"/>
        <v>8100</v>
      </c>
      <c r="L176" s="287">
        <f t="shared" si="11"/>
        <v>7762.5</v>
      </c>
      <c r="M176" s="288">
        <f t="shared" si="12"/>
        <v>7425</v>
      </c>
      <c r="N176" s="281"/>
      <c r="O176" s="78"/>
      <c r="P176" s="35"/>
      <c r="Q176" s="35"/>
      <c r="R176" s="35"/>
      <c r="S176" s="35"/>
      <c r="T176" s="35"/>
      <c r="U176" s="35"/>
      <c r="V176" s="35"/>
      <c r="W176" s="35"/>
      <c r="X176" s="35"/>
      <c r="Y176" s="35"/>
      <c r="Z176" s="35"/>
    </row>
    <row r="177" ht="14.25" hidden="1" customHeight="1">
      <c r="A177" s="270" t="s">
        <v>1788</v>
      </c>
      <c r="B177" s="340" t="s">
        <v>2185</v>
      </c>
      <c r="C177" s="322" t="s">
        <v>2189</v>
      </c>
      <c r="D177" s="337" t="s">
        <v>2145</v>
      </c>
      <c r="E177" s="333"/>
      <c r="F177" s="275">
        <v>3580.0</v>
      </c>
      <c r="G177" s="276">
        <v>44593.0</v>
      </c>
      <c r="H177" s="285">
        <f t="shared" si="7"/>
        <v>5370</v>
      </c>
      <c r="I177" s="286">
        <f t="shared" si="8"/>
        <v>4654</v>
      </c>
      <c r="J177" s="287">
        <f t="shared" si="9"/>
        <v>4654</v>
      </c>
      <c r="K177" s="288">
        <f t="shared" si="10"/>
        <v>4296</v>
      </c>
      <c r="L177" s="287">
        <f t="shared" si="11"/>
        <v>4117</v>
      </c>
      <c r="M177" s="288">
        <f t="shared" si="12"/>
        <v>3938</v>
      </c>
      <c r="N177" s="281"/>
      <c r="O177" s="78"/>
      <c r="P177" s="35"/>
      <c r="Q177" s="35"/>
      <c r="R177" s="35"/>
      <c r="S177" s="35"/>
      <c r="T177" s="35"/>
      <c r="U177" s="35"/>
      <c r="V177" s="35"/>
      <c r="W177" s="35"/>
      <c r="X177" s="35"/>
      <c r="Y177" s="35"/>
      <c r="Z177" s="35"/>
    </row>
    <row r="178" ht="14.25" hidden="1" customHeight="1">
      <c r="A178" s="270" t="s">
        <v>1788</v>
      </c>
      <c r="B178" s="340" t="s">
        <v>2185</v>
      </c>
      <c r="C178" s="322" t="s">
        <v>2190</v>
      </c>
      <c r="D178" s="337" t="s">
        <v>2147</v>
      </c>
      <c r="E178" s="333"/>
      <c r="F178" s="275">
        <v>4250.0</v>
      </c>
      <c r="G178" s="276">
        <v>44593.0</v>
      </c>
      <c r="H178" s="285">
        <f t="shared" si="7"/>
        <v>6375</v>
      </c>
      <c r="I178" s="286">
        <f t="shared" si="8"/>
        <v>5525</v>
      </c>
      <c r="J178" s="287">
        <f t="shared" si="9"/>
        <v>5525</v>
      </c>
      <c r="K178" s="288">
        <f t="shared" si="10"/>
        <v>5100</v>
      </c>
      <c r="L178" s="287">
        <f t="shared" si="11"/>
        <v>4887.5</v>
      </c>
      <c r="M178" s="288">
        <f t="shared" si="12"/>
        <v>4675</v>
      </c>
      <c r="N178" s="281"/>
      <c r="O178" s="78"/>
      <c r="P178" s="35"/>
      <c r="Q178" s="35"/>
      <c r="R178" s="35"/>
      <c r="S178" s="35"/>
      <c r="T178" s="35"/>
      <c r="U178" s="35"/>
      <c r="V178" s="35"/>
      <c r="W178" s="35"/>
      <c r="X178" s="35"/>
      <c r="Y178" s="35"/>
      <c r="Z178" s="35"/>
    </row>
    <row r="179" ht="14.25" hidden="1" customHeight="1">
      <c r="A179" s="270" t="s">
        <v>1788</v>
      </c>
      <c r="B179" s="340" t="s">
        <v>2185</v>
      </c>
      <c r="C179" s="322" t="s">
        <v>2191</v>
      </c>
      <c r="D179" s="336" t="s">
        <v>2145</v>
      </c>
      <c r="E179" s="333"/>
      <c r="F179" s="275">
        <v>4600.0</v>
      </c>
      <c r="G179" s="276">
        <v>44593.0</v>
      </c>
      <c r="H179" s="285">
        <f t="shared" si="7"/>
        <v>6900</v>
      </c>
      <c r="I179" s="286">
        <f t="shared" si="8"/>
        <v>5980</v>
      </c>
      <c r="J179" s="287">
        <f t="shared" si="9"/>
        <v>5980</v>
      </c>
      <c r="K179" s="288">
        <f t="shared" si="10"/>
        <v>5520</v>
      </c>
      <c r="L179" s="287">
        <f t="shared" si="11"/>
        <v>5290</v>
      </c>
      <c r="M179" s="288">
        <f t="shared" si="12"/>
        <v>5060</v>
      </c>
      <c r="N179" s="281"/>
      <c r="O179" s="78"/>
      <c r="P179" s="35"/>
      <c r="Q179" s="35"/>
      <c r="R179" s="35"/>
      <c r="S179" s="35"/>
      <c r="T179" s="35"/>
      <c r="U179" s="35"/>
      <c r="V179" s="35"/>
      <c r="W179" s="35"/>
      <c r="X179" s="35"/>
      <c r="Y179" s="35"/>
      <c r="Z179" s="35"/>
    </row>
    <row r="180" ht="14.25" hidden="1" customHeight="1">
      <c r="A180" s="270" t="s">
        <v>1788</v>
      </c>
      <c r="B180" s="340" t="s">
        <v>2185</v>
      </c>
      <c r="C180" s="270" t="s">
        <v>2192</v>
      </c>
      <c r="D180" s="337" t="s">
        <v>2147</v>
      </c>
      <c r="E180" s="333"/>
      <c r="F180" s="275">
        <v>5300.0</v>
      </c>
      <c r="G180" s="276">
        <v>44593.0</v>
      </c>
      <c r="H180" s="285">
        <f t="shared" si="7"/>
        <v>7950</v>
      </c>
      <c r="I180" s="286">
        <f t="shared" si="8"/>
        <v>6890</v>
      </c>
      <c r="J180" s="287">
        <f t="shared" si="9"/>
        <v>6890</v>
      </c>
      <c r="K180" s="288">
        <f t="shared" si="10"/>
        <v>6360</v>
      </c>
      <c r="L180" s="287">
        <f t="shared" si="11"/>
        <v>6095</v>
      </c>
      <c r="M180" s="288">
        <f t="shared" si="12"/>
        <v>5830</v>
      </c>
      <c r="N180" s="281"/>
      <c r="O180" s="78"/>
      <c r="P180" s="35"/>
      <c r="Q180" s="35"/>
      <c r="R180" s="35"/>
      <c r="S180" s="35"/>
      <c r="T180" s="35"/>
      <c r="U180" s="35"/>
      <c r="V180" s="35"/>
      <c r="W180" s="35"/>
      <c r="X180" s="35"/>
      <c r="Y180" s="35"/>
      <c r="Z180" s="35"/>
    </row>
    <row r="181" ht="14.25" hidden="1" customHeight="1">
      <c r="A181" s="270" t="s">
        <v>1788</v>
      </c>
      <c r="B181" s="340" t="s">
        <v>2185</v>
      </c>
      <c r="C181" s="322" t="s">
        <v>2193</v>
      </c>
      <c r="D181" s="337" t="s">
        <v>2157</v>
      </c>
      <c r="E181" s="333"/>
      <c r="F181" s="275">
        <v>6000.0</v>
      </c>
      <c r="G181" s="276">
        <v>44593.0</v>
      </c>
      <c r="H181" s="285">
        <f t="shared" si="7"/>
        <v>9000</v>
      </c>
      <c r="I181" s="286">
        <f t="shared" si="8"/>
        <v>7800</v>
      </c>
      <c r="J181" s="287">
        <f t="shared" si="9"/>
        <v>7800</v>
      </c>
      <c r="K181" s="288">
        <f t="shared" si="10"/>
        <v>7200</v>
      </c>
      <c r="L181" s="287">
        <f t="shared" si="11"/>
        <v>6900</v>
      </c>
      <c r="M181" s="288">
        <f t="shared" si="12"/>
        <v>6600</v>
      </c>
      <c r="N181" s="281"/>
      <c r="O181" s="78"/>
      <c r="P181" s="35"/>
      <c r="Q181" s="35"/>
      <c r="R181" s="35"/>
      <c r="S181" s="35"/>
      <c r="T181" s="35"/>
      <c r="U181" s="35"/>
      <c r="V181" s="35"/>
      <c r="W181" s="35"/>
      <c r="X181" s="35"/>
      <c r="Y181" s="35"/>
      <c r="Z181" s="35"/>
    </row>
    <row r="182" ht="14.25" hidden="1" customHeight="1">
      <c r="A182" s="270" t="s">
        <v>1788</v>
      </c>
      <c r="B182" s="340" t="s">
        <v>2185</v>
      </c>
      <c r="C182" s="322" t="s">
        <v>2194</v>
      </c>
      <c r="D182" s="337" t="s">
        <v>2145</v>
      </c>
      <c r="E182" s="333"/>
      <c r="F182" s="275">
        <v>7420.0</v>
      </c>
      <c r="G182" s="276">
        <v>44593.0</v>
      </c>
      <c r="H182" s="285">
        <f t="shared" si="7"/>
        <v>11130</v>
      </c>
      <c r="I182" s="286">
        <f t="shared" si="8"/>
        <v>9646</v>
      </c>
      <c r="J182" s="287">
        <f t="shared" si="9"/>
        <v>9646</v>
      </c>
      <c r="K182" s="288">
        <f t="shared" si="10"/>
        <v>8904</v>
      </c>
      <c r="L182" s="287">
        <f t="shared" si="11"/>
        <v>8533</v>
      </c>
      <c r="M182" s="288">
        <f t="shared" si="12"/>
        <v>8162</v>
      </c>
      <c r="N182" s="281"/>
      <c r="O182" s="78"/>
      <c r="P182" s="35"/>
      <c r="Q182" s="35"/>
      <c r="R182" s="35"/>
      <c r="S182" s="35"/>
      <c r="T182" s="35"/>
      <c r="U182" s="35"/>
      <c r="V182" s="35"/>
      <c r="W182" s="35"/>
      <c r="X182" s="35"/>
      <c r="Y182" s="35"/>
      <c r="Z182" s="35"/>
    </row>
    <row r="183" ht="14.25" hidden="1" customHeight="1">
      <c r="A183" s="270" t="s">
        <v>1788</v>
      </c>
      <c r="B183" s="340" t="s">
        <v>2185</v>
      </c>
      <c r="C183" s="322" t="s">
        <v>2195</v>
      </c>
      <c r="D183" s="337" t="s">
        <v>2147</v>
      </c>
      <c r="E183" s="333"/>
      <c r="F183" s="275">
        <v>10050.0</v>
      </c>
      <c r="G183" s="276">
        <v>44593.0</v>
      </c>
      <c r="H183" s="285">
        <f t="shared" si="7"/>
        <v>15075</v>
      </c>
      <c r="I183" s="286">
        <f t="shared" si="8"/>
        <v>13065</v>
      </c>
      <c r="J183" s="287">
        <f t="shared" si="9"/>
        <v>13065</v>
      </c>
      <c r="K183" s="288">
        <f t="shared" si="10"/>
        <v>12060</v>
      </c>
      <c r="L183" s="287">
        <f t="shared" si="11"/>
        <v>11557.5</v>
      </c>
      <c r="M183" s="288">
        <f t="shared" si="12"/>
        <v>11055</v>
      </c>
      <c r="N183" s="281"/>
      <c r="O183" s="78"/>
      <c r="P183" s="35"/>
      <c r="Q183" s="35"/>
      <c r="R183" s="35"/>
      <c r="S183" s="35"/>
      <c r="T183" s="35"/>
      <c r="U183" s="35"/>
      <c r="V183" s="35"/>
      <c r="W183" s="35"/>
      <c r="X183" s="35"/>
      <c r="Y183" s="35"/>
      <c r="Z183" s="35"/>
    </row>
    <row r="184" ht="14.25" hidden="1" customHeight="1">
      <c r="A184" s="270" t="s">
        <v>1788</v>
      </c>
      <c r="B184" s="340" t="s">
        <v>2185</v>
      </c>
      <c r="C184" s="270" t="s">
        <v>2196</v>
      </c>
      <c r="D184" s="337" t="s">
        <v>2157</v>
      </c>
      <c r="E184" s="333"/>
      <c r="F184" s="275">
        <v>10730.0</v>
      </c>
      <c r="G184" s="276">
        <v>44593.0</v>
      </c>
      <c r="H184" s="285">
        <f t="shared" si="7"/>
        <v>16095</v>
      </c>
      <c r="I184" s="286">
        <f t="shared" si="8"/>
        <v>13949</v>
      </c>
      <c r="J184" s="287">
        <f t="shared" si="9"/>
        <v>13949</v>
      </c>
      <c r="K184" s="288">
        <f t="shared" si="10"/>
        <v>12876</v>
      </c>
      <c r="L184" s="287">
        <f t="shared" si="11"/>
        <v>12339.5</v>
      </c>
      <c r="M184" s="288">
        <f t="shared" si="12"/>
        <v>11803</v>
      </c>
      <c r="N184" s="281"/>
      <c r="O184" s="78"/>
      <c r="P184" s="35"/>
      <c r="Q184" s="35"/>
      <c r="R184" s="35"/>
      <c r="S184" s="35"/>
      <c r="T184" s="35"/>
      <c r="U184" s="35"/>
      <c r="V184" s="35"/>
      <c r="W184" s="35"/>
      <c r="X184" s="35"/>
      <c r="Y184" s="35"/>
      <c r="Z184" s="35"/>
    </row>
    <row r="185" ht="14.25" hidden="1" customHeight="1">
      <c r="A185" s="270" t="s">
        <v>1788</v>
      </c>
      <c r="B185" s="340" t="s">
        <v>2185</v>
      </c>
      <c r="C185" s="341" t="s">
        <v>2197</v>
      </c>
      <c r="D185" s="345" t="s">
        <v>2145</v>
      </c>
      <c r="E185" s="346"/>
      <c r="F185" s="275">
        <v>2970.0</v>
      </c>
      <c r="G185" s="276">
        <v>44593.0</v>
      </c>
      <c r="H185" s="285">
        <f t="shared" si="7"/>
        <v>4455</v>
      </c>
      <c r="I185" s="286">
        <f t="shared" si="8"/>
        <v>3861</v>
      </c>
      <c r="J185" s="287">
        <f t="shared" si="9"/>
        <v>3861</v>
      </c>
      <c r="K185" s="288">
        <f t="shared" si="10"/>
        <v>3564</v>
      </c>
      <c r="L185" s="287">
        <f t="shared" si="11"/>
        <v>3415.5</v>
      </c>
      <c r="M185" s="288">
        <f t="shared" si="12"/>
        <v>3267</v>
      </c>
      <c r="N185" s="281"/>
      <c r="O185" s="78"/>
      <c r="P185" s="35"/>
      <c r="Q185" s="35"/>
      <c r="R185" s="35"/>
      <c r="S185" s="35"/>
      <c r="T185" s="35"/>
      <c r="U185" s="35"/>
      <c r="V185" s="35"/>
      <c r="W185" s="35"/>
      <c r="X185" s="35"/>
      <c r="Y185" s="35"/>
      <c r="Z185" s="35"/>
    </row>
    <row r="186" ht="14.25" hidden="1" customHeight="1">
      <c r="A186" s="270" t="s">
        <v>1788</v>
      </c>
      <c r="B186" s="340" t="s">
        <v>2150</v>
      </c>
      <c r="C186" s="270" t="s">
        <v>2198</v>
      </c>
      <c r="D186" s="337" t="s">
        <v>2145</v>
      </c>
      <c r="E186" s="333"/>
      <c r="F186" s="275">
        <v>7900.0</v>
      </c>
      <c r="G186" s="276">
        <v>44593.0</v>
      </c>
      <c r="H186" s="285">
        <f t="shared" si="7"/>
        <v>11850</v>
      </c>
      <c r="I186" s="286">
        <f t="shared" si="8"/>
        <v>10270</v>
      </c>
      <c r="J186" s="287">
        <f t="shared" si="9"/>
        <v>10270</v>
      </c>
      <c r="K186" s="288">
        <f t="shared" si="10"/>
        <v>9480</v>
      </c>
      <c r="L186" s="287">
        <f t="shared" si="11"/>
        <v>9085</v>
      </c>
      <c r="M186" s="288">
        <f t="shared" si="12"/>
        <v>8690</v>
      </c>
      <c r="N186" s="281"/>
      <c r="O186" s="78"/>
      <c r="P186" s="35"/>
      <c r="Q186" s="35"/>
      <c r="R186" s="35"/>
      <c r="S186" s="35"/>
      <c r="T186" s="35"/>
      <c r="U186" s="35"/>
      <c r="V186" s="35"/>
      <c r="W186" s="35"/>
      <c r="X186" s="35"/>
      <c r="Y186" s="35"/>
      <c r="Z186" s="35"/>
    </row>
    <row r="187" ht="14.25" hidden="1" customHeight="1">
      <c r="A187" s="270" t="s">
        <v>1788</v>
      </c>
      <c r="B187" s="340" t="s">
        <v>2150</v>
      </c>
      <c r="C187" s="270" t="s">
        <v>2199</v>
      </c>
      <c r="D187" s="337" t="s">
        <v>2145</v>
      </c>
      <c r="E187" s="333"/>
      <c r="F187" s="275">
        <v>10800.0</v>
      </c>
      <c r="G187" s="276">
        <v>44593.0</v>
      </c>
      <c r="H187" s="285">
        <f t="shared" si="7"/>
        <v>16200</v>
      </c>
      <c r="I187" s="286">
        <f t="shared" si="8"/>
        <v>14040</v>
      </c>
      <c r="J187" s="287">
        <f t="shared" si="9"/>
        <v>14040</v>
      </c>
      <c r="K187" s="288">
        <f t="shared" si="10"/>
        <v>12960</v>
      </c>
      <c r="L187" s="287">
        <f t="shared" si="11"/>
        <v>12420</v>
      </c>
      <c r="M187" s="288">
        <f t="shared" si="12"/>
        <v>11880</v>
      </c>
      <c r="N187" s="281"/>
      <c r="O187" s="78"/>
      <c r="P187" s="35"/>
      <c r="Q187" s="35"/>
      <c r="R187" s="35"/>
      <c r="S187" s="35"/>
      <c r="T187" s="35"/>
      <c r="U187" s="35"/>
      <c r="V187" s="35"/>
      <c r="W187" s="35"/>
      <c r="X187" s="35"/>
      <c r="Y187" s="35"/>
      <c r="Z187" s="35"/>
    </row>
    <row r="188" ht="14.25" hidden="1" customHeight="1">
      <c r="A188" s="270" t="s">
        <v>1788</v>
      </c>
      <c r="B188" s="340" t="s">
        <v>2150</v>
      </c>
      <c r="C188" s="270" t="s">
        <v>2200</v>
      </c>
      <c r="D188" s="337" t="s">
        <v>2147</v>
      </c>
      <c r="E188" s="274"/>
      <c r="F188" s="275">
        <v>13000.0</v>
      </c>
      <c r="G188" s="276">
        <v>44593.0</v>
      </c>
      <c r="H188" s="285">
        <f t="shared" si="7"/>
        <v>19500</v>
      </c>
      <c r="I188" s="286">
        <f t="shared" si="8"/>
        <v>16900</v>
      </c>
      <c r="J188" s="287">
        <f t="shared" si="9"/>
        <v>16900</v>
      </c>
      <c r="K188" s="288">
        <f t="shared" si="10"/>
        <v>15600</v>
      </c>
      <c r="L188" s="287">
        <f t="shared" si="11"/>
        <v>14950</v>
      </c>
      <c r="M188" s="288">
        <f t="shared" si="12"/>
        <v>14300</v>
      </c>
      <c r="N188" s="281"/>
      <c r="O188" s="78"/>
      <c r="P188" s="35"/>
      <c r="Q188" s="35"/>
      <c r="R188" s="35"/>
      <c r="S188" s="35"/>
      <c r="T188" s="35"/>
      <c r="U188" s="35"/>
      <c r="V188" s="35"/>
      <c r="W188" s="35"/>
      <c r="X188" s="35"/>
      <c r="Y188" s="35"/>
      <c r="Z188" s="35"/>
    </row>
    <row r="189" ht="14.25" hidden="1" customHeight="1">
      <c r="A189" s="270" t="s">
        <v>1788</v>
      </c>
      <c r="B189" s="340" t="s">
        <v>2150</v>
      </c>
      <c r="C189" s="270" t="s">
        <v>2201</v>
      </c>
      <c r="D189" s="337" t="s">
        <v>2147</v>
      </c>
      <c r="E189" s="333"/>
      <c r="F189" s="275">
        <v>18500.0</v>
      </c>
      <c r="G189" s="276">
        <v>44593.0</v>
      </c>
      <c r="H189" s="285">
        <f t="shared" si="7"/>
        <v>27750</v>
      </c>
      <c r="I189" s="286">
        <f t="shared" si="8"/>
        <v>24050</v>
      </c>
      <c r="J189" s="287">
        <f t="shared" si="9"/>
        <v>24050</v>
      </c>
      <c r="K189" s="288">
        <f t="shared" si="10"/>
        <v>22200</v>
      </c>
      <c r="L189" s="287">
        <f t="shared" si="11"/>
        <v>21275</v>
      </c>
      <c r="M189" s="288">
        <f t="shared" si="12"/>
        <v>20350</v>
      </c>
      <c r="N189" s="281"/>
      <c r="O189" s="78"/>
      <c r="P189" s="35"/>
      <c r="Q189" s="35"/>
      <c r="R189" s="35"/>
      <c r="S189" s="35"/>
      <c r="T189" s="35"/>
      <c r="U189" s="35"/>
      <c r="V189" s="35"/>
      <c r="W189" s="35"/>
      <c r="X189" s="35"/>
      <c r="Y189" s="35"/>
      <c r="Z189" s="35"/>
    </row>
    <row r="190" ht="14.25" hidden="1" customHeight="1">
      <c r="A190" s="270" t="s">
        <v>1788</v>
      </c>
      <c r="B190" s="282"/>
      <c r="C190" s="270" t="s">
        <v>2202</v>
      </c>
      <c r="D190" s="337" t="s">
        <v>2136</v>
      </c>
      <c r="E190" s="274"/>
      <c r="F190" s="275">
        <v>30000.0</v>
      </c>
      <c r="G190" s="276">
        <v>44593.0</v>
      </c>
      <c r="H190" s="285">
        <f t="shared" si="7"/>
        <v>45000</v>
      </c>
      <c r="I190" s="286">
        <f t="shared" si="8"/>
        <v>39000</v>
      </c>
      <c r="J190" s="287">
        <f t="shared" si="9"/>
        <v>39000</v>
      </c>
      <c r="K190" s="288">
        <f t="shared" si="10"/>
        <v>36000</v>
      </c>
      <c r="L190" s="287">
        <f t="shared" si="11"/>
        <v>34500</v>
      </c>
      <c r="M190" s="288">
        <f t="shared" si="12"/>
        <v>33000</v>
      </c>
      <c r="N190" s="281"/>
      <c r="O190" s="78"/>
      <c r="P190" s="35"/>
      <c r="Q190" s="35"/>
      <c r="R190" s="35"/>
      <c r="S190" s="35"/>
      <c r="T190" s="35"/>
      <c r="U190" s="35"/>
      <c r="V190" s="35"/>
      <c r="W190" s="35"/>
      <c r="X190" s="35"/>
      <c r="Y190" s="35"/>
      <c r="Z190" s="35"/>
    </row>
    <row r="191" ht="14.25" hidden="1" customHeight="1">
      <c r="A191" s="270" t="s">
        <v>1788</v>
      </c>
      <c r="B191" s="282" t="s">
        <v>2203</v>
      </c>
      <c r="C191" s="270" t="s">
        <v>2204</v>
      </c>
      <c r="D191" s="337" t="s">
        <v>2145</v>
      </c>
      <c r="E191" s="333"/>
      <c r="F191" s="275">
        <v>3185.0</v>
      </c>
      <c r="G191" s="276">
        <v>44593.0</v>
      </c>
      <c r="H191" s="285">
        <f t="shared" si="7"/>
        <v>4777.5</v>
      </c>
      <c r="I191" s="286">
        <f t="shared" si="8"/>
        <v>4140.5</v>
      </c>
      <c r="J191" s="287">
        <f t="shared" si="9"/>
        <v>4140.5</v>
      </c>
      <c r="K191" s="288">
        <f t="shared" si="10"/>
        <v>3822</v>
      </c>
      <c r="L191" s="287">
        <f t="shared" si="11"/>
        <v>3662.75</v>
      </c>
      <c r="M191" s="288">
        <f t="shared" si="12"/>
        <v>3503.5</v>
      </c>
      <c r="N191" s="281"/>
      <c r="O191" s="78"/>
      <c r="P191" s="35"/>
      <c r="Q191" s="35"/>
      <c r="R191" s="35"/>
      <c r="S191" s="35"/>
      <c r="T191" s="35"/>
      <c r="U191" s="35"/>
      <c r="V191" s="35"/>
      <c r="W191" s="35"/>
      <c r="X191" s="35"/>
      <c r="Y191" s="35"/>
      <c r="Z191" s="35"/>
    </row>
    <row r="192" ht="14.25" hidden="1" customHeight="1">
      <c r="A192" s="270" t="s">
        <v>1788</v>
      </c>
      <c r="B192" s="282" t="s">
        <v>1900</v>
      </c>
      <c r="C192" s="270" t="s">
        <v>2205</v>
      </c>
      <c r="D192" s="337" t="s">
        <v>2145</v>
      </c>
      <c r="E192" s="333"/>
      <c r="F192" s="275">
        <v>6200.0</v>
      </c>
      <c r="G192" s="276">
        <v>44593.0</v>
      </c>
      <c r="H192" s="285">
        <f t="shared" si="7"/>
        <v>9300</v>
      </c>
      <c r="I192" s="286">
        <f t="shared" si="8"/>
        <v>8060</v>
      </c>
      <c r="J192" s="287">
        <f t="shared" si="9"/>
        <v>8060</v>
      </c>
      <c r="K192" s="288">
        <f t="shared" si="10"/>
        <v>7440</v>
      </c>
      <c r="L192" s="287">
        <f t="shared" si="11"/>
        <v>7130</v>
      </c>
      <c r="M192" s="288">
        <f t="shared" si="12"/>
        <v>6820</v>
      </c>
      <c r="N192" s="281"/>
      <c r="O192" s="78"/>
      <c r="P192" s="35"/>
      <c r="Q192" s="35"/>
      <c r="R192" s="35"/>
      <c r="S192" s="35"/>
      <c r="T192" s="35"/>
      <c r="U192" s="35"/>
      <c r="V192" s="35"/>
      <c r="W192" s="35"/>
      <c r="X192" s="35"/>
      <c r="Y192" s="35"/>
      <c r="Z192" s="35"/>
    </row>
    <row r="193" ht="14.25" hidden="1" customHeight="1">
      <c r="A193" s="270" t="s">
        <v>1788</v>
      </c>
      <c r="B193" s="282" t="s">
        <v>1900</v>
      </c>
      <c r="C193" s="270" t="s">
        <v>2206</v>
      </c>
      <c r="D193" s="337">
        <v>16.0</v>
      </c>
      <c r="E193" s="333"/>
      <c r="F193" s="275">
        <v>4300.0</v>
      </c>
      <c r="G193" s="276">
        <v>44593.0</v>
      </c>
      <c r="H193" s="285">
        <f t="shared" si="7"/>
        <v>6450</v>
      </c>
      <c r="I193" s="286">
        <f t="shared" si="8"/>
        <v>5590</v>
      </c>
      <c r="J193" s="287">
        <f t="shared" si="9"/>
        <v>5590</v>
      </c>
      <c r="K193" s="288">
        <f t="shared" si="10"/>
        <v>5160</v>
      </c>
      <c r="L193" s="287">
        <f t="shared" si="11"/>
        <v>4945</v>
      </c>
      <c r="M193" s="288">
        <f t="shared" si="12"/>
        <v>4730</v>
      </c>
      <c r="N193" s="281"/>
      <c r="O193" s="78"/>
      <c r="P193" s="35"/>
      <c r="Q193" s="35"/>
      <c r="R193" s="35"/>
      <c r="S193" s="35"/>
      <c r="T193" s="35"/>
      <c r="U193" s="35"/>
      <c r="V193" s="35"/>
      <c r="W193" s="35"/>
      <c r="X193" s="35"/>
      <c r="Y193" s="35"/>
      <c r="Z193" s="35"/>
    </row>
    <row r="194" ht="14.25" hidden="1" customHeight="1">
      <c r="A194" s="270" t="s">
        <v>1788</v>
      </c>
      <c r="B194" s="282" t="s">
        <v>1900</v>
      </c>
      <c r="C194" s="270" t="s">
        <v>2207</v>
      </c>
      <c r="D194" s="337">
        <v>16.0</v>
      </c>
      <c r="E194" s="333"/>
      <c r="F194" s="275">
        <v>5300.0</v>
      </c>
      <c r="G194" s="276">
        <v>44593.0</v>
      </c>
      <c r="H194" s="285">
        <f t="shared" si="7"/>
        <v>7950</v>
      </c>
      <c r="I194" s="286">
        <f t="shared" si="8"/>
        <v>6890</v>
      </c>
      <c r="J194" s="287">
        <f t="shared" si="9"/>
        <v>6890</v>
      </c>
      <c r="K194" s="288">
        <f t="shared" si="10"/>
        <v>6360</v>
      </c>
      <c r="L194" s="287">
        <f t="shared" si="11"/>
        <v>6095</v>
      </c>
      <c r="M194" s="288">
        <f t="shared" si="12"/>
        <v>5830</v>
      </c>
      <c r="N194" s="281"/>
      <c r="O194" s="78"/>
      <c r="P194" s="35"/>
      <c r="Q194" s="35"/>
      <c r="R194" s="35"/>
      <c r="S194" s="35"/>
      <c r="T194" s="35"/>
      <c r="U194" s="35"/>
      <c r="V194" s="35"/>
      <c r="W194" s="35"/>
      <c r="X194" s="35"/>
      <c r="Y194" s="35"/>
      <c r="Z194" s="35"/>
    </row>
    <row r="195" ht="14.25" hidden="1" customHeight="1">
      <c r="A195" s="270" t="s">
        <v>1788</v>
      </c>
      <c r="B195" s="282" t="s">
        <v>2100</v>
      </c>
      <c r="C195" s="270" t="s">
        <v>2208</v>
      </c>
      <c r="D195" s="337">
        <v>16.0</v>
      </c>
      <c r="E195" s="274"/>
      <c r="F195" s="275">
        <v>10500.0</v>
      </c>
      <c r="G195" s="276">
        <v>44593.0</v>
      </c>
      <c r="H195" s="285">
        <f t="shared" si="7"/>
        <v>15750</v>
      </c>
      <c r="I195" s="286">
        <f t="shared" si="8"/>
        <v>13650</v>
      </c>
      <c r="J195" s="287">
        <f t="shared" si="9"/>
        <v>13650</v>
      </c>
      <c r="K195" s="288">
        <f t="shared" si="10"/>
        <v>12600</v>
      </c>
      <c r="L195" s="287">
        <f t="shared" si="11"/>
        <v>12075</v>
      </c>
      <c r="M195" s="288">
        <f t="shared" si="12"/>
        <v>11550</v>
      </c>
      <c r="N195" s="281"/>
      <c r="O195" s="78"/>
      <c r="P195" s="35"/>
      <c r="Q195" s="35"/>
      <c r="R195" s="35"/>
      <c r="S195" s="35"/>
      <c r="T195" s="35"/>
      <c r="U195" s="35"/>
      <c r="V195" s="35"/>
      <c r="W195" s="35"/>
      <c r="X195" s="35"/>
      <c r="Y195" s="35"/>
      <c r="Z195" s="35"/>
    </row>
    <row r="196" ht="14.25" hidden="1" customHeight="1">
      <c r="A196" s="270" t="s">
        <v>1788</v>
      </c>
      <c r="B196" s="282" t="s">
        <v>2209</v>
      </c>
      <c r="C196" s="270" t="s">
        <v>2210</v>
      </c>
      <c r="D196" s="337">
        <v>32.0</v>
      </c>
      <c r="E196" s="274"/>
      <c r="F196" s="275">
        <v>44900.0</v>
      </c>
      <c r="G196" s="276">
        <v>44593.0</v>
      </c>
      <c r="H196" s="285">
        <f t="shared" si="7"/>
        <v>67350</v>
      </c>
      <c r="I196" s="286">
        <f t="shared" si="8"/>
        <v>58370</v>
      </c>
      <c r="J196" s="287">
        <f t="shared" si="9"/>
        <v>58370</v>
      </c>
      <c r="K196" s="288">
        <f t="shared" si="10"/>
        <v>53880</v>
      </c>
      <c r="L196" s="287">
        <f t="shared" si="11"/>
        <v>51635</v>
      </c>
      <c r="M196" s="288">
        <f t="shared" si="12"/>
        <v>49390</v>
      </c>
      <c r="N196" s="281"/>
      <c r="O196" s="78"/>
      <c r="P196" s="35"/>
      <c r="Q196" s="35"/>
      <c r="R196" s="35"/>
      <c r="S196" s="35"/>
      <c r="T196" s="35"/>
      <c r="U196" s="35"/>
      <c r="V196" s="35"/>
      <c r="W196" s="35"/>
      <c r="X196" s="35"/>
      <c r="Y196" s="35"/>
      <c r="Z196" s="35"/>
    </row>
    <row r="197" ht="14.25" hidden="1" customHeight="1">
      <c r="A197" s="270" t="s">
        <v>1788</v>
      </c>
      <c r="B197" s="282" t="s">
        <v>2209</v>
      </c>
      <c r="C197" s="270" t="s">
        <v>2211</v>
      </c>
      <c r="D197" s="337">
        <v>16.0</v>
      </c>
      <c r="E197" s="274"/>
      <c r="F197" s="275">
        <v>33000.0</v>
      </c>
      <c r="G197" s="276">
        <v>44593.0</v>
      </c>
      <c r="H197" s="285">
        <f t="shared" si="7"/>
        <v>49500</v>
      </c>
      <c r="I197" s="286">
        <f t="shared" si="8"/>
        <v>42900</v>
      </c>
      <c r="J197" s="287">
        <f t="shared" si="9"/>
        <v>42900</v>
      </c>
      <c r="K197" s="288">
        <f t="shared" si="10"/>
        <v>39600</v>
      </c>
      <c r="L197" s="287">
        <f t="shared" si="11"/>
        <v>37950</v>
      </c>
      <c r="M197" s="288">
        <f t="shared" si="12"/>
        <v>36300</v>
      </c>
      <c r="N197" s="281"/>
      <c r="O197" s="78"/>
      <c r="P197" s="35"/>
      <c r="Q197" s="35"/>
      <c r="R197" s="35"/>
      <c r="S197" s="35"/>
      <c r="T197" s="35"/>
      <c r="U197" s="35"/>
      <c r="V197" s="35"/>
      <c r="W197" s="35"/>
      <c r="X197" s="35"/>
      <c r="Y197" s="35"/>
      <c r="Z197" s="35"/>
    </row>
    <row r="198" ht="14.25" hidden="1" customHeight="1">
      <c r="A198" s="270" t="s">
        <v>1788</v>
      </c>
      <c r="B198" s="282" t="s">
        <v>2212</v>
      </c>
      <c r="C198" s="270" t="s">
        <v>2213</v>
      </c>
      <c r="D198" s="337">
        <v>16.0</v>
      </c>
      <c r="E198" s="274"/>
      <c r="F198" s="275">
        <v>13700.0</v>
      </c>
      <c r="G198" s="276">
        <v>44593.0</v>
      </c>
      <c r="H198" s="285">
        <f t="shared" si="7"/>
        <v>20550</v>
      </c>
      <c r="I198" s="286">
        <f t="shared" si="8"/>
        <v>17810</v>
      </c>
      <c r="J198" s="287">
        <f t="shared" si="9"/>
        <v>17810</v>
      </c>
      <c r="K198" s="288">
        <f t="shared" si="10"/>
        <v>16440</v>
      </c>
      <c r="L198" s="287">
        <f t="shared" si="11"/>
        <v>15755</v>
      </c>
      <c r="M198" s="288">
        <f t="shared" si="12"/>
        <v>15070</v>
      </c>
      <c r="N198" s="281"/>
      <c r="O198" s="78"/>
      <c r="P198" s="35"/>
      <c r="Q198" s="35"/>
      <c r="R198" s="35"/>
      <c r="S198" s="35"/>
      <c r="T198" s="35"/>
      <c r="U198" s="35"/>
      <c r="V198" s="35"/>
      <c r="W198" s="35"/>
      <c r="X198" s="35"/>
      <c r="Y198" s="35"/>
      <c r="Z198" s="35"/>
    </row>
    <row r="199" ht="14.25" hidden="1" customHeight="1">
      <c r="A199" s="270" t="s">
        <v>1788</v>
      </c>
      <c r="B199" s="282" t="s">
        <v>2212</v>
      </c>
      <c r="C199" s="270" t="s">
        <v>2214</v>
      </c>
      <c r="D199" s="337">
        <v>64.0</v>
      </c>
      <c r="E199" s="274"/>
      <c r="F199" s="275">
        <v>23500.0</v>
      </c>
      <c r="G199" s="276">
        <v>44593.0</v>
      </c>
      <c r="H199" s="285">
        <f t="shared" si="7"/>
        <v>35250</v>
      </c>
      <c r="I199" s="286">
        <f t="shared" si="8"/>
        <v>30550</v>
      </c>
      <c r="J199" s="287">
        <f t="shared" si="9"/>
        <v>30550</v>
      </c>
      <c r="K199" s="288">
        <f t="shared" si="10"/>
        <v>28200</v>
      </c>
      <c r="L199" s="287">
        <f t="shared" si="11"/>
        <v>27025</v>
      </c>
      <c r="M199" s="288">
        <f t="shared" si="12"/>
        <v>25850</v>
      </c>
      <c r="N199" s="281"/>
      <c r="O199" s="78"/>
      <c r="P199" s="35"/>
      <c r="Q199" s="35"/>
      <c r="R199" s="35"/>
      <c r="S199" s="35"/>
      <c r="T199" s="35"/>
      <c r="U199" s="35"/>
      <c r="V199" s="35"/>
      <c r="W199" s="35"/>
      <c r="X199" s="35"/>
      <c r="Y199" s="35"/>
      <c r="Z199" s="35"/>
    </row>
    <row r="200" ht="14.25" hidden="1" customHeight="1">
      <c r="A200" s="270" t="s">
        <v>1788</v>
      </c>
      <c r="B200" s="282" t="s">
        <v>2212</v>
      </c>
      <c r="C200" s="322" t="s">
        <v>2215</v>
      </c>
      <c r="D200" s="336" t="s">
        <v>2216</v>
      </c>
      <c r="E200" s="274"/>
      <c r="F200" s="275">
        <v>20300.0</v>
      </c>
      <c r="G200" s="276">
        <v>44593.0</v>
      </c>
      <c r="H200" s="285">
        <f t="shared" si="7"/>
        <v>30450</v>
      </c>
      <c r="I200" s="286">
        <f t="shared" si="8"/>
        <v>26390</v>
      </c>
      <c r="J200" s="287">
        <f t="shared" si="9"/>
        <v>26390</v>
      </c>
      <c r="K200" s="288">
        <f t="shared" si="10"/>
        <v>24360</v>
      </c>
      <c r="L200" s="287">
        <f t="shared" si="11"/>
        <v>23345</v>
      </c>
      <c r="M200" s="288">
        <f t="shared" si="12"/>
        <v>22330</v>
      </c>
      <c r="N200" s="281"/>
      <c r="O200" s="34"/>
      <c r="P200" s="35"/>
      <c r="Q200" s="35"/>
      <c r="R200" s="35"/>
      <c r="S200" s="35"/>
      <c r="T200" s="35"/>
      <c r="U200" s="35"/>
      <c r="V200" s="35"/>
      <c r="W200" s="35"/>
      <c r="X200" s="35"/>
      <c r="Y200" s="35"/>
      <c r="Z200" s="35"/>
    </row>
    <row r="201" ht="14.25" hidden="1" customHeight="1">
      <c r="A201" s="270" t="s">
        <v>1788</v>
      </c>
      <c r="B201" s="282" t="s">
        <v>1900</v>
      </c>
      <c r="C201" s="322" t="s">
        <v>2217</v>
      </c>
      <c r="D201" s="336" t="s">
        <v>2216</v>
      </c>
      <c r="E201" s="274"/>
      <c r="F201" s="275">
        <v>11000.0</v>
      </c>
      <c r="G201" s="276">
        <v>44593.0</v>
      </c>
      <c r="H201" s="285">
        <f t="shared" si="7"/>
        <v>16500</v>
      </c>
      <c r="I201" s="286">
        <f t="shared" si="8"/>
        <v>14300</v>
      </c>
      <c r="J201" s="287">
        <f t="shared" si="9"/>
        <v>14300</v>
      </c>
      <c r="K201" s="288">
        <f t="shared" si="10"/>
        <v>13200</v>
      </c>
      <c r="L201" s="287">
        <f t="shared" si="11"/>
        <v>12650</v>
      </c>
      <c r="M201" s="288">
        <f t="shared" si="12"/>
        <v>12100</v>
      </c>
      <c r="N201" s="281"/>
      <c r="O201" s="34"/>
      <c r="P201" s="35"/>
      <c r="Q201" s="35"/>
      <c r="R201" s="35"/>
      <c r="S201" s="35"/>
      <c r="T201" s="35"/>
      <c r="U201" s="35"/>
      <c r="V201" s="35"/>
      <c r="W201" s="35"/>
      <c r="X201" s="35"/>
      <c r="Y201" s="35"/>
      <c r="Z201" s="35"/>
    </row>
    <row r="202" ht="15.0" hidden="1" customHeight="1">
      <c r="A202" s="270" t="s">
        <v>1788</v>
      </c>
      <c r="B202" s="282" t="s">
        <v>1900</v>
      </c>
      <c r="C202" s="322" t="s">
        <v>2218</v>
      </c>
      <c r="D202" s="336" t="s">
        <v>2219</v>
      </c>
      <c r="E202" s="274"/>
      <c r="F202" s="275">
        <v>10200.0</v>
      </c>
      <c r="G202" s="276">
        <v>44593.0</v>
      </c>
      <c r="H202" s="285">
        <f t="shared" si="7"/>
        <v>15300</v>
      </c>
      <c r="I202" s="286">
        <f t="shared" si="8"/>
        <v>13260</v>
      </c>
      <c r="J202" s="287">
        <f t="shared" si="9"/>
        <v>13260</v>
      </c>
      <c r="K202" s="288">
        <f t="shared" si="10"/>
        <v>12240</v>
      </c>
      <c r="L202" s="287">
        <f t="shared" si="11"/>
        <v>11730</v>
      </c>
      <c r="M202" s="288">
        <f t="shared" si="12"/>
        <v>11220</v>
      </c>
      <c r="N202" s="281"/>
      <c r="O202" s="34"/>
      <c r="P202" s="35"/>
      <c r="Q202" s="35"/>
      <c r="R202" s="35"/>
      <c r="S202" s="35"/>
      <c r="T202" s="35"/>
      <c r="U202" s="35"/>
      <c r="V202" s="35"/>
      <c r="W202" s="35"/>
      <c r="X202" s="35"/>
      <c r="Y202" s="35"/>
      <c r="Z202" s="35"/>
    </row>
    <row r="203" ht="14.25" hidden="1" customHeight="1">
      <c r="A203" s="270" t="s">
        <v>1788</v>
      </c>
      <c r="B203" s="282" t="s">
        <v>1900</v>
      </c>
      <c r="C203" s="322" t="s">
        <v>2220</v>
      </c>
      <c r="D203" s="336" t="s">
        <v>2221</v>
      </c>
      <c r="E203" s="274"/>
      <c r="F203" s="275">
        <v>7900.0</v>
      </c>
      <c r="G203" s="276">
        <v>44593.0</v>
      </c>
      <c r="H203" s="285">
        <f t="shared" si="7"/>
        <v>11850</v>
      </c>
      <c r="I203" s="286">
        <f t="shared" si="8"/>
        <v>10270</v>
      </c>
      <c r="J203" s="287">
        <f t="shared" si="9"/>
        <v>10270</v>
      </c>
      <c r="K203" s="288">
        <f t="shared" si="10"/>
        <v>9480</v>
      </c>
      <c r="L203" s="287">
        <f t="shared" si="11"/>
        <v>9085</v>
      </c>
      <c r="M203" s="288">
        <f t="shared" si="12"/>
        <v>8690</v>
      </c>
      <c r="N203" s="281"/>
      <c r="O203" s="34"/>
      <c r="P203" s="35"/>
      <c r="Q203" s="35"/>
      <c r="R203" s="35"/>
      <c r="S203" s="35"/>
      <c r="T203" s="35"/>
      <c r="U203" s="35"/>
      <c r="V203" s="35"/>
      <c r="W203" s="35"/>
      <c r="X203" s="35"/>
      <c r="Y203" s="35"/>
      <c r="Z203" s="35"/>
    </row>
    <row r="204" ht="14.25" hidden="1" customHeight="1">
      <c r="A204" s="270" t="s">
        <v>1788</v>
      </c>
      <c r="B204" s="282" t="s">
        <v>1900</v>
      </c>
      <c r="C204" s="322" t="s">
        <v>2222</v>
      </c>
      <c r="D204" s="336" t="s">
        <v>2221</v>
      </c>
      <c r="E204" s="274"/>
      <c r="F204" s="275">
        <v>4900.0</v>
      </c>
      <c r="G204" s="276"/>
      <c r="H204" s="285">
        <f t="shared" si="7"/>
        <v>7350</v>
      </c>
      <c r="I204" s="286">
        <f t="shared" si="8"/>
        <v>6370</v>
      </c>
      <c r="J204" s="287">
        <f t="shared" si="9"/>
        <v>6370</v>
      </c>
      <c r="K204" s="288">
        <f t="shared" si="10"/>
        <v>5880</v>
      </c>
      <c r="L204" s="287">
        <f t="shared" si="11"/>
        <v>5635</v>
      </c>
      <c r="M204" s="288">
        <f t="shared" si="12"/>
        <v>5390</v>
      </c>
      <c r="N204" s="281"/>
      <c r="O204" s="34"/>
      <c r="P204" s="35"/>
      <c r="Q204" s="35"/>
      <c r="R204" s="35"/>
      <c r="S204" s="35"/>
      <c r="T204" s="35"/>
      <c r="U204" s="35"/>
      <c r="V204" s="35"/>
      <c r="W204" s="35"/>
      <c r="X204" s="35"/>
      <c r="Y204" s="35"/>
      <c r="Z204" s="35"/>
    </row>
    <row r="205" ht="15.0" hidden="1" customHeight="1">
      <c r="A205" s="270" t="s">
        <v>1788</v>
      </c>
      <c r="B205" s="282" t="s">
        <v>1900</v>
      </c>
      <c r="C205" s="322" t="s">
        <v>2223</v>
      </c>
      <c r="D205" s="336" t="s">
        <v>2221</v>
      </c>
      <c r="E205" s="274"/>
      <c r="F205" s="275">
        <v>3300.0</v>
      </c>
      <c r="G205" s="276">
        <v>44593.0</v>
      </c>
      <c r="H205" s="285">
        <f t="shared" si="7"/>
        <v>4950</v>
      </c>
      <c r="I205" s="286">
        <f t="shared" si="8"/>
        <v>4290</v>
      </c>
      <c r="J205" s="287">
        <f t="shared" si="9"/>
        <v>4290</v>
      </c>
      <c r="K205" s="288">
        <f t="shared" si="10"/>
        <v>3960</v>
      </c>
      <c r="L205" s="287">
        <f t="shared" si="11"/>
        <v>3795</v>
      </c>
      <c r="M205" s="288">
        <f t="shared" si="12"/>
        <v>3630</v>
      </c>
      <c r="N205" s="281"/>
      <c r="O205" s="34"/>
      <c r="P205" s="35"/>
      <c r="Q205" s="35"/>
      <c r="R205" s="35"/>
      <c r="S205" s="35"/>
      <c r="T205" s="35"/>
      <c r="U205" s="35"/>
      <c r="V205" s="35"/>
      <c r="W205" s="35"/>
      <c r="X205" s="35"/>
      <c r="Y205" s="35"/>
      <c r="Z205" s="35"/>
    </row>
    <row r="206" ht="14.25" hidden="1" customHeight="1">
      <c r="A206" s="270" t="s">
        <v>2224</v>
      </c>
      <c r="B206" s="282" t="s">
        <v>2225</v>
      </c>
      <c r="C206" s="322" t="s">
        <v>2226</v>
      </c>
      <c r="D206" s="336" t="s">
        <v>2227</v>
      </c>
      <c r="E206" s="274"/>
      <c r="F206" s="275">
        <v>5100.0</v>
      </c>
      <c r="G206" s="276">
        <v>44593.0</v>
      </c>
      <c r="H206" s="285">
        <f t="shared" si="7"/>
        <v>7650</v>
      </c>
      <c r="I206" s="286">
        <f t="shared" si="8"/>
        <v>6630</v>
      </c>
      <c r="J206" s="287">
        <f t="shared" si="9"/>
        <v>6630</v>
      </c>
      <c r="K206" s="288">
        <f t="shared" si="10"/>
        <v>6120</v>
      </c>
      <c r="L206" s="287">
        <f t="shared" si="11"/>
        <v>5865</v>
      </c>
      <c r="M206" s="288">
        <f t="shared" si="12"/>
        <v>5610</v>
      </c>
      <c r="N206" s="281"/>
      <c r="O206" s="78"/>
      <c r="P206" s="35"/>
      <c r="Q206" s="35"/>
      <c r="R206" s="35"/>
      <c r="S206" s="35"/>
      <c r="T206" s="35"/>
      <c r="U206" s="35"/>
      <c r="V206" s="35"/>
      <c r="W206" s="35"/>
      <c r="X206" s="35"/>
      <c r="Y206" s="35"/>
      <c r="Z206" s="35"/>
    </row>
    <row r="207" ht="14.25" hidden="1" customHeight="1">
      <c r="A207" s="270" t="s">
        <v>2224</v>
      </c>
      <c r="B207" s="282" t="s">
        <v>2228</v>
      </c>
      <c r="C207" s="322" t="s">
        <v>2229</v>
      </c>
      <c r="D207" s="336" t="s">
        <v>2230</v>
      </c>
      <c r="E207" s="274"/>
      <c r="F207" s="275">
        <v>5225.0</v>
      </c>
      <c r="G207" s="276">
        <v>44593.0</v>
      </c>
      <c r="H207" s="285">
        <f t="shared" si="7"/>
        <v>7837.5</v>
      </c>
      <c r="I207" s="286">
        <f t="shared" si="8"/>
        <v>6792.5</v>
      </c>
      <c r="J207" s="287">
        <f t="shared" si="9"/>
        <v>6792.5</v>
      </c>
      <c r="K207" s="288">
        <f t="shared" si="10"/>
        <v>6270</v>
      </c>
      <c r="L207" s="287">
        <f t="shared" si="11"/>
        <v>6008.75</v>
      </c>
      <c r="M207" s="288">
        <f t="shared" si="12"/>
        <v>5747.5</v>
      </c>
      <c r="N207" s="281"/>
      <c r="O207" s="78"/>
      <c r="P207" s="35"/>
      <c r="Q207" s="35"/>
      <c r="R207" s="35"/>
      <c r="S207" s="35"/>
      <c r="T207" s="35"/>
      <c r="U207" s="35"/>
      <c r="V207" s="35"/>
      <c r="W207" s="35"/>
      <c r="X207" s="35"/>
      <c r="Y207" s="35"/>
      <c r="Z207" s="35"/>
    </row>
    <row r="208" ht="14.25" hidden="1" customHeight="1">
      <c r="A208" s="270" t="s">
        <v>2224</v>
      </c>
      <c r="B208" s="282" t="s">
        <v>2231</v>
      </c>
      <c r="C208" s="322" t="s">
        <v>2232</v>
      </c>
      <c r="D208" s="336" t="s">
        <v>2233</v>
      </c>
      <c r="E208" s="274"/>
      <c r="F208" s="275">
        <v>415.0</v>
      </c>
      <c r="G208" s="276">
        <v>44805.0</v>
      </c>
      <c r="H208" s="285">
        <f t="shared" si="7"/>
        <v>622.5</v>
      </c>
      <c r="I208" s="286">
        <f t="shared" si="8"/>
        <v>539.5</v>
      </c>
      <c r="J208" s="287">
        <f t="shared" si="9"/>
        <v>539.5</v>
      </c>
      <c r="K208" s="288">
        <f t="shared" si="10"/>
        <v>498</v>
      </c>
      <c r="L208" s="287">
        <f t="shared" si="11"/>
        <v>477.25</v>
      </c>
      <c r="M208" s="288">
        <f t="shared" si="12"/>
        <v>456.5</v>
      </c>
      <c r="N208" s="281"/>
      <c r="O208" s="78"/>
      <c r="P208" s="35"/>
      <c r="Q208" s="35"/>
      <c r="R208" s="35"/>
      <c r="S208" s="35"/>
      <c r="T208" s="35"/>
      <c r="U208" s="35"/>
      <c r="V208" s="35"/>
      <c r="W208" s="35"/>
      <c r="X208" s="35"/>
      <c r="Y208" s="35"/>
      <c r="Z208" s="35"/>
    </row>
    <row r="209" ht="14.25" hidden="1" customHeight="1">
      <c r="A209" s="270" t="s">
        <v>2224</v>
      </c>
      <c r="B209" s="282" t="s">
        <v>2231</v>
      </c>
      <c r="C209" s="322" t="s">
        <v>2234</v>
      </c>
      <c r="D209" s="336" t="s">
        <v>2235</v>
      </c>
      <c r="E209" s="274"/>
      <c r="F209" s="275">
        <v>550.0</v>
      </c>
      <c r="G209" s="276">
        <v>44805.0</v>
      </c>
      <c r="H209" s="285">
        <f t="shared" si="7"/>
        <v>825</v>
      </c>
      <c r="I209" s="286">
        <f t="shared" si="8"/>
        <v>715</v>
      </c>
      <c r="J209" s="287">
        <f t="shared" si="9"/>
        <v>715</v>
      </c>
      <c r="K209" s="288">
        <f t="shared" si="10"/>
        <v>660</v>
      </c>
      <c r="L209" s="287">
        <f t="shared" si="11"/>
        <v>632.5</v>
      </c>
      <c r="M209" s="288">
        <f t="shared" si="12"/>
        <v>605</v>
      </c>
      <c r="N209" s="281"/>
      <c r="O209" s="78"/>
      <c r="P209" s="35"/>
      <c r="Q209" s="35"/>
      <c r="R209" s="35"/>
      <c r="S209" s="35"/>
      <c r="T209" s="35"/>
      <c r="U209" s="35"/>
      <c r="V209" s="35"/>
      <c r="W209" s="35"/>
      <c r="X209" s="35"/>
      <c r="Y209" s="35"/>
      <c r="Z209" s="35"/>
    </row>
    <row r="210" ht="14.25" hidden="1" customHeight="1">
      <c r="A210" s="270" t="s">
        <v>2224</v>
      </c>
      <c r="B210" s="282" t="s">
        <v>2236</v>
      </c>
      <c r="C210" s="322" t="s">
        <v>2237</v>
      </c>
      <c r="D210" s="336" t="s">
        <v>2236</v>
      </c>
      <c r="E210" s="274"/>
      <c r="F210" s="275">
        <v>205.0</v>
      </c>
      <c r="G210" s="276">
        <v>44805.0</v>
      </c>
      <c r="H210" s="285">
        <f t="shared" si="7"/>
        <v>307.5</v>
      </c>
      <c r="I210" s="286">
        <f t="shared" si="8"/>
        <v>266.5</v>
      </c>
      <c r="J210" s="287">
        <f t="shared" si="9"/>
        <v>266.5</v>
      </c>
      <c r="K210" s="288">
        <f t="shared" si="10"/>
        <v>246</v>
      </c>
      <c r="L210" s="287">
        <f t="shared" si="11"/>
        <v>235.75</v>
      </c>
      <c r="M210" s="288">
        <f t="shared" si="12"/>
        <v>225.5</v>
      </c>
      <c r="N210" s="281"/>
      <c r="O210" s="78"/>
      <c r="P210" s="35"/>
      <c r="Q210" s="35"/>
      <c r="R210" s="35"/>
      <c r="S210" s="35"/>
      <c r="T210" s="35"/>
      <c r="U210" s="35"/>
      <c r="V210" s="35"/>
      <c r="W210" s="35"/>
      <c r="X210" s="35"/>
      <c r="Y210" s="35"/>
      <c r="Z210" s="35"/>
    </row>
    <row r="211" ht="14.25" hidden="1" customHeight="1">
      <c r="A211" s="270" t="s">
        <v>2224</v>
      </c>
      <c r="B211" s="282" t="s">
        <v>2238</v>
      </c>
      <c r="C211" s="322" t="s">
        <v>2239</v>
      </c>
      <c r="D211" s="336" t="s">
        <v>2240</v>
      </c>
      <c r="E211" s="274"/>
      <c r="F211" s="275">
        <v>340.0</v>
      </c>
      <c r="G211" s="276">
        <v>44593.0</v>
      </c>
      <c r="H211" s="285">
        <f t="shared" si="7"/>
        <v>510</v>
      </c>
      <c r="I211" s="286">
        <f t="shared" si="8"/>
        <v>442</v>
      </c>
      <c r="J211" s="287">
        <f t="shared" si="9"/>
        <v>442</v>
      </c>
      <c r="K211" s="288">
        <f t="shared" si="10"/>
        <v>408</v>
      </c>
      <c r="L211" s="287">
        <f t="shared" si="11"/>
        <v>391</v>
      </c>
      <c r="M211" s="288">
        <f t="shared" si="12"/>
        <v>374</v>
      </c>
      <c r="N211" s="281"/>
      <c r="O211" s="78"/>
      <c r="P211" s="35"/>
      <c r="Q211" s="35"/>
      <c r="R211" s="35"/>
      <c r="S211" s="35"/>
      <c r="T211" s="35"/>
      <c r="U211" s="35"/>
      <c r="V211" s="35"/>
      <c r="W211" s="35"/>
      <c r="X211" s="35"/>
      <c r="Y211" s="35"/>
      <c r="Z211" s="35"/>
    </row>
    <row r="212" ht="14.25" hidden="1" customHeight="1">
      <c r="A212" s="270" t="s">
        <v>2224</v>
      </c>
      <c r="B212" s="282" t="s">
        <v>2238</v>
      </c>
      <c r="C212" s="322" t="s">
        <v>2241</v>
      </c>
      <c r="D212" s="336" t="s">
        <v>2242</v>
      </c>
      <c r="E212" s="274"/>
      <c r="F212" s="275">
        <v>470.0</v>
      </c>
      <c r="G212" s="276">
        <v>44593.0</v>
      </c>
      <c r="H212" s="285">
        <f t="shared" si="7"/>
        <v>705</v>
      </c>
      <c r="I212" s="286">
        <f t="shared" si="8"/>
        <v>611</v>
      </c>
      <c r="J212" s="287">
        <f t="shared" si="9"/>
        <v>611</v>
      </c>
      <c r="K212" s="288">
        <f t="shared" si="10"/>
        <v>564</v>
      </c>
      <c r="L212" s="287">
        <f t="shared" si="11"/>
        <v>540.5</v>
      </c>
      <c r="M212" s="288">
        <f t="shared" si="12"/>
        <v>517</v>
      </c>
      <c r="N212" s="281"/>
      <c r="O212" s="78"/>
      <c r="P212" s="35"/>
      <c r="Q212" s="35"/>
      <c r="R212" s="35"/>
      <c r="S212" s="35"/>
      <c r="T212" s="35"/>
      <c r="U212" s="35"/>
      <c r="V212" s="35"/>
      <c r="W212" s="35"/>
      <c r="X212" s="35"/>
      <c r="Y212" s="35"/>
      <c r="Z212" s="35"/>
    </row>
    <row r="213" ht="14.25" hidden="1" customHeight="1">
      <c r="A213" s="270" t="s">
        <v>2224</v>
      </c>
      <c r="B213" s="282" t="s">
        <v>2238</v>
      </c>
      <c r="C213" s="322" t="s">
        <v>2243</v>
      </c>
      <c r="D213" s="336" t="s">
        <v>2244</v>
      </c>
      <c r="E213" s="274"/>
      <c r="F213" s="275">
        <v>2340.0</v>
      </c>
      <c r="G213" s="276">
        <v>44593.0</v>
      </c>
      <c r="H213" s="285">
        <f t="shared" si="7"/>
        <v>3510</v>
      </c>
      <c r="I213" s="286">
        <f t="shared" si="8"/>
        <v>3042</v>
      </c>
      <c r="J213" s="287">
        <f t="shared" si="9"/>
        <v>3042</v>
      </c>
      <c r="K213" s="288">
        <f t="shared" si="10"/>
        <v>2808</v>
      </c>
      <c r="L213" s="287">
        <f t="shared" si="11"/>
        <v>2691</v>
      </c>
      <c r="M213" s="288">
        <f t="shared" si="12"/>
        <v>2574</v>
      </c>
      <c r="N213" s="281"/>
      <c r="O213" s="78"/>
      <c r="P213" s="35"/>
      <c r="Q213" s="35"/>
      <c r="R213" s="35"/>
      <c r="S213" s="35"/>
      <c r="T213" s="35"/>
      <c r="U213" s="35"/>
      <c r="V213" s="35"/>
      <c r="W213" s="35"/>
      <c r="X213" s="35"/>
      <c r="Y213" s="35"/>
      <c r="Z213" s="35"/>
    </row>
    <row r="214" ht="14.25" hidden="1" customHeight="1">
      <c r="A214" s="270" t="s">
        <v>2224</v>
      </c>
      <c r="B214" s="282" t="s">
        <v>2245</v>
      </c>
      <c r="C214" s="322" t="s">
        <v>2246</v>
      </c>
      <c r="D214" s="336" t="s">
        <v>2247</v>
      </c>
      <c r="E214" s="274"/>
      <c r="F214" s="275">
        <v>28500.0</v>
      </c>
      <c r="G214" s="276">
        <v>44593.0</v>
      </c>
      <c r="H214" s="285">
        <f t="shared" si="7"/>
        <v>42750</v>
      </c>
      <c r="I214" s="286">
        <f t="shared" si="8"/>
        <v>37050</v>
      </c>
      <c r="J214" s="287">
        <f t="shared" si="9"/>
        <v>37050</v>
      </c>
      <c r="K214" s="288">
        <f t="shared" si="10"/>
        <v>34200</v>
      </c>
      <c r="L214" s="287">
        <f t="shared" si="11"/>
        <v>32775</v>
      </c>
      <c r="M214" s="288">
        <f t="shared" si="12"/>
        <v>31350</v>
      </c>
      <c r="N214" s="281"/>
      <c r="O214" s="78"/>
      <c r="P214" s="35"/>
      <c r="Q214" s="35"/>
      <c r="R214" s="35"/>
      <c r="S214" s="35"/>
      <c r="T214" s="35"/>
      <c r="U214" s="35"/>
      <c r="V214" s="35"/>
      <c r="W214" s="35"/>
      <c r="X214" s="35"/>
      <c r="Y214" s="35"/>
      <c r="Z214" s="35"/>
    </row>
    <row r="215" ht="14.25" hidden="1" customHeight="1">
      <c r="A215" s="270" t="s">
        <v>2224</v>
      </c>
      <c r="B215" s="282" t="s">
        <v>2245</v>
      </c>
      <c r="C215" s="322" t="s">
        <v>2248</v>
      </c>
      <c r="D215" s="336" t="s">
        <v>2249</v>
      </c>
      <c r="E215" s="274"/>
      <c r="F215" s="275">
        <v>28500.0</v>
      </c>
      <c r="G215" s="276">
        <v>44593.0</v>
      </c>
      <c r="H215" s="285">
        <f t="shared" si="7"/>
        <v>42750</v>
      </c>
      <c r="I215" s="286">
        <f t="shared" si="8"/>
        <v>37050</v>
      </c>
      <c r="J215" s="287">
        <f t="shared" si="9"/>
        <v>37050</v>
      </c>
      <c r="K215" s="288">
        <f t="shared" si="10"/>
        <v>34200</v>
      </c>
      <c r="L215" s="287">
        <f t="shared" si="11"/>
        <v>32775</v>
      </c>
      <c r="M215" s="288">
        <f t="shared" si="12"/>
        <v>31350</v>
      </c>
      <c r="N215" s="281"/>
      <c r="O215" s="78"/>
      <c r="P215" s="35"/>
      <c r="Q215" s="35"/>
      <c r="R215" s="35"/>
      <c r="S215" s="35"/>
      <c r="T215" s="35"/>
      <c r="U215" s="35"/>
      <c r="V215" s="35"/>
      <c r="W215" s="35"/>
      <c r="X215" s="35"/>
      <c r="Y215" s="35"/>
      <c r="Z215" s="35"/>
    </row>
    <row r="216" ht="14.25" hidden="1" customHeight="1">
      <c r="A216" s="270" t="s">
        <v>2224</v>
      </c>
      <c r="B216" s="347" t="s">
        <v>2245</v>
      </c>
      <c r="C216" s="322" t="s">
        <v>2250</v>
      </c>
      <c r="D216" s="336" t="s">
        <v>2251</v>
      </c>
      <c r="E216" s="274"/>
      <c r="F216" s="275">
        <v>34000.0</v>
      </c>
      <c r="G216" s="276">
        <v>44593.0</v>
      </c>
      <c r="H216" s="285">
        <f t="shared" si="7"/>
        <v>51000</v>
      </c>
      <c r="I216" s="286">
        <f t="shared" si="8"/>
        <v>44200</v>
      </c>
      <c r="J216" s="287">
        <f t="shared" si="9"/>
        <v>44200</v>
      </c>
      <c r="K216" s="288">
        <f t="shared" si="10"/>
        <v>40800</v>
      </c>
      <c r="L216" s="287">
        <f t="shared" si="11"/>
        <v>39100</v>
      </c>
      <c r="M216" s="288">
        <f t="shared" si="12"/>
        <v>37400</v>
      </c>
      <c r="N216" s="281"/>
      <c r="O216" s="78"/>
      <c r="P216" s="35"/>
      <c r="Q216" s="35"/>
      <c r="R216" s="35"/>
      <c r="S216" s="35"/>
      <c r="T216" s="35"/>
      <c r="U216" s="35"/>
      <c r="V216" s="35"/>
      <c r="W216" s="35"/>
      <c r="X216" s="35"/>
      <c r="Y216" s="35"/>
      <c r="Z216" s="35"/>
    </row>
    <row r="217" ht="14.25" hidden="1" customHeight="1">
      <c r="A217" s="270" t="s">
        <v>2224</v>
      </c>
      <c r="B217" s="282" t="s">
        <v>2245</v>
      </c>
      <c r="C217" s="270" t="s">
        <v>2252</v>
      </c>
      <c r="D217" s="337" t="s">
        <v>2253</v>
      </c>
      <c r="E217" s="274"/>
      <c r="F217" s="275">
        <v>28500.0</v>
      </c>
      <c r="G217" s="276">
        <v>44593.0</v>
      </c>
      <c r="H217" s="285">
        <f t="shared" si="7"/>
        <v>42750</v>
      </c>
      <c r="I217" s="286">
        <f t="shared" si="8"/>
        <v>37050</v>
      </c>
      <c r="J217" s="287">
        <f t="shared" si="9"/>
        <v>37050</v>
      </c>
      <c r="K217" s="288">
        <f t="shared" si="10"/>
        <v>34200</v>
      </c>
      <c r="L217" s="287">
        <f t="shared" si="11"/>
        <v>32775</v>
      </c>
      <c r="M217" s="288">
        <f t="shared" si="12"/>
        <v>31350</v>
      </c>
      <c r="N217" s="281"/>
      <c r="O217" s="78"/>
      <c r="P217" s="35"/>
      <c r="Q217" s="35"/>
      <c r="R217" s="35"/>
      <c r="S217" s="35"/>
      <c r="T217" s="35"/>
      <c r="U217" s="35"/>
      <c r="V217" s="35"/>
      <c r="W217" s="35"/>
      <c r="X217" s="35"/>
      <c r="Y217" s="35"/>
      <c r="Z217" s="35"/>
    </row>
    <row r="218" ht="14.25" hidden="1" customHeight="1">
      <c r="A218" s="270" t="s">
        <v>2224</v>
      </c>
      <c r="B218" s="282" t="s">
        <v>2245</v>
      </c>
      <c r="C218" s="270" t="s">
        <v>2254</v>
      </c>
      <c r="D218" s="337" t="s">
        <v>2255</v>
      </c>
      <c r="E218" s="274"/>
      <c r="F218" s="275">
        <v>28500.0</v>
      </c>
      <c r="G218" s="276">
        <v>44593.0</v>
      </c>
      <c r="H218" s="285">
        <f t="shared" si="7"/>
        <v>42750</v>
      </c>
      <c r="I218" s="286">
        <f t="shared" si="8"/>
        <v>37050</v>
      </c>
      <c r="J218" s="287">
        <f t="shared" si="9"/>
        <v>37050</v>
      </c>
      <c r="K218" s="288">
        <f t="shared" si="10"/>
        <v>34200</v>
      </c>
      <c r="L218" s="287">
        <f t="shared" si="11"/>
        <v>32775</v>
      </c>
      <c r="M218" s="288">
        <f t="shared" si="12"/>
        <v>31350</v>
      </c>
      <c r="N218" s="281"/>
      <c r="O218" s="78"/>
      <c r="P218" s="35"/>
      <c r="Q218" s="35"/>
      <c r="R218" s="35"/>
      <c r="S218" s="35"/>
      <c r="T218" s="35"/>
      <c r="U218" s="35"/>
      <c r="V218" s="35"/>
      <c r="W218" s="35"/>
      <c r="X218" s="35"/>
      <c r="Y218" s="35"/>
      <c r="Z218" s="35"/>
    </row>
    <row r="219" ht="14.25" hidden="1" customHeight="1">
      <c r="A219" s="270" t="s">
        <v>2224</v>
      </c>
      <c r="B219" s="282" t="s">
        <v>2256</v>
      </c>
      <c r="C219" s="270" t="s">
        <v>2257</v>
      </c>
      <c r="D219" s="337" t="s">
        <v>2258</v>
      </c>
      <c r="E219" s="274"/>
      <c r="F219" s="275">
        <v>56000.0</v>
      </c>
      <c r="G219" s="276">
        <v>44593.0</v>
      </c>
      <c r="H219" s="285">
        <f t="shared" si="7"/>
        <v>84000</v>
      </c>
      <c r="I219" s="286">
        <f t="shared" si="8"/>
        <v>72800</v>
      </c>
      <c r="J219" s="287">
        <f t="shared" si="9"/>
        <v>72800</v>
      </c>
      <c r="K219" s="288">
        <f t="shared" si="10"/>
        <v>67200</v>
      </c>
      <c r="L219" s="287">
        <f t="shared" si="11"/>
        <v>64400</v>
      </c>
      <c r="M219" s="288">
        <f t="shared" si="12"/>
        <v>61600</v>
      </c>
      <c r="N219" s="281"/>
      <c r="O219" s="78"/>
      <c r="P219" s="35"/>
      <c r="Q219" s="35"/>
      <c r="R219" s="35"/>
      <c r="S219" s="35"/>
      <c r="T219" s="35"/>
      <c r="U219" s="35"/>
      <c r="V219" s="35"/>
      <c r="W219" s="35"/>
      <c r="X219" s="35"/>
      <c r="Y219" s="35"/>
      <c r="Z219" s="35"/>
    </row>
    <row r="220" ht="14.25" hidden="1" customHeight="1">
      <c r="A220" s="270" t="s">
        <v>2224</v>
      </c>
      <c r="B220" s="282" t="s">
        <v>2259</v>
      </c>
      <c r="C220" s="270" t="s">
        <v>2260</v>
      </c>
      <c r="D220" s="337" t="s">
        <v>2261</v>
      </c>
      <c r="E220" s="274"/>
      <c r="F220" s="275">
        <v>62580.0</v>
      </c>
      <c r="G220" s="276">
        <v>44593.0</v>
      </c>
      <c r="H220" s="285">
        <f t="shared" si="7"/>
        <v>93870</v>
      </c>
      <c r="I220" s="286">
        <f t="shared" si="8"/>
        <v>81354</v>
      </c>
      <c r="J220" s="287">
        <f t="shared" si="9"/>
        <v>81354</v>
      </c>
      <c r="K220" s="288">
        <f t="shared" si="10"/>
        <v>75096</v>
      </c>
      <c r="L220" s="287">
        <f t="shared" si="11"/>
        <v>71967</v>
      </c>
      <c r="M220" s="288">
        <f t="shared" si="12"/>
        <v>68838</v>
      </c>
      <c r="N220" s="281"/>
      <c r="O220" s="78"/>
      <c r="P220" s="35"/>
      <c r="Q220" s="35"/>
      <c r="R220" s="35"/>
      <c r="S220" s="35"/>
      <c r="T220" s="35"/>
      <c r="U220" s="35"/>
      <c r="V220" s="35"/>
      <c r="W220" s="35"/>
      <c r="X220" s="35"/>
      <c r="Y220" s="35"/>
      <c r="Z220" s="35"/>
    </row>
    <row r="221" ht="14.25" hidden="1" customHeight="1">
      <c r="A221" s="270" t="s">
        <v>2224</v>
      </c>
      <c r="B221" s="282" t="s">
        <v>2262</v>
      </c>
      <c r="C221" s="270" t="s">
        <v>2263</v>
      </c>
      <c r="D221" s="337" t="s">
        <v>2264</v>
      </c>
      <c r="E221" s="274"/>
      <c r="F221" s="275">
        <v>76950.0</v>
      </c>
      <c r="G221" s="276">
        <v>44805.0</v>
      </c>
      <c r="H221" s="285">
        <f t="shared" si="7"/>
        <v>115425</v>
      </c>
      <c r="I221" s="286">
        <f t="shared" si="8"/>
        <v>100035</v>
      </c>
      <c r="J221" s="287">
        <f t="shared" si="9"/>
        <v>100035</v>
      </c>
      <c r="K221" s="288">
        <f t="shared" si="10"/>
        <v>92340</v>
      </c>
      <c r="L221" s="287">
        <f t="shared" si="11"/>
        <v>88492.5</v>
      </c>
      <c r="M221" s="288">
        <f t="shared" si="12"/>
        <v>84645</v>
      </c>
      <c r="N221" s="281"/>
      <c r="O221" s="78"/>
      <c r="P221" s="35"/>
      <c r="Q221" s="35"/>
      <c r="R221" s="35"/>
      <c r="S221" s="35"/>
      <c r="T221" s="35"/>
      <c r="U221" s="35"/>
      <c r="V221" s="35"/>
      <c r="W221" s="35"/>
      <c r="X221" s="35"/>
      <c r="Y221" s="35"/>
      <c r="Z221" s="35"/>
    </row>
    <row r="222" ht="14.25" hidden="1" customHeight="1">
      <c r="A222" s="270" t="s">
        <v>2224</v>
      </c>
      <c r="B222" s="282" t="s">
        <v>2265</v>
      </c>
      <c r="C222" s="270" t="s">
        <v>2266</v>
      </c>
      <c r="D222" s="337" t="s">
        <v>2267</v>
      </c>
      <c r="E222" s="274"/>
      <c r="F222" s="275">
        <v>4450.0</v>
      </c>
      <c r="G222" s="276">
        <v>44593.0</v>
      </c>
      <c r="H222" s="285">
        <f t="shared" si="7"/>
        <v>6675</v>
      </c>
      <c r="I222" s="286">
        <f t="shared" si="8"/>
        <v>5785</v>
      </c>
      <c r="J222" s="287">
        <f t="shared" si="9"/>
        <v>5785</v>
      </c>
      <c r="K222" s="288">
        <f t="shared" si="10"/>
        <v>5340</v>
      </c>
      <c r="L222" s="287">
        <f t="shared" si="11"/>
        <v>5117.5</v>
      </c>
      <c r="M222" s="288">
        <f t="shared" si="12"/>
        <v>4895</v>
      </c>
      <c r="N222" s="281"/>
      <c r="O222" s="78"/>
      <c r="P222" s="35"/>
      <c r="Q222" s="35"/>
      <c r="R222" s="35"/>
      <c r="S222" s="35"/>
      <c r="T222" s="35"/>
      <c r="U222" s="35"/>
      <c r="V222" s="35"/>
      <c r="W222" s="35"/>
      <c r="X222" s="35"/>
      <c r="Y222" s="35"/>
      <c r="Z222" s="35"/>
    </row>
    <row r="223" ht="14.25" hidden="1" customHeight="1">
      <c r="A223" s="270" t="s">
        <v>2224</v>
      </c>
      <c r="B223" s="282" t="s">
        <v>2268</v>
      </c>
      <c r="C223" s="270" t="s">
        <v>2269</v>
      </c>
      <c r="D223" s="337" t="s">
        <v>2270</v>
      </c>
      <c r="E223" s="274"/>
      <c r="F223" s="275">
        <v>960.0</v>
      </c>
      <c r="G223" s="276">
        <v>44593.0</v>
      </c>
      <c r="H223" s="285">
        <f t="shared" si="7"/>
        <v>1440</v>
      </c>
      <c r="I223" s="286">
        <f t="shared" si="8"/>
        <v>1248</v>
      </c>
      <c r="J223" s="287">
        <f t="shared" si="9"/>
        <v>1248</v>
      </c>
      <c r="K223" s="288">
        <f t="shared" si="10"/>
        <v>1152</v>
      </c>
      <c r="L223" s="287">
        <f t="shared" si="11"/>
        <v>1104</v>
      </c>
      <c r="M223" s="288">
        <f t="shared" si="12"/>
        <v>1056</v>
      </c>
      <c r="N223" s="281"/>
      <c r="O223" s="78"/>
      <c r="P223" s="35"/>
      <c r="Q223" s="35"/>
      <c r="R223" s="35"/>
      <c r="S223" s="35"/>
      <c r="T223" s="35"/>
      <c r="U223" s="35"/>
      <c r="V223" s="35"/>
      <c r="W223" s="35"/>
      <c r="X223" s="35"/>
      <c r="Y223" s="35"/>
      <c r="Z223" s="35"/>
    </row>
    <row r="224" ht="14.25" hidden="1" customHeight="1">
      <c r="A224" s="270" t="s">
        <v>2224</v>
      </c>
      <c r="B224" s="282" t="s">
        <v>2271</v>
      </c>
      <c r="C224" s="270" t="s">
        <v>2272</v>
      </c>
      <c r="D224" s="337" t="s">
        <v>2273</v>
      </c>
      <c r="E224" s="274"/>
      <c r="F224" s="275">
        <v>4000.0</v>
      </c>
      <c r="G224" s="276">
        <v>44593.0</v>
      </c>
      <c r="H224" s="285">
        <f t="shared" si="7"/>
        <v>6000</v>
      </c>
      <c r="I224" s="286">
        <f t="shared" si="8"/>
        <v>5200</v>
      </c>
      <c r="J224" s="287">
        <f t="shared" si="9"/>
        <v>5200</v>
      </c>
      <c r="K224" s="288">
        <f t="shared" si="10"/>
        <v>4800</v>
      </c>
      <c r="L224" s="287">
        <f t="shared" si="11"/>
        <v>4600</v>
      </c>
      <c r="M224" s="288">
        <f t="shared" si="12"/>
        <v>4400</v>
      </c>
      <c r="N224" s="281"/>
      <c r="O224" s="34"/>
      <c r="P224" s="35"/>
      <c r="Q224" s="35"/>
      <c r="R224" s="35"/>
      <c r="S224" s="35"/>
      <c r="T224" s="35"/>
      <c r="U224" s="35"/>
      <c r="V224" s="35"/>
      <c r="W224" s="35"/>
      <c r="X224" s="35"/>
      <c r="Y224" s="35"/>
      <c r="Z224" s="35"/>
    </row>
    <row r="225" ht="14.25" hidden="1" customHeight="1">
      <c r="A225" s="270" t="s">
        <v>2224</v>
      </c>
      <c r="B225" s="282" t="s">
        <v>2274</v>
      </c>
      <c r="C225" s="322" t="s">
        <v>2275</v>
      </c>
      <c r="D225" s="337" t="s">
        <v>2276</v>
      </c>
      <c r="E225" s="274"/>
      <c r="F225" s="275">
        <v>48470.0</v>
      </c>
      <c r="G225" s="276">
        <v>44593.0</v>
      </c>
      <c r="H225" s="285">
        <f t="shared" si="7"/>
        <v>72705</v>
      </c>
      <c r="I225" s="286">
        <f t="shared" si="8"/>
        <v>63011</v>
      </c>
      <c r="J225" s="287">
        <f t="shared" si="9"/>
        <v>63011</v>
      </c>
      <c r="K225" s="288">
        <f t="shared" si="10"/>
        <v>58164</v>
      </c>
      <c r="L225" s="287">
        <f t="shared" si="11"/>
        <v>55740.5</v>
      </c>
      <c r="M225" s="288">
        <f t="shared" si="12"/>
        <v>53317</v>
      </c>
      <c r="N225" s="281"/>
      <c r="O225" s="34"/>
      <c r="P225" s="35"/>
      <c r="Q225" s="35"/>
      <c r="R225" s="35"/>
      <c r="S225" s="35"/>
      <c r="T225" s="35"/>
      <c r="U225" s="35"/>
      <c r="V225" s="35"/>
      <c r="W225" s="35"/>
      <c r="X225" s="35"/>
      <c r="Y225" s="35"/>
      <c r="Z225" s="35"/>
    </row>
    <row r="226" ht="14.25" hidden="1" customHeight="1">
      <c r="A226" s="270" t="s">
        <v>2224</v>
      </c>
      <c r="B226" s="339" t="s">
        <v>2277</v>
      </c>
      <c r="C226" s="322" t="s">
        <v>2278</v>
      </c>
      <c r="D226" s="337" t="s">
        <v>2279</v>
      </c>
      <c r="E226" s="274"/>
      <c r="F226" s="275">
        <v>4200.0</v>
      </c>
      <c r="G226" s="276">
        <v>44593.0</v>
      </c>
      <c r="H226" s="285">
        <f t="shared" si="7"/>
        <v>6300</v>
      </c>
      <c r="I226" s="286">
        <f t="shared" si="8"/>
        <v>5460</v>
      </c>
      <c r="J226" s="287">
        <f t="shared" si="9"/>
        <v>5460</v>
      </c>
      <c r="K226" s="288">
        <f t="shared" si="10"/>
        <v>5040</v>
      </c>
      <c r="L226" s="287">
        <f t="shared" si="11"/>
        <v>4830</v>
      </c>
      <c r="M226" s="288">
        <f t="shared" si="12"/>
        <v>4620</v>
      </c>
      <c r="N226" s="281"/>
      <c r="O226" s="34"/>
      <c r="P226" s="35"/>
      <c r="Q226" s="35"/>
      <c r="R226" s="35"/>
      <c r="S226" s="35"/>
      <c r="T226" s="35"/>
      <c r="U226" s="35"/>
      <c r="V226" s="35"/>
      <c r="W226" s="35"/>
      <c r="X226" s="35"/>
      <c r="Y226" s="35"/>
      <c r="Z226" s="35"/>
    </row>
    <row r="227" ht="14.25" hidden="1" customHeight="1">
      <c r="A227" s="270" t="s">
        <v>2224</v>
      </c>
      <c r="B227" s="339"/>
      <c r="C227" s="322" t="s">
        <v>2280</v>
      </c>
      <c r="D227" s="337" t="s">
        <v>2281</v>
      </c>
      <c r="E227" s="274"/>
      <c r="F227" s="275">
        <v>4600.0</v>
      </c>
      <c r="G227" s="276">
        <v>44593.0</v>
      </c>
      <c r="H227" s="285">
        <f t="shared" si="7"/>
        <v>6900</v>
      </c>
      <c r="I227" s="286">
        <f t="shared" si="8"/>
        <v>5980</v>
      </c>
      <c r="J227" s="287">
        <f t="shared" si="9"/>
        <v>5980</v>
      </c>
      <c r="K227" s="288">
        <f t="shared" si="10"/>
        <v>5520</v>
      </c>
      <c r="L227" s="287">
        <f t="shared" si="11"/>
        <v>5290</v>
      </c>
      <c r="M227" s="288">
        <f t="shared" si="12"/>
        <v>5060</v>
      </c>
      <c r="N227" s="281"/>
      <c r="O227" s="34"/>
      <c r="P227" s="35"/>
      <c r="Q227" s="35"/>
      <c r="R227" s="35"/>
      <c r="S227" s="35"/>
      <c r="T227" s="35"/>
      <c r="U227" s="35"/>
      <c r="V227" s="35"/>
      <c r="W227" s="35"/>
      <c r="X227" s="35"/>
      <c r="Y227" s="35"/>
      <c r="Z227" s="35"/>
    </row>
    <row r="228" ht="14.25" hidden="1" customHeight="1">
      <c r="A228" s="270" t="s">
        <v>2224</v>
      </c>
      <c r="B228" s="271" t="s">
        <v>2282</v>
      </c>
      <c r="C228" s="322" t="s">
        <v>329</v>
      </c>
      <c r="D228" s="337" t="s">
        <v>330</v>
      </c>
      <c r="E228" s="274"/>
      <c r="F228" s="275">
        <v>850.0</v>
      </c>
      <c r="G228" s="276">
        <v>44593.0</v>
      </c>
      <c r="H228" s="285">
        <f t="shared" si="7"/>
        <v>1275</v>
      </c>
      <c r="I228" s="286">
        <f t="shared" si="8"/>
        <v>1105</v>
      </c>
      <c r="J228" s="287">
        <f t="shared" si="9"/>
        <v>1105</v>
      </c>
      <c r="K228" s="288">
        <f t="shared" si="10"/>
        <v>1020</v>
      </c>
      <c r="L228" s="287">
        <f t="shared" si="11"/>
        <v>977.5</v>
      </c>
      <c r="M228" s="288">
        <f t="shared" si="12"/>
        <v>935</v>
      </c>
      <c r="N228" s="281"/>
      <c r="O228" s="34"/>
      <c r="P228" s="35"/>
      <c r="Q228" s="35"/>
      <c r="R228" s="35"/>
      <c r="S228" s="35"/>
      <c r="T228" s="35"/>
      <c r="U228" s="35"/>
      <c r="V228" s="35"/>
      <c r="W228" s="35"/>
      <c r="X228" s="35"/>
      <c r="Y228" s="35"/>
      <c r="Z228" s="35"/>
    </row>
    <row r="229" ht="14.25" hidden="1" customHeight="1">
      <c r="A229" s="270" t="s">
        <v>2224</v>
      </c>
      <c r="B229" s="282" t="s">
        <v>2283</v>
      </c>
      <c r="C229" s="322" t="s">
        <v>2284</v>
      </c>
      <c r="D229" s="337" t="s">
        <v>2285</v>
      </c>
      <c r="E229" s="274"/>
      <c r="F229" s="275">
        <v>615.0</v>
      </c>
      <c r="G229" s="276">
        <v>44593.0</v>
      </c>
      <c r="H229" s="285">
        <f t="shared" si="7"/>
        <v>922.5</v>
      </c>
      <c r="I229" s="286">
        <f t="shared" si="8"/>
        <v>799.5</v>
      </c>
      <c r="J229" s="287">
        <f t="shared" si="9"/>
        <v>799.5</v>
      </c>
      <c r="K229" s="288">
        <f t="shared" si="10"/>
        <v>738</v>
      </c>
      <c r="L229" s="287">
        <f t="shared" si="11"/>
        <v>707.25</v>
      </c>
      <c r="M229" s="288">
        <f t="shared" si="12"/>
        <v>676.5</v>
      </c>
      <c r="N229" s="281"/>
      <c r="O229" s="34"/>
      <c r="P229" s="35"/>
      <c r="Q229" s="35"/>
      <c r="R229" s="35"/>
      <c r="S229" s="35"/>
      <c r="T229" s="35"/>
      <c r="U229" s="35"/>
      <c r="V229" s="35"/>
      <c r="W229" s="35"/>
      <c r="X229" s="35"/>
      <c r="Y229" s="35"/>
      <c r="Z229" s="35"/>
    </row>
    <row r="230" ht="14.25" hidden="1" customHeight="1">
      <c r="A230" s="270" t="s">
        <v>2224</v>
      </c>
      <c r="B230" s="348" t="s">
        <v>2286</v>
      </c>
      <c r="C230" s="349" t="s">
        <v>2287</v>
      </c>
      <c r="D230" s="350" t="s">
        <v>2288</v>
      </c>
      <c r="E230" s="351"/>
      <c r="F230" s="321">
        <v>9000.0</v>
      </c>
      <c r="G230" s="352">
        <v>45348.0</v>
      </c>
      <c r="H230" s="285">
        <f t="shared" si="7"/>
        <v>13500</v>
      </c>
      <c r="I230" s="286">
        <f t="shared" si="8"/>
        <v>11700</v>
      </c>
      <c r="J230" s="287">
        <f t="shared" si="9"/>
        <v>11700</v>
      </c>
      <c r="K230" s="288">
        <f t="shared" si="10"/>
        <v>10800</v>
      </c>
      <c r="L230" s="287">
        <f t="shared" si="11"/>
        <v>10350</v>
      </c>
      <c r="M230" s="288">
        <f t="shared" si="12"/>
        <v>9900</v>
      </c>
      <c r="N230" s="281"/>
      <c r="O230" s="34"/>
      <c r="P230" s="35"/>
      <c r="Q230" s="35"/>
      <c r="R230" s="35"/>
      <c r="S230" s="35"/>
      <c r="T230" s="35"/>
      <c r="U230" s="35"/>
      <c r="V230" s="35"/>
      <c r="W230" s="35"/>
      <c r="X230" s="35"/>
      <c r="Y230" s="35"/>
      <c r="Z230" s="35"/>
    </row>
    <row r="231" ht="14.25" hidden="1" customHeight="1">
      <c r="A231" s="353"/>
      <c r="B231" s="348" t="s">
        <v>2286</v>
      </c>
      <c r="C231" s="349" t="s">
        <v>2289</v>
      </c>
      <c r="D231" s="350" t="s">
        <v>2290</v>
      </c>
      <c r="E231" s="342"/>
      <c r="F231" s="321">
        <v>14700.0</v>
      </c>
      <c r="G231" s="352">
        <v>45348.0</v>
      </c>
      <c r="H231" s="285">
        <f t="shared" si="7"/>
        <v>22050</v>
      </c>
      <c r="I231" s="286">
        <f t="shared" si="8"/>
        <v>19110</v>
      </c>
      <c r="J231" s="287">
        <f t="shared" si="9"/>
        <v>19110</v>
      </c>
      <c r="K231" s="288">
        <f t="shared" si="10"/>
        <v>17640</v>
      </c>
      <c r="L231" s="287">
        <f t="shared" si="11"/>
        <v>16905</v>
      </c>
      <c r="M231" s="288">
        <f t="shared" si="12"/>
        <v>16170</v>
      </c>
      <c r="N231" s="281"/>
      <c r="O231" s="34"/>
      <c r="P231" s="35"/>
      <c r="Q231" s="35"/>
      <c r="R231" s="35"/>
      <c r="S231" s="35"/>
      <c r="T231" s="35"/>
      <c r="U231" s="35"/>
      <c r="V231" s="35"/>
      <c r="W231" s="35"/>
      <c r="X231" s="35"/>
      <c r="Y231" s="35"/>
      <c r="Z231" s="35"/>
    </row>
    <row r="232" ht="14.25" hidden="1" customHeight="1">
      <c r="A232" s="353"/>
      <c r="B232" s="348" t="s">
        <v>1788</v>
      </c>
      <c r="C232" s="354" t="s">
        <v>2291</v>
      </c>
      <c r="D232" s="355" t="s">
        <v>2292</v>
      </c>
      <c r="E232" s="342"/>
      <c r="F232" s="321">
        <v>16000.0</v>
      </c>
      <c r="G232" s="352"/>
      <c r="H232" s="285">
        <f t="shared" si="7"/>
        <v>24000</v>
      </c>
      <c r="I232" s="286">
        <f t="shared" si="8"/>
        <v>20800</v>
      </c>
      <c r="J232" s="287">
        <f t="shared" si="9"/>
        <v>20800</v>
      </c>
      <c r="K232" s="288">
        <f t="shared" si="10"/>
        <v>19200</v>
      </c>
      <c r="L232" s="287">
        <f t="shared" si="11"/>
        <v>18400</v>
      </c>
      <c r="M232" s="288">
        <f t="shared" si="12"/>
        <v>17600</v>
      </c>
      <c r="N232" s="281"/>
      <c r="O232" s="34"/>
      <c r="P232" s="35"/>
      <c r="Q232" s="35"/>
      <c r="R232" s="35"/>
      <c r="S232" s="35"/>
      <c r="T232" s="35"/>
      <c r="U232" s="35"/>
      <c r="V232" s="35"/>
      <c r="W232" s="35"/>
      <c r="X232" s="35"/>
      <c r="Y232" s="35"/>
      <c r="Z232" s="35"/>
    </row>
    <row r="233" ht="19.5" hidden="1" customHeight="1">
      <c r="A233" s="353"/>
      <c r="B233" s="348" t="s">
        <v>1664</v>
      </c>
      <c r="C233" s="349" t="s">
        <v>2293</v>
      </c>
      <c r="D233" s="350" t="s">
        <v>2294</v>
      </c>
      <c r="E233" s="342"/>
      <c r="F233" s="321">
        <v>9260.0</v>
      </c>
      <c r="G233" s="352"/>
      <c r="H233" s="285">
        <f t="shared" si="7"/>
        <v>13890</v>
      </c>
      <c r="I233" s="286">
        <f t="shared" si="8"/>
        <v>12038</v>
      </c>
      <c r="J233" s="287">
        <f t="shared" si="9"/>
        <v>12038</v>
      </c>
      <c r="K233" s="288">
        <f t="shared" si="10"/>
        <v>11112</v>
      </c>
      <c r="L233" s="287">
        <f t="shared" si="11"/>
        <v>10649</v>
      </c>
      <c r="M233" s="288">
        <f t="shared" si="12"/>
        <v>10186</v>
      </c>
      <c r="N233" s="281"/>
      <c r="O233" s="34"/>
      <c r="P233" s="35"/>
      <c r="Q233" s="35"/>
      <c r="R233" s="35"/>
      <c r="S233" s="35"/>
      <c r="T233" s="35"/>
      <c r="U233" s="35"/>
      <c r="V233" s="35"/>
      <c r="W233" s="35"/>
      <c r="X233" s="35"/>
      <c r="Y233" s="35"/>
      <c r="Z233" s="35"/>
    </row>
    <row r="234" ht="22.5" hidden="1" customHeight="1">
      <c r="A234" s="353"/>
      <c r="B234" s="348"/>
      <c r="C234" s="349" t="s">
        <v>2295</v>
      </c>
      <c r="D234" s="350" t="s">
        <v>2296</v>
      </c>
      <c r="E234" s="342"/>
      <c r="F234" s="321">
        <v>1859.0</v>
      </c>
      <c r="G234" s="352"/>
      <c r="H234" s="285">
        <f t="shared" si="7"/>
        <v>2788.5</v>
      </c>
      <c r="I234" s="286">
        <f t="shared" si="8"/>
        <v>2416.7</v>
      </c>
      <c r="J234" s="287">
        <f t="shared" si="9"/>
        <v>2416.7</v>
      </c>
      <c r="K234" s="288">
        <f t="shared" si="10"/>
        <v>2230.8</v>
      </c>
      <c r="L234" s="287">
        <f t="shared" si="11"/>
        <v>2137.85</v>
      </c>
      <c r="M234" s="288">
        <f t="shared" si="12"/>
        <v>2044.9</v>
      </c>
      <c r="N234" s="281"/>
      <c r="O234" s="34"/>
      <c r="P234" s="35"/>
      <c r="Q234" s="35"/>
      <c r="R234" s="35"/>
      <c r="S234" s="35"/>
      <c r="T234" s="35"/>
      <c r="U234" s="35"/>
      <c r="V234" s="35"/>
      <c r="W234" s="35"/>
      <c r="X234" s="35"/>
      <c r="Y234" s="35"/>
      <c r="Z234" s="35"/>
    </row>
    <row r="235" ht="14.25" hidden="1" customHeight="1">
      <c r="A235" s="353"/>
      <c r="B235" s="348"/>
      <c r="C235" s="349" t="s">
        <v>2297</v>
      </c>
      <c r="D235" s="350" t="s">
        <v>2298</v>
      </c>
      <c r="E235" s="342"/>
      <c r="F235" s="321">
        <v>16630.0</v>
      </c>
      <c r="G235" s="352"/>
      <c r="H235" s="285">
        <f t="shared" si="7"/>
        <v>24945</v>
      </c>
      <c r="I235" s="286">
        <f t="shared" si="8"/>
        <v>21619</v>
      </c>
      <c r="J235" s="287">
        <f t="shared" si="9"/>
        <v>21619</v>
      </c>
      <c r="K235" s="288">
        <f t="shared" si="10"/>
        <v>19956</v>
      </c>
      <c r="L235" s="287">
        <f t="shared" si="11"/>
        <v>19124.5</v>
      </c>
      <c r="M235" s="288">
        <f t="shared" si="12"/>
        <v>18293</v>
      </c>
      <c r="N235" s="281"/>
      <c r="O235" s="34"/>
      <c r="P235" s="35"/>
      <c r="Q235" s="35"/>
      <c r="R235" s="35"/>
      <c r="S235" s="35"/>
      <c r="T235" s="35"/>
      <c r="U235" s="35"/>
      <c r="V235" s="35"/>
      <c r="W235" s="35"/>
      <c r="X235" s="35"/>
      <c r="Y235" s="35"/>
      <c r="Z235" s="35"/>
    </row>
    <row r="236" ht="14.25" hidden="1" customHeight="1">
      <c r="A236" s="353"/>
      <c r="B236" s="348"/>
      <c r="C236" s="356"/>
      <c r="D236" s="350"/>
      <c r="E236" s="342"/>
      <c r="F236" s="321"/>
      <c r="G236" s="352"/>
      <c r="H236" s="285">
        <f t="shared" si="7"/>
        <v>0</v>
      </c>
      <c r="I236" s="286">
        <f t="shared" si="8"/>
        <v>0</v>
      </c>
      <c r="J236" s="287">
        <f t="shared" si="9"/>
        <v>0</v>
      </c>
      <c r="K236" s="288">
        <f t="shared" si="10"/>
        <v>0</v>
      </c>
      <c r="L236" s="287">
        <f t="shared" si="11"/>
        <v>0</v>
      </c>
      <c r="M236" s="288">
        <f t="shared" si="12"/>
        <v>0</v>
      </c>
      <c r="N236" s="281"/>
      <c r="O236" s="34"/>
      <c r="P236" s="35"/>
      <c r="Q236" s="35"/>
      <c r="R236" s="35"/>
      <c r="S236" s="35"/>
      <c r="T236" s="35"/>
      <c r="U236" s="35"/>
      <c r="V236" s="35"/>
      <c r="W236" s="35"/>
      <c r="X236" s="35"/>
      <c r="Y236" s="35"/>
      <c r="Z236" s="35"/>
    </row>
    <row r="237" ht="14.25" customHeight="1">
      <c r="A237" s="357" t="s">
        <v>2299</v>
      </c>
      <c r="B237" s="358" t="s">
        <v>2300</v>
      </c>
      <c r="C237" s="359" t="s">
        <v>2301</v>
      </c>
      <c r="D237" s="360" t="s">
        <v>2302</v>
      </c>
      <c r="E237" s="361"/>
      <c r="F237" s="362">
        <v>1250.0</v>
      </c>
      <c r="G237" s="363">
        <v>45866.0</v>
      </c>
      <c r="H237" s="364">
        <f t="shared" si="7"/>
        <v>1875</v>
      </c>
      <c r="I237" s="365">
        <f t="shared" si="8"/>
        <v>1625</v>
      </c>
      <c r="J237" s="366">
        <f t="shared" si="9"/>
        <v>1625</v>
      </c>
      <c r="K237" s="367">
        <f t="shared" si="10"/>
        <v>1500</v>
      </c>
      <c r="L237" s="366">
        <f t="shared" si="11"/>
        <v>1437.5</v>
      </c>
      <c r="M237" s="367">
        <f t="shared" si="12"/>
        <v>1375</v>
      </c>
      <c r="N237" s="281"/>
      <c r="O237" s="34"/>
      <c r="P237" s="35"/>
      <c r="Q237" s="35"/>
      <c r="R237" s="35"/>
      <c r="S237" s="35"/>
      <c r="T237" s="35"/>
      <c r="U237" s="35"/>
      <c r="V237" s="35"/>
      <c r="W237" s="35"/>
      <c r="X237" s="35"/>
      <c r="Y237" s="35"/>
      <c r="Z237" s="35"/>
    </row>
    <row r="238" ht="14.25" customHeight="1">
      <c r="A238" s="357" t="s">
        <v>2299</v>
      </c>
      <c r="B238" s="368"/>
      <c r="C238" s="359" t="s">
        <v>2303</v>
      </c>
      <c r="D238" s="369"/>
      <c r="E238" s="361"/>
      <c r="F238" s="368"/>
      <c r="G238" s="363">
        <v>45866.0</v>
      </c>
      <c r="H238" s="370"/>
      <c r="I238" s="369"/>
      <c r="J238" s="371"/>
      <c r="K238" s="369"/>
      <c r="L238" s="371"/>
      <c r="M238" s="369"/>
      <c r="N238" s="281"/>
      <c r="O238" s="34"/>
      <c r="P238" s="35"/>
      <c r="Q238" s="35"/>
      <c r="R238" s="35"/>
      <c r="S238" s="35"/>
      <c r="T238" s="35"/>
      <c r="U238" s="35"/>
      <c r="V238" s="35"/>
      <c r="W238" s="35"/>
      <c r="X238" s="35"/>
      <c r="Y238" s="35"/>
      <c r="Z238" s="35"/>
    </row>
    <row r="239" ht="14.25" customHeight="1">
      <c r="A239" s="357" t="s">
        <v>2299</v>
      </c>
      <c r="B239" s="358" t="s">
        <v>2304</v>
      </c>
      <c r="C239" s="359" t="s">
        <v>2305</v>
      </c>
      <c r="D239" s="360" t="s">
        <v>2302</v>
      </c>
      <c r="E239" s="361"/>
      <c r="F239" s="362">
        <v>1250.0</v>
      </c>
      <c r="G239" s="363">
        <v>45866.0</v>
      </c>
      <c r="H239" s="285">
        <f t="shared" ref="H239:H647" si="13">F239*0.5+F239</f>
        <v>1875</v>
      </c>
      <c r="I239" s="286">
        <f t="shared" ref="I239:I643" si="14">F239*0.3+F239</f>
        <v>1625</v>
      </c>
      <c r="J239" s="287">
        <f t="shared" ref="J239:J624" si="15">F239*0.3+F239</f>
        <v>1625</v>
      </c>
      <c r="K239" s="288">
        <f t="shared" ref="K239:K645" si="16">F239*0.2+F239</f>
        <v>1500</v>
      </c>
      <c r="L239" s="287">
        <f t="shared" ref="L239:L642" si="17">F239*0.15+F239</f>
        <v>1437.5</v>
      </c>
      <c r="M239" s="288">
        <f t="shared" ref="M239:M641" si="18">F239*0.1+F239</f>
        <v>1375</v>
      </c>
      <c r="N239" s="281"/>
      <c r="O239" s="34"/>
      <c r="P239" s="35"/>
      <c r="Q239" s="35"/>
      <c r="R239" s="35"/>
      <c r="S239" s="35"/>
      <c r="T239" s="35"/>
      <c r="U239" s="35"/>
      <c r="V239" s="35"/>
      <c r="W239" s="35"/>
      <c r="X239" s="35"/>
      <c r="Y239" s="35"/>
      <c r="Z239" s="35"/>
    </row>
    <row r="240" ht="14.25" customHeight="1">
      <c r="A240" s="357" t="s">
        <v>2299</v>
      </c>
      <c r="B240" s="368"/>
      <c r="C240" s="359" t="s">
        <v>2306</v>
      </c>
      <c r="D240" s="369"/>
      <c r="E240" s="361"/>
      <c r="F240" s="368"/>
      <c r="G240" s="363">
        <v>45866.0</v>
      </c>
      <c r="H240" s="285">
        <f t="shared" si="13"/>
        <v>0</v>
      </c>
      <c r="I240" s="286">
        <f t="shared" si="14"/>
        <v>0</v>
      </c>
      <c r="J240" s="287">
        <f t="shared" si="15"/>
        <v>0</v>
      </c>
      <c r="K240" s="288">
        <f t="shared" si="16"/>
        <v>0</v>
      </c>
      <c r="L240" s="287">
        <f t="shared" si="17"/>
        <v>0</v>
      </c>
      <c r="M240" s="288">
        <f t="shared" si="18"/>
        <v>0</v>
      </c>
      <c r="N240" s="281"/>
      <c r="O240" s="34"/>
      <c r="P240" s="35"/>
      <c r="Q240" s="35"/>
      <c r="R240" s="35"/>
      <c r="S240" s="35"/>
      <c r="T240" s="35"/>
      <c r="U240" s="35"/>
      <c r="V240" s="35"/>
      <c r="W240" s="35"/>
      <c r="X240" s="35"/>
      <c r="Y240" s="35"/>
      <c r="Z240" s="35"/>
    </row>
    <row r="241" ht="14.25" customHeight="1">
      <c r="A241" s="357" t="s">
        <v>2299</v>
      </c>
      <c r="B241" s="358" t="s">
        <v>2307</v>
      </c>
      <c r="C241" s="359" t="s">
        <v>2308</v>
      </c>
      <c r="D241" s="360" t="s">
        <v>2309</v>
      </c>
      <c r="E241" s="361"/>
      <c r="F241" s="362">
        <v>1600.0</v>
      </c>
      <c r="G241" s="363">
        <v>45866.0</v>
      </c>
      <c r="H241" s="285">
        <f t="shared" si="13"/>
        <v>2400</v>
      </c>
      <c r="I241" s="286">
        <f t="shared" si="14"/>
        <v>2080</v>
      </c>
      <c r="J241" s="287">
        <f t="shared" si="15"/>
        <v>2080</v>
      </c>
      <c r="K241" s="288">
        <f t="shared" si="16"/>
        <v>1920</v>
      </c>
      <c r="L241" s="287">
        <f t="shared" si="17"/>
        <v>1840</v>
      </c>
      <c r="M241" s="288">
        <f t="shared" si="18"/>
        <v>1760</v>
      </c>
      <c r="N241" s="281"/>
      <c r="O241" s="34"/>
      <c r="P241" s="35"/>
      <c r="Q241" s="35"/>
      <c r="R241" s="35"/>
      <c r="S241" s="35"/>
      <c r="T241" s="35"/>
      <c r="U241" s="35"/>
      <c r="V241" s="35"/>
      <c r="W241" s="35"/>
      <c r="X241" s="35"/>
      <c r="Y241" s="35"/>
      <c r="Z241" s="35"/>
    </row>
    <row r="242" ht="14.25" customHeight="1">
      <c r="A242" s="357" t="s">
        <v>2299</v>
      </c>
      <c r="B242" s="368"/>
      <c r="C242" s="359" t="s">
        <v>2310</v>
      </c>
      <c r="D242" s="369"/>
      <c r="E242" s="361"/>
      <c r="F242" s="368"/>
      <c r="G242" s="363">
        <v>45866.0</v>
      </c>
      <c r="H242" s="285">
        <f t="shared" si="13"/>
        <v>0</v>
      </c>
      <c r="I242" s="286">
        <f t="shared" si="14"/>
        <v>0</v>
      </c>
      <c r="J242" s="287">
        <f t="shared" si="15"/>
        <v>0</v>
      </c>
      <c r="K242" s="288">
        <f t="shared" si="16"/>
        <v>0</v>
      </c>
      <c r="L242" s="287">
        <f t="shared" si="17"/>
        <v>0</v>
      </c>
      <c r="M242" s="288">
        <f t="shared" si="18"/>
        <v>0</v>
      </c>
      <c r="N242" s="281"/>
      <c r="O242" s="34"/>
      <c r="P242" s="35"/>
      <c r="Q242" s="35"/>
      <c r="R242" s="35"/>
      <c r="S242" s="35"/>
      <c r="T242" s="35"/>
      <c r="U242" s="35"/>
      <c r="V242" s="35"/>
      <c r="W242" s="35"/>
      <c r="X242" s="35"/>
      <c r="Y242" s="35"/>
      <c r="Z242" s="35"/>
    </row>
    <row r="243" ht="14.25" customHeight="1">
      <c r="A243" s="357" t="s">
        <v>2299</v>
      </c>
      <c r="B243" s="358" t="s">
        <v>2311</v>
      </c>
      <c r="C243" s="359" t="s">
        <v>2312</v>
      </c>
      <c r="D243" s="360" t="s">
        <v>2309</v>
      </c>
      <c r="E243" s="361"/>
      <c r="F243" s="362">
        <v>1600.0</v>
      </c>
      <c r="G243" s="363">
        <v>45866.0</v>
      </c>
      <c r="H243" s="285">
        <f t="shared" si="13"/>
        <v>2400</v>
      </c>
      <c r="I243" s="286">
        <f t="shared" si="14"/>
        <v>2080</v>
      </c>
      <c r="J243" s="287">
        <f t="shared" si="15"/>
        <v>2080</v>
      </c>
      <c r="K243" s="288">
        <f t="shared" si="16"/>
        <v>1920</v>
      </c>
      <c r="L243" s="287">
        <f t="shared" si="17"/>
        <v>1840</v>
      </c>
      <c r="M243" s="288">
        <f t="shared" si="18"/>
        <v>1760</v>
      </c>
      <c r="N243" s="281"/>
      <c r="O243" s="34"/>
      <c r="P243" s="35"/>
      <c r="Q243" s="35"/>
      <c r="R243" s="35"/>
      <c r="S243" s="35"/>
      <c r="T243" s="35"/>
      <c r="U243" s="35"/>
      <c r="V243" s="35"/>
      <c r="W243" s="35"/>
      <c r="X243" s="35"/>
      <c r="Y243" s="35"/>
      <c r="Z243" s="35"/>
    </row>
    <row r="244" ht="14.25" customHeight="1">
      <c r="A244" s="357" t="s">
        <v>2299</v>
      </c>
      <c r="B244" s="368"/>
      <c r="C244" s="359" t="s">
        <v>2313</v>
      </c>
      <c r="D244" s="369"/>
      <c r="E244" s="361"/>
      <c r="F244" s="368"/>
      <c r="G244" s="363">
        <v>45866.0</v>
      </c>
      <c r="H244" s="285">
        <f t="shared" si="13"/>
        <v>0</v>
      </c>
      <c r="I244" s="286">
        <f t="shared" si="14"/>
        <v>0</v>
      </c>
      <c r="J244" s="287">
        <f t="shared" si="15"/>
        <v>0</v>
      </c>
      <c r="K244" s="288">
        <f t="shared" si="16"/>
        <v>0</v>
      </c>
      <c r="L244" s="287">
        <f t="shared" si="17"/>
        <v>0</v>
      </c>
      <c r="M244" s="288">
        <f t="shared" si="18"/>
        <v>0</v>
      </c>
      <c r="N244" s="281"/>
      <c r="O244" s="34"/>
      <c r="P244" s="35"/>
      <c r="Q244" s="35"/>
      <c r="R244" s="35"/>
      <c r="S244" s="35"/>
      <c r="T244" s="35"/>
      <c r="U244" s="35"/>
      <c r="V244" s="35"/>
      <c r="W244" s="35"/>
      <c r="X244" s="35"/>
      <c r="Y244" s="35"/>
      <c r="Z244" s="35"/>
    </row>
    <row r="245" ht="14.25" customHeight="1">
      <c r="A245" s="372" t="s">
        <v>2299</v>
      </c>
      <c r="B245" s="373" t="s">
        <v>2314</v>
      </c>
      <c r="C245" s="374" t="s">
        <v>2315</v>
      </c>
      <c r="D245" s="375" t="s">
        <v>2316</v>
      </c>
      <c r="F245" s="376">
        <v>1820.0</v>
      </c>
      <c r="G245" s="363">
        <v>45866.0</v>
      </c>
      <c r="H245" s="285">
        <f t="shared" si="13"/>
        <v>2730</v>
      </c>
      <c r="I245" s="286">
        <f t="shared" si="14"/>
        <v>2366</v>
      </c>
      <c r="J245" s="287">
        <f t="shared" si="15"/>
        <v>2366</v>
      </c>
      <c r="K245" s="288">
        <f t="shared" si="16"/>
        <v>2184</v>
      </c>
      <c r="L245" s="287">
        <f t="shared" si="17"/>
        <v>2093</v>
      </c>
      <c r="M245" s="288">
        <f t="shared" si="18"/>
        <v>2002</v>
      </c>
      <c r="N245" s="281"/>
      <c r="O245" s="34"/>
      <c r="P245" s="35"/>
      <c r="Q245" s="35"/>
      <c r="R245" s="35"/>
      <c r="S245" s="35"/>
      <c r="T245" s="35"/>
      <c r="U245" s="35"/>
      <c r="V245" s="35"/>
      <c r="W245" s="35"/>
      <c r="X245" s="35"/>
      <c r="Y245" s="35"/>
      <c r="Z245" s="35"/>
    </row>
    <row r="246" ht="14.25" customHeight="1">
      <c r="A246" s="372" t="s">
        <v>2299</v>
      </c>
      <c r="B246" s="368"/>
      <c r="C246" s="374" t="s">
        <v>2317</v>
      </c>
      <c r="D246" s="369"/>
      <c r="F246" s="368"/>
      <c r="G246" s="363">
        <v>45866.0</v>
      </c>
      <c r="H246" s="285">
        <f t="shared" si="13"/>
        <v>0</v>
      </c>
      <c r="I246" s="286">
        <f t="shared" si="14"/>
        <v>0</v>
      </c>
      <c r="J246" s="287">
        <f t="shared" si="15"/>
        <v>0</v>
      </c>
      <c r="K246" s="288">
        <f t="shared" si="16"/>
        <v>0</v>
      </c>
      <c r="L246" s="287">
        <f t="shared" si="17"/>
        <v>0</v>
      </c>
      <c r="M246" s="288">
        <f t="shared" si="18"/>
        <v>0</v>
      </c>
      <c r="N246" s="281"/>
      <c r="O246" s="34"/>
      <c r="P246" s="35"/>
      <c r="Q246" s="35"/>
      <c r="R246" s="35"/>
      <c r="S246" s="35"/>
      <c r="T246" s="35"/>
      <c r="U246" s="35"/>
      <c r="V246" s="35"/>
      <c r="W246" s="35"/>
      <c r="X246" s="35"/>
      <c r="Y246" s="35"/>
      <c r="Z246" s="35"/>
    </row>
    <row r="247" ht="14.25" customHeight="1">
      <c r="A247" s="372" t="s">
        <v>2299</v>
      </c>
      <c r="B247" s="373" t="s">
        <v>2318</v>
      </c>
      <c r="C247" s="377" t="s">
        <v>2319</v>
      </c>
      <c r="D247" s="375" t="s">
        <v>2320</v>
      </c>
      <c r="F247" s="376">
        <v>1755.0</v>
      </c>
      <c r="G247" s="363">
        <v>45866.0</v>
      </c>
      <c r="H247" s="285">
        <f t="shared" si="13"/>
        <v>2632.5</v>
      </c>
      <c r="I247" s="286">
        <f t="shared" si="14"/>
        <v>2281.5</v>
      </c>
      <c r="J247" s="287">
        <f t="shared" si="15"/>
        <v>2281.5</v>
      </c>
      <c r="K247" s="288">
        <f t="shared" si="16"/>
        <v>2106</v>
      </c>
      <c r="L247" s="287">
        <f t="shared" si="17"/>
        <v>2018.25</v>
      </c>
      <c r="M247" s="288">
        <f t="shared" si="18"/>
        <v>1930.5</v>
      </c>
      <c r="N247" s="281"/>
      <c r="O247" s="34"/>
      <c r="P247" s="35"/>
      <c r="Q247" s="35"/>
      <c r="R247" s="35"/>
      <c r="S247" s="35"/>
      <c r="T247" s="35"/>
      <c r="U247" s="35"/>
      <c r="V247" s="35"/>
      <c r="W247" s="35"/>
      <c r="X247" s="35"/>
      <c r="Y247" s="35"/>
      <c r="Z247" s="35"/>
    </row>
    <row r="248" ht="14.25" customHeight="1">
      <c r="A248" s="372" t="s">
        <v>2299</v>
      </c>
      <c r="B248" s="368"/>
      <c r="C248" s="377" t="s">
        <v>2321</v>
      </c>
      <c r="D248" s="369"/>
      <c r="F248" s="368"/>
      <c r="G248" s="363">
        <v>45866.0</v>
      </c>
      <c r="H248" s="285">
        <f t="shared" si="13"/>
        <v>0</v>
      </c>
      <c r="I248" s="286">
        <f t="shared" si="14"/>
        <v>0</v>
      </c>
      <c r="J248" s="287">
        <f t="shared" si="15"/>
        <v>0</v>
      </c>
      <c r="K248" s="288">
        <f t="shared" si="16"/>
        <v>0</v>
      </c>
      <c r="L248" s="287">
        <f t="shared" si="17"/>
        <v>0</v>
      </c>
      <c r="M248" s="288">
        <f t="shared" si="18"/>
        <v>0</v>
      </c>
      <c r="N248" s="281"/>
      <c r="O248" s="34"/>
      <c r="P248" s="35"/>
      <c r="Q248" s="35"/>
      <c r="R248" s="35"/>
      <c r="S248" s="35"/>
      <c r="T248" s="35"/>
      <c r="U248" s="35"/>
      <c r="V248" s="35"/>
      <c r="W248" s="35"/>
      <c r="X248" s="35"/>
      <c r="Y248" s="35"/>
      <c r="Z248" s="35"/>
    </row>
    <row r="249" ht="14.25" customHeight="1">
      <c r="A249" s="372" t="s">
        <v>2299</v>
      </c>
      <c r="B249" s="373" t="s">
        <v>2322</v>
      </c>
      <c r="C249" s="377" t="s">
        <v>2323</v>
      </c>
      <c r="D249" s="375" t="s">
        <v>2324</v>
      </c>
      <c r="F249" s="376">
        <v>1755.0</v>
      </c>
      <c r="G249" s="363">
        <v>45866.0</v>
      </c>
      <c r="H249" s="285">
        <f t="shared" si="13"/>
        <v>2632.5</v>
      </c>
      <c r="I249" s="286">
        <f t="shared" si="14"/>
        <v>2281.5</v>
      </c>
      <c r="J249" s="287">
        <f t="shared" si="15"/>
        <v>2281.5</v>
      </c>
      <c r="K249" s="288">
        <f t="shared" si="16"/>
        <v>2106</v>
      </c>
      <c r="L249" s="287">
        <f t="shared" si="17"/>
        <v>2018.25</v>
      </c>
      <c r="M249" s="288">
        <f t="shared" si="18"/>
        <v>1930.5</v>
      </c>
      <c r="N249" s="281"/>
      <c r="O249" s="34"/>
      <c r="P249" s="35"/>
      <c r="Q249" s="35"/>
      <c r="R249" s="35"/>
      <c r="S249" s="35"/>
      <c r="T249" s="35"/>
      <c r="U249" s="35"/>
      <c r="V249" s="35"/>
      <c r="W249" s="35"/>
      <c r="X249" s="35"/>
      <c r="Y249" s="35"/>
      <c r="Z249" s="35"/>
    </row>
    <row r="250" ht="14.25" customHeight="1">
      <c r="A250" s="372" t="s">
        <v>2299</v>
      </c>
      <c r="B250" s="368"/>
      <c r="C250" s="377" t="s">
        <v>2325</v>
      </c>
      <c r="D250" s="369"/>
      <c r="F250" s="368"/>
      <c r="G250" s="363">
        <v>45866.0</v>
      </c>
      <c r="H250" s="285">
        <f t="shared" si="13"/>
        <v>0</v>
      </c>
      <c r="I250" s="286">
        <f t="shared" si="14"/>
        <v>0</v>
      </c>
      <c r="J250" s="287">
        <f t="shared" si="15"/>
        <v>0</v>
      </c>
      <c r="K250" s="288">
        <f t="shared" si="16"/>
        <v>0</v>
      </c>
      <c r="L250" s="287">
        <f t="shared" si="17"/>
        <v>0</v>
      </c>
      <c r="M250" s="288">
        <f t="shared" si="18"/>
        <v>0</v>
      </c>
      <c r="N250" s="281"/>
      <c r="O250" s="34"/>
      <c r="P250" s="35"/>
      <c r="Q250" s="35"/>
      <c r="R250" s="35"/>
      <c r="S250" s="35"/>
      <c r="T250" s="35"/>
      <c r="U250" s="35"/>
      <c r="V250" s="35"/>
      <c r="W250" s="35"/>
      <c r="X250" s="35"/>
      <c r="Y250" s="35"/>
      <c r="Z250" s="35"/>
    </row>
    <row r="251" ht="14.25" customHeight="1">
      <c r="A251" s="372" t="s">
        <v>2299</v>
      </c>
      <c r="B251" s="373" t="s">
        <v>2326</v>
      </c>
      <c r="C251" s="377" t="s">
        <v>2327</v>
      </c>
      <c r="D251" s="375" t="s">
        <v>2328</v>
      </c>
      <c r="F251" s="376">
        <v>1690.0</v>
      </c>
      <c r="G251" s="363">
        <v>45866.0</v>
      </c>
      <c r="H251" s="285">
        <f t="shared" si="13"/>
        <v>2535</v>
      </c>
      <c r="I251" s="286">
        <f t="shared" si="14"/>
        <v>2197</v>
      </c>
      <c r="J251" s="287">
        <f t="shared" si="15"/>
        <v>2197</v>
      </c>
      <c r="K251" s="288">
        <f t="shared" si="16"/>
        <v>2028</v>
      </c>
      <c r="L251" s="287">
        <f t="shared" si="17"/>
        <v>1943.5</v>
      </c>
      <c r="M251" s="288">
        <f t="shared" si="18"/>
        <v>1859</v>
      </c>
      <c r="N251" s="281"/>
      <c r="O251" s="34"/>
      <c r="P251" s="35"/>
      <c r="Q251" s="35"/>
      <c r="R251" s="35"/>
      <c r="S251" s="35"/>
      <c r="T251" s="35"/>
      <c r="U251" s="35"/>
      <c r="V251" s="35"/>
      <c r="W251" s="35"/>
      <c r="X251" s="35"/>
      <c r="Y251" s="35"/>
      <c r="Z251" s="35"/>
    </row>
    <row r="252" ht="14.25" customHeight="1">
      <c r="A252" s="372" t="s">
        <v>2299</v>
      </c>
      <c r="B252" s="368"/>
      <c r="C252" s="374" t="s">
        <v>2329</v>
      </c>
      <c r="D252" s="369"/>
      <c r="F252" s="368"/>
      <c r="G252" s="363">
        <v>45866.0</v>
      </c>
      <c r="H252" s="285">
        <f t="shared" si="13"/>
        <v>0</v>
      </c>
      <c r="I252" s="286">
        <f t="shared" si="14"/>
        <v>0</v>
      </c>
      <c r="J252" s="287">
        <f t="shared" si="15"/>
        <v>0</v>
      </c>
      <c r="K252" s="288">
        <f t="shared" si="16"/>
        <v>0</v>
      </c>
      <c r="L252" s="287">
        <f t="shared" si="17"/>
        <v>0</v>
      </c>
      <c r="M252" s="288">
        <f t="shared" si="18"/>
        <v>0</v>
      </c>
      <c r="N252" s="281"/>
      <c r="O252" s="34"/>
      <c r="P252" s="35"/>
      <c r="Q252" s="35"/>
      <c r="R252" s="35"/>
      <c r="S252" s="35"/>
      <c r="T252" s="35"/>
      <c r="U252" s="35"/>
      <c r="V252" s="35"/>
      <c r="W252" s="35"/>
      <c r="X252" s="35"/>
      <c r="Y252" s="35"/>
      <c r="Z252" s="35"/>
    </row>
    <row r="253" ht="14.25" customHeight="1">
      <c r="A253" s="372" t="s">
        <v>2299</v>
      </c>
      <c r="B253" s="373" t="s">
        <v>2330</v>
      </c>
      <c r="C253" s="377" t="s">
        <v>2331</v>
      </c>
      <c r="D253" s="360" t="s">
        <v>2332</v>
      </c>
      <c r="F253" s="376">
        <v>1755.0</v>
      </c>
      <c r="G253" s="363">
        <v>45866.0</v>
      </c>
      <c r="H253" s="285">
        <f t="shared" si="13"/>
        <v>2632.5</v>
      </c>
      <c r="I253" s="286">
        <f t="shared" si="14"/>
        <v>2281.5</v>
      </c>
      <c r="J253" s="287">
        <f t="shared" si="15"/>
        <v>2281.5</v>
      </c>
      <c r="K253" s="288">
        <f t="shared" si="16"/>
        <v>2106</v>
      </c>
      <c r="L253" s="287">
        <f t="shared" si="17"/>
        <v>2018.25</v>
      </c>
      <c r="M253" s="288">
        <f t="shared" si="18"/>
        <v>1930.5</v>
      </c>
      <c r="N253" s="281"/>
      <c r="O253" s="34"/>
      <c r="P253" s="35"/>
      <c r="Q253" s="35"/>
      <c r="R253" s="35"/>
      <c r="S253" s="35"/>
      <c r="T253" s="35"/>
      <c r="U253" s="35"/>
      <c r="V253" s="35"/>
      <c r="W253" s="35"/>
      <c r="X253" s="35"/>
      <c r="Y253" s="35"/>
      <c r="Z253" s="35"/>
    </row>
    <row r="254" ht="14.25" customHeight="1">
      <c r="A254" s="372" t="s">
        <v>2299</v>
      </c>
      <c r="B254" s="368"/>
      <c r="C254" s="377" t="s">
        <v>2333</v>
      </c>
      <c r="D254" s="369"/>
      <c r="F254" s="368"/>
      <c r="G254" s="363">
        <v>45866.0</v>
      </c>
      <c r="H254" s="285">
        <f t="shared" si="13"/>
        <v>0</v>
      </c>
      <c r="I254" s="286">
        <f t="shared" si="14"/>
        <v>0</v>
      </c>
      <c r="J254" s="287">
        <f t="shared" si="15"/>
        <v>0</v>
      </c>
      <c r="K254" s="288">
        <f t="shared" si="16"/>
        <v>0</v>
      </c>
      <c r="L254" s="287">
        <f t="shared" si="17"/>
        <v>0</v>
      </c>
      <c r="M254" s="288">
        <f t="shared" si="18"/>
        <v>0</v>
      </c>
      <c r="N254" s="281"/>
      <c r="O254" s="34"/>
      <c r="P254" s="35"/>
      <c r="Q254" s="35"/>
      <c r="R254" s="35"/>
      <c r="S254" s="35"/>
      <c r="T254" s="35"/>
      <c r="U254" s="35"/>
      <c r="V254" s="35"/>
      <c r="W254" s="35"/>
      <c r="X254" s="35"/>
      <c r="Y254" s="35"/>
      <c r="Z254" s="35"/>
    </row>
    <row r="255" ht="14.25" customHeight="1">
      <c r="A255" s="372" t="s">
        <v>2299</v>
      </c>
      <c r="B255" s="358" t="s">
        <v>2334</v>
      </c>
      <c r="C255" s="359" t="s">
        <v>2335</v>
      </c>
      <c r="D255" s="360" t="s">
        <v>2336</v>
      </c>
      <c r="F255" s="376">
        <v>1690.0</v>
      </c>
      <c r="G255" s="363">
        <v>45866.0</v>
      </c>
      <c r="H255" s="285">
        <f t="shared" si="13"/>
        <v>2535</v>
      </c>
      <c r="I255" s="286">
        <f t="shared" si="14"/>
        <v>2197</v>
      </c>
      <c r="J255" s="287">
        <f t="shared" si="15"/>
        <v>2197</v>
      </c>
      <c r="K255" s="288">
        <f t="shared" si="16"/>
        <v>2028</v>
      </c>
      <c r="L255" s="287">
        <f t="shared" si="17"/>
        <v>1943.5</v>
      </c>
      <c r="M255" s="288">
        <f t="shared" si="18"/>
        <v>1859</v>
      </c>
      <c r="N255" s="281"/>
      <c r="O255" s="34"/>
      <c r="P255" s="35"/>
      <c r="Q255" s="35"/>
      <c r="R255" s="35"/>
      <c r="S255" s="35"/>
      <c r="T255" s="35"/>
      <c r="U255" s="35"/>
      <c r="V255" s="35"/>
      <c r="W255" s="35"/>
      <c r="X255" s="35"/>
      <c r="Y255" s="35"/>
      <c r="Z255" s="35"/>
    </row>
    <row r="256" ht="14.25" customHeight="1">
      <c r="A256" s="372" t="s">
        <v>2299</v>
      </c>
      <c r="B256" s="368"/>
      <c r="C256" s="378" t="s">
        <v>2337</v>
      </c>
      <c r="D256" s="369"/>
      <c r="F256" s="368"/>
      <c r="G256" s="363">
        <v>45866.0</v>
      </c>
      <c r="H256" s="285">
        <f t="shared" si="13"/>
        <v>0</v>
      </c>
      <c r="I256" s="286">
        <f t="shared" si="14"/>
        <v>0</v>
      </c>
      <c r="J256" s="287">
        <f t="shared" si="15"/>
        <v>0</v>
      </c>
      <c r="K256" s="288">
        <f t="shared" si="16"/>
        <v>0</v>
      </c>
      <c r="L256" s="287">
        <f t="shared" si="17"/>
        <v>0</v>
      </c>
      <c r="M256" s="288">
        <f t="shared" si="18"/>
        <v>0</v>
      </c>
      <c r="N256" s="281"/>
      <c r="O256" s="34"/>
      <c r="P256" s="35"/>
      <c r="Q256" s="35"/>
      <c r="R256" s="35"/>
      <c r="S256" s="35"/>
      <c r="T256" s="35"/>
      <c r="U256" s="35"/>
      <c r="V256" s="35"/>
      <c r="W256" s="35"/>
      <c r="X256" s="35"/>
      <c r="Y256" s="35"/>
      <c r="Z256" s="35"/>
    </row>
    <row r="257" ht="14.25" customHeight="1">
      <c r="A257" s="372" t="s">
        <v>2299</v>
      </c>
      <c r="B257" s="358" t="s">
        <v>2338</v>
      </c>
      <c r="C257" s="378" t="s">
        <v>2339</v>
      </c>
      <c r="D257" s="360" t="s">
        <v>2340</v>
      </c>
      <c r="F257" s="376">
        <v>1625.0</v>
      </c>
      <c r="G257" s="363">
        <v>45866.0</v>
      </c>
      <c r="H257" s="285">
        <f t="shared" si="13"/>
        <v>2437.5</v>
      </c>
      <c r="I257" s="286">
        <f t="shared" si="14"/>
        <v>2112.5</v>
      </c>
      <c r="J257" s="287">
        <f t="shared" si="15"/>
        <v>2112.5</v>
      </c>
      <c r="K257" s="288">
        <f t="shared" si="16"/>
        <v>1950</v>
      </c>
      <c r="L257" s="287">
        <f t="shared" si="17"/>
        <v>1868.75</v>
      </c>
      <c r="M257" s="288">
        <f t="shared" si="18"/>
        <v>1787.5</v>
      </c>
      <c r="N257" s="281"/>
      <c r="O257" s="34"/>
      <c r="P257" s="35"/>
      <c r="Q257" s="35"/>
      <c r="R257" s="35"/>
      <c r="S257" s="35"/>
      <c r="T257" s="35"/>
      <c r="U257" s="35"/>
      <c r="V257" s="35"/>
      <c r="W257" s="35"/>
      <c r="X257" s="35"/>
      <c r="Y257" s="35"/>
      <c r="Z257" s="35"/>
    </row>
    <row r="258" ht="14.25" customHeight="1">
      <c r="A258" s="372" t="s">
        <v>2299</v>
      </c>
      <c r="B258" s="368"/>
      <c r="C258" s="359" t="s">
        <v>2341</v>
      </c>
      <c r="D258" s="369"/>
      <c r="F258" s="368"/>
      <c r="G258" s="363">
        <v>45866.0</v>
      </c>
      <c r="H258" s="285">
        <f t="shared" si="13"/>
        <v>0</v>
      </c>
      <c r="I258" s="286">
        <f t="shared" si="14"/>
        <v>0</v>
      </c>
      <c r="J258" s="287">
        <f t="shared" si="15"/>
        <v>0</v>
      </c>
      <c r="K258" s="288">
        <f t="shared" si="16"/>
        <v>0</v>
      </c>
      <c r="L258" s="287">
        <f t="shared" si="17"/>
        <v>0</v>
      </c>
      <c r="M258" s="288">
        <f t="shared" si="18"/>
        <v>0</v>
      </c>
      <c r="N258" s="281"/>
      <c r="O258" s="34"/>
      <c r="P258" s="35"/>
      <c r="Q258" s="35"/>
      <c r="R258" s="35"/>
      <c r="S258" s="35"/>
      <c r="T258" s="35"/>
      <c r="U258" s="35"/>
      <c r="V258" s="35"/>
      <c r="W258" s="35"/>
      <c r="X258" s="35"/>
      <c r="Y258" s="35"/>
      <c r="Z258" s="35"/>
    </row>
    <row r="259" ht="14.25" customHeight="1">
      <c r="A259" s="372" t="s">
        <v>2299</v>
      </c>
      <c r="B259" s="358" t="s">
        <v>2342</v>
      </c>
      <c r="C259" s="359" t="s">
        <v>2343</v>
      </c>
      <c r="D259" s="360" t="s">
        <v>2344</v>
      </c>
      <c r="F259" s="376">
        <v>1560.0</v>
      </c>
      <c r="G259" s="363">
        <v>45866.0</v>
      </c>
      <c r="H259" s="285">
        <f t="shared" si="13"/>
        <v>2340</v>
      </c>
      <c r="I259" s="286">
        <f t="shared" si="14"/>
        <v>2028</v>
      </c>
      <c r="J259" s="287">
        <f t="shared" si="15"/>
        <v>2028</v>
      </c>
      <c r="K259" s="288">
        <f t="shared" si="16"/>
        <v>1872</v>
      </c>
      <c r="L259" s="287">
        <f t="shared" si="17"/>
        <v>1794</v>
      </c>
      <c r="M259" s="288">
        <f t="shared" si="18"/>
        <v>1716</v>
      </c>
      <c r="N259" s="281"/>
      <c r="O259" s="34"/>
      <c r="P259" s="35"/>
      <c r="Q259" s="35"/>
      <c r="R259" s="35"/>
      <c r="S259" s="35"/>
      <c r="T259" s="35"/>
      <c r="U259" s="35"/>
      <c r="V259" s="35"/>
      <c r="W259" s="35"/>
      <c r="X259" s="35"/>
      <c r="Y259" s="35"/>
      <c r="Z259" s="35"/>
    </row>
    <row r="260" ht="14.25" customHeight="1">
      <c r="A260" s="372" t="s">
        <v>2299</v>
      </c>
      <c r="B260" s="368"/>
      <c r="C260" s="359" t="s">
        <v>2345</v>
      </c>
      <c r="D260" s="369"/>
      <c r="F260" s="368"/>
      <c r="G260" s="363">
        <v>45866.0</v>
      </c>
      <c r="H260" s="285">
        <f t="shared" si="13"/>
        <v>0</v>
      </c>
      <c r="I260" s="286">
        <f t="shared" si="14"/>
        <v>0</v>
      </c>
      <c r="J260" s="287">
        <f t="shared" si="15"/>
        <v>0</v>
      </c>
      <c r="K260" s="288">
        <f t="shared" si="16"/>
        <v>0</v>
      </c>
      <c r="L260" s="287">
        <f t="shared" si="17"/>
        <v>0</v>
      </c>
      <c r="M260" s="288">
        <f t="shared" si="18"/>
        <v>0</v>
      </c>
      <c r="N260" s="281"/>
      <c r="O260" s="34"/>
      <c r="P260" s="35"/>
      <c r="Q260" s="35"/>
      <c r="R260" s="35"/>
      <c r="S260" s="35"/>
      <c r="T260" s="35"/>
      <c r="U260" s="35"/>
      <c r="V260" s="35"/>
      <c r="W260" s="35"/>
      <c r="X260" s="35"/>
      <c r="Y260" s="35"/>
      <c r="Z260" s="35"/>
    </row>
    <row r="261" ht="14.25" customHeight="1">
      <c r="A261" s="372" t="s">
        <v>2299</v>
      </c>
      <c r="B261" s="358" t="s">
        <v>2346</v>
      </c>
      <c r="C261" s="377" t="s">
        <v>2347</v>
      </c>
      <c r="D261" s="375" t="s">
        <v>2348</v>
      </c>
      <c r="F261" s="376">
        <v>1600.0</v>
      </c>
      <c r="G261" s="363">
        <v>45866.0</v>
      </c>
      <c r="H261" s="285">
        <f t="shared" si="13"/>
        <v>2400</v>
      </c>
      <c r="I261" s="286">
        <f t="shared" si="14"/>
        <v>2080</v>
      </c>
      <c r="J261" s="287">
        <f t="shared" si="15"/>
        <v>2080</v>
      </c>
      <c r="K261" s="288">
        <f t="shared" si="16"/>
        <v>1920</v>
      </c>
      <c r="L261" s="287">
        <f t="shared" si="17"/>
        <v>1840</v>
      </c>
      <c r="M261" s="288">
        <f t="shared" si="18"/>
        <v>1760</v>
      </c>
      <c r="N261" s="281"/>
      <c r="O261" s="34"/>
      <c r="P261" s="35"/>
      <c r="Q261" s="35"/>
      <c r="R261" s="35"/>
      <c r="S261" s="35"/>
      <c r="T261" s="35"/>
      <c r="U261" s="35"/>
      <c r="V261" s="35"/>
      <c r="W261" s="35"/>
      <c r="X261" s="35"/>
      <c r="Y261" s="35"/>
      <c r="Z261" s="35"/>
    </row>
    <row r="262" ht="14.25" customHeight="1">
      <c r="A262" s="372" t="s">
        <v>2299</v>
      </c>
      <c r="B262" s="368"/>
      <c r="C262" s="377" t="s">
        <v>2349</v>
      </c>
      <c r="D262" s="369"/>
      <c r="F262" s="368"/>
      <c r="G262" s="363">
        <v>45866.0</v>
      </c>
      <c r="H262" s="285">
        <f t="shared" si="13"/>
        <v>0</v>
      </c>
      <c r="I262" s="286">
        <f t="shared" si="14"/>
        <v>0</v>
      </c>
      <c r="J262" s="287">
        <f t="shared" si="15"/>
        <v>0</v>
      </c>
      <c r="K262" s="288">
        <f t="shared" si="16"/>
        <v>0</v>
      </c>
      <c r="L262" s="287">
        <f t="shared" si="17"/>
        <v>0</v>
      </c>
      <c r="M262" s="288">
        <f t="shared" si="18"/>
        <v>0</v>
      </c>
      <c r="N262" s="281"/>
      <c r="O262" s="34"/>
      <c r="P262" s="35"/>
      <c r="Q262" s="35"/>
      <c r="R262" s="35"/>
      <c r="S262" s="35"/>
      <c r="T262" s="35"/>
      <c r="U262" s="35"/>
      <c r="V262" s="35"/>
      <c r="W262" s="35"/>
      <c r="X262" s="35"/>
      <c r="Y262" s="35"/>
      <c r="Z262" s="35"/>
    </row>
    <row r="263" ht="14.25" customHeight="1">
      <c r="A263" s="372" t="s">
        <v>2299</v>
      </c>
      <c r="B263" s="358" t="s">
        <v>2350</v>
      </c>
      <c r="C263" s="377" t="s">
        <v>2351</v>
      </c>
      <c r="D263" s="375" t="s">
        <v>2352</v>
      </c>
      <c r="F263" s="376">
        <v>1500.0</v>
      </c>
      <c r="G263" s="363">
        <v>45866.0</v>
      </c>
      <c r="H263" s="285">
        <f t="shared" si="13"/>
        <v>2250</v>
      </c>
      <c r="I263" s="286">
        <f t="shared" si="14"/>
        <v>1950</v>
      </c>
      <c r="J263" s="287">
        <f t="shared" si="15"/>
        <v>1950</v>
      </c>
      <c r="K263" s="288">
        <f t="shared" si="16"/>
        <v>1800</v>
      </c>
      <c r="L263" s="287">
        <f t="shared" si="17"/>
        <v>1725</v>
      </c>
      <c r="M263" s="288">
        <f t="shared" si="18"/>
        <v>1650</v>
      </c>
      <c r="N263" s="281"/>
      <c r="O263" s="34"/>
      <c r="P263" s="35"/>
      <c r="Q263" s="35"/>
      <c r="R263" s="35"/>
      <c r="S263" s="35"/>
      <c r="T263" s="35"/>
      <c r="U263" s="35"/>
      <c r="V263" s="35"/>
      <c r="W263" s="35"/>
      <c r="X263" s="35"/>
      <c r="Y263" s="35"/>
      <c r="Z263" s="35"/>
    </row>
    <row r="264" ht="14.25" customHeight="1">
      <c r="A264" s="372" t="s">
        <v>2299</v>
      </c>
      <c r="B264" s="368"/>
      <c r="C264" s="377" t="s">
        <v>2353</v>
      </c>
      <c r="D264" s="369"/>
      <c r="F264" s="368"/>
      <c r="G264" s="363">
        <v>45866.0</v>
      </c>
      <c r="H264" s="285">
        <f t="shared" si="13"/>
        <v>0</v>
      </c>
      <c r="I264" s="286">
        <f t="shared" si="14"/>
        <v>0</v>
      </c>
      <c r="J264" s="287">
        <f t="shared" si="15"/>
        <v>0</v>
      </c>
      <c r="K264" s="288">
        <f t="shared" si="16"/>
        <v>0</v>
      </c>
      <c r="L264" s="287">
        <f t="shared" si="17"/>
        <v>0</v>
      </c>
      <c r="M264" s="288">
        <f t="shared" si="18"/>
        <v>0</v>
      </c>
      <c r="N264" s="281"/>
      <c r="O264" s="34"/>
      <c r="P264" s="35"/>
      <c r="Q264" s="35"/>
      <c r="R264" s="35"/>
      <c r="S264" s="35"/>
      <c r="T264" s="35"/>
      <c r="U264" s="35"/>
      <c r="V264" s="35"/>
      <c r="W264" s="35"/>
      <c r="X264" s="35"/>
      <c r="Y264" s="35"/>
      <c r="Z264" s="35"/>
    </row>
    <row r="265" ht="14.25" customHeight="1">
      <c r="A265" s="372" t="s">
        <v>2299</v>
      </c>
      <c r="B265" s="358" t="s">
        <v>2354</v>
      </c>
      <c r="C265" s="377" t="s">
        <v>2355</v>
      </c>
      <c r="D265" s="375" t="s">
        <v>2356</v>
      </c>
      <c r="F265" s="376">
        <v>1400.0</v>
      </c>
      <c r="G265" s="363">
        <v>45866.0</v>
      </c>
      <c r="H265" s="285">
        <f t="shared" si="13"/>
        <v>2100</v>
      </c>
      <c r="I265" s="286">
        <f t="shared" si="14"/>
        <v>1820</v>
      </c>
      <c r="J265" s="287">
        <f t="shared" si="15"/>
        <v>1820</v>
      </c>
      <c r="K265" s="288">
        <f t="shared" si="16"/>
        <v>1680</v>
      </c>
      <c r="L265" s="287">
        <f t="shared" si="17"/>
        <v>1610</v>
      </c>
      <c r="M265" s="288">
        <f t="shared" si="18"/>
        <v>1540</v>
      </c>
      <c r="N265" s="281"/>
      <c r="O265" s="34"/>
      <c r="P265" s="35"/>
      <c r="Q265" s="35"/>
      <c r="R265" s="35"/>
      <c r="S265" s="35"/>
      <c r="T265" s="35"/>
      <c r="U265" s="35"/>
      <c r="V265" s="35"/>
      <c r="W265" s="35"/>
      <c r="X265" s="35"/>
      <c r="Y265" s="35"/>
      <c r="Z265" s="35"/>
    </row>
    <row r="266" ht="14.25" customHeight="1">
      <c r="A266" s="372" t="s">
        <v>2299</v>
      </c>
      <c r="B266" s="368"/>
      <c r="C266" s="377" t="s">
        <v>2357</v>
      </c>
      <c r="D266" s="369"/>
      <c r="F266" s="368"/>
      <c r="G266" s="363">
        <v>45866.0</v>
      </c>
      <c r="H266" s="285">
        <f t="shared" si="13"/>
        <v>0</v>
      </c>
      <c r="I266" s="286">
        <f t="shared" si="14"/>
        <v>0</v>
      </c>
      <c r="J266" s="287">
        <f t="shared" si="15"/>
        <v>0</v>
      </c>
      <c r="K266" s="288">
        <f t="shared" si="16"/>
        <v>0</v>
      </c>
      <c r="L266" s="287">
        <f t="shared" si="17"/>
        <v>0</v>
      </c>
      <c r="M266" s="288">
        <f t="shared" si="18"/>
        <v>0</v>
      </c>
      <c r="N266" s="281"/>
      <c r="O266" s="34"/>
      <c r="P266" s="35"/>
      <c r="Q266" s="35"/>
      <c r="R266" s="35"/>
      <c r="S266" s="35"/>
      <c r="T266" s="35"/>
      <c r="U266" s="35"/>
      <c r="V266" s="35"/>
      <c r="W266" s="35"/>
      <c r="X266" s="35"/>
      <c r="Y266" s="35"/>
      <c r="Z266" s="35"/>
    </row>
    <row r="267" ht="14.25" customHeight="1">
      <c r="A267" s="372" t="s">
        <v>2299</v>
      </c>
      <c r="B267" s="373" t="s">
        <v>2358</v>
      </c>
      <c r="C267" s="377" t="s">
        <v>2359</v>
      </c>
      <c r="D267" s="375" t="s">
        <v>2360</v>
      </c>
      <c r="F267" s="376">
        <v>1300.0</v>
      </c>
      <c r="G267" s="363">
        <v>45866.0</v>
      </c>
      <c r="H267" s="285">
        <f t="shared" si="13"/>
        <v>1950</v>
      </c>
      <c r="I267" s="286">
        <f t="shared" si="14"/>
        <v>1690</v>
      </c>
      <c r="J267" s="287">
        <f t="shared" si="15"/>
        <v>1690</v>
      </c>
      <c r="K267" s="288">
        <f t="shared" si="16"/>
        <v>1560</v>
      </c>
      <c r="L267" s="287">
        <f t="shared" si="17"/>
        <v>1495</v>
      </c>
      <c r="M267" s="288">
        <f t="shared" si="18"/>
        <v>1430</v>
      </c>
      <c r="N267" s="281"/>
      <c r="O267" s="34"/>
      <c r="P267" s="35"/>
      <c r="Q267" s="35"/>
      <c r="R267" s="35"/>
      <c r="S267" s="35"/>
      <c r="T267" s="35"/>
      <c r="U267" s="35"/>
      <c r="V267" s="35"/>
      <c r="W267" s="35"/>
      <c r="X267" s="35"/>
      <c r="Y267" s="35"/>
      <c r="Z267" s="35"/>
    </row>
    <row r="268" ht="14.25" customHeight="1">
      <c r="A268" s="372" t="s">
        <v>2299</v>
      </c>
      <c r="B268" s="368"/>
      <c r="C268" s="377" t="s">
        <v>2361</v>
      </c>
      <c r="D268" s="369"/>
      <c r="F268" s="368"/>
      <c r="G268" s="363">
        <v>45866.0</v>
      </c>
      <c r="H268" s="285">
        <f t="shared" si="13"/>
        <v>0</v>
      </c>
      <c r="I268" s="286">
        <f t="shared" si="14"/>
        <v>0</v>
      </c>
      <c r="J268" s="287">
        <f t="shared" si="15"/>
        <v>0</v>
      </c>
      <c r="K268" s="288">
        <f t="shared" si="16"/>
        <v>0</v>
      </c>
      <c r="L268" s="287">
        <f t="shared" si="17"/>
        <v>0</v>
      </c>
      <c r="M268" s="288">
        <f t="shared" si="18"/>
        <v>0</v>
      </c>
      <c r="N268" s="281"/>
      <c r="O268" s="34"/>
      <c r="P268" s="35"/>
      <c r="Q268" s="35"/>
      <c r="R268" s="35"/>
      <c r="S268" s="35"/>
      <c r="T268" s="35"/>
      <c r="U268" s="35"/>
      <c r="V268" s="35"/>
      <c r="W268" s="35"/>
      <c r="X268" s="35"/>
      <c r="Y268" s="35"/>
      <c r="Z268" s="35"/>
    </row>
    <row r="269" ht="14.25" customHeight="1">
      <c r="A269" s="372" t="s">
        <v>2299</v>
      </c>
      <c r="B269" s="373" t="s">
        <v>2362</v>
      </c>
      <c r="C269" s="374" t="s">
        <v>2363</v>
      </c>
      <c r="D269" s="375" t="s">
        <v>2364</v>
      </c>
      <c r="F269" s="376">
        <v>1250.0</v>
      </c>
      <c r="G269" s="363">
        <v>45866.0</v>
      </c>
      <c r="H269" s="285">
        <f t="shared" si="13"/>
        <v>1875</v>
      </c>
      <c r="I269" s="286">
        <f t="shared" si="14"/>
        <v>1625</v>
      </c>
      <c r="J269" s="287">
        <f t="shared" si="15"/>
        <v>1625</v>
      </c>
      <c r="K269" s="288">
        <f t="shared" si="16"/>
        <v>1500</v>
      </c>
      <c r="L269" s="287">
        <f t="shared" si="17"/>
        <v>1437.5</v>
      </c>
      <c r="M269" s="288">
        <f t="shared" si="18"/>
        <v>1375</v>
      </c>
      <c r="N269" s="281"/>
      <c r="O269" s="34"/>
      <c r="P269" s="35"/>
      <c r="Q269" s="35"/>
      <c r="R269" s="35"/>
      <c r="S269" s="35"/>
      <c r="T269" s="35"/>
      <c r="U269" s="35"/>
      <c r="V269" s="35"/>
      <c r="W269" s="35"/>
      <c r="X269" s="35"/>
      <c r="Y269" s="35"/>
      <c r="Z269" s="35"/>
    </row>
    <row r="270" ht="14.25" customHeight="1">
      <c r="A270" s="379" t="s">
        <v>2299</v>
      </c>
      <c r="B270" s="368"/>
      <c r="C270" s="374" t="s">
        <v>2365</v>
      </c>
      <c r="D270" s="369"/>
      <c r="F270" s="368"/>
      <c r="G270" s="363">
        <v>45866.0</v>
      </c>
      <c r="H270" s="285">
        <f t="shared" si="13"/>
        <v>0</v>
      </c>
      <c r="I270" s="286">
        <f t="shared" si="14"/>
        <v>0</v>
      </c>
      <c r="J270" s="287">
        <f t="shared" si="15"/>
        <v>0</v>
      </c>
      <c r="K270" s="288">
        <f t="shared" si="16"/>
        <v>0</v>
      </c>
      <c r="L270" s="287">
        <f t="shared" si="17"/>
        <v>0</v>
      </c>
      <c r="M270" s="288">
        <f t="shared" si="18"/>
        <v>0</v>
      </c>
      <c r="N270" s="281"/>
      <c r="O270" s="34"/>
      <c r="P270" s="35"/>
      <c r="Q270" s="35"/>
      <c r="R270" s="35"/>
      <c r="S270" s="35"/>
      <c r="T270" s="35"/>
      <c r="U270" s="35"/>
      <c r="V270" s="35"/>
      <c r="W270" s="35"/>
      <c r="X270" s="35"/>
      <c r="Y270" s="35"/>
      <c r="Z270" s="35"/>
    </row>
    <row r="271" ht="14.25" customHeight="1">
      <c r="A271" s="379" t="s">
        <v>2299</v>
      </c>
      <c r="B271" s="358" t="s">
        <v>2366</v>
      </c>
      <c r="C271" s="374" t="s">
        <v>2367</v>
      </c>
      <c r="D271" s="375" t="s">
        <v>2368</v>
      </c>
      <c r="F271" s="376">
        <v>1250.0</v>
      </c>
      <c r="G271" s="363">
        <v>45866.0</v>
      </c>
      <c r="H271" s="285">
        <f t="shared" si="13"/>
        <v>1875</v>
      </c>
      <c r="I271" s="286">
        <f t="shared" si="14"/>
        <v>1625</v>
      </c>
      <c r="J271" s="287">
        <f t="shared" si="15"/>
        <v>1625</v>
      </c>
      <c r="K271" s="288">
        <f t="shared" si="16"/>
        <v>1500</v>
      </c>
      <c r="L271" s="287">
        <f t="shared" si="17"/>
        <v>1437.5</v>
      </c>
      <c r="M271" s="288">
        <f t="shared" si="18"/>
        <v>1375</v>
      </c>
      <c r="N271" s="281"/>
      <c r="O271" s="34"/>
      <c r="P271" s="35"/>
      <c r="Q271" s="35"/>
      <c r="R271" s="35"/>
      <c r="S271" s="35"/>
      <c r="T271" s="35"/>
      <c r="U271" s="35"/>
      <c r="V271" s="35"/>
      <c r="W271" s="35"/>
      <c r="X271" s="35"/>
      <c r="Y271" s="35"/>
      <c r="Z271" s="35"/>
    </row>
    <row r="272" ht="14.25" customHeight="1">
      <c r="A272" s="379" t="s">
        <v>2299</v>
      </c>
      <c r="B272" s="368"/>
      <c r="C272" s="374" t="s">
        <v>2369</v>
      </c>
      <c r="D272" s="369"/>
      <c r="F272" s="368"/>
      <c r="G272" s="363">
        <v>45866.0</v>
      </c>
      <c r="H272" s="285">
        <f t="shared" si="13"/>
        <v>0</v>
      </c>
      <c r="I272" s="286">
        <f t="shared" si="14"/>
        <v>0</v>
      </c>
      <c r="J272" s="287">
        <f t="shared" si="15"/>
        <v>0</v>
      </c>
      <c r="K272" s="288">
        <f t="shared" si="16"/>
        <v>0</v>
      </c>
      <c r="L272" s="287">
        <f t="shared" si="17"/>
        <v>0</v>
      </c>
      <c r="M272" s="288">
        <f t="shared" si="18"/>
        <v>0</v>
      </c>
      <c r="N272" s="281"/>
      <c r="O272" s="34"/>
      <c r="P272" s="35"/>
      <c r="Q272" s="35"/>
      <c r="R272" s="35"/>
      <c r="S272" s="35"/>
      <c r="T272" s="35"/>
      <c r="U272" s="35"/>
      <c r="V272" s="35"/>
      <c r="W272" s="35"/>
      <c r="X272" s="35"/>
      <c r="Y272" s="35"/>
      <c r="Z272" s="35"/>
    </row>
    <row r="273" ht="14.25" customHeight="1">
      <c r="A273" s="379" t="s">
        <v>2299</v>
      </c>
      <c r="B273" s="358" t="s">
        <v>2370</v>
      </c>
      <c r="C273" s="374" t="s">
        <v>2371</v>
      </c>
      <c r="D273" s="375" t="s">
        <v>2372</v>
      </c>
      <c r="F273" s="376">
        <v>1150.0</v>
      </c>
      <c r="G273" s="363">
        <v>45866.0</v>
      </c>
      <c r="H273" s="285">
        <f t="shared" si="13"/>
        <v>1725</v>
      </c>
      <c r="I273" s="286">
        <f t="shared" si="14"/>
        <v>1495</v>
      </c>
      <c r="J273" s="287">
        <f t="shared" si="15"/>
        <v>1495</v>
      </c>
      <c r="K273" s="288">
        <f t="shared" si="16"/>
        <v>1380</v>
      </c>
      <c r="L273" s="287">
        <f t="shared" si="17"/>
        <v>1322.5</v>
      </c>
      <c r="M273" s="288">
        <f t="shared" si="18"/>
        <v>1265</v>
      </c>
      <c r="N273" s="281"/>
      <c r="O273" s="34"/>
      <c r="P273" s="35"/>
      <c r="Q273" s="35"/>
      <c r="R273" s="35"/>
      <c r="S273" s="35"/>
      <c r="T273" s="35"/>
      <c r="U273" s="35"/>
      <c r="V273" s="35"/>
      <c r="W273" s="35"/>
      <c r="X273" s="35"/>
      <c r="Y273" s="35"/>
      <c r="Z273" s="35"/>
    </row>
    <row r="274" ht="14.25" customHeight="1">
      <c r="A274" s="379" t="s">
        <v>2299</v>
      </c>
      <c r="B274" s="368"/>
      <c r="C274" s="377" t="s">
        <v>2373</v>
      </c>
      <c r="D274" s="369"/>
      <c r="F274" s="368"/>
      <c r="G274" s="363">
        <v>45866.0</v>
      </c>
      <c r="H274" s="285">
        <f t="shared" si="13"/>
        <v>0</v>
      </c>
      <c r="I274" s="286">
        <f t="shared" si="14"/>
        <v>0</v>
      </c>
      <c r="J274" s="287">
        <f t="shared" si="15"/>
        <v>0</v>
      </c>
      <c r="K274" s="288">
        <f t="shared" si="16"/>
        <v>0</v>
      </c>
      <c r="L274" s="287">
        <f t="shared" si="17"/>
        <v>0</v>
      </c>
      <c r="M274" s="288">
        <f t="shared" si="18"/>
        <v>0</v>
      </c>
      <c r="N274" s="281"/>
      <c r="O274" s="34"/>
      <c r="P274" s="35"/>
      <c r="Q274" s="35"/>
      <c r="R274" s="35"/>
      <c r="S274" s="35"/>
      <c r="T274" s="35"/>
      <c r="U274" s="35"/>
      <c r="V274" s="35"/>
      <c r="W274" s="35"/>
      <c r="X274" s="35"/>
      <c r="Y274" s="35"/>
      <c r="Z274" s="35"/>
    </row>
    <row r="275" ht="14.25" customHeight="1">
      <c r="A275" s="379" t="s">
        <v>2299</v>
      </c>
      <c r="B275" s="373" t="s">
        <v>2374</v>
      </c>
      <c r="C275" s="377" t="s">
        <v>2375</v>
      </c>
      <c r="D275" s="375" t="s">
        <v>2376</v>
      </c>
      <c r="F275" s="376">
        <v>1300.0</v>
      </c>
      <c r="G275" s="363">
        <v>45866.0</v>
      </c>
      <c r="H275" s="285">
        <f t="shared" si="13"/>
        <v>1950</v>
      </c>
      <c r="I275" s="286">
        <f t="shared" si="14"/>
        <v>1690</v>
      </c>
      <c r="J275" s="287">
        <f t="shared" si="15"/>
        <v>1690</v>
      </c>
      <c r="K275" s="288">
        <f t="shared" si="16"/>
        <v>1560</v>
      </c>
      <c r="L275" s="287">
        <f t="shared" si="17"/>
        <v>1495</v>
      </c>
      <c r="M275" s="288">
        <f t="shared" si="18"/>
        <v>1430</v>
      </c>
      <c r="N275" s="281"/>
      <c r="O275" s="34"/>
      <c r="P275" s="35"/>
      <c r="Q275" s="35"/>
      <c r="R275" s="35"/>
      <c r="S275" s="35"/>
      <c r="T275" s="35"/>
      <c r="U275" s="35"/>
      <c r="V275" s="35"/>
      <c r="W275" s="35"/>
      <c r="X275" s="35"/>
      <c r="Y275" s="35"/>
      <c r="Z275" s="35"/>
    </row>
    <row r="276" ht="14.25" customHeight="1">
      <c r="A276" s="379" t="s">
        <v>2299</v>
      </c>
      <c r="B276" s="368"/>
      <c r="C276" s="377" t="s">
        <v>2377</v>
      </c>
      <c r="D276" s="369"/>
      <c r="F276" s="368"/>
      <c r="G276" s="363">
        <v>45866.0</v>
      </c>
      <c r="H276" s="285">
        <f t="shared" si="13"/>
        <v>0</v>
      </c>
      <c r="I276" s="286">
        <f t="shared" si="14"/>
        <v>0</v>
      </c>
      <c r="J276" s="287">
        <f t="shared" si="15"/>
        <v>0</v>
      </c>
      <c r="K276" s="288">
        <f t="shared" si="16"/>
        <v>0</v>
      </c>
      <c r="L276" s="287">
        <f t="shared" si="17"/>
        <v>0</v>
      </c>
      <c r="M276" s="288">
        <f t="shared" si="18"/>
        <v>0</v>
      </c>
      <c r="N276" s="281"/>
      <c r="O276" s="34"/>
      <c r="P276" s="35"/>
      <c r="Q276" s="35"/>
      <c r="R276" s="35"/>
      <c r="S276" s="35"/>
      <c r="T276" s="35"/>
      <c r="U276" s="35"/>
      <c r="V276" s="35"/>
      <c r="W276" s="35"/>
      <c r="X276" s="35"/>
      <c r="Y276" s="35"/>
      <c r="Z276" s="35"/>
    </row>
    <row r="277" ht="14.25" customHeight="1">
      <c r="A277" s="379" t="s">
        <v>2299</v>
      </c>
      <c r="B277" s="373" t="s">
        <v>2378</v>
      </c>
      <c r="C277" s="377" t="s">
        <v>2379</v>
      </c>
      <c r="D277" s="375" t="s">
        <v>2380</v>
      </c>
      <c r="F277" s="376">
        <v>1250.0</v>
      </c>
      <c r="G277" s="363">
        <v>45866.0</v>
      </c>
      <c r="H277" s="285">
        <f t="shared" si="13"/>
        <v>1875</v>
      </c>
      <c r="I277" s="286">
        <f t="shared" si="14"/>
        <v>1625</v>
      </c>
      <c r="J277" s="287">
        <f t="shared" si="15"/>
        <v>1625</v>
      </c>
      <c r="K277" s="288">
        <f t="shared" si="16"/>
        <v>1500</v>
      </c>
      <c r="L277" s="287">
        <f t="shared" si="17"/>
        <v>1437.5</v>
      </c>
      <c r="M277" s="288">
        <f t="shared" si="18"/>
        <v>1375</v>
      </c>
      <c r="N277" s="281"/>
      <c r="O277" s="34"/>
      <c r="P277" s="35"/>
      <c r="Q277" s="35"/>
      <c r="R277" s="35"/>
      <c r="S277" s="35"/>
      <c r="T277" s="35"/>
      <c r="U277" s="35"/>
      <c r="V277" s="35"/>
      <c r="W277" s="35"/>
      <c r="X277" s="35"/>
      <c r="Y277" s="35"/>
      <c r="Z277" s="35"/>
    </row>
    <row r="278" ht="14.25" customHeight="1">
      <c r="A278" s="379" t="s">
        <v>2299</v>
      </c>
      <c r="B278" s="368"/>
      <c r="C278" s="377" t="s">
        <v>2381</v>
      </c>
      <c r="D278" s="369"/>
      <c r="F278" s="368"/>
      <c r="G278" s="363">
        <v>45866.0</v>
      </c>
      <c r="H278" s="285">
        <f t="shared" si="13"/>
        <v>0</v>
      </c>
      <c r="I278" s="286">
        <f t="shared" si="14"/>
        <v>0</v>
      </c>
      <c r="J278" s="287">
        <f t="shared" si="15"/>
        <v>0</v>
      </c>
      <c r="K278" s="288">
        <f t="shared" si="16"/>
        <v>0</v>
      </c>
      <c r="L278" s="287">
        <f t="shared" si="17"/>
        <v>0</v>
      </c>
      <c r="M278" s="288">
        <f t="shared" si="18"/>
        <v>0</v>
      </c>
      <c r="N278" s="281"/>
      <c r="O278" s="34"/>
      <c r="P278" s="35"/>
      <c r="Q278" s="35"/>
      <c r="R278" s="35"/>
      <c r="S278" s="35"/>
      <c r="T278" s="35"/>
      <c r="U278" s="35"/>
      <c r="V278" s="35"/>
      <c r="W278" s="35"/>
      <c r="X278" s="35"/>
      <c r="Y278" s="35"/>
      <c r="Z278" s="35"/>
    </row>
    <row r="279">
      <c r="A279" s="379" t="s">
        <v>2299</v>
      </c>
      <c r="B279" s="373" t="s">
        <v>2382</v>
      </c>
      <c r="C279" s="377" t="s">
        <v>2383</v>
      </c>
      <c r="D279" s="375" t="s">
        <v>2384</v>
      </c>
      <c r="F279" s="376">
        <v>1200.0</v>
      </c>
      <c r="G279" s="363">
        <v>45866.0</v>
      </c>
      <c r="H279" s="285">
        <f t="shared" si="13"/>
        <v>1800</v>
      </c>
      <c r="I279" s="286">
        <f t="shared" si="14"/>
        <v>1560</v>
      </c>
      <c r="J279" s="287">
        <f t="shared" si="15"/>
        <v>1560</v>
      </c>
      <c r="K279" s="288">
        <f t="shared" si="16"/>
        <v>1440</v>
      </c>
      <c r="L279" s="287">
        <f t="shared" si="17"/>
        <v>1380</v>
      </c>
      <c r="M279" s="288">
        <f t="shared" si="18"/>
        <v>1320</v>
      </c>
      <c r="N279" s="281"/>
      <c r="O279" s="34"/>
      <c r="P279" s="35"/>
      <c r="Q279" s="35"/>
      <c r="R279" s="35"/>
      <c r="S279" s="35"/>
      <c r="T279" s="35"/>
      <c r="U279" s="35"/>
      <c r="V279" s="35"/>
      <c r="W279" s="35"/>
      <c r="X279" s="35"/>
      <c r="Y279" s="35"/>
      <c r="Z279" s="35"/>
    </row>
    <row r="280">
      <c r="A280" s="379" t="s">
        <v>2299</v>
      </c>
      <c r="B280" s="368"/>
      <c r="C280" s="377" t="s">
        <v>2385</v>
      </c>
      <c r="D280" s="369"/>
      <c r="F280" s="368"/>
      <c r="G280" s="363">
        <v>45866.0</v>
      </c>
      <c r="H280" s="285">
        <f t="shared" si="13"/>
        <v>0</v>
      </c>
      <c r="I280" s="286">
        <f t="shared" si="14"/>
        <v>0</v>
      </c>
      <c r="J280" s="287">
        <f t="shared" si="15"/>
        <v>0</v>
      </c>
      <c r="K280" s="288">
        <f t="shared" si="16"/>
        <v>0</v>
      </c>
      <c r="L280" s="287">
        <f t="shared" si="17"/>
        <v>0</v>
      </c>
      <c r="M280" s="288">
        <f t="shared" si="18"/>
        <v>0</v>
      </c>
      <c r="N280" s="281"/>
      <c r="O280" s="34"/>
      <c r="P280" s="35"/>
      <c r="Q280" s="35"/>
      <c r="R280" s="35"/>
      <c r="S280" s="35"/>
      <c r="T280" s="35"/>
      <c r="U280" s="35"/>
      <c r="V280" s="35"/>
      <c r="W280" s="35"/>
      <c r="X280" s="35"/>
      <c r="Y280" s="35"/>
      <c r="Z280" s="35"/>
    </row>
    <row r="281" ht="14.25" customHeight="1">
      <c r="A281" s="379" t="s">
        <v>2299</v>
      </c>
      <c r="B281" s="373" t="s">
        <v>2386</v>
      </c>
      <c r="C281" s="374" t="s">
        <v>2387</v>
      </c>
      <c r="D281" s="375" t="s">
        <v>2388</v>
      </c>
      <c r="F281" s="376">
        <v>1100.0</v>
      </c>
      <c r="G281" s="363">
        <v>45866.0</v>
      </c>
      <c r="H281" s="285">
        <f t="shared" si="13"/>
        <v>1650</v>
      </c>
      <c r="I281" s="286">
        <f t="shared" si="14"/>
        <v>1430</v>
      </c>
      <c r="J281" s="287">
        <f t="shared" si="15"/>
        <v>1430</v>
      </c>
      <c r="K281" s="288">
        <f t="shared" si="16"/>
        <v>1320</v>
      </c>
      <c r="L281" s="287">
        <f t="shared" si="17"/>
        <v>1265</v>
      </c>
      <c r="M281" s="288">
        <f t="shared" si="18"/>
        <v>1210</v>
      </c>
      <c r="N281" s="281"/>
      <c r="O281" s="34"/>
      <c r="P281" s="35"/>
      <c r="Q281" s="35"/>
      <c r="R281" s="35"/>
      <c r="S281" s="35"/>
      <c r="T281" s="35"/>
      <c r="U281" s="35"/>
      <c r="V281" s="35"/>
      <c r="W281" s="35"/>
      <c r="X281" s="35"/>
      <c r="Y281" s="35"/>
      <c r="Z281" s="35"/>
    </row>
    <row r="282" ht="14.25" customHeight="1">
      <c r="A282" s="379" t="s">
        <v>2299</v>
      </c>
      <c r="B282" s="368"/>
      <c r="C282" s="374" t="s">
        <v>2389</v>
      </c>
      <c r="D282" s="369"/>
      <c r="F282" s="368"/>
      <c r="G282" s="363">
        <v>45866.0</v>
      </c>
      <c r="H282" s="285">
        <f t="shared" si="13"/>
        <v>0</v>
      </c>
      <c r="I282" s="286">
        <f t="shared" si="14"/>
        <v>0</v>
      </c>
      <c r="J282" s="287">
        <f t="shared" si="15"/>
        <v>0</v>
      </c>
      <c r="K282" s="288">
        <f t="shared" si="16"/>
        <v>0</v>
      </c>
      <c r="L282" s="287">
        <f t="shared" si="17"/>
        <v>0</v>
      </c>
      <c r="M282" s="288">
        <f t="shared" si="18"/>
        <v>0</v>
      </c>
      <c r="N282" s="281"/>
      <c r="O282" s="34"/>
      <c r="P282" s="35"/>
      <c r="Q282" s="35"/>
      <c r="R282" s="35"/>
      <c r="S282" s="35"/>
      <c r="T282" s="35"/>
      <c r="U282" s="35"/>
      <c r="V282" s="35"/>
      <c r="W282" s="35"/>
      <c r="X282" s="35"/>
      <c r="Y282" s="35"/>
      <c r="Z282" s="35"/>
    </row>
    <row r="283" ht="14.25" customHeight="1">
      <c r="A283" s="379" t="s">
        <v>2299</v>
      </c>
      <c r="B283" s="380" t="s">
        <v>2390</v>
      </c>
      <c r="C283" s="374" t="s">
        <v>2391</v>
      </c>
      <c r="D283" s="381" t="s">
        <v>2392</v>
      </c>
      <c r="F283" s="382">
        <v>2925.0</v>
      </c>
      <c r="G283" s="363">
        <v>45866.0</v>
      </c>
      <c r="H283" s="285">
        <f t="shared" si="13"/>
        <v>4387.5</v>
      </c>
      <c r="I283" s="286">
        <f t="shared" si="14"/>
        <v>3802.5</v>
      </c>
      <c r="J283" s="287">
        <f t="shared" si="15"/>
        <v>3802.5</v>
      </c>
      <c r="K283" s="288">
        <f t="shared" si="16"/>
        <v>3510</v>
      </c>
      <c r="L283" s="287">
        <f t="shared" si="17"/>
        <v>3363.75</v>
      </c>
      <c r="M283" s="288">
        <f t="shared" si="18"/>
        <v>3217.5</v>
      </c>
      <c r="N283" s="281"/>
      <c r="O283" s="34"/>
      <c r="P283" s="35"/>
      <c r="Q283" s="35"/>
      <c r="R283" s="35"/>
      <c r="S283" s="35"/>
      <c r="T283" s="35"/>
      <c r="U283" s="35"/>
      <c r="V283" s="35"/>
      <c r="W283" s="35"/>
      <c r="X283" s="35"/>
      <c r="Y283" s="35"/>
      <c r="Z283" s="35"/>
    </row>
    <row r="284" ht="14.25" customHeight="1">
      <c r="A284" s="383" t="s">
        <v>2393</v>
      </c>
      <c r="B284" s="373" t="s">
        <v>2394</v>
      </c>
      <c r="C284" s="384" t="s">
        <v>2395</v>
      </c>
      <c r="D284" s="385" t="s">
        <v>2396</v>
      </c>
      <c r="E284" s="386"/>
      <c r="F284" s="387">
        <v>930.0</v>
      </c>
      <c r="G284" s="363">
        <v>45866.0</v>
      </c>
      <c r="H284" s="285">
        <f t="shared" si="13"/>
        <v>1395</v>
      </c>
      <c r="I284" s="286">
        <f t="shared" si="14"/>
        <v>1209</v>
      </c>
      <c r="J284" s="287">
        <f t="shared" si="15"/>
        <v>1209</v>
      </c>
      <c r="K284" s="288">
        <f t="shared" si="16"/>
        <v>1116</v>
      </c>
      <c r="L284" s="287">
        <f t="shared" si="17"/>
        <v>1069.5</v>
      </c>
      <c r="M284" s="288">
        <f t="shared" si="18"/>
        <v>1023</v>
      </c>
      <c r="N284" s="281"/>
      <c r="O284" s="34"/>
      <c r="P284" s="35"/>
      <c r="Q284" s="35"/>
      <c r="R284" s="35"/>
      <c r="S284" s="35"/>
      <c r="T284" s="35"/>
      <c r="U284" s="35"/>
      <c r="V284" s="35"/>
      <c r="W284" s="35"/>
      <c r="X284" s="35"/>
      <c r="Y284" s="35"/>
      <c r="Z284" s="35"/>
    </row>
    <row r="285" ht="14.25" customHeight="1">
      <c r="A285" s="368"/>
      <c r="B285" s="368"/>
      <c r="C285" s="384" t="s">
        <v>2397</v>
      </c>
      <c r="D285" s="368"/>
      <c r="E285" s="388"/>
      <c r="F285" s="368"/>
      <c r="G285" s="363">
        <v>45866.0</v>
      </c>
      <c r="H285" s="285">
        <f t="shared" si="13"/>
        <v>0</v>
      </c>
      <c r="I285" s="286">
        <f t="shared" si="14"/>
        <v>0</v>
      </c>
      <c r="J285" s="287">
        <f t="shared" si="15"/>
        <v>0</v>
      </c>
      <c r="K285" s="288">
        <f t="shared" si="16"/>
        <v>0</v>
      </c>
      <c r="L285" s="287">
        <f t="shared" si="17"/>
        <v>0</v>
      </c>
      <c r="M285" s="288">
        <f t="shared" si="18"/>
        <v>0</v>
      </c>
      <c r="N285" s="281"/>
      <c r="O285" s="34"/>
      <c r="P285" s="35"/>
      <c r="Q285" s="35"/>
      <c r="R285" s="35"/>
      <c r="S285" s="35"/>
      <c r="T285" s="35"/>
      <c r="U285" s="35"/>
      <c r="V285" s="35"/>
      <c r="W285" s="35"/>
      <c r="X285" s="35"/>
      <c r="Y285" s="35"/>
      <c r="Z285" s="35"/>
    </row>
    <row r="286" ht="14.25" customHeight="1">
      <c r="A286" s="389" t="s">
        <v>2393</v>
      </c>
      <c r="B286" s="390" t="s">
        <v>2398</v>
      </c>
      <c r="C286" s="384" t="s">
        <v>2399</v>
      </c>
      <c r="D286" s="385" t="s">
        <v>2400</v>
      </c>
      <c r="E286" s="388"/>
      <c r="F286" s="387">
        <v>1150.0</v>
      </c>
      <c r="G286" s="363">
        <v>45866.0</v>
      </c>
      <c r="H286" s="285">
        <f t="shared" si="13"/>
        <v>1725</v>
      </c>
      <c r="I286" s="286">
        <f t="shared" si="14"/>
        <v>1495</v>
      </c>
      <c r="J286" s="287">
        <f t="shared" si="15"/>
        <v>1495</v>
      </c>
      <c r="K286" s="288">
        <f t="shared" si="16"/>
        <v>1380</v>
      </c>
      <c r="L286" s="287">
        <f t="shared" si="17"/>
        <v>1322.5</v>
      </c>
      <c r="M286" s="288">
        <f t="shared" si="18"/>
        <v>1265</v>
      </c>
      <c r="N286" s="281"/>
      <c r="O286" s="34"/>
      <c r="P286" s="35"/>
      <c r="Q286" s="35"/>
      <c r="R286" s="35"/>
      <c r="S286" s="35"/>
      <c r="T286" s="35"/>
      <c r="U286" s="35"/>
      <c r="V286" s="35"/>
      <c r="W286" s="35"/>
      <c r="X286" s="35"/>
      <c r="Y286" s="35"/>
      <c r="Z286" s="35"/>
    </row>
    <row r="287" ht="14.25" customHeight="1">
      <c r="A287" s="368"/>
      <c r="B287" s="368"/>
      <c r="C287" s="384" t="s">
        <v>2401</v>
      </c>
      <c r="D287" s="368"/>
      <c r="E287" s="388"/>
      <c r="F287" s="368"/>
      <c r="G287" s="363">
        <v>45866.0</v>
      </c>
      <c r="H287" s="285">
        <f t="shared" si="13"/>
        <v>0</v>
      </c>
      <c r="I287" s="286">
        <f t="shared" si="14"/>
        <v>0</v>
      </c>
      <c r="J287" s="287">
        <f t="shared" si="15"/>
        <v>0</v>
      </c>
      <c r="K287" s="288">
        <f t="shared" si="16"/>
        <v>0</v>
      </c>
      <c r="L287" s="287">
        <f t="shared" si="17"/>
        <v>0</v>
      </c>
      <c r="M287" s="288">
        <f t="shared" si="18"/>
        <v>0</v>
      </c>
      <c r="N287" s="281"/>
      <c r="O287" s="34"/>
      <c r="P287" s="35"/>
      <c r="Q287" s="35"/>
      <c r="R287" s="35"/>
      <c r="S287" s="35"/>
      <c r="T287" s="35"/>
      <c r="U287" s="35"/>
      <c r="V287" s="35"/>
      <c r="W287" s="35"/>
      <c r="X287" s="35"/>
      <c r="Y287" s="35"/>
      <c r="Z287" s="35"/>
    </row>
    <row r="288" ht="14.25" customHeight="1">
      <c r="A288" s="389" t="s">
        <v>2393</v>
      </c>
      <c r="B288" s="390" t="s">
        <v>2402</v>
      </c>
      <c r="C288" s="384" t="s">
        <v>2403</v>
      </c>
      <c r="D288" s="385" t="s">
        <v>2404</v>
      </c>
      <c r="E288" s="388"/>
      <c r="F288" s="387">
        <v>870.0</v>
      </c>
      <c r="G288" s="363">
        <v>45866.0</v>
      </c>
      <c r="H288" s="285">
        <f t="shared" si="13"/>
        <v>1305</v>
      </c>
      <c r="I288" s="286">
        <f t="shared" si="14"/>
        <v>1131</v>
      </c>
      <c r="J288" s="287">
        <f t="shared" si="15"/>
        <v>1131</v>
      </c>
      <c r="K288" s="288">
        <f t="shared" si="16"/>
        <v>1044</v>
      </c>
      <c r="L288" s="287">
        <f t="shared" si="17"/>
        <v>1000.5</v>
      </c>
      <c r="M288" s="288">
        <f t="shared" si="18"/>
        <v>957</v>
      </c>
      <c r="N288" s="281"/>
      <c r="O288" s="34"/>
      <c r="P288" s="35"/>
      <c r="Q288" s="35"/>
      <c r="R288" s="35"/>
      <c r="S288" s="35"/>
      <c r="T288" s="35"/>
      <c r="U288" s="35"/>
      <c r="V288" s="35"/>
      <c r="W288" s="35"/>
      <c r="X288" s="35"/>
      <c r="Y288" s="35"/>
      <c r="Z288" s="35"/>
    </row>
    <row r="289" ht="14.25" customHeight="1">
      <c r="A289" s="368"/>
      <c r="B289" s="368"/>
      <c r="C289" s="384" t="s">
        <v>2405</v>
      </c>
      <c r="D289" s="368"/>
      <c r="E289" s="388"/>
      <c r="F289" s="368"/>
      <c r="G289" s="363">
        <v>45866.0</v>
      </c>
      <c r="H289" s="285">
        <f t="shared" si="13"/>
        <v>0</v>
      </c>
      <c r="I289" s="286">
        <f t="shared" si="14"/>
        <v>0</v>
      </c>
      <c r="J289" s="287">
        <f t="shared" si="15"/>
        <v>0</v>
      </c>
      <c r="K289" s="288">
        <f t="shared" si="16"/>
        <v>0</v>
      </c>
      <c r="L289" s="287">
        <f t="shared" si="17"/>
        <v>0</v>
      </c>
      <c r="M289" s="288">
        <f t="shared" si="18"/>
        <v>0</v>
      </c>
      <c r="N289" s="281"/>
      <c r="O289" s="34"/>
      <c r="P289" s="35"/>
      <c r="Q289" s="35"/>
      <c r="R289" s="35"/>
      <c r="S289" s="35"/>
      <c r="T289" s="35"/>
      <c r="U289" s="35"/>
      <c r="V289" s="35"/>
      <c r="W289" s="35"/>
      <c r="X289" s="35"/>
      <c r="Y289" s="35"/>
      <c r="Z289" s="35"/>
    </row>
    <row r="290" ht="14.25" customHeight="1">
      <c r="A290" s="389" t="s">
        <v>2393</v>
      </c>
      <c r="B290" s="390" t="s">
        <v>2406</v>
      </c>
      <c r="C290" s="384" t="s">
        <v>2407</v>
      </c>
      <c r="D290" s="385" t="s">
        <v>2400</v>
      </c>
      <c r="E290" s="388"/>
      <c r="F290" s="387">
        <v>1250.0</v>
      </c>
      <c r="G290" s="363">
        <v>45866.0</v>
      </c>
      <c r="H290" s="285">
        <f t="shared" si="13"/>
        <v>1875</v>
      </c>
      <c r="I290" s="286">
        <f t="shared" si="14"/>
        <v>1625</v>
      </c>
      <c r="J290" s="287">
        <f t="shared" si="15"/>
        <v>1625</v>
      </c>
      <c r="K290" s="288">
        <f t="shared" si="16"/>
        <v>1500</v>
      </c>
      <c r="L290" s="287">
        <f t="shared" si="17"/>
        <v>1437.5</v>
      </c>
      <c r="M290" s="288">
        <f t="shared" si="18"/>
        <v>1375</v>
      </c>
      <c r="N290" s="281"/>
      <c r="O290" s="34"/>
      <c r="P290" s="35"/>
      <c r="Q290" s="35"/>
      <c r="R290" s="35"/>
      <c r="S290" s="35"/>
      <c r="T290" s="35"/>
      <c r="U290" s="35"/>
      <c r="V290" s="35"/>
      <c r="W290" s="35"/>
      <c r="X290" s="35"/>
      <c r="Y290" s="35"/>
      <c r="Z290" s="35"/>
    </row>
    <row r="291" ht="14.25" customHeight="1">
      <c r="A291" s="368"/>
      <c r="B291" s="368"/>
      <c r="C291" s="384" t="s">
        <v>2408</v>
      </c>
      <c r="D291" s="368"/>
      <c r="E291" s="388"/>
      <c r="F291" s="368"/>
      <c r="G291" s="363">
        <v>45866.0</v>
      </c>
      <c r="H291" s="285">
        <f t="shared" si="13"/>
        <v>0</v>
      </c>
      <c r="I291" s="286">
        <f t="shared" si="14"/>
        <v>0</v>
      </c>
      <c r="J291" s="287">
        <f t="shared" si="15"/>
        <v>0</v>
      </c>
      <c r="K291" s="288">
        <f t="shared" si="16"/>
        <v>0</v>
      </c>
      <c r="L291" s="287">
        <f t="shared" si="17"/>
        <v>0</v>
      </c>
      <c r="M291" s="288">
        <f t="shared" si="18"/>
        <v>0</v>
      </c>
      <c r="N291" s="281"/>
      <c r="O291" s="34"/>
      <c r="P291" s="35"/>
      <c r="Q291" s="35"/>
      <c r="R291" s="35"/>
      <c r="S291" s="35"/>
      <c r="T291" s="35"/>
      <c r="U291" s="35"/>
      <c r="V291" s="35"/>
      <c r="W291" s="35"/>
      <c r="X291" s="35"/>
      <c r="Y291" s="35"/>
      <c r="Z291" s="35"/>
    </row>
    <row r="292" ht="14.25" customHeight="1">
      <c r="A292" s="391" t="s">
        <v>2393</v>
      </c>
      <c r="B292" s="358" t="s">
        <v>2409</v>
      </c>
      <c r="C292" s="392" t="s">
        <v>2410</v>
      </c>
      <c r="D292" s="393" t="s">
        <v>2411</v>
      </c>
      <c r="E292" s="394"/>
      <c r="F292" s="395">
        <v>515.0</v>
      </c>
      <c r="G292" s="363">
        <v>45866.0</v>
      </c>
      <c r="H292" s="285">
        <f t="shared" si="13"/>
        <v>772.5</v>
      </c>
      <c r="I292" s="286">
        <f t="shared" si="14"/>
        <v>669.5</v>
      </c>
      <c r="J292" s="287">
        <f t="shared" si="15"/>
        <v>669.5</v>
      </c>
      <c r="K292" s="288">
        <f t="shared" si="16"/>
        <v>618</v>
      </c>
      <c r="L292" s="287">
        <f t="shared" si="17"/>
        <v>592.25</v>
      </c>
      <c r="M292" s="288">
        <f t="shared" si="18"/>
        <v>566.5</v>
      </c>
      <c r="N292" s="281"/>
      <c r="O292" s="34"/>
      <c r="P292" s="35"/>
      <c r="Q292" s="35"/>
      <c r="R292" s="35"/>
      <c r="S292" s="35"/>
      <c r="T292" s="35"/>
      <c r="U292" s="35"/>
      <c r="V292" s="35"/>
      <c r="W292" s="35"/>
      <c r="X292" s="35"/>
      <c r="Y292" s="35"/>
      <c r="Z292" s="35"/>
    </row>
    <row r="293" ht="14.25" customHeight="1">
      <c r="A293" s="368"/>
      <c r="B293" s="368"/>
      <c r="C293" s="392" t="s">
        <v>2412</v>
      </c>
      <c r="D293" s="396"/>
      <c r="E293" s="394"/>
      <c r="F293" s="395">
        <v>515.0</v>
      </c>
      <c r="G293" s="363">
        <v>45866.0</v>
      </c>
      <c r="H293" s="285">
        <f t="shared" si="13"/>
        <v>772.5</v>
      </c>
      <c r="I293" s="286">
        <f t="shared" si="14"/>
        <v>669.5</v>
      </c>
      <c r="J293" s="287">
        <f t="shared" si="15"/>
        <v>669.5</v>
      </c>
      <c r="K293" s="288">
        <f t="shared" si="16"/>
        <v>618</v>
      </c>
      <c r="L293" s="287">
        <f t="shared" si="17"/>
        <v>592.25</v>
      </c>
      <c r="M293" s="288">
        <f t="shared" si="18"/>
        <v>566.5</v>
      </c>
      <c r="N293" s="281"/>
      <c r="O293" s="34"/>
      <c r="P293" s="35"/>
      <c r="Q293" s="35"/>
      <c r="R293" s="35"/>
      <c r="S293" s="35"/>
      <c r="T293" s="35"/>
      <c r="U293" s="35"/>
      <c r="V293" s="35"/>
      <c r="W293" s="35"/>
      <c r="X293" s="35"/>
      <c r="Y293" s="35"/>
      <c r="Z293" s="35"/>
    </row>
    <row r="294" ht="14.25" customHeight="1">
      <c r="A294" s="391" t="s">
        <v>2393</v>
      </c>
      <c r="B294" s="358" t="s">
        <v>2413</v>
      </c>
      <c r="C294" s="392" t="s">
        <v>2414</v>
      </c>
      <c r="D294" s="393" t="s">
        <v>2415</v>
      </c>
      <c r="E294" s="394"/>
      <c r="F294" s="397">
        <v>700.0</v>
      </c>
      <c r="G294" s="363">
        <v>45866.0</v>
      </c>
      <c r="H294" s="285">
        <f t="shared" si="13"/>
        <v>1050</v>
      </c>
      <c r="I294" s="286">
        <f t="shared" si="14"/>
        <v>910</v>
      </c>
      <c r="J294" s="287">
        <f t="shared" si="15"/>
        <v>910</v>
      </c>
      <c r="K294" s="288">
        <f t="shared" si="16"/>
        <v>840</v>
      </c>
      <c r="L294" s="287">
        <f t="shared" si="17"/>
        <v>805</v>
      </c>
      <c r="M294" s="288">
        <f t="shared" si="18"/>
        <v>770</v>
      </c>
      <c r="N294" s="281"/>
      <c r="O294" s="34"/>
      <c r="P294" s="35"/>
      <c r="Q294" s="35"/>
      <c r="R294" s="35"/>
      <c r="S294" s="35"/>
      <c r="T294" s="35"/>
      <c r="U294" s="35"/>
      <c r="V294" s="35"/>
      <c r="W294" s="35"/>
      <c r="X294" s="35"/>
      <c r="Y294" s="35"/>
      <c r="Z294" s="35"/>
    </row>
    <row r="295" ht="14.25" customHeight="1">
      <c r="A295" s="368"/>
      <c r="B295" s="368"/>
      <c r="C295" s="398" t="s">
        <v>2416</v>
      </c>
      <c r="D295" s="396"/>
      <c r="E295" s="394"/>
      <c r="F295" s="397">
        <v>700.0</v>
      </c>
      <c r="G295" s="363">
        <v>45866.0</v>
      </c>
      <c r="H295" s="285">
        <f t="shared" si="13"/>
        <v>1050</v>
      </c>
      <c r="I295" s="286">
        <f t="shared" si="14"/>
        <v>910</v>
      </c>
      <c r="J295" s="287">
        <f t="shared" si="15"/>
        <v>910</v>
      </c>
      <c r="K295" s="288">
        <f t="shared" si="16"/>
        <v>840</v>
      </c>
      <c r="L295" s="287">
        <f t="shared" si="17"/>
        <v>805</v>
      </c>
      <c r="M295" s="288">
        <f t="shared" si="18"/>
        <v>770</v>
      </c>
      <c r="N295" s="281"/>
      <c r="O295" s="34"/>
      <c r="P295" s="35"/>
      <c r="Q295" s="35"/>
      <c r="R295" s="35"/>
      <c r="S295" s="35"/>
      <c r="T295" s="35"/>
      <c r="U295" s="35"/>
      <c r="V295" s="35"/>
      <c r="W295" s="35"/>
      <c r="X295" s="35"/>
      <c r="Y295" s="35"/>
      <c r="Z295" s="35"/>
    </row>
    <row r="296" ht="14.25" customHeight="1">
      <c r="A296" s="391" t="s">
        <v>2393</v>
      </c>
      <c r="B296" s="358" t="s">
        <v>2417</v>
      </c>
      <c r="C296" s="392" t="s">
        <v>2418</v>
      </c>
      <c r="D296" s="393" t="s">
        <v>2411</v>
      </c>
      <c r="E296" s="394"/>
      <c r="F296" s="395">
        <v>475.0</v>
      </c>
      <c r="G296" s="363">
        <v>45866.0</v>
      </c>
      <c r="H296" s="285">
        <f t="shared" si="13"/>
        <v>712.5</v>
      </c>
      <c r="I296" s="286">
        <f t="shared" si="14"/>
        <v>617.5</v>
      </c>
      <c r="J296" s="287">
        <f t="shared" si="15"/>
        <v>617.5</v>
      </c>
      <c r="K296" s="288">
        <f t="shared" si="16"/>
        <v>570</v>
      </c>
      <c r="L296" s="287">
        <f t="shared" si="17"/>
        <v>546.25</v>
      </c>
      <c r="M296" s="288">
        <f t="shared" si="18"/>
        <v>522.5</v>
      </c>
      <c r="N296" s="281"/>
      <c r="O296" s="34"/>
      <c r="P296" s="35"/>
      <c r="Q296" s="35"/>
      <c r="R296" s="35"/>
      <c r="S296" s="35"/>
      <c r="T296" s="35"/>
      <c r="U296" s="35"/>
      <c r="V296" s="35"/>
      <c r="W296" s="35"/>
      <c r="X296" s="35"/>
      <c r="Y296" s="35"/>
      <c r="Z296" s="35"/>
    </row>
    <row r="297" ht="14.25" customHeight="1">
      <c r="A297" s="368"/>
      <c r="B297" s="368"/>
      <c r="C297" s="392" t="s">
        <v>2419</v>
      </c>
      <c r="D297" s="396"/>
      <c r="E297" s="394"/>
      <c r="F297" s="395">
        <v>475.0</v>
      </c>
      <c r="G297" s="363">
        <v>45866.0</v>
      </c>
      <c r="H297" s="285">
        <f t="shared" si="13"/>
        <v>712.5</v>
      </c>
      <c r="I297" s="286">
        <f t="shared" si="14"/>
        <v>617.5</v>
      </c>
      <c r="J297" s="287">
        <f t="shared" si="15"/>
        <v>617.5</v>
      </c>
      <c r="K297" s="288">
        <f t="shared" si="16"/>
        <v>570</v>
      </c>
      <c r="L297" s="287">
        <f t="shared" si="17"/>
        <v>546.25</v>
      </c>
      <c r="M297" s="288">
        <f t="shared" si="18"/>
        <v>522.5</v>
      </c>
      <c r="N297" s="281"/>
      <c r="O297" s="34"/>
      <c r="P297" s="35"/>
      <c r="Q297" s="35"/>
      <c r="R297" s="35"/>
      <c r="S297" s="35"/>
      <c r="T297" s="35"/>
      <c r="U297" s="35"/>
      <c r="V297" s="35"/>
      <c r="W297" s="35"/>
      <c r="X297" s="35"/>
      <c r="Y297" s="35"/>
      <c r="Z297" s="35"/>
    </row>
    <row r="298" ht="14.25" customHeight="1">
      <c r="A298" s="389" t="s">
        <v>2393</v>
      </c>
      <c r="B298" s="373" t="s">
        <v>2420</v>
      </c>
      <c r="C298" s="384" t="s">
        <v>2421</v>
      </c>
      <c r="D298" s="385" t="s">
        <v>2415</v>
      </c>
      <c r="E298" s="388"/>
      <c r="F298" s="399">
        <v>850.0</v>
      </c>
      <c r="G298" s="363">
        <v>45866.0</v>
      </c>
      <c r="H298" s="285">
        <f t="shared" si="13"/>
        <v>1275</v>
      </c>
      <c r="I298" s="286">
        <f t="shared" si="14"/>
        <v>1105</v>
      </c>
      <c r="J298" s="287">
        <f t="shared" si="15"/>
        <v>1105</v>
      </c>
      <c r="K298" s="288">
        <f t="shared" si="16"/>
        <v>1020</v>
      </c>
      <c r="L298" s="287">
        <f t="shared" si="17"/>
        <v>977.5</v>
      </c>
      <c r="M298" s="288">
        <f t="shared" si="18"/>
        <v>935</v>
      </c>
      <c r="N298" s="281"/>
      <c r="O298" s="34"/>
      <c r="P298" s="35"/>
      <c r="Q298" s="35"/>
      <c r="R298" s="35"/>
      <c r="S298" s="35"/>
      <c r="T298" s="35"/>
      <c r="U298" s="35"/>
      <c r="V298" s="35"/>
      <c r="W298" s="35"/>
      <c r="X298" s="35"/>
      <c r="Y298" s="35"/>
      <c r="Z298" s="35"/>
    </row>
    <row r="299" ht="14.25" customHeight="1">
      <c r="A299" s="368"/>
      <c r="B299" s="368"/>
      <c r="C299" s="384" t="s">
        <v>2422</v>
      </c>
      <c r="D299" s="396"/>
      <c r="E299" s="388"/>
      <c r="F299" s="399">
        <v>850.0</v>
      </c>
      <c r="G299" s="363">
        <v>45866.0</v>
      </c>
      <c r="H299" s="285">
        <f t="shared" si="13"/>
        <v>1275</v>
      </c>
      <c r="I299" s="286">
        <f t="shared" si="14"/>
        <v>1105</v>
      </c>
      <c r="J299" s="287">
        <f t="shared" si="15"/>
        <v>1105</v>
      </c>
      <c r="K299" s="288">
        <f t="shared" si="16"/>
        <v>1020</v>
      </c>
      <c r="L299" s="287">
        <f t="shared" si="17"/>
        <v>977.5</v>
      </c>
      <c r="M299" s="288">
        <f t="shared" si="18"/>
        <v>935</v>
      </c>
      <c r="N299" s="281"/>
      <c r="O299" s="34"/>
      <c r="P299" s="35"/>
      <c r="Q299" s="35"/>
      <c r="R299" s="35"/>
      <c r="S299" s="35"/>
      <c r="T299" s="35"/>
      <c r="U299" s="35"/>
      <c r="V299" s="35"/>
      <c r="W299" s="35"/>
      <c r="X299" s="35"/>
      <c r="Y299" s="35"/>
      <c r="Z299" s="35"/>
    </row>
    <row r="300" ht="14.25" customHeight="1">
      <c r="A300" s="389" t="s">
        <v>2393</v>
      </c>
      <c r="B300" s="373" t="s">
        <v>2423</v>
      </c>
      <c r="C300" s="384" t="s">
        <v>2424</v>
      </c>
      <c r="D300" s="385" t="s">
        <v>2425</v>
      </c>
      <c r="E300" s="388"/>
      <c r="F300" s="387">
        <v>450.0</v>
      </c>
      <c r="G300" s="363">
        <v>45866.0</v>
      </c>
      <c r="H300" s="285">
        <f t="shared" si="13"/>
        <v>675</v>
      </c>
      <c r="I300" s="286">
        <f t="shared" si="14"/>
        <v>585</v>
      </c>
      <c r="J300" s="287">
        <f t="shared" si="15"/>
        <v>585</v>
      </c>
      <c r="K300" s="288">
        <f t="shared" si="16"/>
        <v>540</v>
      </c>
      <c r="L300" s="287">
        <f t="shared" si="17"/>
        <v>517.5</v>
      </c>
      <c r="M300" s="288">
        <f t="shared" si="18"/>
        <v>495</v>
      </c>
      <c r="N300" s="281"/>
      <c r="O300" s="34"/>
      <c r="P300" s="35"/>
      <c r="Q300" s="35"/>
      <c r="R300" s="35"/>
      <c r="S300" s="35"/>
      <c r="T300" s="35"/>
      <c r="U300" s="35"/>
      <c r="V300" s="35"/>
      <c r="W300" s="35"/>
      <c r="X300" s="35"/>
      <c r="Y300" s="35"/>
      <c r="Z300" s="35"/>
    </row>
    <row r="301" ht="14.25" customHeight="1">
      <c r="A301" s="368"/>
      <c r="B301" s="368"/>
      <c r="C301" s="384" t="s">
        <v>2426</v>
      </c>
      <c r="D301" s="368"/>
      <c r="E301" s="388"/>
      <c r="F301" s="368"/>
      <c r="G301" s="363">
        <v>45866.0</v>
      </c>
      <c r="H301" s="285">
        <f t="shared" si="13"/>
        <v>0</v>
      </c>
      <c r="I301" s="286">
        <f t="shared" si="14"/>
        <v>0</v>
      </c>
      <c r="J301" s="287">
        <f t="shared" si="15"/>
        <v>0</v>
      </c>
      <c r="K301" s="288">
        <f t="shared" si="16"/>
        <v>0</v>
      </c>
      <c r="L301" s="287">
        <f t="shared" si="17"/>
        <v>0</v>
      </c>
      <c r="M301" s="288">
        <f t="shared" si="18"/>
        <v>0</v>
      </c>
      <c r="N301" s="281"/>
      <c r="O301" s="34"/>
      <c r="P301" s="35"/>
      <c r="Q301" s="35"/>
      <c r="R301" s="35"/>
      <c r="S301" s="35"/>
      <c r="T301" s="35"/>
      <c r="U301" s="35"/>
      <c r="V301" s="35"/>
      <c r="W301" s="35"/>
      <c r="X301" s="35"/>
      <c r="Y301" s="35"/>
      <c r="Z301" s="35"/>
    </row>
    <row r="302" ht="14.25" customHeight="1">
      <c r="A302" s="389" t="s">
        <v>2393</v>
      </c>
      <c r="B302" s="373" t="s">
        <v>2427</v>
      </c>
      <c r="C302" s="400" t="s">
        <v>2428</v>
      </c>
      <c r="D302" s="401" t="s">
        <v>2425</v>
      </c>
      <c r="E302" s="388"/>
      <c r="F302" s="387">
        <v>410.0</v>
      </c>
      <c r="G302" s="363">
        <v>45866.0</v>
      </c>
      <c r="H302" s="285">
        <f t="shared" si="13"/>
        <v>615</v>
      </c>
      <c r="I302" s="286">
        <f t="shared" si="14"/>
        <v>533</v>
      </c>
      <c r="J302" s="287">
        <f t="shared" si="15"/>
        <v>533</v>
      </c>
      <c r="K302" s="288">
        <f t="shared" si="16"/>
        <v>492</v>
      </c>
      <c r="L302" s="287">
        <f t="shared" si="17"/>
        <v>471.5</v>
      </c>
      <c r="M302" s="288">
        <f t="shared" si="18"/>
        <v>451</v>
      </c>
      <c r="N302" s="281"/>
      <c r="O302" s="34"/>
      <c r="P302" s="35"/>
      <c r="Q302" s="35"/>
      <c r="R302" s="35"/>
      <c r="S302" s="35"/>
      <c r="T302" s="35"/>
      <c r="U302" s="35"/>
      <c r="V302" s="35"/>
      <c r="W302" s="35"/>
      <c r="X302" s="35"/>
      <c r="Y302" s="35"/>
      <c r="Z302" s="35"/>
    </row>
    <row r="303" ht="14.25" customHeight="1">
      <c r="A303" s="368"/>
      <c r="B303" s="368"/>
      <c r="C303" s="400" t="s">
        <v>2429</v>
      </c>
      <c r="D303" s="368"/>
      <c r="E303" s="388"/>
      <c r="F303" s="368"/>
      <c r="G303" s="363">
        <v>45866.0</v>
      </c>
      <c r="H303" s="285">
        <f t="shared" si="13"/>
        <v>0</v>
      </c>
      <c r="I303" s="286">
        <f t="shared" si="14"/>
        <v>0</v>
      </c>
      <c r="J303" s="287">
        <f t="shared" si="15"/>
        <v>0</v>
      </c>
      <c r="K303" s="288">
        <f t="shared" si="16"/>
        <v>0</v>
      </c>
      <c r="L303" s="287">
        <f t="shared" si="17"/>
        <v>0</v>
      </c>
      <c r="M303" s="288">
        <f t="shared" si="18"/>
        <v>0</v>
      </c>
      <c r="N303" s="281"/>
      <c r="O303" s="34"/>
      <c r="P303" s="35"/>
      <c r="Q303" s="35"/>
      <c r="R303" s="35"/>
      <c r="S303" s="35"/>
      <c r="T303" s="35"/>
      <c r="U303" s="35"/>
      <c r="V303" s="35"/>
      <c r="W303" s="35"/>
      <c r="X303" s="35"/>
      <c r="Y303" s="35"/>
      <c r="Z303" s="35"/>
    </row>
    <row r="304" ht="14.25" customHeight="1">
      <c r="A304" s="353"/>
      <c r="B304" s="348"/>
      <c r="C304" s="402" t="s">
        <v>2430</v>
      </c>
      <c r="D304" s="401" t="s">
        <v>2431</v>
      </c>
      <c r="E304" s="403"/>
      <c r="F304" s="376">
        <v>1100.0</v>
      </c>
      <c r="G304" s="363">
        <v>45866.0</v>
      </c>
      <c r="H304" s="285">
        <f t="shared" si="13"/>
        <v>1650</v>
      </c>
      <c r="I304" s="286">
        <f t="shared" si="14"/>
        <v>1430</v>
      </c>
      <c r="J304" s="287">
        <f t="shared" si="15"/>
        <v>1430</v>
      </c>
      <c r="K304" s="288">
        <f t="shared" si="16"/>
        <v>1320</v>
      </c>
      <c r="L304" s="287">
        <f t="shared" si="17"/>
        <v>1265</v>
      </c>
      <c r="M304" s="288">
        <f t="shared" si="18"/>
        <v>1210</v>
      </c>
      <c r="N304" s="281"/>
      <c r="O304" s="34"/>
      <c r="P304" s="35"/>
      <c r="Q304" s="35"/>
      <c r="R304" s="35"/>
      <c r="S304" s="35"/>
      <c r="T304" s="35"/>
      <c r="U304" s="35"/>
      <c r="V304" s="35"/>
      <c r="W304" s="35"/>
      <c r="X304" s="35"/>
      <c r="Y304" s="35"/>
      <c r="Z304" s="35"/>
    </row>
    <row r="305" ht="14.25" customHeight="1">
      <c r="A305" s="353"/>
      <c r="B305" s="348"/>
      <c r="C305" s="402" t="s">
        <v>2432</v>
      </c>
      <c r="D305" s="401" t="s">
        <v>2433</v>
      </c>
      <c r="E305" s="403"/>
      <c r="F305" s="376">
        <v>1000.0</v>
      </c>
      <c r="G305" s="363">
        <v>45866.0</v>
      </c>
      <c r="H305" s="285">
        <f t="shared" si="13"/>
        <v>1500</v>
      </c>
      <c r="I305" s="286">
        <f t="shared" si="14"/>
        <v>1300</v>
      </c>
      <c r="J305" s="287">
        <f t="shared" si="15"/>
        <v>1300</v>
      </c>
      <c r="K305" s="288">
        <f t="shared" si="16"/>
        <v>1200</v>
      </c>
      <c r="L305" s="287">
        <f t="shared" si="17"/>
        <v>1150</v>
      </c>
      <c r="M305" s="288">
        <f t="shared" si="18"/>
        <v>1100</v>
      </c>
      <c r="N305" s="281"/>
      <c r="O305" s="34"/>
      <c r="P305" s="35"/>
      <c r="Q305" s="35"/>
      <c r="R305" s="35"/>
      <c r="S305" s="35"/>
      <c r="T305" s="35"/>
      <c r="U305" s="35"/>
      <c r="V305" s="35"/>
      <c r="W305" s="35"/>
      <c r="X305" s="35"/>
      <c r="Y305" s="35"/>
      <c r="Z305" s="35"/>
    </row>
    <row r="306" ht="14.25" customHeight="1">
      <c r="A306" s="353"/>
      <c r="B306" s="348"/>
      <c r="C306" s="402" t="s">
        <v>2434</v>
      </c>
      <c r="D306" s="401" t="s">
        <v>2435</v>
      </c>
      <c r="E306" s="403"/>
      <c r="F306" s="376">
        <v>850.0</v>
      </c>
      <c r="G306" s="363">
        <v>45866.0</v>
      </c>
      <c r="H306" s="285">
        <f t="shared" si="13"/>
        <v>1275</v>
      </c>
      <c r="I306" s="286">
        <f t="shared" si="14"/>
        <v>1105</v>
      </c>
      <c r="J306" s="287">
        <f t="shared" si="15"/>
        <v>1105</v>
      </c>
      <c r="K306" s="288">
        <f t="shared" si="16"/>
        <v>1020</v>
      </c>
      <c r="L306" s="287">
        <f t="shared" si="17"/>
        <v>977.5</v>
      </c>
      <c r="M306" s="288">
        <f t="shared" si="18"/>
        <v>935</v>
      </c>
      <c r="N306" s="281"/>
      <c r="O306" s="34"/>
      <c r="P306" s="35"/>
      <c r="Q306" s="35"/>
      <c r="R306" s="35"/>
      <c r="S306" s="35"/>
      <c r="T306" s="35"/>
      <c r="U306" s="35"/>
      <c r="V306" s="35"/>
      <c r="W306" s="35"/>
      <c r="X306" s="35"/>
      <c r="Y306" s="35"/>
      <c r="Z306" s="35"/>
    </row>
    <row r="307" ht="14.25" customHeight="1">
      <c r="A307" s="353"/>
      <c r="B307" s="348"/>
      <c r="C307" s="402" t="s">
        <v>2436</v>
      </c>
      <c r="D307" s="368"/>
      <c r="E307" s="403"/>
      <c r="F307" s="368"/>
      <c r="G307" s="363">
        <v>45866.0</v>
      </c>
      <c r="H307" s="285">
        <f t="shared" si="13"/>
        <v>0</v>
      </c>
      <c r="I307" s="286">
        <f t="shared" si="14"/>
        <v>0</v>
      </c>
      <c r="J307" s="287">
        <f t="shared" si="15"/>
        <v>0</v>
      </c>
      <c r="K307" s="288">
        <f t="shared" si="16"/>
        <v>0</v>
      </c>
      <c r="L307" s="287">
        <f t="shared" si="17"/>
        <v>0</v>
      </c>
      <c r="M307" s="288">
        <f t="shared" si="18"/>
        <v>0</v>
      </c>
      <c r="N307" s="281"/>
      <c r="O307" s="34"/>
      <c r="P307" s="35"/>
      <c r="Q307" s="35"/>
      <c r="R307" s="35"/>
      <c r="S307" s="35"/>
      <c r="T307" s="35"/>
      <c r="U307" s="35"/>
      <c r="V307" s="35"/>
      <c r="W307" s="35"/>
      <c r="X307" s="35"/>
      <c r="Y307" s="35"/>
      <c r="Z307" s="35"/>
    </row>
    <row r="308" ht="14.25" customHeight="1">
      <c r="A308" s="404"/>
      <c r="B308" s="405"/>
      <c r="C308" s="402" t="s">
        <v>2437</v>
      </c>
      <c r="D308" s="401" t="s">
        <v>2438</v>
      </c>
      <c r="E308" s="403"/>
      <c r="F308" s="376">
        <v>750.0</v>
      </c>
      <c r="G308" s="363">
        <v>45866.0</v>
      </c>
      <c r="H308" s="285">
        <f t="shared" si="13"/>
        <v>1125</v>
      </c>
      <c r="I308" s="286">
        <f t="shared" si="14"/>
        <v>975</v>
      </c>
      <c r="J308" s="287">
        <f t="shared" si="15"/>
        <v>975</v>
      </c>
      <c r="K308" s="288">
        <f t="shared" si="16"/>
        <v>900</v>
      </c>
      <c r="L308" s="287">
        <f t="shared" si="17"/>
        <v>862.5</v>
      </c>
      <c r="M308" s="288">
        <f t="shared" si="18"/>
        <v>825</v>
      </c>
      <c r="N308" s="281"/>
      <c r="O308" s="34"/>
      <c r="P308" s="35"/>
      <c r="Q308" s="35"/>
      <c r="R308" s="35"/>
      <c r="S308" s="35"/>
      <c r="T308" s="35"/>
      <c r="U308" s="35"/>
      <c r="V308" s="35"/>
      <c r="W308" s="35"/>
      <c r="X308" s="35"/>
      <c r="Y308" s="35"/>
      <c r="Z308" s="35"/>
    </row>
    <row r="309" ht="14.25" customHeight="1">
      <c r="A309" s="404"/>
      <c r="B309" s="405"/>
      <c r="C309" s="406" t="s">
        <v>2439</v>
      </c>
      <c r="D309" s="368"/>
      <c r="E309" s="403"/>
      <c r="F309" s="368"/>
      <c r="G309" s="363">
        <v>45866.0</v>
      </c>
      <c r="H309" s="285">
        <f t="shared" si="13"/>
        <v>0</v>
      </c>
      <c r="I309" s="286">
        <f t="shared" si="14"/>
        <v>0</v>
      </c>
      <c r="J309" s="287">
        <f t="shared" si="15"/>
        <v>0</v>
      </c>
      <c r="K309" s="288">
        <f t="shared" si="16"/>
        <v>0</v>
      </c>
      <c r="L309" s="287">
        <f t="shared" si="17"/>
        <v>0</v>
      </c>
      <c r="M309" s="288">
        <f t="shared" si="18"/>
        <v>0</v>
      </c>
      <c r="N309" s="281"/>
      <c r="O309" s="34"/>
      <c r="P309" s="35"/>
      <c r="Q309" s="35"/>
      <c r="R309" s="35"/>
      <c r="S309" s="35"/>
      <c r="T309" s="35"/>
      <c r="U309" s="35"/>
      <c r="V309" s="35"/>
      <c r="W309" s="35"/>
      <c r="X309" s="35"/>
      <c r="Y309" s="35"/>
      <c r="Z309" s="35"/>
    </row>
    <row r="310" ht="14.25" customHeight="1">
      <c r="A310" s="404"/>
      <c r="B310" s="405"/>
      <c r="C310" s="406" t="s">
        <v>2440</v>
      </c>
      <c r="D310" s="407" t="s">
        <v>2441</v>
      </c>
      <c r="E310" s="403"/>
      <c r="F310" s="376">
        <v>765.0</v>
      </c>
      <c r="G310" s="363">
        <v>45866.0</v>
      </c>
      <c r="H310" s="285">
        <f t="shared" si="13"/>
        <v>1147.5</v>
      </c>
      <c r="I310" s="286">
        <f t="shared" si="14"/>
        <v>994.5</v>
      </c>
      <c r="J310" s="287">
        <f t="shared" si="15"/>
        <v>994.5</v>
      </c>
      <c r="K310" s="288">
        <f t="shared" si="16"/>
        <v>918</v>
      </c>
      <c r="L310" s="287">
        <f t="shared" si="17"/>
        <v>879.75</v>
      </c>
      <c r="M310" s="288">
        <f t="shared" si="18"/>
        <v>841.5</v>
      </c>
      <c r="N310" s="281"/>
      <c r="O310" s="34"/>
      <c r="P310" s="35"/>
      <c r="Q310" s="35"/>
      <c r="R310" s="35"/>
      <c r="S310" s="35"/>
      <c r="T310" s="35"/>
      <c r="U310" s="35"/>
      <c r="V310" s="35"/>
      <c r="W310" s="35"/>
      <c r="X310" s="35"/>
      <c r="Y310" s="35"/>
      <c r="Z310" s="35"/>
    </row>
    <row r="311" ht="14.25" customHeight="1">
      <c r="A311" s="404"/>
      <c r="B311" s="405"/>
      <c r="C311" s="406" t="s">
        <v>2442</v>
      </c>
      <c r="D311" s="368"/>
      <c r="E311" s="403"/>
      <c r="F311" s="368"/>
      <c r="G311" s="363">
        <v>45866.0</v>
      </c>
      <c r="H311" s="285">
        <f t="shared" si="13"/>
        <v>0</v>
      </c>
      <c r="I311" s="286">
        <f t="shared" si="14"/>
        <v>0</v>
      </c>
      <c r="J311" s="287">
        <f t="shared" si="15"/>
        <v>0</v>
      </c>
      <c r="K311" s="288">
        <f t="shared" si="16"/>
        <v>0</v>
      </c>
      <c r="L311" s="287">
        <f t="shared" si="17"/>
        <v>0</v>
      </c>
      <c r="M311" s="288">
        <f t="shared" si="18"/>
        <v>0</v>
      </c>
      <c r="N311" s="281"/>
      <c r="O311" s="34"/>
      <c r="P311" s="35"/>
      <c r="Q311" s="35"/>
      <c r="R311" s="35"/>
      <c r="S311" s="35"/>
      <c r="T311" s="35"/>
      <c r="U311" s="35"/>
      <c r="V311" s="35"/>
      <c r="W311" s="35"/>
      <c r="X311" s="35"/>
      <c r="Y311" s="35"/>
      <c r="Z311" s="35"/>
    </row>
    <row r="312" ht="14.25" customHeight="1">
      <c r="A312" s="404"/>
      <c r="B312" s="405"/>
      <c r="C312" s="408" t="s">
        <v>2443</v>
      </c>
      <c r="D312" s="409" t="s">
        <v>2444</v>
      </c>
      <c r="E312" s="410"/>
      <c r="F312" s="411">
        <v>580.0</v>
      </c>
      <c r="G312" s="363">
        <v>45866.0</v>
      </c>
      <c r="H312" s="285">
        <f t="shared" si="13"/>
        <v>870</v>
      </c>
      <c r="I312" s="286">
        <f t="shared" si="14"/>
        <v>754</v>
      </c>
      <c r="J312" s="287">
        <f t="shared" si="15"/>
        <v>754</v>
      </c>
      <c r="K312" s="288">
        <f t="shared" si="16"/>
        <v>696</v>
      </c>
      <c r="L312" s="287">
        <f t="shared" si="17"/>
        <v>667</v>
      </c>
      <c r="M312" s="288">
        <f t="shared" si="18"/>
        <v>638</v>
      </c>
      <c r="N312" s="281"/>
      <c r="O312" s="34"/>
      <c r="P312" s="35"/>
      <c r="Q312" s="35"/>
      <c r="R312" s="35"/>
      <c r="S312" s="35"/>
      <c r="T312" s="35"/>
      <c r="U312" s="35"/>
      <c r="V312" s="35"/>
      <c r="W312" s="35"/>
      <c r="X312" s="35"/>
      <c r="Y312" s="35"/>
      <c r="Z312" s="35"/>
    </row>
    <row r="313" ht="14.25" customHeight="1">
      <c r="A313" s="404"/>
      <c r="B313" s="405"/>
      <c r="C313" s="412" t="s">
        <v>2445</v>
      </c>
      <c r="D313" s="368"/>
      <c r="E313" s="410"/>
      <c r="F313" s="368"/>
      <c r="G313" s="363">
        <v>45866.0</v>
      </c>
      <c r="H313" s="285">
        <f t="shared" si="13"/>
        <v>0</v>
      </c>
      <c r="I313" s="286">
        <f t="shared" si="14"/>
        <v>0</v>
      </c>
      <c r="J313" s="287">
        <f t="shared" si="15"/>
        <v>0</v>
      </c>
      <c r="K313" s="288">
        <f t="shared" si="16"/>
        <v>0</v>
      </c>
      <c r="L313" s="287">
        <f t="shared" si="17"/>
        <v>0</v>
      </c>
      <c r="M313" s="288">
        <f t="shared" si="18"/>
        <v>0</v>
      </c>
      <c r="N313" s="281"/>
      <c r="O313" s="34"/>
      <c r="P313" s="35"/>
      <c r="Q313" s="35"/>
      <c r="R313" s="35"/>
      <c r="S313" s="35"/>
      <c r="T313" s="35"/>
      <c r="U313" s="35"/>
      <c r="V313" s="35"/>
      <c r="W313" s="35"/>
      <c r="X313" s="35"/>
      <c r="Y313" s="35"/>
      <c r="Z313" s="35"/>
    </row>
    <row r="314" ht="14.25" customHeight="1">
      <c r="A314" s="404"/>
      <c r="B314" s="405"/>
      <c r="C314" s="406" t="s">
        <v>2446</v>
      </c>
      <c r="D314" s="407" t="s">
        <v>2447</v>
      </c>
      <c r="E314" s="403"/>
      <c r="F314" s="376">
        <v>1070.0</v>
      </c>
      <c r="G314" s="363">
        <v>45866.0</v>
      </c>
      <c r="H314" s="285">
        <f t="shared" si="13"/>
        <v>1605</v>
      </c>
      <c r="I314" s="286">
        <f t="shared" si="14"/>
        <v>1391</v>
      </c>
      <c r="J314" s="287">
        <f t="shared" si="15"/>
        <v>1391</v>
      </c>
      <c r="K314" s="288">
        <f t="shared" si="16"/>
        <v>1284</v>
      </c>
      <c r="L314" s="287">
        <f t="shared" si="17"/>
        <v>1230.5</v>
      </c>
      <c r="M314" s="288">
        <f t="shared" si="18"/>
        <v>1177</v>
      </c>
      <c r="N314" s="281"/>
      <c r="O314" s="34"/>
      <c r="P314" s="35"/>
      <c r="Q314" s="35"/>
      <c r="R314" s="35"/>
      <c r="S314" s="35"/>
      <c r="T314" s="35"/>
      <c r="U314" s="35"/>
      <c r="V314" s="35"/>
      <c r="W314" s="35"/>
      <c r="X314" s="35"/>
      <c r="Y314" s="35"/>
      <c r="Z314" s="35"/>
    </row>
    <row r="315" ht="14.25" customHeight="1">
      <c r="A315" s="404"/>
      <c r="B315" s="405"/>
      <c r="C315" s="406" t="s">
        <v>2448</v>
      </c>
      <c r="D315" s="368"/>
      <c r="E315" s="403"/>
      <c r="F315" s="368"/>
      <c r="G315" s="363">
        <v>45866.0</v>
      </c>
      <c r="H315" s="285">
        <f t="shared" si="13"/>
        <v>0</v>
      </c>
      <c r="I315" s="286">
        <f t="shared" si="14"/>
        <v>0</v>
      </c>
      <c r="J315" s="287">
        <f t="shared" si="15"/>
        <v>0</v>
      </c>
      <c r="K315" s="288">
        <f t="shared" si="16"/>
        <v>0</v>
      </c>
      <c r="L315" s="287">
        <f t="shared" si="17"/>
        <v>0</v>
      </c>
      <c r="M315" s="288">
        <f t="shared" si="18"/>
        <v>0</v>
      </c>
      <c r="N315" s="281"/>
      <c r="O315" s="34"/>
      <c r="P315" s="35"/>
      <c r="Q315" s="35"/>
      <c r="R315" s="35"/>
      <c r="S315" s="35"/>
      <c r="T315" s="35"/>
      <c r="U315" s="35"/>
      <c r="V315" s="35"/>
      <c r="W315" s="35"/>
      <c r="X315" s="35"/>
      <c r="Y315" s="35"/>
      <c r="Z315" s="35"/>
    </row>
    <row r="316" ht="14.25" customHeight="1">
      <c r="A316" s="404"/>
      <c r="B316" s="405"/>
      <c r="C316" s="406" t="s">
        <v>2449</v>
      </c>
      <c r="D316" s="407" t="s">
        <v>2450</v>
      </c>
      <c r="E316" s="403"/>
      <c r="F316" s="376">
        <v>1030.0</v>
      </c>
      <c r="G316" s="363">
        <v>45866.0</v>
      </c>
      <c r="H316" s="285">
        <f t="shared" si="13"/>
        <v>1545</v>
      </c>
      <c r="I316" s="286">
        <f t="shared" si="14"/>
        <v>1339</v>
      </c>
      <c r="J316" s="287">
        <f t="shared" si="15"/>
        <v>1339</v>
      </c>
      <c r="K316" s="288">
        <f t="shared" si="16"/>
        <v>1236</v>
      </c>
      <c r="L316" s="287">
        <f t="shared" si="17"/>
        <v>1184.5</v>
      </c>
      <c r="M316" s="288">
        <f t="shared" si="18"/>
        <v>1133</v>
      </c>
      <c r="N316" s="281"/>
      <c r="O316" s="34"/>
      <c r="P316" s="35"/>
      <c r="Q316" s="35"/>
      <c r="R316" s="35"/>
      <c r="S316" s="35"/>
      <c r="T316" s="35"/>
      <c r="U316" s="35"/>
      <c r="V316" s="35"/>
      <c r="W316" s="35"/>
      <c r="X316" s="35"/>
      <c r="Y316" s="35"/>
      <c r="Z316" s="35"/>
    </row>
    <row r="317" ht="14.25" customHeight="1">
      <c r="A317" s="404"/>
      <c r="B317" s="405"/>
      <c r="C317" s="406" t="s">
        <v>2451</v>
      </c>
      <c r="D317" s="368"/>
      <c r="E317" s="403"/>
      <c r="F317" s="368"/>
      <c r="G317" s="363">
        <v>45866.0</v>
      </c>
      <c r="H317" s="285">
        <f t="shared" si="13"/>
        <v>0</v>
      </c>
      <c r="I317" s="286">
        <f t="shared" si="14"/>
        <v>0</v>
      </c>
      <c r="J317" s="287">
        <f t="shared" si="15"/>
        <v>0</v>
      </c>
      <c r="K317" s="288">
        <f t="shared" si="16"/>
        <v>0</v>
      </c>
      <c r="L317" s="287">
        <f t="shared" si="17"/>
        <v>0</v>
      </c>
      <c r="M317" s="288">
        <f t="shared" si="18"/>
        <v>0</v>
      </c>
      <c r="N317" s="281"/>
      <c r="O317" s="34"/>
      <c r="P317" s="35"/>
      <c r="Q317" s="35"/>
      <c r="R317" s="35"/>
      <c r="S317" s="35"/>
      <c r="T317" s="35"/>
      <c r="U317" s="35"/>
      <c r="V317" s="35"/>
      <c r="W317" s="35"/>
      <c r="X317" s="35"/>
      <c r="Y317" s="35"/>
      <c r="Z317" s="35"/>
    </row>
    <row r="318" ht="14.25" customHeight="1">
      <c r="A318" s="404"/>
      <c r="B318" s="405"/>
      <c r="C318" s="406" t="s">
        <v>2452</v>
      </c>
      <c r="D318" s="407" t="s">
        <v>2453</v>
      </c>
      <c r="E318" s="403"/>
      <c r="F318" s="376">
        <v>930.0</v>
      </c>
      <c r="G318" s="363">
        <v>45866.0</v>
      </c>
      <c r="H318" s="285">
        <f t="shared" si="13"/>
        <v>1395</v>
      </c>
      <c r="I318" s="286">
        <f t="shared" si="14"/>
        <v>1209</v>
      </c>
      <c r="J318" s="287">
        <f t="shared" si="15"/>
        <v>1209</v>
      </c>
      <c r="K318" s="288">
        <f t="shared" si="16"/>
        <v>1116</v>
      </c>
      <c r="L318" s="287">
        <f t="shared" si="17"/>
        <v>1069.5</v>
      </c>
      <c r="M318" s="288">
        <f t="shared" si="18"/>
        <v>1023</v>
      </c>
      <c r="N318" s="281"/>
      <c r="O318" s="34"/>
      <c r="P318" s="35"/>
      <c r="Q318" s="35"/>
      <c r="R318" s="35"/>
      <c r="S318" s="35"/>
      <c r="T318" s="35"/>
      <c r="U318" s="35"/>
      <c r="V318" s="35"/>
      <c r="W318" s="35"/>
      <c r="X318" s="35"/>
      <c r="Y318" s="35"/>
      <c r="Z318" s="35"/>
    </row>
    <row r="319" ht="14.25" customHeight="1">
      <c r="A319" s="404"/>
      <c r="B319" s="405"/>
      <c r="C319" s="406" t="s">
        <v>2454</v>
      </c>
      <c r="D319" s="368"/>
      <c r="E319" s="403"/>
      <c r="F319" s="368"/>
      <c r="G319" s="363">
        <v>45866.0</v>
      </c>
      <c r="H319" s="285">
        <f t="shared" si="13"/>
        <v>0</v>
      </c>
      <c r="I319" s="286">
        <f t="shared" si="14"/>
        <v>0</v>
      </c>
      <c r="J319" s="287">
        <f t="shared" si="15"/>
        <v>0</v>
      </c>
      <c r="K319" s="288">
        <f t="shared" si="16"/>
        <v>0</v>
      </c>
      <c r="L319" s="287">
        <f t="shared" si="17"/>
        <v>0</v>
      </c>
      <c r="M319" s="288">
        <f t="shared" si="18"/>
        <v>0</v>
      </c>
      <c r="N319" s="281"/>
      <c r="O319" s="34"/>
      <c r="P319" s="35"/>
      <c r="Q319" s="35"/>
      <c r="R319" s="35"/>
      <c r="S319" s="35"/>
      <c r="T319" s="35"/>
      <c r="U319" s="35"/>
      <c r="V319" s="35"/>
      <c r="W319" s="35"/>
      <c r="X319" s="35"/>
      <c r="Y319" s="35"/>
      <c r="Z319" s="35"/>
    </row>
    <row r="320" ht="14.25" customHeight="1">
      <c r="A320" s="413"/>
      <c r="B320" s="414"/>
      <c r="C320" s="406" t="s">
        <v>2455</v>
      </c>
      <c r="D320" s="407" t="s">
        <v>2456</v>
      </c>
      <c r="E320" s="403"/>
      <c r="F320" s="376">
        <v>865.0</v>
      </c>
      <c r="G320" s="363">
        <v>45866.0</v>
      </c>
      <c r="H320" s="285">
        <f t="shared" si="13"/>
        <v>1297.5</v>
      </c>
      <c r="I320" s="286">
        <f t="shared" si="14"/>
        <v>1124.5</v>
      </c>
      <c r="J320" s="287">
        <f t="shared" si="15"/>
        <v>1124.5</v>
      </c>
      <c r="K320" s="288">
        <f t="shared" si="16"/>
        <v>1038</v>
      </c>
      <c r="L320" s="287">
        <f t="shared" si="17"/>
        <v>994.75</v>
      </c>
      <c r="M320" s="288">
        <f t="shared" si="18"/>
        <v>951.5</v>
      </c>
      <c r="N320" s="281"/>
      <c r="O320" s="34"/>
      <c r="P320" s="35"/>
      <c r="Q320" s="35"/>
      <c r="R320" s="35"/>
      <c r="S320" s="35"/>
      <c r="T320" s="35"/>
      <c r="U320" s="35"/>
      <c r="V320" s="35"/>
      <c r="W320" s="35"/>
      <c r="X320" s="35"/>
      <c r="Y320" s="35"/>
      <c r="Z320" s="35"/>
    </row>
    <row r="321" ht="14.25" customHeight="1">
      <c r="A321" s="413"/>
      <c r="B321" s="414"/>
      <c r="C321" s="406" t="s">
        <v>2457</v>
      </c>
      <c r="D321" s="368"/>
      <c r="E321" s="403"/>
      <c r="F321" s="368"/>
      <c r="G321" s="363">
        <v>45866.0</v>
      </c>
      <c r="H321" s="285">
        <f t="shared" si="13"/>
        <v>0</v>
      </c>
      <c r="I321" s="286">
        <f t="shared" si="14"/>
        <v>0</v>
      </c>
      <c r="J321" s="287">
        <f t="shared" si="15"/>
        <v>0</v>
      </c>
      <c r="K321" s="288">
        <f t="shared" si="16"/>
        <v>0</v>
      </c>
      <c r="L321" s="287">
        <f t="shared" si="17"/>
        <v>0</v>
      </c>
      <c r="M321" s="288">
        <f t="shared" si="18"/>
        <v>0</v>
      </c>
      <c r="N321" s="281"/>
      <c r="O321" s="34"/>
      <c r="P321" s="35"/>
      <c r="Q321" s="35"/>
      <c r="R321" s="35"/>
      <c r="S321" s="35"/>
      <c r="T321" s="35"/>
      <c r="U321" s="35"/>
      <c r="V321" s="35"/>
      <c r="W321" s="35"/>
      <c r="X321" s="35"/>
      <c r="Y321" s="35"/>
      <c r="Z321" s="35"/>
    </row>
    <row r="322" ht="14.25" customHeight="1">
      <c r="A322" s="413"/>
      <c r="B322" s="414"/>
      <c r="C322" s="406" t="s">
        <v>2458</v>
      </c>
      <c r="D322" s="407" t="s">
        <v>2459</v>
      </c>
      <c r="E322" s="403"/>
      <c r="F322" s="376">
        <v>765.0</v>
      </c>
      <c r="G322" s="363">
        <v>45866.0</v>
      </c>
      <c r="H322" s="285">
        <f t="shared" si="13"/>
        <v>1147.5</v>
      </c>
      <c r="I322" s="286">
        <f t="shared" si="14"/>
        <v>994.5</v>
      </c>
      <c r="J322" s="287">
        <f t="shared" si="15"/>
        <v>994.5</v>
      </c>
      <c r="K322" s="288">
        <f t="shared" si="16"/>
        <v>918</v>
      </c>
      <c r="L322" s="287">
        <f t="shared" si="17"/>
        <v>879.75</v>
      </c>
      <c r="M322" s="288">
        <f t="shared" si="18"/>
        <v>841.5</v>
      </c>
      <c r="N322" s="281"/>
      <c r="O322" s="34"/>
      <c r="P322" s="35"/>
      <c r="Q322" s="35"/>
      <c r="R322" s="35"/>
      <c r="S322" s="35"/>
      <c r="T322" s="35"/>
      <c r="U322" s="35"/>
      <c r="V322" s="35"/>
      <c r="W322" s="35"/>
      <c r="X322" s="35"/>
      <c r="Y322" s="35"/>
      <c r="Z322" s="35"/>
    </row>
    <row r="323" ht="14.25" customHeight="1">
      <c r="A323" s="413"/>
      <c r="B323" s="414"/>
      <c r="C323" s="406" t="s">
        <v>2460</v>
      </c>
      <c r="D323" s="368"/>
      <c r="E323" s="403"/>
      <c r="F323" s="368"/>
      <c r="G323" s="363">
        <v>45866.0</v>
      </c>
      <c r="H323" s="285">
        <f t="shared" si="13"/>
        <v>0</v>
      </c>
      <c r="I323" s="286">
        <f t="shared" si="14"/>
        <v>0</v>
      </c>
      <c r="J323" s="287">
        <f t="shared" si="15"/>
        <v>0</v>
      </c>
      <c r="K323" s="288">
        <f t="shared" si="16"/>
        <v>0</v>
      </c>
      <c r="L323" s="287">
        <f t="shared" si="17"/>
        <v>0</v>
      </c>
      <c r="M323" s="288">
        <f t="shared" si="18"/>
        <v>0</v>
      </c>
      <c r="N323" s="281"/>
      <c r="O323" s="34"/>
      <c r="P323" s="35"/>
      <c r="Q323" s="35"/>
      <c r="R323" s="35"/>
      <c r="S323" s="35"/>
      <c r="T323" s="35"/>
      <c r="U323" s="35"/>
      <c r="V323" s="35"/>
      <c r="W323" s="35"/>
      <c r="X323" s="35"/>
      <c r="Y323" s="35"/>
      <c r="Z323" s="35"/>
    </row>
    <row r="324" ht="14.25" customHeight="1">
      <c r="A324" s="413"/>
      <c r="B324" s="414"/>
      <c r="C324" s="406" t="s">
        <v>2461</v>
      </c>
      <c r="D324" s="407" t="s">
        <v>2462</v>
      </c>
      <c r="E324" s="403"/>
      <c r="F324" s="376">
        <v>990.0</v>
      </c>
      <c r="G324" s="363">
        <v>45866.0</v>
      </c>
      <c r="H324" s="285">
        <f t="shared" si="13"/>
        <v>1485</v>
      </c>
      <c r="I324" s="286">
        <f t="shared" si="14"/>
        <v>1287</v>
      </c>
      <c r="J324" s="287">
        <f t="shared" si="15"/>
        <v>1287</v>
      </c>
      <c r="K324" s="288">
        <f t="shared" si="16"/>
        <v>1188</v>
      </c>
      <c r="L324" s="287">
        <f t="shared" si="17"/>
        <v>1138.5</v>
      </c>
      <c r="M324" s="288">
        <f t="shared" si="18"/>
        <v>1089</v>
      </c>
      <c r="N324" s="281"/>
      <c r="O324" s="34"/>
      <c r="P324" s="35"/>
      <c r="Q324" s="35"/>
      <c r="R324" s="35"/>
      <c r="S324" s="35"/>
      <c r="T324" s="35"/>
      <c r="U324" s="35"/>
      <c r="V324" s="35"/>
      <c r="W324" s="35"/>
      <c r="X324" s="35"/>
      <c r="Y324" s="35"/>
      <c r="Z324" s="35"/>
    </row>
    <row r="325" ht="14.25" customHeight="1">
      <c r="A325" s="413"/>
      <c r="B325" s="414"/>
      <c r="C325" s="406" t="s">
        <v>2463</v>
      </c>
      <c r="D325" s="368"/>
      <c r="E325" s="403"/>
      <c r="F325" s="368"/>
      <c r="G325" s="363">
        <v>45866.0</v>
      </c>
      <c r="H325" s="285">
        <f t="shared" si="13"/>
        <v>0</v>
      </c>
      <c r="I325" s="286">
        <f t="shared" si="14"/>
        <v>0</v>
      </c>
      <c r="J325" s="287">
        <f t="shared" si="15"/>
        <v>0</v>
      </c>
      <c r="K325" s="288">
        <f t="shared" si="16"/>
        <v>0</v>
      </c>
      <c r="L325" s="287">
        <f t="shared" si="17"/>
        <v>0</v>
      </c>
      <c r="M325" s="288">
        <f t="shared" si="18"/>
        <v>0</v>
      </c>
      <c r="N325" s="281"/>
      <c r="O325" s="34"/>
      <c r="P325" s="35"/>
      <c r="Q325" s="35"/>
      <c r="R325" s="35"/>
      <c r="S325" s="35"/>
      <c r="T325" s="35"/>
      <c r="U325" s="35"/>
      <c r="V325" s="35"/>
      <c r="W325" s="35"/>
      <c r="X325" s="35"/>
      <c r="Y325" s="35"/>
      <c r="Z325" s="35"/>
    </row>
    <row r="326" ht="14.25" customHeight="1">
      <c r="A326" s="413"/>
      <c r="B326" s="414"/>
      <c r="C326" s="406" t="s">
        <v>2464</v>
      </c>
      <c r="D326" s="407" t="s">
        <v>2465</v>
      </c>
      <c r="E326" s="403"/>
      <c r="F326" s="376">
        <v>890.0</v>
      </c>
      <c r="G326" s="363">
        <v>45866.0</v>
      </c>
      <c r="H326" s="285">
        <f t="shared" si="13"/>
        <v>1335</v>
      </c>
      <c r="I326" s="286">
        <f t="shared" si="14"/>
        <v>1157</v>
      </c>
      <c r="J326" s="287">
        <f t="shared" si="15"/>
        <v>1157</v>
      </c>
      <c r="K326" s="288">
        <f t="shared" si="16"/>
        <v>1068</v>
      </c>
      <c r="L326" s="287">
        <f t="shared" si="17"/>
        <v>1023.5</v>
      </c>
      <c r="M326" s="288">
        <f t="shared" si="18"/>
        <v>979</v>
      </c>
      <c r="N326" s="281"/>
      <c r="O326" s="34"/>
      <c r="P326" s="35"/>
      <c r="Q326" s="35"/>
      <c r="R326" s="35"/>
      <c r="S326" s="35"/>
      <c r="T326" s="35"/>
      <c r="U326" s="35"/>
      <c r="V326" s="35"/>
      <c r="W326" s="35"/>
      <c r="X326" s="35"/>
      <c r="Y326" s="35"/>
      <c r="Z326" s="35"/>
    </row>
    <row r="327" ht="14.25" customHeight="1">
      <c r="A327" s="413"/>
      <c r="B327" s="414"/>
      <c r="C327" s="406" t="s">
        <v>2466</v>
      </c>
      <c r="D327" s="368"/>
      <c r="E327" s="403"/>
      <c r="F327" s="368"/>
      <c r="G327" s="363">
        <v>45866.0</v>
      </c>
      <c r="H327" s="285">
        <f t="shared" si="13"/>
        <v>0</v>
      </c>
      <c r="I327" s="286">
        <f t="shared" si="14"/>
        <v>0</v>
      </c>
      <c r="J327" s="287">
        <f t="shared" si="15"/>
        <v>0</v>
      </c>
      <c r="K327" s="288">
        <f t="shared" si="16"/>
        <v>0</v>
      </c>
      <c r="L327" s="287">
        <f t="shared" si="17"/>
        <v>0</v>
      </c>
      <c r="M327" s="288">
        <f t="shared" si="18"/>
        <v>0</v>
      </c>
      <c r="N327" s="281"/>
      <c r="O327" s="34"/>
      <c r="P327" s="35"/>
      <c r="Q327" s="35"/>
      <c r="R327" s="35"/>
      <c r="S327" s="35"/>
      <c r="T327" s="35"/>
      <c r="U327" s="35"/>
      <c r="V327" s="35"/>
      <c r="W327" s="35"/>
      <c r="X327" s="35"/>
      <c r="Y327" s="35"/>
      <c r="Z327" s="35"/>
    </row>
    <row r="328" ht="14.25" customHeight="1">
      <c r="A328" s="413"/>
      <c r="B328" s="414"/>
      <c r="C328" s="402" t="s">
        <v>2467</v>
      </c>
      <c r="D328" s="407" t="s">
        <v>2468</v>
      </c>
      <c r="E328" s="403"/>
      <c r="F328" s="376">
        <v>715.0</v>
      </c>
      <c r="G328" s="363">
        <v>45866.0</v>
      </c>
      <c r="H328" s="285">
        <f t="shared" si="13"/>
        <v>1072.5</v>
      </c>
      <c r="I328" s="286">
        <f t="shared" si="14"/>
        <v>929.5</v>
      </c>
      <c r="J328" s="287">
        <f t="shared" si="15"/>
        <v>929.5</v>
      </c>
      <c r="K328" s="288">
        <f t="shared" si="16"/>
        <v>858</v>
      </c>
      <c r="L328" s="287">
        <f t="shared" si="17"/>
        <v>822.25</v>
      </c>
      <c r="M328" s="288">
        <f t="shared" si="18"/>
        <v>786.5</v>
      </c>
      <c r="N328" s="281"/>
      <c r="O328" s="34"/>
      <c r="P328" s="35"/>
      <c r="Q328" s="35"/>
      <c r="R328" s="35"/>
      <c r="S328" s="35"/>
      <c r="T328" s="35"/>
      <c r="U328" s="35"/>
      <c r="V328" s="35"/>
      <c r="W328" s="35"/>
      <c r="X328" s="35"/>
      <c r="Y328" s="35"/>
      <c r="Z328" s="35"/>
    </row>
    <row r="329" ht="14.25" customHeight="1">
      <c r="A329" s="413"/>
      <c r="B329" s="414"/>
      <c r="C329" s="402" t="s">
        <v>2469</v>
      </c>
      <c r="D329" s="368"/>
      <c r="E329" s="403"/>
      <c r="F329" s="368"/>
      <c r="G329" s="363">
        <v>45866.0</v>
      </c>
      <c r="H329" s="285">
        <f t="shared" si="13"/>
        <v>0</v>
      </c>
      <c r="I329" s="286">
        <f t="shared" si="14"/>
        <v>0</v>
      </c>
      <c r="J329" s="287">
        <f t="shared" si="15"/>
        <v>0</v>
      </c>
      <c r="K329" s="288">
        <f t="shared" si="16"/>
        <v>0</v>
      </c>
      <c r="L329" s="287">
        <f t="shared" si="17"/>
        <v>0</v>
      </c>
      <c r="M329" s="288">
        <f t="shared" si="18"/>
        <v>0</v>
      </c>
      <c r="N329" s="281"/>
      <c r="O329" s="34"/>
      <c r="P329" s="35"/>
      <c r="Q329" s="35"/>
      <c r="R329" s="35"/>
      <c r="S329" s="35"/>
      <c r="T329" s="35"/>
      <c r="U329" s="35"/>
      <c r="V329" s="35"/>
      <c r="W329" s="35"/>
      <c r="X329" s="35"/>
      <c r="Y329" s="35"/>
      <c r="Z329" s="35"/>
    </row>
    <row r="330" ht="14.25" customHeight="1">
      <c r="A330" s="413"/>
      <c r="B330" s="414"/>
      <c r="C330" s="412" t="s">
        <v>2470</v>
      </c>
      <c r="D330" s="415" t="s">
        <v>2471</v>
      </c>
      <c r="E330" s="410"/>
      <c r="F330" s="411">
        <v>525.0</v>
      </c>
      <c r="G330" s="363">
        <v>45866.0</v>
      </c>
      <c r="H330" s="285">
        <f t="shared" si="13"/>
        <v>787.5</v>
      </c>
      <c r="I330" s="286">
        <f t="shared" si="14"/>
        <v>682.5</v>
      </c>
      <c r="J330" s="287">
        <f t="shared" si="15"/>
        <v>682.5</v>
      </c>
      <c r="K330" s="288">
        <f t="shared" si="16"/>
        <v>630</v>
      </c>
      <c r="L330" s="287">
        <f t="shared" si="17"/>
        <v>603.75</v>
      </c>
      <c r="M330" s="288">
        <f t="shared" si="18"/>
        <v>577.5</v>
      </c>
      <c r="N330" s="281"/>
      <c r="O330" s="34"/>
      <c r="P330" s="35"/>
      <c r="Q330" s="35"/>
      <c r="R330" s="35"/>
      <c r="S330" s="35"/>
      <c r="T330" s="35"/>
      <c r="U330" s="35"/>
      <c r="V330" s="35"/>
      <c r="W330" s="35"/>
      <c r="X330" s="35"/>
      <c r="Y330" s="35"/>
      <c r="Z330" s="35"/>
    </row>
    <row r="331" ht="14.25" customHeight="1">
      <c r="A331" s="413"/>
      <c r="B331" s="414"/>
      <c r="C331" s="412" t="s">
        <v>2472</v>
      </c>
      <c r="D331" s="368"/>
      <c r="E331" s="410"/>
      <c r="F331" s="368"/>
      <c r="G331" s="363">
        <v>45866.0</v>
      </c>
      <c r="H331" s="285">
        <f t="shared" si="13"/>
        <v>0</v>
      </c>
      <c r="I331" s="286">
        <f t="shared" si="14"/>
        <v>0</v>
      </c>
      <c r="J331" s="287">
        <f t="shared" si="15"/>
        <v>0</v>
      </c>
      <c r="K331" s="288">
        <f t="shared" si="16"/>
        <v>0</v>
      </c>
      <c r="L331" s="287">
        <f t="shared" si="17"/>
        <v>0</v>
      </c>
      <c r="M331" s="288">
        <f t="shared" si="18"/>
        <v>0</v>
      </c>
      <c r="N331" s="281"/>
      <c r="O331" s="34"/>
      <c r="P331" s="35"/>
      <c r="Q331" s="35"/>
      <c r="R331" s="35"/>
      <c r="S331" s="35"/>
      <c r="T331" s="35"/>
      <c r="U331" s="35"/>
      <c r="V331" s="35"/>
      <c r="W331" s="35"/>
      <c r="X331" s="35"/>
      <c r="Y331" s="35"/>
      <c r="Z331" s="35"/>
    </row>
    <row r="332" ht="14.25" customHeight="1">
      <c r="A332" s="413"/>
      <c r="B332" s="414"/>
      <c r="C332" s="416" t="s">
        <v>2473</v>
      </c>
      <c r="D332" s="406" t="s">
        <v>2474</v>
      </c>
      <c r="E332" s="403"/>
      <c r="F332" s="382">
        <v>1885.0</v>
      </c>
      <c r="G332" s="363">
        <v>45866.0</v>
      </c>
      <c r="H332" s="285">
        <f t="shared" si="13"/>
        <v>2827.5</v>
      </c>
      <c r="I332" s="286">
        <f t="shared" si="14"/>
        <v>2450.5</v>
      </c>
      <c r="J332" s="287">
        <f t="shared" si="15"/>
        <v>2450.5</v>
      </c>
      <c r="K332" s="288">
        <f t="shared" si="16"/>
        <v>2262</v>
      </c>
      <c r="L332" s="287">
        <f t="shared" si="17"/>
        <v>2167.75</v>
      </c>
      <c r="M332" s="288">
        <f t="shared" si="18"/>
        <v>2073.5</v>
      </c>
      <c r="N332" s="281"/>
      <c r="O332" s="34"/>
      <c r="P332" s="35"/>
      <c r="Q332" s="35"/>
      <c r="R332" s="35"/>
      <c r="S332" s="35"/>
      <c r="T332" s="35"/>
      <c r="U332" s="35"/>
      <c r="V332" s="35"/>
      <c r="W332" s="35"/>
      <c r="X332" s="35"/>
      <c r="Y332" s="35"/>
      <c r="Z332" s="35"/>
    </row>
    <row r="333" ht="14.25" customHeight="1">
      <c r="A333" s="413"/>
      <c r="B333" s="414"/>
      <c r="C333" s="406" t="s">
        <v>2475</v>
      </c>
      <c r="D333" s="406" t="s">
        <v>2476</v>
      </c>
      <c r="E333" s="403"/>
      <c r="F333" s="382">
        <v>1820.0</v>
      </c>
      <c r="G333" s="363">
        <v>45866.0</v>
      </c>
      <c r="H333" s="285">
        <f t="shared" si="13"/>
        <v>2730</v>
      </c>
      <c r="I333" s="286">
        <f t="shared" si="14"/>
        <v>2366</v>
      </c>
      <c r="J333" s="287">
        <f t="shared" si="15"/>
        <v>2366</v>
      </c>
      <c r="K333" s="288">
        <f t="shared" si="16"/>
        <v>2184</v>
      </c>
      <c r="L333" s="287">
        <f t="shared" si="17"/>
        <v>2093</v>
      </c>
      <c r="M333" s="288">
        <f t="shared" si="18"/>
        <v>2002</v>
      </c>
      <c r="N333" s="281"/>
      <c r="O333" s="34"/>
      <c r="P333" s="35"/>
      <c r="Q333" s="35"/>
      <c r="R333" s="35"/>
      <c r="S333" s="35"/>
      <c r="T333" s="35"/>
      <c r="U333" s="35"/>
      <c r="V333" s="35"/>
      <c r="W333" s="35"/>
      <c r="X333" s="35"/>
      <c r="Y333" s="35"/>
      <c r="Z333" s="35"/>
    </row>
    <row r="334" ht="14.25" customHeight="1">
      <c r="A334" s="413"/>
      <c r="B334" s="414"/>
      <c r="C334" s="406" t="s">
        <v>2477</v>
      </c>
      <c r="D334" s="406" t="s">
        <v>2478</v>
      </c>
      <c r="E334" s="403"/>
      <c r="F334" s="382">
        <v>1820.0</v>
      </c>
      <c r="G334" s="363">
        <v>45866.0</v>
      </c>
      <c r="H334" s="285">
        <f t="shared" si="13"/>
        <v>2730</v>
      </c>
      <c r="I334" s="286">
        <f t="shared" si="14"/>
        <v>2366</v>
      </c>
      <c r="J334" s="287">
        <f t="shared" si="15"/>
        <v>2366</v>
      </c>
      <c r="K334" s="288">
        <f t="shared" si="16"/>
        <v>2184</v>
      </c>
      <c r="L334" s="287">
        <f t="shared" si="17"/>
        <v>2093</v>
      </c>
      <c r="M334" s="288">
        <f t="shared" si="18"/>
        <v>2002</v>
      </c>
      <c r="N334" s="281"/>
      <c r="O334" s="34"/>
      <c r="P334" s="35"/>
      <c r="Q334" s="35"/>
      <c r="R334" s="35"/>
      <c r="S334" s="35"/>
      <c r="T334" s="35"/>
      <c r="U334" s="35"/>
      <c r="V334" s="35"/>
      <c r="W334" s="35"/>
      <c r="X334" s="35"/>
      <c r="Y334" s="35"/>
      <c r="Z334" s="35"/>
    </row>
    <row r="335" ht="14.25" customHeight="1">
      <c r="A335" s="413"/>
      <c r="B335" s="414"/>
      <c r="C335" s="377" t="s">
        <v>2479</v>
      </c>
      <c r="D335" s="407" t="s">
        <v>2480</v>
      </c>
      <c r="E335" s="403"/>
      <c r="F335" s="387">
        <v>1830.0</v>
      </c>
      <c r="G335" s="363">
        <v>45866.0</v>
      </c>
      <c r="H335" s="285">
        <f t="shared" si="13"/>
        <v>2745</v>
      </c>
      <c r="I335" s="286">
        <f t="shared" si="14"/>
        <v>2379</v>
      </c>
      <c r="J335" s="287">
        <f t="shared" si="15"/>
        <v>2379</v>
      </c>
      <c r="K335" s="288">
        <f t="shared" si="16"/>
        <v>2196</v>
      </c>
      <c r="L335" s="287">
        <f t="shared" si="17"/>
        <v>2104.5</v>
      </c>
      <c r="M335" s="288">
        <f t="shared" si="18"/>
        <v>2013</v>
      </c>
      <c r="N335" s="281"/>
      <c r="O335" s="34"/>
      <c r="P335" s="35"/>
      <c r="Q335" s="35"/>
      <c r="R335" s="35"/>
      <c r="S335" s="35"/>
      <c r="T335" s="35"/>
      <c r="U335" s="35"/>
      <c r="V335" s="35"/>
      <c r="W335" s="35"/>
      <c r="X335" s="35"/>
      <c r="Y335" s="35"/>
      <c r="Z335" s="35"/>
    </row>
    <row r="336" ht="14.25" customHeight="1">
      <c r="A336" s="413"/>
      <c r="B336" s="414"/>
      <c r="C336" s="377" t="s">
        <v>2481</v>
      </c>
      <c r="D336" s="407" t="s">
        <v>2482</v>
      </c>
      <c r="E336" s="403"/>
      <c r="F336" s="387">
        <v>1730.0</v>
      </c>
      <c r="G336" s="363">
        <v>45866.0</v>
      </c>
      <c r="H336" s="285">
        <f t="shared" si="13"/>
        <v>2595</v>
      </c>
      <c r="I336" s="286">
        <f t="shared" si="14"/>
        <v>2249</v>
      </c>
      <c r="J336" s="287">
        <f t="shared" si="15"/>
        <v>2249</v>
      </c>
      <c r="K336" s="288">
        <f t="shared" si="16"/>
        <v>2076</v>
      </c>
      <c r="L336" s="287">
        <f t="shared" si="17"/>
        <v>1989.5</v>
      </c>
      <c r="M336" s="288">
        <f t="shared" si="18"/>
        <v>1903</v>
      </c>
      <c r="N336" s="281"/>
      <c r="O336" s="34"/>
      <c r="P336" s="35"/>
      <c r="Q336" s="35"/>
      <c r="R336" s="35"/>
      <c r="S336" s="35"/>
      <c r="T336" s="35"/>
      <c r="U336" s="35"/>
      <c r="V336" s="35"/>
      <c r="W336" s="35"/>
      <c r="X336" s="35"/>
      <c r="Y336" s="35"/>
      <c r="Z336" s="35"/>
    </row>
    <row r="337" ht="14.25" customHeight="1">
      <c r="A337" s="413"/>
      <c r="B337" s="414"/>
      <c r="C337" s="377" t="s">
        <v>2483</v>
      </c>
      <c r="D337" s="396"/>
      <c r="E337" s="403"/>
      <c r="F337" s="396"/>
      <c r="G337" s="363">
        <v>45866.0</v>
      </c>
      <c r="H337" s="285">
        <f t="shared" si="13"/>
        <v>0</v>
      </c>
      <c r="I337" s="286">
        <f t="shared" si="14"/>
        <v>0</v>
      </c>
      <c r="J337" s="287">
        <f t="shared" si="15"/>
        <v>0</v>
      </c>
      <c r="K337" s="288">
        <f t="shared" si="16"/>
        <v>0</v>
      </c>
      <c r="L337" s="287">
        <f t="shared" si="17"/>
        <v>0</v>
      </c>
      <c r="M337" s="288">
        <f t="shared" si="18"/>
        <v>0</v>
      </c>
      <c r="N337" s="281"/>
      <c r="O337" s="34"/>
      <c r="P337" s="35"/>
      <c r="Q337" s="35"/>
      <c r="R337" s="35"/>
      <c r="S337" s="35"/>
      <c r="T337" s="35"/>
      <c r="U337" s="35"/>
      <c r="V337" s="35"/>
      <c r="W337" s="35"/>
      <c r="X337" s="35"/>
      <c r="Y337" s="35"/>
      <c r="Z337" s="35"/>
    </row>
    <row r="338" ht="14.25" customHeight="1">
      <c r="A338" s="413"/>
      <c r="B338" s="414"/>
      <c r="C338" s="374" t="s">
        <v>2484</v>
      </c>
      <c r="D338" s="396"/>
      <c r="E338" s="403"/>
      <c r="F338" s="396"/>
      <c r="G338" s="363">
        <v>45866.0</v>
      </c>
      <c r="H338" s="285">
        <f t="shared" si="13"/>
        <v>0</v>
      </c>
      <c r="I338" s="286">
        <f t="shared" si="14"/>
        <v>0</v>
      </c>
      <c r="J338" s="287">
        <f t="shared" si="15"/>
        <v>0</v>
      </c>
      <c r="K338" s="288">
        <f t="shared" si="16"/>
        <v>0</v>
      </c>
      <c r="L338" s="287">
        <f t="shared" si="17"/>
        <v>0</v>
      </c>
      <c r="M338" s="288">
        <f t="shared" si="18"/>
        <v>0</v>
      </c>
      <c r="N338" s="281"/>
      <c r="O338" s="34"/>
      <c r="P338" s="35"/>
      <c r="Q338" s="35"/>
      <c r="R338" s="35"/>
      <c r="S338" s="35"/>
      <c r="T338" s="35"/>
      <c r="U338" s="35"/>
      <c r="V338" s="35"/>
      <c r="W338" s="35"/>
      <c r="X338" s="35"/>
      <c r="Y338" s="35"/>
      <c r="Z338" s="35"/>
    </row>
    <row r="339" ht="14.25" customHeight="1">
      <c r="A339" s="413"/>
      <c r="B339" s="414"/>
      <c r="C339" s="374" t="s">
        <v>2485</v>
      </c>
      <c r="D339" s="368"/>
      <c r="E339" s="403"/>
      <c r="F339" s="368"/>
      <c r="G339" s="363">
        <v>45866.0</v>
      </c>
      <c r="H339" s="285">
        <f t="shared" si="13"/>
        <v>0</v>
      </c>
      <c r="I339" s="286">
        <f t="shared" si="14"/>
        <v>0</v>
      </c>
      <c r="J339" s="287">
        <f t="shared" si="15"/>
        <v>0</v>
      </c>
      <c r="K339" s="288">
        <f t="shared" si="16"/>
        <v>0</v>
      </c>
      <c r="L339" s="287">
        <f t="shared" si="17"/>
        <v>0</v>
      </c>
      <c r="M339" s="288">
        <f t="shared" si="18"/>
        <v>0</v>
      </c>
      <c r="N339" s="281"/>
      <c r="O339" s="34"/>
      <c r="P339" s="35"/>
      <c r="Q339" s="35"/>
      <c r="R339" s="35"/>
      <c r="S339" s="35"/>
      <c r="T339" s="35"/>
      <c r="U339" s="35"/>
      <c r="V339" s="35"/>
      <c r="W339" s="35"/>
      <c r="X339" s="35"/>
      <c r="Y339" s="35"/>
      <c r="Z339" s="35"/>
    </row>
    <row r="340" ht="14.25" customHeight="1">
      <c r="A340" s="413"/>
      <c r="B340" s="414"/>
      <c r="C340" s="377" t="s">
        <v>2486</v>
      </c>
      <c r="D340" s="407" t="s">
        <v>2487</v>
      </c>
      <c r="E340" s="403"/>
      <c r="F340" s="387">
        <v>1280.0</v>
      </c>
      <c r="G340" s="363">
        <v>45866.0</v>
      </c>
      <c r="H340" s="285">
        <f t="shared" si="13"/>
        <v>1920</v>
      </c>
      <c r="I340" s="286">
        <f t="shared" si="14"/>
        <v>1664</v>
      </c>
      <c r="J340" s="287">
        <f t="shared" si="15"/>
        <v>1664</v>
      </c>
      <c r="K340" s="288">
        <f t="shared" si="16"/>
        <v>1536</v>
      </c>
      <c r="L340" s="287">
        <f t="shared" si="17"/>
        <v>1472</v>
      </c>
      <c r="M340" s="288">
        <f t="shared" si="18"/>
        <v>1408</v>
      </c>
      <c r="N340" s="281"/>
      <c r="O340" s="34"/>
      <c r="P340" s="35"/>
      <c r="Q340" s="35"/>
      <c r="R340" s="35"/>
      <c r="S340" s="35"/>
      <c r="T340" s="35"/>
      <c r="U340" s="35"/>
      <c r="V340" s="35"/>
      <c r="W340" s="35"/>
      <c r="X340" s="35"/>
      <c r="Y340" s="35"/>
      <c r="Z340" s="35"/>
    </row>
    <row r="341" ht="14.25" customHeight="1">
      <c r="A341" s="413"/>
      <c r="B341" s="414"/>
      <c r="C341" s="377" t="s">
        <v>2488</v>
      </c>
      <c r="D341" s="368"/>
      <c r="E341" s="403"/>
      <c r="F341" s="368"/>
      <c r="G341" s="363">
        <v>45866.0</v>
      </c>
      <c r="H341" s="285">
        <f t="shared" si="13"/>
        <v>0</v>
      </c>
      <c r="I341" s="286">
        <f t="shared" si="14"/>
        <v>0</v>
      </c>
      <c r="J341" s="287">
        <f t="shared" si="15"/>
        <v>0</v>
      </c>
      <c r="K341" s="288">
        <f t="shared" si="16"/>
        <v>0</v>
      </c>
      <c r="L341" s="287">
        <f t="shared" si="17"/>
        <v>0</v>
      </c>
      <c r="M341" s="288">
        <f t="shared" si="18"/>
        <v>0</v>
      </c>
      <c r="N341" s="281"/>
      <c r="O341" s="34"/>
      <c r="P341" s="35"/>
      <c r="Q341" s="35"/>
      <c r="R341" s="35"/>
      <c r="S341" s="35"/>
      <c r="T341" s="35"/>
      <c r="U341" s="35"/>
      <c r="V341" s="35"/>
      <c r="W341" s="35"/>
      <c r="X341" s="35"/>
      <c r="Y341" s="35"/>
      <c r="Z341" s="35"/>
    </row>
    <row r="342" ht="14.25" customHeight="1">
      <c r="A342" s="413"/>
      <c r="B342" s="414"/>
      <c r="C342" s="377" t="s">
        <v>2489</v>
      </c>
      <c r="D342" s="407" t="s">
        <v>2490</v>
      </c>
      <c r="E342" s="403"/>
      <c r="F342" s="387">
        <v>1180.0</v>
      </c>
      <c r="G342" s="363">
        <v>45866.0</v>
      </c>
      <c r="H342" s="285">
        <f t="shared" si="13"/>
        <v>1770</v>
      </c>
      <c r="I342" s="286">
        <f t="shared" si="14"/>
        <v>1534</v>
      </c>
      <c r="J342" s="287">
        <f t="shared" si="15"/>
        <v>1534</v>
      </c>
      <c r="K342" s="288">
        <f t="shared" si="16"/>
        <v>1416</v>
      </c>
      <c r="L342" s="287">
        <f t="shared" si="17"/>
        <v>1357</v>
      </c>
      <c r="M342" s="288">
        <f t="shared" si="18"/>
        <v>1298</v>
      </c>
      <c r="N342" s="281"/>
      <c r="O342" s="34"/>
      <c r="P342" s="35"/>
      <c r="Q342" s="35"/>
      <c r="R342" s="35"/>
      <c r="S342" s="35"/>
      <c r="T342" s="35"/>
      <c r="U342" s="35"/>
      <c r="V342" s="35"/>
      <c r="W342" s="35"/>
      <c r="X342" s="35"/>
      <c r="Y342" s="35"/>
      <c r="Z342" s="35"/>
    </row>
    <row r="343" ht="14.25" customHeight="1">
      <c r="A343" s="413"/>
      <c r="B343" s="414"/>
      <c r="C343" s="377" t="s">
        <v>2491</v>
      </c>
      <c r="D343" s="368"/>
      <c r="E343" s="403"/>
      <c r="F343" s="368"/>
      <c r="G343" s="363">
        <v>45866.0</v>
      </c>
      <c r="H343" s="285">
        <f t="shared" si="13"/>
        <v>0</v>
      </c>
      <c r="I343" s="286">
        <f t="shared" si="14"/>
        <v>0</v>
      </c>
      <c r="J343" s="287">
        <f t="shared" si="15"/>
        <v>0</v>
      </c>
      <c r="K343" s="288">
        <f t="shared" si="16"/>
        <v>0</v>
      </c>
      <c r="L343" s="287">
        <f t="shared" si="17"/>
        <v>0</v>
      </c>
      <c r="M343" s="288">
        <f t="shared" si="18"/>
        <v>0</v>
      </c>
      <c r="N343" s="281"/>
      <c r="O343" s="34"/>
      <c r="P343" s="35"/>
      <c r="Q343" s="35"/>
      <c r="R343" s="35"/>
      <c r="S343" s="35"/>
      <c r="T343" s="35"/>
      <c r="U343" s="35"/>
      <c r="V343" s="35"/>
      <c r="W343" s="35"/>
      <c r="X343" s="35"/>
      <c r="Y343" s="35"/>
      <c r="Z343" s="35"/>
    </row>
    <row r="344" ht="14.25" customHeight="1">
      <c r="A344" s="413"/>
      <c r="B344" s="414"/>
      <c r="C344" s="377" t="s">
        <v>2492</v>
      </c>
      <c r="D344" s="407" t="s">
        <v>2493</v>
      </c>
      <c r="E344" s="403"/>
      <c r="F344" s="387">
        <v>1060.0</v>
      </c>
      <c r="G344" s="363">
        <v>45866.0</v>
      </c>
      <c r="H344" s="285">
        <f t="shared" si="13"/>
        <v>1590</v>
      </c>
      <c r="I344" s="286">
        <f t="shared" si="14"/>
        <v>1378</v>
      </c>
      <c r="J344" s="287">
        <f t="shared" si="15"/>
        <v>1378</v>
      </c>
      <c r="K344" s="288">
        <f t="shared" si="16"/>
        <v>1272</v>
      </c>
      <c r="L344" s="287">
        <f t="shared" si="17"/>
        <v>1219</v>
      </c>
      <c r="M344" s="288">
        <f t="shared" si="18"/>
        <v>1166</v>
      </c>
      <c r="N344" s="281"/>
      <c r="O344" s="34"/>
      <c r="P344" s="35"/>
      <c r="Q344" s="35"/>
      <c r="R344" s="35"/>
      <c r="S344" s="35"/>
      <c r="T344" s="35"/>
      <c r="U344" s="35"/>
      <c r="V344" s="35"/>
      <c r="W344" s="35"/>
      <c r="X344" s="35"/>
      <c r="Y344" s="35"/>
      <c r="Z344" s="35"/>
    </row>
    <row r="345" ht="14.25" customHeight="1">
      <c r="A345" s="413"/>
      <c r="B345" s="414"/>
      <c r="C345" s="377" t="s">
        <v>2494</v>
      </c>
      <c r="D345" s="368"/>
      <c r="E345" s="403"/>
      <c r="F345" s="368"/>
      <c r="G345" s="363">
        <v>45866.0</v>
      </c>
      <c r="H345" s="285">
        <f t="shared" si="13"/>
        <v>0</v>
      </c>
      <c r="I345" s="286">
        <f t="shared" si="14"/>
        <v>0</v>
      </c>
      <c r="J345" s="287">
        <f t="shared" si="15"/>
        <v>0</v>
      </c>
      <c r="K345" s="288">
        <f t="shared" si="16"/>
        <v>0</v>
      </c>
      <c r="L345" s="287">
        <f t="shared" si="17"/>
        <v>0</v>
      </c>
      <c r="M345" s="288">
        <f t="shared" si="18"/>
        <v>0</v>
      </c>
      <c r="N345" s="281"/>
      <c r="O345" s="34"/>
      <c r="P345" s="35"/>
      <c r="Q345" s="35"/>
      <c r="R345" s="35"/>
      <c r="S345" s="35"/>
      <c r="T345" s="35"/>
      <c r="U345" s="35"/>
      <c r="V345" s="35"/>
      <c r="W345" s="35"/>
      <c r="X345" s="35"/>
      <c r="Y345" s="35"/>
      <c r="Z345" s="35"/>
    </row>
    <row r="346" ht="14.25" customHeight="1">
      <c r="A346" s="413"/>
      <c r="B346" s="414"/>
      <c r="C346" s="374" t="s">
        <v>2495</v>
      </c>
      <c r="D346" s="401" t="s">
        <v>2496</v>
      </c>
      <c r="E346" s="403"/>
      <c r="F346" s="417">
        <v>960.0</v>
      </c>
      <c r="G346" s="363">
        <v>45866.0</v>
      </c>
      <c r="H346" s="285">
        <f t="shared" si="13"/>
        <v>1440</v>
      </c>
      <c r="I346" s="286">
        <f t="shared" si="14"/>
        <v>1248</v>
      </c>
      <c r="J346" s="287">
        <f t="shared" si="15"/>
        <v>1248</v>
      </c>
      <c r="K346" s="288">
        <f t="shared" si="16"/>
        <v>1152</v>
      </c>
      <c r="L346" s="287">
        <f t="shared" si="17"/>
        <v>1104</v>
      </c>
      <c r="M346" s="288">
        <f t="shared" si="18"/>
        <v>1056</v>
      </c>
      <c r="N346" s="281"/>
      <c r="O346" s="34"/>
      <c r="P346" s="35"/>
      <c r="Q346" s="35"/>
      <c r="R346" s="35"/>
      <c r="S346" s="35"/>
      <c r="T346" s="35"/>
      <c r="U346" s="35"/>
      <c r="V346" s="35"/>
      <c r="W346" s="35"/>
      <c r="X346" s="35"/>
      <c r="Y346" s="35"/>
      <c r="Z346" s="35"/>
    </row>
    <row r="347" ht="14.25" customHeight="1">
      <c r="A347" s="418"/>
      <c r="B347" s="419"/>
      <c r="C347" s="374" t="s">
        <v>2497</v>
      </c>
      <c r="D347" s="368"/>
      <c r="E347" s="403"/>
      <c r="F347" s="368"/>
      <c r="G347" s="363">
        <v>45866.0</v>
      </c>
      <c r="H347" s="285">
        <f t="shared" si="13"/>
        <v>0</v>
      </c>
      <c r="I347" s="286">
        <f t="shared" si="14"/>
        <v>0</v>
      </c>
      <c r="J347" s="287">
        <f t="shared" si="15"/>
        <v>0</v>
      </c>
      <c r="K347" s="288">
        <f t="shared" si="16"/>
        <v>0</v>
      </c>
      <c r="L347" s="287">
        <f t="shared" si="17"/>
        <v>0</v>
      </c>
      <c r="M347" s="288">
        <f t="shared" si="18"/>
        <v>0</v>
      </c>
      <c r="N347" s="281"/>
      <c r="O347" s="34"/>
      <c r="P347" s="35"/>
      <c r="Q347" s="35"/>
      <c r="R347" s="35"/>
      <c r="S347" s="35"/>
      <c r="T347" s="35"/>
      <c r="U347" s="35"/>
      <c r="V347" s="35"/>
      <c r="W347" s="35"/>
      <c r="X347" s="35"/>
      <c r="Y347" s="35"/>
      <c r="Z347" s="35"/>
    </row>
    <row r="348" ht="14.25" customHeight="1">
      <c r="A348" s="413"/>
      <c r="B348" s="414"/>
      <c r="C348" s="377" t="s">
        <v>2498</v>
      </c>
      <c r="D348" s="401" t="s">
        <v>2499</v>
      </c>
      <c r="E348" s="403"/>
      <c r="F348" s="417">
        <v>1450.0</v>
      </c>
      <c r="G348" s="363">
        <v>45866.0</v>
      </c>
      <c r="H348" s="285">
        <f t="shared" si="13"/>
        <v>2175</v>
      </c>
      <c r="I348" s="286">
        <f t="shared" si="14"/>
        <v>1885</v>
      </c>
      <c r="J348" s="287">
        <f t="shared" si="15"/>
        <v>1885</v>
      </c>
      <c r="K348" s="288">
        <f t="shared" si="16"/>
        <v>1740</v>
      </c>
      <c r="L348" s="287">
        <f t="shared" si="17"/>
        <v>1667.5</v>
      </c>
      <c r="M348" s="288">
        <f t="shared" si="18"/>
        <v>1595</v>
      </c>
      <c r="N348" s="281"/>
      <c r="O348" s="34"/>
      <c r="P348" s="35"/>
      <c r="Q348" s="35"/>
      <c r="R348" s="35"/>
      <c r="S348" s="35"/>
      <c r="T348" s="35"/>
      <c r="U348" s="35"/>
      <c r="V348" s="35"/>
      <c r="W348" s="35"/>
      <c r="X348" s="35"/>
      <c r="Y348" s="35"/>
      <c r="Z348" s="35"/>
    </row>
    <row r="349" ht="14.25" customHeight="1">
      <c r="A349" s="413"/>
      <c r="B349" s="414"/>
      <c r="C349" s="377" t="s">
        <v>2500</v>
      </c>
      <c r="D349" s="368"/>
      <c r="E349" s="403"/>
      <c r="F349" s="368"/>
      <c r="G349" s="363">
        <v>45866.0</v>
      </c>
      <c r="H349" s="285">
        <f t="shared" si="13"/>
        <v>0</v>
      </c>
      <c r="I349" s="286">
        <f t="shared" si="14"/>
        <v>0</v>
      </c>
      <c r="J349" s="287">
        <f t="shared" si="15"/>
        <v>0</v>
      </c>
      <c r="K349" s="288">
        <f t="shared" si="16"/>
        <v>0</v>
      </c>
      <c r="L349" s="287">
        <f t="shared" si="17"/>
        <v>0</v>
      </c>
      <c r="M349" s="288">
        <f t="shared" si="18"/>
        <v>0</v>
      </c>
      <c r="N349" s="281"/>
      <c r="O349" s="34"/>
      <c r="P349" s="35"/>
      <c r="Q349" s="35"/>
      <c r="R349" s="35"/>
      <c r="S349" s="35"/>
      <c r="T349" s="35"/>
      <c r="U349" s="35"/>
      <c r="V349" s="35"/>
      <c r="W349" s="35"/>
      <c r="X349" s="35"/>
      <c r="Y349" s="35"/>
      <c r="Z349" s="35"/>
    </row>
    <row r="350" ht="14.25" customHeight="1">
      <c r="A350" s="413"/>
      <c r="B350" s="414"/>
      <c r="C350" s="377" t="s">
        <v>2501</v>
      </c>
      <c r="D350" s="401" t="s">
        <v>2502</v>
      </c>
      <c r="E350" s="403"/>
      <c r="F350" s="417">
        <v>1350.0</v>
      </c>
      <c r="G350" s="363">
        <v>45866.0</v>
      </c>
      <c r="H350" s="285">
        <f t="shared" si="13"/>
        <v>2025</v>
      </c>
      <c r="I350" s="286">
        <f t="shared" si="14"/>
        <v>1755</v>
      </c>
      <c r="J350" s="287">
        <f t="shared" si="15"/>
        <v>1755</v>
      </c>
      <c r="K350" s="288">
        <f t="shared" si="16"/>
        <v>1620</v>
      </c>
      <c r="L350" s="287">
        <f t="shared" si="17"/>
        <v>1552.5</v>
      </c>
      <c r="M350" s="288">
        <f t="shared" si="18"/>
        <v>1485</v>
      </c>
      <c r="N350" s="281"/>
      <c r="O350" s="34"/>
      <c r="P350" s="35"/>
      <c r="Q350" s="35"/>
      <c r="R350" s="35"/>
      <c r="S350" s="35"/>
      <c r="T350" s="35"/>
      <c r="U350" s="35"/>
      <c r="V350" s="35"/>
      <c r="W350" s="35"/>
      <c r="X350" s="35"/>
      <c r="Y350" s="35"/>
      <c r="Z350" s="35"/>
    </row>
    <row r="351" ht="14.25" customHeight="1">
      <c r="A351" s="413"/>
      <c r="B351" s="414"/>
      <c r="C351" s="377" t="s">
        <v>2503</v>
      </c>
      <c r="D351" s="368"/>
      <c r="E351" s="403"/>
      <c r="F351" s="368"/>
      <c r="G351" s="363">
        <v>45866.0</v>
      </c>
      <c r="H351" s="285">
        <f t="shared" si="13"/>
        <v>0</v>
      </c>
      <c r="I351" s="286">
        <f t="shared" si="14"/>
        <v>0</v>
      </c>
      <c r="J351" s="287">
        <f t="shared" si="15"/>
        <v>0</v>
      </c>
      <c r="K351" s="288">
        <f t="shared" si="16"/>
        <v>0</v>
      </c>
      <c r="L351" s="287">
        <f t="shared" si="17"/>
        <v>0</v>
      </c>
      <c r="M351" s="288">
        <f t="shared" si="18"/>
        <v>0</v>
      </c>
      <c r="N351" s="281"/>
      <c r="O351" s="34"/>
      <c r="P351" s="35"/>
      <c r="Q351" s="35"/>
      <c r="R351" s="35"/>
      <c r="S351" s="35"/>
      <c r="T351" s="35"/>
      <c r="U351" s="35"/>
      <c r="V351" s="35"/>
      <c r="W351" s="35"/>
      <c r="X351" s="35"/>
      <c r="Y351" s="35"/>
      <c r="Z351" s="35"/>
    </row>
    <row r="352" ht="14.25" customHeight="1">
      <c r="A352" s="413"/>
      <c r="B352" s="414"/>
      <c r="C352" s="374" t="s">
        <v>2504</v>
      </c>
      <c r="D352" s="401" t="s">
        <v>2505</v>
      </c>
      <c r="E352" s="403"/>
      <c r="F352" s="417">
        <v>1000.0</v>
      </c>
      <c r="G352" s="363">
        <v>45866.0</v>
      </c>
      <c r="H352" s="285">
        <f t="shared" si="13"/>
        <v>1500</v>
      </c>
      <c r="I352" s="286">
        <f t="shared" si="14"/>
        <v>1300</v>
      </c>
      <c r="J352" s="287">
        <f t="shared" si="15"/>
        <v>1300</v>
      </c>
      <c r="K352" s="288">
        <f t="shared" si="16"/>
        <v>1200</v>
      </c>
      <c r="L352" s="287">
        <f t="shared" si="17"/>
        <v>1150</v>
      </c>
      <c r="M352" s="288">
        <f t="shared" si="18"/>
        <v>1100</v>
      </c>
      <c r="N352" s="281"/>
      <c r="O352" s="34"/>
      <c r="P352" s="35"/>
      <c r="Q352" s="35"/>
      <c r="R352" s="35"/>
      <c r="S352" s="35"/>
      <c r="T352" s="35"/>
      <c r="U352" s="35"/>
      <c r="V352" s="35"/>
      <c r="W352" s="35"/>
      <c r="X352" s="35"/>
      <c r="Y352" s="35"/>
      <c r="Z352" s="35"/>
    </row>
    <row r="353" ht="14.25" customHeight="1">
      <c r="A353" s="413"/>
      <c r="B353" s="414"/>
      <c r="C353" s="374" t="s">
        <v>2506</v>
      </c>
      <c r="D353" s="368"/>
      <c r="E353" s="403"/>
      <c r="F353" s="368"/>
      <c r="G353" s="363">
        <v>45866.0</v>
      </c>
      <c r="H353" s="285">
        <f t="shared" si="13"/>
        <v>0</v>
      </c>
      <c r="I353" s="286">
        <f t="shared" si="14"/>
        <v>0</v>
      </c>
      <c r="J353" s="287">
        <f t="shared" si="15"/>
        <v>0</v>
      </c>
      <c r="K353" s="288">
        <f t="shared" si="16"/>
        <v>0</v>
      </c>
      <c r="L353" s="287">
        <f t="shared" si="17"/>
        <v>0</v>
      </c>
      <c r="M353" s="288">
        <f t="shared" si="18"/>
        <v>0</v>
      </c>
      <c r="N353" s="281"/>
      <c r="O353" s="34"/>
      <c r="P353" s="35"/>
      <c r="Q353" s="35"/>
      <c r="R353" s="35"/>
      <c r="S353" s="35"/>
      <c r="T353" s="35"/>
      <c r="U353" s="35"/>
      <c r="V353" s="35"/>
      <c r="W353" s="35"/>
      <c r="X353" s="35"/>
      <c r="Y353" s="35"/>
      <c r="Z353" s="35"/>
    </row>
    <row r="354" ht="14.25" customHeight="1">
      <c r="A354" s="418"/>
      <c r="B354" s="419"/>
      <c r="C354" s="374" t="s">
        <v>2507</v>
      </c>
      <c r="D354" s="401" t="s">
        <v>2508</v>
      </c>
      <c r="E354" s="403"/>
      <c r="F354" s="417">
        <v>900.0</v>
      </c>
      <c r="G354" s="363">
        <v>45866.0</v>
      </c>
      <c r="H354" s="285">
        <f t="shared" si="13"/>
        <v>1350</v>
      </c>
      <c r="I354" s="286">
        <f t="shared" si="14"/>
        <v>1170</v>
      </c>
      <c r="J354" s="287">
        <f t="shared" si="15"/>
        <v>1170</v>
      </c>
      <c r="K354" s="288">
        <f t="shared" si="16"/>
        <v>1080</v>
      </c>
      <c r="L354" s="287">
        <f t="shared" si="17"/>
        <v>1035</v>
      </c>
      <c r="M354" s="288">
        <f t="shared" si="18"/>
        <v>990</v>
      </c>
      <c r="N354" s="281"/>
      <c r="O354" s="34"/>
      <c r="P354" s="35"/>
      <c r="Q354" s="35"/>
      <c r="R354" s="35"/>
      <c r="S354" s="35"/>
      <c r="T354" s="35"/>
      <c r="U354" s="35"/>
      <c r="V354" s="35"/>
      <c r="W354" s="35"/>
      <c r="X354" s="35"/>
      <c r="Y354" s="35"/>
      <c r="Z354" s="35"/>
    </row>
    <row r="355" ht="14.25" customHeight="1">
      <c r="A355" s="413"/>
      <c r="B355" s="414"/>
      <c r="C355" s="374" t="s">
        <v>2509</v>
      </c>
      <c r="D355" s="368"/>
      <c r="E355" s="403"/>
      <c r="F355" s="368"/>
      <c r="G355" s="363">
        <v>45866.0</v>
      </c>
      <c r="H355" s="285">
        <f t="shared" si="13"/>
        <v>0</v>
      </c>
      <c r="I355" s="286">
        <f t="shared" si="14"/>
        <v>0</v>
      </c>
      <c r="J355" s="287">
        <f t="shared" si="15"/>
        <v>0</v>
      </c>
      <c r="K355" s="288">
        <f t="shared" si="16"/>
        <v>0</v>
      </c>
      <c r="L355" s="287">
        <f t="shared" si="17"/>
        <v>0</v>
      </c>
      <c r="M355" s="288">
        <f t="shared" si="18"/>
        <v>0</v>
      </c>
      <c r="N355" s="281"/>
      <c r="O355" s="34"/>
      <c r="P355" s="35"/>
      <c r="Q355" s="35"/>
      <c r="R355" s="35"/>
      <c r="S355" s="35"/>
      <c r="T355" s="35"/>
      <c r="U355" s="35"/>
      <c r="V355" s="35"/>
      <c r="W355" s="35"/>
      <c r="X355" s="35"/>
      <c r="Y355" s="35"/>
      <c r="Z355" s="35"/>
    </row>
    <row r="356" ht="14.25" customHeight="1">
      <c r="A356" s="413"/>
      <c r="B356" s="414"/>
      <c r="C356" s="374" t="s">
        <v>2510</v>
      </c>
      <c r="D356" s="402" t="s">
        <v>2511</v>
      </c>
      <c r="E356" s="403"/>
      <c r="F356" s="399">
        <v>2470.0</v>
      </c>
      <c r="G356" s="363">
        <v>45866.0</v>
      </c>
      <c r="H356" s="285">
        <f t="shared" si="13"/>
        <v>3705</v>
      </c>
      <c r="I356" s="286">
        <f t="shared" si="14"/>
        <v>3211</v>
      </c>
      <c r="J356" s="287">
        <f t="shared" si="15"/>
        <v>3211</v>
      </c>
      <c r="K356" s="288">
        <f t="shared" si="16"/>
        <v>2964</v>
      </c>
      <c r="L356" s="287">
        <f t="shared" si="17"/>
        <v>2840.5</v>
      </c>
      <c r="M356" s="288">
        <f t="shared" si="18"/>
        <v>2717</v>
      </c>
      <c r="N356" s="281"/>
      <c r="O356" s="34"/>
      <c r="P356" s="35"/>
      <c r="Q356" s="35"/>
      <c r="R356" s="35"/>
      <c r="S356" s="35"/>
      <c r="T356" s="35"/>
      <c r="U356" s="35"/>
      <c r="V356" s="35"/>
      <c r="W356" s="35"/>
      <c r="X356" s="35"/>
      <c r="Y356" s="35"/>
      <c r="Z356" s="35"/>
    </row>
    <row r="357" ht="14.25" customHeight="1">
      <c r="A357" s="413"/>
      <c r="B357" s="414"/>
      <c r="C357" s="378" t="s">
        <v>2512</v>
      </c>
      <c r="D357" s="401" t="s">
        <v>2513</v>
      </c>
      <c r="E357" s="403"/>
      <c r="F357" s="417">
        <v>1625.0</v>
      </c>
      <c r="G357" s="363">
        <v>45866.0</v>
      </c>
      <c r="H357" s="285">
        <f t="shared" si="13"/>
        <v>2437.5</v>
      </c>
      <c r="I357" s="286">
        <f t="shared" si="14"/>
        <v>2112.5</v>
      </c>
      <c r="J357" s="287">
        <f t="shared" si="15"/>
        <v>2112.5</v>
      </c>
      <c r="K357" s="288">
        <f t="shared" si="16"/>
        <v>1950</v>
      </c>
      <c r="L357" s="287">
        <f t="shared" si="17"/>
        <v>1868.75</v>
      </c>
      <c r="M357" s="288">
        <f t="shared" si="18"/>
        <v>1787.5</v>
      </c>
      <c r="N357" s="281"/>
      <c r="O357" s="34"/>
      <c r="P357" s="35"/>
      <c r="Q357" s="35"/>
      <c r="R357" s="35"/>
      <c r="S357" s="35"/>
      <c r="T357" s="35"/>
      <c r="U357" s="35"/>
      <c r="V357" s="35"/>
      <c r="W357" s="35"/>
      <c r="X357" s="35"/>
      <c r="Y357" s="35"/>
      <c r="Z357" s="35"/>
    </row>
    <row r="358" ht="14.25" customHeight="1">
      <c r="A358" s="413"/>
      <c r="B358" s="414"/>
      <c r="C358" s="378" t="s">
        <v>2514</v>
      </c>
      <c r="D358" s="396"/>
      <c r="E358" s="403"/>
      <c r="F358" s="396"/>
      <c r="G358" s="363">
        <v>45866.0</v>
      </c>
      <c r="H358" s="285">
        <f t="shared" si="13"/>
        <v>0</v>
      </c>
      <c r="I358" s="286">
        <f t="shared" si="14"/>
        <v>0</v>
      </c>
      <c r="J358" s="287">
        <f t="shared" si="15"/>
        <v>0</v>
      </c>
      <c r="K358" s="288">
        <f t="shared" si="16"/>
        <v>0</v>
      </c>
      <c r="L358" s="287">
        <f t="shared" si="17"/>
        <v>0</v>
      </c>
      <c r="M358" s="288">
        <f t="shared" si="18"/>
        <v>0</v>
      </c>
      <c r="N358" s="281"/>
      <c r="O358" s="34"/>
      <c r="P358" s="35"/>
      <c r="Q358" s="35"/>
      <c r="R358" s="35"/>
      <c r="S358" s="35"/>
      <c r="T358" s="35"/>
      <c r="U358" s="35"/>
      <c r="V358" s="35"/>
      <c r="W358" s="35"/>
      <c r="X358" s="35"/>
      <c r="Y358" s="35"/>
      <c r="Z358" s="35"/>
    </row>
    <row r="359" ht="14.25" customHeight="1">
      <c r="A359" s="413"/>
      <c r="B359" s="414"/>
      <c r="C359" s="378" t="s">
        <v>2515</v>
      </c>
      <c r="D359" s="368"/>
      <c r="E359" s="403"/>
      <c r="F359" s="368"/>
      <c r="G359" s="363">
        <v>45866.0</v>
      </c>
      <c r="H359" s="285">
        <f t="shared" si="13"/>
        <v>0</v>
      </c>
      <c r="I359" s="286">
        <f t="shared" si="14"/>
        <v>0</v>
      </c>
      <c r="J359" s="287">
        <f t="shared" si="15"/>
        <v>0</v>
      </c>
      <c r="K359" s="288">
        <f t="shared" si="16"/>
        <v>0</v>
      </c>
      <c r="L359" s="287">
        <f t="shared" si="17"/>
        <v>0</v>
      </c>
      <c r="M359" s="288">
        <f t="shared" si="18"/>
        <v>0</v>
      </c>
      <c r="N359" s="281"/>
      <c r="O359" s="34"/>
      <c r="P359" s="35"/>
      <c r="Q359" s="35"/>
      <c r="R359" s="35"/>
      <c r="S359" s="35"/>
      <c r="T359" s="35"/>
      <c r="U359" s="35"/>
      <c r="V359" s="35"/>
      <c r="W359" s="35"/>
      <c r="X359" s="35"/>
      <c r="Y359" s="35"/>
      <c r="Z359" s="35"/>
    </row>
    <row r="360" ht="14.25" customHeight="1">
      <c r="A360" s="413"/>
      <c r="B360" s="414"/>
      <c r="C360" s="378" t="s">
        <v>2516</v>
      </c>
      <c r="D360" s="401" t="s">
        <v>2517</v>
      </c>
      <c r="E360" s="403"/>
      <c r="F360" s="417">
        <v>1690.0</v>
      </c>
      <c r="G360" s="363">
        <v>45866.0</v>
      </c>
      <c r="H360" s="285">
        <f t="shared" si="13"/>
        <v>2535</v>
      </c>
      <c r="I360" s="286">
        <f t="shared" si="14"/>
        <v>2197</v>
      </c>
      <c r="J360" s="287">
        <f t="shared" si="15"/>
        <v>2197</v>
      </c>
      <c r="K360" s="288">
        <f t="shared" si="16"/>
        <v>2028</v>
      </c>
      <c r="L360" s="287">
        <f t="shared" si="17"/>
        <v>1943.5</v>
      </c>
      <c r="M360" s="288">
        <f t="shared" si="18"/>
        <v>1859</v>
      </c>
      <c r="N360" s="281"/>
      <c r="O360" s="34"/>
      <c r="P360" s="35"/>
      <c r="Q360" s="35"/>
      <c r="R360" s="35"/>
      <c r="S360" s="35"/>
      <c r="T360" s="35"/>
      <c r="U360" s="35"/>
      <c r="V360" s="35"/>
      <c r="W360" s="35"/>
      <c r="X360" s="35"/>
      <c r="Y360" s="35"/>
      <c r="Z360" s="35"/>
    </row>
    <row r="361" ht="14.25" customHeight="1">
      <c r="A361" s="418"/>
      <c r="B361" s="419"/>
      <c r="C361" s="378" t="s">
        <v>2518</v>
      </c>
      <c r="D361" s="368"/>
      <c r="E361" s="403"/>
      <c r="F361" s="368"/>
      <c r="G361" s="363">
        <v>45866.0</v>
      </c>
      <c r="H361" s="285">
        <f t="shared" si="13"/>
        <v>0</v>
      </c>
      <c r="I361" s="286">
        <f t="shared" si="14"/>
        <v>0</v>
      </c>
      <c r="J361" s="287">
        <f t="shared" si="15"/>
        <v>0</v>
      </c>
      <c r="K361" s="288">
        <f t="shared" si="16"/>
        <v>0</v>
      </c>
      <c r="L361" s="287">
        <f t="shared" si="17"/>
        <v>0</v>
      </c>
      <c r="M361" s="288">
        <f t="shared" si="18"/>
        <v>0</v>
      </c>
      <c r="N361" s="281"/>
      <c r="O361" s="34"/>
      <c r="P361" s="35"/>
      <c r="Q361" s="35"/>
      <c r="R361" s="35"/>
      <c r="S361" s="35"/>
      <c r="T361" s="35"/>
      <c r="U361" s="35"/>
      <c r="V361" s="35"/>
      <c r="W361" s="35"/>
      <c r="X361" s="35"/>
      <c r="Y361" s="35"/>
      <c r="Z361" s="35"/>
    </row>
    <row r="362" ht="14.25" customHeight="1">
      <c r="A362" s="418"/>
      <c r="B362" s="419"/>
      <c r="C362" s="378" t="s">
        <v>2519</v>
      </c>
      <c r="D362" s="401" t="s">
        <v>2520</v>
      </c>
      <c r="E362" s="403"/>
      <c r="F362" s="417">
        <v>1560.0</v>
      </c>
      <c r="G362" s="363">
        <v>45866.0</v>
      </c>
      <c r="H362" s="285">
        <f t="shared" si="13"/>
        <v>2340</v>
      </c>
      <c r="I362" s="286">
        <f t="shared" si="14"/>
        <v>2028</v>
      </c>
      <c r="J362" s="287">
        <f t="shared" si="15"/>
        <v>2028</v>
      </c>
      <c r="K362" s="288">
        <f t="shared" si="16"/>
        <v>1872</v>
      </c>
      <c r="L362" s="287">
        <f t="shared" si="17"/>
        <v>1794</v>
      </c>
      <c r="M362" s="288">
        <f t="shared" si="18"/>
        <v>1716</v>
      </c>
      <c r="N362" s="281"/>
      <c r="O362" s="34"/>
      <c r="P362" s="35"/>
      <c r="Q362" s="35"/>
      <c r="R362" s="35"/>
      <c r="S362" s="35"/>
      <c r="T362" s="35"/>
      <c r="U362" s="35"/>
      <c r="V362" s="35"/>
      <c r="W362" s="35"/>
      <c r="X362" s="35"/>
      <c r="Y362" s="35"/>
      <c r="Z362" s="35"/>
    </row>
    <row r="363" ht="14.25" customHeight="1">
      <c r="A363" s="353"/>
      <c r="B363" s="348"/>
      <c r="C363" s="378" t="s">
        <v>2521</v>
      </c>
      <c r="D363" s="396"/>
      <c r="E363" s="403"/>
      <c r="F363" s="396"/>
      <c r="G363" s="363">
        <v>45866.0</v>
      </c>
      <c r="H363" s="285">
        <f t="shared" si="13"/>
        <v>0</v>
      </c>
      <c r="I363" s="286">
        <f t="shared" si="14"/>
        <v>0</v>
      </c>
      <c r="J363" s="287">
        <f t="shared" si="15"/>
        <v>0</v>
      </c>
      <c r="K363" s="288">
        <f t="shared" si="16"/>
        <v>0</v>
      </c>
      <c r="L363" s="287">
        <f t="shared" si="17"/>
        <v>0</v>
      </c>
      <c r="M363" s="288">
        <f t="shared" si="18"/>
        <v>0</v>
      </c>
      <c r="N363" s="281"/>
      <c r="O363" s="34"/>
      <c r="P363" s="35"/>
      <c r="Q363" s="35"/>
      <c r="R363" s="35"/>
      <c r="S363" s="35"/>
      <c r="T363" s="35"/>
      <c r="U363" s="35"/>
      <c r="V363" s="35"/>
      <c r="W363" s="35"/>
      <c r="X363" s="35"/>
      <c r="Y363" s="35"/>
      <c r="Z363" s="35"/>
    </row>
    <row r="364" ht="14.25" customHeight="1">
      <c r="A364" s="353"/>
      <c r="B364" s="348"/>
      <c r="C364" s="359" t="s">
        <v>2522</v>
      </c>
      <c r="D364" s="368"/>
      <c r="E364" s="403"/>
      <c r="F364" s="368"/>
      <c r="G364" s="363">
        <v>45866.0</v>
      </c>
      <c r="H364" s="285">
        <f t="shared" si="13"/>
        <v>0</v>
      </c>
      <c r="I364" s="286">
        <f t="shared" si="14"/>
        <v>0</v>
      </c>
      <c r="J364" s="287">
        <f t="shared" si="15"/>
        <v>0</v>
      </c>
      <c r="K364" s="288">
        <f t="shared" si="16"/>
        <v>0</v>
      </c>
      <c r="L364" s="287">
        <f t="shared" si="17"/>
        <v>0</v>
      </c>
      <c r="M364" s="288">
        <f t="shared" si="18"/>
        <v>0</v>
      </c>
      <c r="N364" s="281"/>
      <c r="O364" s="34"/>
      <c r="P364" s="35"/>
      <c r="Q364" s="35"/>
      <c r="R364" s="35"/>
      <c r="S364" s="35"/>
      <c r="T364" s="35"/>
      <c r="U364" s="35"/>
      <c r="V364" s="35"/>
      <c r="W364" s="35"/>
      <c r="X364" s="35"/>
      <c r="Y364" s="35"/>
      <c r="Z364" s="35"/>
    </row>
    <row r="365" ht="14.25" customHeight="1">
      <c r="A365" s="353"/>
      <c r="B365" s="348"/>
      <c r="C365" s="359" t="s">
        <v>2523</v>
      </c>
      <c r="D365" s="407" t="s">
        <v>2524</v>
      </c>
      <c r="E365" s="403"/>
      <c r="F365" s="417">
        <v>1495.0</v>
      </c>
      <c r="G365" s="363">
        <v>45866.0</v>
      </c>
      <c r="H365" s="285">
        <f t="shared" si="13"/>
        <v>2242.5</v>
      </c>
      <c r="I365" s="286">
        <f t="shared" si="14"/>
        <v>1943.5</v>
      </c>
      <c r="J365" s="287">
        <f t="shared" si="15"/>
        <v>1943.5</v>
      </c>
      <c r="K365" s="288">
        <f t="shared" si="16"/>
        <v>1794</v>
      </c>
      <c r="L365" s="287">
        <f t="shared" si="17"/>
        <v>1719.25</v>
      </c>
      <c r="M365" s="288">
        <f t="shared" si="18"/>
        <v>1644.5</v>
      </c>
      <c r="N365" s="281"/>
      <c r="O365" s="34"/>
      <c r="P365" s="35"/>
      <c r="Q365" s="35"/>
      <c r="R365" s="35"/>
      <c r="S365" s="35"/>
      <c r="T365" s="35"/>
      <c r="U365" s="35"/>
      <c r="V365" s="35"/>
      <c r="W365" s="35"/>
      <c r="X365" s="35"/>
      <c r="Y365" s="35"/>
      <c r="Z365" s="35"/>
    </row>
    <row r="366" ht="14.25" customHeight="1">
      <c r="A366" s="353"/>
      <c r="B366" s="348"/>
      <c r="C366" s="359" t="s">
        <v>2525</v>
      </c>
      <c r="D366" s="396"/>
      <c r="E366" s="403"/>
      <c r="F366" s="396"/>
      <c r="G366" s="363">
        <v>45866.0</v>
      </c>
      <c r="H366" s="285">
        <f t="shared" si="13"/>
        <v>0</v>
      </c>
      <c r="I366" s="286">
        <f t="shared" si="14"/>
        <v>0</v>
      </c>
      <c r="J366" s="287">
        <f t="shared" si="15"/>
        <v>0</v>
      </c>
      <c r="K366" s="288">
        <f t="shared" si="16"/>
        <v>0</v>
      </c>
      <c r="L366" s="287">
        <f t="shared" si="17"/>
        <v>0</v>
      </c>
      <c r="M366" s="288">
        <f t="shared" si="18"/>
        <v>0</v>
      </c>
      <c r="N366" s="281"/>
      <c r="O366" s="34"/>
      <c r="P366" s="35"/>
      <c r="Q366" s="35"/>
      <c r="R366" s="35"/>
      <c r="S366" s="35"/>
      <c r="T366" s="35"/>
      <c r="U366" s="35"/>
      <c r="V366" s="35"/>
      <c r="W366" s="35"/>
      <c r="X366" s="35"/>
      <c r="Y366" s="35"/>
      <c r="Z366" s="35"/>
    </row>
    <row r="367" ht="14.25" customHeight="1">
      <c r="A367" s="353"/>
      <c r="B367" s="348"/>
      <c r="C367" s="359" t="s">
        <v>2526</v>
      </c>
      <c r="D367" s="368"/>
      <c r="E367" s="403"/>
      <c r="F367" s="368"/>
      <c r="G367" s="363">
        <v>45866.0</v>
      </c>
      <c r="H367" s="285">
        <f t="shared" si="13"/>
        <v>0</v>
      </c>
      <c r="I367" s="286">
        <f t="shared" si="14"/>
        <v>0</v>
      </c>
      <c r="J367" s="287">
        <f t="shared" si="15"/>
        <v>0</v>
      </c>
      <c r="K367" s="288">
        <f t="shared" si="16"/>
        <v>0</v>
      </c>
      <c r="L367" s="287">
        <f t="shared" si="17"/>
        <v>0</v>
      </c>
      <c r="M367" s="288">
        <f t="shared" si="18"/>
        <v>0</v>
      </c>
      <c r="N367" s="281"/>
      <c r="O367" s="34"/>
      <c r="P367" s="35"/>
      <c r="Q367" s="35"/>
      <c r="R367" s="35"/>
      <c r="S367" s="35"/>
      <c r="T367" s="35"/>
      <c r="U367" s="35"/>
      <c r="V367" s="35"/>
      <c r="W367" s="35"/>
      <c r="X367" s="35"/>
      <c r="Y367" s="35"/>
      <c r="Z367" s="35"/>
    </row>
    <row r="368" ht="14.25" customHeight="1">
      <c r="A368" s="353"/>
      <c r="B368" s="348"/>
      <c r="C368" s="359" t="s">
        <v>2527</v>
      </c>
      <c r="D368" s="407" t="s">
        <v>2528</v>
      </c>
      <c r="E368" s="403"/>
      <c r="F368" s="417">
        <v>1625.0</v>
      </c>
      <c r="G368" s="363">
        <v>45866.0</v>
      </c>
      <c r="H368" s="285">
        <f t="shared" si="13"/>
        <v>2437.5</v>
      </c>
      <c r="I368" s="286">
        <f t="shared" si="14"/>
        <v>2112.5</v>
      </c>
      <c r="J368" s="287">
        <f t="shared" si="15"/>
        <v>2112.5</v>
      </c>
      <c r="K368" s="288">
        <f t="shared" si="16"/>
        <v>1950</v>
      </c>
      <c r="L368" s="287">
        <f t="shared" si="17"/>
        <v>1868.75</v>
      </c>
      <c r="M368" s="288">
        <f t="shared" si="18"/>
        <v>1787.5</v>
      </c>
      <c r="N368" s="281"/>
      <c r="O368" s="34"/>
      <c r="P368" s="35"/>
      <c r="Q368" s="35"/>
      <c r="R368" s="35"/>
      <c r="S368" s="35"/>
      <c r="T368" s="35"/>
      <c r="U368" s="35"/>
      <c r="V368" s="35"/>
      <c r="W368" s="35"/>
      <c r="X368" s="35"/>
      <c r="Y368" s="35"/>
      <c r="Z368" s="35"/>
    </row>
    <row r="369" ht="14.25" customHeight="1">
      <c r="A369" s="353"/>
      <c r="B369" s="348"/>
      <c r="C369" s="359" t="s">
        <v>2529</v>
      </c>
      <c r="D369" s="396"/>
      <c r="E369" s="403"/>
      <c r="F369" s="396"/>
      <c r="G369" s="363">
        <v>45866.0</v>
      </c>
      <c r="H369" s="285">
        <f t="shared" si="13"/>
        <v>0</v>
      </c>
      <c r="I369" s="286">
        <f t="shared" si="14"/>
        <v>0</v>
      </c>
      <c r="J369" s="287">
        <f t="shared" si="15"/>
        <v>0</v>
      </c>
      <c r="K369" s="288">
        <f t="shared" si="16"/>
        <v>0</v>
      </c>
      <c r="L369" s="287">
        <f t="shared" si="17"/>
        <v>0</v>
      </c>
      <c r="M369" s="288">
        <f t="shared" si="18"/>
        <v>0</v>
      </c>
      <c r="N369" s="281"/>
      <c r="O369" s="34"/>
      <c r="P369" s="35"/>
      <c r="Q369" s="35"/>
      <c r="R369" s="35"/>
      <c r="S369" s="35"/>
      <c r="T369" s="35"/>
      <c r="U369" s="35"/>
      <c r="V369" s="35"/>
      <c r="W369" s="35"/>
      <c r="X369" s="35"/>
      <c r="Y369" s="35"/>
      <c r="Z369" s="35"/>
    </row>
    <row r="370" ht="14.25" customHeight="1">
      <c r="A370" s="353"/>
      <c r="B370" s="348"/>
      <c r="C370" s="359" t="s">
        <v>2530</v>
      </c>
      <c r="D370" s="368"/>
      <c r="E370" s="403"/>
      <c r="F370" s="368"/>
      <c r="G370" s="363">
        <v>45866.0</v>
      </c>
      <c r="H370" s="285">
        <f t="shared" si="13"/>
        <v>0</v>
      </c>
      <c r="I370" s="286">
        <f t="shared" si="14"/>
        <v>0</v>
      </c>
      <c r="J370" s="287">
        <f t="shared" si="15"/>
        <v>0</v>
      </c>
      <c r="K370" s="288">
        <f t="shared" si="16"/>
        <v>0</v>
      </c>
      <c r="L370" s="287">
        <f t="shared" si="17"/>
        <v>0</v>
      </c>
      <c r="M370" s="288">
        <f t="shared" si="18"/>
        <v>0</v>
      </c>
      <c r="N370" s="281"/>
      <c r="O370" s="34"/>
      <c r="P370" s="35"/>
      <c r="Q370" s="35"/>
      <c r="R370" s="35"/>
      <c r="S370" s="35"/>
      <c r="T370" s="35"/>
      <c r="U370" s="35"/>
      <c r="V370" s="35"/>
      <c r="W370" s="35"/>
      <c r="X370" s="35"/>
      <c r="Y370" s="35"/>
      <c r="Z370" s="35"/>
    </row>
    <row r="371" ht="14.25" customHeight="1">
      <c r="A371" s="353"/>
      <c r="B371" s="348"/>
      <c r="C371" s="378" t="s">
        <v>2531</v>
      </c>
      <c r="D371" s="401" t="s">
        <v>2532</v>
      </c>
      <c r="E371" s="403"/>
      <c r="F371" s="417">
        <v>1560.0</v>
      </c>
      <c r="G371" s="363">
        <v>45866.0</v>
      </c>
      <c r="H371" s="285">
        <f t="shared" si="13"/>
        <v>2340</v>
      </c>
      <c r="I371" s="286">
        <f t="shared" si="14"/>
        <v>2028</v>
      </c>
      <c r="J371" s="287">
        <f t="shared" si="15"/>
        <v>2028</v>
      </c>
      <c r="K371" s="288">
        <f t="shared" si="16"/>
        <v>1872</v>
      </c>
      <c r="L371" s="287">
        <f t="shared" si="17"/>
        <v>1794</v>
      </c>
      <c r="M371" s="288">
        <f t="shared" si="18"/>
        <v>1716</v>
      </c>
      <c r="N371" s="281"/>
      <c r="O371" s="34"/>
      <c r="P371" s="35"/>
      <c r="Q371" s="35"/>
      <c r="R371" s="35"/>
      <c r="S371" s="35"/>
      <c r="T371" s="35"/>
      <c r="U371" s="35"/>
      <c r="V371" s="35"/>
      <c r="W371" s="35"/>
      <c r="X371" s="35"/>
      <c r="Y371" s="35"/>
      <c r="Z371" s="35"/>
    </row>
    <row r="372" ht="14.25" customHeight="1">
      <c r="A372" s="420"/>
      <c r="B372" s="421"/>
      <c r="C372" s="378" t="s">
        <v>2533</v>
      </c>
      <c r="D372" s="396"/>
      <c r="E372" s="117"/>
      <c r="F372" s="396"/>
      <c r="G372" s="363">
        <v>45866.0</v>
      </c>
      <c r="H372" s="285">
        <f t="shared" si="13"/>
        <v>0</v>
      </c>
      <c r="I372" s="286">
        <f t="shared" si="14"/>
        <v>0</v>
      </c>
      <c r="J372" s="287">
        <f t="shared" si="15"/>
        <v>0</v>
      </c>
      <c r="K372" s="288">
        <f t="shared" si="16"/>
        <v>0</v>
      </c>
      <c r="L372" s="287">
        <f t="shared" si="17"/>
        <v>0</v>
      </c>
      <c r="M372" s="288">
        <f t="shared" si="18"/>
        <v>0</v>
      </c>
      <c r="N372" s="40"/>
      <c r="O372" s="34"/>
      <c r="P372" s="35"/>
      <c r="Q372" s="35"/>
      <c r="R372" s="35"/>
      <c r="S372" s="35"/>
      <c r="T372" s="35"/>
      <c r="U372" s="35"/>
      <c r="V372" s="35"/>
      <c r="W372" s="35"/>
      <c r="X372" s="35"/>
      <c r="Y372" s="35"/>
      <c r="Z372" s="35"/>
    </row>
    <row r="373" ht="14.25" customHeight="1">
      <c r="A373" s="420"/>
      <c r="B373" s="421"/>
      <c r="C373" s="378" t="s">
        <v>2534</v>
      </c>
      <c r="D373" s="368"/>
      <c r="E373" s="117"/>
      <c r="F373" s="368"/>
      <c r="G373" s="363">
        <v>45866.0</v>
      </c>
      <c r="H373" s="285">
        <f t="shared" si="13"/>
        <v>0</v>
      </c>
      <c r="I373" s="286">
        <f t="shared" si="14"/>
        <v>0</v>
      </c>
      <c r="J373" s="287">
        <f t="shared" si="15"/>
        <v>0</v>
      </c>
      <c r="K373" s="288">
        <f t="shared" si="16"/>
        <v>0</v>
      </c>
      <c r="L373" s="287">
        <f t="shared" si="17"/>
        <v>0</v>
      </c>
      <c r="M373" s="288">
        <f t="shared" si="18"/>
        <v>0</v>
      </c>
      <c r="N373" s="40"/>
      <c r="O373" s="34"/>
      <c r="P373" s="35"/>
      <c r="Q373" s="35"/>
      <c r="R373" s="35"/>
      <c r="S373" s="35"/>
      <c r="T373" s="35"/>
      <c r="U373" s="35"/>
      <c r="V373" s="35"/>
      <c r="W373" s="35"/>
      <c r="X373" s="35"/>
      <c r="Y373" s="35"/>
      <c r="Z373" s="35"/>
    </row>
    <row r="374" ht="14.25" customHeight="1">
      <c r="A374" s="420"/>
      <c r="B374" s="421"/>
      <c r="C374" s="378" t="s">
        <v>2535</v>
      </c>
      <c r="D374" s="401" t="s">
        <v>2532</v>
      </c>
      <c r="E374" s="117"/>
      <c r="F374" s="417">
        <v>1495.0</v>
      </c>
      <c r="G374" s="363">
        <v>45866.0</v>
      </c>
      <c r="H374" s="285">
        <f t="shared" si="13"/>
        <v>2242.5</v>
      </c>
      <c r="I374" s="286">
        <f t="shared" si="14"/>
        <v>1943.5</v>
      </c>
      <c r="J374" s="287">
        <f t="shared" si="15"/>
        <v>1943.5</v>
      </c>
      <c r="K374" s="288">
        <f t="shared" si="16"/>
        <v>1794</v>
      </c>
      <c r="L374" s="287">
        <f t="shared" si="17"/>
        <v>1719.25</v>
      </c>
      <c r="M374" s="288">
        <f t="shared" si="18"/>
        <v>1644.5</v>
      </c>
      <c r="N374" s="40"/>
      <c r="O374" s="34"/>
      <c r="P374" s="35"/>
      <c r="Q374" s="35"/>
      <c r="R374" s="35"/>
      <c r="S374" s="35"/>
      <c r="T374" s="35"/>
      <c r="U374" s="35"/>
      <c r="V374" s="35"/>
      <c r="W374" s="35"/>
      <c r="X374" s="35"/>
      <c r="Y374" s="35"/>
      <c r="Z374" s="35"/>
    </row>
    <row r="375" ht="14.25" customHeight="1">
      <c r="A375" s="420"/>
      <c r="B375" s="421"/>
      <c r="C375" s="378" t="s">
        <v>2536</v>
      </c>
      <c r="D375" s="396"/>
      <c r="E375" s="117"/>
      <c r="F375" s="396"/>
      <c r="G375" s="363">
        <v>45866.0</v>
      </c>
      <c r="H375" s="285">
        <f t="shared" si="13"/>
        <v>0</v>
      </c>
      <c r="I375" s="286">
        <f t="shared" si="14"/>
        <v>0</v>
      </c>
      <c r="J375" s="287">
        <f t="shared" si="15"/>
        <v>0</v>
      </c>
      <c r="K375" s="288">
        <f t="shared" si="16"/>
        <v>0</v>
      </c>
      <c r="L375" s="287">
        <f t="shared" si="17"/>
        <v>0</v>
      </c>
      <c r="M375" s="288">
        <f t="shared" si="18"/>
        <v>0</v>
      </c>
      <c r="N375" s="40"/>
      <c r="O375" s="34"/>
      <c r="P375" s="35"/>
      <c r="Q375" s="35"/>
      <c r="R375" s="35"/>
      <c r="S375" s="35"/>
      <c r="T375" s="35"/>
      <c r="U375" s="35"/>
      <c r="V375" s="35"/>
      <c r="W375" s="35"/>
      <c r="X375" s="35"/>
      <c r="Y375" s="35"/>
      <c r="Z375" s="35"/>
    </row>
    <row r="376" ht="14.25" customHeight="1">
      <c r="A376" s="420"/>
      <c r="B376" s="421"/>
      <c r="C376" s="378" t="s">
        <v>2537</v>
      </c>
      <c r="D376" s="368"/>
      <c r="E376" s="117"/>
      <c r="F376" s="368"/>
      <c r="G376" s="363">
        <v>45866.0</v>
      </c>
      <c r="H376" s="285">
        <f t="shared" si="13"/>
        <v>0</v>
      </c>
      <c r="I376" s="286">
        <f t="shared" si="14"/>
        <v>0</v>
      </c>
      <c r="J376" s="287">
        <f t="shared" si="15"/>
        <v>0</v>
      </c>
      <c r="K376" s="288">
        <f t="shared" si="16"/>
        <v>0</v>
      </c>
      <c r="L376" s="287">
        <f t="shared" si="17"/>
        <v>0</v>
      </c>
      <c r="M376" s="288">
        <f t="shared" si="18"/>
        <v>0</v>
      </c>
      <c r="N376" s="40"/>
      <c r="O376" s="34"/>
      <c r="P376" s="35"/>
      <c r="Q376" s="35"/>
      <c r="R376" s="35"/>
      <c r="S376" s="35"/>
      <c r="T376" s="35"/>
      <c r="U376" s="35"/>
      <c r="V376" s="35"/>
      <c r="W376" s="35"/>
      <c r="X376" s="35"/>
      <c r="Y376" s="35"/>
      <c r="Z376" s="35"/>
    </row>
    <row r="377" ht="14.25" customHeight="1">
      <c r="A377" s="420"/>
      <c r="B377" s="421"/>
      <c r="C377" s="378" t="s">
        <v>2538</v>
      </c>
      <c r="D377" s="401" t="s">
        <v>2539</v>
      </c>
      <c r="E377" s="117"/>
      <c r="F377" s="417">
        <v>1495.0</v>
      </c>
      <c r="G377" s="363">
        <v>45866.0</v>
      </c>
      <c r="H377" s="285">
        <f t="shared" si="13"/>
        <v>2242.5</v>
      </c>
      <c r="I377" s="286">
        <f t="shared" si="14"/>
        <v>1943.5</v>
      </c>
      <c r="J377" s="287">
        <f t="shared" si="15"/>
        <v>1943.5</v>
      </c>
      <c r="K377" s="288">
        <f t="shared" si="16"/>
        <v>1794</v>
      </c>
      <c r="L377" s="287">
        <f t="shared" si="17"/>
        <v>1719.25</v>
      </c>
      <c r="M377" s="288">
        <f t="shared" si="18"/>
        <v>1644.5</v>
      </c>
      <c r="N377" s="40"/>
      <c r="O377" s="34"/>
      <c r="P377" s="35"/>
      <c r="Q377" s="35"/>
      <c r="R377" s="35"/>
      <c r="S377" s="35"/>
      <c r="T377" s="35"/>
      <c r="U377" s="35"/>
      <c r="V377" s="35"/>
      <c r="W377" s="35"/>
      <c r="X377" s="35"/>
      <c r="Y377" s="35"/>
      <c r="Z377" s="35"/>
    </row>
    <row r="378" ht="14.25" customHeight="1">
      <c r="A378" s="420"/>
      <c r="B378" s="421"/>
      <c r="C378" s="378" t="s">
        <v>2540</v>
      </c>
      <c r="D378" s="368"/>
      <c r="E378" s="117"/>
      <c r="F378" s="368"/>
      <c r="G378" s="363">
        <v>45866.0</v>
      </c>
      <c r="H378" s="285">
        <f t="shared" si="13"/>
        <v>0</v>
      </c>
      <c r="I378" s="286">
        <f t="shared" si="14"/>
        <v>0</v>
      </c>
      <c r="J378" s="287">
        <f t="shared" si="15"/>
        <v>0</v>
      </c>
      <c r="K378" s="288">
        <f t="shared" si="16"/>
        <v>0</v>
      </c>
      <c r="L378" s="287">
        <f t="shared" si="17"/>
        <v>0</v>
      </c>
      <c r="M378" s="288">
        <f t="shared" si="18"/>
        <v>0</v>
      </c>
      <c r="N378" s="40"/>
      <c r="O378" s="34"/>
      <c r="P378" s="35"/>
      <c r="Q378" s="35"/>
      <c r="R378" s="35"/>
      <c r="S378" s="35"/>
      <c r="T378" s="35"/>
      <c r="U378" s="35"/>
      <c r="V378" s="35"/>
      <c r="W378" s="35"/>
      <c r="X378" s="35"/>
      <c r="Y378" s="35"/>
      <c r="Z378" s="35"/>
    </row>
    <row r="379" ht="14.25" customHeight="1">
      <c r="A379" s="420"/>
      <c r="B379" s="421"/>
      <c r="C379" s="378" t="s">
        <v>2541</v>
      </c>
      <c r="D379" s="401" t="s">
        <v>2542</v>
      </c>
      <c r="E379" s="117"/>
      <c r="F379" s="417">
        <v>1430.0</v>
      </c>
      <c r="G379" s="363">
        <v>45866.0</v>
      </c>
      <c r="H379" s="285">
        <f t="shared" si="13"/>
        <v>2145</v>
      </c>
      <c r="I379" s="286">
        <f t="shared" si="14"/>
        <v>1859</v>
      </c>
      <c r="J379" s="287">
        <f t="shared" si="15"/>
        <v>1859</v>
      </c>
      <c r="K379" s="288">
        <f t="shared" si="16"/>
        <v>1716</v>
      </c>
      <c r="L379" s="287">
        <f t="shared" si="17"/>
        <v>1644.5</v>
      </c>
      <c r="M379" s="288">
        <f t="shared" si="18"/>
        <v>1573</v>
      </c>
      <c r="N379" s="40"/>
      <c r="O379" s="34"/>
      <c r="P379" s="35"/>
      <c r="Q379" s="35"/>
      <c r="R379" s="35"/>
      <c r="S379" s="35"/>
      <c r="T379" s="35"/>
      <c r="U379" s="35"/>
      <c r="V379" s="35"/>
      <c r="W379" s="35"/>
      <c r="X379" s="35"/>
      <c r="Y379" s="35"/>
      <c r="Z379" s="35"/>
    </row>
    <row r="380" ht="14.25" customHeight="1">
      <c r="A380" s="420"/>
      <c r="B380" s="421"/>
      <c r="C380" s="422" t="s">
        <v>2543</v>
      </c>
      <c r="D380" s="368"/>
      <c r="E380" s="117"/>
      <c r="F380" s="368"/>
      <c r="G380" s="363">
        <v>45866.0</v>
      </c>
      <c r="H380" s="285">
        <f t="shared" si="13"/>
        <v>0</v>
      </c>
      <c r="I380" s="286">
        <f t="shared" si="14"/>
        <v>0</v>
      </c>
      <c r="J380" s="287">
        <f t="shared" si="15"/>
        <v>0</v>
      </c>
      <c r="K380" s="288">
        <f t="shared" si="16"/>
        <v>0</v>
      </c>
      <c r="L380" s="287">
        <f t="shared" si="17"/>
        <v>0</v>
      </c>
      <c r="M380" s="288">
        <f t="shared" si="18"/>
        <v>0</v>
      </c>
      <c r="N380" s="40"/>
      <c r="O380" s="34"/>
      <c r="P380" s="35"/>
      <c r="Q380" s="35"/>
      <c r="R380" s="35"/>
      <c r="S380" s="35"/>
      <c r="T380" s="35"/>
      <c r="U380" s="35"/>
      <c r="V380" s="35"/>
      <c r="W380" s="35"/>
      <c r="X380" s="35"/>
      <c r="Y380" s="35"/>
      <c r="Z380" s="35"/>
    </row>
    <row r="381" ht="14.25" customHeight="1">
      <c r="A381" s="389" t="s">
        <v>2544</v>
      </c>
      <c r="B381" s="358" t="s">
        <v>2545</v>
      </c>
      <c r="C381" s="423" t="s">
        <v>2546</v>
      </c>
      <c r="D381" s="424" t="s">
        <v>2547</v>
      </c>
      <c r="E381" s="117"/>
      <c r="F381" s="376">
        <v>2750.0</v>
      </c>
      <c r="G381" s="363">
        <v>45866.0</v>
      </c>
      <c r="H381" s="285">
        <f t="shared" si="13"/>
        <v>4125</v>
      </c>
      <c r="I381" s="286">
        <f t="shared" si="14"/>
        <v>3575</v>
      </c>
      <c r="J381" s="287">
        <f t="shared" si="15"/>
        <v>3575</v>
      </c>
      <c r="K381" s="288">
        <f t="shared" si="16"/>
        <v>3300</v>
      </c>
      <c r="L381" s="287">
        <f t="shared" si="17"/>
        <v>3162.5</v>
      </c>
      <c r="M381" s="288">
        <f t="shared" si="18"/>
        <v>3025</v>
      </c>
      <c r="N381" s="40"/>
      <c r="O381" s="34"/>
      <c r="P381" s="35"/>
      <c r="Q381" s="35"/>
      <c r="R381" s="35"/>
      <c r="S381" s="35"/>
      <c r="T381" s="35"/>
      <c r="U381" s="35"/>
      <c r="V381" s="35"/>
      <c r="W381" s="35"/>
      <c r="X381" s="35"/>
      <c r="Y381" s="35"/>
      <c r="Z381" s="35"/>
    </row>
    <row r="382" ht="14.25" customHeight="1">
      <c r="A382" s="368"/>
      <c r="B382" s="368"/>
      <c r="C382" s="423" t="s">
        <v>2548</v>
      </c>
      <c r="D382" s="368"/>
      <c r="E382" s="117"/>
      <c r="F382" s="368"/>
      <c r="G382" s="363">
        <v>45866.0</v>
      </c>
      <c r="H382" s="285">
        <f t="shared" si="13"/>
        <v>0</v>
      </c>
      <c r="I382" s="286">
        <f t="shared" si="14"/>
        <v>0</v>
      </c>
      <c r="J382" s="287">
        <f t="shared" si="15"/>
        <v>0</v>
      </c>
      <c r="K382" s="288">
        <f t="shared" si="16"/>
        <v>0</v>
      </c>
      <c r="L382" s="287">
        <f t="shared" si="17"/>
        <v>0</v>
      </c>
      <c r="M382" s="288">
        <f t="shared" si="18"/>
        <v>0</v>
      </c>
      <c r="N382" s="40"/>
      <c r="O382" s="34"/>
      <c r="P382" s="35"/>
      <c r="Q382" s="35"/>
      <c r="R382" s="35"/>
      <c r="S382" s="35"/>
      <c r="T382" s="35"/>
      <c r="U382" s="35"/>
      <c r="V382" s="35"/>
      <c r="W382" s="35"/>
      <c r="X382" s="35"/>
      <c r="Y382" s="35"/>
      <c r="Z382" s="35"/>
    </row>
    <row r="383" ht="14.25" customHeight="1">
      <c r="A383" s="389" t="s">
        <v>2544</v>
      </c>
      <c r="B383" s="358" t="s">
        <v>2549</v>
      </c>
      <c r="C383" s="423" t="s">
        <v>2550</v>
      </c>
      <c r="D383" s="424" t="s">
        <v>2551</v>
      </c>
      <c r="E383" s="117"/>
      <c r="F383" s="376">
        <v>3150.0</v>
      </c>
      <c r="G383" s="363">
        <v>45866.0</v>
      </c>
      <c r="H383" s="285">
        <f t="shared" si="13"/>
        <v>4725</v>
      </c>
      <c r="I383" s="286">
        <f t="shared" si="14"/>
        <v>4095</v>
      </c>
      <c r="J383" s="287">
        <f t="shared" si="15"/>
        <v>4095</v>
      </c>
      <c r="K383" s="288">
        <f t="shared" si="16"/>
        <v>3780</v>
      </c>
      <c r="L383" s="287">
        <f t="shared" si="17"/>
        <v>3622.5</v>
      </c>
      <c r="M383" s="288">
        <f t="shared" si="18"/>
        <v>3465</v>
      </c>
      <c r="N383" s="40"/>
      <c r="O383" s="34"/>
      <c r="P383" s="35"/>
      <c r="Q383" s="35"/>
      <c r="R383" s="35"/>
      <c r="S383" s="35"/>
      <c r="T383" s="35"/>
      <c r="U383" s="35"/>
      <c r="V383" s="35"/>
      <c r="W383" s="35"/>
      <c r="X383" s="35"/>
      <c r="Y383" s="35"/>
      <c r="Z383" s="35"/>
    </row>
    <row r="384" ht="14.25" customHeight="1">
      <c r="A384" s="368"/>
      <c r="B384" s="368"/>
      <c r="C384" s="423" t="s">
        <v>2552</v>
      </c>
      <c r="D384" s="368"/>
      <c r="E384" s="117"/>
      <c r="F384" s="368"/>
      <c r="G384" s="363">
        <v>45866.0</v>
      </c>
      <c r="H384" s="285">
        <f t="shared" si="13"/>
        <v>0</v>
      </c>
      <c r="I384" s="286">
        <f t="shared" si="14"/>
        <v>0</v>
      </c>
      <c r="J384" s="287">
        <f t="shared" si="15"/>
        <v>0</v>
      </c>
      <c r="K384" s="288">
        <f t="shared" si="16"/>
        <v>0</v>
      </c>
      <c r="L384" s="287">
        <f t="shared" si="17"/>
        <v>0</v>
      </c>
      <c r="M384" s="288">
        <f t="shared" si="18"/>
        <v>0</v>
      </c>
      <c r="N384" s="40"/>
      <c r="O384" s="34"/>
      <c r="P384" s="35"/>
      <c r="Q384" s="35"/>
      <c r="R384" s="35"/>
      <c r="S384" s="35"/>
      <c r="T384" s="35"/>
      <c r="U384" s="35"/>
      <c r="V384" s="35"/>
      <c r="W384" s="35"/>
      <c r="X384" s="35"/>
      <c r="Y384" s="35"/>
      <c r="Z384" s="35"/>
    </row>
    <row r="385" ht="14.25" customHeight="1">
      <c r="A385" s="389" t="s">
        <v>2544</v>
      </c>
      <c r="B385" s="358" t="s">
        <v>2553</v>
      </c>
      <c r="C385" s="423" t="s">
        <v>2554</v>
      </c>
      <c r="D385" s="424" t="s">
        <v>2555</v>
      </c>
      <c r="E385" s="117"/>
      <c r="F385" s="376">
        <v>2950.0</v>
      </c>
      <c r="G385" s="363">
        <v>45866.0</v>
      </c>
      <c r="H385" s="285">
        <f t="shared" si="13"/>
        <v>4425</v>
      </c>
      <c r="I385" s="286">
        <f t="shared" si="14"/>
        <v>3835</v>
      </c>
      <c r="J385" s="287">
        <f t="shared" si="15"/>
        <v>3835</v>
      </c>
      <c r="K385" s="288">
        <f t="shared" si="16"/>
        <v>3540</v>
      </c>
      <c r="L385" s="287">
        <f t="shared" si="17"/>
        <v>3392.5</v>
      </c>
      <c r="M385" s="288">
        <f t="shared" si="18"/>
        <v>3245</v>
      </c>
      <c r="N385" s="40"/>
      <c r="O385" s="34"/>
      <c r="P385" s="35"/>
      <c r="Q385" s="35"/>
      <c r="R385" s="35"/>
      <c r="S385" s="35"/>
      <c r="T385" s="35"/>
      <c r="U385" s="35"/>
      <c r="V385" s="35"/>
      <c r="W385" s="35"/>
      <c r="X385" s="35"/>
      <c r="Y385" s="35"/>
      <c r="Z385" s="35"/>
    </row>
    <row r="386" ht="14.25" customHeight="1">
      <c r="A386" s="368"/>
      <c r="B386" s="368"/>
      <c r="C386" s="423" t="s">
        <v>2556</v>
      </c>
      <c r="D386" s="368"/>
      <c r="E386" s="117"/>
      <c r="F386" s="368"/>
      <c r="G386" s="363">
        <v>45866.0</v>
      </c>
      <c r="H386" s="285">
        <f t="shared" si="13"/>
        <v>0</v>
      </c>
      <c r="I386" s="286">
        <f t="shared" si="14"/>
        <v>0</v>
      </c>
      <c r="J386" s="287">
        <f t="shared" si="15"/>
        <v>0</v>
      </c>
      <c r="K386" s="288">
        <f t="shared" si="16"/>
        <v>0</v>
      </c>
      <c r="L386" s="287">
        <f t="shared" si="17"/>
        <v>0</v>
      </c>
      <c r="M386" s="288">
        <f t="shared" si="18"/>
        <v>0</v>
      </c>
      <c r="N386" s="40"/>
      <c r="O386" s="34"/>
      <c r="P386" s="35"/>
      <c r="Q386" s="35"/>
      <c r="R386" s="35"/>
      <c r="S386" s="35"/>
      <c r="T386" s="35"/>
      <c r="U386" s="35"/>
      <c r="V386" s="35"/>
      <c r="W386" s="35"/>
      <c r="X386" s="35"/>
      <c r="Y386" s="35"/>
      <c r="Z386" s="35"/>
    </row>
    <row r="387" ht="14.25" customHeight="1">
      <c r="A387" s="389" t="s">
        <v>2544</v>
      </c>
      <c r="B387" s="358" t="s">
        <v>2557</v>
      </c>
      <c r="C387" s="423" t="s">
        <v>2558</v>
      </c>
      <c r="D387" s="424" t="s">
        <v>2559</v>
      </c>
      <c r="E387" s="117"/>
      <c r="F387" s="376">
        <v>1890.0</v>
      </c>
      <c r="G387" s="363">
        <v>45866.0</v>
      </c>
      <c r="H387" s="285">
        <f t="shared" si="13"/>
        <v>2835</v>
      </c>
      <c r="I387" s="286">
        <f t="shared" si="14"/>
        <v>2457</v>
      </c>
      <c r="J387" s="287">
        <f t="shared" si="15"/>
        <v>2457</v>
      </c>
      <c r="K387" s="288">
        <f t="shared" si="16"/>
        <v>2268</v>
      </c>
      <c r="L387" s="287">
        <f t="shared" si="17"/>
        <v>2173.5</v>
      </c>
      <c r="M387" s="288">
        <f t="shared" si="18"/>
        <v>2079</v>
      </c>
      <c r="N387" s="40"/>
      <c r="O387" s="34"/>
      <c r="P387" s="35"/>
      <c r="Q387" s="35"/>
      <c r="R387" s="35"/>
      <c r="S387" s="35"/>
      <c r="T387" s="35"/>
      <c r="U387" s="35"/>
      <c r="V387" s="35"/>
      <c r="W387" s="35"/>
      <c r="X387" s="35"/>
      <c r="Y387" s="35"/>
      <c r="Z387" s="35"/>
    </row>
    <row r="388" ht="14.25" customHeight="1">
      <c r="A388" s="368"/>
      <c r="B388" s="368"/>
      <c r="C388" s="423" t="s">
        <v>2560</v>
      </c>
      <c r="D388" s="368"/>
      <c r="E388" s="117"/>
      <c r="F388" s="368"/>
      <c r="G388" s="363">
        <v>45866.0</v>
      </c>
      <c r="H388" s="285">
        <f t="shared" si="13"/>
        <v>0</v>
      </c>
      <c r="I388" s="286">
        <f t="shared" si="14"/>
        <v>0</v>
      </c>
      <c r="J388" s="287">
        <f t="shared" si="15"/>
        <v>0</v>
      </c>
      <c r="K388" s="288">
        <f t="shared" si="16"/>
        <v>0</v>
      </c>
      <c r="L388" s="287">
        <f t="shared" si="17"/>
        <v>0</v>
      </c>
      <c r="M388" s="288">
        <f t="shared" si="18"/>
        <v>0</v>
      </c>
      <c r="N388" s="40"/>
      <c r="O388" s="34"/>
      <c r="P388" s="35"/>
      <c r="Q388" s="35"/>
      <c r="R388" s="35"/>
      <c r="S388" s="35"/>
      <c r="T388" s="35"/>
      <c r="U388" s="35"/>
      <c r="V388" s="35"/>
      <c r="W388" s="35"/>
      <c r="X388" s="35"/>
      <c r="Y388" s="35"/>
      <c r="Z388" s="35"/>
    </row>
    <row r="389" ht="14.25" customHeight="1">
      <c r="A389" s="389" t="s">
        <v>2544</v>
      </c>
      <c r="B389" s="358" t="s">
        <v>2561</v>
      </c>
      <c r="C389" s="423" t="s">
        <v>2562</v>
      </c>
      <c r="D389" s="424" t="s">
        <v>2563</v>
      </c>
      <c r="E389" s="117"/>
      <c r="F389" s="376">
        <v>2290.0</v>
      </c>
      <c r="G389" s="363">
        <v>45866.0</v>
      </c>
      <c r="H389" s="285">
        <f t="shared" si="13"/>
        <v>3435</v>
      </c>
      <c r="I389" s="286">
        <f t="shared" si="14"/>
        <v>2977</v>
      </c>
      <c r="J389" s="287">
        <f t="shared" si="15"/>
        <v>2977</v>
      </c>
      <c r="K389" s="288">
        <f t="shared" si="16"/>
        <v>2748</v>
      </c>
      <c r="L389" s="287">
        <f t="shared" si="17"/>
        <v>2633.5</v>
      </c>
      <c r="M389" s="288">
        <f t="shared" si="18"/>
        <v>2519</v>
      </c>
      <c r="N389" s="40"/>
      <c r="O389" s="34"/>
      <c r="P389" s="35"/>
      <c r="Q389" s="35"/>
      <c r="R389" s="35"/>
      <c r="S389" s="35"/>
      <c r="T389" s="35"/>
      <c r="U389" s="35"/>
      <c r="V389" s="35"/>
      <c r="W389" s="35"/>
      <c r="X389" s="35"/>
      <c r="Y389" s="35"/>
      <c r="Z389" s="35"/>
    </row>
    <row r="390" ht="14.25" customHeight="1">
      <c r="A390" s="368"/>
      <c r="B390" s="368"/>
      <c r="C390" s="423" t="s">
        <v>2564</v>
      </c>
      <c r="D390" s="368"/>
      <c r="E390" s="117"/>
      <c r="F390" s="368"/>
      <c r="G390" s="363">
        <v>45866.0</v>
      </c>
      <c r="H390" s="285">
        <f t="shared" si="13"/>
        <v>0</v>
      </c>
      <c r="I390" s="286">
        <f t="shared" si="14"/>
        <v>0</v>
      </c>
      <c r="J390" s="287">
        <f t="shared" si="15"/>
        <v>0</v>
      </c>
      <c r="K390" s="288">
        <f t="shared" si="16"/>
        <v>0</v>
      </c>
      <c r="L390" s="287">
        <f t="shared" si="17"/>
        <v>0</v>
      </c>
      <c r="M390" s="288">
        <f t="shared" si="18"/>
        <v>0</v>
      </c>
      <c r="N390" s="40"/>
      <c r="O390" s="34"/>
      <c r="P390" s="35"/>
      <c r="Q390" s="35"/>
      <c r="R390" s="35"/>
      <c r="S390" s="35"/>
      <c r="T390" s="35"/>
      <c r="U390" s="35"/>
      <c r="V390" s="35"/>
      <c r="W390" s="35"/>
      <c r="X390" s="35"/>
      <c r="Y390" s="35"/>
      <c r="Z390" s="35"/>
    </row>
    <row r="391" ht="14.25" customHeight="1">
      <c r="A391" s="389" t="s">
        <v>2544</v>
      </c>
      <c r="B391" s="358" t="s">
        <v>2565</v>
      </c>
      <c r="C391" s="423" t="s">
        <v>2566</v>
      </c>
      <c r="D391" s="425" t="s">
        <v>2567</v>
      </c>
      <c r="E391" s="117"/>
      <c r="F391" s="376">
        <v>2090.0</v>
      </c>
      <c r="G391" s="363">
        <v>45866.0</v>
      </c>
      <c r="H391" s="285">
        <f t="shared" si="13"/>
        <v>3135</v>
      </c>
      <c r="I391" s="286">
        <f t="shared" si="14"/>
        <v>2717</v>
      </c>
      <c r="J391" s="287">
        <f t="shared" si="15"/>
        <v>2717</v>
      </c>
      <c r="K391" s="288">
        <f t="shared" si="16"/>
        <v>2508</v>
      </c>
      <c r="L391" s="287">
        <f t="shared" si="17"/>
        <v>2403.5</v>
      </c>
      <c r="M391" s="288">
        <f t="shared" si="18"/>
        <v>2299</v>
      </c>
      <c r="N391" s="40"/>
      <c r="O391" s="34"/>
      <c r="P391" s="35"/>
      <c r="Q391" s="35"/>
      <c r="R391" s="35"/>
      <c r="S391" s="35"/>
      <c r="T391" s="35"/>
      <c r="U391" s="35"/>
      <c r="V391" s="35"/>
      <c r="W391" s="35"/>
      <c r="X391" s="35"/>
      <c r="Y391" s="35"/>
      <c r="Z391" s="35"/>
    </row>
    <row r="392" ht="14.25" customHeight="1">
      <c r="A392" s="368"/>
      <c r="B392" s="368"/>
      <c r="C392" s="426" t="s">
        <v>2568</v>
      </c>
      <c r="D392" s="368"/>
      <c r="E392" s="117"/>
      <c r="F392" s="368"/>
      <c r="G392" s="363">
        <v>45866.0</v>
      </c>
      <c r="H392" s="285">
        <f t="shared" si="13"/>
        <v>0</v>
      </c>
      <c r="I392" s="286">
        <f t="shared" si="14"/>
        <v>0</v>
      </c>
      <c r="J392" s="287">
        <f t="shared" si="15"/>
        <v>0</v>
      </c>
      <c r="K392" s="288">
        <f t="shared" si="16"/>
        <v>0</v>
      </c>
      <c r="L392" s="287">
        <f t="shared" si="17"/>
        <v>0</v>
      </c>
      <c r="M392" s="288">
        <f t="shared" si="18"/>
        <v>0</v>
      </c>
      <c r="N392" s="40"/>
      <c r="O392" s="34"/>
      <c r="P392" s="35"/>
      <c r="Q392" s="35"/>
      <c r="R392" s="35"/>
      <c r="S392" s="35"/>
      <c r="T392" s="35"/>
      <c r="U392" s="35"/>
      <c r="V392" s="35"/>
      <c r="W392" s="35"/>
      <c r="X392" s="35"/>
      <c r="Y392" s="35"/>
      <c r="Z392" s="35"/>
    </row>
    <row r="393" ht="14.25" customHeight="1">
      <c r="A393" s="420"/>
      <c r="B393" s="427" t="s">
        <v>2569</v>
      </c>
      <c r="C393" s="427" t="s">
        <v>2569</v>
      </c>
      <c r="D393" s="428" t="s">
        <v>2570</v>
      </c>
      <c r="E393" s="429" t="s">
        <v>2571</v>
      </c>
      <c r="F393" s="397">
        <v>18980.0</v>
      </c>
      <c r="G393" s="363">
        <v>45866.0</v>
      </c>
      <c r="H393" s="285">
        <f t="shared" si="13"/>
        <v>28470</v>
      </c>
      <c r="I393" s="286">
        <f t="shared" si="14"/>
        <v>24674</v>
      </c>
      <c r="J393" s="287">
        <f t="shared" si="15"/>
        <v>24674</v>
      </c>
      <c r="K393" s="288">
        <f t="shared" si="16"/>
        <v>22776</v>
      </c>
      <c r="L393" s="287">
        <f t="shared" si="17"/>
        <v>21827</v>
      </c>
      <c r="M393" s="288">
        <f t="shared" si="18"/>
        <v>20878</v>
      </c>
      <c r="N393" s="40"/>
      <c r="O393" s="34"/>
      <c r="P393" s="35"/>
      <c r="Q393" s="35"/>
      <c r="R393" s="35"/>
      <c r="S393" s="35"/>
      <c r="T393" s="35"/>
      <c r="U393" s="35"/>
      <c r="V393" s="35"/>
      <c r="W393" s="35"/>
      <c r="X393" s="35"/>
      <c r="Y393" s="35"/>
      <c r="Z393" s="35"/>
    </row>
    <row r="394" ht="14.25" customHeight="1">
      <c r="A394" s="420"/>
      <c r="B394" s="427" t="s">
        <v>2572</v>
      </c>
      <c r="C394" s="427" t="s">
        <v>2572</v>
      </c>
      <c r="D394" s="428" t="s">
        <v>2573</v>
      </c>
      <c r="E394" s="429" t="s">
        <v>2571</v>
      </c>
      <c r="F394" s="397">
        <v>18980.0</v>
      </c>
      <c r="G394" s="363">
        <v>45866.0</v>
      </c>
      <c r="H394" s="285">
        <f t="shared" si="13"/>
        <v>28470</v>
      </c>
      <c r="I394" s="286">
        <f t="shared" si="14"/>
        <v>24674</v>
      </c>
      <c r="J394" s="287">
        <f t="shared" si="15"/>
        <v>24674</v>
      </c>
      <c r="K394" s="288">
        <f t="shared" si="16"/>
        <v>22776</v>
      </c>
      <c r="L394" s="287">
        <f t="shared" si="17"/>
        <v>21827</v>
      </c>
      <c r="M394" s="288">
        <f t="shared" si="18"/>
        <v>20878</v>
      </c>
      <c r="N394" s="40"/>
      <c r="O394" s="34"/>
      <c r="P394" s="35"/>
      <c r="Q394" s="35"/>
      <c r="R394" s="35"/>
      <c r="S394" s="35"/>
      <c r="T394" s="35"/>
      <c r="U394" s="35"/>
      <c r="V394" s="35"/>
      <c r="W394" s="35"/>
      <c r="X394" s="35"/>
      <c r="Y394" s="35"/>
      <c r="Z394" s="35"/>
    </row>
    <row r="395" ht="14.25" customHeight="1">
      <c r="A395" s="420"/>
      <c r="B395" s="430" t="s">
        <v>2574</v>
      </c>
      <c r="C395" s="427" t="s">
        <v>2575</v>
      </c>
      <c r="D395" s="425" t="s">
        <v>2576</v>
      </c>
      <c r="E395" s="431"/>
      <c r="F395" s="432">
        <v>1750.0</v>
      </c>
      <c r="G395" s="363">
        <v>45866.0</v>
      </c>
      <c r="H395" s="285">
        <f t="shared" si="13"/>
        <v>2625</v>
      </c>
      <c r="I395" s="286">
        <f t="shared" si="14"/>
        <v>2275</v>
      </c>
      <c r="J395" s="287">
        <f t="shared" si="15"/>
        <v>2275</v>
      </c>
      <c r="K395" s="288">
        <f t="shared" si="16"/>
        <v>2100</v>
      </c>
      <c r="L395" s="287">
        <f t="shared" si="17"/>
        <v>2012.5</v>
      </c>
      <c r="M395" s="288">
        <f t="shared" si="18"/>
        <v>1925</v>
      </c>
      <c r="N395" s="40"/>
      <c r="O395" s="34"/>
      <c r="P395" s="35"/>
      <c r="Q395" s="35"/>
      <c r="R395" s="35"/>
      <c r="S395" s="35"/>
      <c r="T395" s="35"/>
      <c r="U395" s="35"/>
      <c r="V395" s="35"/>
      <c r="W395" s="35"/>
      <c r="X395" s="35"/>
      <c r="Y395" s="35"/>
      <c r="Z395" s="35"/>
    </row>
    <row r="396" ht="14.25" customHeight="1">
      <c r="A396" s="420"/>
      <c r="B396" s="368"/>
      <c r="C396" s="427" t="s">
        <v>2577</v>
      </c>
      <c r="D396" s="368"/>
      <c r="E396" s="431"/>
      <c r="F396" s="368"/>
      <c r="G396" s="363">
        <v>45866.0</v>
      </c>
      <c r="H396" s="285">
        <f t="shared" si="13"/>
        <v>0</v>
      </c>
      <c r="I396" s="286">
        <f t="shared" si="14"/>
        <v>0</v>
      </c>
      <c r="J396" s="287">
        <f t="shared" si="15"/>
        <v>0</v>
      </c>
      <c r="K396" s="288">
        <f t="shared" si="16"/>
        <v>0</v>
      </c>
      <c r="L396" s="287">
        <f t="shared" si="17"/>
        <v>0</v>
      </c>
      <c r="M396" s="288">
        <f t="shared" si="18"/>
        <v>0</v>
      </c>
      <c r="N396" s="40"/>
      <c r="O396" s="34"/>
      <c r="P396" s="35"/>
      <c r="Q396" s="35"/>
      <c r="R396" s="35"/>
      <c r="S396" s="35"/>
      <c r="T396" s="35"/>
      <c r="U396" s="35"/>
      <c r="V396" s="35"/>
      <c r="W396" s="35"/>
      <c r="X396" s="35"/>
      <c r="Y396" s="35"/>
      <c r="Z396" s="35"/>
    </row>
    <row r="397" ht="14.25" customHeight="1">
      <c r="A397" s="420"/>
      <c r="B397" s="430" t="s">
        <v>2578</v>
      </c>
      <c r="C397" s="427" t="s">
        <v>2579</v>
      </c>
      <c r="D397" s="425" t="s">
        <v>2580</v>
      </c>
      <c r="E397" s="431"/>
      <c r="F397" s="432">
        <v>1750.0</v>
      </c>
      <c r="G397" s="363">
        <v>45866.0</v>
      </c>
      <c r="H397" s="285">
        <f t="shared" si="13"/>
        <v>2625</v>
      </c>
      <c r="I397" s="286">
        <f t="shared" si="14"/>
        <v>2275</v>
      </c>
      <c r="J397" s="287">
        <f t="shared" si="15"/>
        <v>2275</v>
      </c>
      <c r="K397" s="288">
        <f t="shared" si="16"/>
        <v>2100</v>
      </c>
      <c r="L397" s="287">
        <f t="shared" si="17"/>
        <v>2012.5</v>
      </c>
      <c r="M397" s="288">
        <f t="shared" si="18"/>
        <v>1925</v>
      </c>
      <c r="N397" s="40"/>
      <c r="O397" s="34"/>
      <c r="P397" s="35"/>
      <c r="Q397" s="35"/>
      <c r="R397" s="35"/>
      <c r="S397" s="35"/>
      <c r="T397" s="35"/>
      <c r="U397" s="35"/>
      <c r="V397" s="35"/>
      <c r="W397" s="35"/>
      <c r="X397" s="35"/>
      <c r="Y397" s="35"/>
      <c r="Z397" s="35"/>
    </row>
    <row r="398" ht="14.25" customHeight="1">
      <c r="A398" s="420"/>
      <c r="B398" s="368"/>
      <c r="C398" s="427" t="s">
        <v>2581</v>
      </c>
      <c r="D398" s="368"/>
      <c r="E398" s="431"/>
      <c r="F398" s="368"/>
      <c r="G398" s="363">
        <v>45866.0</v>
      </c>
      <c r="H398" s="285">
        <f t="shared" si="13"/>
        <v>0</v>
      </c>
      <c r="I398" s="286">
        <f t="shared" si="14"/>
        <v>0</v>
      </c>
      <c r="J398" s="287">
        <f t="shared" si="15"/>
        <v>0</v>
      </c>
      <c r="K398" s="288">
        <f t="shared" si="16"/>
        <v>0</v>
      </c>
      <c r="L398" s="287">
        <f t="shared" si="17"/>
        <v>0</v>
      </c>
      <c r="M398" s="288">
        <f t="shared" si="18"/>
        <v>0</v>
      </c>
      <c r="N398" s="40"/>
      <c r="O398" s="34"/>
      <c r="P398" s="35"/>
      <c r="Q398" s="35"/>
      <c r="R398" s="35"/>
      <c r="S398" s="35"/>
      <c r="T398" s="35"/>
      <c r="U398" s="35"/>
      <c r="V398" s="35"/>
      <c r="W398" s="35"/>
      <c r="X398" s="35"/>
      <c r="Y398" s="35"/>
      <c r="Z398" s="35"/>
    </row>
    <row r="399" ht="14.25" customHeight="1">
      <c r="A399" s="420"/>
      <c r="B399" s="430" t="s">
        <v>2582</v>
      </c>
      <c r="C399" s="427" t="s">
        <v>2583</v>
      </c>
      <c r="D399" s="425" t="s">
        <v>2584</v>
      </c>
      <c r="E399" s="431"/>
      <c r="F399" s="417">
        <v>2300.0</v>
      </c>
      <c r="G399" s="363">
        <v>45866.0</v>
      </c>
      <c r="H399" s="285">
        <f t="shared" si="13"/>
        <v>3450</v>
      </c>
      <c r="I399" s="286">
        <f t="shared" si="14"/>
        <v>2990</v>
      </c>
      <c r="J399" s="287">
        <f t="shared" si="15"/>
        <v>2990</v>
      </c>
      <c r="K399" s="288">
        <f t="shared" si="16"/>
        <v>2760</v>
      </c>
      <c r="L399" s="287">
        <f t="shared" si="17"/>
        <v>2645</v>
      </c>
      <c r="M399" s="288">
        <f t="shared" si="18"/>
        <v>2530</v>
      </c>
      <c r="N399" s="40"/>
      <c r="O399" s="34"/>
      <c r="P399" s="35"/>
      <c r="Q399" s="35"/>
      <c r="R399" s="35"/>
      <c r="S399" s="35"/>
      <c r="T399" s="35"/>
      <c r="U399" s="35"/>
      <c r="V399" s="35"/>
      <c r="W399" s="35"/>
      <c r="X399" s="35"/>
      <c r="Y399" s="35"/>
      <c r="Z399" s="35"/>
    </row>
    <row r="400" ht="14.25" customHeight="1">
      <c r="A400" s="420"/>
      <c r="B400" s="368"/>
      <c r="C400" s="427" t="s">
        <v>2585</v>
      </c>
      <c r="D400" s="368"/>
      <c r="E400" s="431"/>
      <c r="F400" s="368"/>
      <c r="G400" s="363">
        <v>45866.0</v>
      </c>
      <c r="H400" s="285">
        <f t="shared" si="13"/>
        <v>0</v>
      </c>
      <c r="I400" s="286">
        <f t="shared" si="14"/>
        <v>0</v>
      </c>
      <c r="J400" s="287">
        <f t="shared" si="15"/>
        <v>0</v>
      </c>
      <c r="K400" s="288">
        <f t="shared" si="16"/>
        <v>0</v>
      </c>
      <c r="L400" s="287">
        <f t="shared" si="17"/>
        <v>0</v>
      </c>
      <c r="M400" s="288">
        <f t="shared" si="18"/>
        <v>0</v>
      </c>
      <c r="N400" s="40"/>
      <c r="O400" s="34"/>
      <c r="P400" s="35"/>
      <c r="Q400" s="35"/>
      <c r="R400" s="35"/>
      <c r="S400" s="35"/>
      <c r="T400" s="35"/>
      <c r="U400" s="35"/>
      <c r="V400" s="35"/>
      <c r="W400" s="35"/>
      <c r="X400" s="35"/>
      <c r="Y400" s="35"/>
      <c r="Z400" s="35"/>
    </row>
    <row r="401" ht="14.25" customHeight="1">
      <c r="A401" s="420"/>
      <c r="B401" s="430" t="s">
        <v>2586</v>
      </c>
      <c r="C401" s="427" t="s">
        <v>2587</v>
      </c>
      <c r="D401" s="425" t="s">
        <v>2588</v>
      </c>
      <c r="E401" s="431"/>
      <c r="F401" s="417">
        <v>2300.0</v>
      </c>
      <c r="G401" s="363">
        <v>45866.0</v>
      </c>
      <c r="H401" s="285">
        <f t="shared" si="13"/>
        <v>3450</v>
      </c>
      <c r="I401" s="286">
        <f t="shared" si="14"/>
        <v>2990</v>
      </c>
      <c r="J401" s="287">
        <f t="shared" si="15"/>
        <v>2990</v>
      </c>
      <c r="K401" s="288">
        <f t="shared" si="16"/>
        <v>2760</v>
      </c>
      <c r="L401" s="287">
        <f t="shared" si="17"/>
        <v>2645</v>
      </c>
      <c r="M401" s="288">
        <f t="shared" si="18"/>
        <v>2530</v>
      </c>
      <c r="N401" s="40"/>
      <c r="O401" s="34"/>
      <c r="P401" s="35"/>
      <c r="Q401" s="35"/>
      <c r="R401" s="35"/>
      <c r="S401" s="35"/>
      <c r="T401" s="35"/>
      <c r="U401" s="35"/>
      <c r="V401" s="35"/>
      <c r="W401" s="35"/>
      <c r="X401" s="35"/>
      <c r="Y401" s="35"/>
      <c r="Z401" s="35"/>
    </row>
    <row r="402" ht="14.25" customHeight="1">
      <c r="A402" s="420"/>
      <c r="B402" s="368"/>
      <c r="C402" s="427" t="s">
        <v>2589</v>
      </c>
      <c r="D402" s="368"/>
      <c r="E402" s="431"/>
      <c r="F402" s="368"/>
      <c r="G402" s="363">
        <v>45866.0</v>
      </c>
      <c r="H402" s="285">
        <f t="shared" si="13"/>
        <v>0</v>
      </c>
      <c r="I402" s="286">
        <f t="shared" si="14"/>
        <v>0</v>
      </c>
      <c r="J402" s="287">
        <f t="shared" si="15"/>
        <v>0</v>
      </c>
      <c r="K402" s="288">
        <f t="shared" si="16"/>
        <v>0</v>
      </c>
      <c r="L402" s="287">
        <f t="shared" si="17"/>
        <v>0</v>
      </c>
      <c r="M402" s="288">
        <f t="shared" si="18"/>
        <v>0</v>
      </c>
      <c r="N402" s="40"/>
      <c r="O402" s="34"/>
      <c r="P402" s="35"/>
      <c r="Q402" s="35"/>
      <c r="R402" s="35"/>
      <c r="S402" s="35"/>
      <c r="T402" s="35"/>
      <c r="U402" s="35"/>
      <c r="V402" s="35"/>
      <c r="W402" s="35"/>
      <c r="X402" s="35"/>
      <c r="Y402" s="35"/>
      <c r="Z402" s="35"/>
    </row>
    <row r="403" ht="14.25" customHeight="1">
      <c r="A403" s="420"/>
      <c r="B403" s="430" t="s">
        <v>2590</v>
      </c>
      <c r="C403" s="427" t="s">
        <v>2591</v>
      </c>
      <c r="D403" s="425" t="s">
        <v>2592</v>
      </c>
      <c r="E403" s="431"/>
      <c r="F403" s="417">
        <v>2520.0</v>
      </c>
      <c r="G403" s="363">
        <v>45866.0</v>
      </c>
      <c r="H403" s="285">
        <f t="shared" si="13"/>
        <v>3780</v>
      </c>
      <c r="I403" s="286">
        <f t="shared" si="14"/>
        <v>3276</v>
      </c>
      <c r="J403" s="287">
        <f t="shared" si="15"/>
        <v>3276</v>
      </c>
      <c r="K403" s="288">
        <f t="shared" si="16"/>
        <v>3024</v>
      </c>
      <c r="L403" s="287">
        <f t="shared" si="17"/>
        <v>2898</v>
      </c>
      <c r="M403" s="288">
        <f t="shared" si="18"/>
        <v>2772</v>
      </c>
      <c r="N403" s="40"/>
      <c r="O403" s="34"/>
      <c r="P403" s="35"/>
      <c r="Q403" s="35"/>
      <c r="R403" s="35"/>
      <c r="S403" s="35"/>
      <c r="T403" s="35"/>
      <c r="U403" s="35"/>
      <c r="V403" s="35"/>
      <c r="W403" s="35"/>
      <c r="X403" s="35"/>
      <c r="Y403" s="35"/>
      <c r="Z403" s="35"/>
    </row>
    <row r="404" ht="14.25" customHeight="1">
      <c r="A404" s="420"/>
      <c r="B404" s="368"/>
      <c r="C404" s="427" t="s">
        <v>2593</v>
      </c>
      <c r="D404" s="368"/>
      <c r="E404" s="431"/>
      <c r="F404" s="368"/>
      <c r="G404" s="363">
        <v>45866.0</v>
      </c>
      <c r="H404" s="285">
        <f t="shared" si="13"/>
        <v>0</v>
      </c>
      <c r="I404" s="286">
        <f t="shared" si="14"/>
        <v>0</v>
      </c>
      <c r="J404" s="287">
        <f t="shared" si="15"/>
        <v>0</v>
      </c>
      <c r="K404" s="288">
        <f t="shared" si="16"/>
        <v>0</v>
      </c>
      <c r="L404" s="287">
        <f t="shared" si="17"/>
        <v>0</v>
      </c>
      <c r="M404" s="288">
        <f t="shared" si="18"/>
        <v>0</v>
      </c>
      <c r="N404" s="40"/>
      <c r="O404" s="34"/>
      <c r="P404" s="35"/>
      <c r="Q404" s="35"/>
      <c r="R404" s="35"/>
      <c r="S404" s="35"/>
      <c r="T404" s="35"/>
      <c r="U404" s="35"/>
      <c r="V404" s="35"/>
      <c r="W404" s="35"/>
      <c r="X404" s="35"/>
      <c r="Y404" s="35"/>
      <c r="Z404" s="35"/>
    </row>
    <row r="405" ht="14.25" customHeight="1">
      <c r="A405" s="420"/>
      <c r="B405" s="430" t="s">
        <v>2594</v>
      </c>
      <c r="C405" s="427" t="s">
        <v>2595</v>
      </c>
      <c r="D405" s="425" t="s">
        <v>2596</v>
      </c>
      <c r="E405" s="431"/>
      <c r="F405" s="417">
        <v>2520.0</v>
      </c>
      <c r="G405" s="363">
        <v>45866.0</v>
      </c>
      <c r="H405" s="285">
        <f t="shared" si="13"/>
        <v>3780</v>
      </c>
      <c r="I405" s="286">
        <f t="shared" si="14"/>
        <v>3276</v>
      </c>
      <c r="J405" s="287">
        <f t="shared" si="15"/>
        <v>3276</v>
      </c>
      <c r="K405" s="288">
        <f t="shared" si="16"/>
        <v>3024</v>
      </c>
      <c r="L405" s="287">
        <f t="shared" si="17"/>
        <v>2898</v>
      </c>
      <c r="M405" s="288">
        <f t="shared" si="18"/>
        <v>2772</v>
      </c>
      <c r="N405" s="40"/>
      <c r="O405" s="34"/>
      <c r="P405" s="35"/>
      <c r="Q405" s="35"/>
      <c r="R405" s="35"/>
      <c r="S405" s="35"/>
      <c r="T405" s="35"/>
      <c r="U405" s="35"/>
      <c r="V405" s="35"/>
      <c r="W405" s="35"/>
      <c r="X405" s="35"/>
      <c r="Y405" s="35"/>
      <c r="Z405" s="35"/>
    </row>
    <row r="406" ht="14.25" customHeight="1">
      <c r="A406" s="420"/>
      <c r="B406" s="368"/>
      <c r="C406" s="427" t="s">
        <v>2597</v>
      </c>
      <c r="D406" s="368"/>
      <c r="E406" s="431"/>
      <c r="F406" s="368"/>
      <c r="G406" s="363">
        <v>45866.0</v>
      </c>
      <c r="H406" s="285">
        <f t="shared" si="13"/>
        <v>0</v>
      </c>
      <c r="I406" s="286">
        <f t="shared" si="14"/>
        <v>0</v>
      </c>
      <c r="J406" s="287">
        <f t="shared" si="15"/>
        <v>0</v>
      </c>
      <c r="K406" s="288">
        <f t="shared" si="16"/>
        <v>0</v>
      </c>
      <c r="L406" s="287">
        <f t="shared" si="17"/>
        <v>0</v>
      </c>
      <c r="M406" s="288">
        <f t="shared" si="18"/>
        <v>0</v>
      </c>
      <c r="N406" s="40"/>
      <c r="O406" s="34"/>
      <c r="P406" s="35"/>
      <c r="Q406" s="35"/>
      <c r="R406" s="35"/>
      <c r="S406" s="35"/>
      <c r="T406" s="35"/>
      <c r="U406" s="35"/>
      <c r="V406" s="35"/>
      <c r="W406" s="35"/>
      <c r="X406" s="35"/>
      <c r="Y406" s="35"/>
      <c r="Z406" s="35"/>
    </row>
    <row r="407" ht="14.25" customHeight="1">
      <c r="A407" s="420"/>
      <c r="B407" s="433" t="s">
        <v>2598</v>
      </c>
      <c r="C407" s="434" t="s">
        <v>2599</v>
      </c>
      <c r="D407" s="425" t="s">
        <v>2600</v>
      </c>
      <c r="E407" s="431"/>
      <c r="F407" s="417">
        <v>2880.0</v>
      </c>
      <c r="G407" s="363">
        <v>45866.0</v>
      </c>
      <c r="H407" s="285">
        <f t="shared" si="13"/>
        <v>4320</v>
      </c>
      <c r="I407" s="286">
        <f t="shared" si="14"/>
        <v>3744</v>
      </c>
      <c r="J407" s="287">
        <f t="shared" si="15"/>
        <v>3744</v>
      </c>
      <c r="K407" s="288">
        <f t="shared" si="16"/>
        <v>3456</v>
      </c>
      <c r="L407" s="287">
        <f t="shared" si="17"/>
        <v>3312</v>
      </c>
      <c r="M407" s="288">
        <f t="shared" si="18"/>
        <v>3168</v>
      </c>
      <c r="N407" s="40"/>
      <c r="O407" s="34"/>
      <c r="P407" s="35"/>
      <c r="Q407" s="35"/>
      <c r="R407" s="35"/>
      <c r="S407" s="35"/>
      <c r="T407" s="35"/>
      <c r="U407" s="35"/>
      <c r="V407" s="35"/>
      <c r="W407" s="35"/>
      <c r="X407" s="35"/>
      <c r="Y407" s="35"/>
      <c r="Z407" s="35"/>
    </row>
    <row r="408" ht="14.25" customHeight="1">
      <c r="A408" s="420"/>
      <c r="B408" s="368"/>
      <c r="C408" s="368"/>
      <c r="D408" s="368"/>
      <c r="E408" s="431"/>
      <c r="F408" s="368"/>
      <c r="G408" s="363">
        <v>45866.0</v>
      </c>
      <c r="H408" s="285">
        <f t="shared" si="13"/>
        <v>0</v>
      </c>
      <c r="I408" s="286">
        <f t="shared" si="14"/>
        <v>0</v>
      </c>
      <c r="J408" s="287">
        <f t="shared" si="15"/>
        <v>0</v>
      </c>
      <c r="K408" s="288">
        <f t="shared" si="16"/>
        <v>0</v>
      </c>
      <c r="L408" s="287">
        <f t="shared" si="17"/>
        <v>0</v>
      </c>
      <c r="M408" s="288">
        <f t="shared" si="18"/>
        <v>0</v>
      </c>
      <c r="N408" s="40"/>
      <c r="O408" s="34"/>
      <c r="P408" s="35"/>
      <c r="Q408" s="35"/>
      <c r="R408" s="35"/>
      <c r="S408" s="35"/>
      <c r="T408" s="35"/>
      <c r="U408" s="35"/>
      <c r="V408" s="35"/>
      <c r="W408" s="35"/>
      <c r="X408" s="35"/>
      <c r="Y408" s="35"/>
      <c r="Z408" s="35"/>
    </row>
    <row r="409" ht="14.25" customHeight="1">
      <c r="A409" s="420"/>
      <c r="B409" s="430" t="s">
        <v>2601</v>
      </c>
      <c r="C409" s="427" t="s">
        <v>2602</v>
      </c>
      <c r="D409" s="425" t="s">
        <v>2603</v>
      </c>
      <c r="E409" s="431"/>
      <c r="F409" s="432">
        <v>2200.0</v>
      </c>
      <c r="G409" s="363">
        <v>45866.0</v>
      </c>
      <c r="H409" s="285">
        <f t="shared" si="13"/>
        <v>3300</v>
      </c>
      <c r="I409" s="286">
        <f t="shared" si="14"/>
        <v>2860</v>
      </c>
      <c r="J409" s="287">
        <f t="shared" si="15"/>
        <v>2860</v>
      </c>
      <c r="K409" s="288">
        <f t="shared" si="16"/>
        <v>2640</v>
      </c>
      <c r="L409" s="287">
        <f t="shared" si="17"/>
        <v>2530</v>
      </c>
      <c r="M409" s="288">
        <f t="shared" si="18"/>
        <v>2420</v>
      </c>
      <c r="N409" s="40"/>
      <c r="O409" s="34"/>
      <c r="P409" s="35"/>
      <c r="Q409" s="35"/>
      <c r="R409" s="35"/>
      <c r="S409" s="35"/>
      <c r="T409" s="35"/>
      <c r="U409" s="35"/>
      <c r="V409" s="35"/>
      <c r="W409" s="35"/>
      <c r="X409" s="35"/>
      <c r="Y409" s="35"/>
      <c r="Z409" s="35"/>
    </row>
    <row r="410" ht="14.25" customHeight="1">
      <c r="A410" s="420"/>
      <c r="B410" s="368"/>
      <c r="C410" s="427" t="s">
        <v>2604</v>
      </c>
      <c r="D410" s="368"/>
      <c r="E410" s="431"/>
      <c r="F410" s="368"/>
      <c r="G410" s="363">
        <v>45866.0</v>
      </c>
      <c r="H410" s="285">
        <f t="shared" si="13"/>
        <v>0</v>
      </c>
      <c r="I410" s="286">
        <f t="shared" si="14"/>
        <v>0</v>
      </c>
      <c r="J410" s="287">
        <f t="shared" si="15"/>
        <v>0</v>
      </c>
      <c r="K410" s="288">
        <f t="shared" si="16"/>
        <v>0</v>
      </c>
      <c r="L410" s="287">
        <f t="shared" si="17"/>
        <v>0</v>
      </c>
      <c r="M410" s="288">
        <f t="shared" si="18"/>
        <v>0</v>
      </c>
      <c r="N410" s="40"/>
      <c r="O410" s="34"/>
      <c r="P410" s="35"/>
      <c r="Q410" s="35"/>
      <c r="R410" s="35"/>
      <c r="S410" s="35"/>
      <c r="T410" s="35"/>
      <c r="U410" s="35"/>
      <c r="V410" s="35"/>
      <c r="W410" s="35"/>
      <c r="X410" s="35"/>
      <c r="Y410" s="35"/>
      <c r="Z410" s="35"/>
    </row>
    <row r="411" ht="14.25" customHeight="1">
      <c r="A411" s="420"/>
      <c r="B411" s="430" t="s">
        <v>2605</v>
      </c>
      <c r="C411" s="427" t="s">
        <v>2606</v>
      </c>
      <c r="D411" s="425" t="s">
        <v>2603</v>
      </c>
      <c r="E411" s="431"/>
      <c r="F411" s="432">
        <v>2200.0</v>
      </c>
      <c r="G411" s="363">
        <v>45866.0</v>
      </c>
      <c r="H411" s="285">
        <f t="shared" si="13"/>
        <v>3300</v>
      </c>
      <c r="I411" s="286">
        <f t="shared" si="14"/>
        <v>2860</v>
      </c>
      <c r="J411" s="287">
        <f t="shared" si="15"/>
        <v>2860</v>
      </c>
      <c r="K411" s="288">
        <f t="shared" si="16"/>
        <v>2640</v>
      </c>
      <c r="L411" s="287">
        <f t="shared" si="17"/>
        <v>2530</v>
      </c>
      <c r="M411" s="288">
        <f t="shared" si="18"/>
        <v>2420</v>
      </c>
      <c r="N411" s="40"/>
      <c r="O411" s="34"/>
      <c r="P411" s="35"/>
      <c r="Q411" s="35"/>
      <c r="R411" s="35"/>
      <c r="S411" s="35"/>
      <c r="T411" s="35"/>
      <c r="U411" s="35"/>
      <c r="V411" s="35"/>
      <c r="W411" s="35"/>
      <c r="X411" s="35"/>
      <c r="Y411" s="35"/>
      <c r="Z411" s="35"/>
    </row>
    <row r="412" ht="14.25" customHeight="1">
      <c r="A412" s="420"/>
      <c r="B412" s="368"/>
      <c r="C412" s="427" t="s">
        <v>2607</v>
      </c>
      <c r="D412" s="368"/>
      <c r="E412" s="431"/>
      <c r="F412" s="368"/>
      <c r="G412" s="363">
        <v>45866.0</v>
      </c>
      <c r="H412" s="285">
        <f t="shared" si="13"/>
        <v>0</v>
      </c>
      <c r="I412" s="286">
        <f t="shared" si="14"/>
        <v>0</v>
      </c>
      <c r="J412" s="287">
        <f t="shared" si="15"/>
        <v>0</v>
      </c>
      <c r="K412" s="288">
        <f t="shared" si="16"/>
        <v>0</v>
      </c>
      <c r="L412" s="287">
        <f t="shared" si="17"/>
        <v>0</v>
      </c>
      <c r="M412" s="288">
        <f t="shared" si="18"/>
        <v>0</v>
      </c>
      <c r="N412" s="40"/>
      <c r="O412" s="34"/>
      <c r="P412" s="35"/>
      <c r="Q412" s="35"/>
      <c r="R412" s="35"/>
      <c r="S412" s="35"/>
      <c r="T412" s="35"/>
      <c r="U412" s="35"/>
      <c r="V412" s="35"/>
      <c r="W412" s="35"/>
      <c r="X412" s="35"/>
      <c r="Y412" s="35"/>
      <c r="Z412" s="35"/>
    </row>
    <row r="413" ht="14.25" customHeight="1">
      <c r="A413" s="420"/>
      <c r="B413" s="430" t="s">
        <v>2608</v>
      </c>
      <c r="C413" s="427" t="s">
        <v>2609</v>
      </c>
      <c r="D413" s="425" t="s">
        <v>2610</v>
      </c>
      <c r="E413" s="431"/>
      <c r="F413" s="417">
        <v>2680.0</v>
      </c>
      <c r="G413" s="363">
        <v>45866.0</v>
      </c>
      <c r="H413" s="285">
        <f t="shared" si="13"/>
        <v>4020</v>
      </c>
      <c r="I413" s="286">
        <f t="shared" si="14"/>
        <v>3484</v>
      </c>
      <c r="J413" s="287">
        <f t="shared" si="15"/>
        <v>3484</v>
      </c>
      <c r="K413" s="288">
        <f t="shared" si="16"/>
        <v>3216</v>
      </c>
      <c r="L413" s="287">
        <f t="shared" si="17"/>
        <v>3082</v>
      </c>
      <c r="M413" s="288">
        <f t="shared" si="18"/>
        <v>2948</v>
      </c>
      <c r="N413" s="40"/>
      <c r="O413" s="34"/>
      <c r="P413" s="35"/>
      <c r="Q413" s="35"/>
      <c r="R413" s="35"/>
      <c r="S413" s="35"/>
      <c r="T413" s="35"/>
      <c r="U413" s="35"/>
      <c r="V413" s="35"/>
      <c r="W413" s="35"/>
      <c r="X413" s="35"/>
      <c r="Y413" s="35"/>
      <c r="Z413" s="35"/>
    </row>
    <row r="414" ht="14.25" customHeight="1">
      <c r="A414" s="420"/>
      <c r="B414" s="368"/>
      <c r="C414" s="427" t="s">
        <v>2611</v>
      </c>
      <c r="D414" s="368"/>
      <c r="E414" s="431"/>
      <c r="F414" s="368"/>
      <c r="G414" s="363">
        <v>45866.0</v>
      </c>
      <c r="H414" s="285">
        <f t="shared" si="13"/>
        <v>0</v>
      </c>
      <c r="I414" s="286">
        <f t="shared" si="14"/>
        <v>0</v>
      </c>
      <c r="J414" s="287">
        <f t="shared" si="15"/>
        <v>0</v>
      </c>
      <c r="K414" s="288">
        <f t="shared" si="16"/>
        <v>0</v>
      </c>
      <c r="L414" s="287">
        <f t="shared" si="17"/>
        <v>0</v>
      </c>
      <c r="M414" s="288">
        <f t="shared" si="18"/>
        <v>0</v>
      </c>
      <c r="N414" s="40"/>
      <c r="O414" s="34"/>
      <c r="P414" s="35"/>
      <c r="Q414" s="35"/>
      <c r="R414" s="35"/>
      <c r="S414" s="35"/>
      <c r="T414" s="35"/>
      <c r="U414" s="35"/>
      <c r="V414" s="35"/>
      <c r="W414" s="35"/>
      <c r="X414" s="35"/>
      <c r="Y414" s="35"/>
      <c r="Z414" s="35"/>
    </row>
    <row r="415" ht="14.25" customHeight="1">
      <c r="A415" s="420"/>
      <c r="B415" s="430" t="s">
        <v>2612</v>
      </c>
      <c r="C415" s="427" t="s">
        <v>2613</v>
      </c>
      <c r="D415" s="425" t="s">
        <v>2610</v>
      </c>
      <c r="E415" s="431"/>
      <c r="F415" s="417">
        <v>2680.0</v>
      </c>
      <c r="G415" s="363">
        <v>45866.0</v>
      </c>
      <c r="H415" s="285">
        <f t="shared" si="13"/>
        <v>4020</v>
      </c>
      <c r="I415" s="286">
        <f t="shared" si="14"/>
        <v>3484</v>
      </c>
      <c r="J415" s="287">
        <f t="shared" si="15"/>
        <v>3484</v>
      </c>
      <c r="K415" s="288">
        <f t="shared" si="16"/>
        <v>3216</v>
      </c>
      <c r="L415" s="287">
        <f t="shared" si="17"/>
        <v>3082</v>
      </c>
      <c r="M415" s="288">
        <f t="shared" si="18"/>
        <v>2948</v>
      </c>
      <c r="N415" s="40"/>
      <c r="O415" s="34"/>
      <c r="P415" s="35"/>
      <c r="Q415" s="35"/>
      <c r="R415" s="35"/>
      <c r="S415" s="35"/>
      <c r="T415" s="35"/>
      <c r="U415" s="35"/>
      <c r="V415" s="35"/>
      <c r="W415" s="35"/>
      <c r="X415" s="35"/>
      <c r="Y415" s="35"/>
      <c r="Z415" s="35"/>
    </row>
    <row r="416" ht="14.25" customHeight="1">
      <c r="A416" s="420"/>
      <c r="B416" s="368"/>
      <c r="C416" s="427" t="s">
        <v>2614</v>
      </c>
      <c r="D416" s="368"/>
      <c r="E416" s="431"/>
      <c r="F416" s="368"/>
      <c r="G416" s="363">
        <v>45866.0</v>
      </c>
      <c r="H416" s="285">
        <f t="shared" si="13"/>
        <v>0</v>
      </c>
      <c r="I416" s="286">
        <f t="shared" si="14"/>
        <v>0</v>
      </c>
      <c r="J416" s="287">
        <f t="shared" si="15"/>
        <v>0</v>
      </c>
      <c r="K416" s="288">
        <f t="shared" si="16"/>
        <v>0</v>
      </c>
      <c r="L416" s="287">
        <f t="shared" si="17"/>
        <v>0</v>
      </c>
      <c r="M416" s="288">
        <f t="shared" si="18"/>
        <v>0</v>
      </c>
      <c r="N416" s="40"/>
      <c r="O416" s="34"/>
      <c r="P416" s="35"/>
      <c r="Q416" s="35"/>
      <c r="R416" s="35"/>
      <c r="S416" s="35"/>
      <c r="T416" s="35"/>
      <c r="U416" s="35"/>
      <c r="V416" s="35"/>
      <c r="W416" s="35"/>
      <c r="X416" s="35"/>
      <c r="Y416" s="35"/>
      <c r="Z416" s="35"/>
    </row>
    <row r="417" ht="14.25" customHeight="1">
      <c r="A417" s="420"/>
      <c r="B417" s="430" t="s">
        <v>2615</v>
      </c>
      <c r="C417" s="427" t="s">
        <v>2616</v>
      </c>
      <c r="D417" s="425" t="s">
        <v>2617</v>
      </c>
      <c r="E417" s="431"/>
      <c r="F417" s="417">
        <v>2750.0</v>
      </c>
      <c r="G417" s="363">
        <v>45866.0</v>
      </c>
      <c r="H417" s="285">
        <f t="shared" si="13"/>
        <v>4125</v>
      </c>
      <c r="I417" s="286">
        <f t="shared" si="14"/>
        <v>3575</v>
      </c>
      <c r="J417" s="287">
        <f t="shared" si="15"/>
        <v>3575</v>
      </c>
      <c r="K417" s="288">
        <f t="shared" si="16"/>
        <v>3300</v>
      </c>
      <c r="L417" s="287">
        <f t="shared" si="17"/>
        <v>3162.5</v>
      </c>
      <c r="M417" s="288">
        <f t="shared" si="18"/>
        <v>3025</v>
      </c>
      <c r="N417" s="40"/>
      <c r="O417" s="34"/>
      <c r="P417" s="35"/>
      <c r="Q417" s="35"/>
      <c r="R417" s="35"/>
      <c r="S417" s="35"/>
      <c r="T417" s="35"/>
      <c r="U417" s="35"/>
      <c r="V417" s="35"/>
      <c r="W417" s="35"/>
      <c r="X417" s="35"/>
      <c r="Y417" s="35"/>
      <c r="Z417" s="35"/>
    </row>
    <row r="418" ht="14.25" customHeight="1">
      <c r="A418" s="420"/>
      <c r="B418" s="368"/>
      <c r="C418" s="427" t="s">
        <v>2618</v>
      </c>
      <c r="D418" s="368"/>
      <c r="E418" s="431"/>
      <c r="F418" s="368"/>
      <c r="G418" s="363">
        <v>45866.0</v>
      </c>
      <c r="H418" s="285">
        <f t="shared" si="13"/>
        <v>0</v>
      </c>
      <c r="I418" s="286">
        <f t="shared" si="14"/>
        <v>0</v>
      </c>
      <c r="J418" s="287">
        <f t="shared" si="15"/>
        <v>0</v>
      </c>
      <c r="K418" s="288">
        <f t="shared" si="16"/>
        <v>0</v>
      </c>
      <c r="L418" s="287">
        <f t="shared" si="17"/>
        <v>0</v>
      </c>
      <c r="M418" s="288">
        <f t="shared" si="18"/>
        <v>0</v>
      </c>
      <c r="N418" s="40"/>
      <c r="O418" s="34"/>
      <c r="P418" s="35"/>
      <c r="Q418" s="35"/>
      <c r="R418" s="35"/>
      <c r="S418" s="35"/>
      <c r="T418" s="35"/>
      <c r="U418" s="35"/>
      <c r="V418" s="35"/>
      <c r="W418" s="35"/>
      <c r="X418" s="35"/>
      <c r="Y418" s="35"/>
      <c r="Z418" s="35"/>
    </row>
    <row r="419" ht="14.25" customHeight="1">
      <c r="A419" s="420"/>
      <c r="B419" s="430" t="s">
        <v>2619</v>
      </c>
      <c r="C419" s="427" t="s">
        <v>2620</v>
      </c>
      <c r="D419" s="425" t="s">
        <v>2617</v>
      </c>
      <c r="E419" s="431"/>
      <c r="F419" s="417">
        <v>2750.0</v>
      </c>
      <c r="G419" s="363">
        <v>45866.0</v>
      </c>
      <c r="H419" s="285">
        <f t="shared" si="13"/>
        <v>4125</v>
      </c>
      <c r="I419" s="286">
        <f t="shared" si="14"/>
        <v>3575</v>
      </c>
      <c r="J419" s="287">
        <f t="shared" si="15"/>
        <v>3575</v>
      </c>
      <c r="K419" s="288">
        <f t="shared" si="16"/>
        <v>3300</v>
      </c>
      <c r="L419" s="287">
        <f t="shared" si="17"/>
        <v>3162.5</v>
      </c>
      <c r="M419" s="288">
        <f t="shared" si="18"/>
        <v>3025</v>
      </c>
      <c r="N419" s="40"/>
      <c r="O419" s="34"/>
      <c r="P419" s="35"/>
      <c r="Q419" s="35"/>
      <c r="R419" s="35"/>
      <c r="S419" s="35"/>
      <c r="T419" s="35"/>
      <c r="U419" s="35"/>
      <c r="V419" s="35"/>
      <c r="W419" s="35"/>
      <c r="X419" s="35"/>
      <c r="Y419" s="35"/>
      <c r="Z419" s="35"/>
    </row>
    <row r="420" ht="14.25" customHeight="1">
      <c r="A420" s="420"/>
      <c r="B420" s="368"/>
      <c r="C420" s="427" t="s">
        <v>2621</v>
      </c>
      <c r="D420" s="368"/>
      <c r="E420" s="431"/>
      <c r="F420" s="368"/>
      <c r="G420" s="363">
        <v>45866.0</v>
      </c>
      <c r="H420" s="285">
        <f t="shared" si="13"/>
        <v>0</v>
      </c>
      <c r="I420" s="286">
        <f t="shared" si="14"/>
        <v>0</v>
      </c>
      <c r="J420" s="287">
        <f t="shared" si="15"/>
        <v>0</v>
      </c>
      <c r="K420" s="288">
        <f t="shared" si="16"/>
        <v>0</v>
      </c>
      <c r="L420" s="287">
        <f t="shared" si="17"/>
        <v>0</v>
      </c>
      <c r="M420" s="288">
        <f t="shared" si="18"/>
        <v>0</v>
      </c>
      <c r="N420" s="40"/>
      <c r="O420" s="34"/>
      <c r="P420" s="35"/>
      <c r="Q420" s="35"/>
      <c r="R420" s="35"/>
      <c r="S420" s="35"/>
      <c r="T420" s="35"/>
      <c r="U420" s="35"/>
      <c r="V420" s="35"/>
      <c r="W420" s="35"/>
      <c r="X420" s="35"/>
      <c r="Y420" s="35"/>
      <c r="Z420" s="35"/>
    </row>
    <row r="421" ht="14.25" customHeight="1">
      <c r="A421" s="420"/>
      <c r="B421" s="430" t="s">
        <v>2622</v>
      </c>
      <c r="C421" s="427" t="s">
        <v>2623</v>
      </c>
      <c r="D421" s="425" t="s">
        <v>2624</v>
      </c>
      <c r="E421" s="431"/>
      <c r="F421" s="417">
        <v>1560.0</v>
      </c>
      <c r="G421" s="363">
        <v>45866.0</v>
      </c>
      <c r="H421" s="285">
        <f t="shared" si="13"/>
        <v>2340</v>
      </c>
      <c r="I421" s="286">
        <f t="shared" si="14"/>
        <v>2028</v>
      </c>
      <c r="J421" s="287">
        <f t="shared" si="15"/>
        <v>2028</v>
      </c>
      <c r="K421" s="288">
        <f t="shared" si="16"/>
        <v>1872</v>
      </c>
      <c r="L421" s="287">
        <f t="shared" si="17"/>
        <v>1794</v>
      </c>
      <c r="M421" s="288">
        <f t="shared" si="18"/>
        <v>1716</v>
      </c>
      <c r="N421" s="40"/>
      <c r="O421" s="34"/>
      <c r="P421" s="35"/>
      <c r="Q421" s="35"/>
      <c r="R421" s="35"/>
      <c r="S421" s="35"/>
      <c r="T421" s="35"/>
      <c r="U421" s="35"/>
      <c r="V421" s="35"/>
      <c r="W421" s="35"/>
      <c r="X421" s="35"/>
      <c r="Y421" s="35"/>
      <c r="Z421" s="35"/>
    </row>
    <row r="422" ht="14.25" customHeight="1">
      <c r="A422" s="420"/>
      <c r="B422" s="368"/>
      <c r="C422" s="427" t="s">
        <v>2625</v>
      </c>
      <c r="D422" s="368"/>
      <c r="E422" s="431"/>
      <c r="F422" s="368"/>
      <c r="G422" s="363">
        <v>45866.0</v>
      </c>
      <c r="H422" s="285">
        <f t="shared" si="13"/>
        <v>0</v>
      </c>
      <c r="I422" s="286">
        <f t="shared" si="14"/>
        <v>0</v>
      </c>
      <c r="J422" s="287">
        <f t="shared" si="15"/>
        <v>0</v>
      </c>
      <c r="K422" s="288">
        <f t="shared" si="16"/>
        <v>0</v>
      </c>
      <c r="L422" s="287">
        <f t="shared" si="17"/>
        <v>0</v>
      </c>
      <c r="M422" s="288">
        <f t="shared" si="18"/>
        <v>0</v>
      </c>
      <c r="N422" s="40"/>
      <c r="O422" s="34"/>
      <c r="P422" s="35"/>
      <c r="Q422" s="35"/>
      <c r="R422" s="35"/>
      <c r="S422" s="35"/>
      <c r="T422" s="35"/>
      <c r="U422" s="35"/>
      <c r="V422" s="35"/>
      <c r="W422" s="35"/>
      <c r="X422" s="35"/>
      <c r="Y422" s="35"/>
      <c r="Z422" s="35"/>
    </row>
    <row r="423" ht="14.25" customHeight="1">
      <c r="A423" s="420"/>
      <c r="B423" s="430" t="s">
        <v>2626</v>
      </c>
      <c r="C423" s="427" t="s">
        <v>2627</v>
      </c>
      <c r="D423" s="425" t="s">
        <v>2624</v>
      </c>
      <c r="E423" s="431"/>
      <c r="F423" s="417">
        <v>1560.0</v>
      </c>
      <c r="G423" s="363">
        <v>45866.0</v>
      </c>
      <c r="H423" s="285">
        <f t="shared" si="13"/>
        <v>2340</v>
      </c>
      <c r="I423" s="286">
        <f t="shared" si="14"/>
        <v>2028</v>
      </c>
      <c r="J423" s="287">
        <f t="shared" si="15"/>
        <v>2028</v>
      </c>
      <c r="K423" s="288">
        <f t="shared" si="16"/>
        <v>1872</v>
      </c>
      <c r="L423" s="287">
        <f t="shared" si="17"/>
        <v>1794</v>
      </c>
      <c r="M423" s="288">
        <f t="shared" si="18"/>
        <v>1716</v>
      </c>
      <c r="N423" s="40"/>
      <c r="O423" s="34"/>
      <c r="P423" s="35"/>
      <c r="Q423" s="35"/>
      <c r="R423" s="35"/>
      <c r="S423" s="35"/>
      <c r="T423" s="35"/>
      <c r="U423" s="35"/>
      <c r="V423" s="35"/>
      <c r="W423" s="35"/>
      <c r="X423" s="35"/>
      <c r="Y423" s="35"/>
      <c r="Z423" s="35"/>
    </row>
    <row r="424" ht="14.25" customHeight="1">
      <c r="A424" s="420"/>
      <c r="B424" s="368"/>
      <c r="C424" s="427" t="s">
        <v>2628</v>
      </c>
      <c r="D424" s="368"/>
      <c r="E424" s="431"/>
      <c r="F424" s="368"/>
      <c r="G424" s="363">
        <v>45866.0</v>
      </c>
      <c r="H424" s="285">
        <f t="shared" si="13"/>
        <v>0</v>
      </c>
      <c r="I424" s="286">
        <f t="shared" si="14"/>
        <v>0</v>
      </c>
      <c r="J424" s="287">
        <f t="shared" si="15"/>
        <v>0</v>
      </c>
      <c r="K424" s="288">
        <f t="shared" si="16"/>
        <v>0</v>
      </c>
      <c r="L424" s="287">
        <f t="shared" si="17"/>
        <v>0</v>
      </c>
      <c r="M424" s="288">
        <f t="shared" si="18"/>
        <v>0</v>
      </c>
      <c r="N424" s="40"/>
      <c r="O424" s="34"/>
      <c r="P424" s="35"/>
      <c r="Q424" s="35"/>
      <c r="R424" s="35"/>
      <c r="S424" s="35"/>
      <c r="T424" s="35"/>
      <c r="U424" s="35"/>
      <c r="V424" s="35"/>
      <c r="W424" s="35"/>
      <c r="X424" s="35"/>
      <c r="Y424" s="35"/>
      <c r="Z424" s="35"/>
    </row>
    <row r="425" ht="14.25" customHeight="1">
      <c r="A425" s="420"/>
      <c r="B425" s="430" t="s">
        <v>2295</v>
      </c>
      <c r="C425" s="427" t="s">
        <v>2629</v>
      </c>
      <c r="D425" s="425" t="s">
        <v>2624</v>
      </c>
      <c r="E425" s="431"/>
      <c r="F425" s="417">
        <v>1690.0</v>
      </c>
      <c r="G425" s="363">
        <v>45866.0</v>
      </c>
      <c r="H425" s="285">
        <f t="shared" si="13"/>
        <v>2535</v>
      </c>
      <c r="I425" s="286">
        <f t="shared" si="14"/>
        <v>2197</v>
      </c>
      <c r="J425" s="287">
        <f t="shared" si="15"/>
        <v>2197</v>
      </c>
      <c r="K425" s="288">
        <f t="shared" si="16"/>
        <v>2028</v>
      </c>
      <c r="L425" s="287">
        <f t="shared" si="17"/>
        <v>1943.5</v>
      </c>
      <c r="M425" s="288">
        <f t="shared" si="18"/>
        <v>1859</v>
      </c>
      <c r="N425" s="40"/>
      <c r="O425" s="34"/>
      <c r="P425" s="35"/>
      <c r="Q425" s="35"/>
      <c r="R425" s="35"/>
      <c r="S425" s="35"/>
      <c r="T425" s="35"/>
      <c r="U425" s="35"/>
      <c r="V425" s="35"/>
      <c r="W425" s="35"/>
      <c r="X425" s="35"/>
      <c r="Y425" s="35"/>
      <c r="Z425" s="35"/>
    </row>
    <row r="426" ht="14.25" customHeight="1">
      <c r="A426" s="420"/>
      <c r="B426" s="368"/>
      <c r="C426" s="427" t="s">
        <v>2630</v>
      </c>
      <c r="D426" s="368"/>
      <c r="E426" s="431"/>
      <c r="F426" s="368"/>
      <c r="G426" s="363">
        <v>45866.0</v>
      </c>
      <c r="H426" s="285">
        <f t="shared" si="13"/>
        <v>0</v>
      </c>
      <c r="I426" s="286">
        <f t="shared" si="14"/>
        <v>0</v>
      </c>
      <c r="J426" s="287">
        <f t="shared" si="15"/>
        <v>0</v>
      </c>
      <c r="K426" s="288">
        <f t="shared" si="16"/>
        <v>0</v>
      </c>
      <c r="L426" s="287">
        <f t="shared" si="17"/>
        <v>0</v>
      </c>
      <c r="M426" s="288">
        <f t="shared" si="18"/>
        <v>0</v>
      </c>
      <c r="N426" s="40"/>
      <c r="O426" s="34"/>
      <c r="P426" s="35"/>
      <c r="Q426" s="35"/>
      <c r="R426" s="35"/>
      <c r="S426" s="35"/>
      <c r="T426" s="35"/>
      <c r="U426" s="35"/>
      <c r="V426" s="35"/>
      <c r="W426" s="35"/>
      <c r="X426" s="35"/>
      <c r="Y426" s="35"/>
      <c r="Z426" s="35"/>
    </row>
    <row r="427" ht="14.25" customHeight="1">
      <c r="A427" s="420"/>
      <c r="B427" s="430" t="s">
        <v>2631</v>
      </c>
      <c r="C427" s="427" t="s">
        <v>2632</v>
      </c>
      <c r="D427" s="425" t="s">
        <v>2624</v>
      </c>
      <c r="E427" s="431"/>
      <c r="F427" s="417">
        <v>1750.0</v>
      </c>
      <c r="G427" s="363">
        <v>45866.0</v>
      </c>
      <c r="H427" s="285">
        <f t="shared" si="13"/>
        <v>2625</v>
      </c>
      <c r="I427" s="286">
        <f t="shared" si="14"/>
        <v>2275</v>
      </c>
      <c r="J427" s="287">
        <f t="shared" si="15"/>
        <v>2275</v>
      </c>
      <c r="K427" s="288">
        <f t="shared" si="16"/>
        <v>2100</v>
      </c>
      <c r="L427" s="287">
        <f t="shared" si="17"/>
        <v>2012.5</v>
      </c>
      <c r="M427" s="288">
        <f t="shared" si="18"/>
        <v>1925</v>
      </c>
      <c r="N427" s="40"/>
      <c r="O427" s="34"/>
      <c r="P427" s="35"/>
      <c r="Q427" s="35"/>
      <c r="R427" s="35"/>
      <c r="S427" s="35"/>
      <c r="T427" s="35"/>
      <c r="U427" s="35"/>
      <c r="V427" s="35"/>
      <c r="W427" s="35"/>
      <c r="X427" s="35"/>
      <c r="Y427" s="35"/>
      <c r="Z427" s="35"/>
    </row>
    <row r="428" ht="14.25" customHeight="1">
      <c r="A428" s="420"/>
      <c r="B428" s="368"/>
      <c r="C428" s="427" t="s">
        <v>2633</v>
      </c>
      <c r="D428" s="368"/>
      <c r="E428" s="431"/>
      <c r="F428" s="368"/>
      <c r="G428" s="363">
        <v>45866.0</v>
      </c>
      <c r="H428" s="285">
        <f t="shared" si="13"/>
        <v>0</v>
      </c>
      <c r="I428" s="286">
        <f t="shared" si="14"/>
        <v>0</v>
      </c>
      <c r="J428" s="287">
        <f t="shared" si="15"/>
        <v>0</v>
      </c>
      <c r="K428" s="288">
        <f t="shared" si="16"/>
        <v>0</v>
      </c>
      <c r="L428" s="287">
        <f t="shared" si="17"/>
        <v>0</v>
      </c>
      <c r="M428" s="288">
        <f t="shared" si="18"/>
        <v>0</v>
      </c>
      <c r="N428" s="40"/>
      <c r="O428" s="34"/>
      <c r="P428" s="35"/>
      <c r="Q428" s="35"/>
      <c r="R428" s="35"/>
      <c r="S428" s="35"/>
      <c r="T428" s="35"/>
      <c r="U428" s="35"/>
      <c r="V428" s="35"/>
      <c r="W428" s="35"/>
      <c r="X428" s="35"/>
      <c r="Y428" s="35"/>
      <c r="Z428" s="35"/>
    </row>
    <row r="429" ht="14.25" customHeight="1">
      <c r="A429" s="420"/>
      <c r="B429" s="430" t="s">
        <v>2634</v>
      </c>
      <c r="C429" s="427" t="s">
        <v>2635</v>
      </c>
      <c r="D429" s="425" t="s">
        <v>2624</v>
      </c>
      <c r="E429" s="431"/>
      <c r="F429" s="417">
        <v>1750.0</v>
      </c>
      <c r="G429" s="363">
        <v>45866.0</v>
      </c>
      <c r="H429" s="285">
        <f t="shared" si="13"/>
        <v>2625</v>
      </c>
      <c r="I429" s="286">
        <f t="shared" si="14"/>
        <v>2275</v>
      </c>
      <c r="J429" s="287">
        <f t="shared" si="15"/>
        <v>2275</v>
      </c>
      <c r="K429" s="288">
        <f t="shared" si="16"/>
        <v>2100</v>
      </c>
      <c r="L429" s="287">
        <f t="shared" si="17"/>
        <v>2012.5</v>
      </c>
      <c r="M429" s="288">
        <f t="shared" si="18"/>
        <v>1925</v>
      </c>
      <c r="N429" s="40"/>
      <c r="O429" s="34"/>
      <c r="P429" s="35"/>
      <c r="Q429" s="35"/>
      <c r="R429" s="35"/>
      <c r="S429" s="35"/>
      <c r="T429" s="35"/>
      <c r="U429" s="35"/>
      <c r="V429" s="35"/>
      <c r="W429" s="35"/>
      <c r="X429" s="35"/>
      <c r="Y429" s="35"/>
      <c r="Z429" s="35"/>
    </row>
    <row r="430" ht="14.25" customHeight="1">
      <c r="A430" s="420"/>
      <c r="B430" s="368"/>
      <c r="C430" s="427" t="s">
        <v>2636</v>
      </c>
      <c r="D430" s="368"/>
      <c r="E430" s="431"/>
      <c r="F430" s="368"/>
      <c r="G430" s="363">
        <v>45866.0</v>
      </c>
      <c r="H430" s="285">
        <f t="shared" si="13"/>
        <v>0</v>
      </c>
      <c r="I430" s="286">
        <f t="shared" si="14"/>
        <v>0</v>
      </c>
      <c r="J430" s="287">
        <f t="shared" si="15"/>
        <v>0</v>
      </c>
      <c r="K430" s="288">
        <f t="shared" si="16"/>
        <v>0</v>
      </c>
      <c r="L430" s="287">
        <f t="shared" si="17"/>
        <v>0</v>
      </c>
      <c r="M430" s="288">
        <f t="shared" si="18"/>
        <v>0</v>
      </c>
      <c r="N430" s="40"/>
      <c r="O430" s="34"/>
      <c r="P430" s="35"/>
      <c r="Q430" s="35"/>
      <c r="R430" s="35"/>
      <c r="S430" s="35"/>
      <c r="T430" s="35"/>
      <c r="U430" s="35"/>
      <c r="V430" s="35"/>
      <c r="W430" s="35"/>
      <c r="X430" s="35"/>
      <c r="Y430" s="35"/>
      <c r="Z430" s="35"/>
    </row>
    <row r="431" ht="14.25" customHeight="1">
      <c r="A431" s="420"/>
      <c r="B431" s="430" t="s">
        <v>2637</v>
      </c>
      <c r="C431" s="427" t="s">
        <v>2638</v>
      </c>
      <c r="D431" s="435" t="s">
        <v>2639</v>
      </c>
      <c r="E431" s="431"/>
      <c r="F431" s="417">
        <v>1880.0</v>
      </c>
      <c r="G431" s="363">
        <v>45866.0</v>
      </c>
      <c r="H431" s="285">
        <f t="shared" si="13"/>
        <v>2820</v>
      </c>
      <c r="I431" s="286">
        <f t="shared" si="14"/>
        <v>2444</v>
      </c>
      <c r="J431" s="287">
        <f t="shared" si="15"/>
        <v>2444</v>
      </c>
      <c r="K431" s="288">
        <f t="shared" si="16"/>
        <v>2256</v>
      </c>
      <c r="L431" s="287">
        <f t="shared" si="17"/>
        <v>2162</v>
      </c>
      <c r="M431" s="288">
        <f t="shared" si="18"/>
        <v>2068</v>
      </c>
      <c r="N431" s="40"/>
      <c r="O431" s="34"/>
      <c r="P431" s="35"/>
      <c r="Q431" s="35"/>
      <c r="R431" s="35"/>
      <c r="S431" s="35"/>
      <c r="T431" s="35"/>
      <c r="U431" s="35"/>
      <c r="V431" s="35"/>
      <c r="W431" s="35"/>
      <c r="X431" s="35"/>
      <c r="Y431" s="35"/>
      <c r="Z431" s="35"/>
    </row>
    <row r="432" ht="14.25" customHeight="1">
      <c r="A432" s="420"/>
      <c r="B432" s="368"/>
      <c r="C432" s="427" t="s">
        <v>2640</v>
      </c>
      <c r="D432" s="368"/>
      <c r="E432" s="431"/>
      <c r="F432" s="368"/>
      <c r="G432" s="363">
        <v>45866.0</v>
      </c>
      <c r="H432" s="285">
        <f t="shared" si="13"/>
        <v>0</v>
      </c>
      <c r="I432" s="286">
        <f t="shared" si="14"/>
        <v>0</v>
      </c>
      <c r="J432" s="287">
        <f t="shared" si="15"/>
        <v>0</v>
      </c>
      <c r="K432" s="288">
        <f t="shared" si="16"/>
        <v>0</v>
      </c>
      <c r="L432" s="287">
        <f t="shared" si="17"/>
        <v>0</v>
      </c>
      <c r="M432" s="288">
        <f t="shared" si="18"/>
        <v>0</v>
      </c>
      <c r="N432" s="40"/>
      <c r="O432" s="34"/>
      <c r="P432" s="35"/>
      <c r="Q432" s="35"/>
      <c r="R432" s="35"/>
      <c r="S432" s="35"/>
      <c r="T432" s="35"/>
      <c r="U432" s="35"/>
      <c r="V432" s="35"/>
      <c r="W432" s="35"/>
      <c r="X432" s="35"/>
      <c r="Y432" s="35"/>
      <c r="Z432" s="35"/>
    </row>
    <row r="433" ht="14.25" customHeight="1">
      <c r="A433" s="420"/>
      <c r="B433" s="430" t="s">
        <v>2641</v>
      </c>
      <c r="C433" s="427" t="s">
        <v>2642</v>
      </c>
      <c r="D433" s="425" t="s">
        <v>2643</v>
      </c>
      <c r="E433" s="431"/>
      <c r="F433" s="417">
        <v>1750.0</v>
      </c>
      <c r="G433" s="363">
        <v>45866.0</v>
      </c>
      <c r="H433" s="285">
        <f t="shared" si="13"/>
        <v>2625</v>
      </c>
      <c r="I433" s="286">
        <f t="shared" si="14"/>
        <v>2275</v>
      </c>
      <c r="J433" s="287">
        <f t="shared" si="15"/>
        <v>2275</v>
      </c>
      <c r="K433" s="288">
        <f t="shared" si="16"/>
        <v>2100</v>
      </c>
      <c r="L433" s="287">
        <f t="shared" si="17"/>
        <v>2012.5</v>
      </c>
      <c r="M433" s="288">
        <f t="shared" si="18"/>
        <v>1925</v>
      </c>
      <c r="N433" s="40"/>
      <c r="O433" s="34"/>
      <c r="P433" s="35"/>
      <c r="Q433" s="35"/>
      <c r="R433" s="35"/>
      <c r="S433" s="35"/>
      <c r="T433" s="35"/>
      <c r="U433" s="35"/>
      <c r="V433" s="35"/>
      <c r="W433" s="35"/>
      <c r="X433" s="35"/>
      <c r="Y433" s="35"/>
      <c r="Z433" s="35"/>
    </row>
    <row r="434" ht="14.25" customHeight="1">
      <c r="A434" s="420"/>
      <c r="B434" s="368"/>
      <c r="C434" s="427" t="s">
        <v>2644</v>
      </c>
      <c r="D434" s="368"/>
      <c r="E434" s="431"/>
      <c r="F434" s="368"/>
      <c r="G434" s="363">
        <v>45866.0</v>
      </c>
      <c r="H434" s="285">
        <f t="shared" si="13"/>
        <v>0</v>
      </c>
      <c r="I434" s="286">
        <f t="shared" si="14"/>
        <v>0</v>
      </c>
      <c r="J434" s="287">
        <f t="shared" si="15"/>
        <v>0</v>
      </c>
      <c r="K434" s="288">
        <f t="shared" si="16"/>
        <v>0</v>
      </c>
      <c r="L434" s="287">
        <f t="shared" si="17"/>
        <v>0</v>
      </c>
      <c r="M434" s="288">
        <f t="shared" si="18"/>
        <v>0</v>
      </c>
      <c r="N434" s="40"/>
      <c r="O434" s="34"/>
      <c r="P434" s="35"/>
      <c r="Q434" s="35"/>
      <c r="R434" s="35"/>
      <c r="S434" s="35"/>
      <c r="T434" s="35"/>
      <c r="U434" s="35"/>
      <c r="V434" s="35"/>
      <c r="W434" s="35"/>
      <c r="X434" s="35"/>
      <c r="Y434" s="35"/>
      <c r="Z434" s="35"/>
    </row>
    <row r="435" ht="14.25" customHeight="1">
      <c r="A435" s="420"/>
      <c r="B435" s="430" t="s">
        <v>2645</v>
      </c>
      <c r="C435" s="427" t="s">
        <v>2646</v>
      </c>
      <c r="D435" s="425" t="s">
        <v>2643</v>
      </c>
      <c r="E435" s="431"/>
      <c r="F435" s="417">
        <v>1750.0</v>
      </c>
      <c r="G435" s="363">
        <v>45866.0</v>
      </c>
      <c r="H435" s="285">
        <f t="shared" si="13"/>
        <v>2625</v>
      </c>
      <c r="I435" s="286">
        <f t="shared" si="14"/>
        <v>2275</v>
      </c>
      <c r="J435" s="287">
        <f t="shared" si="15"/>
        <v>2275</v>
      </c>
      <c r="K435" s="288">
        <f t="shared" si="16"/>
        <v>2100</v>
      </c>
      <c r="L435" s="287">
        <f t="shared" si="17"/>
        <v>2012.5</v>
      </c>
      <c r="M435" s="288">
        <f t="shared" si="18"/>
        <v>1925</v>
      </c>
      <c r="N435" s="40"/>
      <c r="O435" s="34"/>
      <c r="P435" s="35"/>
      <c r="Q435" s="35"/>
      <c r="R435" s="35"/>
      <c r="S435" s="35"/>
      <c r="T435" s="35"/>
      <c r="U435" s="35"/>
      <c r="V435" s="35"/>
      <c r="W435" s="35"/>
      <c r="X435" s="35"/>
      <c r="Y435" s="35"/>
      <c r="Z435" s="35"/>
    </row>
    <row r="436" ht="14.25" customHeight="1">
      <c r="A436" s="420"/>
      <c r="B436" s="368"/>
      <c r="C436" s="427" t="s">
        <v>2647</v>
      </c>
      <c r="D436" s="368"/>
      <c r="E436" s="431"/>
      <c r="F436" s="368"/>
      <c r="G436" s="363">
        <v>45866.0</v>
      </c>
      <c r="H436" s="285">
        <f t="shared" si="13"/>
        <v>0</v>
      </c>
      <c r="I436" s="286">
        <f t="shared" si="14"/>
        <v>0</v>
      </c>
      <c r="J436" s="287">
        <f t="shared" si="15"/>
        <v>0</v>
      </c>
      <c r="K436" s="288">
        <f t="shared" si="16"/>
        <v>0</v>
      </c>
      <c r="L436" s="287">
        <f t="shared" si="17"/>
        <v>0</v>
      </c>
      <c r="M436" s="288">
        <f t="shared" si="18"/>
        <v>0</v>
      </c>
      <c r="N436" s="40"/>
      <c r="O436" s="34"/>
      <c r="P436" s="35"/>
      <c r="Q436" s="35"/>
      <c r="R436" s="35"/>
      <c r="S436" s="35"/>
      <c r="T436" s="35"/>
      <c r="U436" s="35"/>
      <c r="V436" s="35"/>
      <c r="W436" s="35"/>
      <c r="X436" s="35"/>
      <c r="Y436" s="35"/>
      <c r="Z436" s="35"/>
    </row>
    <row r="437" ht="14.25" customHeight="1">
      <c r="A437" s="420"/>
      <c r="B437" s="430" t="s">
        <v>2648</v>
      </c>
      <c r="C437" s="427" t="s">
        <v>2649</v>
      </c>
      <c r="D437" s="425" t="s">
        <v>2650</v>
      </c>
      <c r="E437" s="431"/>
      <c r="F437" s="417">
        <v>2000.0</v>
      </c>
      <c r="G437" s="363">
        <v>45866.0</v>
      </c>
      <c r="H437" s="285">
        <f t="shared" si="13"/>
        <v>3000</v>
      </c>
      <c r="I437" s="286">
        <f t="shared" si="14"/>
        <v>2600</v>
      </c>
      <c r="J437" s="287">
        <f t="shared" si="15"/>
        <v>2600</v>
      </c>
      <c r="K437" s="288">
        <f t="shared" si="16"/>
        <v>2400</v>
      </c>
      <c r="L437" s="287">
        <f t="shared" si="17"/>
        <v>2300</v>
      </c>
      <c r="M437" s="288">
        <f t="shared" si="18"/>
        <v>2200</v>
      </c>
      <c r="N437" s="40"/>
      <c r="O437" s="34"/>
      <c r="P437" s="35"/>
      <c r="Q437" s="35"/>
      <c r="R437" s="35"/>
      <c r="S437" s="35"/>
      <c r="T437" s="35"/>
      <c r="U437" s="35"/>
      <c r="V437" s="35"/>
      <c r="W437" s="35"/>
      <c r="X437" s="35"/>
      <c r="Y437" s="35"/>
      <c r="Z437" s="35"/>
    </row>
    <row r="438" ht="14.25" customHeight="1">
      <c r="A438" s="420"/>
      <c r="B438" s="368"/>
      <c r="C438" s="427" t="s">
        <v>2651</v>
      </c>
      <c r="D438" s="368"/>
      <c r="E438" s="431"/>
      <c r="F438" s="368"/>
      <c r="G438" s="363">
        <v>45866.0</v>
      </c>
      <c r="H438" s="285">
        <f t="shared" si="13"/>
        <v>0</v>
      </c>
      <c r="I438" s="286">
        <f t="shared" si="14"/>
        <v>0</v>
      </c>
      <c r="J438" s="287">
        <f t="shared" si="15"/>
        <v>0</v>
      </c>
      <c r="K438" s="288">
        <f t="shared" si="16"/>
        <v>0</v>
      </c>
      <c r="L438" s="287">
        <f t="shared" si="17"/>
        <v>0</v>
      </c>
      <c r="M438" s="288">
        <f t="shared" si="18"/>
        <v>0</v>
      </c>
      <c r="N438" s="40"/>
      <c r="O438" s="34"/>
      <c r="P438" s="35"/>
      <c r="Q438" s="35"/>
      <c r="R438" s="35"/>
      <c r="S438" s="35"/>
      <c r="T438" s="35"/>
      <c r="U438" s="35"/>
      <c r="V438" s="35"/>
      <c r="W438" s="35"/>
      <c r="X438" s="35"/>
      <c r="Y438" s="35"/>
      <c r="Z438" s="35"/>
    </row>
    <row r="439" ht="14.25" customHeight="1">
      <c r="A439" s="420"/>
      <c r="B439" s="430" t="s">
        <v>2652</v>
      </c>
      <c r="C439" s="427" t="s">
        <v>2653</v>
      </c>
      <c r="D439" s="425" t="s">
        <v>2650</v>
      </c>
      <c r="E439" s="431"/>
      <c r="F439" s="417">
        <v>2000.0</v>
      </c>
      <c r="G439" s="363">
        <v>45866.0</v>
      </c>
      <c r="H439" s="285">
        <f t="shared" si="13"/>
        <v>3000</v>
      </c>
      <c r="I439" s="286">
        <f t="shared" si="14"/>
        <v>2600</v>
      </c>
      <c r="J439" s="287">
        <f t="shared" si="15"/>
        <v>2600</v>
      </c>
      <c r="K439" s="288">
        <f t="shared" si="16"/>
        <v>2400</v>
      </c>
      <c r="L439" s="287">
        <f t="shared" si="17"/>
        <v>2300</v>
      </c>
      <c r="M439" s="288">
        <f t="shared" si="18"/>
        <v>2200</v>
      </c>
      <c r="N439" s="40"/>
      <c r="O439" s="34"/>
      <c r="P439" s="35"/>
      <c r="Q439" s="35"/>
      <c r="R439" s="35"/>
      <c r="S439" s="35"/>
      <c r="T439" s="35"/>
      <c r="U439" s="35"/>
      <c r="V439" s="35"/>
      <c r="W439" s="35"/>
      <c r="X439" s="35"/>
      <c r="Y439" s="35"/>
      <c r="Z439" s="35"/>
    </row>
    <row r="440" ht="14.25" customHeight="1">
      <c r="A440" s="420"/>
      <c r="B440" s="368"/>
      <c r="C440" s="427" t="s">
        <v>2654</v>
      </c>
      <c r="D440" s="368"/>
      <c r="E440" s="431"/>
      <c r="F440" s="368"/>
      <c r="G440" s="363">
        <v>45866.0</v>
      </c>
      <c r="H440" s="285">
        <f t="shared" si="13"/>
        <v>0</v>
      </c>
      <c r="I440" s="286">
        <f t="shared" si="14"/>
        <v>0</v>
      </c>
      <c r="J440" s="287">
        <f t="shared" si="15"/>
        <v>0</v>
      </c>
      <c r="K440" s="288">
        <f t="shared" si="16"/>
        <v>0</v>
      </c>
      <c r="L440" s="287">
        <f t="shared" si="17"/>
        <v>0</v>
      </c>
      <c r="M440" s="288">
        <f t="shared" si="18"/>
        <v>0</v>
      </c>
      <c r="N440" s="40"/>
      <c r="O440" s="34"/>
      <c r="P440" s="35"/>
      <c r="Q440" s="35"/>
      <c r="R440" s="35"/>
      <c r="S440" s="35"/>
      <c r="T440" s="35"/>
      <c r="U440" s="35"/>
      <c r="V440" s="35"/>
      <c r="W440" s="35"/>
      <c r="X440" s="35"/>
      <c r="Y440" s="35"/>
      <c r="Z440" s="35"/>
    </row>
    <row r="441" ht="14.25" customHeight="1">
      <c r="A441" s="420"/>
      <c r="B441" s="430" t="s">
        <v>2655</v>
      </c>
      <c r="C441" s="427" t="s">
        <v>2656</v>
      </c>
      <c r="D441" s="425" t="s">
        <v>2657</v>
      </c>
      <c r="E441" s="431"/>
      <c r="F441" s="417">
        <v>2290.0</v>
      </c>
      <c r="G441" s="363">
        <v>45866.0</v>
      </c>
      <c r="H441" s="285">
        <f t="shared" si="13"/>
        <v>3435</v>
      </c>
      <c r="I441" s="286">
        <f t="shared" si="14"/>
        <v>2977</v>
      </c>
      <c r="J441" s="287">
        <f t="shared" si="15"/>
        <v>2977</v>
      </c>
      <c r="K441" s="288">
        <f t="shared" si="16"/>
        <v>2748</v>
      </c>
      <c r="L441" s="287">
        <f t="shared" si="17"/>
        <v>2633.5</v>
      </c>
      <c r="M441" s="288">
        <f t="shared" si="18"/>
        <v>2519</v>
      </c>
      <c r="N441" s="40"/>
      <c r="O441" s="34"/>
      <c r="P441" s="35"/>
      <c r="Q441" s="35"/>
      <c r="R441" s="35"/>
      <c r="S441" s="35"/>
      <c r="T441" s="35"/>
      <c r="U441" s="35"/>
      <c r="V441" s="35"/>
      <c r="W441" s="35"/>
      <c r="X441" s="35"/>
      <c r="Y441" s="35"/>
      <c r="Z441" s="35"/>
    </row>
    <row r="442" ht="14.25" customHeight="1">
      <c r="A442" s="420"/>
      <c r="B442" s="368"/>
      <c r="C442" s="427" t="s">
        <v>2658</v>
      </c>
      <c r="D442" s="368"/>
      <c r="E442" s="431"/>
      <c r="F442" s="368"/>
      <c r="G442" s="363">
        <v>45866.0</v>
      </c>
      <c r="H442" s="285">
        <f t="shared" si="13"/>
        <v>0</v>
      </c>
      <c r="I442" s="286">
        <f t="shared" si="14"/>
        <v>0</v>
      </c>
      <c r="J442" s="287">
        <f t="shared" si="15"/>
        <v>0</v>
      </c>
      <c r="K442" s="288">
        <f t="shared" si="16"/>
        <v>0</v>
      </c>
      <c r="L442" s="287">
        <f t="shared" si="17"/>
        <v>0</v>
      </c>
      <c r="M442" s="288">
        <f t="shared" si="18"/>
        <v>0</v>
      </c>
      <c r="N442" s="40"/>
      <c r="O442" s="34"/>
      <c r="P442" s="35"/>
      <c r="Q442" s="35"/>
      <c r="R442" s="35"/>
      <c r="S442" s="35"/>
      <c r="T442" s="35"/>
      <c r="U442" s="35"/>
      <c r="V442" s="35"/>
      <c r="W442" s="35"/>
      <c r="X442" s="35"/>
      <c r="Y442" s="35"/>
      <c r="Z442" s="35"/>
    </row>
    <row r="443" ht="14.25" customHeight="1">
      <c r="A443" s="420"/>
      <c r="B443" s="430" t="s">
        <v>2659</v>
      </c>
      <c r="C443" s="427" t="s">
        <v>2660</v>
      </c>
      <c r="D443" s="425" t="s">
        <v>2661</v>
      </c>
      <c r="E443" s="431"/>
      <c r="F443" s="417">
        <v>2350.0</v>
      </c>
      <c r="G443" s="363">
        <v>45866.0</v>
      </c>
      <c r="H443" s="285">
        <f t="shared" si="13"/>
        <v>3525</v>
      </c>
      <c r="I443" s="286">
        <f t="shared" si="14"/>
        <v>3055</v>
      </c>
      <c r="J443" s="287">
        <f t="shared" si="15"/>
        <v>3055</v>
      </c>
      <c r="K443" s="288">
        <f t="shared" si="16"/>
        <v>2820</v>
      </c>
      <c r="L443" s="287">
        <f t="shared" si="17"/>
        <v>2702.5</v>
      </c>
      <c r="M443" s="288">
        <f t="shared" si="18"/>
        <v>2585</v>
      </c>
      <c r="N443" s="40"/>
      <c r="O443" s="34"/>
      <c r="P443" s="35"/>
      <c r="Q443" s="35"/>
      <c r="R443" s="35"/>
      <c r="S443" s="35"/>
      <c r="T443" s="35"/>
      <c r="U443" s="35"/>
      <c r="V443" s="35"/>
      <c r="W443" s="35"/>
      <c r="X443" s="35"/>
      <c r="Y443" s="35"/>
      <c r="Z443" s="35"/>
    </row>
    <row r="444" ht="14.25" customHeight="1">
      <c r="A444" s="420"/>
      <c r="B444" s="396"/>
      <c r="C444" s="427" t="s">
        <v>2662</v>
      </c>
      <c r="D444" s="396"/>
      <c r="E444" s="431"/>
      <c r="F444" s="396"/>
      <c r="G444" s="363">
        <v>45866.0</v>
      </c>
      <c r="H444" s="285">
        <f t="shared" si="13"/>
        <v>0</v>
      </c>
      <c r="I444" s="286">
        <f t="shared" si="14"/>
        <v>0</v>
      </c>
      <c r="J444" s="287">
        <f t="shared" si="15"/>
        <v>0</v>
      </c>
      <c r="K444" s="288">
        <f t="shared" si="16"/>
        <v>0</v>
      </c>
      <c r="L444" s="287">
        <f t="shared" si="17"/>
        <v>0</v>
      </c>
      <c r="M444" s="288">
        <f t="shared" si="18"/>
        <v>0</v>
      </c>
      <c r="N444" s="40"/>
      <c r="O444" s="34"/>
      <c r="P444" s="35"/>
      <c r="Q444" s="35"/>
      <c r="R444" s="35"/>
      <c r="S444" s="35"/>
      <c r="T444" s="35"/>
      <c r="U444" s="35"/>
      <c r="V444" s="35"/>
      <c r="W444" s="35"/>
      <c r="X444" s="35"/>
      <c r="Y444" s="35"/>
      <c r="Z444" s="35"/>
    </row>
    <row r="445" ht="14.25" customHeight="1">
      <c r="A445" s="420"/>
      <c r="B445" s="368"/>
      <c r="C445" s="427" t="s">
        <v>2663</v>
      </c>
      <c r="D445" s="368"/>
      <c r="E445" s="431"/>
      <c r="F445" s="368"/>
      <c r="G445" s="363">
        <v>45866.0</v>
      </c>
      <c r="H445" s="285">
        <f t="shared" si="13"/>
        <v>0</v>
      </c>
      <c r="I445" s="286">
        <f t="shared" si="14"/>
        <v>0</v>
      </c>
      <c r="J445" s="287">
        <f t="shared" si="15"/>
        <v>0</v>
      </c>
      <c r="K445" s="288">
        <f t="shared" si="16"/>
        <v>0</v>
      </c>
      <c r="L445" s="287">
        <f t="shared" si="17"/>
        <v>0</v>
      </c>
      <c r="M445" s="288">
        <f t="shared" si="18"/>
        <v>0</v>
      </c>
      <c r="N445" s="40"/>
      <c r="O445" s="34"/>
      <c r="P445" s="35"/>
      <c r="Q445" s="35"/>
      <c r="R445" s="35"/>
      <c r="S445" s="35"/>
      <c r="T445" s="35"/>
      <c r="U445" s="35"/>
      <c r="V445" s="35"/>
      <c r="W445" s="35"/>
      <c r="X445" s="35"/>
      <c r="Y445" s="35"/>
      <c r="Z445" s="35"/>
    </row>
    <row r="446" ht="14.25" customHeight="1">
      <c r="A446" s="420"/>
      <c r="B446" s="427" t="s">
        <v>2664</v>
      </c>
      <c r="C446" s="427" t="s">
        <v>2665</v>
      </c>
      <c r="D446" s="378" t="s">
        <v>2666</v>
      </c>
      <c r="E446" s="431"/>
      <c r="F446" s="397">
        <v>4150.0</v>
      </c>
      <c r="G446" s="363">
        <v>45866.0</v>
      </c>
      <c r="H446" s="285">
        <f t="shared" si="13"/>
        <v>6225</v>
      </c>
      <c r="I446" s="286">
        <f t="shared" si="14"/>
        <v>5395</v>
      </c>
      <c r="J446" s="287">
        <f t="shared" si="15"/>
        <v>5395</v>
      </c>
      <c r="K446" s="288">
        <f t="shared" si="16"/>
        <v>4980</v>
      </c>
      <c r="L446" s="287">
        <f t="shared" si="17"/>
        <v>4772.5</v>
      </c>
      <c r="M446" s="288">
        <f t="shared" si="18"/>
        <v>4565</v>
      </c>
      <c r="N446" s="40"/>
      <c r="O446" s="34"/>
      <c r="P446" s="35"/>
      <c r="Q446" s="35"/>
      <c r="R446" s="35"/>
      <c r="S446" s="35"/>
      <c r="T446" s="35"/>
      <c r="U446" s="35"/>
      <c r="V446" s="35"/>
      <c r="W446" s="35"/>
      <c r="X446" s="35"/>
      <c r="Y446" s="35"/>
      <c r="Z446" s="35"/>
    </row>
    <row r="447" ht="14.25" customHeight="1">
      <c r="A447" s="420"/>
      <c r="B447" s="427" t="s">
        <v>2667</v>
      </c>
      <c r="C447" s="427" t="s">
        <v>2668</v>
      </c>
      <c r="D447" s="378" t="s">
        <v>2669</v>
      </c>
      <c r="E447" s="431"/>
      <c r="F447" s="397">
        <v>4050.0</v>
      </c>
      <c r="G447" s="363">
        <v>45866.0</v>
      </c>
      <c r="H447" s="285">
        <f t="shared" si="13"/>
        <v>6075</v>
      </c>
      <c r="I447" s="286">
        <f t="shared" si="14"/>
        <v>5265</v>
      </c>
      <c r="J447" s="287">
        <f t="shared" si="15"/>
        <v>5265</v>
      </c>
      <c r="K447" s="288">
        <f t="shared" si="16"/>
        <v>4860</v>
      </c>
      <c r="L447" s="287">
        <f t="shared" si="17"/>
        <v>4657.5</v>
      </c>
      <c r="M447" s="288">
        <f t="shared" si="18"/>
        <v>4455</v>
      </c>
      <c r="N447" s="40"/>
      <c r="O447" s="34"/>
      <c r="P447" s="35"/>
      <c r="Q447" s="35"/>
      <c r="R447" s="35"/>
      <c r="S447" s="35"/>
      <c r="T447" s="35"/>
      <c r="U447" s="35"/>
      <c r="V447" s="35"/>
      <c r="W447" s="35"/>
      <c r="X447" s="35"/>
      <c r="Y447" s="35"/>
      <c r="Z447" s="35"/>
    </row>
    <row r="448" ht="14.25" customHeight="1">
      <c r="A448" s="420"/>
      <c r="B448" s="427" t="s">
        <v>2670</v>
      </c>
      <c r="C448" s="427" t="s">
        <v>2671</v>
      </c>
      <c r="D448" s="378" t="s">
        <v>2669</v>
      </c>
      <c r="E448" s="431"/>
      <c r="F448" s="397">
        <v>4150.0</v>
      </c>
      <c r="G448" s="363">
        <v>45866.0</v>
      </c>
      <c r="H448" s="285">
        <f t="shared" si="13"/>
        <v>6225</v>
      </c>
      <c r="I448" s="286">
        <f t="shared" si="14"/>
        <v>5395</v>
      </c>
      <c r="J448" s="287">
        <f t="shared" si="15"/>
        <v>5395</v>
      </c>
      <c r="K448" s="288">
        <f t="shared" si="16"/>
        <v>4980</v>
      </c>
      <c r="L448" s="287">
        <f t="shared" si="17"/>
        <v>4772.5</v>
      </c>
      <c r="M448" s="288">
        <f t="shared" si="18"/>
        <v>4565</v>
      </c>
      <c r="N448" s="40"/>
      <c r="O448" s="34"/>
      <c r="P448" s="35"/>
      <c r="Q448" s="35"/>
      <c r="R448" s="35"/>
      <c r="S448" s="35"/>
      <c r="T448" s="35"/>
      <c r="U448" s="35"/>
      <c r="V448" s="35"/>
      <c r="W448" s="35"/>
      <c r="X448" s="35"/>
      <c r="Y448" s="35"/>
      <c r="Z448" s="35"/>
    </row>
    <row r="449" ht="14.25" customHeight="1">
      <c r="A449" s="420"/>
      <c r="B449" s="427" t="s">
        <v>2672</v>
      </c>
      <c r="C449" s="427" t="s">
        <v>2673</v>
      </c>
      <c r="D449" s="378" t="s">
        <v>2674</v>
      </c>
      <c r="E449" s="431"/>
      <c r="F449" s="397">
        <v>4350.0</v>
      </c>
      <c r="G449" s="363">
        <v>45866.0</v>
      </c>
      <c r="H449" s="285">
        <f t="shared" si="13"/>
        <v>6525</v>
      </c>
      <c r="I449" s="286">
        <f t="shared" si="14"/>
        <v>5655</v>
      </c>
      <c r="J449" s="287">
        <f t="shared" si="15"/>
        <v>5655</v>
      </c>
      <c r="K449" s="288">
        <f t="shared" si="16"/>
        <v>5220</v>
      </c>
      <c r="L449" s="287">
        <f t="shared" si="17"/>
        <v>5002.5</v>
      </c>
      <c r="M449" s="288">
        <f t="shared" si="18"/>
        <v>4785</v>
      </c>
      <c r="N449" s="40"/>
      <c r="O449" s="34"/>
      <c r="P449" s="35"/>
      <c r="Q449" s="35"/>
      <c r="R449" s="35"/>
      <c r="S449" s="35"/>
      <c r="T449" s="35"/>
      <c r="U449" s="35"/>
      <c r="V449" s="35"/>
      <c r="W449" s="35"/>
      <c r="X449" s="35"/>
      <c r="Y449" s="35"/>
      <c r="Z449" s="35"/>
    </row>
    <row r="450" ht="14.25" customHeight="1">
      <c r="A450" s="420"/>
      <c r="B450" s="427" t="s">
        <v>2675</v>
      </c>
      <c r="C450" s="427" t="s">
        <v>2676</v>
      </c>
      <c r="D450" s="378" t="s">
        <v>2677</v>
      </c>
      <c r="E450" s="431"/>
      <c r="F450" s="397">
        <v>4250.0</v>
      </c>
      <c r="G450" s="363">
        <v>45866.0</v>
      </c>
      <c r="H450" s="285">
        <f t="shared" si="13"/>
        <v>6375</v>
      </c>
      <c r="I450" s="286">
        <f t="shared" si="14"/>
        <v>5525</v>
      </c>
      <c r="J450" s="287">
        <f t="shared" si="15"/>
        <v>5525</v>
      </c>
      <c r="K450" s="288">
        <f t="shared" si="16"/>
        <v>5100</v>
      </c>
      <c r="L450" s="287">
        <f t="shared" si="17"/>
        <v>4887.5</v>
      </c>
      <c r="M450" s="288">
        <f t="shared" si="18"/>
        <v>4675</v>
      </c>
      <c r="N450" s="40"/>
      <c r="O450" s="34"/>
      <c r="P450" s="35"/>
      <c r="Q450" s="35"/>
      <c r="R450" s="35"/>
      <c r="S450" s="35"/>
      <c r="T450" s="35"/>
      <c r="U450" s="35"/>
      <c r="V450" s="35"/>
      <c r="W450" s="35"/>
      <c r="X450" s="35"/>
      <c r="Y450" s="35"/>
      <c r="Z450" s="35"/>
    </row>
    <row r="451" ht="14.25" customHeight="1">
      <c r="A451" s="420"/>
      <c r="B451" s="427" t="s">
        <v>2678</v>
      </c>
      <c r="C451" s="427" t="s">
        <v>2679</v>
      </c>
      <c r="D451" s="378" t="s">
        <v>2677</v>
      </c>
      <c r="E451" s="431"/>
      <c r="F451" s="397">
        <v>4350.0</v>
      </c>
      <c r="G451" s="363">
        <v>45866.0</v>
      </c>
      <c r="H451" s="285">
        <f t="shared" si="13"/>
        <v>6525</v>
      </c>
      <c r="I451" s="286">
        <f t="shared" si="14"/>
        <v>5655</v>
      </c>
      <c r="J451" s="287">
        <f t="shared" si="15"/>
        <v>5655</v>
      </c>
      <c r="K451" s="288">
        <f t="shared" si="16"/>
        <v>5220</v>
      </c>
      <c r="L451" s="287">
        <f t="shared" si="17"/>
        <v>5002.5</v>
      </c>
      <c r="M451" s="288">
        <f t="shared" si="18"/>
        <v>4785</v>
      </c>
      <c r="N451" s="40"/>
      <c r="O451" s="34"/>
      <c r="P451" s="35"/>
      <c r="Q451" s="35"/>
      <c r="R451" s="35"/>
      <c r="S451" s="35"/>
      <c r="T451" s="35"/>
      <c r="U451" s="35"/>
      <c r="V451" s="35"/>
      <c r="W451" s="35"/>
      <c r="X451" s="35"/>
      <c r="Y451" s="35"/>
      <c r="Z451" s="35"/>
    </row>
    <row r="452" ht="14.25" customHeight="1">
      <c r="A452" s="420"/>
      <c r="B452" s="430" t="s">
        <v>2680</v>
      </c>
      <c r="C452" s="427" t="s">
        <v>2681</v>
      </c>
      <c r="D452" s="425" t="s">
        <v>2682</v>
      </c>
      <c r="E452" s="431"/>
      <c r="F452" s="417">
        <v>1900.0</v>
      </c>
      <c r="G452" s="363">
        <v>45866.0</v>
      </c>
      <c r="H452" s="285">
        <f t="shared" si="13"/>
        <v>2850</v>
      </c>
      <c r="I452" s="286">
        <f t="shared" si="14"/>
        <v>2470</v>
      </c>
      <c r="J452" s="287">
        <f t="shared" si="15"/>
        <v>2470</v>
      </c>
      <c r="K452" s="288">
        <f t="shared" si="16"/>
        <v>2280</v>
      </c>
      <c r="L452" s="287">
        <f t="shared" si="17"/>
        <v>2185</v>
      </c>
      <c r="M452" s="288">
        <f t="shared" si="18"/>
        <v>2090</v>
      </c>
      <c r="N452" s="40"/>
      <c r="O452" s="34"/>
      <c r="P452" s="35"/>
      <c r="Q452" s="35"/>
      <c r="R452" s="35"/>
      <c r="S452" s="35"/>
      <c r="T452" s="35"/>
      <c r="U452" s="35"/>
      <c r="V452" s="35"/>
      <c r="W452" s="35"/>
      <c r="X452" s="35"/>
      <c r="Y452" s="35"/>
      <c r="Z452" s="35"/>
    </row>
    <row r="453" ht="14.25" customHeight="1">
      <c r="A453" s="420"/>
      <c r="B453" s="368"/>
      <c r="C453" s="427" t="s">
        <v>2683</v>
      </c>
      <c r="D453" s="368"/>
      <c r="E453" s="431"/>
      <c r="F453" s="368"/>
      <c r="G453" s="363">
        <v>45866.0</v>
      </c>
      <c r="H453" s="285">
        <f t="shared" si="13"/>
        <v>0</v>
      </c>
      <c r="I453" s="286">
        <f t="shared" si="14"/>
        <v>0</v>
      </c>
      <c r="J453" s="287">
        <f t="shared" si="15"/>
        <v>0</v>
      </c>
      <c r="K453" s="288">
        <f t="shared" si="16"/>
        <v>0</v>
      </c>
      <c r="L453" s="287">
        <f t="shared" si="17"/>
        <v>0</v>
      </c>
      <c r="M453" s="288">
        <f t="shared" si="18"/>
        <v>0</v>
      </c>
      <c r="N453" s="40"/>
      <c r="O453" s="34"/>
      <c r="P453" s="35"/>
      <c r="Q453" s="35"/>
      <c r="R453" s="35"/>
      <c r="S453" s="35"/>
      <c r="T453" s="35"/>
      <c r="U453" s="35"/>
      <c r="V453" s="35"/>
      <c r="W453" s="35"/>
      <c r="X453" s="35"/>
      <c r="Y453" s="35"/>
      <c r="Z453" s="35"/>
    </row>
    <row r="454" ht="14.25" customHeight="1">
      <c r="A454" s="420"/>
      <c r="B454" s="430" t="s">
        <v>2684</v>
      </c>
      <c r="C454" s="427" t="s">
        <v>2685</v>
      </c>
      <c r="D454" s="425" t="s">
        <v>2682</v>
      </c>
      <c r="E454" s="431"/>
      <c r="F454" s="417">
        <v>1900.0</v>
      </c>
      <c r="G454" s="363">
        <v>45866.0</v>
      </c>
      <c r="H454" s="285">
        <f t="shared" si="13"/>
        <v>2850</v>
      </c>
      <c r="I454" s="286">
        <f t="shared" si="14"/>
        <v>2470</v>
      </c>
      <c r="J454" s="287">
        <f t="shared" si="15"/>
        <v>2470</v>
      </c>
      <c r="K454" s="288">
        <f t="shared" si="16"/>
        <v>2280</v>
      </c>
      <c r="L454" s="287">
        <f t="shared" si="17"/>
        <v>2185</v>
      </c>
      <c r="M454" s="288">
        <f t="shared" si="18"/>
        <v>2090</v>
      </c>
      <c r="N454" s="40"/>
      <c r="O454" s="34"/>
      <c r="P454" s="35"/>
      <c r="Q454" s="35"/>
      <c r="R454" s="35"/>
      <c r="S454" s="35"/>
      <c r="T454" s="35"/>
      <c r="U454" s="35"/>
      <c r="V454" s="35"/>
      <c r="W454" s="35"/>
      <c r="X454" s="35"/>
      <c r="Y454" s="35"/>
      <c r="Z454" s="35"/>
    </row>
    <row r="455" ht="14.25" customHeight="1">
      <c r="A455" s="420"/>
      <c r="B455" s="368"/>
      <c r="C455" s="427" t="s">
        <v>2686</v>
      </c>
      <c r="D455" s="368"/>
      <c r="E455" s="431"/>
      <c r="F455" s="368"/>
      <c r="G455" s="363">
        <v>45866.0</v>
      </c>
      <c r="H455" s="285">
        <f t="shared" si="13"/>
        <v>0</v>
      </c>
      <c r="I455" s="286">
        <f t="shared" si="14"/>
        <v>0</v>
      </c>
      <c r="J455" s="287">
        <f t="shared" si="15"/>
        <v>0</v>
      </c>
      <c r="K455" s="288">
        <f t="shared" si="16"/>
        <v>0</v>
      </c>
      <c r="L455" s="287">
        <f t="shared" si="17"/>
        <v>0</v>
      </c>
      <c r="M455" s="288">
        <f t="shared" si="18"/>
        <v>0</v>
      </c>
      <c r="N455" s="40"/>
      <c r="O455" s="34"/>
      <c r="P455" s="35"/>
      <c r="Q455" s="35"/>
      <c r="R455" s="35"/>
      <c r="S455" s="35"/>
      <c r="T455" s="35"/>
      <c r="U455" s="35"/>
      <c r="V455" s="35"/>
      <c r="W455" s="35"/>
      <c r="X455" s="35"/>
      <c r="Y455" s="35"/>
      <c r="Z455" s="35"/>
    </row>
    <row r="456" ht="14.25" customHeight="1">
      <c r="A456" s="420"/>
      <c r="B456" s="430" t="s">
        <v>2005</v>
      </c>
      <c r="C456" s="427" t="s">
        <v>2687</v>
      </c>
      <c r="D456" s="425" t="s">
        <v>2682</v>
      </c>
      <c r="E456" s="431"/>
      <c r="F456" s="417">
        <v>2050.0</v>
      </c>
      <c r="G456" s="363">
        <v>45866.0</v>
      </c>
      <c r="H456" s="285">
        <f t="shared" si="13"/>
        <v>3075</v>
      </c>
      <c r="I456" s="286">
        <f t="shared" si="14"/>
        <v>2665</v>
      </c>
      <c r="J456" s="287">
        <f t="shared" si="15"/>
        <v>2665</v>
      </c>
      <c r="K456" s="288">
        <f t="shared" si="16"/>
        <v>2460</v>
      </c>
      <c r="L456" s="287">
        <f t="shared" si="17"/>
        <v>2357.5</v>
      </c>
      <c r="M456" s="288">
        <f t="shared" si="18"/>
        <v>2255</v>
      </c>
      <c r="N456" s="40"/>
      <c r="O456" s="34"/>
      <c r="P456" s="35"/>
      <c r="Q456" s="35"/>
      <c r="R456" s="35"/>
      <c r="S456" s="35"/>
      <c r="T456" s="35"/>
      <c r="U456" s="35"/>
      <c r="V456" s="35"/>
      <c r="W456" s="35"/>
      <c r="X456" s="35"/>
      <c r="Y456" s="35"/>
      <c r="Z456" s="35"/>
    </row>
    <row r="457" ht="14.25" customHeight="1">
      <c r="A457" s="420"/>
      <c r="B457" s="368"/>
      <c r="C457" s="427" t="s">
        <v>2688</v>
      </c>
      <c r="D457" s="368"/>
      <c r="E457" s="431"/>
      <c r="F457" s="368"/>
      <c r="G457" s="363">
        <v>45866.0</v>
      </c>
      <c r="H457" s="285">
        <f t="shared" si="13"/>
        <v>0</v>
      </c>
      <c r="I457" s="286">
        <f t="shared" si="14"/>
        <v>0</v>
      </c>
      <c r="J457" s="287">
        <f t="shared" si="15"/>
        <v>0</v>
      </c>
      <c r="K457" s="288">
        <f t="shared" si="16"/>
        <v>0</v>
      </c>
      <c r="L457" s="287">
        <f t="shared" si="17"/>
        <v>0</v>
      </c>
      <c r="M457" s="288">
        <f t="shared" si="18"/>
        <v>0</v>
      </c>
      <c r="N457" s="40"/>
      <c r="O457" s="34"/>
      <c r="P457" s="35"/>
      <c r="Q457" s="35"/>
      <c r="R457" s="35"/>
      <c r="S457" s="35"/>
      <c r="T457" s="35"/>
      <c r="U457" s="35"/>
      <c r="V457" s="35"/>
      <c r="W457" s="35"/>
      <c r="X457" s="35"/>
      <c r="Y457" s="35"/>
      <c r="Z457" s="35"/>
    </row>
    <row r="458" ht="14.25" customHeight="1">
      <c r="A458" s="420"/>
      <c r="B458" s="430" t="s">
        <v>1993</v>
      </c>
      <c r="C458" s="427" t="s">
        <v>2689</v>
      </c>
      <c r="D458" s="425" t="s">
        <v>2690</v>
      </c>
      <c r="E458" s="431"/>
      <c r="F458" s="417">
        <v>2150.0</v>
      </c>
      <c r="G458" s="363">
        <v>45866.0</v>
      </c>
      <c r="H458" s="285">
        <f t="shared" si="13"/>
        <v>3225</v>
      </c>
      <c r="I458" s="286">
        <f t="shared" si="14"/>
        <v>2795</v>
      </c>
      <c r="J458" s="287">
        <f t="shared" si="15"/>
        <v>2795</v>
      </c>
      <c r="K458" s="288">
        <f t="shared" si="16"/>
        <v>2580</v>
      </c>
      <c r="L458" s="287">
        <f t="shared" si="17"/>
        <v>2472.5</v>
      </c>
      <c r="M458" s="288">
        <f t="shared" si="18"/>
        <v>2365</v>
      </c>
      <c r="N458" s="40"/>
      <c r="O458" s="34"/>
      <c r="P458" s="35"/>
      <c r="Q458" s="35"/>
      <c r="R458" s="35"/>
      <c r="S458" s="35"/>
      <c r="T458" s="35"/>
      <c r="U458" s="35"/>
      <c r="V458" s="35"/>
      <c r="W458" s="35"/>
      <c r="X458" s="35"/>
      <c r="Y458" s="35"/>
      <c r="Z458" s="35"/>
    </row>
    <row r="459" ht="14.25" customHeight="1">
      <c r="A459" s="420"/>
      <c r="B459" s="368"/>
      <c r="C459" s="427" t="s">
        <v>2691</v>
      </c>
      <c r="D459" s="368"/>
      <c r="E459" s="431"/>
      <c r="F459" s="368"/>
      <c r="G459" s="363">
        <v>45866.0</v>
      </c>
      <c r="H459" s="285">
        <f t="shared" si="13"/>
        <v>0</v>
      </c>
      <c r="I459" s="286">
        <f t="shared" si="14"/>
        <v>0</v>
      </c>
      <c r="J459" s="287">
        <f t="shared" si="15"/>
        <v>0</v>
      </c>
      <c r="K459" s="288">
        <f t="shared" si="16"/>
        <v>0</v>
      </c>
      <c r="L459" s="287">
        <f t="shared" si="17"/>
        <v>0</v>
      </c>
      <c r="M459" s="288">
        <f t="shared" si="18"/>
        <v>0</v>
      </c>
      <c r="N459" s="40"/>
      <c r="O459" s="34"/>
      <c r="P459" s="35"/>
      <c r="Q459" s="35"/>
      <c r="R459" s="35"/>
      <c r="S459" s="35"/>
      <c r="T459" s="35"/>
      <c r="U459" s="35"/>
      <c r="V459" s="35"/>
      <c r="W459" s="35"/>
      <c r="X459" s="35"/>
      <c r="Y459" s="35"/>
      <c r="Z459" s="35"/>
    </row>
    <row r="460" ht="14.25" customHeight="1">
      <c r="A460" s="420"/>
      <c r="B460" s="430" t="s">
        <v>2692</v>
      </c>
      <c r="C460" s="427" t="s">
        <v>2693</v>
      </c>
      <c r="D460" s="425" t="s">
        <v>2682</v>
      </c>
      <c r="E460" s="431"/>
      <c r="F460" s="417">
        <v>2150.0</v>
      </c>
      <c r="G460" s="363">
        <v>45866.0</v>
      </c>
      <c r="H460" s="285">
        <f t="shared" si="13"/>
        <v>3225</v>
      </c>
      <c r="I460" s="286">
        <f t="shared" si="14"/>
        <v>2795</v>
      </c>
      <c r="J460" s="287">
        <f t="shared" si="15"/>
        <v>2795</v>
      </c>
      <c r="K460" s="288">
        <f t="shared" si="16"/>
        <v>2580</v>
      </c>
      <c r="L460" s="287">
        <f t="shared" si="17"/>
        <v>2472.5</v>
      </c>
      <c r="M460" s="288">
        <f t="shared" si="18"/>
        <v>2365</v>
      </c>
      <c r="N460" s="40"/>
      <c r="O460" s="34"/>
      <c r="P460" s="35"/>
      <c r="Q460" s="35"/>
      <c r="R460" s="35"/>
      <c r="S460" s="35"/>
      <c r="T460" s="35"/>
      <c r="U460" s="35"/>
      <c r="V460" s="35"/>
      <c r="W460" s="35"/>
      <c r="X460" s="35"/>
      <c r="Y460" s="35"/>
      <c r="Z460" s="35"/>
    </row>
    <row r="461" ht="14.25" customHeight="1">
      <c r="A461" s="420"/>
      <c r="B461" s="368"/>
      <c r="C461" s="427" t="s">
        <v>2694</v>
      </c>
      <c r="D461" s="368"/>
      <c r="E461" s="431"/>
      <c r="F461" s="368"/>
      <c r="G461" s="363">
        <v>45866.0</v>
      </c>
      <c r="H461" s="285">
        <f t="shared" si="13"/>
        <v>0</v>
      </c>
      <c r="I461" s="286">
        <f t="shared" si="14"/>
        <v>0</v>
      </c>
      <c r="J461" s="287">
        <f t="shared" si="15"/>
        <v>0</v>
      </c>
      <c r="K461" s="288">
        <f t="shared" si="16"/>
        <v>0</v>
      </c>
      <c r="L461" s="287">
        <f t="shared" si="17"/>
        <v>0</v>
      </c>
      <c r="M461" s="288">
        <f t="shared" si="18"/>
        <v>0</v>
      </c>
      <c r="N461" s="40"/>
      <c r="O461" s="34"/>
      <c r="P461" s="35"/>
      <c r="Q461" s="35"/>
      <c r="R461" s="35"/>
      <c r="S461" s="35"/>
      <c r="T461" s="35"/>
      <c r="U461" s="35"/>
      <c r="V461" s="35"/>
      <c r="W461" s="35"/>
      <c r="X461" s="35"/>
      <c r="Y461" s="35"/>
      <c r="Z461" s="35"/>
    </row>
    <row r="462" ht="14.25" customHeight="1">
      <c r="A462" s="420"/>
      <c r="B462" s="430" t="s">
        <v>2000</v>
      </c>
      <c r="C462" s="427" t="s">
        <v>2695</v>
      </c>
      <c r="D462" s="425" t="s">
        <v>2682</v>
      </c>
      <c r="E462" s="431"/>
      <c r="F462" s="417">
        <v>2250.0</v>
      </c>
      <c r="G462" s="363">
        <v>45866.0</v>
      </c>
      <c r="H462" s="285">
        <f t="shared" si="13"/>
        <v>3375</v>
      </c>
      <c r="I462" s="286">
        <f t="shared" si="14"/>
        <v>2925</v>
      </c>
      <c r="J462" s="287">
        <f t="shared" si="15"/>
        <v>2925</v>
      </c>
      <c r="K462" s="288">
        <f t="shared" si="16"/>
        <v>2700</v>
      </c>
      <c r="L462" s="287">
        <f t="shared" si="17"/>
        <v>2587.5</v>
      </c>
      <c r="M462" s="288">
        <f t="shared" si="18"/>
        <v>2475</v>
      </c>
      <c r="N462" s="40"/>
      <c r="O462" s="34"/>
      <c r="P462" s="35"/>
      <c r="Q462" s="35"/>
      <c r="R462" s="35"/>
      <c r="S462" s="35"/>
      <c r="T462" s="35"/>
      <c r="U462" s="35"/>
      <c r="V462" s="35"/>
      <c r="W462" s="35"/>
      <c r="X462" s="35"/>
      <c r="Y462" s="35"/>
      <c r="Z462" s="35"/>
    </row>
    <row r="463" ht="14.25" customHeight="1">
      <c r="A463" s="420"/>
      <c r="B463" s="368"/>
      <c r="C463" s="427" t="s">
        <v>2696</v>
      </c>
      <c r="D463" s="368"/>
      <c r="E463" s="431"/>
      <c r="F463" s="368"/>
      <c r="G463" s="363">
        <v>45866.0</v>
      </c>
      <c r="H463" s="285">
        <f t="shared" si="13"/>
        <v>0</v>
      </c>
      <c r="I463" s="286">
        <f t="shared" si="14"/>
        <v>0</v>
      </c>
      <c r="J463" s="287">
        <f t="shared" si="15"/>
        <v>0</v>
      </c>
      <c r="K463" s="288">
        <f t="shared" si="16"/>
        <v>0</v>
      </c>
      <c r="L463" s="287">
        <f t="shared" si="17"/>
        <v>0</v>
      </c>
      <c r="M463" s="288">
        <f t="shared" si="18"/>
        <v>0</v>
      </c>
      <c r="N463" s="40"/>
      <c r="O463" s="34"/>
      <c r="P463" s="35"/>
      <c r="Q463" s="35"/>
      <c r="R463" s="35"/>
      <c r="S463" s="35"/>
      <c r="T463" s="35"/>
      <c r="U463" s="35"/>
      <c r="V463" s="35"/>
      <c r="W463" s="35"/>
      <c r="X463" s="35"/>
      <c r="Y463" s="35"/>
      <c r="Z463" s="35"/>
    </row>
    <row r="464" ht="14.25" customHeight="1">
      <c r="A464" s="420"/>
      <c r="B464" s="430" t="s">
        <v>2697</v>
      </c>
      <c r="C464" s="427" t="s">
        <v>2698</v>
      </c>
      <c r="D464" s="425" t="s">
        <v>2699</v>
      </c>
      <c r="E464" s="431"/>
      <c r="F464" s="432">
        <v>2200.0</v>
      </c>
      <c r="G464" s="363">
        <v>45866.0</v>
      </c>
      <c r="H464" s="285">
        <f t="shared" si="13"/>
        <v>3300</v>
      </c>
      <c r="I464" s="286">
        <f t="shared" si="14"/>
        <v>2860</v>
      </c>
      <c r="J464" s="287">
        <f t="shared" si="15"/>
        <v>2860</v>
      </c>
      <c r="K464" s="288">
        <f t="shared" si="16"/>
        <v>2640</v>
      </c>
      <c r="L464" s="287">
        <f t="shared" si="17"/>
        <v>2530</v>
      </c>
      <c r="M464" s="288">
        <f t="shared" si="18"/>
        <v>2420</v>
      </c>
      <c r="N464" s="40"/>
      <c r="O464" s="34"/>
      <c r="P464" s="35"/>
      <c r="Q464" s="35"/>
      <c r="R464" s="35"/>
      <c r="S464" s="35"/>
      <c r="T464" s="35"/>
      <c r="U464" s="35"/>
      <c r="V464" s="35"/>
      <c r="W464" s="35"/>
      <c r="X464" s="35"/>
      <c r="Y464" s="35"/>
      <c r="Z464" s="35"/>
    </row>
    <row r="465" ht="14.25" customHeight="1">
      <c r="A465" s="420"/>
      <c r="B465" s="368"/>
      <c r="C465" s="427" t="s">
        <v>2700</v>
      </c>
      <c r="D465" s="368"/>
      <c r="E465" s="431"/>
      <c r="F465" s="368"/>
      <c r="G465" s="363">
        <v>45866.0</v>
      </c>
      <c r="H465" s="285">
        <f t="shared" si="13"/>
        <v>0</v>
      </c>
      <c r="I465" s="286">
        <f t="shared" si="14"/>
        <v>0</v>
      </c>
      <c r="J465" s="287">
        <f t="shared" si="15"/>
        <v>0</v>
      </c>
      <c r="K465" s="288">
        <f t="shared" si="16"/>
        <v>0</v>
      </c>
      <c r="L465" s="287">
        <f t="shared" si="17"/>
        <v>0</v>
      </c>
      <c r="M465" s="288">
        <f t="shared" si="18"/>
        <v>0</v>
      </c>
      <c r="N465" s="40"/>
      <c r="O465" s="34"/>
      <c r="P465" s="35"/>
      <c r="Q465" s="35"/>
      <c r="R465" s="35"/>
      <c r="S465" s="35"/>
      <c r="T465" s="35"/>
      <c r="U465" s="35"/>
      <c r="V465" s="35"/>
      <c r="W465" s="35"/>
      <c r="X465" s="35"/>
      <c r="Y465" s="35"/>
      <c r="Z465" s="35"/>
    </row>
    <row r="466" ht="14.25" customHeight="1">
      <c r="A466" s="420"/>
      <c r="B466" s="430" t="s">
        <v>2701</v>
      </c>
      <c r="C466" s="427" t="s">
        <v>2702</v>
      </c>
      <c r="D466" s="425" t="s">
        <v>2699</v>
      </c>
      <c r="E466" s="431"/>
      <c r="F466" s="432">
        <v>2200.0</v>
      </c>
      <c r="G466" s="363">
        <v>45866.0</v>
      </c>
      <c r="H466" s="285">
        <f t="shared" si="13"/>
        <v>3300</v>
      </c>
      <c r="I466" s="286">
        <f t="shared" si="14"/>
        <v>2860</v>
      </c>
      <c r="J466" s="287">
        <f t="shared" si="15"/>
        <v>2860</v>
      </c>
      <c r="K466" s="288">
        <f t="shared" si="16"/>
        <v>2640</v>
      </c>
      <c r="L466" s="287">
        <f t="shared" si="17"/>
        <v>2530</v>
      </c>
      <c r="M466" s="288">
        <f t="shared" si="18"/>
        <v>2420</v>
      </c>
      <c r="N466" s="40"/>
      <c r="O466" s="34"/>
      <c r="P466" s="35"/>
      <c r="Q466" s="35"/>
      <c r="R466" s="35"/>
      <c r="S466" s="35"/>
      <c r="T466" s="35"/>
      <c r="U466" s="35"/>
      <c r="V466" s="35"/>
      <c r="W466" s="35"/>
      <c r="X466" s="35"/>
      <c r="Y466" s="35"/>
      <c r="Z466" s="35"/>
    </row>
    <row r="467" ht="14.25" customHeight="1">
      <c r="A467" s="420"/>
      <c r="B467" s="368"/>
      <c r="C467" s="427" t="s">
        <v>2703</v>
      </c>
      <c r="D467" s="368"/>
      <c r="E467" s="431"/>
      <c r="F467" s="368"/>
      <c r="G467" s="363">
        <v>45866.0</v>
      </c>
      <c r="H467" s="285">
        <f t="shared" si="13"/>
        <v>0</v>
      </c>
      <c r="I467" s="286">
        <f t="shared" si="14"/>
        <v>0</v>
      </c>
      <c r="J467" s="287">
        <f t="shared" si="15"/>
        <v>0</v>
      </c>
      <c r="K467" s="288">
        <f t="shared" si="16"/>
        <v>0</v>
      </c>
      <c r="L467" s="287">
        <f t="shared" si="17"/>
        <v>0</v>
      </c>
      <c r="M467" s="288">
        <f t="shared" si="18"/>
        <v>0</v>
      </c>
      <c r="N467" s="40"/>
      <c r="O467" s="34"/>
      <c r="P467" s="35"/>
      <c r="Q467" s="35"/>
      <c r="R467" s="35"/>
      <c r="S467" s="35"/>
      <c r="T467" s="35"/>
      <c r="U467" s="35"/>
      <c r="V467" s="35"/>
      <c r="W467" s="35"/>
      <c r="X467" s="35"/>
      <c r="Y467" s="35"/>
      <c r="Z467" s="35"/>
    </row>
    <row r="468" ht="14.25" customHeight="1">
      <c r="A468" s="420"/>
      <c r="B468" s="430" t="s">
        <v>2704</v>
      </c>
      <c r="C468" s="427" t="s">
        <v>2705</v>
      </c>
      <c r="D468" s="425" t="s">
        <v>2706</v>
      </c>
      <c r="E468" s="431"/>
      <c r="F468" s="432">
        <v>1890.0</v>
      </c>
      <c r="G468" s="363">
        <v>45866.0</v>
      </c>
      <c r="H468" s="285">
        <f t="shared" si="13"/>
        <v>2835</v>
      </c>
      <c r="I468" s="286">
        <f t="shared" si="14"/>
        <v>2457</v>
      </c>
      <c r="J468" s="287">
        <f t="shared" si="15"/>
        <v>2457</v>
      </c>
      <c r="K468" s="288">
        <f t="shared" si="16"/>
        <v>2268</v>
      </c>
      <c r="L468" s="287">
        <f t="shared" si="17"/>
        <v>2173.5</v>
      </c>
      <c r="M468" s="288">
        <f t="shared" si="18"/>
        <v>2079</v>
      </c>
      <c r="N468" s="40"/>
      <c r="O468" s="34"/>
      <c r="P468" s="35"/>
      <c r="Q468" s="35"/>
      <c r="R468" s="35"/>
      <c r="S468" s="35"/>
      <c r="T468" s="35"/>
      <c r="U468" s="35"/>
      <c r="V468" s="35"/>
      <c r="W468" s="35"/>
      <c r="X468" s="35"/>
      <c r="Y468" s="35"/>
      <c r="Z468" s="35"/>
    </row>
    <row r="469" ht="14.25" customHeight="1">
      <c r="A469" s="420"/>
      <c r="B469" s="368"/>
      <c r="C469" s="427" t="s">
        <v>2707</v>
      </c>
      <c r="D469" s="368"/>
      <c r="E469" s="431"/>
      <c r="F469" s="368"/>
      <c r="G469" s="363">
        <v>45866.0</v>
      </c>
      <c r="H469" s="285">
        <f t="shared" si="13"/>
        <v>0</v>
      </c>
      <c r="I469" s="286">
        <f t="shared" si="14"/>
        <v>0</v>
      </c>
      <c r="J469" s="287">
        <f t="shared" si="15"/>
        <v>0</v>
      </c>
      <c r="K469" s="288">
        <f t="shared" si="16"/>
        <v>0</v>
      </c>
      <c r="L469" s="287">
        <f t="shared" si="17"/>
        <v>0</v>
      </c>
      <c r="M469" s="288">
        <f t="shared" si="18"/>
        <v>0</v>
      </c>
      <c r="N469" s="40"/>
      <c r="O469" s="34"/>
      <c r="P469" s="35"/>
      <c r="Q469" s="35"/>
      <c r="R469" s="35"/>
      <c r="S469" s="35"/>
      <c r="T469" s="35"/>
      <c r="U469" s="35"/>
      <c r="V469" s="35"/>
      <c r="W469" s="35"/>
      <c r="X469" s="35"/>
      <c r="Y469" s="35"/>
      <c r="Z469" s="35"/>
    </row>
    <row r="470" ht="14.25" customHeight="1">
      <c r="A470" s="420"/>
      <c r="B470" s="430" t="s">
        <v>2708</v>
      </c>
      <c r="C470" s="427" t="s">
        <v>2709</v>
      </c>
      <c r="D470" s="425" t="s">
        <v>2706</v>
      </c>
      <c r="E470" s="431"/>
      <c r="F470" s="432">
        <v>1890.0</v>
      </c>
      <c r="G470" s="363">
        <v>45866.0</v>
      </c>
      <c r="H470" s="285">
        <f t="shared" si="13"/>
        <v>2835</v>
      </c>
      <c r="I470" s="286">
        <f t="shared" si="14"/>
        <v>2457</v>
      </c>
      <c r="J470" s="287">
        <f t="shared" si="15"/>
        <v>2457</v>
      </c>
      <c r="K470" s="288">
        <f t="shared" si="16"/>
        <v>2268</v>
      </c>
      <c r="L470" s="287">
        <f t="shared" si="17"/>
        <v>2173.5</v>
      </c>
      <c r="M470" s="288">
        <f t="shared" si="18"/>
        <v>2079</v>
      </c>
      <c r="N470" s="40"/>
      <c r="O470" s="34"/>
      <c r="P470" s="35"/>
      <c r="Q470" s="35"/>
      <c r="R470" s="35"/>
      <c r="S470" s="35"/>
      <c r="T470" s="35"/>
      <c r="U470" s="35"/>
      <c r="V470" s="35"/>
      <c r="W470" s="35"/>
      <c r="X470" s="35"/>
      <c r="Y470" s="35"/>
      <c r="Z470" s="35"/>
    </row>
    <row r="471" ht="14.25" customHeight="1">
      <c r="A471" s="420"/>
      <c r="B471" s="368"/>
      <c r="C471" s="427" t="s">
        <v>2710</v>
      </c>
      <c r="D471" s="368"/>
      <c r="E471" s="431"/>
      <c r="F471" s="368"/>
      <c r="G471" s="363">
        <v>45866.0</v>
      </c>
      <c r="H471" s="285">
        <f t="shared" si="13"/>
        <v>0</v>
      </c>
      <c r="I471" s="286">
        <f t="shared" si="14"/>
        <v>0</v>
      </c>
      <c r="J471" s="287">
        <f t="shared" si="15"/>
        <v>0</v>
      </c>
      <c r="K471" s="288">
        <f t="shared" si="16"/>
        <v>0</v>
      </c>
      <c r="L471" s="287">
        <f t="shared" si="17"/>
        <v>0</v>
      </c>
      <c r="M471" s="288">
        <f t="shared" si="18"/>
        <v>0</v>
      </c>
      <c r="N471" s="40"/>
      <c r="O471" s="34"/>
      <c r="P471" s="35"/>
      <c r="Q471" s="35"/>
      <c r="R471" s="35"/>
      <c r="S471" s="35"/>
      <c r="T471" s="35"/>
      <c r="U471" s="35"/>
      <c r="V471" s="35"/>
      <c r="W471" s="35"/>
      <c r="X471" s="35"/>
      <c r="Y471" s="35"/>
      <c r="Z471" s="35"/>
    </row>
    <row r="472" ht="14.25" customHeight="1">
      <c r="A472" s="420"/>
      <c r="B472" s="430" t="s">
        <v>2711</v>
      </c>
      <c r="C472" s="427" t="s">
        <v>2712</v>
      </c>
      <c r="D472" s="425" t="s">
        <v>2713</v>
      </c>
      <c r="E472" s="431"/>
      <c r="F472" s="432">
        <v>2690.0</v>
      </c>
      <c r="G472" s="363">
        <v>45866.0</v>
      </c>
      <c r="H472" s="285">
        <f t="shared" si="13"/>
        <v>4035</v>
      </c>
      <c r="I472" s="286">
        <f t="shared" si="14"/>
        <v>3497</v>
      </c>
      <c r="J472" s="287">
        <f t="shared" si="15"/>
        <v>3497</v>
      </c>
      <c r="K472" s="288">
        <f t="shared" si="16"/>
        <v>3228</v>
      </c>
      <c r="L472" s="287">
        <f t="shared" si="17"/>
        <v>3093.5</v>
      </c>
      <c r="M472" s="288">
        <f t="shared" si="18"/>
        <v>2959</v>
      </c>
      <c r="N472" s="40"/>
      <c r="O472" s="34"/>
      <c r="P472" s="35"/>
      <c r="Q472" s="35"/>
      <c r="R472" s="35"/>
      <c r="S472" s="35"/>
      <c r="T472" s="35"/>
      <c r="U472" s="35"/>
      <c r="V472" s="35"/>
      <c r="W472" s="35"/>
      <c r="X472" s="35"/>
      <c r="Y472" s="35"/>
      <c r="Z472" s="35"/>
    </row>
    <row r="473" ht="14.25" customHeight="1">
      <c r="A473" s="420"/>
      <c r="B473" s="368"/>
      <c r="C473" s="427" t="s">
        <v>2714</v>
      </c>
      <c r="D473" s="368"/>
      <c r="E473" s="431"/>
      <c r="F473" s="368"/>
      <c r="G473" s="363">
        <v>45866.0</v>
      </c>
      <c r="H473" s="285">
        <f t="shared" si="13"/>
        <v>0</v>
      </c>
      <c r="I473" s="286">
        <f t="shared" si="14"/>
        <v>0</v>
      </c>
      <c r="J473" s="287">
        <f t="shared" si="15"/>
        <v>0</v>
      </c>
      <c r="K473" s="288">
        <f t="shared" si="16"/>
        <v>0</v>
      </c>
      <c r="L473" s="287">
        <f t="shared" si="17"/>
        <v>0</v>
      </c>
      <c r="M473" s="288">
        <f t="shared" si="18"/>
        <v>0</v>
      </c>
      <c r="N473" s="40"/>
      <c r="O473" s="34"/>
      <c r="P473" s="35"/>
      <c r="Q473" s="35"/>
      <c r="R473" s="35"/>
      <c r="S473" s="35"/>
      <c r="T473" s="35"/>
      <c r="U473" s="35"/>
      <c r="V473" s="35"/>
      <c r="W473" s="35"/>
      <c r="X473" s="35"/>
      <c r="Y473" s="35"/>
      <c r="Z473" s="35"/>
    </row>
    <row r="474" ht="14.25" customHeight="1">
      <c r="A474" s="420"/>
      <c r="B474" s="430" t="s">
        <v>2715</v>
      </c>
      <c r="C474" s="427" t="s">
        <v>2716</v>
      </c>
      <c r="D474" s="425" t="s">
        <v>2713</v>
      </c>
      <c r="E474" s="431"/>
      <c r="F474" s="432">
        <v>2690.0</v>
      </c>
      <c r="G474" s="363">
        <v>45866.0</v>
      </c>
      <c r="H474" s="285">
        <f t="shared" si="13"/>
        <v>4035</v>
      </c>
      <c r="I474" s="286">
        <f t="shared" si="14"/>
        <v>3497</v>
      </c>
      <c r="J474" s="287">
        <f t="shared" si="15"/>
        <v>3497</v>
      </c>
      <c r="K474" s="288">
        <f t="shared" si="16"/>
        <v>3228</v>
      </c>
      <c r="L474" s="287">
        <f t="shared" si="17"/>
        <v>3093.5</v>
      </c>
      <c r="M474" s="288">
        <f t="shared" si="18"/>
        <v>2959</v>
      </c>
      <c r="N474" s="40"/>
      <c r="O474" s="34"/>
      <c r="P474" s="35"/>
      <c r="Q474" s="35"/>
      <c r="R474" s="35"/>
      <c r="S474" s="35"/>
      <c r="T474" s="35"/>
      <c r="U474" s="35"/>
      <c r="V474" s="35"/>
      <c r="W474" s="35"/>
      <c r="X474" s="35"/>
      <c r="Y474" s="35"/>
      <c r="Z474" s="35"/>
    </row>
    <row r="475" ht="14.25" customHeight="1">
      <c r="A475" s="420"/>
      <c r="B475" s="368"/>
      <c r="C475" s="427" t="s">
        <v>2717</v>
      </c>
      <c r="D475" s="368"/>
      <c r="E475" s="431"/>
      <c r="F475" s="368"/>
      <c r="G475" s="363">
        <v>45866.0</v>
      </c>
      <c r="H475" s="285">
        <f t="shared" si="13"/>
        <v>0</v>
      </c>
      <c r="I475" s="286">
        <f t="shared" si="14"/>
        <v>0</v>
      </c>
      <c r="J475" s="287">
        <f t="shared" si="15"/>
        <v>0</v>
      </c>
      <c r="K475" s="288">
        <f t="shared" si="16"/>
        <v>0</v>
      </c>
      <c r="L475" s="287">
        <f t="shared" si="17"/>
        <v>0</v>
      </c>
      <c r="M475" s="288">
        <f t="shared" si="18"/>
        <v>0</v>
      </c>
      <c r="N475" s="40"/>
      <c r="O475" s="34"/>
      <c r="P475" s="35"/>
      <c r="Q475" s="35"/>
      <c r="R475" s="35"/>
      <c r="S475" s="35"/>
      <c r="T475" s="35"/>
      <c r="U475" s="35"/>
      <c r="V475" s="35"/>
      <c r="W475" s="35"/>
      <c r="X475" s="35"/>
      <c r="Y475" s="35"/>
      <c r="Z475" s="35"/>
    </row>
    <row r="476" ht="14.25" customHeight="1">
      <c r="A476" s="420"/>
      <c r="B476" s="427" t="s">
        <v>2718</v>
      </c>
      <c r="C476" s="427" t="s">
        <v>2719</v>
      </c>
      <c r="D476" s="378" t="s">
        <v>2720</v>
      </c>
      <c r="E476" s="431"/>
      <c r="F476" s="397">
        <v>4650.0</v>
      </c>
      <c r="G476" s="363">
        <v>45866.0</v>
      </c>
      <c r="H476" s="285">
        <f t="shared" si="13"/>
        <v>6975</v>
      </c>
      <c r="I476" s="286">
        <f t="shared" si="14"/>
        <v>6045</v>
      </c>
      <c r="J476" s="287">
        <f t="shared" si="15"/>
        <v>6045</v>
      </c>
      <c r="K476" s="288">
        <f t="shared" si="16"/>
        <v>5580</v>
      </c>
      <c r="L476" s="287">
        <f t="shared" si="17"/>
        <v>5347.5</v>
      </c>
      <c r="M476" s="288">
        <f t="shared" si="18"/>
        <v>5115</v>
      </c>
      <c r="N476" s="40"/>
      <c r="O476" s="34"/>
      <c r="P476" s="35"/>
      <c r="Q476" s="35"/>
      <c r="R476" s="35"/>
      <c r="S476" s="35"/>
      <c r="T476" s="35"/>
      <c r="U476" s="35"/>
      <c r="V476" s="35"/>
      <c r="W476" s="35"/>
      <c r="X476" s="35"/>
      <c r="Y476" s="35"/>
      <c r="Z476" s="35"/>
    </row>
    <row r="477" ht="14.25" customHeight="1">
      <c r="A477" s="420"/>
      <c r="B477" s="427" t="s">
        <v>2721</v>
      </c>
      <c r="C477" s="427" t="s">
        <v>2722</v>
      </c>
      <c r="D477" s="378" t="s">
        <v>2720</v>
      </c>
      <c r="E477" s="431"/>
      <c r="F477" s="397">
        <v>4550.0</v>
      </c>
      <c r="G477" s="363">
        <v>45866.0</v>
      </c>
      <c r="H477" s="285">
        <f t="shared" si="13"/>
        <v>6825</v>
      </c>
      <c r="I477" s="286">
        <f t="shared" si="14"/>
        <v>5915</v>
      </c>
      <c r="J477" s="287">
        <f t="shared" si="15"/>
        <v>5915</v>
      </c>
      <c r="K477" s="288">
        <f t="shared" si="16"/>
        <v>5460</v>
      </c>
      <c r="L477" s="287">
        <f t="shared" si="17"/>
        <v>5232.5</v>
      </c>
      <c r="M477" s="288">
        <f t="shared" si="18"/>
        <v>5005</v>
      </c>
      <c r="N477" s="40"/>
      <c r="O477" s="34"/>
      <c r="P477" s="35"/>
      <c r="Q477" s="35"/>
      <c r="R477" s="35"/>
      <c r="S477" s="35"/>
      <c r="T477" s="35"/>
      <c r="U477" s="35"/>
      <c r="V477" s="35"/>
      <c r="W477" s="35"/>
      <c r="X477" s="35"/>
      <c r="Y477" s="35"/>
      <c r="Z477" s="35"/>
    </row>
    <row r="478" ht="14.25" customHeight="1">
      <c r="A478" s="420"/>
      <c r="B478" s="427" t="s">
        <v>2723</v>
      </c>
      <c r="C478" s="427" t="s">
        <v>2724</v>
      </c>
      <c r="D478" s="378" t="s">
        <v>2725</v>
      </c>
      <c r="E478" s="431"/>
      <c r="F478" s="397">
        <v>4650.0</v>
      </c>
      <c r="G478" s="363">
        <v>45866.0</v>
      </c>
      <c r="H478" s="285">
        <f t="shared" si="13"/>
        <v>6975</v>
      </c>
      <c r="I478" s="286">
        <f t="shared" si="14"/>
        <v>6045</v>
      </c>
      <c r="J478" s="287">
        <f t="shared" si="15"/>
        <v>6045</v>
      </c>
      <c r="K478" s="288">
        <f t="shared" si="16"/>
        <v>5580</v>
      </c>
      <c r="L478" s="287">
        <f t="shared" si="17"/>
        <v>5347.5</v>
      </c>
      <c r="M478" s="288">
        <f t="shared" si="18"/>
        <v>5115</v>
      </c>
      <c r="N478" s="40"/>
      <c r="O478" s="34"/>
      <c r="P478" s="35"/>
      <c r="Q478" s="35"/>
      <c r="R478" s="35"/>
      <c r="S478" s="35"/>
      <c r="T478" s="35"/>
      <c r="U478" s="35"/>
      <c r="V478" s="35"/>
      <c r="W478" s="35"/>
      <c r="X478" s="35"/>
      <c r="Y478" s="35"/>
      <c r="Z478" s="35"/>
    </row>
    <row r="479" ht="14.25" customHeight="1">
      <c r="A479" s="420"/>
      <c r="B479" s="427" t="s">
        <v>2726</v>
      </c>
      <c r="C479" s="427" t="s">
        <v>2727</v>
      </c>
      <c r="D479" s="378" t="s">
        <v>2728</v>
      </c>
      <c r="E479" s="431"/>
      <c r="F479" s="397">
        <v>4900.0</v>
      </c>
      <c r="G479" s="363">
        <v>45866.0</v>
      </c>
      <c r="H479" s="285">
        <f t="shared" si="13"/>
        <v>7350</v>
      </c>
      <c r="I479" s="286">
        <f t="shared" si="14"/>
        <v>6370</v>
      </c>
      <c r="J479" s="287">
        <f t="shared" si="15"/>
        <v>6370</v>
      </c>
      <c r="K479" s="288">
        <f t="shared" si="16"/>
        <v>5880</v>
      </c>
      <c r="L479" s="287">
        <f t="shared" si="17"/>
        <v>5635</v>
      </c>
      <c r="M479" s="288">
        <f t="shared" si="18"/>
        <v>5390</v>
      </c>
      <c r="N479" s="40"/>
      <c r="O479" s="34"/>
      <c r="P479" s="35"/>
      <c r="Q479" s="35"/>
      <c r="R479" s="35"/>
      <c r="S479" s="35"/>
      <c r="T479" s="35"/>
      <c r="U479" s="35"/>
      <c r="V479" s="35"/>
      <c r="W479" s="35"/>
      <c r="X479" s="35"/>
      <c r="Y479" s="35"/>
      <c r="Z479" s="35"/>
    </row>
    <row r="480" ht="14.25" customHeight="1">
      <c r="A480" s="420"/>
      <c r="B480" s="427" t="s">
        <v>2729</v>
      </c>
      <c r="C480" s="427" t="s">
        <v>2730</v>
      </c>
      <c r="D480" s="378" t="s">
        <v>2731</v>
      </c>
      <c r="E480" s="431"/>
      <c r="F480" s="397">
        <v>4800.0</v>
      </c>
      <c r="G480" s="363">
        <v>45866.0</v>
      </c>
      <c r="H480" s="285">
        <f t="shared" si="13"/>
        <v>7200</v>
      </c>
      <c r="I480" s="286">
        <f t="shared" si="14"/>
        <v>6240</v>
      </c>
      <c r="J480" s="287">
        <f t="shared" si="15"/>
        <v>6240</v>
      </c>
      <c r="K480" s="288">
        <f t="shared" si="16"/>
        <v>5760</v>
      </c>
      <c r="L480" s="287">
        <f t="shared" si="17"/>
        <v>5520</v>
      </c>
      <c r="M480" s="288">
        <f t="shared" si="18"/>
        <v>5280</v>
      </c>
      <c r="N480" s="40"/>
      <c r="O480" s="34"/>
      <c r="P480" s="35"/>
      <c r="Q480" s="35"/>
      <c r="R480" s="35"/>
      <c r="S480" s="35"/>
      <c r="T480" s="35"/>
      <c r="U480" s="35"/>
      <c r="V480" s="35"/>
      <c r="W480" s="35"/>
      <c r="X480" s="35"/>
      <c r="Y480" s="35"/>
      <c r="Z480" s="35"/>
    </row>
    <row r="481" ht="14.25" customHeight="1">
      <c r="A481" s="420"/>
      <c r="B481" s="427" t="s">
        <v>2732</v>
      </c>
      <c r="C481" s="427" t="s">
        <v>2733</v>
      </c>
      <c r="D481" s="378" t="s">
        <v>2734</v>
      </c>
      <c r="E481" s="431"/>
      <c r="F481" s="397">
        <v>4900.0</v>
      </c>
      <c r="G481" s="363">
        <v>45866.0</v>
      </c>
      <c r="H481" s="285">
        <f t="shared" si="13"/>
        <v>7350</v>
      </c>
      <c r="I481" s="286">
        <f t="shared" si="14"/>
        <v>6370</v>
      </c>
      <c r="J481" s="287">
        <f t="shared" si="15"/>
        <v>6370</v>
      </c>
      <c r="K481" s="288">
        <f t="shared" si="16"/>
        <v>5880</v>
      </c>
      <c r="L481" s="287">
        <f t="shared" si="17"/>
        <v>5635</v>
      </c>
      <c r="M481" s="288">
        <f t="shared" si="18"/>
        <v>5390</v>
      </c>
      <c r="N481" s="40"/>
      <c r="O481" s="34"/>
      <c r="P481" s="35"/>
      <c r="Q481" s="35"/>
      <c r="R481" s="35"/>
      <c r="S481" s="35"/>
      <c r="T481" s="35"/>
      <c r="U481" s="35"/>
      <c r="V481" s="35"/>
      <c r="W481" s="35"/>
      <c r="X481" s="35"/>
      <c r="Y481" s="35"/>
      <c r="Z481" s="35"/>
    </row>
    <row r="482" ht="14.25" customHeight="1">
      <c r="A482" s="420"/>
      <c r="B482" s="436" t="s">
        <v>2735</v>
      </c>
      <c r="C482" s="437" t="s">
        <v>2736</v>
      </c>
      <c r="D482" s="438" t="s">
        <v>2737</v>
      </c>
      <c r="E482" s="431"/>
      <c r="F482" s="439">
        <v>3300.0</v>
      </c>
      <c r="G482" s="363">
        <v>45866.0</v>
      </c>
      <c r="H482" s="285">
        <f t="shared" si="13"/>
        <v>4950</v>
      </c>
      <c r="I482" s="286">
        <f t="shared" si="14"/>
        <v>4290</v>
      </c>
      <c r="J482" s="287">
        <f t="shared" si="15"/>
        <v>4290</v>
      </c>
      <c r="K482" s="288">
        <f t="shared" si="16"/>
        <v>3960</v>
      </c>
      <c r="L482" s="287">
        <f t="shared" si="17"/>
        <v>3795</v>
      </c>
      <c r="M482" s="288">
        <f t="shared" si="18"/>
        <v>3630</v>
      </c>
      <c r="N482" s="40"/>
      <c r="O482" s="34"/>
      <c r="P482" s="35"/>
      <c r="Q482" s="35"/>
      <c r="R482" s="35"/>
      <c r="S482" s="35"/>
      <c r="T482" s="35"/>
      <c r="U482" s="35"/>
      <c r="V482" s="35"/>
      <c r="W482" s="35"/>
      <c r="X482" s="35"/>
      <c r="Y482" s="35"/>
      <c r="Z482" s="35"/>
    </row>
    <row r="483" ht="14.25" customHeight="1">
      <c r="A483" s="420"/>
      <c r="B483" s="368"/>
      <c r="C483" s="440" t="s">
        <v>2738</v>
      </c>
      <c r="D483" s="368"/>
      <c r="E483" s="431"/>
      <c r="F483" s="368"/>
      <c r="G483" s="363">
        <v>45866.0</v>
      </c>
      <c r="H483" s="285">
        <f t="shared" si="13"/>
        <v>0</v>
      </c>
      <c r="I483" s="286">
        <f t="shared" si="14"/>
        <v>0</v>
      </c>
      <c r="J483" s="287">
        <f t="shared" si="15"/>
        <v>0</v>
      </c>
      <c r="K483" s="288">
        <f t="shared" si="16"/>
        <v>0</v>
      </c>
      <c r="L483" s="287">
        <f t="shared" si="17"/>
        <v>0</v>
      </c>
      <c r="M483" s="288">
        <f t="shared" si="18"/>
        <v>0</v>
      </c>
      <c r="N483" s="40"/>
      <c r="O483" s="34"/>
      <c r="P483" s="35"/>
      <c r="Q483" s="35"/>
      <c r="R483" s="35"/>
      <c r="S483" s="35"/>
      <c r="T483" s="35"/>
      <c r="U483" s="35"/>
      <c r="V483" s="35"/>
      <c r="W483" s="35"/>
      <c r="X483" s="35"/>
      <c r="Y483" s="35"/>
      <c r="Z483" s="35"/>
    </row>
    <row r="484" ht="14.25" customHeight="1">
      <c r="A484" s="420"/>
      <c r="B484" s="441" t="s">
        <v>2739</v>
      </c>
      <c r="C484" s="440" t="s">
        <v>2740</v>
      </c>
      <c r="D484" s="424" t="s">
        <v>2741</v>
      </c>
      <c r="E484" s="431"/>
      <c r="F484" s="387">
        <v>3300.0</v>
      </c>
      <c r="G484" s="363">
        <v>45866.0</v>
      </c>
      <c r="H484" s="285">
        <f t="shared" si="13"/>
        <v>4950</v>
      </c>
      <c r="I484" s="286">
        <f t="shared" si="14"/>
        <v>4290</v>
      </c>
      <c r="J484" s="287">
        <f t="shared" si="15"/>
        <v>4290</v>
      </c>
      <c r="K484" s="288">
        <f t="shared" si="16"/>
        <v>3960</v>
      </c>
      <c r="L484" s="287">
        <f t="shared" si="17"/>
        <v>3795</v>
      </c>
      <c r="M484" s="288">
        <f t="shared" si="18"/>
        <v>3630</v>
      </c>
      <c r="N484" s="40"/>
      <c r="O484" s="34"/>
      <c r="P484" s="35"/>
      <c r="Q484" s="35"/>
      <c r="R484" s="35"/>
      <c r="S484" s="35"/>
      <c r="T484" s="35"/>
      <c r="U484" s="35"/>
      <c r="V484" s="35"/>
      <c r="W484" s="35"/>
      <c r="X484" s="35"/>
      <c r="Y484" s="35"/>
      <c r="Z484" s="35"/>
    </row>
    <row r="485" ht="14.25" customHeight="1">
      <c r="A485" s="420"/>
      <c r="B485" s="368"/>
      <c r="C485" s="440" t="s">
        <v>2742</v>
      </c>
      <c r="D485" s="368"/>
      <c r="E485" s="431"/>
      <c r="F485" s="368"/>
      <c r="G485" s="363">
        <v>45866.0</v>
      </c>
      <c r="H485" s="285">
        <f t="shared" si="13"/>
        <v>0</v>
      </c>
      <c r="I485" s="286">
        <f t="shared" si="14"/>
        <v>0</v>
      </c>
      <c r="J485" s="287">
        <f t="shared" si="15"/>
        <v>0</v>
      </c>
      <c r="K485" s="288">
        <f t="shared" si="16"/>
        <v>0</v>
      </c>
      <c r="L485" s="287">
        <f t="shared" si="17"/>
        <v>0</v>
      </c>
      <c r="M485" s="288">
        <f t="shared" si="18"/>
        <v>0</v>
      </c>
      <c r="N485" s="40"/>
      <c r="O485" s="34"/>
      <c r="P485" s="35"/>
      <c r="Q485" s="35"/>
      <c r="R485" s="35"/>
      <c r="S485" s="35"/>
      <c r="T485" s="35"/>
      <c r="U485" s="35"/>
      <c r="V485" s="35"/>
      <c r="W485" s="35"/>
      <c r="X485" s="35"/>
      <c r="Y485" s="35"/>
      <c r="Z485" s="35"/>
    </row>
    <row r="486" ht="14.25" customHeight="1">
      <c r="A486" s="420"/>
      <c r="B486" s="441" t="s">
        <v>2743</v>
      </c>
      <c r="C486" s="440" t="s">
        <v>2744</v>
      </c>
      <c r="D486" s="424" t="s">
        <v>2745</v>
      </c>
      <c r="E486" s="431"/>
      <c r="F486" s="387">
        <v>3500.0</v>
      </c>
      <c r="G486" s="363">
        <v>45866.0</v>
      </c>
      <c r="H486" s="285">
        <f t="shared" si="13"/>
        <v>5250</v>
      </c>
      <c r="I486" s="286">
        <f t="shared" si="14"/>
        <v>4550</v>
      </c>
      <c r="J486" s="287">
        <f t="shared" si="15"/>
        <v>4550</v>
      </c>
      <c r="K486" s="288">
        <f t="shared" si="16"/>
        <v>4200</v>
      </c>
      <c r="L486" s="287">
        <f t="shared" si="17"/>
        <v>4025</v>
      </c>
      <c r="M486" s="288">
        <f t="shared" si="18"/>
        <v>3850</v>
      </c>
      <c r="N486" s="40"/>
      <c r="O486" s="34"/>
      <c r="P486" s="35"/>
      <c r="Q486" s="35"/>
      <c r="R486" s="35"/>
      <c r="S486" s="35"/>
      <c r="T486" s="35"/>
      <c r="U486" s="35"/>
      <c r="V486" s="35"/>
      <c r="W486" s="35"/>
      <c r="X486" s="35"/>
      <c r="Y486" s="35"/>
      <c r="Z486" s="35"/>
    </row>
    <row r="487" ht="14.25" customHeight="1">
      <c r="A487" s="420"/>
      <c r="B487" s="368"/>
      <c r="C487" s="440" t="s">
        <v>2746</v>
      </c>
      <c r="D487" s="368"/>
      <c r="E487" s="431"/>
      <c r="F487" s="368"/>
      <c r="G487" s="363">
        <v>45866.0</v>
      </c>
      <c r="H487" s="285">
        <f t="shared" si="13"/>
        <v>0</v>
      </c>
      <c r="I487" s="286">
        <f t="shared" si="14"/>
        <v>0</v>
      </c>
      <c r="J487" s="287">
        <f t="shared" si="15"/>
        <v>0</v>
      </c>
      <c r="K487" s="288">
        <f t="shared" si="16"/>
        <v>0</v>
      </c>
      <c r="L487" s="287">
        <f t="shared" si="17"/>
        <v>0</v>
      </c>
      <c r="M487" s="288">
        <f t="shared" si="18"/>
        <v>0</v>
      </c>
      <c r="N487" s="40"/>
      <c r="O487" s="34"/>
      <c r="P487" s="35"/>
      <c r="Q487" s="35"/>
      <c r="R487" s="35"/>
      <c r="S487" s="35"/>
      <c r="T487" s="35"/>
      <c r="U487" s="35"/>
      <c r="V487" s="35"/>
      <c r="W487" s="35"/>
      <c r="X487" s="35"/>
      <c r="Y487" s="35"/>
      <c r="Z487" s="35"/>
    </row>
    <row r="488" ht="14.25" customHeight="1">
      <c r="A488" s="420"/>
      <c r="B488" s="441" t="s">
        <v>2747</v>
      </c>
      <c r="C488" s="440" t="s">
        <v>2748</v>
      </c>
      <c r="D488" s="424" t="s">
        <v>2745</v>
      </c>
      <c r="E488" s="431"/>
      <c r="F488" s="387">
        <v>3500.0</v>
      </c>
      <c r="G488" s="363">
        <v>45866.0</v>
      </c>
      <c r="H488" s="285">
        <f t="shared" si="13"/>
        <v>5250</v>
      </c>
      <c r="I488" s="286">
        <f t="shared" si="14"/>
        <v>4550</v>
      </c>
      <c r="J488" s="287">
        <f t="shared" si="15"/>
        <v>4550</v>
      </c>
      <c r="K488" s="288">
        <f t="shared" si="16"/>
        <v>4200</v>
      </c>
      <c r="L488" s="287">
        <f t="shared" si="17"/>
        <v>4025</v>
      </c>
      <c r="M488" s="288">
        <f t="shared" si="18"/>
        <v>3850</v>
      </c>
      <c r="N488" s="40"/>
      <c r="O488" s="34"/>
      <c r="P488" s="35"/>
      <c r="Q488" s="35"/>
      <c r="R488" s="35"/>
      <c r="S488" s="35"/>
      <c r="T488" s="35"/>
      <c r="U488" s="35"/>
      <c r="V488" s="35"/>
      <c r="W488" s="35"/>
      <c r="X488" s="35"/>
      <c r="Y488" s="35"/>
      <c r="Z488" s="35"/>
    </row>
    <row r="489" ht="14.25" customHeight="1">
      <c r="A489" s="420"/>
      <c r="B489" s="368"/>
      <c r="C489" s="440" t="s">
        <v>2749</v>
      </c>
      <c r="D489" s="368"/>
      <c r="E489" s="431"/>
      <c r="F489" s="368"/>
      <c r="G489" s="363">
        <v>45866.0</v>
      </c>
      <c r="H489" s="285">
        <f t="shared" si="13"/>
        <v>0</v>
      </c>
      <c r="I489" s="286">
        <f t="shared" si="14"/>
        <v>0</v>
      </c>
      <c r="J489" s="287">
        <f t="shared" si="15"/>
        <v>0</v>
      </c>
      <c r="K489" s="288">
        <f t="shared" si="16"/>
        <v>0</v>
      </c>
      <c r="L489" s="287">
        <f t="shared" si="17"/>
        <v>0</v>
      </c>
      <c r="M489" s="288">
        <f t="shared" si="18"/>
        <v>0</v>
      </c>
      <c r="N489" s="40"/>
      <c r="O489" s="34"/>
      <c r="P489" s="35"/>
      <c r="Q489" s="35"/>
      <c r="R489" s="35"/>
      <c r="S489" s="35"/>
      <c r="T489" s="35"/>
      <c r="U489" s="35"/>
      <c r="V489" s="35"/>
      <c r="W489" s="35"/>
      <c r="X489" s="35"/>
      <c r="Y489" s="35"/>
      <c r="Z489" s="35"/>
    </row>
    <row r="490" ht="14.25" customHeight="1">
      <c r="A490" s="420"/>
      <c r="B490" s="430" t="s">
        <v>2750</v>
      </c>
      <c r="C490" s="427" t="s">
        <v>2751</v>
      </c>
      <c r="D490" s="425" t="s">
        <v>2752</v>
      </c>
      <c r="E490" s="431"/>
      <c r="F490" s="417">
        <v>2650.0</v>
      </c>
      <c r="G490" s="363">
        <v>45866.0</v>
      </c>
      <c r="H490" s="285">
        <f t="shared" si="13"/>
        <v>3975</v>
      </c>
      <c r="I490" s="286">
        <f t="shared" si="14"/>
        <v>3445</v>
      </c>
      <c r="J490" s="287">
        <f t="shared" si="15"/>
        <v>3445</v>
      </c>
      <c r="K490" s="288">
        <f t="shared" si="16"/>
        <v>3180</v>
      </c>
      <c r="L490" s="287">
        <f t="shared" si="17"/>
        <v>3047.5</v>
      </c>
      <c r="M490" s="288">
        <f t="shared" si="18"/>
        <v>2915</v>
      </c>
      <c r="N490" s="40"/>
      <c r="O490" s="34"/>
      <c r="P490" s="35"/>
      <c r="Q490" s="35"/>
      <c r="R490" s="35"/>
      <c r="S490" s="35"/>
      <c r="T490" s="35"/>
      <c r="U490" s="35"/>
      <c r="V490" s="35"/>
      <c r="W490" s="35"/>
      <c r="X490" s="35"/>
      <c r="Y490" s="35"/>
      <c r="Z490" s="35"/>
    </row>
    <row r="491" ht="14.25" customHeight="1">
      <c r="A491" s="420"/>
      <c r="B491" s="368"/>
      <c r="C491" s="427" t="s">
        <v>2753</v>
      </c>
      <c r="D491" s="368"/>
      <c r="E491" s="431"/>
      <c r="F491" s="368"/>
      <c r="G491" s="363">
        <v>45866.0</v>
      </c>
      <c r="H491" s="285">
        <f t="shared" si="13"/>
        <v>0</v>
      </c>
      <c r="I491" s="286">
        <f t="shared" si="14"/>
        <v>0</v>
      </c>
      <c r="J491" s="287">
        <f t="shared" si="15"/>
        <v>0</v>
      </c>
      <c r="K491" s="288">
        <f t="shared" si="16"/>
        <v>0</v>
      </c>
      <c r="L491" s="287">
        <f t="shared" si="17"/>
        <v>0</v>
      </c>
      <c r="M491" s="288">
        <f t="shared" si="18"/>
        <v>0</v>
      </c>
      <c r="N491" s="40"/>
      <c r="O491" s="34"/>
      <c r="P491" s="35"/>
      <c r="Q491" s="35"/>
      <c r="R491" s="35"/>
      <c r="S491" s="35"/>
      <c r="T491" s="35"/>
      <c r="U491" s="35"/>
      <c r="V491" s="35"/>
      <c r="W491" s="35"/>
      <c r="X491" s="35"/>
      <c r="Y491" s="35"/>
      <c r="Z491" s="35"/>
    </row>
    <row r="492" ht="14.25" customHeight="1">
      <c r="A492" s="420"/>
      <c r="B492" s="430" t="s">
        <v>2754</v>
      </c>
      <c r="C492" s="427" t="s">
        <v>2755</v>
      </c>
      <c r="D492" s="425" t="s">
        <v>2756</v>
      </c>
      <c r="E492" s="431"/>
      <c r="F492" s="417">
        <v>2650.0</v>
      </c>
      <c r="G492" s="363">
        <v>45866.0</v>
      </c>
      <c r="H492" s="285">
        <f t="shared" si="13"/>
        <v>3975</v>
      </c>
      <c r="I492" s="286">
        <f t="shared" si="14"/>
        <v>3445</v>
      </c>
      <c r="J492" s="287">
        <f t="shared" si="15"/>
        <v>3445</v>
      </c>
      <c r="K492" s="288">
        <f t="shared" si="16"/>
        <v>3180</v>
      </c>
      <c r="L492" s="287">
        <f t="shared" si="17"/>
        <v>3047.5</v>
      </c>
      <c r="M492" s="288">
        <f t="shared" si="18"/>
        <v>2915</v>
      </c>
      <c r="N492" s="40"/>
      <c r="O492" s="34"/>
      <c r="P492" s="35"/>
      <c r="Q492" s="35"/>
      <c r="R492" s="35"/>
      <c r="S492" s="35"/>
      <c r="T492" s="35"/>
      <c r="U492" s="35"/>
      <c r="V492" s="35"/>
      <c r="W492" s="35"/>
      <c r="X492" s="35"/>
      <c r="Y492" s="35"/>
      <c r="Z492" s="35"/>
    </row>
    <row r="493" ht="14.25" customHeight="1">
      <c r="A493" s="420"/>
      <c r="B493" s="368"/>
      <c r="C493" s="427" t="s">
        <v>2757</v>
      </c>
      <c r="D493" s="368"/>
      <c r="E493" s="431"/>
      <c r="F493" s="368"/>
      <c r="G493" s="363">
        <v>45866.0</v>
      </c>
      <c r="H493" s="285">
        <f t="shared" si="13"/>
        <v>0</v>
      </c>
      <c r="I493" s="286">
        <f t="shared" si="14"/>
        <v>0</v>
      </c>
      <c r="J493" s="287">
        <f t="shared" si="15"/>
        <v>0</v>
      </c>
      <c r="K493" s="288">
        <f t="shared" si="16"/>
        <v>0</v>
      </c>
      <c r="L493" s="287">
        <f t="shared" si="17"/>
        <v>0</v>
      </c>
      <c r="M493" s="288">
        <f t="shared" si="18"/>
        <v>0</v>
      </c>
      <c r="N493" s="40"/>
      <c r="O493" s="34"/>
      <c r="P493" s="35"/>
      <c r="Q493" s="35"/>
      <c r="R493" s="35"/>
      <c r="S493" s="35"/>
      <c r="T493" s="35"/>
      <c r="U493" s="35"/>
      <c r="V493" s="35"/>
      <c r="W493" s="35"/>
      <c r="X493" s="35"/>
      <c r="Y493" s="35"/>
      <c r="Z493" s="35"/>
    </row>
    <row r="494" ht="14.25" customHeight="1">
      <c r="A494" s="420"/>
      <c r="B494" s="430" t="s">
        <v>2758</v>
      </c>
      <c r="C494" s="427" t="s">
        <v>2759</v>
      </c>
      <c r="D494" s="425" t="s">
        <v>2760</v>
      </c>
      <c r="E494" s="431"/>
      <c r="F494" s="417">
        <v>2850.0</v>
      </c>
      <c r="G494" s="363">
        <v>45866.0</v>
      </c>
      <c r="H494" s="285">
        <f t="shared" si="13"/>
        <v>4275</v>
      </c>
      <c r="I494" s="286">
        <f t="shared" si="14"/>
        <v>3705</v>
      </c>
      <c r="J494" s="287">
        <f t="shared" si="15"/>
        <v>3705</v>
      </c>
      <c r="K494" s="288">
        <f t="shared" si="16"/>
        <v>3420</v>
      </c>
      <c r="L494" s="287">
        <f t="shared" si="17"/>
        <v>3277.5</v>
      </c>
      <c r="M494" s="288">
        <f t="shared" si="18"/>
        <v>3135</v>
      </c>
      <c r="N494" s="40"/>
      <c r="O494" s="34"/>
      <c r="P494" s="35"/>
      <c r="Q494" s="35"/>
      <c r="R494" s="35"/>
      <c r="S494" s="35"/>
      <c r="T494" s="35"/>
      <c r="U494" s="35"/>
      <c r="V494" s="35"/>
      <c r="W494" s="35"/>
      <c r="X494" s="35"/>
      <c r="Y494" s="35"/>
      <c r="Z494" s="35"/>
    </row>
    <row r="495" ht="14.25" customHeight="1">
      <c r="A495" s="420"/>
      <c r="B495" s="368"/>
      <c r="C495" s="427" t="s">
        <v>2761</v>
      </c>
      <c r="D495" s="368"/>
      <c r="E495" s="431"/>
      <c r="F495" s="368"/>
      <c r="G495" s="363">
        <v>45866.0</v>
      </c>
      <c r="H495" s="285">
        <f t="shared" si="13"/>
        <v>0</v>
      </c>
      <c r="I495" s="286">
        <f t="shared" si="14"/>
        <v>0</v>
      </c>
      <c r="J495" s="287">
        <f t="shared" si="15"/>
        <v>0</v>
      </c>
      <c r="K495" s="288">
        <f t="shared" si="16"/>
        <v>0</v>
      </c>
      <c r="L495" s="287">
        <f t="shared" si="17"/>
        <v>0</v>
      </c>
      <c r="M495" s="288">
        <f t="shared" si="18"/>
        <v>0</v>
      </c>
      <c r="N495" s="40"/>
      <c r="O495" s="34"/>
      <c r="P495" s="35"/>
      <c r="Q495" s="35"/>
      <c r="R495" s="35"/>
      <c r="S495" s="35"/>
      <c r="T495" s="35"/>
      <c r="U495" s="35"/>
      <c r="V495" s="35"/>
      <c r="W495" s="35"/>
      <c r="X495" s="35"/>
      <c r="Y495" s="35"/>
      <c r="Z495" s="35"/>
    </row>
    <row r="496" ht="14.25" customHeight="1">
      <c r="A496" s="420"/>
      <c r="B496" s="430" t="s">
        <v>2762</v>
      </c>
      <c r="C496" s="427" t="s">
        <v>2763</v>
      </c>
      <c r="D496" s="425" t="s">
        <v>2764</v>
      </c>
      <c r="E496" s="431"/>
      <c r="F496" s="417">
        <v>2850.0</v>
      </c>
      <c r="G496" s="363">
        <v>45866.0</v>
      </c>
      <c r="H496" s="285">
        <f t="shared" si="13"/>
        <v>4275</v>
      </c>
      <c r="I496" s="286">
        <f t="shared" si="14"/>
        <v>3705</v>
      </c>
      <c r="J496" s="287">
        <f t="shared" si="15"/>
        <v>3705</v>
      </c>
      <c r="K496" s="288">
        <f t="shared" si="16"/>
        <v>3420</v>
      </c>
      <c r="L496" s="287">
        <f t="shared" si="17"/>
        <v>3277.5</v>
      </c>
      <c r="M496" s="288">
        <f t="shared" si="18"/>
        <v>3135</v>
      </c>
      <c r="N496" s="40"/>
      <c r="O496" s="34"/>
      <c r="P496" s="35"/>
      <c r="Q496" s="35"/>
      <c r="R496" s="35"/>
      <c r="S496" s="35"/>
      <c r="T496" s="35"/>
      <c r="U496" s="35"/>
      <c r="V496" s="35"/>
      <c r="W496" s="35"/>
      <c r="X496" s="35"/>
      <c r="Y496" s="35"/>
      <c r="Z496" s="35"/>
    </row>
    <row r="497" ht="14.25" customHeight="1">
      <c r="A497" s="420"/>
      <c r="B497" s="368"/>
      <c r="C497" s="427" t="s">
        <v>2765</v>
      </c>
      <c r="D497" s="368"/>
      <c r="E497" s="431"/>
      <c r="F497" s="368"/>
      <c r="G497" s="363">
        <v>45866.0</v>
      </c>
      <c r="H497" s="285">
        <f t="shared" si="13"/>
        <v>0</v>
      </c>
      <c r="I497" s="286">
        <f t="shared" si="14"/>
        <v>0</v>
      </c>
      <c r="J497" s="287">
        <f t="shared" si="15"/>
        <v>0</v>
      </c>
      <c r="K497" s="288">
        <f t="shared" si="16"/>
        <v>0</v>
      </c>
      <c r="L497" s="287">
        <f t="shared" si="17"/>
        <v>0</v>
      </c>
      <c r="M497" s="288">
        <f t="shared" si="18"/>
        <v>0</v>
      </c>
      <c r="N497" s="40"/>
      <c r="O497" s="34"/>
      <c r="P497" s="35"/>
      <c r="Q497" s="35"/>
      <c r="R497" s="35"/>
      <c r="S497" s="35"/>
      <c r="T497" s="35"/>
      <c r="U497" s="35"/>
      <c r="V497" s="35"/>
      <c r="W497" s="35"/>
      <c r="X497" s="35"/>
      <c r="Y497" s="35"/>
      <c r="Z497" s="35"/>
    </row>
    <row r="498" ht="14.25" customHeight="1">
      <c r="A498" s="420"/>
      <c r="B498" s="430" t="s">
        <v>2766</v>
      </c>
      <c r="C498" s="427" t="s">
        <v>2767</v>
      </c>
      <c r="D498" s="425" t="s">
        <v>2752</v>
      </c>
      <c r="E498" s="431"/>
      <c r="F498" s="417">
        <v>2650.0</v>
      </c>
      <c r="G498" s="363">
        <v>45866.0</v>
      </c>
      <c r="H498" s="285">
        <f t="shared" si="13"/>
        <v>3975</v>
      </c>
      <c r="I498" s="286">
        <f t="shared" si="14"/>
        <v>3445</v>
      </c>
      <c r="J498" s="287">
        <f t="shared" si="15"/>
        <v>3445</v>
      </c>
      <c r="K498" s="288">
        <f t="shared" si="16"/>
        <v>3180</v>
      </c>
      <c r="L498" s="287">
        <f t="shared" si="17"/>
        <v>3047.5</v>
      </c>
      <c r="M498" s="288">
        <f t="shared" si="18"/>
        <v>2915</v>
      </c>
      <c r="N498" s="40"/>
      <c r="O498" s="34"/>
      <c r="P498" s="35"/>
      <c r="Q498" s="35"/>
      <c r="R498" s="35"/>
      <c r="S498" s="35"/>
      <c r="T498" s="35"/>
      <c r="U498" s="35"/>
      <c r="V498" s="35"/>
      <c r="W498" s="35"/>
      <c r="X498" s="35"/>
      <c r="Y498" s="35"/>
      <c r="Z498" s="35"/>
    </row>
    <row r="499" ht="14.25" customHeight="1">
      <c r="A499" s="420"/>
      <c r="B499" s="368"/>
      <c r="C499" s="427" t="s">
        <v>2768</v>
      </c>
      <c r="D499" s="368"/>
      <c r="E499" s="431"/>
      <c r="F499" s="368"/>
      <c r="G499" s="363">
        <v>45866.0</v>
      </c>
      <c r="H499" s="285">
        <f t="shared" si="13"/>
        <v>0</v>
      </c>
      <c r="I499" s="286">
        <f t="shared" si="14"/>
        <v>0</v>
      </c>
      <c r="J499" s="287">
        <f t="shared" si="15"/>
        <v>0</v>
      </c>
      <c r="K499" s="288">
        <f t="shared" si="16"/>
        <v>0</v>
      </c>
      <c r="L499" s="287">
        <f t="shared" si="17"/>
        <v>0</v>
      </c>
      <c r="M499" s="288">
        <f t="shared" si="18"/>
        <v>0</v>
      </c>
      <c r="N499" s="40"/>
      <c r="O499" s="34"/>
      <c r="P499" s="35"/>
      <c r="Q499" s="35"/>
      <c r="R499" s="35"/>
      <c r="S499" s="35"/>
      <c r="T499" s="35"/>
      <c r="U499" s="35"/>
      <c r="V499" s="35"/>
      <c r="W499" s="35"/>
      <c r="X499" s="35"/>
      <c r="Y499" s="35"/>
      <c r="Z499" s="35"/>
    </row>
    <row r="500" ht="14.25" customHeight="1">
      <c r="A500" s="420"/>
      <c r="B500" s="430" t="s">
        <v>2769</v>
      </c>
      <c r="C500" s="427" t="s">
        <v>2770</v>
      </c>
      <c r="D500" s="425" t="s">
        <v>2771</v>
      </c>
      <c r="E500" s="431"/>
      <c r="F500" s="417">
        <v>2650.0</v>
      </c>
      <c r="G500" s="363">
        <v>45866.0</v>
      </c>
      <c r="H500" s="285">
        <f t="shared" si="13"/>
        <v>3975</v>
      </c>
      <c r="I500" s="286">
        <f t="shared" si="14"/>
        <v>3445</v>
      </c>
      <c r="J500" s="287">
        <f t="shared" si="15"/>
        <v>3445</v>
      </c>
      <c r="K500" s="288">
        <f t="shared" si="16"/>
        <v>3180</v>
      </c>
      <c r="L500" s="287">
        <f t="shared" si="17"/>
        <v>3047.5</v>
      </c>
      <c r="M500" s="288">
        <f t="shared" si="18"/>
        <v>2915</v>
      </c>
      <c r="N500" s="40"/>
      <c r="O500" s="34"/>
      <c r="P500" s="35"/>
      <c r="Q500" s="35"/>
      <c r="R500" s="35"/>
      <c r="S500" s="35"/>
      <c r="T500" s="35"/>
      <c r="U500" s="35"/>
      <c r="V500" s="35"/>
      <c r="W500" s="35"/>
      <c r="X500" s="35"/>
      <c r="Y500" s="35"/>
      <c r="Z500" s="35"/>
    </row>
    <row r="501" ht="14.25" customHeight="1">
      <c r="A501" s="420"/>
      <c r="B501" s="368"/>
      <c r="C501" s="427" t="s">
        <v>2772</v>
      </c>
      <c r="D501" s="368"/>
      <c r="E501" s="431"/>
      <c r="F501" s="368"/>
      <c r="G501" s="363">
        <v>45866.0</v>
      </c>
      <c r="H501" s="285">
        <f t="shared" si="13"/>
        <v>0</v>
      </c>
      <c r="I501" s="286">
        <f t="shared" si="14"/>
        <v>0</v>
      </c>
      <c r="J501" s="287">
        <f t="shared" si="15"/>
        <v>0</v>
      </c>
      <c r="K501" s="288">
        <f t="shared" si="16"/>
        <v>0</v>
      </c>
      <c r="L501" s="287">
        <f t="shared" si="17"/>
        <v>0</v>
      </c>
      <c r="M501" s="288">
        <f t="shared" si="18"/>
        <v>0</v>
      </c>
      <c r="N501" s="40"/>
      <c r="O501" s="34"/>
      <c r="P501" s="35"/>
      <c r="Q501" s="35"/>
      <c r="R501" s="35"/>
      <c r="S501" s="35"/>
      <c r="T501" s="35"/>
      <c r="U501" s="35"/>
      <c r="V501" s="35"/>
      <c r="W501" s="35"/>
      <c r="X501" s="35"/>
      <c r="Y501" s="35"/>
      <c r="Z501" s="35"/>
    </row>
    <row r="502" ht="14.25" customHeight="1">
      <c r="A502" s="420"/>
      <c r="B502" s="442"/>
      <c r="C502" s="443"/>
      <c r="D502" s="444"/>
      <c r="E502" s="431"/>
      <c r="F502" s="445"/>
      <c r="G502" s="363">
        <v>45866.0</v>
      </c>
      <c r="H502" s="285">
        <f t="shared" si="13"/>
        <v>0</v>
      </c>
      <c r="I502" s="286">
        <f t="shared" si="14"/>
        <v>0</v>
      </c>
      <c r="J502" s="287">
        <f t="shared" si="15"/>
        <v>0</v>
      </c>
      <c r="K502" s="288">
        <f t="shared" si="16"/>
        <v>0</v>
      </c>
      <c r="L502" s="287">
        <f t="shared" si="17"/>
        <v>0</v>
      </c>
      <c r="M502" s="288">
        <f t="shared" si="18"/>
        <v>0</v>
      </c>
      <c r="N502" s="40"/>
      <c r="O502" s="34"/>
      <c r="P502" s="35"/>
      <c r="Q502" s="35"/>
      <c r="R502" s="35"/>
      <c r="S502" s="35"/>
      <c r="T502" s="35"/>
      <c r="U502" s="35"/>
      <c r="V502" s="35"/>
      <c r="W502" s="35"/>
      <c r="X502" s="35"/>
      <c r="Y502" s="35"/>
      <c r="Z502" s="35"/>
    </row>
    <row r="503" ht="14.25" customHeight="1">
      <c r="A503" s="420"/>
      <c r="B503" s="430" t="s">
        <v>2773</v>
      </c>
      <c r="C503" s="427" t="s">
        <v>2774</v>
      </c>
      <c r="D503" s="425" t="s">
        <v>2775</v>
      </c>
      <c r="E503" s="446"/>
      <c r="F503" s="417">
        <v>2850.0</v>
      </c>
      <c r="G503" s="363">
        <v>45866.0</v>
      </c>
      <c r="H503" s="285">
        <f t="shared" si="13"/>
        <v>4275</v>
      </c>
      <c r="I503" s="286">
        <f t="shared" si="14"/>
        <v>3705</v>
      </c>
      <c r="J503" s="287">
        <f t="shared" si="15"/>
        <v>3705</v>
      </c>
      <c r="K503" s="288">
        <f t="shared" si="16"/>
        <v>3420</v>
      </c>
      <c r="L503" s="287">
        <f t="shared" si="17"/>
        <v>3277.5</v>
      </c>
      <c r="M503" s="288">
        <f t="shared" si="18"/>
        <v>3135</v>
      </c>
      <c r="N503" s="40"/>
      <c r="O503" s="34"/>
      <c r="P503" s="35"/>
      <c r="Q503" s="35"/>
      <c r="R503" s="35"/>
      <c r="S503" s="35"/>
      <c r="T503" s="35"/>
      <c r="U503" s="35"/>
      <c r="V503" s="35"/>
      <c r="W503" s="35"/>
      <c r="X503" s="35"/>
      <c r="Y503" s="35"/>
      <c r="Z503" s="35"/>
    </row>
    <row r="504" ht="14.25" customHeight="1">
      <c r="A504" s="420"/>
      <c r="B504" s="368"/>
      <c r="C504" s="427" t="s">
        <v>2776</v>
      </c>
      <c r="D504" s="368"/>
      <c r="E504" s="446"/>
      <c r="F504" s="368"/>
      <c r="G504" s="363">
        <v>45866.0</v>
      </c>
      <c r="H504" s="285">
        <f t="shared" si="13"/>
        <v>0</v>
      </c>
      <c r="I504" s="286">
        <f t="shared" si="14"/>
        <v>0</v>
      </c>
      <c r="J504" s="287">
        <f t="shared" si="15"/>
        <v>0</v>
      </c>
      <c r="K504" s="288">
        <f t="shared" si="16"/>
        <v>0</v>
      </c>
      <c r="L504" s="287">
        <f t="shared" si="17"/>
        <v>0</v>
      </c>
      <c r="M504" s="288">
        <f t="shared" si="18"/>
        <v>0</v>
      </c>
      <c r="N504" s="40"/>
      <c r="O504" s="34"/>
      <c r="P504" s="35"/>
      <c r="Q504" s="35"/>
      <c r="R504" s="35"/>
      <c r="S504" s="35"/>
      <c r="T504" s="35"/>
      <c r="U504" s="35"/>
      <c r="V504" s="35"/>
      <c r="W504" s="35"/>
      <c r="X504" s="35"/>
      <c r="Y504" s="35"/>
      <c r="Z504" s="35"/>
    </row>
    <row r="505" ht="14.25" customHeight="1">
      <c r="A505" s="420"/>
      <c r="B505" s="430" t="s">
        <v>2777</v>
      </c>
      <c r="C505" s="427" t="s">
        <v>2778</v>
      </c>
      <c r="D505" s="425" t="s">
        <v>2779</v>
      </c>
      <c r="E505" s="446"/>
      <c r="F505" s="417">
        <v>2850.0</v>
      </c>
      <c r="G505" s="363">
        <v>45866.0</v>
      </c>
      <c r="H505" s="285">
        <f t="shared" si="13"/>
        <v>4275</v>
      </c>
      <c r="I505" s="286">
        <f t="shared" si="14"/>
        <v>3705</v>
      </c>
      <c r="J505" s="287">
        <f t="shared" si="15"/>
        <v>3705</v>
      </c>
      <c r="K505" s="288">
        <f t="shared" si="16"/>
        <v>3420</v>
      </c>
      <c r="L505" s="287">
        <f t="shared" si="17"/>
        <v>3277.5</v>
      </c>
      <c r="M505" s="288">
        <f t="shared" si="18"/>
        <v>3135</v>
      </c>
      <c r="N505" s="40"/>
      <c r="O505" s="34"/>
      <c r="P505" s="35"/>
      <c r="Q505" s="35"/>
      <c r="R505" s="35"/>
      <c r="S505" s="35"/>
      <c r="T505" s="35"/>
      <c r="U505" s="35"/>
      <c r="V505" s="35"/>
      <c r="W505" s="35"/>
      <c r="X505" s="35"/>
      <c r="Y505" s="35"/>
      <c r="Z505" s="35"/>
    </row>
    <row r="506" ht="14.25" customHeight="1">
      <c r="A506" s="420"/>
      <c r="B506" s="368"/>
      <c r="C506" s="427" t="s">
        <v>2780</v>
      </c>
      <c r="D506" s="368"/>
      <c r="E506" s="446"/>
      <c r="F506" s="368"/>
      <c r="G506" s="363">
        <v>45866.0</v>
      </c>
      <c r="H506" s="285">
        <f t="shared" si="13"/>
        <v>0</v>
      </c>
      <c r="I506" s="286">
        <f t="shared" si="14"/>
        <v>0</v>
      </c>
      <c r="J506" s="287">
        <f t="shared" si="15"/>
        <v>0</v>
      </c>
      <c r="K506" s="288">
        <f t="shared" si="16"/>
        <v>0</v>
      </c>
      <c r="L506" s="287">
        <f t="shared" si="17"/>
        <v>0</v>
      </c>
      <c r="M506" s="288">
        <f t="shared" si="18"/>
        <v>0</v>
      </c>
      <c r="N506" s="40"/>
      <c r="O506" s="34"/>
      <c r="P506" s="35"/>
      <c r="Q506" s="35"/>
      <c r="R506" s="35"/>
      <c r="S506" s="35"/>
      <c r="T506" s="35"/>
      <c r="U506" s="35"/>
      <c r="V506" s="35"/>
      <c r="W506" s="35"/>
      <c r="X506" s="35"/>
      <c r="Y506" s="35"/>
      <c r="Z506" s="35"/>
    </row>
    <row r="507" ht="14.25" customHeight="1">
      <c r="A507" s="420"/>
      <c r="B507" s="430" t="s">
        <v>2781</v>
      </c>
      <c r="C507" s="427" t="s">
        <v>2782</v>
      </c>
      <c r="D507" s="425" t="s">
        <v>2783</v>
      </c>
      <c r="E507" s="446"/>
      <c r="F507" s="417">
        <v>3000.0</v>
      </c>
      <c r="G507" s="363">
        <v>45866.0</v>
      </c>
      <c r="H507" s="285">
        <f t="shared" si="13"/>
        <v>4500</v>
      </c>
      <c r="I507" s="286">
        <f t="shared" si="14"/>
        <v>3900</v>
      </c>
      <c r="J507" s="287">
        <f t="shared" si="15"/>
        <v>3900</v>
      </c>
      <c r="K507" s="288">
        <f t="shared" si="16"/>
        <v>3600</v>
      </c>
      <c r="L507" s="287">
        <f t="shared" si="17"/>
        <v>3450</v>
      </c>
      <c r="M507" s="288">
        <f t="shared" si="18"/>
        <v>3300</v>
      </c>
      <c r="N507" s="40"/>
      <c r="O507" s="34"/>
      <c r="P507" s="35"/>
      <c r="Q507" s="35"/>
      <c r="R507" s="35"/>
      <c r="S507" s="35"/>
      <c r="T507" s="35"/>
      <c r="U507" s="35"/>
      <c r="V507" s="35"/>
      <c r="W507" s="35"/>
      <c r="X507" s="35"/>
      <c r="Y507" s="35"/>
      <c r="Z507" s="35"/>
    </row>
    <row r="508" ht="14.25" customHeight="1">
      <c r="A508" s="420"/>
      <c r="B508" s="368"/>
      <c r="C508" s="427" t="s">
        <v>2784</v>
      </c>
      <c r="D508" s="368"/>
      <c r="E508" s="446"/>
      <c r="F508" s="368"/>
      <c r="G508" s="363">
        <v>45866.0</v>
      </c>
      <c r="H508" s="285">
        <f t="shared" si="13"/>
        <v>0</v>
      </c>
      <c r="I508" s="286">
        <f t="shared" si="14"/>
        <v>0</v>
      </c>
      <c r="J508" s="287">
        <f t="shared" si="15"/>
        <v>0</v>
      </c>
      <c r="K508" s="288">
        <f t="shared" si="16"/>
        <v>0</v>
      </c>
      <c r="L508" s="287">
        <f t="shared" si="17"/>
        <v>0</v>
      </c>
      <c r="M508" s="288">
        <f t="shared" si="18"/>
        <v>0</v>
      </c>
      <c r="N508" s="40"/>
      <c r="O508" s="34"/>
      <c r="P508" s="35"/>
      <c r="Q508" s="35"/>
      <c r="R508" s="35"/>
      <c r="S508" s="35"/>
      <c r="T508" s="35"/>
      <c r="U508" s="35"/>
      <c r="V508" s="35"/>
      <c r="W508" s="35"/>
      <c r="X508" s="35"/>
      <c r="Y508" s="35"/>
      <c r="Z508" s="35"/>
    </row>
    <row r="509" ht="14.25" customHeight="1">
      <c r="A509" s="420"/>
      <c r="B509" s="430" t="s">
        <v>2785</v>
      </c>
      <c r="C509" s="427" t="s">
        <v>2786</v>
      </c>
      <c r="D509" s="447" t="s">
        <v>2787</v>
      </c>
      <c r="E509" s="446"/>
      <c r="F509" s="432">
        <v>3050.0</v>
      </c>
      <c r="G509" s="363">
        <v>45866.0</v>
      </c>
      <c r="H509" s="285">
        <f t="shared" si="13"/>
        <v>4575</v>
      </c>
      <c r="I509" s="286">
        <f t="shared" si="14"/>
        <v>3965</v>
      </c>
      <c r="J509" s="287">
        <f t="shared" si="15"/>
        <v>3965</v>
      </c>
      <c r="K509" s="288">
        <f t="shared" si="16"/>
        <v>3660</v>
      </c>
      <c r="L509" s="287">
        <f t="shared" si="17"/>
        <v>3507.5</v>
      </c>
      <c r="M509" s="288">
        <f t="shared" si="18"/>
        <v>3355</v>
      </c>
      <c r="N509" s="40"/>
      <c r="O509" s="34"/>
      <c r="P509" s="35"/>
      <c r="Q509" s="35"/>
      <c r="R509" s="35"/>
      <c r="S509" s="35"/>
      <c r="T509" s="35"/>
      <c r="U509" s="35"/>
      <c r="V509" s="35"/>
      <c r="W509" s="35"/>
      <c r="X509" s="35"/>
      <c r="Y509" s="35"/>
      <c r="Z509" s="35"/>
    </row>
    <row r="510" ht="14.25" customHeight="1">
      <c r="A510" s="420"/>
      <c r="B510" s="368"/>
      <c r="C510" s="427" t="s">
        <v>2788</v>
      </c>
      <c r="D510" s="368"/>
      <c r="E510" s="446"/>
      <c r="F510" s="368"/>
      <c r="G510" s="363">
        <v>45866.0</v>
      </c>
      <c r="H510" s="285">
        <f t="shared" si="13"/>
        <v>0</v>
      </c>
      <c r="I510" s="286">
        <f t="shared" si="14"/>
        <v>0</v>
      </c>
      <c r="J510" s="287">
        <f t="shared" si="15"/>
        <v>0</v>
      </c>
      <c r="K510" s="288">
        <f t="shared" si="16"/>
        <v>0</v>
      </c>
      <c r="L510" s="287">
        <f t="shared" si="17"/>
        <v>0</v>
      </c>
      <c r="M510" s="288">
        <f t="shared" si="18"/>
        <v>0</v>
      </c>
      <c r="N510" s="40"/>
      <c r="O510" s="34"/>
      <c r="P510" s="35"/>
      <c r="Q510" s="35"/>
      <c r="R510" s="35"/>
      <c r="S510" s="35"/>
      <c r="T510" s="35"/>
      <c r="U510" s="35"/>
      <c r="V510" s="35"/>
      <c r="W510" s="35"/>
      <c r="X510" s="35"/>
      <c r="Y510" s="35"/>
      <c r="Z510" s="35"/>
    </row>
    <row r="511" ht="14.25" customHeight="1">
      <c r="A511" s="420"/>
      <c r="B511" s="430" t="s">
        <v>2789</v>
      </c>
      <c r="C511" s="427" t="s">
        <v>2790</v>
      </c>
      <c r="D511" s="425" t="s">
        <v>2775</v>
      </c>
      <c r="E511" s="446"/>
      <c r="F511" s="417">
        <v>2850.0</v>
      </c>
      <c r="G511" s="363">
        <v>45866.0</v>
      </c>
      <c r="H511" s="285">
        <f t="shared" si="13"/>
        <v>4275</v>
      </c>
      <c r="I511" s="286">
        <f t="shared" si="14"/>
        <v>3705</v>
      </c>
      <c r="J511" s="287">
        <f t="shared" si="15"/>
        <v>3705</v>
      </c>
      <c r="K511" s="288">
        <f t="shared" si="16"/>
        <v>3420</v>
      </c>
      <c r="L511" s="287">
        <f t="shared" si="17"/>
        <v>3277.5</v>
      </c>
      <c r="M511" s="288">
        <f t="shared" si="18"/>
        <v>3135</v>
      </c>
      <c r="N511" s="40"/>
      <c r="O511" s="34"/>
      <c r="P511" s="35"/>
      <c r="Q511" s="35"/>
      <c r="R511" s="35"/>
      <c r="S511" s="35"/>
      <c r="T511" s="35"/>
      <c r="U511" s="35"/>
      <c r="V511" s="35"/>
      <c r="W511" s="35"/>
      <c r="X511" s="35"/>
      <c r="Y511" s="35"/>
      <c r="Z511" s="35"/>
    </row>
    <row r="512" ht="14.25" customHeight="1">
      <c r="A512" s="420"/>
      <c r="B512" s="368"/>
      <c r="C512" s="427" t="s">
        <v>2791</v>
      </c>
      <c r="D512" s="368"/>
      <c r="E512" s="446"/>
      <c r="F512" s="368"/>
      <c r="G512" s="363">
        <v>45866.0</v>
      </c>
      <c r="H512" s="285">
        <f t="shared" si="13"/>
        <v>0</v>
      </c>
      <c r="I512" s="286">
        <f t="shared" si="14"/>
        <v>0</v>
      </c>
      <c r="J512" s="287">
        <f t="shared" si="15"/>
        <v>0</v>
      </c>
      <c r="K512" s="288">
        <f t="shared" si="16"/>
        <v>0</v>
      </c>
      <c r="L512" s="287">
        <f t="shared" si="17"/>
        <v>0</v>
      </c>
      <c r="M512" s="288">
        <f t="shared" si="18"/>
        <v>0</v>
      </c>
      <c r="N512" s="40"/>
      <c r="O512" s="34"/>
      <c r="P512" s="35"/>
      <c r="Q512" s="35"/>
      <c r="R512" s="35"/>
      <c r="S512" s="35"/>
      <c r="T512" s="35"/>
      <c r="U512" s="35"/>
      <c r="V512" s="35"/>
      <c r="W512" s="35"/>
      <c r="X512" s="35"/>
      <c r="Y512" s="35"/>
      <c r="Z512" s="35"/>
    </row>
    <row r="513" ht="14.25" customHeight="1">
      <c r="A513" s="420"/>
      <c r="B513" s="430" t="s">
        <v>2792</v>
      </c>
      <c r="C513" s="427" t="s">
        <v>2793</v>
      </c>
      <c r="D513" s="425" t="s">
        <v>2794</v>
      </c>
      <c r="E513" s="446"/>
      <c r="F513" s="417">
        <v>2850.0</v>
      </c>
      <c r="G513" s="363">
        <v>45866.0</v>
      </c>
      <c r="H513" s="285">
        <f t="shared" si="13"/>
        <v>4275</v>
      </c>
      <c r="I513" s="286">
        <f t="shared" si="14"/>
        <v>3705</v>
      </c>
      <c r="J513" s="287">
        <f t="shared" si="15"/>
        <v>3705</v>
      </c>
      <c r="K513" s="288">
        <f t="shared" si="16"/>
        <v>3420</v>
      </c>
      <c r="L513" s="287">
        <f t="shared" si="17"/>
        <v>3277.5</v>
      </c>
      <c r="M513" s="288">
        <f t="shared" si="18"/>
        <v>3135</v>
      </c>
      <c r="N513" s="40"/>
      <c r="O513" s="34"/>
      <c r="P513" s="35"/>
      <c r="Q513" s="35"/>
      <c r="R513" s="35"/>
      <c r="S513" s="35"/>
      <c r="T513" s="35"/>
      <c r="U513" s="35"/>
      <c r="V513" s="35"/>
      <c r="W513" s="35"/>
      <c r="X513" s="35"/>
      <c r="Y513" s="35"/>
      <c r="Z513" s="35"/>
    </row>
    <row r="514" ht="14.25" customHeight="1">
      <c r="A514" s="420"/>
      <c r="B514" s="368"/>
      <c r="C514" s="427" t="s">
        <v>2795</v>
      </c>
      <c r="D514" s="368"/>
      <c r="E514" s="446"/>
      <c r="F514" s="368"/>
      <c r="G514" s="363">
        <v>45866.0</v>
      </c>
      <c r="H514" s="285">
        <f t="shared" si="13"/>
        <v>0</v>
      </c>
      <c r="I514" s="286">
        <f t="shared" si="14"/>
        <v>0</v>
      </c>
      <c r="J514" s="287">
        <f t="shared" si="15"/>
        <v>0</v>
      </c>
      <c r="K514" s="288">
        <f t="shared" si="16"/>
        <v>0</v>
      </c>
      <c r="L514" s="287">
        <f t="shared" si="17"/>
        <v>0</v>
      </c>
      <c r="M514" s="288">
        <f t="shared" si="18"/>
        <v>0</v>
      </c>
      <c r="N514" s="40"/>
      <c r="O514" s="34"/>
      <c r="P514" s="35"/>
      <c r="Q514" s="35"/>
      <c r="R514" s="35"/>
      <c r="S514" s="35"/>
      <c r="T514" s="35"/>
      <c r="U514" s="35"/>
      <c r="V514" s="35"/>
      <c r="W514" s="35"/>
      <c r="X514" s="35"/>
      <c r="Y514" s="35"/>
      <c r="Z514" s="35"/>
    </row>
    <row r="515" ht="14.25" customHeight="1">
      <c r="A515" s="420"/>
      <c r="B515" s="441" t="s">
        <v>2066</v>
      </c>
      <c r="C515" s="440" t="s">
        <v>2796</v>
      </c>
      <c r="D515" s="424" t="s">
        <v>2797</v>
      </c>
      <c r="E515" s="136"/>
      <c r="F515" s="387">
        <v>2270.0</v>
      </c>
      <c r="G515" s="363">
        <v>45866.0</v>
      </c>
      <c r="H515" s="285">
        <f t="shared" si="13"/>
        <v>3405</v>
      </c>
      <c r="I515" s="286">
        <f t="shared" si="14"/>
        <v>2951</v>
      </c>
      <c r="J515" s="287">
        <f t="shared" si="15"/>
        <v>2951</v>
      </c>
      <c r="K515" s="288">
        <f t="shared" si="16"/>
        <v>2724</v>
      </c>
      <c r="L515" s="287">
        <f t="shared" si="17"/>
        <v>2610.5</v>
      </c>
      <c r="M515" s="288">
        <f t="shared" si="18"/>
        <v>2497</v>
      </c>
      <c r="N515" s="40"/>
      <c r="O515" s="34"/>
      <c r="P515" s="35"/>
      <c r="Q515" s="35"/>
      <c r="R515" s="35"/>
      <c r="S515" s="35"/>
      <c r="T515" s="35"/>
      <c r="U515" s="35"/>
      <c r="V515" s="35"/>
      <c r="W515" s="35"/>
      <c r="X515" s="35"/>
      <c r="Y515" s="35"/>
      <c r="Z515" s="35"/>
    </row>
    <row r="516" ht="14.25" customHeight="1">
      <c r="A516" s="420"/>
      <c r="B516" s="368"/>
      <c r="C516" s="440" t="s">
        <v>2798</v>
      </c>
      <c r="D516" s="368"/>
      <c r="E516" s="136"/>
      <c r="F516" s="368"/>
      <c r="G516" s="363">
        <v>45866.0</v>
      </c>
      <c r="H516" s="285">
        <f t="shared" si="13"/>
        <v>0</v>
      </c>
      <c r="I516" s="286">
        <f t="shared" si="14"/>
        <v>0</v>
      </c>
      <c r="J516" s="287">
        <f t="shared" si="15"/>
        <v>0</v>
      </c>
      <c r="K516" s="288">
        <f t="shared" si="16"/>
        <v>0</v>
      </c>
      <c r="L516" s="287">
        <f t="shared" si="17"/>
        <v>0</v>
      </c>
      <c r="M516" s="288">
        <f t="shared" si="18"/>
        <v>0</v>
      </c>
      <c r="N516" s="40"/>
      <c r="O516" s="34"/>
      <c r="P516" s="35"/>
      <c r="Q516" s="35"/>
      <c r="R516" s="35"/>
      <c r="S516" s="35"/>
      <c r="T516" s="35"/>
      <c r="U516" s="35"/>
      <c r="V516" s="35"/>
      <c r="W516" s="35"/>
      <c r="X516" s="35"/>
      <c r="Y516" s="35"/>
      <c r="Z516" s="35"/>
    </row>
    <row r="517" ht="14.25" customHeight="1">
      <c r="A517" s="420"/>
      <c r="B517" s="441" t="s">
        <v>2066</v>
      </c>
      <c r="C517" s="440" t="s">
        <v>2796</v>
      </c>
      <c r="D517" s="424" t="s">
        <v>2797</v>
      </c>
      <c r="E517" s="136"/>
      <c r="F517" s="387">
        <v>2270.0</v>
      </c>
      <c r="G517" s="363">
        <v>45866.0</v>
      </c>
      <c r="H517" s="285">
        <f t="shared" si="13"/>
        <v>3405</v>
      </c>
      <c r="I517" s="286">
        <f t="shared" si="14"/>
        <v>2951</v>
      </c>
      <c r="J517" s="287">
        <f t="shared" si="15"/>
        <v>2951</v>
      </c>
      <c r="K517" s="288">
        <f t="shared" si="16"/>
        <v>2724</v>
      </c>
      <c r="L517" s="287">
        <f t="shared" si="17"/>
        <v>2610.5</v>
      </c>
      <c r="M517" s="288">
        <f t="shared" si="18"/>
        <v>2497</v>
      </c>
      <c r="N517" s="40"/>
      <c r="O517" s="34"/>
      <c r="P517" s="35"/>
      <c r="Q517" s="35"/>
      <c r="R517" s="35"/>
      <c r="S517" s="35"/>
      <c r="T517" s="35"/>
      <c r="U517" s="35"/>
      <c r="V517" s="35"/>
      <c r="W517" s="35"/>
      <c r="X517" s="35"/>
      <c r="Y517" s="35"/>
      <c r="Z517" s="35"/>
    </row>
    <row r="518" ht="14.25" customHeight="1">
      <c r="A518" s="420"/>
      <c r="B518" s="368"/>
      <c r="C518" s="440" t="s">
        <v>2798</v>
      </c>
      <c r="D518" s="368"/>
      <c r="E518" s="136"/>
      <c r="F518" s="368"/>
      <c r="G518" s="363">
        <v>45866.0</v>
      </c>
      <c r="H518" s="285">
        <f t="shared" si="13"/>
        <v>0</v>
      </c>
      <c r="I518" s="286">
        <f t="shared" si="14"/>
        <v>0</v>
      </c>
      <c r="J518" s="287">
        <f t="shared" si="15"/>
        <v>0</v>
      </c>
      <c r="K518" s="288">
        <f t="shared" si="16"/>
        <v>0</v>
      </c>
      <c r="L518" s="287">
        <f t="shared" si="17"/>
        <v>0</v>
      </c>
      <c r="M518" s="288">
        <f t="shared" si="18"/>
        <v>0</v>
      </c>
      <c r="N518" s="40"/>
      <c r="O518" s="34"/>
      <c r="P518" s="35"/>
      <c r="Q518" s="35"/>
      <c r="R518" s="35"/>
      <c r="S518" s="35"/>
      <c r="T518" s="35"/>
      <c r="U518" s="35"/>
      <c r="V518" s="35"/>
      <c r="W518" s="35"/>
      <c r="X518" s="35"/>
      <c r="Y518" s="35"/>
      <c r="Z518" s="35"/>
    </row>
    <row r="519" ht="14.25" customHeight="1">
      <c r="A519" s="420"/>
      <c r="B519" s="441" t="s">
        <v>2799</v>
      </c>
      <c r="C519" s="440" t="s">
        <v>2800</v>
      </c>
      <c r="D519" s="424" t="s">
        <v>2801</v>
      </c>
      <c r="E519" s="136"/>
      <c r="F519" s="387">
        <v>2270.0</v>
      </c>
      <c r="G519" s="363">
        <v>45866.0</v>
      </c>
      <c r="H519" s="285">
        <f t="shared" si="13"/>
        <v>3405</v>
      </c>
      <c r="I519" s="286">
        <f t="shared" si="14"/>
        <v>2951</v>
      </c>
      <c r="J519" s="287">
        <f t="shared" si="15"/>
        <v>2951</v>
      </c>
      <c r="K519" s="288">
        <f t="shared" si="16"/>
        <v>2724</v>
      </c>
      <c r="L519" s="287">
        <f t="shared" si="17"/>
        <v>2610.5</v>
      </c>
      <c r="M519" s="288">
        <f t="shared" si="18"/>
        <v>2497</v>
      </c>
      <c r="N519" s="40"/>
      <c r="O519" s="34"/>
      <c r="P519" s="35"/>
      <c r="Q519" s="35"/>
      <c r="R519" s="35"/>
      <c r="S519" s="35"/>
      <c r="T519" s="35"/>
      <c r="U519" s="35"/>
      <c r="V519" s="35"/>
      <c r="W519" s="35"/>
      <c r="X519" s="35"/>
      <c r="Y519" s="35"/>
      <c r="Z519" s="35"/>
    </row>
    <row r="520" ht="14.25" customHeight="1">
      <c r="A520" s="420"/>
      <c r="B520" s="368"/>
      <c r="C520" s="440" t="s">
        <v>2802</v>
      </c>
      <c r="D520" s="368"/>
      <c r="E520" s="136"/>
      <c r="F520" s="368"/>
      <c r="G520" s="363">
        <v>45866.0</v>
      </c>
      <c r="H520" s="285">
        <f t="shared" si="13"/>
        <v>0</v>
      </c>
      <c r="I520" s="286">
        <f t="shared" si="14"/>
        <v>0</v>
      </c>
      <c r="J520" s="287">
        <f t="shared" si="15"/>
        <v>0</v>
      </c>
      <c r="K520" s="288">
        <f t="shared" si="16"/>
        <v>0</v>
      </c>
      <c r="L520" s="287">
        <f t="shared" si="17"/>
        <v>0</v>
      </c>
      <c r="M520" s="288">
        <f t="shared" si="18"/>
        <v>0</v>
      </c>
      <c r="N520" s="40"/>
      <c r="O520" s="34"/>
      <c r="P520" s="35"/>
      <c r="Q520" s="35"/>
      <c r="R520" s="35"/>
      <c r="S520" s="35"/>
      <c r="T520" s="35"/>
      <c r="U520" s="35"/>
      <c r="V520" s="35"/>
      <c r="W520" s="35"/>
      <c r="X520" s="35"/>
      <c r="Y520" s="35"/>
      <c r="Z520" s="35"/>
    </row>
    <row r="521" ht="14.25" customHeight="1">
      <c r="A521" s="420"/>
      <c r="B521" s="441" t="s">
        <v>2803</v>
      </c>
      <c r="C521" s="440" t="s">
        <v>2804</v>
      </c>
      <c r="D521" s="424" t="s">
        <v>2797</v>
      </c>
      <c r="E521" s="136"/>
      <c r="F521" s="387">
        <v>2270.0</v>
      </c>
      <c r="G521" s="363">
        <v>45866.0</v>
      </c>
      <c r="H521" s="285">
        <f t="shared" si="13"/>
        <v>3405</v>
      </c>
      <c r="I521" s="286">
        <f t="shared" si="14"/>
        <v>2951</v>
      </c>
      <c r="J521" s="287">
        <f t="shared" si="15"/>
        <v>2951</v>
      </c>
      <c r="K521" s="288">
        <f t="shared" si="16"/>
        <v>2724</v>
      </c>
      <c r="L521" s="287">
        <f t="shared" si="17"/>
        <v>2610.5</v>
      </c>
      <c r="M521" s="288">
        <f t="shared" si="18"/>
        <v>2497</v>
      </c>
      <c r="N521" s="40"/>
      <c r="O521" s="34"/>
      <c r="P521" s="35"/>
      <c r="Q521" s="35"/>
      <c r="R521" s="35"/>
      <c r="S521" s="35"/>
      <c r="T521" s="35"/>
      <c r="U521" s="35"/>
      <c r="V521" s="35"/>
      <c r="W521" s="35"/>
      <c r="X521" s="35"/>
      <c r="Y521" s="35"/>
      <c r="Z521" s="35"/>
    </row>
    <row r="522" ht="14.25" customHeight="1">
      <c r="A522" s="420"/>
      <c r="B522" s="368"/>
      <c r="C522" s="440" t="s">
        <v>2805</v>
      </c>
      <c r="D522" s="368"/>
      <c r="E522" s="136"/>
      <c r="F522" s="368"/>
      <c r="G522" s="363">
        <v>45866.0</v>
      </c>
      <c r="H522" s="285">
        <f t="shared" si="13"/>
        <v>0</v>
      </c>
      <c r="I522" s="286">
        <f t="shared" si="14"/>
        <v>0</v>
      </c>
      <c r="J522" s="287">
        <f t="shared" si="15"/>
        <v>0</v>
      </c>
      <c r="K522" s="288">
        <f t="shared" si="16"/>
        <v>0</v>
      </c>
      <c r="L522" s="287">
        <f t="shared" si="17"/>
        <v>0</v>
      </c>
      <c r="M522" s="288">
        <f t="shared" si="18"/>
        <v>0</v>
      </c>
      <c r="N522" s="40"/>
      <c r="O522" s="34"/>
      <c r="P522" s="35"/>
      <c r="Q522" s="35"/>
      <c r="R522" s="35"/>
      <c r="S522" s="35"/>
      <c r="T522" s="35"/>
      <c r="U522" s="35"/>
      <c r="V522" s="35"/>
      <c r="W522" s="35"/>
      <c r="X522" s="35"/>
      <c r="Y522" s="35"/>
      <c r="Z522" s="35"/>
    </row>
    <row r="523" ht="14.25" customHeight="1">
      <c r="A523" s="420"/>
      <c r="B523" s="441" t="s">
        <v>2806</v>
      </c>
      <c r="C523" s="440" t="s">
        <v>2807</v>
      </c>
      <c r="D523" s="424" t="s">
        <v>2808</v>
      </c>
      <c r="E523" s="136"/>
      <c r="F523" s="387">
        <v>2370.0</v>
      </c>
      <c r="G523" s="363">
        <v>45866.0</v>
      </c>
      <c r="H523" s="285">
        <f t="shared" si="13"/>
        <v>3555</v>
      </c>
      <c r="I523" s="286">
        <f t="shared" si="14"/>
        <v>3081</v>
      </c>
      <c r="J523" s="287">
        <f t="shared" si="15"/>
        <v>3081</v>
      </c>
      <c r="K523" s="288">
        <f t="shared" si="16"/>
        <v>2844</v>
      </c>
      <c r="L523" s="287">
        <f t="shared" si="17"/>
        <v>2725.5</v>
      </c>
      <c r="M523" s="288">
        <f t="shared" si="18"/>
        <v>2607</v>
      </c>
      <c r="N523" s="40"/>
      <c r="O523" s="34"/>
      <c r="P523" s="35"/>
      <c r="Q523" s="35"/>
      <c r="R523" s="35"/>
      <c r="S523" s="35"/>
      <c r="T523" s="35"/>
      <c r="U523" s="35"/>
      <c r="V523" s="35"/>
      <c r="W523" s="35"/>
      <c r="X523" s="35"/>
      <c r="Y523" s="35"/>
      <c r="Z523" s="35"/>
    </row>
    <row r="524" ht="14.25" customHeight="1">
      <c r="A524" s="420"/>
      <c r="B524" s="368"/>
      <c r="C524" s="440" t="s">
        <v>2809</v>
      </c>
      <c r="D524" s="368"/>
      <c r="E524" s="136"/>
      <c r="F524" s="368"/>
      <c r="G524" s="363">
        <v>45866.0</v>
      </c>
      <c r="H524" s="285">
        <f t="shared" si="13"/>
        <v>0</v>
      </c>
      <c r="I524" s="286">
        <f t="shared" si="14"/>
        <v>0</v>
      </c>
      <c r="J524" s="287">
        <f t="shared" si="15"/>
        <v>0</v>
      </c>
      <c r="K524" s="288">
        <f t="shared" si="16"/>
        <v>0</v>
      </c>
      <c r="L524" s="287">
        <f t="shared" si="17"/>
        <v>0</v>
      </c>
      <c r="M524" s="288">
        <f t="shared" si="18"/>
        <v>0</v>
      </c>
      <c r="N524" s="40"/>
      <c r="O524" s="34"/>
      <c r="P524" s="35"/>
      <c r="Q524" s="35"/>
      <c r="R524" s="35"/>
      <c r="S524" s="35"/>
      <c r="T524" s="35"/>
      <c r="U524" s="35"/>
      <c r="V524" s="35"/>
      <c r="W524" s="35"/>
      <c r="X524" s="35"/>
      <c r="Y524" s="35"/>
      <c r="Z524" s="35"/>
    </row>
    <row r="525" ht="14.25" customHeight="1">
      <c r="A525" s="420"/>
      <c r="B525" s="441" t="s">
        <v>2810</v>
      </c>
      <c r="C525" s="440" t="s">
        <v>2811</v>
      </c>
      <c r="D525" s="424" t="s">
        <v>2812</v>
      </c>
      <c r="E525" s="136"/>
      <c r="F525" s="387">
        <v>2700.0</v>
      </c>
      <c r="G525" s="363">
        <v>45866.0</v>
      </c>
      <c r="H525" s="285">
        <f t="shared" si="13"/>
        <v>4050</v>
      </c>
      <c r="I525" s="286">
        <f t="shared" si="14"/>
        <v>3510</v>
      </c>
      <c r="J525" s="287">
        <f t="shared" si="15"/>
        <v>3510</v>
      </c>
      <c r="K525" s="288">
        <f t="shared" si="16"/>
        <v>3240</v>
      </c>
      <c r="L525" s="287">
        <f t="shared" si="17"/>
        <v>3105</v>
      </c>
      <c r="M525" s="288">
        <f t="shared" si="18"/>
        <v>2970</v>
      </c>
      <c r="N525" s="40"/>
      <c r="O525" s="34"/>
      <c r="P525" s="35"/>
      <c r="Q525" s="35"/>
      <c r="R525" s="35"/>
      <c r="S525" s="35"/>
      <c r="T525" s="35"/>
      <c r="U525" s="35"/>
      <c r="V525" s="35"/>
      <c r="W525" s="35"/>
      <c r="X525" s="35"/>
      <c r="Y525" s="35"/>
      <c r="Z525" s="35"/>
    </row>
    <row r="526" ht="14.25" customHeight="1">
      <c r="A526" s="420"/>
      <c r="B526" s="368"/>
      <c r="C526" s="440" t="s">
        <v>2813</v>
      </c>
      <c r="D526" s="368"/>
      <c r="E526" s="136"/>
      <c r="F526" s="368"/>
      <c r="G526" s="363">
        <v>45866.0</v>
      </c>
      <c r="H526" s="285">
        <f t="shared" si="13"/>
        <v>0</v>
      </c>
      <c r="I526" s="286">
        <f t="shared" si="14"/>
        <v>0</v>
      </c>
      <c r="J526" s="287">
        <f t="shared" si="15"/>
        <v>0</v>
      </c>
      <c r="K526" s="288">
        <f t="shared" si="16"/>
        <v>0</v>
      </c>
      <c r="L526" s="287">
        <f t="shared" si="17"/>
        <v>0</v>
      </c>
      <c r="M526" s="288">
        <f t="shared" si="18"/>
        <v>0</v>
      </c>
      <c r="N526" s="40"/>
      <c r="O526" s="34"/>
      <c r="P526" s="35"/>
      <c r="Q526" s="35"/>
      <c r="R526" s="35"/>
      <c r="S526" s="35"/>
      <c r="T526" s="35"/>
      <c r="U526" s="35"/>
      <c r="V526" s="35"/>
      <c r="W526" s="35"/>
      <c r="X526" s="35"/>
      <c r="Y526" s="35"/>
      <c r="Z526" s="35"/>
    </row>
    <row r="527" ht="14.25" customHeight="1">
      <c r="A527" s="420"/>
      <c r="B527" s="441" t="s">
        <v>2814</v>
      </c>
      <c r="C527" s="440" t="s">
        <v>2815</v>
      </c>
      <c r="D527" s="448" t="s">
        <v>2816</v>
      </c>
      <c r="E527" s="136"/>
      <c r="F527" s="387">
        <v>2370.0</v>
      </c>
      <c r="G527" s="363">
        <v>45866.0</v>
      </c>
      <c r="H527" s="285">
        <f t="shared" si="13"/>
        <v>3555</v>
      </c>
      <c r="I527" s="286">
        <f t="shared" si="14"/>
        <v>3081</v>
      </c>
      <c r="J527" s="287">
        <f t="shared" si="15"/>
        <v>3081</v>
      </c>
      <c r="K527" s="288">
        <f t="shared" si="16"/>
        <v>2844</v>
      </c>
      <c r="L527" s="287">
        <f t="shared" si="17"/>
        <v>2725.5</v>
      </c>
      <c r="M527" s="288">
        <f t="shared" si="18"/>
        <v>2607</v>
      </c>
      <c r="N527" s="40"/>
      <c r="O527" s="34"/>
      <c r="P527" s="35"/>
      <c r="Q527" s="35"/>
      <c r="R527" s="35"/>
      <c r="S527" s="35"/>
      <c r="T527" s="35"/>
      <c r="U527" s="35"/>
      <c r="V527" s="35"/>
      <c r="W527" s="35"/>
      <c r="X527" s="35"/>
      <c r="Y527" s="35"/>
      <c r="Z527" s="35"/>
    </row>
    <row r="528" ht="14.25" customHeight="1">
      <c r="A528" s="420"/>
      <c r="B528" s="368"/>
      <c r="C528" s="440" t="s">
        <v>2817</v>
      </c>
      <c r="D528" s="368"/>
      <c r="E528" s="136"/>
      <c r="F528" s="368"/>
      <c r="G528" s="363">
        <v>45866.0</v>
      </c>
      <c r="H528" s="285">
        <f t="shared" si="13"/>
        <v>0</v>
      </c>
      <c r="I528" s="286">
        <f t="shared" si="14"/>
        <v>0</v>
      </c>
      <c r="J528" s="287">
        <f t="shared" si="15"/>
        <v>0</v>
      </c>
      <c r="K528" s="288">
        <f t="shared" si="16"/>
        <v>0</v>
      </c>
      <c r="L528" s="287">
        <f t="shared" si="17"/>
        <v>0</v>
      </c>
      <c r="M528" s="288">
        <f t="shared" si="18"/>
        <v>0</v>
      </c>
      <c r="N528" s="40"/>
      <c r="O528" s="34"/>
      <c r="P528" s="35"/>
      <c r="Q528" s="35"/>
      <c r="R528" s="35"/>
      <c r="S528" s="35"/>
      <c r="T528" s="35"/>
      <c r="U528" s="35"/>
      <c r="V528" s="35"/>
      <c r="W528" s="35"/>
      <c r="X528" s="35"/>
      <c r="Y528" s="35"/>
      <c r="Z528" s="35"/>
    </row>
    <row r="529" ht="14.25" customHeight="1">
      <c r="A529" s="420"/>
      <c r="B529" s="441" t="s">
        <v>2818</v>
      </c>
      <c r="C529" s="440" t="s">
        <v>2819</v>
      </c>
      <c r="D529" s="448" t="s">
        <v>2820</v>
      </c>
      <c r="E529" s="136"/>
      <c r="F529" s="387">
        <v>2600.0</v>
      </c>
      <c r="G529" s="363">
        <v>45866.0</v>
      </c>
      <c r="H529" s="285">
        <f t="shared" si="13"/>
        <v>3900</v>
      </c>
      <c r="I529" s="286">
        <f t="shared" si="14"/>
        <v>3380</v>
      </c>
      <c r="J529" s="287">
        <f t="shared" si="15"/>
        <v>3380</v>
      </c>
      <c r="K529" s="288">
        <f t="shared" si="16"/>
        <v>3120</v>
      </c>
      <c r="L529" s="287">
        <f t="shared" si="17"/>
        <v>2990</v>
      </c>
      <c r="M529" s="288">
        <f t="shared" si="18"/>
        <v>2860</v>
      </c>
      <c r="N529" s="40"/>
      <c r="O529" s="34"/>
      <c r="P529" s="35"/>
      <c r="Q529" s="35"/>
      <c r="R529" s="35"/>
      <c r="S529" s="35"/>
      <c r="T529" s="35"/>
      <c r="U529" s="35"/>
      <c r="V529" s="35"/>
      <c r="W529" s="35"/>
      <c r="X529" s="35"/>
      <c r="Y529" s="35"/>
      <c r="Z529" s="35"/>
    </row>
    <row r="530" ht="14.25" customHeight="1">
      <c r="A530" s="420"/>
      <c r="B530" s="368"/>
      <c r="C530" s="440" t="s">
        <v>2821</v>
      </c>
      <c r="D530" s="368"/>
      <c r="E530" s="136"/>
      <c r="F530" s="368"/>
      <c r="G530" s="363">
        <v>45866.0</v>
      </c>
      <c r="H530" s="285">
        <f t="shared" si="13"/>
        <v>0</v>
      </c>
      <c r="I530" s="286">
        <f t="shared" si="14"/>
        <v>0</v>
      </c>
      <c r="J530" s="287">
        <f t="shared" si="15"/>
        <v>0</v>
      </c>
      <c r="K530" s="288">
        <f t="shared" si="16"/>
        <v>0</v>
      </c>
      <c r="L530" s="287">
        <f t="shared" si="17"/>
        <v>0</v>
      </c>
      <c r="M530" s="288">
        <f t="shared" si="18"/>
        <v>0</v>
      </c>
      <c r="N530" s="40"/>
      <c r="O530" s="34"/>
      <c r="P530" s="35"/>
      <c r="Q530" s="35"/>
      <c r="R530" s="35"/>
      <c r="S530" s="35"/>
      <c r="T530" s="35"/>
      <c r="U530" s="35"/>
      <c r="V530" s="35"/>
      <c r="W530" s="35"/>
      <c r="X530" s="35"/>
      <c r="Y530" s="35"/>
      <c r="Z530" s="35"/>
    </row>
    <row r="531" ht="14.25" customHeight="1">
      <c r="A531" s="420"/>
      <c r="B531" s="441" t="s">
        <v>2822</v>
      </c>
      <c r="C531" s="440" t="s">
        <v>2823</v>
      </c>
      <c r="D531" s="448" t="s">
        <v>2824</v>
      </c>
      <c r="E531" s="136"/>
      <c r="F531" s="387">
        <v>2370.0</v>
      </c>
      <c r="G531" s="363">
        <v>45866.0</v>
      </c>
      <c r="H531" s="285">
        <f t="shared" si="13"/>
        <v>3555</v>
      </c>
      <c r="I531" s="286">
        <f t="shared" si="14"/>
        <v>3081</v>
      </c>
      <c r="J531" s="287">
        <f t="shared" si="15"/>
        <v>3081</v>
      </c>
      <c r="K531" s="288">
        <f t="shared" si="16"/>
        <v>2844</v>
      </c>
      <c r="L531" s="287">
        <f t="shared" si="17"/>
        <v>2725.5</v>
      </c>
      <c r="M531" s="288">
        <f t="shared" si="18"/>
        <v>2607</v>
      </c>
      <c r="N531" s="40"/>
      <c r="O531" s="34"/>
      <c r="P531" s="35"/>
      <c r="Q531" s="35"/>
      <c r="R531" s="35"/>
      <c r="S531" s="35"/>
      <c r="T531" s="35"/>
      <c r="U531" s="35"/>
      <c r="V531" s="35"/>
      <c r="W531" s="35"/>
      <c r="X531" s="35"/>
      <c r="Y531" s="35"/>
      <c r="Z531" s="35"/>
    </row>
    <row r="532" ht="14.25" customHeight="1">
      <c r="A532" s="420"/>
      <c r="B532" s="368"/>
      <c r="C532" s="440" t="s">
        <v>2825</v>
      </c>
      <c r="D532" s="368"/>
      <c r="E532" s="136"/>
      <c r="F532" s="368"/>
      <c r="G532" s="363">
        <v>45866.0</v>
      </c>
      <c r="H532" s="285">
        <f t="shared" si="13"/>
        <v>0</v>
      </c>
      <c r="I532" s="286">
        <f t="shared" si="14"/>
        <v>0</v>
      </c>
      <c r="J532" s="287">
        <f t="shared" si="15"/>
        <v>0</v>
      </c>
      <c r="K532" s="288">
        <f t="shared" si="16"/>
        <v>0</v>
      </c>
      <c r="L532" s="287">
        <f t="shared" si="17"/>
        <v>0</v>
      </c>
      <c r="M532" s="288">
        <f t="shared" si="18"/>
        <v>0</v>
      </c>
      <c r="N532" s="40"/>
      <c r="O532" s="34"/>
      <c r="P532" s="35"/>
      <c r="Q532" s="35"/>
      <c r="R532" s="35"/>
      <c r="S532" s="35"/>
      <c r="T532" s="35"/>
      <c r="U532" s="35"/>
      <c r="V532" s="35"/>
      <c r="W532" s="35"/>
      <c r="X532" s="35"/>
      <c r="Y532" s="35"/>
      <c r="Z532" s="35"/>
    </row>
    <row r="533" ht="14.25" customHeight="1">
      <c r="A533" s="420"/>
      <c r="B533" s="441" t="s">
        <v>2826</v>
      </c>
      <c r="C533" s="440" t="s">
        <v>2827</v>
      </c>
      <c r="D533" s="424" t="s">
        <v>2828</v>
      </c>
      <c r="E533" s="136"/>
      <c r="F533" s="387">
        <v>2700.0</v>
      </c>
      <c r="G533" s="363">
        <v>45866.0</v>
      </c>
      <c r="H533" s="285">
        <f t="shared" si="13"/>
        <v>4050</v>
      </c>
      <c r="I533" s="286">
        <f t="shared" si="14"/>
        <v>3510</v>
      </c>
      <c r="J533" s="287">
        <f t="shared" si="15"/>
        <v>3510</v>
      </c>
      <c r="K533" s="288">
        <f t="shared" si="16"/>
        <v>3240</v>
      </c>
      <c r="L533" s="287">
        <f t="shared" si="17"/>
        <v>3105</v>
      </c>
      <c r="M533" s="288">
        <f t="shared" si="18"/>
        <v>2970</v>
      </c>
      <c r="N533" s="40"/>
      <c r="O533" s="34"/>
      <c r="P533" s="35"/>
      <c r="Q533" s="35"/>
      <c r="R533" s="35"/>
      <c r="S533" s="35"/>
      <c r="T533" s="35"/>
      <c r="U533" s="35"/>
      <c r="V533" s="35"/>
      <c r="W533" s="35"/>
      <c r="X533" s="35"/>
      <c r="Y533" s="35"/>
      <c r="Z533" s="35"/>
    </row>
    <row r="534" ht="14.25" customHeight="1">
      <c r="A534" s="420"/>
      <c r="B534" s="368"/>
      <c r="C534" s="440" t="s">
        <v>2829</v>
      </c>
      <c r="D534" s="368"/>
      <c r="E534" s="136"/>
      <c r="F534" s="368"/>
      <c r="G534" s="363">
        <v>45866.0</v>
      </c>
      <c r="H534" s="285">
        <f t="shared" si="13"/>
        <v>0</v>
      </c>
      <c r="I534" s="286">
        <f t="shared" si="14"/>
        <v>0</v>
      </c>
      <c r="J534" s="287">
        <f t="shared" si="15"/>
        <v>0</v>
      </c>
      <c r="K534" s="288">
        <f t="shared" si="16"/>
        <v>0</v>
      </c>
      <c r="L534" s="287">
        <f t="shared" si="17"/>
        <v>0</v>
      </c>
      <c r="M534" s="288">
        <f t="shared" si="18"/>
        <v>0</v>
      </c>
      <c r="N534" s="40"/>
      <c r="O534" s="34"/>
      <c r="P534" s="35"/>
      <c r="Q534" s="35"/>
      <c r="R534" s="35"/>
      <c r="S534" s="35"/>
      <c r="T534" s="35"/>
      <c r="U534" s="35"/>
      <c r="V534" s="35"/>
      <c r="W534" s="35"/>
      <c r="X534" s="35"/>
      <c r="Y534" s="35"/>
      <c r="Z534" s="35"/>
    </row>
    <row r="535" ht="14.25" hidden="1" customHeight="1">
      <c r="A535" s="420"/>
      <c r="B535" s="449" t="s">
        <v>2830</v>
      </c>
      <c r="C535" s="440" t="s">
        <v>2831</v>
      </c>
      <c r="D535" s="450" t="s">
        <v>2832</v>
      </c>
      <c r="E535" s="136"/>
      <c r="F535" s="399" t="s">
        <v>2833</v>
      </c>
      <c r="G535" s="363">
        <v>45866.0</v>
      </c>
      <c r="H535" s="285" t="str">
        <f t="shared" si="13"/>
        <v>#VALUE!</v>
      </c>
      <c r="I535" s="286" t="str">
        <f t="shared" si="14"/>
        <v>#VALUE!</v>
      </c>
      <c r="J535" s="287" t="str">
        <f t="shared" si="15"/>
        <v>#VALUE!</v>
      </c>
      <c r="K535" s="288" t="str">
        <f t="shared" si="16"/>
        <v>#VALUE!</v>
      </c>
      <c r="L535" s="287" t="str">
        <f t="shared" si="17"/>
        <v>#VALUE!</v>
      </c>
      <c r="M535" s="288" t="str">
        <f t="shared" si="18"/>
        <v>#VALUE!</v>
      </c>
      <c r="N535" s="40"/>
      <c r="O535" s="34"/>
      <c r="P535" s="35"/>
      <c r="Q535" s="35"/>
      <c r="R535" s="35"/>
      <c r="S535" s="35"/>
      <c r="T535" s="35"/>
      <c r="U535" s="35"/>
      <c r="V535" s="35"/>
      <c r="W535" s="35"/>
      <c r="X535" s="35"/>
      <c r="Y535" s="35"/>
      <c r="Z535" s="35"/>
    </row>
    <row r="536" ht="14.25" hidden="1" customHeight="1">
      <c r="A536" s="420"/>
      <c r="B536" s="449" t="s">
        <v>2834</v>
      </c>
      <c r="C536" s="440" t="s">
        <v>2835</v>
      </c>
      <c r="D536" s="440" t="s">
        <v>2836</v>
      </c>
      <c r="E536" s="136"/>
      <c r="F536" s="399" t="s">
        <v>2833</v>
      </c>
      <c r="G536" s="363">
        <v>45866.0</v>
      </c>
      <c r="H536" s="285" t="str">
        <f t="shared" si="13"/>
        <v>#VALUE!</v>
      </c>
      <c r="I536" s="286" t="str">
        <f t="shared" si="14"/>
        <v>#VALUE!</v>
      </c>
      <c r="J536" s="287" t="str">
        <f t="shared" si="15"/>
        <v>#VALUE!</v>
      </c>
      <c r="K536" s="288" t="str">
        <f t="shared" si="16"/>
        <v>#VALUE!</v>
      </c>
      <c r="L536" s="287" t="str">
        <f t="shared" si="17"/>
        <v>#VALUE!</v>
      </c>
      <c r="M536" s="288" t="str">
        <f t="shared" si="18"/>
        <v>#VALUE!</v>
      </c>
      <c r="N536" s="40"/>
      <c r="O536" s="34"/>
      <c r="P536" s="35"/>
      <c r="Q536" s="35"/>
      <c r="R536" s="35"/>
      <c r="S536" s="35"/>
      <c r="T536" s="35"/>
      <c r="U536" s="35"/>
      <c r="V536" s="35"/>
      <c r="W536" s="35"/>
      <c r="X536" s="35"/>
      <c r="Y536" s="35"/>
      <c r="Z536" s="35"/>
    </row>
    <row r="537" ht="14.25" hidden="1" customHeight="1">
      <c r="A537" s="420"/>
      <c r="B537" s="449" t="s">
        <v>2837</v>
      </c>
      <c r="C537" s="440" t="s">
        <v>2838</v>
      </c>
      <c r="D537" s="440" t="s">
        <v>2839</v>
      </c>
      <c r="E537" s="136"/>
      <c r="F537" s="399" t="s">
        <v>2833</v>
      </c>
      <c r="G537" s="363">
        <v>45866.0</v>
      </c>
      <c r="H537" s="285" t="str">
        <f t="shared" si="13"/>
        <v>#VALUE!</v>
      </c>
      <c r="I537" s="286" t="str">
        <f t="shared" si="14"/>
        <v>#VALUE!</v>
      </c>
      <c r="J537" s="287" t="str">
        <f t="shared" si="15"/>
        <v>#VALUE!</v>
      </c>
      <c r="K537" s="288" t="str">
        <f t="shared" si="16"/>
        <v>#VALUE!</v>
      </c>
      <c r="L537" s="287" t="str">
        <f t="shared" si="17"/>
        <v>#VALUE!</v>
      </c>
      <c r="M537" s="288" t="str">
        <f t="shared" si="18"/>
        <v>#VALUE!</v>
      </c>
      <c r="N537" s="40"/>
      <c r="O537" s="34"/>
      <c r="P537" s="35"/>
      <c r="Q537" s="35"/>
      <c r="R537" s="35"/>
      <c r="S537" s="35"/>
      <c r="T537" s="35"/>
      <c r="U537" s="35"/>
      <c r="V537" s="35"/>
      <c r="W537" s="35"/>
      <c r="X537" s="35"/>
      <c r="Y537" s="35"/>
      <c r="Z537" s="35"/>
    </row>
    <row r="538" ht="14.25" customHeight="1">
      <c r="A538" s="420"/>
      <c r="B538" s="449" t="s">
        <v>2840</v>
      </c>
      <c r="C538" s="440" t="s">
        <v>2841</v>
      </c>
      <c r="D538" s="451" t="s">
        <v>2842</v>
      </c>
      <c r="E538" s="136"/>
      <c r="F538" s="399">
        <v>5841.0</v>
      </c>
      <c r="G538" s="363">
        <v>45866.0</v>
      </c>
      <c r="H538" s="285">
        <f t="shared" si="13"/>
        <v>8761.5</v>
      </c>
      <c r="I538" s="286">
        <f t="shared" si="14"/>
        <v>7593.3</v>
      </c>
      <c r="J538" s="287">
        <f t="shared" si="15"/>
        <v>7593.3</v>
      </c>
      <c r="K538" s="288">
        <f t="shared" si="16"/>
        <v>7009.2</v>
      </c>
      <c r="L538" s="287">
        <f t="shared" si="17"/>
        <v>6717.15</v>
      </c>
      <c r="M538" s="288">
        <f t="shared" si="18"/>
        <v>6425.1</v>
      </c>
      <c r="N538" s="40"/>
      <c r="O538" s="34"/>
      <c r="P538" s="35"/>
      <c r="Q538" s="35"/>
      <c r="R538" s="35"/>
      <c r="S538" s="35"/>
      <c r="T538" s="35"/>
      <c r="U538" s="35"/>
      <c r="V538" s="35"/>
      <c r="W538" s="35"/>
      <c r="X538" s="35"/>
      <c r="Y538" s="35"/>
      <c r="Z538" s="35"/>
    </row>
    <row r="539" ht="14.25" hidden="1" customHeight="1">
      <c r="A539" s="420"/>
      <c r="B539" s="449" t="s">
        <v>2843</v>
      </c>
      <c r="C539" s="440" t="s">
        <v>2844</v>
      </c>
      <c r="D539" s="451" t="s">
        <v>2845</v>
      </c>
      <c r="E539" s="136"/>
      <c r="F539" s="399" t="s">
        <v>2833</v>
      </c>
      <c r="G539" s="363">
        <v>45866.0</v>
      </c>
      <c r="H539" s="285" t="str">
        <f t="shared" si="13"/>
        <v>#VALUE!</v>
      </c>
      <c r="I539" s="286" t="str">
        <f t="shared" si="14"/>
        <v>#VALUE!</v>
      </c>
      <c r="J539" s="287" t="str">
        <f t="shared" si="15"/>
        <v>#VALUE!</v>
      </c>
      <c r="K539" s="288" t="str">
        <f t="shared" si="16"/>
        <v>#VALUE!</v>
      </c>
      <c r="L539" s="287" t="str">
        <f t="shared" si="17"/>
        <v>#VALUE!</v>
      </c>
      <c r="M539" s="288" t="str">
        <f t="shared" si="18"/>
        <v>#VALUE!</v>
      </c>
      <c r="N539" s="40"/>
      <c r="O539" s="34"/>
      <c r="P539" s="35"/>
      <c r="Q539" s="35"/>
      <c r="R539" s="35"/>
      <c r="S539" s="35"/>
      <c r="T539" s="35"/>
      <c r="U539" s="35"/>
      <c r="V539" s="35"/>
      <c r="W539" s="35"/>
      <c r="X539" s="35"/>
      <c r="Y539" s="35"/>
      <c r="Z539" s="35"/>
    </row>
    <row r="540" ht="14.25" customHeight="1">
      <c r="A540" s="420"/>
      <c r="B540" s="441" t="s">
        <v>2846</v>
      </c>
      <c r="C540" s="440" t="s">
        <v>2847</v>
      </c>
      <c r="D540" s="448" t="s">
        <v>2848</v>
      </c>
      <c r="E540" s="136"/>
      <c r="F540" s="387">
        <v>2750.0</v>
      </c>
      <c r="G540" s="363">
        <v>45866.0</v>
      </c>
      <c r="H540" s="285">
        <f t="shared" si="13"/>
        <v>4125</v>
      </c>
      <c r="I540" s="286">
        <f t="shared" si="14"/>
        <v>3575</v>
      </c>
      <c r="J540" s="287">
        <f t="shared" si="15"/>
        <v>3575</v>
      </c>
      <c r="K540" s="288">
        <f t="shared" si="16"/>
        <v>3300</v>
      </c>
      <c r="L540" s="287">
        <f t="shared" si="17"/>
        <v>3162.5</v>
      </c>
      <c r="M540" s="288">
        <f t="shared" si="18"/>
        <v>3025</v>
      </c>
      <c r="N540" s="40"/>
      <c r="O540" s="34"/>
      <c r="P540" s="35"/>
      <c r="Q540" s="35"/>
      <c r="R540" s="35"/>
      <c r="S540" s="35"/>
      <c r="T540" s="35"/>
      <c r="U540" s="35"/>
      <c r="V540" s="35"/>
      <c r="W540" s="35"/>
      <c r="X540" s="35"/>
      <c r="Y540" s="35"/>
      <c r="Z540" s="35"/>
    </row>
    <row r="541" ht="14.25" customHeight="1">
      <c r="A541" s="420"/>
      <c r="B541" s="368"/>
      <c r="C541" s="440" t="s">
        <v>2849</v>
      </c>
      <c r="D541" s="368"/>
      <c r="E541" s="136"/>
      <c r="F541" s="368"/>
      <c r="G541" s="363">
        <v>45866.0</v>
      </c>
      <c r="H541" s="285">
        <f t="shared" si="13"/>
        <v>0</v>
      </c>
      <c r="I541" s="286">
        <f t="shared" si="14"/>
        <v>0</v>
      </c>
      <c r="J541" s="287">
        <f t="shared" si="15"/>
        <v>0</v>
      </c>
      <c r="K541" s="288">
        <f t="shared" si="16"/>
        <v>0</v>
      </c>
      <c r="L541" s="287">
        <f t="shared" si="17"/>
        <v>0</v>
      </c>
      <c r="M541" s="288">
        <f t="shared" si="18"/>
        <v>0</v>
      </c>
      <c r="N541" s="40"/>
      <c r="O541" s="34"/>
      <c r="P541" s="35"/>
      <c r="Q541" s="35"/>
      <c r="R541" s="35"/>
      <c r="S541" s="35"/>
      <c r="T541" s="35"/>
      <c r="U541" s="35"/>
      <c r="V541" s="35"/>
      <c r="W541" s="35"/>
      <c r="X541" s="35"/>
      <c r="Y541" s="35"/>
      <c r="Z541" s="35"/>
    </row>
    <row r="542" ht="14.25" customHeight="1">
      <c r="A542" s="420"/>
      <c r="B542" s="441" t="s">
        <v>2850</v>
      </c>
      <c r="C542" s="440" t="s">
        <v>2851</v>
      </c>
      <c r="D542" s="448" t="s">
        <v>2852</v>
      </c>
      <c r="E542" s="136"/>
      <c r="F542" s="387">
        <v>3300.0</v>
      </c>
      <c r="G542" s="363">
        <v>45866.0</v>
      </c>
      <c r="H542" s="285">
        <f t="shared" si="13"/>
        <v>4950</v>
      </c>
      <c r="I542" s="286">
        <f t="shared" si="14"/>
        <v>4290</v>
      </c>
      <c r="J542" s="287">
        <f t="shared" si="15"/>
        <v>4290</v>
      </c>
      <c r="K542" s="288">
        <f t="shared" si="16"/>
        <v>3960</v>
      </c>
      <c r="L542" s="287">
        <f t="shared" si="17"/>
        <v>3795</v>
      </c>
      <c r="M542" s="288">
        <f t="shared" si="18"/>
        <v>3630</v>
      </c>
      <c r="N542" s="40"/>
      <c r="O542" s="34"/>
      <c r="P542" s="35"/>
      <c r="Q542" s="35"/>
      <c r="R542" s="35"/>
      <c r="S542" s="35"/>
      <c r="T542" s="35"/>
      <c r="U542" s="35"/>
      <c r="V542" s="35"/>
      <c r="W542" s="35"/>
      <c r="X542" s="35"/>
      <c r="Y542" s="35"/>
      <c r="Z542" s="35"/>
    </row>
    <row r="543" ht="14.25" customHeight="1">
      <c r="A543" s="420"/>
      <c r="B543" s="368"/>
      <c r="C543" s="440" t="s">
        <v>2853</v>
      </c>
      <c r="D543" s="368"/>
      <c r="E543" s="136"/>
      <c r="F543" s="368"/>
      <c r="G543" s="363">
        <v>45866.0</v>
      </c>
      <c r="H543" s="285">
        <f t="shared" si="13"/>
        <v>0</v>
      </c>
      <c r="I543" s="286">
        <f t="shared" si="14"/>
        <v>0</v>
      </c>
      <c r="J543" s="287">
        <f t="shared" si="15"/>
        <v>0</v>
      </c>
      <c r="K543" s="288">
        <f t="shared" si="16"/>
        <v>0</v>
      </c>
      <c r="L543" s="287">
        <f t="shared" si="17"/>
        <v>0</v>
      </c>
      <c r="M543" s="288">
        <f t="shared" si="18"/>
        <v>0</v>
      </c>
      <c r="N543" s="40"/>
      <c r="O543" s="34"/>
      <c r="P543" s="35"/>
      <c r="Q543" s="35"/>
      <c r="R543" s="35"/>
      <c r="S543" s="35"/>
      <c r="T543" s="35"/>
      <c r="U543" s="35"/>
      <c r="V543" s="35"/>
      <c r="W543" s="35"/>
      <c r="X543" s="35"/>
      <c r="Y543" s="35"/>
      <c r="Z543" s="35"/>
    </row>
    <row r="544" ht="14.25" customHeight="1">
      <c r="A544" s="420"/>
      <c r="B544" s="449" t="s">
        <v>2850</v>
      </c>
      <c r="C544" s="440" t="s">
        <v>2854</v>
      </c>
      <c r="D544" s="451" t="s">
        <v>2855</v>
      </c>
      <c r="E544" s="136"/>
      <c r="F544" s="399">
        <v>3450.0</v>
      </c>
      <c r="G544" s="363">
        <v>45866.0</v>
      </c>
      <c r="H544" s="285">
        <f t="shared" si="13"/>
        <v>5175</v>
      </c>
      <c r="I544" s="286">
        <f t="shared" si="14"/>
        <v>4485</v>
      </c>
      <c r="J544" s="287">
        <f t="shared" si="15"/>
        <v>4485</v>
      </c>
      <c r="K544" s="288">
        <f t="shared" si="16"/>
        <v>4140</v>
      </c>
      <c r="L544" s="287">
        <f t="shared" si="17"/>
        <v>3967.5</v>
      </c>
      <c r="M544" s="288">
        <f t="shared" si="18"/>
        <v>3795</v>
      </c>
      <c r="N544" s="40"/>
      <c r="O544" s="34"/>
      <c r="P544" s="35"/>
      <c r="Q544" s="35"/>
      <c r="R544" s="35"/>
      <c r="S544" s="35"/>
      <c r="T544" s="35"/>
      <c r="U544" s="35"/>
      <c r="V544" s="35"/>
      <c r="W544" s="35"/>
      <c r="X544" s="35"/>
      <c r="Y544" s="35"/>
      <c r="Z544" s="35"/>
    </row>
    <row r="545" ht="14.25" customHeight="1">
      <c r="A545" s="420"/>
      <c r="B545" s="441" t="s">
        <v>2856</v>
      </c>
      <c r="C545" s="440" t="s">
        <v>2857</v>
      </c>
      <c r="D545" s="448" t="s">
        <v>2858</v>
      </c>
      <c r="E545" s="136"/>
      <c r="F545" s="387">
        <v>2750.0</v>
      </c>
      <c r="G545" s="363">
        <v>45866.0</v>
      </c>
      <c r="H545" s="285">
        <f t="shared" si="13"/>
        <v>4125</v>
      </c>
      <c r="I545" s="286">
        <f t="shared" si="14"/>
        <v>3575</v>
      </c>
      <c r="J545" s="287">
        <f t="shared" si="15"/>
        <v>3575</v>
      </c>
      <c r="K545" s="288">
        <f t="shared" si="16"/>
        <v>3300</v>
      </c>
      <c r="L545" s="287">
        <f t="shared" si="17"/>
        <v>3162.5</v>
      </c>
      <c r="M545" s="288">
        <f t="shared" si="18"/>
        <v>3025</v>
      </c>
      <c r="N545" s="40"/>
      <c r="O545" s="34"/>
      <c r="P545" s="35"/>
      <c r="Q545" s="35"/>
      <c r="R545" s="35"/>
      <c r="S545" s="35"/>
      <c r="T545" s="35"/>
      <c r="U545" s="35"/>
      <c r="V545" s="35"/>
      <c r="W545" s="35"/>
      <c r="X545" s="35"/>
      <c r="Y545" s="35"/>
      <c r="Z545" s="35"/>
    </row>
    <row r="546" ht="14.25" customHeight="1">
      <c r="A546" s="420"/>
      <c r="B546" s="368"/>
      <c r="C546" s="440" t="s">
        <v>2859</v>
      </c>
      <c r="D546" s="368"/>
      <c r="E546" s="136"/>
      <c r="F546" s="368"/>
      <c r="G546" s="363">
        <v>45866.0</v>
      </c>
      <c r="H546" s="285">
        <f t="shared" si="13"/>
        <v>0</v>
      </c>
      <c r="I546" s="286">
        <f t="shared" si="14"/>
        <v>0</v>
      </c>
      <c r="J546" s="287">
        <f t="shared" si="15"/>
        <v>0</v>
      </c>
      <c r="K546" s="288">
        <f t="shared" si="16"/>
        <v>0</v>
      </c>
      <c r="L546" s="287">
        <f t="shared" si="17"/>
        <v>0</v>
      </c>
      <c r="M546" s="288">
        <f t="shared" si="18"/>
        <v>0</v>
      </c>
      <c r="N546" s="40"/>
      <c r="O546" s="34"/>
      <c r="P546" s="35"/>
      <c r="Q546" s="35"/>
      <c r="R546" s="35"/>
      <c r="S546" s="35"/>
      <c r="T546" s="35"/>
      <c r="U546" s="35"/>
      <c r="V546" s="35"/>
      <c r="W546" s="35"/>
      <c r="X546" s="35"/>
      <c r="Y546" s="35"/>
      <c r="Z546" s="35"/>
    </row>
    <row r="547" ht="14.25" customHeight="1">
      <c r="A547" s="420"/>
      <c r="B547" s="441" t="s">
        <v>2860</v>
      </c>
      <c r="C547" s="440" t="s">
        <v>2861</v>
      </c>
      <c r="D547" s="448" t="s">
        <v>2858</v>
      </c>
      <c r="E547" s="136"/>
      <c r="F547" s="387">
        <v>2800.0</v>
      </c>
      <c r="G547" s="363">
        <v>45866.0</v>
      </c>
      <c r="H547" s="285">
        <f t="shared" si="13"/>
        <v>4200</v>
      </c>
      <c r="I547" s="286">
        <f t="shared" si="14"/>
        <v>3640</v>
      </c>
      <c r="J547" s="287">
        <f t="shared" si="15"/>
        <v>3640</v>
      </c>
      <c r="K547" s="288">
        <f t="shared" si="16"/>
        <v>3360</v>
      </c>
      <c r="L547" s="287">
        <f t="shared" si="17"/>
        <v>3220</v>
      </c>
      <c r="M547" s="288">
        <f t="shared" si="18"/>
        <v>3080</v>
      </c>
      <c r="N547" s="40"/>
      <c r="O547" s="34"/>
      <c r="P547" s="35"/>
      <c r="Q547" s="35"/>
      <c r="R547" s="35"/>
      <c r="S547" s="35"/>
      <c r="T547" s="35"/>
      <c r="U547" s="35"/>
      <c r="V547" s="35"/>
      <c r="W547" s="35"/>
      <c r="X547" s="35"/>
      <c r="Y547" s="35"/>
      <c r="Z547" s="35"/>
    </row>
    <row r="548" ht="14.25" customHeight="1">
      <c r="A548" s="420"/>
      <c r="B548" s="368"/>
      <c r="C548" s="440" t="s">
        <v>2862</v>
      </c>
      <c r="D548" s="368"/>
      <c r="E548" s="136"/>
      <c r="F548" s="368"/>
      <c r="G548" s="363">
        <v>45866.0</v>
      </c>
      <c r="H548" s="285">
        <f t="shared" si="13"/>
        <v>0</v>
      </c>
      <c r="I548" s="286">
        <f t="shared" si="14"/>
        <v>0</v>
      </c>
      <c r="J548" s="287">
        <f t="shared" si="15"/>
        <v>0</v>
      </c>
      <c r="K548" s="288">
        <f t="shared" si="16"/>
        <v>0</v>
      </c>
      <c r="L548" s="287">
        <f t="shared" si="17"/>
        <v>0</v>
      </c>
      <c r="M548" s="288">
        <f t="shared" si="18"/>
        <v>0</v>
      </c>
      <c r="N548" s="40"/>
      <c r="O548" s="34"/>
      <c r="P548" s="35"/>
      <c r="Q548" s="35"/>
      <c r="R548" s="35"/>
      <c r="S548" s="35"/>
      <c r="T548" s="35"/>
      <c r="U548" s="35"/>
      <c r="V548" s="35"/>
      <c r="W548" s="35"/>
      <c r="X548" s="35"/>
      <c r="Y548" s="35"/>
      <c r="Z548" s="35"/>
    </row>
    <row r="549" ht="14.25" customHeight="1">
      <c r="A549" s="420"/>
      <c r="B549" s="441" t="s">
        <v>2863</v>
      </c>
      <c r="C549" s="440" t="s">
        <v>2864</v>
      </c>
      <c r="D549" s="424" t="s">
        <v>2865</v>
      </c>
      <c r="E549" s="136"/>
      <c r="F549" s="387">
        <v>2750.0</v>
      </c>
      <c r="G549" s="363">
        <v>45866.0</v>
      </c>
      <c r="H549" s="285">
        <f t="shared" si="13"/>
        <v>4125</v>
      </c>
      <c r="I549" s="286">
        <f t="shared" si="14"/>
        <v>3575</v>
      </c>
      <c r="J549" s="287">
        <f t="shared" si="15"/>
        <v>3575</v>
      </c>
      <c r="K549" s="288">
        <f t="shared" si="16"/>
        <v>3300</v>
      </c>
      <c r="L549" s="287">
        <f t="shared" si="17"/>
        <v>3162.5</v>
      </c>
      <c r="M549" s="288">
        <f t="shared" si="18"/>
        <v>3025</v>
      </c>
      <c r="N549" s="40"/>
      <c r="O549" s="34"/>
      <c r="P549" s="35"/>
      <c r="Q549" s="35"/>
      <c r="R549" s="35"/>
      <c r="S549" s="35"/>
      <c r="T549" s="35"/>
      <c r="U549" s="35"/>
      <c r="V549" s="35"/>
      <c r="W549" s="35"/>
      <c r="X549" s="35"/>
      <c r="Y549" s="35"/>
      <c r="Z549" s="35"/>
    </row>
    <row r="550" ht="14.25" customHeight="1">
      <c r="A550" s="452"/>
      <c r="B550" s="368"/>
      <c r="C550" s="440" t="s">
        <v>2866</v>
      </c>
      <c r="D550" s="368"/>
      <c r="E550" s="136"/>
      <c r="F550" s="368"/>
      <c r="G550" s="363">
        <v>45866.0</v>
      </c>
      <c r="H550" s="285">
        <f t="shared" si="13"/>
        <v>0</v>
      </c>
      <c r="I550" s="286">
        <f t="shared" si="14"/>
        <v>0</v>
      </c>
      <c r="J550" s="287">
        <f t="shared" si="15"/>
        <v>0</v>
      </c>
      <c r="K550" s="288">
        <f t="shared" si="16"/>
        <v>0</v>
      </c>
      <c r="L550" s="287">
        <f t="shared" si="17"/>
        <v>0</v>
      </c>
      <c r="M550" s="288">
        <f t="shared" si="18"/>
        <v>0</v>
      </c>
      <c r="N550" s="136"/>
      <c r="O550" s="34"/>
      <c r="P550" s="35"/>
      <c r="Q550" s="35"/>
      <c r="R550" s="35"/>
      <c r="S550" s="35"/>
      <c r="T550" s="35"/>
      <c r="U550" s="35"/>
      <c r="V550" s="35"/>
      <c r="W550" s="35"/>
      <c r="X550" s="35"/>
      <c r="Y550" s="35"/>
      <c r="Z550" s="35"/>
    </row>
    <row r="551" ht="14.25" customHeight="1">
      <c r="A551" s="452"/>
      <c r="B551" s="441" t="s">
        <v>2867</v>
      </c>
      <c r="C551" s="440" t="s">
        <v>2868</v>
      </c>
      <c r="D551" s="424" t="s">
        <v>2869</v>
      </c>
      <c r="E551" s="136"/>
      <c r="F551" s="387">
        <v>2900.0</v>
      </c>
      <c r="G551" s="363">
        <v>45866.0</v>
      </c>
      <c r="H551" s="285">
        <f t="shared" si="13"/>
        <v>4350</v>
      </c>
      <c r="I551" s="286">
        <f t="shared" si="14"/>
        <v>3770</v>
      </c>
      <c r="J551" s="287">
        <f t="shared" si="15"/>
        <v>3770</v>
      </c>
      <c r="K551" s="288">
        <f t="shared" si="16"/>
        <v>3480</v>
      </c>
      <c r="L551" s="287">
        <f t="shared" si="17"/>
        <v>3335</v>
      </c>
      <c r="M551" s="288">
        <f t="shared" si="18"/>
        <v>3190</v>
      </c>
      <c r="N551" s="136"/>
      <c r="O551" s="34"/>
      <c r="P551" s="35"/>
      <c r="Q551" s="35"/>
      <c r="R551" s="35"/>
      <c r="S551" s="35"/>
      <c r="T551" s="35"/>
      <c r="U551" s="35"/>
      <c r="V551" s="35"/>
      <c r="W551" s="35"/>
      <c r="X551" s="35"/>
      <c r="Y551" s="35"/>
      <c r="Z551" s="35"/>
    </row>
    <row r="552" ht="14.25" customHeight="1">
      <c r="A552" s="452"/>
      <c r="B552" s="368"/>
      <c r="C552" s="440" t="s">
        <v>2870</v>
      </c>
      <c r="D552" s="368"/>
      <c r="E552" s="136"/>
      <c r="F552" s="368"/>
      <c r="G552" s="363">
        <v>45866.0</v>
      </c>
      <c r="H552" s="285">
        <f t="shared" si="13"/>
        <v>0</v>
      </c>
      <c r="I552" s="286">
        <f t="shared" si="14"/>
        <v>0</v>
      </c>
      <c r="J552" s="287">
        <f t="shared" si="15"/>
        <v>0</v>
      </c>
      <c r="K552" s="288">
        <f t="shared" si="16"/>
        <v>0</v>
      </c>
      <c r="L552" s="287">
        <f t="shared" si="17"/>
        <v>0</v>
      </c>
      <c r="M552" s="288">
        <f t="shared" si="18"/>
        <v>0</v>
      </c>
      <c r="N552" s="136"/>
      <c r="O552" s="34"/>
      <c r="P552" s="35"/>
      <c r="Q552" s="35"/>
      <c r="R552" s="35"/>
      <c r="S552" s="35"/>
      <c r="T552" s="35"/>
      <c r="U552" s="35"/>
      <c r="V552" s="35"/>
      <c r="W552" s="35"/>
      <c r="X552" s="35"/>
      <c r="Y552" s="35"/>
      <c r="Z552" s="35"/>
    </row>
    <row r="553" ht="14.25" customHeight="1">
      <c r="A553" s="452"/>
      <c r="B553" s="449" t="s">
        <v>2871</v>
      </c>
      <c r="C553" s="440" t="s">
        <v>2872</v>
      </c>
      <c r="D553" s="451" t="s">
        <v>2873</v>
      </c>
      <c r="E553" s="136"/>
      <c r="F553" s="399">
        <v>5600.0</v>
      </c>
      <c r="G553" s="363">
        <v>45866.0</v>
      </c>
      <c r="H553" s="285">
        <f t="shared" si="13"/>
        <v>8400</v>
      </c>
      <c r="I553" s="286">
        <f t="shared" si="14"/>
        <v>7280</v>
      </c>
      <c r="J553" s="287">
        <f t="shared" si="15"/>
        <v>7280</v>
      </c>
      <c r="K553" s="288">
        <f t="shared" si="16"/>
        <v>6720</v>
      </c>
      <c r="L553" s="287">
        <f t="shared" si="17"/>
        <v>6440</v>
      </c>
      <c r="M553" s="288">
        <f t="shared" si="18"/>
        <v>6160</v>
      </c>
      <c r="N553" s="136"/>
      <c r="O553" s="34"/>
      <c r="P553" s="35"/>
      <c r="Q553" s="35"/>
      <c r="R553" s="35"/>
      <c r="S553" s="35"/>
      <c r="T553" s="35"/>
      <c r="U553" s="35"/>
      <c r="V553" s="35"/>
      <c r="W553" s="35"/>
      <c r="X553" s="35"/>
      <c r="Y553" s="35"/>
      <c r="Z553" s="35"/>
    </row>
    <row r="554" ht="14.25" hidden="1" customHeight="1">
      <c r="A554" s="452"/>
      <c r="B554" s="449" t="s">
        <v>2871</v>
      </c>
      <c r="C554" s="440" t="s">
        <v>2874</v>
      </c>
      <c r="D554" s="451" t="s">
        <v>2875</v>
      </c>
      <c r="E554" s="136"/>
      <c r="F554" s="399" t="s">
        <v>2833</v>
      </c>
      <c r="G554" s="363">
        <v>45866.0</v>
      </c>
      <c r="H554" s="285" t="str">
        <f t="shared" si="13"/>
        <v>#VALUE!</v>
      </c>
      <c r="I554" s="286" t="str">
        <f t="shared" si="14"/>
        <v>#VALUE!</v>
      </c>
      <c r="J554" s="287" t="str">
        <f t="shared" si="15"/>
        <v>#VALUE!</v>
      </c>
      <c r="K554" s="288" t="str">
        <f t="shared" si="16"/>
        <v>#VALUE!</v>
      </c>
      <c r="L554" s="287" t="str">
        <f t="shared" si="17"/>
        <v>#VALUE!</v>
      </c>
      <c r="M554" s="288" t="str">
        <f t="shared" si="18"/>
        <v>#VALUE!</v>
      </c>
      <c r="N554" s="136"/>
      <c r="O554" s="34"/>
      <c r="P554" s="35"/>
      <c r="Q554" s="35"/>
      <c r="R554" s="35"/>
      <c r="S554" s="35"/>
      <c r="T554" s="35"/>
      <c r="U554" s="35"/>
      <c r="V554" s="35"/>
      <c r="W554" s="35"/>
      <c r="X554" s="35"/>
      <c r="Y554" s="35"/>
      <c r="Z554" s="35"/>
    </row>
    <row r="555" ht="14.25" hidden="1" customHeight="1">
      <c r="A555" s="452"/>
      <c r="B555" s="449" t="s">
        <v>2876</v>
      </c>
      <c r="C555" s="440" t="s">
        <v>2877</v>
      </c>
      <c r="D555" s="451" t="s">
        <v>2878</v>
      </c>
      <c r="E555" s="136"/>
      <c r="F555" s="399" t="s">
        <v>2833</v>
      </c>
      <c r="G555" s="363">
        <v>45866.0</v>
      </c>
      <c r="H555" s="285" t="str">
        <f t="shared" si="13"/>
        <v>#VALUE!</v>
      </c>
      <c r="I555" s="286" t="str">
        <f t="shared" si="14"/>
        <v>#VALUE!</v>
      </c>
      <c r="J555" s="287" t="str">
        <f t="shared" si="15"/>
        <v>#VALUE!</v>
      </c>
      <c r="K555" s="288" t="str">
        <f t="shared" si="16"/>
        <v>#VALUE!</v>
      </c>
      <c r="L555" s="287" t="str">
        <f t="shared" si="17"/>
        <v>#VALUE!</v>
      </c>
      <c r="M555" s="288" t="str">
        <f t="shared" si="18"/>
        <v>#VALUE!</v>
      </c>
      <c r="N555" s="136"/>
      <c r="O555" s="34"/>
      <c r="P555" s="35"/>
      <c r="Q555" s="35"/>
      <c r="R555" s="35"/>
      <c r="S555" s="35"/>
      <c r="T555" s="35"/>
      <c r="U555" s="35"/>
      <c r="V555" s="35"/>
      <c r="W555" s="35"/>
      <c r="X555" s="35"/>
      <c r="Y555" s="35"/>
      <c r="Z555" s="35"/>
    </row>
    <row r="556" ht="14.25" hidden="1" customHeight="1">
      <c r="A556" s="452"/>
      <c r="B556" s="449" t="s">
        <v>2879</v>
      </c>
      <c r="C556" s="440" t="s">
        <v>2880</v>
      </c>
      <c r="D556" s="451" t="s">
        <v>2881</v>
      </c>
      <c r="E556" s="136"/>
      <c r="F556" s="399" t="s">
        <v>2833</v>
      </c>
      <c r="G556" s="363">
        <v>45866.0</v>
      </c>
      <c r="H556" s="285" t="str">
        <f t="shared" si="13"/>
        <v>#VALUE!</v>
      </c>
      <c r="I556" s="286" t="str">
        <f t="shared" si="14"/>
        <v>#VALUE!</v>
      </c>
      <c r="J556" s="287" t="str">
        <f t="shared" si="15"/>
        <v>#VALUE!</v>
      </c>
      <c r="K556" s="288" t="str">
        <f t="shared" si="16"/>
        <v>#VALUE!</v>
      </c>
      <c r="L556" s="287" t="str">
        <f t="shared" si="17"/>
        <v>#VALUE!</v>
      </c>
      <c r="M556" s="288" t="str">
        <f t="shared" si="18"/>
        <v>#VALUE!</v>
      </c>
      <c r="N556" s="136"/>
      <c r="O556" s="34"/>
      <c r="P556" s="35"/>
      <c r="Q556" s="35"/>
      <c r="R556" s="35"/>
      <c r="S556" s="35"/>
      <c r="T556" s="35"/>
      <c r="U556" s="35"/>
      <c r="V556" s="35"/>
      <c r="W556" s="35"/>
      <c r="X556" s="35"/>
      <c r="Y556" s="35"/>
      <c r="Z556" s="35"/>
    </row>
    <row r="557" ht="14.25" hidden="1" customHeight="1">
      <c r="A557" s="452"/>
      <c r="B557" s="449" t="s">
        <v>2879</v>
      </c>
      <c r="C557" s="440" t="s">
        <v>2882</v>
      </c>
      <c r="D557" s="451" t="s">
        <v>2881</v>
      </c>
      <c r="E557" s="136"/>
      <c r="F557" s="399" t="s">
        <v>2833</v>
      </c>
      <c r="G557" s="363">
        <v>45866.0</v>
      </c>
      <c r="H557" s="285" t="str">
        <f t="shared" si="13"/>
        <v>#VALUE!</v>
      </c>
      <c r="I557" s="286" t="str">
        <f t="shared" si="14"/>
        <v>#VALUE!</v>
      </c>
      <c r="J557" s="287" t="str">
        <f t="shared" si="15"/>
        <v>#VALUE!</v>
      </c>
      <c r="K557" s="288" t="str">
        <f t="shared" si="16"/>
        <v>#VALUE!</v>
      </c>
      <c r="L557" s="287" t="str">
        <f t="shared" si="17"/>
        <v>#VALUE!</v>
      </c>
      <c r="M557" s="288" t="str">
        <f t="shared" si="18"/>
        <v>#VALUE!</v>
      </c>
      <c r="N557" s="136"/>
      <c r="O557" s="34"/>
      <c r="P557" s="35"/>
      <c r="Q557" s="35"/>
      <c r="R557" s="35"/>
      <c r="S557" s="35"/>
      <c r="T557" s="35"/>
      <c r="U557" s="35"/>
      <c r="V557" s="35"/>
      <c r="W557" s="35"/>
      <c r="X557" s="35"/>
      <c r="Y557" s="35"/>
      <c r="Z557" s="35"/>
    </row>
    <row r="558" ht="14.25" customHeight="1">
      <c r="A558" s="452"/>
      <c r="B558" s="441" t="s">
        <v>2883</v>
      </c>
      <c r="C558" s="440" t="s">
        <v>2884</v>
      </c>
      <c r="D558" s="448" t="s">
        <v>2885</v>
      </c>
      <c r="E558" s="136"/>
      <c r="F558" s="387">
        <v>3110.0</v>
      </c>
      <c r="G558" s="363">
        <v>45866.0</v>
      </c>
      <c r="H558" s="285">
        <f t="shared" si="13"/>
        <v>4665</v>
      </c>
      <c r="I558" s="286">
        <f t="shared" si="14"/>
        <v>4043</v>
      </c>
      <c r="J558" s="287">
        <f t="shared" si="15"/>
        <v>4043</v>
      </c>
      <c r="K558" s="288">
        <f t="shared" si="16"/>
        <v>3732</v>
      </c>
      <c r="L558" s="287">
        <f t="shared" si="17"/>
        <v>3576.5</v>
      </c>
      <c r="M558" s="288">
        <f t="shared" si="18"/>
        <v>3421</v>
      </c>
      <c r="N558" s="136"/>
      <c r="O558" s="34"/>
      <c r="P558" s="35"/>
      <c r="Q558" s="35"/>
      <c r="R558" s="35"/>
      <c r="S558" s="35"/>
      <c r="T558" s="35"/>
      <c r="U558" s="35"/>
      <c r="V558" s="35"/>
      <c r="W558" s="35"/>
      <c r="X558" s="35"/>
      <c r="Y558" s="35"/>
      <c r="Z558" s="35"/>
    </row>
    <row r="559" ht="14.25" customHeight="1">
      <c r="A559" s="452"/>
      <c r="B559" s="368"/>
      <c r="C559" s="440" t="s">
        <v>2886</v>
      </c>
      <c r="D559" s="368"/>
      <c r="E559" s="136"/>
      <c r="F559" s="368"/>
      <c r="G559" s="363">
        <v>45866.0</v>
      </c>
      <c r="H559" s="285">
        <f t="shared" si="13"/>
        <v>0</v>
      </c>
      <c r="I559" s="286">
        <f t="shared" si="14"/>
        <v>0</v>
      </c>
      <c r="J559" s="287">
        <f t="shared" si="15"/>
        <v>0</v>
      </c>
      <c r="K559" s="288">
        <f t="shared" si="16"/>
        <v>0</v>
      </c>
      <c r="L559" s="287">
        <f t="shared" si="17"/>
        <v>0</v>
      </c>
      <c r="M559" s="288">
        <f t="shared" si="18"/>
        <v>0</v>
      </c>
      <c r="N559" s="136"/>
      <c r="O559" s="34"/>
      <c r="P559" s="35"/>
      <c r="Q559" s="35"/>
      <c r="R559" s="35"/>
      <c r="S559" s="35"/>
      <c r="T559" s="35"/>
      <c r="U559" s="35"/>
      <c r="V559" s="35"/>
      <c r="W559" s="35"/>
      <c r="X559" s="35"/>
      <c r="Y559" s="35"/>
      <c r="Z559" s="35"/>
    </row>
    <row r="560" ht="14.25" customHeight="1">
      <c r="A560" s="452"/>
      <c r="B560" s="441" t="s">
        <v>2887</v>
      </c>
      <c r="C560" s="440" t="s">
        <v>2888</v>
      </c>
      <c r="D560" s="424" t="s">
        <v>2889</v>
      </c>
      <c r="E560" s="136"/>
      <c r="F560" s="387">
        <v>3810.0</v>
      </c>
      <c r="G560" s="363">
        <v>45866.0</v>
      </c>
      <c r="H560" s="285">
        <f t="shared" si="13"/>
        <v>5715</v>
      </c>
      <c r="I560" s="286">
        <f t="shared" si="14"/>
        <v>4953</v>
      </c>
      <c r="J560" s="287">
        <f t="shared" si="15"/>
        <v>4953</v>
      </c>
      <c r="K560" s="288">
        <f t="shared" si="16"/>
        <v>4572</v>
      </c>
      <c r="L560" s="287">
        <f t="shared" si="17"/>
        <v>4381.5</v>
      </c>
      <c r="M560" s="288">
        <f t="shared" si="18"/>
        <v>4191</v>
      </c>
      <c r="N560" s="136"/>
      <c r="O560" s="34"/>
      <c r="P560" s="35"/>
      <c r="Q560" s="35"/>
      <c r="R560" s="35"/>
      <c r="S560" s="35"/>
      <c r="T560" s="35"/>
      <c r="U560" s="35"/>
      <c r="V560" s="35"/>
      <c r="W560" s="35"/>
      <c r="X560" s="35"/>
      <c r="Y560" s="35"/>
      <c r="Z560" s="35"/>
    </row>
    <row r="561" ht="14.25" customHeight="1">
      <c r="A561" s="452"/>
      <c r="B561" s="368"/>
      <c r="C561" s="440" t="s">
        <v>2890</v>
      </c>
      <c r="D561" s="368"/>
      <c r="E561" s="136"/>
      <c r="F561" s="368"/>
      <c r="G561" s="363">
        <v>45866.0</v>
      </c>
      <c r="H561" s="285">
        <f t="shared" si="13"/>
        <v>0</v>
      </c>
      <c r="I561" s="286">
        <f t="shared" si="14"/>
        <v>0</v>
      </c>
      <c r="J561" s="287">
        <f t="shared" si="15"/>
        <v>0</v>
      </c>
      <c r="K561" s="288">
        <f t="shared" si="16"/>
        <v>0</v>
      </c>
      <c r="L561" s="287">
        <f t="shared" si="17"/>
        <v>0</v>
      </c>
      <c r="M561" s="288">
        <f t="shared" si="18"/>
        <v>0</v>
      </c>
      <c r="N561" s="136"/>
      <c r="O561" s="34"/>
      <c r="P561" s="35"/>
      <c r="Q561" s="35"/>
      <c r="R561" s="35"/>
      <c r="S561" s="35"/>
      <c r="T561" s="35"/>
      <c r="U561" s="35"/>
      <c r="V561" s="35"/>
      <c r="W561" s="35"/>
      <c r="X561" s="35"/>
      <c r="Y561" s="35"/>
      <c r="Z561" s="35"/>
    </row>
    <row r="562" ht="14.25" customHeight="1">
      <c r="A562" s="452"/>
      <c r="B562" s="453" t="s">
        <v>2891</v>
      </c>
      <c r="C562" s="454" t="s">
        <v>2892</v>
      </c>
      <c r="D562" s="455" t="s">
        <v>2893</v>
      </c>
      <c r="E562" s="136"/>
      <c r="F562" s="456">
        <v>3110.0</v>
      </c>
      <c r="G562" s="363">
        <v>45866.0</v>
      </c>
      <c r="H562" s="285">
        <f t="shared" si="13"/>
        <v>4665</v>
      </c>
      <c r="I562" s="286">
        <f t="shared" si="14"/>
        <v>4043</v>
      </c>
      <c r="J562" s="287">
        <f t="shared" si="15"/>
        <v>4043</v>
      </c>
      <c r="K562" s="288">
        <f t="shared" si="16"/>
        <v>3732</v>
      </c>
      <c r="L562" s="287">
        <f t="shared" si="17"/>
        <v>3576.5</v>
      </c>
      <c r="M562" s="288">
        <f t="shared" si="18"/>
        <v>3421</v>
      </c>
      <c r="N562" s="136"/>
      <c r="O562" s="34"/>
      <c r="P562" s="35"/>
      <c r="Q562" s="35"/>
      <c r="R562" s="35"/>
      <c r="S562" s="35"/>
      <c r="T562" s="35"/>
      <c r="U562" s="35"/>
      <c r="V562" s="35"/>
      <c r="W562" s="35"/>
      <c r="X562" s="35"/>
      <c r="Y562" s="35"/>
      <c r="Z562" s="35"/>
    </row>
    <row r="563" ht="14.25" customHeight="1">
      <c r="A563" s="452"/>
      <c r="B563" s="368"/>
      <c r="C563" s="454" t="s">
        <v>2894</v>
      </c>
      <c r="D563" s="368"/>
      <c r="E563" s="136"/>
      <c r="F563" s="368"/>
      <c r="G563" s="363">
        <v>45866.0</v>
      </c>
      <c r="H563" s="285">
        <f t="shared" si="13"/>
        <v>0</v>
      </c>
      <c r="I563" s="286">
        <f t="shared" si="14"/>
        <v>0</v>
      </c>
      <c r="J563" s="287">
        <f t="shared" si="15"/>
        <v>0</v>
      </c>
      <c r="K563" s="288">
        <f t="shared" si="16"/>
        <v>0</v>
      </c>
      <c r="L563" s="287">
        <f t="shared" si="17"/>
        <v>0</v>
      </c>
      <c r="M563" s="288">
        <f t="shared" si="18"/>
        <v>0</v>
      </c>
      <c r="N563" s="136"/>
      <c r="O563" s="34"/>
      <c r="P563" s="35"/>
      <c r="Q563" s="35"/>
      <c r="R563" s="35"/>
      <c r="S563" s="35"/>
      <c r="T563" s="35"/>
      <c r="U563" s="35"/>
      <c r="V563" s="35"/>
      <c r="W563" s="35"/>
      <c r="X563" s="35"/>
      <c r="Y563" s="35"/>
      <c r="Z563" s="35"/>
    </row>
    <row r="564" ht="14.25" customHeight="1">
      <c r="A564" s="452"/>
      <c r="B564" s="457" t="s">
        <v>2891</v>
      </c>
      <c r="C564" s="458" t="s">
        <v>2895</v>
      </c>
      <c r="D564" s="459" t="s">
        <v>2896</v>
      </c>
      <c r="E564" s="136"/>
      <c r="F564" s="460">
        <v>3110.0</v>
      </c>
      <c r="G564" s="363">
        <v>45866.0</v>
      </c>
      <c r="H564" s="285">
        <f t="shared" si="13"/>
        <v>4665</v>
      </c>
      <c r="I564" s="286">
        <f t="shared" si="14"/>
        <v>4043</v>
      </c>
      <c r="J564" s="287">
        <f t="shared" si="15"/>
        <v>4043</v>
      </c>
      <c r="K564" s="288">
        <f t="shared" si="16"/>
        <v>3732</v>
      </c>
      <c r="L564" s="287">
        <f t="shared" si="17"/>
        <v>3576.5</v>
      </c>
      <c r="M564" s="288">
        <f t="shared" si="18"/>
        <v>3421</v>
      </c>
      <c r="N564" s="136"/>
      <c r="O564" s="34"/>
      <c r="P564" s="35"/>
      <c r="Q564" s="35"/>
      <c r="R564" s="35"/>
      <c r="S564" s="35"/>
      <c r="T564" s="35"/>
      <c r="U564" s="35"/>
      <c r="V564" s="35"/>
      <c r="W564" s="35"/>
      <c r="X564" s="35"/>
      <c r="Y564" s="35"/>
      <c r="Z564" s="35"/>
    </row>
    <row r="565" ht="14.25" customHeight="1">
      <c r="A565" s="452"/>
      <c r="B565" s="368"/>
      <c r="C565" s="458" t="s">
        <v>2897</v>
      </c>
      <c r="D565" s="368"/>
      <c r="E565" s="136"/>
      <c r="F565" s="368"/>
      <c r="G565" s="363">
        <v>45866.0</v>
      </c>
      <c r="H565" s="285">
        <f t="shared" si="13"/>
        <v>0</v>
      </c>
      <c r="I565" s="286">
        <f t="shared" si="14"/>
        <v>0</v>
      </c>
      <c r="J565" s="287">
        <f t="shared" si="15"/>
        <v>0</v>
      </c>
      <c r="K565" s="288">
        <f t="shared" si="16"/>
        <v>0</v>
      </c>
      <c r="L565" s="287">
        <f t="shared" si="17"/>
        <v>0</v>
      </c>
      <c r="M565" s="288">
        <f t="shared" si="18"/>
        <v>0</v>
      </c>
      <c r="N565" s="136"/>
      <c r="O565" s="34"/>
      <c r="P565" s="35"/>
      <c r="Q565" s="35"/>
      <c r="R565" s="35"/>
      <c r="S565" s="35"/>
      <c r="T565" s="35"/>
      <c r="U565" s="35"/>
      <c r="V565" s="35"/>
      <c r="W565" s="35"/>
      <c r="X565" s="35"/>
      <c r="Y565" s="35"/>
      <c r="Z565" s="35"/>
    </row>
    <row r="566" ht="14.25" customHeight="1">
      <c r="A566" s="452"/>
      <c r="B566" s="453" t="s">
        <v>2898</v>
      </c>
      <c r="C566" s="454" t="s">
        <v>2899</v>
      </c>
      <c r="D566" s="461" t="s">
        <v>2900</v>
      </c>
      <c r="E566" s="136"/>
      <c r="F566" s="456">
        <v>3120.0</v>
      </c>
      <c r="G566" s="363">
        <v>45866.0</v>
      </c>
      <c r="H566" s="285">
        <f t="shared" si="13"/>
        <v>4680</v>
      </c>
      <c r="I566" s="286">
        <f t="shared" si="14"/>
        <v>4056</v>
      </c>
      <c r="J566" s="287">
        <f t="shared" si="15"/>
        <v>4056</v>
      </c>
      <c r="K566" s="288">
        <f t="shared" si="16"/>
        <v>3744</v>
      </c>
      <c r="L566" s="287">
        <f t="shared" si="17"/>
        <v>3588</v>
      </c>
      <c r="M566" s="288">
        <f t="shared" si="18"/>
        <v>3432</v>
      </c>
      <c r="N566" s="136"/>
      <c r="O566" s="34"/>
      <c r="P566" s="35"/>
      <c r="Q566" s="35"/>
      <c r="R566" s="35"/>
      <c r="S566" s="35"/>
      <c r="T566" s="35"/>
      <c r="U566" s="35"/>
      <c r="V566" s="35"/>
      <c r="W566" s="35"/>
      <c r="X566" s="35"/>
      <c r="Y566" s="35"/>
      <c r="Z566" s="35"/>
    </row>
    <row r="567" ht="14.25" customHeight="1">
      <c r="A567" s="452"/>
      <c r="B567" s="368"/>
      <c r="C567" s="454" t="s">
        <v>2901</v>
      </c>
      <c r="D567" s="368"/>
      <c r="E567" s="136"/>
      <c r="F567" s="368"/>
      <c r="G567" s="363">
        <v>45866.0</v>
      </c>
      <c r="H567" s="285">
        <f t="shared" si="13"/>
        <v>0</v>
      </c>
      <c r="I567" s="286">
        <f t="shared" si="14"/>
        <v>0</v>
      </c>
      <c r="J567" s="287">
        <f t="shared" si="15"/>
        <v>0</v>
      </c>
      <c r="K567" s="288">
        <f t="shared" si="16"/>
        <v>0</v>
      </c>
      <c r="L567" s="287">
        <f t="shared" si="17"/>
        <v>0</v>
      </c>
      <c r="M567" s="288">
        <f t="shared" si="18"/>
        <v>0</v>
      </c>
      <c r="N567" s="136"/>
      <c r="O567" s="34"/>
      <c r="P567" s="35"/>
      <c r="Q567" s="35"/>
      <c r="R567" s="35"/>
      <c r="S567" s="35"/>
      <c r="T567" s="35"/>
      <c r="U567" s="35"/>
      <c r="V567" s="35"/>
      <c r="W567" s="35"/>
      <c r="X567" s="35"/>
      <c r="Y567" s="35"/>
      <c r="Z567" s="35"/>
    </row>
    <row r="568" ht="14.25" customHeight="1">
      <c r="A568" s="452"/>
      <c r="B568" s="441" t="s">
        <v>2902</v>
      </c>
      <c r="C568" s="440" t="s">
        <v>2903</v>
      </c>
      <c r="D568" s="448" t="s">
        <v>2904</v>
      </c>
      <c r="E568" s="136"/>
      <c r="F568" s="387">
        <v>3110.0</v>
      </c>
      <c r="G568" s="363">
        <v>45866.0</v>
      </c>
      <c r="H568" s="285">
        <f t="shared" si="13"/>
        <v>4665</v>
      </c>
      <c r="I568" s="286">
        <f t="shared" si="14"/>
        <v>4043</v>
      </c>
      <c r="J568" s="287">
        <f t="shared" si="15"/>
        <v>4043</v>
      </c>
      <c r="K568" s="288">
        <f t="shared" si="16"/>
        <v>3732</v>
      </c>
      <c r="L568" s="287">
        <f t="shared" si="17"/>
        <v>3576.5</v>
      </c>
      <c r="M568" s="288">
        <f t="shared" si="18"/>
        <v>3421</v>
      </c>
      <c r="N568" s="136"/>
      <c r="O568" s="34"/>
      <c r="P568" s="35"/>
      <c r="Q568" s="35"/>
      <c r="R568" s="35"/>
      <c r="S568" s="35"/>
      <c r="T568" s="35"/>
      <c r="U568" s="35"/>
      <c r="V568" s="35"/>
      <c r="W568" s="35"/>
      <c r="X568" s="35"/>
      <c r="Y568" s="35"/>
      <c r="Z568" s="35"/>
    </row>
    <row r="569" ht="14.25" customHeight="1">
      <c r="A569" s="452"/>
      <c r="B569" s="368"/>
      <c r="C569" s="440" t="s">
        <v>2905</v>
      </c>
      <c r="D569" s="368"/>
      <c r="E569" s="136"/>
      <c r="F569" s="368"/>
      <c r="G569" s="363">
        <v>45866.0</v>
      </c>
      <c r="H569" s="285">
        <f t="shared" si="13"/>
        <v>0</v>
      </c>
      <c r="I569" s="286">
        <f t="shared" si="14"/>
        <v>0</v>
      </c>
      <c r="J569" s="287">
        <f t="shared" si="15"/>
        <v>0</v>
      </c>
      <c r="K569" s="288">
        <f t="shared" si="16"/>
        <v>0</v>
      </c>
      <c r="L569" s="287">
        <f t="shared" si="17"/>
        <v>0</v>
      </c>
      <c r="M569" s="288">
        <f t="shared" si="18"/>
        <v>0</v>
      </c>
      <c r="N569" s="136"/>
      <c r="O569" s="34"/>
      <c r="P569" s="35"/>
      <c r="Q569" s="35"/>
      <c r="R569" s="35"/>
      <c r="S569" s="35"/>
      <c r="T569" s="35"/>
      <c r="U569" s="35"/>
      <c r="V569" s="35"/>
      <c r="W569" s="35"/>
      <c r="X569" s="35"/>
      <c r="Y569" s="35"/>
      <c r="Z569" s="35"/>
    </row>
    <row r="570" ht="14.25" hidden="1" customHeight="1">
      <c r="A570" s="452"/>
      <c r="B570" s="462" t="s">
        <v>2906</v>
      </c>
      <c r="C570" s="454" t="s">
        <v>2907</v>
      </c>
      <c r="D570" s="463" t="s">
        <v>2908</v>
      </c>
      <c r="E570" s="136"/>
      <c r="F570" s="464" t="s">
        <v>2833</v>
      </c>
      <c r="G570" s="363">
        <v>45866.0</v>
      </c>
      <c r="H570" s="285" t="str">
        <f t="shared" si="13"/>
        <v>#VALUE!</v>
      </c>
      <c r="I570" s="286" t="str">
        <f t="shared" si="14"/>
        <v>#VALUE!</v>
      </c>
      <c r="J570" s="287" t="str">
        <f t="shared" si="15"/>
        <v>#VALUE!</v>
      </c>
      <c r="K570" s="288" t="str">
        <f t="shared" si="16"/>
        <v>#VALUE!</v>
      </c>
      <c r="L570" s="287" t="str">
        <f t="shared" si="17"/>
        <v>#VALUE!</v>
      </c>
      <c r="M570" s="288" t="str">
        <f t="shared" si="18"/>
        <v>#VALUE!</v>
      </c>
      <c r="N570" s="136"/>
      <c r="O570" s="34"/>
      <c r="P570" s="35"/>
      <c r="Q570" s="35"/>
      <c r="R570" s="35"/>
      <c r="S570" s="35"/>
      <c r="T570" s="35"/>
      <c r="U570" s="35"/>
      <c r="V570" s="35"/>
      <c r="W570" s="35"/>
      <c r="X570" s="35"/>
      <c r="Y570" s="35"/>
      <c r="Z570" s="35"/>
    </row>
    <row r="571" ht="14.25" hidden="1" customHeight="1">
      <c r="A571" s="452"/>
      <c r="B571" s="462" t="s">
        <v>2909</v>
      </c>
      <c r="C571" s="454" t="s">
        <v>2910</v>
      </c>
      <c r="D571" s="463" t="s">
        <v>2911</v>
      </c>
      <c r="E571" s="136"/>
      <c r="F571" s="464" t="s">
        <v>2833</v>
      </c>
      <c r="G571" s="363">
        <v>45866.0</v>
      </c>
      <c r="H571" s="285" t="str">
        <f t="shared" si="13"/>
        <v>#VALUE!</v>
      </c>
      <c r="I571" s="286" t="str">
        <f t="shared" si="14"/>
        <v>#VALUE!</v>
      </c>
      <c r="J571" s="287" t="str">
        <f t="shared" si="15"/>
        <v>#VALUE!</v>
      </c>
      <c r="K571" s="288" t="str">
        <f t="shared" si="16"/>
        <v>#VALUE!</v>
      </c>
      <c r="L571" s="287" t="str">
        <f t="shared" si="17"/>
        <v>#VALUE!</v>
      </c>
      <c r="M571" s="288" t="str">
        <f t="shared" si="18"/>
        <v>#VALUE!</v>
      </c>
      <c r="N571" s="136"/>
      <c r="O571" s="34"/>
      <c r="P571" s="35"/>
      <c r="Q571" s="35"/>
      <c r="R571" s="35"/>
      <c r="S571" s="35"/>
      <c r="T571" s="35"/>
      <c r="U571" s="35"/>
      <c r="V571" s="35"/>
      <c r="W571" s="35"/>
      <c r="X571" s="35"/>
      <c r="Y571" s="35"/>
      <c r="Z571" s="35"/>
    </row>
    <row r="572" ht="14.25" hidden="1" customHeight="1">
      <c r="A572" s="452"/>
      <c r="B572" s="462" t="s">
        <v>2912</v>
      </c>
      <c r="C572" s="454" t="s">
        <v>2913</v>
      </c>
      <c r="D572" s="463" t="s">
        <v>2914</v>
      </c>
      <c r="E572" s="136"/>
      <c r="F572" s="464" t="s">
        <v>2833</v>
      </c>
      <c r="G572" s="363">
        <v>45866.0</v>
      </c>
      <c r="H572" s="285" t="str">
        <f t="shared" si="13"/>
        <v>#VALUE!</v>
      </c>
      <c r="I572" s="286" t="str">
        <f t="shared" si="14"/>
        <v>#VALUE!</v>
      </c>
      <c r="J572" s="287" t="str">
        <f t="shared" si="15"/>
        <v>#VALUE!</v>
      </c>
      <c r="K572" s="288" t="str">
        <f t="shared" si="16"/>
        <v>#VALUE!</v>
      </c>
      <c r="L572" s="287" t="str">
        <f t="shared" si="17"/>
        <v>#VALUE!</v>
      </c>
      <c r="M572" s="288" t="str">
        <f t="shared" si="18"/>
        <v>#VALUE!</v>
      </c>
      <c r="N572" s="136"/>
      <c r="O572" s="34"/>
      <c r="P572" s="35"/>
      <c r="Q572" s="35"/>
      <c r="R572" s="35"/>
      <c r="S572" s="35"/>
      <c r="T572" s="35"/>
      <c r="U572" s="35"/>
      <c r="V572" s="35"/>
      <c r="W572" s="35"/>
      <c r="X572" s="35"/>
      <c r="Y572" s="35"/>
      <c r="Z572" s="35"/>
    </row>
    <row r="573" ht="14.25" hidden="1" customHeight="1">
      <c r="A573" s="452"/>
      <c r="B573" s="462" t="s">
        <v>2915</v>
      </c>
      <c r="C573" s="454" t="s">
        <v>2916</v>
      </c>
      <c r="D573" s="463" t="s">
        <v>2917</v>
      </c>
      <c r="E573" s="136"/>
      <c r="F573" s="464" t="s">
        <v>2833</v>
      </c>
      <c r="G573" s="363">
        <v>45866.0</v>
      </c>
      <c r="H573" s="285" t="str">
        <f t="shared" si="13"/>
        <v>#VALUE!</v>
      </c>
      <c r="I573" s="286" t="str">
        <f t="shared" si="14"/>
        <v>#VALUE!</v>
      </c>
      <c r="J573" s="287" t="str">
        <f t="shared" si="15"/>
        <v>#VALUE!</v>
      </c>
      <c r="K573" s="288" t="str">
        <f t="shared" si="16"/>
        <v>#VALUE!</v>
      </c>
      <c r="L573" s="287" t="str">
        <f t="shared" si="17"/>
        <v>#VALUE!</v>
      </c>
      <c r="M573" s="288" t="str">
        <f t="shared" si="18"/>
        <v>#VALUE!</v>
      </c>
      <c r="N573" s="136"/>
      <c r="O573" s="34"/>
      <c r="P573" s="35"/>
      <c r="Q573" s="35"/>
      <c r="R573" s="35"/>
      <c r="S573" s="35"/>
      <c r="T573" s="35"/>
      <c r="U573" s="35"/>
      <c r="V573" s="35"/>
      <c r="W573" s="35"/>
      <c r="X573" s="35"/>
      <c r="Y573" s="35"/>
      <c r="Z573" s="35"/>
    </row>
    <row r="574" ht="14.25" hidden="1" customHeight="1">
      <c r="A574" s="452"/>
      <c r="B574" s="462" t="s">
        <v>2918</v>
      </c>
      <c r="C574" s="454" t="s">
        <v>2919</v>
      </c>
      <c r="D574" s="463" t="s">
        <v>2920</v>
      </c>
      <c r="E574" s="136"/>
      <c r="F574" s="464" t="s">
        <v>2833</v>
      </c>
      <c r="G574" s="363">
        <v>45866.0</v>
      </c>
      <c r="H574" s="285" t="str">
        <f t="shared" si="13"/>
        <v>#VALUE!</v>
      </c>
      <c r="I574" s="286" t="str">
        <f t="shared" si="14"/>
        <v>#VALUE!</v>
      </c>
      <c r="J574" s="287" t="str">
        <f t="shared" si="15"/>
        <v>#VALUE!</v>
      </c>
      <c r="K574" s="288" t="str">
        <f t="shared" si="16"/>
        <v>#VALUE!</v>
      </c>
      <c r="L574" s="287" t="str">
        <f t="shared" si="17"/>
        <v>#VALUE!</v>
      </c>
      <c r="M574" s="288" t="str">
        <f t="shared" si="18"/>
        <v>#VALUE!</v>
      </c>
      <c r="N574" s="136"/>
      <c r="O574" s="34"/>
      <c r="P574" s="35"/>
      <c r="Q574" s="35"/>
      <c r="R574" s="35"/>
      <c r="S574" s="35"/>
      <c r="T574" s="35"/>
      <c r="U574" s="35"/>
      <c r="V574" s="35"/>
      <c r="W574" s="35"/>
      <c r="X574" s="35"/>
      <c r="Y574" s="35"/>
      <c r="Z574" s="35"/>
    </row>
    <row r="575" ht="14.25" customHeight="1">
      <c r="A575" s="452"/>
      <c r="B575" s="465"/>
      <c r="C575" s="440" t="s">
        <v>2921</v>
      </c>
      <c r="D575" s="466" t="s">
        <v>2922</v>
      </c>
      <c r="E575" s="136"/>
      <c r="F575" s="387">
        <v>3825.0</v>
      </c>
      <c r="G575" s="363">
        <v>45866.0</v>
      </c>
      <c r="H575" s="285">
        <f t="shared" si="13"/>
        <v>5737.5</v>
      </c>
      <c r="I575" s="286">
        <f t="shared" si="14"/>
        <v>4972.5</v>
      </c>
      <c r="J575" s="287">
        <f t="shared" si="15"/>
        <v>4972.5</v>
      </c>
      <c r="K575" s="288">
        <f t="shared" si="16"/>
        <v>4590</v>
      </c>
      <c r="L575" s="287">
        <f t="shared" si="17"/>
        <v>4398.75</v>
      </c>
      <c r="M575" s="288">
        <f t="shared" si="18"/>
        <v>4207.5</v>
      </c>
      <c r="N575" s="136"/>
      <c r="O575" s="34"/>
      <c r="P575" s="35"/>
      <c r="Q575" s="35"/>
      <c r="R575" s="35"/>
      <c r="S575" s="35"/>
      <c r="T575" s="35"/>
      <c r="U575" s="35"/>
      <c r="V575" s="35"/>
      <c r="W575" s="35"/>
      <c r="X575" s="35"/>
      <c r="Y575" s="35"/>
      <c r="Z575" s="35"/>
    </row>
    <row r="576" ht="14.25" customHeight="1">
      <c r="A576" s="452"/>
      <c r="B576" s="441" t="s">
        <v>2923</v>
      </c>
      <c r="C576" s="440" t="s">
        <v>2924</v>
      </c>
      <c r="D576" s="424" t="s">
        <v>2925</v>
      </c>
      <c r="E576" s="136"/>
      <c r="F576" s="387">
        <v>6375.0</v>
      </c>
      <c r="G576" s="363">
        <v>45866.0</v>
      </c>
      <c r="H576" s="285">
        <f t="shared" si="13"/>
        <v>9562.5</v>
      </c>
      <c r="I576" s="286">
        <f t="shared" si="14"/>
        <v>8287.5</v>
      </c>
      <c r="J576" s="287">
        <f t="shared" si="15"/>
        <v>8287.5</v>
      </c>
      <c r="K576" s="288">
        <f t="shared" si="16"/>
        <v>7650</v>
      </c>
      <c r="L576" s="287">
        <f t="shared" si="17"/>
        <v>7331.25</v>
      </c>
      <c r="M576" s="288">
        <f t="shared" si="18"/>
        <v>7012.5</v>
      </c>
      <c r="N576" s="136"/>
      <c r="O576" s="34"/>
      <c r="P576" s="35"/>
      <c r="Q576" s="35"/>
      <c r="R576" s="35"/>
      <c r="S576" s="35"/>
      <c r="T576" s="35"/>
      <c r="U576" s="35"/>
      <c r="V576" s="35"/>
      <c r="W576" s="35"/>
      <c r="X576" s="35"/>
      <c r="Y576" s="35"/>
      <c r="Z576" s="35"/>
    </row>
    <row r="577" ht="14.25" customHeight="1">
      <c r="A577" s="452"/>
      <c r="B577" s="368"/>
      <c r="C577" s="440" t="s">
        <v>2926</v>
      </c>
      <c r="D577" s="368"/>
      <c r="E577" s="136"/>
      <c r="F577" s="368"/>
      <c r="G577" s="363">
        <v>45866.0</v>
      </c>
      <c r="H577" s="285">
        <f t="shared" si="13"/>
        <v>0</v>
      </c>
      <c r="I577" s="286">
        <f t="shared" si="14"/>
        <v>0</v>
      </c>
      <c r="J577" s="287">
        <f t="shared" si="15"/>
        <v>0</v>
      </c>
      <c r="K577" s="288">
        <f t="shared" si="16"/>
        <v>0</v>
      </c>
      <c r="L577" s="287">
        <f t="shared" si="17"/>
        <v>0</v>
      </c>
      <c r="M577" s="288">
        <f t="shared" si="18"/>
        <v>0</v>
      </c>
      <c r="N577" s="136"/>
      <c r="O577" s="34"/>
      <c r="P577" s="35"/>
      <c r="Q577" s="35"/>
      <c r="R577" s="35"/>
      <c r="S577" s="35"/>
      <c r="T577" s="35"/>
      <c r="U577" s="35"/>
      <c r="V577" s="35"/>
      <c r="W577" s="35"/>
      <c r="X577" s="35"/>
      <c r="Y577" s="35"/>
      <c r="Z577" s="35"/>
    </row>
    <row r="578" ht="14.25" customHeight="1">
      <c r="A578" s="452"/>
      <c r="B578" s="449" t="s">
        <v>2927</v>
      </c>
      <c r="C578" s="440" t="s">
        <v>2928</v>
      </c>
      <c r="D578" s="374" t="s">
        <v>2929</v>
      </c>
      <c r="E578" s="136"/>
      <c r="F578" s="399">
        <v>3825.0</v>
      </c>
      <c r="G578" s="363">
        <v>45866.0</v>
      </c>
      <c r="H578" s="285">
        <f t="shared" si="13"/>
        <v>5737.5</v>
      </c>
      <c r="I578" s="286">
        <f t="shared" si="14"/>
        <v>4972.5</v>
      </c>
      <c r="J578" s="287">
        <f t="shared" si="15"/>
        <v>4972.5</v>
      </c>
      <c r="K578" s="288">
        <f t="shared" si="16"/>
        <v>4590</v>
      </c>
      <c r="L578" s="287">
        <f t="shared" si="17"/>
        <v>4398.75</v>
      </c>
      <c r="M578" s="288">
        <f t="shared" si="18"/>
        <v>4207.5</v>
      </c>
      <c r="N578" s="136"/>
      <c r="O578" s="34"/>
      <c r="P578" s="35"/>
      <c r="Q578" s="35"/>
      <c r="R578" s="35"/>
      <c r="S578" s="35"/>
      <c r="T578" s="35"/>
      <c r="U578" s="35"/>
      <c r="V578" s="35"/>
      <c r="W578" s="35"/>
      <c r="X578" s="35"/>
      <c r="Y578" s="35"/>
      <c r="Z578" s="35"/>
    </row>
    <row r="579" ht="14.25" customHeight="1">
      <c r="A579" s="452"/>
      <c r="B579" s="441" t="s">
        <v>2930</v>
      </c>
      <c r="C579" s="440" t="s">
        <v>2931</v>
      </c>
      <c r="D579" s="424" t="s">
        <v>2932</v>
      </c>
      <c r="E579" s="136"/>
      <c r="F579" s="387">
        <v>4020.0</v>
      </c>
      <c r="G579" s="363">
        <v>45866.0</v>
      </c>
      <c r="H579" s="285">
        <f t="shared" si="13"/>
        <v>6030</v>
      </c>
      <c r="I579" s="286">
        <f t="shared" si="14"/>
        <v>5226</v>
      </c>
      <c r="J579" s="287">
        <f t="shared" si="15"/>
        <v>5226</v>
      </c>
      <c r="K579" s="288">
        <f t="shared" si="16"/>
        <v>4824</v>
      </c>
      <c r="L579" s="287">
        <f t="shared" si="17"/>
        <v>4623</v>
      </c>
      <c r="M579" s="288">
        <f t="shared" si="18"/>
        <v>4422</v>
      </c>
      <c r="N579" s="136"/>
      <c r="O579" s="34"/>
      <c r="P579" s="35"/>
      <c r="Q579" s="35"/>
      <c r="R579" s="35"/>
      <c r="S579" s="35"/>
      <c r="T579" s="35"/>
      <c r="U579" s="35"/>
      <c r="V579" s="35"/>
      <c r="W579" s="35"/>
      <c r="X579" s="35"/>
      <c r="Y579" s="35"/>
      <c r="Z579" s="35"/>
    </row>
    <row r="580" ht="14.25" customHeight="1">
      <c r="A580" s="452"/>
      <c r="B580" s="368"/>
      <c r="C580" s="440" t="s">
        <v>2933</v>
      </c>
      <c r="D580" s="368"/>
      <c r="E580" s="136"/>
      <c r="F580" s="368"/>
      <c r="G580" s="363">
        <v>45866.0</v>
      </c>
      <c r="H580" s="285">
        <f t="shared" si="13"/>
        <v>0</v>
      </c>
      <c r="I580" s="286">
        <f t="shared" si="14"/>
        <v>0</v>
      </c>
      <c r="J580" s="287">
        <f t="shared" si="15"/>
        <v>0</v>
      </c>
      <c r="K580" s="288">
        <f t="shared" si="16"/>
        <v>0</v>
      </c>
      <c r="L580" s="287">
        <f t="shared" si="17"/>
        <v>0</v>
      </c>
      <c r="M580" s="288">
        <f t="shared" si="18"/>
        <v>0</v>
      </c>
      <c r="N580" s="136"/>
      <c r="O580" s="34"/>
      <c r="P580" s="35"/>
      <c r="Q580" s="35"/>
      <c r="R580" s="35"/>
      <c r="S580" s="35"/>
      <c r="T580" s="35"/>
      <c r="U580" s="35"/>
      <c r="V580" s="35"/>
      <c r="W580" s="35"/>
      <c r="X580" s="35"/>
      <c r="Y580" s="35"/>
      <c r="Z580" s="35"/>
    </row>
    <row r="581" ht="14.25" customHeight="1">
      <c r="A581" s="452"/>
      <c r="B581" s="441" t="s">
        <v>2934</v>
      </c>
      <c r="C581" s="440" t="s">
        <v>2935</v>
      </c>
      <c r="D581" s="448" t="s">
        <v>2936</v>
      </c>
      <c r="E581" s="136"/>
      <c r="F581" s="376">
        <v>3825.0</v>
      </c>
      <c r="G581" s="363">
        <v>45866.0</v>
      </c>
      <c r="H581" s="285">
        <f t="shared" si="13"/>
        <v>5737.5</v>
      </c>
      <c r="I581" s="286">
        <f t="shared" si="14"/>
        <v>4972.5</v>
      </c>
      <c r="J581" s="287">
        <f t="shared" si="15"/>
        <v>4972.5</v>
      </c>
      <c r="K581" s="288">
        <f t="shared" si="16"/>
        <v>4590</v>
      </c>
      <c r="L581" s="287">
        <f t="shared" si="17"/>
        <v>4398.75</v>
      </c>
      <c r="M581" s="288">
        <f t="shared" si="18"/>
        <v>4207.5</v>
      </c>
      <c r="N581" s="136"/>
      <c r="O581" s="34"/>
      <c r="P581" s="35"/>
      <c r="Q581" s="35"/>
      <c r="R581" s="35"/>
      <c r="S581" s="35"/>
      <c r="T581" s="35"/>
      <c r="U581" s="35"/>
      <c r="V581" s="35"/>
      <c r="W581" s="35"/>
      <c r="X581" s="35"/>
      <c r="Y581" s="35"/>
      <c r="Z581" s="35"/>
    </row>
    <row r="582" ht="14.25" customHeight="1">
      <c r="A582" s="452"/>
      <c r="B582" s="368"/>
      <c r="C582" s="440" t="s">
        <v>2937</v>
      </c>
      <c r="D582" s="368"/>
      <c r="E582" s="136"/>
      <c r="F582" s="368"/>
      <c r="G582" s="363">
        <v>45866.0</v>
      </c>
      <c r="H582" s="285">
        <f t="shared" si="13"/>
        <v>0</v>
      </c>
      <c r="I582" s="286">
        <f t="shared" si="14"/>
        <v>0</v>
      </c>
      <c r="J582" s="287">
        <f t="shared" si="15"/>
        <v>0</v>
      </c>
      <c r="K582" s="288">
        <f t="shared" si="16"/>
        <v>0</v>
      </c>
      <c r="L582" s="287">
        <f t="shared" si="17"/>
        <v>0</v>
      </c>
      <c r="M582" s="288">
        <f t="shared" si="18"/>
        <v>0</v>
      </c>
      <c r="N582" s="136"/>
      <c r="O582" s="34"/>
      <c r="P582" s="35"/>
      <c r="Q582" s="35"/>
      <c r="R582" s="35"/>
      <c r="S582" s="35"/>
      <c r="T582" s="35"/>
      <c r="U582" s="35"/>
      <c r="V582" s="35"/>
      <c r="W582" s="35"/>
      <c r="X582" s="35"/>
      <c r="Y582" s="35"/>
      <c r="Z582" s="35"/>
    </row>
    <row r="583" ht="14.25" customHeight="1">
      <c r="A583" s="452"/>
      <c r="B583" s="402" t="s">
        <v>2938</v>
      </c>
      <c r="C583" s="402" t="s">
        <v>2938</v>
      </c>
      <c r="D583" s="400" t="s">
        <v>2939</v>
      </c>
      <c r="F583" s="467">
        <v>6565.0</v>
      </c>
      <c r="G583" s="363">
        <v>45866.0</v>
      </c>
      <c r="H583" s="285">
        <f t="shared" si="13"/>
        <v>9847.5</v>
      </c>
      <c r="I583" s="286">
        <f t="shared" si="14"/>
        <v>8534.5</v>
      </c>
      <c r="J583" s="287">
        <f t="shared" si="15"/>
        <v>8534.5</v>
      </c>
      <c r="K583" s="288">
        <f t="shared" si="16"/>
        <v>7878</v>
      </c>
      <c r="L583" s="287">
        <f t="shared" si="17"/>
        <v>7549.75</v>
      </c>
      <c r="M583" s="288">
        <f t="shared" si="18"/>
        <v>7221.5</v>
      </c>
      <c r="N583" s="136"/>
      <c r="O583" s="34"/>
      <c r="P583" s="35"/>
      <c r="Q583" s="35"/>
      <c r="R583" s="35"/>
      <c r="S583" s="35"/>
      <c r="T583" s="35"/>
      <c r="U583" s="35"/>
      <c r="V583" s="35"/>
      <c r="W583" s="35"/>
      <c r="X583" s="35"/>
      <c r="Y583" s="35"/>
      <c r="Z583" s="35"/>
    </row>
    <row r="584" ht="14.25" customHeight="1">
      <c r="A584" s="452"/>
      <c r="B584" s="402" t="s">
        <v>2940</v>
      </c>
      <c r="C584" s="402" t="s">
        <v>2940</v>
      </c>
      <c r="D584" s="400" t="s">
        <v>2941</v>
      </c>
      <c r="F584" s="467">
        <v>7475.0</v>
      </c>
      <c r="G584" s="363">
        <v>45866.0</v>
      </c>
      <c r="H584" s="285">
        <f t="shared" si="13"/>
        <v>11212.5</v>
      </c>
      <c r="I584" s="286">
        <f t="shared" si="14"/>
        <v>9717.5</v>
      </c>
      <c r="J584" s="287">
        <f t="shared" si="15"/>
        <v>9717.5</v>
      </c>
      <c r="K584" s="288">
        <f t="shared" si="16"/>
        <v>8970</v>
      </c>
      <c r="L584" s="287">
        <f t="shared" si="17"/>
        <v>8596.25</v>
      </c>
      <c r="M584" s="288">
        <f t="shared" si="18"/>
        <v>8222.5</v>
      </c>
      <c r="N584" s="136"/>
      <c r="O584" s="34"/>
      <c r="P584" s="35"/>
      <c r="Q584" s="35"/>
      <c r="R584" s="35"/>
      <c r="S584" s="35"/>
      <c r="T584" s="35"/>
      <c r="U584" s="35"/>
      <c r="V584" s="35"/>
      <c r="W584" s="35"/>
      <c r="X584" s="35"/>
      <c r="Y584" s="35"/>
      <c r="Z584" s="35"/>
    </row>
    <row r="585" ht="14.25" customHeight="1">
      <c r="A585" s="452"/>
      <c r="B585" s="468" t="s">
        <v>2942</v>
      </c>
      <c r="C585" s="468" t="s">
        <v>2942</v>
      </c>
      <c r="D585" s="469" t="s">
        <v>2939</v>
      </c>
      <c r="F585" s="470">
        <v>6175.0</v>
      </c>
      <c r="G585" s="363">
        <v>45866.0</v>
      </c>
      <c r="H585" s="285">
        <f t="shared" si="13"/>
        <v>9262.5</v>
      </c>
      <c r="I585" s="286">
        <f t="shared" si="14"/>
        <v>8027.5</v>
      </c>
      <c r="J585" s="287">
        <f t="shared" si="15"/>
        <v>8027.5</v>
      </c>
      <c r="K585" s="288">
        <f t="shared" si="16"/>
        <v>7410</v>
      </c>
      <c r="L585" s="287">
        <f t="shared" si="17"/>
        <v>7101.25</v>
      </c>
      <c r="M585" s="288">
        <f t="shared" si="18"/>
        <v>6792.5</v>
      </c>
      <c r="N585" s="136"/>
      <c r="O585" s="34"/>
      <c r="P585" s="35"/>
      <c r="Q585" s="35"/>
      <c r="R585" s="35"/>
      <c r="S585" s="35"/>
      <c r="T585" s="35"/>
      <c r="U585" s="35"/>
      <c r="V585" s="35"/>
      <c r="W585" s="35"/>
      <c r="X585" s="35"/>
      <c r="Y585" s="35"/>
      <c r="Z585" s="35"/>
    </row>
    <row r="586" ht="14.25" customHeight="1">
      <c r="A586" s="452"/>
      <c r="B586" s="471" t="s">
        <v>2943</v>
      </c>
      <c r="C586" s="471" t="s">
        <v>2943</v>
      </c>
      <c r="D586" s="472" t="s">
        <v>2944</v>
      </c>
      <c r="F586" s="473">
        <v>6175.0</v>
      </c>
      <c r="G586" s="363">
        <v>45866.0</v>
      </c>
      <c r="H586" s="285">
        <f t="shared" si="13"/>
        <v>9262.5</v>
      </c>
      <c r="I586" s="286">
        <f t="shared" si="14"/>
        <v>8027.5</v>
      </c>
      <c r="J586" s="287">
        <f t="shared" si="15"/>
        <v>8027.5</v>
      </c>
      <c r="K586" s="288">
        <f t="shared" si="16"/>
        <v>7410</v>
      </c>
      <c r="L586" s="287">
        <f t="shared" si="17"/>
        <v>7101.25</v>
      </c>
      <c r="M586" s="288">
        <f t="shared" si="18"/>
        <v>6792.5</v>
      </c>
      <c r="N586" s="136"/>
      <c r="O586" s="34"/>
      <c r="P586" s="35"/>
      <c r="Q586" s="35"/>
      <c r="R586" s="35"/>
      <c r="S586" s="35"/>
      <c r="T586" s="35"/>
      <c r="U586" s="35"/>
      <c r="V586" s="35"/>
      <c r="W586" s="35"/>
      <c r="X586" s="35"/>
      <c r="Y586" s="35"/>
      <c r="Z586" s="35"/>
    </row>
    <row r="587" ht="14.25" customHeight="1">
      <c r="A587" s="452"/>
      <c r="B587" s="402" t="s">
        <v>2945</v>
      </c>
      <c r="C587" s="402" t="s">
        <v>2946</v>
      </c>
      <c r="D587" s="400" t="s">
        <v>2941</v>
      </c>
      <c r="F587" s="467">
        <v>6435.0</v>
      </c>
      <c r="G587" s="363">
        <v>45866.0</v>
      </c>
      <c r="H587" s="285">
        <f t="shared" si="13"/>
        <v>9652.5</v>
      </c>
      <c r="I587" s="286">
        <f t="shared" si="14"/>
        <v>8365.5</v>
      </c>
      <c r="J587" s="287">
        <f t="shared" si="15"/>
        <v>8365.5</v>
      </c>
      <c r="K587" s="288">
        <f t="shared" si="16"/>
        <v>7722</v>
      </c>
      <c r="L587" s="287">
        <f t="shared" si="17"/>
        <v>7400.25</v>
      </c>
      <c r="M587" s="288">
        <f t="shared" si="18"/>
        <v>7078.5</v>
      </c>
      <c r="N587" s="136"/>
      <c r="O587" s="34"/>
      <c r="P587" s="35"/>
      <c r="Q587" s="35"/>
      <c r="R587" s="35"/>
      <c r="S587" s="35"/>
      <c r="T587" s="35"/>
      <c r="U587" s="35"/>
      <c r="V587" s="35"/>
      <c r="W587" s="35"/>
      <c r="X587" s="35"/>
      <c r="Y587" s="35"/>
      <c r="Z587" s="35"/>
    </row>
    <row r="588" ht="14.25" customHeight="1">
      <c r="A588" s="452"/>
      <c r="B588" s="474" t="s">
        <v>2947</v>
      </c>
      <c r="C588" s="469" t="s">
        <v>2948</v>
      </c>
      <c r="D588" s="475" t="s">
        <v>2949</v>
      </c>
      <c r="F588" s="476">
        <v>2980.0</v>
      </c>
      <c r="G588" s="363">
        <v>45866.0</v>
      </c>
      <c r="H588" s="285">
        <f t="shared" si="13"/>
        <v>4470</v>
      </c>
      <c r="I588" s="286">
        <f t="shared" si="14"/>
        <v>3874</v>
      </c>
      <c r="J588" s="287">
        <f t="shared" si="15"/>
        <v>3874</v>
      </c>
      <c r="K588" s="288">
        <f t="shared" si="16"/>
        <v>3576</v>
      </c>
      <c r="L588" s="287">
        <f t="shared" si="17"/>
        <v>3427</v>
      </c>
      <c r="M588" s="288">
        <f t="shared" si="18"/>
        <v>3278</v>
      </c>
      <c r="N588" s="136"/>
      <c r="O588" s="34"/>
      <c r="P588" s="35"/>
      <c r="Q588" s="35"/>
      <c r="R588" s="35"/>
      <c r="S588" s="35"/>
      <c r="T588" s="35"/>
      <c r="U588" s="35"/>
      <c r="V588" s="35"/>
      <c r="W588" s="35"/>
      <c r="X588" s="35"/>
      <c r="Y588" s="35"/>
      <c r="Z588" s="35"/>
    </row>
    <row r="589" ht="14.25" customHeight="1">
      <c r="A589" s="452"/>
      <c r="B589" s="474" t="s">
        <v>2950</v>
      </c>
      <c r="C589" s="474" t="s">
        <v>2951</v>
      </c>
      <c r="D589" s="477" t="s">
        <v>2952</v>
      </c>
      <c r="F589" s="476">
        <v>3380.0</v>
      </c>
      <c r="G589" s="363">
        <v>45866.0</v>
      </c>
      <c r="H589" s="285">
        <f t="shared" si="13"/>
        <v>5070</v>
      </c>
      <c r="I589" s="286">
        <f t="shared" si="14"/>
        <v>4394</v>
      </c>
      <c r="J589" s="287">
        <f t="shared" si="15"/>
        <v>4394</v>
      </c>
      <c r="K589" s="288">
        <f t="shared" si="16"/>
        <v>4056</v>
      </c>
      <c r="L589" s="287">
        <f t="shared" si="17"/>
        <v>3887</v>
      </c>
      <c r="M589" s="288">
        <f t="shared" si="18"/>
        <v>3718</v>
      </c>
      <c r="N589" s="136"/>
      <c r="O589" s="34"/>
      <c r="P589" s="35"/>
      <c r="Q589" s="35"/>
      <c r="R589" s="35"/>
      <c r="S589" s="35"/>
      <c r="T589" s="35"/>
      <c r="U589" s="35"/>
      <c r="V589" s="35"/>
      <c r="W589" s="35"/>
      <c r="X589" s="35"/>
      <c r="Y589" s="35"/>
      <c r="Z589" s="35"/>
    </row>
    <row r="590" ht="14.25" customHeight="1">
      <c r="A590" s="452"/>
      <c r="B590" s="402" t="s">
        <v>2953</v>
      </c>
      <c r="C590" s="402" t="s">
        <v>2953</v>
      </c>
      <c r="D590" s="400" t="s">
        <v>2954</v>
      </c>
      <c r="F590" s="467">
        <v>7020.0</v>
      </c>
      <c r="G590" s="363">
        <v>45866.0</v>
      </c>
      <c r="H590" s="285">
        <f t="shared" si="13"/>
        <v>10530</v>
      </c>
      <c r="I590" s="286">
        <f t="shared" si="14"/>
        <v>9126</v>
      </c>
      <c r="J590" s="287">
        <f t="shared" si="15"/>
        <v>9126</v>
      </c>
      <c r="K590" s="288">
        <f t="shared" si="16"/>
        <v>8424</v>
      </c>
      <c r="L590" s="287">
        <f t="shared" si="17"/>
        <v>8073</v>
      </c>
      <c r="M590" s="288">
        <f t="shared" si="18"/>
        <v>7722</v>
      </c>
      <c r="N590" s="136"/>
      <c r="O590" s="34"/>
      <c r="P590" s="35"/>
      <c r="Q590" s="35"/>
      <c r="R590" s="35"/>
      <c r="S590" s="35"/>
      <c r="T590" s="35"/>
      <c r="U590" s="35"/>
      <c r="V590" s="35"/>
      <c r="W590" s="35"/>
      <c r="X590" s="35"/>
      <c r="Y590" s="35"/>
      <c r="Z590" s="35"/>
    </row>
    <row r="591" ht="14.25" customHeight="1">
      <c r="A591" s="452"/>
      <c r="B591" s="402" t="s">
        <v>2955</v>
      </c>
      <c r="C591" s="402" t="s">
        <v>2955</v>
      </c>
      <c r="D591" s="400" t="s">
        <v>2956</v>
      </c>
      <c r="F591" s="467">
        <v>7345.0</v>
      </c>
      <c r="G591" s="363">
        <v>45866.0</v>
      </c>
      <c r="H591" s="285">
        <f t="shared" si="13"/>
        <v>11017.5</v>
      </c>
      <c r="I591" s="286">
        <f t="shared" si="14"/>
        <v>9548.5</v>
      </c>
      <c r="J591" s="287">
        <f t="shared" si="15"/>
        <v>9548.5</v>
      </c>
      <c r="K591" s="288">
        <f t="shared" si="16"/>
        <v>8814</v>
      </c>
      <c r="L591" s="287">
        <f t="shared" si="17"/>
        <v>8446.75</v>
      </c>
      <c r="M591" s="288">
        <f t="shared" si="18"/>
        <v>8079.5</v>
      </c>
      <c r="N591" s="136"/>
      <c r="O591" s="34"/>
      <c r="P591" s="35"/>
      <c r="Q591" s="35"/>
      <c r="R591" s="35"/>
      <c r="S591" s="35"/>
      <c r="T591" s="35"/>
      <c r="U591" s="35"/>
      <c r="V591" s="35"/>
      <c r="W591" s="35"/>
      <c r="X591" s="35"/>
      <c r="Y591" s="35"/>
      <c r="Z591" s="35"/>
    </row>
    <row r="592" ht="14.25" customHeight="1">
      <c r="A592" s="452"/>
      <c r="B592" s="402" t="s">
        <v>2957</v>
      </c>
      <c r="C592" s="402" t="s">
        <v>2957</v>
      </c>
      <c r="D592" s="400" t="s">
        <v>2958</v>
      </c>
      <c r="F592" s="467">
        <v>6075.0</v>
      </c>
      <c r="G592" s="363">
        <v>45866.0</v>
      </c>
      <c r="H592" s="285">
        <f t="shared" si="13"/>
        <v>9112.5</v>
      </c>
      <c r="I592" s="286">
        <f t="shared" si="14"/>
        <v>7897.5</v>
      </c>
      <c r="J592" s="287">
        <f t="shared" si="15"/>
        <v>7897.5</v>
      </c>
      <c r="K592" s="288">
        <f t="shared" si="16"/>
        <v>7290</v>
      </c>
      <c r="L592" s="287">
        <f t="shared" si="17"/>
        <v>6986.25</v>
      </c>
      <c r="M592" s="288">
        <f t="shared" si="18"/>
        <v>6682.5</v>
      </c>
      <c r="N592" s="136"/>
      <c r="O592" s="34"/>
      <c r="P592" s="35"/>
      <c r="Q592" s="35"/>
      <c r="R592" s="35"/>
      <c r="S592" s="35"/>
      <c r="T592" s="35"/>
      <c r="U592" s="35"/>
      <c r="V592" s="35"/>
      <c r="W592" s="35"/>
      <c r="X592" s="35"/>
      <c r="Y592" s="35"/>
      <c r="Z592" s="35"/>
    </row>
    <row r="593" ht="14.25" customHeight="1">
      <c r="A593" s="452"/>
      <c r="B593" s="402" t="s">
        <v>2959</v>
      </c>
      <c r="C593" s="402" t="s">
        <v>2959</v>
      </c>
      <c r="D593" s="400" t="s">
        <v>2958</v>
      </c>
      <c r="F593" s="467">
        <v>6413.0</v>
      </c>
      <c r="G593" s="363">
        <v>45866.0</v>
      </c>
      <c r="H593" s="285">
        <f t="shared" si="13"/>
        <v>9619.5</v>
      </c>
      <c r="I593" s="286">
        <f t="shared" si="14"/>
        <v>8336.9</v>
      </c>
      <c r="J593" s="287">
        <f t="shared" si="15"/>
        <v>8336.9</v>
      </c>
      <c r="K593" s="288">
        <f t="shared" si="16"/>
        <v>7695.6</v>
      </c>
      <c r="L593" s="287">
        <f t="shared" si="17"/>
        <v>7374.95</v>
      </c>
      <c r="M593" s="288">
        <f t="shared" si="18"/>
        <v>7054.3</v>
      </c>
      <c r="N593" s="136"/>
      <c r="O593" s="34"/>
      <c r="P593" s="35"/>
      <c r="Q593" s="35"/>
      <c r="R593" s="35"/>
      <c r="S593" s="35"/>
      <c r="T593" s="35"/>
      <c r="U593" s="35"/>
      <c r="V593" s="35"/>
      <c r="W593" s="35"/>
      <c r="X593" s="35"/>
      <c r="Y593" s="35"/>
      <c r="Z593" s="35"/>
    </row>
    <row r="594" ht="14.25" customHeight="1">
      <c r="A594" s="452"/>
      <c r="B594" s="478" t="s">
        <v>2960</v>
      </c>
      <c r="C594" s="478" t="s">
        <v>2960</v>
      </c>
      <c r="D594" s="479" t="s">
        <v>2958</v>
      </c>
      <c r="F594" s="480">
        <v>5720.0</v>
      </c>
      <c r="G594" s="363">
        <v>45866.0</v>
      </c>
      <c r="H594" s="285">
        <f t="shared" si="13"/>
        <v>8580</v>
      </c>
      <c r="I594" s="286">
        <f t="shared" si="14"/>
        <v>7436</v>
      </c>
      <c r="J594" s="287">
        <f t="shared" si="15"/>
        <v>7436</v>
      </c>
      <c r="K594" s="288">
        <f t="shared" si="16"/>
        <v>6864</v>
      </c>
      <c r="L594" s="287">
        <f t="shared" si="17"/>
        <v>6578</v>
      </c>
      <c r="M594" s="288">
        <f t="shared" si="18"/>
        <v>6292</v>
      </c>
      <c r="N594" s="136"/>
      <c r="O594" s="34"/>
      <c r="P594" s="35"/>
      <c r="Q594" s="35"/>
      <c r="R594" s="35"/>
      <c r="S594" s="35"/>
      <c r="T594" s="35"/>
      <c r="U594" s="35"/>
      <c r="V594" s="35"/>
      <c r="W594" s="35"/>
      <c r="X594" s="35"/>
      <c r="Y594" s="35"/>
      <c r="Z594" s="35"/>
    </row>
    <row r="595" ht="14.25" customHeight="1">
      <c r="A595" s="452"/>
      <c r="B595" s="402" t="s">
        <v>2961</v>
      </c>
      <c r="C595" s="402" t="s">
        <v>2961</v>
      </c>
      <c r="D595" s="400" t="s">
        <v>2962</v>
      </c>
      <c r="F595" s="467">
        <v>5738.0</v>
      </c>
      <c r="G595" s="363">
        <v>45866.0</v>
      </c>
      <c r="H595" s="285">
        <f t="shared" si="13"/>
        <v>8607</v>
      </c>
      <c r="I595" s="286">
        <f t="shared" si="14"/>
        <v>7459.4</v>
      </c>
      <c r="J595" s="287">
        <f t="shared" si="15"/>
        <v>7459.4</v>
      </c>
      <c r="K595" s="288">
        <f t="shared" si="16"/>
        <v>6885.6</v>
      </c>
      <c r="L595" s="287">
        <f t="shared" si="17"/>
        <v>6598.7</v>
      </c>
      <c r="M595" s="288">
        <f t="shared" si="18"/>
        <v>6311.8</v>
      </c>
      <c r="N595" s="136"/>
      <c r="O595" s="34"/>
      <c r="P595" s="35"/>
      <c r="Q595" s="35"/>
      <c r="R595" s="35"/>
      <c r="S595" s="35"/>
      <c r="T595" s="35"/>
      <c r="U595" s="35"/>
      <c r="V595" s="35"/>
      <c r="W595" s="35"/>
      <c r="X595" s="35"/>
      <c r="Y595" s="35"/>
      <c r="Z595" s="35"/>
    </row>
    <row r="596" ht="14.25" customHeight="1">
      <c r="A596" s="452"/>
      <c r="B596" s="400" t="s">
        <v>2963</v>
      </c>
      <c r="C596" s="481" t="s">
        <v>2964</v>
      </c>
      <c r="D596" s="400" t="s">
        <v>2965</v>
      </c>
      <c r="F596" s="482">
        <v>4980.0</v>
      </c>
      <c r="G596" s="363">
        <v>45866.0</v>
      </c>
      <c r="H596" s="285">
        <f t="shared" si="13"/>
        <v>7470</v>
      </c>
      <c r="I596" s="286">
        <f t="shared" si="14"/>
        <v>6474</v>
      </c>
      <c r="J596" s="287">
        <f t="shared" si="15"/>
        <v>6474</v>
      </c>
      <c r="K596" s="288">
        <f t="shared" si="16"/>
        <v>5976</v>
      </c>
      <c r="L596" s="287">
        <f t="shared" si="17"/>
        <v>5727</v>
      </c>
      <c r="M596" s="288">
        <f t="shared" si="18"/>
        <v>5478</v>
      </c>
      <c r="N596" s="136"/>
      <c r="O596" s="34"/>
      <c r="P596" s="35"/>
      <c r="Q596" s="35"/>
      <c r="R596" s="35"/>
      <c r="S596" s="35"/>
      <c r="T596" s="35"/>
      <c r="U596" s="35"/>
      <c r="V596" s="35"/>
      <c r="W596" s="35"/>
      <c r="X596" s="35"/>
      <c r="Y596" s="35"/>
      <c r="Z596" s="35"/>
    </row>
    <row r="597" ht="14.25" customHeight="1">
      <c r="A597" s="452"/>
      <c r="B597" s="402" t="s">
        <v>2966</v>
      </c>
      <c r="C597" s="402" t="s">
        <v>2967</v>
      </c>
      <c r="D597" s="400" t="s">
        <v>2968</v>
      </c>
      <c r="F597" s="467">
        <v>5525.0</v>
      </c>
      <c r="G597" s="363">
        <v>45866.0</v>
      </c>
      <c r="H597" s="285">
        <f t="shared" si="13"/>
        <v>8287.5</v>
      </c>
      <c r="I597" s="286">
        <f t="shared" si="14"/>
        <v>7182.5</v>
      </c>
      <c r="J597" s="287">
        <f t="shared" si="15"/>
        <v>7182.5</v>
      </c>
      <c r="K597" s="288">
        <f t="shared" si="16"/>
        <v>6630</v>
      </c>
      <c r="L597" s="287">
        <f t="shared" si="17"/>
        <v>6353.75</v>
      </c>
      <c r="M597" s="288">
        <f t="shared" si="18"/>
        <v>6077.5</v>
      </c>
      <c r="N597" s="136"/>
      <c r="O597" s="34"/>
      <c r="P597" s="35"/>
      <c r="Q597" s="35"/>
      <c r="R597" s="35"/>
      <c r="S597" s="35"/>
      <c r="T597" s="35"/>
      <c r="U597" s="35"/>
      <c r="V597" s="35"/>
      <c r="W597" s="35"/>
      <c r="X597" s="35"/>
      <c r="Y597" s="35"/>
      <c r="Z597" s="35"/>
    </row>
    <row r="598" ht="14.25" customHeight="1">
      <c r="A598" s="452"/>
      <c r="B598" s="400" t="s">
        <v>2969</v>
      </c>
      <c r="C598" s="481" t="s">
        <v>2970</v>
      </c>
      <c r="D598" s="400" t="s">
        <v>2965</v>
      </c>
      <c r="F598" s="482">
        <v>5450.0</v>
      </c>
      <c r="G598" s="363">
        <v>45866.0</v>
      </c>
      <c r="H598" s="285">
        <f t="shared" si="13"/>
        <v>8175</v>
      </c>
      <c r="I598" s="286">
        <f t="shared" si="14"/>
        <v>7085</v>
      </c>
      <c r="J598" s="287">
        <f t="shared" si="15"/>
        <v>7085</v>
      </c>
      <c r="K598" s="288">
        <f t="shared" si="16"/>
        <v>6540</v>
      </c>
      <c r="L598" s="287">
        <f t="shared" si="17"/>
        <v>6267.5</v>
      </c>
      <c r="M598" s="288">
        <f t="shared" si="18"/>
        <v>5995</v>
      </c>
      <c r="N598" s="136"/>
      <c r="O598" s="34"/>
      <c r="P598" s="35"/>
      <c r="Q598" s="35"/>
      <c r="R598" s="35"/>
      <c r="S598" s="35"/>
      <c r="T598" s="35"/>
      <c r="U598" s="35"/>
      <c r="V598" s="35"/>
      <c r="W598" s="35"/>
      <c r="X598" s="35"/>
      <c r="Y598" s="35"/>
      <c r="Z598" s="35"/>
    </row>
    <row r="599" ht="14.25" customHeight="1">
      <c r="A599" s="452"/>
      <c r="B599" s="402" t="s">
        <v>2971</v>
      </c>
      <c r="C599" s="402" t="s">
        <v>2972</v>
      </c>
      <c r="D599" s="400" t="s">
        <v>2973</v>
      </c>
      <c r="F599" s="467">
        <v>10465.0</v>
      </c>
      <c r="G599" s="363">
        <v>45866.0</v>
      </c>
      <c r="H599" s="285">
        <f t="shared" si="13"/>
        <v>15697.5</v>
      </c>
      <c r="I599" s="286">
        <f t="shared" si="14"/>
        <v>13604.5</v>
      </c>
      <c r="J599" s="287">
        <f t="shared" si="15"/>
        <v>13604.5</v>
      </c>
      <c r="K599" s="288">
        <f t="shared" si="16"/>
        <v>12558</v>
      </c>
      <c r="L599" s="287">
        <f t="shared" si="17"/>
        <v>12034.75</v>
      </c>
      <c r="M599" s="288">
        <f t="shared" si="18"/>
        <v>11511.5</v>
      </c>
      <c r="N599" s="136"/>
      <c r="O599" s="34"/>
      <c r="P599" s="35"/>
      <c r="Q599" s="35"/>
      <c r="R599" s="35"/>
      <c r="S599" s="35"/>
      <c r="T599" s="35"/>
      <c r="U599" s="35"/>
      <c r="V599" s="35"/>
      <c r="W599" s="35"/>
      <c r="X599" s="35"/>
      <c r="Y599" s="35"/>
      <c r="Z599" s="35"/>
    </row>
    <row r="600" ht="14.25" hidden="1" customHeight="1">
      <c r="A600" s="452"/>
      <c r="B600" s="402" t="s">
        <v>2974</v>
      </c>
      <c r="C600" s="402" t="s">
        <v>2975</v>
      </c>
      <c r="D600" s="400" t="s">
        <v>2976</v>
      </c>
      <c r="F600" s="467">
        <v>10465.0</v>
      </c>
      <c r="G600" s="363">
        <v>45866.0</v>
      </c>
      <c r="H600" s="285">
        <f t="shared" si="13"/>
        <v>15697.5</v>
      </c>
      <c r="I600" s="286">
        <f t="shared" si="14"/>
        <v>13604.5</v>
      </c>
      <c r="J600" s="287">
        <f t="shared" si="15"/>
        <v>13604.5</v>
      </c>
      <c r="K600" s="288">
        <f t="shared" si="16"/>
        <v>12558</v>
      </c>
      <c r="L600" s="287">
        <f t="shared" si="17"/>
        <v>12034.75</v>
      </c>
      <c r="M600" s="288">
        <f t="shared" si="18"/>
        <v>11511.5</v>
      </c>
      <c r="N600" s="136"/>
      <c r="O600" s="34"/>
      <c r="P600" s="35"/>
      <c r="Q600" s="35"/>
      <c r="R600" s="35"/>
      <c r="S600" s="35"/>
      <c r="T600" s="35"/>
      <c r="U600" s="35"/>
      <c r="V600" s="35"/>
      <c r="W600" s="35"/>
      <c r="X600" s="35"/>
      <c r="Y600" s="35"/>
      <c r="Z600" s="35"/>
    </row>
    <row r="601" ht="14.25" hidden="1" customHeight="1">
      <c r="A601" s="452"/>
      <c r="B601" s="402" t="s">
        <v>2977</v>
      </c>
      <c r="C601" s="402" t="s">
        <v>2977</v>
      </c>
      <c r="D601" s="483" t="s">
        <v>2978</v>
      </c>
      <c r="F601" s="467">
        <v>15080.0</v>
      </c>
      <c r="G601" s="363">
        <v>45866.0</v>
      </c>
      <c r="H601" s="285">
        <f t="shared" si="13"/>
        <v>22620</v>
      </c>
      <c r="I601" s="286">
        <f t="shared" si="14"/>
        <v>19604</v>
      </c>
      <c r="J601" s="287">
        <f t="shared" si="15"/>
        <v>19604</v>
      </c>
      <c r="K601" s="288">
        <f t="shared" si="16"/>
        <v>18096</v>
      </c>
      <c r="L601" s="287">
        <f t="shared" si="17"/>
        <v>17342</v>
      </c>
      <c r="M601" s="288">
        <f t="shared" si="18"/>
        <v>16588</v>
      </c>
      <c r="N601" s="136"/>
      <c r="O601" s="34"/>
      <c r="P601" s="35"/>
      <c r="Q601" s="35"/>
      <c r="R601" s="35"/>
      <c r="S601" s="35"/>
      <c r="T601" s="35"/>
      <c r="U601" s="35"/>
      <c r="V601" s="35"/>
      <c r="W601" s="35"/>
      <c r="X601" s="35"/>
      <c r="Y601" s="35"/>
      <c r="Z601" s="35"/>
    </row>
    <row r="602" ht="14.25" hidden="1" customHeight="1">
      <c r="A602" s="452"/>
      <c r="B602" s="402" t="s">
        <v>2979</v>
      </c>
      <c r="C602" s="402" t="s">
        <v>2979</v>
      </c>
      <c r="D602" s="400" t="s">
        <v>2980</v>
      </c>
      <c r="F602" s="467">
        <v>12740.0</v>
      </c>
      <c r="G602" s="363">
        <v>45866.0</v>
      </c>
      <c r="H602" s="285">
        <f t="shared" si="13"/>
        <v>19110</v>
      </c>
      <c r="I602" s="286">
        <f t="shared" si="14"/>
        <v>16562</v>
      </c>
      <c r="J602" s="287">
        <f t="shared" si="15"/>
        <v>16562</v>
      </c>
      <c r="K602" s="288">
        <f t="shared" si="16"/>
        <v>15288</v>
      </c>
      <c r="L602" s="287">
        <f t="shared" si="17"/>
        <v>14651</v>
      </c>
      <c r="M602" s="288">
        <f t="shared" si="18"/>
        <v>14014</v>
      </c>
      <c r="N602" s="136"/>
      <c r="O602" s="34"/>
      <c r="P602" s="35"/>
      <c r="Q602" s="35"/>
      <c r="R602" s="35"/>
      <c r="S602" s="35"/>
      <c r="T602" s="35"/>
      <c r="U602" s="35"/>
      <c r="V602" s="35"/>
      <c r="W602" s="35"/>
      <c r="X602" s="35"/>
      <c r="Y602" s="35"/>
      <c r="Z602" s="35"/>
    </row>
    <row r="603" ht="14.25" hidden="1" customHeight="1">
      <c r="A603" s="452"/>
      <c r="B603" s="402" t="s">
        <v>2981</v>
      </c>
      <c r="C603" s="402" t="s">
        <v>2981</v>
      </c>
      <c r="D603" s="400" t="s">
        <v>2982</v>
      </c>
      <c r="F603" s="467">
        <v>25350.0</v>
      </c>
      <c r="G603" s="363">
        <v>45866.0</v>
      </c>
      <c r="H603" s="285">
        <f t="shared" si="13"/>
        <v>38025</v>
      </c>
      <c r="I603" s="286">
        <f t="shared" si="14"/>
        <v>32955</v>
      </c>
      <c r="J603" s="287">
        <f t="shared" si="15"/>
        <v>32955</v>
      </c>
      <c r="K603" s="288">
        <f t="shared" si="16"/>
        <v>30420</v>
      </c>
      <c r="L603" s="287">
        <f t="shared" si="17"/>
        <v>29152.5</v>
      </c>
      <c r="M603" s="288">
        <f t="shared" si="18"/>
        <v>27885</v>
      </c>
      <c r="N603" s="136"/>
      <c r="O603" s="34"/>
      <c r="P603" s="35"/>
      <c r="Q603" s="35"/>
      <c r="R603" s="35"/>
      <c r="S603" s="35"/>
      <c r="T603" s="35"/>
      <c r="U603" s="35"/>
      <c r="V603" s="35"/>
      <c r="W603" s="35"/>
      <c r="X603" s="35"/>
      <c r="Y603" s="35"/>
      <c r="Z603" s="35"/>
    </row>
    <row r="604" ht="14.25" customHeight="1">
      <c r="A604" s="452"/>
      <c r="B604" s="402" t="s">
        <v>2983</v>
      </c>
      <c r="C604" s="402" t="s">
        <v>2983</v>
      </c>
      <c r="D604" s="400" t="s">
        <v>2982</v>
      </c>
      <c r="F604" s="467">
        <v>22275.0</v>
      </c>
      <c r="G604" s="363">
        <v>45866.0</v>
      </c>
      <c r="H604" s="285">
        <f t="shared" si="13"/>
        <v>33412.5</v>
      </c>
      <c r="I604" s="286">
        <f t="shared" si="14"/>
        <v>28957.5</v>
      </c>
      <c r="J604" s="287">
        <f t="shared" si="15"/>
        <v>28957.5</v>
      </c>
      <c r="K604" s="288">
        <f t="shared" si="16"/>
        <v>26730</v>
      </c>
      <c r="L604" s="287">
        <f t="shared" si="17"/>
        <v>25616.25</v>
      </c>
      <c r="M604" s="288">
        <f t="shared" si="18"/>
        <v>24502.5</v>
      </c>
      <c r="N604" s="136"/>
      <c r="O604" s="34"/>
      <c r="P604" s="35"/>
      <c r="Q604" s="35"/>
      <c r="R604" s="35"/>
      <c r="S604" s="35"/>
      <c r="T604" s="35"/>
      <c r="U604" s="35"/>
      <c r="V604" s="35"/>
      <c r="W604" s="35"/>
      <c r="X604" s="35"/>
      <c r="Y604" s="35"/>
      <c r="Z604" s="35"/>
    </row>
    <row r="605" ht="14.25" customHeight="1">
      <c r="A605" s="452"/>
      <c r="B605" s="478" t="s">
        <v>2984</v>
      </c>
      <c r="C605" s="402" t="s">
        <v>2984</v>
      </c>
      <c r="D605" s="400" t="s">
        <v>2982</v>
      </c>
      <c r="F605" s="467">
        <v>18200.0</v>
      </c>
      <c r="G605" s="363">
        <v>45866.0</v>
      </c>
      <c r="H605" s="285">
        <f t="shared" si="13"/>
        <v>27300</v>
      </c>
      <c r="I605" s="286">
        <f t="shared" si="14"/>
        <v>23660</v>
      </c>
      <c r="J605" s="287">
        <f t="shared" si="15"/>
        <v>23660</v>
      </c>
      <c r="K605" s="288">
        <f t="shared" si="16"/>
        <v>21840</v>
      </c>
      <c r="L605" s="287">
        <f t="shared" si="17"/>
        <v>20930</v>
      </c>
      <c r="M605" s="288">
        <f t="shared" si="18"/>
        <v>20020</v>
      </c>
      <c r="N605" s="136"/>
      <c r="O605" s="34"/>
      <c r="P605" s="35"/>
      <c r="Q605" s="35"/>
      <c r="R605" s="35"/>
      <c r="S605" s="35"/>
      <c r="T605" s="35"/>
      <c r="U605" s="35"/>
      <c r="V605" s="35"/>
      <c r="W605" s="35"/>
      <c r="X605" s="35"/>
      <c r="Y605" s="35"/>
      <c r="Z605" s="35"/>
    </row>
    <row r="606" ht="14.25" customHeight="1">
      <c r="A606" s="452"/>
      <c r="B606" s="402" t="s">
        <v>2985</v>
      </c>
      <c r="C606" s="402" t="s">
        <v>2985</v>
      </c>
      <c r="D606" s="400" t="s">
        <v>2986</v>
      </c>
      <c r="F606" s="467">
        <v>13780.0</v>
      </c>
      <c r="G606" s="363">
        <v>45866.0</v>
      </c>
      <c r="H606" s="285">
        <f t="shared" si="13"/>
        <v>20670</v>
      </c>
      <c r="I606" s="286">
        <f t="shared" si="14"/>
        <v>17914</v>
      </c>
      <c r="J606" s="287">
        <f t="shared" si="15"/>
        <v>17914</v>
      </c>
      <c r="K606" s="288">
        <f t="shared" si="16"/>
        <v>16536</v>
      </c>
      <c r="L606" s="287">
        <f t="shared" si="17"/>
        <v>15847</v>
      </c>
      <c r="M606" s="288">
        <f t="shared" si="18"/>
        <v>15158</v>
      </c>
      <c r="N606" s="136"/>
      <c r="O606" s="34"/>
      <c r="P606" s="35"/>
      <c r="Q606" s="35"/>
      <c r="R606" s="35"/>
      <c r="S606" s="35"/>
      <c r="T606" s="35"/>
      <c r="U606" s="35"/>
      <c r="V606" s="35"/>
      <c r="W606" s="35"/>
      <c r="X606" s="35"/>
      <c r="Y606" s="35"/>
      <c r="Z606" s="35"/>
    </row>
    <row r="607" ht="14.25" customHeight="1">
      <c r="A607" s="452"/>
      <c r="B607" s="402" t="s">
        <v>2987</v>
      </c>
      <c r="C607" s="402" t="s">
        <v>2987</v>
      </c>
      <c r="D607" s="400" t="s">
        <v>2988</v>
      </c>
      <c r="F607" s="467">
        <v>13780.0</v>
      </c>
      <c r="G607" s="363">
        <v>45866.0</v>
      </c>
      <c r="H607" s="285">
        <f t="shared" si="13"/>
        <v>20670</v>
      </c>
      <c r="I607" s="286">
        <f t="shared" si="14"/>
        <v>17914</v>
      </c>
      <c r="J607" s="287">
        <f t="shared" si="15"/>
        <v>17914</v>
      </c>
      <c r="K607" s="288">
        <f t="shared" si="16"/>
        <v>16536</v>
      </c>
      <c r="L607" s="287">
        <f t="shared" si="17"/>
        <v>15847</v>
      </c>
      <c r="M607" s="288">
        <f t="shared" si="18"/>
        <v>15158</v>
      </c>
      <c r="N607" s="136"/>
      <c r="O607" s="34"/>
      <c r="P607" s="35"/>
      <c r="Q607" s="35"/>
      <c r="R607" s="35"/>
      <c r="S607" s="35"/>
      <c r="T607" s="35"/>
      <c r="U607" s="35"/>
      <c r="V607" s="35"/>
      <c r="W607" s="35"/>
      <c r="X607" s="35"/>
      <c r="Y607" s="35"/>
      <c r="Z607" s="35"/>
    </row>
    <row r="608" ht="14.25" customHeight="1">
      <c r="A608" s="452"/>
      <c r="B608" s="484"/>
      <c r="C608" s="484"/>
      <c r="D608" s="484"/>
      <c r="F608" s="485"/>
      <c r="G608" s="140"/>
      <c r="H608" s="285">
        <f t="shared" si="13"/>
        <v>0</v>
      </c>
      <c r="I608" s="286">
        <f t="shared" si="14"/>
        <v>0</v>
      </c>
      <c r="J608" s="287">
        <f t="shared" si="15"/>
        <v>0</v>
      </c>
      <c r="K608" s="288">
        <f t="shared" si="16"/>
        <v>0</v>
      </c>
      <c r="L608" s="287">
        <f t="shared" si="17"/>
        <v>0</v>
      </c>
      <c r="M608" s="288">
        <f t="shared" si="18"/>
        <v>0</v>
      </c>
      <c r="N608" s="136"/>
      <c r="O608" s="34"/>
      <c r="P608" s="35"/>
      <c r="Q608" s="35"/>
      <c r="R608" s="35"/>
      <c r="S608" s="35"/>
      <c r="T608" s="35"/>
      <c r="U608" s="35"/>
      <c r="V608" s="35"/>
      <c r="W608" s="35"/>
      <c r="X608" s="35"/>
      <c r="Y608" s="35"/>
      <c r="Z608" s="35"/>
    </row>
    <row r="609" ht="14.25" customHeight="1">
      <c r="A609" s="452"/>
      <c r="F609" s="485"/>
      <c r="G609" s="140"/>
      <c r="H609" s="285">
        <f t="shared" si="13"/>
        <v>0</v>
      </c>
      <c r="I609" s="286">
        <f t="shared" si="14"/>
        <v>0</v>
      </c>
      <c r="J609" s="287">
        <f t="shared" si="15"/>
        <v>0</v>
      </c>
      <c r="K609" s="288">
        <f t="shared" si="16"/>
        <v>0</v>
      </c>
      <c r="L609" s="287">
        <f t="shared" si="17"/>
        <v>0</v>
      </c>
      <c r="M609" s="288">
        <f t="shared" si="18"/>
        <v>0</v>
      </c>
      <c r="N609" s="136"/>
      <c r="O609" s="34"/>
      <c r="P609" s="35"/>
      <c r="Q609" s="35"/>
      <c r="R609" s="35"/>
      <c r="S609" s="35"/>
      <c r="T609" s="35"/>
      <c r="U609" s="35"/>
      <c r="V609" s="35"/>
      <c r="W609" s="35"/>
      <c r="X609" s="35"/>
      <c r="Y609" s="35"/>
      <c r="Z609" s="35"/>
    </row>
    <row r="610" ht="14.25" customHeight="1">
      <c r="A610" s="452"/>
      <c r="F610" s="485"/>
      <c r="G610" s="140"/>
      <c r="H610" s="285">
        <f t="shared" si="13"/>
        <v>0</v>
      </c>
      <c r="I610" s="286">
        <f t="shared" si="14"/>
        <v>0</v>
      </c>
      <c r="J610" s="287">
        <f t="shared" si="15"/>
        <v>0</v>
      </c>
      <c r="K610" s="288">
        <f t="shared" si="16"/>
        <v>0</v>
      </c>
      <c r="L610" s="287">
        <f t="shared" si="17"/>
        <v>0</v>
      </c>
      <c r="M610" s="288">
        <f t="shared" si="18"/>
        <v>0</v>
      </c>
      <c r="N610" s="136"/>
      <c r="O610" s="34"/>
      <c r="P610" s="35"/>
      <c r="Q610" s="35"/>
      <c r="R610" s="35"/>
      <c r="S610" s="35"/>
      <c r="T610" s="35"/>
      <c r="U610" s="35"/>
      <c r="V610" s="35"/>
      <c r="W610" s="35"/>
      <c r="X610" s="35"/>
      <c r="Y610" s="35"/>
      <c r="Z610" s="35"/>
    </row>
    <row r="611" ht="14.25" customHeight="1">
      <c r="A611" s="452"/>
      <c r="F611" s="485"/>
      <c r="G611" s="140"/>
      <c r="H611" s="285">
        <f t="shared" si="13"/>
        <v>0</v>
      </c>
      <c r="I611" s="286">
        <f t="shared" si="14"/>
        <v>0</v>
      </c>
      <c r="J611" s="287">
        <f t="shared" si="15"/>
        <v>0</v>
      </c>
      <c r="K611" s="288">
        <f t="shared" si="16"/>
        <v>0</v>
      </c>
      <c r="L611" s="287">
        <f t="shared" si="17"/>
        <v>0</v>
      </c>
      <c r="M611" s="288">
        <f t="shared" si="18"/>
        <v>0</v>
      </c>
      <c r="N611" s="136"/>
      <c r="O611" s="34"/>
      <c r="P611" s="35"/>
      <c r="Q611" s="35"/>
      <c r="R611" s="35"/>
      <c r="S611" s="35"/>
      <c r="T611" s="35"/>
      <c r="U611" s="35"/>
      <c r="V611" s="35"/>
      <c r="W611" s="35"/>
      <c r="X611" s="35"/>
      <c r="Y611" s="35"/>
      <c r="Z611" s="35"/>
    </row>
    <row r="612" ht="14.25" customHeight="1">
      <c r="A612" s="452"/>
      <c r="F612" s="485"/>
      <c r="G612" s="140"/>
      <c r="H612" s="285">
        <f t="shared" si="13"/>
        <v>0</v>
      </c>
      <c r="I612" s="286">
        <f t="shared" si="14"/>
        <v>0</v>
      </c>
      <c r="J612" s="287">
        <f t="shared" si="15"/>
        <v>0</v>
      </c>
      <c r="K612" s="288">
        <f t="shared" si="16"/>
        <v>0</v>
      </c>
      <c r="L612" s="287">
        <f t="shared" si="17"/>
        <v>0</v>
      </c>
      <c r="M612" s="288">
        <f t="shared" si="18"/>
        <v>0</v>
      </c>
      <c r="N612" s="136"/>
      <c r="O612" s="34"/>
      <c r="P612" s="35"/>
      <c r="Q612" s="35"/>
      <c r="R612" s="35"/>
      <c r="S612" s="35"/>
      <c r="T612" s="35"/>
      <c r="U612" s="35"/>
      <c r="V612" s="35"/>
      <c r="W612" s="35"/>
      <c r="X612" s="35"/>
      <c r="Y612" s="35"/>
      <c r="Z612" s="35"/>
    </row>
    <row r="613" ht="14.25" customHeight="1">
      <c r="A613" s="452"/>
      <c r="F613" s="485"/>
      <c r="G613" s="140"/>
      <c r="H613" s="285">
        <f t="shared" si="13"/>
        <v>0</v>
      </c>
      <c r="I613" s="286">
        <f t="shared" si="14"/>
        <v>0</v>
      </c>
      <c r="J613" s="287">
        <f t="shared" si="15"/>
        <v>0</v>
      </c>
      <c r="K613" s="288">
        <f t="shared" si="16"/>
        <v>0</v>
      </c>
      <c r="L613" s="287">
        <f t="shared" si="17"/>
        <v>0</v>
      </c>
      <c r="M613" s="288">
        <f t="shared" si="18"/>
        <v>0</v>
      </c>
      <c r="N613" s="136"/>
      <c r="O613" s="34"/>
      <c r="P613" s="35"/>
      <c r="Q613" s="35"/>
      <c r="R613" s="35"/>
      <c r="S613" s="35"/>
      <c r="T613" s="35"/>
      <c r="U613" s="35"/>
      <c r="V613" s="35"/>
      <c r="W613" s="35"/>
      <c r="X613" s="35"/>
      <c r="Y613" s="35"/>
      <c r="Z613" s="35"/>
    </row>
    <row r="614" ht="14.25" customHeight="1">
      <c r="A614" s="452"/>
      <c r="F614" s="485"/>
      <c r="G614" s="140"/>
      <c r="H614" s="285">
        <f t="shared" si="13"/>
        <v>0</v>
      </c>
      <c r="I614" s="286">
        <f t="shared" si="14"/>
        <v>0</v>
      </c>
      <c r="J614" s="287">
        <f t="shared" si="15"/>
        <v>0</v>
      </c>
      <c r="K614" s="288">
        <f t="shared" si="16"/>
        <v>0</v>
      </c>
      <c r="L614" s="287">
        <f t="shared" si="17"/>
        <v>0</v>
      </c>
      <c r="M614" s="288">
        <f t="shared" si="18"/>
        <v>0</v>
      </c>
      <c r="N614" s="136"/>
      <c r="O614" s="34"/>
      <c r="P614" s="35"/>
      <c r="Q614" s="35"/>
      <c r="R614" s="35"/>
      <c r="S614" s="35"/>
      <c r="T614" s="35"/>
      <c r="U614" s="35"/>
      <c r="V614" s="35"/>
      <c r="W614" s="35"/>
      <c r="X614" s="35"/>
      <c r="Y614" s="35"/>
      <c r="Z614" s="35"/>
    </row>
    <row r="615" ht="14.25" customHeight="1">
      <c r="A615" s="452"/>
      <c r="F615" s="485"/>
      <c r="G615" s="140"/>
      <c r="H615" s="285">
        <f t="shared" si="13"/>
        <v>0</v>
      </c>
      <c r="I615" s="286">
        <f t="shared" si="14"/>
        <v>0</v>
      </c>
      <c r="J615" s="287">
        <f t="shared" si="15"/>
        <v>0</v>
      </c>
      <c r="K615" s="288">
        <f t="shared" si="16"/>
        <v>0</v>
      </c>
      <c r="L615" s="287">
        <f t="shared" si="17"/>
        <v>0</v>
      </c>
      <c r="M615" s="288">
        <f t="shared" si="18"/>
        <v>0</v>
      </c>
      <c r="N615" s="136"/>
      <c r="O615" s="34"/>
      <c r="P615" s="35"/>
      <c r="Q615" s="35"/>
      <c r="R615" s="35"/>
      <c r="S615" s="35"/>
      <c r="T615" s="35"/>
      <c r="U615" s="35"/>
      <c r="V615" s="35"/>
      <c r="W615" s="35"/>
      <c r="X615" s="35"/>
      <c r="Y615" s="35"/>
      <c r="Z615" s="35"/>
    </row>
    <row r="616" ht="14.25" customHeight="1">
      <c r="A616" s="452"/>
      <c r="F616" s="485"/>
      <c r="G616" s="140"/>
      <c r="H616" s="285">
        <f t="shared" si="13"/>
        <v>0</v>
      </c>
      <c r="I616" s="286">
        <f t="shared" si="14"/>
        <v>0</v>
      </c>
      <c r="J616" s="287">
        <f t="shared" si="15"/>
        <v>0</v>
      </c>
      <c r="K616" s="288">
        <f t="shared" si="16"/>
        <v>0</v>
      </c>
      <c r="L616" s="287">
        <f t="shared" si="17"/>
        <v>0</v>
      </c>
      <c r="M616" s="288">
        <f t="shared" si="18"/>
        <v>0</v>
      </c>
      <c r="N616" s="136"/>
      <c r="O616" s="34"/>
      <c r="P616" s="35"/>
      <c r="Q616" s="35"/>
      <c r="R616" s="35"/>
      <c r="S616" s="35"/>
      <c r="T616" s="35"/>
      <c r="U616" s="35"/>
      <c r="V616" s="35"/>
      <c r="W616" s="35"/>
      <c r="X616" s="35"/>
      <c r="Y616" s="35"/>
      <c r="Z616" s="35"/>
    </row>
    <row r="617" ht="14.25" customHeight="1">
      <c r="A617" s="452"/>
      <c r="F617" s="485"/>
      <c r="G617" s="140"/>
      <c r="H617" s="285">
        <f t="shared" si="13"/>
        <v>0</v>
      </c>
      <c r="I617" s="286">
        <f t="shared" si="14"/>
        <v>0</v>
      </c>
      <c r="J617" s="287">
        <f t="shared" si="15"/>
        <v>0</v>
      </c>
      <c r="K617" s="288">
        <f t="shared" si="16"/>
        <v>0</v>
      </c>
      <c r="L617" s="287">
        <f t="shared" si="17"/>
        <v>0</v>
      </c>
      <c r="M617" s="288">
        <f t="shared" si="18"/>
        <v>0</v>
      </c>
      <c r="N617" s="136"/>
      <c r="O617" s="34"/>
      <c r="P617" s="35"/>
      <c r="Q617" s="35"/>
      <c r="R617" s="35"/>
      <c r="S617" s="35"/>
      <c r="T617" s="35"/>
      <c r="U617" s="35"/>
      <c r="V617" s="35"/>
      <c r="W617" s="35"/>
      <c r="X617" s="35"/>
      <c r="Y617" s="35"/>
      <c r="Z617" s="35"/>
    </row>
    <row r="618" ht="14.25" hidden="1" customHeight="1">
      <c r="A618" s="452"/>
      <c r="F618" s="485"/>
      <c r="G618" s="140"/>
      <c r="H618" s="285">
        <f t="shared" si="13"/>
        <v>0</v>
      </c>
      <c r="I618" s="286">
        <f t="shared" si="14"/>
        <v>0</v>
      </c>
      <c r="J618" s="287">
        <f t="shared" si="15"/>
        <v>0</v>
      </c>
      <c r="K618" s="288">
        <f t="shared" si="16"/>
        <v>0</v>
      </c>
      <c r="L618" s="287">
        <f t="shared" si="17"/>
        <v>0</v>
      </c>
      <c r="M618" s="288">
        <f t="shared" si="18"/>
        <v>0</v>
      </c>
      <c r="N618" s="136"/>
      <c r="O618" s="34"/>
      <c r="P618" s="35"/>
      <c r="Q618" s="35"/>
      <c r="R618" s="35"/>
      <c r="S618" s="35"/>
      <c r="T618" s="35"/>
      <c r="U618" s="35"/>
      <c r="V618" s="35"/>
      <c r="W618" s="35"/>
      <c r="X618" s="35"/>
      <c r="Y618" s="35"/>
      <c r="Z618" s="35"/>
    </row>
    <row r="619" ht="14.25" hidden="1" customHeight="1">
      <c r="A619" s="452"/>
      <c r="F619" s="485"/>
      <c r="G619" s="140"/>
      <c r="H619" s="285">
        <f t="shared" si="13"/>
        <v>0</v>
      </c>
      <c r="I619" s="286">
        <f t="shared" si="14"/>
        <v>0</v>
      </c>
      <c r="J619" s="287">
        <f t="shared" si="15"/>
        <v>0</v>
      </c>
      <c r="K619" s="288">
        <f t="shared" si="16"/>
        <v>0</v>
      </c>
      <c r="L619" s="287">
        <f t="shared" si="17"/>
        <v>0</v>
      </c>
      <c r="M619" s="288">
        <f t="shared" si="18"/>
        <v>0</v>
      </c>
      <c r="N619" s="136"/>
      <c r="O619" s="34"/>
      <c r="P619" s="35"/>
      <c r="Q619" s="35"/>
      <c r="R619" s="35"/>
      <c r="S619" s="35"/>
      <c r="T619" s="35"/>
      <c r="U619" s="35"/>
      <c r="V619" s="35"/>
      <c r="W619" s="35"/>
      <c r="X619" s="35"/>
      <c r="Y619" s="35"/>
      <c r="Z619" s="35"/>
    </row>
    <row r="620" ht="14.25" hidden="1" customHeight="1">
      <c r="A620" s="452"/>
      <c r="F620" s="485"/>
      <c r="G620" s="140"/>
      <c r="H620" s="285">
        <f t="shared" si="13"/>
        <v>0</v>
      </c>
      <c r="I620" s="286">
        <f t="shared" si="14"/>
        <v>0</v>
      </c>
      <c r="J620" s="287">
        <f t="shared" si="15"/>
        <v>0</v>
      </c>
      <c r="K620" s="288">
        <f t="shared" si="16"/>
        <v>0</v>
      </c>
      <c r="L620" s="287">
        <f t="shared" si="17"/>
        <v>0</v>
      </c>
      <c r="M620" s="288">
        <f t="shared" si="18"/>
        <v>0</v>
      </c>
      <c r="N620" s="136"/>
      <c r="O620" s="34"/>
      <c r="P620" s="35"/>
      <c r="Q620" s="35"/>
      <c r="R620" s="35"/>
      <c r="S620" s="35"/>
      <c r="T620" s="35"/>
      <c r="U620" s="35"/>
      <c r="V620" s="35"/>
      <c r="W620" s="35"/>
      <c r="X620" s="35"/>
      <c r="Y620" s="35"/>
      <c r="Z620" s="35"/>
    </row>
    <row r="621" ht="14.25" hidden="1" customHeight="1">
      <c r="A621" s="452"/>
      <c r="F621" s="485"/>
      <c r="G621" s="140"/>
      <c r="H621" s="285">
        <f t="shared" si="13"/>
        <v>0</v>
      </c>
      <c r="I621" s="286">
        <f t="shared" si="14"/>
        <v>0</v>
      </c>
      <c r="J621" s="287">
        <f t="shared" si="15"/>
        <v>0</v>
      </c>
      <c r="K621" s="288">
        <f t="shared" si="16"/>
        <v>0</v>
      </c>
      <c r="L621" s="287">
        <f t="shared" si="17"/>
        <v>0</v>
      </c>
      <c r="M621" s="288">
        <f t="shared" si="18"/>
        <v>0</v>
      </c>
      <c r="N621" s="136"/>
      <c r="O621" s="34"/>
      <c r="P621" s="35"/>
      <c r="Q621" s="35"/>
      <c r="R621" s="35"/>
      <c r="S621" s="35"/>
      <c r="T621" s="35"/>
      <c r="U621" s="35"/>
      <c r="V621" s="35"/>
      <c r="W621" s="35"/>
      <c r="X621" s="35"/>
      <c r="Y621" s="35"/>
      <c r="Z621" s="35"/>
    </row>
    <row r="622" ht="14.25" hidden="1" customHeight="1">
      <c r="A622" s="452"/>
      <c r="F622" s="485"/>
      <c r="G622" s="140"/>
      <c r="H622" s="285">
        <f t="shared" si="13"/>
        <v>0</v>
      </c>
      <c r="I622" s="286">
        <f t="shared" si="14"/>
        <v>0</v>
      </c>
      <c r="J622" s="287">
        <f t="shared" si="15"/>
        <v>0</v>
      </c>
      <c r="K622" s="288">
        <f t="shared" si="16"/>
        <v>0</v>
      </c>
      <c r="L622" s="287">
        <f t="shared" si="17"/>
        <v>0</v>
      </c>
      <c r="M622" s="288">
        <f t="shared" si="18"/>
        <v>0</v>
      </c>
      <c r="N622" s="136"/>
      <c r="O622" s="34"/>
      <c r="P622" s="35"/>
      <c r="Q622" s="35"/>
      <c r="R622" s="35"/>
      <c r="S622" s="35"/>
      <c r="T622" s="35"/>
      <c r="U622" s="35"/>
      <c r="V622" s="35"/>
      <c r="W622" s="35"/>
      <c r="X622" s="35"/>
      <c r="Y622" s="35"/>
      <c r="Z622" s="35"/>
    </row>
    <row r="623" ht="14.25" customHeight="1">
      <c r="A623" s="452"/>
      <c r="F623" s="485"/>
      <c r="G623" s="140"/>
      <c r="H623" s="285">
        <f t="shared" si="13"/>
        <v>0</v>
      </c>
      <c r="I623" s="286">
        <f t="shared" si="14"/>
        <v>0</v>
      </c>
      <c r="J623" s="287">
        <f t="shared" si="15"/>
        <v>0</v>
      </c>
      <c r="K623" s="288">
        <f t="shared" si="16"/>
        <v>0</v>
      </c>
      <c r="L623" s="287">
        <f t="shared" si="17"/>
        <v>0</v>
      </c>
      <c r="M623" s="288">
        <f t="shared" si="18"/>
        <v>0</v>
      </c>
      <c r="N623" s="136"/>
      <c r="O623" s="34"/>
      <c r="P623" s="35"/>
      <c r="Q623" s="35"/>
      <c r="R623" s="35"/>
      <c r="S623" s="35"/>
      <c r="T623" s="35"/>
      <c r="U623" s="35"/>
      <c r="V623" s="35"/>
      <c r="W623" s="35"/>
      <c r="X623" s="35"/>
      <c r="Y623" s="35"/>
      <c r="Z623" s="35"/>
    </row>
    <row r="624" ht="14.25" customHeight="1">
      <c r="A624" s="452"/>
      <c r="F624" s="485"/>
      <c r="G624" s="140"/>
      <c r="H624" s="285">
        <f t="shared" si="13"/>
        <v>0</v>
      </c>
      <c r="I624" s="286">
        <f t="shared" si="14"/>
        <v>0</v>
      </c>
      <c r="J624" s="287">
        <f t="shared" si="15"/>
        <v>0</v>
      </c>
      <c r="K624" s="288">
        <f t="shared" si="16"/>
        <v>0</v>
      </c>
      <c r="L624" s="287">
        <f t="shared" si="17"/>
        <v>0</v>
      </c>
      <c r="M624" s="288">
        <f t="shared" si="18"/>
        <v>0</v>
      </c>
      <c r="N624" s="136"/>
      <c r="O624" s="34"/>
      <c r="P624" s="35"/>
      <c r="Q624" s="35"/>
      <c r="R624" s="35"/>
      <c r="S624" s="35"/>
      <c r="T624" s="35"/>
      <c r="U624" s="35"/>
      <c r="V624" s="35"/>
      <c r="W624" s="35"/>
      <c r="X624" s="35"/>
      <c r="Y624" s="35"/>
      <c r="Z624" s="35"/>
    </row>
    <row r="625" ht="14.25" customHeight="1">
      <c r="A625" s="452"/>
      <c r="F625" s="485"/>
      <c r="G625" s="140"/>
      <c r="H625" s="285">
        <f t="shared" si="13"/>
        <v>0</v>
      </c>
      <c r="I625" s="286">
        <f t="shared" si="14"/>
        <v>0</v>
      </c>
      <c r="J625" s="142"/>
      <c r="K625" s="288">
        <f t="shared" si="16"/>
        <v>0</v>
      </c>
      <c r="L625" s="287">
        <f t="shared" si="17"/>
        <v>0</v>
      </c>
      <c r="M625" s="288">
        <f t="shared" si="18"/>
        <v>0</v>
      </c>
      <c r="N625" s="136"/>
      <c r="O625" s="34"/>
      <c r="P625" s="35"/>
      <c r="Q625" s="35"/>
      <c r="R625" s="35"/>
      <c r="S625" s="35"/>
      <c r="T625" s="35"/>
      <c r="U625" s="35"/>
      <c r="V625" s="35"/>
      <c r="W625" s="35"/>
      <c r="X625" s="35"/>
      <c r="Y625" s="35"/>
      <c r="Z625" s="35"/>
    </row>
    <row r="626" ht="14.25" customHeight="1">
      <c r="A626" s="452"/>
      <c r="F626" s="485"/>
      <c r="G626" s="140"/>
      <c r="H626" s="285">
        <f t="shared" si="13"/>
        <v>0</v>
      </c>
      <c r="I626" s="286">
        <f t="shared" si="14"/>
        <v>0</v>
      </c>
      <c r="J626" s="142"/>
      <c r="K626" s="288">
        <f t="shared" si="16"/>
        <v>0</v>
      </c>
      <c r="L626" s="287">
        <f t="shared" si="17"/>
        <v>0</v>
      </c>
      <c r="M626" s="288">
        <f t="shared" si="18"/>
        <v>0</v>
      </c>
      <c r="N626" s="136"/>
      <c r="O626" s="34"/>
      <c r="P626" s="35"/>
      <c r="Q626" s="35"/>
      <c r="R626" s="35"/>
      <c r="S626" s="35"/>
      <c r="T626" s="35"/>
      <c r="U626" s="35"/>
      <c r="V626" s="35"/>
      <c r="W626" s="35"/>
      <c r="X626" s="35"/>
      <c r="Y626" s="35"/>
      <c r="Z626" s="35"/>
    </row>
    <row r="627" ht="14.25" customHeight="1">
      <c r="A627" s="452"/>
      <c r="F627" s="485"/>
      <c r="G627" s="140"/>
      <c r="H627" s="285">
        <f t="shared" si="13"/>
        <v>0</v>
      </c>
      <c r="I627" s="286">
        <f t="shared" si="14"/>
        <v>0</v>
      </c>
      <c r="J627" s="142"/>
      <c r="K627" s="288">
        <f t="shared" si="16"/>
        <v>0</v>
      </c>
      <c r="L627" s="287">
        <f t="shared" si="17"/>
        <v>0</v>
      </c>
      <c r="M627" s="288">
        <f t="shared" si="18"/>
        <v>0</v>
      </c>
      <c r="N627" s="136"/>
      <c r="O627" s="34"/>
      <c r="P627" s="35"/>
      <c r="Q627" s="35"/>
      <c r="R627" s="35"/>
      <c r="S627" s="35"/>
      <c r="T627" s="35"/>
      <c r="U627" s="35"/>
      <c r="V627" s="35"/>
      <c r="W627" s="35"/>
      <c r="X627" s="35"/>
      <c r="Y627" s="35"/>
      <c r="Z627" s="35"/>
    </row>
    <row r="628" ht="14.25" customHeight="1">
      <c r="A628" s="452"/>
      <c r="F628" s="485"/>
      <c r="G628" s="140"/>
      <c r="H628" s="285">
        <f t="shared" si="13"/>
        <v>0</v>
      </c>
      <c r="I628" s="286">
        <f t="shared" si="14"/>
        <v>0</v>
      </c>
      <c r="J628" s="142"/>
      <c r="K628" s="288">
        <f t="shared" si="16"/>
        <v>0</v>
      </c>
      <c r="L628" s="287">
        <f t="shared" si="17"/>
        <v>0</v>
      </c>
      <c r="M628" s="288">
        <f t="shared" si="18"/>
        <v>0</v>
      </c>
      <c r="N628" s="136"/>
      <c r="O628" s="34"/>
      <c r="P628" s="35"/>
      <c r="Q628" s="35"/>
      <c r="R628" s="35"/>
      <c r="S628" s="35"/>
      <c r="T628" s="35"/>
      <c r="U628" s="35"/>
      <c r="V628" s="35"/>
      <c r="W628" s="35"/>
      <c r="X628" s="35"/>
      <c r="Y628" s="35"/>
      <c r="Z628" s="35"/>
    </row>
    <row r="629" ht="14.25" customHeight="1">
      <c r="A629" s="452"/>
      <c r="F629" s="485"/>
      <c r="G629" s="140"/>
      <c r="H629" s="285">
        <f t="shared" si="13"/>
        <v>0</v>
      </c>
      <c r="I629" s="286">
        <f t="shared" si="14"/>
        <v>0</v>
      </c>
      <c r="J629" s="142"/>
      <c r="K629" s="288">
        <f t="shared" si="16"/>
        <v>0</v>
      </c>
      <c r="L629" s="287">
        <f t="shared" si="17"/>
        <v>0</v>
      </c>
      <c r="M629" s="288">
        <f t="shared" si="18"/>
        <v>0</v>
      </c>
      <c r="N629" s="136"/>
      <c r="O629" s="34"/>
      <c r="P629" s="35"/>
      <c r="Q629" s="35"/>
      <c r="R629" s="35"/>
      <c r="S629" s="35"/>
      <c r="T629" s="35"/>
      <c r="U629" s="35"/>
      <c r="V629" s="35"/>
      <c r="W629" s="35"/>
      <c r="X629" s="35"/>
      <c r="Y629" s="35"/>
      <c r="Z629" s="35"/>
    </row>
    <row r="630" ht="14.25" customHeight="1">
      <c r="A630" s="452"/>
      <c r="F630" s="485"/>
      <c r="G630" s="140"/>
      <c r="H630" s="285">
        <f t="shared" si="13"/>
        <v>0</v>
      </c>
      <c r="I630" s="286">
        <f t="shared" si="14"/>
        <v>0</v>
      </c>
      <c r="J630" s="142"/>
      <c r="K630" s="288">
        <f t="shared" si="16"/>
        <v>0</v>
      </c>
      <c r="L630" s="287">
        <f t="shared" si="17"/>
        <v>0</v>
      </c>
      <c r="M630" s="288">
        <f t="shared" si="18"/>
        <v>0</v>
      </c>
      <c r="N630" s="136"/>
      <c r="O630" s="34"/>
      <c r="P630" s="35"/>
      <c r="Q630" s="35"/>
      <c r="R630" s="35"/>
      <c r="S630" s="35"/>
      <c r="T630" s="35"/>
      <c r="U630" s="35"/>
      <c r="V630" s="35"/>
      <c r="W630" s="35"/>
      <c r="X630" s="35"/>
      <c r="Y630" s="35"/>
      <c r="Z630" s="35"/>
    </row>
    <row r="631" ht="14.25" customHeight="1">
      <c r="A631" s="452"/>
      <c r="F631" s="485"/>
      <c r="G631" s="140"/>
      <c r="H631" s="285">
        <f t="shared" si="13"/>
        <v>0</v>
      </c>
      <c r="I631" s="286">
        <f t="shared" si="14"/>
        <v>0</v>
      </c>
      <c r="J631" s="142"/>
      <c r="K631" s="288">
        <f t="shared" si="16"/>
        <v>0</v>
      </c>
      <c r="L631" s="287">
        <f t="shared" si="17"/>
        <v>0</v>
      </c>
      <c r="M631" s="288">
        <f t="shared" si="18"/>
        <v>0</v>
      </c>
      <c r="N631" s="136"/>
      <c r="O631" s="34"/>
      <c r="P631" s="35"/>
      <c r="Q631" s="35"/>
      <c r="R631" s="35"/>
      <c r="S631" s="35"/>
      <c r="T631" s="35"/>
      <c r="U631" s="35"/>
      <c r="V631" s="35"/>
      <c r="W631" s="35"/>
      <c r="X631" s="35"/>
      <c r="Y631" s="35"/>
      <c r="Z631" s="35"/>
    </row>
    <row r="632" ht="14.25" customHeight="1">
      <c r="A632" s="452"/>
      <c r="B632" s="486"/>
      <c r="C632" s="487"/>
      <c r="D632" s="488"/>
      <c r="E632" s="136"/>
      <c r="F632" s="489"/>
      <c r="G632" s="140"/>
      <c r="H632" s="285">
        <f t="shared" si="13"/>
        <v>0</v>
      </c>
      <c r="I632" s="286">
        <f t="shared" si="14"/>
        <v>0</v>
      </c>
      <c r="J632" s="142"/>
      <c r="K632" s="288">
        <f t="shared" si="16"/>
        <v>0</v>
      </c>
      <c r="L632" s="287">
        <f t="shared" si="17"/>
        <v>0</v>
      </c>
      <c r="M632" s="288">
        <f t="shared" si="18"/>
        <v>0</v>
      </c>
      <c r="N632" s="136"/>
      <c r="O632" s="34"/>
      <c r="P632" s="35"/>
      <c r="Q632" s="35"/>
      <c r="R632" s="35"/>
      <c r="S632" s="35"/>
      <c r="T632" s="35"/>
      <c r="U632" s="35"/>
      <c r="V632" s="35"/>
      <c r="W632" s="35"/>
      <c r="X632" s="35"/>
      <c r="Y632" s="35"/>
      <c r="Z632" s="35"/>
    </row>
    <row r="633" ht="14.25" hidden="1" customHeight="1">
      <c r="A633" s="452"/>
      <c r="B633" s="462" t="s">
        <v>2989</v>
      </c>
      <c r="C633" s="454" t="s">
        <v>2990</v>
      </c>
      <c r="D633" s="463" t="s">
        <v>2991</v>
      </c>
      <c r="E633" s="136"/>
      <c r="F633" s="464" t="s">
        <v>2833</v>
      </c>
      <c r="G633" s="140"/>
      <c r="H633" s="285" t="str">
        <f t="shared" si="13"/>
        <v>#VALUE!</v>
      </c>
      <c r="I633" s="286" t="str">
        <f t="shared" si="14"/>
        <v>#VALUE!</v>
      </c>
      <c r="J633" s="142"/>
      <c r="K633" s="288" t="str">
        <f t="shared" si="16"/>
        <v>#VALUE!</v>
      </c>
      <c r="L633" s="287" t="str">
        <f t="shared" si="17"/>
        <v>#VALUE!</v>
      </c>
      <c r="M633" s="288" t="str">
        <f t="shared" si="18"/>
        <v>#VALUE!</v>
      </c>
      <c r="N633" s="136"/>
      <c r="O633" s="34"/>
      <c r="P633" s="35"/>
      <c r="Q633" s="35"/>
      <c r="R633" s="35"/>
      <c r="S633" s="35"/>
      <c r="T633" s="35"/>
      <c r="U633" s="35"/>
      <c r="V633" s="35"/>
      <c r="W633" s="35"/>
      <c r="X633" s="35"/>
      <c r="Y633" s="35"/>
      <c r="Z633" s="35"/>
    </row>
    <row r="634" ht="14.25" hidden="1" customHeight="1">
      <c r="A634" s="452"/>
      <c r="B634" s="490" t="s">
        <v>2992</v>
      </c>
      <c r="C634" s="458" t="s">
        <v>2993</v>
      </c>
      <c r="D634" s="491" t="s">
        <v>2994</v>
      </c>
      <c r="E634" s="136"/>
      <c r="F634" s="492" t="s">
        <v>2833</v>
      </c>
      <c r="G634" s="140"/>
      <c r="H634" s="285" t="str">
        <f t="shared" si="13"/>
        <v>#VALUE!</v>
      </c>
      <c r="I634" s="286" t="str">
        <f t="shared" si="14"/>
        <v>#VALUE!</v>
      </c>
      <c r="J634" s="142"/>
      <c r="K634" s="288" t="str">
        <f t="shared" si="16"/>
        <v>#VALUE!</v>
      </c>
      <c r="L634" s="287" t="str">
        <f t="shared" si="17"/>
        <v>#VALUE!</v>
      </c>
      <c r="M634" s="288" t="str">
        <f t="shared" si="18"/>
        <v>#VALUE!</v>
      </c>
      <c r="N634" s="136"/>
      <c r="O634" s="34"/>
      <c r="P634" s="35"/>
      <c r="Q634" s="35"/>
      <c r="R634" s="35"/>
      <c r="S634" s="35"/>
      <c r="T634" s="35"/>
      <c r="U634" s="35"/>
      <c r="V634" s="35"/>
      <c r="W634" s="35"/>
      <c r="X634" s="35"/>
      <c r="Y634" s="35"/>
      <c r="Z634" s="35"/>
    </row>
    <row r="635" ht="14.25" hidden="1" customHeight="1">
      <c r="A635" s="452"/>
      <c r="B635" s="462" t="s">
        <v>2995</v>
      </c>
      <c r="C635" s="454" t="s">
        <v>2996</v>
      </c>
      <c r="D635" s="463" t="s">
        <v>2997</v>
      </c>
      <c r="E635" s="136"/>
      <c r="F635" s="464" t="s">
        <v>2833</v>
      </c>
      <c r="G635" s="140"/>
      <c r="H635" s="285" t="str">
        <f t="shared" si="13"/>
        <v>#VALUE!</v>
      </c>
      <c r="I635" s="286" t="str">
        <f t="shared" si="14"/>
        <v>#VALUE!</v>
      </c>
      <c r="J635" s="142"/>
      <c r="K635" s="288" t="str">
        <f t="shared" si="16"/>
        <v>#VALUE!</v>
      </c>
      <c r="L635" s="287" t="str">
        <f t="shared" si="17"/>
        <v>#VALUE!</v>
      </c>
      <c r="M635" s="288" t="str">
        <f t="shared" si="18"/>
        <v>#VALUE!</v>
      </c>
      <c r="N635" s="136"/>
      <c r="O635" s="34"/>
      <c r="P635" s="35"/>
      <c r="Q635" s="35"/>
      <c r="R635" s="35"/>
      <c r="S635" s="35"/>
      <c r="T635" s="35"/>
      <c r="U635" s="35"/>
      <c r="V635" s="35"/>
      <c r="W635" s="35"/>
      <c r="X635" s="35"/>
      <c r="Y635" s="35"/>
      <c r="Z635" s="35"/>
    </row>
    <row r="636" ht="14.25" hidden="1" customHeight="1">
      <c r="A636" s="452"/>
      <c r="B636" s="490" t="s">
        <v>2998</v>
      </c>
      <c r="C636" s="458" t="s">
        <v>2999</v>
      </c>
      <c r="D636" s="491" t="s">
        <v>3000</v>
      </c>
      <c r="E636" s="136"/>
      <c r="F636" s="492" t="s">
        <v>2833</v>
      </c>
      <c r="G636" s="140"/>
      <c r="H636" s="285" t="str">
        <f t="shared" si="13"/>
        <v>#VALUE!</v>
      </c>
      <c r="I636" s="286" t="str">
        <f t="shared" si="14"/>
        <v>#VALUE!</v>
      </c>
      <c r="J636" s="142"/>
      <c r="K636" s="288" t="str">
        <f t="shared" si="16"/>
        <v>#VALUE!</v>
      </c>
      <c r="L636" s="287" t="str">
        <f t="shared" si="17"/>
        <v>#VALUE!</v>
      </c>
      <c r="M636" s="288" t="str">
        <f t="shared" si="18"/>
        <v>#VALUE!</v>
      </c>
      <c r="N636" s="136"/>
      <c r="O636" s="34"/>
      <c r="P636" s="35"/>
      <c r="Q636" s="35"/>
      <c r="R636" s="35"/>
      <c r="S636" s="35"/>
      <c r="T636" s="35"/>
      <c r="U636" s="35"/>
      <c r="V636" s="35"/>
      <c r="W636" s="35"/>
      <c r="X636" s="35"/>
      <c r="Y636" s="35"/>
      <c r="Z636" s="35"/>
    </row>
    <row r="637" ht="14.25" hidden="1" customHeight="1">
      <c r="A637" s="452"/>
      <c r="B637" s="449" t="s">
        <v>3001</v>
      </c>
      <c r="C637" s="440" t="s">
        <v>3002</v>
      </c>
      <c r="D637" s="374" t="s">
        <v>3003</v>
      </c>
      <c r="E637" s="136"/>
      <c r="F637" s="399" t="s">
        <v>2833</v>
      </c>
      <c r="G637" s="140"/>
      <c r="H637" s="285" t="str">
        <f t="shared" si="13"/>
        <v>#VALUE!</v>
      </c>
      <c r="I637" s="286" t="str">
        <f t="shared" si="14"/>
        <v>#VALUE!</v>
      </c>
      <c r="J637" s="142"/>
      <c r="K637" s="288" t="str">
        <f t="shared" si="16"/>
        <v>#VALUE!</v>
      </c>
      <c r="L637" s="287" t="str">
        <f t="shared" si="17"/>
        <v>#VALUE!</v>
      </c>
      <c r="M637" s="288" t="str">
        <f t="shared" si="18"/>
        <v>#VALUE!</v>
      </c>
      <c r="N637" s="136"/>
      <c r="O637" s="34"/>
      <c r="P637" s="35"/>
      <c r="Q637" s="35"/>
      <c r="R637" s="35"/>
      <c r="S637" s="35"/>
      <c r="T637" s="35"/>
      <c r="U637" s="35"/>
      <c r="V637" s="35"/>
      <c r="W637" s="35"/>
      <c r="X637" s="35"/>
      <c r="Y637" s="35"/>
      <c r="Z637" s="35"/>
    </row>
    <row r="638" ht="14.25" hidden="1" customHeight="1">
      <c r="A638" s="452"/>
      <c r="B638" s="449" t="s">
        <v>3004</v>
      </c>
      <c r="C638" s="440" t="s">
        <v>3005</v>
      </c>
      <c r="D638" s="451" t="s">
        <v>3006</v>
      </c>
      <c r="E638" s="136"/>
      <c r="F638" s="399" t="s">
        <v>2833</v>
      </c>
      <c r="G638" s="140"/>
      <c r="H638" s="285" t="str">
        <f t="shared" si="13"/>
        <v>#VALUE!</v>
      </c>
      <c r="I638" s="286" t="str">
        <f t="shared" si="14"/>
        <v>#VALUE!</v>
      </c>
      <c r="J638" s="142"/>
      <c r="K638" s="288" t="str">
        <f t="shared" si="16"/>
        <v>#VALUE!</v>
      </c>
      <c r="L638" s="287" t="str">
        <f t="shared" si="17"/>
        <v>#VALUE!</v>
      </c>
      <c r="M638" s="288" t="str">
        <f t="shared" si="18"/>
        <v>#VALUE!</v>
      </c>
      <c r="N638" s="136"/>
      <c r="O638" s="34"/>
      <c r="P638" s="35"/>
      <c r="Q638" s="35"/>
      <c r="R638" s="35"/>
      <c r="S638" s="35"/>
      <c r="T638" s="35"/>
      <c r="U638" s="35"/>
      <c r="V638" s="35"/>
      <c r="W638" s="35"/>
      <c r="X638" s="35"/>
      <c r="Y638" s="35"/>
      <c r="Z638" s="35"/>
    </row>
    <row r="639" ht="14.25" hidden="1" customHeight="1">
      <c r="A639" s="452"/>
      <c r="B639" s="449" t="s">
        <v>3007</v>
      </c>
      <c r="C639" s="440" t="s">
        <v>3008</v>
      </c>
      <c r="D639" s="451" t="s">
        <v>3006</v>
      </c>
      <c r="E639" s="136"/>
      <c r="F639" s="399" t="s">
        <v>2833</v>
      </c>
      <c r="G639" s="140"/>
      <c r="H639" s="285" t="str">
        <f t="shared" si="13"/>
        <v>#VALUE!</v>
      </c>
      <c r="I639" s="286" t="str">
        <f t="shared" si="14"/>
        <v>#VALUE!</v>
      </c>
      <c r="J639" s="142"/>
      <c r="K639" s="288" t="str">
        <f t="shared" si="16"/>
        <v>#VALUE!</v>
      </c>
      <c r="L639" s="287" t="str">
        <f t="shared" si="17"/>
        <v>#VALUE!</v>
      </c>
      <c r="M639" s="288" t="str">
        <f t="shared" si="18"/>
        <v>#VALUE!</v>
      </c>
      <c r="N639" s="136"/>
      <c r="O639" s="34"/>
      <c r="P639" s="35"/>
      <c r="Q639" s="35"/>
      <c r="R639" s="35"/>
      <c r="S639" s="35"/>
      <c r="T639" s="35"/>
      <c r="U639" s="35"/>
      <c r="V639" s="35"/>
      <c r="W639" s="35"/>
      <c r="X639" s="35"/>
      <c r="Y639" s="35"/>
      <c r="Z639" s="35"/>
    </row>
    <row r="640" ht="14.25" customHeight="1">
      <c r="A640" s="493"/>
      <c r="B640" s="494"/>
      <c r="C640" s="138"/>
      <c r="D640" s="495"/>
      <c r="E640" s="136"/>
      <c r="F640" s="496"/>
      <c r="G640" s="140"/>
      <c r="H640" s="285">
        <f t="shared" si="13"/>
        <v>0</v>
      </c>
      <c r="I640" s="286">
        <f t="shared" si="14"/>
        <v>0</v>
      </c>
      <c r="J640" s="142"/>
      <c r="K640" s="288">
        <f t="shared" si="16"/>
        <v>0</v>
      </c>
      <c r="L640" s="287">
        <f t="shared" si="17"/>
        <v>0</v>
      </c>
      <c r="M640" s="288">
        <f t="shared" si="18"/>
        <v>0</v>
      </c>
      <c r="N640" s="136"/>
      <c r="O640" s="34"/>
      <c r="P640" s="35"/>
      <c r="Q640" s="35"/>
      <c r="R640" s="35"/>
      <c r="S640" s="35"/>
      <c r="T640" s="35"/>
      <c r="U640" s="35"/>
      <c r="V640" s="35"/>
      <c r="W640" s="35"/>
      <c r="X640" s="35"/>
      <c r="Y640" s="35"/>
      <c r="Z640" s="35"/>
    </row>
    <row r="641" ht="14.25" customHeight="1">
      <c r="A641" s="452"/>
      <c r="B641" s="494"/>
      <c r="C641" s="138"/>
      <c r="D641" s="495"/>
      <c r="E641" s="136"/>
      <c r="F641" s="496"/>
      <c r="G641" s="140"/>
      <c r="H641" s="285">
        <f t="shared" si="13"/>
        <v>0</v>
      </c>
      <c r="I641" s="286">
        <f t="shared" si="14"/>
        <v>0</v>
      </c>
      <c r="J641" s="142"/>
      <c r="K641" s="288">
        <f t="shared" si="16"/>
        <v>0</v>
      </c>
      <c r="L641" s="287">
        <f t="shared" si="17"/>
        <v>0</v>
      </c>
      <c r="M641" s="288">
        <f t="shared" si="18"/>
        <v>0</v>
      </c>
      <c r="N641" s="136"/>
      <c r="O641" s="34"/>
      <c r="P641" s="35"/>
      <c r="Q641" s="35"/>
      <c r="R641" s="35"/>
      <c r="S641" s="35"/>
      <c r="T641" s="35"/>
      <c r="U641" s="35"/>
      <c r="V641" s="35"/>
      <c r="W641" s="35"/>
      <c r="X641" s="35"/>
      <c r="Y641" s="35"/>
      <c r="Z641" s="35"/>
    </row>
    <row r="642" ht="14.25" customHeight="1">
      <c r="A642" s="452"/>
      <c r="B642" s="494"/>
      <c r="C642" s="138"/>
      <c r="D642" s="495"/>
      <c r="E642" s="136"/>
      <c r="F642" s="496"/>
      <c r="G642" s="140"/>
      <c r="H642" s="285">
        <f t="shared" si="13"/>
        <v>0</v>
      </c>
      <c r="I642" s="286">
        <f t="shared" si="14"/>
        <v>0</v>
      </c>
      <c r="J642" s="142"/>
      <c r="K642" s="288">
        <f t="shared" si="16"/>
        <v>0</v>
      </c>
      <c r="L642" s="287">
        <f t="shared" si="17"/>
        <v>0</v>
      </c>
      <c r="M642" s="142"/>
      <c r="N642" s="136"/>
      <c r="O642" s="34"/>
      <c r="P642" s="35"/>
      <c r="Q642" s="35"/>
      <c r="R642" s="35"/>
      <c r="S642" s="35"/>
      <c r="T642" s="35"/>
      <c r="U642" s="35"/>
      <c r="V642" s="35"/>
      <c r="W642" s="35"/>
      <c r="X642" s="35"/>
      <c r="Y642" s="35"/>
      <c r="Z642" s="35"/>
    </row>
    <row r="643" ht="14.25" customHeight="1">
      <c r="A643" s="452"/>
      <c r="B643" s="494"/>
      <c r="C643" s="138"/>
      <c r="D643" s="495"/>
      <c r="E643" s="136"/>
      <c r="F643" s="496"/>
      <c r="G643" s="140"/>
      <c r="H643" s="285">
        <f t="shared" si="13"/>
        <v>0</v>
      </c>
      <c r="I643" s="286">
        <f t="shared" si="14"/>
        <v>0</v>
      </c>
      <c r="J643" s="142"/>
      <c r="K643" s="288">
        <f t="shared" si="16"/>
        <v>0</v>
      </c>
      <c r="L643" s="142"/>
      <c r="M643" s="142"/>
      <c r="N643" s="136"/>
      <c r="O643" s="34"/>
      <c r="P643" s="35"/>
      <c r="Q643" s="35"/>
      <c r="R643" s="35"/>
      <c r="S643" s="35"/>
      <c r="T643" s="35"/>
      <c r="U643" s="35"/>
      <c r="V643" s="35"/>
      <c r="W643" s="35"/>
      <c r="X643" s="35"/>
      <c r="Y643" s="35"/>
      <c r="Z643" s="35"/>
    </row>
    <row r="644" ht="14.25" customHeight="1">
      <c r="A644" s="452"/>
      <c r="B644" s="494"/>
      <c r="C644" s="138"/>
      <c r="D644" s="495"/>
      <c r="E644" s="136"/>
      <c r="F644" s="496"/>
      <c r="G644" s="140"/>
      <c r="H644" s="285">
        <f t="shared" si="13"/>
        <v>0</v>
      </c>
      <c r="I644" s="141"/>
      <c r="J644" s="142"/>
      <c r="K644" s="288">
        <f t="shared" si="16"/>
        <v>0</v>
      </c>
      <c r="L644" s="142"/>
      <c r="M644" s="142"/>
      <c r="N644" s="136"/>
      <c r="O644" s="34"/>
      <c r="P644" s="35"/>
      <c r="Q644" s="35"/>
      <c r="R644" s="35"/>
      <c r="S644" s="35"/>
      <c r="T644" s="35"/>
      <c r="U644" s="35"/>
      <c r="V644" s="35"/>
      <c r="W644" s="35"/>
      <c r="X644" s="35"/>
      <c r="Y644" s="35"/>
      <c r="Z644" s="35"/>
    </row>
    <row r="645" ht="14.25" customHeight="1">
      <c r="A645" s="452"/>
      <c r="B645" s="494"/>
      <c r="C645" s="138"/>
      <c r="D645" s="495"/>
      <c r="E645" s="136"/>
      <c r="F645" s="496"/>
      <c r="G645" s="140"/>
      <c r="H645" s="285">
        <f t="shared" si="13"/>
        <v>0</v>
      </c>
      <c r="I645" s="141"/>
      <c r="J645" s="142"/>
      <c r="K645" s="288">
        <f t="shared" si="16"/>
        <v>0</v>
      </c>
      <c r="L645" s="142"/>
      <c r="M645" s="142"/>
      <c r="N645" s="136"/>
      <c r="O645" s="34"/>
      <c r="P645" s="35"/>
      <c r="Q645" s="35"/>
      <c r="R645" s="35"/>
      <c r="S645" s="35"/>
      <c r="T645" s="35"/>
      <c r="U645" s="35"/>
      <c r="V645" s="35"/>
      <c r="W645" s="35"/>
      <c r="X645" s="35"/>
      <c r="Y645" s="35"/>
      <c r="Z645" s="35"/>
    </row>
    <row r="646" ht="14.25" customHeight="1">
      <c r="A646" s="452"/>
      <c r="B646" s="494"/>
      <c r="C646" s="138"/>
      <c r="D646" s="495"/>
      <c r="E646" s="136"/>
      <c r="F646" s="496"/>
      <c r="G646" s="140"/>
      <c r="H646" s="285">
        <f t="shared" si="13"/>
        <v>0</v>
      </c>
      <c r="I646" s="141"/>
      <c r="J646" s="142"/>
      <c r="K646" s="142"/>
      <c r="L646" s="142"/>
      <c r="M646" s="142"/>
      <c r="N646" s="136"/>
      <c r="O646" s="34"/>
      <c r="P646" s="35"/>
      <c r="Q646" s="35"/>
      <c r="R646" s="35"/>
      <c r="S646" s="35"/>
      <c r="T646" s="35"/>
      <c r="U646" s="35"/>
      <c r="V646" s="35"/>
      <c r="W646" s="35"/>
      <c r="X646" s="35"/>
      <c r="Y646" s="35"/>
      <c r="Z646" s="35"/>
    </row>
    <row r="647" ht="14.25" customHeight="1">
      <c r="A647" s="452"/>
      <c r="B647" s="494"/>
      <c r="C647" s="138"/>
      <c r="D647" s="495"/>
      <c r="E647" s="136"/>
      <c r="F647" s="496"/>
      <c r="G647" s="140"/>
      <c r="H647" s="285">
        <f t="shared" si="13"/>
        <v>0</v>
      </c>
      <c r="I647" s="141"/>
      <c r="J647" s="142"/>
      <c r="K647" s="142"/>
      <c r="L647" s="142"/>
      <c r="M647" s="142"/>
      <c r="N647" s="136"/>
      <c r="O647" s="34"/>
      <c r="P647" s="35"/>
      <c r="Q647" s="35"/>
      <c r="R647" s="35"/>
      <c r="S647" s="35"/>
      <c r="T647" s="35"/>
      <c r="U647" s="35"/>
      <c r="V647" s="35"/>
      <c r="W647" s="35"/>
      <c r="X647" s="35"/>
      <c r="Y647" s="35"/>
      <c r="Z647" s="35"/>
    </row>
    <row r="648" ht="14.25" customHeight="1">
      <c r="A648" s="452"/>
      <c r="B648" s="494"/>
      <c r="C648" s="138"/>
      <c r="D648" s="495"/>
      <c r="E648" s="136"/>
      <c r="F648" s="496"/>
      <c r="G648" s="140"/>
      <c r="H648" s="141"/>
      <c r="I648" s="141"/>
      <c r="J648" s="142"/>
      <c r="K648" s="142"/>
      <c r="L648" s="142"/>
      <c r="M648" s="142"/>
      <c r="N648" s="136"/>
      <c r="O648" s="34"/>
      <c r="P648" s="35"/>
      <c r="Q648" s="35"/>
      <c r="R648" s="35"/>
      <c r="S648" s="35"/>
      <c r="T648" s="35"/>
      <c r="U648" s="35"/>
      <c r="V648" s="35"/>
      <c r="W648" s="35"/>
      <c r="X648" s="35"/>
      <c r="Y648" s="35"/>
      <c r="Z648" s="35"/>
    </row>
    <row r="649" ht="14.25" customHeight="1">
      <c r="A649" s="452"/>
      <c r="B649" s="494"/>
      <c r="C649" s="138"/>
      <c r="D649" s="495"/>
      <c r="E649" s="136"/>
      <c r="F649" s="496"/>
      <c r="G649" s="140"/>
      <c r="H649" s="141"/>
      <c r="I649" s="141"/>
      <c r="J649" s="142"/>
      <c r="K649" s="142"/>
      <c r="L649" s="142"/>
      <c r="M649" s="142"/>
      <c r="N649" s="136"/>
      <c r="O649" s="34"/>
      <c r="P649" s="35"/>
      <c r="Q649" s="35"/>
      <c r="R649" s="35"/>
      <c r="S649" s="35"/>
      <c r="T649" s="35"/>
      <c r="U649" s="35"/>
      <c r="V649" s="35"/>
      <c r="W649" s="35"/>
      <c r="X649" s="35"/>
      <c r="Y649" s="35"/>
      <c r="Z649" s="35"/>
    </row>
    <row r="650" ht="14.25" customHeight="1">
      <c r="A650" s="452"/>
      <c r="B650" s="494"/>
      <c r="C650" s="138"/>
      <c r="D650" s="495"/>
      <c r="E650" s="136"/>
      <c r="F650" s="496"/>
      <c r="G650" s="140"/>
      <c r="H650" s="141"/>
      <c r="I650" s="141"/>
      <c r="J650" s="142"/>
      <c r="K650" s="142"/>
      <c r="L650" s="142"/>
      <c r="M650" s="142"/>
      <c r="N650" s="136"/>
      <c r="O650" s="34"/>
      <c r="P650" s="35"/>
      <c r="Q650" s="35"/>
      <c r="R650" s="35"/>
      <c r="S650" s="35"/>
      <c r="T650" s="35"/>
      <c r="U650" s="35"/>
      <c r="V650" s="35"/>
      <c r="W650" s="35"/>
      <c r="X650" s="35"/>
      <c r="Y650" s="35"/>
      <c r="Z650" s="35"/>
    </row>
    <row r="651" ht="14.25" customHeight="1">
      <c r="A651" s="452"/>
      <c r="B651" s="494"/>
      <c r="C651" s="138"/>
      <c r="D651" s="495"/>
      <c r="E651" s="136"/>
      <c r="F651" s="496"/>
      <c r="G651" s="140"/>
      <c r="H651" s="141"/>
      <c r="I651" s="141"/>
      <c r="J651" s="142"/>
      <c r="K651" s="142"/>
      <c r="L651" s="142"/>
      <c r="M651" s="142"/>
      <c r="N651" s="136"/>
      <c r="O651" s="34"/>
      <c r="P651" s="35"/>
      <c r="Q651" s="35"/>
      <c r="R651" s="35"/>
      <c r="S651" s="35"/>
      <c r="T651" s="35"/>
      <c r="U651" s="35"/>
      <c r="V651" s="35"/>
      <c r="W651" s="35"/>
      <c r="X651" s="35"/>
      <c r="Y651" s="35"/>
      <c r="Z651" s="35"/>
    </row>
    <row r="652" ht="14.25" customHeight="1">
      <c r="A652" s="452"/>
      <c r="B652" s="494"/>
      <c r="C652" s="138"/>
      <c r="D652" s="495"/>
      <c r="E652" s="136"/>
      <c r="F652" s="496"/>
      <c r="G652" s="140"/>
      <c r="H652" s="141"/>
      <c r="I652" s="141"/>
      <c r="J652" s="142"/>
      <c r="K652" s="142"/>
      <c r="L652" s="142"/>
      <c r="M652" s="142"/>
      <c r="N652" s="136"/>
      <c r="O652" s="34"/>
      <c r="P652" s="35"/>
      <c r="Q652" s="35"/>
      <c r="R652" s="35"/>
      <c r="S652" s="35"/>
      <c r="T652" s="35"/>
      <c r="U652" s="35"/>
      <c r="V652" s="35"/>
      <c r="W652" s="35"/>
      <c r="X652" s="35"/>
      <c r="Y652" s="35"/>
      <c r="Z652" s="35"/>
    </row>
    <row r="653" ht="14.25" customHeight="1">
      <c r="A653" s="452"/>
      <c r="B653" s="494"/>
      <c r="C653" s="138"/>
      <c r="D653" s="495"/>
      <c r="E653" s="136"/>
      <c r="F653" s="496"/>
      <c r="G653" s="140"/>
      <c r="H653" s="141"/>
      <c r="I653" s="141"/>
      <c r="J653" s="142"/>
      <c r="K653" s="142"/>
      <c r="L653" s="142"/>
      <c r="M653" s="142"/>
      <c r="N653" s="136"/>
      <c r="O653" s="34"/>
      <c r="P653" s="35"/>
      <c r="Q653" s="35"/>
      <c r="R653" s="35"/>
      <c r="S653" s="35"/>
      <c r="T653" s="35"/>
      <c r="U653" s="35"/>
      <c r="V653" s="35"/>
      <c r="W653" s="35"/>
      <c r="X653" s="35"/>
      <c r="Y653" s="35"/>
      <c r="Z653" s="35"/>
    </row>
    <row r="654" ht="14.25" customHeight="1">
      <c r="A654" s="452"/>
      <c r="B654" s="494"/>
      <c r="C654" s="138"/>
      <c r="D654" s="495"/>
      <c r="E654" s="136"/>
      <c r="F654" s="496"/>
      <c r="G654" s="140"/>
      <c r="H654" s="141"/>
      <c r="I654" s="141"/>
      <c r="J654" s="142"/>
      <c r="K654" s="142"/>
      <c r="L654" s="142"/>
      <c r="M654" s="142"/>
      <c r="N654" s="136"/>
      <c r="O654" s="34"/>
      <c r="P654" s="35"/>
      <c r="Q654" s="35"/>
      <c r="R654" s="35"/>
      <c r="S654" s="35"/>
      <c r="T654" s="35"/>
      <c r="U654" s="35"/>
      <c r="V654" s="35"/>
      <c r="W654" s="35"/>
      <c r="X654" s="35"/>
      <c r="Y654" s="35"/>
      <c r="Z654" s="35"/>
    </row>
    <row r="655" ht="14.25" customHeight="1">
      <c r="A655" s="452"/>
      <c r="B655" s="494"/>
      <c r="C655" s="138"/>
      <c r="D655" s="495"/>
      <c r="E655" s="136"/>
      <c r="F655" s="496"/>
      <c r="G655" s="140"/>
      <c r="H655" s="141"/>
      <c r="I655" s="141"/>
      <c r="J655" s="142"/>
      <c r="K655" s="142"/>
      <c r="L655" s="142"/>
      <c r="M655" s="142"/>
      <c r="N655" s="136"/>
      <c r="O655" s="34"/>
      <c r="P655" s="35"/>
      <c r="Q655" s="35"/>
      <c r="R655" s="35"/>
      <c r="S655" s="35"/>
      <c r="T655" s="35"/>
      <c r="U655" s="35"/>
      <c r="V655" s="35"/>
      <c r="W655" s="35"/>
      <c r="X655" s="35"/>
      <c r="Y655" s="35"/>
      <c r="Z655" s="35"/>
    </row>
    <row r="656" ht="14.25" customHeight="1">
      <c r="A656" s="452"/>
      <c r="B656" s="494"/>
      <c r="C656" s="138"/>
      <c r="D656" s="495"/>
      <c r="E656" s="136"/>
      <c r="F656" s="496"/>
      <c r="G656" s="140"/>
      <c r="H656" s="141"/>
      <c r="I656" s="141"/>
      <c r="J656" s="142"/>
      <c r="K656" s="142"/>
      <c r="L656" s="142"/>
      <c r="M656" s="142"/>
      <c r="N656" s="136"/>
      <c r="O656" s="34"/>
      <c r="P656" s="35"/>
      <c r="Q656" s="35"/>
      <c r="R656" s="35"/>
      <c r="S656" s="35"/>
      <c r="T656" s="35"/>
      <c r="U656" s="35"/>
      <c r="V656" s="35"/>
      <c r="W656" s="35"/>
      <c r="X656" s="35"/>
      <c r="Y656" s="35"/>
      <c r="Z656" s="35"/>
    </row>
    <row r="657" ht="14.25" customHeight="1">
      <c r="A657" s="452"/>
      <c r="B657" s="494"/>
      <c r="C657" s="138"/>
      <c r="D657" s="495"/>
      <c r="E657" s="136"/>
      <c r="F657" s="496"/>
      <c r="G657" s="140"/>
      <c r="H657" s="141"/>
      <c r="I657" s="141"/>
      <c r="J657" s="142"/>
      <c r="K657" s="142"/>
      <c r="L657" s="142"/>
      <c r="M657" s="142"/>
      <c r="N657" s="136"/>
      <c r="O657" s="34"/>
      <c r="P657" s="35"/>
      <c r="Q657" s="35"/>
      <c r="R657" s="35"/>
      <c r="S657" s="35"/>
      <c r="T657" s="35"/>
      <c r="U657" s="35"/>
      <c r="V657" s="35"/>
      <c r="W657" s="35"/>
      <c r="X657" s="35"/>
      <c r="Y657" s="35"/>
      <c r="Z657" s="35"/>
    </row>
    <row r="658" ht="14.25" customHeight="1">
      <c r="A658" s="452"/>
      <c r="B658" s="494"/>
      <c r="C658" s="138"/>
      <c r="D658" s="495"/>
      <c r="E658" s="136"/>
      <c r="F658" s="496"/>
      <c r="G658" s="140"/>
      <c r="H658" s="141"/>
      <c r="I658" s="141"/>
      <c r="J658" s="142"/>
      <c r="K658" s="142"/>
      <c r="L658" s="142"/>
      <c r="M658" s="142"/>
      <c r="N658" s="136"/>
      <c r="O658" s="34"/>
      <c r="P658" s="35"/>
      <c r="Q658" s="35"/>
      <c r="R658" s="35"/>
      <c r="S658" s="35"/>
      <c r="T658" s="35"/>
      <c r="U658" s="35"/>
      <c r="V658" s="35"/>
      <c r="W658" s="35"/>
      <c r="X658" s="35"/>
      <c r="Y658" s="35"/>
      <c r="Z658" s="35"/>
    </row>
    <row r="659" ht="14.25" customHeight="1">
      <c r="A659" s="452"/>
      <c r="B659" s="494"/>
      <c r="C659" s="138"/>
      <c r="D659" s="495"/>
      <c r="E659" s="136"/>
      <c r="F659" s="496"/>
      <c r="G659" s="140"/>
      <c r="H659" s="141"/>
      <c r="I659" s="141"/>
      <c r="J659" s="142"/>
      <c r="K659" s="142"/>
      <c r="L659" s="142"/>
      <c r="M659" s="142"/>
      <c r="N659" s="136"/>
      <c r="O659" s="34"/>
      <c r="P659" s="35"/>
      <c r="Q659" s="35"/>
      <c r="R659" s="35"/>
      <c r="S659" s="35"/>
      <c r="T659" s="35"/>
      <c r="U659" s="35"/>
      <c r="V659" s="35"/>
      <c r="W659" s="35"/>
      <c r="X659" s="35"/>
      <c r="Y659" s="35"/>
      <c r="Z659" s="35"/>
    </row>
    <row r="660" ht="14.25" customHeight="1">
      <c r="A660" s="452"/>
      <c r="B660" s="494"/>
      <c r="C660" s="138"/>
      <c r="D660" s="495"/>
      <c r="E660" s="136"/>
      <c r="F660" s="496"/>
      <c r="G660" s="140"/>
      <c r="H660" s="141"/>
      <c r="I660" s="141"/>
      <c r="J660" s="142"/>
      <c r="K660" s="142"/>
      <c r="L660" s="142"/>
      <c r="M660" s="142"/>
      <c r="N660" s="136"/>
      <c r="O660" s="34"/>
      <c r="P660" s="35"/>
      <c r="Q660" s="35"/>
      <c r="R660" s="35"/>
      <c r="S660" s="35"/>
      <c r="T660" s="35"/>
      <c r="U660" s="35"/>
      <c r="V660" s="35"/>
      <c r="W660" s="35"/>
      <c r="X660" s="35"/>
      <c r="Y660" s="35"/>
      <c r="Z660" s="35"/>
    </row>
    <row r="661" ht="14.25" customHeight="1">
      <c r="A661" s="452"/>
      <c r="B661" s="494"/>
      <c r="C661" s="138"/>
      <c r="D661" s="495"/>
      <c r="E661" s="136"/>
      <c r="F661" s="496"/>
      <c r="G661" s="140"/>
      <c r="H661" s="141"/>
      <c r="I661" s="141"/>
      <c r="J661" s="142"/>
      <c r="K661" s="142"/>
      <c r="L661" s="142"/>
      <c r="M661" s="142"/>
      <c r="N661" s="136"/>
      <c r="O661" s="34"/>
      <c r="P661" s="35"/>
      <c r="Q661" s="35"/>
      <c r="R661" s="35"/>
      <c r="S661" s="35"/>
      <c r="T661" s="35"/>
      <c r="U661" s="35"/>
      <c r="V661" s="35"/>
      <c r="W661" s="35"/>
      <c r="X661" s="35"/>
      <c r="Y661" s="35"/>
      <c r="Z661" s="35"/>
    </row>
    <row r="662" ht="14.25" customHeight="1">
      <c r="A662" s="452"/>
      <c r="B662" s="494"/>
      <c r="C662" s="138"/>
      <c r="D662" s="495"/>
      <c r="E662" s="136"/>
      <c r="F662" s="496"/>
      <c r="G662" s="140"/>
      <c r="H662" s="141"/>
      <c r="I662" s="141"/>
      <c r="J662" s="142"/>
      <c r="K662" s="142"/>
      <c r="L662" s="142"/>
      <c r="M662" s="142"/>
      <c r="N662" s="136"/>
      <c r="O662" s="34"/>
      <c r="P662" s="35"/>
      <c r="Q662" s="35"/>
      <c r="R662" s="35"/>
      <c r="S662" s="35"/>
      <c r="T662" s="35"/>
      <c r="U662" s="35"/>
      <c r="V662" s="35"/>
      <c r="W662" s="35"/>
      <c r="X662" s="35"/>
      <c r="Y662" s="35"/>
      <c r="Z662" s="35"/>
    </row>
    <row r="663" ht="14.25" customHeight="1">
      <c r="A663" s="452"/>
      <c r="B663" s="494"/>
      <c r="C663" s="138"/>
      <c r="D663" s="495"/>
      <c r="E663" s="136"/>
      <c r="F663" s="496"/>
      <c r="G663" s="140"/>
      <c r="H663" s="141"/>
      <c r="I663" s="141"/>
      <c r="J663" s="142"/>
      <c r="K663" s="142"/>
      <c r="L663" s="142"/>
      <c r="M663" s="142"/>
      <c r="N663" s="136"/>
      <c r="O663" s="34"/>
      <c r="P663" s="35"/>
      <c r="Q663" s="35"/>
      <c r="R663" s="35"/>
      <c r="S663" s="35"/>
      <c r="T663" s="35"/>
      <c r="U663" s="35"/>
      <c r="V663" s="35"/>
      <c r="W663" s="35"/>
      <c r="X663" s="35"/>
      <c r="Y663" s="35"/>
      <c r="Z663" s="35"/>
    </row>
    <row r="664" ht="14.25" customHeight="1">
      <c r="A664" s="452"/>
      <c r="B664" s="494"/>
      <c r="C664" s="138"/>
      <c r="D664" s="495"/>
      <c r="E664" s="136"/>
      <c r="F664" s="496"/>
      <c r="G664" s="140"/>
      <c r="H664" s="141"/>
      <c r="I664" s="141"/>
      <c r="J664" s="142"/>
      <c r="K664" s="142"/>
      <c r="L664" s="142"/>
      <c r="M664" s="142"/>
      <c r="N664" s="136"/>
      <c r="O664" s="34"/>
      <c r="P664" s="35"/>
      <c r="Q664" s="35"/>
      <c r="R664" s="35"/>
      <c r="S664" s="35"/>
      <c r="T664" s="35"/>
      <c r="U664" s="35"/>
      <c r="V664" s="35"/>
      <c r="W664" s="35"/>
      <c r="X664" s="35"/>
      <c r="Y664" s="35"/>
      <c r="Z664" s="35"/>
    </row>
    <row r="665" ht="14.25" customHeight="1">
      <c r="A665" s="452"/>
      <c r="B665" s="494"/>
      <c r="C665" s="138"/>
      <c r="D665" s="495"/>
      <c r="E665" s="136"/>
      <c r="F665" s="496"/>
      <c r="G665" s="140"/>
      <c r="H665" s="141"/>
      <c r="I665" s="141"/>
      <c r="J665" s="142"/>
      <c r="K665" s="142"/>
      <c r="L665" s="142"/>
      <c r="M665" s="142"/>
      <c r="N665" s="136"/>
      <c r="O665" s="34"/>
      <c r="P665" s="35"/>
      <c r="Q665" s="35"/>
      <c r="R665" s="35"/>
      <c r="S665" s="35"/>
      <c r="T665" s="35"/>
      <c r="U665" s="35"/>
      <c r="V665" s="35"/>
      <c r="W665" s="35"/>
      <c r="X665" s="35"/>
      <c r="Y665" s="35"/>
      <c r="Z665" s="35"/>
    </row>
    <row r="666" ht="14.25" customHeight="1">
      <c r="A666" s="452"/>
      <c r="B666" s="494"/>
      <c r="C666" s="138"/>
      <c r="D666" s="495"/>
      <c r="E666" s="136"/>
      <c r="F666" s="496"/>
      <c r="G666" s="140"/>
      <c r="H666" s="141"/>
      <c r="I666" s="141"/>
      <c r="J666" s="142"/>
      <c r="K666" s="142"/>
      <c r="L666" s="142"/>
      <c r="M666" s="142"/>
      <c r="N666" s="136"/>
      <c r="O666" s="34"/>
      <c r="P666" s="35"/>
      <c r="Q666" s="35"/>
      <c r="R666" s="35"/>
      <c r="S666" s="35"/>
      <c r="T666" s="35"/>
      <c r="U666" s="35"/>
      <c r="V666" s="35"/>
      <c r="W666" s="35"/>
      <c r="X666" s="35"/>
      <c r="Y666" s="35"/>
      <c r="Z666" s="35"/>
    </row>
    <row r="667" ht="14.25" customHeight="1">
      <c r="A667" s="452"/>
      <c r="B667" s="494"/>
      <c r="C667" s="138"/>
      <c r="D667" s="495"/>
      <c r="E667" s="136"/>
      <c r="F667" s="496"/>
      <c r="G667" s="140"/>
      <c r="H667" s="141"/>
      <c r="I667" s="141"/>
      <c r="J667" s="142"/>
      <c r="K667" s="142"/>
      <c r="L667" s="142"/>
      <c r="M667" s="142"/>
      <c r="N667" s="136"/>
      <c r="O667" s="34"/>
      <c r="P667" s="35"/>
      <c r="Q667" s="35"/>
      <c r="R667" s="35"/>
      <c r="S667" s="35"/>
      <c r="T667" s="35"/>
      <c r="U667" s="35"/>
      <c r="V667" s="35"/>
      <c r="W667" s="35"/>
      <c r="X667" s="35"/>
      <c r="Y667" s="35"/>
      <c r="Z667" s="35"/>
    </row>
    <row r="668" ht="14.25" customHeight="1">
      <c r="A668" s="452"/>
      <c r="B668" s="494"/>
      <c r="C668" s="138"/>
      <c r="D668" s="495"/>
      <c r="E668" s="136"/>
      <c r="F668" s="496"/>
      <c r="G668" s="140"/>
      <c r="H668" s="141"/>
      <c r="I668" s="141"/>
      <c r="J668" s="142"/>
      <c r="K668" s="142"/>
      <c r="L668" s="142"/>
      <c r="M668" s="142"/>
      <c r="N668" s="136"/>
      <c r="O668" s="34"/>
      <c r="P668" s="35"/>
      <c r="Q668" s="35"/>
      <c r="R668" s="35"/>
      <c r="S668" s="35"/>
      <c r="T668" s="35"/>
      <c r="U668" s="35"/>
      <c r="V668" s="35"/>
      <c r="W668" s="35"/>
      <c r="X668" s="35"/>
      <c r="Y668" s="35"/>
      <c r="Z668" s="35"/>
    </row>
    <row r="669" ht="14.25" customHeight="1">
      <c r="A669" s="452"/>
      <c r="B669" s="494"/>
      <c r="C669" s="138"/>
      <c r="D669" s="495"/>
      <c r="E669" s="136"/>
      <c r="F669" s="496"/>
      <c r="G669" s="140"/>
      <c r="H669" s="141"/>
      <c r="I669" s="141"/>
      <c r="J669" s="142"/>
      <c r="K669" s="142"/>
      <c r="L669" s="142"/>
      <c r="M669" s="142"/>
      <c r="N669" s="136"/>
      <c r="O669" s="34"/>
      <c r="P669" s="35"/>
      <c r="Q669" s="35"/>
      <c r="R669" s="35"/>
      <c r="S669" s="35"/>
      <c r="T669" s="35"/>
      <c r="U669" s="35"/>
      <c r="V669" s="35"/>
      <c r="W669" s="35"/>
      <c r="X669" s="35"/>
      <c r="Y669" s="35"/>
      <c r="Z669" s="35"/>
    </row>
    <row r="670" ht="14.25" customHeight="1">
      <c r="A670" s="452"/>
      <c r="B670" s="494"/>
      <c r="C670" s="138"/>
      <c r="D670" s="495"/>
      <c r="E670" s="136"/>
      <c r="F670" s="496"/>
      <c r="G670" s="140"/>
      <c r="H670" s="141"/>
      <c r="I670" s="141"/>
      <c r="J670" s="142"/>
      <c r="K670" s="142"/>
      <c r="L670" s="142"/>
      <c r="M670" s="142"/>
      <c r="N670" s="136"/>
      <c r="O670" s="34"/>
      <c r="P670" s="35"/>
      <c r="Q670" s="35"/>
      <c r="R670" s="35"/>
      <c r="S670" s="35"/>
      <c r="T670" s="35"/>
      <c r="U670" s="35"/>
      <c r="V670" s="35"/>
      <c r="W670" s="35"/>
      <c r="X670" s="35"/>
      <c r="Y670" s="35"/>
      <c r="Z670" s="35"/>
    </row>
    <row r="671" ht="14.25" customHeight="1">
      <c r="A671" s="452"/>
      <c r="B671" s="494"/>
      <c r="C671" s="138"/>
      <c r="D671" s="495"/>
      <c r="E671" s="136"/>
      <c r="F671" s="496"/>
      <c r="G671" s="140"/>
      <c r="H671" s="141"/>
      <c r="I671" s="141"/>
      <c r="J671" s="142"/>
      <c r="K671" s="142"/>
      <c r="L671" s="142"/>
      <c r="M671" s="142"/>
      <c r="N671" s="136"/>
      <c r="O671" s="34"/>
      <c r="P671" s="35"/>
      <c r="Q671" s="35"/>
      <c r="R671" s="35"/>
      <c r="S671" s="35"/>
      <c r="T671" s="35"/>
      <c r="U671" s="35"/>
      <c r="V671" s="35"/>
      <c r="W671" s="35"/>
      <c r="X671" s="35"/>
      <c r="Y671" s="35"/>
      <c r="Z671" s="35"/>
    </row>
    <row r="672" ht="14.25" customHeight="1">
      <c r="A672" s="452"/>
      <c r="B672" s="494"/>
      <c r="C672" s="138"/>
      <c r="D672" s="495"/>
      <c r="E672" s="136"/>
      <c r="F672" s="496"/>
      <c r="G672" s="140"/>
      <c r="H672" s="141"/>
      <c r="I672" s="141"/>
      <c r="J672" s="142"/>
      <c r="K672" s="142"/>
      <c r="L672" s="142"/>
      <c r="M672" s="142"/>
      <c r="N672" s="136"/>
      <c r="O672" s="34"/>
      <c r="P672" s="35"/>
      <c r="Q672" s="35"/>
      <c r="R672" s="35"/>
      <c r="S672" s="35"/>
      <c r="T672" s="35"/>
      <c r="U672" s="35"/>
      <c r="V672" s="35"/>
      <c r="W672" s="35"/>
      <c r="X672" s="35"/>
      <c r="Y672" s="35"/>
      <c r="Z672" s="35"/>
    </row>
    <row r="673" ht="14.25" customHeight="1">
      <c r="A673" s="452"/>
      <c r="B673" s="494"/>
      <c r="C673" s="138"/>
      <c r="D673" s="495"/>
      <c r="E673" s="136"/>
      <c r="F673" s="496"/>
      <c r="G673" s="140"/>
      <c r="H673" s="141"/>
      <c r="I673" s="141"/>
      <c r="J673" s="142"/>
      <c r="K673" s="142"/>
      <c r="L673" s="142"/>
      <c r="M673" s="142"/>
      <c r="N673" s="136"/>
      <c r="O673" s="34"/>
      <c r="P673" s="35"/>
      <c r="Q673" s="35"/>
      <c r="R673" s="35"/>
      <c r="S673" s="35"/>
      <c r="T673" s="35"/>
      <c r="U673" s="35"/>
      <c r="V673" s="35"/>
      <c r="W673" s="35"/>
      <c r="X673" s="35"/>
      <c r="Y673" s="35"/>
      <c r="Z673" s="35"/>
    </row>
    <row r="674" ht="14.25" customHeight="1">
      <c r="A674" s="452"/>
      <c r="B674" s="494"/>
      <c r="C674" s="138"/>
      <c r="D674" s="495"/>
      <c r="E674" s="136"/>
      <c r="F674" s="496"/>
      <c r="G674" s="140"/>
      <c r="H674" s="141"/>
      <c r="I674" s="141"/>
      <c r="J674" s="142"/>
      <c r="K674" s="142"/>
      <c r="L674" s="142"/>
      <c r="M674" s="142"/>
      <c r="N674" s="136"/>
      <c r="O674" s="34"/>
      <c r="P674" s="35"/>
      <c r="Q674" s="35"/>
      <c r="R674" s="35"/>
      <c r="S674" s="35"/>
      <c r="T674" s="35"/>
      <c r="U674" s="35"/>
      <c r="V674" s="35"/>
      <c r="W674" s="35"/>
      <c r="X674" s="35"/>
      <c r="Y674" s="35"/>
      <c r="Z674" s="35"/>
    </row>
    <row r="675" ht="14.25" customHeight="1">
      <c r="A675" s="452"/>
      <c r="B675" s="494"/>
      <c r="C675" s="138"/>
      <c r="D675" s="495"/>
      <c r="E675" s="136"/>
      <c r="F675" s="496"/>
      <c r="G675" s="140"/>
      <c r="H675" s="141"/>
      <c r="I675" s="141"/>
      <c r="J675" s="142"/>
      <c r="K675" s="142"/>
      <c r="L675" s="142"/>
      <c r="M675" s="142"/>
      <c r="N675" s="136"/>
      <c r="O675" s="34"/>
      <c r="P675" s="35"/>
      <c r="Q675" s="35"/>
      <c r="R675" s="35"/>
      <c r="S675" s="35"/>
      <c r="T675" s="35"/>
      <c r="U675" s="35"/>
      <c r="V675" s="35"/>
      <c r="W675" s="35"/>
      <c r="X675" s="35"/>
      <c r="Y675" s="35"/>
      <c r="Z675" s="35"/>
    </row>
    <row r="676" ht="14.25" customHeight="1">
      <c r="A676" s="452"/>
      <c r="B676" s="494"/>
      <c r="C676" s="138"/>
      <c r="D676" s="495"/>
      <c r="E676" s="136"/>
      <c r="F676" s="496"/>
      <c r="G676" s="140"/>
      <c r="H676" s="141"/>
      <c r="I676" s="141"/>
      <c r="J676" s="142"/>
      <c r="K676" s="142"/>
      <c r="L676" s="142"/>
      <c r="M676" s="142"/>
      <c r="N676" s="136"/>
      <c r="O676" s="34"/>
      <c r="P676" s="35"/>
      <c r="Q676" s="35"/>
      <c r="R676" s="35"/>
      <c r="S676" s="35"/>
      <c r="T676" s="35"/>
      <c r="U676" s="35"/>
      <c r="V676" s="35"/>
      <c r="W676" s="35"/>
      <c r="X676" s="35"/>
      <c r="Y676" s="35"/>
      <c r="Z676" s="35"/>
    </row>
    <row r="677" ht="14.25" customHeight="1">
      <c r="A677" s="452"/>
      <c r="B677" s="494"/>
      <c r="C677" s="138"/>
      <c r="D677" s="495"/>
      <c r="E677" s="136"/>
      <c r="F677" s="496"/>
      <c r="G677" s="140"/>
      <c r="H677" s="141"/>
      <c r="I677" s="141"/>
      <c r="J677" s="142"/>
      <c r="K677" s="142"/>
      <c r="L677" s="142"/>
      <c r="M677" s="142"/>
      <c r="N677" s="136"/>
      <c r="O677" s="34"/>
      <c r="P677" s="35"/>
      <c r="Q677" s="35"/>
      <c r="R677" s="35"/>
      <c r="S677" s="35"/>
      <c r="T677" s="35"/>
      <c r="U677" s="35"/>
      <c r="V677" s="35"/>
      <c r="W677" s="35"/>
      <c r="X677" s="35"/>
      <c r="Y677" s="35"/>
      <c r="Z677" s="35"/>
    </row>
    <row r="678" ht="14.25" customHeight="1">
      <c r="A678" s="452"/>
      <c r="B678" s="494"/>
      <c r="C678" s="138"/>
      <c r="D678" s="495"/>
      <c r="E678" s="136"/>
      <c r="F678" s="496"/>
      <c r="G678" s="140"/>
      <c r="H678" s="141"/>
      <c r="I678" s="141"/>
      <c r="J678" s="142"/>
      <c r="K678" s="142"/>
      <c r="L678" s="142"/>
      <c r="M678" s="142"/>
      <c r="N678" s="136"/>
      <c r="O678" s="34"/>
      <c r="P678" s="35"/>
      <c r="Q678" s="35"/>
      <c r="R678" s="35"/>
      <c r="S678" s="35"/>
      <c r="T678" s="35"/>
      <c r="U678" s="35"/>
      <c r="V678" s="35"/>
      <c r="W678" s="35"/>
      <c r="X678" s="35"/>
      <c r="Y678" s="35"/>
      <c r="Z678" s="35"/>
    </row>
    <row r="679" ht="14.25" customHeight="1">
      <c r="A679" s="452"/>
      <c r="B679" s="494"/>
      <c r="C679" s="138"/>
      <c r="D679" s="495"/>
      <c r="E679" s="136"/>
      <c r="F679" s="496"/>
      <c r="G679" s="140"/>
      <c r="H679" s="141"/>
      <c r="I679" s="141"/>
      <c r="J679" s="142"/>
      <c r="K679" s="142"/>
      <c r="L679" s="142"/>
      <c r="M679" s="142"/>
      <c r="N679" s="136"/>
      <c r="O679" s="34"/>
      <c r="P679" s="35"/>
      <c r="Q679" s="35"/>
      <c r="R679" s="35"/>
      <c r="S679" s="35"/>
      <c r="T679" s="35"/>
      <c r="U679" s="35"/>
      <c r="V679" s="35"/>
      <c r="W679" s="35"/>
      <c r="X679" s="35"/>
      <c r="Y679" s="35"/>
      <c r="Z679" s="35"/>
    </row>
    <row r="680" ht="14.25" customHeight="1">
      <c r="A680" s="452"/>
      <c r="B680" s="494"/>
      <c r="C680" s="138"/>
      <c r="D680" s="495"/>
      <c r="E680" s="136"/>
      <c r="F680" s="496"/>
      <c r="G680" s="140"/>
      <c r="H680" s="141"/>
      <c r="I680" s="141"/>
      <c r="J680" s="142"/>
      <c r="K680" s="142"/>
      <c r="L680" s="142"/>
      <c r="M680" s="142"/>
      <c r="N680" s="136"/>
      <c r="O680" s="34"/>
      <c r="P680" s="35"/>
      <c r="Q680" s="35"/>
      <c r="R680" s="35"/>
      <c r="S680" s="35"/>
      <c r="T680" s="35"/>
      <c r="U680" s="35"/>
      <c r="V680" s="35"/>
      <c r="W680" s="35"/>
      <c r="X680" s="35"/>
      <c r="Y680" s="35"/>
      <c r="Z680" s="35"/>
    </row>
    <row r="681" ht="14.25" customHeight="1">
      <c r="A681" s="452"/>
      <c r="B681" s="494"/>
      <c r="C681" s="138"/>
      <c r="D681" s="495"/>
      <c r="E681" s="136"/>
      <c r="F681" s="496"/>
      <c r="G681" s="140"/>
      <c r="H681" s="141"/>
      <c r="I681" s="141"/>
      <c r="J681" s="142"/>
      <c r="K681" s="142"/>
      <c r="L681" s="142"/>
      <c r="M681" s="142"/>
      <c r="N681" s="136"/>
      <c r="O681" s="34"/>
      <c r="P681" s="35"/>
      <c r="Q681" s="35"/>
      <c r="R681" s="35"/>
      <c r="S681" s="35"/>
      <c r="T681" s="35"/>
      <c r="U681" s="35"/>
      <c r="V681" s="35"/>
      <c r="W681" s="35"/>
      <c r="X681" s="35"/>
      <c r="Y681" s="35"/>
      <c r="Z681" s="35"/>
    </row>
    <row r="682" ht="14.25" customHeight="1">
      <c r="A682" s="452"/>
      <c r="B682" s="494"/>
      <c r="C682" s="138"/>
      <c r="D682" s="495"/>
      <c r="E682" s="136"/>
      <c r="F682" s="496"/>
      <c r="G682" s="140"/>
      <c r="H682" s="141"/>
      <c r="I682" s="141"/>
      <c r="J682" s="142"/>
      <c r="K682" s="142"/>
      <c r="L682" s="142"/>
      <c r="M682" s="142"/>
      <c r="N682" s="136"/>
      <c r="O682" s="34"/>
      <c r="P682" s="35"/>
      <c r="Q682" s="35"/>
      <c r="R682" s="35"/>
      <c r="S682" s="35"/>
      <c r="T682" s="35"/>
      <c r="U682" s="35"/>
      <c r="V682" s="35"/>
      <c r="W682" s="35"/>
      <c r="X682" s="35"/>
      <c r="Y682" s="35"/>
      <c r="Z682" s="35"/>
    </row>
    <row r="683" ht="14.25" customHeight="1">
      <c r="A683" s="452"/>
      <c r="B683" s="494"/>
      <c r="C683" s="138"/>
      <c r="D683" s="495"/>
      <c r="E683" s="136"/>
      <c r="F683" s="496"/>
      <c r="G683" s="140"/>
      <c r="H683" s="141"/>
      <c r="I683" s="141"/>
      <c r="J683" s="142"/>
      <c r="K683" s="142"/>
      <c r="L683" s="142"/>
      <c r="M683" s="142"/>
      <c r="N683" s="136"/>
      <c r="O683" s="34"/>
      <c r="P683" s="35"/>
      <c r="Q683" s="35"/>
      <c r="R683" s="35"/>
      <c r="S683" s="35"/>
      <c r="T683" s="35"/>
      <c r="U683" s="35"/>
      <c r="V683" s="35"/>
      <c r="W683" s="35"/>
      <c r="X683" s="35"/>
      <c r="Y683" s="35"/>
      <c r="Z683" s="35"/>
    </row>
    <row r="684" ht="14.25" customHeight="1">
      <c r="A684" s="452"/>
      <c r="B684" s="494"/>
      <c r="C684" s="138"/>
      <c r="D684" s="495"/>
      <c r="E684" s="136"/>
      <c r="F684" s="496"/>
      <c r="G684" s="140"/>
      <c r="H684" s="141"/>
      <c r="I684" s="141"/>
      <c r="J684" s="142"/>
      <c r="K684" s="142"/>
      <c r="L684" s="142"/>
      <c r="M684" s="142"/>
      <c r="N684" s="136"/>
      <c r="O684" s="34"/>
      <c r="P684" s="35"/>
      <c r="Q684" s="35"/>
      <c r="R684" s="35"/>
      <c r="S684" s="35"/>
      <c r="T684" s="35"/>
      <c r="U684" s="35"/>
      <c r="V684" s="35"/>
      <c r="W684" s="35"/>
      <c r="X684" s="35"/>
      <c r="Y684" s="35"/>
      <c r="Z684" s="35"/>
    </row>
    <row r="685" ht="14.25" customHeight="1">
      <c r="A685" s="452"/>
      <c r="B685" s="494"/>
      <c r="C685" s="138"/>
      <c r="D685" s="495"/>
      <c r="E685" s="136"/>
      <c r="F685" s="496"/>
      <c r="G685" s="140"/>
      <c r="H685" s="141"/>
      <c r="I685" s="141"/>
      <c r="J685" s="142"/>
      <c r="K685" s="142"/>
      <c r="L685" s="142"/>
      <c r="M685" s="142"/>
      <c r="N685" s="136"/>
      <c r="O685" s="34"/>
      <c r="P685" s="35"/>
      <c r="Q685" s="35"/>
      <c r="R685" s="35"/>
      <c r="S685" s="35"/>
      <c r="T685" s="35"/>
      <c r="U685" s="35"/>
      <c r="V685" s="35"/>
      <c r="W685" s="35"/>
      <c r="X685" s="35"/>
      <c r="Y685" s="35"/>
      <c r="Z685" s="35"/>
    </row>
    <row r="686" ht="14.25" customHeight="1">
      <c r="A686" s="452"/>
      <c r="B686" s="494"/>
      <c r="C686" s="138"/>
      <c r="D686" s="495"/>
      <c r="E686" s="136"/>
      <c r="F686" s="496"/>
      <c r="G686" s="140"/>
      <c r="H686" s="141"/>
      <c r="I686" s="141"/>
      <c r="J686" s="142"/>
      <c r="K686" s="142"/>
      <c r="L686" s="142"/>
      <c r="M686" s="142"/>
      <c r="N686" s="136"/>
      <c r="O686" s="34"/>
      <c r="P686" s="35"/>
      <c r="Q686" s="35"/>
      <c r="R686" s="35"/>
      <c r="S686" s="35"/>
      <c r="T686" s="35"/>
      <c r="U686" s="35"/>
      <c r="V686" s="35"/>
      <c r="W686" s="35"/>
      <c r="X686" s="35"/>
      <c r="Y686" s="35"/>
      <c r="Z686" s="35"/>
    </row>
    <row r="687" ht="14.25" customHeight="1">
      <c r="A687" s="452"/>
      <c r="B687" s="494"/>
      <c r="C687" s="138"/>
      <c r="D687" s="495"/>
      <c r="E687" s="136"/>
      <c r="F687" s="496"/>
      <c r="G687" s="140"/>
      <c r="H687" s="141"/>
      <c r="I687" s="141"/>
      <c r="J687" s="142"/>
      <c r="K687" s="142"/>
      <c r="L687" s="142"/>
      <c r="M687" s="142"/>
      <c r="N687" s="136"/>
      <c r="O687" s="34"/>
      <c r="P687" s="35"/>
      <c r="Q687" s="35"/>
      <c r="R687" s="35"/>
      <c r="S687" s="35"/>
      <c r="T687" s="35"/>
      <c r="U687" s="35"/>
      <c r="V687" s="35"/>
      <c r="W687" s="35"/>
      <c r="X687" s="35"/>
      <c r="Y687" s="35"/>
      <c r="Z687" s="35"/>
    </row>
    <row r="688" ht="14.25" customHeight="1">
      <c r="A688" s="452"/>
      <c r="B688" s="494"/>
      <c r="C688" s="138"/>
      <c r="D688" s="495"/>
      <c r="E688" s="136"/>
      <c r="F688" s="496"/>
      <c r="G688" s="140"/>
      <c r="H688" s="141"/>
      <c r="I688" s="141"/>
      <c r="J688" s="142"/>
      <c r="K688" s="142"/>
      <c r="L688" s="142"/>
      <c r="M688" s="142"/>
      <c r="N688" s="136"/>
      <c r="O688" s="34"/>
      <c r="P688" s="35"/>
      <c r="Q688" s="35"/>
      <c r="R688" s="35"/>
      <c r="S688" s="35"/>
      <c r="T688" s="35"/>
      <c r="U688" s="35"/>
      <c r="V688" s="35"/>
      <c r="W688" s="35"/>
      <c r="X688" s="35"/>
      <c r="Y688" s="35"/>
      <c r="Z688" s="35"/>
    </row>
    <row r="689" ht="14.25" customHeight="1">
      <c r="A689" s="452"/>
      <c r="B689" s="494"/>
      <c r="C689" s="138"/>
      <c r="D689" s="495"/>
      <c r="E689" s="136"/>
      <c r="F689" s="496"/>
      <c r="G689" s="140"/>
      <c r="H689" s="141"/>
      <c r="I689" s="141"/>
      <c r="J689" s="142"/>
      <c r="K689" s="142"/>
      <c r="L689" s="142"/>
      <c r="M689" s="142"/>
      <c r="N689" s="136"/>
      <c r="O689" s="34"/>
      <c r="P689" s="35"/>
      <c r="Q689" s="35"/>
      <c r="R689" s="35"/>
      <c r="S689" s="35"/>
      <c r="T689" s="35"/>
      <c r="U689" s="35"/>
      <c r="V689" s="35"/>
      <c r="W689" s="35"/>
      <c r="X689" s="35"/>
      <c r="Y689" s="35"/>
      <c r="Z689" s="35"/>
    </row>
    <row r="690" ht="14.25" customHeight="1">
      <c r="A690" s="452"/>
      <c r="B690" s="494"/>
      <c r="C690" s="138"/>
      <c r="D690" s="495"/>
      <c r="E690" s="136"/>
      <c r="F690" s="496"/>
      <c r="G690" s="140"/>
      <c r="H690" s="141"/>
      <c r="I690" s="141"/>
      <c r="J690" s="142"/>
      <c r="K690" s="142"/>
      <c r="L690" s="142"/>
      <c r="M690" s="142"/>
      <c r="N690" s="136"/>
      <c r="O690" s="34"/>
      <c r="P690" s="35"/>
      <c r="Q690" s="35"/>
      <c r="R690" s="35"/>
      <c r="S690" s="35"/>
      <c r="T690" s="35"/>
      <c r="U690" s="35"/>
      <c r="V690" s="35"/>
      <c r="W690" s="35"/>
      <c r="X690" s="35"/>
      <c r="Y690" s="35"/>
      <c r="Z690" s="35"/>
    </row>
    <row r="691" ht="14.25" customHeight="1">
      <c r="A691" s="452"/>
      <c r="B691" s="494"/>
      <c r="C691" s="138"/>
      <c r="D691" s="495"/>
      <c r="E691" s="136"/>
      <c r="F691" s="496"/>
      <c r="G691" s="140"/>
      <c r="H691" s="141"/>
      <c r="I691" s="141"/>
      <c r="J691" s="142"/>
      <c r="K691" s="142"/>
      <c r="L691" s="142"/>
      <c r="M691" s="142"/>
      <c r="N691" s="136"/>
      <c r="O691" s="34"/>
      <c r="P691" s="35"/>
      <c r="Q691" s="35"/>
      <c r="R691" s="35"/>
      <c r="S691" s="35"/>
      <c r="T691" s="35"/>
      <c r="U691" s="35"/>
      <c r="V691" s="35"/>
      <c r="W691" s="35"/>
      <c r="X691" s="35"/>
      <c r="Y691" s="35"/>
      <c r="Z691" s="35"/>
    </row>
    <row r="692" ht="14.25" customHeight="1">
      <c r="A692" s="452"/>
      <c r="B692" s="494"/>
      <c r="C692" s="138"/>
      <c r="D692" s="495"/>
      <c r="E692" s="136"/>
      <c r="F692" s="496"/>
      <c r="G692" s="140"/>
      <c r="H692" s="141"/>
      <c r="I692" s="141"/>
      <c r="J692" s="142"/>
      <c r="K692" s="142"/>
      <c r="L692" s="142"/>
      <c r="M692" s="142"/>
      <c r="N692" s="136"/>
      <c r="O692" s="34"/>
      <c r="P692" s="35"/>
      <c r="Q692" s="35"/>
      <c r="R692" s="35"/>
      <c r="S692" s="35"/>
      <c r="T692" s="35"/>
      <c r="U692" s="35"/>
      <c r="V692" s="35"/>
      <c r="W692" s="35"/>
      <c r="X692" s="35"/>
      <c r="Y692" s="35"/>
      <c r="Z692" s="35"/>
    </row>
    <row r="693" ht="14.25" customHeight="1">
      <c r="A693" s="452"/>
      <c r="B693" s="494"/>
      <c r="C693" s="138"/>
      <c r="D693" s="495"/>
      <c r="E693" s="136"/>
      <c r="F693" s="496"/>
      <c r="G693" s="140"/>
      <c r="H693" s="141"/>
      <c r="I693" s="141"/>
      <c r="J693" s="142"/>
      <c r="K693" s="142"/>
      <c r="L693" s="142"/>
      <c r="M693" s="142"/>
      <c r="N693" s="136"/>
      <c r="O693" s="34"/>
      <c r="P693" s="35"/>
      <c r="Q693" s="35"/>
      <c r="R693" s="35"/>
      <c r="S693" s="35"/>
      <c r="T693" s="35"/>
      <c r="U693" s="35"/>
      <c r="V693" s="35"/>
      <c r="W693" s="35"/>
      <c r="X693" s="35"/>
      <c r="Y693" s="35"/>
      <c r="Z693" s="35"/>
    </row>
    <row r="694" ht="14.25" customHeight="1">
      <c r="A694" s="452"/>
      <c r="B694" s="494"/>
      <c r="C694" s="138"/>
      <c r="D694" s="495"/>
      <c r="E694" s="136"/>
      <c r="F694" s="496"/>
      <c r="G694" s="140"/>
      <c r="H694" s="141"/>
      <c r="I694" s="141"/>
      <c r="J694" s="142"/>
      <c r="K694" s="142"/>
      <c r="L694" s="142"/>
      <c r="M694" s="142"/>
      <c r="N694" s="136"/>
      <c r="O694" s="34"/>
      <c r="P694" s="35"/>
      <c r="Q694" s="35"/>
      <c r="R694" s="35"/>
      <c r="S694" s="35"/>
      <c r="T694" s="35"/>
      <c r="U694" s="35"/>
      <c r="V694" s="35"/>
      <c r="W694" s="35"/>
      <c r="X694" s="35"/>
      <c r="Y694" s="35"/>
      <c r="Z694" s="35"/>
    </row>
    <row r="695" ht="14.25" customHeight="1">
      <c r="A695" s="452"/>
      <c r="B695" s="494"/>
      <c r="C695" s="138"/>
      <c r="D695" s="495"/>
      <c r="E695" s="136"/>
      <c r="F695" s="496"/>
      <c r="G695" s="140"/>
      <c r="H695" s="141"/>
      <c r="I695" s="141"/>
      <c r="J695" s="142"/>
      <c r="K695" s="142"/>
      <c r="L695" s="142"/>
      <c r="M695" s="142"/>
      <c r="N695" s="136"/>
      <c r="O695" s="34"/>
      <c r="P695" s="35"/>
      <c r="Q695" s="35"/>
      <c r="R695" s="35"/>
      <c r="S695" s="35"/>
      <c r="T695" s="35"/>
      <c r="U695" s="35"/>
      <c r="V695" s="35"/>
      <c r="W695" s="35"/>
      <c r="X695" s="35"/>
      <c r="Y695" s="35"/>
      <c r="Z695" s="35"/>
    </row>
    <row r="696" ht="14.25" customHeight="1">
      <c r="A696" s="452"/>
      <c r="B696" s="494"/>
      <c r="C696" s="138"/>
      <c r="D696" s="495"/>
      <c r="E696" s="136"/>
      <c r="F696" s="496"/>
      <c r="G696" s="140"/>
      <c r="H696" s="141"/>
      <c r="I696" s="141"/>
      <c r="J696" s="142"/>
      <c r="K696" s="142"/>
      <c r="L696" s="142"/>
      <c r="M696" s="142"/>
      <c r="N696" s="136"/>
      <c r="O696" s="34"/>
      <c r="P696" s="35"/>
      <c r="Q696" s="35"/>
      <c r="R696" s="35"/>
      <c r="S696" s="35"/>
      <c r="T696" s="35"/>
      <c r="U696" s="35"/>
      <c r="V696" s="35"/>
      <c r="W696" s="35"/>
      <c r="X696" s="35"/>
      <c r="Y696" s="35"/>
      <c r="Z696" s="35"/>
    </row>
    <row r="697" ht="14.25" customHeight="1">
      <c r="A697" s="452"/>
      <c r="B697" s="494"/>
      <c r="C697" s="138"/>
      <c r="D697" s="495"/>
      <c r="E697" s="136"/>
      <c r="F697" s="496"/>
      <c r="G697" s="140"/>
      <c r="H697" s="141"/>
      <c r="I697" s="141"/>
      <c r="J697" s="142"/>
      <c r="K697" s="142"/>
      <c r="L697" s="142"/>
      <c r="M697" s="142"/>
      <c r="N697" s="136"/>
      <c r="O697" s="34"/>
      <c r="P697" s="35"/>
      <c r="Q697" s="35"/>
      <c r="R697" s="35"/>
      <c r="S697" s="35"/>
      <c r="T697" s="35"/>
      <c r="U697" s="35"/>
      <c r="V697" s="35"/>
      <c r="W697" s="35"/>
      <c r="X697" s="35"/>
      <c r="Y697" s="35"/>
      <c r="Z697" s="35"/>
    </row>
    <row r="698" ht="14.25" customHeight="1">
      <c r="A698" s="452"/>
      <c r="B698" s="494"/>
      <c r="C698" s="138"/>
      <c r="D698" s="495"/>
      <c r="E698" s="136"/>
      <c r="F698" s="496"/>
      <c r="G698" s="140"/>
      <c r="H698" s="141"/>
      <c r="I698" s="141"/>
      <c r="J698" s="142"/>
      <c r="K698" s="142"/>
      <c r="L698" s="142"/>
      <c r="M698" s="142"/>
      <c r="N698" s="136"/>
      <c r="O698" s="34"/>
      <c r="P698" s="35"/>
      <c r="Q698" s="35"/>
      <c r="R698" s="35"/>
      <c r="S698" s="35"/>
      <c r="T698" s="35"/>
      <c r="U698" s="35"/>
      <c r="V698" s="35"/>
      <c r="W698" s="35"/>
      <c r="X698" s="35"/>
      <c r="Y698" s="35"/>
      <c r="Z698" s="35"/>
    </row>
    <row r="699" ht="14.25" customHeight="1">
      <c r="A699" s="452"/>
      <c r="B699" s="494"/>
      <c r="C699" s="138"/>
      <c r="D699" s="495"/>
      <c r="E699" s="136"/>
      <c r="F699" s="496"/>
      <c r="G699" s="140"/>
      <c r="H699" s="141"/>
      <c r="I699" s="141"/>
      <c r="J699" s="142"/>
      <c r="K699" s="142"/>
      <c r="L699" s="142"/>
      <c r="M699" s="142"/>
      <c r="N699" s="136"/>
      <c r="O699" s="34"/>
      <c r="P699" s="35"/>
      <c r="Q699" s="35"/>
      <c r="R699" s="35"/>
      <c r="S699" s="35"/>
      <c r="T699" s="35"/>
      <c r="U699" s="35"/>
      <c r="V699" s="35"/>
      <c r="W699" s="35"/>
      <c r="X699" s="35"/>
      <c r="Y699" s="35"/>
      <c r="Z699" s="35"/>
    </row>
    <row r="700" ht="14.25" customHeight="1">
      <c r="A700" s="452"/>
      <c r="B700" s="494"/>
      <c r="C700" s="138"/>
      <c r="D700" s="495"/>
      <c r="E700" s="136"/>
      <c r="F700" s="496"/>
      <c r="G700" s="140"/>
      <c r="H700" s="141"/>
      <c r="I700" s="141"/>
      <c r="J700" s="142"/>
      <c r="K700" s="142"/>
      <c r="L700" s="142"/>
      <c r="M700" s="142"/>
      <c r="N700" s="136"/>
      <c r="O700" s="34"/>
      <c r="P700" s="35"/>
      <c r="Q700" s="35"/>
      <c r="R700" s="35"/>
      <c r="S700" s="35"/>
      <c r="T700" s="35"/>
      <c r="U700" s="35"/>
      <c r="V700" s="35"/>
      <c r="W700" s="35"/>
      <c r="X700" s="35"/>
      <c r="Y700" s="35"/>
      <c r="Z700" s="35"/>
    </row>
    <row r="701" ht="14.25" customHeight="1">
      <c r="A701" s="452"/>
      <c r="B701" s="494"/>
      <c r="C701" s="138"/>
      <c r="D701" s="495"/>
      <c r="E701" s="136"/>
      <c r="F701" s="496"/>
      <c r="G701" s="140"/>
      <c r="H701" s="141"/>
      <c r="I701" s="141"/>
      <c r="J701" s="142"/>
      <c r="K701" s="142"/>
      <c r="L701" s="142"/>
      <c r="M701" s="142"/>
      <c r="N701" s="136"/>
      <c r="O701" s="34"/>
      <c r="P701" s="35"/>
      <c r="Q701" s="35"/>
      <c r="R701" s="35"/>
      <c r="S701" s="35"/>
      <c r="T701" s="35"/>
      <c r="U701" s="35"/>
      <c r="V701" s="35"/>
      <c r="W701" s="35"/>
      <c r="X701" s="35"/>
      <c r="Y701" s="35"/>
      <c r="Z701" s="35"/>
    </row>
    <row r="702" ht="14.25" customHeight="1">
      <c r="A702" s="452"/>
      <c r="B702" s="494"/>
      <c r="C702" s="138"/>
      <c r="D702" s="495"/>
      <c r="E702" s="136"/>
      <c r="F702" s="496"/>
      <c r="G702" s="140"/>
      <c r="H702" s="141"/>
      <c r="I702" s="141"/>
      <c r="J702" s="142"/>
      <c r="K702" s="142"/>
      <c r="L702" s="142"/>
      <c r="M702" s="142"/>
      <c r="N702" s="136"/>
      <c r="O702" s="34"/>
      <c r="P702" s="35"/>
      <c r="Q702" s="35"/>
      <c r="R702" s="35"/>
      <c r="S702" s="35"/>
      <c r="T702" s="35"/>
      <c r="U702" s="35"/>
      <c r="V702" s="35"/>
      <c r="W702" s="35"/>
      <c r="X702" s="35"/>
      <c r="Y702" s="35"/>
      <c r="Z702" s="35"/>
    </row>
    <row r="703" ht="14.25" customHeight="1">
      <c r="A703" s="452"/>
      <c r="B703" s="494"/>
      <c r="C703" s="138"/>
      <c r="D703" s="495"/>
      <c r="E703" s="136"/>
      <c r="F703" s="496"/>
      <c r="G703" s="140"/>
      <c r="H703" s="141"/>
      <c r="I703" s="141"/>
      <c r="J703" s="142"/>
      <c r="K703" s="142"/>
      <c r="L703" s="142"/>
      <c r="M703" s="142"/>
      <c r="N703" s="136"/>
      <c r="O703" s="34"/>
      <c r="P703" s="35"/>
      <c r="Q703" s="35"/>
      <c r="R703" s="35"/>
      <c r="S703" s="35"/>
      <c r="T703" s="35"/>
      <c r="U703" s="35"/>
      <c r="V703" s="35"/>
      <c r="W703" s="35"/>
      <c r="X703" s="35"/>
      <c r="Y703" s="35"/>
      <c r="Z703" s="35"/>
    </row>
    <row r="704" ht="14.25" customHeight="1">
      <c r="A704" s="452"/>
      <c r="B704" s="494"/>
      <c r="C704" s="138"/>
      <c r="D704" s="495"/>
      <c r="E704" s="136"/>
      <c r="F704" s="496"/>
      <c r="G704" s="140"/>
      <c r="H704" s="141"/>
      <c r="I704" s="141"/>
      <c r="J704" s="142"/>
      <c r="K704" s="142"/>
      <c r="L704" s="142"/>
      <c r="M704" s="142"/>
      <c r="N704" s="136"/>
      <c r="O704" s="34"/>
      <c r="P704" s="35"/>
      <c r="Q704" s="35"/>
      <c r="R704" s="35"/>
      <c r="S704" s="35"/>
      <c r="T704" s="35"/>
      <c r="U704" s="35"/>
      <c r="V704" s="35"/>
      <c r="W704" s="35"/>
      <c r="X704" s="35"/>
      <c r="Y704" s="35"/>
      <c r="Z704" s="35"/>
    </row>
    <row r="705" ht="14.25" customHeight="1">
      <c r="A705" s="452"/>
      <c r="B705" s="494"/>
      <c r="C705" s="138"/>
      <c r="D705" s="495"/>
      <c r="E705" s="136"/>
      <c r="F705" s="496"/>
      <c r="G705" s="140"/>
      <c r="H705" s="141"/>
      <c r="I705" s="141"/>
      <c r="J705" s="142"/>
      <c r="K705" s="142"/>
      <c r="L705" s="142"/>
      <c r="M705" s="142"/>
      <c r="N705" s="136"/>
      <c r="O705" s="34"/>
      <c r="P705" s="35"/>
      <c r="Q705" s="35"/>
      <c r="R705" s="35"/>
      <c r="S705" s="35"/>
      <c r="T705" s="35"/>
      <c r="U705" s="35"/>
      <c r="V705" s="35"/>
      <c r="W705" s="35"/>
      <c r="X705" s="35"/>
      <c r="Y705" s="35"/>
      <c r="Z705" s="35"/>
    </row>
    <row r="706" ht="14.25" customHeight="1">
      <c r="A706" s="452"/>
      <c r="B706" s="494"/>
      <c r="C706" s="138"/>
      <c r="D706" s="495"/>
      <c r="E706" s="136"/>
      <c r="F706" s="496"/>
      <c r="G706" s="140"/>
      <c r="H706" s="141"/>
      <c r="I706" s="141"/>
      <c r="J706" s="142"/>
      <c r="K706" s="142"/>
      <c r="L706" s="142"/>
      <c r="M706" s="142"/>
      <c r="N706" s="136"/>
      <c r="O706" s="34"/>
      <c r="P706" s="35"/>
      <c r="Q706" s="35"/>
      <c r="R706" s="35"/>
      <c r="S706" s="35"/>
      <c r="T706" s="35"/>
      <c r="U706" s="35"/>
      <c r="V706" s="35"/>
      <c r="W706" s="35"/>
      <c r="X706" s="35"/>
      <c r="Y706" s="35"/>
      <c r="Z706" s="35"/>
    </row>
    <row r="707" ht="14.25" customHeight="1">
      <c r="A707" s="452"/>
      <c r="B707" s="494"/>
      <c r="C707" s="138"/>
      <c r="D707" s="495"/>
      <c r="E707" s="136"/>
      <c r="F707" s="496"/>
      <c r="G707" s="140"/>
      <c r="H707" s="141"/>
      <c r="I707" s="141"/>
      <c r="J707" s="142"/>
      <c r="K707" s="142"/>
      <c r="L707" s="142"/>
      <c r="M707" s="142"/>
      <c r="N707" s="136"/>
      <c r="O707" s="34"/>
      <c r="P707" s="35"/>
      <c r="Q707" s="35"/>
      <c r="R707" s="35"/>
      <c r="S707" s="35"/>
      <c r="T707" s="35"/>
      <c r="U707" s="35"/>
      <c r="V707" s="35"/>
      <c r="W707" s="35"/>
      <c r="X707" s="35"/>
      <c r="Y707" s="35"/>
      <c r="Z707" s="35"/>
    </row>
    <row r="708" ht="14.25" customHeight="1">
      <c r="A708" s="452"/>
      <c r="B708" s="494"/>
      <c r="C708" s="138"/>
      <c r="D708" s="495"/>
      <c r="E708" s="136"/>
      <c r="F708" s="496"/>
      <c r="G708" s="140"/>
      <c r="H708" s="141"/>
      <c r="I708" s="141"/>
      <c r="J708" s="142"/>
      <c r="K708" s="142"/>
      <c r="L708" s="142"/>
      <c r="M708" s="142"/>
      <c r="N708" s="136"/>
      <c r="O708" s="34"/>
      <c r="P708" s="35"/>
      <c r="Q708" s="35"/>
      <c r="R708" s="35"/>
      <c r="S708" s="35"/>
      <c r="T708" s="35"/>
      <c r="U708" s="35"/>
      <c r="V708" s="35"/>
      <c r="W708" s="35"/>
      <c r="X708" s="35"/>
      <c r="Y708" s="35"/>
      <c r="Z708" s="35"/>
    </row>
    <row r="709" ht="14.25" customHeight="1">
      <c r="A709" s="452"/>
      <c r="B709" s="494"/>
      <c r="C709" s="138"/>
      <c r="D709" s="495"/>
      <c r="E709" s="136"/>
      <c r="F709" s="496"/>
      <c r="G709" s="140"/>
      <c r="H709" s="141"/>
      <c r="I709" s="141"/>
      <c r="J709" s="142"/>
      <c r="K709" s="142"/>
      <c r="L709" s="142"/>
      <c r="M709" s="142"/>
      <c r="N709" s="136"/>
      <c r="O709" s="34"/>
      <c r="P709" s="35"/>
      <c r="Q709" s="35"/>
      <c r="R709" s="35"/>
      <c r="S709" s="35"/>
      <c r="T709" s="35"/>
      <c r="U709" s="35"/>
      <c r="V709" s="35"/>
      <c r="W709" s="35"/>
      <c r="X709" s="35"/>
      <c r="Y709" s="35"/>
      <c r="Z709" s="35"/>
    </row>
    <row r="710" ht="14.25" customHeight="1">
      <c r="A710" s="452"/>
      <c r="B710" s="494"/>
      <c r="C710" s="138"/>
      <c r="D710" s="495"/>
      <c r="E710" s="136"/>
      <c r="F710" s="496"/>
      <c r="G710" s="140"/>
      <c r="H710" s="141"/>
      <c r="I710" s="141"/>
      <c r="J710" s="142"/>
      <c r="K710" s="142"/>
      <c r="L710" s="142"/>
      <c r="M710" s="142"/>
      <c r="N710" s="136"/>
      <c r="O710" s="34"/>
      <c r="P710" s="35"/>
      <c r="Q710" s="35"/>
      <c r="R710" s="35"/>
      <c r="S710" s="35"/>
      <c r="T710" s="35"/>
      <c r="U710" s="35"/>
      <c r="V710" s="35"/>
      <c r="W710" s="35"/>
      <c r="X710" s="35"/>
      <c r="Y710" s="35"/>
      <c r="Z710" s="35"/>
    </row>
    <row r="711" ht="14.25" customHeight="1">
      <c r="A711" s="452"/>
      <c r="B711" s="494"/>
      <c r="C711" s="138"/>
      <c r="D711" s="495"/>
      <c r="E711" s="136"/>
      <c r="F711" s="496"/>
      <c r="G711" s="140"/>
      <c r="H711" s="141"/>
      <c r="I711" s="141"/>
      <c r="J711" s="142"/>
      <c r="K711" s="142"/>
      <c r="L711" s="142"/>
      <c r="M711" s="142"/>
      <c r="N711" s="136"/>
      <c r="O711" s="34"/>
      <c r="P711" s="35"/>
      <c r="Q711" s="35"/>
      <c r="R711" s="35"/>
      <c r="S711" s="35"/>
      <c r="T711" s="35"/>
      <c r="U711" s="35"/>
      <c r="V711" s="35"/>
      <c r="W711" s="35"/>
      <c r="X711" s="35"/>
      <c r="Y711" s="35"/>
      <c r="Z711" s="35"/>
    </row>
    <row r="712" ht="14.25" customHeight="1">
      <c r="A712" s="452"/>
      <c r="B712" s="494"/>
      <c r="C712" s="138"/>
      <c r="D712" s="495"/>
      <c r="E712" s="136"/>
      <c r="F712" s="496"/>
      <c r="G712" s="140"/>
      <c r="H712" s="141"/>
      <c r="I712" s="141"/>
      <c r="J712" s="142"/>
      <c r="K712" s="142"/>
      <c r="L712" s="142"/>
      <c r="M712" s="142"/>
      <c r="N712" s="136"/>
      <c r="O712" s="34"/>
      <c r="P712" s="35"/>
      <c r="Q712" s="35"/>
      <c r="R712" s="35"/>
      <c r="S712" s="35"/>
      <c r="T712" s="35"/>
      <c r="U712" s="35"/>
      <c r="V712" s="35"/>
      <c r="W712" s="35"/>
      <c r="X712" s="35"/>
      <c r="Y712" s="35"/>
      <c r="Z712" s="35"/>
    </row>
    <row r="713" ht="14.25" customHeight="1">
      <c r="A713" s="452"/>
      <c r="B713" s="494"/>
      <c r="C713" s="138"/>
      <c r="D713" s="495"/>
      <c r="E713" s="136"/>
      <c r="F713" s="496"/>
      <c r="G713" s="140"/>
      <c r="H713" s="141"/>
      <c r="I713" s="141"/>
      <c r="J713" s="142"/>
      <c r="K713" s="142"/>
      <c r="L713" s="142"/>
      <c r="M713" s="142"/>
      <c r="N713" s="136"/>
      <c r="O713" s="34"/>
      <c r="P713" s="35"/>
      <c r="Q713" s="35"/>
      <c r="R713" s="35"/>
      <c r="S713" s="35"/>
      <c r="T713" s="35"/>
      <c r="U713" s="35"/>
      <c r="V713" s="35"/>
      <c r="W713" s="35"/>
      <c r="X713" s="35"/>
      <c r="Y713" s="35"/>
      <c r="Z713" s="35"/>
    </row>
    <row r="714" ht="14.25" customHeight="1">
      <c r="A714" s="452"/>
      <c r="B714" s="494"/>
      <c r="C714" s="138"/>
      <c r="D714" s="495"/>
      <c r="E714" s="136"/>
      <c r="F714" s="496"/>
      <c r="G714" s="140"/>
      <c r="H714" s="141"/>
      <c r="I714" s="141"/>
      <c r="J714" s="142"/>
      <c r="K714" s="142"/>
      <c r="L714" s="142"/>
      <c r="M714" s="142"/>
      <c r="N714" s="136"/>
      <c r="O714" s="34"/>
      <c r="P714" s="35"/>
      <c r="Q714" s="35"/>
      <c r="R714" s="35"/>
      <c r="S714" s="35"/>
      <c r="T714" s="35"/>
      <c r="U714" s="35"/>
      <c r="V714" s="35"/>
      <c r="W714" s="35"/>
      <c r="X714" s="35"/>
      <c r="Y714" s="35"/>
      <c r="Z714" s="35"/>
    </row>
    <row r="715" ht="14.25" customHeight="1">
      <c r="A715" s="452"/>
      <c r="B715" s="494"/>
      <c r="C715" s="138"/>
      <c r="D715" s="495"/>
      <c r="E715" s="136"/>
      <c r="F715" s="496"/>
      <c r="G715" s="140"/>
      <c r="H715" s="141"/>
      <c r="I715" s="141"/>
      <c r="J715" s="142"/>
      <c r="K715" s="142"/>
      <c r="L715" s="142"/>
      <c r="M715" s="142"/>
      <c r="N715" s="136"/>
      <c r="O715" s="34"/>
      <c r="P715" s="35"/>
      <c r="Q715" s="35"/>
      <c r="R715" s="35"/>
      <c r="S715" s="35"/>
      <c r="T715" s="35"/>
      <c r="U715" s="35"/>
      <c r="V715" s="35"/>
      <c r="W715" s="35"/>
      <c r="X715" s="35"/>
      <c r="Y715" s="35"/>
      <c r="Z715" s="35"/>
    </row>
    <row r="716" ht="14.25" customHeight="1">
      <c r="A716" s="452"/>
      <c r="B716" s="494"/>
      <c r="C716" s="138"/>
      <c r="D716" s="495"/>
      <c r="E716" s="136"/>
      <c r="F716" s="496"/>
      <c r="G716" s="140"/>
      <c r="H716" s="141"/>
      <c r="I716" s="141"/>
      <c r="J716" s="142"/>
      <c r="K716" s="142"/>
      <c r="L716" s="142"/>
      <c r="M716" s="142"/>
      <c r="N716" s="136"/>
      <c r="O716" s="34"/>
      <c r="P716" s="35"/>
      <c r="Q716" s="35"/>
      <c r="R716" s="35"/>
      <c r="S716" s="35"/>
      <c r="T716" s="35"/>
      <c r="U716" s="35"/>
      <c r="V716" s="35"/>
      <c r="W716" s="35"/>
      <c r="X716" s="35"/>
      <c r="Y716" s="35"/>
      <c r="Z716" s="35"/>
    </row>
    <row r="717" ht="14.25" customHeight="1">
      <c r="A717" s="452"/>
      <c r="B717" s="494"/>
      <c r="C717" s="138"/>
      <c r="D717" s="495"/>
      <c r="E717" s="136"/>
      <c r="F717" s="496"/>
      <c r="G717" s="140"/>
      <c r="H717" s="141"/>
      <c r="I717" s="141"/>
      <c r="J717" s="142"/>
      <c r="K717" s="142"/>
      <c r="L717" s="142"/>
      <c r="M717" s="142"/>
      <c r="N717" s="136"/>
      <c r="O717" s="34"/>
      <c r="P717" s="35"/>
      <c r="Q717" s="35"/>
      <c r="R717" s="35"/>
      <c r="S717" s="35"/>
      <c r="T717" s="35"/>
      <c r="U717" s="35"/>
      <c r="V717" s="35"/>
      <c r="W717" s="35"/>
      <c r="X717" s="35"/>
      <c r="Y717" s="35"/>
      <c r="Z717" s="35"/>
    </row>
    <row r="718" ht="14.25" customHeight="1">
      <c r="A718" s="452"/>
      <c r="B718" s="494"/>
      <c r="C718" s="138"/>
      <c r="D718" s="495"/>
      <c r="E718" s="136"/>
      <c r="F718" s="496"/>
      <c r="G718" s="140"/>
      <c r="H718" s="141"/>
      <c r="I718" s="141"/>
      <c r="J718" s="142"/>
      <c r="K718" s="142"/>
      <c r="L718" s="142"/>
      <c r="M718" s="142"/>
      <c r="N718" s="136"/>
      <c r="O718" s="34"/>
      <c r="P718" s="35"/>
      <c r="Q718" s="35"/>
      <c r="R718" s="35"/>
      <c r="S718" s="35"/>
      <c r="T718" s="35"/>
      <c r="U718" s="35"/>
      <c r="V718" s="35"/>
      <c r="W718" s="35"/>
      <c r="X718" s="35"/>
      <c r="Y718" s="35"/>
      <c r="Z718" s="35"/>
    </row>
    <row r="719" ht="14.25" customHeight="1">
      <c r="A719" s="452"/>
      <c r="B719" s="494"/>
      <c r="C719" s="138"/>
      <c r="D719" s="495"/>
      <c r="E719" s="136"/>
      <c r="F719" s="496"/>
      <c r="G719" s="140"/>
      <c r="H719" s="141"/>
      <c r="I719" s="141"/>
      <c r="J719" s="142"/>
      <c r="K719" s="142"/>
      <c r="L719" s="142"/>
      <c r="M719" s="142"/>
      <c r="N719" s="136"/>
      <c r="O719" s="34"/>
      <c r="P719" s="35"/>
      <c r="Q719" s="35"/>
      <c r="R719" s="35"/>
      <c r="S719" s="35"/>
      <c r="T719" s="35"/>
      <c r="U719" s="35"/>
      <c r="V719" s="35"/>
      <c r="W719" s="35"/>
      <c r="X719" s="35"/>
      <c r="Y719" s="35"/>
      <c r="Z719" s="35"/>
    </row>
    <row r="720" ht="14.25" customHeight="1">
      <c r="A720" s="452"/>
      <c r="B720" s="494"/>
      <c r="C720" s="138"/>
      <c r="D720" s="495"/>
      <c r="E720" s="136"/>
      <c r="F720" s="496"/>
      <c r="G720" s="140"/>
      <c r="H720" s="141"/>
      <c r="I720" s="141"/>
      <c r="J720" s="142"/>
      <c r="K720" s="142"/>
      <c r="L720" s="142"/>
      <c r="M720" s="142"/>
      <c r="N720" s="136"/>
      <c r="O720" s="34"/>
      <c r="P720" s="35"/>
      <c r="Q720" s="35"/>
      <c r="R720" s="35"/>
      <c r="S720" s="35"/>
      <c r="T720" s="35"/>
      <c r="U720" s="35"/>
      <c r="V720" s="35"/>
      <c r="W720" s="35"/>
      <c r="X720" s="35"/>
      <c r="Y720" s="35"/>
      <c r="Z720" s="35"/>
    </row>
    <row r="721" ht="14.25" customHeight="1">
      <c r="A721" s="452"/>
      <c r="B721" s="494"/>
      <c r="C721" s="138"/>
      <c r="D721" s="495"/>
      <c r="E721" s="136"/>
      <c r="F721" s="496"/>
      <c r="G721" s="140"/>
      <c r="H721" s="141"/>
      <c r="I721" s="141"/>
      <c r="J721" s="142"/>
      <c r="K721" s="142"/>
      <c r="L721" s="142"/>
      <c r="M721" s="142"/>
      <c r="N721" s="136"/>
      <c r="O721" s="34"/>
      <c r="P721" s="35"/>
      <c r="Q721" s="35"/>
      <c r="R721" s="35"/>
      <c r="S721" s="35"/>
      <c r="T721" s="35"/>
      <c r="U721" s="35"/>
      <c r="V721" s="35"/>
      <c r="W721" s="35"/>
      <c r="X721" s="35"/>
      <c r="Y721" s="35"/>
      <c r="Z721" s="35"/>
    </row>
    <row r="722" ht="14.25" customHeight="1">
      <c r="A722" s="452"/>
      <c r="B722" s="494"/>
      <c r="C722" s="138"/>
      <c r="D722" s="495"/>
      <c r="E722" s="136"/>
      <c r="F722" s="496"/>
      <c r="G722" s="140"/>
      <c r="H722" s="141"/>
      <c r="I722" s="141"/>
      <c r="J722" s="142"/>
      <c r="K722" s="142"/>
      <c r="L722" s="142"/>
      <c r="M722" s="142"/>
      <c r="N722" s="136"/>
      <c r="O722" s="34"/>
      <c r="P722" s="35"/>
      <c r="Q722" s="35"/>
      <c r="R722" s="35"/>
      <c r="S722" s="35"/>
      <c r="T722" s="35"/>
      <c r="U722" s="35"/>
      <c r="V722" s="35"/>
      <c r="W722" s="35"/>
      <c r="X722" s="35"/>
      <c r="Y722" s="35"/>
      <c r="Z722" s="35"/>
    </row>
    <row r="723" ht="14.25" customHeight="1">
      <c r="A723" s="452"/>
      <c r="B723" s="494"/>
      <c r="C723" s="138"/>
      <c r="D723" s="495"/>
      <c r="E723" s="136"/>
      <c r="F723" s="496"/>
      <c r="G723" s="140"/>
      <c r="H723" s="141"/>
      <c r="I723" s="141"/>
      <c r="J723" s="142"/>
      <c r="K723" s="142"/>
      <c r="L723" s="142"/>
      <c r="M723" s="142"/>
      <c r="N723" s="136"/>
      <c r="O723" s="34"/>
      <c r="P723" s="35"/>
      <c r="Q723" s="35"/>
      <c r="R723" s="35"/>
      <c r="S723" s="35"/>
      <c r="T723" s="35"/>
      <c r="U723" s="35"/>
      <c r="V723" s="35"/>
      <c r="W723" s="35"/>
      <c r="X723" s="35"/>
      <c r="Y723" s="35"/>
      <c r="Z723" s="35"/>
    </row>
    <row r="724" ht="14.25" customHeight="1">
      <c r="A724" s="452"/>
      <c r="B724" s="494"/>
      <c r="C724" s="138"/>
      <c r="D724" s="495"/>
      <c r="E724" s="136"/>
      <c r="F724" s="496"/>
      <c r="G724" s="140"/>
      <c r="H724" s="141"/>
      <c r="I724" s="141"/>
      <c r="J724" s="142"/>
      <c r="K724" s="142"/>
      <c r="L724" s="142"/>
      <c r="M724" s="142"/>
      <c r="N724" s="136"/>
      <c r="O724" s="34"/>
      <c r="P724" s="35"/>
      <c r="Q724" s="35"/>
      <c r="R724" s="35"/>
      <c r="S724" s="35"/>
      <c r="T724" s="35"/>
      <c r="U724" s="35"/>
      <c r="V724" s="35"/>
      <c r="W724" s="35"/>
      <c r="X724" s="35"/>
      <c r="Y724" s="35"/>
      <c r="Z724" s="35"/>
    </row>
    <row r="725" ht="14.25" customHeight="1">
      <c r="A725" s="452"/>
      <c r="B725" s="494"/>
      <c r="C725" s="138"/>
      <c r="D725" s="495"/>
      <c r="E725" s="136"/>
      <c r="F725" s="496"/>
      <c r="G725" s="140"/>
      <c r="H725" s="141"/>
      <c r="I725" s="141"/>
      <c r="J725" s="142"/>
      <c r="K725" s="142"/>
      <c r="L725" s="142"/>
      <c r="M725" s="142"/>
      <c r="N725" s="136"/>
      <c r="O725" s="34"/>
      <c r="P725" s="35"/>
      <c r="Q725" s="35"/>
      <c r="R725" s="35"/>
      <c r="S725" s="35"/>
      <c r="T725" s="35"/>
      <c r="U725" s="35"/>
      <c r="V725" s="35"/>
      <c r="W725" s="35"/>
      <c r="X725" s="35"/>
      <c r="Y725" s="35"/>
      <c r="Z725" s="35"/>
    </row>
    <row r="726" ht="14.25" customHeight="1">
      <c r="A726" s="452"/>
      <c r="B726" s="494"/>
      <c r="C726" s="138"/>
      <c r="D726" s="495"/>
      <c r="E726" s="136"/>
      <c r="F726" s="496"/>
      <c r="G726" s="140"/>
      <c r="H726" s="141"/>
      <c r="I726" s="141"/>
      <c r="J726" s="142"/>
      <c r="K726" s="142"/>
      <c r="L726" s="142"/>
      <c r="M726" s="142"/>
      <c r="N726" s="136"/>
      <c r="O726" s="34"/>
      <c r="P726" s="35"/>
      <c r="Q726" s="35"/>
      <c r="R726" s="35"/>
      <c r="S726" s="35"/>
      <c r="T726" s="35"/>
      <c r="U726" s="35"/>
      <c r="V726" s="35"/>
      <c r="W726" s="35"/>
      <c r="X726" s="35"/>
      <c r="Y726" s="35"/>
      <c r="Z726" s="35"/>
    </row>
    <row r="727" ht="14.25" customHeight="1">
      <c r="A727" s="452"/>
      <c r="B727" s="494"/>
      <c r="C727" s="138"/>
      <c r="D727" s="495"/>
      <c r="E727" s="136"/>
      <c r="F727" s="496"/>
      <c r="G727" s="140"/>
      <c r="H727" s="141"/>
      <c r="I727" s="141"/>
      <c r="J727" s="142"/>
      <c r="K727" s="142"/>
      <c r="L727" s="142"/>
      <c r="M727" s="142"/>
      <c r="N727" s="136"/>
      <c r="O727" s="34"/>
      <c r="P727" s="35"/>
      <c r="Q727" s="35"/>
      <c r="R727" s="35"/>
      <c r="S727" s="35"/>
      <c r="T727" s="35"/>
      <c r="U727" s="35"/>
      <c r="V727" s="35"/>
      <c r="W727" s="35"/>
      <c r="X727" s="35"/>
      <c r="Y727" s="35"/>
      <c r="Z727" s="35"/>
    </row>
    <row r="728" ht="14.25" customHeight="1">
      <c r="A728" s="452"/>
      <c r="B728" s="494"/>
      <c r="C728" s="138"/>
      <c r="D728" s="495"/>
      <c r="E728" s="136"/>
      <c r="F728" s="496"/>
      <c r="G728" s="140"/>
      <c r="H728" s="141"/>
      <c r="I728" s="141"/>
      <c r="J728" s="142"/>
      <c r="K728" s="142"/>
      <c r="L728" s="142"/>
      <c r="M728" s="142"/>
      <c r="N728" s="136"/>
      <c r="O728" s="34"/>
      <c r="P728" s="35"/>
      <c r="Q728" s="35"/>
      <c r="R728" s="35"/>
      <c r="S728" s="35"/>
      <c r="T728" s="35"/>
      <c r="U728" s="35"/>
      <c r="V728" s="35"/>
      <c r="W728" s="35"/>
      <c r="X728" s="35"/>
      <c r="Y728" s="35"/>
      <c r="Z728" s="35"/>
    </row>
    <row r="729" ht="14.25" customHeight="1">
      <c r="A729" s="452"/>
      <c r="B729" s="494"/>
      <c r="C729" s="138"/>
      <c r="D729" s="495"/>
      <c r="E729" s="136"/>
      <c r="F729" s="496"/>
      <c r="G729" s="140"/>
      <c r="H729" s="141"/>
      <c r="I729" s="141"/>
      <c r="J729" s="142"/>
      <c r="K729" s="142"/>
      <c r="L729" s="142"/>
      <c r="M729" s="142"/>
      <c r="N729" s="136"/>
      <c r="O729" s="34"/>
      <c r="P729" s="35"/>
      <c r="Q729" s="35"/>
      <c r="R729" s="35"/>
      <c r="S729" s="35"/>
      <c r="T729" s="35"/>
      <c r="U729" s="35"/>
      <c r="V729" s="35"/>
      <c r="W729" s="35"/>
      <c r="X729" s="35"/>
      <c r="Y729" s="35"/>
      <c r="Z729" s="35"/>
    </row>
    <row r="730" ht="14.25" customHeight="1">
      <c r="A730" s="452"/>
      <c r="B730" s="494"/>
      <c r="C730" s="138"/>
      <c r="D730" s="495"/>
      <c r="E730" s="136"/>
      <c r="F730" s="496"/>
      <c r="G730" s="140"/>
      <c r="H730" s="141"/>
      <c r="I730" s="141"/>
      <c r="J730" s="142"/>
      <c r="K730" s="142"/>
      <c r="L730" s="142"/>
      <c r="M730" s="142"/>
      <c r="N730" s="136"/>
      <c r="O730" s="34"/>
      <c r="P730" s="35"/>
      <c r="Q730" s="35"/>
      <c r="R730" s="35"/>
      <c r="S730" s="35"/>
      <c r="T730" s="35"/>
      <c r="U730" s="35"/>
      <c r="V730" s="35"/>
      <c r="W730" s="35"/>
      <c r="X730" s="35"/>
      <c r="Y730" s="35"/>
      <c r="Z730" s="35"/>
    </row>
    <row r="731" ht="14.25" customHeight="1">
      <c r="A731" s="452"/>
      <c r="B731" s="494"/>
      <c r="C731" s="138"/>
      <c r="D731" s="495"/>
      <c r="E731" s="136"/>
      <c r="F731" s="496"/>
      <c r="G731" s="140"/>
      <c r="H731" s="141"/>
      <c r="I731" s="141"/>
      <c r="J731" s="142"/>
      <c r="K731" s="142"/>
      <c r="L731" s="142"/>
      <c r="M731" s="142"/>
      <c r="N731" s="136"/>
      <c r="O731" s="34"/>
      <c r="P731" s="35"/>
      <c r="Q731" s="35"/>
      <c r="R731" s="35"/>
      <c r="S731" s="35"/>
      <c r="T731" s="35"/>
      <c r="U731" s="35"/>
      <c r="V731" s="35"/>
      <c r="W731" s="35"/>
      <c r="X731" s="35"/>
      <c r="Y731" s="35"/>
      <c r="Z731" s="35"/>
    </row>
    <row r="732" ht="14.25" customHeight="1">
      <c r="A732" s="452"/>
      <c r="B732" s="494"/>
      <c r="C732" s="138"/>
      <c r="D732" s="495"/>
      <c r="E732" s="136"/>
      <c r="F732" s="496"/>
      <c r="G732" s="140"/>
      <c r="H732" s="141"/>
      <c r="I732" s="141"/>
      <c r="J732" s="142"/>
      <c r="K732" s="142"/>
      <c r="L732" s="142"/>
      <c r="M732" s="142"/>
      <c r="N732" s="136"/>
      <c r="O732" s="34"/>
      <c r="P732" s="35"/>
      <c r="Q732" s="35"/>
      <c r="R732" s="35"/>
      <c r="S732" s="35"/>
      <c r="T732" s="35"/>
      <c r="U732" s="35"/>
      <c r="V732" s="35"/>
      <c r="W732" s="35"/>
      <c r="X732" s="35"/>
      <c r="Y732" s="35"/>
      <c r="Z732" s="35"/>
    </row>
    <row r="733" ht="14.25" customHeight="1">
      <c r="A733" s="452"/>
      <c r="B733" s="494"/>
      <c r="C733" s="138"/>
      <c r="D733" s="495"/>
      <c r="E733" s="136"/>
      <c r="F733" s="496"/>
      <c r="G733" s="140"/>
      <c r="H733" s="141"/>
      <c r="I733" s="141"/>
      <c r="J733" s="142"/>
      <c r="K733" s="142"/>
      <c r="L733" s="142"/>
      <c r="M733" s="142"/>
      <c r="N733" s="136"/>
      <c r="O733" s="34"/>
      <c r="P733" s="35"/>
      <c r="Q733" s="35"/>
      <c r="R733" s="35"/>
      <c r="S733" s="35"/>
      <c r="T733" s="35"/>
      <c r="U733" s="35"/>
      <c r="V733" s="35"/>
      <c r="W733" s="35"/>
      <c r="X733" s="35"/>
      <c r="Y733" s="35"/>
      <c r="Z733" s="35"/>
    </row>
    <row r="734" ht="14.25" customHeight="1">
      <c r="A734" s="452"/>
      <c r="B734" s="494"/>
      <c r="C734" s="138"/>
      <c r="D734" s="495"/>
      <c r="E734" s="136"/>
      <c r="F734" s="496"/>
      <c r="G734" s="140"/>
      <c r="H734" s="141"/>
      <c r="I734" s="141"/>
      <c r="J734" s="142"/>
      <c r="K734" s="142"/>
      <c r="L734" s="142"/>
      <c r="M734" s="142"/>
      <c r="N734" s="136"/>
      <c r="O734" s="34"/>
      <c r="P734" s="35"/>
      <c r="Q734" s="35"/>
      <c r="R734" s="35"/>
      <c r="S734" s="35"/>
      <c r="T734" s="35"/>
      <c r="U734" s="35"/>
      <c r="V734" s="35"/>
      <c r="W734" s="35"/>
      <c r="X734" s="35"/>
      <c r="Y734" s="35"/>
      <c r="Z734" s="35"/>
    </row>
    <row r="735" ht="14.25" customHeight="1">
      <c r="A735" s="452"/>
      <c r="B735" s="494"/>
      <c r="C735" s="138"/>
      <c r="D735" s="495"/>
      <c r="E735" s="136"/>
      <c r="F735" s="496"/>
      <c r="G735" s="140"/>
      <c r="H735" s="141"/>
      <c r="I735" s="141"/>
      <c r="J735" s="142"/>
      <c r="K735" s="142"/>
      <c r="L735" s="142"/>
      <c r="M735" s="142"/>
      <c r="N735" s="136"/>
      <c r="O735" s="34"/>
      <c r="P735" s="35"/>
      <c r="Q735" s="35"/>
      <c r="R735" s="35"/>
      <c r="S735" s="35"/>
      <c r="T735" s="35"/>
      <c r="U735" s="35"/>
      <c r="V735" s="35"/>
      <c r="W735" s="35"/>
      <c r="X735" s="35"/>
      <c r="Y735" s="35"/>
      <c r="Z735" s="35"/>
    </row>
    <row r="736" ht="14.25" customHeight="1">
      <c r="A736" s="452"/>
      <c r="B736" s="494"/>
      <c r="C736" s="138"/>
      <c r="D736" s="495"/>
      <c r="E736" s="136"/>
      <c r="F736" s="496"/>
      <c r="G736" s="140"/>
      <c r="H736" s="141"/>
      <c r="I736" s="141"/>
      <c r="J736" s="142"/>
      <c r="K736" s="142"/>
      <c r="L736" s="142"/>
      <c r="M736" s="142"/>
      <c r="N736" s="136"/>
      <c r="O736" s="34"/>
      <c r="P736" s="35"/>
      <c r="Q736" s="35"/>
      <c r="R736" s="35"/>
      <c r="S736" s="35"/>
      <c r="T736" s="35"/>
      <c r="U736" s="35"/>
      <c r="V736" s="35"/>
      <c r="W736" s="35"/>
      <c r="X736" s="35"/>
      <c r="Y736" s="35"/>
      <c r="Z736" s="35"/>
    </row>
    <row r="737" ht="14.25" customHeight="1">
      <c r="A737" s="452"/>
      <c r="B737" s="494"/>
      <c r="C737" s="138"/>
      <c r="D737" s="495"/>
      <c r="E737" s="136"/>
      <c r="F737" s="496"/>
      <c r="G737" s="140"/>
      <c r="H737" s="141"/>
      <c r="I737" s="141"/>
      <c r="J737" s="142"/>
      <c r="K737" s="142"/>
      <c r="L737" s="142"/>
      <c r="M737" s="142"/>
      <c r="N737" s="136"/>
      <c r="O737" s="34"/>
      <c r="P737" s="35"/>
      <c r="Q737" s="35"/>
      <c r="R737" s="35"/>
      <c r="S737" s="35"/>
      <c r="T737" s="35"/>
      <c r="U737" s="35"/>
      <c r="V737" s="35"/>
      <c r="W737" s="35"/>
      <c r="X737" s="35"/>
      <c r="Y737" s="35"/>
      <c r="Z737" s="35"/>
    </row>
    <row r="738" ht="14.25" customHeight="1">
      <c r="A738" s="452"/>
      <c r="B738" s="494"/>
      <c r="C738" s="138"/>
      <c r="D738" s="495"/>
      <c r="E738" s="136"/>
      <c r="F738" s="496"/>
      <c r="G738" s="140"/>
      <c r="H738" s="141"/>
      <c r="I738" s="141"/>
      <c r="J738" s="142"/>
      <c r="K738" s="142"/>
      <c r="L738" s="142"/>
      <c r="M738" s="142"/>
      <c r="N738" s="136"/>
      <c r="O738" s="34"/>
      <c r="P738" s="35"/>
      <c r="Q738" s="35"/>
      <c r="R738" s="35"/>
      <c r="S738" s="35"/>
      <c r="T738" s="35"/>
      <c r="U738" s="35"/>
      <c r="V738" s="35"/>
      <c r="W738" s="35"/>
      <c r="X738" s="35"/>
      <c r="Y738" s="35"/>
      <c r="Z738" s="35"/>
    </row>
    <row r="739" ht="14.25" customHeight="1">
      <c r="A739" s="452"/>
      <c r="B739" s="494"/>
      <c r="C739" s="138"/>
      <c r="D739" s="495"/>
      <c r="E739" s="136"/>
      <c r="F739" s="496"/>
      <c r="G739" s="140"/>
      <c r="H739" s="141"/>
      <c r="I739" s="141"/>
      <c r="J739" s="142"/>
      <c r="K739" s="142"/>
      <c r="L739" s="142"/>
      <c r="M739" s="142"/>
      <c r="N739" s="136"/>
      <c r="O739" s="34"/>
      <c r="P739" s="35"/>
      <c r="Q739" s="35"/>
      <c r="R739" s="35"/>
      <c r="S739" s="35"/>
      <c r="T739" s="35"/>
      <c r="U739" s="35"/>
      <c r="V739" s="35"/>
      <c r="W739" s="35"/>
      <c r="X739" s="35"/>
      <c r="Y739" s="35"/>
      <c r="Z739" s="35"/>
    </row>
    <row r="740" ht="14.25" customHeight="1">
      <c r="A740" s="452"/>
      <c r="B740" s="494"/>
      <c r="C740" s="138"/>
      <c r="D740" s="495"/>
      <c r="E740" s="136"/>
      <c r="F740" s="496"/>
      <c r="G740" s="140"/>
      <c r="H740" s="141"/>
      <c r="I740" s="141"/>
      <c r="J740" s="142"/>
      <c r="K740" s="142"/>
      <c r="L740" s="142"/>
      <c r="M740" s="142"/>
      <c r="N740" s="136"/>
      <c r="O740" s="34"/>
      <c r="P740" s="35"/>
      <c r="Q740" s="35"/>
      <c r="R740" s="35"/>
      <c r="S740" s="35"/>
      <c r="T740" s="35"/>
      <c r="U740" s="35"/>
      <c r="V740" s="35"/>
      <c r="W740" s="35"/>
      <c r="X740" s="35"/>
      <c r="Y740" s="35"/>
      <c r="Z740" s="35"/>
    </row>
    <row r="741" ht="14.25" customHeight="1">
      <c r="A741" s="452"/>
      <c r="B741" s="494"/>
      <c r="C741" s="138"/>
      <c r="D741" s="495"/>
      <c r="E741" s="136"/>
      <c r="F741" s="496"/>
      <c r="G741" s="140"/>
      <c r="H741" s="141"/>
      <c r="I741" s="141"/>
      <c r="J741" s="142"/>
      <c r="K741" s="142"/>
      <c r="L741" s="142"/>
      <c r="M741" s="142"/>
      <c r="N741" s="136"/>
      <c r="O741" s="34"/>
      <c r="P741" s="35"/>
      <c r="Q741" s="35"/>
      <c r="R741" s="35"/>
      <c r="S741" s="35"/>
      <c r="T741" s="35"/>
      <c r="U741" s="35"/>
      <c r="V741" s="35"/>
      <c r="W741" s="35"/>
      <c r="X741" s="35"/>
      <c r="Y741" s="35"/>
      <c r="Z741" s="35"/>
    </row>
    <row r="742" ht="14.25" customHeight="1">
      <c r="A742" s="452"/>
      <c r="B742" s="494"/>
      <c r="C742" s="138"/>
      <c r="D742" s="495"/>
      <c r="E742" s="136"/>
      <c r="F742" s="496"/>
      <c r="G742" s="140"/>
      <c r="H742" s="141"/>
      <c r="I742" s="141"/>
      <c r="J742" s="142"/>
      <c r="K742" s="142"/>
      <c r="L742" s="142"/>
      <c r="M742" s="142"/>
      <c r="N742" s="136"/>
      <c r="O742" s="34"/>
      <c r="P742" s="35"/>
      <c r="Q742" s="35"/>
      <c r="R742" s="35"/>
      <c r="S742" s="35"/>
      <c r="T742" s="35"/>
      <c r="U742" s="35"/>
      <c r="V742" s="35"/>
      <c r="W742" s="35"/>
      <c r="X742" s="35"/>
      <c r="Y742" s="35"/>
      <c r="Z742" s="35"/>
    </row>
    <row r="743" ht="14.25" customHeight="1">
      <c r="A743" s="452"/>
      <c r="B743" s="494"/>
      <c r="C743" s="138"/>
      <c r="D743" s="495"/>
      <c r="E743" s="136"/>
      <c r="F743" s="496"/>
      <c r="G743" s="140"/>
      <c r="H743" s="141"/>
      <c r="I743" s="141"/>
      <c r="J743" s="142"/>
      <c r="K743" s="142"/>
      <c r="L743" s="142"/>
      <c r="M743" s="142"/>
      <c r="N743" s="136"/>
      <c r="O743" s="34"/>
      <c r="P743" s="35"/>
      <c r="Q743" s="35"/>
      <c r="R743" s="35"/>
      <c r="S743" s="35"/>
      <c r="T743" s="35"/>
      <c r="U743" s="35"/>
      <c r="V743" s="35"/>
      <c r="W743" s="35"/>
      <c r="X743" s="35"/>
      <c r="Y743" s="35"/>
      <c r="Z743" s="35"/>
    </row>
    <row r="744" ht="14.25" customHeight="1">
      <c r="A744" s="452"/>
      <c r="B744" s="494"/>
      <c r="C744" s="138"/>
      <c r="D744" s="495"/>
      <c r="E744" s="136"/>
      <c r="F744" s="496"/>
      <c r="G744" s="140"/>
      <c r="H744" s="141"/>
      <c r="I744" s="141"/>
      <c r="J744" s="142"/>
      <c r="K744" s="142"/>
      <c r="L744" s="142"/>
      <c r="M744" s="142"/>
      <c r="N744" s="136"/>
      <c r="O744" s="34"/>
      <c r="P744" s="35"/>
      <c r="Q744" s="35"/>
      <c r="R744" s="35"/>
      <c r="S744" s="35"/>
      <c r="T744" s="35"/>
      <c r="U744" s="35"/>
      <c r="V744" s="35"/>
      <c r="W744" s="35"/>
      <c r="X744" s="35"/>
      <c r="Y744" s="35"/>
      <c r="Z744" s="35"/>
    </row>
    <row r="745" ht="14.25" customHeight="1">
      <c r="A745" s="452"/>
      <c r="B745" s="494"/>
      <c r="C745" s="138"/>
      <c r="D745" s="495"/>
      <c r="E745" s="136"/>
      <c r="F745" s="496"/>
      <c r="G745" s="140"/>
      <c r="H745" s="141"/>
      <c r="I745" s="141"/>
      <c r="J745" s="142"/>
      <c r="K745" s="142"/>
      <c r="L745" s="142"/>
      <c r="M745" s="142"/>
      <c r="N745" s="136"/>
      <c r="O745" s="34"/>
      <c r="P745" s="35"/>
      <c r="Q745" s="35"/>
      <c r="R745" s="35"/>
      <c r="S745" s="35"/>
      <c r="T745" s="35"/>
      <c r="U745" s="35"/>
      <c r="V745" s="35"/>
      <c r="W745" s="35"/>
      <c r="X745" s="35"/>
      <c r="Y745" s="35"/>
      <c r="Z745" s="35"/>
    </row>
    <row r="746" ht="14.25" customHeight="1">
      <c r="A746" s="452"/>
      <c r="B746" s="494"/>
      <c r="C746" s="138"/>
      <c r="D746" s="495"/>
      <c r="E746" s="136"/>
      <c r="F746" s="496"/>
      <c r="G746" s="140"/>
      <c r="H746" s="141"/>
      <c r="I746" s="141"/>
      <c r="J746" s="142"/>
      <c r="K746" s="142"/>
      <c r="L746" s="142"/>
      <c r="M746" s="142"/>
      <c r="N746" s="136"/>
      <c r="O746" s="34"/>
      <c r="P746" s="35"/>
      <c r="Q746" s="35"/>
      <c r="R746" s="35"/>
      <c r="S746" s="35"/>
      <c r="T746" s="35"/>
      <c r="U746" s="35"/>
      <c r="V746" s="35"/>
      <c r="W746" s="35"/>
      <c r="X746" s="35"/>
      <c r="Y746" s="35"/>
      <c r="Z746" s="35"/>
    </row>
    <row r="747" ht="14.25" customHeight="1">
      <c r="A747" s="452"/>
      <c r="B747" s="494"/>
      <c r="C747" s="138"/>
      <c r="D747" s="495"/>
      <c r="E747" s="136"/>
      <c r="F747" s="496"/>
      <c r="G747" s="140"/>
      <c r="H747" s="141"/>
      <c r="I747" s="141"/>
      <c r="J747" s="142"/>
      <c r="K747" s="142"/>
      <c r="L747" s="142"/>
      <c r="M747" s="142"/>
      <c r="N747" s="136"/>
      <c r="O747" s="34"/>
      <c r="P747" s="35"/>
      <c r="Q747" s="35"/>
      <c r="R747" s="35"/>
      <c r="S747" s="35"/>
      <c r="T747" s="35"/>
      <c r="U747" s="35"/>
      <c r="V747" s="35"/>
      <c r="W747" s="35"/>
      <c r="X747" s="35"/>
      <c r="Y747" s="35"/>
      <c r="Z747" s="35"/>
    </row>
    <row r="748" ht="14.25" customHeight="1">
      <c r="A748" s="452"/>
      <c r="B748" s="494"/>
      <c r="C748" s="138"/>
      <c r="D748" s="495"/>
      <c r="E748" s="136"/>
      <c r="F748" s="496"/>
      <c r="G748" s="140"/>
      <c r="H748" s="141"/>
      <c r="I748" s="141"/>
      <c r="J748" s="142"/>
      <c r="K748" s="142"/>
      <c r="L748" s="142"/>
      <c r="M748" s="142"/>
      <c r="N748" s="136"/>
      <c r="O748" s="34"/>
      <c r="P748" s="35"/>
      <c r="Q748" s="35"/>
      <c r="R748" s="35"/>
      <c r="S748" s="35"/>
      <c r="T748" s="35"/>
      <c r="U748" s="35"/>
      <c r="V748" s="35"/>
      <c r="W748" s="35"/>
      <c r="X748" s="35"/>
      <c r="Y748" s="35"/>
      <c r="Z748" s="35"/>
    </row>
    <row r="749" ht="14.25" customHeight="1">
      <c r="A749" s="452"/>
      <c r="B749" s="494"/>
      <c r="C749" s="138"/>
      <c r="D749" s="495"/>
      <c r="E749" s="136"/>
      <c r="F749" s="496"/>
      <c r="G749" s="140"/>
      <c r="H749" s="141"/>
      <c r="I749" s="141"/>
      <c r="J749" s="142"/>
      <c r="K749" s="142"/>
      <c r="L749" s="142"/>
      <c r="M749" s="142"/>
      <c r="N749" s="136"/>
      <c r="O749" s="34"/>
      <c r="P749" s="35"/>
      <c r="Q749" s="35"/>
      <c r="R749" s="35"/>
      <c r="S749" s="35"/>
      <c r="T749" s="35"/>
      <c r="U749" s="35"/>
      <c r="V749" s="35"/>
      <c r="W749" s="35"/>
      <c r="X749" s="35"/>
      <c r="Y749" s="35"/>
      <c r="Z749" s="35"/>
    </row>
    <row r="750" ht="14.25" customHeight="1">
      <c r="A750" s="452"/>
      <c r="B750" s="494"/>
      <c r="C750" s="138"/>
      <c r="D750" s="495"/>
      <c r="E750" s="136"/>
      <c r="F750" s="496"/>
      <c r="G750" s="140"/>
      <c r="H750" s="141"/>
      <c r="I750" s="141"/>
      <c r="J750" s="142"/>
      <c r="K750" s="142"/>
      <c r="L750" s="142"/>
      <c r="M750" s="142"/>
      <c r="N750" s="136"/>
      <c r="O750" s="34"/>
      <c r="P750" s="35"/>
      <c r="Q750" s="35"/>
      <c r="R750" s="35"/>
      <c r="S750" s="35"/>
      <c r="T750" s="35"/>
      <c r="U750" s="35"/>
      <c r="V750" s="35"/>
      <c r="W750" s="35"/>
      <c r="X750" s="35"/>
      <c r="Y750" s="35"/>
      <c r="Z750" s="35"/>
    </row>
    <row r="751" ht="14.25" customHeight="1">
      <c r="A751" s="452"/>
      <c r="B751" s="494"/>
      <c r="C751" s="138"/>
      <c r="D751" s="495"/>
      <c r="E751" s="136"/>
      <c r="F751" s="496"/>
      <c r="G751" s="140"/>
      <c r="H751" s="141"/>
      <c r="I751" s="141"/>
      <c r="J751" s="142"/>
      <c r="K751" s="142"/>
      <c r="L751" s="142"/>
      <c r="M751" s="142"/>
      <c r="N751" s="136"/>
      <c r="O751" s="34"/>
      <c r="P751" s="35"/>
      <c r="Q751" s="35"/>
      <c r="R751" s="35"/>
      <c r="S751" s="35"/>
      <c r="T751" s="35"/>
      <c r="U751" s="35"/>
      <c r="V751" s="35"/>
      <c r="W751" s="35"/>
      <c r="X751" s="35"/>
      <c r="Y751" s="35"/>
      <c r="Z751" s="35"/>
    </row>
    <row r="752" ht="14.25" customHeight="1">
      <c r="A752" s="452"/>
      <c r="B752" s="494"/>
      <c r="C752" s="138"/>
      <c r="D752" s="495"/>
      <c r="E752" s="136"/>
      <c r="F752" s="496"/>
      <c r="G752" s="140"/>
      <c r="H752" s="141"/>
      <c r="I752" s="141"/>
      <c r="J752" s="142"/>
      <c r="K752" s="142"/>
      <c r="L752" s="142"/>
      <c r="M752" s="142"/>
      <c r="N752" s="136"/>
      <c r="O752" s="34"/>
      <c r="P752" s="35"/>
      <c r="Q752" s="35"/>
      <c r="R752" s="35"/>
      <c r="S752" s="35"/>
      <c r="T752" s="35"/>
      <c r="U752" s="35"/>
      <c r="V752" s="35"/>
      <c r="W752" s="35"/>
      <c r="X752" s="35"/>
      <c r="Y752" s="35"/>
      <c r="Z752" s="35"/>
    </row>
    <row r="753" ht="14.25" customHeight="1">
      <c r="A753" s="452"/>
      <c r="B753" s="494"/>
      <c r="C753" s="138"/>
      <c r="D753" s="495"/>
      <c r="E753" s="136"/>
      <c r="F753" s="496"/>
      <c r="G753" s="140"/>
      <c r="H753" s="141"/>
      <c r="I753" s="141"/>
      <c r="J753" s="142"/>
      <c r="K753" s="142"/>
      <c r="L753" s="142"/>
      <c r="M753" s="142"/>
      <c r="N753" s="136"/>
      <c r="O753" s="34"/>
      <c r="P753" s="35"/>
      <c r="Q753" s="35"/>
      <c r="R753" s="35"/>
      <c r="S753" s="35"/>
      <c r="T753" s="35"/>
      <c r="U753" s="35"/>
      <c r="V753" s="35"/>
      <c r="W753" s="35"/>
      <c r="X753" s="35"/>
      <c r="Y753" s="35"/>
      <c r="Z753" s="35"/>
    </row>
    <row r="754" ht="14.25" customHeight="1">
      <c r="A754" s="452"/>
      <c r="B754" s="494"/>
      <c r="C754" s="138"/>
      <c r="D754" s="495"/>
      <c r="E754" s="136"/>
      <c r="F754" s="496"/>
      <c r="G754" s="140"/>
      <c r="H754" s="141"/>
      <c r="I754" s="141"/>
      <c r="J754" s="142"/>
      <c r="K754" s="142"/>
      <c r="L754" s="142"/>
      <c r="M754" s="142"/>
      <c r="N754" s="136"/>
      <c r="O754" s="34"/>
      <c r="P754" s="35"/>
      <c r="Q754" s="35"/>
      <c r="R754" s="35"/>
      <c r="S754" s="35"/>
      <c r="T754" s="35"/>
      <c r="U754" s="35"/>
      <c r="V754" s="35"/>
      <c r="W754" s="35"/>
      <c r="X754" s="35"/>
      <c r="Y754" s="35"/>
      <c r="Z754" s="35"/>
    </row>
    <row r="755" ht="14.25" customHeight="1">
      <c r="A755" s="452"/>
      <c r="B755" s="494"/>
      <c r="C755" s="138"/>
      <c r="D755" s="495"/>
      <c r="E755" s="136"/>
      <c r="F755" s="496"/>
      <c r="G755" s="140"/>
      <c r="H755" s="141"/>
      <c r="I755" s="141"/>
      <c r="J755" s="142"/>
      <c r="K755" s="142"/>
      <c r="L755" s="142"/>
      <c r="M755" s="142"/>
      <c r="N755" s="136"/>
      <c r="O755" s="34"/>
      <c r="P755" s="35"/>
      <c r="Q755" s="35"/>
      <c r="R755" s="35"/>
      <c r="S755" s="35"/>
      <c r="T755" s="35"/>
      <c r="U755" s="35"/>
      <c r="V755" s="35"/>
      <c r="W755" s="35"/>
      <c r="X755" s="35"/>
      <c r="Y755" s="35"/>
      <c r="Z755" s="35"/>
    </row>
    <row r="756" ht="14.25" customHeight="1">
      <c r="A756" s="452"/>
      <c r="B756" s="494"/>
      <c r="C756" s="138"/>
      <c r="D756" s="495"/>
      <c r="E756" s="136"/>
      <c r="F756" s="496"/>
      <c r="G756" s="140"/>
      <c r="H756" s="141"/>
      <c r="I756" s="141"/>
      <c r="J756" s="142"/>
      <c r="K756" s="142"/>
      <c r="L756" s="142"/>
      <c r="M756" s="142"/>
      <c r="N756" s="136"/>
      <c r="O756" s="34"/>
      <c r="P756" s="35"/>
      <c r="Q756" s="35"/>
      <c r="R756" s="35"/>
      <c r="S756" s="35"/>
      <c r="T756" s="35"/>
      <c r="U756" s="35"/>
      <c r="V756" s="35"/>
      <c r="W756" s="35"/>
      <c r="X756" s="35"/>
      <c r="Y756" s="35"/>
      <c r="Z756" s="35"/>
    </row>
    <row r="757" ht="14.25" customHeight="1">
      <c r="A757" s="452"/>
      <c r="B757" s="494"/>
      <c r="C757" s="138"/>
      <c r="D757" s="495"/>
      <c r="E757" s="136"/>
      <c r="F757" s="496"/>
      <c r="G757" s="140"/>
      <c r="H757" s="141"/>
      <c r="I757" s="141"/>
      <c r="J757" s="142"/>
      <c r="K757" s="142"/>
      <c r="L757" s="142"/>
      <c r="M757" s="142"/>
      <c r="N757" s="136"/>
      <c r="O757" s="34"/>
      <c r="P757" s="35"/>
      <c r="Q757" s="35"/>
      <c r="R757" s="35"/>
      <c r="S757" s="35"/>
      <c r="T757" s="35"/>
      <c r="U757" s="35"/>
      <c r="V757" s="35"/>
      <c r="W757" s="35"/>
      <c r="X757" s="35"/>
      <c r="Y757" s="35"/>
      <c r="Z757" s="35"/>
    </row>
    <row r="758" ht="14.25" customHeight="1">
      <c r="A758" s="452"/>
      <c r="B758" s="494"/>
      <c r="C758" s="138"/>
      <c r="D758" s="495"/>
      <c r="E758" s="136"/>
      <c r="F758" s="496"/>
      <c r="G758" s="140"/>
      <c r="H758" s="141"/>
      <c r="I758" s="141"/>
      <c r="J758" s="142"/>
      <c r="K758" s="142"/>
      <c r="L758" s="142"/>
      <c r="M758" s="142"/>
      <c r="N758" s="136"/>
      <c r="O758" s="34"/>
      <c r="P758" s="35"/>
      <c r="Q758" s="35"/>
      <c r="R758" s="35"/>
      <c r="S758" s="35"/>
      <c r="T758" s="35"/>
      <c r="U758" s="35"/>
      <c r="V758" s="35"/>
      <c r="W758" s="35"/>
      <c r="X758" s="35"/>
      <c r="Y758" s="35"/>
      <c r="Z758" s="35"/>
    </row>
    <row r="759" ht="14.25" customHeight="1">
      <c r="A759" s="452"/>
      <c r="B759" s="494"/>
      <c r="C759" s="138"/>
      <c r="D759" s="495"/>
      <c r="E759" s="136"/>
      <c r="F759" s="496"/>
      <c r="G759" s="140"/>
      <c r="H759" s="141"/>
      <c r="I759" s="141"/>
      <c r="J759" s="142"/>
      <c r="K759" s="142"/>
      <c r="L759" s="142"/>
      <c r="M759" s="142"/>
      <c r="N759" s="136"/>
      <c r="O759" s="34"/>
      <c r="P759" s="35"/>
      <c r="Q759" s="35"/>
      <c r="R759" s="35"/>
      <c r="S759" s="35"/>
      <c r="T759" s="35"/>
      <c r="U759" s="35"/>
      <c r="V759" s="35"/>
      <c r="W759" s="35"/>
      <c r="X759" s="35"/>
      <c r="Y759" s="35"/>
      <c r="Z759" s="35"/>
    </row>
    <row r="760" ht="14.25" customHeight="1">
      <c r="A760" s="452"/>
      <c r="B760" s="494"/>
      <c r="C760" s="138"/>
      <c r="D760" s="495"/>
      <c r="E760" s="136"/>
      <c r="F760" s="496"/>
      <c r="G760" s="140"/>
      <c r="H760" s="141"/>
      <c r="I760" s="141"/>
      <c r="J760" s="142"/>
      <c r="K760" s="142"/>
      <c r="L760" s="142"/>
      <c r="M760" s="142"/>
      <c r="N760" s="136"/>
      <c r="O760" s="34"/>
      <c r="P760" s="35"/>
      <c r="Q760" s="35"/>
      <c r="R760" s="35"/>
      <c r="S760" s="35"/>
      <c r="T760" s="35"/>
      <c r="U760" s="35"/>
      <c r="V760" s="35"/>
      <c r="W760" s="35"/>
      <c r="X760" s="35"/>
      <c r="Y760" s="35"/>
      <c r="Z760" s="35"/>
    </row>
    <row r="761" ht="14.25" customHeight="1">
      <c r="A761" s="452"/>
      <c r="B761" s="494"/>
      <c r="C761" s="138"/>
      <c r="D761" s="495"/>
      <c r="E761" s="136"/>
      <c r="F761" s="496"/>
      <c r="G761" s="140"/>
      <c r="H761" s="141"/>
      <c r="I761" s="141"/>
      <c r="J761" s="142"/>
      <c r="K761" s="142"/>
      <c r="L761" s="142"/>
      <c r="M761" s="142"/>
      <c r="N761" s="136"/>
      <c r="O761" s="34"/>
      <c r="P761" s="35"/>
      <c r="Q761" s="35"/>
      <c r="R761" s="35"/>
      <c r="S761" s="35"/>
      <c r="T761" s="35"/>
      <c r="U761" s="35"/>
      <c r="V761" s="35"/>
      <c r="W761" s="35"/>
      <c r="X761" s="35"/>
      <c r="Y761" s="35"/>
      <c r="Z761" s="35"/>
    </row>
    <row r="762" ht="14.25" customHeight="1">
      <c r="A762" s="452"/>
      <c r="B762" s="494"/>
      <c r="C762" s="138"/>
      <c r="D762" s="495"/>
      <c r="E762" s="136"/>
      <c r="F762" s="496"/>
      <c r="G762" s="140"/>
      <c r="H762" s="141"/>
      <c r="I762" s="141"/>
      <c r="J762" s="142"/>
      <c r="K762" s="142"/>
      <c r="L762" s="142"/>
      <c r="M762" s="142"/>
      <c r="N762" s="136"/>
      <c r="O762" s="34"/>
      <c r="P762" s="35"/>
      <c r="Q762" s="35"/>
      <c r="R762" s="35"/>
      <c r="S762" s="35"/>
      <c r="T762" s="35"/>
      <c r="U762" s="35"/>
      <c r="V762" s="35"/>
      <c r="W762" s="35"/>
      <c r="X762" s="35"/>
      <c r="Y762" s="35"/>
      <c r="Z762" s="35"/>
    </row>
    <row r="763" ht="14.25" customHeight="1">
      <c r="A763" s="452"/>
      <c r="B763" s="494"/>
      <c r="C763" s="138"/>
      <c r="D763" s="495"/>
      <c r="E763" s="136"/>
      <c r="F763" s="496"/>
      <c r="G763" s="140"/>
      <c r="H763" s="141"/>
      <c r="I763" s="141"/>
      <c r="J763" s="142"/>
      <c r="K763" s="142"/>
      <c r="L763" s="142"/>
      <c r="M763" s="142"/>
      <c r="N763" s="136"/>
      <c r="O763" s="34"/>
      <c r="P763" s="35"/>
      <c r="Q763" s="35"/>
      <c r="R763" s="35"/>
      <c r="S763" s="35"/>
      <c r="T763" s="35"/>
      <c r="U763" s="35"/>
      <c r="V763" s="35"/>
      <c r="W763" s="35"/>
      <c r="X763" s="35"/>
      <c r="Y763" s="35"/>
      <c r="Z763" s="35"/>
    </row>
    <row r="764" ht="14.25" customHeight="1">
      <c r="A764" s="452"/>
      <c r="B764" s="494"/>
      <c r="C764" s="138"/>
      <c r="D764" s="495"/>
      <c r="E764" s="136"/>
      <c r="F764" s="496"/>
      <c r="G764" s="140"/>
      <c r="H764" s="141"/>
      <c r="I764" s="141"/>
      <c r="J764" s="142"/>
      <c r="K764" s="142"/>
      <c r="L764" s="142"/>
      <c r="M764" s="142"/>
      <c r="N764" s="136"/>
      <c r="O764" s="34"/>
      <c r="P764" s="35"/>
      <c r="Q764" s="35"/>
      <c r="R764" s="35"/>
      <c r="S764" s="35"/>
      <c r="T764" s="35"/>
      <c r="U764" s="35"/>
      <c r="V764" s="35"/>
      <c r="W764" s="35"/>
      <c r="X764" s="35"/>
      <c r="Y764" s="35"/>
      <c r="Z764" s="35"/>
    </row>
    <row r="765" ht="14.25" customHeight="1">
      <c r="A765" s="452"/>
      <c r="B765" s="494"/>
      <c r="C765" s="138"/>
      <c r="D765" s="495"/>
      <c r="E765" s="136"/>
      <c r="F765" s="496"/>
      <c r="G765" s="140"/>
      <c r="H765" s="141"/>
      <c r="I765" s="141"/>
      <c r="J765" s="142"/>
      <c r="K765" s="142"/>
      <c r="L765" s="142"/>
      <c r="M765" s="142"/>
      <c r="N765" s="136"/>
      <c r="O765" s="34"/>
      <c r="P765" s="35"/>
      <c r="Q765" s="35"/>
      <c r="R765" s="35"/>
      <c r="S765" s="35"/>
      <c r="T765" s="35"/>
      <c r="U765" s="35"/>
      <c r="V765" s="35"/>
      <c r="W765" s="35"/>
      <c r="X765" s="35"/>
      <c r="Y765" s="35"/>
      <c r="Z765" s="35"/>
    </row>
    <row r="766" ht="14.25" customHeight="1">
      <c r="A766" s="452"/>
      <c r="B766" s="494"/>
      <c r="C766" s="138"/>
      <c r="D766" s="495"/>
      <c r="E766" s="136"/>
      <c r="F766" s="496"/>
      <c r="G766" s="140"/>
      <c r="H766" s="141"/>
      <c r="I766" s="141"/>
      <c r="J766" s="142"/>
      <c r="K766" s="142"/>
      <c r="L766" s="142"/>
      <c r="M766" s="142"/>
      <c r="N766" s="136"/>
      <c r="O766" s="34"/>
      <c r="P766" s="35"/>
      <c r="Q766" s="35"/>
      <c r="R766" s="35"/>
      <c r="S766" s="35"/>
      <c r="T766" s="35"/>
      <c r="U766" s="35"/>
      <c r="V766" s="35"/>
      <c r="W766" s="35"/>
      <c r="X766" s="35"/>
      <c r="Y766" s="35"/>
      <c r="Z766" s="35"/>
    </row>
    <row r="767" ht="14.25" customHeight="1">
      <c r="A767" s="452"/>
      <c r="B767" s="494"/>
      <c r="C767" s="138"/>
      <c r="D767" s="495"/>
      <c r="E767" s="136"/>
      <c r="F767" s="496"/>
      <c r="G767" s="140"/>
      <c r="H767" s="141"/>
      <c r="I767" s="141"/>
      <c r="J767" s="142"/>
      <c r="K767" s="142"/>
      <c r="L767" s="142"/>
      <c r="M767" s="142"/>
      <c r="N767" s="136"/>
      <c r="O767" s="34"/>
      <c r="P767" s="35"/>
      <c r="Q767" s="35"/>
      <c r="R767" s="35"/>
      <c r="S767" s="35"/>
      <c r="T767" s="35"/>
      <c r="U767" s="35"/>
      <c r="V767" s="35"/>
      <c r="W767" s="35"/>
      <c r="X767" s="35"/>
      <c r="Y767" s="35"/>
      <c r="Z767" s="35"/>
    </row>
    <row r="768" ht="14.25" customHeight="1">
      <c r="A768" s="452"/>
      <c r="B768" s="494"/>
      <c r="C768" s="138"/>
      <c r="D768" s="495"/>
      <c r="E768" s="136"/>
      <c r="F768" s="496"/>
      <c r="G768" s="140"/>
      <c r="H768" s="141"/>
      <c r="I768" s="141"/>
      <c r="J768" s="142"/>
      <c r="K768" s="142"/>
      <c r="L768" s="142"/>
      <c r="M768" s="142"/>
      <c r="N768" s="136"/>
      <c r="O768" s="34"/>
      <c r="P768" s="35"/>
      <c r="Q768" s="35"/>
      <c r="R768" s="35"/>
      <c r="S768" s="35"/>
      <c r="T768" s="35"/>
      <c r="U768" s="35"/>
      <c r="V768" s="35"/>
      <c r="W768" s="35"/>
      <c r="X768" s="35"/>
      <c r="Y768" s="35"/>
      <c r="Z768" s="35"/>
    </row>
    <row r="769" ht="14.25" customHeight="1">
      <c r="A769" s="452"/>
      <c r="B769" s="494"/>
      <c r="C769" s="138"/>
      <c r="D769" s="495"/>
      <c r="E769" s="136"/>
      <c r="F769" s="496"/>
      <c r="G769" s="140"/>
      <c r="H769" s="141"/>
      <c r="I769" s="141"/>
      <c r="J769" s="142"/>
      <c r="K769" s="142"/>
      <c r="L769" s="142"/>
      <c r="M769" s="142"/>
      <c r="N769" s="136"/>
      <c r="O769" s="34"/>
      <c r="P769" s="35"/>
      <c r="Q769" s="35"/>
      <c r="R769" s="35"/>
      <c r="S769" s="35"/>
      <c r="T769" s="35"/>
      <c r="U769" s="35"/>
      <c r="V769" s="35"/>
      <c r="W769" s="35"/>
      <c r="X769" s="35"/>
      <c r="Y769" s="35"/>
      <c r="Z769" s="35"/>
    </row>
    <row r="770" ht="14.25" customHeight="1">
      <c r="A770" s="452"/>
      <c r="B770" s="494"/>
      <c r="C770" s="138"/>
      <c r="D770" s="495"/>
      <c r="E770" s="136"/>
      <c r="F770" s="496"/>
      <c r="G770" s="140"/>
      <c r="H770" s="141"/>
      <c r="I770" s="141"/>
      <c r="J770" s="142"/>
      <c r="K770" s="142"/>
      <c r="L770" s="142"/>
      <c r="M770" s="142"/>
      <c r="N770" s="136"/>
      <c r="O770" s="34"/>
      <c r="P770" s="35"/>
      <c r="Q770" s="35"/>
      <c r="R770" s="35"/>
      <c r="S770" s="35"/>
      <c r="T770" s="35"/>
      <c r="U770" s="35"/>
      <c r="V770" s="35"/>
      <c r="W770" s="35"/>
      <c r="X770" s="35"/>
      <c r="Y770" s="35"/>
      <c r="Z770" s="35"/>
    </row>
    <row r="771" ht="14.25" customHeight="1">
      <c r="A771" s="452"/>
      <c r="B771" s="494"/>
      <c r="C771" s="138"/>
      <c r="D771" s="495"/>
      <c r="E771" s="136"/>
      <c r="F771" s="496"/>
      <c r="G771" s="140"/>
      <c r="H771" s="141"/>
      <c r="I771" s="141"/>
      <c r="J771" s="142"/>
      <c r="K771" s="142"/>
      <c r="L771" s="142"/>
      <c r="M771" s="142"/>
      <c r="N771" s="136"/>
      <c r="O771" s="34"/>
      <c r="P771" s="35"/>
      <c r="Q771" s="35"/>
      <c r="R771" s="35"/>
      <c r="S771" s="35"/>
      <c r="T771" s="35"/>
      <c r="U771" s="35"/>
      <c r="V771" s="35"/>
      <c r="W771" s="35"/>
      <c r="X771" s="35"/>
      <c r="Y771" s="35"/>
      <c r="Z771" s="35"/>
    </row>
    <row r="772" ht="14.25" customHeight="1">
      <c r="A772" s="452"/>
      <c r="B772" s="494"/>
      <c r="C772" s="138"/>
      <c r="D772" s="495"/>
      <c r="E772" s="136"/>
      <c r="F772" s="496"/>
      <c r="G772" s="140"/>
      <c r="H772" s="141"/>
      <c r="I772" s="141"/>
      <c r="J772" s="142"/>
      <c r="K772" s="142"/>
      <c r="L772" s="142"/>
      <c r="M772" s="142"/>
      <c r="N772" s="136"/>
      <c r="O772" s="34"/>
      <c r="P772" s="35"/>
      <c r="Q772" s="35"/>
      <c r="R772" s="35"/>
      <c r="S772" s="35"/>
      <c r="T772" s="35"/>
      <c r="U772" s="35"/>
      <c r="V772" s="35"/>
      <c r="W772" s="35"/>
      <c r="X772" s="35"/>
      <c r="Y772" s="35"/>
      <c r="Z772" s="35"/>
    </row>
    <row r="773" ht="14.25" customHeight="1">
      <c r="A773" s="452"/>
      <c r="B773" s="494"/>
      <c r="C773" s="138"/>
      <c r="D773" s="495"/>
      <c r="E773" s="136"/>
      <c r="F773" s="496"/>
      <c r="G773" s="140"/>
      <c r="H773" s="141"/>
      <c r="I773" s="141"/>
      <c r="J773" s="142"/>
      <c r="K773" s="142"/>
      <c r="L773" s="142"/>
      <c r="M773" s="142"/>
      <c r="N773" s="136"/>
      <c r="O773" s="34"/>
      <c r="P773" s="35"/>
      <c r="Q773" s="35"/>
      <c r="R773" s="35"/>
      <c r="S773" s="35"/>
      <c r="T773" s="35"/>
      <c r="U773" s="35"/>
      <c r="V773" s="35"/>
      <c r="W773" s="35"/>
      <c r="X773" s="35"/>
      <c r="Y773" s="35"/>
      <c r="Z773" s="35"/>
    </row>
    <row r="774" ht="14.25" customHeight="1">
      <c r="A774" s="452"/>
      <c r="B774" s="494"/>
      <c r="C774" s="138"/>
      <c r="D774" s="495"/>
      <c r="E774" s="136"/>
      <c r="F774" s="496"/>
      <c r="G774" s="140"/>
      <c r="H774" s="141"/>
      <c r="I774" s="141"/>
      <c r="J774" s="142"/>
      <c r="K774" s="142"/>
      <c r="L774" s="142"/>
      <c r="M774" s="142"/>
      <c r="N774" s="136"/>
      <c r="O774" s="34"/>
      <c r="P774" s="35"/>
      <c r="Q774" s="35"/>
      <c r="R774" s="35"/>
      <c r="S774" s="35"/>
      <c r="T774" s="35"/>
      <c r="U774" s="35"/>
      <c r="V774" s="35"/>
      <c r="W774" s="35"/>
      <c r="X774" s="35"/>
      <c r="Y774" s="35"/>
      <c r="Z774" s="35"/>
    </row>
    <row r="775" ht="14.25" customHeight="1">
      <c r="A775" s="452"/>
      <c r="B775" s="494"/>
      <c r="C775" s="138"/>
      <c r="D775" s="495"/>
      <c r="E775" s="136"/>
      <c r="F775" s="496"/>
      <c r="G775" s="140"/>
      <c r="H775" s="141"/>
      <c r="I775" s="141"/>
      <c r="J775" s="142"/>
      <c r="K775" s="142"/>
      <c r="L775" s="142"/>
      <c r="M775" s="142"/>
      <c r="N775" s="136"/>
      <c r="O775" s="34"/>
      <c r="P775" s="35"/>
      <c r="Q775" s="35"/>
      <c r="R775" s="35"/>
      <c r="S775" s="35"/>
      <c r="T775" s="35"/>
      <c r="U775" s="35"/>
      <c r="V775" s="35"/>
      <c r="W775" s="35"/>
      <c r="X775" s="35"/>
      <c r="Y775" s="35"/>
      <c r="Z775" s="35"/>
    </row>
    <row r="776" ht="14.25" customHeight="1">
      <c r="A776" s="452"/>
      <c r="B776" s="494"/>
      <c r="C776" s="138"/>
      <c r="D776" s="495"/>
      <c r="E776" s="136"/>
      <c r="F776" s="496"/>
      <c r="G776" s="140"/>
      <c r="H776" s="141"/>
      <c r="I776" s="141"/>
      <c r="J776" s="142"/>
      <c r="K776" s="142"/>
      <c r="L776" s="142"/>
      <c r="M776" s="142"/>
      <c r="N776" s="136"/>
      <c r="O776" s="34"/>
      <c r="P776" s="35"/>
      <c r="Q776" s="35"/>
      <c r="R776" s="35"/>
      <c r="S776" s="35"/>
      <c r="T776" s="35"/>
      <c r="U776" s="35"/>
      <c r="V776" s="35"/>
      <c r="W776" s="35"/>
      <c r="X776" s="35"/>
      <c r="Y776" s="35"/>
      <c r="Z776" s="35"/>
    </row>
    <row r="777" ht="14.25" customHeight="1">
      <c r="A777" s="452"/>
      <c r="B777" s="494"/>
      <c r="C777" s="138"/>
      <c r="D777" s="495"/>
      <c r="E777" s="136"/>
      <c r="F777" s="496"/>
      <c r="G777" s="140"/>
      <c r="H777" s="141"/>
      <c r="I777" s="141"/>
      <c r="J777" s="142"/>
      <c r="K777" s="142"/>
      <c r="L777" s="142"/>
      <c r="M777" s="142"/>
      <c r="N777" s="136"/>
      <c r="O777" s="34"/>
      <c r="P777" s="35"/>
      <c r="Q777" s="35"/>
      <c r="R777" s="35"/>
      <c r="S777" s="35"/>
      <c r="T777" s="35"/>
      <c r="U777" s="35"/>
      <c r="V777" s="35"/>
      <c r="W777" s="35"/>
      <c r="X777" s="35"/>
      <c r="Y777" s="35"/>
      <c r="Z777" s="35"/>
    </row>
    <row r="778" ht="14.25" customHeight="1">
      <c r="A778" s="452"/>
      <c r="B778" s="494"/>
      <c r="C778" s="138"/>
      <c r="D778" s="495"/>
      <c r="E778" s="136"/>
      <c r="F778" s="496"/>
      <c r="G778" s="140"/>
      <c r="H778" s="141"/>
      <c r="I778" s="141"/>
      <c r="J778" s="142"/>
      <c r="K778" s="142"/>
      <c r="L778" s="142"/>
      <c r="M778" s="142"/>
      <c r="N778" s="136"/>
      <c r="O778" s="34"/>
      <c r="P778" s="35"/>
      <c r="Q778" s="35"/>
      <c r="R778" s="35"/>
      <c r="S778" s="35"/>
      <c r="T778" s="35"/>
      <c r="U778" s="35"/>
      <c r="V778" s="35"/>
      <c r="W778" s="35"/>
      <c r="X778" s="35"/>
      <c r="Y778" s="35"/>
      <c r="Z778" s="35"/>
    </row>
    <row r="779" ht="14.25" customHeight="1">
      <c r="A779" s="452"/>
      <c r="B779" s="494"/>
      <c r="C779" s="138"/>
      <c r="D779" s="495"/>
      <c r="E779" s="136"/>
      <c r="F779" s="496"/>
      <c r="G779" s="140"/>
      <c r="H779" s="141"/>
      <c r="I779" s="141"/>
      <c r="J779" s="142"/>
      <c r="K779" s="142"/>
      <c r="L779" s="142"/>
      <c r="M779" s="142"/>
      <c r="N779" s="136"/>
      <c r="O779" s="34"/>
      <c r="P779" s="35"/>
      <c r="Q779" s="35"/>
      <c r="R779" s="35"/>
      <c r="S779" s="35"/>
      <c r="T779" s="35"/>
      <c r="U779" s="35"/>
      <c r="V779" s="35"/>
      <c r="W779" s="35"/>
      <c r="X779" s="35"/>
      <c r="Y779" s="35"/>
      <c r="Z779" s="35"/>
    </row>
    <row r="780" ht="14.25" customHeight="1">
      <c r="A780" s="452"/>
      <c r="B780" s="494"/>
      <c r="C780" s="138"/>
      <c r="D780" s="495"/>
      <c r="E780" s="136"/>
      <c r="F780" s="496"/>
      <c r="G780" s="140"/>
      <c r="H780" s="141"/>
      <c r="I780" s="141"/>
      <c r="J780" s="142"/>
      <c r="K780" s="142"/>
      <c r="L780" s="142"/>
      <c r="M780" s="142"/>
      <c r="N780" s="136"/>
      <c r="O780" s="34"/>
      <c r="P780" s="35"/>
      <c r="Q780" s="35"/>
      <c r="R780" s="35"/>
      <c r="S780" s="35"/>
      <c r="T780" s="35"/>
      <c r="U780" s="35"/>
      <c r="V780" s="35"/>
      <c r="W780" s="35"/>
      <c r="X780" s="35"/>
      <c r="Y780" s="35"/>
      <c r="Z780" s="35"/>
    </row>
    <row r="781" ht="14.25" customHeight="1">
      <c r="A781" s="452"/>
      <c r="B781" s="494"/>
      <c r="C781" s="138"/>
      <c r="D781" s="495"/>
      <c r="E781" s="136"/>
      <c r="F781" s="496"/>
      <c r="G781" s="140"/>
      <c r="H781" s="141"/>
      <c r="I781" s="141"/>
      <c r="J781" s="142"/>
      <c r="K781" s="142"/>
      <c r="L781" s="142"/>
      <c r="M781" s="142"/>
      <c r="N781" s="136"/>
      <c r="O781" s="34"/>
      <c r="P781" s="35"/>
      <c r="Q781" s="35"/>
      <c r="R781" s="35"/>
      <c r="S781" s="35"/>
      <c r="T781" s="35"/>
      <c r="U781" s="35"/>
      <c r="V781" s="35"/>
      <c r="W781" s="35"/>
      <c r="X781" s="35"/>
      <c r="Y781" s="35"/>
      <c r="Z781" s="35"/>
    </row>
    <row r="782" ht="14.25" customHeight="1">
      <c r="A782" s="452"/>
      <c r="B782" s="494"/>
      <c r="C782" s="138"/>
      <c r="D782" s="495"/>
      <c r="E782" s="136"/>
      <c r="F782" s="496"/>
      <c r="G782" s="140"/>
      <c r="H782" s="141"/>
      <c r="I782" s="141"/>
      <c r="J782" s="142"/>
      <c r="K782" s="142"/>
      <c r="L782" s="142"/>
      <c r="M782" s="142"/>
      <c r="N782" s="136"/>
      <c r="O782" s="34"/>
      <c r="P782" s="35"/>
      <c r="Q782" s="35"/>
      <c r="R782" s="35"/>
      <c r="S782" s="35"/>
      <c r="T782" s="35"/>
      <c r="U782" s="35"/>
      <c r="V782" s="35"/>
      <c r="W782" s="35"/>
      <c r="X782" s="35"/>
      <c r="Y782" s="35"/>
      <c r="Z782" s="35"/>
    </row>
    <row r="783" ht="14.25" customHeight="1">
      <c r="A783" s="452"/>
      <c r="B783" s="494"/>
      <c r="C783" s="138"/>
      <c r="D783" s="495"/>
      <c r="E783" s="136"/>
      <c r="F783" s="496"/>
      <c r="G783" s="140"/>
      <c r="H783" s="141"/>
      <c r="I783" s="141"/>
      <c r="J783" s="142"/>
      <c r="K783" s="142"/>
      <c r="L783" s="142"/>
      <c r="M783" s="142"/>
      <c r="N783" s="136"/>
      <c r="O783" s="34"/>
      <c r="P783" s="35"/>
      <c r="Q783" s="35"/>
      <c r="R783" s="35"/>
      <c r="S783" s="35"/>
      <c r="T783" s="35"/>
      <c r="U783" s="35"/>
      <c r="V783" s="35"/>
      <c r="W783" s="35"/>
      <c r="X783" s="35"/>
      <c r="Y783" s="35"/>
      <c r="Z783" s="35"/>
    </row>
    <row r="784" ht="14.25" customHeight="1">
      <c r="A784" s="452"/>
      <c r="B784" s="494"/>
      <c r="C784" s="138"/>
      <c r="D784" s="495"/>
      <c r="E784" s="136"/>
      <c r="F784" s="496"/>
      <c r="G784" s="140"/>
      <c r="H784" s="141"/>
      <c r="I784" s="141"/>
      <c r="J784" s="142"/>
      <c r="K784" s="142"/>
      <c r="L784" s="142"/>
      <c r="M784" s="142"/>
      <c r="N784" s="136"/>
      <c r="O784" s="34"/>
      <c r="P784" s="35"/>
      <c r="Q784" s="35"/>
      <c r="R784" s="35"/>
      <c r="S784" s="35"/>
      <c r="T784" s="35"/>
      <c r="U784" s="35"/>
      <c r="V784" s="35"/>
      <c r="W784" s="35"/>
      <c r="X784" s="35"/>
      <c r="Y784" s="35"/>
      <c r="Z784" s="35"/>
    </row>
    <row r="785" ht="14.25" customHeight="1">
      <c r="A785" s="452"/>
      <c r="B785" s="494"/>
      <c r="C785" s="138"/>
      <c r="D785" s="495"/>
      <c r="E785" s="136"/>
      <c r="F785" s="496"/>
      <c r="G785" s="140"/>
      <c r="H785" s="141"/>
      <c r="I785" s="141"/>
      <c r="J785" s="142"/>
      <c r="K785" s="142"/>
      <c r="L785" s="142"/>
      <c r="M785" s="142"/>
      <c r="N785" s="136"/>
      <c r="O785" s="34"/>
      <c r="P785" s="35"/>
      <c r="Q785" s="35"/>
      <c r="R785" s="35"/>
      <c r="S785" s="35"/>
      <c r="T785" s="35"/>
      <c r="U785" s="35"/>
      <c r="V785" s="35"/>
      <c r="W785" s="35"/>
      <c r="X785" s="35"/>
      <c r="Y785" s="35"/>
      <c r="Z785" s="35"/>
    </row>
    <row r="786" ht="14.25" customHeight="1">
      <c r="A786" s="452"/>
      <c r="B786" s="494"/>
      <c r="C786" s="138"/>
      <c r="D786" s="495"/>
      <c r="E786" s="136"/>
      <c r="F786" s="496"/>
      <c r="G786" s="140"/>
      <c r="H786" s="141"/>
      <c r="I786" s="141"/>
      <c r="J786" s="142"/>
      <c r="K786" s="142"/>
      <c r="L786" s="142"/>
      <c r="M786" s="142"/>
      <c r="N786" s="136"/>
      <c r="O786" s="34"/>
      <c r="P786" s="35"/>
      <c r="Q786" s="35"/>
      <c r="R786" s="35"/>
      <c r="S786" s="35"/>
      <c r="T786" s="35"/>
      <c r="U786" s="35"/>
      <c r="V786" s="35"/>
      <c r="W786" s="35"/>
      <c r="X786" s="35"/>
      <c r="Y786" s="35"/>
      <c r="Z786" s="35"/>
    </row>
    <row r="787" ht="14.25" customHeight="1">
      <c r="A787" s="452"/>
      <c r="B787" s="494"/>
      <c r="C787" s="138"/>
      <c r="D787" s="495"/>
      <c r="E787" s="136"/>
      <c r="F787" s="496"/>
      <c r="G787" s="140"/>
      <c r="H787" s="141"/>
      <c r="I787" s="141"/>
      <c r="J787" s="142"/>
      <c r="K787" s="142"/>
      <c r="L787" s="142"/>
      <c r="M787" s="142"/>
      <c r="N787" s="136"/>
      <c r="O787" s="34"/>
      <c r="P787" s="35"/>
      <c r="Q787" s="35"/>
      <c r="R787" s="35"/>
      <c r="S787" s="35"/>
      <c r="T787" s="35"/>
      <c r="U787" s="35"/>
      <c r="V787" s="35"/>
      <c r="W787" s="35"/>
      <c r="X787" s="35"/>
      <c r="Y787" s="35"/>
      <c r="Z787" s="35"/>
    </row>
    <row r="788" ht="14.25" customHeight="1">
      <c r="A788" s="452"/>
      <c r="B788" s="494"/>
      <c r="C788" s="138"/>
      <c r="D788" s="495"/>
      <c r="E788" s="136"/>
      <c r="F788" s="496"/>
      <c r="G788" s="140"/>
      <c r="H788" s="141"/>
      <c r="I788" s="141"/>
      <c r="J788" s="142"/>
      <c r="K788" s="142"/>
      <c r="L788" s="142"/>
      <c r="M788" s="142"/>
      <c r="N788" s="136"/>
      <c r="O788" s="34"/>
      <c r="P788" s="35"/>
      <c r="Q788" s="35"/>
      <c r="R788" s="35"/>
      <c r="S788" s="35"/>
      <c r="T788" s="35"/>
      <c r="U788" s="35"/>
      <c r="V788" s="35"/>
      <c r="W788" s="35"/>
      <c r="X788" s="35"/>
      <c r="Y788" s="35"/>
      <c r="Z788" s="35"/>
    </row>
    <row r="789" ht="14.25" customHeight="1">
      <c r="A789" s="452"/>
      <c r="B789" s="494"/>
      <c r="C789" s="138"/>
      <c r="D789" s="495"/>
      <c r="E789" s="136"/>
      <c r="F789" s="496"/>
      <c r="G789" s="140"/>
      <c r="H789" s="141"/>
      <c r="I789" s="141"/>
      <c r="J789" s="142"/>
      <c r="K789" s="142"/>
      <c r="L789" s="142"/>
      <c r="M789" s="142"/>
      <c r="N789" s="136"/>
      <c r="O789" s="34"/>
      <c r="P789" s="35"/>
      <c r="Q789" s="35"/>
      <c r="R789" s="35"/>
      <c r="S789" s="35"/>
      <c r="T789" s="35"/>
      <c r="U789" s="35"/>
      <c r="V789" s="35"/>
      <c r="W789" s="35"/>
      <c r="X789" s="35"/>
      <c r="Y789" s="35"/>
      <c r="Z789" s="35"/>
    </row>
    <row r="790" ht="14.25" customHeight="1">
      <c r="A790" s="452"/>
      <c r="B790" s="494"/>
      <c r="C790" s="138"/>
      <c r="D790" s="495"/>
      <c r="E790" s="136"/>
      <c r="F790" s="496"/>
      <c r="G790" s="140"/>
      <c r="H790" s="141"/>
      <c r="I790" s="141"/>
      <c r="J790" s="142"/>
      <c r="K790" s="142"/>
      <c r="L790" s="142"/>
      <c r="M790" s="142"/>
      <c r="N790" s="136"/>
      <c r="O790" s="34"/>
      <c r="P790" s="35"/>
      <c r="Q790" s="35"/>
      <c r="R790" s="35"/>
      <c r="S790" s="35"/>
      <c r="T790" s="35"/>
      <c r="U790" s="35"/>
      <c r="V790" s="35"/>
      <c r="W790" s="35"/>
      <c r="X790" s="35"/>
      <c r="Y790" s="35"/>
      <c r="Z790" s="35"/>
    </row>
    <row r="791" ht="14.25" customHeight="1">
      <c r="A791" s="452"/>
      <c r="B791" s="494"/>
      <c r="C791" s="138"/>
      <c r="D791" s="495"/>
      <c r="E791" s="136"/>
      <c r="F791" s="496"/>
      <c r="G791" s="140"/>
      <c r="H791" s="141"/>
      <c r="I791" s="141"/>
      <c r="J791" s="142"/>
      <c r="K791" s="142"/>
      <c r="L791" s="142"/>
      <c r="M791" s="142"/>
      <c r="N791" s="136"/>
      <c r="O791" s="34"/>
      <c r="P791" s="35"/>
      <c r="Q791" s="35"/>
      <c r="R791" s="35"/>
      <c r="S791" s="35"/>
      <c r="T791" s="35"/>
      <c r="U791" s="35"/>
      <c r="V791" s="35"/>
      <c r="W791" s="35"/>
      <c r="X791" s="35"/>
      <c r="Y791" s="35"/>
      <c r="Z791" s="35"/>
    </row>
    <row r="792" ht="14.25" customHeight="1">
      <c r="A792" s="452"/>
      <c r="B792" s="494"/>
      <c r="C792" s="138"/>
      <c r="D792" s="495"/>
      <c r="E792" s="136"/>
      <c r="F792" s="496"/>
      <c r="G792" s="140"/>
      <c r="H792" s="141"/>
      <c r="I792" s="141"/>
      <c r="J792" s="142"/>
      <c r="K792" s="142"/>
      <c r="L792" s="142"/>
      <c r="M792" s="142"/>
      <c r="N792" s="136"/>
      <c r="O792" s="34"/>
      <c r="P792" s="35"/>
      <c r="Q792" s="35"/>
      <c r="R792" s="35"/>
      <c r="S792" s="35"/>
      <c r="T792" s="35"/>
      <c r="U792" s="35"/>
      <c r="V792" s="35"/>
      <c r="W792" s="35"/>
      <c r="X792" s="35"/>
      <c r="Y792" s="35"/>
      <c r="Z792" s="35"/>
    </row>
    <row r="793" ht="14.25" customHeight="1">
      <c r="A793" s="452"/>
      <c r="B793" s="494"/>
      <c r="C793" s="138"/>
      <c r="D793" s="495"/>
      <c r="E793" s="136"/>
      <c r="F793" s="496"/>
      <c r="G793" s="140"/>
      <c r="H793" s="141"/>
      <c r="I793" s="141"/>
      <c r="J793" s="142"/>
      <c r="K793" s="142"/>
      <c r="L793" s="142"/>
      <c r="M793" s="142"/>
      <c r="N793" s="136"/>
      <c r="O793" s="34"/>
      <c r="P793" s="35"/>
      <c r="Q793" s="35"/>
      <c r="R793" s="35"/>
      <c r="S793" s="35"/>
      <c r="T793" s="35"/>
      <c r="U793" s="35"/>
      <c r="V793" s="35"/>
      <c r="W793" s="35"/>
      <c r="X793" s="35"/>
      <c r="Y793" s="35"/>
      <c r="Z793" s="35"/>
    </row>
    <row r="794" ht="14.25" customHeight="1">
      <c r="A794" s="452"/>
      <c r="B794" s="494"/>
      <c r="C794" s="138"/>
      <c r="D794" s="495"/>
      <c r="E794" s="136"/>
      <c r="F794" s="496"/>
      <c r="G794" s="140"/>
      <c r="H794" s="141"/>
      <c r="I794" s="141"/>
      <c r="J794" s="142"/>
      <c r="K794" s="142"/>
      <c r="L794" s="142"/>
      <c r="M794" s="142"/>
      <c r="N794" s="136"/>
      <c r="O794" s="34"/>
      <c r="P794" s="35"/>
      <c r="Q794" s="35"/>
      <c r="R794" s="35"/>
      <c r="S794" s="35"/>
      <c r="T794" s="35"/>
      <c r="U794" s="35"/>
      <c r="V794" s="35"/>
      <c r="W794" s="35"/>
      <c r="X794" s="35"/>
      <c r="Y794" s="35"/>
      <c r="Z794" s="35"/>
    </row>
    <row r="795" ht="14.25" customHeight="1">
      <c r="A795" s="452"/>
      <c r="B795" s="494"/>
      <c r="C795" s="138"/>
      <c r="D795" s="495"/>
      <c r="E795" s="136"/>
      <c r="F795" s="496"/>
      <c r="G795" s="140"/>
      <c r="H795" s="141"/>
      <c r="I795" s="141"/>
      <c r="J795" s="142"/>
      <c r="K795" s="142"/>
      <c r="L795" s="142"/>
      <c r="M795" s="142"/>
      <c r="N795" s="136"/>
      <c r="O795" s="34"/>
      <c r="P795" s="35"/>
      <c r="Q795" s="35"/>
      <c r="R795" s="35"/>
      <c r="S795" s="35"/>
      <c r="T795" s="35"/>
      <c r="U795" s="35"/>
      <c r="V795" s="35"/>
      <c r="W795" s="35"/>
      <c r="X795" s="35"/>
      <c r="Y795" s="35"/>
      <c r="Z795" s="35"/>
    </row>
    <row r="796" ht="14.25" customHeight="1">
      <c r="A796" s="452"/>
      <c r="B796" s="494"/>
      <c r="C796" s="138"/>
      <c r="D796" s="495"/>
      <c r="E796" s="136"/>
      <c r="F796" s="496"/>
      <c r="G796" s="140"/>
      <c r="H796" s="141"/>
      <c r="I796" s="141"/>
      <c r="J796" s="142"/>
      <c r="K796" s="142"/>
      <c r="L796" s="142"/>
      <c r="M796" s="142"/>
      <c r="N796" s="136"/>
      <c r="O796" s="34"/>
      <c r="P796" s="35"/>
      <c r="Q796" s="35"/>
      <c r="R796" s="35"/>
      <c r="S796" s="35"/>
      <c r="T796" s="35"/>
      <c r="U796" s="35"/>
      <c r="V796" s="35"/>
      <c r="W796" s="35"/>
      <c r="X796" s="35"/>
      <c r="Y796" s="35"/>
      <c r="Z796" s="35"/>
    </row>
    <row r="797" ht="14.25" customHeight="1">
      <c r="A797" s="452"/>
      <c r="B797" s="494"/>
      <c r="C797" s="138"/>
      <c r="D797" s="495"/>
      <c r="E797" s="136"/>
      <c r="F797" s="496"/>
      <c r="G797" s="140"/>
      <c r="H797" s="141"/>
      <c r="I797" s="141"/>
      <c r="J797" s="142"/>
      <c r="K797" s="142"/>
      <c r="L797" s="142"/>
      <c r="M797" s="142"/>
      <c r="N797" s="136"/>
      <c r="O797" s="34"/>
      <c r="P797" s="35"/>
      <c r="Q797" s="35"/>
      <c r="R797" s="35"/>
      <c r="S797" s="35"/>
      <c r="T797" s="35"/>
      <c r="U797" s="35"/>
      <c r="V797" s="35"/>
      <c r="W797" s="35"/>
      <c r="X797" s="35"/>
      <c r="Y797" s="35"/>
      <c r="Z797" s="35"/>
    </row>
    <row r="798" ht="14.25" customHeight="1">
      <c r="A798" s="452"/>
      <c r="B798" s="494"/>
      <c r="C798" s="138"/>
      <c r="D798" s="495"/>
      <c r="E798" s="136"/>
      <c r="F798" s="496"/>
      <c r="G798" s="140"/>
      <c r="H798" s="141"/>
      <c r="I798" s="141"/>
      <c r="J798" s="142"/>
      <c r="K798" s="142"/>
      <c r="L798" s="142"/>
      <c r="M798" s="142"/>
      <c r="N798" s="136"/>
      <c r="O798" s="34"/>
      <c r="P798" s="35"/>
      <c r="Q798" s="35"/>
      <c r="R798" s="35"/>
      <c r="S798" s="35"/>
      <c r="T798" s="35"/>
      <c r="U798" s="35"/>
      <c r="V798" s="35"/>
      <c r="W798" s="35"/>
      <c r="X798" s="35"/>
      <c r="Y798" s="35"/>
      <c r="Z798" s="35"/>
    </row>
    <row r="799" ht="14.25" customHeight="1">
      <c r="A799" s="452"/>
      <c r="B799" s="494"/>
      <c r="C799" s="138"/>
      <c r="D799" s="495"/>
      <c r="E799" s="136"/>
      <c r="F799" s="496"/>
      <c r="G799" s="140"/>
      <c r="H799" s="141"/>
      <c r="I799" s="141"/>
      <c r="J799" s="142"/>
      <c r="K799" s="142"/>
      <c r="L799" s="142"/>
      <c r="M799" s="142"/>
      <c r="N799" s="136"/>
      <c r="O799" s="34"/>
      <c r="P799" s="35"/>
      <c r="Q799" s="35"/>
      <c r="R799" s="35"/>
      <c r="S799" s="35"/>
      <c r="T799" s="35"/>
      <c r="U799" s="35"/>
      <c r="V799" s="35"/>
      <c r="W799" s="35"/>
      <c r="X799" s="35"/>
      <c r="Y799" s="35"/>
      <c r="Z799" s="35"/>
    </row>
    <row r="800" ht="14.25" customHeight="1">
      <c r="A800" s="452"/>
      <c r="B800" s="494"/>
      <c r="C800" s="138"/>
      <c r="D800" s="495"/>
      <c r="E800" s="136"/>
      <c r="F800" s="496"/>
      <c r="G800" s="140"/>
      <c r="H800" s="141"/>
      <c r="I800" s="141"/>
      <c r="J800" s="142"/>
      <c r="K800" s="142"/>
      <c r="L800" s="142"/>
      <c r="M800" s="142"/>
      <c r="N800" s="136"/>
      <c r="O800" s="34"/>
      <c r="P800" s="35"/>
      <c r="Q800" s="35"/>
      <c r="R800" s="35"/>
      <c r="S800" s="35"/>
      <c r="T800" s="35"/>
      <c r="U800" s="35"/>
      <c r="V800" s="35"/>
      <c r="W800" s="35"/>
      <c r="X800" s="35"/>
      <c r="Y800" s="35"/>
      <c r="Z800" s="35"/>
    </row>
    <row r="801" ht="14.25" customHeight="1">
      <c r="A801" s="452"/>
      <c r="B801" s="494"/>
      <c r="C801" s="138"/>
      <c r="D801" s="495"/>
      <c r="E801" s="136"/>
      <c r="F801" s="496"/>
      <c r="G801" s="140"/>
      <c r="H801" s="141"/>
      <c r="I801" s="141"/>
      <c r="J801" s="142"/>
      <c r="K801" s="142"/>
      <c r="L801" s="142"/>
      <c r="M801" s="142"/>
      <c r="N801" s="136"/>
      <c r="O801" s="34"/>
      <c r="P801" s="35"/>
      <c r="Q801" s="35"/>
      <c r="R801" s="35"/>
      <c r="S801" s="35"/>
      <c r="T801" s="35"/>
      <c r="U801" s="35"/>
      <c r="V801" s="35"/>
      <c r="W801" s="35"/>
      <c r="X801" s="35"/>
      <c r="Y801" s="35"/>
      <c r="Z801" s="35"/>
    </row>
    <row r="802" ht="14.25" customHeight="1">
      <c r="A802" s="452"/>
      <c r="B802" s="494"/>
      <c r="C802" s="138"/>
      <c r="D802" s="495"/>
      <c r="E802" s="136"/>
      <c r="F802" s="496"/>
      <c r="G802" s="140"/>
      <c r="H802" s="141"/>
      <c r="I802" s="141"/>
      <c r="J802" s="142"/>
      <c r="K802" s="142"/>
      <c r="L802" s="142"/>
      <c r="M802" s="142"/>
      <c r="N802" s="136"/>
      <c r="O802" s="34"/>
      <c r="P802" s="35"/>
      <c r="Q802" s="35"/>
      <c r="R802" s="35"/>
      <c r="S802" s="35"/>
      <c r="T802" s="35"/>
      <c r="U802" s="35"/>
      <c r="V802" s="35"/>
      <c r="W802" s="35"/>
      <c r="X802" s="35"/>
      <c r="Y802" s="35"/>
      <c r="Z802" s="35"/>
    </row>
    <row r="803" ht="14.25" customHeight="1">
      <c r="A803" s="452"/>
      <c r="B803" s="494"/>
      <c r="C803" s="138"/>
      <c r="D803" s="495"/>
      <c r="E803" s="136"/>
      <c r="F803" s="496"/>
      <c r="G803" s="140"/>
      <c r="H803" s="141"/>
      <c r="I803" s="141"/>
      <c r="J803" s="142"/>
      <c r="K803" s="142"/>
      <c r="L803" s="142"/>
      <c r="M803" s="142"/>
      <c r="N803" s="136"/>
      <c r="O803" s="34"/>
      <c r="P803" s="35"/>
      <c r="Q803" s="35"/>
      <c r="R803" s="35"/>
      <c r="S803" s="35"/>
      <c r="T803" s="35"/>
      <c r="U803" s="35"/>
      <c r="V803" s="35"/>
      <c r="W803" s="35"/>
      <c r="X803" s="35"/>
      <c r="Y803" s="35"/>
      <c r="Z803" s="35"/>
    </row>
    <row r="804" ht="14.25" customHeight="1">
      <c r="A804" s="452"/>
      <c r="B804" s="494"/>
      <c r="C804" s="138"/>
      <c r="D804" s="495"/>
      <c r="E804" s="136"/>
      <c r="F804" s="496"/>
      <c r="G804" s="140"/>
      <c r="H804" s="141"/>
      <c r="I804" s="141"/>
      <c r="J804" s="142"/>
      <c r="K804" s="142"/>
      <c r="L804" s="142"/>
      <c r="M804" s="142"/>
      <c r="N804" s="136"/>
      <c r="O804" s="34"/>
      <c r="P804" s="35"/>
      <c r="Q804" s="35"/>
      <c r="R804" s="35"/>
      <c r="S804" s="35"/>
      <c r="T804" s="35"/>
      <c r="U804" s="35"/>
      <c r="V804" s="35"/>
      <c r="W804" s="35"/>
      <c r="X804" s="35"/>
      <c r="Y804" s="35"/>
      <c r="Z804" s="35"/>
    </row>
    <row r="805" ht="14.25" customHeight="1">
      <c r="A805" s="452"/>
      <c r="B805" s="494"/>
      <c r="C805" s="138"/>
      <c r="D805" s="495"/>
      <c r="E805" s="136"/>
      <c r="F805" s="496"/>
      <c r="G805" s="140"/>
      <c r="H805" s="141"/>
      <c r="I805" s="141"/>
      <c r="J805" s="142"/>
      <c r="K805" s="142"/>
      <c r="L805" s="142"/>
      <c r="M805" s="142"/>
      <c r="N805" s="136"/>
      <c r="O805" s="34"/>
      <c r="P805" s="35"/>
      <c r="Q805" s="35"/>
      <c r="R805" s="35"/>
      <c r="S805" s="35"/>
      <c r="T805" s="35"/>
      <c r="U805" s="35"/>
      <c r="V805" s="35"/>
      <c r="W805" s="35"/>
      <c r="X805" s="35"/>
      <c r="Y805" s="35"/>
      <c r="Z805" s="35"/>
    </row>
    <row r="806" ht="14.25" customHeight="1">
      <c r="A806" s="452"/>
      <c r="B806" s="494"/>
      <c r="C806" s="138"/>
      <c r="D806" s="495"/>
      <c r="E806" s="136"/>
      <c r="F806" s="496"/>
      <c r="G806" s="140"/>
      <c r="H806" s="141"/>
      <c r="I806" s="141"/>
      <c r="J806" s="142"/>
      <c r="K806" s="142"/>
      <c r="L806" s="142"/>
      <c r="M806" s="142"/>
      <c r="N806" s="136"/>
      <c r="O806" s="34"/>
      <c r="P806" s="35"/>
      <c r="Q806" s="35"/>
      <c r="R806" s="35"/>
      <c r="S806" s="35"/>
      <c r="T806" s="35"/>
      <c r="U806" s="35"/>
      <c r="V806" s="35"/>
      <c r="W806" s="35"/>
      <c r="X806" s="35"/>
      <c r="Y806" s="35"/>
      <c r="Z806" s="35"/>
    </row>
    <row r="807" ht="14.25" customHeight="1">
      <c r="A807" s="452"/>
      <c r="B807" s="494"/>
      <c r="C807" s="138"/>
      <c r="D807" s="495"/>
      <c r="E807" s="136"/>
      <c r="F807" s="496"/>
      <c r="G807" s="140"/>
      <c r="H807" s="141"/>
      <c r="I807" s="141"/>
      <c r="J807" s="142"/>
      <c r="K807" s="142"/>
      <c r="L807" s="142"/>
      <c r="M807" s="142"/>
      <c r="N807" s="136"/>
      <c r="O807" s="34"/>
      <c r="P807" s="35"/>
      <c r="Q807" s="35"/>
      <c r="R807" s="35"/>
      <c r="S807" s="35"/>
      <c r="T807" s="35"/>
      <c r="U807" s="35"/>
      <c r="V807" s="35"/>
      <c r="W807" s="35"/>
      <c r="X807" s="35"/>
      <c r="Y807" s="35"/>
      <c r="Z807" s="35"/>
    </row>
    <row r="808" ht="14.25" customHeight="1">
      <c r="A808" s="452"/>
      <c r="B808" s="494"/>
      <c r="C808" s="138"/>
      <c r="D808" s="495"/>
      <c r="E808" s="136"/>
      <c r="F808" s="496"/>
      <c r="G808" s="140"/>
      <c r="H808" s="141"/>
      <c r="I808" s="141"/>
      <c r="J808" s="142"/>
      <c r="K808" s="142"/>
      <c r="L808" s="142"/>
      <c r="M808" s="142"/>
      <c r="N808" s="136"/>
      <c r="O808" s="34"/>
      <c r="P808" s="35"/>
      <c r="Q808" s="35"/>
      <c r="R808" s="35"/>
      <c r="S808" s="35"/>
      <c r="T808" s="35"/>
      <c r="U808" s="35"/>
      <c r="V808" s="35"/>
      <c r="W808" s="35"/>
      <c r="X808" s="35"/>
      <c r="Y808" s="35"/>
      <c r="Z808" s="35"/>
    </row>
    <row r="809" ht="14.25" customHeight="1">
      <c r="A809" s="452"/>
      <c r="B809" s="494"/>
      <c r="C809" s="138"/>
      <c r="D809" s="495"/>
      <c r="E809" s="136"/>
      <c r="F809" s="496"/>
      <c r="G809" s="140"/>
      <c r="H809" s="141"/>
      <c r="I809" s="141"/>
      <c r="J809" s="142"/>
      <c r="K809" s="142"/>
      <c r="L809" s="142"/>
      <c r="M809" s="142"/>
      <c r="N809" s="136"/>
      <c r="O809" s="34"/>
      <c r="P809" s="35"/>
      <c r="Q809" s="35"/>
      <c r="R809" s="35"/>
      <c r="S809" s="35"/>
      <c r="T809" s="35"/>
      <c r="U809" s="35"/>
      <c r="V809" s="35"/>
      <c r="W809" s="35"/>
      <c r="X809" s="35"/>
      <c r="Y809" s="35"/>
      <c r="Z809" s="35"/>
    </row>
    <row r="810" ht="14.25" customHeight="1">
      <c r="A810" s="452"/>
      <c r="B810" s="494"/>
      <c r="C810" s="138"/>
      <c r="D810" s="495"/>
      <c r="E810" s="136"/>
      <c r="F810" s="496"/>
      <c r="G810" s="140"/>
      <c r="H810" s="141"/>
      <c r="I810" s="141"/>
      <c r="J810" s="142"/>
      <c r="K810" s="142"/>
      <c r="L810" s="142"/>
      <c r="M810" s="142"/>
      <c r="N810" s="136"/>
      <c r="O810" s="34"/>
      <c r="P810" s="35"/>
      <c r="Q810" s="35"/>
      <c r="R810" s="35"/>
      <c r="S810" s="35"/>
      <c r="T810" s="35"/>
      <c r="U810" s="35"/>
      <c r="V810" s="35"/>
      <c r="W810" s="35"/>
      <c r="X810" s="35"/>
      <c r="Y810" s="35"/>
      <c r="Z810" s="35"/>
    </row>
    <row r="811" ht="14.25" customHeight="1">
      <c r="A811" s="452"/>
      <c r="B811" s="494"/>
      <c r="C811" s="138"/>
      <c r="D811" s="495"/>
      <c r="E811" s="136"/>
      <c r="F811" s="496"/>
      <c r="G811" s="140"/>
      <c r="H811" s="141"/>
      <c r="I811" s="141"/>
      <c r="J811" s="142"/>
      <c r="K811" s="142"/>
      <c r="L811" s="142"/>
      <c r="M811" s="142"/>
      <c r="N811" s="136"/>
      <c r="O811" s="34"/>
      <c r="P811" s="35"/>
      <c r="Q811" s="35"/>
      <c r="R811" s="35"/>
      <c r="S811" s="35"/>
      <c r="T811" s="35"/>
      <c r="U811" s="35"/>
      <c r="V811" s="35"/>
      <c r="W811" s="35"/>
      <c r="X811" s="35"/>
      <c r="Y811" s="35"/>
      <c r="Z811" s="35"/>
    </row>
    <row r="812" ht="14.25" customHeight="1">
      <c r="A812" s="452"/>
      <c r="B812" s="494"/>
      <c r="C812" s="138"/>
      <c r="D812" s="495"/>
      <c r="E812" s="136"/>
      <c r="F812" s="496"/>
      <c r="G812" s="140"/>
      <c r="H812" s="141"/>
      <c r="I812" s="141"/>
      <c r="J812" s="142"/>
      <c r="K812" s="142"/>
      <c r="L812" s="142"/>
      <c r="M812" s="142"/>
      <c r="N812" s="136"/>
      <c r="O812" s="34"/>
      <c r="P812" s="35"/>
      <c r="Q812" s="35"/>
      <c r="R812" s="35"/>
      <c r="S812" s="35"/>
      <c r="T812" s="35"/>
      <c r="U812" s="35"/>
      <c r="V812" s="35"/>
      <c r="W812" s="35"/>
      <c r="X812" s="35"/>
      <c r="Y812" s="35"/>
      <c r="Z812" s="35"/>
    </row>
    <row r="813" ht="14.25" customHeight="1">
      <c r="A813" s="452"/>
      <c r="B813" s="494"/>
      <c r="C813" s="138"/>
      <c r="D813" s="495"/>
      <c r="E813" s="136"/>
      <c r="F813" s="496"/>
      <c r="G813" s="140"/>
      <c r="H813" s="141"/>
      <c r="I813" s="141"/>
      <c r="J813" s="142"/>
      <c r="K813" s="142"/>
      <c r="L813" s="142"/>
      <c r="M813" s="142"/>
      <c r="N813" s="136"/>
      <c r="O813" s="34"/>
      <c r="P813" s="35"/>
      <c r="Q813" s="35"/>
      <c r="R813" s="35"/>
      <c r="S813" s="35"/>
      <c r="T813" s="35"/>
      <c r="U813" s="35"/>
      <c r="V813" s="35"/>
      <c r="W813" s="35"/>
      <c r="X813" s="35"/>
      <c r="Y813" s="35"/>
      <c r="Z813" s="35"/>
    </row>
    <row r="814" ht="14.25" customHeight="1">
      <c r="A814" s="452"/>
      <c r="B814" s="494"/>
      <c r="C814" s="138"/>
      <c r="D814" s="495"/>
      <c r="E814" s="136"/>
      <c r="F814" s="496"/>
      <c r="G814" s="140"/>
      <c r="H814" s="141"/>
      <c r="I814" s="141"/>
      <c r="J814" s="142"/>
      <c r="K814" s="142"/>
      <c r="L814" s="142"/>
      <c r="M814" s="142"/>
      <c r="N814" s="136"/>
      <c r="O814" s="34"/>
      <c r="P814" s="35"/>
      <c r="Q814" s="35"/>
      <c r="R814" s="35"/>
      <c r="S814" s="35"/>
      <c r="T814" s="35"/>
      <c r="U814" s="35"/>
      <c r="V814" s="35"/>
      <c r="W814" s="35"/>
      <c r="X814" s="35"/>
      <c r="Y814" s="35"/>
      <c r="Z814" s="35"/>
    </row>
    <row r="815" ht="14.25" customHeight="1">
      <c r="A815" s="452"/>
      <c r="B815" s="494"/>
      <c r="C815" s="138"/>
      <c r="D815" s="495"/>
      <c r="E815" s="136"/>
      <c r="F815" s="496"/>
      <c r="G815" s="140"/>
      <c r="H815" s="141"/>
      <c r="I815" s="141"/>
      <c r="J815" s="142"/>
      <c r="K815" s="142"/>
      <c r="L815" s="142"/>
      <c r="M815" s="142"/>
      <c r="N815" s="136"/>
      <c r="O815" s="34"/>
      <c r="P815" s="35"/>
      <c r="Q815" s="35"/>
      <c r="R815" s="35"/>
      <c r="S815" s="35"/>
      <c r="T815" s="35"/>
      <c r="U815" s="35"/>
      <c r="V815" s="35"/>
      <c r="W815" s="35"/>
      <c r="X815" s="35"/>
      <c r="Y815" s="35"/>
      <c r="Z815" s="35"/>
    </row>
    <row r="816" ht="14.25" customHeight="1">
      <c r="A816" s="452"/>
      <c r="B816" s="494"/>
      <c r="C816" s="138"/>
      <c r="D816" s="495"/>
      <c r="E816" s="136"/>
      <c r="F816" s="496"/>
      <c r="G816" s="140"/>
      <c r="H816" s="141"/>
      <c r="I816" s="141"/>
      <c r="J816" s="142"/>
      <c r="K816" s="142"/>
      <c r="L816" s="142"/>
      <c r="M816" s="142"/>
      <c r="N816" s="136"/>
      <c r="O816" s="34"/>
      <c r="P816" s="35"/>
      <c r="Q816" s="35"/>
      <c r="R816" s="35"/>
      <c r="S816" s="35"/>
      <c r="T816" s="35"/>
      <c r="U816" s="35"/>
      <c r="V816" s="35"/>
      <c r="W816" s="35"/>
      <c r="X816" s="35"/>
      <c r="Y816" s="35"/>
      <c r="Z816" s="35"/>
    </row>
    <row r="817" ht="14.25" customHeight="1">
      <c r="A817" s="452"/>
      <c r="B817" s="494"/>
      <c r="C817" s="138"/>
      <c r="D817" s="495"/>
      <c r="E817" s="136"/>
      <c r="F817" s="496"/>
      <c r="G817" s="140"/>
      <c r="H817" s="141"/>
      <c r="I817" s="141"/>
      <c r="J817" s="142"/>
      <c r="K817" s="142"/>
      <c r="L817" s="142"/>
      <c r="M817" s="142"/>
      <c r="N817" s="136"/>
      <c r="O817" s="34"/>
      <c r="P817" s="35"/>
      <c r="Q817" s="35"/>
      <c r="R817" s="35"/>
      <c r="S817" s="35"/>
      <c r="T817" s="35"/>
      <c r="U817" s="35"/>
      <c r="V817" s="35"/>
      <c r="W817" s="35"/>
      <c r="X817" s="35"/>
      <c r="Y817" s="35"/>
      <c r="Z817" s="35"/>
    </row>
    <row r="818" ht="14.25" customHeight="1">
      <c r="A818" s="452"/>
      <c r="B818" s="494"/>
      <c r="C818" s="138"/>
      <c r="D818" s="495"/>
      <c r="E818" s="136"/>
      <c r="F818" s="496"/>
      <c r="G818" s="140"/>
      <c r="H818" s="141"/>
      <c r="I818" s="141"/>
      <c r="J818" s="142"/>
      <c r="K818" s="142"/>
      <c r="L818" s="142"/>
      <c r="M818" s="142"/>
      <c r="N818" s="136"/>
      <c r="O818" s="34"/>
      <c r="P818" s="35"/>
      <c r="Q818" s="35"/>
      <c r="R818" s="35"/>
      <c r="S818" s="35"/>
      <c r="T818" s="35"/>
      <c r="U818" s="35"/>
      <c r="V818" s="35"/>
      <c r="W818" s="35"/>
      <c r="X818" s="35"/>
      <c r="Y818" s="35"/>
      <c r="Z818" s="35"/>
    </row>
    <row r="819" ht="14.25" customHeight="1">
      <c r="A819" s="452"/>
      <c r="B819" s="494"/>
      <c r="C819" s="138"/>
      <c r="D819" s="495"/>
      <c r="E819" s="136"/>
      <c r="F819" s="496"/>
      <c r="G819" s="140"/>
      <c r="H819" s="141"/>
      <c r="I819" s="141"/>
      <c r="J819" s="142"/>
      <c r="K819" s="142"/>
      <c r="L819" s="142"/>
      <c r="M819" s="142"/>
      <c r="N819" s="136"/>
      <c r="O819" s="34"/>
      <c r="P819" s="35"/>
      <c r="Q819" s="35"/>
      <c r="R819" s="35"/>
      <c r="S819" s="35"/>
      <c r="T819" s="35"/>
      <c r="U819" s="35"/>
      <c r="V819" s="35"/>
      <c r="W819" s="35"/>
      <c r="X819" s="35"/>
      <c r="Y819" s="35"/>
      <c r="Z819" s="35"/>
    </row>
    <row r="820" ht="14.25" customHeight="1">
      <c r="A820" s="452"/>
      <c r="B820" s="494"/>
      <c r="C820" s="138"/>
      <c r="D820" s="495"/>
      <c r="E820" s="136"/>
      <c r="F820" s="496"/>
      <c r="G820" s="140"/>
      <c r="H820" s="141"/>
      <c r="I820" s="141"/>
      <c r="J820" s="142"/>
      <c r="K820" s="142"/>
      <c r="L820" s="142"/>
      <c r="M820" s="142"/>
      <c r="N820" s="136"/>
      <c r="O820" s="34"/>
      <c r="P820" s="35"/>
      <c r="Q820" s="35"/>
      <c r="R820" s="35"/>
      <c r="S820" s="35"/>
      <c r="T820" s="35"/>
      <c r="U820" s="35"/>
      <c r="V820" s="35"/>
      <c r="W820" s="35"/>
      <c r="X820" s="35"/>
      <c r="Y820" s="35"/>
      <c r="Z820" s="35"/>
    </row>
    <row r="821" ht="14.25" customHeight="1">
      <c r="A821" s="452"/>
      <c r="B821" s="494"/>
      <c r="C821" s="138"/>
      <c r="D821" s="495"/>
      <c r="E821" s="136"/>
      <c r="F821" s="496"/>
      <c r="G821" s="140"/>
      <c r="H821" s="141"/>
      <c r="I821" s="141"/>
      <c r="J821" s="142"/>
      <c r="K821" s="142"/>
      <c r="L821" s="142"/>
      <c r="M821" s="142"/>
      <c r="N821" s="136"/>
      <c r="O821" s="34"/>
      <c r="P821" s="35"/>
      <c r="Q821" s="35"/>
      <c r="R821" s="35"/>
      <c r="S821" s="35"/>
      <c r="T821" s="35"/>
      <c r="U821" s="35"/>
      <c r="V821" s="35"/>
      <c r="W821" s="35"/>
      <c r="X821" s="35"/>
      <c r="Y821" s="35"/>
      <c r="Z821" s="35"/>
    </row>
    <row r="822" ht="14.25" customHeight="1">
      <c r="A822" s="452"/>
      <c r="B822" s="494"/>
      <c r="C822" s="138"/>
      <c r="D822" s="495"/>
      <c r="E822" s="136"/>
      <c r="F822" s="496"/>
      <c r="G822" s="140"/>
      <c r="H822" s="141"/>
      <c r="I822" s="141"/>
      <c r="J822" s="142"/>
      <c r="K822" s="142"/>
      <c r="L822" s="142"/>
      <c r="M822" s="142"/>
      <c r="N822" s="136"/>
      <c r="O822" s="34"/>
      <c r="P822" s="35"/>
      <c r="Q822" s="35"/>
      <c r="R822" s="35"/>
      <c r="S822" s="35"/>
      <c r="T822" s="35"/>
      <c r="U822" s="35"/>
      <c r="V822" s="35"/>
      <c r="W822" s="35"/>
      <c r="X822" s="35"/>
      <c r="Y822" s="35"/>
      <c r="Z822" s="35"/>
    </row>
    <row r="823" ht="14.25" customHeight="1">
      <c r="A823" s="452"/>
      <c r="B823" s="494"/>
      <c r="C823" s="138"/>
      <c r="D823" s="495"/>
      <c r="E823" s="136"/>
      <c r="F823" s="496"/>
      <c r="G823" s="140"/>
      <c r="H823" s="141"/>
      <c r="I823" s="141"/>
      <c r="J823" s="142"/>
      <c r="K823" s="142"/>
      <c r="L823" s="142"/>
      <c r="M823" s="142"/>
      <c r="N823" s="136"/>
      <c r="O823" s="34"/>
      <c r="P823" s="35"/>
      <c r="Q823" s="35"/>
      <c r="R823" s="35"/>
      <c r="S823" s="35"/>
      <c r="T823" s="35"/>
      <c r="U823" s="35"/>
      <c r="V823" s="35"/>
      <c r="W823" s="35"/>
      <c r="X823" s="35"/>
      <c r="Y823" s="35"/>
      <c r="Z823" s="35"/>
    </row>
    <row r="824" ht="14.25" customHeight="1">
      <c r="A824" s="452"/>
      <c r="B824" s="494"/>
      <c r="C824" s="138"/>
      <c r="D824" s="495"/>
      <c r="E824" s="136"/>
      <c r="F824" s="496"/>
      <c r="G824" s="140"/>
      <c r="H824" s="141"/>
      <c r="I824" s="141"/>
      <c r="J824" s="142"/>
      <c r="K824" s="142"/>
      <c r="L824" s="142"/>
      <c r="M824" s="142"/>
      <c r="N824" s="136"/>
      <c r="O824" s="34"/>
      <c r="P824" s="35"/>
      <c r="Q824" s="35"/>
      <c r="R824" s="35"/>
      <c r="S824" s="35"/>
      <c r="T824" s="35"/>
      <c r="U824" s="35"/>
      <c r="V824" s="35"/>
      <c r="W824" s="35"/>
      <c r="X824" s="35"/>
      <c r="Y824" s="35"/>
      <c r="Z824" s="35"/>
    </row>
    <row r="825" ht="14.25" customHeight="1">
      <c r="A825" s="452"/>
      <c r="B825" s="494"/>
      <c r="C825" s="138"/>
      <c r="D825" s="495"/>
      <c r="E825" s="136"/>
      <c r="F825" s="496"/>
      <c r="G825" s="140"/>
      <c r="H825" s="141"/>
      <c r="I825" s="141"/>
      <c r="J825" s="142"/>
      <c r="K825" s="142"/>
      <c r="L825" s="142"/>
      <c r="M825" s="142"/>
      <c r="N825" s="136"/>
      <c r="O825" s="34"/>
      <c r="P825" s="35"/>
      <c r="Q825" s="35"/>
      <c r="R825" s="35"/>
      <c r="S825" s="35"/>
      <c r="T825" s="35"/>
      <c r="U825" s="35"/>
      <c r="V825" s="35"/>
      <c r="W825" s="35"/>
      <c r="X825" s="35"/>
      <c r="Y825" s="35"/>
      <c r="Z825" s="35"/>
    </row>
    <row r="826" ht="14.25" customHeight="1">
      <c r="A826" s="452"/>
      <c r="B826" s="494"/>
      <c r="C826" s="138"/>
      <c r="D826" s="495"/>
      <c r="E826" s="136"/>
      <c r="F826" s="496"/>
      <c r="G826" s="140"/>
      <c r="H826" s="141"/>
      <c r="I826" s="141"/>
      <c r="J826" s="142"/>
      <c r="K826" s="142"/>
      <c r="L826" s="142"/>
      <c r="M826" s="142"/>
      <c r="N826" s="136"/>
      <c r="O826" s="34"/>
      <c r="P826" s="35"/>
      <c r="Q826" s="35"/>
      <c r="R826" s="35"/>
      <c r="S826" s="35"/>
      <c r="T826" s="35"/>
      <c r="U826" s="35"/>
      <c r="V826" s="35"/>
      <c r="W826" s="35"/>
      <c r="X826" s="35"/>
      <c r="Y826" s="35"/>
      <c r="Z826" s="35"/>
    </row>
    <row r="827" ht="14.25" customHeight="1">
      <c r="A827" s="452"/>
      <c r="B827" s="494"/>
      <c r="C827" s="138"/>
      <c r="D827" s="495"/>
      <c r="E827" s="136"/>
      <c r="F827" s="496"/>
      <c r="G827" s="140"/>
      <c r="H827" s="141"/>
      <c r="I827" s="141"/>
      <c r="J827" s="142"/>
      <c r="K827" s="142"/>
      <c r="L827" s="142"/>
      <c r="M827" s="142"/>
      <c r="N827" s="136"/>
      <c r="O827" s="34"/>
      <c r="P827" s="35"/>
      <c r="Q827" s="35"/>
      <c r="R827" s="35"/>
      <c r="S827" s="35"/>
      <c r="T827" s="35"/>
      <c r="U827" s="35"/>
      <c r="V827" s="35"/>
      <c r="W827" s="35"/>
      <c r="X827" s="35"/>
      <c r="Y827" s="35"/>
      <c r="Z827" s="35"/>
    </row>
    <row r="828" ht="14.25" customHeight="1">
      <c r="A828" s="452"/>
      <c r="B828" s="494"/>
      <c r="C828" s="138"/>
      <c r="D828" s="495"/>
      <c r="E828" s="136"/>
      <c r="F828" s="496"/>
      <c r="G828" s="140"/>
      <c r="H828" s="141"/>
      <c r="I828" s="141"/>
      <c r="J828" s="142"/>
      <c r="K828" s="142"/>
      <c r="L828" s="142"/>
      <c r="M828" s="142"/>
      <c r="N828" s="136"/>
      <c r="O828" s="34"/>
      <c r="P828" s="35"/>
      <c r="Q828" s="35"/>
      <c r="R828" s="35"/>
      <c r="S828" s="35"/>
      <c r="T828" s="35"/>
      <c r="U828" s="35"/>
      <c r="V828" s="35"/>
      <c r="W828" s="35"/>
      <c r="X828" s="35"/>
      <c r="Y828" s="35"/>
      <c r="Z828" s="35"/>
    </row>
    <row r="829" ht="14.25" customHeight="1">
      <c r="A829" s="452"/>
      <c r="B829" s="494"/>
      <c r="C829" s="138"/>
      <c r="D829" s="495"/>
      <c r="E829" s="136"/>
      <c r="F829" s="496"/>
      <c r="G829" s="140"/>
      <c r="H829" s="141"/>
      <c r="I829" s="141"/>
      <c r="J829" s="142"/>
      <c r="K829" s="142"/>
      <c r="L829" s="142"/>
      <c r="M829" s="142"/>
      <c r="N829" s="136"/>
      <c r="O829" s="34"/>
      <c r="P829" s="35"/>
      <c r="Q829" s="35"/>
      <c r="R829" s="35"/>
      <c r="S829" s="35"/>
      <c r="T829" s="35"/>
      <c r="U829" s="35"/>
      <c r="V829" s="35"/>
      <c r="W829" s="35"/>
      <c r="X829" s="35"/>
      <c r="Y829" s="35"/>
      <c r="Z829" s="35"/>
    </row>
    <row r="830" ht="14.25" customHeight="1">
      <c r="A830" s="452"/>
      <c r="B830" s="494"/>
      <c r="C830" s="138"/>
      <c r="D830" s="495"/>
      <c r="E830" s="136"/>
      <c r="F830" s="496"/>
      <c r="G830" s="140"/>
      <c r="H830" s="141"/>
      <c r="I830" s="141"/>
      <c r="J830" s="142"/>
      <c r="K830" s="142"/>
      <c r="L830" s="142"/>
      <c r="M830" s="142"/>
      <c r="N830" s="136"/>
      <c r="O830" s="34"/>
      <c r="P830" s="35"/>
      <c r="Q830" s="35"/>
      <c r="R830" s="35"/>
      <c r="S830" s="35"/>
      <c r="T830" s="35"/>
      <c r="U830" s="35"/>
      <c r="V830" s="35"/>
      <c r="W830" s="35"/>
      <c r="X830" s="35"/>
      <c r="Y830" s="35"/>
      <c r="Z830" s="35"/>
    </row>
    <row r="831" ht="14.25" customHeight="1">
      <c r="A831" s="452"/>
      <c r="B831" s="494"/>
      <c r="C831" s="138"/>
      <c r="D831" s="495"/>
      <c r="E831" s="136"/>
      <c r="F831" s="496"/>
      <c r="G831" s="140"/>
      <c r="H831" s="141"/>
      <c r="I831" s="141"/>
      <c r="J831" s="142"/>
      <c r="K831" s="142"/>
      <c r="L831" s="142"/>
      <c r="M831" s="142"/>
      <c r="N831" s="136"/>
      <c r="O831" s="34"/>
      <c r="P831" s="35"/>
      <c r="Q831" s="35"/>
      <c r="R831" s="35"/>
      <c r="S831" s="35"/>
      <c r="T831" s="35"/>
      <c r="U831" s="35"/>
      <c r="V831" s="35"/>
      <c r="W831" s="35"/>
      <c r="X831" s="35"/>
      <c r="Y831" s="35"/>
      <c r="Z831" s="35"/>
    </row>
    <row r="832" ht="14.25" customHeight="1">
      <c r="A832" s="452"/>
      <c r="B832" s="494"/>
      <c r="C832" s="138"/>
      <c r="D832" s="495"/>
      <c r="E832" s="136"/>
      <c r="F832" s="496"/>
      <c r="G832" s="140"/>
      <c r="H832" s="141"/>
      <c r="I832" s="141"/>
      <c r="J832" s="142"/>
      <c r="K832" s="142"/>
      <c r="L832" s="142"/>
      <c r="M832" s="142"/>
      <c r="N832" s="136"/>
      <c r="O832" s="34"/>
      <c r="P832" s="35"/>
      <c r="Q832" s="35"/>
      <c r="R832" s="35"/>
      <c r="S832" s="35"/>
      <c r="T832" s="35"/>
      <c r="U832" s="35"/>
      <c r="V832" s="35"/>
      <c r="W832" s="35"/>
      <c r="X832" s="35"/>
      <c r="Y832" s="35"/>
      <c r="Z832" s="35"/>
    </row>
    <row r="833" ht="14.25" customHeight="1">
      <c r="A833" s="452"/>
      <c r="B833" s="494"/>
      <c r="C833" s="138"/>
      <c r="D833" s="495"/>
      <c r="E833" s="136"/>
      <c r="F833" s="496"/>
      <c r="G833" s="140"/>
      <c r="H833" s="141"/>
      <c r="I833" s="141"/>
      <c r="J833" s="142"/>
      <c r="K833" s="142"/>
      <c r="L833" s="142"/>
      <c r="M833" s="142"/>
      <c r="N833" s="136"/>
      <c r="O833" s="34"/>
      <c r="P833" s="35"/>
      <c r="Q833" s="35"/>
      <c r="R833" s="35"/>
      <c r="S833" s="35"/>
      <c r="T833" s="35"/>
      <c r="U833" s="35"/>
      <c r="V833" s="35"/>
      <c r="W833" s="35"/>
      <c r="X833" s="35"/>
      <c r="Y833" s="35"/>
      <c r="Z833" s="35"/>
    </row>
    <row r="834" ht="14.25" customHeight="1">
      <c r="A834" s="452"/>
      <c r="B834" s="494"/>
      <c r="C834" s="138"/>
      <c r="D834" s="495"/>
      <c r="E834" s="136"/>
      <c r="F834" s="496"/>
      <c r="G834" s="140"/>
      <c r="H834" s="141"/>
      <c r="I834" s="141"/>
      <c r="J834" s="142"/>
      <c r="K834" s="142"/>
      <c r="L834" s="142"/>
      <c r="M834" s="142"/>
      <c r="N834" s="136"/>
      <c r="O834" s="34"/>
      <c r="P834" s="35"/>
      <c r="Q834" s="35"/>
      <c r="R834" s="35"/>
      <c r="S834" s="35"/>
      <c r="T834" s="35"/>
      <c r="U834" s="35"/>
      <c r="V834" s="35"/>
      <c r="W834" s="35"/>
      <c r="X834" s="35"/>
      <c r="Y834" s="35"/>
      <c r="Z834" s="35"/>
    </row>
    <row r="835" ht="14.25" customHeight="1">
      <c r="A835" s="452"/>
      <c r="B835" s="494"/>
      <c r="C835" s="138"/>
      <c r="D835" s="495"/>
      <c r="E835" s="136"/>
      <c r="F835" s="496"/>
      <c r="G835" s="140"/>
      <c r="H835" s="141"/>
      <c r="I835" s="141"/>
      <c r="J835" s="142"/>
      <c r="K835" s="142"/>
      <c r="L835" s="142"/>
      <c r="M835" s="142"/>
      <c r="N835" s="136"/>
      <c r="O835" s="34"/>
      <c r="P835" s="35"/>
      <c r="Q835" s="35"/>
      <c r="R835" s="35"/>
      <c r="S835" s="35"/>
      <c r="T835" s="35"/>
      <c r="U835" s="35"/>
      <c r="V835" s="35"/>
      <c r="W835" s="35"/>
      <c r="X835" s="35"/>
      <c r="Y835" s="35"/>
      <c r="Z835" s="35"/>
    </row>
    <row r="836" ht="14.25" customHeight="1">
      <c r="A836" s="452"/>
      <c r="B836" s="494"/>
      <c r="C836" s="138"/>
      <c r="D836" s="495"/>
      <c r="E836" s="136"/>
      <c r="F836" s="496"/>
      <c r="G836" s="140"/>
      <c r="H836" s="141"/>
      <c r="I836" s="141"/>
      <c r="J836" s="142"/>
      <c r="K836" s="142"/>
      <c r="L836" s="142"/>
      <c r="M836" s="142"/>
      <c r="N836" s="136"/>
      <c r="O836" s="34"/>
      <c r="P836" s="35"/>
      <c r="Q836" s="35"/>
      <c r="R836" s="35"/>
      <c r="S836" s="35"/>
      <c r="T836" s="35"/>
      <c r="U836" s="35"/>
      <c r="V836" s="35"/>
      <c r="W836" s="35"/>
      <c r="X836" s="35"/>
      <c r="Y836" s="35"/>
      <c r="Z836" s="35"/>
    </row>
    <row r="837" ht="14.25" customHeight="1">
      <c r="A837" s="452"/>
      <c r="B837" s="494"/>
      <c r="C837" s="138"/>
      <c r="D837" s="495"/>
      <c r="E837" s="136"/>
      <c r="F837" s="496"/>
      <c r="G837" s="140"/>
      <c r="H837" s="141"/>
      <c r="I837" s="141"/>
      <c r="J837" s="142"/>
      <c r="K837" s="142"/>
      <c r="L837" s="142"/>
      <c r="M837" s="142"/>
      <c r="N837" s="136"/>
      <c r="O837" s="34"/>
      <c r="P837" s="35"/>
      <c r="Q837" s="35"/>
      <c r="R837" s="35"/>
      <c r="S837" s="35"/>
      <c r="T837" s="35"/>
      <c r="U837" s="35"/>
      <c r="V837" s="35"/>
      <c r="W837" s="35"/>
      <c r="X837" s="35"/>
      <c r="Y837" s="35"/>
      <c r="Z837" s="35"/>
    </row>
    <row r="838" ht="14.25" customHeight="1">
      <c r="A838" s="452"/>
      <c r="B838" s="494"/>
      <c r="C838" s="138"/>
      <c r="D838" s="495"/>
      <c r="E838" s="136"/>
      <c r="F838" s="496"/>
      <c r="G838" s="140"/>
      <c r="H838" s="141"/>
      <c r="I838" s="141"/>
      <c r="J838" s="142"/>
      <c r="K838" s="142"/>
      <c r="L838" s="142"/>
      <c r="M838" s="142"/>
      <c r="N838" s="136"/>
      <c r="O838" s="34"/>
      <c r="P838" s="35"/>
      <c r="Q838" s="35"/>
      <c r="R838" s="35"/>
      <c r="S838" s="35"/>
      <c r="T838" s="35"/>
      <c r="U838" s="35"/>
      <c r="V838" s="35"/>
      <c r="W838" s="35"/>
      <c r="X838" s="35"/>
      <c r="Y838" s="35"/>
      <c r="Z838" s="35"/>
    </row>
    <row r="839" ht="14.25" customHeight="1">
      <c r="A839" s="452"/>
      <c r="B839" s="494"/>
      <c r="C839" s="138"/>
      <c r="D839" s="495"/>
      <c r="E839" s="136"/>
      <c r="F839" s="496"/>
      <c r="G839" s="140"/>
      <c r="H839" s="141"/>
      <c r="I839" s="141"/>
      <c r="J839" s="142"/>
      <c r="K839" s="142"/>
      <c r="L839" s="142"/>
      <c r="M839" s="142"/>
      <c r="N839" s="136"/>
      <c r="O839" s="34"/>
      <c r="P839" s="35"/>
      <c r="Q839" s="35"/>
      <c r="R839" s="35"/>
      <c r="S839" s="35"/>
      <c r="T839" s="35"/>
      <c r="U839" s="35"/>
      <c r="V839" s="35"/>
      <c r="W839" s="35"/>
      <c r="X839" s="35"/>
      <c r="Y839" s="35"/>
      <c r="Z839" s="35"/>
    </row>
    <row r="840" ht="14.25" customHeight="1">
      <c r="A840" s="452"/>
      <c r="B840" s="494"/>
      <c r="C840" s="138"/>
      <c r="D840" s="495"/>
      <c r="E840" s="136"/>
      <c r="F840" s="496"/>
      <c r="G840" s="140"/>
      <c r="H840" s="141"/>
      <c r="I840" s="141"/>
      <c r="J840" s="142"/>
      <c r="K840" s="142"/>
      <c r="L840" s="142"/>
      <c r="M840" s="142"/>
      <c r="N840" s="136"/>
      <c r="O840" s="34"/>
      <c r="P840" s="35"/>
      <c r="Q840" s="35"/>
      <c r="R840" s="35"/>
      <c r="S840" s="35"/>
      <c r="T840" s="35"/>
      <c r="U840" s="35"/>
      <c r="V840" s="35"/>
      <c r="W840" s="35"/>
      <c r="X840" s="35"/>
      <c r="Y840" s="35"/>
      <c r="Z840" s="35"/>
    </row>
    <row r="841" ht="14.25" customHeight="1">
      <c r="A841" s="452"/>
      <c r="B841" s="494"/>
      <c r="C841" s="138"/>
      <c r="D841" s="495"/>
      <c r="E841" s="136"/>
      <c r="F841" s="496"/>
      <c r="G841" s="140"/>
      <c r="H841" s="141"/>
      <c r="I841" s="141"/>
      <c r="J841" s="142"/>
      <c r="K841" s="142"/>
      <c r="L841" s="142"/>
      <c r="M841" s="142"/>
      <c r="N841" s="136"/>
      <c r="O841" s="34"/>
      <c r="P841" s="35"/>
      <c r="Q841" s="35"/>
      <c r="R841" s="35"/>
      <c r="S841" s="35"/>
      <c r="T841" s="35"/>
      <c r="U841" s="35"/>
      <c r="V841" s="35"/>
      <c r="W841" s="35"/>
      <c r="X841" s="35"/>
      <c r="Y841" s="35"/>
      <c r="Z841" s="35"/>
    </row>
    <row r="842" ht="14.25" customHeight="1">
      <c r="A842" s="452"/>
      <c r="B842" s="494"/>
      <c r="C842" s="138"/>
      <c r="D842" s="495"/>
      <c r="E842" s="136"/>
      <c r="F842" s="496"/>
      <c r="G842" s="140"/>
      <c r="H842" s="141"/>
      <c r="I842" s="141"/>
      <c r="J842" s="142"/>
      <c r="K842" s="142"/>
      <c r="L842" s="142"/>
      <c r="M842" s="142"/>
      <c r="N842" s="136"/>
      <c r="O842" s="34"/>
      <c r="P842" s="35"/>
      <c r="Q842" s="35"/>
      <c r="R842" s="35"/>
      <c r="S842" s="35"/>
      <c r="T842" s="35"/>
      <c r="U842" s="35"/>
      <c r="V842" s="35"/>
      <c r="W842" s="35"/>
      <c r="X842" s="35"/>
      <c r="Y842" s="35"/>
      <c r="Z842" s="35"/>
    </row>
    <row r="843" ht="14.25" customHeight="1">
      <c r="A843" s="452"/>
      <c r="B843" s="494"/>
      <c r="C843" s="138"/>
      <c r="D843" s="495"/>
      <c r="E843" s="136"/>
      <c r="F843" s="496"/>
      <c r="G843" s="140"/>
      <c r="H843" s="141"/>
      <c r="I843" s="141"/>
      <c r="J843" s="142"/>
      <c r="K843" s="142"/>
      <c r="L843" s="142"/>
      <c r="M843" s="142"/>
      <c r="N843" s="136"/>
      <c r="O843" s="34"/>
      <c r="P843" s="35"/>
      <c r="Q843" s="35"/>
      <c r="R843" s="35"/>
      <c r="S843" s="35"/>
      <c r="T843" s="35"/>
      <c r="U843" s="35"/>
      <c r="V843" s="35"/>
      <c r="W843" s="35"/>
      <c r="X843" s="35"/>
      <c r="Y843" s="35"/>
      <c r="Z843" s="35"/>
    </row>
    <row r="844" ht="14.25" customHeight="1">
      <c r="A844" s="452"/>
      <c r="B844" s="494"/>
      <c r="C844" s="138"/>
      <c r="D844" s="495"/>
      <c r="E844" s="136"/>
      <c r="F844" s="496"/>
      <c r="G844" s="140"/>
      <c r="H844" s="141"/>
      <c r="I844" s="141"/>
      <c r="J844" s="142"/>
      <c r="K844" s="142"/>
      <c r="L844" s="142"/>
      <c r="M844" s="142"/>
      <c r="N844" s="136"/>
      <c r="O844" s="34"/>
      <c r="P844" s="35"/>
      <c r="Q844" s="35"/>
      <c r="R844" s="35"/>
      <c r="S844" s="35"/>
      <c r="T844" s="35"/>
      <c r="U844" s="35"/>
      <c r="V844" s="35"/>
      <c r="W844" s="35"/>
      <c r="X844" s="35"/>
      <c r="Y844" s="35"/>
      <c r="Z844" s="35"/>
    </row>
    <row r="845" ht="14.25" customHeight="1">
      <c r="A845" s="452"/>
      <c r="B845" s="494"/>
      <c r="C845" s="138"/>
      <c r="D845" s="495"/>
      <c r="E845" s="136"/>
      <c r="F845" s="496"/>
      <c r="G845" s="140"/>
      <c r="H845" s="141"/>
      <c r="I845" s="141"/>
      <c r="J845" s="142"/>
      <c r="K845" s="142"/>
      <c r="L845" s="142"/>
      <c r="M845" s="142"/>
      <c r="N845" s="136"/>
      <c r="O845" s="34"/>
      <c r="P845" s="35"/>
      <c r="Q845" s="35"/>
      <c r="R845" s="35"/>
      <c r="S845" s="35"/>
      <c r="T845" s="35"/>
      <c r="U845" s="35"/>
      <c r="V845" s="35"/>
      <c r="W845" s="35"/>
      <c r="X845" s="35"/>
      <c r="Y845" s="35"/>
      <c r="Z845" s="35"/>
    </row>
    <row r="846" ht="14.25" customHeight="1">
      <c r="A846" s="452"/>
      <c r="B846" s="494"/>
      <c r="C846" s="138"/>
      <c r="D846" s="495"/>
      <c r="E846" s="136"/>
      <c r="F846" s="496"/>
      <c r="G846" s="140"/>
      <c r="H846" s="141"/>
      <c r="I846" s="141"/>
      <c r="J846" s="142"/>
      <c r="K846" s="142"/>
      <c r="L846" s="142"/>
      <c r="M846" s="142"/>
      <c r="N846" s="136"/>
      <c r="O846" s="34"/>
      <c r="P846" s="35"/>
      <c r="Q846" s="35"/>
      <c r="R846" s="35"/>
      <c r="S846" s="35"/>
      <c r="T846" s="35"/>
      <c r="U846" s="35"/>
      <c r="V846" s="35"/>
      <c r="W846" s="35"/>
      <c r="X846" s="35"/>
      <c r="Y846" s="35"/>
      <c r="Z846" s="35"/>
    </row>
    <row r="847" ht="14.25" customHeight="1">
      <c r="A847" s="452"/>
      <c r="B847" s="494"/>
      <c r="C847" s="138"/>
      <c r="D847" s="495"/>
      <c r="E847" s="136"/>
      <c r="F847" s="496"/>
      <c r="G847" s="140"/>
      <c r="H847" s="141"/>
      <c r="I847" s="141"/>
      <c r="J847" s="142"/>
      <c r="K847" s="142"/>
      <c r="L847" s="142"/>
      <c r="M847" s="142"/>
      <c r="N847" s="136"/>
      <c r="O847" s="34"/>
      <c r="P847" s="35"/>
      <c r="Q847" s="35"/>
      <c r="R847" s="35"/>
      <c r="S847" s="35"/>
      <c r="T847" s="35"/>
      <c r="U847" s="35"/>
      <c r="V847" s="35"/>
      <c r="W847" s="35"/>
      <c r="X847" s="35"/>
      <c r="Y847" s="35"/>
      <c r="Z847" s="35"/>
    </row>
    <row r="848" ht="14.25" customHeight="1">
      <c r="A848" s="452"/>
      <c r="B848" s="494"/>
      <c r="C848" s="138"/>
      <c r="D848" s="495"/>
      <c r="E848" s="136"/>
      <c r="F848" s="496"/>
      <c r="G848" s="140"/>
      <c r="H848" s="141"/>
      <c r="I848" s="141"/>
      <c r="J848" s="142"/>
      <c r="K848" s="142"/>
      <c r="L848" s="142"/>
      <c r="M848" s="142"/>
      <c r="N848" s="136"/>
      <c r="O848" s="34"/>
      <c r="P848" s="35"/>
      <c r="Q848" s="35"/>
      <c r="R848" s="35"/>
      <c r="S848" s="35"/>
      <c r="T848" s="35"/>
      <c r="U848" s="35"/>
      <c r="V848" s="35"/>
      <c r="W848" s="35"/>
      <c r="X848" s="35"/>
      <c r="Y848" s="35"/>
      <c r="Z848" s="35"/>
    </row>
    <row r="849" ht="14.25" customHeight="1">
      <c r="A849" s="452"/>
      <c r="B849" s="494"/>
      <c r="C849" s="138"/>
      <c r="D849" s="495"/>
      <c r="E849" s="136"/>
      <c r="F849" s="496"/>
      <c r="G849" s="140"/>
      <c r="H849" s="141"/>
      <c r="I849" s="141"/>
      <c r="J849" s="142"/>
      <c r="K849" s="142"/>
      <c r="L849" s="142"/>
      <c r="M849" s="142"/>
      <c r="N849" s="136"/>
      <c r="O849" s="34"/>
      <c r="P849" s="35"/>
      <c r="Q849" s="35"/>
      <c r="R849" s="35"/>
      <c r="S849" s="35"/>
      <c r="T849" s="35"/>
      <c r="U849" s="35"/>
      <c r="V849" s="35"/>
      <c r="W849" s="35"/>
      <c r="X849" s="35"/>
      <c r="Y849" s="35"/>
      <c r="Z849" s="35"/>
    </row>
    <row r="850" ht="14.25" customHeight="1">
      <c r="A850" s="452"/>
      <c r="B850" s="494"/>
      <c r="C850" s="138"/>
      <c r="D850" s="495"/>
      <c r="E850" s="136"/>
      <c r="F850" s="496"/>
      <c r="G850" s="140"/>
      <c r="H850" s="141"/>
      <c r="I850" s="141"/>
      <c r="J850" s="142"/>
      <c r="K850" s="142"/>
      <c r="L850" s="142"/>
      <c r="M850" s="142"/>
      <c r="N850" s="136"/>
      <c r="O850" s="34"/>
      <c r="P850" s="35"/>
      <c r="Q850" s="35"/>
      <c r="R850" s="35"/>
      <c r="S850" s="35"/>
      <c r="T850" s="35"/>
      <c r="U850" s="35"/>
      <c r="V850" s="35"/>
      <c r="W850" s="35"/>
      <c r="X850" s="35"/>
      <c r="Y850" s="35"/>
      <c r="Z850" s="35"/>
    </row>
    <row r="851" ht="14.25" customHeight="1">
      <c r="A851" s="452"/>
      <c r="B851" s="494"/>
      <c r="C851" s="138"/>
      <c r="D851" s="495"/>
      <c r="E851" s="136"/>
      <c r="F851" s="496"/>
      <c r="G851" s="140"/>
      <c r="H851" s="141"/>
      <c r="I851" s="141"/>
      <c r="J851" s="142"/>
      <c r="K851" s="142"/>
      <c r="L851" s="142"/>
      <c r="M851" s="142"/>
      <c r="N851" s="136"/>
      <c r="O851" s="34"/>
      <c r="P851" s="35"/>
      <c r="Q851" s="35"/>
      <c r="R851" s="35"/>
      <c r="S851" s="35"/>
      <c r="T851" s="35"/>
      <c r="U851" s="35"/>
      <c r="V851" s="35"/>
      <c r="W851" s="35"/>
      <c r="X851" s="35"/>
      <c r="Y851" s="35"/>
      <c r="Z851" s="35"/>
    </row>
    <row r="852" ht="14.25" customHeight="1">
      <c r="A852" s="452"/>
      <c r="B852" s="494"/>
      <c r="C852" s="138"/>
      <c r="D852" s="495"/>
      <c r="E852" s="136"/>
      <c r="F852" s="496"/>
      <c r="G852" s="140"/>
      <c r="H852" s="141"/>
      <c r="I852" s="141"/>
      <c r="J852" s="142"/>
      <c r="K852" s="142"/>
      <c r="L852" s="142"/>
      <c r="M852" s="142"/>
      <c r="N852" s="136"/>
      <c r="O852" s="34"/>
      <c r="P852" s="35"/>
      <c r="Q852" s="35"/>
      <c r="R852" s="35"/>
      <c r="S852" s="35"/>
      <c r="T852" s="35"/>
      <c r="U852" s="35"/>
      <c r="V852" s="35"/>
      <c r="W852" s="35"/>
      <c r="X852" s="35"/>
      <c r="Y852" s="35"/>
      <c r="Z852" s="35"/>
    </row>
    <row r="853" ht="14.25" customHeight="1">
      <c r="A853" s="452"/>
      <c r="B853" s="494"/>
      <c r="C853" s="138"/>
      <c r="D853" s="495"/>
      <c r="E853" s="136"/>
      <c r="F853" s="496"/>
      <c r="G853" s="140"/>
      <c r="H853" s="141"/>
      <c r="I853" s="141"/>
      <c r="J853" s="142"/>
      <c r="K853" s="142"/>
      <c r="L853" s="142"/>
      <c r="M853" s="142"/>
      <c r="N853" s="136"/>
      <c r="O853" s="34"/>
      <c r="P853" s="35"/>
      <c r="Q853" s="35"/>
      <c r="R853" s="35"/>
      <c r="S853" s="35"/>
      <c r="T853" s="35"/>
      <c r="U853" s="35"/>
      <c r="V853" s="35"/>
      <c r="W853" s="35"/>
      <c r="X853" s="35"/>
      <c r="Y853" s="35"/>
      <c r="Z853" s="35"/>
    </row>
    <row r="854" ht="14.25" customHeight="1">
      <c r="A854" s="452"/>
      <c r="B854" s="494"/>
      <c r="C854" s="138"/>
      <c r="D854" s="495"/>
      <c r="E854" s="136"/>
      <c r="F854" s="496"/>
      <c r="G854" s="140"/>
      <c r="H854" s="141"/>
      <c r="I854" s="141"/>
      <c r="J854" s="142"/>
      <c r="K854" s="142"/>
      <c r="L854" s="142"/>
      <c r="M854" s="142"/>
      <c r="N854" s="136"/>
      <c r="O854" s="34"/>
      <c r="P854" s="35"/>
      <c r="Q854" s="35"/>
      <c r="R854" s="35"/>
      <c r="S854" s="35"/>
      <c r="T854" s="35"/>
      <c r="U854" s="35"/>
      <c r="V854" s="35"/>
      <c r="W854" s="35"/>
      <c r="X854" s="35"/>
      <c r="Y854" s="35"/>
      <c r="Z854" s="35"/>
    </row>
    <row r="855" ht="14.25" customHeight="1">
      <c r="A855" s="452"/>
      <c r="B855" s="494"/>
      <c r="C855" s="138"/>
      <c r="D855" s="495"/>
      <c r="E855" s="136"/>
      <c r="F855" s="496"/>
      <c r="G855" s="140"/>
      <c r="H855" s="141"/>
      <c r="I855" s="141"/>
      <c r="J855" s="142"/>
      <c r="K855" s="142"/>
      <c r="L855" s="142"/>
      <c r="M855" s="142"/>
      <c r="N855" s="136"/>
      <c r="O855" s="34"/>
      <c r="P855" s="35"/>
      <c r="Q855" s="35"/>
      <c r="R855" s="35"/>
      <c r="S855" s="35"/>
      <c r="T855" s="35"/>
      <c r="U855" s="35"/>
      <c r="V855" s="35"/>
      <c r="W855" s="35"/>
      <c r="X855" s="35"/>
      <c r="Y855" s="35"/>
      <c r="Z855" s="35"/>
    </row>
    <row r="856" ht="14.25" customHeight="1">
      <c r="A856" s="452"/>
      <c r="B856" s="494"/>
      <c r="C856" s="138"/>
      <c r="D856" s="495"/>
      <c r="E856" s="136"/>
      <c r="F856" s="496"/>
      <c r="G856" s="140"/>
      <c r="H856" s="141"/>
      <c r="I856" s="141"/>
      <c r="J856" s="142"/>
      <c r="K856" s="142"/>
      <c r="L856" s="142"/>
      <c r="M856" s="142"/>
      <c r="N856" s="136"/>
      <c r="O856" s="34"/>
      <c r="P856" s="35"/>
      <c r="Q856" s="35"/>
      <c r="R856" s="35"/>
      <c r="S856" s="35"/>
      <c r="T856" s="35"/>
      <c r="U856" s="35"/>
      <c r="V856" s="35"/>
      <c r="W856" s="35"/>
      <c r="X856" s="35"/>
      <c r="Y856" s="35"/>
      <c r="Z856" s="35"/>
    </row>
    <row r="857" ht="14.25" customHeight="1">
      <c r="A857" s="452"/>
      <c r="B857" s="494"/>
      <c r="C857" s="138"/>
      <c r="D857" s="495"/>
      <c r="E857" s="136"/>
      <c r="F857" s="496"/>
      <c r="G857" s="140"/>
      <c r="H857" s="141"/>
      <c r="I857" s="141"/>
      <c r="J857" s="142"/>
      <c r="K857" s="142"/>
      <c r="L857" s="142"/>
      <c r="M857" s="142"/>
      <c r="N857" s="136"/>
      <c r="O857" s="34"/>
      <c r="P857" s="35"/>
      <c r="Q857" s="35"/>
      <c r="R857" s="35"/>
      <c r="S857" s="35"/>
      <c r="T857" s="35"/>
      <c r="U857" s="35"/>
      <c r="V857" s="35"/>
      <c r="W857" s="35"/>
      <c r="X857" s="35"/>
      <c r="Y857" s="35"/>
      <c r="Z857" s="35"/>
    </row>
    <row r="858" ht="14.25" customHeight="1">
      <c r="A858" s="452"/>
      <c r="B858" s="494"/>
      <c r="C858" s="138"/>
      <c r="D858" s="495"/>
      <c r="E858" s="136"/>
      <c r="F858" s="496"/>
      <c r="G858" s="140"/>
      <c r="H858" s="141"/>
      <c r="I858" s="141"/>
      <c r="J858" s="142"/>
      <c r="K858" s="142"/>
      <c r="L858" s="142"/>
      <c r="M858" s="142"/>
      <c r="N858" s="136"/>
      <c r="O858" s="34"/>
      <c r="P858" s="35"/>
      <c r="Q858" s="35"/>
      <c r="R858" s="35"/>
      <c r="S858" s="35"/>
      <c r="T858" s="35"/>
      <c r="U858" s="35"/>
      <c r="V858" s="35"/>
      <c r="W858" s="35"/>
      <c r="X858" s="35"/>
      <c r="Y858" s="35"/>
      <c r="Z858" s="35"/>
    </row>
    <row r="859" ht="14.25" customHeight="1">
      <c r="A859" s="452"/>
      <c r="B859" s="494"/>
      <c r="C859" s="138"/>
      <c r="D859" s="495"/>
      <c r="E859" s="136"/>
      <c r="F859" s="496"/>
      <c r="G859" s="140"/>
      <c r="H859" s="141"/>
      <c r="I859" s="141"/>
      <c r="J859" s="142"/>
      <c r="K859" s="142"/>
      <c r="L859" s="142"/>
      <c r="M859" s="142"/>
      <c r="N859" s="136"/>
      <c r="O859" s="34"/>
      <c r="P859" s="35"/>
      <c r="Q859" s="35"/>
      <c r="R859" s="35"/>
      <c r="S859" s="35"/>
      <c r="T859" s="35"/>
      <c r="U859" s="35"/>
      <c r="V859" s="35"/>
      <c r="W859" s="35"/>
      <c r="X859" s="35"/>
      <c r="Y859" s="35"/>
      <c r="Z859" s="35"/>
    </row>
    <row r="860" ht="14.25" customHeight="1">
      <c r="A860" s="452"/>
      <c r="B860" s="494"/>
      <c r="C860" s="138"/>
      <c r="D860" s="495"/>
      <c r="E860" s="136"/>
      <c r="F860" s="496"/>
      <c r="G860" s="140"/>
      <c r="H860" s="141"/>
      <c r="I860" s="141"/>
      <c r="J860" s="142"/>
      <c r="K860" s="142"/>
      <c r="L860" s="142"/>
      <c r="M860" s="142"/>
      <c r="N860" s="136"/>
      <c r="O860" s="34"/>
      <c r="P860" s="35"/>
      <c r="Q860" s="35"/>
      <c r="R860" s="35"/>
      <c r="S860" s="35"/>
      <c r="T860" s="35"/>
      <c r="U860" s="35"/>
      <c r="V860" s="35"/>
      <c r="W860" s="35"/>
      <c r="X860" s="35"/>
      <c r="Y860" s="35"/>
      <c r="Z860" s="35"/>
    </row>
    <row r="861" ht="14.25" customHeight="1">
      <c r="A861" s="452"/>
      <c r="B861" s="494"/>
      <c r="C861" s="138"/>
      <c r="D861" s="495"/>
      <c r="E861" s="136"/>
      <c r="F861" s="496"/>
      <c r="G861" s="140"/>
      <c r="H861" s="141"/>
      <c r="I861" s="141"/>
      <c r="J861" s="142"/>
      <c r="K861" s="142"/>
      <c r="L861" s="142"/>
      <c r="M861" s="142"/>
      <c r="N861" s="136"/>
      <c r="O861" s="34"/>
      <c r="P861" s="35"/>
      <c r="Q861" s="35"/>
      <c r="R861" s="35"/>
      <c r="S861" s="35"/>
      <c r="T861" s="35"/>
      <c r="U861" s="35"/>
      <c r="V861" s="35"/>
      <c r="W861" s="35"/>
      <c r="X861" s="35"/>
      <c r="Y861" s="35"/>
      <c r="Z861" s="35"/>
    </row>
    <row r="862" ht="14.25" customHeight="1">
      <c r="A862" s="452"/>
      <c r="B862" s="494"/>
      <c r="C862" s="138"/>
      <c r="D862" s="495"/>
      <c r="E862" s="136"/>
      <c r="F862" s="496"/>
      <c r="G862" s="140"/>
      <c r="H862" s="141"/>
      <c r="I862" s="141"/>
      <c r="J862" s="142"/>
      <c r="K862" s="142"/>
      <c r="L862" s="142"/>
      <c r="M862" s="142"/>
      <c r="N862" s="136"/>
      <c r="O862" s="34"/>
      <c r="P862" s="35"/>
      <c r="Q862" s="35"/>
      <c r="R862" s="35"/>
      <c r="S862" s="35"/>
      <c r="T862" s="35"/>
      <c r="U862" s="35"/>
      <c r="V862" s="35"/>
      <c r="W862" s="35"/>
      <c r="X862" s="35"/>
      <c r="Y862" s="35"/>
      <c r="Z862" s="35"/>
    </row>
    <row r="863" ht="14.25" customHeight="1">
      <c r="A863" s="452"/>
      <c r="B863" s="494"/>
      <c r="C863" s="138"/>
      <c r="D863" s="495"/>
      <c r="E863" s="136"/>
      <c r="F863" s="496"/>
      <c r="G863" s="140"/>
      <c r="H863" s="141"/>
      <c r="I863" s="141"/>
      <c r="J863" s="142"/>
      <c r="K863" s="142"/>
      <c r="L863" s="142"/>
      <c r="M863" s="142"/>
      <c r="N863" s="136"/>
      <c r="O863" s="34"/>
      <c r="P863" s="35"/>
      <c r="Q863" s="35"/>
      <c r="R863" s="35"/>
      <c r="S863" s="35"/>
      <c r="T863" s="35"/>
      <c r="U863" s="35"/>
      <c r="V863" s="35"/>
      <c r="W863" s="35"/>
      <c r="X863" s="35"/>
      <c r="Y863" s="35"/>
      <c r="Z863" s="35"/>
    </row>
    <row r="864" ht="14.25" customHeight="1">
      <c r="A864" s="452"/>
      <c r="B864" s="494"/>
      <c r="C864" s="138"/>
      <c r="D864" s="495"/>
      <c r="E864" s="136"/>
      <c r="F864" s="496"/>
      <c r="G864" s="140"/>
      <c r="H864" s="141"/>
      <c r="I864" s="141"/>
      <c r="J864" s="142"/>
      <c r="K864" s="142"/>
      <c r="L864" s="142"/>
      <c r="M864" s="142"/>
      <c r="N864" s="136"/>
      <c r="O864" s="34"/>
      <c r="P864" s="35"/>
      <c r="Q864" s="35"/>
      <c r="R864" s="35"/>
      <c r="S864" s="35"/>
      <c r="T864" s="35"/>
      <c r="U864" s="35"/>
      <c r="V864" s="35"/>
      <c r="W864" s="35"/>
      <c r="X864" s="35"/>
      <c r="Y864" s="35"/>
      <c r="Z864" s="35"/>
    </row>
    <row r="865" ht="14.25" customHeight="1">
      <c r="A865" s="452"/>
      <c r="B865" s="494"/>
      <c r="C865" s="138"/>
      <c r="D865" s="495"/>
      <c r="E865" s="136"/>
      <c r="F865" s="496"/>
      <c r="G865" s="140"/>
      <c r="H865" s="141"/>
      <c r="I865" s="141"/>
      <c r="J865" s="142"/>
      <c r="K865" s="142"/>
      <c r="L865" s="142"/>
      <c r="M865" s="142"/>
      <c r="N865" s="136"/>
      <c r="O865" s="34"/>
      <c r="P865" s="35"/>
      <c r="Q865" s="35"/>
      <c r="R865" s="35"/>
      <c r="S865" s="35"/>
      <c r="T865" s="35"/>
      <c r="U865" s="35"/>
      <c r="V865" s="35"/>
      <c r="W865" s="35"/>
      <c r="X865" s="35"/>
      <c r="Y865" s="35"/>
      <c r="Z865" s="35"/>
    </row>
    <row r="866" ht="14.25" customHeight="1">
      <c r="A866" s="452"/>
      <c r="B866" s="494"/>
      <c r="C866" s="138"/>
      <c r="D866" s="495"/>
      <c r="E866" s="136"/>
      <c r="F866" s="496"/>
      <c r="G866" s="140"/>
      <c r="H866" s="141"/>
      <c r="I866" s="141"/>
      <c r="J866" s="142"/>
      <c r="K866" s="142"/>
      <c r="L866" s="142"/>
      <c r="M866" s="142"/>
      <c r="N866" s="136"/>
      <c r="O866" s="34"/>
      <c r="P866" s="35"/>
      <c r="Q866" s="35"/>
      <c r="R866" s="35"/>
      <c r="S866" s="35"/>
      <c r="T866" s="35"/>
      <c r="U866" s="35"/>
      <c r="V866" s="35"/>
      <c r="W866" s="35"/>
      <c r="X866" s="35"/>
      <c r="Y866" s="35"/>
      <c r="Z866" s="35"/>
    </row>
    <row r="867" ht="14.25" customHeight="1">
      <c r="A867" s="452"/>
      <c r="B867" s="494"/>
      <c r="C867" s="138"/>
      <c r="D867" s="495"/>
      <c r="E867" s="136"/>
      <c r="F867" s="496"/>
      <c r="G867" s="140"/>
      <c r="H867" s="141"/>
      <c r="I867" s="141"/>
      <c r="J867" s="142"/>
      <c r="K867" s="142"/>
      <c r="L867" s="142"/>
      <c r="M867" s="142"/>
      <c r="N867" s="136"/>
      <c r="O867" s="34"/>
      <c r="P867" s="35"/>
      <c r="Q867" s="35"/>
      <c r="R867" s="35"/>
      <c r="S867" s="35"/>
      <c r="T867" s="35"/>
      <c r="U867" s="35"/>
      <c r="V867" s="35"/>
      <c r="W867" s="35"/>
      <c r="X867" s="35"/>
      <c r="Y867" s="35"/>
      <c r="Z867" s="35"/>
    </row>
    <row r="868" ht="14.25" customHeight="1">
      <c r="A868" s="452"/>
      <c r="B868" s="494"/>
      <c r="C868" s="138"/>
      <c r="D868" s="495"/>
      <c r="E868" s="136"/>
      <c r="F868" s="496"/>
      <c r="G868" s="140"/>
      <c r="H868" s="141"/>
      <c r="I868" s="141"/>
      <c r="J868" s="142"/>
      <c r="K868" s="142"/>
      <c r="L868" s="142"/>
      <c r="M868" s="142"/>
      <c r="N868" s="136"/>
      <c r="O868" s="34"/>
      <c r="P868" s="35"/>
      <c r="Q868" s="35"/>
      <c r="R868" s="35"/>
      <c r="S868" s="35"/>
      <c r="T868" s="35"/>
      <c r="U868" s="35"/>
      <c r="V868" s="35"/>
      <c r="W868" s="35"/>
      <c r="X868" s="35"/>
      <c r="Y868" s="35"/>
      <c r="Z868" s="35"/>
    </row>
    <row r="869" ht="14.25" customHeight="1">
      <c r="A869" s="452"/>
      <c r="B869" s="494"/>
      <c r="C869" s="138"/>
      <c r="D869" s="495"/>
      <c r="E869" s="136"/>
      <c r="F869" s="496"/>
      <c r="G869" s="140"/>
      <c r="H869" s="141"/>
      <c r="I869" s="141"/>
      <c r="J869" s="142"/>
      <c r="K869" s="142"/>
      <c r="L869" s="142"/>
      <c r="M869" s="142"/>
      <c r="N869" s="136"/>
      <c r="O869" s="34"/>
      <c r="P869" s="35"/>
      <c r="Q869" s="35"/>
      <c r="R869" s="35"/>
      <c r="S869" s="35"/>
      <c r="T869" s="35"/>
      <c r="U869" s="35"/>
      <c r="V869" s="35"/>
      <c r="W869" s="35"/>
      <c r="X869" s="35"/>
      <c r="Y869" s="35"/>
      <c r="Z869" s="35"/>
    </row>
    <row r="870" ht="14.25" customHeight="1">
      <c r="A870" s="452"/>
      <c r="B870" s="494"/>
      <c r="C870" s="138"/>
      <c r="D870" s="495"/>
      <c r="E870" s="136"/>
      <c r="F870" s="496"/>
      <c r="G870" s="140"/>
      <c r="H870" s="141"/>
      <c r="I870" s="141"/>
      <c r="J870" s="142"/>
      <c r="K870" s="142"/>
      <c r="L870" s="142"/>
      <c r="M870" s="142"/>
      <c r="N870" s="136"/>
      <c r="O870" s="34"/>
      <c r="P870" s="35"/>
      <c r="Q870" s="35"/>
      <c r="R870" s="35"/>
      <c r="S870" s="35"/>
      <c r="T870" s="35"/>
      <c r="U870" s="35"/>
      <c r="V870" s="35"/>
      <c r="W870" s="35"/>
      <c r="X870" s="35"/>
      <c r="Y870" s="35"/>
      <c r="Z870" s="35"/>
    </row>
    <row r="871" ht="14.25" customHeight="1">
      <c r="A871" s="452"/>
      <c r="B871" s="494"/>
      <c r="C871" s="138"/>
      <c r="D871" s="495"/>
      <c r="E871" s="136"/>
      <c r="F871" s="496"/>
      <c r="G871" s="140"/>
      <c r="H871" s="141"/>
      <c r="I871" s="141"/>
      <c r="J871" s="142"/>
      <c r="K871" s="142"/>
      <c r="L871" s="142"/>
      <c r="M871" s="142"/>
      <c r="N871" s="136"/>
      <c r="O871" s="34"/>
      <c r="P871" s="35"/>
      <c r="Q871" s="35"/>
      <c r="R871" s="35"/>
      <c r="S871" s="35"/>
      <c r="T871" s="35"/>
      <c r="U871" s="35"/>
      <c r="V871" s="35"/>
      <c r="W871" s="35"/>
      <c r="X871" s="35"/>
      <c r="Y871" s="35"/>
      <c r="Z871" s="35"/>
    </row>
    <row r="872" ht="14.25" customHeight="1">
      <c r="A872" s="452"/>
      <c r="B872" s="494"/>
      <c r="C872" s="138"/>
      <c r="D872" s="495"/>
      <c r="E872" s="136"/>
      <c r="F872" s="496"/>
      <c r="G872" s="140"/>
      <c r="H872" s="141"/>
      <c r="I872" s="141"/>
      <c r="J872" s="142"/>
      <c r="K872" s="142"/>
      <c r="L872" s="142"/>
      <c r="M872" s="142"/>
      <c r="N872" s="136"/>
      <c r="O872" s="34"/>
      <c r="P872" s="35"/>
      <c r="Q872" s="35"/>
      <c r="R872" s="35"/>
      <c r="S872" s="35"/>
      <c r="T872" s="35"/>
      <c r="U872" s="35"/>
      <c r="V872" s="35"/>
      <c r="W872" s="35"/>
      <c r="X872" s="35"/>
      <c r="Y872" s="35"/>
      <c r="Z872" s="35"/>
    </row>
    <row r="873" ht="14.25" customHeight="1">
      <c r="A873" s="452"/>
      <c r="B873" s="494"/>
      <c r="C873" s="138"/>
      <c r="D873" s="495"/>
      <c r="E873" s="136"/>
      <c r="F873" s="496"/>
      <c r="G873" s="140"/>
      <c r="H873" s="141"/>
      <c r="I873" s="141"/>
      <c r="J873" s="142"/>
      <c r="K873" s="142"/>
      <c r="L873" s="142"/>
      <c r="M873" s="142"/>
      <c r="N873" s="136"/>
      <c r="O873" s="34"/>
      <c r="P873" s="35"/>
      <c r="Q873" s="35"/>
      <c r="R873" s="35"/>
      <c r="S873" s="35"/>
      <c r="T873" s="35"/>
      <c r="U873" s="35"/>
      <c r="V873" s="35"/>
      <c r="W873" s="35"/>
      <c r="X873" s="35"/>
      <c r="Y873" s="35"/>
      <c r="Z873" s="35"/>
    </row>
    <row r="874" ht="14.25" customHeight="1">
      <c r="A874" s="452"/>
      <c r="B874" s="494"/>
      <c r="C874" s="138"/>
      <c r="D874" s="495"/>
      <c r="E874" s="136"/>
      <c r="F874" s="496"/>
      <c r="G874" s="140"/>
      <c r="H874" s="141"/>
      <c r="I874" s="141"/>
      <c r="J874" s="142"/>
      <c r="K874" s="142"/>
      <c r="L874" s="142"/>
      <c r="M874" s="142"/>
      <c r="N874" s="136"/>
      <c r="O874" s="34"/>
      <c r="P874" s="35"/>
      <c r="Q874" s="35"/>
      <c r="R874" s="35"/>
      <c r="S874" s="35"/>
      <c r="T874" s="35"/>
      <c r="U874" s="35"/>
      <c r="V874" s="35"/>
      <c r="W874" s="35"/>
      <c r="X874" s="35"/>
      <c r="Y874" s="35"/>
      <c r="Z874" s="35"/>
    </row>
    <row r="875" ht="14.25" customHeight="1">
      <c r="A875" s="452"/>
      <c r="B875" s="494"/>
      <c r="C875" s="138"/>
      <c r="D875" s="495"/>
      <c r="E875" s="136"/>
      <c r="F875" s="496"/>
      <c r="G875" s="140"/>
      <c r="H875" s="141"/>
      <c r="I875" s="141"/>
      <c r="J875" s="142"/>
      <c r="K875" s="142"/>
      <c r="L875" s="142"/>
      <c r="M875" s="142"/>
      <c r="N875" s="136"/>
      <c r="O875" s="34"/>
      <c r="P875" s="35"/>
      <c r="Q875" s="35"/>
      <c r="R875" s="35"/>
      <c r="S875" s="35"/>
      <c r="T875" s="35"/>
      <c r="U875" s="35"/>
      <c r="V875" s="35"/>
      <c r="W875" s="35"/>
      <c r="X875" s="35"/>
      <c r="Y875" s="35"/>
      <c r="Z875" s="35"/>
    </row>
    <row r="876" ht="14.25" customHeight="1">
      <c r="A876" s="452"/>
      <c r="B876" s="494"/>
      <c r="C876" s="138"/>
      <c r="D876" s="495"/>
      <c r="E876" s="136"/>
      <c r="F876" s="496"/>
      <c r="G876" s="140"/>
      <c r="H876" s="141"/>
      <c r="I876" s="141"/>
      <c r="J876" s="142"/>
      <c r="K876" s="142"/>
      <c r="L876" s="142"/>
      <c r="M876" s="142"/>
      <c r="N876" s="136"/>
      <c r="O876" s="34"/>
      <c r="P876" s="35"/>
      <c r="Q876" s="35"/>
      <c r="R876" s="35"/>
      <c r="S876" s="35"/>
      <c r="T876" s="35"/>
      <c r="U876" s="35"/>
      <c r="V876" s="35"/>
      <c r="W876" s="35"/>
      <c r="X876" s="35"/>
      <c r="Y876" s="35"/>
      <c r="Z876" s="35"/>
    </row>
    <row r="877" ht="14.25" customHeight="1">
      <c r="A877" s="452"/>
      <c r="B877" s="494"/>
      <c r="C877" s="138"/>
      <c r="D877" s="495"/>
      <c r="E877" s="136"/>
      <c r="F877" s="496"/>
      <c r="G877" s="140"/>
      <c r="H877" s="141"/>
      <c r="I877" s="141"/>
      <c r="J877" s="142"/>
      <c r="K877" s="142"/>
      <c r="L877" s="142"/>
      <c r="M877" s="142"/>
      <c r="N877" s="136"/>
      <c r="O877" s="34"/>
      <c r="P877" s="35"/>
      <c r="Q877" s="35"/>
      <c r="R877" s="35"/>
      <c r="S877" s="35"/>
      <c r="T877" s="35"/>
      <c r="U877" s="35"/>
      <c r="V877" s="35"/>
      <c r="W877" s="35"/>
      <c r="X877" s="35"/>
      <c r="Y877" s="35"/>
      <c r="Z877" s="35"/>
    </row>
    <row r="878" ht="14.25" customHeight="1">
      <c r="A878" s="452"/>
      <c r="B878" s="494"/>
      <c r="C878" s="138"/>
      <c r="D878" s="495"/>
      <c r="E878" s="136"/>
      <c r="F878" s="496"/>
      <c r="G878" s="140"/>
      <c r="H878" s="141"/>
      <c r="I878" s="141"/>
      <c r="J878" s="142"/>
      <c r="K878" s="142"/>
      <c r="L878" s="142"/>
      <c r="M878" s="142"/>
      <c r="N878" s="136"/>
      <c r="O878" s="34"/>
      <c r="P878" s="35"/>
      <c r="Q878" s="35"/>
      <c r="R878" s="35"/>
      <c r="S878" s="35"/>
      <c r="T878" s="35"/>
      <c r="U878" s="35"/>
      <c r="V878" s="35"/>
      <c r="W878" s="35"/>
      <c r="X878" s="35"/>
      <c r="Y878" s="35"/>
      <c r="Z878" s="35"/>
    </row>
    <row r="879" ht="14.25" customHeight="1">
      <c r="A879" s="452"/>
      <c r="B879" s="494"/>
      <c r="C879" s="138"/>
      <c r="D879" s="495"/>
      <c r="E879" s="136"/>
      <c r="F879" s="496"/>
      <c r="G879" s="140"/>
      <c r="H879" s="141"/>
      <c r="I879" s="141"/>
      <c r="J879" s="142"/>
      <c r="K879" s="142"/>
      <c r="L879" s="142"/>
      <c r="M879" s="142"/>
      <c r="N879" s="136"/>
      <c r="O879" s="34"/>
      <c r="P879" s="35"/>
      <c r="Q879" s="35"/>
      <c r="R879" s="35"/>
      <c r="S879" s="35"/>
      <c r="T879" s="35"/>
      <c r="U879" s="35"/>
      <c r="V879" s="35"/>
      <c r="W879" s="35"/>
      <c r="X879" s="35"/>
      <c r="Y879" s="35"/>
      <c r="Z879" s="35"/>
    </row>
    <row r="880" ht="14.25" customHeight="1">
      <c r="A880" s="452"/>
      <c r="B880" s="494"/>
      <c r="C880" s="138"/>
      <c r="D880" s="495"/>
      <c r="E880" s="136"/>
      <c r="F880" s="496"/>
      <c r="G880" s="140"/>
      <c r="H880" s="141"/>
      <c r="I880" s="141"/>
      <c r="J880" s="142"/>
      <c r="K880" s="142"/>
      <c r="L880" s="142"/>
      <c r="M880" s="142"/>
      <c r="N880" s="136"/>
      <c r="O880" s="34"/>
      <c r="P880" s="35"/>
      <c r="Q880" s="35"/>
      <c r="R880" s="35"/>
      <c r="S880" s="35"/>
      <c r="T880" s="35"/>
      <c r="U880" s="35"/>
      <c r="V880" s="35"/>
      <c r="W880" s="35"/>
      <c r="X880" s="35"/>
      <c r="Y880" s="35"/>
      <c r="Z880" s="35"/>
    </row>
    <row r="881" ht="14.25" customHeight="1">
      <c r="A881" s="452"/>
      <c r="B881" s="494"/>
      <c r="C881" s="138"/>
      <c r="D881" s="495"/>
      <c r="E881" s="136"/>
      <c r="F881" s="496"/>
      <c r="G881" s="140"/>
      <c r="H881" s="141"/>
      <c r="I881" s="141"/>
      <c r="J881" s="142"/>
      <c r="K881" s="142"/>
      <c r="L881" s="142"/>
      <c r="M881" s="142"/>
      <c r="N881" s="136"/>
      <c r="O881" s="34"/>
      <c r="P881" s="35"/>
      <c r="Q881" s="35"/>
      <c r="R881" s="35"/>
      <c r="S881" s="35"/>
      <c r="T881" s="35"/>
      <c r="U881" s="35"/>
      <c r="V881" s="35"/>
      <c r="W881" s="35"/>
      <c r="X881" s="35"/>
      <c r="Y881" s="35"/>
      <c r="Z881" s="35"/>
    </row>
    <row r="882" ht="14.25" customHeight="1">
      <c r="A882" s="452"/>
      <c r="B882" s="494"/>
      <c r="C882" s="138"/>
      <c r="D882" s="495"/>
      <c r="E882" s="136"/>
      <c r="F882" s="496"/>
      <c r="G882" s="140"/>
      <c r="H882" s="141"/>
      <c r="I882" s="141"/>
      <c r="J882" s="142"/>
      <c r="K882" s="142"/>
      <c r="L882" s="142"/>
      <c r="M882" s="142"/>
      <c r="N882" s="136"/>
      <c r="O882" s="34"/>
      <c r="P882" s="35"/>
      <c r="Q882" s="35"/>
      <c r="R882" s="35"/>
      <c r="S882" s="35"/>
      <c r="T882" s="35"/>
      <c r="U882" s="35"/>
      <c r="V882" s="35"/>
      <c r="W882" s="35"/>
      <c r="X882" s="35"/>
      <c r="Y882" s="35"/>
      <c r="Z882" s="35"/>
    </row>
    <row r="883" ht="14.25" customHeight="1">
      <c r="A883" s="452"/>
      <c r="B883" s="494"/>
      <c r="C883" s="138"/>
      <c r="D883" s="495"/>
      <c r="E883" s="136"/>
      <c r="F883" s="496"/>
      <c r="G883" s="140"/>
      <c r="H883" s="141"/>
      <c r="I883" s="141"/>
      <c r="J883" s="142"/>
      <c r="K883" s="142"/>
      <c r="L883" s="142"/>
      <c r="M883" s="142"/>
      <c r="N883" s="136"/>
      <c r="O883" s="34"/>
      <c r="P883" s="35"/>
      <c r="Q883" s="35"/>
      <c r="R883" s="35"/>
      <c r="S883" s="35"/>
      <c r="T883" s="35"/>
      <c r="U883" s="35"/>
      <c r="V883" s="35"/>
      <c r="W883" s="35"/>
      <c r="X883" s="35"/>
      <c r="Y883" s="35"/>
      <c r="Z883" s="35"/>
    </row>
    <row r="884" ht="14.25" customHeight="1">
      <c r="A884" s="452"/>
      <c r="B884" s="494"/>
      <c r="C884" s="138"/>
      <c r="D884" s="495"/>
      <c r="E884" s="136"/>
      <c r="F884" s="496"/>
      <c r="G884" s="140"/>
      <c r="H884" s="141"/>
      <c r="I884" s="141"/>
      <c r="J884" s="142"/>
      <c r="K884" s="142"/>
      <c r="L884" s="142"/>
      <c r="M884" s="142"/>
      <c r="N884" s="136"/>
      <c r="O884" s="34"/>
      <c r="P884" s="35"/>
      <c r="Q884" s="35"/>
      <c r="R884" s="35"/>
      <c r="S884" s="35"/>
      <c r="T884" s="35"/>
      <c r="U884" s="35"/>
      <c r="V884" s="35"/>
      <c r="W884" s="35"/>
      <c r="X884" s="35"/>
      <c r="Y884" s="35"/>
      <c r="Z884" s="35"/>
    </row>
    <row r="885" ht="14.25" customHeight="1">
      <c r="A885" s="452"/>
      <c r="B885" s="494"/>
      <c r="C885" s="138"/>
      <c r="D885" s="495"/>
      <c r="E885" s="136"/>
      <c r="F885" s="496"/>
      <c r="G885" s="140"/>
      <c r="H885" s="141"/>
      <c r="I885" s="141"/>
      <c r="J885" s="142"/>
      <c r="K885" s="142"/>
      <c r="L885" s="142"/>
      <c r="M885" s="142"/>
      <c r="N885" s="136"/>
      <c r="O885" s="34"/>
      <c r="P885" s="35"/>
      <c r="Q885" s="35"/>
      <c r="R885" s="35"/>
      <c r="S885" s="35"/>
      <c r="T885" s="35"/>
      <c r="U885" s="35"/>
      <c r="V885" s="35"/>
      <c r="W885" s="35"/>
      <c r="X885" s="35"/>
      <c r="Y885" s="35"/>
      <c r="Z885" s="35"/>
    </row>
    <row r="886" ht="14.25" customHeight="1">
      <c r="A886" s="452"/>
      <c r="B886" s="494"/>
      <c r="C886" s="138"/>
      <c r="D886" s="495"/>
      <c r="E886" s="136"/>
      <c r="F886" s="496"/>
      <c r="G886" s="140"/>
      <c r="H886" s="141"/>
      <c r="I886" s="141"/>
      <c r="J886" s="142"/>
      <c r="K886" s="142"/>
      <c r="L886" s="142"/>
      <c r="M886" s="142"/>
      <c r="N886" s="136"/>
      <c r="O886" s="34"/>
      <c r="P886" s="35"/>
      <c r="Q886" s="35"/>
      <c r="R886" s="35"/>
      <c r="S886" s="35"/>
      <c r="T886" s="35"/>
      <c r="U886" s="35"/>
      <c r="V886" s="35"/>
      <c r="W886" s="35"/>
      <c r="X886" s="35"/>
      <c r="Y886" s="35"/>
      <c r="Z886" s="35"/>
    </row>
    <row r="887" ht="14.25" customHeight="1">
      <c r="A887" s="452"/>
      <c r="B887" s="494"/>
      <c r="C887" s="138"/>
      <c r="D887" s="495"/>
      <c r="E887" s="136"/>
      <c r="F887" s="496"/>
      <c r="G887" s="140"/>
      <c r="H887" s="141"/>
      <c r="I887" s="141"/>
      <c r="J887" s="142"/>
      <c r="K887" s="142"/>
      <c r="L887" s="142"/>
      <c r="M887" s="142"/>
      <c r="N887" s="136"/>
      <c r="O887" s="34"/>
      <c r="P887" s="35"/>
      <c r="Q887" s="35"/>
      <c r="R887" s="35"/>
      <c r="S887" s="35"/>
      <c r="T887" s="35"/>
      <c r="U887" s="35"/>
      <c r="V887" s="35"/>
      <c r="W887" s="35"/>
      <c r="X887" s="35"/>
      <c r="Y887" s="35"/>
      <c r="Z887" s="35"/>
    </row>
    <row r="888" ht="14.25" customHeight="1">
      <c r="A888" s="452"/>
      <c r="B888" s="494"/>
      <c r="C888" s="138"/>
      <c r="D888" s="495"/>
      <c r="E888" s="136"/>
      <c r="F888" s="496"/>
      <c r="G888" s="140"/>
      <c r="H888" s="141"/>
      <c r="I888" s="141"/>
      <c r="J888" s="142"/>
      <c r="K888" s="142"/>
      <c r="L888" s="142"/>
      <c r="M888" s="142"/>
      <c r="N888" s="136"/>
      <c r="O888" s="34"/>
      <c r="P888" s="35"/>
      <c r="Q888" s="35"/>
      <c r="R888" s="35"/>
      <c r="S888" s="35"/>
      <c r="T888" s="35"/>
      <c r="U888" s="35"/>
      <c r="V888" s="35"/>
      <c r="W888" s="35"/>
      <c r="X888" s="35"/>
      <c r="Y888" s="35"/>
      <c r="Z888" s="35"/>
    </row>
    <row r="889" ht="14.25" customHeight="1">
      <c r="A889" s="452"/>
      <c r="B889" s="494"/>
      <c r="C889" s="138"/>
      <c r="D889" s="495"/>
      <c r="E889" s="136"/>
      <c r="F889" s="496"/>
      <c r="G889" s="140"/>
      <c r="H889" s="141"/>
      <c r="I889" s="141"/>
      <c r="J889" s="142"/>
      <c r="K889" s="142"/>
      <c r="L889" s="142"/>
      <c r="M889" s="142"/>
      <c r="N889" s="136"/>
      <c r="O889" s="34"/>
      <c r="P889" s="35"/>
      <c r="Q889" s="35"/>
      <c r="R889" s="35"/>
      <c r="S889" s="35"/>
      <c r="T889" s="35"/>
      <c r="U889" s="35"/>
      <c r="V889" s="35"/>
      <c r="W889" s="35"/>
      <c r="X889" s="35"/>
      <c r="Y889" s="35"/>
      <c r="Z889" s="35"/>
    </row>
    <row r="890" ht="14.25" customHeight="1">
      <c r="A890" s="452"/>
      <c r="B890" s="494"/>
      <c r="C890" s="138"/>
      <c r="D890" s="495"/>
      <c r="E890" s="136"/>
      <c r="F890" s="496"/>
      <c r="G890" s="140"/>
      <c r="H890" s="141"/>
      <c r="I890" s="141"/>
      <c r="J890" s="142"/>
      <c r="K890" s="142"/>
      <c r="L890" s="142"/>
      <c r="M890" s="142"/>
      <c r="N890" s="136"/>
      <c r="O890" s="34"/>
      <c r="P890" s="35"/>
      <c r="Q890" s="35"/>
      <c r="R890" s="35"/>
      <c r="S890" s="35"/>
      <c r="T890" s="35"/>
      <c r="U890" s="35"/>
      <c r="V890" s="35"/>
      <c r="W890" s="35"/>
      <c r="X890" s="35"/>
      <c r="Y890" s="35"/>
      <c r="Z890" s="35"/>
    </row>
    <row r="891" ht="14.25" customHeight="1">
      <c r="A891" s="452"/>
      <c r="B891" s="494"/>
      <c r="C891" s="138"/>
      <c r="D891" s="495"/>
      <c r="E891" s="136"/>
      <c r="F891" s="496"/>
      <c r="G891" s="140"/>
      <c r="H891" s="141"/>
      <c r="I891" s="141"/>
      <c r="J891" s="142"/>
      <c r="K891" s="142"/>
      <c r="L891" s="142"/>
      <c r="M891" s="142"/>
      <c r="N891" s="136"/>
      <c r="O891" s="34"/>
      <c r="P891" s="35"/>
      <c r="Q891" s="35"/>
      <c r="R891" s="35"/>
      <c r="S891" s="35"/>
      <c r="T891" s="35"/>
      <c r="U891" s="35"/>
      <c r="V891" s="35"/>
      <c r="W891" s="35"/>
      <c r="X891" s="35"/>
      <c r="Y891" s="35"/>
      <c r="Z891" s="35"/>
    </row>
    <row r="892" ht="14.25" customHeight="1">
      <c r="A892" s="452"/>
      <c r="B892" s="494"/>
      <c r="C892" s="138"/>
      <c r="D892" s="495"/>
      <c r="E892" s="136"/>
      <c r="F892" s="496"/>
      <c r="G892" s="140"/>
      <c r="H892" s="141"/>
      <c r="I892" s="141"/>
      <c r="J892" s="142"/>
      <c r="K892" s="142"/>
      <c r="L892" s="142"/>
      <c r="M892" s="142"/>
      <c r="N892" s="136"/>
      <c r="O892" s="34"/>
      <c r="P892" s="35"/>
      <c r="Q892" s="35"/>
      <c r="R892" s="35"/>
      <c r="S892" s="35"/>
      <c r="T892" s="35"/>
      <c r="U892" s="35"/>
      <c r="V892" s="35"/>
      <c r="W892" s="35"/>
      <c r="X892" s="35"/>
      <c r="Y892" s="35"/>
      <c r="Z892" s="35"/>
    </row>
    <row r="893" ht="14.25" customHeight="1">
      <c r="A893" s="452"/>
      <c r="B893" s="494"/>
      <c r="C893" s="138"/>
      <c r="D893" s="495"/>
      <c r="E893" s="136"/>
      <c r="F893" s="496"/>
      <c r="G893" s="140"/>
      <c r="H893" s="141"/>
      <c r="I893" s="141"/>
      <c r="J893" s="142"/>
      <c r="K893" s="142"/>
      <c r="L893" s="142"/>
      <c r="M893" s="142"/>
      <c r="N893" s="136"/>
      <c r="O893" s="34"/>
      <c r="P893" s="35"/>
      <c r="Q893" s="35"/>
      <c r="R893" s="35"/>
      <c r="S893" s="35"/>
      <c r="T893" s="35"/>
      <c r="U893" s="35"/>
      <c r="V893" s="35"/>
      <c r="W893" s="35"/>
      <c r="X893" s="35"/>
      <c r="Y893" s="35"/>
      <c r="Z893" s="35"/>
    </row>
    <row r="894" ht="14.25" customHeight="1">
      <c r="A894" s="452"/>
      <c r="B894" s="494"/>
      <c r="C894" s="138"/>
      <c r="D894" s="495"/>
      <c r="E894" s="136"/>
      <c r="F894" s="496"/>
      <c r="G894" s="140"/>
      <c r="H894" s="141"/>
      <c r="I894" s="141"/>
      <c r="J894" s="142"/>
      <c r="K894" s="142"/>
      <c r="L894" s="142"/>
      <c r="M894" s="142"/>
      <c r="N894" s="136"/>
      <c r="O894" s="34"/>
      <c r="P894" s="35"/>
      <c r="Q894" s="35"/>
      <c r="R894" s="35"/>
      <c r="S894" s="35"/>
      <c r="T894" s="35"/>
      <c r="U894" s="35"/>
      <c r="V894" s="35"/>
      <c r="W894" s="35"/>
      <c r="X894" s="35"/>
      <c r="Y894" s="35"/>
      <c r="Z894" s="35"/>
    </row>
    <row r="895" ht="14.25" customHeight="1">
      <c r="A895" s="452"/>
      <c r="B895" s="494"/>
      <c r="C895" s="138"/>
      <c r="D895" s="495"/>
      <c r="E895" s="136"/>
      <c r="F895" s="496"/>
      <c r="G895" s="140"/>
      <c r="H895" s="141"/>
      <c r="I895" s="141"/>
      <c r="J895" s="142"/>
      <c r="K895" s="142"/>
      <c r="L895" s="142"/>
      <c r="M895" s="142"/>
      <c r="N895" s="136"/>
      <c r="O895" s="34"/>
      <c r="P895" s="35"/>
      <c r="Q895" s="35"/>
      <c r="R895" s="35"/>
      <c r="S895" s="35"/>
      <c r="T895" s="35"/>
      <c r="U895" s="35"/>
      <c r="V895" s="35"/>
      <c r="W895" s="35"/>
      <c r="X895" s="35"/>
      <c r="Y895" s="35"/>
      <c r="Z895" s="35"/>
    </row>
    <row r="896" ht="14.25" customHeight="1">
      <c r="A896" s="452"/>
      <c r="B896" s="494"/>
      <c r="C896" s="138"/>
      <c r="D896" s="495"/>
      <c r="E896" s="136"/>
      <c r="F896" s="496"/>
      <c r="G896" s="140"/>
      <c r="H896" s="141"/>
      <c r="I896" s="141"/>
      <c r="J896" s="142"/>
      <c r="K896" s="142"/>
      <c r="L896" s="142"/>
      <c r="M896" s="142"/>
      <c r="N896" s="136"/>
      <c r="O896" s="34"/>
      <c r="P896" s="35"/>
      <c r="Q896" s="35"/>
      <c r="R896" s="35"/>
      <c r="S896" s="35"/>
      <c r="T896" s="35"/>
      <c r="U896" s="35"/>
      <c r="V896" s="35"/>
      <c r="W896" s="35"/>
      <c r="X896" s="35"/>
      <c r="Y896" s="35"/>
      <c r="Z896" s="35"/>
    </row>
    <row r="897" ht="14.25" customHeight="1">
      <c r="A897" s="452"/>
      <c r="B897" s="494"/>
      <c r="C897" s="138"/>
      <c r="D897" s="495"/>
      <c r="E897" s="136"/>
      <c r="F897" s="496"/>
      <c r="G897" s="140"/>
      <c r="H897" s="141"/>
      <c r="I897" s="141"/>
      <c r="J897" s="142"/>
      <c r="K897" s="142"/>
      <c r="L897" s="142"/>
      <c r="M897" s="142"/>
      <c r="N897" s="136"/>
      <c r="O897" s="34"/>
      <c r="P897" s="35"/>
      <c r="Q897" s="35"/>
      <c r="R897" s="35"/>
      <c r="S897" s="35"/>
      <c r="T897" s="35"/>
      <c r="U897" s="35"/>
      <c r="V897" s="35"/>
      <c r="W897" s="35"/>
      <c r="X897" s="35"/>
      <c r="Y897" s="35"/>
      <c r="Z897" s="35"/>
    </row>
    <row r="898" ht="14.25" customHeight="1">
      <c r="A898" s="452"/>
      <c r="B898" s="494"/>
      <c r="C898" s="138"/>
      <c r="D898" s="495"/>
      <c r="E898" s="136"/>
      <c r="F898" s="496"/>
      <c r="G898" s="140"/>
      <c r="H898" s="141"/>
      <c r="I898" s="141"/>
      <c r="J898" s="142"/>
      <c r="K898" s="142"/>
      <c r="L898" s="142"/>
      <c r="M898" s="142"/>
      <c r="N898" s="136"/>
      <c r="O898" s="34"/>
      <c r="P898" s="35"/>
      <c r="Q898" s="35"/>
      <c r="R898" s="35"/>
      <c r="S898" s="35"/>
      <c r="T898" s="35"/>
      <c r="U898" s="35"/>
      <c r="V898" s="35"/>
      <c r="W898" s="35"/>
      <c r="X898" s="35"/>
      <c r="Y898" s="35"/>
      <c r="Z898" s="35"/>
    </row>
    <row r="899" ht="14.25" customHeight="1">
      <c r="A899" s="452"/>
      <c r="B899" s="494"/>
      <c r="C899" s="138"/>
      <c r="D899" s="495"/>
      <c r="E899" s="136"/>
      <c r="F899" s="496"/>
      <c r="G899" s="140"/>
      <c r="H899" s="141"/>
      <c r="I899" s="141"/>
      <c r="J899" s="142"/>
      <c r="K899" s="142"/>
      <c r="L899" s="142"/>
      <c r="M899" s="142"/>
      <c r="N899" s="136"/>
      <c r="O899" s="34"/>
      <c r="P899" s="35"/>
      <c r="Q899" s="35"/>
      <c r="R899" s="35"/>
      <c r="S899" s="35"/>
      <c r="T899" s="35"/>
      <c r="U899" s="35"/>
      <c r="V899" s="35"/>
      <c r="W899" s="35"/>
      <c r="X899" s="35"/>
      <c r="Y899" s="35"/>
      <c r="Z899" s="35"/>
    </row>
    <row r="900" ht="14.25" customHeight="1">
      <c r="A900" s="452"/>
      <c r="B900" s="494"/>
      <c r="C900" s="138"/>
      <c r="D900" s="495"/>
      <c r="E900" s="136"/>
      <c r="F900" s="496"/>
      <c r="G900" s="140"/>
      <c r="H900" s="141"/>
      <c r="I900" s="141"/>
      <c r="J900" s="142"/>
      <c r="K900" s="142"/>
      <c r="L900" s="142"/>
      <c r="M900" s="142"/>
      <c r="N900" s="136"/>
      <c r="O900" s="34"/>
      <c r="P900" s="35"/>
      <c r="Q900" s="35"/>
      <c r="R900" s="35"/>
      <c r="S900" s="35"/>
      <c r="T900" s="35"/>
      <c r="U900" s="35"/>
      <c r="V900" s="35"/>
      <c r="W900" s="35"/>
      <c r="X900" s="35"/>
      <c r="Y900" s="35"/>
      <c r="Z900" s="35"/>
    </row>
    <row r="901" ht="14.25" customHeight="1">
      <c r="A901" s="452"/>
      <c r="B901" s="494"/>
      <c r="C901" s="138"/>
      <c r="D901" s="495"/>
      <c r="E901" s="136"/>
      <c r="F901" s="496"/>
      <c r="G901" s="140"/>
      <c r="H901" s="141"/>
      <c r="I901" s="141"/>
      <c r="J901" s="142"/>
      <c r="K901" s="142"/>
      <c r="L901" s="142"/>
      <c r="M901" s="142"/>
      <c r="N901" s="136"/>
      <c r="O901" s="34"/>
      <c r="P901" s="35"/>
      <c r="Q901" s="35"/>
      <c r="R901" s="35"/>
      <c r="S901" s="35"/>
      <c r="T901" s="35"/>
      <c r="U901" s="35"/>
      <c r="V901" s="35"/>
      <c r="W901" s="35"/>
      <c r="X901" s="35"/>
      <c r="Y901" s="35"/>
      <c r="Z901" s="35"/>
    </row>
    <row r="902" ht="14.25" customHeight="1">
      <c r="A902" s="452"/>
      <c r="B902" s="494"/>
      <c r="C902" s="138"/>
      <c r="D902" s="495"/>
      <c r="E902" s="136"/>
      <c r="F902" s="496"/>
      <c r="G902" s="140"/>
      <c r="H902" s="141"/>
      <c r="I902" s="141"/>
      <c r="J902" s="142"/>
      <c r="K902" s="142"/>
      <c r="L902" s="142"/>
      <c r="M902" s="142"/>
      <c r="N902" s="136"/>
      <c r="O902" s="34"/>
      <c r="P902" s="35"/>
      <c r="Q902" s="35"/>
      <c r="R902" s="35"/>
      <c r="S902" s="35"/>
      <c r="T902" s="35"/>
      <c r="U902" s="35"/>
      <c r="V902" s="35"/>
      <c r="W902" s="35"/>
      <c r="X902" s="35"/>
      <c r="Y902" s="35"/>
      <c r="Z902" s="35"/>
    </row>
    <row r="903" ht="14.25" customHeight="1">
      <c r="A903" s="452"/>
      <c r="B903" s="494"/>
      <c r="C903" s="138"/>
      <c r="D903" s="495"/>
      <c r="E903" s="136"/>
      <c r="F903" s="496"/>
      <c r="G903" s="140"/>
      <c r="H903" s="141"/>
      <c r="I903" s="141"/>
      <c r="J903" s="142"/>
      <c r="K903" s="142"/>
      <c r="L903" s="142"/>
      <c r="M903" s="142"/>
      <c r="N903" s="136"/>
      <c r="O903" s="34"/>
      <c r="P903" s="35"/>
      <c r="Q903" s="35"/>
      <c r="R903" s="35"/>
      <c r="S903" s="35"/>
      <c r="T903" s="35"/>
      <c r="U903" s="35"/>
      <c r="V903" s="35"/>
      <c r="W903" s="35"/>
      <c r="X903" s="35"/>
      <c r="Y903" s="35"/>
      <c r="Z903" s="35"/>
    </row>
    <row r="904" ht="14.25" customHeight="1">
      <c r="A904" s="452"/>
      <c r="B904" s="494"/>
      <c r="C904" s="138"/>
      <c r="D904" s="495"/>
      <c r="E904" s="136"/>
      <c r="F904" s="496"/>
      <c r="G904" s="140"/>
      <c r="H904" s="141"/>
      <c r="I904" s="141"/>
      <c r="J904" s="142"/>
      <c r="K904" s="142"/>
      <c r="L904" s="142"/>
      <c r="M904" s="142"/>
      <c r="N904" s="136"/>
      <c r="O904" s="34"/>
      <c r="P904" s="35"/>
      <c r="Q904" s="35"/>
      <c r="R904" s="35"/>
      <c r="S904" s="35"/>
      <c r="T904" s="35"/>
      <c r="U904" s="35"/>
      <c r="V904" s="35"/>
      <c r="W904" s="35"/>
      <c r="X904" s="35"/>
      <c r="Y904" s="35"/>
      <c r="Z904" s="35"/>
    </row>
    <row r="905" ht="14.25" customHeight="1">
      <c r="A905" s="452"/>
      <c r="B905" s="494"/>
      <c r="C905" s="138"/>
      <c r="D905" s="495"/>
      <c r="E905" s="136"/>
      <c r="F905" s="496"/>
      <c r="G905" s="140"/>
      <c r="H905" s="141"/>
      <c r="I905" s="141"/>
      <c r="J905" s="142"/>
      <c r="K905" s="142"/>
      <c r="L905" s="142"/>
      <c r="M905" s="142"/>
      <c r="N905" s="136"/>
      <c r="O905" s="34"/>
      <c r="P905" s="35"/>
      <c r="Q905" s="35"/>
      <c r="R905" s="35"/>
      <c r="S905" s="35"/>
      <c r="T905" s="35"/>
      <c r="U905" s="35"/>
      <c r="V905" s="35"/>
      <c r="W905" s="35"/>
      <c r="X905" s="35"/>
      <c r="Y905" s="35"/>
      <c r="Z905" s="35"/>
    </row>
    <row r="906" ht="14.25" customHeight="1">
      <c r="A906" s="452"/>
      <c r="B906" s="494"/>
      <c r="C906" s="138"/>
      <c r="D906" s="495"/>
      <c r="E906" s="136"/>
      <c r="F906" s="496"/>
      <c r="G906" s="140"/>
      <c r="H906" s="141"/>
      <c r="I906" s="141"/>
      <c r="J906" s="142"/>
      <c r="K906" s="142"/>
      <c r="L906" s="142"/>
      <c r="M906" s="142"/>
      <c r="N906" s="136"/>
      <c r="O906" s="34"/>
      <c r="P906" s="35"/>
      <c r="Q906" s="35"/>
      <c r="R906" s="35"/>
      <c r="S906" s="35"/>
      <c r="T906" s="35"/>
      <c r="U906" s="35"/>
      <c r="V906" s="35"/>
      <c r="W906" s="35"/>
      <c r="X906" s="35"/>
      <c r="Y906" s="35"/>
      <c r="Z906" s="35"/>
    </row>
    <row r="907" ht="14.25" customHeight="1">
      <c r="A907" s="452"/>
      <c r="B907" s="494"/>
      <c r="C907" s="138"/>
      <c r="D907" s="495"/>
      <c r="E907" s="136"/>
      <c r="F907" s="496"/>
      <c r="G907" s="140"/>
      <c r="H907" s="141"/>
      <c r="I907" s="141"/>
      <c r="J907" s="142"/>
      <c r="K907" s="142"/>
      <c r="L907" s="142"/>
      <c r="M907" s="142"/>
      <c r="N907" s="136"/>
      <c r="O907" s="34"/>
      <c r="P907" s="35"/>
      <c r="Q907" s="35"/>
      <c r="R907" s="35"/>
      <c r="S907" s="35"/>
      <c r="T907" s="35"/>
      <c r="U907" s="35"/>
      <c r="V907" s="35"/>
      <c r="W907" s="35"/>
      <c r="X907" s="35"/>
      <c r="Y907" s="35"/>
      <c r="Z907" s="35"/>
    </row>
    <row r="908" ht="14.25" customHeight="1">
      <c r="A908" s="452"/>
      <c r="B908" s="494"/>
      <c r="C908" s="138"/>
      <c r="D908" s="495"/>
      <c r="E908" s="136"/>
      <c r="F908" s="496"/>
      <c r="G908" s="140"/>
      <c r="H908" s="141"/>
      <c r="I908" s="141"/>
      <c r="J908" s="142"/>
      <c r="K908" s="142"/>
      <c r="L908" s="142"/>
      <c r="M908" s="142"/>
      <c r="N908" s="136"/>
      <c r="O908" s="34"/>
      <c r="P908" s="35"/>
      <c r="Q908" s="35"/>
      <c r="R908" s="35"/>
      <c r="S908" s="35"/>
      <c r="T908" s="35"/>
      <c r="U908" s="35"/>
      <c r="V908" s="35"/>
      <c r="W908" s="35"/>
      <c r="X908" s="35"/>
      <c r="Y908" s="35"/>
      <c r="Z908" s="35"/>
    </row>
    <row r="909" ht="14.25" customHeight="1">
      <c r="A909" s="452"/>
      <c r="B909" s="494"/>
      <c r="C909" s="138"/>
      <c r="D909" s="495"/>
      <c r="E909" s="136"/>
      <c r="F909" s="496"/>
      <c r="G909" s="140"/>
      <c r="H909" s="141"/>
      <c r="I909" s="141"/>
      <c r="J909" s="142"/>
      <c r="K909" s="142"/>
      <c r="L909" s="142"/>
      <c r="M909" s="142"/>
      <c r="N909" s="136"/>
      <c r="O909" s="34"/>
      <c r="P909" s="35"/>
      <c r="Q909" s="35"/>
      <c r="R909" s="35"/>
      <c r="S909" s="35"/>
      <c r="T909" s="35"/>
      <c r="U909" s="35"/>
      <c r="V909" s="35"/>
      <c r="W909" s="35"/>
      <c r="X909" s="35"/>
      <c r="Y909" s="35"/>
      <c r="Z909" s="35"/>
    </row>
    <row r="910" ht="14.25" customHeight="1">
      <c r="A910" s="452"/>
      <c r="B910" s="494"/>
      <c r="C910" s="138"/>
      <c r="D910" s="495"/>
      <c r="E910" s="136"/>
      <c r="F910" s="496"/>
      <c r="G910" s="140"/>
      <c r="H910" s="141"/>
      <c r="I910" s="141"/>
      <c r="J910" s="142"/>
      <c r="K910" s="142"/>
      <c r="L910" s="142"/>
      <c r="M910" s="142"/>
      <c r="N910" s="136"/>
      <c r="O910" s="34"/>
      <c r="P910" s="35"/>
      <c r="Q910" s="35"/>
      <c r="R910" s="35"/>
      <c r="S910" s="35"/>
      <c r="T910" s="35"/>
      <c r="U910" s="35"/>
      <c r="V910" s="35"/>
      <c r="W910" s="35"/>
      <c r="X910" s="35"/>
      <c r="Y910" s="35"/>
      <c r="Z910" s="35"/>
    </row>
    <row r="911" ht="14.25" customHeight="1">
      <c r="A911" s="452"/>
      <c r="B911" s="494"/>
      <c r="C911" s="138"/>
      <c r="D911" s="495"/>
      <c r="E911" s="136"/>
      <c r="F911" s="496"/>
      <c r="G911" s="140"/>
      <c r="H911" s="141"/>
      <c r="I911" s="141"/>
      <c r="J911" s="142"/>
      <c r="K911" s="142"/>
      <c r="L911" s="142"/>
      <c r="M911" s="142"/>
      <c r="N911" s="136"/>
      <c r="O911" s="34"/>
      <c r="P911" s="35"/>
      <c r="Q911" s="35"/>
      <c r="R911" s="35"/>
      <c r="S911" s="35"/>
      <c r="T911" s="35"/>
      <c r="U911" s="35"/>
      <c r="V911" s="35"/>
      <c r="W911" s="35"/>
      <c r="X911" s="35"/>
      <c r="Y911" s="35"/>
      <c r="Z911" s="35"/>
    </row>
    <row r="912" ht="14.25" customHeight="1">
      <c r="A912" s="452"/>
      <c r="B912" s="494"/>
      <c r="C912" s="138"/>
      <c r="D912" s="495"/>
      <c r="E912" s="136"/>
      <c r="F912" s="496"/>
      <c r="G912" s="140"/>
      <c r="H912" s="141"/>
      <c r="I912" s="141"/>
      <c r="J912" s="142"/>
      <c r="K912" s="142"/>
      <c r="L912" s="142"/>
      <c r="M912" s="142"/>
      <c r="N912" s="136"/>
      <c r="O912" s="34"/>
      <c r="P912" s="35"/>
      <c r="Q912" s="35"/>
      <c r="R912" s="35"/>
      <c r="S912" s="35"/>
      <c r="T912" s="35"/>
      <c r="U912" s="35"/>
      <c r="V912" s="35"/>
      <c r="W912" s="35"/>
      <c r="X912" s="35"/>
      <c r="Y912" s="35"/>
      <c r="Z912" s="35"/>
    </row>
    <row r="913" ht="14.25" customHeight="1">
      <c r="A913" s="452"/>
      <c r="B913" s="494"/>
      <c r="C913" s="138"/>
      <c r="D913" s="495"/>
      <c r="E913" s="136"/>
      <c r="F913" s="496"/>
      <c r="G913" s="140"/>
      <c r="H913" s="141"/>
      <c r="I913" s="141"/>
      <c r="J913" s="142"/>
      <c r="K913" s="142"/>
      <c r="L913" s="142"/>
      <c r="M913" s="142"/>
      <c r="N913" s="136"/>
      <c r="O913" s="34"/>
      <c r="P913" s="35"/>
      <c r="Q913" s="35"/>
      <c r="R913" s="35"/>
      <c r="S913" s="35"/>
      <c r="T913" s="35"/>
      <c r="U913" s="35"/>
      <c r="V913" s="35"/>
      <c r="W913" s="35"/>
      <c r="X913" s="35"/>
      <c r="Y913" s="35"/>
      <c r="Z913" s="35"/>
    </row>
    <row r="914" ht="14.25" customHeight="1">
      <c r="A914" s="452"/>
      <c r="B914" s="494"/>
      <c r="C914" s="138"/>
      <c r="D914" s="495"/>
      <c r="E914" s="136"/>
      <c r="F914" s="496"/>
      <c r="G914" s="140"/>
      <c r="H914" s="141"/>
      <c r="I914" s="141"/>
      <c r="J914" s="142"/>
      <c r="K914" s="142"/>
      <c r="L914" s="142"/>
      <c r="M914" s="142"/>
      <c r="N914" s="136"/>
      <c r="O914" s="34"/>
      <c r="P914" s="35"/>
      <c r="Q914" s="35"/>
      <c r="R914" s="35"/>
      <c r="S914" s="35"/>
      <c r="T914" s="35"/>
      <c r="U914" s="35"/>
      <c r="V914" s="35"/>
      <c r="W914" s="35"/>
      <c r="X914" s="35"/>
      <c r="Y914" s="35"/>
      <c r="Z914" s="35"/>
    </row>
    <row r="915" ht="14.25" customHeight="1">
      <c r="A915" s="452"/>
      <c r="B915" s="494"/>
      <c r="C915" s="138"/>
      <c r="D915" s="495"/>
      <c r="E915" s="136"/>
      <c r="F915" s="496"/>
      <c r="G915" s="140"/>
      <c r="H915" s="141"/>
      <c r="I915" s="141"/>
      <c r="J915" s="142"/>
      <c r="K915" s="142"/>
      <c r="L915" s="142"/>
      <c r="M915" s="142"/>
      <c r="N915" s="136"/>
      <c r="O915" s="34"/>
      <c r="P915" s="35"/>
      <c r="Q915" s="35"/>
      <c r="R915" s="35"/>
      <c r="S915" s="35"/>
      <c r="T915" s="35"/>
      <c r="U915" s="35"/>
      <c r="V915" s="35"/>
      <c r="W915" s="35"/>
      <c r="X915" s="35"/>
      <c r="Y915" s="35"/>
      <c r="Z915" s="35"/>
    </row>
    <row r="916" ht="14.25" customHeight="1">
      <c r="A916" s="452"/>
      <c r="B916" s="494"/>
      <c r="C916" s="138"/>
      <c r="D916" s="495"/>
      <c r="E916" s="136"/>
      <c r="F916" s="496"/>
      <c r="G916" s="140"/>
      <c r="H916" s="141"/>
      <c r="I916" s="141"/>
      <c r="J916" s="142"/>
      <c r="K916" s="142"/>
      <c r="L916" s="142"/>
      <c r="M916" s="142"/>
      <c r="N916" s="136"/>
      <c r="O916" s="34"/>
      <c r="P916" s="35"/>
      <c r="Q916" s="35"/>
      <c r="R916" s="35"/>
      <c r="S916" s="35"/>
      <c r="T916" s="35"/>
      <c r="U916" s="35"/>
      <c r="V916" s="35"/>
      <c r="W916" s="35"/>
      <c r="X916" s="35"/>
      <c r="Y916" s="35"/>
      <c r="Z916" s="35"/>
    </row>
    <row r="917" ht="14.25" customHeight="1">
      <c r="A917" s="452"/>
      <c r="B917" s="494"/>
      <c r="C917" s="138"/>
      <c r="D917" s="495"/>
      <c r="E917" s="136"/>
      <c r="F917" s="496"/>
      <c r="G917" s="140"/>
      <c r="H917" s="141"/>
      <c r="I917" s="141"/>
      <c r="J917" s="142"/>
      <c r="K917" s="142"/>
      <c r="L917" s="142"/>
      <c r="M917" s="142"/>
      <c r="N917" s="136"/>
      <c r="O917" s="34"/>
      <c r="P917" s="35"/>
      <c r="Q917" s="35"/>
      <c r="R917" s="35"/>
      <c r="S917" s="35"/>
      <c r="T917" s="35"/>
      <c r="U917" s="35"/>
      <c r="V917" s="35"/>
      <c r="W917" s="35"/>
      <c r="X917" s="35"/>
      <c r="Y917" s="35"/>
      <c r="Z917" s="35"/>
    </row>
    <row r="918" ht="14.25" customHeight="1">
      <c r="A918" s="452"/>
      <c r="B918" s="494"/>
      <c r="C918" s="138"/>
      <c r="D918" s="495"/>
      <c r="E918" s="136"/>
      <c r="F918" s="496"/>
      <c r="G918" s="140"/>
      <c r="H918" s="141"/>
      <c r="I918" s="141"/>
      <c r="J918" s="142"/>
      <c r="K918" s="142"/>
      <c r="L918" s="142"/>
      <c r="M918" s="142"/>
      <c r="N918" s="136"/>
      <c r="O918" s="34"/>
      <c r="P918" s="35"/>
      <c r="Q918" s="35"/>
      <c r="R918" s="35"/>
      <c r="S918" s="35"/>
      <c r="T918" s="35"/>
      <c r="U918" s="35"/>
      <c r="V918" s="35"/>
      <c r="W918" s="35"/>
      <c r="X918" s="35"/>
      <c r="Y918" s="35"/>
      <c r="Z918" s="35"/>
    </row>
    <row r="919" ht="14.25" customHeight="1">
      <c r="A919" s="452"/>
      <c r="B919" s="494"/>
      <c r="C919" s="138"/>
      <c r="D919" s="495"/>
      <c r="E919" s="136"/>
      <c r="F919" s="496"/>
      <c r="G919" s="140"/>
      <c r="H919" s="141"/>
      <c r="I919" s="141"/>
      <c r="J919" s="142"/>
      <c r="K919" s="142"/>
      <c r="L919" s="142"/>
      <c r="M919" s="142"/>
      <c r="N919" s="136"/>
      <c r="O919" s="34"/>
      <c r="P919" s="35"/>
      <c r="Q919" s="35"/>
      <c r="R919" s="35"/>
      <c r="S919" s="35"/>
      <c r="T919" s="35"/>
      <c r="U919" s="35"/>
      <c r="V919" s="35"/>
      <c r="W919" s="35"/>
      <c r="X919" s="35"/>
      <c r="Y919" s="35"/>
      <c r="Z919" s="35"/>
    </row>
    <row r="920" ht="14.25" customHeight="1">
      <c r="A920" s="452"/>
      <c r="B920" s="494"/>
      <c r="C920" s="138"/>
      <c r="D920" s="495"/>
      <c r="E920" s="136"/>
      <c r="F920" s="496"/>
      <c r="G920" s="140"/>
      <c r="H920" s="141"/>
      <c r="I920" s="141"/>
      <c r="J920" s="142"/>
      <c r="K920" s="142"/>
      <c r="L920" s="142"/>
      <c r="M920" s="142"/>
      <c r="N920" s="136"/>
      <c r="O920" s="34"/>
      <c r="P920" s="35"/>
      <c r="Q920" s="35"/>
      <c r="R920" s="35"/>
      <c r="S920" s="35"/>
      <c r="T920" s="35"/>
      <c r="U920" s="35"/>
      <c r="V920" s="35"/>
      <c r="W920" s="35"/>
      <c r="X920" s="35"/>
      <c r="Y920" s="35"/>
      <c r="Z920" s="35"/>
    </row>
    <row r="921" ht="14.25" customHeight="1">
      <c r="A921" s="452"/>
      <c r="B921" s="494"/>
      <c r="C921" s="138"/>
      <c r="D921" s="495"/>
      <c r="E921" s="136"/>
      <c r="F921" s="496"/>
      <c r="G921" s="140"/>
      <c r="H921" s="141"/>
      <c r="I921" s="141"/>
      <c r="J921" s="142"/>
      <c r="K921" s="142"/>
      <c r="L921" s="142"/>
      <c r="M921" s="142"/>
      <c r="N921" s="136"/>
      <c r="O921" s="34"/>
      <c r="P921" s="35"/>
      <c r="Q921" s="35"/>
      <c r="R921" s="35"/>
      <c r="S921" s="35"/>
      <c r="T921" s="35"/>
      <c r="U921" s="35"/>
      <c r="V921" s="35"/>
      <c r="W921" s="35"/>
      <c r="X921" s="35"/>
      <c r="Y921" s="35"/>
      <c r="Z921" s="35"/>
    </row>
    <row r="922" ht="14.25" customHeight="1">
      <c r="A922" s="452"/>
      <c r="B922" s="494"/>
      <c r="C922" s="138"/>
      <c r="D922" s="495"/>
      <c r="E922" s="136"/>
      <c r="F922" s="496"/>
      <c r="G922" s="140"/>
      <c r="H922" s="141"/>
      <c r="I922" s="141"/>
      <c r="J922" s="142"/>
      <c r="K922" s="142"/>
      <c r="L922" s="142"/>
      <c r="M922" s="142"/>
      <c r="N922" s="136"/>
      <c r="O922" s="34"/>
      <c r="P922" s="35"/>
      <c r="Q922" s="35"/>
      <c r="R922" s="35"/>
      <c r="S922" s="35"/>
      <c r="T922" s="35"/>
      <c r="U922" s="35"/>
      <c r="V922" s="35"/>
      <c r="W922" s="35"/>
      <c r="X922" s="35"/>
      <c r="Y922" s="35"/>
      <c r="Z922" s="35"/>
    </row>
    <row r="923" ht="14.25" customHeight="1">
      <c r="A923" s="452"/>
      <c r="B923" s="494"/>
      <c r="C923" s="138"/>
      <c r="D923" s="495"/>
      <c r="E923" s="136"/>
      <c r="F923" s="496"/>
      <c r="G923" s="140"/>
      <c r="H923" s="141"/>
      <c r="I923" s="141"/>
      <c r="J923" s="142"/>
      <c r="K923" s="142"/>
      <c r="L923" s="142"/>
      <c r="M923" s="142"/>
      <c r="N923" s="136"/>
      <c r="O923" s="34"/>
      <c r="P923" s="35"/>
      <c r="Q923" s="35"/>
      <c r="R923" s="35"/>
      <c r="S923" s="35"/>
      <c r="T923" s="35"/>
      <c r="U923" s="35"/>
      <c r="V923" s="35"/>
      <c r="W923" s="35"/>
      <c r="X923" s="35"/>
      <c r="Y923" s="35"/>
      <c r="Z923" s="35"/>
    </row>
    <row r="924" ht="14.25" customHeight="1">
      <c r="A924" s="452"/>
      <c r="B924" s="494"/>
      <c r="C924" s="138"/>
      <c r="D924" s="495"/>
      <c r="E924" s="136"/>
      <c r="F924" s="496"/>
      <c r="G924" s="140"/>
      <c r="H924" s="141"/>
      <c r="I924" s="141"/>
      <c r="J924" s="142"/>
      <c r="K924" s="142"/>
      <c r="L924" s="142"/>
      <c r="M924" s="142"/>
      <c r="N924" s="136"/>
      <c r="O924" s="34"/>
      <c r="P924" s="35"/>
      <c r="Q924" s="35"/>
      <c r="R924" s="35"/>
      <c r="S924" s="35"/>
      <c r="T924" s="35"/>
      <c r="U924" s="35"/>
      <c r="V924" s="35"/>
      <c r="W924" s="35"/>
      <c r="X924" s="35"/>
      <c r="Y924" s="35"/>
      <c r="Z924" s="35"/>
    </row>
    <row r="925" ht="14.25" customHeight="1">
      <c r="A925" s="452"/>
      <c r="B925" s="494"/>
      <c r="C925" s="138"/>
      <c r="D925" s="495"/>
      <c r="E925" s="136"/>
      <c r="F925" s="496"/>
      <c r="G925" s="140"/>
      <c r="H925" s="141"/>
      <c r="I925" s="141"/>
      <c r="J925" s="142"/>
      <c r="K925" s="142"/>
      <c r="L925" s="142"/>
      <c r="M925" s="142"/>
      <c r="N925" s="136"/>
      <c r="O925" s="34"/>
      <c r="P925" s="35"/>
      <c r="Q925" s="35"/>
      <c r="R925" s="35"/>
      <c r="S925" s="35"/>
      <c r="T925" s="35"/>
      <c r="U925" s="35"/>
      <c r="V925" s="35"/>
      <c r="W925" s="35"/>
      <c r="X925" s="35"/>
      <c r="Y925" s="35"/>
      <c r="Z925" s="35"/>
    </row>
    <row r="926" ht="14.25" customHeight="1">
      <c r="A926" s="452"/>
      <c r="B926" s="494"/>
      <c r="C926" s="138"/>
      <c r="D926" s="495"/>
      <c r="E926" s="136"/>
      <c r="F926" s="496"/>
      <c r="G926" s="140"/>
      <c r="H926" s="141"/>
      <c r="I926" s="141"/>
      <c r="J926" s="142"/>
      <c r="K926" s="142"/>
      <c r="L926" s="142"/>
      <c r="M926" s="142"/>
      <c r="N926" s="136"/>
      <c r="O926" s="34"/>
      <c r="P926" s="35"/>
      <c r="Q926" s="35"/>
      <c r="R926" s="35"/>
      <c r="S926" s="35"/>
      <c r="T926" s="35"/>
      <c r="U926" s="35"/>
      <c r="V926" s="35"/>
      <c r="W926" s="35"/>
      <c r="X926" s="35"/>
      <c r="Y926" s="35"/>
      <c r="Z926" s="35"/>
    </row>
    <row r="927" ht="14.25" customHeight="1">
      <c r="A927" s="452"/>
      <c r="B927" s="494"/>
      <c r="C927" s="138"/>
      <c r="D927" s="495"/>
      <c r="E927" s="136"/>
      <c r="F927" s="496"/>
      <c r="G927" s="140"/>
      <c r="H927" s="141"/>
      <c r="I927" s="141"/>
      <c r="J927" s="142"/>
      <c r="K927" s="142"/>
      <c r="L927" s="142"/>
      <c r="M927" s="142"/>
      <c r="N927" s="136"/>
      <c r="O927" s="34"/>
      <c r="P927" s="35"/>
      <c r="Q927" s="35"/>
      <c r="R927" s="35"/>
      <c r="S927" s="35"/>
      <c r="T927" s="35"/>
      <c r="U927" s="35"/>
      <c r="V927" s="35"/>
      <c r="W927" s="35"/>
      <c r="X927" s="35"/>
      <c r="Y927" s="35"/>
      <c r="Z927" s="35"/>
    </row>
    <row r="928" ht="14.25" customHeight="1">
      <c r="A928" s="452"/>
      <c r="B928" s="494"/>
      <c r="C928" s="138"/>
      <c r="D928" s="495"/>
      <c r="E928" s="136"/>
      <c r="F928" s="496"/>
      <c r="G928" s="140"/>
      <c r="H928" s="141"/>
      <c r="I928" s="141"/>
      <c r="J928" s="142"/>
      <c r="K928" s="142"/>
      <c r="L928" s="142"/>
      <c r="M928" s="142"/>
      <c r="N928" s="136"/>
      <c r="O928" s="34"/>
      <c r="P928" s="35"/>
      <c r="Q928" s="35"/>
      <c r="R928" s="35"/>
      <c r="S928" s="35"/>
      <c r="T928" s="35"/>
      <c r="U928" s="35"/>
      <c r="V928" s="35"/>
      <c r="W928" s="35"/>
      <c r="X928" s="35"/>
      <c r="Y928" s="35"/>
      <c r="Z928" s="35"/>
    </row>
    <row r="929" ht="14.25" customHeight="1">
      <c r="A929" s="452"/>
      <c r="B929" s="494"/>
      <c r="C929" s="138"/>
      <c r="D929" s="495"/>
      <c r="E929" s="136"/>
      <c r="F929" s="496"/>
      <c r="G929" s="140"/>
      <c r="H929" s="141"/>
      <c r="I929" s="141"/>
      <c r="J929" s="142"/>
      <c r="K929" s="142"/>
      <c r="L929" s="142"/>
      <c r="M929" s="142"/>
      <c r="N929" s="136"/>
      <c r="O929" s="34"/>
      <c r="P929" s="35"/>
      <c r="Q929" s="35"/>
      <c r="R929" s="35"/>
      <c r="S929" s="35"/>
      <c r="T929" s="35"/>
      <c r="U929" s="35"/>
      <c r="V929" s="35"/>
      <c r="W929" s="35"/>
      <c r="X929" s="35"/>
      <c r="Y929" s="35"/>
      <c r="Z929" s="35"/>
    </row>
    <row r="930" ht="14.25" customHeight="1">
      <c r="A930" s="452"/>
      <c r="B930" s="494"/>
      <c r="C930" s="138"/>
      <c r="D930" s="495"/>
      <c r="E930" s="136"/>
      <c r="F930" s="496"/>
      <c r="G930" s="140"/>
      <c r="H930" s="141"/>
      <c r="I930" s="141"/>
      <c r="J930" s="142"/>
      <c r="K930" s="142"/>
      <c r="L930" s="142"/>
      <c r="M930" s="142"/>
      <c r="N930" s="136"/>
      <c r="O930" s="34"/>
      <c r="P930" s="35"/>
      <c r="Q930" s="35"/>
      <c r="R930" s="35"/>
      <c r="S930" s="35"/>
      <c r="T930" s="35"/>
      <c r="U930" s="35"/>
      <c r="V930" s="35"/>
      <c r="W930" s="35"/>
      <c r="X930" s="35"/>
      <c r="Y930" s="35"/>
      <c r="Z930" s="35"/>
    </row>
    <row r="931" ht="14.25" customHeight="1">
      <c r="A931" s="452"/>
      <c r="B931" s="494"/>
      <c r="C931" s="138"/>
      <c r="D931" s="495"/>
      <c r="E931" s="136"/>
      <c r="F931" s="496"/>
      <c r="G931" s="140"/>
      <c r="H931" s="141"/>
      <c r="I931" s="141"/>
      <c r="J931" s="142"/>
      <c r="K931" s="142"/>
      <c r="L931" s="142"/>
      <c r="M931" s="142"/>
      <c r="N931" s="136"/>
      <c r="O931" s="34"/>
      <c r="P931" s="35"/>
      <c r="Q931" s="35"/>
      <c r="R931" s="35"/>
      <c r="S931" s="35"/>
      <c r="T931" s="35"/>
      <c r="U931" s="35"/>
      <c r="V931" s="35"/>
      <c r="W931" s="35"/>
      <c r="X931" s="35"/>
      <c r="Y931" s="35"/>
      <c r="Z931" s="35"/>
    </row>
    <row r="932" ht="14.25" customHeight="1">
      <c r="A932" s="452"/>
      <c r="B932" s="494"/>
      <c r="C932" s="138"/>
      <c r="D932" s="495"/>
      <c r="E932" s="136"/>
      <c r="F932" s="496"/>
      <c r="G932" s="140"/>
      <c r="H932" s="141"/>
      <c r="I932" s="141"/>
      <c r="J932" s="142"/>
      <c r="K932" s="142"/>
      <c r="L932" s="142"/>
      <c r="M932" s="142"/>
      <c r="N932" s="136"/>
      <c r="O932" s="34"/>
      <c r="P932" s="35"/>
      <c r="Q932" s="35"/>
      <c r="R932" s="35"/>
      <c r="S932" s="35"/>
      <c r="T932" s="35"/>
      <c r="U932" s="35"/>
      <c r="V932" s="35"/>
      <c r="W932" s="35"/>
      <c r="X932" s="35"/>
      <c r="Y932" s="35"/>
      <c r="Z932" s="35"/>
    </row>
    <row r="933" ht="14.25" customHeight="1">
      <c r="A933" s="452"/>
      <c r="B933" s="494"/>
      <c r="C933" s="138"/>
      <c r="D933" s="495"/>
      <c r="E933" s="136"/>
      <c r="F933" s="496"/>
      <c r="G933" s="140"/>
      <c r="H933" s="141"/>
      <c r="I933" s="141"/>
      <c r="J933" s="142"/>
      <c r="K933" s="142"/>
      <c r="L933" s="142"/>
      <c r="M933" s="142"/>
      <c r="N933" s="136"/>
      <c r="O933" s="34"/>
      <c r="P933" s="35"/>
      <c r="Q933" s="35"/>
      <c r="R933" s="35"/>
      <c r="S933" s="35"/>
      <c r="T933" s="35"/>
      <c r="U933" s="35"/>
      <c r="V933" s="35"/>
      <c r="W933" s="35"/>
      <c r="X933" s="35"/>
      <c r="Y933" s="35"/>
      <c r="Z933" s="35"/>
    </row>
    <row r="934" ht="14.25" customHeight="1">
      <c r="A934" s="452"/>
      <c r="B934" s="494"/>
      <c r="C934" s="138"/>
      <c r="D934" s="495"/>
      <c r="E934" s="136"/>
      <c r="F934" s="496"/>
      <c r="G934" s="140"/>
      <c r="H934" s="141"/>
      <c r="I934" s="141"/>
      <c r="J934" s="142"/>
      <c r="K934" s="142"/>
      <c r="L934" s="142"/>
      <c r="M934" s="142"/>
      <c r="N934" s="136"/>
      <c r="O934" s="34"/>
      <c r="P934" s="35"/>
      <c r="Q934" s="35"/>
      <c r="R934" s="35"/>
      <c r="S934" s="35"/>
      <c r="T934" s="35"/>
      <c r="U934" s="35"/>
      <c r="V934" s="35"/>
      <c r="W934" s="35"/>
      <c r="X934" s="35"/>
      <c r="Y934" s="35"/>
      <c r="Z934" s="35"/>
    </row>
    <row r="935" ht="14.25" customHeight="1">
      <c r="A935" s="452"/>
      <c r="B935" s="494"/>
      <c r="C935" s="138"/>
      <c r="D935" s="495"/>
      <c r="E935" s="136"/>
      <c r="F935" s="496"/>
      <c r="G935" s="140"/>
      <c r="H935" s="141"/>
      <c r="I935" s="141"/>
      <c r="J935" s="142"/>
      <c r="K935" s="142"/>
      <c r="L935" s="142"/>
      <c r="M935" s="142"/>
      <c r="N935" s="136"/>
      <c r="O935" s="34"/>
      <c r="P935" s="35"/>
      <c r="Q935" s="35"/>
      <c r="R935" s="35"/>
      <c r="S935" s="35"/>
      <c r="T935" s="35"/>
      <c r="U935" s="35"/>
      <c r="V935" s="35"/>
      <c r="W935" s="35"/>
      <c r="X935" s="35"/>
      <c r="Y935" s="35"/>
      <c r="Z935" s="35"/>
    </row>
    <row r="936" ht="14.25" customHeight="1">
      <c r="A936" s="452"/>
      <c r="B936" s="494"/>
      <c r="C936" s="138"/>
      <c r="D936" s="495"/>
      <c r="E936" s="136"/>
      <c r="F936" s="496"/>
      <c r="G936" s="140"/>
      <c r="H936" s="141"/>
      <c r="I936" s="141"/>
      <c r="J936" s="142"/>
      <c r="K936" s="142"/>
      <c r="L936" s="142"/>
      <c r="M936" s="142"/>
      <c r="N936" s="136"/>
      <c r="O936" s="34"/>
      <c r="P936" s="35"/>
      <c r="Q936" s="35"/>
      <c r="R936" s="35"/>
      <c r="S936" s="35"/>
      <c r="T936" s="35"/>
      <c r="U936" s="35"/>
      <c r="V936" s="35"/>
      <c r="W936" s="35"/>
      <c r="X936" s="35"/>
      <c r="Y936" s="35"/>
      <c r="Z936" s="35"/>
    </row>
    <row r="937" ht="14.25" customHeight="1">
      <c r="A937" s="452"/>
      <c r="B937" s="494"/>
      <c r="C937" s="138"/>
      <c r="D937" s="495"/>
      <c r="E937" s="136"/>
      <c r="F937" s="496"/>
      <c r="G937" s="140"/>
      <c r="H937" s="141"/>
      <c r="I937" s="141"/>
      <c r="J937" s="142"/>
      <c r="K937" s="142"/>
      <c r="L937" s="142"/>
      <c r="M937" s="142"/>
      <c r="N937" s="136"/>
      <c r="O937" s="34"/>
      <c r="P937" s="35"/>
      <c r="Q937" s="35"/>
      <c r="R937" s="35"/>
      <c r="S937" s="35"/>
      <c r="T937" s="35"/>
      <c r="U937" s="35"/>
      <c r="V937" s="35"/>
      <c r="W937" s="35"/>
      <c r="X937" s="35"/>
      <c r="Y937" s="35"/>
      <c r="Z937" s="35"/>
    </row>
    <row r="938" ht="14.25" customHeight="1">
      <c r="A938" s="452"/>
      <c r="B938" s="494"/>
      <c r="C938" s="138"/>
      <c r="D938" s="495"/>
      <c r="E938" s="136"/>
      <c r="F938" s="496"/>
      <c r="G938" s="140"/>
      <c r="H938" s="141"/>
      <c r="I938" s="141"/>
      <c r="J938" s="142"/>
      <c r="K938" s="142"/>
      <c r="L938" s="142"/>
      <c r="M938" s="142"/>
      <c r="N938" s="136"/>
      <c r="O938" s="34"/>
      <c r="P938" s="35"/>
      <c r="Q938" s="35"/>
      <c r="R938" s="35"/>
      <c r="S938" s="35"/>
      <c r="T938" s="35"/>
      <c r="U938" s="35"/>
      <c r="V938" s="35"/>
      <c r="W938" s="35"/>
      <c r="X938" s="35"/>
      <c r="Y938" s="35"/>
      <c r="Z938" s="35"/>
    </row>
    <row r="939" ht="14.25" customHeight="1">
      <c r="A939" s="452"/>
      <c r="B939" s="494"/>
      <c r="C939" s="138"/>
      <c r="D939" s="495"/>
      <c r="E939" s="136"/>
      <c r="F939" s="496"/>
      <c r="G939" s="140"/>
      <c r="H939" s="141"/>
      <c r="I939" s="141"/>
      <c r="J939" s="142"/>
      <c r="K939" s="142"/>
      <c r="L939" s="142"/>
      <c r="M939" s="142"/>
      <c r="N939" s="136"/>
      <c r="O939" s="34"/>
      <c r="P939" s="35"/>
      <c r="Q939" s="35"/>
      <c r="R939" s="35"/>
      <c r="S939" s="35"/>
      <c r="T939" s="35"/>
      <c r="U939" s="35"/>
      <c r="V939" s="35"/>
      <c r="W939" s="35"/>
      <c r="X939" s="35"/>
      <c r="Y939" s="35"/>
      <c r="Z939" s="35"/>
    </row>
    <row r="940" ht="14.25" customHeight="1">
      <c r="A940" s="452"/>
      <c r="B940" s="494"/>
      <c r="C940" s="138"/>
      <c r="D940" s="495"/>
      <c r="E940" s="136"/>
      <c r="F940" s="496"/>
      <c r="G940" s="140"/>
      <c r="H940" s="141"/>
      <c r="I940" s="141"/>
      <c r="J940" s="142"/>
      <c r="K940" s="142"/>
      <c r="L940" s="142"/>
      <c r="M940" s="142"/>
      <c r="N940" s="136"/>
      <c r="O940" s="34"/>
      <c r="P940" s="35"/>
      <c r="Q940" s="35"/>
      <c r="R940" s="35"/>
      <c r="S940" s="35"/>
      <c r="T940" s="35"/>
      <c r="U940" s="35"/>
      <c r="V940" s="35"/>
      <c r="W940" s="35"/>
      <c r="X940" s="35"/>
      <c r="Y940" s="35"/>
      <c r="Z940" s="35"/>
    </row>
    <row r="941" ht="14.25" customHeight="1">
      <c r="A941" s="452"/>
      <c r="B941" s="494"/>
      <c r="C941" s="138"/>
      <c r="D941" s="495"/>
      <c r="E941" s="136"/>
      <c r="F941" s="496"/>
      <c r="G941" s="140"/>
      <c r="H941" s="141"/>
      <c r="I941" s="141"/>
      <c r="J941" s="142"/>
      <c r="K941" s="142"/>
      <c r="L941" s="142"/>
      <c r="M941" s="142"/>
      <c r="N941" s="136"/>
      <c r="O941" s="34"/>
      <c r="P941" s="35"/>
      <c r="Q941" s="35"/>
      <c r="R941" s="35"/>
      <c r="S941" s="35"/>
      <c r="T941" s="35"/>
      <c r="U941" s="35"/>
      <c r="V941" s="35"/>
      <c r="W941" s="35"/>
      <c r="X941" s="35"/>
      <c r="Y941" s="35"/>
      <c r="Z941" s="35"/>
    </row>
    <row r="942" ht="14.25" customHeight="1">
      <c r="A942" s="452"/>
      <c r="B942" s="494"/>
      <c r="C942" s="138"/>
      <c r="D942" s="495"/>
      <c r="E942" s="136"/>
      <c r="F942" s="496"/>
      <c r="G942" s="140"/>
      <c r="H942" s="141"/>
      <c r="I942" s="141"/>
      <c r="J942" s="142"/>
      <c r="K942" s="142"/>
      <c r="L942" s="142"/>
      <c r="M942" s="142"/>
      <c r="N942" s="136"/>
      <c r="O942" s="34"/>
      <c r="P942" s="35"/>
      <c r="Q942" s="35"/>
      <c r="R942" s="35"/>
      <c r="S942" s="35"/>
      <c r="T942" s="35"/>
      <c r="U942" s="35"/>
      <c r="V942" s="35"/>
      <c r="W942" s="35"/>
      <c r="X942" s="35"/>
      <c r="Y942" s="35"/>
      <c r="Z942" s="35"/>
    </row>
    <row r="943" ht="14.25" customHeight="1">
      <c r="A943" s="452"/>
      <c r="B943" s="494"/>
      <c r="C943" s="138"/>
      <c r="D943" s="495"/>
      <c r="E943" s="136"/>
      <c r="F943" s="496"/>
      <c r="G943" s="140"/>
      <c r="H943" s="141"/>
      <c r="I943" s="141"/>
      <c r="J943" s="142"/>
      <c r="K943" s="142"/>
      <c r="L943" s="142"/>
      <c r="M943" s="142"/>
      <c r="N943" s="136"/>
      <c r="O943" s="34"/>
      <c r="P943" s="35"/>
      <c r="Q943" s="35"/>
      <c r="R943" s="35"/>
      <c r="S943" s="35"/>
      <c r="T943" s="35"/>
      <c r="U943" s="35"/>
      <c r="V943" s="35"/>
      <c r="W943" s="35"/>
      <c r="X943" s="35"/>
      <c r="Y943" s="35"/>
      <c r="Z943" s="35"/>
    </row>
    <row r="944" ht="14.25" customHeight="1">
      <c r="A944" s="452"/>
      <c r="B944" s="494"/>
      <c r="C944" s="138"/>
      <c r="D944" s="495"/>
      <c r="E944" s="136"/>
      <c r="F944" s="496"/>
      <c r="G944" s="140"/>
      <c r="H944" s="141"/>
      <c r="I944" s="141"/>
      <c r="J944" s="142"/>
      <c r="K944" s="142"/>
      <c r="L944" s="142"/>
      <c r="M944" s="142"/>
      <c r="N944" s="136"/>
      <c r="O944" s="34"/>
      <c r="P944" s="35"/>
      <c r="Q944" s="35"/>
      <c r="R944" s="35"/>
      <c r="S944" s="35"/>
      <c r="T944" s="35"/>
      <c r="U944" s="35"/>
      <c r="V944" s="35"/>
      <c r="W944" s="35"/>
      <c r="X944" s="35"/>
      <c r="Y944" s="35"/>
      <c r="Z944" s="35"/>
    </row>
    <row r="945" ht="14.25" customHeight="1">
      <c r="A945" s="452"/>
      <c r="B945" s="494"/>
      <c r="C945" s="138"/>
      <c r="D945" s="495"/>
      <c r="E945" s="136"/>
      <c r="F945" s="496"/>
      <c r="G945" s="140"/>
      <c r="H945" s="141"/>
      <c r="I945" s="141"/>
      <c r="J945" s="142"/>
      <c r="K945" s="142"/>
      <c r="L945" s="142"/>
      <c r="M945" s="142"/>
      <c r="N945" s="136"/>
      <c r="O945" s="34"/>
      <c r="P945" s="35"/>
      <c r="Q945" s="35"/>
      <c r="R945" s="35"/>
      <c r="S945" s="35"/>
      <c r="T945" s="35"/>
      <c r="U945" s="35"/>
      <c r="V945" s="35"/>
      <c r="W945" s="35"/>
      <c r="X945" s="35"/>
      <c r="Y945" s="35"/>
      <c r="Z945" s="35"/>
    </row>
    <row r="946" ht="14.25" customHeight="1">
      <c r="A946" s="452"/>
      <c r="B946" s="494"/>
      <c r="C946" s="138"/>
      <c r="D946" s="495"/>
      <c r="E946" s="136"/>
      <c r="F946" s="496"/>
      <c r="G946" s="140"/>
      <c r="H946" s="141"/>
      <c r="I946" s="141"/>
      <c r="J946" s="142"/>
      <c r="K946" s="142"/>
      <c r="L946" s="142"/>
      <c r="M946" s="142"/>
      <c r="N946" s="136"/>
      <c r="O946" s="34"/>
      <c r="P946" s="35"/>
      <c r="Q946" s="35"/>
      <c r="R946" s="35"/>
      <c r="S946" s="35"/>
      <c r="T946" s="35"/>
      <c r="U946" s="35"/>
      <c r="V946" s="35"/>
      <c r="W946" s="35"/>
      <c r="X946" s="35"/>
      <c r="Y946" s="35"/>
      <c r="Z946" s="35"/>
    </row>
    <row r="947" ht="14.25" customHeight="1">
      <c r="A947" s="452"/>
      <c r="B947" s="494"/>
      <c r="C947" s="138"/>
      <c r="D947" s="495"/>
      <c r="E947" s="136"/>
      <c r="F947" s="496"/>
      <c r="G947" s="140"/>
      <c r="H947" s="141"/>
      <c r="I947" s="141"/>
      <c r="J947" s="142"/>
      <c r="K947" s="142"/>
      <c r="L947" s="142"/>
      <c r="M947" s="142"/>
      <c r="N947" s="136"/>
      <c r="O947" s="34"/>
      <c r="P947" s="35"/>
      <c r="Q947" s="35"/>
      <c r="R947" s="35"/>
      <c r="S947" s="35"/>
      <c r="T947" s="35"/>
      <c r="U947" s="35"/>
      <c r="V947" s="35"/>
      <c r="W947" s="35"/>
      <c r="X947" s="35"/>
      <c r="Y947" s="35"/>
      <c r="Z947" s="35"/>
    </row>
    <row r="948" ht="14.25" customHeight="1">
      <c r="A948" s="452"/>
      <c r="B948" s="494"/>
      <c r="C948" s="138"/>
      <c r="D948" s="495"/>
      <c r="E948" s="136"/>
      <c r="F948" s="496"/>
      <c r="G948" s="140"/>
      <c r="H948" s="141"/>
      <c r="I948" s="141"/>
      <c r="J948" s="142"/>
      <c r="K948" s="142"/>
      <c r="L948" s="142"/>
      <c r="M948" s="142"/>
      <c r="N948" s="136"/>
      <c r="O948" s="34"/>
      <c r="P948" s="35"/>
      <c r="Q948" s="35"/>
      <c r="R948" s="35"/>
      <c r="S948" s="35"/>
      <c r="T948" s="35"/>
      <c r="U948" s="35"/>
      <c r="V948" s="35"/>
      <c r="W948" s="35"/>
      <c r="X948" s="35"/>
      <c r="Y948" s="35"/>
      <c r="Z948" s="35"/>
    </row>
    <row r="949" ht="14.25" customHeight="1">
      <c r="A949" s="452"/>
      <c r="B949" s="494"/>
      <c r="C949" s="138"/>
      <c r="D949" s="495"/>
      <c r="E949" s="136"/>
      <c r="F949" s="496"/>
      <c r="G949" s="140"/>
      <c r="H949" s="141"/>
      <c r="I949" s="141"/>
      <c r="J949" s="142"/>
      <c r="K949" s="142"/>
      <c r="L949" s="142"/>
      <c r="M949" s="142"/>
      <c r="N949" s="136"/>
      <c r="O949" s="34"/>
      <c r="P949" s="35"/>
      <c r="Q949" s="35"/>
      <c r="R949" s="35"/>
      <c r="S949" s="35"/>
      <c r="T949" s="35"/>
      <c r="U949" s="35"/>
      <c r="V949" s="35"/>
      <c r="W949" s="35"/>
      <c r="X949" s="35"/>
      <c r="Y949" s="35"/>
      <c r="Z949" s="35"/>
    </row>
    <row r="950" ht="14.25" customHeight="1">
      <c r="A950" s="452"/>
      <c r="B950" s="494"/>
      <c r="C950" s="138"/>
      <c r="D950" s="495"/>
      <c r="E950" s="136"/>
      <c r="F950" s="496"/>
      <c r="G950" s="140"/>
      <c r="H950" s="141"/>
      <c r="I950" s="141"/>
      <c r="J950" s="142"/>
      <c r="K950" s="142"/>
      <c r="L950" s="142"/>
      <c r="M950" s="142"/>
      <c r="N950" s="136"/>
      <c r="O950" s="34"/>
      <c r="P950" s="35"/>
      <c r="Q950" s="35"/>
      <c r="R950" s="35"/>
      <c r="S950" s="35"/>
      <c r="T950" s="35"/>
      <c r="U950" s="35"/>
      <c r="V950" s="35"/>
      <c r="W950" s="35"/>
      <c r="X950" s="35"/>
      <c r="Y950" s="35"/>
      <c r="Z950" s="35"/>
    </row>
    <row r="951" ht="14.25" customHeight="1">
      <c r="A951" s="452"/>
      <c r="B951" s="494"/>
      <c r="C951" s="138"/>
      <c r="D951" s="495"/>
      <c r="E951" s="136"/>
      <c r="F951" s="496"/>
      <c r="G951" s="140"/>
      <c r="H951" s="141"/>
      <c r="I951" s="141"/>
      <c r="J951" s="142"/>
      <c r="K951" s="142"/>
      <c r="L951" s="142"/>
      <c r="M951" s="142"/>
      <c r="N951" s="136"/>
      <c r="O951" s="34"/>
      <c r="P951" s="35"/>
      <c r="Q951" s="35"/>
      <c r="R951" s="35"/>
      <c r="S951" s="35"/>
      <c r="T951" s="35"/>
      <c r="U951" s="35"/>
      <c r="V951" s="35"/>
      <c r="W951" s="35"/>
      <c r="X951" s="35"/>
      <c r="Y951" s="35"/>
      <c r="Z951" s="35"/>
    </row>
    <row r="952" ht="14.25" customHeight="1">
      <c r="A952" s="452"/>
      <c r="B952" s="494"/>
      <c r="C952" s="138"/>
      <c r="D952" s="495"/>
      <c r="E952" s="136"/>
      <c r="F952" s="496"/>
      <c r="G952" s="140"/>
      <c r="H952" s="141"/>
      <c r="I952" s="141"/>
      <c r="J952" s="142"/>
      <c r="K952" s="142"/>
      <c r="L952" s="142"/>
      <c r="M952" s="142"/>
      <c r="N952" s="136"/>
      <c r="O952" s="34"/>
      <c r="P952" s="35"/>
      <c r="Q952" s="35"/>
      <c r="R952" s="35"/>
      <c r="S952" s="35"/>
      <c r="T952" s="35"/>
      <c r="U952" s="35"/>
      <c r="V952" s="35"/>
      <c r="W952" s="35"/>
      <c r="X952" s="35"/>
      <c r="Y952" s="35"/>
      <c r="Z952" s="35"/>
    </row>
    <row r="953" ht="14.25" customHeight="1">
      <c r="A953" s="452"/>
      <c r="B953" s="494"/>
      <c r="C953" s="138"/>
      <c r="D953" s="495"/>
      <c r="E953" s="136"/>
      <c r="F953" s="496"/>
      <c r="G953" s="140"/>
      <c r="H953" s="141"/>
      <c r="I953" s="141"/>
      <c r="J953" s="142"/>
      <c r="K953" s="142"/>
      <c r="L953" s="142"/>
      <c r="M953" s="142"/>
      <c r="N953" s="136"/>
      <c r="O953" s="34"/>
      <c r="P953" s="35"/>
      <c r="Q953" s="35"/>
      <c r="R953" s="35"/>
      <c r="S953" s="35"/>
      <c r="T953" s="35"/>
      <c r="U953" s="35"/>
      <c r="V953" s="35"/>
      <c r="W953" s="35"/>
      <c r="X953" s="35"/>
      <c r="Y953" s="35"/>
      <c r="Z953" s="35"/>
    </row>
    <row r="954" ht="14.25" customHeight="1">
      <c r="A954" s="452"/>
      <c r="B954" s="494"/>
      <c r="C954" s="138"/>
      <c r="D954" s="495"/>
      <c r="E954" s="136"/>
      <c r="F954" s="496"/>
      <c r="G954" s="140"/>
      <c r="H954" s="141"/>
      <c r="I954" s="141"/>
      <c r="J954" s="142"/>
      <c r="K954" s="142"/>
      <c r="L954" s="142"/>
      <c r="M954" s="142"/>
      <c r="N954" s="136"/>
      <c r="O954" s="34"/>
      <c r="P954" s="35"/>
      <c r="Q954" s="35"/>
      <c r="R954" s="35"/>
      <c r="S954" s="35"/>
      <c r="T954" s="35"/>
      <c r="U954" s="35"/>
      <c r="V954" s="35"/>
      <c r="W954" s="35"/>
      <c r="X954" s="35"/>
      <c r="Y954" s="35"/>
      <c r="Z954" s="35"/>
    </row>
    <row r="955" ht="14.25" customHeight="1">
      <c r="A955" s="452"/>
      <c r="B955" s="494"/>
      <c r="C955" s="138"/>
      <c r="D955" s="495"/>
      <c r="E955" s="136"/>
      <c r="F955" s="496"/>
      <c r="G955" s="140"/>
      <c r="H955" s="141"/>
      <c r="I955" s="141"/>
      <c r="J955" s="142"/>
      <c r="K955" s="142"/>
      <c r="L955" s="142"/>
      <c r="M955" s="142"/>
      <c r="N955" s="136"/>
      <c r="O955" s="34"/>
      <c r="P955" s="35"/>
      <c r="Q955" s="35"/>
      <c r="R955" s="35"/>
      <c r="S955" s="35"/>
      <c r="T955" s="35"/>
      <c r="U955" s="35"/>
      <c r="V955" s="35"/>
      <c r="W955" s="35"/>
      <c r="X955" s="35"/>
      <c r="Y955" s="35"/>
      <c r="Z955" s="35"/>
    </row>
    <row r="956" ht="14.25" customHeight="1">
      <c r="A956" s="452"/>
      <c r="B956" s="494"/>
      <c r="C956" s="138"/>
      <c r="D956" s="495"/>
      <c r="E956" s="136"/>
      <c r="F956" s="496"/>
      <c r="G956" s="140"/>
      <c r="H956" s="141"/>
      <c r="I956" s="141"/>
      <c r="J956" s="142"/>
      <c r="K956" s="142"/>
      <c r="L956" s="142"/>
      <c r="M956" s="142"/>
      <c r="N956" s="136"/>
      <c r="O956" s="34"/>
      <c r="P956" s="35"/>
      <c r="Q956" s="35"/>
      <c r="R956" s="35"/>
      <c r="S956" s="35"/>
      <c r="T956" s="35"/>
      <c r="U956" s="35"/>
      <c r="V956" s="35"/>
      <c r="W956" s="35"/>
      <c r="X956" s="35"/>
      <c r="Y956" s="35"/>
      <c r="Z956" s="35"/>
    </row>
    <row r="957" ht="14.25" customHeight="1">
      <c r="A957" s="452"/>
      <c r="B957" s="494"/>
      <c r="C957" s="138"/>
      <c r="D957" s="495"/>
      <c r="E957" s="136"/>
      <c r="F957" s="496"/>
      <c r="G957" s="140"/>
      <c r="H957" s="141"/>
      <c r="I957" s="141"/>
      <c r="J957" s="142"/>
      <c r="K957" s="142"/>
      <c r="L957" s="142"/>
      <c r="M957" s="142"/>
      <c r="N957" s="136"/>
      <c r="O957" s="34"/>
      <c r="P957" s="35"/>
      <c r="Q957" s="35"/>
      <c r="R957" s="35"/>
      <c r="S957" s="35"/>
      <c r="T957" s="35"/>
      <c r="U957" s="35"/>
      <c r="V957" s="35"/>
      <c r="W957" s="35"/>
      <c r="X957" s="35"/>
      <c r="Y957" s="35"/>
      <c r="Z957" s="35"/>
    </row>
    <row r="958" ht="14.25" customHeight="1">
      <c r="A958" s="452"/>
      <c r="B958" s="494"/>
      <c r="C958" s="138"/>
      <c r="D958" s="495"/>
      <c r="E958" s="136"/>
      <c r="F958" s="496"/>
      <c r="G958" s="140"/>
      <c r="H958" s="141"/>
      <c r="I958" s="141"/>
      <c r="J958" s="142"/>
      <c r="K958" s="142"/>
      <c r="L958" s="142"/>
      <c r="M958" s="142"/>
      <c r="N958" s="136"/>
      <c r="O958" s="34"/>
      <c r="P958" s="35"/>
      <c r="Q958" s="35"/>
      <c r="R958" s="35"/>
      <c r="S958" s="35"/>
      <c r="T958" s="35"/>
      <c r="U958" s="35"/>
      <c r="V958" s="35"/>
      <c r="W958" s="35"/>
      <c r="X958" s="35"/>
      <c r="Y958" s="35"/>
      <c r="Z958" s="35"/>
    </row>
    <row r="959" ht="14.25" customHeight="1">
      <c r="A959" s="452"/>
      <c r="B959" s="494"/>
      <c r="C959" s="138"/>
      <c r="D959" s="495"/>
      <c r="E959" s="136"/>
      <c r="F959" s="496"/>
      <c r="G959" s="140"/>
      <c r="H959" s="141"/>
      <c r="I959" s="141"/>
      <c r="J959" s="142"/>
      <c r="K959" s="142"/>
      <c r="L959" s="142"/>
      <c r="M959" s="142"/>
      <c r="N959" s="136"/>
      <c r="O959" s="34"/>
      <c r="P959" s="35"/>
      <c r="Q959" s="35"/>
      <c r="R959" s="35"/>
      <c r="S959" s="35"/>
      <c r="T959" s="35"/>
      <c r="U959" s="35"/>
      <c r="V959" s="35"/>
      <c r="W959" s="35"/>
      <c r="X959" s="35"/>
      <c r="Y959" s="35"/>
      <c r="Z959" s="35"/>
    </row>
    <row r="960" ht="14.25" customHeight="1">
      <c r="A960" s="452"/>
      <c r="B960" s="494"/>
      <c r="C960" s="138"/>
      <c r="D960" s="495"/>
      <c r="E960" s="136"/>
      <c r="F960" s="496"/>
      <c r="G960" s="140"/>
      <c r="H960" s="141"/>
      <c r="I960" s="141"/>
      <c r="J960" s="142"/>
      <c r="K960" s="142"/>
      <c r="L960" s="142"/>
      <c r="M960" s="142"/>
      <c r="N960" s="136"/>
      <c r="O960" s="34"/>
      <c r="P960" s="35"/>
      <c r="Q960" s="35"/>
      <c r="R960" s="35"/>
      <c r="S960" s="35"/>
      <c r="T960" s="35"/>
      <c r="U960" s="35"/>
      <c r="V960" s="35"/>
      <c r="W960" s="35"/>
      <c r="X960" s="35"/>
      <c r="Y960" s="35"/>
      <c r="Z960" s="35"/>
    </row>
    <row r="961" ht="14.25" customHeight="1">
      <c r="A961" s="452"/>
      <c r="B961" s="494"/>
      <c r="C961" s="138"/>
      <c r="D961" s="495"/>
      <c r="E961" s="136"/>
      <c r="F961" s="496"/>
      <c r="G961" s="140"/>
      <c r="H961" s="141"/>
      <c r="I961" s="141"/>
      <c r="J961" s="142"/>
      <c r="K961" s="142"/>
      <c r="L961" s="142"/>
      <c r="M961" s="142"/>
      <c r="N961" s="136"/>
      <c r="O961" s="34"/>
      <c r="P961" s="35"/>
      <c r="Q961" s="35"/>
      <c r="R961" s="35"/>
      <c r="S961" s="35"/>
      <c r="T961" s="35"/>
      <c r="U961" s="35"/>
      <c r="V961" s="35"/>
      <c r="W961" s="35"/>
      <c r="X961" s="35"/>
      <c r="Y961" s="35"/>
      <c r="Z961" s="35"/>
    </row>
    <row r="962" ht="14.25" customHeight="1">
      <c r="A962" s="452"/>
      <c r="B962" s="494"/>
      <c r="C962" s="138"/>
      <c r="D962" s="495"/>
      <c r="E962" s="136"/>
      <c r="F962" s="496"/>
      <c r="G962" s="140"/>
      <c r="H962" s="141"/>
      <c r="I962" s="141"/>
      <c r="J962" s="142"/>
      <c r="K962" s="142"/>
      <c r="L962" s="142"/>
      <c r="M962" s="142"/>
      <c r="N962" s="136"/>
      <c r="O962" s="34"/>
      <c r="P962" s="35"/>
      <c r="Q962" s="35"/>
      <c r="R962" s="35"/>
      <c r="S962" s="35"/>
      <c r="T962" s="35"/>
      <c r="U962" s="35"/>
      <c r="V962" s="35"/>
      <c r="W962" s="35"/>
      <c r="X962" s="35"/>
      <c r="Y962" s="35"/>
      <c r="Z962" s="35"/>
    </row>
    <row r="963" ht="14.25" customHeight="1">
      <c r="A963" s="452"/>
      <c r="B963" s="494"/>
      <c r="C963" s="138"/>
      <c r="D963" s="495"/>
      <c r="E963" s="136"/>
      <c r="F963" s="496"/>
      <c r="G963" s="140"/>
      <c r="H963" s="141"/>
      <c r="I963" s="141"/>
      <c r="J963" s="142"/>
      <c r="K963" s="142"/>
      <c r="L963" s="142"/>
      <c r="M963" s="142"/>
      <c r="N963" s="136"/>
      <c r="O963" s="34"/>
      <c r="P963" s="35"/>
      <c r="Q963" s="35"/>
      <c r="R963" s="35"/>
      <c r="S963" s="35"/>
      <c r="T963" s="35"/>
      <c r="U963" s="35"/>
      <c r="V963" s="35"/>
      <c r="W963" s="35"/>
      <c r="X963" s="35"/>
      <c r="Y963" s="35"/>
      <c r="Z963" s="35"/>
    </row>
    <row r="964" ht="14.25" customHeight="1">
      <c r="A964" s="452"/>
      <c r="B964" s="494"/>
      <c r="C964" s="138"/>
      <c r="D964" s="495"/>
      <c r="E964" s="136"/>
      <c r="F964" s="496"/>
      <c r="G964" s="140"/>
      <c r="H964" s="141"/>
      <c r="I964" s="141"/>
      <c r="J964" s="142"/>
      <c r="K964" s="142"/>
      <c r="L964" s="142"/>
      <c r="M964" s="142"/>
      <c r="N964" s="136"/>
      <c r="O964" s="34"/>
      <c r="P964" s="35"/>
      <c r="Q964" s="35"/>
      <c r="R964" s="35"/>
      <c r="S964" s="35"/>
      <c r="T964" s="35"/>
      <c r="U964" s="35"/>
      <c r="V964" s="35"/>
      <c r="W964" s="35"/>
      <c r="X964" s="35"/>
      <c r="Y964" s="35"/>
      <c r="Z964" s="35"/>
    </row>
    <row r="965" ht="14.25" customHeight="1">
      <c r="A965" s="452"/>
      <c r="B965" s="494"/>
      <c r="C965" s="138"/>
      <c r="D965" s="495"/>
      <c r="E965" s="136"/>
      <c r="F965" s="496"/>
      <c r="G965" s="140"/>
      <c r="H965" s="141"/>
      <c r="I965" s="141"/>
      <c r="J965" s="142"/>
      <c r="K965" s="142"/>
      <c r="L965" s="142"/>
      <c r="M965" s="142"/>
      <c r="N965" s="136"/>
      <c r="O965" s="34"/>
      <c r="P965" s="35"/>
      <c r="Q965" s="35"/>
      <c r="R965" s="35"/>
      <c r="S965" s="35"/>
      <c r="T965" s="35"/>
      <c r="U965" s="35"/>
      <c r="V965" s="35"/>
      <c r="W965" s="35"/>
      <c r="X965" s="35"/>
      <c r="Y965" s="35"/>
      <c r="Z965" s="35"/>
    </row>
    <row r="966" ht="14.25" customHeight="1">
      <c r="A966" s="452"/>
      <c r="B966" s="494"/>
      <c r="C966" s="138"/>
      <c r="D966" s="495"/>
      <c r="E966" s="136"/>
      <c r="F966" s="496"/>
      <c r="G966" s="140"/>
      <c r="H966" s="141"/>
      <c r="I966" s="141"/>
      <c r="J966" s="142"/>
      <c r="K966" s="142"/>
      <c r="L966" s="142"/>
      <c r="M966" s="142"/>
      <c r="N966" s="136"/>
      <c r="O966" s="34"/>
      <c r="P966" s="35"/>
      <c r="Q966" s="35"/>
      <c r="R966" s="35"/>
      <c r="S966" s="35"/>
      <c r="T966" s="35"/>
      <c r="U966" s="35"/>
      <c r="V966" s="35"/>
      <c r="W966" s="35"/>
      <c r="X966" s="35"/>
      <c r="Y966" s="35"/>
      <c r="Z966" s="35"/>
    </row>
    <row r="967" ht="14.25" customHeight="1">
      <c r="A967" s="452"/>
      <c r="B967" s="494"/>
      <c r="C967" s="138"/>
      <c r="D967" s="495"/>
      <c r="E967" s="136"/>
      <c r="F967" s="496"/>
      <c r="G967" s="140"/>
      <c r="H967" s="141"/>
      <c r="I967" s="141"/>
      <c r="J967" s="142"/>
      <c r="K967" s="142"/>
      <c r="L967" s="142"/>
      <c r="M967" s="142"/>
      <c r="N967" s="136"/>
      <c r="O967" s="34"/>
      <c r="P967" s="35"/>
      <c r="Q967" s="35"/>
      <c r="R967" s="35"/>
      <c r="S967" s="35"/>
      <c r="T967" s="35"/>
      <c r="U967" s="35"/>
      <c r="V967" s="35"/>
      <c r="W967" s="35"/>
      <c r="X967" s="35"/>
      <c r="Y967" s="35"/>
      <c r="Z967" s="35"/>
    </row>
    <row r="968" ht="14.25" customHeight="1">
      <c r="A968" s="452"/>
      <c r="B968" s="494"/>
      <c r="C968" s="138"/>
      <c r="D968" s="495"/>
      <c r="E968" s="136"/>
      <c r="F968" s="496"/>
      <c r="G968" s="140"/>
      <c r="H968" s="141"/>
      <c r="I968" s="141"/>
      <c r="J968" s="142"/>
      <c r="K968" s="142"/>
      <c r="L968" s="142"/>
      <c r="M968" s="142"/>
      <c r="N968" s="136"/>
      <c r="O968" s="34"/>
      <c r="P968" s="35"/>
      <c r="Q968" s="35"/>
      <c r="R968" s="35"/>
      <c r="S968" s="35"/>
      <c r="T968" s="35"/>
      <c r="U968" s="35"/>
      <c r="V968" s="35"/>
      <c r="W968" s="35"/>
      <c r="X968" s="35"/>
      <c r="Y968" s="35"/>
      <c r="Z968" s="35"/>
    </row>
    <row r="969" ht="14.25" customHeight="1">
      <c r="A969" s="452"/>
      <c r="B969" s="494"/>
      <c r="C969" s="138"/>
      <c r="D969" s="495"/>
      <c r="E969" s="136"/>
      <c r="F969" s="496"/>
      <c r="G969" s="140"/>
      <c r="H969" s="141"/>
      <c r="I969" s="141"/>
      <c r="J969" s="142"/>
      <c r="K969" s="142"/>
      <c r="L969" s="142"/>
      <c r="M969" s="142"/>
      <c r="N969" s="136"/>
      <c r="O969" s="34"/>
      <c r="P969" s="35"/>
      <c r="Q969" s="35"/>
      <c r="R969" s="35"/>
      <c r="S969" s="35"/>
      <c r="T969" s="35"/>
      <c r="U969" s="35"/>
      <c r="V969" s="35"/>
      <c r="W969" s="35"/>
      <c r="X969" s="35"/>
      <c r="Y969" s="35"/>
      <c r="Z969" s="35"/>
    </row>
    <row r="970" ht="14.25" customHeight="1">
      <c r="A970" s="452"/>
      <c r="B970" s="494"/>
      <c r="C970" s="138"/>
      <c r="D970" s="495"/>
      <c r="E970" s="136"/>
      <c r="F970" s="496"/>
      <c r="G970" s="140"/>
      <c r="H970" s="141"/>
      <c r="I970" s="141"/>
      <c r="J970" s="142"/>
      <c r="K970" s="142"/>
      <c r="L970" s="142"/>
      <c r="M970" s="142"/>
      <c r="N970" s="136"/>
      <c r="O970" s="34"/>
      <c r="P970" s="35"/>
      <c r="Q970" s="35"/>
      <c r="R970" s="35"/>
      <c r="S970" s="35"/>
      <c r="T970" s="35"/>
      <c r="U970" s="35"/>
      <c r="V970" s="35"/>
      <c r="W970" s="35"/>
      <c r="X970" s="35"/>
      <c r="Y970" s="35"/>
      <c r="Z970" s="35"/>
    </row>
    <row r="971" ht="14.25" customHeight="1">
      <c r="A971" s="452"/>
      <c r="B971" s="494"/>
      <c r="C971" s="138"/>
      <c r="D971" s="495"/>
      <c r="E971" s="136"/>
      <c r="F971" s="496"/>
      <c r="G971" s="140"/>
      <c r="H971" s="141"/>
      <c r="I971" s="141"/>
      <c r="J971" s="142"/>
      <c r="K971" s="142"/>
      <c r="L971" s="142"/>
      <c r="M971" s="142"/>
      <c r="N971" s="136"/>
      <c r="O971" s="34"/>
      <c r="P971" s="35"/>
      <c r="Q971" s="35"/>
      <c r="R971" s="35"/>
      <c r="S971" s="35"/>
      <c r="T971" s="35"/>
      <c r="U971" s="35"/>
      <c r="V971" s="35"/>
      <c r="W971" s="35"/>
      <c r="X971" s="35"/>
      <c r="Y971" s="35"/>
      <c r="Z971" s="35"/>
    </row>
    <row r="972" ht="14.25" customHeight="1">
      <c r="A972" s="452"/>
      <c r="B972" s="494"/>
      <c r="C972" s="138"/>
      <c r="D972" s="495"/>
      <c r="E972" s="136"/>
      <c r="F972" s="496"/>
      <c r="G972" s="140"/>
      <c r="H972" s="141"/>
      <c r="I972" s="141"/>
      <c r="J972" s="142"/>
      <c r="K972" s="142"/>
      <c r="L972" s="142"/>
      <c r="M972" s="142"/>
      <c r="N972" s="136"/>
      <c r="O972" s="34"/>
      <c r="P972" s="35"/>
      <c r="Q972" s="35"/>
      <c r="R972" s="35"/>
      <c r="S972" s="35"/>
      <c r="T972" s="35"/>
      <c r="U972" s="35"/>
      <c r="V972" s="35"/>
      <c r="W972" s="35"/>
      <c r="X972" s="35"/>
      <c r="Y972" s="35"/>
      <c r="Z972" s="35"/>
    </row>
    <row r="973" ht="14.25" customHeight="1">
      <c r="A973" s="452"/>
      <c r="B973" s="494"/>
      <c r="C973" s="138"/>
      <c r="D973" s="495"/>
      <c r="E973" s="136"/>
      <c r="F973" s="496"/>
      <c r="G973" s="140"/>
      <c r="H973" s="141"/>
      <c r="I973" s="141"/>
      <c r="J973" s="142"/>
      <c r="K973" s="142"/>
      <c r="L973" s="142"/>
      <c r="M973" s="142"/>
      <c r="N973" s="136"/>
      <c r="O973" s="34"/>
      <c r="P973" s="35"/>
      <c r="Q973" s="35"/>
      <c r="R973" s="35"/>
      <c r="S973" s="35"/>
      <c r="T973" s="35"/>
      <c r="U973" s="35"/>
      <c r="V973" s="35"/>
      <c r="W973" s="35"/>
      <c r="X973" s="35"/>
      <c r="Y973" s="35"/>
      <c r="Z973" s="35"/>
    </row>
    <row r="974" ht="14.25" customHeight="1">
      <c r="A974" s="452"/>
      <c r="B974" s="494"/>
      <c r="C974" s="138"/>
      <c r="D974" s="495"/>
      <c r="E974" s="136"/>
      <c r="F974" s="496"/>
      <c r="G974" s="140"/>
      <c r="H974" s="141"/>
      <c r="I974" s="141"/>
      <c r="J974" s="142"/>
      <c r="K974" s="142"/>
      <c r="L974" s="142"/>
      <c r="M974" s="142"/>
      <c r="N974" s="136"/>
      <c r="O974" s="34"/>
      <c r="P974" s="35"/>
      <c r="Q974" s="35"/>
      <c r="R974" s="35"/>
      <c r="S974" s="35"/>
      <c r="T974" s="35"/>
      <c r="U974" s="35"/>
      <c r="V974" s="35"/>
      <c r="W974" s="35"/>
      <c r="X974" s="35"/>
      <c r="Y974" s="35"/>
      <c r="Z974" s="35"/>
    </row>
    <row r="975" ht="14.25" customHeight="1">
      <c r="A975" s="452"/>
      <c r="B975" s="494"/>
      <c r="C975" s="138"/>
      <c r="D975" s="495"/>
      <c r="E975" s="136"/>
      <c r="F975" s="496"/>
      <c r="G975" s="140"/>
      <c r="H975" s="141"/>
      <c r="I975" s="141"/>
      <c r="J975" s="142"/>
      <c r="K975" s="142"/>
      <c r="L975" s="142"/>
      <c r="M975" s="142"/>
      <c r="N975" s="136"/>
      <c r="O975" s="34"/>
      <c r="P975" s="35"/>
      <c r="Q975" s="35"/>
      <c r="R975" s="35"/>
      <c r="S975" s="35"/>
      <c r="T975" s="35"/>
      <c r="U975" s="35"/>
      <c r="V975" s="35"/>
      <c r="W975" s="35"/>
      <c r="X975" s="35"/>
      <c r="Y975" s="35"/>
      <c r="Z975" s="35"/>
    </row>
    <row r="976" ht="14.25" customHeight="1">
      <c r="A976" s="452"/>
      <c r="B976" s="494"/>
      <c r="C976" s="138"/>
      <c r="D976" s="495"/>
      <c r="E976" s="136"/>
      <c r="F976" s="496"/>
      <c r="G976" s="140"/>
      <c r="H976" s="141"/>
      <c r="I976" s="141"/>
      <c r="J976" s="142"/>
      <c r="K976" s="142"/>
      <c r="L976" s="142"/>
      <c r="M976" s="142"/>
      <c r="N976" s="136"/>
      <c r="O976" s="34"/>
      <c r="P976" s="35"/>
      <c r="Q976" s="35"/>
      <c r="R976" s="35"/>
      <c r="S976" s="35"/>
      <c r="T976" s="35"/>
      <c r="U976" s="35"/>
      <c r="V976" s="35"/>
      <c r="W976" s="35"/>
      <c r="X976" s="35"/>
      <c r="Y976" s="35"/>
      <c r="Z976" s="35"/>
    </row>
    <row r="977" ht="14.25" customHeight="1">
      <c r="A977" s="452"/>
      <c r="B977" s="494"/>
      <c r="C977" s="138"/>
      <c r="D977" s="495"/>
      <c r="E977" s="136"/>
      <c r="F977" s="496"/>
      <c r="G977" s="140"/>
      <c r="H977" s="141"/>
      <c r="I977" s="141"/>
      <c r="J977" s="142"/>
      <c r="K977" s="142"/>
      <c r="L977" s="142"/>
      <c r="M977" s="142"/>
      <c r="N977" s="136"/>
      <c r="O977" s="34"/>
      <c r="P977" s="35"/>
      <c r="Q977" s="35"/>
      <c r="R977" s="35"/>
      <c r="S977" s="35"/>
      <c r="T977" s="35"/>
      <c r="U977" s="35"/>
      <c r="V977" s="35"/>
      <c r="W977" s="35"/>
      <c r="X977" s="35"/>
      <c r="Y977" s="35"/>
      <c r="Z977" s="35"/>
    </row>
    <row r="978" ht="14.25" customHeight="1">
      <c r="A978" s="452"/>
      <c r="B978" s="494"/>
      <c r="C978" s="138"/>
      <c r="D978" s="495"/>
      <c r="E978" s="136"/>
      <c r="F978" s="496"/>
      <c r="G978" s="140"/>
      <c r="H978" s="141"/>
      <c r="I978" s="141"/>
      <c r="J978" s="142"/>
      <c r="K978" s="142"/>
      <c r="L978" s="142"/>
      <c r="M978" s="142"/>
      <c r="N978" s="136"/>
      <c r="O978" s="34"/>
      <c r="P978" s="35"/>
      <c r="Q978" s="35"/>
      <c r="R978" s="35"/>
      <c r="S978" s="35"/>
      <c r="T978" s="35"/>
      <c r="U978" s="35"/>
      <c r="V978" s="35"/>
      <c r="W978" s="35"/>
      <c r="X978" s="35"/>
      <c r="Y978" s="35"/>
      <c r="Z978" s="35"/>
    </row>
    <row r="979" ht="14.25" customHeight="1">
      <c r="A979" s="452"/>
      <c r="B979" s="494"/>
      <c r="C979" s="138"/>
      <c r="D979" s="495"/>
      <c r="E979" s="136"/>
      <c r="F979" s="496"/>
      <c r="G979" s="140"/>
      <c r="H979" s="141"/>
      <c r="I979" s="141"/>
      <c r="J979" s="142"/>
      <c r="K979" s="142"/>
      <c r="L979" s="142"/>
      <c r="M979" s="142"/>
      <c r="N979" s="136"/>
      <c r="O979" s="34"/>
      <c r="P979" s="35"/>
      <c r="Q979" s="35"/>
      <c r="R979" s="35"/>
      <c r="S979" s="35"/>
      <c r="T979" s="35"/>
      <c r="U979" s="35"/>
      <c r="V979" s="35"/>
      <c r="W979" s="35"/>
      <c r="X979" s="35"/>
      <c r="Y979" s="35"/>
      <c r="Z979" s="35"/>
    </row>
  </sheetData>
  <mergeCells count="443">
    <mergeCell ref="F484:F485"/>
    <mergeCell ref="F486:F487"/>
    <mergeCell ref="F464:F465"/>
    <mergeCell ref="F466:F467"/>
    <mergeCell ref="F468:F469"/>
    <mergeCell ref="F470:F471"/>
    <mergeCell ref="F472:F473"/>
    <mergeCell ref="F474:F475"/>
    <mergeCell ref="F482:F483"/>
    <mergeCell ref="F350:F351"/>
    <mergeCell ref="F352:F353"/>
    <mergeCell ref="F354:F355"/>
    <mergeCell ref="F357:F359"/>
    <mergeCell ref="F360:F361"/>
    <mergeCell ref="F362:F364"/>
    <mergeCell ref="F365:F367"/>
    <mergeCell ref="F368:F370"/>
    <mergeCell ref="F371:F373"/>
    <mergeCell ref="F374:F376"/>
    <mergeCell ref="F377:F378"/>
    <mergeCell ref="F379:F380"/>
    <mergeCell ref="F381:F382"/>
    <mergeCell ref="F383:F384"/>
    <mergeCell ref="F385:F386"/>
    <mergeCell ref="F387:F388"/>
    <mergeCell ref="F389:F390"/>
    <mergeCell ref="F391:F392"/>
    <mergeCell ref="F395:F396"/>
    <mergeCell ref="F397:F398"/>
    <mergeCell ref="F399:F400"/>
    <mergeCell ref="F401:F402"/>
    <mergeCell ref="F403:F404"/>
    <mergeCell ref="F405:F406"/>
    <mergeCell ref="F407:F408"/>
    <mergeCell ref="F409:F410"/>
    <mergeCell ref="F411:F412"/>
    <mergeCell ref="F413:F414"/>
    <mergeCell ref="F415:F416"/>
    <mergeCell ref="F417:F418"/>
    <mergeCell ref="F419:F420"/>
    <mergeCell ref="F421:F422"/>
    <mergeCell ref="F423:F424"/>
    <mergeCell ref="F425:F426"/>
    <mergeCell ref="F427:F428"/>
    <mergeCell ref="F429:F430"/>
    <mergeCell ref="F431:F432"/>
    <mergeCell ref="F433:F434"/>
    <mergeCell ref="F435:F436"/>
    <mergeCell ref="F437:F438"/>
    <mergeCell ref="F439:F440"/>
    <mergeCell ref="F441:F442"/>
    <mergeCell ref="F443:F445"/>
    <mergeCell ref="F452:F453"/>
    <mergeCell ref="F454:F455"/>
    <mergeCell ref="F456:F457"/>
    <mergeCell ref="F458:F459"/>
    <mergeCell ref="F460:F461"/>
    <mergeCell ref="F462:F463"/>
    <mergeCell ref="D519:D520"/>
    <mergeCell ref="D521:D522"/>
    <mergeCell ref="D505:D506"/>
    <mergeCell ref="D507:D508"/>
    <mergeCell ref="D509:D510"/>
    <mergeCell ref="D511:D512"/>
    <mergeCell ref="D513:D514"/>
    <mergeCell ref="D515:D516"/>
    <mergeCell ref="D517:D518"/>
    <mergeCell ref="D433:D434"/>
    <mergeCell ref="D435:D436"/>
    <mergeCell ref="D437:D438"/>
    <mergeCell ref="D439:D440"/>
    <mergeCell ref="D441:D442"/>
    <mergeCell ref="D443:D445"/>
    <mergeCell ref="D452:D453"/>
    <mergeCell ref="D454:D455"/>
    <mergeCell ref="D456:D457"/>
    <mergeCell ref="D458:D459"/>
    <mergeCell ref="D460:D461"/>
    <mergeCell ref="D462:D463"/>
    <mergeCell ref="D464:D465"/>
    <mergeCell ref="D466:D467"/>
    <mergeCell ref="D468:D469"/>
    <mergeCell ref="D470:D471"/>
    <mergeCell ref="D472:D473"/>
    <mergeCell ref="D474:D475"/>
    <mergeCell ref="D482:D483"/>
    <mergeCell ref="D484:D485"/>
    <mergeCell ref="D486:D487"/>
    <mergeCell ref="D488:D489"/>
    <mergeCell ref="F488:F489"/>
    <mergeCell ref="F490:F491"/>
    <mergeCell ref="F492:F493"/>
    <mergeCell ref="F494:F495"/>
    <mergeCell ref="F496:F497"/>
    <mergeCell ref="F498:F499"/>
    <mergeCell ref="D490:D491"/>
    <mergeCell ref="D492:D493"/>
    <mergeCell ref="D494:D495"/>
    <mergeCell ref="D496:D497"/>
    <mergeCell ref="D498:D499"/>
    <mergeCell ref="D500:D501"/>
    <mergeCell ref="D503:D504"/>
    <mergeCell ref="F515:F516"/>
    <mergeCell ref="F517:F518"/>
    <mergeCell ref="F519:F520"/>
    <mergeCell ref="F521:F522"/>
    <mergeCell ref="F500:F501"/>
    <mergeCell ref="F503:F504"/>
    <mergeCell ref="F505:F506"/>
    <mergeCell ref="F507:F508"/>
    <mergeCell ref="F509:F510"/>
    <mergeCell ref="F511:F512"/>
    <mergeCell ref="F513:F514"/>
    <mergeCell ref="D562:D563"/>
    <mergeCell ref="D564:D565"/>
    <mergeCell ref="D566:D567"/>
    <mergeCell ref="D547:D548"/>
    <mergeCell ref="D549:D550"/>
    <mergeCell ref="D551:D552"/>
    <mergeCell ref="D558:D559"/>
    <mergeCell ref="D560:D561"/>
    <mergeCell ref="F560:F561"/>
    <mergeCell ref="F562:F563"/>
    <mergeCell ref="B529:B530"/>
    <mergeCell ref="B531:B532"/>
    <mergeCell ref="B533:B534"/>
    <mergeCell ref="B540:B541"/>
    <mergeCell ref="B542:B543"/>
    <mergeCell ref="B545:B546"/>
    <mergeCell ref="B547:B548"/>
    <mergeCell ref="B549:B550"/>
    <mergeCell ref="B551:B552"/>
    <mergeCell ref="B558:B559"/>
    <mergeCell ref="B560:B561"/>
    <mergeCell ref="B562:B563"/>
    <mergeCell ref="B564:B565"/>
    <mergeCell ref="B566:B567"/>
    <mergeCell ref="B498:B499"/>
    <mergeCell ref="B500:B501"/>
    <mergeCell ref="B503:B504"/>
    <mergeCell ref="B505:B506"/>
    <mergeCell ref="B507:B508"/>
    <mergeCell ref="B509:B510"/>
    <mergeCell ref="B511:B512"/>
    <mergeCell ref="B513:B514"/>
    <mergeCell ref="B515:B516"/>
    <mergeCell ref="B517:B518"/>
    <mergeCell ref="B519:B520"/>
    <mergeCell ref="B521:B522"/>
    <mergeCell ref="D523:D524"/>
    <mergeCell ref="F523:F524"/>
    <mergeCell ref="B523:B524"/>
    <mergeCell ref="B525:B526"/>
    <mergeCell ref="D525:D526"/>
    <mergeCell ref="F525:F526"/>
    <mergeCell ref="B527:B528"/>
    <mergeCell ref="F527:F528"/>
    <mergeCell ref="F529:F530"/>
    <mergeCell ref="D527:D528"/>
    <mergeCell ref="D529:D530"/>
    <mergeCell ref="D531:D532"/>
    <mergeCell ref="D533:D534"/>
    <mergeCell ref="D540:D541"/>
    <mergeCell ref="D542:D543"/>
    <mergeCell ref="D545:D546"/>
    <mergeCell ref="F564:F565"/>
    <mergeCell ref="F566:F567"/>
    <mergeCell ref="D568:D569"/>
    <mergeCell ref="F568:F569"/>
    <mergeCell ref="B568:B569"/>
    <mergeCell ref="B576:B577"/>
    <mergeCell ref="D576:D577"/>
    <mergeCell ref="F576:F577"/>
    <mergeCell ref="D579:D580"/>
    <mergeCell ref="F579:F580"/>
    <mergeCell ref="B579:B580"/>
    <mergeCell ref="B581:B582"/>
    <mergeCell ref="D581:D582"/>
    <mergeCell ref="F581:F582"/>
    <mergeCell ref="D237:D238"/>
    <mergeCell ref="D239:D240"/>
    <mergeCell ref="B241:B242"/>
    <mergeCell ref="D241:D242"/>
    <mergeCell ref="F241:F242"/>
    <mergeCell ref="D243:D244"/>
    <mergeCell ref="F243:F244"/>
    <mergeCell ref="B243:B244"/>
    <mergeCell ref="B245:B246"/>
    <mergeCell ref="D245:D246"/>
    <mergeCell ref="F245:F246"/>
    <mergeCell ref="B247:B248"/>
    <mergeCell ref="F247:F248"/>
    <mergeCell ref="F249:F250"/>
    <mergeCell ref="H1:I1"/>
    <mergeCell ref="J1:K1"/>
    <mergeCell ref="L1:M1"/>
    <mergeCell ref="N1:N2"/>
    <mergeCell ref="A1:A2"/>
    <mergeCell ref="B1:B2"/>
    <mergeCell ref="C1:C2"/>
    <mergeCell ref="D1:D2"/>
    <mergeCell ref="E1:E2"/>
    <mergeCell ref="F1:F2"/>
    <mergeCell ref="G1:G2"/>
    <mergeCell ref="L237:L238"/>
    <mergeCell ref="M237:M238"/>
    <mergeCell ref="B237:B238"/>
    <mergeCell ref="F237:F238"/>
    <mergeCell ref="H237:H238"/>
    <mergeCell ref="I237:I238"/>
    <mergeCell ref="J237:J238"/>
    <mergeCell ref="K237:K238"/>
    <mergeCell ref="B239:B240"/>
    <mergeCell ref="F239:F240"/>
    <mergeCell ref="D247:D248"/>
    <mergeCell ref="D249:D250"/>
    <mergeCell ref="D251:D252"/>
    <mergeCell ref="D253:D254"/>
    <mergeCell ref="D255:D256"/>
    <mergeCell ref="D257:D258"/>
    <mergeCell ref="D259:D260"/>
    <mergeCell ref="F251:F252"/>
    <mergeCell ref="F253:F254"/>
    <mergeCell ref="F255:F256"/>
    <mergeCell ref="F257:F258"/>
    <mergeCell ref="F259:F260"/>
    <mergeCell ref="F261:F262"/>
    <mergeCell ref="F263:F264"/>
    <mergeCell ref="F279:F280"/>
    <mergeCell ref="F281:F282"/>
    <mergeCell ref="F284:F285"/>
    <mergeCell ref="F286:F287"/>
    <mergeCell ref="F288:F289"/>
    <mergeCell ref="F290:F291"/>
    <mergeCell ref="F265:F266"/>
    <mergeCell ref="F267:F268"/>
    <mergeCell ref="F269:F270"/>
    <mergeCell ref="F271:F272"/>
    <mergeCell ref="F273:F274"/>
    <mergeCell ref="F275:F276"/>
    <mergeCell ref="F277:F278"/>
    <mergeCell ref="D261:D262"/>
    <mergeCell ref="D263:D264"/>
    <mergeCell ref="D265:D266"/>
    <mergeCell ref="D267:D268"/>
    <mergeCell ref="D269:D270"/>
    <mergeCell ref="D271:D272"/>
    <mergeCell ref="D273:D274"/>
    <mergeCell ref="D275:D276"/>
    <mergeCell ref="D277:D278"/>
    <mergeCell ref="D279:D280"/>
    <mergeCell ref="D281:D282"/>
    <mergeCell ref="D284:D285"/>
    <mergeCell ref="D286:D287"/>
    <mergeCell ref="D288:D289"/>
    <mergeCell ref="D290:D291"/>
    <mergeCell ref="D292:D293"/>
    <mergeCell ref="D294:D295"/>
    <mergeCell ref="D296:D297"/>
    <mergeCell ref="D298:D299"/>
    <mergeCell ref="D300:D301"/>
    <mergeCell ref="D302:D303"/>
    <mergeCell ref="F300:F301"/>
    <mergeCell ref="F302:F303"/>
    <mergeCell ref="F306:F307"/>
    <mergeCell ref="F308:F309"/>
    <mergeCell ref="F310:F311"/>
    <mergeCell ref="F312:F313"/>
    <mergeCell ref="F314:F315"/>
    <mergeCell ref="D306:D307"/>
    <mergeCell ref="D308:D309"/>
    <mergeCell ref="D310:D311"/>
    <mergeCell ref="D312:D313"/>
    <mergeCell ref="D314:D315"/>
    <mergeCell ref="D316:D317"/>
    <mergeCell ref="D318:D319"/>
    <mergeCell ref="F316:F317"/>
    <mergeCell ref="F318:F319"/>
    <mergeCell ref="F320:F321"/>
    <mergeCell ref="F322:F323"/>
    <mergeCell ref="F324:F325"/>
    <mergeCell ref="F326:F327"/>
    <mergeCell ref="F328:F329"/>
    <mergeCell ref="F330:F331"/>
    <mergeCell ref="F336:F339"/>
    <mergeCell ref="F340:F341"/>
    <mergeCell ref="F342:F343"/>
    <mergeCell ref="F344:F345"/>
    <mergeCell ref="F346:F347"/>
    <mergeCell ref="F348:F349"/>
    <mergeCell ref="B249:B250"/>
    <mergeCell ref="B251:B252"/>
    <mergeCell ref="B253:B254"/>
    <mergeCell ref="B255:B256"/>
    <mergeCell ref="B257:B258"/>
    <mergeCell ref="B259:B260"/>
    <mergeCell ref="B261:B262"/>
    <mergeCell ref="B263:B264"/>
    <mergeCell ref="B265:B266"/>
    <mergeCell ref="B267:B268"/>
    <mergeCell ref="B269:B270"/>
    <mergeCell ref="B271:B272"/>
    <mergeCell ref="B273:B274"/>
    <mergeCell ref="B275:B276"/>
    <mergeCell ref="B277:B278"/>
    <mergeCell ref="B279:B280"/>
    <mergeCell ref="B281:B282"/>
    <mergeCell ref="A284:A285"/>
    <mergeCell ref="B284:B285"/>
    <mergeCell ref="A286:A287"/>
    <mergeCell ref="B286:B287"/>
    <mergeCell ref="A288:A289"/>
    <mergeCell ref="B288:B289"/>
    <mergeCell ref="A290:A291"/>
    <mergeCell ref="B290:B291"/>
    <mergeCell ref="A292:A293"/>
    <mergeCell ref="B292:B293"/>
    <mergeCell ref="B294:B295"/>
    <mergeCell ref="A385:A386"/>
    <mergeCell ref="A387:A388"/>
    <mergeCell ref="A389:A390"/>
    <mergeCell ref="A391:A392"/>
    <mergeCell ref="A294:A295"/>
    <mergeCell ref="A296:A297"/>
    <mergeCell ref="A298:A299"/>
    <mergeCell ref="A300:A301"/>
    <mergeCell ref="A302:A303"/>
    <mergeCell ref="A381:A382"/>
    <mergeCell ref="A383:A384"/>
    <mergeCell ref="B296:B297"/>
    <mergeCell ref="B298:B299"/>
    <mergeCell ref="B300:B301"/>
    <mergeCell ref="B302:B303"/>
    <mergeCell ref="B381:B382"/>
    <mergeCell ref="B383:B384"/>
    <mergeCell ref="B385:B386"/>
    <mergeCell ref="D320:D321"/>
    <mergeCell ref="D322:D323"/>
    <mergeCell ref="D324:D325"/>
    <mergeCell ref="D326:D327"/>
    <mergeCell ref="D328:D329"/>
    <mergeCell ref="D330:D331"/>
    <mergeCell ref="D336:D339"/>
    <mergeCell ref="D340:D341"/>
    <mergeCell ref="D342:D343"/>
    <mergeCell ref="D344:D345"/>
    <mergeCell ref="D346:D347"/>
    <mergeCell ref="D348:D349"/>
    <mergeCell ref="D350:D351"/>
    <mergeCell ref="D352:D353"/>
    <mergeCell ref="D354:D355"/>
    <mergeCell ref="D357:D359"/>
    <mergeCell ref="D360:D361"/>
    <mergeCell ref="D362:D364"/>
    <mergeCell ref="D365:D367"/>
    <mergeCell ref="D368:D370"/>
    <mergeCell ref="D371:D373"/>
    <mergeCell ref="D374:D376"/>
    <mergeCell ref="D377:D378"/>
    <mergeCell ref="D379:D380"/>
    <mergeCell ref="D381:D382"/>
    <mergeCell ref="D383:D384"/>
    <mergeCell ref="D385:D386"/>
    <mergeCell ref="D387:D388"/>
    <mergeCell ref="D389:D390"/>
    <mergeCell ref="D391:D392"/>
    <mergeCell ref="D395:D396"/>
    <mergeCell ref="D397:D398"/>
    <mergeCell ref="D399:D400"/>
    <mergeCell ref="D401:D402"/>
    <mergeCell ref="D403:D404"/>
    <mergeCell ref="D405:D406"/>
    <mergeCell ref="D407:D408"/>
    <mergeCell ref="D409:D410"/>
    <mergeCell ref="D411:D412"/>
    <mergeCell ref="D413:D414"/>
    <mergeCell ref="D415:D416"/>
    <mergeCell ref="D417:D418"/>
    <mergeCell ref="D419:D420"/>
    <mergeCell ref="D421:D422"/>
    <mergeCell ref="D423:D424"/>
    <mergeCell ref="D425:D426"/>
    <mergeCell ref="D427:D428"/>
    <mergeCell ref="D429:D430"/>
    <mergeCell ref="D431:D432"/>
    <mergeCell ref="B387:B388"/>
    <mergeCell ref="B389:B390"/>
    <mergeCell ref="B391:B392"/>
    <mergeCell ref="B395:B396"/>
    <mergeCell ref="B397:B398"/>
    <mergeCell ref="B399:B400"/>
    <mergeCell ref="B401:B402"/>
    <mergeCell ref="B403:B404"/>
    <mergeCell ref="B405:B406"/>
    <mergeCell ref="B407:B408"/>
    <mergeCell ref="C407:C408"/>
    <mergeCell ref="B409:B410"/>
    <mergeCell ref="B411:B412"/>
    <mergeCell ref="B413:B414"/>
    <mergeCell ref="B415:B416"/>
    <mergeCell ref="B417:B418"/>
    <mergeCell ref="B419:B420"/>
    <mergeCell ref="B421:B422"/>
    <mergeCell ref="B423:B424"/>
    <mergeCell ref="B425:B426"/>
    <mergeCell ref="B427:B428"/>
    <mergeCell ref="B429:B430"/>
    <mergeCell ref="B431:B432"/>
    <mergeCell ref="B433:B434"/>
    <mergeCell ref="B435:B436"/>
    <mergeCell ref="B437:B438"/>
    <mergeCell ref="B439:B440"/>
    <mergeCell ref="B441:B442"/>
    <mergeCell ref="B443:B445"/>
    <mergeCell ref="B452:B453"/>
    <mergeCell ref="B454:B455"/>
    <mergeCell ref="B456:B457"/>
    <mergeCell ref="B458:B459"/>
    <mergeCell ref="B460:B461"/>
    <mergeCell ref="B462:B463"/>
    <mergeCell ref="B464:B465"/>
    <mergeCell ref="B466:B467"/>
    <mergeCell ref="B468:B469"/>
    <mergeCell ref="B470:B471"/>
    <mergeCell ref="B472:B473"/>
    <mergeCell ref="B474:B475"/>
    <mergeCell ref="B482:B483"/>
    <mergeCell ref="B484:B485"/>
    <mergeCell ref="B486:B487"/>
    <mergeCell ref="B488:B489"/>
    <mergeCell ref="B490:B491"/>
    <mergeCell ref="B492:B493"/>
    <mergeCell ref="B494:B495"/>
    <mergeCell ref="B496:B497"/>
    <mergeCell ref="F551:F552"/>
    <mergeCell ref="F558:F559"/>
    <mergeCell ref="F531:F532"/>
    <mergeCell ref="F533:F534"/>
    <mergeCell ref="F540:F541"/>
    <mergeCell ref="F542:F543"/>
    <mergeCell ref="F545:F546"/>
    <mergeCell ref="F547:F548"/>
    <mergeCell ref="F549:F55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35.43"/>
    <col customWidth="1" min="5" max="5" width="21.86"/>
    <col customWidth="1" min="6" max="6" width="16.71"/>
    <col customWidth="1" min="7" max="8" width="12.43"/>
    <col customWidth="1" min="9" max="9" width="11.14"/>
    <col customWidth="1" min="10" max="15" width="13.0"/>
    <col customWidth="1" min="16" max="16" width="29.14"/>
    <col customWidth="1" min="17" max="17" width="13.57"/>
    <col customWidth="1" min="18" max="18" width="15.14"/>
    <col customWidth="1" min="19" max="19" width="43.0"/>
    <col customWidth="1" min="20" max="27" width="9.86"/>
  </cols>
  <sheetData>
    <row r="1" ht="14.25" customHeight="1">
      <c r="A1" s="497" t="s">
        <v>1740</v>
      </c>
      <c r="B1" s="217" t="s">
        <v>555</v>
      </c>
      <c r="C1" s="2" t="s">
        <v>2</v>
      </c>
      <c r="D1" s="2" t="s">
        <v>3</v>
      </c>
      <c r="E1" s="2" t="s">
        <v>4</v>
      </c>
      <c r="F1" s="218" t="s">
        <v>3009</v>
      </c>
      <c r="G1" s="498" t="s">
        <v>7</v>
      </c>
      <c r="H1" s="499" t="s">
        <v>3010</v>
      </c>
      <c r="I1" s="498" t="s">
        <v>7</v>
      </c>
      <c r="J1" s="5" t="s">
        <v>8</v>
      </c>
      <c r="K1" s="6"/>
      <c r="L1" s="7" t="s">
        <v>9</v>
      </c>
      <c r="M1" s="6"/>
      <c r="N1" s="8" t="s">
        <v>10</v>
      </c>
      <c r="O1" s="6"/>
      <c r="P1" s="219" t="s">
        <v>11</v>
      </c>
      <c r="Q1" s="10"/>
      <c r="R1" s="11"/>
      <c r="S1" s="11"/>
      <c r="T1" s="11"/>
      <c r="U1" s="11"/>
      <c r="V1" s="11"/>
      <c r="W1" s="11"/>
      <c r="X1" s="11"/>
      <c r="Y1" s="11"/>
      <c r="Z1" s="11"/>
      <c r="AA1" s="11"/>
    </row>
    <row r="2" ht="31.5" customHeight="1">
      <c r="A2" s="500"/>
      <c r="B2" s="12"/>
      <c r="C2" s="13"/>
      <c r="D2" s="13"/>
      <c r="E2" s="13"/>
      <c r="F2" s="13"/>
      <c r="G2" s="14"/>
      <c r="H2" s="501"/>
      <c r="I2" s="14"/>
      <c r="J2" s="15" t="s">
        <v>3011</v>
      </c>
      <c r="K2" s="16" t="s">
        <v>3012</v>
      </c>
      <c r="L2" s="17" t="s">
        <v>3013</v>
      </c>
      <c r="M2" s="18" t="s">
        <v>3014</v>
      </c>
      <c r="N2" s="19" t="s">
        <v>3015</v>
      </c>
      <c r="O2" s="20" t="s">
        <v>3016</v>
      </c>
      <c r="P2" s="220"/>
      <c r="Q2" s="10"/>
      <c r="R2" s="11"/>
      <c r="S2" s="11"/>
      <c r="T2" s="11"/>
      <c r="U2" s="11"/>
      <c r="V2" s="11"/>
      <c r="W2" s="11"/>
      <c r="X2" s="11"/>
      <c r="Y2" s="11"/>
      <c r="Z2" s="11"/>
      <c r="AA2" s="11"/>
    </row>
    <row r="3" ht="14.25" customHeight="1">
      <c r="A3" s="221"/>
      <c r="B3" s="502"/>
      <c r="C3" s="503" t="s">
        <v>3017</v>
      </c>
      <c r="D3" s="504" t="s">
        <v>3018</v>
      </c>
      <c r="E3" s="504"/>
      <c r="F3" s="505">
        <v>970.0</v>
      </c>
      <c r="G3" s="506">
        <v>45264.0</v>
      </c>
      <c r="H3" s="507">
        <v>930.0</v>
      </c>
      <c r="I3" s="506">
        <v>45264.0</v>
      </c>
      <c r="J3" s="29">
        <f t="shared" ref="J3:J329" si="1">F3*0.5+F3</f>
        <v>1455</v>
      </c>
      <c r="K3" s="30">
        <f t="shared" ref="K3:K329" si="2">F3*0.3+F3</f>
        <v>1261</v>
      </c>
      <c r="L3" s="31">
        <f t="shared" ref="L3:L329" si="3">F3*0.3+F3</f>
        <v>1261</v>
      </c>
      <c r="M3" s="32">
        <f t="shared" ref="M3:M329" si="4">F3*0.2+F3</f>
        <v>1164</v>
      </c>
      <c r="N3" s="31">
        <f t="shared" ref="N3:N329" si="5">F3*0.15+F3</f>
        <v>1115.5</v>
      </c>
      <c r="O3" s="32">
        <f t="shared" ref="O3:O329" si="6">F3*0.1+F3</f>
        <v>1067</v>
      </c>
      <c r="P3" s="84" t="s">
        <v>3019</v>
      </c>
      <c r="Q3" s="35"/>
      <c r="R3" s="35"/>
      <c r="S3" s="35"/>
      <c r="T3" s="35"/>
      <c r="U3" s="35"/>
      <c r="V3" s="35"/>
      <c r="W3" s="35"/>
      <c r="X3" s="35"/>
      <c r="Y3" s="35"/>
      <c r="Z3" s="35"/>
      <c r="AA3" s="35"/>
    </row>
    <row r="4" ht="14.25" customHeight="1">
      <c r="A4" s="221"/>
      <c r="B4" s="222"/>
      <c r="C4" s="508" t="s">
        <v>3017</v>
      </c>
      <c r="D4" s="504" t="s">
        <v>3020</v>
      </c>
      <c r="E4" s="223"/>
      <c r="F4" s="509">
        <v>1950.0</v>
      </c>
      <c r="G4" s="506">
        <v>44927.0</v>
      </c>
      <c r="H4" s="507">
        <v>1330.0</v>
      </c>
      <c r="I4" s="506">
        <v>45264.0</v>
      </c>
      <c r="J4" s="36">
        <f t="shared" si="1"/>
        <v>2925</v>
      </c>
      <c r="K4" s="37">
        <f t="shared" si="2"/>
        <v>2535</v>
      </c>
      <c r="L4" s="38">
        <f t="shared" si="3"/>
        <v>2535</v>
      </c>
      <c r="M4" s="39">
        <f t="shared" si="4"/>
        <v>2340</v>
      </c>
      <c r="N4" s="38">
        <f t="shared" si="5"/>
        <v>2242.5</v>
      </c>
      <c r="O4" s="39">
        <f t="shared" si="6"/>
        <v>2145</v>
      </c>
      <c r="P4" s="84" t="s">
        <v>3019</v>
      </c>
      <c r="Q4" s="34"/>
      <c r="R4" s="35"/>
      <c r="S4" s="35"/>
      <c r="T4" s="35"/>
      <c r="U4" s="35"/>
      <c r="V4" s="35"/>
      <c r="W4" s="35"/>
      <c r="X4" s="35"/>
      <c r="Y4" s="35"/>
      <c r="Z4" s="35"/>
      <c r="AA4" s="35"/>
    </row>
    <row r="5" ht="14.25" customHeight="1">
      <c r="A5" s="221"/>
      <c r="B5" s="222"/>
      <c r="C5" s="508" t="s">
        <v>3021</v>
      </c>
      <c r="D5" s="223" t="s">
        <v>3022</v>
      </c>
      <c r="E5" s="223"/>
      <c r="F5" s="509">
        <v>3120.0</v>
      </c>
      <c r="G5" s="506">
        <v>44927.0</v>
      </c>
      <c r="H5" s="507"/>
      <c r="I5" s="506"/>
      <c r="J5" s="36">
        <f t="shared" si="1"/>
        <v>4680</v>
      </c>
      <c r="K5" s="37">
        <f t="shared" si="2"/>
        <v>4056</v>
      </c>
      <c r="L5" s="38">
        <f t="shared" si="3"/>
        <v>4056</v>
      </c>
      <c r="M5" s="39">
        <f t="shared" si="4"/>
        <v>3744</v>
      </c>
      <c r="N5" s="38">
        <f t="shared" si="5"/>
        <v>3588</v>
      </c>
      <c r="O5" s="39">
        <f t="shared" si="6"/>
        <v>3432</v>
      </c>
      <c r="P5" s="84" t="s">
        <v>3019</v>
      </c>
      <c r="Q5" s="34"/>
      <c r="R5" s="35"/>
      <c r="S5" s="35"/>
      <c r="T5" s="35"/>
      <c r="U5" s="35"/>
      <c r="V5" s="35"/>
      <c r="W5" s="35"/>
      <c r="X5" s="35"/>
      <c r="Y5" s="35"/>
      <c r="Z5" s="35"/>
      <c r="AA5" s="35"/>
    </row>
    <row r="6" ht="14.25" customHeight="1">
      <c r="A6" s="221"/>
      <c r="B6" s="117"/>
      <c r="C6" s="510" t="s">
        <v>3023</v>
      </c>
      <c r="D6" s="223" t="s">
        <v>3024</v>
      </c>
      <c r="E6" s="223"/>
      <c r="F6" s="509">
        <v>1000.0</v>
      </c>
      <c r="G6" s="506">
        <v>44927.0</v>
      </c>
      <c r="H6" s="507">
        <v>830.0</v>
      </c>
      <c r="I6" s="506">
        <v>45264.0</v>
      </c>
      <c r="J6" s="36">
        <f t="shared" si="1"/>
        <v>1500</v>
      </c>
      <c r="K6" s="37">
        <f t="shared" si="2"/>
        <v>1300</v>
      </c>
      <c r="L6" s="38">
        <f t="shared" si="3"/>
        <v>1300</v>
      </c>
      <c r="M6" s="39">
        <f t="shared" si="4"/>
        <v>1200</v>
      </c>
      <c r="N6" s="38">
        <f t="shared" si="5"/>
        <v>1150</v>
      </c>
      <c r="O6" s="39">
        <f t="shared" si="6"/>
        <v>1100</v>
      </c>
      <c r="P6" s="84" t="s">
        <v>3019</v>
      </c>
      <c r="Q6" s="34"/>
      <c r="R6" s="35"/>
      <c r="S6" s="35"/>
      <c r="T6" s="35"/>
      <c r="U6" s="35"/>
      <c r="V6" s="35"/>
      <c r="W6" s="35"/>
      <c r="X6" s="35"/>
      <c r="Y6" s="35"/>
      <c r="Z6" s="35"/>
      <c r="AA6" s="35"/>
    </row>
    <row r="7" ht="14.25" customHeight="1">
      <c r="A7" s="221"/>
      <c r="B7" s="117"/>
      <c r="C7" s="510" t="s">
        <v>3025</v>
      </c>
      <c r="D7" s="212" t="s">
        <v>3026</v>
      </c>
      <c r="E7" s="511"/>
      <c r="F7" s="512">
        <v>2270.0</v>
      </c>
      <c r="G7" s="506">
        <v>44927.0</v>
      </c>
      <c r="H7" s="507"/>
      <c r="I7" s="506"/>
      <c r="J7" s="36">
        <f t="shared" si="1"/>
        <v>3405</v>
      </c>
      <c r="K7" s="37">
        <f t="shared" si="2"/>
        <v>2951</v>
      </c>
      <c r="L7" s="38">
        <f t="shared" si="3"/>
        <v>2951</v>
      </c>
      <c r="M7" s="39">
        <f t="shared" si="4"/>
        <v>2724</v>
      </c>
      <c r="N7" s="38">
        <f t="shared" si="5"/>
        <v>2610.5</v>
      </c>
      <c r="O7" s="39">
        <f t="shared" si="6"/>
        <v>2497</v>
      </c>
      <c r="P7" s="84" t="s">
        <v>3019</v>
      </c>
      <c r="Q7" s="34"/>
      <c r="R7" s="35"/>
      <c r="S7" s="35"/>
      <c r="T7" s="35"/>
      <c r="U7" s="35"/>
      <c r="V7" s="35"/>
      <c r="W7" s="35"/>
      <c r="X7" s="35"/>
      <c r="Y7" s="35"/>
      <c r="Z7" s="35"/>
      <c r="AA7" s="35"/>
    </row>
    <row r="8" ht="14.25" customHeight="1">
      <c r="A8" s="221"/>
      <c r="B8" s="222"/>
      <c r="C8" s="508" t="s">
        <v>3027</v>
      </c>
      <c r="D8" s="212" t="s">
        <v>3028</v>
      </c>
      <c r="E8" s="511"/>
      <c r="F8" s="512">
        <v>2870.0</v>
      </c>
      <c r="G8" s="506">
        <v>44927.0</v>
      </c>
      <c r="H8" s="507">
        <v>2000.0</v>
      </c>
      <c r="I8" s="506">
        <v>45264.0</v>
      </c>
      <c r="J8" s="36">
        <f t="shared" si="1"/>
        <v>4305</v>
      </c>
      <c r="K8" s="37">
        <f t="shared" si="2"/>
        <v>3731</v>
      </c>
      <c r="L8" s="38">
        <f t="shared" si="3"/>
        <v>3731</v>
      </c>
      <c r="M8" s="39">
        <f t="shared" si="4"/>
        <v>3444</v>
      </c>
      <c r="N8" s="38">
        <f t="shared" si="5"/>
        <v>3300.5</v>
      </c>
      <c r="O8" s="39">
        <f t="shared" si="6"/>
        <v>3157</v>
      </c>
      <c r="P8" s="84" t="s">
        <v>3019</v>
      </c>
      <c r="Q8" s="34"/>
      <c r="R8" s="35"/>
      <c r="S8" s="35"/>
      <c r="T8" s="35"/>
      <c r="U8" s="35"/>
      <c r="V8" s="35"/>
      <c r="W8" s="35"/>
      <c r="X8" s="35"/>
      <c r="Y8" s="35"/>
      <c r="Z8" s="35"/>
      <c r="AA8" s="35"/>
    </row>
    <row r="9" ht="14.25" customHeight="1">
      <c r="A9" s="221"/>
      <c r="B9" s="222"/>
      <c r="C9" s="508" t="s">
        <v>3029</v>
      </c>
      <c r="D9" s="513" t="s">
        <v>3030</v>
      </c>
      <c r="E9" s="511"/>
      <c r="F9" s="512">
        <v>1670.0</v>
      </c>
      <c r="G9" s="506">
        <v>44927.0</v>
      </c>
      <c r="H9" s="507">
        <v>1320.0</v>
      </c>
      <c r="I9" s="506">
        <v>45264.0</v>
      </c>
      <c r="J9" s="36">
        <f t="shared" si="1"/>
        <v>2505</v>
      </c>
      <c r="K9" s="37">
        <f t="shared" si="2"/>
        <v>2171</v>
      </c>
      <c r="L9" s="38">
        <f t="shared" si="3"/>
        <v>2171</v>
      </c>
      <c r="M9" s="39">
        <f t="shared" si="4"/>
        <v>2004</v>
      </c>
      <c r="N9" s="38">
        <f t="shared" si="5"/>
        <v>1920.5</v>
      </c>
      <c r="O9" s="39">
        <f t="shared" si="6"/>
        <v>1837</v>
      </c>
      <c r="P9" s="84" t="s">
        <v>3019</v>
      </c>
      <c r="Q9" s="34"/>
      <c r="R9" s="35"/>
      <c r="S9" s="35"/>
      <c r="T9" s="35"/>
      <c r="U9" s="35"/>
      <c r="V9" s="35"/>
      <c r="W9" s="35"/>
      <c r="X9" s="35"/>
      <c r="Y9" s="35"/>
      <c r="Z9" s="35"/>
      <c r="AA9" s="35"/>
    </row>
    <row r="10" ht="14.25" customHeight="1">
      <c r="A10" s="221"/>
      <c r="B10" s="222"/>
      <c r="C10" s="508" t="s">
        <v>3031</v>
      </c>
      <c r="D10" s="513" t="s">
        <v>3032</v>
      </c>
      <c r="E10" s="511"/>
      <c r="F10" s="512">
        <v>1950.0</v>
      </c>
      <c r="G10" s="506">
        <v>44927.0</v>
      </c>
      <c r="H10" s="507"/>
      <c r="I10" s="506"/>
      <c r="J10" s="36">
        <f t="shared" si="1"/>
        <v>2925</v>
      </c>
      <c r="K10" s="37">
        <f t="shared" si="2"/>
        <v>2535</v>
      </c>
      <c r="L10" s="38">
        <f t="shared" si="3"/>
        <v>2535</v>
      </c>
      <c r="M10" s="39">
        <f t="shared" si="4"/>
        <v>2340</v>
      </c>
      <c r="N10" s="38">
        <f t="shared" si="5"/>
        <v>2242.5</v>
      </c>
      <c r="O10" s="39">
        <f t="shared" si="6"/>
        <v>2145</v>
      </c>
      <c r="P10" s="84" t="s">
        <v>3019</v>
      </c>
      <c r="Q10" s="34"/>
      <c r="R10" s="35"/>
      <c r="S10" s="35"/>
      <c r="T10" s="35"/>
      <c r="U10" s="35"/>
      <c r="V10" s="35"/>
      <c r="W10" s="35"/>
      <c r="X10" s="35"/>
      <c r="Y10" s="35"/>
      <c r="Z10" s="35"/>
      <c r="AA10" s="35"/>
    </row>
    <row r="11" ht="14.25" customHeight="1">
      <c r="A11" s="221"/>
      <c r="B11" s="222"/>
      <c r="C11" s="508" t="s">
        <v>3033</v>
      </c>
      <c r="D11" s="513" t="s">
        <v>3034</v>
      </c>
      <c r="E11" s="511"/>
      <c r="F11" s="512">
        <v>4250.0</v>
      </c>
      <c r="G11" s="506">
        <v>44927.0</v>
      </c>
      <c r="H11" s="507">
        <v>3650.0</v>
      </c>
      <c r="I11" s="506">
        <v>45264.0</v>
      </c>
      <c r="J11" s="36">
        <f t="shared" si="1"/>
        <v>6375</v>
      </c>
      <c r="K11" s="37">
        <f t="shared" si="2"/>
        <v>5525</v>
      </c>
      <c r="L11" s="38">
        <f t="shared" si="3"/>
        <v>5525</v>
      </c>
      <c r="M11" s="39">
        <f t="shared" si="4"/>
        <v>5100</v>
      </c>
      <c r="N11" s="38">
        <f t="shared" si="5"/>
        <v>4887.5</v>
      </c>
      <c r="O11" s="39">
        <f t="shared" si="6"/>
        <v>4675</v>
      </c>
      <c r="P11" s="84" t="s">
        <v>3019</v>
      </c>
      <c r="Q11" s="34"/>
      <c r="R11" s="35"/>
      <c r="S11" s="35"/>
      <c r="T11" s="35"/>
      <c r="U11" s="35"/>
      <c r="V11" s="35"/>
      <c r="W11" s="35"/>
      <c r="X11" s="35"/>
      <c r="Y11" s="35"/>
      <c r="Z11" s="35"/>
      <c r="AA11" s="35"/>
    </row>
    <row r="12" ht="14.25" customHeight="1">
      <c r="A12" s="221"/>
      <c r="B12" s="222"/>
      <c r="C12" s="508" t="s">
        <v>3035</v>
      </c>
      <c r="D12" s="513" t="s">
        <v>3036</v>
      </c>
      <c r="E12" s="511"/>
      <c r="F12" s="512">
        <v>5700.0</v>
      </c>
      <c r="G12" s="506">
        <v>44927.0</v>
      </c>
      <c r="H12" s="507">
        <v>5250.0</v>
      </c>
      <c r="I12" s="506">
        <v>45264.0</v>
      </c>
      <c r="J12" s="36">
        <f t="shared" si="1"/>
        <v>8550</v>
      </c>
      <c r="K12" s="37">
        <f t="shared" si="2"/>
        <v>7410</v>
      </c>
      <c r="L12" s="38">
        <f t="shared" si="3"/>
        <v>7410</v>
      </c>
      <c r="M12" s="39">
        <f t="shared" si="4"/>
        <v>6840</v>
      </c>
      <c r="N12" s="38">
        <f t="shared" si="5"/>
        <v>6555</v>
      </c>
      <c r="O12" s="39">
        <f t="shared" si="6"/>
        <v>6270</v>
      </c>
      <c r="P12" s="84" t="s">
        <v>3019</v>
      </c>
      <c r="Q12" s="34"/>
      <c r="R12" s="35"/>
      <c r="S12" s="35"/>
      <c r="T12" s="35"/>
      <c r="U12" s="35"/>
      <c r="V12" s="35"/>
      <c r="W12" s="35"/>
      <c r="X12" s="35"/>
      <c r="Y12" s="35"/>
      <c r="Z12" s="35"/>
      <c r="AA12" s="35"/>
    </row>
    <row r="13" ht="14.25" customHeight="1">
      <c r="A13" s="221"/>
      <c r="B13" s="222"/>
      <c r="C13" s="508" t="s">
        <v>3037</v>
      </c>
      <c r="D13" s="514" t="s">
        <v>3038</v>
      </c>
      <c r="E13" s="511"/>
      <c r="F13" s="512">
        <v>4100.0</v>
      </c>
      <c r="G13" s="506">
        <v>44927.0</v>
      </c>
      <c r="H13" s="507"/>
      <c r="I13" s="506"/>
      <c r="J13" s="36">
        <f t="shared" si="1"/>
        <v>6150</v>
      </c>
      <c r="K13" s="37">
        <f t="shared" si="2"/>
        <v>5330</v>
      </c>
      <c r="L13" s="38">
        <f t="shared" si="3"/>
        <v>5330</v>
      </c>
      <c r="M13" s="39">
        <f t="shared" si="4"/>
        <v>4920</v>
      </c>
      <c r="N13" s="38">
        <f t="shared" si="5"/>
        <v>4715</v>
      </c>
      <c r="O13" s="39">
        <f t="shared" si="6"/>
        <v>4510</v>
      </c>
      <c r="P13" s="84" t="s">
        <v>3019</v>
      </c>
      <c r="Q13" s="34"/>
      <c r="R13" s="35"/>
      <c r="S13" s="35"/>
      <c r="T13" s="35"/>
      <c r="U13" s="35"/>
      <c r="V13" s="35"/>
      <c r="W13" s="35"/>
      <c r="X13" s="35"/>
      <c r="Y13" s="35"/>
      <c r="Z13" s="35"/>
      <c r="AA13" s="35"/>
    </row>
    <row r="14" ht="14.25" customHeight="1">
      <c r="A14" s="221"/>
      <c r="B14" s="222"/>
      <c r="C14" s="508" t="s">
        <v>3039</v>
      </c>
      <c r="D14" s="212" t="s">
        <v>3040</v>
      </c>
      <c r="E14" s="511"/>
      <c r="F14" s="512">
        <v>2900.0</v>
      </c>
      <c r="G14" s="506">
        <v>44927.0</v>
      </c>
      <c r="H14" s="507">
        <v>2600.0</v>
      </c>
      <c r="I14" s="506">
        <v>45264.0</v>
      </c>
      <c r="J14" s="36">
        <f t="shared" si="1"/>
        <v>4350</v>
      </c>
      <c r="K14" s="37">
        <f t="shared" si="2"/>
        <v>3770</v>
      </c>
      <c r="L14" s="38">
        <f t="shared" si="3"/>
        <v>3770</v>
      </c>
      <c r="M14" s="39">
        <f t="shared" si="4"/>
        <v>3480</v>
      </c>
      <c r="N14" s="38">
        <f t="shared" si="5"/>
        <v>3335</v>
      </c>
      <c r="O14" s="39">
        <f t="shared" si="6"/>
        <v>3190</v>
      </c>
      <c r="P14" s="84" t="s">
        <v>3019</v>
      </c>
      <c r="Q14" s="34"/>
      <c r="R14" s="35"/>
      <c r="S14" s="35"/>
      <c r="T14" s="35"/>
      <c r="U14" s="35"/>
      <c r="V14" s="35"/>
      <c r="W14" s="35"/>
      <c r="X14" s="35"/>
      <c r="Y14" s="35"/>
      <c r="Z14" s="35"/>
      <c r="AA14" s="35"/>
    </row>
    <row r="15" ht="14.25" customHeight="1">
      <c r="A15" s="221"/>
      <c r="B15" s="222"/>
      <c r="C15" s="508" t="s">
        <v>3041</v>
      </c>
      <c r="D15" s="513" t="s">
        <v>3042</v>
      </c>
      <c r="E15" s="511"/>
      <c r="F15" s="512"/>
      <c r="G15" s="515"/>
      <c r="H15" s="507">
        <v>1650.0</v>
      </c>
      <c r="I15" s="506">
        <v>45264.0</v>
      </c>
      <c r="J15" s="36">
        <f t="shared" si="1"/>
        <v>0</v>
      </c>
      <c r="K15" s="37">
        <f t="shared" si="2"/>
        <v>0</v>
      </c>
      <c r="L15" s="38">
        <f t="shared" si="3"/>
        <v>0</v>
      </c>
      <c r="M15" s="39">
        <f t="shared" si="4"/>
        <v>0</v>
      </c>
      <c r="N15" s="38">
        <f t="shared" si="5"/>
        <v>0</v>
      </c>
      <c r="O15" s="39">
        <f t="shared" si="6"/>
        <v>0</v>
      </c>
      <c r="P15" s="84"/>
      <c r="Q15" s="34"/>
      <c r="R15" s="35"/>
      <c r="S15" s="35"/>
      <c r="T15" s="35"/>
      <c r="U15" s="35"/>
      <c r="V15" s="35"/>
      <c r="W15" s="35"/>
      <c r="X15" s="35"/>
      <c r="Y15" s="35"/>
      <c r="Z15" s="35"/>
      <c r="AA15" s="35"/>
    </row>
    <row r="16" ht="14.25" customHeight="1">
      <c r="A16" s="221"/>
      <c r="B16" s="222"/>
      <c r="C16" s="508" t="s">
        <v>3029</v>
      </c>
      <c r="D16" s="514" t="s">
        <v>3043</v>
      </c>
      <c r="E16" s="511"/>
      <c r="F16" s="512"/>
      <c r="G16" s="516"/>
      <c r="H16" s="517">
        <v>1620.0</v>
      </c>
      <c r="I16" s="506">
        <v>45264.0</v>
      </c>
      <c r="J16" s="36">
        <f t="shared" si="1"/>
        <v>0</v>
      </c>
      <c r="K16" s="37">
        <f t="shared" si="2"/>
        <v>0</v>
      </c>
      <c r="L16" s="38">
        <f t="shared" si="3"/>
        <v>0</v>
      </c>
      <c r="M16" s="39">
        <f t="shared" si="4"/>
        <v>0</v>
      </c>
      <c r="N16" s="38">
        <f t="shared" si="5"/>
        <v>0</v>
      </c>
      <c r="O16" s="39">
        <f t="shared" si="6"/>
        <v>0</v>
      </c>
      <c r="P16" s="84"/>
      <c r="Q16" s="34"/>
      <c r="R16" s="35"/>
      <c r="S16" s="35"/>
      <c r="T16" s="35"/>
      <c r="U16" s="35"/>
      <c r="V16" s="35"/>
      <c r="W16" s="35"/>
      <c r="X16" s="35"/>
      <c r="Y16" s="35"/>
      <c r="Z16" s="35"/>
      <c r="AA16" s="35"/>
    </row>
    <row r="17" ht="21.75" customHeight="1">
      <c r="A17" s="221"/>
      <c r="B17" s="231"/>
      <c r="C17" s="508" t="s">
        <v>3044</v>
      </c>
      <c r="D17" s="212" t="s">
        <v>3045</v>
      </c>
      <c r="E17" s="511"/>
      <c r="F17" s="512"/>
      <c r="G17" s="516"/>
      <c r="H17" s="517">
        <v>1800.0</v>
      </c>
      <c r="I17" s="506">
        <v>45264.0</v>
      </c>
      <c r="J17" s="36">
        <f t="shared" si="1"/>
        <v>0</v>
      </c>
      <c r="K17" s="37">
        <f t="shared" si="2"/>
        <v>0</v>
      </c>
      <c r="L17" s="38">
        <f t="shared" si="3"/>
        <v>0</v>
      </c>
      <c r="M17" s="39">
        <f t="shared" si="4"/>
        <v>0</v>
      </c>
      <c r="N17" s="38">
        <f t="shared" si="5"/>
        <v>0</v>
      </c>
      <c r="O17" s="39">
        <f t="shared" si="6"/>
        <v>0</v>
      </c>
      <c r="P17" s="84"/>
      <c r="Q17" s="34"/>
      <c r="R17" s="35"/>
      <c r="S17" s="35"/>
      <c r="T17" s="35"/>
      <c r="U17" s="35"/>
      <c r="V17" s="35"/>
      <c r="W17" s="35"/>
      <c r="X17" s="35"/>
      <c r="Y17" s="35"/>
      <c r="Z17" s="35"/>
      <c r="AA17" s="35"/>
    </row>
    <row r="18" ht="24.75" customHeight="1">
      <c r="A18" s="221"/>
      <c r="B18" s="231"/>
      <c r="C18" s="508" t="s">
        <v>3044</v>
      </c>
      <c r="D18" s="212" t="s">
        <v>3046</v>
      </c>
      <c r="E18" s="511"/>
      <c r="F18" s="512"/>
      <c r="G18" s="516"/>
      <c r="H18" s="517">
        <v>2400.0</v>
      </c>
      <c r="I18" s="506">
        <v>45264.0</v>
      </c>
      <c r="J18" s="36">
        <f t="shared" si="1"/>
        <v>0</v>
      </c>
      <c r="K18" s="37">
        <f t="shared" si="2"/>
        <v>0</v>
      </c>
      <c r="L18" s="38">
        <f t="shared" si="3"/>
        <v>0</v>
      </c>
      <c r="M18" s="39">
        <f t="shared" si="4"/>
        <v>0</v>
      </c>
      <c r="N18" s="38">
        <f t="shared" si="5"/>
        <v>0</v>
      </c>
      <c r="O18" s="39">
        <f t="shared" si="6"/>
        <v>0</v>
      </c>
      <c r="P18" s="84"/>
      <c r="Q18" s="34"/>
      <c r="R18" s="35"/>
      <c r="S18" s="35"/>
      <c r="T18" s="35"/>
      <c r="U18" s="35"/>
      <c r="V18" s="35"/>
      <c r="W18" s="35"/>
      <c r="X18" s="35"/>
      <c r="Y18" s="35"/>
      <c r="Z18" s="35"/>
      <c r="AA18" s="35"/>
    </row>
    <row r="19" ht="14.25" customHeight="1">
      <c r="A19" s="221"/>
      <c r="B19" s="231"/>
      <c r="C19" s="233" t="s">
        <v>3047</v>
      </c>
      <c r="D19" s="212" t="s">
        <v>3048</v>
      </c>
      <c r="E19" s="511"/>
      <c r="F19" s="512"/>
      <c r="G19" s="516"/>
      <c r="H19" s="517">
        <v>3750.0</v>
      </c>
      <c r="I19" s="506">
        <v>45264.0</v>
      </c>
      <c r="J19" s="36">
        <f t="shared" si="1"/>
        <v>0</v>
      </c>
      <c r="K19" s="37">
        <f t="shared" si="2"/>
        <v>0</v>
      </c>
      <c r="L19" s="38">
        <f t="shared" si="3"/>
        <v>0</v>
      </c>
      <c r="M19" s="39">
        <f t="shared" si="4"/>
        <v>0</v>
      </c>
      <c r="N19" s="38">
        <f t="shared" si="5"/>
        <v>0</v>
      </c>
      <c r="O19" s="39">
        <f t="shared" si="6"/>
        <v>0</v>
      </c>
      <c r="P19" s="84"/>
      <c r="Q19" s="34"/>
      <c r="R19" s="35"/>
      <c r="S19" s="35"/>
      <c r="T19" s="35"/>
      <c r="U19" s="35"/>
      <c r="V19" s="35"/>
      <c r="W19" s="35"/>
      <c r="X19" s="35"/>
      <c r="Y19" s="35"/>
      <c r="Z19" s="35"/>
      <c r="AA19" s="35"/>
    </row>
    <row r="20" ht="14.25" customHeight="1">
      <c r="A20" s="221"/>
      <c r="B20" s="231"/>
      <c r="C20" s="233" t="s">
        <v>3049</v>
      </c>
      <c r="D20" s="212" t="s">
        <v>3050</v>
      </c>
      <c r="E20" s="511"/>
      <c r="F20" s="512"/>
      <c r="G20" s="516"/>
      <c r="H20" s="517">
        <v>3700.0</v>
      </c>
      <c r="I20" s="506">
        <v>45264.0</v>
      </c>
      <c r="J20" s="36">
        <f t="shared" si="1"/>
        <v>0</v>
      </c>
      <c r="K20" s="37">
        <f t="shared" si="2"/>
        <v>0</v>
      </c>
      <c r="L20" s="38">
        <f t="shared" si="3"/>
        <v>0</v>
      </c>
      <c r="M20" s="39">
        <f t="shared" si="4"/>
        <v>0</v>
      </c>
      <c r="N20" s="38">
        <f t="shared" si="5"/>
        <v>0</v>
      </c>
      <c r="O20" s="39">
        <f t="shared" si="6"/>
        <v>0</v>
      </c>
      <c r="P20" s="84"/>
      <c r="Q20" s="34"/>
      <c r="R20" s="35"/>
      <c r="S20" s="35"/>
      <c r="T20" s="35"/>
      <c r="U20" s="35"/>
      <c r="V20" s="35"/>
      <c r="W20" s="35"/>
      <c r="X20" s="35"/>
      <c r="Y20" s="35"/>
      <c r="Z20" s="35"/>
      <c r="AA20" s="35"/>
    </row>
    <row r="21" ht="14.25" customHeight="1">
      <c r="A21" s="221"/>
      <c r="B21" s="231"/>
      <c r="C21" s="233" t="s">
        <v>3051</v>
      </c>
      <c r="D21" s="212" t="s">
        <v>3052</v>
      </c>
      <c r="E21" s="511"/>
      <c r="F21" s="512"/>
      <c r="G21" s="516"/>
      <c r="H21" s="517">
        <v>1630.0</v>
      </c>
      <c r="I21" s="506">
        <v>45264.0</v>
      </c>
      <c r="J21" s="36">
        <f t="shared" si="1"/>
        <v>0</v>
      </c>
      <c r="K21" s="37">
        <f t="shared" si="2"/>
        <v>0</v>
      </c>
      <c r="L21" s="38">
        <f t="shared" si="3"/>
        <v>0</v>
      </c>
      <c r="M21" s="39">
        <f t="shared" si="4"/>
        <v>0</v>
      </c>
      <c r="N21" s="38">
        <f t="shared" si="5"/>
        <v>0</v>
      </c>
      <c r="O21" s="39">
        <f t="shared" si="6"/>
        <v>0</v>
      </c>
      <c r="P21" s="84"/>
      <c r="Q21" s="34"/>
      <c r="R21" s="35"/>
      <c r="S21" s="35"/>
      <c r="T21" s="35"/>
      <c r="U21" s="35"/>
      <c r="V21" s="35"/>
      <c r="W21" s="35"/>
      <c r="X21" s="35"/>
      <c r="Y21" s="35"/>
      <c r="Z21" s="35"/>
      <c r="AA21" s="35"/>
    </row>
    <row r="22" ht="14.25" customHeight="1">
      <c r="A22" s="221"/>
      <c r="B22" s="231"/>
      <c r="C22" s="233" t="s">
        <v>3053</v>
      </c>
      <c r="D22" s="212" t="s">
        <v>3054</v>
      </c>
      <c r="E22" s="511"/>
      <c r="F22" s="512"/>
      <c r="G22" s="516"/>
      <c r="H22" s="517">
        <v>3700.0</v>
      </c>
      <c r="I22" s="506">
        <v>45264.0</v>
      </c>
      <c r="J22" s="36">
        <f t="shared" si="1"/>
        <v>0</v>
      </c>
      <c r="K22" s="37">
        <f t="shared" si="2"/>
        <v>0</v>
      </c>
      <c r="L22" s="38">
        <f t="shared" si="3"/>
        <v>0</v>
      </c>
      <c r="M22" s="39">
        <f t="shared" si="4"/>
        <v>0</v>
      </c>
      <c r="N22" s="38">
        <f t="shared" si="5"/>
        <v>0</v>
      </c>
      <c r="O22" s="39">
        <f t="shared" si="6"/>
        <v>0</v>
      </c>
      <c r="P22" s="84"/>
      <c r="Q22" s="34"/>
      <c r="R22" s="35"/>
      <c r="S22" s="35"/>
      <c r="T22" s="35"/>
      <c r="U22" s="35"/>
      <c r="V22" s="35"/>
      <c r="W22" s="35"/>
      <c r="X22" s="35"/>
      <c r="Y22" s="35"/>
      <c r="Z22" s="35"/>
      <c r="AA22" s="35"/>
    </row>
    <row r="23" ht="14.25" customHeight="1">
      <c r="A23" s="221"/>
      <c r="B23" s="231"/>
      <c r="C23" s="233" t="s">
        <v>3055</v>
      </c>
      <c r="D23" s="212" t="s">
        <v>3056</v>
      </c>
      <c r="E23" s="511"/>
      <c r="F23" s="512"/>
      <c r="G23" s="516"/>
      <c r="H23" s="517">
        <v>200.0</v>
      </c>
      <c r="I23" s="506">
        <v>45264.0</v>
      </c>
      <c r="J23" s="36">
        <f t="shared" si="1"/>
        <v>0</v>
      </c>
      <c r="K23" s="37">
        <f t="shared" si="2"/>
        <v>0</v>
      </c>
      <c r="L23" s="38">
        <f t="shared" si="3"/>
        <v>0</v>
      </c>
      <c r="M23" s="39">
        <f t="shared" si="4"/>
        <v>0</v>
      </c>
      <c r="N23" s="38">
        <f t="shared" si="5"/>
        <v>0</v>
      </c>
      <c r="O23" s="39">
        <f t="shared" si="6"/>
        <v>0</v>
      </c>
      <c r="P23" s="84"/>
      <c r="Q23" s="34"/>
      <c r="R23" s="35"/>
      <c r="S23" s="35"/>
      <c r="T23" s="35"/>
      <c r="U23" s="35"/>
      <c r="V23" s="35"/>
      <c r="W23" s="35"/>
      <c r="X23" s="35"/>
      <c r="Y23" s="35"/>
      <c r="Z23" s="35"/>
      <c r="AA23" s="35"/>
    </row>
    <row r="24" ht="14.25" customHeight="1">
      <c r="A24" s="221"/>
      <c r="B24" s="231"/>
      <c r="C24" s="233" t="s">
        <v>3055</v>
      </c>
      <c r="D24" s="212" t="s">
        <v>3057</v>
      </c>
      <c r="E24" s="511"/>
      <c r="F24" s="512"/>
      <c r="G24" s="516"/>
      <c r="H24" s="517">
        <v>235.0</v>
      </c>
      <c r="I24" s="506">
        <v>45264.0</v>
      </c>
      <c r="J24" s="36">
        <f t="shared" si="1"/>
        <v>0</v>
      </c>
      <c r="K24" s="37">
        <f t="shared" si="2"/>
        <v>0</v>
      </c>
      <c r="L24" s="38">
        <f t="shared" si="3"/>
        <v>0</v>
      </c>
      <c r="M24" s="39">
        <f t="shared" si="4"/>
        <v>0</v>
      </c>
      <c r="N24" s="38">
        <f t="shared" si="5"/>
        <v>0</v>
      </c>
      <c r="O24" s="39">
        <f t="shared" si="6"/>
        <v>0</v>
      </c>
      <c r="P24" s="84"/>
      <c r="Q24" s="34"/>
      <c r="R24" s="35"/>
      <c r="S24" s="35"/>
      <c r="T24" s="35"/>
      <c r="U24" s="35"/>
      <c r="V24" s="35"/>
      <c r="W24" s="35"/>
      <c r="X24" s="35"/>
      <c r="Y24" s="35"/>
      <c r="Z24" s="35"/>
      <c r="AA24" s="35"/>
    </row>
    <row r="25" ht="14.25" customHeight="1">
      <c r="A25" s="221"/>
      <c r="B25" s="231"/>
      <c r="C25" s="233" t="s">
        <v>3058</v>
      </c>
      <c r="D25" s="212" t="s">
        <v>3059</v>
      </c>
      <c r="E25" s="511"/>
      <c r="F25" s="512"/>
      <c r="G25" s="516"/>
      <c r="H25" s="517">
        <v>200.0</v>
      </c>
      <c r="I25" s="506">
        <v>45264.0</v>
      </c>
      <c r="J25" s="36">
        <f t="shared" si="1"/>
        <v>0</v>
      </c>
      <c r="K25" s="37">
        <f t="shared" si="2"/>
        <v>0</v>
      </c>
      <c r="L25" s="38">
        <f t="shared" si="3"/>
        <v>0</v>
      </c>
      <c r="M25" s="39">
        <f t="shared" si="4"/>
        <v>0</v>
      </c>
      <c r="N25" s="38">
        <f t="shared" si="5"/>
        <v>0</v>
      </c>
      <c r="O25" s="39">
        <f t="shared" si="6"/>
        <v>0</v>
      </c>
      <c r="P25" s="84"/>
      <c r="Q25" s="34"/>
      <c r="R25" s="35"/>
      <c r="S25" s="35"/>
      <c r="T25" s="35"/>
      <c r="U25" s="35"/>
      <c r="V25" s="35"/>
      <c r="W25" s="35"/>
      <c r="X25" s="35"/>
      <c r="Y25" s="35"/>
      <c r="Z25" s="35"/>
      <c r="AA25" s="35"/>
    </row>
    <row r="26" ht="14.25" customHeight="1">
      <c r="A26" s="221"/>
      <c r="B26" s="231"/>
      <c r="C26" s="233" t="s">
        <v>3060</v>
      </c>
      <c r="D26" s="212" t="s">
        <v>3059</v>
      </c>
      <c r="E26" s="511"/>
      <c r="F26" s="512"/>
      <c r="G26" s="516"/>
      <c r="H26" s="517">
        <v>235.0</v>
      </c>
      <c r="I26" s="506">
        <v>45264.0</v>
      </c>
      <c r="J26" s="36">
        <f t="shared" si="1"/>
        <v>0</v>
      </c>
      <c r="K26" s="37">
        <f t="shared" si="2"/>
        <v>0</v>
      </c>
      <c r="L26" s="38">
        <f t="shared" si="3"/>
        <v>0</v>
      </c>
      <c r="M26" s="39">
        <f t="shared" si="4"/>
        <v>0</v>
      </c>
      <c r="N26" s="38">
        <f t="shared" si="5"/>
        <v>0</v>
      </c>
      <c r="O26" s="39">
        <f t="shared" si="6"/>
        <v>0</v>
      </c>
      <c r="P26" s="84"/>
      <c r="Q26" s="34"/>
      <c r="R26" s="35"/>
      <c r="S26" s="35"/>
      <c r="T26" s="35"/>
      <c r="U26" s="35"/>
      <c r="V26" s="35"/>
      <c r="W26" s="35"/>
      <c r="X26" s="35"/>
      <c r="Y26" s="35"/>
      <c r="Z26" s="35"/>
      <c r="AA26" s="35"/>
    </row>
    <row r="27" ht="14.25" customHeight="1">
      <c r="A27" s="221"/>
      <c r="B27" s="231"/>
      <c r="C27" s="233" t="s">
        <v>3061</v>
      </c>
      <c r="D27" s="212" t="s">
        <v>3062</v>
      </c>
      <c r="E27" s="511"/>
      <c r="F27" s="512"/>
      <c r="G27" s="516"/>
      <c r="H27" s="517">
        <v>170.0</v>
      </c>
      <c r="I27" s="506">
        <v>45264.0</v>
      </c>
      <c r="J27" s="36">
        <f t="shared" si="1"/>
        <v>0</v>
      </c>
      <c r="K27" s="37">
        <f t="shared" si="2"/>
        <v>0</v>
      </c>
      <c r="L27" s="38">
        <f t="shared" si="3"/>
        <v>0</v>
      </c>
      <c r="M27" s="39">
        <f t="shared" si="4"/>
        <v>0</v>
      </c>
      <c r="N27" s="38">
        <f t="shared" si="5"/>
        <v>0</v>
      </c>
      <c r="O27" s="39">
        <f t="shared" si="6"/>
        <v>0</v>
      </c>
      <c r="P27" s="84"/>
      <c r="Q27" s="34"/>
      <c r="R27" s="35"/>
      <c r="S27" s="35"/>
      <c r="T27" s="35"/>
      <c r="U27" s="35"/>
      <c r="V27" s="35"/>
      <c r="W27" s="35"/>
      <c r="X27" s="35"/>
      <c r="Y27" s="35"/>
      <c r="Z27" s="35"/>
      <c r="AA27" s="35"/>
    </row>
    <row r="28" ht="14.25" customHeight="1">
      <c r="A28" s="221"/>
      <c r="B28" s="231"/>
      <c r="C28" s="233" t="s">
        <v>3063</v>
      </c>
      <c r="D28" s="212" t="s">
        <v>3062</v>
      </c>
      <c r="E28" s="511"/>
      <c r="F28" s="512"/>
      <c r="G28" s="516"/>
      <c r="H28" s="517">
        <v>200.0</v>
      </c>
      <c r="I28" s="506">
        <v>45264.0</v>
      </c>
      <c r="J28" s="36">
        <f t="shared" si="1"/>
        <v>0</v>
      </c>
      <c r="K28" s="37">
        <f t="shared" si="2"/>
        <v>0</v>
      </c>
      <c r="L28" s="38">
        <f t="shared" si="3"/>
        <v>0</v>
      </c>
      <c r="M28" s="39">
        <f t="shared" si="4"/>
        <v>0</v>
      </c>
      <c r="N28" s="38">
        <f t="shared" si="5"/>
        <v>0</v>
      </c>
      <c r="O28" s="39">
        <f t="shared" si="6"/>
        <v>0</v>
      </c>
      <c r="P28" s="84"/>
      <c r="Q28" s="34"/>
      <c r="R28" s="35"/>
      <c r="S28" s="35"/>
      <c r="T28" s="35"/>
      <c r="U28" s="35"/>
      <c r="V28" s="35"/>
      <c r="W28" s="35"/>
      <c r="X28" s="35"/>
      <c r="Y28" s="35"/>
      <c r="Z28" s="35"/>
      <c r="AA28" s="35"/>
    </row>
    <row r="29" ht="14.25" customHeight="1">
      <c r="A29" s="221"/>
      <c r="B29" s="231"/>
      <c r="C29" s="233" t="s">
        <v>3064</v>
      </c>
      <c r="D29" s="212" t="s">
        <v>3062</v>
      </c>
      <c r="E29" s="511"/>
      <c r="F29" s="512"/>
      <c r="G29" s="516"/>
      <c r="H29" s="517">
        <v>520.0</v>
      </c>
      <c r="I29" s="506">
        <v>45264.0</v>
      </c>
      <c r="J29" s="36">
        <f t="shared" si="1"/>
        <v>0</v>
      </c>
      <c r="K29" s="37">
        <f t="shared" si="2"/>
        <v>0</v>
      </c>
      <c r="L29" s="38">
        <f t="shared" si="3"/>
        <v>0</v>
      </c>
      <c r="M29" s="39">
        <f t="shared" si="4"/>
        <v>0</v>
      </c>
      <c r="N29" s="38">
        <f t="shared" si="5"/>
        <v>0</v>
      </c>
      <c r="O29" s="39">
        <f t="shared" si="6"/>
        <v>0</v>
      </c>
      <c r="P29" s="84"/>
      <c r="Q29" s="34"/>
      <c r="R29" s="35"/>
      <c r="S29" s="35"/>
      <c r="T29" s="35"/>
      <c r="U29" s="35"/>
      <c r="V29" s="35"/>
      <c r="W29" s="35"/>
      <c r="X29" s="35"/>
      <c r="Y29" s="35"/>
      <c r="Z29" s="35"/>
      <c r="AA29" s="35"/>
    </row>
    <row r="30" ht="14.25" customHeight="1">
      <c r="A30" s="221"/>
      <c r="B30" s="231"/>
      <c r="C30" s="233" t="s">
        <v>3065</v>
      </c>
      <c r="D30" s="212" t="s">
        <v>3066</v>
      </c>
      <c r="E30" s="511"/>
      <c r="F30" s="512"/>
      <c r="G30" s="516"/>
      <c r="H30" s="517">
        <v>175.0</v>
      </c>
      <c r="I30" s="506">
        <v>45264.0</v>
      </c>
      <c r="J30" s="36">
        <f t="shared" si="1"/>
        <v>0</v>
      </c>
      <c r="K30" s="37">
        <f t="shared" si="2"/>
        <v>0</v>
      </c>
      <c r="L30" s="38">
        <f t="shared" si="3"/>
        <v>0</v>
      </c>
      <c r="M30" s="39">
        <f t="shared" si="4"/>
        <v>0</v>
      </c>
      <c r="N30" s="38">
        <f t="shared" si="5"/>
        <v>0</v>
      </c>
      <c r="O30" s="39">
        <f t="shared" si="6"/>
        <v>0</v>
      </c>
      <c r="P30" s="84"/>
      <c r="Q30" s="34"/>
      <c r="R30" s="35"/>
      <c r="S30" s="35"/>
      <c r="T30" s="35"/>
      <c r="U30" s="35"/>
      <c r="V30" s="35"/>
      <c r="W30" s="35"/>
      <c r="X30" s="35"/>
      <c r="Y30" s="35"/>
      <c r="Z30" s="35"/>
      <c r="AA30" s="35"/>
    </row>
    <row r="31" ht="14.25" customHeight="1">
      <c r="A31" s="221"/>
      <c r="B31" s="231"/>
      <c r="C31" s="233"/>
      <c r="D31" s="212"/>
      <c r="E31" s="511"/>
      <c r="F31" s="512"/>
      <c r="G31" s="516"/>
      <c r="H31" s="517"/>
      <c r="I31" s="230"/>
      <c r="J31" s="36">
        <f t="shared" si="1"/>
        <v>0</v>
      </c>
      <c r="K31" s="37">
        <f t="shared" si="2"/>
        <v>0</v>
      </c>
      <c r="L31" s="38">
        <f t="shared" si="3"/>
        <v>0</v>
      </c>
      <c r="M31" s="39">
        <f t="shared" si="4"/>
        <v>0</v>
      </c>
      <c r="N31" s="38">
        <f t="shared" si="5"/>
        <v>0</v>
      </c>
      <c r="O31" s="39">
        <f t="shared" si="6"/>
        <v>0</v>
      </c>
      <c r="P31" s="84"/>
      <c r="Q31" s="34"/>
      <c r="R31" s="35"/>
      <c r="S31" s="35"/>
      <c r="T31" s="35"/>
      <c r="U31" s="35"/>
      <c r="V31" s="35"/>
      <c r="W31" s="35"/>
      <c r="X31" s="35"/>
      <c r="Y31" s="35"/>
      <c r="Z31" s="35"/>
      <c r="AA31" s="35"/>
    </row>
    <row r="32" ht="14.25" customHeight="1">
      <c r="A32" s="221"/>
      <c r="B32" s="231"/>
      <c r="C32" s="233"/>
      <c r="D32" s="212"/>
      <c r="E32" s="511"/>
      <c r="F32" s="511"/>
      <c r="G32" s="516"/>
      <c r="H32" s="517"/>
      <c r="I32" s="230"/>
      <c r="J32" s="36">
        <f t="shared" si="1"/>
        <v>0</v>
      </c>
      <c r="K32" s="37">
        <f t="shared" si="2"/>
        <v>0</v>
      </c>
      <c r="L32" s="38">
        <f t="shared" si="3"/>
        <v>0</v>
      </c>
      <c r="M32" s="39">
        <f t="shared" si="4"/>
        <v>0</v>
      </c>
      <c r="N32" s="38">
        <f t="shared" si="5"/>
        <v>0</v>
      </c>
      <c r="O32" s="39">
        <f t="shared" si="6"/>
        <v>0</v>
      </c>
      <c r="P32" s="84"/>
      <c r="Q32" s="34"/>
      <c r="R32" s="35"/>
      <c r="S32" s="35"/>
      <c r="T32" s="35"/>
      <c r="U32" s="35"/>
      <c r="V32" s="35"/>
      <c r="W32" s="35"/>
      <c r="X32" s="35"/>
      <c r="Y32" s="35"/>
      <c r="Z32" s="35"/>
      <c r="AA32" s="35"/>
    </row>
    <row r="33" ht="14.25" customHeight="1">
      <c r="A33" s="221"/>
      <c r="B33" s="231"/>
      <c r="C33" s="233"/>
      <c r="D33" s="212"/>
      <c r="E33" s="511"/>
      <c r="F33" s="511"/>
      <c r="G33" s="516"/>
      <c r="H33" s="517"/>
      <c r="I33" s="230"/>
      <c r="J33" s="36">
        <f t="shared" si="1"/>
        <v>0</v>
      </c>
      <c r="K33" s="37">
        <f t="shared" si="2"/>
        <v>0</v>
      </c>
      <c r="L33" s="38">
        <f t="shared" si="3"/>
        <v>0</v>
      </c>
      <c r="M33" s="39">
        <f t="shared" si="4"/>
        <v>0</v>
      </c>
      <c r="N33" s="38">
        <f t="shared" si="5"/>
        <v>0</v>
      </c>
      <c r="O33" s="39">
        <f t="shared" si="6"/>
        <v>0</v>
      </c>
      <c r="P33" s="84"/>
      <c r="Q33" s="34"/>
      <c r="R33" s="35"/>
      <c r="S33" s="35"/>
      <c r="T33" s="35"/>
      <c r="U33" s="35"/>
      <c r="V33" s="35"/>
      <c r="W33" s="35"/>
      <c r="X33" s="35"/>
      <c r="Y33" s="35"/>
      <c r="Z33" s="35"/>
      <c r="AA33" s="35"/>
    </row>
    <row r="34" ht="14.25" customHeight="1">
      <c r="A34" s="221"/>
      <c r="B34" s="231"/>
      <c r="C34" s="233"/>
      <c r="D34" s="212"/>
      <c r="E34" s="511"/>
      <c r="F34" s="511"/>
      <c r="G34" s="516"/>
      <c r="H34" s="517"/>
      <c r="I34" s="230"/>
      <c r="J34" s="36">
        <f t="shared" si="1"/>
        <v>0</v>
      </c>
      <c r="K34" s="37">
        <f t="shared" si="2"/>
        <v>0</v>
      </c>
      <c r="L34" s="38">
        <f t="shared" si="3"/>
        <v>0</v>
      </c>
      <c r="M34" s="39">
        <f t="shared" si="4"/>
        <v>0</v>
      </c>
      <c r="N34" s="38">
        <f t="shared" si="5"/>
        <v>0</v>
      </c>
      <c r="O34" s="39">
        <f t="shared" si="6"/>
        <v>0</v>
      </c>
      <c r="P34" s="84"/>
      <c r="Q34" s="34"/>
      <c r="R34" s="35"/>
      <c r="S34" s="35"/>
      <c r="T34" s="35"/>
      <c r="U34" s="35"/>
      <c r="V34" s="35"/>
      <c r="W34" s="35"/>
      <c r="X34" s="35"/>
      <c r="Y34" s="35"/>
      <c r="Z34" s="35"/>
      <c r="AA34" s="35"/>
    </row>
    <row r="35" ht="14.25" customHeight="1">
      <c r="A35" s="221"/>
      <c r="B35" s="231"/>
      <c r="C35" s="233"/>
      <c r="D35" s="212"/>
      <c r="E35" s="511"/>
      <c r="F35" s="511"/>
      <c r="G35" s="516"/>
      <c r="H35" s="517"/>
      <c r="I35" s="230"/>
      <c r="J35" s="36">
        <f t="shared" si="1"/>
        <v>0</v>
      </c>
      <c r="K35" s="37">
        <f t="shared" si="2"/>
        <v>0</v>
      </c>
      <c r="L35" s="38">
        <f t="shared" si="3"/>
        <v>0</v>
      </c>
      <c r="M35" s="39">
        <f t="shared" si="4"/>
        <v>0</v>
      </c>
      <c r="N35" s="38">
        <f t="shared" si="5"/>
        <v>0</v>
      </c>
      <c r="O35" s="39">
        <f t="shared" si="6"/>
        <v>0</v>
      </c>
      <c r="P35" s="84"/>
      <c r="Q35" s="34"/>
      <c r="R35" s="35"/>
      <c r="S35" s="35"/>
      <c r="T35" s="35"/>
      <c r="U35" s="35"/>
      <c r="V35" s="35"/>
      <c r="W35" s="35"/>
      <c r="X35" s="35"/>
      <c r="Y35" s="35"/>
      <c r="Z35" s="35"/>
      <c r="AA35" s="35"/>
    </row>
    <row r="36" ht="14.25" customHeight="1">
      <c r="A36" s="221"/>
      <c r="B36" s="231"/>
      <c r="C36" s="233"/>
      <c r="D36" s="212"/>
      <c r="E36" s="511"/>
      <c r="F36" s="511"/>
      <c r="G36" s="516"/>
      <c r="H36" s="517"/>
      <c r="I36" s="230"/>
      <c r="J36" s="36">
        <f t="shared" si="1"/>
        <v>0</v>
      </c>
      <c r="K36" s="37">
        <f t="shared" si="2"/>
        <v>0</v>
      </c>
      <c r="L36" s="38">
        <f t="shared" si="3"/>
        <v>0</v>
      </c>
      <c r="M36" s="39">
        <f t="shared" si="4"/>
        <v>0</v>
      </c>
      <c r="N36" s="38">
        <f t="shared" si="5"/>
        <v>0</v>
      </c>
      <c r="O36" s="39">
        <f t="shared" si="6"/>
        <v>0</v>
      </c>
      <c r="P36" s="84"/>
      <c r="Q36" s="34"/>
      <c r="R36" s="35"/>
      <c r="S36" s="35"/>
      <c r="T36" s="35"/>
      <c r="U36" s="35"/>
      <c r="V36" s="35"/>
      <c r="W36" s="35"/>
      <c r="X36" s="35"/>
      <c r="Y36" s="35"/>
      <c r="Z36" s="35"/>
      <c r="AA36" s="35"/>
    </row>
    <row r="37" ht="14.25" customHeight="1">
      <c r="A37" s="221"/>
      <c r="B37" s="231"/>
      <c r="C37" s="233"/>
      <c r="D37" s="212"/>
      <c r="E37" s="511"/>
      <c r="F37" s="511"/>
      <c r="G37" s="516"/>
      <c r="H37" s="517"/>
      <c r="I37" s="230"/>
      <c r="J37" s="36">
        <f t="shared" si="1"/>
        <v>0</v>
      </c>
      <c r="K37" s="37">
        <f t="shared" si="2"/>
        <v>0</v>
      </c>
      <c r="L37" s="38">
        <f t="shared" si="3"/>
        <v>0</v>
      </c>
      <c r="M37" s="39">
        <f t="shared" si="4"/>
        <v>0</v>
      </c>
      <c r="N37" s="38">
        <f t="shared" si="5"/>
        <v>0</v>
      </c>
      <c r="O37" s="39">
        <f t="shared" si="6"/>
        <v>0</v>
      </c>
      <c r="P37" s="84"/>
      <c r="Q37" s="34"/>
      <c r="R37" s="35"/>
      <c r="S37" s="35"/>
      <c r="T37" s="35"/>
      <c r="U37" s="35"/>
      <c r="V37" s="35"/>
      <c r="W37" s="35"/>
      <c r="X37" s="35"/>
      <c r="Y37" s="35"/>
      <c r="Z37" s="35"/>
      <c r="AA37" s="35"/>
    </row>
    <row r="38" ht="14.25" customHeight="1">
      <c r="A38" s="221"/>
      <c r="B38" s="231"/>
      <c r="C38" s="233"/>
      <c r="D38" s="212"/>
      <c r="E38" s="511"/>
      <c r="F38" s="511"/>
      <c r="G38" s="518"/>
      <c r="H38" s="519"/>
      <c r="I38" s="230"/>
      <c r="J38" s="36">
        <f t="shared" si="1"/>
        <v>0</v>
      </c>
      <c r="K38" s="37">
        <f t="shared" si="2"/>
        <v>0</v>
      </c>
      <c r="L38" s="38">
        <f t="shared" si="3"/>
        <v>0</v>
      </c>
      <c r="M38" s="39">
        <f t="shared" si="4"/>
        <v>0</v>
      </c>
      <c r="N38" s="38">
        <f t="shared" si="5"/>
        <v>0</v>
      </c>
      <c r="O38" s="39">
        <f t="shared" si="6"/>
        <v>0</v>
      </c>
      <c r="P38" s="84"/>
      <c r="Q38" s="34"/>
      <c r="R38" s="35"/>
      <c r="S38" s="35"/>
      <c r="T38" s="35"/>
      <c r="U38" s="35"/>
      <c r="V38" s="35"/>
      <c r="W38" s="35"/>
      <c r="X38" s="35"/>
      <c r="Y38" s="35"/>
      <c r="Z38" s="35"/>
      <c r="AA38" s="35"/>
    </row>
    <row r="39" ht="14.25" customHeight="1">
      <c r="A39" s="221"/>
      <c r="B39" s="231"/>
      <c r="C39" s="233"/>
      <c r="D39" s="212"/>
      <c r="E39" s="511"/>
      <c r="F39" s="511"/>
      <c r="G39" s="518"/>
      <c r="H39" s="519"/>
      <c r="I39" s="230"/>
      <c r="J39" s="36">
        <f t="shared" si="1"/>
        <v>0</v>
      </c>
      <c r="K39" s="37">
        <f t="shared" si="2"/>
        <v>0</v>
      </c>
      <c r="L39" s="38">
        <f t="shared" si="3"/>
        <v>0</v>
      </c>
      <c r="M39" s="39">
        <f t="shared" si="4"/>
        <v>0</v>
      </c>
      <c r="N39" s="38">
        <f t="shared" si="5"/>
        <v>0</v>
      </c>
      <c r="O39" s="39">
        <f t="shared" si="6"/>
        <v>0</v>
      </c>
      <c r="P39" s="84"/>
      <c r="Q39" s="34"/>
      <c r="R39" s="35"/>
      <c r="S39" s="35"/>
      <c r="T39" s="35"/>
      <c r="U39" s="35"/>
      <c r="V39" s="35"/>
      <c r="W39" s="35"/>
      <c r="X39" s="35"/>
      <c r="Y39" s="35"/>
      <c r="Z39" s="35"/>
      <c r="AA39" s="35"/>
    </row>
    <row r="40" ht="14.25" customHeight="1">
      <c r="A40" s="221"/>
      <c r="B40" s="231"/>
      <c r="C40" s="233"/>
      <c r="D40" s="212"/>
      <c r="E40" s="511"/>
      <c r="F40" s="511"/>
      <c r="G40" s="518"/>
      <c r="H40" s="519"/>
      <c r="I40" s="230"/>
      <c r="J40" s="36">
        <f t="shared" si="1"/>
        <v>0</v>
      </c>
      <c r="K40" s="37">
        <f t="shared" si="2"/>
        <v>0</v>
      </c>
      <c r="L40" s="38">
        <f t="shared" si="3"/>
        <v>0</v>
      </c>
      <c r="M40" s="39">
        <f t="shared" si="4"/>
        <v>0</v>
      </c>
      <c r="N40" s="38">
        <f t="shared" si="5"/>
        <v>0</v>
      </c>
      <c r="O40" s="39">
        <f t="shared" si="6"/>
        <v>0</v>
      </c>
      <c r="P40" s="84"/>
      <c r="Q40" s="34"/>
      <c r="R40" s="35"/>
      <c r="S40" s="35"/>
      <c r="T40" s="35"/>
      <c r="U40" s="35"/>
      <c r="V40" s="35"/>
      <c r="W40" s="35"/>
      <c r="X40" s="35"/>
      <c r="Y40" s="35"/>
      <c r="Z40" s="35"/>
      <c r="AA40" s="35"/>
    </row>
    <row r="41" ht="14.25" customHeight="1">
      <c r="A41" s="221"/>
      <c r="B41" s="231"/>
      <c r="C41" s="233"/>
      <c r="D41" s="212"/>
      <c r="E41" s="511"/>
      <c r="F41" s="511"/>
      <c r="G41" s="518"/>
      <c r="H41" s="519"/>
      <c r="I41" s="230"/>
      <c r="J41" s="36">
        <f t="shared" si="1"/>
        <v>0</v>
      </c>
      <c r="K41" s="37">
        <f t="shared" si="2"/>
        <v>0</v>
      </c>
      <c r="L41" s="38">
        <f t="shared" si="3"/>
        <v>0</v>
      </c>
      <c r="M41" s="39">
        <f t="shared" si="4"/>
        <v>0</v>
      </c>
      <c r="N41" s="38">
        <f t="shared" si="5"/>
        <v>0</v>
      </c>
      <c r="O41" s="39">
        <f t="shared" si="6"/>
        <v>0</v>
      </c>
      <c r="P41" s="84"/>
      <c r="Q41" s="34"/>
      <c r="R41" s="35"/>
      <c r="S41" s="35"/>
      <c r="T41" s="35"/>
      <c r="U41" s="35"/>
      <c r="V41" s="35"/>
      <c r="W41" s="35"/>
      <c r="X41" s="35"/>
      <c r="Y41" s="35"/>
      <c r="Z41" s="35"/>
      <c r="AA41" s="35"/>
    </row>
    <row r="42" ht="14.25" customHeight="1">
      <c r="A42" s="221"/>
      <c r="B42" s="231"/>
      <c r="C42" s="233"/>
      <c r="D42" s="212"/>
      <c r="E42" s="511"/>
      <c r="F42" s="511"/>
      <c r="G42" s="518"/>
      <c r="H42" s="519"/>
      <c r="I42" s="230"/>
      <c r="J42" s="36">
        <f t="shared" si="1"/>
        <v>0</v>
      </c>
      <c r="K42" s="37">
        <f t="shared" si="2"/>
        <v>0</v>
      </c>
      <c r="L42" s="38">
        <f t="shared" si="3"/>
        <v>0</v>
      </c>
      <c r="M42" s="39">
        <f t="shared" si="4"/>
        <v>0</v>
      </c>
      <c r="N42" s="38">
        <f t="shared" si="5"/>
        <v>0</v>
      </c>
      <c r="O42" s="39">
        <f t="shared" si="6"/>
        <v>0</v>
      </c>
      <c r="P42" s="84"/>
      <c r="Q42" s="34"/>
      <c r="R42" s="35"/>
      <c r="S42" s="35"/>
      <c r="T42" s="35"/>
      <c r="U42" s="35"/>
      <c r="V42" s="35"/>
      <c r="W42" s="35"/>
      <c r="X42" s="35"/>
      <c r="Y42" s="35"/>
      <c r="Z42" s="35"/>
      <c r="AA42" s="35"/>
    </row>
    <row r="43" ht="14.25" customHeight="1">
      <c r="A43" s="221"/>
      <c r="B43" s="231"/>
      <c r="C43" s="233"/>
      <c r="D43" s="212"/>
      <c r="E43" s="511"/>
      <c r="F43" s="511"/>
      <c r="G43" s="518"/>
      <c r="H43" s="519"/>
      <c r="I43" s="230"/>
      <c r="J43" s="36">
        <f t="shared" si="1"/>
        <v>0</v>
      </c>
      <c r="K43" s="37">
        <f t="shared" si="2"/>
        <v>0</v>
      </c>
      <c r="L43" s="38">
        <f t="shared" si="3"/>
        <v>0</v>
      </c>
      <c r="M43" s="39">
        <f t="shared" si="4"/>
        <v>0</v>
      </c>
      <c r="N43" s="38">
        <f t="shared" si="5"/>
        <v>0</v>
      </c>
      <c r="O43" s="39">
        <f t="shared" si="6"/>
        <v>0</v>
      </c>
      <c r="P43" s="84"/>
      <c r="Q43" s="34"/>
      <c r="R43" s="35"/>
      <c r="S43" s="35"/>
      <c r="T43" s="35"/>
      <c r="U43" s="35"/>
      <c r="V43" s="35"/>
      <c r="W43" s="35"/>
      <c r="X43" s="35"/>
      <c r="Y43" s="35"/>
      <c r="Z43" s="35"/>
      <c r="AA43" s="35"/>
    </row>
    <row r="44" ht="14.25" customHeight="1">
      <c r="A44" s="221"/>
      <c r="B44" s="231"/>
      <c r="C44" s="233"/>
      <c r="D44" s="212"/>
      <c r="E44" s="511"/>
      <c r="F44" s="511"/>
      <c r="G44" s="518"/>
      <c r="H44" s="519"/>
      <c r="I44" s="230"/>
      <c r="J44" s="36">
        <f t="shared" si="1"/>
        <v>0</v>
      </c>
      <c r="K44" s="37">
        <f t="shared" si="2"/>
        <v>0</v>
      </c>
      <c r="L44" s="38">
        <f t="shared" si="3"/>
        <v>0</v>
      </c>
      <c r="M44" s="39">
        <f t="shared" si="4"/>
        <v>0</v>
      </c>
      <c r="N44" s="38">
        <f t="shared" si="5"/>
        <v>0</v>
      </c>
      <c r="O44" s="39">
        <f t="shared" si="6"/>
        <v>0</v>
      </c>
      <c r="P44" s="84"/>
      <c r="Q44" s="34"/>
      <c r="R44" s="35"/>
      <c r="S44" s="35"/>
      <c r="T44" s="35"/>
      <c r="U44" s="35"/>
      <c r="V44" s="35"/>
      <c r="W44" s="35"/>
      <c r="X44" s="35"/>
      <c r="Y44" s="35"/>
      <c r="Z44" s="35"/>
      <c r="AA44" s="35"/>
    </row>
    <row r="45" ht="14.25" customHeight="1">
      <c r="A45" s="221"/>
      <c r="B45" s="231"/>
      <c r="C45" s="233"/>
      <c r="D45" s="212"/>
      <c r="E45" s="511"/>
      <c r="F45" s="511"/>
      <c r="G45" s="518"/>
      <c r="H45" s="519"/>
      <c r="I45" s="230"/>
      <c r="J45" s="36">
        <f t="shared" si="1"/>
        <v>0</v>
      </c>
      <c r="K45" s="37">
        <f t="shared" si="2"/>
        <v>0</v>
      </c>
      <c r="L45" s="38">
        <f t="shared" si="3"/>
        <v>0</v>
      </c>
      <c r="M45" s="39">
        <f t="shared" si="4"/>
        <v>0</v>
      </c>
      <c r="N45" s="38">
        <f t="shared" si="5"/>
        <v>0</v>
      </c>
      <c r="O45" s="39">
        <f t="shared" si="6"/>
        <v>0</v>
      </c>
      <c r="P45" s="84"/>
      <c r="Q45" s="34"/>
      <c r="R45" s="35"/>
      <c r="S45" s="35"/>
      <c r="T45" s="35"/>
      <c r="U45" s="35"/>
      <c r="V45" s="35"/>
      <c r="W45" s="35"/>
      <c r="X45" s="35"/>
      <c r="Y45" s="35"/>
      <c r="Z45" s="35"/>
      <c r="AA45" s="35"/>
    </row>
    <row r="46" ht="14.25" customHeight="1">
      <c r="A46" s="221"/>
      <c r="B46" s="231"/>
      <c r="C46" s="233"/>
      <c r="D46" s="212"/>
      <c r="E46" s="511"/>
      <c r="F46" s="511"/>
      <c r="G46" s="518"/>
      <c r="H46" s="520"/>
      <c r="I46" s="230"/>
      <c r="J46" s="36">
        <f t="shared" si="1"/>
        <v>0</v>
      </c>
      <c r="K46" s="37">
        <f t="shared" si="2"/>
        <v>0</v>
      </c>
      <c r="L46" s="38">
        <f t="shared" si="3"/>
        <v>0</v>
      </c>
      <c r="M46" s="39">
        <f t="shared" si="4"/>
        <v>0</v>
      </c>
      <c r="N46" s="38">
        <f t="shared" si="5"/>
        <v>0</v>
      </c>
      <c r="O46" s="39">
        <f t="shared" si="6"/>
        <v>0</v>
      </c>
      <c r="P46" s="84"/>
      <c r="Q46" s="34"/>
      <c r="R46" s="35"/>
      <c r="S46" s="35"/>
      <c r="T46" s="35"/>
      <c r="U46" s="35"/>
      <c r="V46" s="35"/>
      <c r="W46" s="35"/>
      <c r="X46" s="35"/>
      <c r="Y46" s="35"/>
      <c r="Z46" s="35"/>
      <c r="AA46" s="35"/>
    </row>
    <row r="47" ht="14.25" customHeight="1">
      <c r="A47" s="221"/>
      <c r="B47" s="231"/>
      <c r="C47" s="233"/>
      <c r="D47" s="212"/>
      <c r="E47" s="511"/>
      <c r="F47" s="511"/>
      <c r="G47" s="518"/>
      <c r="H47" s="520"/>
      <c r="I47" s="230"/>
      <c r="J47" s="36">
        <f t="shared" si="1"/>
        <v>0</v>
      </c>
      <c r="K47" s="37">
        <f t="shared" si="2"/>
        <v>0</v>
      </c>
      <c r="L47" s="38">
        <f t="shared" si="3"/>
        <v>0</v>
      </c>
      <c r="M47" s="39">
        <f t="shared" si="4"/>
        <v>0</v>
      </c>
      <c r="N47" s="38">
        <f t="shared" si="5"/>
        <v>0</v>
      </c>
      <c r="O47" s="39">
        <f t="shared" si="6"/>
        <v>0</v>
      </c>
      <c r="P47" s="84"/>
      <c r="Q47" s="34"/>
      <c r="R47" s="35"/>
      <c r="S47" s="35"/>
      <c r="T47" s="35"/>
      <c r="U47" s="35"/>
      <c r="V47" s="35"/>
      <c r="W47" s="35"/>
      <c r="X47" s="35"/>
      <c r="Y47" s="35"/>
      <c r="Z47" s="35"/>
      <c r="AA47" s="35"/>
    </row>
    <row r="48" ht="14.25" customHeight="1">
      <c r="A48" s="221"/>
      <c r="B48" s="231"/>
      <c r="C48" s="233"/>
      <c r="D48" s="212"/>
      <c r="E48" s="511"/>
      <c r="F48" s="511"/>
      <c r="G48" s="518"/>
      <c r="H48" s="520"/>
      <c r="I48" s="230"/>
      <c r="J48" s="36">
        <f t="shared" si="1"/>
        <v>0</v>
      </c>
      <c r="K48" s="37">
        <f t="shared" si="2"/>
        <v>0</v>
      </c>
      <c r="L48" s="38">
        <f t="shared" si="3"/>
        <v>0</v>
      </c>
      <c r="M48" s="39">
        <f t="shared" si="4"/>
        <v>0</v>
      </c>
      <c r="N48" s="38">
        <f t="shared" si="5"/>
        <v>0</v>
      </c>
      <c r="O48" s="39">
        <f t="shared" si="6"/>
        <v>0</v>
      </c>
      <c r="P48" s="84"/>
      <c r="Q48" s="34"/>
      <c r="R48" s="35"/>
      <c r="S48" s="35"/>
      <c r="T48" s="35"/>
      <c r="U48" s="35"/>
      <c r="V48" s="35"/>
      <c r="W48" s="35"/>
      <c r="X48" s="35"/>
      <c r="Y48" s="35"/>
      <c r="Z48" s="35"/>
      <c r="AA48" s="35"/>
    </row>
    <row r="49" ht="14.25" customHeight="1">
      <c r="A49" s="221"/>
      <c r="B49" s="231"/>
      <c r="C49" s="233"/>
      <c r="D49" s="212"/>
      <c r="E49" s="511"/>
      <c r="F49" s="511"/>
      <c r="G49" s="518"/>
      <c r="H49" s="520"/>
      <c r="I49" s="230"/>
      <c r="J49" s="36">
        <f t="shared" si="1"/>
        <v>0</v>
      </c>
      <c r="K49" s="37">
        <f t="shared" si="2"/>
        <v>0</v>
      </c>
      <c r="L49" s="38">
        <f t="shared" si="3"/>
        <v>0</v>
      </c>
      <c r="M49" s="39">
        <f t="shared" si="4"/>
        <v>0</v>
      </c>
      <c r="N49" s="38">
        <f t="shared" si="5"/>
        <v>0</v>
      </c>
      <c r="O49" s="39">
        <f t="shared" si="6"/>
        <v>0</v>
      </c>
      <c r="P49" s="84"/>
      <c r="Q49" s="34"/>
      <c r="R49" s="35"/>
      <c r="S49" s="35"/>
      <c r="T49" s="35"/>
      <c r="U49" s="35"/>
      <c r="V49" s="35"/>
      <c r="W49" s="35"/>
      <c r="X49" s="35"/>
      <c r="Y49" s="35"/>
      <c r="Z49" s="35"/>
      <c r="AA49" s="35"/>
    </row>
    <row r="50" ht="14.25" customHeight="1">
      <c r="A50" s="221"/>
      <c r="B50" s="231"/>
      <c r="C50" s="233"/>
      <c r="D50" s="212"/>
      <c r="E50" s="511"/>
      <c r="F50" s="511"/>
      <c r="G50" s="518"/>
      <c r="H50" s="520"/>
      <c r="I50" s="230"/>
      <c r="J50" s="36">
        <f t="shared" si="1"/>
        <v>0</v>
      </c>
      <c r="K50" s="37">
        <f t="shared" si="2"/>
        <v>0</v>
      </c>
      <c r="L50" s="38">
        <f t="shared" si="3"/>
        <v>0</v>
      </c>
      <c r="M50" s="39">
        <f t="shared" si="4"/>
        <v>0</v>
      </c>
      <c r="N50" s="38">
        <f t="shared" si="5"/>
        <v>0</v>
      </c>
      <c r="O50" s="39">
        <f t="shared" si="6"/>
        <v>0</v>
      </c>
      <c r="P50" s="84"/>
      <c r="Q50" s="34"/>
      <c r="R50" s="35"/>
      <c r="S50" s="35"/>
      <c r="T50" s="35"/>
      <c r="U50" s="35"/>
      <c r="V50" s="35"/>
      <c r="W50" s="35"/>
      <c r="X50" s="35"/>
      <c r="Y50" s="35"/>
      <c r="Z50" s="35"/>
      <c r="AA50" s="35"/>
    </row>
    <row r="51" ht="14.25" customHeight="1">
      <c r="A51" s="221"/>
      <c r="B51" s="231"/>
      <c r="C51" s="233"/>
      <c r="D51" s="212"/>
      <c r="E51" s="511"/>
      <c r="F51" s="511"/>
      <c r="G51" s="518"/>
      <c r="H51" s="520"/>
      <c r="I51" s="230"/>
      <c r="J51" s="36">
        <f t="shared" si="1"/>
        <v>0</v>
      </c>
      <c r="K51" s="37">
        <f t="shared" si="2"/>
        <v>0</v>
      </c>
      <c r="L51" s="38">
        <f t="shared" si="3"/>
        <v>0</v>
      </c>
      <c r="M51" s="39">
        <f t="shared" si="4"/>
        <v>0</v>
      </c>
      <c r="N51" s="38">
        <f t="shared" si="5"/>
        <v>0</v>
      </c>
      <c r="O51" s="39">
        <f t="shared" si="6"/>
        <v>0</v>
      </c>
      <c r="P51" s="84"/>
      <c r="Q51" s="34"/>
      <c r="R51" s="35"/>
      <c r="S51" s="35"/>
      <c r="T51" s="35"/>
      <c r="U51" s="35"/>
      <c r="V51" s="35"/>
      <c r="W51" s="35"/>
      <c r="X51" s="35"/>
      <c r="Y51" s="35"/>
      <c r="Z51" s="35"/>
      <c r="AA51" s="35"/>
    </row>
    <row r="52" ht="14.25" customHeight="1">
      <c r="A52" s="221"/>
      <c r="B52" s="231"/>
      <c r="C52" s="233"/>
      <c r="D52" s="212"/>
      <c r="E52" s="511"/>
      <c r="F52" s="511"/>
      <c r="G52" s="518"/>
      <c r="H52" s="520"/>
      <c r="I52" s="230"/>
      <c r="J52" s="36">
        <f t="shared" si="1"/>
        <v>0</v>
      </c>
      <c r="K52" s="37">
        <f t="shared" si="2"/>
        <v>0</v>
      </c>
      <c r="L52" s="38">
        <f t="shared" si="3"/>
        <v>0</v>
      </c>
      <c r="M52" s="39">
        <f t="shared" si="4"/>
        <v>0</v>
      </c>
      <c r="N52" s="38">
        <f t="shared" si="5"/>
        <v>0</v>
      </c>
      <c r="O52" s="39">
        <f t="shared" si="6"/>
        <v>0</v>
      </c>
      <c r="P52" s="84"/>
      <c r="Q52" s="34"/>
      <c r="R52" s="35"/>
      <c r="S52" s="35"/>
      <c r="T52" s="35"/>
      <c r="U52" s="35"/>
      <c r="V52" s="35"/>
      <c r="W52" s="35"/>
      <c r="X52" s="35"/>
      <c r="Y52" s="35"/>
      <c r="Z52" s="35"/>
      <c r="AA52" s="35"/>
    </row>
    <row r="53" ht="14.25" customHeight="1">
      <c r="A53" s="221"/>
      <c r="B53" s="231"/>
      <c r="C53" s="233"/>
      <c r="D53" s="212"/>
      <c r="E53" s="521"/>
      <c r="F53" s="521"/>
      <c r="G53" s="518"/>
      <c r="H53" s="520"/>
      <c r="I53" s="230"/>
      <c r="J53" s="36">
        <f t="shared" si="1"/>
        <v>0</v>
      </c>
      <c r="K53" s="37">
        <f t="shared" si="2"/>
        <v>0</v>
      </c>
      <c r="L53" s="38">
        <f t="shared" si="3"/>
        <v>0</v>
      </c>
      <c r="M53" s="39">
        <f t="shared" si="4"/>
        <v>0</v>
      </c>
      <c r="N53" s="38">
        <f t="shared" si="5"/>
        <v>0</v>
      </c>
      <c r="O53" s="39">
        <f t="shared" si="6"/>
        <v>0</v>
      </c>
      <c r="P53" s="84"/>
      <c r="Q53" s="34"/>
      <c r="R53" s="35"/>
      <c r="S53" s="35"/>
      <c r="T53" s="35"/>
      <c r="U53" s="35"/>
      <c r="V53" s="35"/>
      <c r="W53" s="35"/>
      <c r="X53" s="35"/>
      <c r="Y53" s="35"/>
      <c r="Z53" s="35"/>
      <c r="AA53" s="35"/>
    </row>
    <row r="54" ht="14.25" customHeight="1">
      <c r="A54" s="221"/>
      <c r="B54" s="231"/>
      <c r="C54" s="233"/>
      <c r="D54" s="212"/>
      <c r="E54" s="511"/>
      <c r="F54" s="511"/>
      <c r="G54" s="518"/>
      <c r="H54" s="520"/>
      <c r="I54" s="230"/>
      <c r="J54" s="36">
        <f t="shared" si="1"/>
        <v>0</v>
      </c>
      <c r="K54" s="37">
        <f t="shared" si="2"/>
        <v>0</v>
      </c>
      <c r="L54" s="38">
        <f t="shared" si="3"/>
        <v>0</v>
      </c>
      <c r="M54" s="39">
        <f t="shared" si="4"/>
        <v>0</v>
      </c>
      <c r="N54" s="38">
        <f t="shared" si="5"/>
        <v>0</v>
      </c>
      <c r="O54" s="39">
        <f t="shared" si="6"/>
        <v>0</v>
      </c>
      <c r="P54" s="84"/>
      <c r="Q54" s="34"/>
      <c r="R54" s="35"/>
      <c r="S54" s="35"/>
      <c r="T54" s="35"/>
      <c r="U54" s="35"/>
      <c r="V54" s="35"/>
      <c r="W54" s="35"/>
      <c r="X54" s="35"/>
      <c r="Y54" s="35"/>
      <c r="Z54" s="35"/>
      <c r="AA54" s="35"/>
    </row>
    <row r="55" ht="14.25" customHeight="1">
      <c r="A55" s="221"/>
      <c r="B55" s="231"/>
      <c r="C55" s="233"/>
      <c r="D55" s="212"/>
      <c r="E55" s="511"/>
      <c r="F55" s="511"/>
      <c r="G55" s="518"/>
      <c r="H55" s="520"/>
      <c r="I55" s="230"/>
      <c r="J55" s="36">
        <f t="shared" si="1"/>
        <v>0</v>
      </c>
      <c r="K55" s="37">
        <f t="shared" si="2"/>
        <v>0</v>
      </c>
      <c r="L55" s="38">
        <f t="shared" si="3"/>
        <v>0</v>
      </c>
      <c r="M55" s="39">
        <f t="shared" si="4"/>
        <v>0</v>
      </c>
      <c r="N55" s="38">
        <f t="shared" si="5"/>
        <v>0</v>
      </c>
      <c r="O55" s="39">
        <f t="shared" si="6"/>
        <v>0</v>
      </c>
      <c r="P55" s="84"/>
      <c r="Q55" s="34"/>
      <c r="R55" s="35"/>
      <c r="S55" s="35"/>
      <c r="T55" s="35"/>
      <c r="U55" s="35"/>
      <c r="V55" s="35"/>
      <c r="W55" s="35"/>
      <c r="X55" s="35"/>
      <c r="Y55" s="35"/>
      <c r="Z55" s="35"/>
      <c r="AA55" s="35"/>
    </row>
    <row r="56" ht="14.25" customHeight="1">
      <c r="A56" s="221"/>
      <c r="B56" s="231"/>
      <c r="C56" s="233"/>
      <c r="D56" s="212"/>
      <c r="E56" s="511"/>
      <c r="F56" s="511"/>
      <c r="G56" s="518"/>
      <c r="H56" s="520"/>
      <c r="I56" s="230"/>
      <c r="J56" s="36">
        <f t="shared" si="1"/>
        <v>0</v>
      </c>
      <c r="K56" s="37">
        <f t="shared" si="2"/>
        <v>0</v>
      </c>
      <c r="L56" s="38">
        <f t="shared" si="3"/>
        <v>0</v>
      </c>
      <c r="M56" s="39">
        <f t="shared" si="4"/>
        <v>0</v>
      </c>
      <c r="N56" s="38">
        <f t="shared" si="5"/>
        <v>0</v>
      </c>
      <c r="O56" s="39">
        <f t="shared" si="6"/>
        <v>0</v>
      </c>
      <c r="P56" s="84"/>
      <c r="Q56" s="34"/>
      <c r="R56" s="35"/>
      <c r="S56" s="35"/>
      <c r="T56" s="35"/>
      <c r="U56" s="35"/>
      <c r="V56" s="35"/>
      <c r="W56" s="35"/>
      <c r="X56" s="35"/>
      <c r="Y56" s="35"/>
      <c r="Z56" s="35"/>
      <c r="AA56" s="35"/>
    </row>
    <row r="57" ht="14.25" customHeight="1">
      <c r="A57" s="221"/>
      <c r="B57" s="231"/>
      <c r="C57" s="233"/>
      <c r="D57" s="212"/>
      <c r="E57" s="511"/>
      <c r="F57" s="511"/>
      <c r="G57" s="518"/>
      <c r="H57" s="520"/>
      <c r="I57" s="230"/>
      <c r="J57" s="36">
        <f t="shared" si="1"/>
        <v>0</v>
      </c>
      <c r="K57" s="37">
        <f t="shared" si="2"/>
        <v>0</v>
      </c>
      <c r="L57" s="38">
        <f t="shared" si="3"/>
        <v>0</v>
      </c>
      <c r="M57" s="39">
        <f t="shared" si="4"/>
        <v>0</v>
      </c>
      <c r="N57" s="38">
        <f t="shared" si="5"/>
        <v>0</v>
      </c>
      <c r="O57" s="39">
        <f t="shared" si="6"/>
        <v>0</v>
      </c>
      <c r="P57" s="84"/>
      <c r="Q57" s="34"/>
      <c r="R57" s="35"/>
      <c r="S57" s="35"/>
      <c r="T57" s="35"/>
      <c r="U57" s="35"/>
      <c r="V57" s="35"/>
      <c r="W57" s="35"/>
      <c r="X57" s="35"/>
      <c r="Y57" s="35"/>
      <c r="Z57" s="35"/>
      <c r="AA57" s="35"/>
    </row>
    <row r="58" ht="14.25" customHeight="1">
      <c r="A58" s="221"/>
      <c r="B58" s="231"/>
      <c r="C58" s="233"/>
      <c r="D58" s="212"/>
      <c r="E58" s="521"/>
      <c r="F58" s="521"/>
      <c r="G58" s="518"/>
      <c r="H58" s="520"/>
      <c r="I58" s="230"/>
      <c r="J58" s="36">
        <f t="shared" si="1"/>
        <v>0</v>
      </c>
      <c r="K58" s="37">
        <f t="shared" si="2"/>
        <v>0</v>
      </c>
      <c r="L58" s="38">
        <f t="shared" si="3"/>
        <v>0</v>
      </c>
      <c r="M58" s="39">
        <f t="shared" si="4"/>
        <v>0</v>
      </c>
      <c r="N58" s="38">
        <f t="shared" si="5"/>
        <v>0</v>
      </c>
      <c r="O58" s="39">
        <f t="shared" si="6"/>
        <v>0</v>
      </c>
      <c r="P58" s="84"/>
      <c r="Q58" s="34"/>
      <c r="R58" s="35"/>
      <c r="S58" s="35"/>
      <c r="T58" s="35"/>
      <c r="U58" s="35"/>
      <c r="V58" s="35"/>
      <c r="W58" s="35"/>
      <c r="X58" s="35"/>
      <c r="Y58" s="35"/>
      <c r="Z58" s="35"/>
      <c r="AA58" s="35"/>
    </row>
    <row r="59" ht="14.25" customHeight="1">
      <c r="A59" s="221"/>
      <c r="B59" s="231"/>
      <c r="C59" s="233"/>
      <c r="D59" s="212"/>
      <c r="E59" s="511"/>
      <c r="F59" s="511"/>
      <c r="G59" s="518"/>
      <c r="H59" s="520"/>
      <c r="I59" s="230"/>
      <c r="J59" s="36">
        <f t="shared" si="1"/>
        <v>0</v>
      </c>
      <c r="K59" s="37">
        <f t="shared" si="2"/>
        <v>0</v>
      </c>
      <c r="L59" s="38">
        <f t="shared" si="3"/>
        <v>0</v>
      </c>
      <c r="M59" s="39">
        <f t="shared" si="4"/>
        <v>0</v>
      </c>
      <c r="N59" s="38">
        <f t="shared" si="5"/>
        <v>0</v>
      </c>
      <c r="O59" s="39">
        <f t="shared" si="6"/>
        <v>0</v>
      </c>
      <c r="P59" s="84"/>
      <c r="Q59" s="34"/>
      <c r="R59" s="35"/>
      <c r="S59" s="35"/>
      <c r="T59" s="35"/>
      <c r="U59" s="35"/>
      <c r="V59" s="35"/>
      <c r="W59" s="35"/>
      <c r="X59" s="35"/>
      <c r="Y59" s="35"/>
      <c r="Z59" s="35"/>
      <c r="AA59" s="35"/>
    </row>
    <row r="60" ht="14.25" customHeight="1">
      <c r="A60" s="221"/>
      <c r="B60" s="231"/>
      <c r="C60" s="233"/>
      <c r="D60" s="212"/>
      <c r="E60" s="511"/>
      <c r="F60" s="511"/>
      <c r="G60" s="518"/>
      <c r="H60" s="520"/>
      <c r="I60" s="230"/>
      <c r="J60" s="36">
        <f t="shared" si="1"/>
        <v>0</v>
      </c>
      <c r="K60" s="37">
        <f t="shared" si="2"/>
        <v>0</v>
      </c>
      <c r="L60" s="38">
        <f t="shared" si="3"/>
        <v>0</v>
      </c>
      <c r="M60" s="39">
        <f t="shared" si="4"/>
        <v>0</v>
      </c>
      <c r="N60" s="38">
        <f t="shared" si="5"/>
        <v>0</v>
      </c>
      <c r="O60" s="39">
        <f t="shared" si="6"/>
        <v>0</v>
      </c>
      <c r="P60" s="84"/>
      <c r="Q60" s="34"/>
      <c r="R60" s="35"/>
      <c r="S60" s="35"/>
      <c r="T60" s="35"/>
      <c r="U60" s="35"/>
      <c r="V60" s="35"/>
      <c r="W60" s="35"/>
      <c r="X60" s="35"/>
      <c r="Y60" s="35"/>
      <c r="Z60" s="35"/>
      <c r="AA60" s="35"/>
    </row>
    <row r="61" ht="14.25" customHeight="1">
      <c r="A61" s="221"/>
      <c r="B61" s="231"/>
      <c r="C61" s="233"/>
      <c r="D61" s="212"/>
      <c r="E61" s="511"/>
      <c r="F61" s="511"/>
      <c r="G61" s="518"/>
      <c r="H61" s="520"/>
      <c r="I61" s="230"/>
      <c r="J61" s="36">
        <f t="shared" si="1"/>
        <v>0</v>
      </c>
      <c r="K61" s="37">
        <f t="shared" si="2"/>
        <v>0</v>
      </c>
      <c r="L61" s="38">
        <f t="shared" si="3"/>
        <v>0</v>
      </c>
      <c r="M61" s="39">
        <f t="shared" si="4"/>
        <v>0</v>
      </c>
      <c r="N61" s="38">
        <f t="shared" si="5"/>
        <v>0</v>
      </c>
      <c r="O61" s="39">
        <f t="shared" si="6"/>
        <v>0</v>
      </c>
      <c r="P61" s="84"/>
      <c r="Q61" s="34"/>
      <c r="R61" s="35"/>
      <c r="S61" s="35"/>
      <c r="T61" s="35"/>
      <c r="U61" s="35"/>
      <c r="V61" s="35"/>
      <c r="W61" s="35"/>
      <c r="X61" s="35"/>
      <c r="Y61" s="35"/>
      <c r="Z61" s="35"/>
      <c r="AA61" s="35"/>
    </row>
    <row r="62" ht="14.25" customHeight="1">
      <c r="A62" s="221"/>
      <c r="B62" s="231"/>
      <c r="C62" s="233"/>
      <c r="D62" s="212"/>
      <c r="E62" s="511"/>
      <c r="F62" s="511"/>
      <c r="G62" s="518"/>
      <c r="H62" s="520"/>
      <c r="I62" s="230"/>
      <c r="J62" s="36">
        <f t="shared" si="1"/>
        <v>0</v>
      </c>
      <c r="K62" s="37">
        <f t="shared" si="2"/>
        <v>0</v>
      </c>
      <c r="L62" s="38">
        <f t="shared" si="3"/>
        <v>0</v>
      </c>
      <c r="M62" s="39">
        <f t="shared" si="4"/>
        <v>0</v>
      </c>
      <c r="N62" s="38">
        <f t="shared" si="5"/>
        <v>0</v>
      </c>
      <c r="O62" s="39">
        <f t="shared" si="6"/>
        <v>0</v>
      </c>
      <c r="P62" s="84"/>
      <c r="Q62" s="34"/>
      <c r="R62" s="35"/>
      <c r="S62" s="35"/>
      <c r="T62" s="35"/>
      <c r="U62" s="35"/>
      <c r="V62" s="35"/>
      <c r="W62" s="35"/>
      <c r="X62" s="35"/>
      <c r="Y62" s="35"/>
      <c r="Z62" s="35"/>
      <c r="AA62" s="35"/>
    </row>
    <row r="63" ht="14.25" customHeight="1">
      <c r="A63" s="221"/>
      <c r="B63" s="231"/>
      <c r="C63" s="233"/>
      <c r="D63" s="212"/>
      <c r="E63" s="511"/>
      <c r="F63" s="511"/>
      <c r="G63" s="518"/>
      <c r="H63" s="522"/>
      <c r="I63" s="230"/>
      <c r="J63" s="36">
        <f t="shared" si="1"/>
        <v>0</v>
      </c>
      <c r="K63" s="37">
        <f t="shared" si="2"/>
        <v>0</v>
      </c>
      <c r="L63" s="38">
        <f t="shared" si="3"/>
        <v>0</v>
      </c>
      <c r="M63" s="39">
        <f t="shared" si="4"/>
        <v>0</v>
      </c>
      <c r="N63" s="38">
        <f t="shared" si="5"/>
        <v>0</v>
      </c>
      <c r="O63" s="39">
        <f t="shared" si="6"/>
        <v>0</v>
      </c>
      <c r="P63" s="84"/>
      <c r="Q63" s="34"/>
      <c r="R63" s="35"/>
      <c r="S63" s="35"/>
      <c r="T63" s="35"/>
      <c r="U63" s="35"/>
      <c r="V63" s="35"/>
      <c r="W63" s="35"/>
      <c r="X63" s="35"/>
      <c r="Y63" s="35"/>
      <c r="Z63" s="35"/>
      <c r="AA63" s="35"/>
    </row>
    <row r="64" ht="14.25" customHeight="1">
      <c r="A64" s="221"/>
      <c r="B64" s="231"/>
      <c r="C64" s="233"/>
      <c r="D64" s="212"/>
      <c r="E64" s="511"/>
      <c r="F64" s="511"/>
      <c r="G64" s="518"/>
      <c r="H64" s="522"/>
      <c r="I64" s="230"/>
      <c r="J64" s="36">
        <f t="shared" si="1"/>
        <v>0</v>
      </c>
      <c r="K64" s="37">
        <f t="shared" si="2"/>
        <v>0</v>
      </c>
      <c r="L64" s="38">
        <f t="shared" si="3"/>
        <v>0</v>
      </c>
      <c r="M64" s="39">
        <f t="shared" si="4"/>
        <v>0</v>
      </c>
      <c r="N64" s="38">
        <f t="shared" si="5"/>
        <v>0</v>
      </c>
      <c r="O64" s="39">
        <f t="shared" si="6"/>
        <v>0</v>
      </c>
      <c r="P64" s="84"/>
      <c r="Q64" s="34"/>
      <c r="R64" s="35"/>
      <c r="S64" s="35"/>
      <c r="T64" s="35"/>
      <c r="U64" s="35"/>
      <c r="V64" s="35"/>
      <c r="W64" s="35"/>
      <c r="X64" s="35"/>
      <c r="Y64" s="35"/>
      <c r="Z64" s="35"/>
      <c r="AA64" s="35"/>
    </row>
    <row r="65" ht="14.25" customHeight="1">
      <c r="A65" s="221"/>
      <c r="B65" s="231"/>
      <c r="C65" s="233"/>
      <c r="D65" s="212"/>
      <c r="E65" s="511"/>
      <c r="F65" s="511"/>
      <c r="G65" s="518"/>
      <c r="H65" s="522"/>
      <c r="I65" s="230"/>
      <c r="J65" s="36">
        <f t="shared" si="1"/>
        <v>0</v>
      </c>
      <c r="K65" s="37">
        <f t="shared" si="2"/>
        <v>0</v>
      </c>
      <c r="L65" s="38">
        <f t="shared" si="3"/>
        <v>0</v>
      </c>
      <c r="M65" s="39">
        <f t="shared" si="4"/>
        <v>0</v>
      </c>
      <c r="N65" s="38">
        <f t="shared" si="5"/>
        <v>0</v>
      </c>
      <c r="O65" s="39">
        <f t="shared" si="6"/>
        <v>0</v>
      </c>
      <c r="P65" s="84"/>
      <c r="Q65" s="34"/>
      <c r="R65" s="35"/>
      <c r="S65" s="35"/>
      <c r="T65" s="35"/>
      <c r="U65" s="35"/>
      <c r="V65" s="35"/>
      <c r="W65" s="35"/>
      <c r="X65" s="35"/>
      <c r="Y65" s="35"/>
      <c r="Z65" s="35"/>
      <c r="AA65" s="35"/>
    </row>
    <row r="66" ht="14.25" customHeight="1">
      <c r="A66" s="221"/>
      <c r="B66" s="231"/>
      <c r="C66" s="233"/>
      <c r="D66" s="212"/>
      <c r="E66" s="511"/>
      <c r="F66" s="511"/>
      <c r="G66" s="518"/>
      <c r="H66" s="522"/>
      <c r="I66" s="230"/>
      <c r="J66" s="36">
        <f t="shared" si="1"/>
        <v>0</v>
      </c>
      <c r="K66" s="37">
        <f t="shared" si="2"/>
        <v>0</v>
      </c>
      <c r="L66" s="38">
        <f t="shared" si="3"/>
        <v>0</v>
      </c>
      <c r="M66" s="39">
        <f t="shared" si="4"/>
        <v>0</v>
      </c>
      <c r="N66" s="38">
        <f t="shared" si="5"/>
        <v>0</v>
      </c>
      <c r="O66" s="39">
        <f t="shared" si="6"/>
        <v>0</v>
      </c>
      <c r="P66" s="84"/>
      <c r="Q66" s="34"/>
      <c r="R66" s="35"/>
      <c r="S66" s="35"/>
      <c r="T66" s="35"/>
      <c r="U66" s="35"/>
      <c r="V66" s="35"/>
      <c r="W66" s="35"/>
      <c r="X66" s="35"/>
      <c r="Y66" s="35"/>
      <c r="Z66" s="35"/>
      <c r="AA66" s="35"/>
    </row>
    <row r="67" ht="14.25" customHeight="1">
      <c r="A67" s="221"/>
      <c r="B67" s="231"/>
      <c r="C67" s="233"/>
      <c r="D67" s="212"/>
      <c r="E67" s="511"/>
      <c r="F67" s="511"/>
      <c r="G67" s="518"/>
      <c r="H67" s="522"/>
      <c r="I67" s="230"/>
      <c r="J67" s="36">
        <f t="shared" si="1"/>
        <v>0</v>
      </c>
      <c r="K67" s="37">
        <f t="shared" si="2"/>
        <v>0</v>
      </c>
      <c r="L67" s="38">
        <f t="shared" si="3"/>
        <v>0</v>
      </c>
      <c r="M67" s="39">
        <f t="shared" si="4"/>
        <v>0</v>
      </c>
      <c r="N67" s="38">
        <f t="shared" si="5"/>
        <v>0</v>
      </c>
      <c r="O67" s="39">
        <f t="shared" si="6"/>
        <v>0</v>
      </c>
      <c r="P67" s="84"/>
      <c r="Q67" s="34"/>
      <c r="R67" s="35"/>
      <c r="S67" s="35"/>
      <c r="T67" s="35"/>
      <c r="U67" s="35"/>
      <c r="V67" s="35"/>
      <c r="W67" s="35"/>
      <c r="X67" s="35"/>
      <c r="Y67" s="35"/>
      <c r="Z67" s="35"/>
      <c r="AA67" s="35"/>
    </row>
    <row r="68" ht="14.25" customHeight="1">
      <c r="A68" s="221"/>
      <c r="B68" s="231"/>
      <c r="C68" s="233"/>
      <c r="D68" s="212"/>
      <c r="E68" s="511"/>
      <c r="F68" s="511"/>
      <c r="G68" s="518"/>
      <c r="H68" s="522"/>
      <c r="I68" s="230"/>
      <c r="J68" s="36">
        <f t="shared" si="1"/>
        <v>0</v>
      </c>
      <c r="K68" s="37">
        <f t="shared" si="2"/>
        <v>0</v>
      </c>
      <c r="L68" s="38">
        <f t="shared" si="3"/>
        <v>0</v>
      </c>
      <c r="M68" s="39">
        <f t="shared" si="4"/>
        <v>0</v>
      </c>
      <c r="N68" s="38">
        <f t="shared" si="5"/>
        <v>0</v>
      </c>
      <c r="O68" s="39">
        <f t="shared" si="6"/>
        <v>0</v>
      </c>
      <c r="P68" s="84"/>
      <c r="Q68" s="34"/>
      <c r="R68" s="35"/>
      <c r="S68" s="35"/>
      <c r="T68" s="35"/>
      <c r="U68" s="35"/>
      <c r="V68" s="35"/>
      <c r="W68" s="35"/>
      <c r="X68" s="35"/>
      <c r="Y68" s="35"/>
      <c r="Z68" s="35"/>
      <c r="AA68" s="35"/>
    </row>
    <row r="69" ht="14.25" customHeight="1">
      <c r="A69" s="221"/>
      <c r="B69" s="231"/>
      <c r="C69" s="233"/>
      <c r="D69" s="212"/>
      <c r="E69" s="511"/>
      <c r="F69" s="511"/>
      <c r="G69" s="518"/>
      <c r="H69" s="522"/>
      <c r="I69" s="230"/>
      <c r="J69" s="36">
        <f t="shared" si="1"/>
        <v>0</v>
      </c>
      <c r="K69" s="37">
        <f t="shared" si="2"/>
        <v>0</v>
      </c>
      <c r="L69" s="38">
        <f t="shared" si="3"/>
        <v>0</v>
      </c>
      <c r="M69" s="39">
        <f t="shared" si="4"/>
        <v>0</v>
      </c>
      <c r="N69" s="38">
        <f t="shared" si="5"/>
        <v>0</v>
      </c>
      <c r="O69" s="39">
        <f t="shared" si="6"/>
        <v>0</v>
      </c>
      <c r="P69" s="84"/>
      <c r="Q69" s="34"/>
      <c r="S69" s="76"/>
      <c r="T69" s="76"/>
      <c r="U69" s="76"/>
      <c r="V69" s="76"/>
      <c r="W69" s="76"/>
      <c r="X69" s="76"/>
      <c r="Y69" s="76"/>
      <c r="Z69" s="76"/>
      <c r="AA69" s="76"/>
    </row>
    <row r="70" ht="14.25" customHeight="1">
      <c r="A70" s="221"/>
      <c r="B70" s="231"/>
      <c r="C70" s="233"/>
      <c r="D70" s="212"/>
      <c r="E70" s="511"/>
      <c r="F70" s="511"/>
      <c r="G70" s="518"/>
      <c r="H70" s="522"/>
      <c r="I70" s="230"/>
      <c r="J70" s="36">
        <f t="shared" si="1"/>
        <v>0</v>
      </c>
      <c r="K70" s="37">
        <f t="shared" si="2"/>
        <v>0</v>
      </c>
      <c r="L70" s="38">
        <f t="shared" si="3"/>
        <v>0</v>
      </c>
      <c r="M70" s="39">
        <f t="shared" si="4"/>
        <v>0</v>
      </c>
      <c r="N70" s="38">
        <f t="shared" si="5"/>
        <v>0</v>
      </c>
      <c r="O70" s="39">
        <f t="shared" si="6"/>
        <v>0</v>
      </c>
      <c r="P70" s="84"/>
      <c r="Q70" s="34"/>
      <c r="R70" s="35"/>
      <c r="S70" s="35"/>
      <c r="T70" s="35"/>
      <c r="U70" s="35"/>
      <c r="V70" s="35"/>
      <c r="W70" s="35"/>
      <c r="X70" s="35"/>
      <c r="Y70" s="35"/>
      <c r="Z70" s="35"/>
      <c r="AA70" s="35"/>
    </row>
    <row r="71" ht="14.25" customHeight="1">
      <c r="A71" s="221"/>
      <c r="B71" s="231"/>
      <c r="C71" s="233"/>
      <c r="D71" s="212"/>
      <c r="E71" s="511"/>
      <c r="F71" s="511"/>
      <c r="G71" s="518"/>
      <c r="H71" s="522"/>
      <c r="I71" s="230"/>
      <c r="J71" s="36">
        <f t="shared" si="1"/>
        <v>0</v>
      </c>
      <c r="K71" s="37">
        <f t="shared" si="2"/>
        <v>0</v>
      </c>
      <c r="L71" s="38">
        <f t="shared" si="3"/>
        <v>0</v>
      </c>
      <c r="M71" s="39">
        <f t="shared" si="4"/>
        <v>0</v>
      </c>
      <c r="N71" s="38">
        <f t="shared" si="5"/>
        <v>0</v>
      </c>
      <c r="O71" s="39">
        <f t="shared" si="6"/>
        <v>0</v>
      </c>
      <c r="P71" s="84"/>
      <c r="Q71" s="34"/>
      <c r="S71" s="76"/>
      <c r="T71" s="76"/>
      <c r="U71" s="76"/>
      <c r="V71" s="76"/>
      <c r="W71" s="76"/>
      <c r="X71" s="76"/>
      <c r="Y71" s="76"/>
      <c r="Z71" s="76"/>
      <c r="AA71" s="76"/>
    </row>
    <row r="72" ht="14.25" customHeight="1">
      <c r="A72" s="221"/>
      <c r="B72" s="231"/>
      <c r="C72" s="233"/>
      <c r="D72" s="212"/>
      <c r="E72" s="213"/>
      <c r="F72" s="214"/>
      <c r="G72" s="518"/>
      <c r="H72" s="522"/>
      <c r="I72" s="230"/>
      <c r="J72" s="36">
        <f t="shared" si="1"/>
        <v>0</v>
      </c>
      <c r="K72" s="37">
        <f t="shared" si="2"/>
        <v>0</v>
      </c>
      <c r="L72" s="38">
        <f t="shared" si="3"/>
        <v>0</v>
      </c>
      <c r="M72" s="39">
        <f t="shared" si="4"/>
        <v>0</v>
      </c>
      <c r="N72" s="38">
        <f t="shared" si="5"/>
        <v>0</v>
      </c>
      <c r="O72" s="39">
        <f t="shared" si="6"/>
        <v>0</v>
      </c>
      <c r="P72" s="40"/>
      <c r="Q72" s="34"/>
      <c r="R72" s="35"/>
      <c r="S72" s="35"/>
      <c r="T72" s="35"/>
      <c r="U72" s="35"/>
      <c r="V72" s="35"/>
      <c r="W72" s="35"/>
      <c r="X72" s="35"/>
      <c r="Y72" s="35"/>
      <c r="Z72" s="35"/>
      <c r="AA72" s="35"/>
    </row>
    <row r="73" ht="14.25" customHeight="1">
      <c r="A73" s="221"/>
      <c r="B73" s="231"/>
      <c r="C73" s="233"/>
      <c r="D73" s="212"/>
      <c r="E73" s="213"/>
      <c r="F73" s="214"/>
      <c r="G73" s="518"/>
      <c r="H73" s="522"/>
      <c r="I73" s="230"/>
      <c r="J73" s="36">
        <f t="shared" si="1"/>
        <v>0</v>
      </c>
      <c r="K73" s="37">
        <f t="shared" si="2"/>
        <v>0</v>
      </c>
      <c r="L73" s="38">
        <f t="shared" si="3"/>
        <v>0</v>
      </c>
      <c r="M73" s="39">
        <f t="shared" si="4"/>
        <v>0</v>
      </c>
      <c r="N73" s="38">
        <f t="shared" si="5"/>
        <v>0</v>
      </c>
      <c r="O73" s="39">
        <f t="shared" si="6"/>
        <v>0</v>
      </c>
      <c r="P73" s="40"/>
      <c r="Q73" s="34"/>
      <c r="R73" s="35"/>
      <c r="S73" s="35"/>
      <c r="T73" s="35"/>
      <c r="U73" s="35"/>
      <c r="V73" s="35"/>
      <c r="W73" s="35"/>
      <c r="X73" s="35"/>
      <c r="Y73" s="35"/>
      <c r="Z73" s="35"/>
      <c r="AA73" s="35"/>
    </row>
    <row r="74" ht="14.25" customHeight="1">
      <c r="A74" s="221"/>
      <c r="B74" s="231"/>
      <c r="C74" s="233"/>
      <c r="D74" s="212"/>
      <c r="E74" s="213"/>
      <c r="F74" s="214"/>
      <c r="G74" s="518"/>
      <c r="H74" s="522"/>
      <c r="I74" s="230"/>
      <c r="J74" s="36">
        <f t="shared" si="1"/>
        <v>0</v>
      </c>
      <c r="K74" s="37">
        <f t="shared" si="2"/>
        <v>0</v>
      </c>
      <c r="L74" s="38">
        <f t="shared" si="3"/>
        <v>0</v>
      </c>
      <c r="M74" s="39">
        <f t="shared" si="4"/>
        <v>0</v>
      </c>
      <c r="N74" s="38">
        <f t="shared" si="5"/>
        <v>0</v>
      </c>
      <c r="O74" s="39">
        <f t="shared" si="6"/>
        <v>0</v>
      </c>
      <c r="P74" s="40"/>
      <c r="Q74" s="34"/>
      <c r="R74" s="35"/>
      <c r="S74" s="35"/>
      <c r="T74" s="35"/>
      <c r="U74" s="35"/>
      <c r="V74" s="35"/>
      <c r="W74" s="35"/>
      <c r="X74" s="35"/>
      <c r="Y74" s="35"/>
      <c r="Z74" s="35"/>
      <c r="AA74" s="35"/>
    </row>
    <row r="75" ht="14.25" customHeight="1">
      <c r="A75" s="221"/>
      <c r="B75" s="231"/>
      <c r="C75" s="233"/>
      <c r="D75" s="212"/>
      <c r="E75" s="213"/>
      <c r="F75" s="214"/>
      <c r="G75" s="518"/>
      <c r="H75" s="522"/>
      <c r="I75" s="230"/>
      <c r="J75" s="36">
        <f t="shared" si="1"/>
        <v>0</v>
      </c>
      <c r="K75" s="37">
        <f t="shared" si="2"/>
        <v>0</v>
      </c>
      <c r="L75" s="38">
        <f t="shared" si="3"/>
        <v>0</v>
      </c>
      <c r="M75" s="39">
        <f t="shared" si="4"/>
        <v>0</v>
      </c>
      <c r="N75" s="38">
        <f t="shared" si="5"/>
        <v>0</v>
      </c>
      <c r="O75" s="39">
        <f t="shared" si="6"/>
        <v>0</v>
      </c>
      <c r="P75" s="40"/>
      <c r="Q75" s="34"/>
      <c r="R75" s="35"/>
      <c r="S75" s="35"/>
      <c r="T75" s="35"/>
      <c r="U75" s="35"/>
      <c r="V75" s="35"/>
      <c r="W75" s="35"/>
      <c r="X75" s="35"/>
      <c r="Y75" s="35"/>
      <c r="Z75" s="35"/>
      <c r="AA75" s="35"/>
    </row>
    <row r="76" ht="14.25" customHeight="1">
      <c r="A76" s="221"/>
      <c r="B76" s="231"/>
      <c r="C76" s="233"/>
      <c r="D76" s="212"/>
      <c r="E76" s="213"/>
      <c r="F76" s="214"/>
      <c r="G76" s="523"/>
      <c r="H76" s="524"/>
      <c r="I76" s="523"/>
      <c r="J76" s="36">
        <f t="shared" si="1"/>
        <v>0</v>
      </c>
      <c r="K76" s="37">
        <f t="shared" si="2"/>
        <v>0</v>
      </c>
      <c r="L76" s="38">
        <f t="shared" si="3"/>
        <v>0</v>
      </c>
      <c r="M76" s="39">
        <f t="shared" si="4"/>
        <v>0</v>
      </c>
      <c r="N76" s="38">
        <f t="shared" si="5"/>
        <v>0</v>
      </c>
      <c r="O76" s="39">
        <f t="shared" si="6"/>
        <v>0</v>
      </c>
      <c r="P76" s="40"/>
      <c r="Q76" s="34"/>
      <c r="R76" s="35"/>
      <c r="S76" s="35"/>
      <c r="T76" s="35"/>
      <c r="U76" s="35"/>
      <c r="V76" s="35"/>
      <c r="W76" s="35"/>
      <c r="X76" s="35"/>
      <c r="Y76" s="35"/>
      <c r="Z76" s="35"/>
      <c r="AA76" s="35"/>
    </row>
    <row r="77" ht="14.25" customHeight="1">
      <c r="A77" s="221"/>
      <c r="B77" s="231"/>
      <c r="C77" s="233"/>
      <c r="D77" s="212"/>
      <c r="E77" s="213"/>
      <c r="F77" s="214"/>
      <c r="G77" s="523"/>
      <c r="H77" s="524"/>
      <c r="I77" s="523"/>
      <c r="J77" s="36">
        <f t="shared" si="1"/>
        <v>0</v>
      </c>
      <c r="K77" s="37">
        <f t="shared" si="2"/>
        <v>0</v>
      </c>
      <c r="L77" s="38">
        <f t="shared" si="3"/>
        <v>0</v>
      </c>
      <c r="M77" s="39">
        <f t="shared" si="4"/>
        <v>0</v>
      </c>
      <c r="N77" s="38">
        <f t="shared" si="5"/>
        <v>0</v>
      </c>
      <c r="O77" s="39">
        <f t="shared" si="6"/>
        <v>0</v>
      </c>
      <c r="P77" s="40"/>
      <c r="Q77" s="34"/>
      <c r="R77" s="35"/>
      <c r="S77" s="35"/>
      <c r="T77" s="35"/>
      <c r="U77" s="35"/>
      <c r="V77" s="35"/>
      <c r="W77" s="35"/>
      <c r="X77" s="35"/>
      <c r="Y77" s="35"/>
      <c r="Z77" s="35"/>
      <c r="AA77" s="35"/>
    </row>
    <row r="78" ht="14.25" customHeight="1">
      <c r="A78" s="221"/>
      <c r="B78" s="231"/>
      <c r="C78" s="233"/>
      <c r="D78" s="212"/>
      <c r="E78" s="213"/>
      <c r="F78" s="214"/>
      <c r="G78" s="523"/>
      <c r="H78" s="524"/>
      <c r="I78" s="523"/>
      <c r="J78" s="36">
        <f t="shared" si="1"/>
        <v>0</v>
      </c>
      <c r="K78" s="37">
        <f t="shared" si="2"/>
        <v>0</v>
      </c>
      <c r="L78" s="38">
        <f t="shared" si="3"/>
        <v>0</v>
      </c>
      <c r="M78" s="39">
        <f t="shared" si="4"/>
        <v>0</v>
      </c>
      <c r="N78" s="38">
        <f t="shared" si="5"/>
        <v>0</v>
      </c>
      <c r="O78" s="39">
        <f t="shared" si="6"/>
        <v>0</v>
      </c>
      <c r="P78" s="40"/>
      <c r="Q78" s="34"/>
      <c r="R78" s="35"/>
      <c r="S78" s="35"/>
      <c r="T78" s="35"/>
      <c r="U78" s="35"/>
      <c r="V78" s="35"/>
      <c r="W78" s="35"/>
      <c r="X78" s="35"/>
      <c r="Y78" s="35"/>
      <c r="Z78" s="35"/>
      <c r="AA78" s="35"/>
    </row>
    <row r="79" ht="14.25" customHeight="1">
      <c r="A79" s="221"/>
      <c r="B79" s="231"/>
      <c r="C79" s="233"/>
      <c r="D79" s="212"/>
      <c r="E79" s="213"/>
      <c r="F79" s="214"/>
      <c r="G79" s="523"/>
      <c r="H79" s="524"/>
      <c r="I79" s="523"/>
      <c r="J79" s="36">
        <f t="shared" si="1"/>
        <v>0</v>
      </c>
      <c r="K79" s="37">
        <f t="shared" si="2"/>
        <v>0</v>
      </c>
      <c r="L79" s="38">
        <f t="shared" si="3"/>
        <v>0</v>
      </c>
      <c r="M79" s="39">
        <f t="shared" si="4"/>
        <v>0</v>
      </c>
      <c r="N79" s="38">
        <f t="shared" si="5"/>
        <v>0</v>
      </c>
      <c r="O79" s="39">
        <f t="shared" si="6"/>
        <v>0</v>
      </c>
      <c r="P79" s="40"/>
      <c r="Q79" s="34"/>
      <c r="R79" s="35"/>
      <c r="S79" s="35"/>
      <c r="T79" s="35"/>
      <c r="U79" s="35"/>
      <c r="V79" s="35"/>
      <c r="W79" s="35"/>
      <c r="X79" s="35"/>
      <c r="Y79" s="35"/>
      <c r="Z79" s="35"/>
      <c r="AA79" s="35"/>
    </row>
    <row r="80" ht="14.25" customHeight="1">
      <c r="A80" s="221"/>
      <c r="B80" s="231"/>
      <c r="C80" s="233"/>
      <c r="D80" s="212"/>
      <c r="E80" s="213"/>
      <c r="F80" s="214"/>
      <c r="G80" s="523"/>
      <c r="H80" s="524"/>
      <c r="I80" s="523"/>
      <c r="J80" s="36">
        <f t="shared" si="1"/>
        <v>0</v>
      </c>
      <c r="K80" s="37">
        <f t="shared" si="2"/>
        <v>0</v>
      </c>
      <c r="L80" s="38">
        <f t="shared" si="3"/>
        <v>0</v>
      </c>
      <c r="M80" s="39">
        <f t="shared" si="4"/>
        <v>0</v>
      </c>
      <c r="N80" s="38">
        <f t="shared" si="5"/>
        <v>0</v>
      </c>
      <c r="O80" s="39">
        <f t="shared" si="6"/>
        <v>0</v>
      </c>
      <c r="P80" s="40"/>
      <c r="Q80" s="34"/>
      <c r="R80" s="35"/>
      <c r="S80" s="35"/>
      <c r="T80" s="35"/>
      <c r="U80" s="35"/>
      <c r="V80" s="35"/>
      <c r="W80" s="35"/>
      <c r="X80" s="35"/>
      <c r="Y80" s="35"/>
      <c r="Z80" s="35"/>
      <c r="AA80" s="35"/>
    </row>
    <row r="81" ht="14.25" customHeight="1">
      <c r="A81" s="221"/>
      <c r="B81" s="231"/>
      <c r="C81" s="233"/>
      <c r="D81" s="212"/>
      <c r="E81" s="213"/>
      <c r="F81" s="214"/>
      <c r="G81" s="523"/>
      <c r="H81" s="524"/>
      <c r="I81" s="523"/>
      <c r="J81" s="36">
        <f t="shared" si="1"/>
        <v>0</v>
      </c>
      <c r="K81" s="37">
        <f t="shared" si="2"/>
        <v>0</v>
      </c>
      <c r="L81" s="38">
        <f t="shared" si="3"/>
        <v>0</v>
      </c>
      <c r="M81" s="39">
        <f t="shared" si="4"/>
        <v>0</v>
      </c>
      <c r="N81" s="38">
        <f t="shared" si="5"/>
        <v>0</v>
      </c>
      <c r="O81" s="39">
        <f t="shared" si="6"/>
        <v>0</v>
      </c>
      <c r="P81" s="40"/>
      <c r="Q81" s="34"/>
      <c r="R81" s="35"/>
      <c r="S81" s="35"/>
      <c r="T81" s="35"/>
      <c r="U81" s="35"/>
      <c r="V81" s="35"/>
      <c r="W81" s="35"/>
      <c r="X81" s="35"/>
      <c r="Y81" s="35"/>
      <c r="Z81" s="35"/>
      <c r="AA81" s="35"/>
    </row>
    <row r="82" ht="14.25" customHeight="1">
      <c r="A82" s="221"/>
      <c r="B82" s="231"/>
      <c r="C82" s="233"/>
      <c r="D82" s="212"/>
      <c r="E82" s="213"/>
      <c r="F82" s="214"/>
      <c r="G82" s="523"/>
      <c r="H82" s="524"/>
      <c r="I82" s="523"/>
      <c r="J82" s="36">
        <f t="shared" si="1"/>
        <v>0</v>
      </c>
      <c r="K82" s="37">
        <f t="shared" si="2"/>
        <v>0</v>
      </c>
      <c r="L82" s="38">
        <f t="shared" si="3"/>
        <v>0</v>
      </c>
      <c r="M82" s="39">
        <f t="shared" si="4"/>
        <v>0</v>
      </c>
      <c r="N82" s="38">
        <f t="shared" si="5"/>
        <v>0</v>
      </c>
      <c r="O82" s="39">
        <f t="shared" si="6"/>
        <v>0</v>
      </c>
      <c r="P82" s="40"/>
      <c r="Q82" s="34"/>
      <c r="R82" s="35"/>
      <c r="S82" s="35"/>
      <c r="T82" s="35"/>
      <c r="U82" s="35"/>
      <c r="V82" s="35"/>
      <c r="W82" s="35"/>
      <c r="X82" s="35"/>
      <c r="Y82" s="35"/>
      <c r="Z82" s="35"/>
      <c r="AA82" s="35"/>
    </row>
    <row r="83" ht="14.25" customHeight="1">
      <c r="A83" s="221"/>
      <c r="B83" s="231"/>
      <c r="C83" s="233"/>
      <c r="D83" s="212"/>
      <c r="E83" s="213"/>
      <c r="F83" s="214"/>
      <c r="G83" s="523"/>
      <c r="H83" s="524"/>
      <c r="I83" s="523"/>
      <c r="J83" s="36">
        <f t="shared" si="1"/>
        <v>0</v>
      </c>
      <c r="K83" s="37">
        <f t="shared" si="2"/>
        <v>0</v>
      </c>
      <c r="L83" s="38">
        <f t="shared" si="3"/>
        <v>0</v>
      </c>
      <c r="M83" s="39">
        <f t="shared" si="4"/>
        <v>0</v>
      </c>
      <c r="N83" s="38">
        <f t="shared" si="5"/>
        <v>0</v>
      </c>
      <c r="O83" s="39">
        <f t="shared" si="6"/>
        <v>0</v>
      </c>
      <c r="P83" s="40"/>
      <c r="Q83" s="34"/>
      <c r="R83" s="35"/>
      <c r="S83" s="35"/>
      <c r="T83" s="35"/>
      <c r="U83" s="35"/>
      <c r="V83" s="35"/>
      <c r="W83" s="35"/>
      <c r="X83" s="35"/>
      <c r="Y83" s="35"/>
      <c r="Z83" s="35"/>
      <c r="AA83" s="35"/>
    </row>
    <row r="84" ht="14.25" customHeight="1">
      <c r="A84" s="221"/>
      <c r="B84" s="231"/>
      <c r="C84" s="233"/>
      <c r="D84" s="212"/>
      <c r="E84" s="213"/>
      <c r="F84" s="214"/>
      <c r="G84" s="523"/>
      <c r="H84" s="524"/>
      <c r="I84" s="523"/>
      <c r="J84" s="36">
        <f t="shared" si="1"/>
        <v>0</v>
      </c>
      <c r="K84" s="37">
        <f t="shared" si="2"/>
        <v>0</v>
      </c>
      <c r="L84" s="38">
        <f t="shared" si="3"/>
        <v>0</v>
      </c>
      <c r="M84" s="39">
        <f t="shared" si="4"/>
        <v>0</v>
      </c>
      <c r="N84" s="38">
        <f t="shared" si="5"/>
        <v>0</v>
      </c>
      <c r="O84" s="39">
        <f t="shared" si="6"/>
        <v>0</v>
      </c>
      <c r="P84" s="40"/>
      <c r="Q84" s="34"/>
      <c r="R84" s="35"/>
      <c r="S84" s="35"/>
      <c r="T84" s="35"/>
      <c r="U84" s="35"/>
      <c r="V84" s="35"/>
      <c r="W84" s="35"/>
      <c r="X84" s="35"/>
      <c r="Y84" s="35"/>
      <c r="Z84" s="35"/>
      <c r="AA84" s="35"/>
    </row>
    <row r="85" ht="14.25" customHeight="1">
      <c r="A85" s="221"/>
      <c r="B85" s="231"/>
      <c r="C85" s="233"/>
      <c r="D85" s="212"/>
      <c r="E85" s="213"/>
      <c r="F85" s="214"/>
      <c r="G85" s="523"/>
      <c r="H85" s="524"/>
      <c r="I85" s="523"/>
      <c r="J85" s="36">
        <f t="shared" si="1"/>
        <v>0</v>
      </c>
      <c r="K85" s="37">
        <f t="shared" si="2"/>
        <v>0</v>
      </c>
      <c r="L85" s="38">
        <f t="shared" si="3"/>
        <v>0</v>
      </c>
      <c r="M85" s="39">
        <f t="shared" si="4"/>
        <v>0</v>
      </c>
      <c r="N85" s="38">
        <f t="shared" si="5"/>
        <v>0</v>
      </c>
      <c r="O85" s="39">
        <f t="shared" si="6"/>
        <v>0</v>
      </c>
      <c r="P85" s="40"/>
      <c r="Q85" s="34"/>
      <c r="R85" s="35"/>
      <c r="S85" s="35"/>
      <c r="T85" s="35"/>
      <c r="U85" s="35"/>
      <c r="V85" s="35"/>
      <c r="W85" s="35"/>
      <c r="X85" s="35"/>
      <c r="Y85" s="35"/>
      <c r="Z85" s="35"/>
      <c r="AA85" s="35"/>
    </row>
    <row r="86" ht="14.25" customHeight="1">
      <c r="A86" s="221"/>
      <c r="B86" s="231"/>
      <c r="C86" s="233"/>
      <c r="D86" s="212"/>
      <c r="E86" s="213"/>
      <c r="F86" s="214"/>
      <c r="G86" s="523"/>
      <c r="H86" s="524"/>
      <c r="I86" s="523"/>
      <c r="J86" s="36">
        <f t="shared" si="1"/>
        <v>0</v>
      </c>
      <c r="K86" s="37">
        <f t="shared" si="2"/>
        <v>0</v>
      </c>
      <c r="L86" s="38">
        <f t="shared" si="3"/>
        <v>0</v>
      </c>
      <c r="M86" s="39">
        <f t="shared" si="4"/>
        <v>0</v>
      </c>
      <c r="N86" s="38">
        <f t="shared" si="5"/>
        <v>0</v>
      </c>
      <c r="O86" s="39">
        <f t="shared" si="6"/>
        <v>0</v>
      </c>
      <c r="P86" s="40"/>
      <c r="Q86" s="78"/>
      <c r="R86" s="76"/>
      <c r="S86" s="76"/>
      <c r="T86" s="76"/>
      <c r="U86" s="76"/>
      <c r="V86" s="76"/>
      <c r="W86" s="76"/>
      <c r="X86" s="76"/>
      <c r="Y86" s="76"/>
      <c r="Z86" s="76"/>
      <c r="AA86" s="76"/>
    </row>
    <row r="87" ht="14.25" customHeight="1">
      <c r="A87" s="221"/>
      <c r="B87" s="231"/>
      <c r="C87" s="233"/>
      <c r="D87" s="212"/>
      <c r="E87" s="213"/>
      <c r="F87" s="214"/>
      <c r="G87" s="523"/>
      <c r="H87" s="524"/>
      <c r="I87" s="523"/>
      <c r="J87" s="36">
        <f t="shared" si="1"/>
        <v>0</v>
      </c>
      <c r="K87" s="37">
        <f t="shared" si="2"/>
        <v>0</v>
      </c>
      <c r="L87" s="38">
        <f t="shared" si="3"/>
        <v>0</v>
      </c>
      <c r="M87" s="39">
        <f t="shared" si="4"/>
        <v>0</v>
      </c>
      <c r="N87" s="38">
        <f t="shared" si="5"/>
        <v>0</v>
      </c>
      <c r="O87" s="39">
        <f t="shared" si="6"/>
        <v>0</v>
      </c>
      <c r="P87" s="40"/>
      <c r="Q87" s="78"/>
      <c r="R87" s="35"/>
      <c r="S87" s="35"/>
      <c r="T87" s="35"/>
      <c r="U87" s="35"/>
      <c r="V87" s="35"/>
      <c r="W87" s="35"/>
      <c r="X87" s="35"/>
      <c r="Y87" s="35"/>
      <c r="Z87" s="35"/>
      <c r="AA87" s="35"/>
    </row>
    <row r="88" ht="14.25" customHeight="1">
      <c r="A88" s="221"/>
      <c r="B88" s="231"/>
      <c r="C88" s="233"/>
      <c r="D88" s="212"/>
      <c r="E88" s="213"/>
      <c r="F88" s="214"/>
      <c r="G88" s="523"/>
      <c r="H88" s="524"/>
      <c r="I88" s="523"/>
      <c r="J88" s="36">
        <f t="shared" si="1"/>
        <v>0</v>
      </c>
      <c r="K88" s="37">
        <f t="shared" si="2"/>
        <v>0</v>
      </c>
      <c r="L88" s="38">
        <f t="shared" si="3"/>
        <v>0</v>
      </c>
      <c r="M88" s="39">
        <f t="shared" si="4"/>
        <v>0</v>
      </c>
      <c r="N88" s="38">
        <f t="shared" si="5"/>
        <v>0</v>
      </c>
      <c r="O88" s="39">
        <f t="shared" si="6"/>
        <v>0</v>
      </c>
      <c r="P88" s="40"/>
      <c r="Q88" s="78"/>
      <c r="R88" s="35"/>
      <c r="S88" s="35"/>
      <c r="T88" s="35"/>
      <c r="U88" s="35"/>
      <c r="V88" s="35"/>
      <c r="W88" s="35"/>
      <c r="X88" s="35"/>
      <c r="Y88" s="35"/>
      <c r="Z88" s="35"/>
      <c r="AA88" s="35"/>
    </row>
    <row r="89" ht="14.25" customHeight="1">
      <c r="A89" s="221"/>
      <c r="B89" s="231"/>
      <c r="C89" s="233"/>
      <c r="D89" s="212"/>
      <c r="E89" s="213"/>
      <c r="F89" s="214"/>
      <c r="G89" s="523"/>
      <c r="H89" s="524"/>
      <c r="I89" s="523"/>
      <c r="J89" s="36">
        <f t="shared" si="1"/>
        <v>0</v>
      </c>
      <c r="K89" s="37">
        <f t="shared" si="2"/>
        <v>0</v>
      </c>
      <c r="L89" s="38">
        <f t="shared" si="3"/>
        <v>0</v>
      </c>
      <c r="M89" s="39">
        <f t="shared" si="4"/>
        <v>0</v>
      </c>
      <c r="N89" s="38">
        <f t="shared" si="5"/>
        <v>0</v>
      </c>
      <c r="O89" s="39">
        <f t="shared" si="6"/>
        <v>0</v>
      </c>
      <c r="P89" s="40"/>
      <c r="Q89" s="34"/>
      <c r="R89" s="35"/>
      <c r="S89" s="35"/>
      <c r="T89" s="35"/>
      <c r="U89" s="35"/>
      <c r="V89" s="35"/>
      <c r="W89" s="35"/>
      <c r="X89" s="35"/>
      <c r="Y89" s="35"/>
      <c r="Z89" s="35"/>
      <c r="AA89" s="35"/>
    </row>
    <row r="90" ht="14.25" customHeight="1">
      <c r="A90" s="221"/>
      <c r="B90" s="231"/>
      <c r="C90" s="233"/>
      <c r="D90" s="212"/>
      <c r="E90" s="213"/>
      <c r="F90" s="214"/>
      <c r="G90" s="523"/>
      <c r="H90" s="524"/>
      <c r="I90" s="523"/>
      <c r="J90" s="36">
        <f t="shared" si="1"/>
        <v>0</v>
      </c>
      <c r="K90" s="37">
        <f t="shared" si="2"/>
        <v>0</v>
      </c>
      <c r="L90" s="38">
        <f t="shared" si="3"/>
        <v>0</v>
      </c>
      <c r="M90" s="39">
        <f t="shared" si="4"/>
        <v>0</v>
      </c>
      <c r="N90" s="38">
        <f t="shared" si="5"/>
        <v>0</v>
      </c>
      <c r="O90" s="39">
        <f t="shared" si="6"/>
        <v>0</v>
      </c>
      <c r="P90" s="40"/>
      <c r="Q90" s="78"/>
      <c r="R90" s="35"/>
      <c r="S90" s="35"/>
      <c r="T90" s="35"/>
      <c r="U90" s="35"/>
      <c r="V90" s="35"/>
      <c r="W90" s="35"/>
      <c r="X90" s="35"/>
      <c r="Y90" s="35"/>
      <c r="Z90" s="35"/>
      <c r="AA90" s="35"/>
    </row>
    <row r="91" ht="14.25" customHeight="1">
      <c r="A91" s="221"/>
      <c r="B91" s="231"/>
      <c r="C91" s="233"/>
      <c r="D91" s="212"/>
      <c r="E91" s="213"/>
      <c r="F91" s="214"/>
      <c r="G91" s="523"/>
      <c r="H91" s="524"/>
      <c r="I91" s="523"/>
      <c r="J91" s="36">
        <f t="shared" si="1"/>
        <v>0</v>
      </c>
      <c r="K91" s="37">
        <f t="shared" si="2"/>
        <v>0</v>
      </c>
      <c r="L91" s="38">
        <f t="shared" si="3"/>
        <v>0</v>
      </c>
      <c r="M91" s="39">
        <f t="shared" si="4"/>
        <v>0</v>
      </c>
      <c r="N91" s="38">
        <f t="shared" si="5"/>
        <v>0</v>
      </c>
      <c r="O91" s="39">
        <f t="shared" si="6"/>
        <v>0</v>
      </c>
      <c r="P91" s="40"/>
      <c r="Q91" s="34"/>
      <c r="R91" s="35"/>
      <c r="S91" s="35"/>
      <c r="T91" s="35"/>
      <c r="U91" s="35"/>
      <c r="V91" s="35"/>
      <c r="W91" s="35"/>
      <c r="X91" s="35"/>
      <c r="Y91" s="35"/>
      <c r="Z91" s="35"/>
      <c r="AA91" s="35"/>
    </row>
    <row r="92" ht="14.25" customHeight="1">
      <c r="A92" s="221"/>
      <c r="B92" s="231"/>
      <c r="C92" s="233"/>
      <c r="D92" s="212"/>
      <c r="E92" s="213"/>
      <c r="F92" s="214"/>
      <c r="G92" s="523"/>
      <c r="H92" s="524"/>
      <c r="I92" s="523"/>
      <c r="J92" s="36">
        <f t="shared" si="1"/>
        <v>0</v>
      </c>
      <c r="K92" s="37">
        <f t="shared" si="2"/>
        <v>0</v>
      </c>
      <c r="L92" s="38">
        <f t="shared" si="3"/>
        <v>0</v>
      </c>
      <c r="M92" s="39">
        <f t="shared" si="4"/>
        <v>0</v>
      </c>
      <c r="N92" s="38">
        <f t="shared" si="5"/>
        <v>0</v>
      </c>
      <c r="O92" s="39">
        <f t="shared" si="6"/>
        <v>0</v>
      </c>
      <c r="P92" s="40"/>
      <c r="Q92" s="78"/>
      <c r="R92" s="35"/>
      <c r="S92" s="35"/>
      <c r="T92" s="35"/>
      <c r="U92" s="35"/>
      <c r="V92" s="35"/>
      <c r="W92" s="35"/>
      <c r="X92" s="35"/>
      <c r="Y92" s="35"/>
      <c r="Z92" s="35"/>
      <c r="AA92" s="35"/>
    </row>
    <row r="93" ht="14.25" customHeight="1">
      <c r="A93" s="221"/>
      <c r="B93" s="231"/>
      <c r="C93" s="233"/>
      <c r="D93" s="212"/>
      <c r="E93" s="213"/>
      <c r="F93" s="214"/>
      <c r="G93" s="523"/>
      <c r="H93" s="524"/>
      <c r="I93" s="523"/>
      <c r="J93" s="36">
        <f t="shared" si="1"/>
        <v>0</v>
      </c>
      <c r="K93" s="37">
        <f t="shared" si="2"/>
        <v>0</v>
      </c>
      <c r="L93" s="38">
        <f t="shared" si="3"/>
        <v>0</v>
      </c>
      <c r="M93" s="39">
        <f t="shared" si="4"/>
        <v>0</v>
      </c>
      <c r="N93" s="38">
        <f t="shared" si="5"/>
        <v>0</v>
      </c>
      <c r="O93" s="39">
        <f t="shared" si="6"/>
        <v>0</v>
      </c>
      <c r="P93" s="40"/>
      <c r="Q93" s="78"/>
      <c r="R93" s="35"/>
      <c r="S93" s="35"/>
      <c r="T93" s="35"/>
      <c r="U93" s="35"/>
      <c r="V93" s="35"/>
      <c r="W93" s="35"/>
      <c r="X93" s="35"/>
      <c r="Y93" s="35"/>
      <c r="Z93" s="35"/>
      <c r="AA93" s="35"/>
    </row>
    <row r="94" ht="14.25" customHeight="1">
      <c r="A94" s="221"/>
      <c r="B94" s="231"/>
      <c r="C94" s="233"/>
      <c r="D94" s="212"/>
      <c r="E94" s="213"/>
      <c r="F94" s="214"/>
      <c r="G94" s="523"/>
      <c r="H94" s="524"/>
      <c r="I94" s="523"/>
      <c r="J94" s="36">
        <f t="shared" si="1"/>
        <v>0</v>
      </c>
      <c r="K94" s="37">
        <f t="shared" si="2"/>
        <v>0</v>
      </c>
      <c r="L94" s="38">
        <f t="shared" si="3"/>
        <v>0</v>
      </c>
      <c r="M94" s="39">
        <f t="shared" si="4"/>
        <v>0</v>
      </c>
      <c r="N94" s="38">
        <f t="shared" si="5"/>
        <v>0</v>
      </c>
      <c r="O94" s="39">
        <f t="shared" si="6"/>
        <v>0</v>
      </c>
      <c r="P94" s="40"/>
      <c r="Q94" s="78"/>
      <c r="R94" s="35"/>
      <c r="S94" s="35"/>
      <c r="T94" s="35"/>
      <c r="U94" s="35"/>
      <c r="V94" s="35"/>
      <c r="W94" s="35"/>
      <c r="X94" s="35"/>
      <c r="Y94" s="35"/>
      <c r="Z94" s="35"/>
      <c r="AA94" s="35"/>
    </row>
    <row r="95" ht="14.25" customHeight="1">
      <c r="A95" s="221"/>
      <c r="B95" s="231"/>
      <c r="C95" s="233"/>
      <c r="D95" s="212"/>
      <c r="E95" s="213"/>
      <c r="F95" s="214"/>
      <c r="G95" s="523"/>
      <c r="H95" s="524"/>
      <c r="I95" s="523"/>
      <c r="J95" s="36">
        <f t="shared" si="1"/>
        <v>0</v>
      </c>
      <c r="K95" s="37">
        <f t="shared" si="2"/>
        <v>0</v>
      </c>
      <c r="L95" s="38">
        <f t="shared" si="3"/>
        <v>0</v>
      </c>
      <c r="M95" s="39">
        <f t="shared" si="4"/>
        <v>0</v>
      </c>
      <c r="N95" s="38">
        <f t="shared" si="5"/>
        <v>0</v>
      </c>
      <c r="O95" s="39">
        <f t="shared" si="6"/>
        <v>0</v>
      </c>
      <c r="P95" s="40"/>
      <c r="Q95" s="34"/>
      <c r="R95" s="35"/>
      <c r="S95" s="35"/>
      <c r="T95" s="35"/>
      <c r="U95" s="35"/>
      <c r="V95" s="35"/>
      <c r="W95" s="35"/>
      <c r="X95" s="35"/>
      <c r="Y95" s="35"/>
      <c r="Z95" s="35"/>
      <c r="AA95" s="35"/>
    </row>
    <row r="96" ht="14.25" customHeight="1">
      <c r="A96" s="221"/>
      <c r="B96" s="231"/>
      <c r="C96" s="233"/>
      <c r="D96" s="212"/>
      <c r="E96" s="213"/>
      <c r="F96" s="214"/>
      <c r="G96" s="523"/>
      <c r="H96" s="524"/>
      <c r="I96" s="523"/>
      <c r="J96" s="36">
        <f t="shared" si="1"/>
        <v>0</v>
      </c>
      <c r="K96" s="37">
        <f t="shared" si="2"/>
        <v>0</v>
      </c>
      <c r="L96" s="38">
        <f t="shared" si="3"/>
        <v>0</v>
      </c>
      <c r="M96" s="39">
        <f t="shared" si="4"/>
        <v>0</v>
      </c>
      <c r="N96" s="38">
        <f t="shared" si="5"/>
        <v>0</v>
      </c>
      <c r="O96" s="39">
        <f t="shared" si="6"/>
        <v>0</v>
      </c>
      <c r="P96" s="40"/>
      <c r="Q96" s="34"/>
      <c r="R96" s="35"/>
      <c r="S96" s="35"/>
      <c r="T96" s="35"/>
      <c r="U96" s="35"/>
      <c r="V96" s="35"/>
      <c r="W96" s="35"/>
      <c r="X96" s="35"/>
      <c r="Y96" s="35"/>
      <c r="Z96" s="35"/>
      <c r="AA96" s="35"/>
    </row>
    <row r="97" ht="14.25" customHeight="1">
      <c r="A97" s="221"/>
      <c r="B97" s="231"/>
      <c r="C97" s="233"/>
      <c r="D97" s="212"/>
      <c r="E97" s="213"/>
      <c r="F97" s="214"/>
      <c r="G97" s="523"/>
      <c r="H97" s="524"/>
      <c r="I97" s="523"/>
      <c r="J97" s="36">
        <f t="shared" si="1"/>
        <v>0</v>
      </c>
      <c r="K97" s="37">
        <f t="shared" si="2"/>
        <v>0</v>
      </c>
      <c r="L97" s="38">
        <f t="shared" si="3"/>
        <v>0</v>
      </c>
      <c r="M97" s="39">
        <f t="shared" si="4"/>
        <v>0</v>
      </c>
      <c r="N97" s="38">
        <f t="shared" si="5"/>
        <v>0</v>
      </c>
      <c r="O97" s="39">
        <f t="shared" si="6"/>
        <v>0</v>
      </c>
      <c r="P97" s="40"/>
      <c r="Q97" s="34"/>
      <c r="R97" s="35"/>
      <c r="S97" s="35"/>
      <c r="T97" s="35"/>
      <c r="U97" s="35"/>
      <c r="V97" s="35"/>
      <c r="W97" s="35"/>
      <c r="X97" s="35"/>
      <c r="Y97" s="35"/>
      <c r="Z97" s="35"/>
      <c r="AA97" s="35"/>
    </row>
    <row r="98" ht="14.25" customHeight="1">
      <c r="A98" s="221"/>
      <c r="B98" s="231"/>
      <c r="C98" s="233"/>
      <c r="D98" s="212"/>
      <c r="E98" s="213"/>
      <c r="F98" s="214"/>
      <c r="G98" s="523"/>
      <c r="H98" s="524"/>
      <c r="I98" s="523"/>
      <c r="J98" s="36">
        <f t="shared" si="1"/>
        <v>0</v>
      </c>
      <c r="K98" s="37">
        <f t="shared" si="2"/>
        <v>0</v>
      </c>
      <c r="L98" s="38">
        <f t="shared" si="3"/>
        <v>0</v>
      </c>
      <c r="M98" s="39">
        <f t="shared" si="4"/>
        <v>0</v>
      </c>
      <c r="N98" s="38">
        <f t="shared" si="5"/>
        <v>0</v>
      </c>
      <c r="O98" s="39">
        <f t="shared" si="6"/>
        <v>0</v>
      </c>
      <c r="P98" s="40"/>
      <c r="Q98" s="34"/>
      <c r="R98" s="35"/>
      <c r="S98" s="35"/>
      <c r="T98" s="35"/>
      <c r="U98" s="35"/>
      <c r="V98" s="35"/>
      <c r="W98" s="35"/>
      <c r="X98" s="35"/>
      <c r="Y98" s="35"/>
      <c r="Z98" s="35"/>
      <c r="AA98" s="35"/>
    </row>
    <row r="99" ht="14.25" customHeight="1">
      <c r="A99" s="221"/>
      <c r="B99" s="231"/>
      <c r="C99" s="233"/>
      <c r="D99" s="212"/>
      <c r="E99" s="213"/>
      <c r="F99" s="214"/>
      <c r="G99" s="523"/>
      <c r="H99" s="524"/>
      <c r="I99" s="523"/>
      <c r="J99" s="36">
        <f t="shared" si="1"/>
        <v>0</v>
      </c>
      <c r="K99" s="37">
        <f t="shared" si="2"/>
        <v>0</v>
      </c>
      <c r="L99" s="38">
        <f t="shared" si="3"/>
        <v>0</v>
      </c>
      <c r="M99" s="39">
        <f t="shared" si="4"/>
        <v>0</v>
      </c>
      <c r="N99" s="38">
        <f t="shared" si="5"/>
        <v>0</v>
      </c>
      <c r="O99" s="39">
        <f t="shared" si="6"/>
        <v>0</v>
      </c>
      <c r="P99" s="40"/>
      <c r="Q99" s="34"/>
      <c r="R99" s="35"/>
      <c r="S99" s="35"/>
      <c r="T99" s="35"/>
      <c r="U99" s="35"/>
      <c r="V99" s="35"/>
      <c r="W99" s="35"/>
      <c r="X99" s="35"/>
      <c r="Y99" s="35"/>
      <c r="Z99" s="35"/>
      <c r="AA99" s="35"/>
    </row>
    <row r="100" ht="14.25" customHeight="1">
      <c r="A100" s="221"/>
      <c r="B100" s="231"/>
      <c r="C100" s="233"/>
      <c r="D100" s="212"/>
      <c r="E100" s="213"/>
      <c r="F100" s="214"/>
      <c r="G100" s="523"/>
      <c r="H100" s="524"/>
      <c r="I100" s="523"/>
      <c r="J100" s="36">
        <f t="shared" si="1"/>
        <v>0</v>
      </c>
      <c r="K100" s="37">
        <f t="shared" si="2"/>
        <v>0</v>
      </c>
      <c r="L100" s="38">
        <f t="shared" si="3"/>
        <v>0</v>
      </c>
      <c r="M100" s="39">
        <f t="shared" si="4"/>
        <v>0</v>
      </c>
      <c r="N100" s="38">
        <f t="shared" si="5"/>
        <v>0</v>
      </c>
      <c r="O100" s="39">
        <f t="shared" si="6"/>
        <v>0</v>
      </c>
      <c r="P100" s="40"/>
      <c r="Q100" s="34"/>
      <c r="R100" s="35"/>
      <c r="S100" s="35"/>
      <c r="T100" s="35"/>
      <c r="U100" s="35"/>
      <c r="V100" s="35"/>
      <c r="W100" s="35"/>
      <c r="X100" s="35"/>
      <c r="Y100" s="35"/>
      <c r="Z100" s="35"/>
      <c r="AA100" s="35"/>
    </row>
    <row r="101" ht="14.25" customHeight="1">
      <c r="A101" s="221"/>
      <c r="B101" s="231"/>
      <c r="C101" s="233"/>
      <c r="D101" s="212"/>
      <c r="E101" s="213"/>
      <c r="F101" s="214"/>
      <c r="G101" s="523"/>
      <c r="H101" s="524"/>
      <c r="I101" s="523"/>
      <c r="J101" s="36">
        <f t="shared" si="1"/>
        <v>0</v>
      </c>
      <c r="K101" s="37">
        <f t="shared" si="2"/>
        <v>0</v>
      </c>
      <c r="L101" s="38">
        <f t="shared" si="3"/>
        <v>0</v>
      </c>
      <c r="M101" s="39">
        <f t="shared" si="4"/>
        <v>0</v>
      </c>
      <c r="N101" s="38">
        <f t="shared" si="5"/>
        <v>0</v>
      </c>
      <c r="O101" s="39">
        <f t="shared" si="6"/>
        <v>0</v>
      </c>
      <c r="P101" s="40"/>
      <c r="Q101" s="34"/>
      <c r="R101" s="35"/>
      <c r="S101" s="35"/>
      <c r="T101" s="35"/>
      <c r="U101" s="35"/>
      <c r="V101" s="35"/>
      <c r="W101" s="35"/>
      <c r="X101" s="35"/>
      <c r="Y101" s="35"/>
      <c r="Z101" s="35"/>
      <c r="AA101" s="35"/>
    </row>
    <row r="102" ht="14.25" customHeight="1">
      <c r="A102" s="221"/>
      <c r="B102" s="231"/>
      <c r="C102" s="233"/>
      <c r="D102" s="212"/>
      <c r="E102" s="213"/>
      <c r="F102" s="214"/>
      <c r="G102" s="523"/>
      <c r="H102" s="524"/>
      <c r="I102" s="523"/>
      <c r="J102" s="36">
        <f t="shared" si="1"/>
        <v>0</v>
      </c>
      <c r="K102" s="37">
        <f t="shared" si="2"/>
        <v>0</v>
      </c>
      <c r="L102" s="38">
        <f t="shared" si="3"/>
        <v>0</v>
      </c>
      <c r="M102" s="39">
        <f t="shared" si="4"/>
        <v>0</v>
      </c>
      <c r="N102" s="38">
        <f t="shared" si="5"/>
        <v>0</v>
      </c>
      <c r="O102" s="39">
        <f t="shared" si="6"/>
        <v>0</v>
      </c>
      <c r="P102" s="40"/>
      <c r="Q102" s="78"/>
      <c r="R102" s="35"/>
      <c r="S102" s="35"/>
      <c r="T102" s="35"/>
      <c r="U102" s="35"/>
      <c r="V102" s="35"/>
      <c r="W102" s="35"/>
      <c r="X102" s="35"/>
      <c r="Y102" s="35"/>
      <c r="Z102" s="35"/>
      <c r="AA102" s="35"/>
    </row>
    <row r="103" ht="14.25" customHeight="1">
      <c r="A103" s="221"/>
      <c r="B103" s="231"/>
      <c r="C103" s="233"/>
      <c r="D103" s="212"/>
      <c r="E103" s="213"/>
      <c r="F103" s="214"/>
      <c r="G103" s="523"/>
      <c r="H103" s="524"/>
      <c r="I103" s="523"/>
      <c r="J103" s="36">
        <f t="shared" si="1"/>
        <v>0</v>
      </c>
      <c r="K103" s="37">
        <f t="shared" si="2"/>
        <v>0</v>
      </c>
      <c r="L103" s="38">
        <f t="shared" si="3"/>
        <v>0</v>
      </c>
      <c r="M103" s="39">
        <f t="shared" si="4"/>
        <v>0</v>
      </c>
      <c r="N103" s="38">
        <f t="shared" si="5"/>
        <v>0</v>
      </c>
      <c r="O103" s="39">
        <f t="shared" si="6"/>
        <v>0</v>
      </c>
      <c r="P103" s="40"/>
      <c r="Q103" s="78"/>
      <c r="R103" s="35"/>
      <c r="S103" s="35"/>
      <c r="T103" s="35"/>
      <c r="U103" s="35"/>
      <c r="V103" s="35"/>
      <c r="W103" s="35"/>
      <c r="X103" s="35"/>
      <c r="Y103" s="35"/>
      <c r="Z103" s="35"/>
      <c r="AA103" s="35"/>
    </row>
    <row r="104" ht="14.25" customHeight="1">
      <c r="A104" s="221"/>
      <c r="B104" s="231"/>
      <c r="C104" s="233"/>
      <c r="D104" s="212"/>
      <c r="E104" s="213"/>
      <c r="F104" s="214"/>
      <c r="G104" s="523"/>
      <c r="H104" s="524"/>
      <c r="I104" s="523"/>
      <c r="J104" s="36">
        <f t="shared" si="1"/>
        <v>0</v>
      </c>
      <c r="K104" s="37">
        <f t="shared" si="2"/>
        <v>0</v>
      </c>
      <c r="L104" s="38">
        <f t="shared" si="3"/>
        <v>0</v>
      </c>
      <c r="M104" s="39">
        <f t="shared" si="4"/>
        <v>0</v>
      </c>
      <c r="N104" s="38">
        <f t="shared" si="5"/>
        <v>0</v>
      </c>
      <c r="O104" s="39">
        <f t="shared" si="6"/>
        <v>0</v>
      </c>
      <c r="P104" s="40"/>
      <c r="Q104" s="78"/>
      <c r="R104" s="35"/>
      <c r="S104" s="35"/>
      <c r="T104" s="35"/>
      <c r="U104" s="35"/>
      <c r="V104" s="35"/>
      <c r="W104" s="35"/>
      <c r="X104" s="35"/>
      <c r="Y104" s="35"/>
      <c r="Z104" s="35"/>
      <c r="AA104" s="35"/>
    </row>
    <row r="105" ht="14.25" customHeight="1">
      <c r="A105" s="221"/>
      <c r="B105" s="231"/>
      <c r="C105" s="233"/>
      <c r="D105" s="212"/>
      <c r="E105" s="213"/>
      <c r="F105" s="214"/>
      <c r="G105" s="523"/>
      <c r="H105" s="524"/>
      <c r="I105" s="523"/>
      <c r="J105" s="36">
        <f t="shared" si="1"/>
        <v>0</v>
      </c>
      <c r="K105" s="37">
        <f t="shared" si="2"/>
        <v>0</v>
      </c>
      <c r="L105" s="38">
        <f t="shared" si="3"/>
        <v>0</v>
      </c>
      <c r="M105" s="39">
        <f t="shared" si="4"/>
        <v>0</v>
      </c>
      <c r="N105" s="38">
        <f t="shared" si="5"/>
        <v>0</v>
      </c>
      <c r="O105" s="39">
        <f t="shared" si="6"/>
        <v>0</v>
      </c>
      <c r="P105" s="40"/>
      <c r="Q105" s="78"/>
      <c r="R105" s="35"/>
      <c r="S105" s="35"/>
      <c r="T105" s="35"/>
      <c r="U105" s="35"/>
      <c r="V105" s="35"/>
      <c r="W105" s="35"/>
      <c r="X105" s="35"/>
      <c r="Y105" s="35"/>
      <c r="Z105" s="35"/>
      <c r="AA105" s="35"/>
    </row>
    <row r="106" ht="14.25" customHeight="1">
      <c r="A106" s="221"/>
      <c r="B106" s="231"/>
      <c r="C106" s="233"/>
      <c r="D106" s="212"/>
      <c r="E106" s="213"/>
      <c r="F106" s="214"/>
      <c r="G106" s="523"/>
      <c r="H106" s="524"/>
      <c r="I106" s="523"/>
      <c r="J106" s="36">
        <f t="shared" si="1"/>
        <v>0</v>
      </c>
      <c r="K106" s="37">
        <f t="shared" si="2"/>
        <v>0</v>
      </c>
      <c r="L106" s="38">
        <f t="shared" si="3"/>
        <v>0</v>
      </c>
      <c r="M106" s="39">
        <f t="shared" si="4"/>
        <v>0</v>
      </c>
      <c r="N106" s="38">
        <f t="shared" si="5"/>
        <v>0</v>
      </c>
      <c r="O106" s="39">
        <f t="shared" si="6"/>
        <v>0</v>
      </c>
      <c r="P106" s="40"/>
      <c r="Q106" s="78"/>
      <c r="R106" s="35"/>
      <c r="S106" s="35"/>
      <c r="T106" s="35"/>
      <c r="U106" s="35"/>
      <c r="V106" s="35"/>
      <c r="W106" s="35"/>
      <c r="X106" s="35"/>
      <c r="Y106" s="35"/>
      <c r="Z106" s="35"/>
      <c r="AA106" s="35"/>
    </row>
    <row r="107" ht="14.25" customHeight="1">
      <c r="A107" s="221"/>
      <c r="B107" s="231"/>
      <c r="C107" s="233"/>
      <c r="D107" s="212"/>
      <c r="E107" s="213"/>
      <c r="F107" s="214"/>
      <c r="G107" s="523"/>
      <c r="H107" s="524"/>
      <c r="I107" s="523"/>
      <c r="J107" s="36">
        <f t="shared" si="1"/>
        <v>0</v>
      </c>
      <c r="K107" s="37">
        <f t="shared" si="2"/>
        <v>0</v>
      </c>
      <c r="L107" s="38">
        <f t="shared" si="3"/>
        <v>0</v>
      </c>
      <c r="M107" s="39">
        <f t="shared" si="4"/>
        <v>0</v>
      </c>
      <c r="N107" s="38">
        <f t="shared" si="5"/>
        <v>0</v>
      </c>
      <c r="O107" s="39">
        <f t="shared" si="6"/>
        <v>0</v>
      </c>
      <c r="P107" s="40"/>
      <c r="Q107" s="78"/>
      <c r="R107" s="35"/>
      <c r="S107" s="35"/>
      <c r="T107" s="35"/>
      <c r="U107" s="35"/>
      <c r="V107" s="35"/>
      <c r="W107" s="35"/>
      <c r="X107" s="35"/>
      <c r="Y107" s="35"/>
      <c r="Z107" s="35"/>
      <c r="AA107" s="35"/>
    </row>
    <row r="108" ht="14.25" customHeight="1">
      <c r="A108" s="221"/>
      <c r="B108" s="231"/>
      <c r="C108" s="233"/>
      <c r="D108" s="212"/>
      <c r="E108" s="213"/>
      <c r="F108" s="214"/>
      <c r="G108" s="523"/>
      <c r="H108" s="524"/>
      <c r="I108" s="523"/>
      <c r="J108" s="36">
        <f t="shared" si="1"/>
        <v>0</v>
      </c>
      <c r="K108" s="37">
        <f t="shared" si="2"/>
        <v>0</v>
      </c>
      <c r="L108" s="38">
        <f t="shared" si="3"/>
        <v>0</v>
      </c>
      <c r="M108" s="39">
        <f t="shared" si="4"/>
        <v>0</v>
      </c>
      <c r="N108" s="38">
        <f t="shared" si="5"/>
        <v>0</v>
      </c>
      <c r="O108" s="39">
        <f t="shared" si="6"/>
        <v>0</v>
      </c>
      <c r="P108" s="40"/>
      <c r="Q108" s="78"/>
      <c r="R108" s="35"/>
      <c r="S108" s="35"/>
      <c r="T108" s="35"/>
      <c r="U108" s="35"/>
      <c r="V108" s="35"/>
      <c r="W108" s="35"/>
      <c r="X108" s="35"/>
      <c r="Y108" s="35"/>
      <c r="Z108" s="35"/>
      <c r="AA108" s="35"/>
    </row>
    <row r="109" ht="14.25" customHeight="1">
      <c r="A109" s="221"/>
      <c r="B109" s="231"/>
      <c r="C109" s="233"/>
      <c r="D109" s="212"/>
      <c r="E109" s="213"/>
      <c r="F109" s="214"/>
      <c r="G109" s="523"/>
      <c r="H109" s="524"/>
      <c r="I109" s="523"/>
      <c r="J109" s="36">
        <f t="shared" si="1"/>
        <v>0</v>
      </c>
      <c r="K109" s="37">
        <f t="shared" si="2"/>
        <v>0</v>
      </c>
      <c r="L109" s="38">
        <f t="shared" si="3"/>
        <v>0</v>
      </c>
      <c r="M109" s="39">
        <f t="shared" si="4"/>
        <v>0</v>
      </c>
      <c r="N109" s="38">
        <f t="shared" si="5"/>
        <v>0</v>
      </c>
      <c r="O109" s="39">
        <f t="shared" si="6"/>
        <v>0</v>
      </c>
      <c r="P109" s="40"/>
      <c r="Q109" s="78"/>
      <c r="R109" s="35"/>
      <c r="S109" s="35"/>
      <c r="T109" s="35"/>
      <c r="U109" s="35"/>
      <c r="V109" s="35"/>
      <c r="W109" s="35"/>
      <c r="X109" s="35"/>
      <c r="Y109" s="35"/>
      <c r="Z109" s="35"/>
      <c r="AA109" s="35"/>
    </row>
    <row r="110" ht="14.25" customHeight="1">
      <c r="A110" s="221"/>
      <c r="B110" s="231"/>
      <c r="C110" s="233"/>
      <c r="D110" s="212"/>
      <c r="E110" s="213"/>
      <c r="F110" s="214"/>
      <c r="G110" s="523"/>
      <c r="H110" s="524"/>
      <c r="I110" s="523"/>
      <c r="J110" s="36">
        <f t="shared" si="1"/>
        <v>0</v>
      </c>
      <c r="K110" s="37">
        <f t="shared" si="2"/>
        <v>0</v>
      </c>
      <c r="L110" s="38">
        <f t="shared" si="3"/>
        <v>0</v>
      </c>
      <c r="M110" s="39">
        <f t="shared" si="4"/>
        <v>0</v>
      </c>
      <c r="N110" s="38">
        <f t="shared" si="5"/>
        <v>0</v>
      </c>
      <c r="O110" s="39">
        <f t="shared" si="6"/>
        <v>0</v>
      </c>
      <c r="P110" s="40"/>
      <c r="Q110" s="78"/>
      <c r="R110" s="35"/>
      <c r="S110" s="35"/>
      <c r="T110" s="35"/>
      <c r="U110" s="35"/>
      <c r="V110" s="35"/>
      <c r="W110" s="35"/>
      <c r="X110" s="35"/>
      <c r="Y110" s="35"/>
      <c r="Z110" s="35"/>
      <c r="AA110" s="35"/>
    </row>
    <row r="111" ht="14.25" customHeight="1">
      <c r="A111" s="221"/>
      <c r="B111" s="231"/>
      <c r="C111" s="233"/>
      <c r="D111" s="212"/>
      <c r="E111" s="213"/>
      <c r="F111" s="214"/>
      <c r="G111" s="523"/>
      <c r="H111" s="524"/>
      <c r="I111" s="523"/>
      <c r="J111" s="36">
        <f t="shared" si="1"/>
        <v>0</v>
      </c>
      <c r="K111" s="37">
        <f t="shared" si="2"/>
        <v>0</v>
      </c>
      <c r="L111" s="38">
        <f t="shared" si="3"/>
        <v>0</v>
      </c>
      <c r="M111" s="39">
        <f t="shared" si="4"/>
        <v>0</v>
      </c>
      <c r="N111" s="38">
        <f t="shared" si="5"/>
        <v>0</v>
      </c>
      <c r="O111" s="39">
        <f t="shared" si="6"/>
        <v>0</v>
      </c>
      <c r="P111" s="40"/>
      <c r="Q111" s="78"/>
      <c r="R111" s="35"/>
      <c r="S111" s="35"/>
      <c r="T111" s="35"/>
      <c r="U111" s="35"/>
      <c r="V111" s="35"/>
      <c r="W111" s="35"/>
      <c r="X111" s="35"/>
      <c r="Y111" s="35"/>
      <c r="Z111" s="35"/>
      <c r="AA111" s="35"/>
    </row>
    <row r="112" ht="14.25" customHeight="1">
      <c r="A112" s="221"/>
      <c r="B112" s="231"/>
      <c r="C112" s="233"/>
      <c r="D112" s="212"/>
      <c r="E112" s="213"/>
      <c r="F112" s="214"/>
      <c r="G112" s="523"/>
      <c r="H112" s="524"/>
      <c r="I112" s="523"/>
      <c r="J112" s="36">
        <f t="shared" si="1"/>
        <v>0</v>
      </c>
      <c r="K112" s="37">
        <f t="shared" si="2"/>
        <v>0</v>
      </c>
      <c r="L112" s="38">
        <f t="shared" si="3"/>
        <v>0</v>
      </c>
      <c r="M112" s="39">
        <f t="shared" si="4"/>
        <v>0</v>
      </c>
      <c r="N112" s="38">
        <f t="shared" si="5"/>
        <v>0</v>
      </c>
      <c r="O112" s="39">
        <f t="shared" si="6"/>
        <v>0</v>
      </c>
      <c r="P112" s="40"/>
      <c r="Q112" s="78"/>
      <c r="R112" s="35"/>
      <c r="S112" s="35"/>
      <c r="T112" s="35"/>
      <c r="U112" s="35"/>
      <c r="V112" s="35"/>
      <c r="W112" s="35"/>
      <c r="X112" s="35"/>
      <c r="Y112" s="35"/>
      <c r="Z112" s="35"/>
      <c r="AA112" s="35"/>
    </row>
    <row r="113" ht="14.25" customHeight="1">
      <c r="A113" s="221"/>
      <c r="B113" s="231"/>
      <c r="C113" s="233"/>
      <c r="D113" s="212"/>
      <c r="E113" s="213"/>
      <c r="F113" s="214"/>
      <c r="G113" s="523"/>
      <c r="H113" s="524"/>
      <c r="I113" s="523"/>
      <c r="J113" s="36">
        <f t="shared" si="1"/>
        <v>0</v>
      </c>
      <c r="K113" s="37">
        <f t="shared" si="2"/>
        <v>0</v>
      </c>
      <c r="L113" s="38">
        <f t="shared" si="3"/>
        <v>0</v>
      </c>
      <c r="M113" s="39">
        <f t="shared" si="4"/>
        <v>0</v>
      </c>
      <c r="N113" s="38">
        <f t="shared" si="5"/>
        <v>0</v>
      </c>
      <c r="O113" s="39">
        <f t="shared" si="6"/>
        <v>0</v>
      </c>
      <c r="P113" s="40"/>
      <c r="Q113" s="78"/>
      <c r="R113" s="35"/>
      <c r="S113" s="35"/>
      <c r="T113" s="35"/>
      <c r="U113" s="35"/>
      <c r="V113" s="35"/>
      <c r="W113" s="35"/>
      <c r="X113" s="35"/>
      <c r="Y113" s="35"/>
      <c r="Z113" s="35"/>
      <c r="AA113" s="35"/>
    </row>
    <row r="114" ht="14.25" customHeight="1">
      <c r="A114" s="221"/>
      <c r="B114" s="231"/>
      <c r="C114" s="233"/>
      <c r="D114" s="212"/>
      <c r="E114" s="213"/>
      <c r="F114" s="214"/>
      <c r="G114" s="523"/>
      <c r="H114" s="524"/>
      <c r="I114" s="523"/>
      <c r="J114" s="36">
        <f t="shared" si="1"/>
        <v>0</v>
      </c>
      <c r="K114" s="37">
        <f t="shared" si="2"/>
        <v>0</v>
      </c>
      <c r="L114" s="38">
        <f t="shared" si="3"/>
        <v>0</v>
      </c>
      <c r="M114" s="39">
        <f t="shared" si="4"/>
        <v>0</v>
      </c>
      <c r="N114" s="38">
        <f t="shared" si="5"/>
        <v>0</v>
      </c>
      <c r="O114" s="39">
        <f t="shared" si="6"/>
        <v>0</v>
      </c>
      <c r="P114" s="40"/>
      <c r="Q114" s="78"/>
      <c r="R114" s="35"/>
      <c r="S114" s="35"/>
      <c r="T114" s="35"/>
      <c r="U114" s="35"/>
      <c r="V114" s="35"/>
      <c r="W114" s="35"/>
      <c r="X114" s="35"/>
      <c r="Y114" s="35"/>
      <c r="Z114" s="35"/>
      <c r="AA114" s="35"/>
    </row>
    <row r="115" ht="14.25" customHeight="1">
      <c r="A115" s="221"/>
      <c r="B115" s="231"/>
      <c r="C115" s="233"/>
      <c r="D115" s="212"/>
      <c r="E115" s="213"/>
      <c r="F115" s="214"/>
      <c r="G115" s="523"/>
      <c r="H115" s="524"/>
      <c r="I115" s="523"/>
      <c r="J115" s="36">
        <f t="shared" si="1"/>
        <v>0</v>
      </c>
      <c r="K115" s="37">
        <f t="shared" si="2"/>
        <v>0</v>
      </c>
      <c r="L115" s="38">
        <f t="shared" si="3"/>
        <v>0</v>
      </c>
      <c r="M115" s="39">
        <f t="shared" si="4"/>
        <v>0</v>
      </c>
      <c r="N115" s="38">
        <f t="shared" si="5"/>
        <v>0</v>
      </c>
      <c r="O115" s="39">
        <f t="shared" si="6"/>
        <v>0</v>
      </c>
      <c r="P115" s="40"/>
      <c r="Q115" s="78"/>
      <c r="R115" s="35"/>
      <c r="S115" s="35"/>
      <c r="T115" s="35"/>
      <c r="U115" s="35"/>
      <c r="V115" s="35"/>
      <c r="W115" s="35"/>
      <c r="X115" s="35"/>
      <c r="Y115" s="35"/>
      <c r="Z115" s="35"/>
      <c r="AA115" s="35"/>
    </row>
    <row r="116" ht="14.25" customHeight="1">
      <c r="A116" s="221"/>
      <c r="B116" s="231"/>
      <c r="C116" s="233"/>
      <c r="D116" s="212"/>
      <c r="E116" s="213"/>
      <c r="F116" s="214"/>
      <c r="G116" s="523"/>
      <c r="H116" s="524"/>
      <c r="I116" s="523"/>
      <c r="J116" s="36">
        <f t="shared" si="1"/>
        <v>0</v>
      </c>
      <c r="K116" s="37">
        <f t="shared" si="2"/>
        <v>0</v>
      </c>
      <c r="L116" s="38">
        <f t="shared" si="3"/>
        <v>0</v>
      </c>
      <c r="M116" s="39">
        <f t="shared" si="4"/>
        <v>0</v>
      </c>
      <c r="N116" s="38">
        <f t="shared" si="5"/>
        <v>0</v>
      </c>
      <c r="O116" s="39">
        <f t="shared" si="6"/>
        <v>0</v>
      </c>
      <c r="P116" s="40"/>
      <c r="Q116" s="78"/>
      <c r="R116" s="35"/>
      <c r="S116" s="35"/>
      <c r="T116" s="35"/>
      <c r="U116" s="35"/>
      <c r="V116" s="35"/>
      <c r="W116" s="35"/>
      <c r="X116" s="35"/>
      <c r="Y116" s="35"/>
      <c r="Z116" s="35"/>
      <c r="AA116" s="35"/>
    </row>
    <row r="117" ht="14.25" customHeight="1">
      <c r="A117" s="221"/>
      <c r="B117" s="231"/>
      <c r="C117" s="233"/>
      <c r="D117" s="212"/>
      <c r="E117" s="213"/>
      <c r="F117" s="214"/>
      <c r="G117" s="523"/>
      <c r="H117" s="524"/>
      <c r="I117" s="523"/>
      <c r="J117" s="36">
        <f t="shared" si="1"/>
        <v>0</v>
      </c>
      <c r="K117" s="37">
        <f t="shared" si="2"/>
        <v>0</v>
      </c>
      <c r="L117" s="38">
        <f t="shared" si="3"/>
        <v>0</v>
      </c>
      <c r="M117" s="39">
        <f t="shared" si="4"/>
        <v>0</v>
      </c>
      <c r="N117" s="38">
        <f t="shared" si="5"/>
        <v>0</v>
      </c>
      <c r="O117" s="39">
        <f t="shared" si="6"/>
        <v>0</v>
      </c>
      <c r="P117" s="40"/>
      <c r="Q117" s="78"/>
      <c r="R117" s="35"/>
      <c r="S117" s="35"/>
      <c r="T117" s="35"/>
      <c r="U117" s="35"/>
      <c r="V117" s="35"/>
      <c r="W117" s="35"/>
      <c r="X117" s="35"/>
      <c r="Y117" s="35"/>
      <c r="Z117" s="35"/>
      <c r="AA117" s="35"/>
    </row>
    <row r="118" ht="14.25" customHeight="1">
      <c r="A118" s="221"/>
      <c r="B118" s="231"/>
      <c r="C118" s="233"/>
      <c r="D118" s="212"/>
      <c r="E118" s="213"/>
      <c r="F118" s="214"/>
      <c r="G118" s="523"/>
      <c r="H118" s="524"/>
      <c r="I118" s="523"/>
      <c r="J118" s="36">
        <f t="shared" si="1"/>
        <v>0</v>
      </c>
      <c r="K118" s="37">
        <f t="shared" si="2"/>
        <v>0</v>
      </c>
      <c r="L118" s="38">
        <f t="shared" si="3"/>
        <v>0</v>
      </c>
      <c r="M118" s="39">
        <f t="shared" si="4"/>
        <v>0</v>
      </c>
      <c r="N118" s="38">
        <f t="shared" si="5"/>
        <v>0</v>
      </c>
      <c r="O118" s="39">
        <f t="shared" si="6"/>
        <v>0</v>
      </c>
      <c r="P118" s="40"/>
      <c r="Q118" s="78"/>
      <c r="R118" s="35"/>
      <c r="S118" s="35"/>
      <c r="T118" s="35"/>
      <c r="U118" s="35"/>
      <c r="V118" s="35"/>
      <c r="W118" s="35"/>
      <c r="X118" s="35"/>
      <c r="Y118" s="35"/>
      <c r="Z118" s="35"/>
      <c r="AA118" s="35"/>
    </row>
    <row r="119" ht="14.25" customHeight="1">
      <c r="A119" s="221"/>
      <c r="B119" s="231"/>
      <c r="C119" s="233"/>
      <c r="D119" s="212"/>
      <c r="E119" s="213"/>
      <c r="F119" s="214"/>
      <c r="G119" s="523"/>
      <c r="H119" s="524"/>
      <c r="I119" s="523"/>
      <c r="J119" s="36">
        <f t="shared" si="1"/>
        <v>0</v>
      </c>
      <c r="K119" s="37">
        <f t="shared" si="2"/>
        <v>0</v>
      </c>
      <c r="L119" s="38">
        <f t="shared" si="3"/>
        <v>0</v>
      </c>
      <c r="M119" s="39">
        <f t="shared" si="4"/>
        <v>0</v>
      </c>
      <c r="N119" s="38">
        <f t="shared" si="5"/>
        <v>0</v>
      </c>
      <c r="O119" s="39">
        <f t="shared" si="6"/>
        <v>0</v>
      </c>
      <c r="P119" s="40"/>
      <c r="Q119" s="78"/>
      <c r="R119" s="35"/>
      <c r="S119" s="35"/>
      <c r="T119" s="35"/>
      <c r="U119" s="35"/>
      <c r="V119" s="35"/>
      <c r="W119" s="35"/>
      <c r="X119" s="35"/>
      <c r="Y119" s="35"/>
      <c r="Z119" s="35"/>
      <c r="AA119" s="35"/>
    </row>
    <row r="120" ht="14.25" customHeight="1">
      <c r="A120" s="221"/>
      <c r="B120" s="231"/>
      <c r="C120" s="233"/>
      <c r="D120" s="212"/>
      <c r="E120" s="213"/>
      <c r="F120" s="214"/>
      <c r="G120" s="523"/>
      <c r="H120" s="524"/>
      <c r="I120" s="523"/>
      <c r="J120" s="36">
        <f t="shared" si="1"/>
        <v>0</v>
      </c>
      <c r="K120" s="37">
        <f t="shared" si="2"/>
        <v>0</v>
      </c>
      <c r="L120" s="38">
        <f t="shared" si="3"/>
        <v>0</v>
      </c>
      <c r="M120" s="39">
        <f t="shared" si="4"/>
        <v>0</v>
      </c>
      <c r="N120" s="38">
        <f t="shared" si="5"/>
        <v>0</v>
      </c>
      <c r="O120" s="39">
        <f t="shared" si="6"/>
        <v>0</v>
      </c>
      <c r="P120" s="40"/>
      <c r="Q120" s="78"/>
      <c r="R120" s="35"/>
      <c r="S120" s="35"/>
      <c r="T120" s="35"/>
      <c r="U120" s="35"/>
      <c r="V120" s="35"/>
      <c r="W120" s="35"/>
      <c r="X120" s="35"/>
      <c r="Y120" s="35"/>
      <c r="Z120" s="35"/>
      <c r="AA120" s="35"/>
    </row>
    <row r="121" ht="14.25" customHeight="1">
      <c r="A121" s="221"/>
      <c r="B121" s="231"/>
      <c r="C121" s="233"/>
      <c r="D121" s="212"/>
      <c r="E121" s="213"/>
      <c r="F121" s="214"/>
      <c r="G121" s="523"/>
      <c r="H121" s="524"/>
      <c r="I121" s="523"/>
      <c r="J121" s="36">
        <f t="shared" si="1"/>
        <v>0</v>
      </c>
      <c r="K121" s="37">
        <f t="shared" si="2"/>
        <v>0</v>
      </c>
      <c r="L121" s="38">
        <f t="shared" si="3"/>
        <v>0</v>
      </c>
      <c r="M121" s="39">
        <f t="shared" si="4"/>
        <v>0</v>
      </c>
      <c r="N121" s="38">
        <f t="shared" si="5"/>
        <v>0</v>
      </c>
      <c r="O121" s="39">
        <f t="shared" si="6"/>
        <v>0</v>
      </c>
      <c r="P121" s="40"/>
      <c r="Q121" s="78"/>
      <c r="R121" s="35"/>
      <c r="S121" s="35"/>
      <c r="T121" s="35"/>
      <c r="U121" s="35"/>
      <c r="V121" s="35"/>
      <c r="W121" s="35"/>
      <c r="X121" s="35"/>
      <c r="Y121" s="35"/>
      <c r="Z121" s="35"/>
      <c r="AA121" s="35"/>
    </row>
    <row r="122" ht="14.25" customHeight="1">
      <c r="A122" s="221"/>
      <c r="B122" s="231"/>
      <c r="C122" s="233"/>
      <c r="D122" s="212"/>
      <c r="E122" s="213"/>
      <c r="F122" s="214"/>
      <c r="G122" s="523"/>
      <c r="H122" s="524"/>
      <c r="I122" s="523"/>
      <c r="J122" s="36">
        <f t="shared" si="1"/>
        <v>0</v>
      </c>
      <c r="K122" s="37">
        <f t="shared" si="2"/>
        <v>0</v>
      </c>
      <c r="L122" s="38">
        <f t="shared" si="3"/>
        <v>0</v>
      </c>
      <c r="M122" s="39">
        <f t="shared" si="4"/>
        <v>0</v>
      </c>
      <c r="N122" s="38">
        <f t="shared" si="5"/>
        <v>0</v>
      </c>
      <c r="O122" s="39">
        <f t="shared" si="6"/>
        <v>0</v>
      </c>
      <c r="P122" s="40"/>
      <c r="Q122" s="78"/>
      <c r="R122" s="35"/>
      <c r="S122" s="35"/>
      <c r="T122" s="35"/>
      <c r="U122" s="35"/>
      <c r="V122" s="35"/>
      <c r="W122" s="35"/>
      <c r="X122" s="35"/>
      <c r="Y122" s="35"/>
      <c r="Z122" s="35"/>
      <c r="AA122" s="35"/>
    </row>
    <row r="123" ht="14.25" customHeight="1">
      <c r="A123" s="221"/>
      <c r="B123" s="231"/>
      <c r="C123" s="233"/>
      <c r="D123" s="212"/>
      <c r="E123" s="213"/>
      <c r="F123" s="214"/>
      <c r="G123" s="523"/>
      <c r="H123" s="524"/>
      <c r="I123" s="523"/>
      <c r="J123" s="36">
        <f t="shared" si="1"/>
        <v>0</v>
      </c>
      <c r="K123" s="37">
        <f t="shared" si="2"/>
        <v>0</v>
      </c>
      <c r="L123" s="38">
        <f t="shared" si="3"/>
        <v>0</v>
      </c>
      <c r="M123" s="39">
        <f t="shared" si="4"/>
        <v>0</v>
      </c>
      <c r="N123" s="38">
        <f t="shared" si="5"/>
        <v>0</v>
      </c>
      <c r="O123" s="39">
        <f t="shared" si="6"/>
        <v>0</v>
      </c>
      <c r="P123" s="40"/>
      <c r="Q123" s="78"/>
      <c r="R123" s="35"/>
      <c r="S123" s="35"/>
      <c r="T123" s="35"/>
      <c r="U123" s="35"/>
      <c r="V123" s="35"/>
      <c r="W123" s="35"/>
      <c r="X123" s="35"/>
      <c r="Y123" s="35"/>
      <c r="Z123" s="35"/>
      <c r="AA123" s="35"/>
    </row>
    <row r="124" ht="14.25" customHeight="1">
      <c r="A124" s="221"/>
      <c r="B124" s="231"/>
      <c r="C124" s="233"/>
      <c r="D124" s="212"/>
      <c r="E124" s="213"/>
      <c r="F124" s="214"/>
      <c r="G124" s="523"/>
      <c r="H124" s="524"/>
      <c r="I124" s="523"/>
      <c r="J124" s="36">
        <f t="shared" si="1"/>
        <v>0</v>
      </c>
      <c r="K124" s="37">
        <f t="shared" si="2"/>
        <v>0</v>
      </c>
      <c r="L124" s="38">
        <f t="shared" si="3"/>
        <v>0</v>
      </c>
      <c r="M124" s="39">
        <f t="shared" si="4"/>
        <v>0</v>
      </c>
      <c r="N124" s="38">
        <f t="shared" si="5"/>
        <v>0</v>
      </c>
      <c r="O124" s="39">
        <f t="shared" si="6"/>
        <v>0</v>
      </c>
      <c r="P124" s="40"/>
      <c r="Q124" s="78"/>
      <c r="R124" s="35"/>
      <c r="S124" s="35"/>
      <c r="T124" s="35"/>
      <c r="U124" s="35"/>
      <c r="V124" s="35"/>
      <c r="W124" s="35"/>
      <c r="X124" s="35"/>
      <c r="Y124" s="35"/>
      <c r="Z124" s="35"/>
      <c r="AA124" s="35"/>
    </row>
    <row r="125" ht="14.25" customHeight="1">
      <c r="A125" s="221"/>
      <c r="B125" s="231"/>
      <c r="C125" s="233"/>
      <c r="D125" s="212"/>
      <c r="E125" s="213"/>
      <c r="F125" s="214"/>
      <c r="G125" s="523"/>
      <c r="H125" s="524"/>
      <c r="I125" s="523"/>
      <c r="J125" s="36">
        <f t="shared" si="1"/>
        <v>0</v>
      </c>
      <c r="K125" s="37">
        <f t="shared" si="2"/>
        <v>0</v>
      </c>
      <c r="L125" s="38">
        <f t="shared" si="3"/>
        <v>0</v>
      </c>
      <c r="M125" s="39">
        <f t="shared" si="4"/>
        <v>0</v>
      </c>
      <c r="N125" s="38">
        <f t="shared" si="5"/>
        <v>0</v>
      </c>
      <c r="O125" s="39">
        <f t="shared" si="6"/>
        <v>0</v>
      </c>
      <c r="P125" s="40"/>
      <c r="Q125" s="78"/>
      <c r="R125" s="35"/>
      <c r="S125" s="35"/>
      <c r="T125" s="35"/>
      <c r="U125" s="35"/>
      <c r="V125" s="35"/>
      <c r="W125" s="35"/>
      <c r="X125" s="35"/>
      <c r="Y125" s="35"/>
      <c r="Z125" s="35"/>
      <c r="AA125" s="35"/>
    </row>
    <row r="126" ht="14.25" customHeight="1">
      <c r="A126" s="221"/>
      <c r="B126" s="231"/>
      <c r="C126" s="233"/>
      <c r="D126" s="212"/>
      <c r="E126" s="213"/>
      <c r="F126" s="214"/>
      <c r="G126" s="523"/>
      <c r="H126" s="524"/>
      <c r="I126" s="523"/>
      <c r="J126" s="36">
        <f t="shared" si="1"/>
        <v>0</v>
      </c>
      <c r="K126" s="37">
        <f t="shared" si="2"/>
        <v>0</v>
      </c>
      <c r="L126" s="38">
        <f t="shared" si="3"/>
        <v>0</v>
      </c>
      <c r="M126" s="39">
        <f t="shared" si="4"/>
        <v>0</v>
      </c>
      <c r="N126" s="38">
        <f t="shared" si="5"/>
        <v>0</v>
      </c>
      <c r="O126" s="39">
        <f t="shared" si="6"/>
        <v>0</v>
      </c>
      <c r="P126" s="40"/>
      <c r="Q126" s="78"/>
      <c r="R126" s="35"/>
      <c r="S126" s="35"/>
      <c r="T126" s="35"/>
      <c r="U126" s="35"/>
      <c r="V126" s="35"/>
      <c r="W126" s="35"/>
      <c r="X126" s="35"/>
      <c r="Y126" s="35"/>
      <c r="Z126" s="35"/>
      <c r="AA126" s="35"/>
    </row>
    <row r="127" ht="14.25" customHeight="1">
      <c r="A127" s="221"/>
      <c r="B127" s="231"/>
      <c r="C127" s="233"/>
      <c r="D127" s="212"/>
      <c r="E127" s="213"/>
      <c r="F127" s="214"/>
      <c r="G127" s="523"/>
      <c r="H127" s="524"/>
      <c r="I127" s="523"/>
      <c r="J127" s="36">
        <f t="shared" si="1"/>
        <v>0</v>
      </c>
      <c r="K127" s="37">
        <f t="shared" si="2"/>
        <v>0</v>
      </c>
      <c r="L127" s="38">
        <f t="shared" si="3"/>
        <v>0</v>
      </c>
      <c r="M127" s="39">
        <f t="shared" si="4"/>
        <v>0</v>
      </c>
      <c r="N127" s="38">
        <f t="shared" si="5"/>
        <v>0</v>
      </c>
      <c r="O127" s="39">
        <f t="shared" si="6"/>
        <v>0</v>
      </c>
      <c r="P127" s="40"/>
      <c r="Q127" s="78"/>
      <c r="R127" s="35"/>
      <c r="S127" s="35"/>
      <c r="T127" s="35"/>
      <c r="U127" s="35"/>
      <c r="V127" s="35"/>
      <c r="W127" s="35"/>
      <c r="X127" s="35"/>
      <c r="Y127" s="35"/>
      <c r="Z127" s="35"/>
      <c r="AA127" s="35"/>
    </row>
    <row r="128" ht="14.25" customHeight="1">
      <c r="A128" s="221"/>
      <c r="B128" s="231"/>
      <c r="C128" s="233"/>
      <c r="D128" s="212"/>
      <c r="E128" s="213"/>
      <c r="F128" s="214"/>
      <c r="G128" s="523"/>
      <c r="H128" s="524"/>
      <c r="I128" s="523"/>
      <c r="J128" s="36">
        <f t="shared" si="1"/>
        <v>0</v>
      </c>
      <c r="K128" s="37">
        <f t="shared" si="2"/>
        <v>0</v>
      </c>
      <c r="L128" s="38">
        <f t="shared" si="3"/>
        <v>0</v>
      </c>
      <c r="M128" s="39">
        <f t="shared" si="4"/>
        <v>0</v>
      </c>
      <c r="N128" s="38">
        <f t="shared" si="5"/>
        <v>0</v>
      </c>
      <c r="O128" s="39">
        <f t="shared" si="6"/>
        <v>0</v>
      </c>
      <c r="P128" s="40"/>
      <c r="Q128" s="78"/>
      <c r="R128" s="35"/>
      <c r="S128" s="35"/>
      <c r="T128" s="35"/>
      <c r="U128" s="35"/>
      <c r="V128" s="35"/>
      <c r="W128" s="35"/>
      <c r="X128" s="35"/>
      <c r="Y128" s="35"/>
      <c r="Z128" s="35"/>
      <c r="AA128" s="35"/>
    </row>
    <row r="129" ht="14.25" customHeight="1">
      <c r="A129" s="221"/>
      <c r="B129" s="231"/>
      <c r="C129" s="233"/>
      <c r="D129" s="212"/>
      <c r="E129" s="213"/>
      <c r="F129" s="214"/>
      <c r="G129" s="523"/>
      <c r="H129" s="524"/>
      <c r="I129" s="523"/>
      <c r="J129" s="36">
        <f t="shared" si="1"/>
        <v>0</v>
      </c>
      <c r="K129" s="37">
        <f t="shared" si="2"/>
        <v>0</v>
      </c>
      <c r="L129" s="38">
        <f t="shared" si="3"/>
        <v>0</v>
      </c>
      <c r="M129" s="39">
        <f t="shared" si="4"/>
        <v>0</v>
      </c>
      <c r="N129" s="38">
        <f t="shared" si="5"/>
        <v>0</v>
      </c>
      <c r="O129" s="39">
        <f t="shared" si="6"/>
        <v>0</v>
      </c>
      <c r="P129" s="40"/>
      <c r="Q129" s="78"/>
      <c r="R129" s="35"/>
      <c r="S129" s="35"/>
      <c r="T129" s="35"/>
      <c r="U129" s="35"/>
      <c r="V129" s="35"/>
      <c r="W129" s="35"/>
      <c r="X129" s="35"/>
      <c r="Y129" s="35"/>
      <c r="Z129" s="35"/>
      <c r="AA129" s="35"/>
    </row>
    <row r="130" ht="14.25" customHeight="1">
      <c r="A130" s="221"/>
      <c r="B130" s="231"/>
      <c r="C130" s="233"/>
      <c r="D130" s="212"/>
      <c r="E130" s="213"/>
      <c r="F130" s="214"/>
      <c r="G130" s="523"/>
      <c r="H130" s="524"/>
      <c r="I130" s="523"/>
      <c r="J130" s="36">
        <f t="shared" si="1"/>
        <v>0</v>
      </c>
      <c r="K130" s="37">
        <f t="shared" si="2"/>
        <v>0</v>
      </c>
      <c r="L130" s="38">
        <f t="shared" si="3"/>
        <v>0</v>
      </c>
      <c r="M130" s="39">
        <f t="shared" si="4"/>
        <v>0</v>
      </c>
      <c r="N130" s="38">
        <f t="shared" si="5"/>
        <v>0</v>
      </c>
      <c r="O130" s="39">
        <f t="shared" si="6"/>
        <v>0</v>
      </c>
      <c r="P130" s="40"/>
      <c r="Q130" s="78"/>
      <c r="R130" s="35"/>
      <c r="S130" s="35"/>
      <c r="T130" s="35"/>
      <c r="U130" s="35"/>
      <c r="V130" s="35"/>
      <c r="W130" s="35"/>
      <c r="X130" s="35"/>
      <c r="Y130" s="35"/>
      <c r="Z130" s="35"/>
      <c r="AA130" s="35"/>
    </row>
    <row r="131" ht="14.25" customHeight="1">
      <c r="A131" s="221"/>
      <c r="B131" s="231"/>
      <c r="C131" s="233"/>
      <c r="D131" s="212"/>
      <c r="E131" s="213"/>
      <c r="F131" s="214"/>
      <c r="G131" s="523"/>
      <c r="H131" s="524"/>
      <c r="I131" s="523"/>
      <c r="J131" s="36">
        <f t="shared" si="1"/>
        <v>0</v>
      </c>
      <c r="K131" s="37">
        <f t="shared" si="2"/>
        <v>0</v>
      </c>
      <c r="L131" s="38">
        <f t="shared" si="3"/>
        <v>0</v>
      </c>
      <c r="M131" s="39">
        <f t="shared" si="4"/>
        <v>0</v>
      </c>
      <c r="N131" s="38">
        <f t="shared" si="5"/>
        <v>0</v>
      </c>
      <c r="O131" s="39">
        <f t="shared" si="6"/>
        <v>0</v>
      </c>
      <c r="P131" s="40"/>
      <c r="Q131" s="78"/>
      <c r="R131" s="35"/>
      <c r="S131" s="35"/>
      <c r="T131" s="35"/>
      <c r="U131" s="35"/>
      <c r="V131" s="35"/>
      <c r="W131" s="35"/>
      <c r="X131" s="35"/>
      <c r="Y131" s="35"/>
      <c r="Z131" s="35"/>
      <c r="AA131" s="35"/>
    </row>
    <row r="132" ht="14.25" customHeight="1">
      <c r="A132" s="221"/>
      <c r="B132" s="231"/>
      <c r="C132" s="233"/>
      <c r="D132" s="212"/>
      <c r="E132" s="213"/>
      <c r="F132" s="214"/>
      <c r="G132" s="523"/>
      <c r="H132" s="524"/>
      <c r="I132" s="523"/>
      <c r="J132" s="36">
        <f t="shared" si="1"/>
        <v>0</v>
      </c>
      <c r="K132" s="37">
        <f t="shared" si="2"/>
        <v>0</v>
      </c>
      <c r="L132" s="38">
        <f t="shared" si="3"/>
        <v>0</v>
      </c>
      <c r="M132" s="39">
        <f t="shared" si="4"/>
        <v>0</v>
      </c>
      <c r="N132" s="38">
        <f t="shared" si="5"/>
        <v>0</v>
      </c>
      <c r="O132" s="39">
        <f t="shared" si="6"/>
        <v>0</v>
      </c>
      <c r="P132" s="40"/>
      <c r="Q132" s="78"/>
      <c r="R132" s="35"/>
      <c r="S132" s="35"/>
      <c r="T132" s="35"/>
      <c r="U132" s="35"/>
      <c r="V132" s="35"/>
      <c r="W132" s="35"/>
      <c r="X132" s="35"/>
      <c r="Y132" s="35"/>
      <c r="Z132" s="35"/>
      <c r="AA132" s="35"/>
    </row>
    <row r="133" ht="14.25" customHeight="1">
      <c r="A133" s="221"/>
      <c r="B133" s="231"/>
      <c r="C133" s="233"/>
      <c r="D133" s="212"/>
      <c r="E133" s="213"/>
      <c r="F133" s="214"/>
      <c r="G133" s="523"/>
      <c r="H133" s="524"/>
      <c r="I133" s="523"/>
      <c r="J133" s="36">
        <f t="shared" si="1"/>
        <v>0</v>
      </c>
      <c r="K133" s="37">
        <f t="shared" si="2"/>
        <v>0</v>
      </c>
      <c r="L133" s="38">
        <f t="shared" si="3"/>
        <v>0</v>
      </c>
      <c r="M133" s="39">
        <f t="shared" si="4"/>
        <v>0</v>
      </c>
      <c r="N133" s="38">
        <f t="shared" si="5"/>
        <v>0</v>
      </c>
      <c r="O133" s="39">
        <f t="shared" si="6"/>
        <v>0</v>
      </c>
      <c r="P133" s="40"/>
      <c r="Q133" s="78"/>
      <c r="R133" s="35"/>
      <c r="S133" s="35"/>
      <c r="T133" s="35"/>
      <c r="U133" s="35"/>
      <c r="V133" s="35"/>
      <c r="W133" s="35"/>
      <c r="X133" s="35"/>
      <c r="Y133" s="35"/>
      <c r="Z133" s="35"/>
      <c r="AA133" s="35"/>
    </row>
    <row r="134" ht="14.25" customHeight="1">
      <c r="A134" s="221"/>
      <c r="B134" s="231"/>
      <c r="C134" s="233"/>
      <c r="D134" s="212"/>
      <c r="E134" s="213"/>
      <c r="F134" s="214"/>
      <c r="G134" s="523"/>
      <c r="H134" s="524"/>
      <c r="I134" s="523"/>
      <c r="J134" s="36">
        <f t="shared" si="1"/>
        <v>0</v>
      </c>
      <c r="K134" s="37">
        <f t="shared" si="2"/>
        <v>0</v>
      </c>
      <c r="L134" s="38">
        <f t="shared" si="3"/>
        <v>0</v>
      </c>
      <c r="M134" s="39">
        <f t="shared" si="4"/>
        <v>0</v>
      </c>
      <c r="N134" s="38">
        <f t="shared" si="5"/>
        <v>0</v>
      </c>
      <c r="O134" s="39">
        <f t="shared" si="6"/>
        <v>0</v>
      </c>
      <c r="P134" s="40"/>
      <c r="Q134" s="78"/>
      <c r="R134" s="35"/>
      <c r="S134" s="35"/>
      <c r="T134" s="35"/>
      <c r="U134" s="35"/>
      <c r="V134" s="35"/>
      <c r="W134" s="35"/>
      <c r="X134" s="35"/>
      <c r="Y134" s="35"/>
      <c r="Z134" s="35"/>
      <c r="AA134" s="35"/>
    </row>
    <row r="135" ht="14.25" customHeight="1">
      <c r="A135" s="221"/>
      <c r="B135" s="231"/>
      <c r="C135" s="233"/>
      <c r="D135" s="212"/>
      <c r="E135" s="213"/>
      <c r="F135" s="214"/>
      <c r="G135" s="523"/>
      <c r="H135" s="524"/>
      <c r="I135" s="523"/>
      <c r="J135" s="36">
        <f t="shared" si="1"/>
        <v>0</v>
      </c>
      <c r="K135" s="37">
        <f t="shared" si="2"/>
        <v>0</v>
      </c>
      <c r="L135" s="38">
        <f t="shared" si="3"/>
        <v>0</v>
      </c>
      <c r="M135" s="39">
        <f t="shared" si="4"/>
        <v>0</v>
      </c>
      <c r="N135" s="38">
        <f t="shared" si="5"/>
        <v>0</v>
      </c>
      <c r="O135" s="39">
        <f t="shared" si="6"/>
        <v>0</v>
      </c>
      <c r="P135" s="40"/>
      <c r="Q135" s="78"/>
      <c r="R135" s="35"/>
      <c r="S135" s="35"/>
      <c r="T135" s="35"/>
      <c r="U135" s="35"/>
      <c r="V135" s="35"/>
      <c r="W135" s="35"/>
      <c r="X135" s="35"/>
      <c r="Y135" s="35"/>
      <c r="Z135" s="35"/>
      <c r="AA135" s="35"/>
    </row>
    <row r="136" ht="14.25" customHeight="1">
      <c r="A136" s="221"/>
      <c r="B136" s="231"/>
      <c r="C136" s="233"/>
      <c r="D136" s="212"/>
      <c r="E136" s="213"/>
      <c r="F136" s="214"/>
      <c r="G136" s="523"/>
      <c r="H136" s="524"/>
      <c r="I136" s="523"/>
      <c r="J136" s="36">
        <f t="shared" si="1"/>
        <v>0</v>
      </c>
      <c r="K136" s="37">
        <f t="shared" si="2"/>
        <v>0</v>
      </c>
      <c r="L136" s="38">
        <f t="shared" si="3"/>
        <v>0</v>
      </c>
      <c r="M136" s="39">
        <f t="shared" si="4"/>
        <v>0</v>
      </c>
      <c r="N136" s="38">
        <f t="shared" si="5"/>
        <v>0</v>
      </c>
      <c r="O136" s="39">
        <f t="shared" si="6"/>
        <v>0</v>
      </c>
      <c r="P136" s="40"/>
      <c r="Q136" s="78"/>
      <c r="R136" s="35"/>
      <c r="S136" s="35"/>
      <c r="T136" s="35"/>
      <c r="U136" s="35"/>
      <c r="V136" s="35"/>
      <c r="W136" s="35"/>
      <c r="X136" s="35"/>
      <c r="Y136" s="35"/>
      <c r="Z136" s="35"/>
      <c r="AA136" s="35"/>
    </row>
    <row r="137" ht="14.25" customHeight="1">
      <c r="A137" s="221"/>
      <c r="B137" s="231"/>
      <c r="C137" s="233"/>
      <c r="D137" s="212"/>
      <c r="E137" s="213"/>
      <c r="F137" s="214"/>
      <c r="G137" s="523"/>
      <c r="H137" s="524"/>
      <c r="I137" s="523"/>
      <c r="J137" s="36">
        <f t="shared" si="1"/>
        <v>0</v>
      </c>
      <c r="K137" s="37">
        <f t="shared" si="2"/>
        <v>0</v>
      </c>
      <c r="L137" s="38">
        <f t="shared" si="3"/>
        <v>0</v>
      </c>
      <c r="M137" s="39">
        <f t="shared" si="4"/>
        <v>0</v>
      </c>
      <c r="N137" s="38">
        <f t="shared" si="5"/>
        <v>0</v>
      </c>
      <c r="O137" s="39">
        <f t="shared" si="6"/>
        <v>0</v>
      </c>
      <c r="P137" s="40"/>
      <c r="Q137" s="78"/>
      <c r="R137" s="35"/>
      <c r="S137" s="35"/>
      <c r="T137" s="35"/>
      <c r="U137" s="35"/>
      <c r="V137" s="35"/>
      <c r="W137" s="35"/>
      <c r="X137" s="35"/>
      <c r="Y137" s="35"/>
      <c r="Z137" s="35"/>
      <c r="AA137" s="35"/>
    </row>
    <row r="138" ht="14.25" customHeight="1">
      <c r="A138" s="221"/>
      <c r="B138" s="231"/>
      <c r="C138" s="233"/>
      <c r="D138" s="212"/>
      <c r="E138" s="213"/>
      <c r="F138" s="214"/>
      <c r="G138" s="523"/>
      <c r="H138" s="524"/>
      <c r="I138" s="523"/>
      <c r="J138" s="36">
        <f t="shared" si="1"/>
        <v>0</v>
      </c>
      <c r="K138" s="37">
        <f t="shared" si="2"/>
        <v>0</v>
      </c>
      <c r="L138" s="38">
        <f t="shared" si="3"/>
        <v>0</v>
      </c>
      <c r="M138" s="39">
        <f t="shared" si="4"/>
        <v>0</v>
      </c>
      <c r="N138" s="38">
        <f t="shared" si="5"/>
        <v>0</v>
      </c>
      <c r="O138" s="39">
        <f t="shared" si="6"/>
        <v>0</v>
      </c>
      <c r="P138" s="40"/>
      <c r="Q138" s="78"/>
      <c r="R138" s="35"/>
      <c r="S138" s="35"/>
      <c r="T138" s="35"/>
      <c r="U138" s="35"/>
      <c r="V138" s="35"/>
      <c r="W138" s="35"/>
      <c r="X138" s="35"/>
      <c r="Y138" s="35"/>
      <c r="Z138" s="35"/>
      <c r="AA138" s="35"/>
    </row>
    <row r="139" ht="14.25" customHeight="1">
      <c r="A139" s="221"/>
      <c r="B139" s="231"/>
      <c r="C139" s="233"/>
      <c r="D139" s="212"/>
      <c r="E139" s="213"/>
      <c r="F139" s="214"/>
      <c r="G139" s="523"/>
      <c r="H139" s="524"/>
      <c r="I139" s="523"/>
      <c r="J139" s="36">
        <f t="shared" si="1"/>
        <v>0</v>
      </c>
      <c r="K139" s="37">
        <f t="shared" si="2"/>
        <v>0</v>
      </c>
      <c r="L139" s="38">
        <f t="shared" si="3"/>
        <v>0</v>
      </c>
      <c r="M139" s="39">
        <f t="shared" si="4"/>
        <v>0</v>
      </c>
      <c r="N139" s="38">
        <f t="shared" si="5"/>
        <v>0</v>
      </c>
      <c r="O139" s="39">
        <f t="shared" si="6"/>
        <v>0</v>
      </c>
      <c r="P139" s="40"/>
      <c r="Q139" s="78"/>
      <c r="R139" s="35"/>
      <c r="S139" s="35"/>
      <c r="T139" s="35"/>
      <c r="U139" s="35"/>
      <c r="V139" s="35"/>
      <c r="W139" s="35"/>
      <c r="X139" s="35"/>
      <c r="Y139" s="35"/>
      <c r="Z139" s="35"/>
      <c r="AA139" s="35"/>
    </row>
    <row r="140" ht="14.25" customHeight="1">
      <c r="A140" s="221"/>
      <c r="B140" s="231"/>
      <c r="C140" s="233"/>
      <c r="D140" s="212"/>
      <c r="E140" s="213"/>
      <c r="F140" s="214"/>
      <c r="G140" s="523"/>
      <c r="H140" s="524"/>
      <c r="I140" s="523"/>
      <c r="J140" s="36">
        <f t="shared" si="1"/>
        <v>0</v>
      </c>
      <c r="K140" s="37">
        <f t="shared" si="2"/>
        <v>0</v>
      </c>
      <c r="L140" s="38">
        <f t="shared" si="3"/>
        <v>0</v>
      </c>
      <c r="M140" s="39">
        <f t="shared" si="4"/>
        <v>0</v>
      </c>
      <c r="N140" s="38">
        <f t="shared" si="5"/>
        <v>0</v>
      </c>
      <c r="O140" s="39">
        <f t="shared" si="6"/>
        <v>0</v>
      </c>
      <c r="P140" s="40"/>
      <c r="Q140" s="78"/>
      <c r="R140" s="35"/>
      <c r="S140" s="35"/>
      <c r="T140" s="35"/>
      <c r="U140" s="35"/>
      <c r="V140" s="35"/>
      <c r="W140" s="35"/>
      <c r="X140" s="35"/>
      <c r="Y140" s="35"/>
      <c r="Z140" s="35"/>
      <c r="AA140" s="35"/>
    </row>
    <row r="141" ht="14.25" customHeight="1">
      <c r="A141" s="221"/>
      <c r="B141" s="231"/>
      <c r="C141" s="233"/>
      <c r="D141" s="212"/>
      <c r="E141" s="213"/>
      <c r="F141" s="214"/>
      <c r="G141" s="523"/>
      <c r="H141" s="524"/>
      <c r="I141" s="523"/>
      <c r="J141" s="36">
        <f t="shared" si="1"/>
        <v>0</v>
      </c>
      <c r="K141" s="37">
        <f t="shared" si="2"/>
        <v>0</v>
      </c>
      <c r="L141" s="38">
        <f t="shared" si="3"/>
        <v>0</v>
      </c>
      <c r="M141" s="39">
        <f t="shared" si="4"/>
        <v>0</v>
      </c>
      <c r="N141" s="38">
        <f t="shared" si="5"/>
        <v>0</v>
      </c>
      <c r="O141" s="39">
        <f t="shared" si="6"/>
        <v>0</v>
      </c>
      <c r="P141" s="40"/>
      <c r="Q141" s="78"/>
      <c r="R141" s="35"/>
      <c r="S141" s="35"/>
      <c r="T141" s="35"/>
      <c r="U141" s="35"/>
      <c r="V141" s="35"/>
      <c r="W141" s="35"/>
      <c r="X141" s="35"/>
      <c r="Y141" s="35"/>
      <c r="Z141" s="35"/>
      <c r="AA141" s="35"/>
    </row>
    <row r="142" ht="14.25" customHeight="1">
      <c r="A142" s="221"/>
      <c r="B142" s="231"/>
      <c r="C142" s="233"/>
      <c r="D142" s="212"/>
      <c r="E142" s="213"/>
      <c r="F142" s="214"/>
      <c r="G142" s="523"/>
      <c r="H142" s="524"/>
      <c r="I142" s="523"/>
      <c r="J142" s="36">
        <f t="shared" si="1"/>
        <v>0</v>
      </c>
      <c r="K142" s="37">
        <f t="shared" si="2"/>
        <v>0</v>
      </c>
      <c r="L142" s="38">
        <f t="shared" si="3"/>
        <v>0</v>
      </c>
      <c r="M142" s="39">
        <f t="shared" si="4"/>
        <v>0</v>
      </c>
      <c r="N142" s="38">
        <f t="shared" si="5"/>
        <v>0</v>
      </c>
      <c r="O142" s="39">
        <f t="shared" si="6"/>
        <v>0</v>
      </c>
      <c r="P142" s="40"/>
      <c r="Q142" s="78"/>
      <c r="R142" s="35"/>
      <c r="S142" s="35"/>
      <c r="T142" s="35"/>
      <c r="U142" s="35"/>
      <c r="V142" s="35"/>
      <c r="W142" s="35"/>
      <c r="X142" s="35"/>
      <c r="Y142" s="35"/>
      <c r="Z142" s="35"/>
      <c r="AA142" s="35"/>
    </row>
    <row r="143" ht="14.25" customHeight="1">
      <c r="A143" s="221"/>
      <c r="B143" s="231"/>
      <c r="C143" s="233"/>
      <c r="D143" s="212"/>
      <c r="E143" s="213"/>
      <c r="F143" s="214"/>
      <c r="G143" s="523"/>
      <c r="H143" s="524"/>
      <c r="I143" s="523"/>
      <c r="J143" s="36">
        <f t="shared" si="1"/>
        <v>0</v>
      </c>
      <c r="K143" s="37">
        <f t="shared" si="2"/>
        <v>0</v>
      </c>
      <c r="L143" s="38">
        <f t="shared" si="3"/>
        <v>0</v>
      </c>
      <c r="M143" s="39">
        <f t="shared" si="4"/>
        <v>0</v>
      </c>
      <c r="N143" s="38">
        <f t="shared" si="5"/>
        <v>0</v>
      </c>
      <c r="O143" s="39">
        <f t="shared" si="6"/>
        <v>0</v>
      </c>
      <c r="P143" s="40"/>
      <c r="Q143" s="78"/>
      <c r="R143" s="35"/>
      <c r="S143" s="35"/>
      <c r="T143" s="35"/>
      <c r="U143" s="35"/>
      <c r="V143" s="35"/>
      <c r="W143" s="35"/>
      <c r="X143" s="35"/>
      <c r="Y143" s="35"/>
      <c r="Z143" s="35"/>
      <c r="AA143" s="35"/>
    </row>
    <row r="144" ht="14.25" customHeight="1">
      <c r="A144" s="221"/>
      <c r="B144" s="231"/>
      <c r="C144" s="233"/>
      <c r="D144" s="212"/>
      <c r="E144" s="213"/>
      <c r="F144" s="214"/>
      <c r="G144" s="523"/>
      <c r="H144" s="524"/>
      <c r="I144" s="523"/>
      <c r="J144" s="36">
        <f t="shared" si="1"/>
        <v>0</v>
      </c>
      <c r="K144" s="37">
        <f t="shared" si="2"/>
        <v>0</v>
      </c>
      <c r="L144" s="38">
        <f t="shared" si="3"/>
        <v>0</v>
      </c>
      <c r="M144" s="39">
        <f t="shared" si="4"/>
        <v>0</v>
      </c>
      <c r="N144" s="38">
        <f t="shared" si="5"/>
        <v>0</v>
      </c>
      <c r="O144" s="39">
        <f t="shared" si="6"/>
        <v>0</v>
      </c>
      <c r="P144" s="40"/>
      <c r="Q144" s="78"/>
      <c r="R144" s="35"/>
      <c r="S144" s="35"/>
      <c r="T144" s="35"/>
      <c r="U144" s="35"/>
      <c r="V144" s="35"/>
      <c r="W144" s="35"/>
      <c r="X144" s="35"/>
      <c r="Y144" s="35"/>
      <c r="Z144" s="35"/>
      <c r="AA144" s="35"/>
    </row>
    <row r="145" ht="14.25" customHeight="1">
      <c r="A145" s="221"/>
      <c r="B145" s="231"/>
      <c r="C145" s="233"/>
      <c r="D145" s="212"/>
      <c r="E145" s="213"/>
      <c r="F145" s="214"/>
      <c r="G145" s="523"/>
      <c r="H145" s="524"/>
      <c r="I145" s="523"/>
      <c r="J145" s="36">
        <f t="shared" si="1"/>
        <v>0</v>
      </c>
      <c r="K145" s="37">
        <f t="shared" si="2"/>
        <v>0</v>
      </c>
      <c r="L145" s="38">
        <f t="shared" si="3"/>
        <v>0</v>
      </c>
      <c r="M145" s="39">
        <f t="shared" si="4"/>
        <v>0</v>
      </c>
      <c r="N145" s="38">
        <f t="shared" si="5"/>
        <v>0</v>
      </c>
      <c r="O145" s="39">
        <f t="shared" si="6"/>
        <v>0</v>
      </c>
      <c r="P145" s="40"/>
      <c r="Q145" s="34"/>
      <c r="R145" s="35"/>
      <c r="S145" s="35"/>
      <c r="T145" s="35"/>
      <c r="U145" s="35"/>
      <c r="V145" s="35"/>
      <c r="W145" s="35"/>
      <c r="X145" s="35"/>
      <c r="Y145" s="35"/>
      <c r="Z145" s="35"/>
      <c r="AA145" s="35"/>
    </row>
    <row r="146" ht="14.25" customHeight="1">
      <c r="A146" s="221"/>
      <c r="B146" s="231"/>
      <c r="C146" s="233"/>
      <c r="D146" s="212"/>
      <c r="E146" s="213"/>
      <c r="F146" s="214"/>
      <c r="G146" s="523"/>
      <c r="H146" s="524"/>
      <c r="I146" s="523"/>
      <c r="J146" s="36">
        <f t="shared" si="1"/>
        <v>0</v>
      </c>
      <c r="K146" s="37">
        <f t="shared" si="2"/>
        <v>0</v>
      </c>
      <c r="L146" s="38">
        <f t="shared" si="3"/>
        <v>0</v>
      </c>
      <c r="M146" s="39">
        <f t="shared" si="4"/>
        <v>0</v>
      </c>
      <c r="N146" s="38">
        <f t="shared" si="5"/>
        <v>0</v>
      </c>
      <c r="O146" s="39">
        <f t="shared" si="6"/>
        <v>0</v>
      </c>
      <c r="P146" s="40"/>
      <c r="Q146" s="34"/>
      <c r="R146" s="35"/>
      <c r="S146" s="35"/>
      <c r="T146" s="35"/>
      <c r="U146" s="35"/>
      <c r="V146" s="35"/>
      <c r="W146" s="35"/>
      <c r="X146" s="35"/>
      <c r="Y146" s="35"/>
      <c r="Z146" s="35"/>
      <c r="AA146" s="35"/>
    </row>
    <row r="147" ht="14.25" customHeight="1">
      <c r="A147" s="221"/>
      <c r="B147" s="231"/>
      <c r="C147" s="233"/>
      <c r="D147" s="212"/>
      <c r="E147" s="213"/>
      <c r="F147" s="214"/>
      <c r="G147" s="523"/>
      <c r="H147" s="524"/>
      <c r="I147" s="523"/>
      <c r="J147" s="36">
        <f t="shared" si="1"/>
        <v>0</v>
      </c>
      <c r="K147" s="37">
        <f t="shared" si="2"/>
        <v>0</v>
      </c>
      <c r="L147" s="38">
        <f t="shared" si="3"/>
        <v>0</v>
      </c>
      <c r="M147" s="39">
        <f t="shared" si="4"/>
        <v>0</v>
      </c>
      <c r="N147" s="38">
        <f t="shared" si="5"/>
        <v>0</v>
      </c>
      <c r="O147" s="39">
        <f t="shared" si="6"/>
        <v>0</v>
      </c>
      <c r="P147" s="40"/>
      <c r="Q147" s="34"/>
      <c r="R147" s="35"/>
      <c r="S147" s="35"/>
      <c r="T147" s="35"/>
      <c r="U147" s="35"/>
      <c r="V147" s="35"/>
      <c r="W147" s="35"/>
      <c r="X147" s="35"/>
      <c r="Y147" s="35"/>
      <c r="Z147" s="35"/>
      <c r="AA147" s="35"/>
    </row>
    <row r="148" ht="14.25" customHeight="1">
      <c r="A148" s="221"/>
      <c r="B148" s="231"/>
      <c r="C148" s="233"/>
      <c r="D148" s="212"/>
      <c r="E148" s="213"/>
      <c r="F148" s="214"/>
      <c r="G148" s="523"/>
      <c r="H148" s="524"/>
      <c r="I148" s="523"/>
      <c r="J148" s="36">
        <f t="shared" si="1"/>
        <v>0</v>
      </c>
      <c r="K148" s="37">
        <f t="shared" si="2"/>
        <v>0</v>
      </c>
      <c r="L148" s="38">
        <f t="shared" si="3"/>
        <v>0</v>
      </c>
      <c r="M148" s="39">
        <f t="shared" si="4"/>
        <v>0</v>
      </c>
      <c r="N148" s="38">
        <f t="shared" si="5"/>
        <v>0</v>
      </c>
      <c r="O148" s="39">
        <f t="shared" si="6"/>
        <v>0</v>
      </c>
      <c r="P148" s="40"/>
      <c r="Q148" s="34"/>
      <c r="R148" s="35"/>
      <c r="S148" s="35"/>
      <c r="T148" s="35"/>
      <c r="U148" s="35"/>
      <c r="V148" s="35"/>
      <c r="W148" s="35"/>
      <c r="X148" s="35"/>
      <c r="Y148" s="35"/>
      <c r="Z148" s="35"/>
      <c r="AA148" s="35"/>
    </row>
    <row r="149" ht="14.25" customHeight="1">
      <c r="A149" s="221"/>
      <c r="B149" s="231"/>
      <c r="C149" s="233"/>
      <c r="D149" s="212"/>
      <c r="E149" s="213"/>
      <c r="F149" s="214"/>
      <c r="G149" s="523"/>
      <c r="H149" s="524"/>
      <c r="I149" s="523"/>
      <c r="J149" s="36">
        <f t="shared" si="1"/>
        <v>0</v>
      </c>
      <c r="K149" s="37">
        <f t="shared" si="2"/>
        <v>0</v>
      </c>
      <c r="L149" s="38">
        <f t="shared" si="3"/>
        <v>0</v>
      </c>
      <c r="M149" s="39">
        <f t="shared" si="4"/>
        <v>0</v>
      </c>
      <c r="N149" s="38">
        <f t="shared" si="5"/>
        <v>0</v>
      </c>
      <c r="O149" s="39">
        <f t="shared" si="6"/>
        <v>0</v>
      </c>
      <c r="P149" s="40"/>
      <c r="Q149" s="34"/>
      <c r="R149" s="35"/>
      <c r="S149" s="35"/>
      <c r="T149" s="35"/>
      <c r="U149" s="35"/>
      <c r="V149" s="35"/>
      <c r="W149" s="35"/>
      <c r="X149" s="35"/>
      <c r="Y149" s="35"/>
      <c r="Z149" s="35"/>
      <c r="AA149" s="35"/>
    </row>
    <row r="150" ht="14.25" customHeight="1">
      <c r="A150" s="221"/>
      <c r="B150" s="231"/>
      <c r="C150" s="233"/>
      <c r="D150" s="212"/>
      <c r="E150" s="213"/>
      <c r="F150" s="214"/>
      <c r="G150" s="523"/>
      <c r="H150" s="524"/>
      <c r="I150" s="523"/>
      <c r="J150" s="36">
        <f t="shared" si="1"/>
        <v>0</v>
      </c>
      <c r="K150" s="37">
        <f t="shared" si="2"/>
        <v>0</v>
      </c>
      <c r="L150" s="38">
        <f t="shared" si="3"/>
        <v>0</v>
      </c>
      <c r="M150" s="39">
        <f t="shared" si="4"/>
        <v>0</v>
      </c>
      <c r="N150" s="38">
        <f t="shared" si="5"/>
        <v>0</v>
      </c>
      <c r="O150" s="39">
        <f t="shared" si="6"/>
        <v>0</v>
      </c>
      <c r="P150" s="40"/>
      <c r="Q150" s="34"/>
      <c r="R150" s="35"/>
      <c r="S150" s="35"/>
      <c r="T150" s="35"/>
      <c r="U150" s="35"/>
      <c r="V150" s="35"/>
      <c r="W150" s="35"/>
      <c r="X150" s="35"/>
      <c r="Y150" s="35"/>
      <c r="Z150" s="35"/>
      <c r="AA150" s="35"/>
    </row>
    <row r="151" ht="14.25" customHeight="1">
      <c r="A151" s="221"/>
      <c r="B151" s="231"/>
      <c r="C151" s="233"/>
      <c r="D151" s="212"/>
      <c r="E151" s="213"/>
      <c r="F151" s="214"/>
      <c r="G151" s="523"/>
      <c r="H151" s="524"/>
      <c r="I151" s="523"/>
      <c r="J151" s="36">
        <f t="shared" si="1"/>
        <v>0</v>
      </c>
      <c r="K151" s="37">
        <f t="shared" si="2"/>
        <v>0</v>
      </c>
      <c r="L151" s="38">
        <f t="shared" si="3"/>
        <v>0</v>
      </c>
      <c r="M151" s="39">
        <f t="shared" si="4"/>
        <v>0</v>
      </c>
      <c r="N151" s="38">
        <f t="shared" si="5"/>
        <v>0</v>
      </c>
      <c r="O151" s="39">
        <f t="shared" si="6"/>
        <v>0</v>
      </c>
      <c r="P151" s="40"/>
      <c r="Q151" s="78"/>
      <c r="R151" s="35"/>
      <c r="S151" s="35"/>
      <c r="T151" s="35"/>
      <c r="U151" s="35"/>
      <c r="V151" s="35"/>
      <c r="W151" s="35"/>
      <c r="X151" s="35"/>
      <c r="Y151" s="35"/>
      <c r="Z151" s="35"/>
      <c r="AA151" s="35"/>
    </row>
    <row r="152" ht="14.25" customHeight="1">
      <c r="A152" s="221"/>
      <c r="B152" s="231"/>
      <c r="C152" s="233"/>
      <c r="D152" s="212"/>
      <c r="E152" s="213"/>
      <c r="F152" s="214"/>
      <c r="G152" s="523"/>
      <c r="H152" s="524"/>
      <c r="I152" s="523"/>
      <c r="J152" s="36">
        <f t="shared" si="1"/>
        <v>0</v>
      </c>
      <c r="K152" s="37">
        <f t="shared" si="2"/>
        <v>0</v>
      </c>
      <c r="L152" s="38">
        <f t="shared" si="3"/>
        <v>0</v>
      </c>
      <c r="M152" s="39">
        <f t="shared" si="4"/>
        <v>0</v>
      </c>
      <c r="N152" s="38">
        <f t="shared" si="5"/>
        <v>0</v>
      </c>
      <c r="O152" s="39">
        <f t="shared" si="6"/>
        <v>0</v>
      </c>
      <c r="P152" s="40"/>
      <c r="Q152" s="78"/>
      <c r="R152" s="35"/>
      <c r="S152" s="35"/>
      <c r="T152" s="35"/>
      <c r="U152" s="35"/>
      <c r="V152" s="35"/>
      <c r="W152" s="35"/>
      <c r="X152" s="35"/>
      <c r="Y152" s="35"/>
      <c r="Z152" s="35"/>
      <c r="AA152" s="35"/>
    </row>
    <row r="153" ht="14.25" customHeight="1">
      <c r="A153" s="221"/>
      <c r="B153" s="231"/>
      <c r="C153" s="233"/>
      <c r="D153" s="212"/>
      <c r="E153" s="213"/>
      <c r="F153" s="214"/>
      <c r="G153" s="523"/>
      <c r="H153" s="524"/>
      <c r="I153" s="523"/>
      <c r="J153" s="36">
        <f t="shared" si="1"/>
        <v>0</v>
      </c>
      <c r="K153" s="37">
        <f t="shared" si="2"/>
        <v>0</v>
      </c>
      <c r="L153" s="38">
        <f t="shared" si="3"/>
        <v>0</v>
      </c>
      <c r="M153" s="39">
        <f t="shared" si="4"/>
        <v>0</v>
      </c>
      <c r="N153" s="38">
        <f t="shared" si="5"/>
        <v>0</v>
      </c>
      <c r="O153" s="39">
        <f t="shared" si="6"/>
        <v>0</v>
      </c>
      <c r="P153" s="40"/>
      <c r="Q153" s="78"/>
      <c r="R153" s="35"/>
      <c r="S153" s="35"/>
      <c r="T153" s="35"/>
      <c r="U153" s="35"/>
      <c r="V153" s="35"/>
      <c r="W153" s="35"/>
      <c r="X153" s="35"/>
      <c r="Y153" s="35"/>
      <c r="Z153" s="35"/>
      <c r="AA153" s="35"/>
    </row>
    <row r="154" ht="14.25" customHeight="1">
      <c r="A154" s="221"/>
      <c r="B154" s="231"/>
      <c r="C154" s="233"/>
      <c r="D154" s="212"/>
      <c r="E154" s="213"/>
      <c r="F154" s="214"/>
      <c r="G154" s="523"/>
      <c r="H154" s="524"/>
      <c r="I154" s="523"/>
      <c r="J154" s="36">
        <f t="shared" si="1"/>
        <v>0</v>
      </c>
      <c r="K154" s="37">
        <f t="shared" si="2"/>
        <v>0</v>
      </c>
      <c r="L154" s="38">
        <f t="shared" si="3"/>
        <v>0</v>
      </c>
      <c r="M154" s="39">
        <f t="shared" si="4"/>
        <v>0</v>
      </c>
      <c r="N154" s="38">
        <f t="shared" si="5"/>
        <v>0</v>
      </c>
      <c r="O154" s="39">
        <f t="shared" si="6"/>
        <v>0</v>
      </c>
      <c r="P154" s="40"/>
      <c r="Q154" s="78"/>
      <c r="R154" s="35"/>
      <c r="S154" s="35"/>
      <c r="T154" s="35"/>
      <c r="U154" s="35"/>
      <c r="V154" s="35"/>
      <c r="W154" s="35"/>
      <c r="X154" s="35"/>
      <c r="Y154" s="35"/>
      <c r="Z154" s="35"/>
      <c r="AA154" s="35"/>
    </row>
    <row r="155" ht="14.25" customHeight="1">
      <c r="A155" s="221"/>
      <c r="B155" s="231"/>
      <c r="C155" s="233"/>
      <c r="D155" s="212"/>
      <c r="E155" s="213"/>
      <c r="F155" s="214"/>
      <c r="G155" s="523"/>
      <c r="H155" s="524"/>
      <c r="I155" s="523"/>
      <c r="J155" s="36">
        <f t="shared" si="1"/>
        <v>0</v>
      </c>
      <c r="K155" s="37">
        <f t="shared" si="2"/>
        <v>0</v>
      </c>
      <c r="L155" s="38">
        <f t="shared" si="3"/>
        <v>0</v>
      </c>
      <c r="M155" s="39">
        <f t="shared" si="4"/>
        <v>0</v>
      </c>
      <c r="N155" s="38">
        <f t="shared" si="5"/>
        <v>0</v>
      </c>
      <c r="O155" s="39">
        <f t="shared" si="6"/>
        <v>0</v>
      </c>
      <c r="P155" s="40"/>
      <c r="Q155" s="78"/>
      <c r="R155" s="35"/>
      <c r="S155" s="35"/>
      <c r="T155" s="35"/>
      <c r="U155" s="35"/>
      <c r="V155" s="35"/>
      <c r="W155" s="35"/>
      <c r="X155" s="35"/>
      <c r="Y155" s="35"/>
      <c r="Z155" s="35"/>
      <c r="AA155" s="35"/>
    </row>
    <row r="156" ht="14.25" customHeight="1">
      <c r="A156" s="221"/>
      <c r="B156" s="231"/>
      <c r="C156" s="233"/>
      <c r="D156" s="212"/>
      <c r="E156" s="213"/>
      <c r="F156" s="214"/>
      <c r="G156" s="523"/>
      <c r="H156" s="524"/>
      <c r="I156" s="523"/>
      <c r="J156" s="36">
        <f t="shared" si="1"/>
        <v>0</v>
      </c>
      <c r="K156" s="37">
        <f t="shared" si="2"/>
        <v>0</v>
      </c>
      <c r="L156" s="38">
        <f t="shared" si="3"/>
        <v>0</v>
      </c>
      <c r="M156" s="39">
        <f t="shared" si="4"/>
        <v>0</v>
      </c>
      <c r="N156" s="38">
        <f t="shared" si="5"/>
        <v>0</v>
      </c>
      <c r="O156" s="39">
        <f t="shared" si="6"/>
        <v>0</v>
      </c>
      <c r="P156" s="40"/>
      <c r="Q156" s="78"/>
      <c r="R156" s="35"/>
      <c r="S156" s="35"/>
      <c r="T156" s="35"/>
      <c r="U156" s="35"/>
      <c r="V156" s="35"/>
      <c r="W156" s="35"/>
      <c r="X156" s="35"/>
      <c r="Y156" s="35"/>
      <c r="Z156" s="35"/>
      <c r="AA156" s="35"/>
    </row>
    <row r="157" ht="14.25" customHeight="1">
      <c r="A157" s="221"/>
      <c r="B157" s="231"/>
      <c r="C157" s="233"/>
      <c r="D157" s="212"/>
      <c r="E157" s="213"/>
      <c r="F157" s="214"/>
      <c r="G157" s="523"/>
      <c r="H157" s="524"/>
      <c r="I157" s="523"/>
      <c r="J157" s="36">
        <f t="shared" si="1"/>
        <v>0</v>
      </c>
      <c r="K157" s="37">
        <f t="shared" si="2"/>
        <v>0</v>
      </c>
      <c r="L157" s="38">
        <f t="shared" si="3"/>
        <v>0</v>
      </c>
      <c r="M157" s="39">
        <f t="shared" si="4"/>
        <v>0</v>
      </c>
      <c r="N157" s="38">
        <f t="shared" si="5"/>
        <v>0</v>
      </c>
      <c r="O157" s="39">
        <f t="shared" si="6"/>
        <v>0</v>
      </c>
      <c r="P157" s="40"/>
      <c r="Q157" s="78"/>
      <c r="R157" s="35"/>
      <c r="S157" s="35"/>
      <c r="T157" s="35"/>
      <c r="U157" s="35"/>
      <c r="V157" s="35"/>
      <c r="W157" s="35"/>
      <c r="X157" s="35"/>
      <c r="Y157" s="35"/>
      <c r="Z157" s="35"/>
      <c r="AA157" s="35"/>
    </row>
    <row r="158" ht="14.25" customHeight="1">
      <c r="A158" s="221"/>
      <c r="B158" s="231"/>
      <c r="C158" s="233"/>
      <c r="D158" s="212"/>
      <c r="E158" s="213"/>
      <c r="F158" s="214"/>
      <c r="G158" s="523"/>
      <c r="H158" s="524"/>
      <c r="I158" s="523"/>
      <c r="J158" s="36">
        <f t="shared" si="1"/>
        <v>0</v>
      </c>
      <c r="K158" s="37">
        <f t="shared" si="2"/>
        <v>0</v>
      </c>
      <c r="L158" s="38">
        <f t="shared" si="3"/>
        <v>0</v>
      </c>
      <c r="M158" s="39">
        <f t="shared" si="4"/>
        <v>0</v>
      </c>
      <c r="N158" s="38">
        <f t="shared" si="5"/>
        <v>0</v>
      </c>
      <c r="O158" s="39">
        <f t="shared" si="6"/>
        <v>0</v>
      </c>
      <c r="P158" s="40"/>
      <c r="Q158" s="78"/>
      <c r="R158" s="35"/>
      <c r="S158" s="35"/>
      <c r="T158" s="35"/>
      <c r="U158" s="35"/>
      <c r="V158" s="35"/>
      <c r="W158" s="35"/>
      <c r="X158" s="35"/>
      <c r="Y158" s="35"/>
      <c r="Z158" s="35"/>
      <c r="AA158" s="35"/>
    </row>
    <row r="159" ht="14.25" customHeight="1">
      <c r="A159" s="221"/>
      <c r="B159" s="231"/>
      <c r="C159" s="233"/>
      <c r="D159" s="212"/>
      <c r="E159" s="213"/>
      <c r="F159" s="214"/>
      <c r="G159" s="523"/>
      <c r="H159" s="524"/>
      <c r="I159" s="523"/>
      <c r="J159" s="36">
        <f t="shared" si="1"/>
        <v>0</v>
      </c>
      <c r="K159" s="37">
        <f t="shared" si="2"/>
        <v>0</v>
      </c>
      <c r="L159" s="38">
        <f t="shared" si="3"/>
        <v>0</v>
      </c>
      <c r="M159" s="39">
        <f t="shared" si="4"/>
        <v>0</v>
      </c>
      <c r="N159" s="38">
        <f t="shared" si="5"/>
        <v>0</v>
      </c>
      <c r="O159" s="39">
        <f t="shared" si="6"/>
        <v>0</v>
      </c>
      <c r="P159" s="40"/>
      <c r="Q159" s="78"/>
      <c r="R159" s="35"/>
      <c r="S159" s="35"/>
      <c r="T159" s="35"/>
      <c r="U159" s="35"/>
      <c r="V159" s="35"/>
      <c r="W159" s="35"/>
      <c r="X159" s="35"/>
      <c r="Y159" s="35"/>
      <c r="Z159" s="35"/>
      <c r="AA159" s="35"/>
    </row>
    <row r="160" ht="14.25" customHeight="1">
      <c r="A160" s="221"/>
      <c r="B160" s="231"/>
      <c r="C160" s="233"/>
      <c r="D160" s="212"/>
      <c r="E160" s="213"/>
      <c r="F160" s="214"/>
      <c r="G160" s="523"/>
      <c r="H160" s="524"/>
      <c r="I160" s="523"/>
      <c r="J160" s="36">
        <f t="shared" si="1"/>
        <v>0</v>
      </c>
      <c r="K160" s="37">
        <f t="shared" si="2"/>
        <v>0</v>
      </c>
      <c r="L160" s="38">
        <f t="shared" si="3"/>
        <v>0</v>
      </c>
      <c r="M160" s="39">
        <f t="shared" si="4"/>
        <v>0</v>
      </c>
      <c r="N160" s="38">
        <f t="shared" si="5"/>
        <v>0</v>
      </c>
      <c r="O160" s="39">
        <f t="shared" si="6"/>
        <v>0</v>
      </c>
      <c r="P160" s="40"/>
      <c r="Q160" s="78"/>
      <c r="R160" s="35"/>
      <c r="S160" s="35"/>
      <c r="T160" s="35"/>
      <c r="U160" s="35"/>
      <c r="V160" s="35"/>
      <c r="W160" s="35"/>
      <c r="X160" s="35"/>
      <c r="Y160" s="35"/>
      <c r="Z160" s="35"/>
      <c r="AA160" s="35"/>
    </row>
    <row r="161" ht="14.25" customHeight="1">
      <c r="A161" s="221"/>
      <c r="B161" s="231"/>
      <c r="C161" s="116"/>
      <c r="D161" s="223"/>
      <c r="E161" s="85"/>
      <c r="F161" s="107"/>
      <c r="G161" s="523"/>
      <c r="H161" s="524"/>
      <c r="I161" s="523"/>
      <c r="J161" s="36">
        <f t="shared" si="1"/>
        <v>0</v>
      </c>
      <c r="K161" s="37">
        <f t="shared" si="2"/>
        <v>0</v>
      </c>
      <c r="L161" s="38">
        <f t="shared" si="3"/>
        <v>0</v>
      </c>
      <c r="M161" s="39">
        <f t="shared" si="4"/>
        <v>0</v>
      </c>
      <c r="N161" s="38">
        <f t="shared" si="5"/>
        <v>0</v>
      </c>
      <c r="O161" s="39">
        <f t="shared" si="6"/>
        <v>0</v>
      </c>
      <c r="P161" s="40"/>
      <c r="Q161" s="78"/>
      <c r="R161" s="35"/>
      <c r="S161" s="35"/>
      <c r="T161" s="35"/>
      <c r="U161" s="35"/>
      <c r="V161" s="35"/>
      <c r="W161" s="35"/>
      <c r="X161" s="35"/>
      <c r="Y161" s="35"/>
      <c r="Z161" s="35"/>
      <c r="AA161" s="35"/>
    </row>
    <row r="162" ht="14.25" customHeight="1">
      <c r="A162" s="221"/>
      <c r="B162" s="231"/>
      <c r="C162" s="116"/>
      <c r="D162" s="223"/>
      <c r="E162" s="85"/>
      <c r="F162" s="107"/>
      <c r="G162" s="523"/>
      <c r="H162" s="524"/>
      <c r="I162" s="523"/>
      <c r="J162" s="36">
        <f t="shared" si="1"/>
        <v>0</v>
      </c>
      <c r="K162" s="37">
        <f t="shared" si="2"/>
        <v>0</v>
      </c>
      <c r="L162" s="38">
        <f t="shared" si="3"/>
        <v>0</v>
      </c>
      <c r="M162" s="39">
        <f t="shared" si="4"/>
        <v>0</v>
      </c>
      <c r="N162" s="38">
        <f t="shared" si="5"/>
        <v>0</v>
      </c>
      <c r="O162" s="39">
        <f t="shared" si="6"/>
        <v>0</v>
      </c>
      <c r="P162" s="40"/>
      <c r="Q162" s="78"/>
      <c r="R162" s="35"/>
      <c r="S162" s="35"/>
      <c r="T162" s="35"/>
      <c r="U162" s="35"/>
      <c r="V162" s="35"/>
      <c r="W162" s="35"/>
      <c r="X162" s="35"/>
      <c r="Y162" s="35"/>
      <c r="Z162" s="35"/>
      <c r="AA162" s="35"/>
    </row>
    <row r="163" ht="14.25" customHeight="1">
      <c r="A163" s="221"/>
      <c r="B163" s="231"/>
      <c r="C163" s="116"/>
      <c r="D163" s="223"/>
      <c r="E163" s="85"/>
      <c r="F163" s="107"/>
      <c r="G163" s="523"/>
      <c r="H163" s="524"/>
      <c r="I163" s="523"/>
      <c r="J163" s="36">
        <f t="shared" si="1"/>
        <v>0</v>
      </c>
      <c r="K163" s="37">
        <f t="shared" si="2"/>
        <v>0</v>
      </c>
      <c r="L163" s="38">
        <f t="shared" si="3"/>
        <v>0</v>
      </c>
      <c r="M163" s="39">
        <f t="shared" si="4"/>
        <v>0</v>
      </c>
      <c r="N163" s="38">
        <f t="shared" si="5"/>
        <v>0</v>
      </c>
      <c r="O163" s="39">
        <f t="shared" si="6"/>
        <v>0</v>
      </c>
      <c r="P163" s="40"/>
      <c r="Q163" s="78"/>
      <c r="R163" s="35"/>
      <c r="S163" s="35"/>
      <c r="T163" s="35"/>
      <c r="U163" s="35"/>
      <c r="V163" s="35"/>
      <c r="W163" s="35"/>
      <c r="X163" s="35"/>
      <c r="Y163" s="35"/>
      <c r="Z163" s="35"/>
      <c r="AA163" s="35"/>
    </row>
    <row r="164" ht="14.25" customHeight="1">
      <c r="A164" s="221"/>
      <c r="B164" s="231"/>
      <c r="C164" s="126"/>
      <c r="D164" s="508"/>
      <c r="E164" s="48"/>
      <c r="F164" s="107"/>
      <c r="G164" s="523"/>
      <c r="H164" s="524"/>
      <c r="I164" s="523"/>
      <c r="J164" s="36">
        <f t="shared" si="1"/>
        <v>0</v>
      </c>
      <c r="K164" s="37">
        <f t="shared" si="2"/>
        <v>0</v>
      </c>
      <c r="L164" s="38">
        <f t="shared" si="3"/>
        <v>0</v>
      </c>
      <c r="M164" s="39">
        <f t="shared" si="4"/>
        <v>0</v>
      </c>
      <c r="N164" s="38">
        <f t="shared" si="5"/>
        <v>0</v>
      </c>
      <c r="O164" s="39">
        <f t="shared" si="6"/>
        <v>0</v>
      </c>
      <c r="P164" s="40"/>
      <c r="Q164" s="78"/>
      <c r="R164" s="35"/>
      <c r="S164" s="35"/>
      <c r="T164" s="35"/>
      <c r="U164" s="35"/>
      <c r="V164" s="35"/>
      <c r="W164" s="35"/>
      <c r="X164" s="35"/>
      <c r="Y164" s="35"/>
      <c r="Z164" s="35"/>
      <c r="AA164" s="35"/>
    </row>
    <row r="165" ht="14.25" customHeight="1">
      <c r="A165" s="221"/>
      <c r="B165" s="231"/>
      <c r="C165" s="126"/>
      <c r="D165" s="223"/>
      <c r="E165" s="85"/>
      <c r="F165" s="107"/>
      <c r="G165" s="523"/>
      <c r="H165" s="524"/>
      <c r="I165" s="523"/>
      <c r="J165" s="36">
        <f t="shared" si="1"/>
        <v>0</v>
      </c>
      <c r="K165" s="37">
        <f t="shared" si="2"/>
        <v>0</v>
      </c>
      <c r="L165" s="38">
        <f t="shared" si="3"/>
        <v>0</v>
      </c>
      <c r="M165" s="39">
        <f t="shared" si="4"/>
        <v>0</v>
      </c>
      <c r="N165" s="38">
        <f t="shared" si="5"/>
        <v>0</v>
      </c>
      <c r="O165" s="39">
        <f t="shared" si="6"/>
        <v>0</v>
      </c>
      <c r="P165" s="40"/>
      <c r="Q165" s="78"/>
      <c r="R165" s="35"/>
      <c r="S165" s="35"/>
      <c r="T165" s="35"/>
      <c r="U165" s="35"/>
      <c r="V165" s="35"/>
      <c r="W165" s="35"/>
      <c r="X165" s="35"/>
      <c r="Y165" s="35"/>
      <c r="Z165" s="35"/>
      <c r="AA165" s="35"/>
    </row>
    <row r="166" ht="14.25" customHeight="1">
      <c r="A166" s="221"/>
      <c r="B166" s="231"/>
      <c r="C166" s="126"/>
      <c r="D166" s="223"/>
      <c r="E166" s="85"/>
      <c r="F166" s="107"/>
      <c r="G166" s="523"/>
      <c r="H166" s="524"/>
      <c r="I166" s="523"/>
      <c r="J166" s="36">
        <f t="shared" si="1"/>
        <v>0</v>
      </c>
      <c r="K166" s="37">
        <f t="shared" si="2"/>
        <v>0</v>
      </c>
      <c r="L166" s="38">
        <f t="shared" si="3"/>
        <v>0</v>
      </c>
      <c r="M166" s="39">
        <f t="shared" si="4"/>
        <v>0</v>
      </c>
      <c r="N166" s="38">
        <f t="shared" si="5"/>
        <v>0</v>
      </c>
      <c r="O166" s="39">
        <f t="shared" si="6"/>
        <v>0</v>
      </c>
      <c r="P166" s="40"/>
      <c r="Q166" s="78"/>
      <c r="R166" s="35"/>
      <c r="S166" s="35"/>
      <c r="T166" s="35"/>
      <c r="U166" s="35"/>
      <c r="V166" s="35"/>
      <c r="W166" s="35"/>
      <c r="X166" s="35"/>
      <c r="Y166" s="35"/>
      <c r="Z166" s="35"/>
      <c r="AA166" s="35"/>
    </row>
    <row r="167" ht="14.25" customHeight="1">
      <c r="A167" s="221"/>
      <c r="B167" s="231"/>
      <c r="C167" s="116"/>
      <c r="D167" s="223"/>
      <c r="E167" s="85"/>
      <c r="F167" s="107"/>
      <c r="G167" s="523"/>
      <c r="H167" s="524"/>
      <c r="I167" s="523"/>
      <c r="J167" s="36">
        <f t="shared" si="1"/>
        <v>0</v>
      </c>
      <c r="K167" s="37">
        <f t="shared" si="2"/>
        <v>0</v>
      </c>
      <c r="L167" s="38">
        <f t="shared" si="3"/>
        <v>0</v>
      </c>
      <c r="M167" s="39">
        <f t="shared" si="4"/>
        <v>0</v>
      </c>
      <c r="N167" s="38">
        <f t="shared" si="5"/>
        <v>0</v>
      </c>
      <c r="O167" s="39">
        <f t="shared" si="6"/>
        <v>0</v>
      </c>
      <c r="P167" s="40"/>
      <c r="Q167" s="78"/>
      <c r="R167" s="35"/>
      <c r="S167" s="35"/>
      <c r="T167" s="35"/>
      <c r="U167" s="35"/>
      <c r="V167" s="35"/>
      <c r="W167" s="35"/>
      <c r="X167" s="35"/>
      <c r="Y167" s="35"/>
      <c r="Z167" s="35"/>
      <c r="AA167" s="35"/>
    </row>
    <row r="168" ht="14.25" customHeight="1">
      <c r="A168" s="221"/>
      <c r="B168" s="231"/>
      <c r="C168" s="116"/>
      <c r="D168" s="223"/>
      <c r="E168" s="85"/>
      <c r="F168" s="107"/>
      <c r="G168" s="523"/>
      <c r="H168" s="524"/>
      <c r="I168" s="523"/>
      <c r="J168" s="36">
        <f t="shared" si="1"/>
        <v>0</v>
      </c>
      <c r="K168" s="37">
        <f t="shared" si="2"/>
        <v>0</v>
      </c>
      <c r="L168" s="38">
        <f t="shared" si="3"/>
        <v>0</v>
      </c>
      <c r="M168" s="39">
        <f t="shared" si="4"/>
        <v>0</v>
      </c>
      <c r="N168" s="38">
        <f t="shared" si="5"/>
        <v>0</v>
      </c>
      <c r="O168" s="39">
        <f t="shared" si="6"/>
        <v>0</v>
      </c>
      <c r="P168" s="40"/>
      <c r="Q168" s="78"/>
      <c r="R168" s="35"/>
      <c r="S168" s="35"/>
      <c r="T168" s="35"/>
      <c r="U168" s="35"/>
      <c r="V168" s="35"/>
      <c r="W168" s="35"/>
      <c r="X168" s="35"/>
      <c r="Y168" s="35"/>
      <c r="Z168" s="35"/>
      <c r="AA168" s="35"/>
    </row>
    <row r="169" ht="14.25" customHeight="1">
      <c r="A169" s="221"/>
      <c r="B169" s="231"/>
      <c r="C169" s="108"/>
      <c r="D169" s="223"/>
      <c r="E169" s="42"/>
      <c r="F169" s="109"/>
      <c r="G169" s="523"/>
      <c r="H169" s="524"/>
      <c r="I169" s="523"/>
      <c r="J169" s="36">
        <f t="shared" si="1"/>
        <v>0</v>
      </c>
      <c r="K169" s="37">
        <f t="shared" si="2"/>
        <v>0</v>
      </c>
      <c r="L169" s="38">
        <f t="shared" si="3"/>
        <v>0</v>
      </c>
      <c r="M169" s="39">
        <f t="shared" si="4"/>
        <v>0</v>
      </c>
      <c r="N169" s="38">
        <f t="shared" si="5"/>
        <v>0</v>
      </c>
      <c r="O169" s="39">
        <f t="shared" si="6"/>
        <v>0</v>
      </c>
      <c r="P169" s="40"/>
      <c r="Q169" s="34"/>
      <c r="R169" s="35"/>
      <c r="S169" s="35"/>
      <c r="T169" s="35"/>
      <c r="U169" s="35"/>
      <c r="V169" s="35"/>
      <c r="W169" s="35"/>
      <c r="X169" s="35"/>
      <c r="Y169" s="35"/>
      <c r="Z169" s="35"/>
      <c r="AA169" s="35"/>
    </row>
    <row r="170" ht="14.25" customHeight="1">
      <c r="A170" s="221"/>
      <c r="B170" s="231"/>
      <c r="C170" s="106"/>
      <c r="D170" s="223"/>
      <c r="E170" s="85"/>
      <c r="F170" s="107"/>
      <c r="G170" s="523"/>
      <c r="H170" s="524"/>
      <c r="I170" s="523"/>
      <c r="J170" s="36">
        <f t="shared" si="1"/>
        <v>0</v>
      </c>
      <c r="K170" s="37">
        <f t="shared" si="2"/>
        <v>0</v>
      </c>
      <c r="L170" s="38">
        <f t="shared" si="3"/>
        <v>0</v>
      </c>
      <c r="M170" s="39">
        <f t="shared" si="4"/>
        <v>0</v>
      </c>
      <c r="N170" s="38">
        <f t="shared" si="5"/>
        <v>0</v>
      </c>
      <c r="O170" s="39">
        <f t="shared" si="6"/>
        <v>0</v>
      </c>
      <c r="P170" s="40"/>
      <c r="Q170" s="34"/>
      <c r="R170" s="35"/>
      <c r="S170" s="35"/>
      <c r="T170" s="35"/>
      <c r="U170" s="35"/>
      <c r="V170" s="35"/>
      <c r="W170" s="35"/>
      <c r="X170" s="35"/>
      <c r="Y170" s="35"/>
      <c r="Z170" s="35"/>
      <c r="AA170" s="35"/>
    </row>
    <row r="171" ht="14.25" customHeight="1">
      <c r="A171" s="221"/>
      <c r="B171" s="231"/>
      <c r="C171" s="106"/>
      <c r="D171" s="223"/>
      <c r="E171" s="85"/>
      <c r="F171" s="107"/>
      <c r="G171" s="523"/>
      <c r="H171" s="524"/>
      <c r="I171" s="523"/>
      <c r="J171" s="36">
        <f t="shared" si="1"/>
        <v>0</v>
      </c>
      <c r="K171" s="37">
        <f t="shared" si="2"/>
        <v>0</v>
      </c>
      <c r="L171" s="38">
        <f t="shared" si="3"/>
        <v>0</v>
      </c>
      <c r="M171" s="39">
        <f t="shared" si="4"/>
        <v>0</v>
      </c>
      <c r="N171" s="38">
        <f t="shared" si="5"/>
        <v>0</v>
      </c>
      <c r="O171" s="39">
        <f t="shared" si="6"/>
        <v>0</v>
      </c>
      <c r="P171" s="40"/>
      <c r="Q171" s="34"/>
      <c r="R171" s="35"/>
      <c r="S171" s="35"/>
      <c r="T171" s="35"/>
      <c r="U171" s="35"/>
      <c r="V171" s="35"/>
      <c r="W171" s="35"/>
      <c r="X171" s="35"/>
      <c r="Y171" s="35"/>
      <c r="Z171" s="35"/>
      <c r="AA171" s="35"/>
    </row>
    <row r="172" ht="14.25" customHeight="1">
      <c r="A172" s="221"/>
      <c r="B172" s="231"/>
      <c r="C172" s="106"/>
      <c r="D172" s="223"/>
      <c r="E172" s="85"/>
      <c r="F172" s="107"/>
      <c r="G172" s="523"/>
      <c r="H172" s="524"/>
      <c r="I172" s="523"/>
      <c r="J172" s="36">
        <f t="shared" si="1"/>
        <v>0</v>
      </c>
      <c r="K172" s="37">
        <f t="shared" si="2"/>
        <v>0</v>
      </c>
      <c r="L172" s="38">
        <f t="shared" si="3"/>
        <v>0</v>
      </c>
      <c r="M172" s="39">
        <f t="shared" si="4"/>
        <v>0</v>
      </c>
      <c r="N172" s="38">
        <f t="shared" si="5"/>
        <v>0</v>
      </c>
      <c r="O172" s="39">
        <f t="shared" si="6"/>
        <v>0</v>
      </c>
      <c r="P172" s="40"/>
      <c r="Q172" s="34"/>
      <c r="R172" s="35"/>
      <c r="S172" s="35"/>
      <c r="T172" s="35"/>
      <c r="U172" s="35"/>
      <c r="V172" s="35"/>
      <c r="W172" s="35"/>
      <c r="X172" s="35"/>
      <c r="Y172" s="35"/>
      <c r="Z172" s="35"/>
      <c r="AA172" s="35"/>
    </row>
    <row r="173" ht="14.25" customHeight="1">
      <c r="A173" s="221"/>
      <c r="B173" s="231"/>
      <c r="C173" s="106"/>
      <c r="D173" s="223"/>
      <c r="E173" s="85"/>
      <c r="F173" s="107"/>
      <c r="G173" s="523"/>
      <c r="H173" s="524"/>
      <c r="I173" s="523"/>
      <c r="J173" s="36">
        <f t="shared" si="1"/>
        <v>0</v>
      </c>
      <c r="K173" s="37">
        <f t="shared" si="2"/>
        <v>0</v>
      </c>
      <c r="L173" s="38">
        <f t="shared" si="3"/>
        <v>0</v>
      </c>
      <c r="M173" s="39">
        <f t="shared" si="4"/>
        <v>0</v>
      </c>
      <c r="N173" s="38">
        <f t="shared" si="5"/>
        <v>0</v>
      </c>
      <c r="O173" s="39">
        <f t="shared" si="6"/>
        <v>0</v>
      </c>
      <c r="P173" s="40"/>
      <c r="Q173" s="34"/>
      <c r="R173" s="35"/>
      <c r="S173" s="35"/>
      <c r="T173" s="35"/>
      <c r="U173" s="35"/>
      <c r="V173" s="35"/>
      <c r="W173" s="35"/>
      <c r="X173" s="35"/>
      <c r="Y173" s="35"/>
      <c r="Z173" s="35"/>
      <c r="AA173" s="35"/>
    </row>
    <row r="174" ht="14.25" customHeight="1">
      <c r="A174" s="221"/>
      <c r="B174" s="231"/>
      <c r="C174" s="106"/>
      <c r="D174" s="223"/>
      <c r="E174" s="85"/>
      <c r="F174" s="107"/>
      <c r="G174" s="523"/>
      <c r="H174" s="524"/>
      <c r="I174" s="523"/>
      <c r="J174" s="36">
        <f t="shared" si="1"/>
        <v>0</v>
      </c>
      <c r="K174" s="37">
        <f t="shared" si="2"/>
        <v>0</v>
      </c>
      <c r="L174" s="38">
        <f t="shared" si="3"/>
        <v>0</v>
      </c>
      <c r="M174" s="39">
        <f t="shared" si="4"/>
        <v>0</v>
      </c>
      <c r="N174" s="38">
        <f t="shared" si="5"/>
        <v>0</v>
      </c>
      <c r="O174" s="39">
        <f t="shared" si="6"/>
        <v>0</v>
      </c>
      <c r="P174" s="40"/>
      <c r="Q174" s="34"/>
      <c r="R174" s="35"/>
      <c r="S174" s="35"/>
      <c r="T174" s="35"/>
      <c r="U174" s="35"/>
      <c r="V174" s="35"/>
      <c r="W174" s="35"/>
      <c r="X174" s="35"/>
      <c r="Y174" s="35"/>
      <c r="Z174" s="35"/>
      <c r="AA174" s="35"/>
    </row>
    <row r="175" ht="14.25" customHeight="1">
      <c r="A175" s="221"/>
      <c r="B175" s="231"/>
      <c r="C175" s="115"/>
      <c r="D175" s="223"/>
      <c r="E175" s="105"/>
      <c r="F175" s="107"/>
      <c r="G175" s="523"/>
      <c r="H175" s="524"/>
      <c r="I175" s="523"/>
      <c r="J175" s="36">
        <f t="shared" si="1"/>
        <v>0</v>
      </c>
      <c r="K175" s="37">
        <f t="shared" si="2"/>
        <v>0</v>
      </c>
      <c r="L175" s="38">
        <f t="shared" si="3"/>
        <v>0</v>
      </c>
      <c r="M175" s="39">
        <f t="shared" si="4"/>
        <v>0</v>
      </c>
      <c r="N175" s="38">
        <f t="shared" si="5"/>
        <v>0</v>
      </c>
      <c r="O175" s="39">
        <f t="shared" si="6"/>
        <v>0</v>
      </c>
      <c r="P175" s="40"/>
      <c r="Q175" s="34"/>
      <c r="R175" s="35"/>
      <c r="S175" s="35"/>
      <c r="T175" s="35"/>
      <c r="U175" s="35"/>
      <c r="V175" s="35"/>
      <c r="W175" s="35"/>
      <c r="X175" s="35"/>
      <c r="Y175" s="35"/>
      <c r="Z175" s="35"/>
      <c r="AA175" s="35"/>
    </row>
    <row r="176" ht="14.25" customHeight="1">
      <c r="A176" s="221"/>
      <c r="B176" s="231"/>
      <c r="C176" s="106"/>
      <c r="D176" s="223"/>
      <c r="E176" s="85"/>
      <c r="F176" s="107"/>
      <c r="G176" s="523"/>
      <c r="H176" s="524"/>
      <c r="I176" s="523"/>
      <c r="J176" s="36">
        <f t="shared" si="1"/>
        <v>0</v>
      </c>
      <c r="K176" s="37">
        <f t="shared" si="2"/>
        <v>0</v>
      </c>
      <c r="L176" s="38">
        <f t="shared" si="3"/>
        <v>0</v>
      </c>
      <c r="M176" s="39">
        <f t="shared" si="4"/>
        <v>0</v>
      </c>
      <c r="N176" s="38">
        <f t="shared" si="5"/>
        <v>0</v>
      </c>
      <c r="O176" s="39">
        <f t="shared" si="6"/>
        <v>0</v>
      </c>
      <c r="P176" s="40"/>
      <c r="Q176" s="34"/>
      <c r="R176" s="35"/>
      <c r="S176" s="35"/>
      <c r="T176" s="35"/>
      <c r="U176" s="35"/>
      <c r="V176" s="35"/>
      <c r="W176" s="35"/>
      <c r="X176" s="35"/>
      <c r="Y176" s="35"/>
      <c r="Z176" s="35"/>
      <c r="AA176" s="35"/>
    </row>
    <row r="177" ht="14.25" customHeight="1">
      <c r="A177" s="221"/>
      <c r="B177" s="231"/>
      <c r="C177" s="108"/>
      <c r="D177" s="525"/>
      <c r="E177" s="85"/>
      <c r="F177" s="107"/>
      <c r="G177" s="523"/>
      <c r="H177" s="524"/>
      <c r="I177" s="523"/>
      <c r="J177" s="36">
        <f t="shared" si="1"/>
        <v>0</v>
      </c>
      <c r="K177" s="37">
        <f t="shared" si="2"/>
        <v>0</v>
      </c>
      <c r="L177" s="38">
        <f t="shared" si="3"/>
        <v>0</v>
      </c>
      <c r="M177" s="39">
        <f t="shared" si="4"/>
        <v>0</v>
      </c>
      <c r="N177" s="38">
        <f t="shared" si="5"/>
        <v>0</v>
      </c>
      <c r="O177" s="39">
        <f t="shared" si="6"/>
        <v>0</v>
      </c>
      <c r="P177" s="40"/>
      <c r="Q177" s="34"/>
      <c r="R177" s="35"/>
      <c r="S177" s="35"/>
      <c r="T177" s="35"/>
      <c r="U177" s="35"/>
      <c r="V177" s="35"/>
      <c r="W177" s="35"/>
      <c r="X177" s="35"/>
      <c r="Y177" s="35"/>
      <c r="Z177" s="35"/>
      <c r="AA177" s="35"/>
    </row>
    <row r="178" ht="14.25" customHeight="1">
      <c r="A178" s="221"/>
      <c r="B178" s="231"/>
      <c r="C178" s="115"/>
      <c r="D178" s="223"/>
      <c r="E178" s="85"/>
      <c r="F178" s="238"/>
      <c r="G178" s="523"/>
      <c r="H178" s="524"/>
      <c r="I178" s="523"/>
      <c r="J178" s="36">
        <f t="shared" si="1"/>
        <v>0</v>
      </c>
      <c r="K178" s="37">
        <f t="shared" si="2"/>
        <v>0</v>
      </c>
      <c r="L178" s="38">
        <f t="shared" si="3"/>
        <v>0</v>
      </c>
      <c r="M178" s="39">
        <f t="shared" si="4"/>
        <v>0</v>
      </c>
      <c r="N178" s="38">
        <f t="shared" si="5"/>
        <v>0</v>
      </c>
      <c r="O178" s="39">
        <f t="shared" si="6"/>
        <v>0</v>
      </c>
      <c r="P178" s="40"/>
      <c r="Q178" s="34"/>
      <c r="R178" s="35"/>
      <c r="S178" s="35"/>
      <c r="T178" s="35"/>
      <c r="U178" s="35"/>
      <c r="V178" s="35"/>
      <c r="W178" s="35"/>
      <c r="X178" s="35"/>
      <c r="Y178" s="35"/>
      <c r="Z178" s="35"/>
      <c r="AA178" s="35"/>
    </row>
    <row r="179" ht="14.25" customHeight="1">
      <c r="A179" s="221"/>
      <c r="B179" s="231"/>
      <c r="C179" s="115"/>
      <c r="D179" s="223"/>
      <c r="E179" s="85"/>
      <c r="F179" s="238"/>
      <c r="G179" s="523"/>
      <c r="H179" s="524"/>
      <c r="I179" s="523"/>
      <c r="J179" s="36">
        <f t="shared" si="1"/>
        <v>0</v>
      </c>
      <c r="K179" s="37">
        <f t="shared" si="2"/>
        <v>0</v>
      </c>
      <c r="L179" s="38">
        <f t="shared" si="3"/>
        <v>0</v>
      </c>
      <c r="M179" s="39">
        <f t="shared" si="4"/>
        <v>0</v>
      </c>
      <c r="N179" s="38">
        <f t="shared" si="5"/>
        <v>0</v>
      </c>
      <c r="O179" s="39">
        <f t="shared" si="6"/>
        <v>0</v>
      </c>
      <c r="P179" s="40"/>
      <c r="Q179" s="34"/>
      <c r="R179" s="35"/>
      <c r="S179" s="35"/>
      <c r="T179" s="35"/>
      <c r="U179" s="35"/>
      <c r="V179" s="35"/>
      <c r="W179" s="35"/>
      <c r="X179" s="35"/>
      <c r="Y179" s="35"/>
      <c r="Z179" s="35"/>
      <c r="AA179" s="35"/>
    </row>
    <row r="180" ht="14.25" customHeight="1">
      <c r="A180" s="221"/>
      <c r="B180" s="231"/>
      <c r="C180" s="115"/>
      <c r="D180" s="223"/>
      <c r="E180" s="85"/>
      <c r="F180" s="238"/>
      <c r="G180" s="523"/>
      <c r="H180" s="524"/>
      <c r="I180" s="523"/>
      <c r="J180" s="36">
        <f t="shared" si="1"/>
        <v>0</v>
      </c>
      <c r="K180" s="37">
        <f t="shared" si="2"/>
        <v>0</v>
      </c>
      <c r="L180" s="38">
        <f t="shared" si="3"/>
        <v>0</v>
      </c>
      <c r="M180" s="39">
        <f t="shared" si="4"/>
        <v>0</v>
      </c>
      <c r="N180" s="38">
        <f t="shared" si="5"/>
        <v>0</v>
      </c>
      <c r="O180" s="39">
        <f t="shared" si="6"/>
        <v>0</v>
      </c>
      <c r="P180" s="40"/>
      <c r="Q180" s="34"/>
      <c r="R180" s="35"/>
      <c r="S180" s="35"/>
      <c r="T180" s="35"/>
      <c r="U180" s="35"/>
      <c r="V180" s="35"/>
      <c r="W180" s="35"/>
      <c r="X180" s="35"/>
      <c r="Y180" s="35"/>
      <c r="Z180" s="35"/>
      <c r="AA180" s="35"/>
    </row>
    <row r="181" ht="14.25" customHeight="1">
      <c r="A181" s="221"/>
      <c r="B181" s="231"/>
      <c r="C181" s="106"/>
      <c r="D181" s="223"/>
      <c r="E181" s="85"/>
      <c r="F181" s="238"/>
      <c r="G181" s="523"/>
      <c r="H181" s="524"/>
      <c r="I181" s="523"/>
      <c r="J181" s="36">
        <f t="shared" si="1"/>
        <v>0</v>
      </c>
      <c r="K181" s="37">
        <f t="shared" si="2"/>
        <v>0</v>
      </c>
      <c r="L181" s="38">
        <f t="shared" si="3"/>
        <v>0</v>
      </c>
      <c r="M181" s="39">
        <f t="shared" si="4"/>
        <v>0</v>
      </c>
      <c r="N181" s="38">
        <f t="shared" si="5"/>
        <v>0</v>
      </c>
      <c r="O181" s="39">
        <f t="shared" si="6"/>
        <v>0</v>
      </c>
      <c r="P181" s="40"/>
      <c r="Q181" s="34"/>
      <c r="R181" s="35"/>
      <c r="S181" s="35"/>
      <c r="T181" s="35"/>
      <c r="U181" s="35"/>
      <c r="V181" s="35"/>
      <c r="W181" s="35"/>
      <c r="X181" s="35"/>
      <c r="Y181" s="35"/>
      <c r="Z181" s="35"/>
      <c r="AA181" s="35"/>
    </row>
    <row r="182" ht="14.25" customHeight="1">
      <c r="A182" s="221"/>
      <c r="B182" s="231"/>
      <c r="C182" s="106"/>
      <c r="D182" s="223"/>
      <c r="E182" s="85"/>
      <c r="F182" s="238"/>
      <c r="G182" s="523"/>
      <c r="H182" s="524"/>
      <c r="I182" s="523"/>
      <c r="J182" s="36">
        <f t="shared" si="1"/>
        <v>0</v>
      </c>
      <c r="K182" s="37">
        <f t="shared" si="2"/>
        <v>0</v>
      </c>
      <c r="L182" s="38">
        <f t="shared" si="3"/>
        <v>0</v>
      </c>
      <c r="M182" s="39">
        <f t="shared" si="4"/>
        <v>0</v>
      </c>
      <c r="N182" s="38">
        <f t="shared" si="5"/>
        <v>0</v>
      </c>
      <c r="O182" s="39">
        <f t="shared" si="6"/>
        <v>0</v>
      </c>
      <c r="P182" s="40"/>
      <c r="Q182" s="34"/>
      <c r="R182" s="35"/>
      <c r="S182" s="35"/>
      <c r="T182" s="35"/>
      <c r="U182" s="35"/>
      <c r="V182" s="35"/>
      <c r="W182" s="35"/>
      <c r="X182" s="35"/>
      <c r="Y182" s="35"/>
      <c r="Z182" s="35"/>
      <c r="AA182" s="35"/>
    </row>
    <row r="183" ht="14.25" customHeight="1">
      <c r="A183" s="221"/>
      <c r="B183" s="231"/>
      <c r="C183" s="106"/>
      <c r="D183" s="223"/>
      <c r="E183" s="85"/>
      <c r="F183" s="238"/>
      <c r="G183" s="523"/>
      <c r="H183" s="524"/>
      <c r="I183" s="523"/>
      <c r="J183" s="36">
        <f t="shared" si="1"/>
        <v>0</v>
      </c>
      <c r="K183" s="37">
        <f t="shared" si="2"/>
        <v>0</v>
      </c>
      <c r="L183" s="38">
        <f t="shared" si="3"/>
        <v>0</v>
      </c>
      <c r="M183" s="39">
        <f t="shared" si="4"/>
        <v>0</v>
      </c>
      <c r="N183" s="38">
        <f t="shared" si="5"/>
        <v>0</v>
      </c>
      <c r="O183" s="39">
        <f t="shared" si="6"/>
        <v>0</v>
      </c>
      <c r="P183" s="40"/>
      <c r="Q183" s="34"/>
      <c r="R183" s="35"/>
      <c r="S183" s="35"/>
      <c r="T183" s="35"/>
      <c r="U183" s="35"/>
      <c r="V183" s="35"/>
      <c r="W183" s="35"/>
      <c r="X183" s="35"/>
      <c r="Y183" s="35"/>
      <c r="Z183" s="35"/>
      <c r="AA183" s="35"/>
    </row>
    <row r="184" ht="14.25" customHeight="1">
      <c r="A184" s="221"/>
      <c r="B184" s="231"/>
      <c r="C184" s="115"/>
      <c r="D184" s="223"/>
      <c r="E184" s="85"/>
      <c r="F184" s="238"/>
      <c r="G184" s="523"/>
      <c r="H184" s="524"/>
      <c r="I184" s="523"/>
      <c r="J184" s="36">
        <f t="shared" si="1"/>
        <v>0</v>
      </c>
      <c r="K184" s="37">
        <f t="shared" si="2"/>
        <v>0</v>
      </c>
      <c r="L184" s="38">
        <f t="shared" si="3"/>
        <v>0</v>
      </c>
      <c r="M184" s="39">
        <f t="shared" si="4"/>
        <v>0</v>
      </c>
      <c r="N184" s="38">
        <f t="shared" si="5"/>
        <v>0</v>
      </c>
      <c r="O184" s="39">
        <f t="shared" si="6"/>
        <v>0</v>
      </c>
      <c r="P184" s="40"/>
      <c r="Q184" s="34"/>
      <c r="R184" s="35"/>
      <c r="S184" s="35"/>
      <c r="T184" s="35"/>
      <c r="U184" s="35"/>
      <c r="V184" s="35"/>
      <c r="W184" s="35"/>
      <c r="X184" s="35"/>
      <c r="Y184" s="35"/>
      <c r="Z184" s="35"/>
      <c r="AA184" s="35"/>
    </row>
    <row r="185" ht="14.25" customHeight="1">
      <c r="A185" s="221"/>
      <c r="B185" s="231"/>
      <c r="C185" s="106"/>
      <c r="D185" s="223"/>
      <c r="E185" s="85"/>
      <c r="F185" s="238"/>
      <c r="G185" s="523"/>
      <c r="H185" s="524"/>
      <c r="I185" s="523"/>
      <c r="J185" s="36">
        <f t="shared" si="1"/>
        <v>0</v>
      </c>
      <c r="K185" s="37">
        <f t="shared" si="2"/>
        <v>0</v>
      </c>
      <c r="L185" s="38">
        <f t="shared" si="3"/>
        <v>0</v>
      </c>
      <c r="M185" s="39">
        <f t="shared" si="4"/>
        <v>0</v>
      </c>
      <c r="N185" s="38">
        <f t="shared" si="5"/>
        <v>0</v>
      </c>
      <c r="O185" s="39">
        <f t="shared" si="6"/>
        <v>0</v>
      </c>
      <c r="P185" s="40"/>
      <c r="Q185" s="34"/>
      <c r="R185" s="35"/>
      <c r="S185" s="35"/>
      <c r="T185" s="35"/>
      <c r="U185" s="35"/>
      <c r="V185" s="35"/>
      <c r="W185" s="35"/>
      <c r="X185" s="35"/>
      <c r="Y185" s="35"/>
      <c r="Z185" s="35"/>
      <c r="AA185" s="35"/>
    </row>
    <row r="186" ht="14.25" customHeight="1">
      <c r="A186" s="221"/>
      <c r="B186" s="231"/>
      <c r="C186" s="106"/>
      <c r="D186" s="223"/>
      <c r="E186" s="85"/>
      <c r="F186" s="238"/>
      <c r="G186" s="523"/>
      <c r="H186" s="524"/>
      <c r="I186" s="523"/>
      <c r="J186" s="36">
        <f t="shared" si="1"/>
        <v>0</v>
      </c>
      <c r="K186" s="37">
        <f t="shared" si="2"/>
        <v>0</v>
      </c>
      <c r="L186" s="38">
        <f t="shared" si="3"/>
        <v>0</v>
      </c>
      <c r="M186" s="39">
        <f t="shared" si="4"/>
        <v>0</v>
      </c>
      <c r="N186" s="38">
        <f t="shared" si="5"/>
        <v>0</v>
      </c>
      <c r="O186" s="39">
        <f t="shared" si="6"/>
        <v>0</v>
      </c>
      <c r="P186" s="40"/>
      <c r="Q186" s="34"/>
      <c r="R186" s="35"/>
      <c r="S186" s="35"/>
      <c r="T186" s="35"/>
      <c r="U186" s="35"/>
      <c r="V186" s="35"/>
      <c r="W186" s="35"/>
      <c r="X186" s="35"/>
      <c r="Y186" s="35"/>
      <c r="Z186" s="35"/>
      <c r="AA186" s="35"/>
    </row>
    <row r="187" ht="14.25" customHeight="1">
      <c r="A187" s="221"/>
      <c r="B187" s="231"/>
      <c r="C187" s="106"/>
      <c r="D187" s="223"/>
      <c r="E187" s="85"/>
      <c r="F187" s="238"/>
      <c r="G187" s="523"/>
      <c r="H187" s="524"/>
      <c r="I187" s="523"/>
      <c r="J187" s="36">
        <f t="shared" si="1"/>
        <v>0</v>
      </c>
      <c r="K187" s="37">
        <f t="shared" si="2"/>
        <v>0</v>
      </c>
      <c r="L187" s="38">
        <f t="shared" si="3"/>
        <v>0</v>
      </c>
      <c r="M187" s="39">
        <f t="shared" si="4"/>
        <v>0</v>
      </c>
      <c r="N187" s="38">
        <f t="shared" si="5"/>
        <v>0</v>
      </c>
      <c r="O187" s="39">
        <f t="shared" si="6"/>
        <v>0</v>
      </c>
      <c r="P187" s="40"/>
      <c r="Q187" s="34"/>
      <c r="R187" s="35"/>
      <c r="S187" s="35"/>
      <c r="T187" s="35"/>
      <c r="U187" s="35"/>
      <c r="V187" s="35"/>
      <c r="W187" s="35"/>
      <c r="X187" s="35"/>
      <c r="Y187" s="35"/>
      <c r="Z187" s="35"/>
      <c r="AA187" s="35"/>
    </row>
    <row r="188" ht="14.25" customHeight="1">
      <c r="A188" s="221"/>
      <c r="B188" s="231"/>
      <c r="C188" s="106"/>
      <c r="D188" s="223"/>
      <c r="E188" s="85"/>
      <c r="F188" s="238"/>
      <c r="G188" s="523"/>
      <c r="H188" s="524"/>
      <c r="I188" s="523"/>
      <c r="J188" s="36">
        <f t="shared" si="1"/>
        <v>0</v>
      </c>
      <c r="K188" s="37">
        <f t="shared" si="2"/>
        <v>0</v>
      </c>
      <c r="L188" s="38">
        <f t="shared" si="3"/>
        <v>0</v>
      </c>
      <c r="M188" s="39">
        <f t="shared" si="4"/>
        <v>0</v>
      </c>
      <c r="N188" s="38">
        <f t="shared" si="5"/>
        <v>0</v>
      </c>
      <c r="O188" s="39">
        <f t="shared" si="6"/>
        <v>0</v>
      </c>
      <c r="P188" s="40"/>
      <c r="Q188" s="34"/>
      <c r="R188" s="35"/>
      <c r="S188" s="35"/>
      <c r="T188" s="35"/>
      <c r="U188" s="35"/>
      <c r="V188" s="35"/>
      <c r="W188" s="35"/>
      <c r="X188" s="35"/>
      <c r="Y188" s="35"/>
      <c r="Z188" s="35"/>
      <c r="AA188" s="35"/>
    </row>
    <row r="189" ht="14.25" customHeight="1">
      <c r="A189" s="221"/>
      <c r="B189" s="231"/>
      <c r="C189" s="106"/>
      <c r="D189" s="223"/>
      <c r="E189" s="85"/>
      <c r="F189" s="238"/>
      <c r="G189" s="523"/>
      <c r="H189" s="524"/>
      <c r="I189" s="523"/>
      <c r="J189" s="36">
        <f t="shared" si="1"/>
        <v>0</v>
      </c>
      <c r="K189" s="37">
        <f t="shared" si="2"/>
        <v>0</v>
      </c>
      <c r="L189" s="38">
        <f t="shared" si="3"/>
        <v>0</v>
      </c>
      <c r="M189" s="39">
        <f t="shared" si="4"/>
        <v>0</v>
      </c>
      <c r="N189" s="38">
        <f t="shared" si="5"/>
        <v>0</v>
      </c>
      <c r="O189" s="39">
        <f t="shared" si="6"/>
        <v>0</v>
      </c>
      <c r="P189" s="40"/>
      <c r="Q189" s="34"/>
      <c r="R189" s="35"/>
      <c r="S189" s="35"/>
      <c r="T189" s="35"/>
      <c r="U189" s="35"/>
      <c r="V189" s="35"/>
      <c r="W189" s="35"/>
      <c r="X189" s="35"/>
      <c r="Y189" s="35"/>
      <c r="Z189" s="35"/>
      <c r="AA189" s="35"/>
    </row>
    <row r="190" ht="14.25" customHeight="1">
      <c r="A190" s="221"/>
      <c r="B190" s="231"/>
      <c r="C190" s="106"/>
      <c r="D190" s="223"/>
      <c r="E190" s="85"/>
      <c r="F190" s="238"/>
      <c r="G190" s="523"/>
      <c r="H190" s="524"/>
      <c r="I190" s="523"/>
      <c r="J190" s="36">
        <f t="shared" si="1"/>
        <v>0</v>
      </c>
      <c r="K190" s="37">
        <f t="shared" si="2"/>
        <v>0</v>
      </c>
      <c r="L190" s="38">
        <f t="shared" si="3"/>
        <v>0</v>
      </c>
      <c r="M190" s="39">
        <f t="shared" si="4"/>
        <v>0</v>
      </c>
      <c r="N190" s="38">
        <f t="shared" si="5"/>
        <v>0</v>
      </c>
      <c r="O190" s="39">
        <f t="shared" si="6"/>
        <v>0</v>
      </c>
      <c r="P190" s="40"/>
      <c r="Q190" s="34"/>
      <c r="R190" s="35"/>
      <c r="S190" s="35"/>
      <c r="T190" s="35"/>
      <c r="U190" s="35"/>
      <c r="V190" s="35"/>
      <c r="W190" s="35"/>
      <c r="X190" s="35"/>
      <c r="Y190" s="35"/>
      <c r="Z190" s="35"/>
      <c r="AA190" s="35"/>
    </row>
    <row r="191" ht="14.25" customHeight="1">
      <c r="A191" s="221"/>
      <c r="B191" s="231"/>
      <c r="C191" s="106"/>
      <c r="D191" s="223"/>
      <c r="E191" s="85"/>
      <c r="F191" s="238"/>
      <c r="G191" s="523"/>
      <c r="H191" s="524"/>
      <c r="I191" s="523"/>
      <c r="J191" s="36">
        <f t="shared" si="1"/>
        <v>0</v>
      </c>
      <c r="K191" s="37">
        <f t="shared" si="2"/>
        <v>0</v>
      </c>
      <c r="L191" s="38">
        <f t="shared" si="3"/>
        <v>0</v>
      </c>
      <c r="M191" s="39">
        <f t="shared" si="4"/>
        <v>0</v>
      </c>
      <c r="N191" s="38">
        <f t="shared" si="5"/>
        <v>0</v>
      </c>
      <c r="O191" s="39">
        <f t="shared" si="6"/>
        <v>0</v>
      </c>
      <c r="P191" s="40"/>
      <c r="Q191" s="34"/>
      <c r="R191" s="35"/>
      <c r="S191" s="35"/>
      <c r="T191" s="35"/>
      <c r="U191" s="35"/>
      <c r="V191" s="35"/>
      <c r="W191" s="35"/>
      <c r="X191" s="35"/>
      <c r="Y191" s="35"/>
      <c r="Z191" s="35"/>
      <c r="AA191" s="35"/>
    </row>
    <row r="192" ht="14.25" customHeight="1">
      <c r="A192" s="221"/>
      <c r="B192" s="231"/>
      <c r="C192" s="106"/>
      <c r="D192" s="223"/>
      <c r="E192" s="85"/>
      <c r="F192" s="238"/>
      <c r="G192" s="523"/>
      <c r="H192" s="524"/>
      <c r="I192" s="523"/>
      <c r="J192" s="36">
        <f t="shared" si="1"/>
        <v>0</v>
      </c>
      <c r="K192" s="37">
        <f t="shared" si="2"/>
        <v>0</v>
      </c>
      <c r="L192" s="38">
        <f t="shared" si="3"/>
        <v>0</v>
      </c>
      <c r="M192" s="39">
        <f t="shared" si="4"/>
        <v>0</v>
      </c>
      <c r="N192" s="38">
        <f t="shared" si="5"/>
        <v>0</v>
      </c>
      <c r="O192" s="39">
        <f t="shared" si="6"/>
        <v>0</v>
      </c>
      <c r="P192" s="40"/>
      <c r="Q192" s="34"/>
      <c r="R192" s="35"/>
      <c r="S192" s="35"/>
      <c r="T192" s="35"/>
      <c r="U192" s="35"/>
      <c r="V192" s="35"/>
      <c r="W192" s="35"/>
      <c r="X192" s="35"/>
      <c r="Y192" s="35"/>
      <c r="Z192" s="35"/>
      <c r="AA192" s="35"/>
    </row>
    <row r="193" ht="14.25" customHeight="1">
      <c r="A193" s="221"/>
      <c r="B193" s="231"/>
      <c r="C193" s="108"/>
      <c r="D193" s="525"/>
      <c r="E193" s="85"/>
      <c r="F193" s="238"/>
      <c r="G193" s="523"/>
      <c r="H193" s="524"/>
      <c r="I193" s="523"/>
      <c r="J193" s="36">
        <f t="shared" si="1"/>
        <v>0</v>
      </c>
      <c r="K193" s="37">
        <f t="shared" si="2"/>
        <v>0</v>
      </c>
      <c r="L193" s="38">
        <f t="shared" si="3"/>
        <v>0</v>
      </c>
      <c r="M193" s="39">
        <f t="shared" si="4"/>
        <v>0</v>
      </c>
      <c r="N193" s="38">
        <f t="shared" si="5"/>
        <v>0</v>
      </c>
      <c r="O193" s="39">
        <f t="shared" si="6"/>
        <v>0</v>
      </c>
      <c r="P193" s="40"/>
      <c r="Q193" s="34"/>
      <c r="R193" s="35"/>
      <c r="S193" s="35"/>
      <c r="T193" s="35"/>
      <c r="U193" s="35"/>
      <c r="V193" s="35"/>
      <c r="W193" s="35"/>
      <c r="X193" s="35"/>
      <c r="Y193" s="35"/>
      <c r="Z193" s="35"/>
      <c r="AA193" s="35"/>
    </row>
    <row r="194" ht="14.25" customHeight="1">
      <c r="A194" s="221"/>
      <c r="B194" s="231"/>
      <c r="C194" s="108"/>
      <c r="D194" s="525"/>
      <c r="E194" s="85"/>
      <c r="F194" s="238"/>
      <c r="G194" s="523"/>
      <c r="H194" s="524"/>
      <c r="I194" s="523"/>
      <c r="J194" s="36">
        <f t="shared" si="1"/>
        <v>0</v>
      </c>
      <c r="K194" s="37">
        <f t="shared" si="2"/>
        <v>0</v>
      </c>
      <c r="L194" s="38">
        <f t="shared" si="3"/>
        <v>0</v>
      </c>
      <c r="M194" s="39">
        <f t="shared" si="4"/>
        <v>0</v>
      </c>
      <c r="N194" s="38">
        <f t="shared" si="5"/>
        <v>0</v>
      </c>
      <c r="O194" s="39">
        <f t="shared" si="6"/>
        <v>0</v>
      </c>
      <c r="P194" s="40"/>
      <c r="Q194" s="34"/>
      <c r="R194" s="35"/>
      <c r="S194" s="35"/>
      <c r="T194" s="35"/>
      <c r="U194" s="35"/>
      <c r="V194" s="35"/>
      <c r="W194" s="35"/>
      <c r="X194" s="35"/>
      <c r="Y194" s="35"/>
      <c r="Z194" s="35"/>
      <c r="AA194" s="35"/>
    </row>
    <row r="195" ht="14.25" customHeight="1">
      <c r="A195" s="221"/>
      <c r="B195" s="231"/>
      <c r="C195" s="106"/>
      <c r="D195" s="223"/>
      <c r="E195" s="85"/>
      <c r="F195" s="238"/>
      <c r="G195" s="523"/>
      <c r="H195" s="524"/>
      <c r="I195" s="523"/>
      <c r="J195" s="36">
        <f t="shared" si="1"/>
        <v>0</v>
      </c>
      <c r="K195" s="37">
        <f t="shared" si="2"/>
        <v>0</v>
      </c>
      <c r="L195" s="38">
        <f t="shared" si="3"/>
        <v>0</v>
      </c>
      <c r="M195" s="39">
        <f t="shared" si="4"/>
        <v>0</v>
      </c>
      <c r="N195" s="38">
        <f t="shared" si="5"/>
        <v>0</v>
      </c>
      <c r="O195" s="39">
        <f t="shared" si="6"/>
        <v>0</v>
      </c>
      <c r="P195" s="40"/>
      <c r="Q195" s="34"/>
      <c r="R195" s="35"/>
      <c r="S195" s="35"/>
      <c r="T195" s="35"/>
      <c r="U195" s="35"/>
      <c r="V195" s="35"/>
      <c r="W195" s="35"/>
      <c r="X195" s="35"/>
      <c r="Y195" s="35"/>
      <c r="Z195" s="35"/>
      <c r="AA195" s="35"/>
    </row>
    <row r="196" ht="14.25" customHeight="1">
      <c r="A196" s="221"/>
      <c r="B196" s="231"/>
      <c r="C196" s="106"/>
      <c r="D196" s="223"/>
      <c r="E196" s="85"/>
      <c r="F196" s="238"/>
      <c r="G196" s="523"/>
      <c r="H196" s="524"/>
      <c r="I196" s="523"/>
      <c r="J196" s="36">
        <f t="shared" si="1"/>
        <v>0</v>
      </c>
      <c r="K196" s="37">
        <f t="shared" si="2"/>
        <v>0</v>
      </c>
      <c r="L196" s="38">
        <f t="shared" si="3"/>
        <v>0</v>
      </c>
      <c r="M196" s="39">
        <f t="shared" si="4"/>
        <v>0</v>
      </c>
      <c r="N196" s="38">
        <f t="shared" si="5"/>
        <v>0</v>
      </c>
      <c r="O196" s="39">
        <f t="shared" si="6"/>
        <v>0</v>
      </c>
      <c r="P196" s="40"/>
      <c r="Q196" s="34"/>
      <c r="R196" s="35"/>
      <c r="S196" s="35"/>
      <c r="T196" s="35"/>
      <c r="U196" s="35"/>
      <c r="V196" s="35"/>
      <c r="W196" s="35"/>
      <c r="X196" s="35"/>
      <c r="Y196" s="35"/>
      <c r="Z196" s="35"/>
      <c r="AA196" s="35"/>
    </row>
    <row r="197" ht="14.25" customHeight="1">
      <c r="A197" s="221"/>
      <c r="B197" s="231"/>
      <c r="C197" s="106"/>
      <c r="D197" s="223"/>
      <c r="E197" s="85"/>
      <c r="F197" s="238"/>
      <c r="G197" s="523"/>
      <c r="H197" s="524"/>
      <c r="I197" s="523"/>
      <c r="J197" s="36">
        <f t="shared" si="1"/>
        <v>0</v>
      </c>
      <c r="K197" s="37">
        <f t="shared" si="2"/>
        <v>0</v>
      </c>
      <c r="L197" s="38">
        <f t="shared" si="3"/>
        <v>0</v>
      </c>
      <c r="M197" s="39">
        <f t="shared" si="4"/>
        <v>0</v>
      </c>
      <c r="N197" s="38">
        <f t="shared" si="5"/>
        <v>0</v>
      </c>
      <c r="O197" s="39">
        <f t="shared" si="6"/>
        <v>0</v>
      </c>
      <c r="P197" s="40"/>
      <c r="Q197" s="34"/>
      <c r="R197" s="35"/>
      <c r="S197" s="35"/>
      <c r="T197" s="35"/>
      <c r="U197" s="35"/>
      <c r="V197" s="35"/>
      <c r="W197" s="35"/>
      <c r="X197" s="35"/>
      <c r="Y197" s="35"/>
      <c r="Z197" s="35"/>
      <c r="AA197" s="35"/>
    </row>
    <row r="198" ht="14.25" customHeight="1">
      <c r="A198" s="221"/>
      <c r="B198" s="231"/>
      <c r="C198" s="106"/>
      <c r="D198" s="223"/>
      <c r="E198" s="85"/>
      <c r="F198" s="238"/>
      <c r="G198" s="523"/>
      <c r="H198" s="524"/>
      <c r="I198" s="523"/>
      <c r="J198" s="36">
        <f t="shared" si="1"/>
        <v>0</v>
      </c>
      <c r="K198" s="37">
        <f t="shared" si="2"/>
        <v>0</v>
      </c>
      <c r="L198" s="38">
        <f t="shared" si="3"/>
        <v>0</v>
      </c>
      <c r="M198" s="39">
        <f t="shared" si="4"/>
        <v>0</v>
      </c>
      <c r="N198" s="38">
        <f t="shared" si="5"/>
        <v>0</v>
      </c>
      <c r="O198" s="39">
        <f t="shared" si="6"/>
        <v>0</v>
      </c>
      <c r="P198" s="40"/>
      <c r="Q198" s="34"/>
      <c r="R198" s="35"/>
      <c r="S198" s="35"/>
      <c r="T198" s="35"/>
      <c r="U198" s="35"/>
      <c r="V198" s="35"/>
      <c r="W198" s="35"/>
      <c r="X198" s="35"/>
      <c r="Y198" s="35"/>
      <c r="Z198" s="35"/>
      <c r="AA198" s="35"/>
    </row>
    <row r="199" ht="14.25" customHeight="1">
      <c r="A199" s="221"/>
      <c r="B199" s="231"/>
      <c r="C199" s="106"/>
      <c r="D199" s="223"/>
      <c r="E199" s="85"/>
      <c r="F199" s="238"/>
      <c r="G199" s="523"/>
      <c r="H199" s="524"/>
      <c r="I199" s="523"/>
      <c r="J199" s="36">
        <f t="shared" si="1"/>
        <v>0</v>
      </c>
      <c r="K199" s="37">
        <f t="shared" si="2"/>
        <v>0</v>
      </c>
      <c r="L199" s="38">
        <f t="shared" si="3"/>
        <v>0</v>
      </c>
      <c r="M199" s="39">
        <f t="shared" si="4"/>
        <v>0</v>
      </c>
      <c r="N199" s="38">
        <f t="shared" si="5"/>
        <v>0</v>
      </c>
      <c r="O199" s="39">
        <f t="shared" si="6"/>
        <v>0</v>
      </c>
      <c r="P199" s="40"/>
      <c r="Q199" s="34"/>
      <c r="R199" s="35"/>
      <c r="S199" s="35"/>
      <c r="T199" s="35"/>
      <c r="U199" s="35"/>
      <c r="V199" s="35"/>
      <c r="W199" s="35"/>
      <c r="X199" s="35"/>
      <c r="Y199" s="35"/>
      <c r="Z199" s="35"/>
      <c r="AA199" s="35"/>
    </row>
    <row r="200" ht="14.25" customHeight="1">
      <c r="A200" s="221"/>
      <c r="B200" s="231"/>
      <c r="C200" s="108"/>
      <c r="D200" s="223"/>
      <c r="E200" s="85"/>
      <c r="F200" s="239"/>
      <c r="G200" s="523"/>
      <c r="H200" s="524"/>
      <c r="I200" s="523"/>
      <c r="J200" s="36">
        <f t="shared" si="1"/>
        <v>0</v>
      </c>
      <c r="K200" s="37">
        <f t="shared" si="2"/>
        <v>0</v>
      </c>
      <c r="L200" s="38">
        <f t="shared" si="3"/>
        <v>0</v>
      </c>
      <c r="M200" s="39">
        <f t="shared" si="4"/>
        <v>0</v>
      </c>
      <c r="N200" s="38">
        <f t="shared" si="5"/>
        <v>0</v>
      </c>
      <c r="O200" s="39">
        <f t="shared" si="6"/>
        <v>0</v>
      </c>
      <c r="P200" s="40"/>
      <c r="Q200" s="34"/>
      <c r="R200" s="35"/>
      <c r="S200" s="35"/>
      <c r="T200" s="35"/>
      <c r="U200" s="35"/>
      <c r="V200" s="35"/>
      <c r="W200" s="35"/>
      <c r="X200" s="35"/>
      <c r="Y200" s="35"/>
      <c r="Z200" s="35"/>
      <c r="AA200" s="35"/>
    </row>
    <row r="201" ht="14.25" customHeight="1">
      <c r="A201" s="221"/>
      <c r="B201" s="231"/>
      <c r="C201" s="106"/>
      <c r="D201" s="240"/>
      <c r="E201" s="85"/>
      <c r="F201" s="238"/>
      <c r="G201" s="523"/>
      <c r="H201" s="524"/>
      <c r="I201" s="523"/>
      <c r="J201" s="36">
        <f t="shared" si="1"/>
        <v>0</v>
      </c>
      <c r="K201" s="37">
        <f t="shared" si="2"/>
        <v>0</v>
      </c>
      <c r="L201" s="38">
        <f t="shared" si="3"/>
        <v>0</v>
      </c>
      <c r="M201" s="39">
        <f t="shared" si="4"/>
        <v>0</v>
      </c>
      <c r="N201" s="38">
        <f t="shared" si="5"/>
        <v>0</v>
      </c>
      <c r="O201" s="39">
        <f t="shared" si="6"/>
        <v>0</v>
      </c>
      <c r="P201" s="40"/>
      <c r="Q201" s="34"/>
      <c r="R201" s="35"/>
      <c r="S201" s="35"/>
      <c r="T201" s="35"/>
      <c r="U201" s="35"/>
      <c r="V201" s="35"/>
      <c r="W201" s="35"/>
      <c r="X201" s="35"/>
      <c r="Y201" s="35"/>
      <c r="Z201" s="35"/>
      <c r="AA201" s="35"/>
    </row>
    <row r="202" ht="14.25" customHeight="1">
      <c r="A202" s="221"/>
      <c r="B202" s="231"/>
      <c r="C202" s="106"/>
      <c r="D202" s="240"/>
      <c r="E202" s="85"/>
      <c r="F202" s="238"/>
      <c r="G202" s="523"/>
      <c r="H202" s="524"/>
      <c r="I202" s="523"/>
      <c r="J202" s="36">
        <f t="shared" si="1"/>
        <v>0</v>
      </c>
      <c r="K202" s="37">
        <f t="shared" si="2"/>
        <v>0</v>
      </c>
      <c r="L202" s="38">
        <f t="shared" si="3"/>
        <v>0</v>
      </c>
      <c r="M202" s="39">
        <f t="shared" si="4"/>
        <v>0</v>
      </c>
      <c r="N202" s="38">
        <f t="shared" si="5"/>
        <v>0</v>
      </c>
      <c r="O202" s="39">
        <f t="shared" si="6"/>
        <v>0</v>
      </c>
      <c r="P202" s="40"/>
      <c r="Q202" s="34"/>
      <c r="R202" s="35"/>
      <c r="S202" s="35"/>
      <c r="T202" s="35"/>
      <c r="U202" s="35"/>
      <c r="V202" s="35"/>
      <c r="W202" s="35"/>
      <c r="X202" s="35"/>
      <c r="Y202" s="35"/>
      <c r="Z202" s="35"/>
      <c r="AA202" s="35"/>
    </row>
    <row r="203" ht="14.25" customHeight="1">
      <c r="A203" s="221"/>
      <c r="B203" s="231"/>
      <c r="C203" s="106"/>
      <c r="D203" s="525"/>
      <c r="E203" s="110"/>
      <c r="F203" s="238"/>
      <c r="G203" s="523"/>
      <c r="H203" s="524"/>
      <c r="I203" s="523"/>
      <c r="J203" s="36">
        <f t="shared" si="1"/>
        <v>0</v>
      </c>
      <c r="K203" s="37">
        <f t="shared" si="2"/>
        <v>0</v>
      </c>
      <c r="L203" s="38">
        <f t="shared" si="3"/>
        <v>0</v>
      </c>
      <c r="M203" s="39">
        <f t="shared" si="4"/>
        <v>0</v>
      </c>
      <c r="N203" s="38">
        <f t="shared" si="5"/>
        <v>0</v>
      </c>
      <c r="O203" s="39">
        <f t="shared" si="6"/>
        <v>0</v>
      </c>
      <c r="P203" s="40"/>
      <c r="Q203" s="34"/>
      <c r="R203" s="35"/>
      <c r="S203" s="35"/>
      <c r="T203" s="35"/>
      <c r="U203" s="35"/>
      <c r="V203" s="35"/>
      <c r="W203" s="35"/>
      <c r="X203" s="35"/>
      <c r="Y203" s="35"/>
      <c r="Z203" s="35"/>
      <c r="AA203" s="35"/>
    </row>
    <row r="204" ht="14.25" customHeight="1">
      <c r="A204" s="221"/>
      <c r="B204" s="231"/>
      <c r="C204" s="108"/>
      <c r="D204" s="525"/>
      <c r="E204" s="85"/>
      <c r="F204" s="238"/>
      <c r="G204" s="523"/>
      <c r="H204" s="524"/>
      <c r="I204" s="523"/>
      <c r="J204" s="36">
        <f t="shared" si="1"/>
        <v>0</v>
      </c>
      <c r="K204" s="37">
        <f t="shared" si="2"/>
        <v>0</v>
      </c>
      <c r="L204" s="38">
        <f t="shared" si="3"/>
        <v>0</v>
      </c>
      <c r="M204" s="39">
        <f t="shared" si="4"/>
        <v>0</v>
      </c>
      <c r="N204" s="38">
        <f t="shared" si="5"/>
        <v>0</v>
      </c>
      <c r="O204" s="39">
        <f t="shared" si="6"/>
        <v>0</v>
      </c>
      <c r="P204" s="40"/>
      <c r="Q204" s="34"/>
      <c r="R204" s="35"/>
      <c r="S204" s="35"/>
      <c r="T204" s="35"/>
      <c r="U204" s="35"/>
      <c r="V204" s="35"/>
      <c r="W204" s="35"/>
      <c r="X204" s="35"/>
      <c r="Y204" s="35"/>
      <c r="Z204" s="35"/>
      <c r="AA204" s="35"/>
    </row>
    <row r="205" ht="14.25" customHeight="1">
      <c r="A205" s="221"/>
      <c r="B205" s="231"/>
      <c r="C205" s="108"/>
      <c r="D205" s="525"/>
      <c r="E205" s="85"/>
      <c r="F205" s="238"/>
      <c r="G205" s="523"/>
      <c r="H205" s="524"/>
      <c r="I205" s="523"/>
      <c r="J205" s="36">
        <f t="shared" si="1"/>
        <v>0</v>
      </c>
      <c r="K205" s="37">
        <f t="shared" si="2"/>
        <v>0</v>
      </c>
      <c r="L205" s="38">
        <f t="shared" si="3"/>
        <v>0</v>
      </c>
      <c r="M205" s="39">
        <f t="shared" si="4"/>
        <v>0</v>
      </c>
      <c r="N205" s="38">
        <f t="shared" si="5"/>
        <v>0</v>
      </c>
      <c r="O205" s="39">
        <f t="shared" si="6"/>
        <v>0</v>
      </c>
      <c r="P205" s="40"/>
      <c r="Q205" s="34"/>
      <c r="R205" s="35"/>
      <c r="S205" s="35"/>
      <c r="T205" s="35"/>
      <c r="U205" s="35"/>
      <c r="V205" s="35"/>
      <c r="W205" s="35"/>
      <c r="X205" s="35"/>
      <c r="Y205" s="35"/>
      <c r="Z205" s="35"/>
      <c r="AA205" s="35"/>
    </row>
    <row r="206" ht="14.25" customHeight="1">
      <c r="A206" s="221"/>
      <c r="B206" s="231"/>
      <c r="C206" s="111"/>
      <c r="D206" s="241"/>
      <c r="E206" s="85"/>
      <c r="F206" s="242"/>
      <c r="G206" s="523"/>
      <c r="H206" s="524"/>
      <c r="I206" s="523"/>
      <c r="J206" s="36">
        <f t="shared" si="1"/>
        <v>0</v>
      </c>
      <c r="K206" s="37">
        <f t="shared" si="2"/>
        <v>0</v>
      </c>
      <c r="L206" s="38">
        <f t="shared" si="3"/>
        <v>0</v>
      </c>
      <c r="M206" s="39">
        <f t="shared" si="4"/>
        <v>0</v>
      </c>
      <c r="N206" s="38">
        <f t="shared" si="5"/>
        <v>0</v>
      </c>
      <c r="O206" s="39">
        <f t="shared" si="6"/>
        <v>0</v>
      </c>
      <c r="P206" s="40"/>
      <c r="Q206" s="34"/>
      <c r="R206" s="35"/>
      <c r="S206" s="35"/>
      <c r="T206" s="35"/>
      <c r="U206" s="35"/>
      <c r="V206" s="35"/>
      <c r="W206" s="35"/>
      <c r="X206" s="35"/>
      <c r="Y206" s="35"/>
      <c r="Z206" s="35"/>
      <c r="AA206" s="35"/>
    </row>
    <row r="207" ht="14.25" customHeight="1">
      <c r="A207" s="221"/>
      <c r="B207" s="231"/>
      <c r="C207" s="111"/>
      <c r="D207" s="241"/>
      <c r="E207" s="85"/>
      <c r="F207" s="242"/>
      <c r="G207" s="523"/>
      <c r="H207" s="524"/>
      <c r="I207" s="523"/>
      <c r="J207" s="36">
        <f t="shared" si="1"/>
        <v>0</v>
      </c>
      <c r="K207" s="37">
        <f t="shared" si="2"/>
        <v>0</v>
      </c>
      <c r="L207" s="38">
        <f t="shared" si="3"/>
        <v>0</v>
      </c>
      <c r="M207" s="39">
        <f t="shared" si="4"/>
        <v>0</v>
      </c>
      <c r="N207" s="38">
        <f t="shared" si="5"/>
        <v>0</v>
      </c>
      <c r="O207" s="39">
        <f t="shared" si="6"/>
        <v>0</v>
      </c>
      <c r="P207" s="40"/>
      <c r="Q207" s="34"/>
      <c r="R207" s="35"/>
      <c r="S207" s="35"/>
      <c r="T207" s="35"/>
      <c r="U207" s="35"/>
      <c r="V207" s="35"/>
      <c r="W207" s="35"/>
      <c r="X207" s="35"/>
      <c r="Y207" s="35"/>
      <c r="Z207" s="35"/>
      <c r="AA207" s="35"/>
    </row>
    <row r="208" ht="14.25" customHeight="1">
      <c r="A208" s="221"/>
      <c r="B208" s="231"/>
      <c r="C208" s="111"/>
      <c r="D208" s="241"/>
      <c r="E208" s="85"/>
      <c r="F208" s="242"/>
      <c r="G208" s="523"/>
      <c r="H208" s="524"/>
      <c r="I208" s="523"/>
      <c r="J208" s="36">
        <f t="shared" si="1"/>
        <v>0</v>
      </c>
      <c r="K208" s="37">
        <f t="shared" si="2"/>
        <v>0</v>
      </c>
      <c r="L208" s="38">
        <f t="shared" si="3"/>
        <v>0</v>
      </c>
      <c r="M208" s="39">
        <f t="shared" si="4"/>
        <v>0</v>
      </c>
      <c r="N208" s="38">
        <f t="shared" si="5"/>
        <v>0</v>
      </c>
      <c r="O208" s="39">
        <f t="shared" si="6"/>
        <v>0</v>
      </c>
      <c r="P208" s="40"/>
      <c r="Q208" s="34"/>
      <c r="R208" s="35"/>
      <c r="S208" s="35"/>
      <c r="T208" s="35"/>
      <c r="U208" s="35"/>
      <c r="V208" s="35"/>
      <c r="W208" s="35"/>
      <c r="X208" s="35"/>
      <c r="Y208" s="35"/>
      <c r="Z208" s="35"/>
      <c r="AA208" s="35"/>
    </row>
    <row r="209" ht="14.25" customHeight="1">
      <c r="A209" s="221"/>
      <c r="B209" s="231"/>
      <c r="C209" s="111"/>
      <c r="D209" s="241"/>
      <c r="E209" s="85"/>
      <c r="F209" s="242"/>
      <c r="G209" s="523"/>
      <c r="H209" s="524"/>
      <c r="I209" s="523"/>
      <c r="J209" s="36">
        <f t="shared" si="1"/>
        <v>0</v>
      </c>
      <c r="K209" s="37">
        <f t="shared" si="2"/>
        <v>0</v>
      </c>
      <c r="L209" s="38">
        <f t="shared" si="3"/>
        <v>0</v>
      </c>
      <c r="M209" s="39">
        <f t="shared" si="4"/>
        <v>0</v>
      </c>
      <c r="N209" s="38">
        <f t="shared" si="5"/>
        <v>0</v>
      </c>
      <c r="O209" s="39">
        <f t="shared" si="6"/>
        <v>0</v>
      </c>
      <c r="P209" s="40"/>
      <c r="Q209" s="34"/>
      <c r="R209" s="35"/>
      <c r="S209" s="35"/>
      <c r="T209" s="35"/>
      <c r="U209" s="35"/>
      <c r="V209" s="35"/>
      <c r="W209" s="35"/>
      <c r="X209" s="35"/>
      <c r="Y209" s="35"/>
      <c r="Z209" s="35"/>
      <c r="AA209" s="35"/>
    </row>
    <row r="210" ht="14.25" customHeight="1">
      <c r="A210" s="221"/>
      <c r="B210" s="231"/>
      <c r="C210" s="111"/>
      <c r="D210" s="241"/>
      <c r="E210" s="85"/>
      <c r="F210" s="242"/>
      <c r="G210" s="523"/>
      <c r="H210" s="524"/>
      <c r="I210" s="523"/>
      <c r="J210" s="36">
        <f t="shared" si="1"/>
        <v>0</v>
      </c>
      <c r="K210" s="37">
        <f t="shared" si="2"/>
        <v>0</v>
      </c>
      <c r="L210" s="38">
        <f t="shared" si="3"/>
        <v>0</v>
      </c>
      <c r="M210" s="39">
        <f t="shared" si="4"/>
        <v>0</v>
      </c>
      <c r="N210" s="38">
        <f t="shared" si="5"/>
        <v>0</v>
      </c>
      <c r="O210" s="39">
        <f t="shared" si="6"/>
        <v>0</v>
      </c>
      <c r="P210" s="40"/>
      <c r="Q210" s="34"/>
      <c r="R210" s="35"/>
      <c r="S210" s="35"/>
      <c r="T210" s="35"/>
      <c r="U210" s="35"/>
      <c r="V210" s="35"/>
      <c r="W210" s="35"/>
      <c r="X210" s="35"/>
      <c r="Y210" s="35"/>
      <c r="Z210" s="35"/>
      <c r="AA210" s="35"/>
    </row>
    <row r="211" ht="14.25" customHeight="1">
      <c r="A211" s="221"/>
      <c r="B211" s="231"/>
      <c r="C211" s="111"/>
      <c r="D211" s="241"/>
      <c r="E211" s="85"/>
      <c r="F211" s="242"/>
      <c r="G211" s="523"/>
      <c r="H211" s="524"/>
      <c r="I211" s="523"/>
      <c r="J211" s="36">
        <f t="shared" si="1"/>
        <v>0</v>
      </c>
      <c r="K211" s="37">
        <f t="shared" si="2"/>
        <v>0</v>
      </c>
      <c r="L211" s="38">
        <f t="shared" si="3"/>
        <v>0</v>
      </c>
      <c r="M211" s="39">
        <f t="shared" si="4"/>
        <v>0</v>
      </c>
      <c r="N211" s="38">
        <f t="shared" si="5"/>
        <v>0</v>
      </c>
      <c r="O211" s="39">
        <f t="shared" si="6"/>
        <v>0</v>
      </c>
      <c r="P211" s="40"/>
      <c r="Q211" s="34"/>
      <c r="R211" s="35"/>
      <c r="S211" s="35"/>
      <c r="T211" s="35"/>
      <c r="U211" s="35"/>
      <c r="V211" s="35"/>
      <c r="W211" s="35"/>
      <c r="X211" s="35"/>
      <c r="Y211" s="35"/>
      <c r="Z211" s="35"/>
      <c r="AA211" s="35"/>
    </row>
    <row r="212" ht="14.25" customHeight="1">
      <c r="A212" s="221"/>
      <c r="B212" s="231"/>
      <c r="C212" s="111"/>
      <c r="D212" s="241"/>
      <c r="E212" s="85"/>
      <c r="F212" s="242"/>
      <c r="G212" s="523"/>
      <c r="H212" s="524"/>
      <c r="I212" s="523"/>
      <c r="J212" s="36">
        <f t="shared" si="1"/>
        <v>0</v>
      </c>
      <c r="K212" s="37">
        <f t="shared" si="2"/>
        <v>0</v>
      </c>
      <c r="L212" s="38">
        <f t="shared" si="3"/>
        <v>0</v>
      </c>
      <c r="M212" s="39">
        <f t="shared" si="4"/>
        <v>0</v>
      </c>
      <c r="N212" s="38">
        <f t="shared" si="5"/>
        <v>0</v>
      </c>
      <c r="O212" s="39">
        <f t="shared" si="6"/>
        <v>0</v>
      </c>
      <c r="P212" s="40"/>
      <c r="Q212" s="34"/>
      <c r="R212" s="35"/>
      <c r="S212" s="35"/>
      <c r="T212" s="35"/>
      <c r="U212" s="35"/>
      <c r="V212" s="35"/>
      <c r="W212" s="35"/>
      <c r="X212" s="35"/>
      <c r="Y212" s="35"/>
      <c r="Z212" s="35"/>
      <c r="AA212" s="35"/>
    </row>
    <row r="213" ht="14.25" customHeight="1">
      <c r="A213" s="221"/>
      <c r="B213" s="231"/>
      <c r="C213" s="111"/>
      <c r="D213" s="241"/>
      <c r="E213" s="85"/>
      <c r="F213" s="242"/>
      <c r="G213" s="523"/>
      <c r="H213" s="524"/>
      <c r="I213" s="523"/>
      <c r="J213" s="36">
        <f t="shared" si="1"/>
        <v>0</v>
      </c>
      <c r="K213" s="37">
        <f t="shared" si="2"/>
        <v>0</v>
      </c>
      <c r="L213" s="38">
        <f t="shared" si="3"/>
        <v>0</v>
      </c>
      <c r="M213" s="39">
        <f t="shared" si="4"/>
        <v>0</v>
      </c>
      <c r="N213" s="38">
        <f t="shared" si="5"/>
        <v>0</v>
      </c>
      <c r="O213" s="39">
        <f t="shared" si="6"/>
        <v>0</v>
      </c>
      <c r="P213" s="40"/>
      <c r="Q213" s="34"/>
      <c r="R213" s="35"/>
      <c r="S213" s="35"/>
      <c r="T213" s="35"/>
      <c r="U213" s="35"/>
      <c r="V213" s="35"/>
      <c r="W213" s="35"/>
      <c r="X213" s="35"/>
      <c r="Y213" s="35"/>
      <c r="Z213" s="35"/>
      <c r="AA213" s="35"/>
    </row>
    <row r="214" ht="14.25" customHeight="1">
      <c r="A214" s="221"/>
      <c r="B214" s="231"/>
      <c r="C214" s="111"/>
      <c r="D214" s="241"/>
      <c r="E214" s="85"/>
      <c r="F214" s="242"/>
      <c r="G214" s="523"/>
      <c r="H214" s="524"/>
      <c r="I214" s="523"/>
      <c r="J214" s="36">
        <f t="shared" si="1"/>
        <v>0</v>
      </c>
      <c r="K214" s="37">
        <f t="shared" si="2"/>
        <v>0</v>
      </c>
      <c r="L214" s="38">
        <f t="shared" si="3"/>
        <v>0</v>
      </c>
      <c r="M214" s="39">
        <f t="shared" si="4"/>
        <v>0</v>
      </c>
      <c r="N214" s="38">
        <f t="shared" si="5"/>
        <v>0</v>
      </c>
      <c r="O214" s="39">
        <f t="shared" si="6"/>
        <v>0</v>
      </c>
      <c r="P214" s="40"/>
      <c r="Q214" s="34"/>
      <c r="R214" s="35"/>
      <c r="S214" s="35"/>
      <c r="T214" s="35"/>
      <c r="U214" s="35"/>
      <c r="V214" s="35"/>
      <c r="W214" s="35"/>
      <c r="X214" s="35"/>
      <c r="Y214" s="35"/>
      <c r="Z214" s="35"/>
      <c r="AA214" s="35"/>
    </row>
    <row r="215" ht="14.25" customHeight="1">
      <c r="A215" s="221"/>
      <c r="B215" s="231"/>
      <c r="C215" s="111"/>
      <c r="D215" s="241"/>
      <c r="E215" s="85"/>
      <c r="F215" s="242"/>
      <c r="G215" s="523"/>
      <c r="H215" s="524"/>
      <c r="I215" s="523"/>
      <c r="J215" s="36">
        <f t="shared" si="1"/>
        <v>0</v>
      </c>
      <c r="K215" s="37">
        <f t="shared" si="2"/>
        <v>0</v>
      </c>
      <c r="L215" s="38">
        <f t="shared" si="3"/>
        <v>0</v>
      </c>
      <c r="M215" s="39">
        <f t="shared" si="4"/>
        <v>0</v>
      </c>
      <c r="N215" s="38">
        <f t="shared" si="5"/>
        <v>0</v>
      </c>
      <c r="O215" s="39">
        <f t="shared" si="6"/>
        <v>0</v>
      </c>
      <c r="P215" s="40"/>
      <c r="Q215" s="34"/>
      <c r="R215" s="35"/>
      <c r="S215" s="35"/>
      <c r="T215" s="35"/>
      <c r="U215" s="35"/>
      <c r="V215" s="35"/>
      <c r="W215" s="35"/>
      <c r="X215" s="35"/>
      <c r="Y215" s="35"/>
      <c r="Z215" s="35"/>
      <c r="AA215" s="35"/>
    </row>
    <row r="216" ht="14.25" customHeight="1">
      <c r="A216" s="221"/>
      <c r="B216" s="231"/>
      <c r="C216" s="111"/>
      <c r="D216" s="241"/>
      <c r="E216" s="85"/>
      <c r="F216" s="242"/>
      <c r="G216" s="523"/>
      <c r="H216" s="524"/>
      <c r="I216" s="523"/>
      <c r="J216" s="36">
        <f t="shared" si="1"/>
        <v>0</v>
      </c>
      <c r="K216" s="37">
        <f t="shared" si="2"/>
        <v>0</v>
      </c>
      <c r="L216" s="38">
        <f t="shared" si="3"/>
        <v>0</v>
      </c>
      <c r="M216" s="39">
        <f t="shared" si="4"/>
        <v>0</v>
      </c>
      <c r="N216" s="38">
        <f t="shared" si="5"/>
        <v>0</v>
      </c>
      <c r="O216" s="39">
        <f t="shared" si="6"/>
        <v>0</v>
      </c>
      <c r="P216" s="40"/>
      <c r="Q216" s="34"/>
      <c r="R216" s="35"/>
      <c r="S216" s="35"/>
      <c r="T216" s="35"/>
      <c r="U216" s="35"/>
      <c r="V216" s="35"/>
      <c r="W216" s="35"/>
      <c r="X216" s="35"/>
      <c r="Y216" s="35"/>
      <c r="Z216" s="35"/>
      <c r="AA216" s="35"/>
    </row>
    <row r="217" ht="14.25" customHeight="1">
      <c r="A217" s="221"/>
      <c r="B217" s="231"/>
      <c r="C217" s="113"/>
      <c r="D217" s="241"/>
      <c r="E217" s="85"/>
      <c r="F217" s="243"/>
      <c r="G217" s="523"/>
      <c r="H217" s="524"/>
      <c r="I217" s="523"/>
      <c r="J217" s="36">
        <f t="shared" si="1"/>
        <v>0</v>
      </c>
      <c r="K217" s="37">
        <f t="shared" si="2"/>
        <v>0</v>
      </c>
      <c r="L217" s="38">
        <f t="shared" si="3"/>
        <v>0</v>
      </c>
      <c r="M217" s="39">
        <f t="shared" si="4"/>
        <v>0</v>
      </c>
      <c r="N217" s="38">
        <f t="shared" si="5"/>
        <v>0</v>
      </c>
      <c r="O217" s="39">
        <f t="shared" si="6"/>
        <v>0</v>
      </c>
      <c r="P217" s="40"/>
      <c r="Q217" s="34"/>
      <c r="R217" s="35"/>
      <c r="S217" s="35"/>
      <c r="T217" s="35"/>
      <c r="U217" s="35"/>
      <c r="V217" s="35"/>
      <c r="W217" s="35"/>
      <c r="X217" s="35"/>
      <c r="Y217" s="35"/>
      <c r="Z217" s="35"/>
      <c r="AA217" s="35"/>
    </row>
    <row r="218" ht="14.25" customHeight="1">
      <c r="A218" s="221"/>
      <c r="B218" s="231"/>
      <c r="C218" s="108"/>
      <c r="D218" s="241"/>
      <c r="E218" s="85"/>
      <c r="F218" s="242"/>
      <c r="G218" s="523"/>
      <c r="H218" s="524"/>
      <c r="I218" s="523"/>
      <c r="J218" s="36">
        <f t="shared" si="1"/>
        <v>0</v>
      </c>
      <c r="K218" s="37">
        <f t="shared" si="2"/>
        <v>0</v>
      </c>
      <c r="L218" s="38">
        <f t="shared" si="3"/>
        <v>0</v>
      </c>
      <c r="M218" s="39">
        <f t="shared" si="4"/>
        <v>0</v>
      </c>
      <c r="N218" s="38">
        <f t="shared" si="5"/>
        <v>0</v>
      </c>
      <c r="O218" s="39">
        <f t="shared" si="6"/>
        <v>0</v>
      </c>
      <c r="P218" s="40"/>
      <c r="Q218" s="34"/>
      <c r="R218" s="35"/>
      <c r="S218" s="35"/>
      <c r="T218" s="35"/>
      <c r="U218" s="35"/>
      <c r="V218" s="35"/>
      <c r="W218" s="35"/>
      <c r="X218" s="35"/>
      <c r="Y218" s="35"/>
      <c r="Z218" s="35"/>
      <c r="AA218" s="35"/>
    </row>
    <row r="219" ht="14.25" customHeight="1">
      <c r="A219" s="221"/>
      <c r="B219" s="231"/>
      <c r="C219" s="108"/>
      <c r="D219" s="241"/>
      <c r="E219" s="101"/>
      <c r="F219" s="242"/>
      <c r="G219" s="523"/>
      <c r="H219" s="524"/>
      <c r="I219" s="523"/>
      <c r="J219" s="36">
        <f t="shared" si="1"/>
        <v>0</v>
      </c>
      <c r="K219" s="37">
        <f t="shared" si="2"/>
        <v>0</v>
      </c>
      <c r="L219" s="38">
        <f t="shared" si="3"/>
        <v>0</v>
      </c>
      <c r="M219" s="39">
        <f t="shared" si="4"/>
        <v>0</v>
      </c>
      <c r="N219" s="38">
        <f t="shared" si="5"/>
        <v>0</v>
      </c>
      <c r="O219" s="39">
        <f t="shared" si="6"/>
        <v>0</v>
      </c>
      <c r="P219" s="40"/>
      <c r="Q219" s="34"/>
      <c r="R219" s="35"/>
      <c r="S219" s="35"/>
      <c r="T219" s="35"/>
      <c r="U219" s="35"/>
      <c r="V219" s="35"/>
      <c r="W219" s="35"/>
      <c r="X219" s="35"/>
      <c r="Y219" s="35"/>
      <c r="Z219" s="35"/>
      <c r="AA219" s="35"/>
    </row>
    <row r="220" ht="14.25" customHeight="1">
      <c r="A220" s="221"/>
      <c r="B220" s="231"/>
      <c r="C220" s="108"/>
      <c r="D220" s="241"/>
      <c r="E220" s="101"/>
      <c r="F220" s="242"/>
      <c r="G220" s="523"/>
      <c r="H220" s="524"/>
      <c r="I220" s="523"/>
      <c r="J220" s="36">
        <f t="shared" si="1"/>
        <v>0</v>
      </c>
      <c r="K220" s="37">
        <f t="shared" si="2"/>
        <v>0</v>
      </c>
      <c r="L220" s="38">
        <f t="shared" si="3"/>
        <v>0</v>
      </c>
      <c r="M220" s="39">
        <f t="shared" si="4"/>
        <v>0</v>
      </c>
      <c r="N220" s="38">
        <f t="shared" si="5"/>
        <v>0</v>
      </c>
      <c r="O220" s="39">
        <f t="shared" si="6"/>
        <v>0</v>
      </c>
      <c r="P220" s="40"/>
      <c r="Q220" s="34"/>
      <c r="R220" s="35"/>
      <c r="S220" s="35"/>
      <c r="T220" s="35"/>
      <c r="U220" s="35"/>
      <c r="V220" s="35"/>
      <c r="W220" s="35"/>
      <c r="X220" s="35"/>
      <c r="Y220" s="35"/>
      <c r="Z220" s="35"/>
      <c r="AA220" s="35"/>
    </row>
    <row r="221" ht="14.25" customHeight="1">
      <c r="A221" s="221"/>
      <c r="B221" s="231"/>
      <c r="C221" s="108"/>
      <c r="D221" s="241"/>
      <c r="E221" s="101"/>
      <c r="F221" s="242"/>
      <c r="G221" s="523"/>
      <c r="H221" s="524"/>
      <c r="I221" s="523"/>
      <c r="J221" s="36">
        <f t="shared" si="1"/>
        <v>0</v>
      </c>
      <c r="K221" s="37">
        <f t="shared" si="2"/>
        <v>0</v>
      </c>
      <c r="L221" s="38">
        <f t="shared" si="3"/>
        <v>0</v>
      </c>
      <c r="M221" s="39">
        <f t="shared" si="4"/>
        <v>0</v>
      </c>
      <c r="N221" s="38">
        <f t="shared" si="5"/>
        <v>0</v>
      </c>
      <c r="O221" s="39">
        <f t="shared" si="6"/>
        <v>0</v>
      </c>
      <c r="P221" s="40"/>
      <c r="Q221" s="34"/>
      <c r="R221" s="35"/>
      <c r="S221" s="35"/>
      <c r="T221" s="35"/>
      <c r="U221" s="35"/>
      <c r="V221" s="35"/>
      <c r="W221" s="35"/>
      <c r="X221" s="35"/>
      <c r="Y221" s="35"/>
      <c r="Z221" s="35"/>
      <c r="AA221" s="35"/>
    </row>
    <row r="222" ht="14.25" customHeight="1">
      <c r="A222" s="221"/>
      <c r="B222" s="231"/>
      <c r="C222" s="108"/>
      <c r="D222" s="241"/>
      <c r="E222" s="101"/>
      <c r="F222" s="242"/>
      <c r="G222" s="523"/>
      <c r="H222" s="524"/>
      <c r="I222" s="523"/>
      <c r="J222" s="36">
        <f t="shared" si="1"/>
        <v>0</v>
      </c>
      <c r="K222" s="37">
        <f t="shared" si="2"/>
        <v>0</v>
      </c>
      <c r="L222" s="38">
        <f t="shared" si="3"/>
        <v>0</v>
      </c>
      <c r="M222" s="39">
        <f t="shared" si="4"/>
        <v>0</v>
      </c>
      <c r="N222" s="38">
        <f t="shared" si="5"/>
        <v>0</v>
      </c>
      <c r="O222" s="39">
        <f t="shared" si="6"/>
        <v>0</v>
      </c>
      <c r="P222" s="40"/>
      <c r="Q222" s="34"/>
      <c r="R222" s="35"/>
      <c r="S222" s="35"/>
      <c r="T222" s="35"/>
      <c r="U222" s="35"/>
      <c r="V222" s="35"/>
      <c r="W222" s="35"/>
      <c r="X222" s="35"/>
      <c r="Y222" s="35"/>
      <c r="Z222" s="35"/>
      <c r="AA222" s="35"/>
    </row>
    <row r="223" ht="14.25" customHeight="1">
      <c r="A223" s="221"/>
      <c r="B223" s="231"/>
      <c r="C223" s="115"/>
      <c r="D223" s="237"/>
      <c r="E223" s="101"/>
      <c r="F223" s="243"/>
      <c r="G223" s="523"/>
      <c r="H223" s="524"/>
      <c r="I223" s="523"/>
      <c r="J223" s="36">
        <f t="shared" si="1"/>
        <v>0</v>
      </c>
      <c r="K223" s="37">
        <f t="shared" si="2"/>
        <v>0</v>
      </c>
      <c r="L223" s="38">
        <f t="shared" si="3"/>
        <v>0</v>
      </c>
      <c r="M223" s="39">
        <f t="shared" si="4"/>
        <v>0</v>
      </c>
      <c r="N223" s="38">
        <f t="shared" si="5"/>
        <v>0</v>
      </c>
      <c r="O223" s="39">
        <f t="shared" si="6"/>
        <v>0</v>
      </c>
      <c r="P223" s="40"/>
      <c r="Q223" s="34"/>
      <c r="R223" s="35"/>
      <c r="S223" s="35"/>
      <c r="T223" s="35"/>
      <c r="U223" s="35"/>
      <c r="V223" s="35"/>
      <c r="W223" s="35"/>
      <c r="X223" s="35"/>
      <c r="Y223" s="35"/>
      <c r="Z223" s="35"/>
      <c r="AA223" s="35"/>
    </row>
    <row r="224" ht="14.25" customHeight="1">
      <c r="A224" s="221"/>
      <c r="B224" s="231"/>
      <c r="C224" s="113"/>
      <c r="D224" s="237"/>
      <c r="E224" s="101"/>
      <c r="F224" s="243"/>
      <c r="G224" s="523"/>
      <c r="H224" s="524"/>
      <c r="I224" s="523"/>
      <c r="J224" s="36">
        <f t="shared" si="1"/>
        <v>0</v>
      </c>
      <c r="K224" s="37">
        <f t="shared" si="2"/>
        <v>0</v>
      </c>
      <c r="L224" s="38">
        <f t="shared" si="3"/>
        <v>0</v>
      </c>
      <c r="M224" s="39">
        <f t="shared" si="4"/>
        <v>0</v>
      </c>
      <c r="N224" s="38">
        <f t="shared" si="5"/>
        <v>0</v>
      </c>
      <c r="O224" s="39">
        <f t="shared" si="6"/>
        <v>0</v>
      </c>
      <c r="P224" s="40"/>
      <c r="Q224" s="34"/>
      <c r="R224" s="35"/>
      <c r="S224" s="35"/>
      <c r="T224" s="35"/>
      <c r="U224" s="35"/>
      <c r="V224" s="35"/>
      <c r="W224" s="35"/>
      <c r="X224" s="35"/>
      <c r="Y224" s="35"/>
      <c r="Z224" s="35"/>
      <c r="AA224" s="35"/>
    </row>
    <row r="225" ht="14.25" customHeight="1">
      <c r="A225" s="221"/>
      <c r="B225" s="231"/>
      <c r="C225" s="113"/>
      <c r="D225" s="237"/>
      <c r="E225" s="100"/>
      <c r="F225" s="243"/>
      <c r="G225" s="523"/>
      <c r="H225" s="524"/>
      <c r="I225" s="523"/>
      <c r="J225" s="36">
        <f t="shared" si="1"/>
        <v>0</v>
      </c>
      <c r="K225" s="37">
        <f t="shared" si="2"/>
        <v>0</v>
      </c>
      <c r="L225" s="38">
        <f t="shared" si="3"/>
        <v>0</v>
      </c>
      <c r="M225" s="39">
        <f t="shared" si="4"/>
        <v>0</v>
      </c>
      <c r="N225" s="38">
        <f t="shared" si="5"/>
        <v>0</v>
      </c>
      <c r="O225" s="39">
        <f t="shared" si="6"/>
        <v>0</v>
      </c>
      <c r="P225" s="40"/>
      <c r="Q225" s="34"/>
      <c r="R225" s="35"/>
      <c r="S225" s="35"/>
      <c r="T225" s="35"/>
      <c r="U225" s="35"/>
      <c r="V225" s="35"/>
      <c r="W225" s="35"/>
      <c r="X225" s="35"/>
      <c r="Y225" s="35"/>
      <c r="Z225" s="35"/>
      <c r="AA225" s="35"/>
    </row>
    <row r="226" ht="14.25" customHeight="1">
      <c r="A226" s="221"/>
      <c r="B226" s="231"/>
      <c r="C226" s="111"/>
      <c r="D226" s="237"/>
      <c r="E226" s="101"/>
      <c r="F226" s="242"/>
      <c r="G226" s="523"/>
      <c r="H226" s="524"/>
      <c r="I226" s="523"/>
      <c r="J226" s="36">
        <f t="shared" si="1"/>
        <v>0</v>
      </c>
      <c r="K226" s="37">
        <f t="shared" si="2"/>
        <v>0</v>
      </c>
      <c r="L226" s="38">
        <f t="shared" si="3"/>
        <v>0</v>
      </c>
      <c r="M226" s="39">
        <f t="shared" si="4"/>
        <v>0</v>
      </c>
      <c r="N226" s="38">
        <f t="shared" si="5"/>
        <v>0</v>
      </c>
      <c r="O226" s="39">
        <f t="shared" si="6"/>
        <v>0</v>
      </c>
      <c r="P226" s="40"/>
      <c r="Q226" s="34"/>
      <c r="R226" s="35"/>
      <c r="S226" s="35"/>
      <c r="T226" s="35"/>
      <c r="U226" s="35"/>
      <c r="V226" s="35"/>
      <c r="W226" s="35"/>
      <c r="X226" s="35"/>
      <c r="Y226" s="35"/>
      <c r="Z226" s="35"/>
      <c r="AA226" s="35"/>
    </row>
    <row r="227" ht="14.25" customHeight="1">
      <c r="A227" s="221"/>
      <c r="B227" s="231"/>
      <c r="C227" s="115"/>
      <c r="D227" s="237"/>
      <c r="E227" s="101"/>
      <c r="F227" s="243"/>
      <c r="G227" s="523"/>
      <c r="H227" s="524"/>
      <c r="I227" s="523"/>
      <c r="J227" s="36">
        <f t="shared" si="1"/>
        <v>0</v>
      </c>
      <c r="K227" s="37">
        <f t="shared" si="2"/>
        <v>0</v>
      </c>
      <c r="L227" s="38">
        <f t="shared" si="3"/>
        <v>0</v>
      </c>
      <c r="M227" s="39">
        <f t="shared" si="4"/>
        <v>0</v>
      </c>
      <c r="N227" s="38">
        <f t="shared" si="5"/>
        <v>0</v>
      </c>
      <c r="O227" s="39">
        <f t="shared" si="6"/>
        <v>0</v>
      </c>
      <c r="P227" s="40"/>
      <c r="Q227" s="34"/>
      <c r="R227" s="35"/>
      <c r="S227" s="35"/>
      <c r="T227" s="35"/>
      <c r="U227" s="35"/>
      <c r="V227" s="35"/>
      <c r="W227" s="35"/>
      <c r="X227" s="35"/>
      <c r="Y227" s="35"/>
      <c r="Z227" s="35"/>
      <c r="AA227" s="35"/>
    </row>
    <row r="228" ht="14.25" customHeight="1">
      <c r="A228" s="221"/>
      <c r="B228" s="231"/>
      <c r="C228" s="113"/>
      <c r="D228" s="237"/>
      <c r="E228" s="101"/>
      <c r="F228" s="242"/>
      <c r="G228" s="523"/>
      <c r="H228" s="524"/>
      <c r="I228" s="523"/>
      <c r="J228" s="36">
        <f t="shared" si="1"/>
        <v>0</v>
      </c>
      <c r="K228" s="37">
        <f t="shared" si="2"/>
        <v>0</v>
      </c>
      <c r="L228" s="38">
        <f t="shared" si="3"/>
        <v>0</v>
      </c>
      <c r="M228" s="39">
        <f t="shared" si="4"/>
        <v>0</v>
      </c>
      <c r="N228" s="38">
        <f t="shared" si="5"/>
        <v>0</v>
      </c>
      <c r="O228" s="39">
        <f t="shared" si="6"/>
        <v>0</v>
      </c>
      <c r="P228" s="40"/>
      <c r="Q228" s="34"/>
      <c r="R228" s="35"/>
      <c r="S228" s="35"/>
      <c r="T228" s="35"/>
      <c r="U228" s="35"/>
      <c r="V228" s="35"/>
      <c r="W228" s="35"/>
      <c r="X228" s="35"/>
      <c r="Y228" s="35"/>
      <c r="Z228" s="35"/>
      <c r="AA228" s="35"/>
    </row>
    <row r="229" ht="14.25" customHeight="1">
      <c r="A229" s="221"/>
      <c r="B229" s="231"/>
      <c r="C229" s="113"/>
      <c r="D229" s="237"/>
      <c r="E229" s="101"/>
      <c r="F229" s="243"/>
      <c r="G229" s="523"/>
      <c r="H229" s="524"/>
      <c r="I229" s="523"/>
      <c r="J229" s="36">
        <f t="shared" si="1"/>
        <v>0</v>
      </c>
      <c r="K229" s="37">
        <f t="shared" si="2"/>
        <v>0</v>
      </c>
      <c r="L229" s="38">
        <f t="shared" si="3"/>
        <v>0</v>
      </c>
      <c r="M229" s="39">
        <f t="shared" si="4"/>
        <v>0</v>
      </c>
      <c r="N229" s="38">
        <f t="shared" si="5"/>
        <v>0</v>
      </c>
      <c r="O229" s="39">
        <f t="shared" si="6"/>
        <v>0</v>
      </c>
      <c r="P229" s="40"/>
      <c r="Q229" s="34"/>
      <c r="R229" s="35"/>
      <c r="S229" s="35"/>
      <c r="T229" s="35"/>
      <c r="U229" s="35"/>
      <c r="V229" s="35"/>
      <c r="W229" s="35"/>
      <c r="X229" s="35"/>
      <c r="Y229" s="35"/>
      <c r="Z229" s="35"/>
      <c r="AA229" s="35"/>
    </row>
    <row r="230" ht="14.25" customHeight="1">
      <c r="A230" s="221"/>
      <c r="B230" s="231"/>
      <c r="C230" s="108"/>
      <c r="D230" s="237"/>
      <c r="E230" s="101"/>
      <c r="F230" s="238"/>
      <c r="G230" s="523"/>
      <c r="H230" s="524"/>
      <c r="I230" s="523"/>
      <c r="J230" s="36">
        <f t="shared" si="1"/>
        <v>0</v>
      </c>
      <c r="K230" s="37">
        <f t="shared" si="2"/>
        <v>0</v>
      </c>
      <c r="L230" s="38">
        <f t="shared" si="3"/>
        <v>0</v>
      </c>
      <c r="M230" s="39">
        <f t="shared" si="4"/>
        <v>0</v>
      </c>
      <c r="N230" s="38">
        <f t="shared" si="5"/>
        <v>0</v>
      </c>
      <c r="O230" s="39">
        <f t="shared" si="6"/>
        <v>0</v>
      </c>
      <c r="P230" s="40"/>
      <c r="Q230" s="34"/>
      <c r="R230" s="35"/>
      <c r="S230" s="35"/>
      <c r="T230" s="35"/>
      <c r="U230" s="35"/>
      <c r="V230" s="35"/>
      <c r="W230" s="35"/>
      <c r="X230" s="35"/>
      <c r="Y230" s="35"/>
      <c r="Z230" s="35"/>
      <c r="AA230" s="35"/>
    </row>
    <row r="231" ht="14.25" customHeight="1">
      <c r="A231" s="221"/>
      <c r="B231" s="231"/>
      <c r="C231" s="108"/>
      <c r="D231" s="237"/>
      <c r="E231" s="101"/>
      <c r="F231" s="243"/>
      <c r="G231" s="523"/>
      <c r="H231" s="524"/>
      <c r="I231" s="523"/>
      <c r="J231" s="36">
        <f t="shared" si="1"/>
        <v>0</v>
      </c>
      <c r="K231" s="37">
        <f t="shared" si="2"/>
        <v>0</v>
      </c>
      <c r="L231" s="38">
        <f t="shared" si="3"/>
        <v>0</v>
      </c>
      <c r="M231" s="39">
        <f t="shared" si="4"/>
        <v>0</v>
      </c>
      <c r="N231" s="38">
        <f t="shared" si="5"/>
        <v>0</v>
      </c>
      <c r="O231" s="39">
        <f t="shared" si="6"/>
        <v>0</v>
      </c>
      <c r="P231" s="40"/>
      <c r="Q231" s="34"/>
      <c r="R231" s="35"/>
      <c r="S231" s="35"/>
      <c r="T231" s="35"/>
      <c r="U231" s="35"/>
      <c r="V231" s="35"/>
      <c r="W231" s="35"/>
      <c r="X231" s="35"/>
      <c r="Y231" s="35"/>
      <c r="Z231" s="35"/>
      <c r="AA231" s="35"/>
    </row>
    <row r="232" ht="14.25" customHeight="1">
      <c r="A232" s="221"/>
      <c r="B232" s="231"/>
      <c r="C232" s="113"/>
      <c r="D232" s="237"/>
      <c r="E232" s="101"/>
      <c r="F232" s="242"/>
      <c r="G232" s="523"/>
      <c r="H232" s="524"/>
      <c r="I232" s="523"/>
      <c r="J232" s="36">
        <f t="shared" si="1"/>
        <v>0</v>
      </c>
      <c r="K232" s="37">
        <f t="shared" si="2"/>
        <v>0</v>
      </c>
      <c r="L232" s="38">
        <f t="shared" si="3"/>
        <v>0</v>
      </c>
      <c r="M232" s="39">
        <f t="shared" si="4"/>
        <v>0</v>
      </c>
      <c r="N232" s="38">
        <f t="shared" si="5"/>
        <v>0</v>
      </c>
      <c r="O232" s="39">
        <f t="shared" si="6"/>
        <v>0</v>
      </c>
      <c r="P232" s="40"/>
      <c r="Q232" s="34"/>
      <c r="R232" s="35"/>
      <c r="S232" s="35"/>
      <c r="T232" s="35"/>
      <c r="U232" s="35"/>
      <c r="V232" s="35"/>
      <c r="W232" s="35"/>
      <c r="X232" s="35"/>
      <c r="Y232" s="35"/>
      <c r="Z232" s="35"/>
      <c r="AA232" s="35"/>
    </row>
    <row r="233" ht="14.25" customHeight="1">
      <c r="A233" s="221"/>
      <c r="B233" s="231"/>
      <c r="C233" s="108"/>
      <c r="D233" s="241"/>
      <c r="E233" s="101"/>
      <c r="F233" s="242"/>
      <c r="G233" s="523"/>
      <c r="H233" s="524"/>
      <c r="I233" s="523"/>
      <c r="J233" s="36">
        <f t="shared" si="1"/>
        <v>0</v>
      </c>
      <c r="K233" s="37">
        <f t="shared" si="2"/>
        <v>0</v>
      </c>
      <c r="L233" s="38">
        <f t="shared" si="3"/>
        <v>0</v>
      </c>
      <c r="M233" s="39">
        <f t="shared" si="4"/>
        <v>0</v>
      </c>
      <c r="N233" s="38">
        <f t="shared" si="5"/>
        <v>0</v>
      </c>
      <c r="O233" s="39">
        <f t="shared" si="6"/>
        <v>0</v>
      </c>
      <c r="P233" s="40"/>
      <c r="Q233" s="34"/>
      <c r="R233" s="35"/>
      <c r="S233" s="35"/>
      <c r="T233" s="35"/>
      <c r="U233" s="35"/>
      <c r="V233" s="35"/>
      <c r="W233" s="35"/>
      <c r="X233" s="35"/>
      <c r="Y233" s="35"/>
      <c r="Z233" s="35"/>
      <c r="AA233" s="35"/>
    </row>
    <row r="234" ht="14.25" customHeight="1">
      <c r="A234" s="221"/>
      <c r="B234" s="231"/>
      <c r="C234" s="108"/>
      <c r="D234" s="241"/>
      <c r="E234" s="101"/>
      <c r="F234" s="242"/>
      <c r="G234" s="523"/>
      <c r="H234" s="524"/>
      <c r="I234" s="523"/>
      <c r="J234" s="36">
        <f t="shared" si="1"/>
        <v>0</v>
      </c>
      <c r="K234" s="37">
        <f t="shared" si="2"/>
        <v>0</v>
      </c>
      <c r="L234" s="38">
        <f t="shared" si="3"/>
        <v>0</v>
      </c>
      <c r="M234" s="39">
        <f t="shared" si="4"/>
        <v>0</v>
      </c>
      <c r="N234" s="38">
        <f t="shared" si="5"/>
        <v>0</v>
      </c>
      <c r="O234" s="39">
        <f t="shared" si="6"/>
        <v>0</v>
      </c>
      <c r="P234" s="40"/>
      <c r="Q234" s="34"/>
      <c r="R234" s="35"/>
      <c r="S234" s="35"/>
      <c r="T234" s="35"/>
      <c r="U234" s="35"/>
      <c r="V234" s="35"/>
      <c r="W234" s="35"/>
      <c r="X234" s="35"/>
      <c r="Y234" s="35"/>
      <c r="Z234" s="35"/>
      <c r="AA234" s="35"/>
    </row>
    <row r="235" ht="14.25" customHeight="1">
      <c r="A235" s="221"/>
      <c r="B235" s="231"/>
      <c r="C235" s="108"/>
      <c r="D235" s="241"/>
      <c r="E235" s="101"/>
      <c r="F235" s="242"/>
      <c r="G235" s="523"/>
      <c r="H235" s="524"/>
      <c r="I235" s="523"/>
      <c r="J235" s="36">
        <f t="shared" si="1"/>
        <v>0</v>
      </c>
      <c r="K235" s="37">
        <f t="shared" si="2"/>
        <v>0</v>
      </c>
      <c r="L235" s="38">
        <f t="shared" si="3"/>
        <v>0</v>
      </c>
      <c r="M235" s="39">
        <f t="shared" si="4"/>
        <v>0</v>
      </c>
      <c r="N235" s="38">
        <f t="shared" si="5"/>
        <v>0</v>
      </c>
      <c r="O235" s="39">
        <f t="shared" si="6"/>
        <v>0</v>
      </c>
      <c r="P235" s="40"/>
      <c r="Q235" s="34"/>
      <c r="R235" s="35"/>
      <c r="S235" s="35"/>
      <c r="T235" s="35"/>
      <c r="U235" s="35"/>
      <c r="V235" s="35"/>
      <c r="W235" s="35"/>
      <c r="X235" s="35"/>
      <c r="Y235" s="35"/>
      <c r="Z235" s="35"/>
      <c r="AA235" s="35"/>
    </row>
    <row r="236" ht="14.25" customHeight="1">
      <c r="A236" s="221"/>
      <c r="B236" s="231"/>
      <c r="C236" s="116"/>
      <c r="D236" s="237"/>
      <c r="E236" s="117"/>
      <c r="F236" s="244"/>
      <c r="G236" s="523"/>
      <c r="H236" s="524"/>
      <c r="I236" s="523"/>
      <c r="J236" s="36">
        <f t="shared" si="1"/>
        <v>0</v>
      </c>
      <c r="K236" s="37">
        <f t="shared" si="2"/>
        <v>0</v>
      </c>
      <c r="L236" s="38">
        <f t="shared" si="3"/>
        <v>0</v>
      </c>
      <c r="M236" s="39">
        <f t="shared" si="4"/>
        <v>0</v>
      </c>
      <c r="N236" s="38">
        <f t="shared" si="5"/>
        <v>0</v>
      </c>
      <c r="O236" s="39">
        <f t="shared" si="6"/>
        <v>0</v>
      </c>
      <c r="P236" s="40"/>
      <c r="Q236" s="34"/>
      <c r="R236" s="35"/>
      <c r="S236" s="35"/>
      <c r="T236" s="35"/>
      <c r="U236" s="35"/>
      <c r="V236" s="35"/>
      <c r="W236" s="35"/>
      <c r="X236" s="35"/>
      <c r="Y236" s="35"/>
      <c r="Z236" s="35"/>
      <c r="AA236" s="35"/>
    </row>
    <row r="237" ht="14.25" customHeight="1">
      <c r="A237" s="221"/>
      <c r="B237" s="231"/>
      <c r="C237" s="116"/>
      <c r="D237" s="237"/>
      <c r="E237" s="117"/>
      <c r="F237" s="244"/>
      <c r="G237" s="523"/>
      <c r="H237" s="524"/>
      <c r="I237" s="523"/>
      <c r="J237" s="36">
        <f t="shared" si="1"/>
        <v>0</v>
      </c>
      <c r="K237" s="37">
        <f t="shared" si="2"/>
        <v>0</v>
      </c>
      <c r="L237" s="38">
        <f t="shared" si="3"/>
        <v>0</v>
      </c>
      <c r="M237" s="39">
        <f t="shared" si="4"/>
        <v>0</v>
      </c>
      <c r="N237" s="38">
        <f t="shared" si="5"/>
        <v>0</v>
      </c>
      <c r="O237" s="39">
        <f t="shared" si="6"/>
        <v>0</v>
      </c>
      <c r="P237" s="40"/>
      <c r="Q237" s="34"/>
      <c r="R237" s="35"/>
      <c r="S237" s="35"/>
      <c r="T237" s="35"/>
      <c r="U237" s="35"/>
      <c r="V237" s="35"/>
      <c r="W237" s="35"/>
      <c r="X237" s="35"/>
      <c r="Y237" s="35"/>
      <c r="Z237" s="35"/>
      <c r="AA237" s="35"/>
    </row>
    <row r="238" ht="14.25" customHeight="1">
      <c r="A238" s="221"/>
      <c r="B238" s="231"/>
      <c r="C238" s="116"/>
      <c r="D238" s="237"/>
      <c r="E238" s="117"/>
      <c r="F238" s="244"/>
      <c r="G238" s="523"/>
      <c r="H238" s="524"/>
      <c r="I238" s="523"/>
      <c r="J238" s="36">
        <f t="shared" si="1"/>
        <v>0</v>
      </c>
      <c r="K238" s="37">
        <f t="shared" si="2"/>
        <v>0</v>
      </c>
      <c r="L238" s="38">
        <f t="shared" si="3"/>
        <v>0</v>
      </c>
      <c r="M238" s="39">
        <f t="shared" si="4"/>
        <v>0</v>
      </c>
      <c r="N238" s="38">
        <f t="shared" si="5"/>
        <v>0</v>
      </c>
      <c r="O238" s="39">
        <f t="shared" si="6"/>
        <v>0</v>
      </c>
      <c r="P238" s="40"/>
      <c r="Q238" s="34"/>
      <c r="R238" s="35"/>
      <c r="S238" s="35"/>
      <c r="T238" s="35"/>
      <c r="U238" s="35"/>
      <c r="V238" s="35"/>
      <c r="W238" s="35"/>
      <c r="X238" s="35"/>
      <c r="Y238" s="35"/>
      <c r="Z238" s="35"/>
      <c r="AA238" s="35"/>
    </row>
    <row r="239" ht="14.25" customHeight="1">
      <c r="A239" s="221"/>
      <c r="B239" s="231"/>
      <c r="C239" s="116"/>
      <c r="D239" s="237"/>
      <c r="E239" s="117"/>
      <c r="F239" s="244"/>
      <c r="G239" s="523"/>
      <c r="H239" s="524"/>
      <c r="I239" s="523"/>
      <c r="J239" s="36">
        <f t="shared" si="1"/>
        <v>0</v>
      </c>
      <c r="K239" s="37">
        <f t="shared" si="2"/>
        <v>0</v>
      </c>
      <c r="L239" s="38">
        <f t="shared" si="3"/>
        <v>0</v>
      </c>
      <c r="M239" s="39">
        <f t="shared" si="4"/>
        <v>0</v>
      </c>
      <c r="N239" s="38">
        <f t="shared" si="5"/>
        <v>0</v>
      </c>
      <c r="O239" s="39">
        <f t="shared" si="6"/>
        <v>0</v>
      </c>
      <c r="P239" s="40"/>
      <c r="Q239" s="34"/>
      <c r="R239" s="35"/>
      <c r="S239" s="35"/>
      <c r="T239" s="35"/>
      <c r="U239" s="35"/>
      <c r="V239" s="35"/>
      <c r="W239" s="35"/>
      <c r="X239" s="35"/>
      <c r="Y239" s="35"/>
      <c r="Z239" s="35"/>
      <c r="AA239" s="35"/>
    </row>
    <row r="240" ht="14.25" customHeight="1">
      <c r="A240" s="221"/>
      <c r="B240" s="231"/>
      <c r="C240" s="116"/>
      <c r="D240" s="237"/>
      <c r="E240" s="117"/>
      <c r="F240" s="244"/>
      <c r="G240" s="523"/>
      <c r="H240" s="524"/>
      <c r="I240" s="523"/>
      <c r="J240" s="36">
        <f t="shared" si="1"/>
        <v>0</v>
      </c>
      <c r="K240" s="37">
        <f t="shared" si="2"/>
        <v>0</v>
      </c>
      <c r="L240" s="38">
        <f t="shared" si="3"/>
        <v>0</v>
      </c>
      <c r="M240" s="39">
        <f t="shared" si="4"/>
        <v>0</v>
      </c>
      <c r="N240" s="38">
        <f t="shared" si="5"/>
        <v>0</v>
      </c>
      <c r="O240" s="39">
        <f t="shared" si="6"/>
        <v>0</v>
      </c>
      <c r="P240" s="40"/>
      <c r="Q240" s="34"/>
      <c r="R240" s="35"/>
      <c r="S240" s="35"/>
      <c r="T240" s="35"/>
      <c r="U240" s="35"/>
      <c r="V240" s="35"/>
      <c r="W240" s="35"/>
      <c r="X240" s="35"/>
      <c r="Y240" s="35"/>
      <c r="Z240" s="35"/>
      <c r="AA240" s="35"/>
    </row>
    <row r="241" ht="14.25" customHeight="1">
      <c r="A241" s="221"/>
      <c r="B241" s="231"/>
      <c r="C241" s="116"/>
      <c r="D241" s="237"/>
      <c r="E241" s="117"/>
      <c r="F241" s="244"/>
      <c r="G241" s="523"/>
      <c r="H241" s="524"/>
      <c r="I241" s="523"/>
      <c r="J241" s="36">
        <f t="shared" si="1"/>
        <v>0</v>
      </c>
      <c r="K241" s="37">
        <f t="shared" si="2"/>
        <v>0</v>
      </c>
      <c r="L241" s="38">
        <f t="shared" si="3"/>
        <v>0</v>
      </c>
      <c r="M241" s="39">
        <f t="shared" si="4"/>
        <v>0</v>
      </c>
      <c r="N241" s="38">
        <f t="shared" si="5"/>
        <v>0</v>
      </c>
      <c r="O241" s="39">
        <f t="shared" si="6"/>
        <v>0</v>
      </c>
      <c r="P241" s="40"/>
      <c r="Q241" s="34"/>
      <c r="R241" s="35"/>
      <c r="S241" s="35"/>
      <c r="T241" s="35"/>
      <c r="U241" s="35"/>
      <c r="V241" s="35"/>
      <c r="W241" s="35"/>
      <c r="X241" s="35"/>
      <c r="Y241" s="35"/>
      <c r="Z241" s="35"/>
      <c r="AA241" s="35"/>
    </row>
    <row r="242" ht="14.25" customHeight="1">
      <c r="A242" s="221"/>
      <c r="B242" s="231"/>
      <c r="C242" s="116"/>
      <c r="D242" s="237"/>
      <c r="E242" s="117"/>
      <c r="F242" s="244"/>
      <c r="G242" s="523"/>
      <c r="H242" s="524"/>
      <c r="I242" s="523"/>
      <c r="J242" s="36">
        <f t="shared" si="1"/>
        <v>0</v>
      </c>
      <c r="K242" s="37">
        <f t="shared" si="2"/>
        <v>0</v>
      </c>
      <c r="L242" s="38">
        <f t="shared" si="3"/>
        <v>0</v>
      </c>
      <c r="M242" s="39">
        <f t="shared" si="4"/>
        <v>0</v>
      </c>
      <c r="N242" s="38">
        <f t="shared" si="5"/>
        <v>0</v>
      </c>
      <c r="O242" s="39">
        <f t="shared" si="6"/>
        <v>0</v>
      </c>
      <c r="P242" s="40"/>
      <c r="Q242" s="34"/>
      <c r="R242" s="35"/>
      <c r="S242" s="35"/>
      <c r="T242" s="35"/>
      <c r="U242" s="35"/>
      <c r="V242" s="35"/>
      <c r="W242" s="35"/>
      <c r="X242" s="35"/>
      <c r="Y242" s="35"/>
      <c r="Z242" s="35"/>
      <c r="AA242" s="35"/>
    </row>
    <row r="243" ht="14.25" customHeight="1">
      <c r="A243" s="221"/>
      <c r="B243" s="231"/>
      <c r="C243" s="115"/>
      <c r="D243" s="237"/>
      <c r="E243" s="117"/>
      <c r="F243" s="244"/>
      <c r="G243" s="523"/>
      <c r="H243" s="524"/>
      <c r="I243" s="523"/>
      <c r="J243" s="36">
        <f t="shared" si="1"/>
        <v>0</v>
      </c>
      <c r="K243" s="37">
        <f t="shared" si="2"/>
        <v>0</v>
      </c>
      <c r="L243" s="38">
        <f t="shared" si="3"/>
        <v>0</v>
      </c>
      <c r="M243" s="39">
        <f t="shared" si="4"/>
        <v>0</v>
      </c>
      <c r="N243" s="38">
        <f t="shared" si="5"/>
        <v>0</v>
      </c>
      <c r="O243" s="39">
        <f t="shared" si="6"/>
        <v>0</v>
      </c>
      <c r="P243" s="40"/>
      <c r="Q243" s="34"/>
      <c r="R243" s="35"/>
      <c r="S243" s="35"/>
      <c r="T243" s="35"/>
      <c r="U243" s="35"/>
      <c r="V243" s="35"/>
      <c r="W243" s="35"/>
      <c r="X243" s="35"/>
      <c r="Y243" s="35"/>
      <c r="Z243" s="35"/>
      <c r="AA243" s="35"/>
    </row>
    <row r="244" ht="14.25" customHeight="1">
      <c r="A244" s="221"/>
      <c r="B244" s="231"/>
      <c r="C244" s="108"/>
      <c r="D244" s="237"/>
      <c r="E244" s="117"/>
      <c r="F244" s="245"/>
      <c r="G244" s="523"/>
      <c r="H244" s="524"/>
      <c r="I244" s="523"/>
      <c r="J244" s="36">
        <f t="shared" si="1"/>
        <v>0</v>
      </c>
      <c r="K244" s="37">
        <f t="shared" si="2"/>
        <v>0</v>
      </c>
      <c r="L244" s="38">
        <f t="shared" si="3"/>
        <v>0</v>
      </c>
      <c r="M244" s="39">
        <f t="shared" si="4"/>
        <v>0</v>
      </c>
      <c r="N244" s="38">
        <f t="shared" si="5"/>
        <v>0</v>
      </c>
      <c r="O244" s="39">
        <f t="shared" si="6"/>
        <v>0</v>
      </c>
      <c r="P244" s="40"/>
      <c r="Q244" s="34"/>
      <c r="R244" s="35"/>
      <c r="S244" s="35"/>
      <c r="T244" s="35"/>
      <c r="U244" s="35"/>
      <c r="V244" s="35"/>
      <c r="W244" s="35"/>
      <c r="X244" s="35"/>
      <c r="Y244" s="35"/>
      <c r="Z244" s="35"/>
      <c r="AA244" s="35"/>
    </row>
    <row r="245" ht="14.25" customHeight="1">
      <c r="A245" s="221"/>
      <c r="B245" s="231"/>
      <c r="C245" s="108"/>
      <c r="D245" s="237"/>
      <c r="E245" s="117"/>
      <c r="F245" s="245"/>
      <c r="G245" s="523"/>
      <c r="H245" s="524"/>
      <c r="I245" s="523"/>
      <c r="J245" s="36">
        <f t="shared" si="1"/>
        <v>0</v>
      </c>
      <c r="K245" s="37">
        <f t="shared" si="2"/>
        <v>0</v>
      </c>
      <c r="L245" s="38">
        <f t="shared" si="3"/>
        <v>0</v>
      </c>
      <c r="M245" s="39">
        <f t="shared" si="4"/>
        <v>0</v>
      </c>
      <c r="N245" s="38">
        <f t="shared" si="5"/>
        <v>0</v>
      </c>
      <c r="O245" s="39">
        <f t="shared" si="6"/>
        <v>0</v>
      </c>
      <c r="P245" s="40"/>
      <c r="Q245" s="34"/>
      <c r="R245" s="35"/>
      <c r="S245" s="35"/>
      <c r="T245" s="35"/>
      <c r="U245" s="35"/>
      <c r="V245" s="35"/>
      <c r="W245" s="35"/>
      <c r="X245" s="35"/>
      <c r="Y245" s="35"/>
      <c r="Z245" s="35"/>
      <c r="AA245" s="35"/>
    </row>
    <row r="246" ht="14.25" customHeight="1">
      <c r="A246" s="221"/>
      <c r="B246" s="231"/>
      <c r="C246" s="108"/>
      <c r="D246" s="237"/>
      <c r="E246" s="117"/>
      <c r="F246" s="245"/>
      <c r="G246" s="523"/>
      <c r="H246" s="524"/>
      <c r="I246" s="523"/>
      <c r="J246" s="36">
        <f t="shared" si="1"/>
        <v>0</v>
      </c>
      <c r="K246" s="37">
        <f t="shared" si="2"/>
        <v>0</v>
      </c>
      <c r="L246" s="38">
        <f t="shared" si="3"/>
        <v>0</v>
      </c>
      <c r="M246" s="39">
        <f t="shared" si="4"/>
        <v>0</v>
      </c>
      <c r="N246" s="38">
        <f t="shared" si="5"/>
        <v>0</v>
      </c>
      <c r="O246" s="39">
        <f t="shared" si="6"/>
        <v>0</v>
      </c>
      <c r="P246" s="40"/>
      <c r="Q246" s="34"/>
      <c r="R246" s="35"/>
      <c r="S246" s="35"/>
      <c r="T246" s="35"/>
      <c r="U246" s="35"/>
      <c r="V246" s="35"/>
      <c r="W246" s="35"/>
      <c r="X246" s="35"/>
      <c r="Y246" s="35"/>
      <c r="Z246" s="35"/>
      <c r="AA246" s="35"/>
    </row>
    <row r="247" ht="14.25" customHeight="1">
      <c r="A247" s="221"/>
      <c r="B247" s="231"/>
      <c r="C247" s="108"/>
      <c r="D247" s="223"/>
      <c r="E247" s="117"/>
      <c r="F247" s="245"/>
      <c r="G247" s="523"/>
      <c r="H247" s="524"/>
      <c r="I247" s="523"/>
      <c r="J247" s="36">
        <f t="shared" si="1"/>
        <v>0</v>
      </c>
      <c r="K247" s="37">
        <f t="shared" si="2"/>
        <v>0</v>
      </c>
      <c r="L247" s="38">
        <f t="shared" si="3"/>
        <v>0</v>
      </c>
      <c r="M247" s="39">
        <f t="shared" si="4"/>
        <v>0</v>
      </c>
      <c r="N247" s="38">
        <f t="shared" si="5"/>
        <v>0</v>
      </c>
      <c r="O247" s="39">
        <f t="shared" si="6"/>
        <v>0</v>
      </c>
      <c r="P247" s="40"/>
      <c r="Q247" s="34"/>
      <c r="R247" s="35"/>
      <c r="S247" s="35"/>
      <c r="T247" s="35"/>
      <c r="U247" s="35"/>
      <c r="V247" s="35"/>
      <c r="W247" s="35"/>
      <c r="X247" s="35"/>
      <c r="Y247" s="35"/>
      <c r="Z247" s="35"/>
      <c r="AA247" s="35"/>
    </row>
    <row r="248" ht="14.25" customHeight="1">
      <c r="A248" s="221"/>
      <c r="B248" s="231"/>
      <c r="C248" s="108"/>
      <c r="D248" s="237"/>
      <c r="E248" s="117"/>
      <c r="F248" s="245"/>
      <c r="G248" s="523"/>
      <c r="H248" s="524"/>
      <c r="I248" s="523"/>
      <c r="J248" s="36">
        <f t="shared" si="1"/>
        <v>0</v>
      </c>
      <c r="K248" s="37">
        <f t="shared" si="2"/>
        <v>0</v>
      </c>
      <c r="L248" s="38">
        <f t="shared" si="3"/>
        <v>0</v>
      </c>
      <c r="M248" s="39">
        <f t="shared" si="4"/>
        <v>0</v>
      </c>
      <c r="N248" s="38">
        <f t="shared" si="5"/>
        <v>0</v>
      </c>
      <c r="O248" s="39">
        <f t="shared" si="6"/>
        <v>0</v>
      </c>
      <c r="P248" s="40"/>
      <c r="Q248" s="34"/>
      <c r="R248" s="35"/>
      <c r="S248" s="35"/>
      <c r="T248" s="35"/>
      <c r="U248" s="35"/>
      <c r="V248" s="35"/>
      <c r="W248" s="35"/>
      <c r="X248" s="35"/>
      <c r="Y248" s="35"/>
      <c r="Z248" s="35"/>
      <c r="AA248" s="35"/>
    </row>
    <row r="249" ht="14.25" customHeight="1">
      <c r="A249" s="221"/>
      <c r="B249" s="231"/>
      <c r="C249" s="108"/>
      <c r="D249" s="237"/>
      <c r="E249" s="117"/>
      <c r="F249" s="245"/>
      <c r="G249" s="523"/>
      <c r="H249" s="524"/>
      <c r="I249" s="523"/>
      <c r="J249" s="36">
        <f t="shared" si="1"/>
        <v>0</v>
      </c>
      <c r="K249" s="37">
        <f t="shared" si="2"/>
        <v>0</v>
      </c>
      <c r="L249" s="38">
        <f t="shared" si="3"/>
        <v>0</v>
      </c>
      <c r="M249" s="39">
        <f t="shared" si="4"/>
        <v>0</v>
      </c>
      <c r="N249" s="38">
        <f t="shared" si="5"/>
        <v>0</v>
      </c>
      <c r="O249" s="39">
        <f t="shared" si="6"/>
        <v>0</v>
      </c>
      <c r="P249" s="40"/>
      <c r="Q249" s="34"/>
      <c r="R249" s="35"/>
      <c r="S249" s="35"/>
      <c r="T249" s="35"/>
      <c r="U249" s="35"/>
      <c r="V249" s="35"/>
      <c r="W249" s="35"/>
      <c r="X249" s="35"/>
      <c r="Y249" s="35"/>
      <c r="Z249" s="35"/>
      <c r="AA249" s="35"/>
    </row>
    <row r="250" ht="14.25" customHeight="1">
      <c r="A250" s="221"/>
      <c r="B250" s="231"/>
      <c r="C250" s="108"/>
      <c r="D250" s="237"/>
      <c r="E250" s="117"/>
      <c r="F250" s="245"/>
      <c r="G250" s="523"/>
      <c r="H250" s="524"/>
      <c r="I250" s="523"/>
      <c r="J250" s="36">
        <f t="shared" si="1"/>
        <v>0</v>
      </c>
      <c r="K250" s="37">
        <f t="shared" si="2"/>
        <v>0</v>
      </c>
      <c r="L250" s="38">
        <f t="shared" si="3"/>
        <v>0</v>
      </c>
      <c r="M250" s="39">
        <f t="shared" si="4"/>
        <v>0</v>
      </c>
      <c r="N250" s="38">
        <f t="shared" si="5"/>
        <v>0</v>
      </c>
      <c r="O250" s="39">
        <f t="shared" si="6"/>
        <v>0</v>
      </c>
      <c r="P250" s="40"/>
      <c r="Q250" s="34"/>
      <c r="R250" s="35"/>
      <c r="S250" s="35"/>
      <c r="T250" s="35"/>
      <c r="U250" s="35"/>
      <c r="V250" s="35"/>
      <c r="W250" s="35"/>
      <c r="X250" s="35"/>
      <c r="Y250" s="35"/>
      <c r="Z250" s="35"/>
      <c r="AA250" s="35"/>
    </row>
    <row r="251" ht="14.25" customHeight="1">
      <c r="A251" s="221"/>
      <c r="B251" s="231"/>
      <c r="C251" s="108"/>
      <c r="D251" s="237"/>
      <c r="E251" s="117"/>
      <c r="F251" s="245"/>
      <c r="G251" s="523"/>
      <c r="H251" s="524"/>
      <c r="I251" s="523"/>
      <c r="J251" s="36">
        <f t="shared" si="1"/>
        <v>0</v>
      </c>
      <c r="K251" s="37">
        <f t="shared" si="2"/>
        <v>0</v>
      </c>
      <c r="L251" s="38">
        <f t="shared" si="3"/>
        <v>0</v>
      </c>
      <c r="M251" s="39">
        <f t="shared" si="4"/>
        <v>0</v>
      </c>
      <c r="N251" s="38">
        <f t="shared" si="5"/>
        <v>0</v>
      </c>
      <c r="O251" s="39">
        <f t="shared" si="6"/>
        <v>0</v>
      </c>
      <c r="P251" s="40"/>
      <c r="Q251" s="34"/>
      <c r="R251" s="35"/>
      <c r="S251" s="35"/>
      <c r="T251" s="35"/>
      <c r="U251" s="35"/>
      <c r="V251" s="35"/>
      <c r="W251" s="35"/>
      <c r="X251" s="35"/>
      <c r="Y251" s="35"/>
      <c r="Z251" s="35"/>
      <c r="AA251" s="35"/>
    </row>
    <row r="252" ht="14.25" customHeight="1">
      <c r="A252" s="221"/>
      <c r="B252" s="231"/>
      <c r="C252" s="108"/>
      <c r="D252" s="237"/>
      <c r="E252" s="117"/>
      <c r="F252" s="245"/>
      <c r="G252" s="523"/>
      <c r="H252" s="524"/>
      <c r="I252" s="523"/>
      <c r="J252" s="36">
        <f t="shared" si="1"/>
        <v>0</v>
      </c>
      <c r="K252" s="37">
        <f t="shared" si="2"/>
        <v>0</v>
      </c>
      <c r="L252" s="38">
        <f t="shared" si="3"/>
        <v>0</v>
      </c>
      <c r="M252" s="39">
        <f t="shared" si="4"/>
        <v>0</v>
      </c>
      <c r="N252" s="38">
        <f t="shared" si="5"/>
        <v>0</v>
      </c>
      <c r="O252" s="39">
        <f t="shared" si="6"/>
        <v>0</v>
      </c>
      <c r="P252" s="40"/>
      <c r="Q252" s="34"/>
      <c r="R252" s="35"/>
      <c r="S252" s="35"/>
      <c r="T252" s="35"/>
      <c r="U252" s="35"/>
      <c r="V252" s="35"/>
      <c r="W252" s="35"/>
      <c r="X252" s="35"/>
      <c r="Y252" s="35"/>
      <c r="Z252" s="35"/>
      <c r="AA252" s="35"/>
    </row>
    <row r="253" ht="14.25" customHeight="1">
      <c r="A253" s="221"/>
      <c r="B253" s="231"/>
      <c r="C253" s="108"/>
      <c r="D253" s="237"/>
      <c r="E253" s="117"/>
      <c r="F253" s="245"/>
      <c r="G253" s="523"/>
      <c r="H253" s="524"/>
      <c r="I253" s="523"/>
      <c r="J253" s="36">
        <f t="shared" si="1"/>
        <v>0</v>
      </c>
      <c r="K253" s="37">
        <f t="shared" si="2"/>
        <v>0</v>
      </c>
      <c r="L253" s="38">
        <f t="shared" si="3"/>
        <v>0</v>
      </c>
      <c r="M253" s="39">
        <f t="shared" si="4"/>
        <v>0</v>
      </c>
      <c r="N253" s="38">
        <f t="shared" si="5"/>
        <v>0</v>
      </c>
      <c r="O253" s="39">
        <f t="shared" si="6"/>
        <v>0</v>
      </c>
      <c r="P253" s="40"/>
      <c r="Q253" s="34"/>
      <c r="R253" s="35"/>
      <c r="S253" s="35"/>
      <c r="T253" s="35"/>
      <c r="U253" s="35"/>
      <c r="V253" s="35"/>
      <c r="W253" s="35"/>
      <c r="X253" s="35"/>
      <c r="Y253" s="35"/>
      <c r="Z253" s="35"/>
      <c r="AA253" s="35"/>
    </row>
    <row r="254" ht="14.25" customHeight="1">
      <c r="A254" s="221"/>
      <c r="B254" s="231"/>
      <c r="C254" s="108"/>
      <c r="D254" s="237"/>
      <c r="E254" s="117"/>
      <c r="F254" s="244"/>
      <c r="G254" s="523"/>
      <c r="H254" s="524"/>
      <c r="I254" s="523"/>
      <c r="J254" s="36">
        <f t="shared" si="1"/>
        <v>0</v>
      </c>
      <c r="K254" s="37">
        <f t="shared" si="2"/>
        <v>0</v>
      </c>
      <c r="L254" s="38">
        <f t="shared" si="3"/>
        <v>0</v>
      </c>
      <c r="M254" s="39">
        <f t="shared" si="4"/>
        <v>0</v>
      </c>
      <c r="N254" s="38">
        <f t="shared" si="5"/>
        <v>0</v>
      </c>
      <c r="O254" s="39">
        <f t="shared" si="6"/>
        <v>0</v>
      </c>
      <c r="P254" s="40"/>
      <c r="Q254" s="34"/>
      <c r="R254" s="35"/>
      <c r="S254" s="35"/>
      <c r="T254" s="35"/>
      <c r="U254" s="35"/>
      <c r="V254" s="35"/>
      <c r="W254" s="35"/>
      <c r="X254" s="35"/>
      <c r="Y254" s="35"/>
      <c r="Z254" s="35"/>
      <c r="AA254" s="35"/>
    </row>
    <row r="255" ht="14.25" customHeight="1">
      <c r="A255" s="221"/>
      <c r="B255" s="231"/>
      <c r="C255" s="108"/>
      <c r="D255" s="223"/>
      <c r="E255" s="117"/>
      <c r="F255" s="246"/>
      <c r="G255" s="523"/>
      <c r="H255" s="524"/>
      <c r="I255" s="523"/>
      <c r="J255" s="36">
        <f t="shared" si="1"/>
        <v>0</v>
      </c>
      <c r="K255" s="37">
        <f t="shared" si="2"/>
        <v>0</v>
      </c>
      <c r="L255" s="38">
        <f t="shared" si="3"/>
        <v>0</v>
      </c>
      <c r="M255" s="39">
        <f t="shared" si="4"/>
        <v>0</v>
      </c>
      <c r="N255" s="38">
        <f t="shared" si="5"/>
        <v>0</v>
      </c>
      <c r="O255" s="39">
        <f t="shared" si="6"/>
        <v>0</v>
      </c>
      <c r="P255" s="40"/>
      <c r="Q255" s="34"/>
      <c r="R255" s="35"/>
      <c r="S255" s="35"/>
      <c r="T255" s="35"/>
      <c r="U255" s="35"/>
      <c r="V255" s="35"/>
      <c r="W255" s="35"/>
      <c r="X255" s="35"/>
      <c r="Y255" s="35"/>
      <c r="Z255" s="35"/>
      <c r="AA255" s="35"/>
    </row>
    <row r="256" ht="14.25" customHeight="1">
      <c r="A256" s="221"/>
      <c r="B256" s="231"/>
      <c r="C256" s="108"/>
      <c r="D256" s="247"/>
      <c r="E256" s="117"/>
      <c r="F256" s="246"/>
      <c r="G256" s="523"/>
      <c r="H256" s="524"/>
      <c r="I256" s="523"/>
      <c r="J256" s="36">
        <f t="shared" si="1"/>
        <v>0</v>
      </c>
      <c r="K256" s="37">
        <f t="shared" si="2"/>
        <v>0</v>
      </c>
      <c r="L256" s="38">
        <f t="shared" si="3"/>
        <v>0</v>
      </c>
      <c r="M256" s="39">
        <f t="shared" si="4"/>
        <v>0</v>
      </c>
      <c r="N256" s="38">
        <f t="shared" si="5"/>
        <v>0</v>
      </c>
      <c r="O256" s="39">
        <f t="shared" si="6"/>
        <v>0</v>
      </c>
      <c r="P256" s="40"/>
      <c r="Q256" s="34"/>
      <c r="R256" s="35"/>
      <c r="S256" s="35"/>
      <c r="T256" s="35"/>
      <c r="U256" s="35"/>
      <c r="V256" s="35"/>
      <c r="W256" s="35"/>
      <c r="X256" s="35"/>
      <c r="Y256" s="35"/>
      <c r="Z256" s="35"/>
      <c r="AA256" s="35"/>
    </row>
    <row r="257" ht="14.25" customHeight="1">
      <c r="A257" s="221"/>
      <c r="B257" s="231"/>
      <c r="C257" s="108"/>
      <c r="D257" s="223"/>
      <c r="E257" s="117"/>
      <c r="F257" s="246"/>
      <c r="G257" s="523"/>
      <c r="H257" s="524"/>
      <c r="I257" s="523"/>
      <c r="J257" s="36">
        <f t="shared" si="1"/>
        <v>0</v>
      </c>
      <c r="K257" s="37">
        <f t="shared" si="2"/>
        <v>0</v>
      </c>
      <c r="L257" s="38">
        <f t="shared" si="3"/>
        <v>0</v>
      </c>
      <c r="M257" s="39">
        <f t="shared" si="4"/>
        <v>0</v>
      </c>
      <c r="N257" s="38">
        <f t="shared" si="5"/>
        <v>0</v>
      </c>
      <c r="O257" s="39">
        <f t="shared" si="6"/>
        <v>0</v>
      </c>
      <c r="P257" s="40"/>
      <c r="Q257" s="34"/>
      <c r="R257" s="35"/>
      <c r="S257" s="35"/>
      <c r="T257" s="35"/>
      <c r="U257" s="35"/>
      <c r="V257" s="35"/>
      <c r="W257" s="35"/>
      <c r="X257" s="35"/>
      <c r="Y257" s="35"/>
      <c r="Z257" s="35"/>
      <c r="AA257" s="35"/>
    </row>
    <row r="258" ht="14.25" customHeight="1">
      <c r="A258" s="221"/>
      <c r="B258" s="231"/>
      <c r="C258" s="108"/>
      <c r="D258" s="223"/>
      <c r="E258" s="117"/>
      <c r="F258" s="246"/>
      <c r="G258" s="523"/>
      <c r="H258" s="524"/>
      <c r="I258" s="523"/>
      <c r="J258" s="36">
        <f t="shared" si="1"/>
        <v>0</v>
      </c>
      <c r="K258" s="37">
        <f t="shared" si="2"/>
        <v>0</v>
      </c>
      <c r="L258" s="38">
        <f t="shared" si="3"/>
        <v>0</v>
      </c>
      <c r="M258" s="39">
        <f t="shared" si="4"/>
        <v>0</v>
      </c>
      <c r="N258" s="38">
        <f t="shared" si="5"/>
        <v>0</v>
      </c>
      <c r="O258" s="39">
        <f t="shared" si="6"/>
        <v>0</v>
      </c>
      <c r="P258" s="40"/>
      <c r="Q258" s="34"/>
      <c r="R258" s="35"/>
      <c r="S258" s="35"/>
      <c r="T258" s="35"/>
      <c r="U258" s="35"/>
      <c r="V258" s="35"/>
      <c r="W258" s="35"/>
      <c r="X258" s="35"/>
      <c r="Y258" s="35"/>
      <c r="Z258" s="35"/>
      <c r="AA258" s="35"/>
    </row>
    <row r="259" ht="14.25" customHeight="1">
      <c r="A259" s="221"/>
      <c r="B259" s="231"/>
      <c r="C259" s="108"/>
      <c r="D259" s="223"/>
      <c r="E259" s="117"/>
      <c r="F259" s="246"/>
      <c r="G259" s="523"/>
      <c r="H259" s="524"/>
      <c r="I259" s="523"/>
      <c r="J259" s="36">
        <f t="shared" si="1"/>
        <v>0</v>
      </c>
      <c r="K259" s="37">
        <f t="shared" si="2"/>
        <v>0</v>
      </c>
      <c r="L259" s="38">
        <f t="shared" si="3"/>
        <v>0</v>
      </c>
      <c r="M259" s="39">
        <f t="shared" si="4"/>
        <v>0</v>
      </c>
      <c r="N259" s="38">
        <f t="shared" si="5"/>
        <v>0</v>
      </c>
      <c r="O259" s="39">
        <f t="shared" si="6"/>
        <v>0</v>
      </c>
      <c r="P259" s="40"/>
      <c r="Q259" s="34"/>
      <c r="R259" s="35"/>
      <c r="S259" s="35"/>
      <c r="T259" s="35"/>
      <c r="U259" s="35"/>
      <c r="V259" s="35"/>
      <c r="W259" s="35"/>
      <c r="X259" s="35"/>
      <c r="Y259" s="35"/>
      <c r="Z259" s="35"/>
      <c r="AA259" s="35"/>
    </row>
    <row r="260" ht="14.25" customHeight="1">
      <c r="A260" s="221"/>
      <c r="B260" s="231"/>
      <c r="C260" s="108"/>
      <c r="D260" s="223"/>
      <c r="E260" s="117"/>
      <c r="F260" s="246"/>
      <c r="G260" s="523"/>
      <c r="H260" s="524"/>
      <c r="I260" s="523"/>
      <c r="J260" s="36">
        <f t="shared" si="1"/>
        <v>0</v>
      </c>
      <c r="K260" s="37">
        <f t="shared" si="2"/>
        <v>0</v>
      </c>
      <c r="L260" s="38">
        <f t="shared" si="3"/>
        <v>0</v>
      </c>
      <c r="M260" s="39">
        <f t="shared" si="4"/>
        <v>0</v>
      </c>
      <c r="N260" s="38">
        <f t="shared" si="5"/>
        <v>0</v>
      </c>
      <c r="O260" s="39">
        <f t="shared" si="6"/>
        <v>0</v>
      </c>
      <c r="P260" s="40"/>
      <c r="Q260" s="34"/>
      <c r="R260" s="35"/>
      <c r="S260" s="35"/>
      <c r="T260" s="35"/>
      <c r="U260" s="35"/>
      <c r="V260" s="35"/>
      <c r="W260" s="35"/>
      <c r="X260" s="35"/>
      <c r="Y260" s="35"/>
      <c r="Z260" s="35"/>
      <c r="AA260" s="35"/>
    </row>
    <row r="261" ht="14.25" customHeight="1">
      <c r="A261" s="221"/>
      <c r="B261" s="231"/>
      <c r="C261" s="108"/>
      <c r="D261" s="223"/>
      <c r="E261" s="117"/>
      <c r="F261" s="245"/>
      <c r="G261" s="523"/>
      <c r="H261" s="524"/>
      <c r="I261" s="523"/>
      <c r="J261" s="36">
        <f t="shared" si="1"/>
        <v>0</v>
      </c>
      <c r="K261" s="37">
        <f t="shared" si="2"/>
        <v>0</v>
      </c>
      <c r="L261" s="38">
        <f t="shared" si="3"/>
        <v>0</v>
      </c>
      <c r="M261" s="39">
        <f t="shared" si="4"/>
        <v>0</v>
      </c>
      <c r="N261" s="38">
        <f t="shared" si="5"/>
        <v>0</v>
      </c>
      <c r="O261" s="39">
        <f t="shared" si="6"/>
        <v>0</v>
      </c>
      <c r="P261" s="40"/>
      <c r="Q261" s="34"/>
      <c r="R261" s="35"/>
      <c r="S261" s="35"/>
      <c r="T261" s="35"/>
      <c r="U261" s="35"/>
      <c r="V261" s="35"/>
      <c r="W261" s="35"/>
      <c r="X261" s="35"/>
      <c r="Y261" s="35"/>
      <c r="Z261" s="35"/>
      <c r="AA261" s="35"/>
    </row>
    <row r="262" ht="14.25" customHeight="1">
      <c r="A262" s="221"/>
      <c r="B262" s="231"/>
      <c r="C262" s="110"/>
      <c r="D262" s="223"/>
      <c r="E262" s="117"/>
      <c r="F262" s="245"/>
      <c r="G262" s="523"/>
      <c r="H262" s="524"/>
      <c r="I262" s="523"/>
      <c r="J262" s="36">
        <f t="shared" si="1"/>
        <v>0</v>
      </c>
      <c r="K262" s="37">
        <f t="shared" si="2"/>
        <v>0</v>
      </c>
      <c r="L262" s="38">
        <f t="shared" si="3"/>
        <v>0</v>
      </c>
      <c r="M262" s="39">
        <f t="shared" si="4"/>
        <v>0</v>
      </c>
      <c r="N262" s="38">
        <f t="shared" si="5"/>
        <v>0</v>
      </c>
      <c r="O262" s="39">
        <f t="shared" si="6"/>
        <v>0</v>
      </c>
      <c r="P262" s="40"/>
      <c r="Q262" s="34"/>
      <c r="R262" s="35"/>
      <c r="S262" s="35"/>
      <c r="T262" s="35"/>
      <c r="U262" s="35"/>
      <c r="V262" s="35"/>
      <c r="W262" s="35"/>
      <c r="X262" s="35"/>
      <c r="Y262" s="35"/>
      <c r="Z262" s="35"/>
      <c r="AA262" s="35"/>
    </row>
    <row r="263" ht="14.25" customHeight="1">
      <c r="A263" s="221"/>
      <c r="B263" s="231"/>
      <c r="C263" s="115"/>
      <c r="D263" s="237"/>
      <c r="E263" s="117"/>
      <c r="F263" s="245"/>
      <c r="G263" s="523"/>
      <c r="H263" s="524"/>
      <c r="I263" s="523"/>
      <c r="J263" s="36">
        <f t="shared" si="1"/>
        <v>0</v>
      </c>
      <c r="K263" s="37">
        <f t="shared" si="2"/>
        <v>0</v>
      </c>
      <c r="L263" s="38">
        <f t="shared" si="3"/>
        <v>0</v>
      </c>
      <c r="M263" s="39">
        <f t="shared" si="4"/>
        <v>0</v>
      </c>
      <c r="N263" s="38">
        <f t="shared" si="5"/>
        <v>0</v>
      </c>
      <c r="O263" s="39">
        <f t="shared" si="6"/>
        <v>0</v>
      </c>
      <c r="P263" s="40"/>
      <c r="Q263" s="34"/>
      <c r="R263" s="35"/>
      <c r="S263" s="35"/>
      <c r="T263" s="35"/>
      <c r="U263" s="35"/>
      <c r="V263" s="35"/>
      <c r="W263" s="35"/>
      <c r="X263" s="35"/>
      <c r="Y263" s="35"/>
      <c r="Z263" s="35"/>
      <c r="AA263" s="35"/>
    </row>
    <row r="264" ht="14.25" customHeight="1">
      <c r="A264" s="221"/>
      <c r="B264" s="231"/>
      <c r="C264" s="115"/>
      <c r="D264" s="237"/>
      <c r="E264" s="117"/>
      <c r="F264" s="245"/>
      <c r="G264" s="523"/>
      <c r="H264" s="524"/>
      <c r="I264" s="523"/>
      <c r="J264" s="36">
        <f t="shared" si="1"/>
        <v>0</v>
      </c>
      <c r="K264" s="37">
        <f t="shared" si="2"/>
        <v>0</v>
      </c>
      <c r="L264" s="38">
        <f t="shared" si="3"/>
        <v>0</v>
      </c>
      <c r="M264" s="39">
        <f t="shared" si="4"/>
        <v>0</v>
      </c>
      <c r="N264" s="38">
        <f t="shared" si="5"/>
        <v>0</v>
      </c>
      <c r="O264" s="39">
        <f t="shared" si="6"/>
        <v>0</v>
      </c>
      <c r="P264" s="40"/>
      <c r="Q264" s="34"/>
      <c r="R264" s="35"/>
      <c r="S264" s="35"/>
      <c r="T264" s="35"/>
      <c r="U264" s="35"/>
      <c r="V264" s="35"/>
      <c r="W264" s="35"/>
      <c r="X264" s="35"/>
      <c r="Y264" s="35"/>
      <c r="Z264" s="35"/>
      <c r="AA264" s="35"/>
    </row>
    <row r="265" ht="14.25" customHeight="1">
      <c r="A265" s="221"/>
      <c r="B265" s="231"/>
      <c r="C265" s="115"/>
      <c r="D265" s="237"/>
      <c r="E265" s="117"/>
      <c r="F265" s="245"/>
      <c r="G265" s="523"/>
      <c r="H265" s="524"/>
      <c r="I265" s="523"/>
      <c r="J265" s="36">
        <f t="shared" si="1"/>
        <v>0</v>
      </c>
      <c r="K265" s="37">
        <f t="shared" si="2"/>
        <v>0</v>
      </c>
      <c r="L265" s="38">
        <f t="shared" si="3"/>
        <v>0</v>
      </c>
      <c r="M265" s="39">
        <f t="shared" si="4"/>
        <v>0</v>
      </c>
      <c r="N265" s="38">
        <f t="shared" si="5"/>
        <v>0</v>
      </c>
      <c r="O265" s="39">
        <f t="shared" si="6"/>
        <v>0</v>
      </c>
      <c r="P265" s="40"/>
      <c r="Q265" s="34"/>
      <c r="R265" s="35"/>
      <c r="S265" s="35"/>
      <c r="T265" s="35"/>
      <c r="U265" s="35"/>
      <c r="V265" s="35"/>
      <c r="W265" s="35"/>
      <c r="X265" s="35"/>
      <c r="Y265" s="35"/>
      <c r="Z265" s="35"/>
      <c r="AA265" s="35"/>
    </row>
    <row r="266" ht="14.25" customHeight="1">
      <c r="A266" s="221"/>
      <c r="B266" s="231"/>
      <c r="C266" s="115"/>
      <c r="D266" s="237"/>
      <c r="E266" s="117"/>
      <c r="F266" s="245"/>
      <c r="G266" s="523"/>
      <c r="H266" s="524"/>
      <c r="I266" s="523"/>
      <c r="J266" s="36">
        <f t="shared" si="1"/>
        <v>0</v>
      </c>
      <c r="K266" s="37">
        <f t="shared" si="2"/>
        <v>0</v>
      </c>
      <c r="L266" s="38">
        <f t="shared" si="3"/>
        <v>0</v>
      </c>
      <c r="M266" s="39">
        <f t="shared" si="4"/>
        <v>0</v>
      </c>
      <c r="N266" s="38">
        <f t="shared" si="5"/>
        <v>0</v>
      </c>
      <c r="O266" s="39">
        <f t="shared" si="6"/>
        <v>0</v>
      </c>
      <c r="P266" s="40"/>
      <c r="Q266" s="34"/>
      <c r="R266" s="35"/>
      <c r="S266" s="35"/>
      <c r="T266" s="35"/>
      <c r="U266" s="35"/>
      <c r="V266" s="35"/>
      <c r="W266" s="35"/>
      <c r="X266" s="35"/>
      <c r="Y266" s="35"/>
      <c r="Z266" s="35"/>
      <c r="AA266" s="35"/>
    </row>
    <row r="267" ht="14.25" customHeight="1">
      <c r="A267" s="221"/>
      <c r="B267" s="231"/>
      <c r="C267" s="108"/>
      <c r="D267" s="237"/>
      <c r="E267" s="117"/>
      <c r="F267" s="245"/>
      <c r="G267" s="523"/>
      <c r="H267" s="524"/>
      <c r="I267" s="523"/>
      <c r="J267" s="36">
        <f t="shared" si="1"/>
        <v>0</v>
      </c>
      <c r="K267" s="37">
        <f t="shared" si="2"/>
        <v>0</v>
      </c>
      <c r="L267" s="38">
        <f t="shared" si="3"/>
        <v>0</v>
      </c>
      <c r="M267" s="39">
        <f t="shared" si="4"/>
        <v>0</v>
      </c>
      <c r="N267" s="38">
        <f t="shared" si="5"/>
        <v>0</v>
      </c>
      <c r="O267" s="39">
        <f t="shared" si="6"/>
        <v>0</v>
      </c>
      <c r="P267" s="40"/>
      <c r="Q267" s="34"/>
      <c r="R267" s="35"/>
      <c r="S267" s="35"/>
      <c r="T267" s="35"/>
      <c r="U267" s="35"/>
      <c r="V267" s="35"/>
      <c r="W267" s="35"/>
      <c r="X267" s="35"/>
      <c r="Y267" s="35"/>
      <c r="Z267" s="35"/>
      <c r="AA267" s="35"/>
    </row>
    <row r="268" ht="14.25" customHeight="1">
      <c r="A268" s="221"/>
      <c r="B268" s="231"/>
      <c r="C268" s="116"/>
      <c r="D268" s="237"/>
      <c r="E268" s="117"/>
      <c r="F268" s="245"/>
      <c r="G268" s="523"/>
      <c r="H268" s="524"/>
      <c r="I268" s="523"/>
      <c r="J268" s="36">
        <f t="shared" si="1"/>
        <v>0</v>
      </c>
      <c r="K268" s="37">
        <f t="shared" si="2"/>
        <v>0</v>
      </c>
      <c r="L268" s="38">
        <f t="shared" si="3"/>
        <v>0</v>
      </c>
      <c r="M268" s="39">
        <f t="shared" si="4"/>
        <v>0</v>
      </c>
      <c r="N268" s="38">
        <f t="shared" si="5"/>
        <v>0</v>
      </c>
      <c r="O268" s="39">
        <f t="shared" si="6"/>
        <v>0</v>
      </c>
      <c r="P268" s="40"/>
      <c r="Q268" s="34"/>
      <c r="R268" s="35"/>
      <c r="S268" s="35"/>
      <c r="T268" s="35"/>
      <c r="U268" s="35"/>
      <c r="V268" s="35"/>
      <c r="W268" s="35"/>
      <c r="X268" s="35"/>
      <c r="Y268" s="35"/>
      <c r="Z268" s="35"/>
      <c r="AA268" s="35"/>
    </row>
    <row r="269" ht="14.25" customHeight="1">
      <c r="A269" s="221"/>
      <c r="B269" s="231"/>
      <c r="C269" s="126"/>
      <c r="D269" s="237"/>
      <c r="E269" s="117"/>
      <c r="F269" s="245"/>
      <c r="G269" s="523"/>
      <c r="H269" s="524"/>
      <c r="I269" s="523"/>
      <c r="J269" s="36">
        <f t="shared" si="1"/>
        <v>0</v>
      </c>
      <c r="K269" s="37">
        <f t="shared" si="2"/>
        <v>0</v>
      </c>
      <c r="L269" s="38">
        <f t="shared" si="3"/>
        <v>0</v>
      </c>
      <c r="M269" s="39">
        <f t="shared" si="4"/>
        <v>0</v>
      </c>
      <c r="N269" s="38">
        <f t="shared" si="5"/>
        <v>0</v>
      </c>
      <c r="O269" s="39">
        <f t="shared" si="6"/>
        <v>0</v>
      </c>
      <c r="P269" s="40"/>
      <c r="Q269" s="34"/>
      <c r="R269" s="35"/>
      <c r="S269" s="35"/>
      <c r="T269" s="35"/>
      <c r="U269" s="35"/>
      <c r="V269" s="35"/>
      <c r="W269" s="35"/>
      <c r="X269" s="35"/>
      <c r="Y269" s="35"/>
      <c r="Z269" s="35"/>
      <c r="AA269" s="35"/>
    </row>
    <row r="270" ht="14.25" customHeight="1">
      <c r="A270" s="221"/>
      <c r="B270" s="231"/>
      <c r="C270" s="115"/>
      <c r="D270" s="237"/>
      <c r="E270" s="117"/>
      <c r="F270" s="245"/>
      <c r="G270" s="523"/>
      <c r="H270" s="524"/>
      <c r="I270" s="523"/>
      <c r="J270" s="36">
        <f t="shared" si="1"/>
        <v>0</v>
      </c>
      <c r="K270" s="37">
        <f t="shared" si="2"/>
        <v>0</v>
      </c>
      <c r="L270" s="38">
        <f t="shared" si="3"/>
        <v>0</v>
      </c>
      <c r="M270" s="39">
        <f t="shared" si="4"/>
        <v>0</v>
      </c>
      <c r="N270" s="38">
        <f t="shared" si="5"/>
        <v>0</v>
      </c>
      <c r="O270" s="39">
        <f t="shared" si="6"/>
        <v>0</v>
      </c>
      <c r="P270" s="40"/>
      <c r="Q270" s="34"/>
      <c r="R270" s="35"/>
      <c r="S270" s="35"/>
      <c r="T270" s="35"/>
      <c r="U270" s="35"/>
      <c r="V270" s="35"/>
      <c r="W270" s="35"/>
      <c r="X270" s="35"/>
      <c r="Y270" s="35"/>
      <c r="Z270" s="35"/>
      <c r="AA270" s="35"/>
    </row>
    <row r="271" ht="14.25" customHeight="1">
      <c r="A271" s="221"/>
      <c r="B271" s="231"/>
      <c r="C271" s="116"/>
      <c r="D271" s="237"/>
      <c r="E271" s="117"/>
      <c r="F271" s="245"/>
      <c r="G271" s="523"/>
      <c r="H271" s="524"/>
      <c r="I271" s="523"/>
      <c r="J271" s="36">
        <f t="shared" si="1"/>
        <v>0</v>
      </c>
      <c r="K271" s="37">
        <f t="shared" si="2"/>
        <v>0</v>
      </c>
      <c r="L271" s="38">
        <f t="shared" si="3"/>
        <v>0</v>
      </c>
      <c r="M271" s="39">
        <f t="shared" si="4"/>
        <v>0</v>
      </c>
      <c r="N271" s="38">
        <f t="shared" si="5"/>
        <v>0</v>
      </c>
      <c r="O271" s="39">
        <f t="shared" si="6"/>
        <v>0</v>
      </c>
      <c r="P271" s="40"/>
      <c r="Q271" s="34"/>
      <c r="R271" s="35"/>
      <c r="S271" s="35"/>
      <c r="T271" s="35"/>
      <c r="U271" s="35"/>
      <c r="V271" s="35"/>
      <c r="W271" s="35"/>
      <c r="X271" s="35"/>
      <c r="Y271" s="35"/>
      <c r="Z271" s="35"/>
      <c r="AA271" s="35"/>
    </row>
    <row r="272" ht="14.25" customHeight="1">
      <c r="A272" s="221"/>
      <c r="B272" s="231"/>
      <c r="C272" s="116"/>
      <c r="D272" s="237"/>
      <c r="E272" s="117"/>
      <c r="F272" s="245"/>
      <c r="G272" s="523"/>
      <c r="H272" s="524"/>
      <c r="I272" s="523"/>
      <c r="J272" s="36">
        <f t="shared" si="1"/>
        <v>0</v>
      </c>
      <c r="K272" s="37">
        <f t="shared" si="2"/>
        <v>0</v>
      </c>
      <c r="L272" s="38">
        <f t="shared" si="3"/>
        <v>0</v>
      </c>
      <c r="M272" s="39">
        <f t="shared" si="4"/>
        <v>0</v>
      </c>
      <c r="N272" s="38">
        <f t="shared" si="5"/>
        <v>0</v>
      </c>
      <c r="O272" s="39">
        <f t="shared" si="6"/>
        <v>0</v>
      </c>
      <c r="P272" s="40"/>
      <c r="Q272" s="34"/>
      <c r="R272" s="35"/>
      <c r="S272" s="35"/>
      <c r="T272" s="35"/>
      <c r="U272" s="35"/>
      <c r="V272" s="35"/>
      <c r="W272" s="35"/>
      <c r="X272" s="35"/>
      <c r="Y272" s="35"/>
      <c r="Z272" s="35"/>
      <c r="AA272" s="35"/>
    </row>
    <row r="273" ht="14.25" customHeight="1">
      <c r="A273" s="221"/>
      <c r="B273" s="231"/>
      <c r="C273" s="116"/>
      <c r="D273" s="237"/>
      <c r="E273" s="117"/>
      <c r="F273" s="245"/>
      <c r="G273" s="523"/>
      <c r="H273" s="524"/>
      <c r="I273" s="523"/>
      <c r="J273" s="36">
        <f t="shared" si="1"/>
        <v>0</v>
      </c>
      <c r="K273" s="37">
        <f t="shared" si="2"/>
        <v>0</v>
      </c>
      <c r="L273" s="38">
        <f t="shared" si="3"/>
        <v>0</v>
      </c>
      <c r="M273" s="39">
        <f t="shared" si="4"/>
        <v>0</v>
      </c>
      <c r="N273" s="38">
        <f t="shared" si="5"/>
        <v>0</v>
      </c>
      <c r="O273" s="39">
        <f t="shared" si="6"/>
        <v>0</v>
      </c>
      <c r="P273" s="40"/>
      <c r="Q273" s="34"/>
      <c r="R273" s="35"/>
      <c r="S273" s="35"/>
      <c r="T273" s="35"/>
      <c r="U273" s="35"/>
      <c r="V273" s="35"/>
      <c r="W273" s="35"/>
      <c r="X273" s="35"/>
      <c r="Y273" s="35"/>
      <c r="Z273" s="35"/>
      <c r="AA273" s="35"/>
    </row>
    <row r="274" ht="14.25" customHeight="1">
      <c r="A274" s="221"/>
      <c r="B274" s="231"/>
      <c r="C274" s="116"/>
      <c r="D274" s="237"/>
      <c r="E274" s="117"/>
      <c r="F274" s="245"/>
      <c r="G274" s="523"/>
      <c r="H274" s="524"/>
      <c r="I274" s="523"/>
      <c r="J274" s="36">
        <f t="shared" si="1"/>
        <v>0</v>
      </c>
      <c r="K274" s="37">
        <f t="shared" si="2"/>
        <v>0</v>
      </c>
      <c r="L274" s="38">
        <f t="shared" si="3"/>
        <v>0</v>
      </c>
      <c r="M274" s="39">
        <f t="shared" si="4"/>
        <v>0</v>
      </c>
      <c r="N274" s="38">
        <f t="shared" si="5"/>
        <v>0</v>
      </c>
      <c r="O274" s="39">
        <f t="shared" si="6"/>
        <v>0</v>
      </c>
      <c r="P274" s="40"/>
      <c r="Q274" s="34"/>
      <c r="R274" s="35"/>
      <c r="S274" s="35"/>
      <c r="T274" s="35"/>
      <c r="U274" s="35"/>
      <c r="V274" s="35"/>
      <c r="W274" s="35"/>
      <c r="X274" s="35"/>
      <c r="Y274" s="35"/>
      <c r="Z274" s="35"/>
      <c r="AA274" s="35"/>
    </row>
    <row r="275" ht="14.25" customHeight="1">
      <c r="A275" s="221"/>
      <c r="B275" s="231"/>
      <c r="C275" s="116"/>
      <c r="D275" s="237"/>
      <c r="E275" s="117"/>
      <c r="F275" s="245"/>
      <c r="G275" s="523"/>
      <c r="H275" s="524"/>
      <c r="I275" s="523"/>
      <c r="J275" s="36">
        <f t="shared" si="1"/>
        <v>0</v>
      </c>
      <c r="K275" s="37">
        <f t="shared" si="2"/>
        <v>0</v>
      </c>
      <c r="L275" s="38">
        <f t="shared" si="3"/>
        <v>0</v>
      </c>
      <c r="M275" s="39">
        <f t="shared" si="4"/>
        <v>0</v>
      </c>
      <c r="N275" s="38">
        <f t="shared" si="5"/>
        <v>0</v>
      </c>
      <c r="O275" s="39">
        <f t="shared" si="6"/>
        <v>0</v>
      </c>
      <c r="P275" s="40"/>
      <c r="Q275" s="34"/>
      <c r="R275" s="35"/>
      <c r="S275" s="35"/>
      <c r="T275" s="35"/>
      <c r="U275" s="35"/>
      <c r="V275" s="35"/>
      <c r="W275" s="35"/>
      <c r="X275" s="35"/>
      <c r="Y275" s="35"/>
      <c r="Z275" s="35"/>
      <c r="AA275" s="35"/>
    </row>
    <row r="276" ht="14.25" customHeight="1">
      <c r="A276" s="221"/>
      <c r="B276" s="231"/>
      <c r="C276" s="116"/>
      <c r="D276" s="237"/>
      <c r="E276" s="117"/>
      <c r="F276" s="245"/>
      <c r="G276" s="523"/>
      <c r="H276" s="524"/>
      <c r="I276" s="523"/>
      <c r="J276" s="36">
        <f t="shared" si="1"/>
        <v>0</v>
      </c>
      <c r="K276" s="37">
        <f t="shared" si="2"/>
        <v>0</v>
      </c>
      <c r="L276" s="38">
        <f t="shared" si="3"/>
        <v>0</v>
      </c>
      <c r="M276" s="39">
        <f t="shared" si="4"/>
        <v>0</v>
      </c>
      <c r="N276" s="38">
        <f t="shared" si="5"/>
        <v>0</v>
      </c>
      <c r="O276" s="39">
        <f t="shared" si="6"/>
        <v>0</v>
      </c>
      <c r="P276" s="40"/>
      <c r="Q276" s="34"/>
      <c r="R276" s="35"/>
      <c r="S276" s="35"/>
      <c r="T276" s="35"/>
      <c r="U276" s="35"/>
      <c r="V276" s="35"/>
      <c r="W276" s="35"/>
      <c r="X276" s="35"/>
      <c r="Y276" s="35"/>
      <c r="Z276" s="35"/>
      <c r="AA276" s="35"/>
    </row>
    <row r="277" ht="14.25" customHeight="1">
      <c r="A277" s="221"/>
      <c r="B277" s="231"/>
      <c r="C277" s="116"/>
      <c r="D277" s="100"/>
      <c r="E277" s="117"/>
      <c r="F277" s="245"/>
      <c r="G277" s="523"/>
      <c r="H277" s="524"/>
      <c r="I277" s="523"/>
      <c r="J277" s="36">
        <f t="shared" si="1"/>
        <v>0</v>
      </c>
      <c r="K277" s="37">
        <f t="shared" si="2"/>
        <v>0</v>
      </c>
      <c r="L277" s="38">
        <f t="shared" si="3"/>
        <v>0</v>
      </c>
      <c r="M277" s="39">
        <f t="shared" si="4"/>
        <v>0</v>
      </c>
      <c r="N277" s="38">
        <f t="shared" si="5"/>
        <v>0</v>
      </c>
      <c r="O277" s="39">
        <f t="shared" si="6"/>
        <v>0</v>
      </c>
      <c r="P277" s="40"/>
      <c r="Q277" s="34"/>
      <c r="R277" s="35"/>
      <c r="S277" s="35"/>
      <c r="T277" s="35"/>
      <c r="U277" s="35"/>
      <c r="V277" s="35"/>
      <c r="W277" s="35"/>
      <c r="X277" s="35"/>
      <c r="Y277" s="35"/>
      <c r="Z277" s="35"/>
      <c r="AA277" s="35"/>
    </row>
    <row r="278" ht="14.25" customHeight="1">
      <c r="A278" s="221"/>
      <c r="B278" s="231"/>
      <c r="C278" s="116"/>
      <c r="D278" s="100"/>
      <c r="E278" s="117"/>
      <c r="F278" s="245"/>
      <c r="G278" s="523"/>
      <c r="H278" s="524"/>
      <c r="I278" s="523"/>
      <c r="J278" s="36">
        <f t="shared" si="1"/>
        <v>0</v>
      </c>
      <c r="K278" s="37">
        <f t="shared" si="2"/>
        <v>0</v>
      </c>
      <c r="L278" s="38">
        <f t="shared" si="3"/>
        <v>0</v>
      </c>
      <c r="M278" s="39">
        <f t="shared" si="4"/>
        <v>0</v>
      </c>
      <c r="N278" s="38">
        <f t="shared" si="5"/>
        <v>0</v>
      </c>
      <c r="O278" s="39">
        <f t="shared" si="6"/>
        <v>0</v>
      </c>
      <c r="P278" s="40"/>
      <c r="Q278" s="34"/>
      <c r="R278" s="35"/>
      <c r="S278" s="35"/>
      <c r="T278" s="35"/>
      <c r="U278" s="35"/>
      <c r="V278" s="35"/>
      <c r="W278" s="35"/>
      <c r="X278" s="35"/>
      <c r="Y278" s="35"/>
      <c r="Z278" s="35"/>
      <c r="AA278" s="35"/>
    </row>
    <row r="279" ht="14.25" customHeight="1">
      <c r="A279" s="221"/>
      <c r="B279" s="231"/>
      <c r="C279" s="116"/>
      <c r="D279" s="100"/>
      <c r="E279" s="117"/>
      <c r="F279" s="245"/>
      <c r="G279" s="523"/>
      <c r="H279" s="524"/>
      <c r="I279" s="523"/>
      <c r="J279" s="36">
        <f t="shared" si="1"/>
        <v>0</v>
      </c>
      <c r="K279" s="37">
        <f t="shared" si="2"/>
        <v>0</v>
      </c>
      <c r="L279" s="38">
        <f t="shared" si="3"/>
        <v>0</v>
      </c>
      <c r="M279" s="39">
        <f t="shared" si="4"/>
        <v>0</v>
      </c>
      <c r="N279" s="38">
        <f t="shared" si="5"/>
        <v>0</v>
      </c>
      <c r="O279" s="39">
        <f t="shared" si="6"/>
        <v>0</v>
      </c>
      <c r="P279" s="40"/>
      <c r="Q279" s="34"/>
      <c r="R279" s="35"/>
      <c r="S279" s="35"/>
      <c r="T279" s="35"/>
      <c r="U279" s="35"/>
      <c r="V279" s="35"/>
      <c r="W279" s="35"/>
      <c r="X279" s="35"/>
      <c r="Y279" s="35"/>
      <c r="Z279" s="35"/>
      <c r="AA279" s="35"/>
    </row>
    <row r="280" ht="14.25" customHeight="1">
      <c r="A280" s="221"/>
      <c r="B280" s="231"/>
      <c r="C280" s="116"/>
      <c r="D280" s="100"/>
      <c r="E280" s="117"/>
      <c r="F280" s="245"/>
      <c r="G280" s="523"/>
      <c r="H280" s="524"/>
      <c r="I280" s="523"/>
      <c r="J280" s="36">
        <f t="shared" si="1"/>
        <v>0</v>
      </c>
      <c r="K280" s="37">
        <f t="shared" si="2"/>
        <v>0</v>
      </c>
      <c r="L280" s="38">
        <f t="shared" si="3"/>
        <v>0</v>
      </c>
      <c r="M280" s="39">
        <f t="shared" si="4"/>
        <v>0</v>
      </c>
      <c r="N280" s="38">
        <f t="shared" si="5"/>
        <v>0</v>
      </c>
      <c r="O280" s="39">
        <f t="shared" si="6"/>
        <v>0</v>
      </c>
      <c r="P280" s="40"/>
      <c r="Q280" s="34"/>
      <c r="R280" s="35"/>
      <c r="S280" s="35"/>
      <c r="T280" s="35"/>
      <c r="U280" s="35"/>
      <c r="V280" s="35"/>
      <c r="W280" s="35"/>
      <c r="X280" s="35"/>
      <c r="Y280" s="35"/>
      <c r="Z280" s="35"/>
      <c r="AA280" s="35"/>
    </row>
    <row r="281" ht="14.25" customHeight="1">
      <c r="A281" s="221"/>
      <c r="B281" s="231"/>
      <c r="C281" s="116"/>
      <c r="D281" s="100"/>
      <c r="E281" s="117"/>
      <c r="F281" s="245"/>
      <c r="G281" s="523"/>
      <c r="H281" s="524"/>
      <c r="I281" s="523"/>
      <c r="J281" s="36">
        <f t="shared" si="1"/>
        <v>0</v>
      </c>
      <c r="K281" s="37">
        <f t="shared" si="2"/>
        <v>0</v>
      </c>
      <c r="L281" s="38">
        <f t="shared" si="3"/>
        <v>0</v>
      </c>
      <c r="M281" s="39">
        <f t="shared" si="4"/>
        <v>0</v>
      </c>
      <c r="N281" s="38">
        <f t="shared" si="5"/>
        <v>0</v>
      </c>
      <c r="O281" s="39">
        <f t="shared" si="6"/>
        <v>0</v>
      </c>
      <c r="P281" s="40"/>
      <c r="Q281" s="34"/>
      <c r="R281" s="35"/>
      <c r="S281" s="35"/>
      <c r="T281" s="35"/>
      <c r="U281" s="35"/>
      <c r="V281" s="35"/>
      <c r="W281" s="35"/>
      <c r="X281" s="35"/>
      <c r="Y281" s="35"/>
      <c r="Z281" s="35"/>
      <c r="AA281" s="35"/>
    </row>
    <row r="282" ht="14.25" customHeight="1">
      <c r="A282" s="221"/>
      <c r="B282" s="231"/>
      <c r="C282" s="108"/>
      <c r="D282" s="100"/>
      <c r="E282" s="117"/>
      <c r="F282" s="245"/>
      <c r="G282" s="523"/>
      <c r="H282" s="524"/>
      <c r="I282" s="523"/>
      <c r="J282" s="36">
        <f t="shared" si="1"/>
        <v>0</v>
      </c>
      <c r="K282" s="37">
        <f t="shared" si="2"/>
        <v>0</v>
      </c>
      <c r="L282" s="38">
        <f t="shared" si="3"/>
        <v>0</v>
      </c>
      <c r="M282" s="39">
        <f t="shared" si="4"/>
        <v>0</v>
      </c>
      <c r="N282" s="38">
        <f t="shared" si="5"/>
        <v>0</v>
      </c>
      <c r="O282" s="39">
        <f t="shared" si="6"/>
        <v>0</v>
      </c>
      <c r="P282" s="40"/>
      <c r="Q282" s="34"/>
      <c r="R282" s="35"/>
      <c r="S282" s="35"/>
      <c r="T282" s="35"/>
      <c r="U282" s="35"/>
      <c r="V282" s="35"/>
      <c r="W282" s="35"/>
      <c r="X282" s="35"/>
      <c r="Y282" s="35"/>
      <c r="Z282" s="35"/>
      <c r="AA282" s="35"/>
    </row>
    <row r="283" ht="14.25" customHeight="1">
      <c r="A283" s="221"/>
      <c r="B283" s="231"/>
      <c r="C283" s="108"/>
      <c r="D283" s="85"/>
      <c r="E283" s="117"/>
      <c r="F283" s="245"/>
      <c r="G283" s="523"/>
      <c r="H283" s="524"/>
      <c r="I283" s="523"/>
      <c r="J283" s="36">
        <f t="shared" si="1"/>
        <v>0</v>
      </c>
      <c r="K283" s="37">
        <f t="shared" si="2"/>
        <v>0</v>
      </c>
      <c r="L283" s="38">
        <f t="shared" si="3"/>
        <v>0</v>
      </c>
      <c r="M283" s="39">
        <f t="shared" si="4"/>
        <v>0</v>
      </c>
      <c r="N283" s="38">
        <f t="shared" si="5"/>
        <v>0</v>
      </c>
      <c r="O283" s="39">
        <f t="shared" si="6"/>
        <v>0</v>
      </c>
      <c r="P283" s="40"/>
      <c r="Q283" s="34"/>
      <c r="R283" s="35"/>
      <c r="S283" s="35"/>
      <c r="T283" s="35"/>
      <c r="U283" s="35"/>
      <c r="V283" s="35"/>
      <c r="W283" s="35"/>
      <c r="X283" s="35"/>
      <c r="Y283" s="35"/>
      <c r="Z283" s="35"/>
      <c r="AA283" s="35"/>
    </row>
    <row r="284" ht="14.25" customHeight="1">
      <c r="A284" s="221"/>
      <c r="B284" s="231"/>
      <c r="C284" s="108"/>
      <c r="D284" s="85"/>
      <c r="E284" s="117"/>
      <c r="F284" s="245"/>
      <c r="G284" s="523"/>
      <c r="H284" s="524"/>
      <c r="I284" s="523"/>
      <c r="J284" s="36">
        <f t="shared" si="1"/>
        <v>0</v>
      </c>
      <c r="K284" s="37">
        <f t="shared" si="2"/>
        <v>0</v>
      </c>
      <c r="L284" s="38">
        <f t="shared" si="3"/>
        <v>0</v>
      </c>
      <c r="M284" s="39">
        <f t="shared" si="4"/>
        <v>0</v>
      </c>
      <c r="N284" s="38">
        <f t="shared" si="5"/>
        <v>0</v>
      </c>
      <c r="O284" s="39">
        <f t="shared" si="6"/>
        <v>0</v>
      </c>
      <c r="P284" s="40"/>
      <c r="Q284" s="34"/>
      <c r="R284" s="35"/>
      <c r="S284" s="35"/>
      <c r="T284" s="35"/>
      <c r="U284" s="35"/>
      <c r="V284" s="35"/>
      <c r="W284" s="35"/>
      <c r="X284" s="35"/>
      <c r="Y284" s="35"/>
      <c r="Z284" s="35"/>
      <c r="AA284" s="35"/>
    </row>
    <row r="285" ht="14.25" customHeight="1">
      <c r="A285" s="221"/>
      <c r="B285" s="231"/>
      <c r="C285" s="108"/>
      <c r="D285" s="100"/>
      <c r="E285" s="117"/>
      <c r="F285" s="245"/>
      <c r="G285" s="523"/>
      <c r="H285" s="524"/>
      <c r="I285" s="523"/>
      <c r="J285" s="36">
        <f t="shared" si="1"/>
        <v>0</v>
      </c>
      <c r="K285" s="37">
        <f t="shared" si="2"/>
        <v>0</v>
      </c>
      <c r="L285" s="38">
        <f t="shared" si="3"/>
        <v>0</v>
      </c>
      <c r="M285" s="39">
        <f t="shared" si="4"/>
        <v>0</v>
      </c>
      <c r="N285" s="38">
        <f t="shared" si="5"/>
        <v>0</v>
      </c>
      <c r="O285" s="39">
        <f t="shared" si="6"/>
        <v>0</v>
      </c>
      <c r="P285" s="40"/>
      <c r="Q285" s="34"/>
      <c r="R285" s="35"/>
      <c r="S285" s="35"/>
      <c r="T285" s="35"/>
      <c r="U285" s="35"/>
      <c r="V285" s="35"/>
      <c r="W285" s="35"/>
      <c r="X285" s="35"/>
      <c r="Y285" s="35"/>
      <c r="Z285" s="35"/>
      <c r="AA285" s="35"/>
    </row>
    <row r="286" ht="14.25" customHeight="1">
      <c r="A286" s="221"/>
      <c r="B286" s="231"/>
      <c r="C286" s="116"/>
      <c r="D286" s="100"/>
      <c r="E286" s="117"/>
      <c r="F286" s="245"/>
      <c r="G286" s="523"/>
      <c r="H286" s="524"/>
      <c r="I286" s="523"/>
      <c r="J286" s="36">
        <f t="shared" si="1"/>
        <v>0</v>
      </c>
      <c r="K286" s="37">
        <f t="shared" si="2"/>
        <v>0</v>
      </c>
      <c r="L286" s="38">
        <f t="shared" si="3"/>
        <v>0</v>
      </c>
      <c r="M286" s="39">
        <f t="shared" si="4"/>
        <v>0</v>
      </c>
      <c r="N286" s="38">
        <f t="shared" si="5"/>
        <v>0</v>
      </c>
      <c r="O286" s="39">
        <f t="shared" si="6"/>
        <v>0</v>
      </c>
      <c r="P286" s="40"/>
      <c r="Q286" s="34"/>
      <c r="R286" s="35"/>
      <c r="S286" s="35"/>
      <c r="T286" s="35"/>
      <c r="U286" s="35"/>
      <c r="V286" s="35"/>
      <c r="W286" s="35"/>
      <c r="X286" s="35"/>
      <c r="Y286" s="35"/>
      <c r="Z286" s="35"/>
      <c r="AA286" s="35"/>
    </row>
    <row r="287" ht="14.25" customHeight="1">
      <c r="A287" s="221"/>
      <c r="B287" s="231"/>
      <c r="C287" s="116"/>
      <c r="D287" s="100"/>
      <c r="E287" s="117"/>
      <c r="F287" s="245"/>
      <c r="G287" s="523"/>
      <c r="H287" s="524"/>
      <c r="I287" s="523"/>
      <c r="J287" s="36">
        <f t="shared" si="1"/>
        <v>0</v>
      </c>
      <c r="K287" s="37">
        <f t="shared" si="2"/>
        <v>0</v>
      </c>
      <c r="L287" s="38">
        <f t="shared" si="3"/>
        <v>0</v>
      </c>
      <c r="M287" s="39">
        <f t="shared" si="4"/>
        <v>0</v>
      </c>
      <c r="N287" s="38">
        <f t="shared" si="5"/>
        <v>0</v>
      </c>
      <c r="O287" s="39">
        <f t="shared" si="6"/>
        <v>0</v>
      </c>
      <c r="P287" s="40"/>
      <c r="Q287" s="34"/>
      <c r="R287" s="35"/>
      <c r="S287" s="35"/>
      <c r="T287" s="35"/>
      <c r="U287" s="35"/>
      <c r="V287" s="35"/>
      <c r="W287" s="35"/>
      <c r="X287" s="35"/>
      <c r="Y287" s="35"/>
      <c r="Z287" s="35"/>
      <c r="AA287" s="35"/>
    </row>
    <row r="288" ht="14.25" customHeight="1">
      <c r="A288" s="221"/>
      <c r="B288" s="231"/>
      <c r="C288" s="116"/>
      <c r="D288" s="100"/>
      <c r="E288" s="117"/>
      <c r="F288" s="245"/>
      <c r="G288" s="523"/>
      <c r="H288" s="524"/>
      <c r="I288" s="523"/>
      <c r="J288" s="36">
        <f t="shared" si="1"/>
        <v>0</v>
      </c>
      <c r="K288" s="37">
        <f t="shared" si="2"/>
        <v>0</v>
      </c>
      <c r="L288" s="38">
        <f t="shared" si="3"/>
        <v>0</v>
      </c>
      <c r="M288" s="39">
        <f t="shared" si="4"/>
        <v>0</v>
      </c>
      <c r="N288" s="38">
        <f t="shared" si="5"/>
        <v>0</v>
      </c>
      <c r="O288" s="39">
        <f t="shared" si="6"/>
        <v>0</v>
      </c>
      <c r="P288" s="40"/>
      <c r="Q288" s="34"/>
      <c r="R288" s="35"/>
      <c r="S288" s="35"/>
      <c r="T288" s="35"/>
      <c r="U288" s="35"/>
      <c r="V288" s="35"/>
      <c r="W288" s="35"/>
      <c r="X288" s="35"/>
      <c r="Y288" s="35"/>
      <c r="Z288" s="35"/>
      <c r="AA288" s="35"/>
    </row>
    <row r="289" ht="14.25" customHeight="1">
      <c r="A289" s="221"/>
      <c r="B289" s="231"/>
      <c r="C289" s="116"/>
      <c r="D289" s="100"/>
      <c r="E289" s="117"/>
      <c r="F289" s="245"/>
      <c r="G289" s="523"/>
      <c r="H289" s="524"/>
      <c r="I289" s="523"/>
      <c r="J289" s="36">
        <f t="shared" si="1"/>
        <v>0</v>
      </c>
      <c r="K289" s="37">
        <f t="shared" si="2"/>
        <v>0</v>
      </c>
      <c r="L289" s="38">
        <f t="shared" si="3"/>
        <v>0</v>
      </c>
      <c r="M289" s="39">
        <f t="shared" si="4"/>
        <v>0</v>
      </c>
      <c r="N289" s="38">
        <f t="shared" si="5"/>
        <v>0</v>
      </c>
      <c r="O289" s="39">
        <f t="shared" si="6"/>
        <v>0</v>
      </c>
      <c r="P289" s="40"/>
      <c r="Q289" s="34"/>
      <c r="R289" s="35"/>
      <c r="S289" s="35"/>
      <c r="T289" s="35"/>
      <c r="U289" s="35"/>
      <c r="V289" s="35"/>
      <c r="W289" s="35"/>
      <c r="X289" s="35"/>
      <c r="Y289" s="35"/>
      <c r="Z289" s="35"/>
      <c r="AA289" s="35"/>
    </row>
    <row r="290" ht="14.25" customHeight="1">
      <c r="A290" s="221"/>
      <c r="B290" s="231"/>
      <c r="C290" s="116"/>
      <c r="D290" s="100"/>
      <c r="E290" s="117"/>
      <c r="F290" s="245"/>
      <c r="G290" s="523"/>
      <c r="H290" s="524"/>
      <c r="I290" s="523"/>
      <c r="J290" s="36">
        <f t="shared" si="1"/>
        <v>0</v>
      </c>
      <c r="K290" s="37">
        <f t="shared" si="2"/>
        <v>0</v>
      </c>
      <c r="L290" s="38">
        <f t="shared" si="3"/>
        <v>0</v>
      </c>
      <c r="M290" s="39">
        <f t="shared" si="4"/>
        <v>0</v>
      </c>
      <c r="N290" s="38">
        <f t="shared" si="5"/>
        <v>0</v>
      </c>
      <c r="O290" s="39">
        <f t="shared" si="6"/>
        <v>0</v>
      </c>
      <c r="P290" s="40"/>
      <c r="Q290" s="34"/>
      <c r="R290" s="35"/>
      <c r="S290" s="35"/>
      <c r="T290" s="35"/>
      <c r="U290" s="35"/>
      <c r="V290" s="35"/>
      <c r="W290" s="35"/>
      <c r="X290" s="35"/>
      <c r="Y290" s="35"/>
      <c r="Z290" s="35"/>
      <c r="AA290" s="35"/>
    </row>
    <row r="291" ht="14.25" customHeight="1">
      <c r="A291" s="221"/>
      <c r="B291" s="231"/>
      <c r="C291" s="116"/>
      <c r="D291" s="100"/>
      <c r="E291" s="117"/>
      <c r="F291" s="245"/>
      <c r="G291" s="523"/>
      <c r="H291" s="524"/>
      <c r="I291" s="523"/>
      <c r="J291" s="36">
        <f t="shared" si="1"/>
        <v>0</v>
      </c>
      <c r="K291" s="37">
        <f t="shared" si="2"/>
        <v>0</v>
      </c>
      <c r="L291" s="38">
        <f t="shared" si="3"/>
        <v>0</v>
      </c>
      <c r="M291" s="39">
        <f t="shared" si="4"/>
        <v>0</v>
      </c>
      <c r="N291" s="38">
        <f t="shared" si="5"/>
        <v>0</v>
      </c>
      <c r="O291" s="39">
        <f t="shared" si="6"/>
        <v>0</v>
      </c>
      <c r="P291" s="40"/>
      <c r="Q291" s="34"/>
      <c r="R291" s="35"/>
      <c r="S291" s="35"/>
      <c r="T291" s="35"/>
      <c r="U291" s="35"/>
      <c r="V291" s="35"/>
      <c r="W291" s="35"/>
      <c r="X291" s="35"/>
      <c r="Y291" s="35"/>
      <c r="Z291" s="35"/>
      <c r="AA291" s="35"/>
    </row>
    <row r="292" ht="14.25" customHeight="1">
      <c r="A292" s="221"/>
      <c r="B292" s="231"/>
      <c r="C292" s="116"/>
      <c r="D292" s="100"/>
      <c r="E292" s="117"/>
      <c r="F292" s="245"/>
      <c r="G292" s="523"/>
      <c r="H292" s="524"/>
      <c r="I292" s="523"/>
      <c r="J292" s="36">
        <f t="shared" si="1"/>
        <v>0</v>
      </c>
      <c r="K292" s="37">
        <f t="shared" si="2"/>
        <v>0</v>
      </c>
      <c r="L292" s="38">
        <f t="shared" si="3"/>
        <v>0</v>
      </c>
      <c r="M292" s="39">
        <f t="shared" si="4"/>
        <v>0</v>
      </c>
      <c r="N292" s="38">
        <f t="shared" si="5"/>
        <v>0</v>
      </c>
      <c r="O292" s="39">
        <f t="shared" si="6"/>
        <v>0</v>
      </c>
      <c r="P292" s="40"/>
      <c r="Q292" s="34"/>
      <c r="R292" s="35"/>
      <c r="S292" s="35"/>
      <c r="T292" s="35"/>
      <c r="U292" s="35"/>
      <c r="V292" s="35"/>
      <c r="W292" s="35"/>
      <c r="X292" s="35"/>
      <c r="Y292" s="35"/>
      <c r="Z292" s="35"/>
      <c r="AA292" s="35"/>
    </row>
    <row r="293" ht="14.25" customHeight="1">
      <c r="A293" s="221"/>
      <c r="B293" s="231"/>
      <c r="C293" s="116"/>
      <c r="D293" s="100"/>
      <c r="E293" s="117"/>
      <c r="F293" s="245"/>
      <c r="G293" s="523"/>
      <c r="H293" s="524"/>
      <c r="I293" s="523"/>
      <c r="J293" s="36">
        <f t="shared" si="1"/>
        <v>0</v>
      </c>
      <c r="K293" s="37">
        <f t="shared" si="2"/>
        <v>0</v>
      </c>
      <c r="L293" s="38">
        <f t="shared" si="3"/>
        <v>0</v>
      </c>
      <c r="M293" s="39">
        <f t="shared" si="4"/>
        <v>0</v>
      </c>
      <c r="N293" s="38">
        <f t="shared" si="5"/>
        <v>0</v>
      </c>
      <c r="O293" s="39">
        <f t="shared" si="6"/>
        <v>0</v>
      </c>
      <c r="P293" s="40"/>
      <c r="Q293" s="34"/>
      <c r="R293" s="35"/>
      <c r="S293" s="35"/>
      <c r="T293" s="35"/>
      <c r="U293" s="35"/>
      <c r="V293" s="35"/>
      <c r="W293" s="35"/>
      <c r="X293" s="35"/>
      <c r="Y293" s="35"/>
      <c r="Z293" s="35"/>
      <c r="AA293" s="35"/>
    </row>
    <row r="294" ht="14.25" customHeight="1">
      <c r="A294" s="221"/>
      <c r="B294" s="231"/>
      <c r="C294" s="108"/>
      <c r="D294" s="85"/>
      <c r="E294" s="117"/>
      <c r="F294" s="245"/>
      <c r="G294" s="523"/>
      <c r="H294" s="524"/>
      <c r="I294" s="523"/>
      <c r="J294" s="36">
        <f t="shared" si="1"/>
        <v>0</v>
      </c>
      <c r="K294" s="37">
        <f t="shared" si="2"/>
        <v>0</v>
      </c>
      <c r="L294" s="38">
        <f t="shared" si="3"/>
        <v>0</v>
      </c>
      <c r="M294" s="39">
        <f t="shared" si="4"/>
        <v>0</v>
      </c>
      <c r="N294" s="38">
        <f t="shared" si="5"/>
        <v>0</v>
      </c>
      <c r="O294" s="39">
        <f t="shared" si="6"/>
        <v>0</v>
      </c>
      <c r="P294" s="40"/>
      <c r="Q294" s="34"/>
      <c r="R294" s="35"/>
      <c r="S294" s="35"/>
      <c r="T294" s="35"/>
      <c r="U294" s="35"/>
      <c r="V294" s="35"/>
      <c r="W294" s="35"/>
      <c r="X294" s="35"/>
      <c r="Y294" s="35"/>
      <c r="Z294" s="35"/>
      <c r="AA294" s="35"/>
    </row>
    <row r="295" ht="14.25" customHeight="1">
      <c r="A295" s="221"/>
      <c r="B295" s="231"/>
      <c r="C295" s="108"/>
      <c r="D295" s="85"/>
      <c r="E295" s="117"/>
      <c r="F295" s="245"/>
      <c r="G295" s="523"/>
      <c r="H295" s="524"/>
      <c r="I295" s="523"/>
      <c r="J295" s="36">
        <f t="shared" si="1"/>
        <v>0</v>
      </c>
      <c r="K295" s="37">
        <f t="shared" si="2"/>
        <v>0</v>
      </c>
      <c r="L295" s="38">
        <f t="shared" si="3"/>
        <v>0</v>
      </c>
      <c r="M295" s="39">
        <f t="shared" si="4"/>
        <v>0</v>
      </c>
      <c r="N295" s="38">
        <f t="shared" si="5"/>
        <v>0</v>
      </c>
      <c r="O295" s="39">
        <f t="shared" si="6"/>
        <v>0</v>
      </c>
      <c r="P295" s="40"/>
      <c r="Q295" s="34"/>
      <c r="R295" s="35"/>
      <c r="S295" s="35"/>
      <c r="T295" s="35"/>
      <c r="U295" s="35"/>
      <c r="V295" s="35"/>
      <c r="W295" s="35"/>
      <c r="X295" s="35"/>
      <c r="Y295" s="35"/>
      <c r="Z295" s="35"/>
      <c r="AA295" s="35"/>
    </row>
    <row r="296" ht="14.25" customHeight="1">
      <c r="A296" s="221"/>
      <c r="B296" s="231"/>
      <c r="C296" s="115"/>
      <c r="D296" s="100"/>
      <c r="E296" s="117"/>
      <c r="F296" s="245"/>
      <c r="G296" s="523"/>
      <c r="H296" s="524"/>
      <c r="I296" s="523"/>
      <c r="J296" s="36">
        <f t="shared" si="1"/>
        <v>0</v>
      </c>
      <c r="K296" s="37">
        <f t="shared" si="2"/>
        <v>0</v>
      </c>
      <c r="L296" s="38">
        <f t="shared" si="3"/>
        <v>0</v>
      </c>
      <c r="M296" s="39">
        <f t="shared" si="4"/>
        <v>0</v>
      </c>
      <c r="N296" s="38">
        <f t="shared" si="5"/>
        <v>0</v>
      </c>
      <c r="O296" s="39">
        <f t="shared" si="6"/>
        <v>0</v>
      </c>
      <c r="P296" s="40"/>
      <c r="Q296" s="34"/>
      <c r="R296" s="35"/>
      <c r="S296" s="35"/>
      <c r="T296" s="35"/>
      <c r="U296" s="35"/>
      <c r="V296" s="35"/>
      <c r="W296" s="35"/>
      <c r="X296" s="35"/>
      <c r="Y296" s="35"/>
      <c r="Z296" s="35"/>
      <c r="AA296" s="35"/>
    </row>
    <row r="297" ht="14.25" customHeight="1">
      <c r="A297" s="221"/>
      <c r="B297" s="231"/>
      <c r="C297" s="116"/>
      <c r="D297" s="100"/>
      <c r="E297" s="117"/>
      <c r="F297" s="245"/>
      <c r="G297" s="523"/>
      <c r="H297" s="524"/>
      <c r="I297" s="523"/>
      <c r="J297" s="36">
        <f t="shared" si="1"/>
        <v>0</v>
      </c>
      <c r="K297" s="37">
        <f t="shared" si="2"/>
        <v>0</v>
      </c>
      <c r="L297" s="38">
        <f t="shared" si="3"/>
        <v>0</v>
      </c>
      <c r="M297" s="39">
        <f t="shared" si="4"/>
        <v>0</v>
      </c>
      <c r="N297" s="38">
        <f t="shared" si="5"/>
        <v>0</v>
      </c>
      <c r="O297" s="39">
        <f t="shared" si="6"/>
        <v>0</v>
      </c>
      <c r="P297" s="40"/>
      <c r="Q297" s="34"/>
      <c r="R297" s="35"/>
      <c r="S297" s="35"/>
      <c r="T297" s="35"/>
      <c r="U297" s="35"/>
      <c r="V297" s="35"/>
      <c r="W297" s="35"/>
      <c r="X297" s="35"/>
      <c r="Y297" s="35"/>
      <c r="Z297" s="35"/>
      <c r="AA297" s="35"/>
    </row>
    <row r="298" ht="14.25" customHeight="1">
      <c r="A298" s="221"/>
      <c r="B298" s="231"/>
      <c r="C298" s="116"/>
      <c r="D298" s="100"/>
      <c r="E298" s="117"/>
      <c r="F298" s="245"/>
      <c r="G298" s="523"/>
      <c r="H298" s="524"/>
      <c r="I298" s="523"/>
      <c r="J298" s="36">
        <f t="shared" si="1"/>
        <v>0</v>
      </c>
      <c r="K298" s="37">
        <f t="shared" si="2"/>
        <v>0</v>
      </c>
      <c r="L298" s="38">
        <f t="shared" si="3"/>
        <v>0</v>
      </c>
      <c r="M298" s="39">
        <f t="shared" si="4"/>
        <v>0</v>
      </c>
      <c r="N298" s="38">
        <f t="shared" si="5"/>
        <v>0</v>
      </c>
      <c r="O298" s="39">
        <f t="shared" si="6"/>
        <v>0</v>
      </c>
      <c r="P298" s="40"/>
      <c r="Q298" s="34"/>
      <c r="R298" s="35"/>
      <c r="S298" s="35"/>
      <c r="T298" s="35"/>
      <c r="U298" s="35"/>
      <c r="V298" s="35"/>
      <c r="W298" s="35"/>
      <c r="X298" s="35"/>
      <c r="Y298" s="35"/>
      <c r="Z298" s="35"/>
      <c r="AA298" s="35"/>
    </row>
    <row r="299" ht="14.25" customHeight="1">
      <c r="A299" s="221"/>
      <c r="B299" s="231"/>
      <c r="C299" s="115"/>
      <c r="D299" s="100"/>
      <c r="E299" s="117"/>
      <c r="F299" s="245"/>
      <c r="G299" s="523"/>
      <c r="H299" s="524"/>
      <c r="I299" s="523"/>
      <c r="J299" s="36">
        <f t="shared" si="1"/>
        <v>0</v>
      </c>
      <c r="K299" s="37">
        <f t="shared" si="2"/>
        <v>0</v>
      </c>
      <c r="L299" s="38">
        <f t="shared" si="3"/>
        <v>0</v>
      </c>
      <c r="M299" s="39">
        <f t="shared" si="4"/>
        <v>0</v>
      </c>
      <c r="N299" s="38">
        <f t="shared" si="5"/>
        <v>0</v>
      </c>
      <c r="O299" s="39">
        <f t="shared" si="6"/>
        <v>0</v>
      </c>
      <c r="P299" s="40"/>
      <c r="Q299" s="34"/>
      <c r="R299" s="35"/>
      <c r="S299" s="35"/>
      <c r="T299" s="35"/>
      <c r="U299" s="35"/>
      <c r="V299" s="35"/>
      <c r="W299" s="35"/>
      <c r="X299" s="35"/>
      <c r="Y299" s="35"/>
      <c r="Z299" s="35"/>
      <c r="AA299" s="35"/>
    </row>
    <row r="300" ht="14.25" customHeight="1">
      <c r="A300" s="221"/>
      <c r="B300" s="231"/>
      <c r="C300" s="115"/>
      <c r="D300" s="100"/>
      <c r="E300" s="117"/>
      <c r="F300" s="245"/>
      <c r="G300" s="523"/>
      <c r="H300" s="524"/>
      <c r="I300" s="523"/>
      <c r="J300" s="36">
        <f t="shared" si="1"/>
        <v>0</v>
      </c>
      <c r="K300" s="37">
        <f t="shared" si="2"/>
        <v>0</v>
      </c>
      <c r="L300" s="38">
        <f t="shared" si="3"/>
        <v>0</v>
      </c>
      <c r="M300" s="39">
        <f t="shared" si="4"/>
        <v>0</v>
      </c>
      <c r="N300" s="38">
        <f t="shared" si="5"/>
        <v>0</v>
      </c>
      <c r="O300" s="39">
        <f t="shared" si="6"/>
        <v>0</v>
      </c>
      <c r="P300" s="40"/>
      <c r="Q300" s="34"/>
      <c r="R300" s="35"/>
      <c r="S300" s="35"/>
      <c r="T300" s="35"/>
      <c r="U300" s="35"/>
      <c r="V300" s="35"/>
      <c r="W300" s="35"/>
      <c r="X300" s="35"/>
      <c r="Y300" s="35"/>
      <c r="Z300" s="35"/>
      <c r="AA300" s="35"/>
    </row>
    <row r="301" ht="14.25" customHeight="1">
      <c r="A301" s="221"/>
      <c r="B301" s="231"/>
      <c r="C301" s="115"/>
      <c r="D301" s="85"/>
      <c r="E301" s="117"/>
      <c r="F301" s="245"/>
      <c r="G301" s="523"/>
      <c r="H301" s="524"/>
      <c r="I301" s="523"/>
      <c r="J301" s="36">
        <f t="shared" si="1"/>
        <v>0</v>
      </c>
      <c r="K301" s="37">
        <f t="shared" si="2"/>
        <v>0</v>
      </c>
      <c r="L301" s="38">
        <f t="shared" si="3"/>
        <v>0</v>
      </c>
      <c r="M301" s="39">
        <f t="shared" si="4"/>
        <v>0</v>
      </c>
      <c r="N301" s="38">
        <f t="shared" si="5"/>
        <v>0</v>
      </c>
      <c r="O301" s="39">
        <f t="shared" si="6"/>
        <v>0</v>
      </c>
      <c r="P301" s="40"/>
      <c r="Q301" s="34"/>
      <c r="R301" s="35"/>
      <c r="S301" s="35"/>
      <c r="T301" s="35"/>
      <c r="U301" s="35"/>
      <c r="V301" s="35"/>
      <c r="W301" s="35"/>
      <c r="X301" s="35"/>
      <c r="Y301" s="35"/>
      <c r="Z301" s="35"/>
      <c r="AA301" s="35"/>
    </row>
    <row r="302" ht="14.25" customHeight="1">
      <c r="A302" s="221"/>
      <c r="B302" s="231"/>
      <c r="C302" s="129"/>
      <c r="D302" s="89"/>
      <c r="E302" s="117"/>
      <c r="F302" s="245"/>
      <c r="G302" s="523"/>
      <c r="H302" s="524"/>
      <c r="I302" s="523"/>
      <c r="J302" s="36">
        <f t="shared" si="1"/>
        <v>0</v>
      </c>
      <c r="K302" s="37">
        <f t="shared" si="2"/>
        <v>0</v>
      </c>
      <c r="L302" s="38">
        <f t="shared" si="3"/>
        <v>0</v>
      </c>
      <c r="M302" s="39">
        <f t="shared" si="4"/>
        <v>0</v>
      </c>
      <c r="N302" s="38">
        <f t="shared" si="5"/>
        <v>0</v>
      </c>
      <c r="O302" s="39">
        <f t="shared" si="6"/>
        <v>0</v>
      </c>
      <c r="P302" s="40"/>
      <c r="Q302" s="34"/>
      <c r="R302" s="35"/>
      <c r="S302" s="35"/>
      <c r="T302" s="35"/>
      <c r="U302" s="35"/>
      <c r="V302" s="35"/>
      <c r="W302" s="35"/>
      <c r="X302" s="35"/>
      <c r="Y302" s="35"/>
      <c r="Z302" s="35"/>
      <c r="AA302" s="35"/>
    </row>
    <row r="303" ht="14.25" customHeight="1">
      <c r="A303" s="221"/>
      <c r="B303" s="231"/>
      <c r="C303" s="110"/>
      <c r="D303" s="102"/>
      <c r="E303" s="117"/>
      <c r="F303" s="245"/>
      <c r="G303" s="523"/>
      <c r="H303" s="524"/>
      <c r="I303" s="523"/>
      <c r="J303" s="36">
        <f t="shared" si="1"/>
        <v>0</v>
      </c>
      <c r="K303" s="37">
        <f t="shared" si="2"/>
        <v>0</v>
      </c>
      <c r="L303" s="38">
        <f t="shared" si="3"/>
        <v>0</v>
      </c>
      <c r="M303" s="39">
        <f t="shared" si="4"/>
        <v>0</v>
      </c>
      <c r="N303" s="38">
        <f t="shared" si="5"/>
        <v>0</v>
      </c>
      <c r="O303" s="39">
        <f t="shared" si="6"/>
        <v>0</v>
      </c>
      <c r="P303" s="40"/>
      <c r="Q303" s="34"/>
      <c r="R303" s="35"/>
      <c r="S303" s="35"/>
      <c r="T303" s="35"/>
      <c r="U303" s="35"/>
      <c r="V303" s="35"/>
      <c r="W303" s="35"/>
      <c r="X303" s="35"/>
      <c r="Y303" s="35"/>
      <c r="Z303" s="35"/>
      <c r="AA303" s="35"/>
    </row>
    <row r="304" ht="14.25" customHeight="1">
      <c r="A304" s="221"/>
      <c r="B304" s="231"/>
      <c r="C304" s="116"/>
      <c r="D304" s="85"/>
      <c r="E304" s="117"/>
      <c r="F304" s="245"/>
      <c r="G304" s="523"/>
      <c r="H304" s="524"/>
      <c r="I304" s="523"/>
      <c r="J304" s="36">
        <f t="shared" si="1"/>
        <v>0</v>
      </c>
      <c r="K304" s="37">
        <f t="shared" si="2"/>
        <v>0</v>
      </c>
      <c r="L304" s="38">
        <f t="shared" si="3"/>
        <v>0</v>
      </c>
      <c r="M304" s="39">
        <f t="shared" si="4"/>
        <v>0</v>
      </c>
      <c r="N304" s="38">
        <f t="shared" si="5"/>
        <v>0</v>
      </c>
      <c r="O304" s="39">
        <f t="shared" si="6"/>
        <v>0</v>
      </c>
      <c r="P304" s="40"/>
      <c r="Q304" s="34"/>
      <c r="R304" s="35"/>
      <c r="S304" s="35"/>
      <c r="T304" s="35"/>
      <c r="U304" s="35"/>
      <c r="V304" s="35"/>
      <c r="W304" s="35"/>
      <c r="X304" s="35"/>
      <c r="Y304" s="35"/>
      <c r="Z304" s="35"/>
      <c r="AA304" s="35"/>
    </row>
    <row r="305" ht="14.25" customHeight="1">
      <c r="A305" s="221"/>
      <c r="B305" s="231"/>
      <c r="C305" s="116"/>
      <c r="D305" s="85"/>
      <c r="E305" s="117"/>
      <c r="F305" s="245"/>
      <c r="G305" s="523"/>
      <c r="H305" s="524"/>
      <c r="I305" s="523"/>
      <c r="J305" s="36">
        <f t="shared" si="1"/>
        <v>0</v>
      </c>
      <c r="K305" s="37">
        <f t="shared" si="2"/>
        <v>0</v>
      </c>
      <c r="L305" s="38">
        <f t="shared" si="3"/>
        <v>0</v>
      </c>
      <c r="M305" s="39">
        <f t="shared" si="4"/>
        <v>0</v>
      </c>
      <c r="N305" s="38">
        <f t="shared" si="5"/>
        <v>0</v>
      </c>
      <c r="O305" s="39">
        <f t="shared" si="6"/>
        <v>0</v>
      </c>
      <c r="P305" s="40"/>
      <c r="Q305" s="34"/>
      <c r="R305" s="35"/>
      <c r="S305" s="35"/>
      <c r="T305" s="35"/>
      <c r="U305" s="35"/>
      <c r="V305" s="35"/>
      <c r="W305" s="35"/>
      <c r="X305" s="35"/>
      <c r="Y305" s="35"/>
      <c r="Z305" s="35"/>
      <c r="AA305" s="35"/>
    </row>
    <row r="306" ht="14.25" customHeight="1">
      <c r="A306" s="221"/>
      <c r="B306" s="231"/>
      <c r="C306" s="116"/>
      <c r="D306" s="85"/>
      <c r="E306" s="117"/>
      <c r="F306" s="245"/>
      <c r="G306" s="523"/>
      <c r="H306" s="524"/>
      <c r="I306" s="523"/>
      <c r="J306" s="36">
        <f t="shared" si="1"/>
        <v>0</v>
      </c>
      <c r="K306" s="37">
        <f t="shared" si="2"/>
        <v>0</v>
      </c>
      <c r="L306" s="38">
        <f t="shared" si="3"/>
        <v>0</v>
      </c>
      <c r="M306" s="39">
        <f t="shared" si="4"/>
        <v>0</v>
      </c>
      <c r="N306" s="38">
        <f t="shared" si="5"/>
        <v>0</v>
      </c>
      <c r="O306" s="39">
        <f t="shared" si="6"/>
        <v>0</v>
      </c>
      <c r="P306" s="40"/>
      <c r="Q306" s="34"/>
      <c r="R306" s="35"/>
      <c r="S306" s="35"/>
      <c r="T306" s="35"/>
      <c r="U306" s="35"/>
      <c r="V306" s="35"/>
      <c r="W306" s="35"/>
      <c r="X306" s="35"/>
      <c r="Y306" s="35"/>
      <c r="Z306" s="35"/>
      <c r="AA306" s="35"/>
    </row>
    <row r="307" ht="14.25" customHeight="1">
      <c r="A307" s="221"/>
      <c r="B307" s="231"/>
      <c r="C307" s="116"/>
      <c r="D307" s="85"/>
      <c r="E307" s="117"/>
      <c r="F307" s="245"/>
      <c r="G307" s="523"/>
      <c r="H307" s="524"/>
      <c r="I307" s="523"/>
      <c r="J307" s="36">
        <f t="shared" si="1"/>
        <v>0</v>
      </c>
      <c r="K307" s="37">
        <f t="shared" si="2"/>
        <v>0</v>
      </c>
      <c r="L307" s="38">
        <f t="shared" si="3"/>
        <v>0</v>
      </c>
      <c r="M307" s="39">
        <f t="shared" si="4"/>
        <v>0</v>
      </c>
      <c r="N307" s="38">
        <f t="shared" si="5"/>
        <v>0</v>
      </c>
      <c r="O307" s="39">
        <f t="shared" si="6"/>
        <v>0</v>
      </c>
      <c r="P307" s="40"/>
      <c r="Q307" s="34"/>
      <c r="R307" s="35"/>
      <c r="S307" s="35"/>
      <c r="T307" s="35"/>
      <c r="U307" s="35"/>
      <c r="V307" s="35"/>
      <c r="W307" s="35"/>
      <c r="X307" s="35"/>
      <c r="Y307" s="35"/>
      <c r="Z307" s="35"/>
      <c r="AA307" s="35"/>
    </row>
    <row r="308" ht="14.25" customHeight="1">
      <c r="A308" s="221"/>
      <c r="B308" s="231"/>
      <c r="C308" s="110"/>
      <c r="D308" s="122"/>
      <c r="E308" s="117"/>
      <c r="F308" s="245"/>
      <c r="G308" s="523"/>
      <c r="H308" s="524"/>
      <c r="I308" s="523"/>
      <c r="J308" s="36">
        <f t="shared" si="1"/>
        <v>0</v>
      </c>
      <c r="K308" s="37">
        <f t="shared" si="2"/>
        <v>0</v>
      </c>
      <c r="L308" s="38">
        <f t="shared" si="3"/>
        <v>0</v>
      </c>
      <c r="M308" s="39">
        <f t="shared" si="4"/>
        <v>0</v>
      </c>
      <c r="N308" s="38">
        <f t="shared" si="5"/>
        <v>0</v>
      </c>
      <c r="O308" s="39">
        <f t="shared" si="6"/>
        <v>0</v>
      </c>
      <c r="P308" s="40"/>
      <c r="Q308" s="34"/>
      <c r="R308" s="35"/>
      <c r="S308" s="35"/>
      <c r="T308" s="35"/>
      <c r="U308" s="35"/>
      <c r="V308" s="35"/>
      <c r="W308" s="35"/>
      <c r="X308" s="35"/>
      <c r="Y308" s="35"/>
      <c r="Z308" s="35"/>
      <c r="AA308" s="35"/>
    </row>
    <row r="309" ht="14.25" customHeight="1">
      <c r="A309" s="221"/>
      <c r="B309" s="231"/>
      <c r="C309" s="110"/>
      <c r="D309" s="122"/>
      <c r="E309" s="117"/>
      <c r="F309" s="245"/>
      <c r="G309" s="523"/>
      <c r="H309" s="524"/>
      <c r="I309" s="523"/>
      <c r="J309" s="36">
        <f t="shared" si="1"/>
        <v>0</v>
      </c>
      <c r="K309" s="37">
        <f t="shared" si="2"/>
        <v>0</v>
      </c>
      <c r="L309" s="38">
        <f t="shared" si="3"/>
        <v>0</v>
      </c>
      <c r="M309" s="39">
        <f t="shared" si="4"/>
        <v>0</v>
      </c>
      <c r="N309" s="38">
        <f t="shared" si="5"/>
        <v>0</v>
      </c>
      <c r="O309" s="39">
        <f t="shared" si="6"/>
        <v>0</v>
      </c>
      <c r="P309" s="40"/>
      <c r="Q309" s="34"/>
      <c r="R309" s="35"/>
      <c r="S309" s="35"/>
      <c r="T309" s="35"/>
      <c r="U309" s="35"/>
      <c r="V309" s="35"/>
      <c r="W309" s="35"/>
      <c r="X309" s="35"/>
      <c r="Y309" s="35"/>
      <c r="Z309" s="35"/>
      <c r="AA309" s="35"/>
    </row>
    <row r="310" ht="14.25" customHeight="1">
      <c r="A310" s="221"/>
      <c r="B310" s="231"/>
      <c r="C310" s="110"/>
      <c r="D310" s="102"/>
      <c r="E310" s="117"/>
      <c r="F310" s="245"/>
      <c r="G310" s="523"/>
      <c r="H310" s="524"/>
      <c r="I310" s="523"/>
      <c r="J310" s="36">
        <f t="shared" si="1"/>
        <v>0</v>
      </c>
      <c r="K310" s="37">
        <f t="shared" si="2"/>
        <v>0</v>
      </c>
      <c r="L310" s="38">
        <f t="shared" si="3"/>
        <v>0</v>
      </c>
      <c r="M310" s="39">
        <f t="shared" si="4"/>
        <v>0</v>
      </c>
      <c r="N310" s="38">
        <f t="shared" si="5"/>
        <v>0</v>
      </c>
      <c r="O310" s="39">
        <f t="shared" si="6"/>
        <v>0</v>
      </c>
      <c r="P310" s="40"/>
      <c r="Q310" s="34"/>
      <c r="R310" s="35"/>
      <c r="S310" s="35"/>
      <c r="T310" s="35"/>
      <c r="U310" s="35"/>
      <c r="V310" s="35"/>
      <c r="W310" s="35"/>
      <c r="X310" s="35"/>
      <c r="Y310" s="35"/>
      <c r="Z310" s="35"/>
      <c r="AA310" s="35"/>
    </row>
    <row r="311" ht="14.25" customHeight="1">
      <c r="A311" s="221"/>
      <c r="B311" s="231"/>
      <c r="C311" s="108"/>
      <c r="D311" s="85"/>
      <c r="E311" s="117"/>
      <c r="F311" s="245"/>
      <c r="G311" s="523"/>
      <c r="H311" s="524"/>
      <c r="I311" s="523"/>
      <c r="J311" s="36">
        <f t="shared" si="1"/>
        <v>0</v>
      </c>
      <c r="K311" s="37">
        <f t="shared" si="2"/>
        <v>0</v>
      </c>
      <c r="L311" s="38">
        <f t="shared" si="3"/>
        <v>0</v>
      </c>
      <c r="M311" s="39">
        <f t="shared" si="4"/>
        <v>0</v>
      </c>
      <c r="N311" s="38">
        <f t="shared" si="5"/>
        <v>0</v>
      </c>
      <c r="O311" s="39">
        <f t="shared" si="6"/>
        <v>0</v>
      </c>
      <c r="P311" s="40"/>
      <c r="Q311" s="34"/>
      <c r="R311" s="35"/>
      <c r="S311" s="35"/>
      <c r="T311" s="35"/>
      <c r="U311" s="35"/>
      <c r="V311" s="35"/>
      <c r="W311" s="35"/>
      <c r="X311" s="35"/>
      <c r="Y311" s="35"/>
      <c r="Z311" s="35"/>
      <c r="AA311" s="35"/>
    </row>
    <row r="312" ht="14.25" customHeight="1">
      <c r="A312" s="221"/>
      <c r="B312" s="231"/>
      <c r="C312" s="108"/>
      <c r="D312" s="85"/>
      <c r="E312" s="117"/>
      <c r="F312" s="245"/>
      <c r="G312" s="523"/>
      <c r="H312" s="524"/>
      <c r="I312" s="523"/>
      <c r="J312" s="36">
        <f t="shared" si="1"/>
        <v>0</v>
      </c>
      <c r="K312" s="37">
        <f t="shared" si="2"/>
        <v>0</v>
      </c>
      <c r="L312" s="38">
        <f t="shared" si="3"/>
        <v>0</v>
      </c>
      <c r="M312" s="39">
        <f t="shared" si="4"/>
        <v>0</v>
      </c>
      <c r="N312" s="38">
        <f t="shared" si="5"/>
        <v>0</v>
      </c>
      <c r="O312" s="39">
        <f t="shared" si="6"/>
        <v>0</v>
      </c>
      <c r="P312" s="40"/>
      <c r="Q312" s="34"/>
      <c r="R312" s="35"/>
      <c r="S312" s="35"/>
      <c r="T312" s="35"/>
      <c r="U312" s="35"/>
      <c r="V312" s="35"/>
      <c r="W312" s="35"/>
      <c r="X312" s="35"/>
      <c r="Y312" s="35"/>
      <c r="Z312" s="35"/>
      <c r="AA312" s="35"/>
    </row>
    <row r="313" ht="14.25" customHeight="1">
      <c r="A313" s="221"/>
      <c r="B313" s="231"/>
      <c r="C313" s="108"/>
      <c r="D313" s="85"/>
      <c r="E313" s="117"/>
      <c r="F313" s="245"/>
      <c r="G313" s="523"/>
      <c r="H313" s="524"/>
      <c r="I313" s="523"/>
      <c r="J313" s="36">
        <f t="shared" si="1"/>
        <v>0</v>
      </c>
      <c r="K313" s="37">
        <f t="shared" si="2"/>
        <v>0</v>
      </c>
      <c r="L313" s="38">
        <f t="shared" si="3"/>
        <v>0</v>
      </c>
      <c r="M313" s="39">
        <f t="shared" si="4"/>
        <v>0</v>
      </c>
      <c r="N313" s="38">
        <f t="shared" si="5"/>
        <v>0</v>
      </c>
      <c r="O313" s="39">
        <f t="shared" si="6"/>
        <v>0</v>
      </c>
      <c r="P313" s="40"/>
      <c r="Q313" s="34"/>
      <c r="R313" s="35"/>
      <c r="S313" s="35"/>
      <c r="T313" s="35"/>
      <c r="U313" s="35"/>
      <c r="V313" s="35"/>
      <c r="W313" s="35"/>
      <c r="X313" s="35"/>
      <c r="Y313" s="35"/>
      <c r="Z313" s="35"/>
      <c r="AA313" s="35"/>
    </row>
    <row r="314" ht="14.25" customHeight="1">
      <c r="A314" s="221"/>
      <c r="B314" s="231"/>
      <c r="C314" s="108"/>
      <c r="D314" s="85"/>
      <c r="E314" s="117"/>
      <c r="F314" s="245"/>
      <c r="G314" s="523"/>
      <c r="H314" s="524"/>
      <c r="I314" s="523"/>
      <c r="J314" s="36">
        <f t="shared" si="1"/>
        <v>0</v>
      </c>
      <c r="K314" s="37">
        <f t="shared" si="2"/>
        <v>0</v>
      </c>
      <c r="L314" s="38">
        <f t="shared" si="3"/>
        <v>0</v>
      </c>
      <c r="M314" s="39">
        <f t="shared" si="4"/>
        <v>0</v>
      </c>
      <c r="N314" s="38">
        <f t="shared" si="5"/>
        <v>0</v>
      </c>
      <c r="O314" s="39">
        <f t="shared" si="6"/>
        <v>0</v>
      </c>
      <c r="P314" s="40"/>
      <c r="Q314" s="34"/>
      <c r="R314" s="35"/>
      <c r="S314" s="35"/>
      <c r="T314" s="35"/>
      <c r="U314" s="35"/>
      <c r="V314" s="35"/>
      <c r="W314" s="35"/>
      <c r="X314" s="35"/>
      <c r="Y314" s="35"/>
      <c r="Z314" s="35"/>
      <c r="AA314" s="35"/>
    </row>
    <row r="315" ht="14.25" customHeight="1">
      <c r="A315" s="221"/>
      <c r="B315" s="231"/>
      <c r="C315" s="108"/>
      <c r="D315" s="85"/>
      <c r="E315" s="117"/>
      <c r="F315" s="245"/>
      <c r="G315" s="523"/>
      <c r="H315" s="524"/>
      <c r="I315" s="523"/>
      <c r="J315" s="36">
        <f t="shared" si="1"/>
        <v>0</v>
      </c>
      <c r="K315" s="37">
        <f t="shared" si="2"/>
        <v>0</v>
      </c>
      <c r="L315" s="38">
        <f t="shared" si="3"/>
        <v>0</v>
      </c>
      <c r="M315" s="39">
        <f t="shared" si="4"/>
        <v>0</v>
      </c>
      <c r="N315" s="38">
        <f t="shared" si="5"/>
        <v>0</v>
      </c>
      <c r="O315" s="39">
        <f t="shared" si="6"/>
        <v>0</v>
      </c>
      <c r="P315" s="40"/>
      <c r="Q315" s="34"/>
      <c r="R315" s="35"/>
      <c r="S315" s="35"/>
      <c r="T315" s="35"/>
      <c r="U315" s="35"/>
      <c r="V315" s="35"/>
      <c r="W315" s="35"/>
      <c r="X315" s="35"/>
      <c r="Y315" s="35"/>
      <c r="Z315" s="35"/>
      <c r="AA315" s="35"/>
    </row>
    <row r="316" ht="14.25" customHeight="1">
      <c r="A316" s="221"/>
      <c r="B316" s="231"/>
      <c r="C316" s="108"/>
      <c r="D316" s="85"/>
      <c r="E316" s="117"/>
      <c r="F316" s="245"/>
      <c r="G316" s="523"/>
      <c r="H316" s="524"/>
      <c r="I316" s="523"/>
      <c r="J316" s="36">
        <f t="shared" si="1"/>
        <v>0</v>
      </c>
      <c r="K316" s="37">
        <f t="shared" si="2"/>
        <v>0</v>
      </c>
      <c r="L316" s="38">
        <f t="shared" si="3"/>
        <v>0</v>
      </c>
      <c r="M316" s="39">
        <f t="shared" si="4"/>
        <v>0</v>
      </c>
      <c r="N316" s="38">
        <f t="shared" si="5"/>
        <v>0</v>
      </c>
      <c r="O316" s="39">
        <f t="shared" si="6"/>
        <v>0</v>
      </c>
      <c r="P316" s="40"/>
      <c r="Q316" s="34"/>
      <c r="R316" s="35"/>
      <c r="S316" s="35"/>
      <c r="T316" s="35"/>
      <c r="U316" s="35"/>
      <c r="V316" s="35"/>
      <c r="W316" s="35"/>
      <c r="X316" s="35"/>
      <c r="Y316" s="35"/>
      <c r="Z316" s="35"/>
      <c r="AA316" s="35"/>
    </row>
    <row r="317" ht="14.25" customHeight="1">
      <c r="A317" s="221"/>
      <c r="B317" s="231"/>
      <c r="C317" s="108"/>
      <c r="D317" s="85"/>
      <c r="E317" s="117"/>
      <c r="F317" s="245"/>
      <c r="G317" s="523"/>
      <c r="H317" s="524"/>
      <c r="I317" s="523"/>
      <c r="J317" s="36">
        <f t="shared" si="1"/>
        <v>0</v>
      </c>
      <c r="K317" s="37">
        <f t="shared" si="2"/>
        <v>0</v>
      </c>
      <c r="L317" s="38">
        <f t="shared" si="3"/>
        <v>0</v>
      </c>
      <c r="M317" s="39">
        <f t="shared" si="4"/>
        <v>0</v>
      </c>
      <c r="N317" s="38">
        <f t="shared" si="5"/>
        <v>0</v>
      </c>
      <c r="O317" s="39">
        <f t="shared" si="6"/>
        <v>0</v>
      </c>
      <c r="P317" s="40"/>
      <c r="Q317" s="34"/>
      <c r="R317" s="35"/>
      <c r="S317" s="35"/>
      <c r="T317" s="35"/>
      <c r="U317" s="35"/>
      <c r="V317" s="35"/>
      <c r="W317" s="35"/>
      <c r="X317" s="35"/>
      <c r="Y317" s="35"/>
      <c r="Z317" s="35"/>
      <c r="AA317" s="35"/>
    </row>
    <row r="318" ht="14.25" customHeight="1">
      <c r="A318" s="221"/>
      <c r="B318" s="231"/>
      <c r="C318" s="129"/>
      <c r="D318" s="85"/>
      <c r="E318" s="117"/>
      <c r="F318" s="245"/>
      <c r="G318" s="523"/>
      <c r="H318" s="524"/>
      <c r="I318" s="523"/>
      <c r="J318" s="36">
        <f t="shared" si="1"/>
        <v>0</v>
      </c>
      <c r="K318" s="37">
        <f t="shared" si="2"/>
        <v>0</v>
      </c>
      <c r="L318" s="38">
        <f t="shared" si="3"/>
        <v>0</v>
      </c>
      <c r="M318" s="39">
        <f t="shared" si="4"/>
        <v>0</v>
      </c>
      <c r="N318" s="38">
        <f t="shared" si="5"/>
        <v>0</v>
      </c>
      <c r="O318" s="39">
        <f t="shared" si="6"/>
        <v>0</v>
      </c>
      <c r="P318" s="40"/>
      <c r="Q318" s="34"/>
      <c r="R318" s="35"/>
      <c r="S318" s="35"/>
      <c r="T318" s="35"/>
      <c r="U318" s="35"/>
      <c r="V318" s="35"/>
      <c r="W318" s="35"/>
      <c r="X318" s="35"/>
      <c r="Y318" s="35"/>
      <c r="Z318" s="35"/>
      <c r="AA318" s="35"/>
    </row>
    <row r="319" ht="14.25" customHeight="1">
      <c r="A319" s="221"/>
      <c r="B319" s="231"/>
      <c r="C319" s="108"/>
      <c r="D319" s="102"/>
      <c r="E319" s="117"/>
      <c r="F319" s="245"/>
      <c r="G319" s="523"/>
      <c r="H319" s="524"/>
      <c r="I319" s="523"/>
      <c r="J319" s="36">
        <f t="shared" si="1"/>
        <v>0</v>
      </c>
      <c r="K319" s="37">
        <f t="shared" si="2"/>
        <v>0</v>
      </c>
      <c r="L319" s="38">
        <f t="shared" si="3"/>
        <v>0</v>
      </c>
      <c r="M319" s="39">
        <f t="shared" si="4"/>
        <v>0</v>
      </c>
      <c r="N319" s="38">
        <f t="shared" si="5"/>
        <v>0</v>
      </c>
      <c r="O319" s="39">
        <f t="shared" si="6"/>
        <v>0</v>
      </c>
      <c r="P319" s="40"/>
      <c r="Q319" s="34"/>
      <c r="R319" s="35"/>
      <c r="S319" s="35"/>
      <c r="T319" s="35"/>
      <c r="U319" s="35"/>
      <c r="V319" s="35"/>
      <c r="W319" s="35"/>
      <c r="X319" s="35"/>
      <c r="Y319" s="35"/>
      <c r="Z319" s="35"/>
      <c r="AA319" s="35"/>
    </row>
    <row r="320" ht="14.25" customHeight="1">
      <c r="A320" s="221"/>
      <c r="B320" s="231"/>
      <c r="C320" s="108"/>
      <c r="D320" s="90"/>
      <c r="E320" s="117"/>
      <c r="F320" s="245"/>
      <c r="G320" s="523"/>
      <c r="H320" s="524"/>
      <c r="I320" s="523"/>
      <c r="J320" s="36">
        <f t="shared" si="1"/>
        <v>0</v>
      </c>
      <c r="K320" s="37">
        <f t="shared" si="2"/>
        <v>0</v>
      </c>
      <c r="L320" s="38">
        <f t="shared" si="3"/>
        <v>0</v>
      </c>
      <c r="M320" s="39">
        <f t="shared" si="4"/>
        <v>0</v>
      </c>
      <c r="N320" s="38">
        <f t="shared" si="5"/>
        <v>0</v>
      </c>
      <c r="O320" s="39">
        <f t="shared" si="6"/>
        <v>0</v>
      </c>
      <c r="P320" s="40"/>
      <c r="Q320" s="34"/>
      <c r="R320" s="35"/>
      <c r="S320" s="35"/>
      <c r="T320" s="35"/>
      <c r="U320" s="35"/>
      <c r="V320" s="35"/>
      <c r="W320" s="35"/>
      <c r="X320" s="35"/>
      <c r="Y320" s="35"/>
      <c r="Z320" s="35"/>
      <c r="AA320" s="35"/>
    </row>
    <row r="321" ht="14.25" customHeight="1">
      <c r="A321" s="221"/>
      <c r="B321" s="231"/>
      <c r="C321" s="132"/>
      <c r="D321" s="42"/>
      <c r="E321" s="117"/>
      <c r="F321" s="248"/>
      <c r="G321" s="523"/>
      <c r="H321" s="524"/>
      <c r="I321" s="523"/>
      <c r="J321" s="36">
        <f t="shared" si="1"/>
        <v>0</v>
      </c>
      <c r="K321" s="37">
        <f t="shared" si="2"/>
        <v>0</v>
      </c>
      <c r="L321" s="38">
        <f t="shared" si="3"/>
        <v>0</v>
      </c>
      <c r="M321" s="39">
        <f t="shared" si="4"/>
        <v>0</v>
      </c>
      <c r="N321" s="38">
        <f t="shared" si="5"/>
        <v>0</v>
      </c>
      <c r="O321" s="39">
        <f t="shared" si="6"/>
        <v>0</v>
      </c>
      <c r="P321" s="40"/>
      <c r="Q321" s="34"/>
      <c r="R321" s="35"/>
      <c r="S321" s="35"/>
      <c r="T321" s="35"/>
      <c r="U321" s="35"/>
      <c r="V321" s="35"/>
      <c r="W321" s="35"/>
      <c r="X321" s="35"/>
      <c r="Y321" s="35"/>
      <c r="Z321" s="35"/>
      <c r="AA321" s="35"/>
    </row>
    <row r="322" ht="14.25" customHeight="1">
      <c r="A322" s="221"/>
      <c r="B322" s="231"/>
      <c r="C322" s="115"/>
      <c r="D322" s="100"/>
      <c r="E322" s="117"/>
      <c r="F322" s="249"/>
      <c r="G322" s="523"/>
      <c r="H322" s="524"/>
      <c r="I322" s="523"/>
      <c r="J322" s="36">
        <f t="shared" si="1"/>
        <v>0</v>
      </c>
      <c r="K322" s="37">
        <f t="shared" si="2"/>
        <v>0</v>
      </c>
      <c r="L322" s="38">
        <f t="shared" si="3"/>
        <v>0</v>
      </c>
      <c r="M322" s="39">
        <f t="shared" si="4"/>
        <v>0</v>
      </c>
      <c r="N322" s="38">
        <f t="shared" si="5"/>
        <v>0</v>
      </c>
      <c r="O322" s="39">
        <f t="shared" si="6"/>
        <v>0</v>
      </c>
      <c r="P322" s="40"/>
      <c r="Q322" s="34"/>
      <c r="R322" s="35"/>
      <c r="S322" s="35"/>
      <c r="T322" s="35"/>
      <c r="U322" s="35"/>
      <c r="V322" s="35"/>
      <c r="W322" s="35"/>
      <c r="X322" s="35"/>
      <c r="Y322" s="35"/>
      <c r="Z322" s="35"/>
      <c r="AA322" s="35"/>
    </row>
    <row r="323" ht="14.25" customHeight="1">
      <c r="A323" s="221"/>
      <c r="B323" s="231"/>
      <c r="C323" s="115"/>
      <c r="D323" s="100"/>
      <c r="E323" s="117"/>
      <c r="F323" s="249"/>
      <c r="G323" s="523"/>
      <c r="H323" s="524"/>
      <c r="I323" s="523"/>
      <c r="J323" s="36">
        <f t="shared" si="1"/>
        <v>0</v>
      </c>
      <c r="K323" s="37">
        <f t="shared" si="2"/>
        <v>0</v>
      </c>
      <c r="L323" s="38">
        <f t="shared" si="3"/>
        <v>0</v>
      </c>
      <c r="M323" s="39">
        <f t="shared" si="4"/>
        <v>0</v>
      </c>
      <c r="N323" s="38">
        <f t="shared" si="5"/>
        <v>0</v>
      </c>
      <c r="O323" s="39">
        <f t="shared" si="6"/>
        <v>0</v>
      </c>
      <c r="P323" s="40"/>
      <c r="Q323" s="34"/>
      <c r="R323" s="35"/>
      <c r="S323" s="35"/>
      <c r="T323" s="35"/>
      <c r="U323" s="35"/>
      <c r="V323" s="35"/>
      <c r="W323" s="35"/>
      <c r="X323" s="35"/>
      <c r="Y323" s="35"/>
      <c r="Z323" s="35"/>
      <c r="AA323" s="35"/>
    </row>
    <row r="324" ht="14.25" customHeight="1">
      <c r="A324" s="221"/>
      <c r="B324" s="231"/>
      <c r="C324" s="115"/>
      <c r="D324" s="100"/>
      <c r="E324" s="117"/>
      <c r="F324" s="249"/>
      <c r="G324" s="523"/>
      <c r="H324" s="524"/>
      <c r="I324" s="523"/>
      <c r="J324" s="36">
        <f t="shared" si="1"/>
        <v>0</v>
      </c>
      <c r="K324" s="37">
        <f t="shared" si="2"/>
        <v>0</v>
      </c>
      <c r="L324" s="38">
        <f t="shared" si="3"/>
        <v>0</v>
      </c>
      <c r="M324" s="39">
        <f t="shared" si="4"/>
        <v>0</v>
      </c>
      <c r="N324" s="38">
        <f t="shared" si="5"/>
        <v>0</v>
      </c>
      <c r="O324" s="39">
        <f t="shared" si="6"/>
        <v>0</v>
      </c>
      <c r="P324" s="40"/>
      <c r="Q324" s="34"/>
      <c r="R324" s="35"/>
      <c r="S324" s="35"/>
      <c r="T324" s="35"/>
      <c r="U324" s="35"/>
      <c r="V324" s="35"/>
      <c r="W324" s="35"/>
      <c r="X324" s="35"/>
      <c r="Y324" s="35"/>
      <c r="Z324" s="35"/>
      <c r="AA324" s="35"/>
    </row>
    <row r="325" ht="14.25" customHeight="1">
      <c r="A325" s="221"/>
      <c r="B325" s="231"/>
      <c r="C325" s="115"/>
      <c r="D325" s="100"/>
      <c r="E325" s="117"/>
      <c r="F325" s="249"/>
      <c r="G325" s="523"/>
      <c r="H325" s="524"/>
      <c r="I325" s="523"/>
      <c r="J325" s="36">
        <f t="shared" si="1"/>
        <v>0</v>
      </c>
      <c r="K325" s="37">
        <f t="shared" si="2"/>
        <v>0</v>
      </c>
      <c r="L325" s="38">
        <f t="shared" si="3"/>
        <v>0</v>
      </c>
      <c r="M325" s="39">
        <f t="shared" si="4"/>
        <v>0</v>
      </c>
      <c r="N325" s="38">
        <f t="shared" si="5"/>
        <v>0</v>
      </c>
      <c r="O325" s="39">
        <f t="shared" si="6"/>
        <v>0</v>
      </c>
      <c r="P325" s="40"/>
      <c r="Q325" s="34"/>
      <c r="R325" s="35"/>
      <c r="S325" s="35"/>
      <c r="T325" s="35"/>
      <c r="U325" s="35"/>
      <c r="V325" s="35"/>
      <c r="W325" s="35"/>
      <c r="X325" s="35"/>
      <c r="Y325" s="35"/>
      <c r="Z325" s="35"/>
      <c r="AA325" s="35"/>
    </row>
    <row r="326" ht="14.25" customHeight="1">
      <c r="A326" s="221"/>
      <c r="B326" s="231"/>
      <c r="C326" s="115"/>
      <c r="D326" s="100"/>
      <c r="E326" s="117"/>
      <c r="F326" s="249"/>
      <c r="G326" s="523"/>
      <c r="H326" s="524"/>
      <c r="I326" s="523"/>
      <c r="J326" s="36">
        <f t="shared" si="1"/>
        <v>0</v>
      </c>
      <c r="K326" s="37">
        <f t="shared" si="2"/>
        <v>0</v>
      </c>
      <c r="L326" s="38">
        <f t="shared" si="3"/>
        <v>0</v>
      </c>
      <c r="M326" s="39">
        <f t="shared" si="4"/>
        <v>0</v>
      </c>
      <c r="N326" s="38">
        <f t="shared" si="5"/>
        <v>0</v>
      </c>
      <c r="O326" s="39">
        <f t="shared" si="6"/>
        <v>0</v>
      </c>
      <c r="P326" s="40"/>
      <c r="Q326" s="34"/>
      <c r="R326" s="35"/>
      <c r="S326" s="35"/>
      <c r="T326" s="35"/>
      <c r="U326" s="35"/>
      <c r="V326" s="35"/>
      <c r="W326" s="35"/>
      <c r="X326" s="35"/>
      <c r="Y326" s="35"/>
      <c r="Z326" s="35"/>
      <c r="AA326" s="35"/>
    </row>
    <row r="327" ht="14.25" customHeight="1">
      <c r="A327" s="221"/>
      <c r="B327" s="231"/>
      <c r="C327" s="115"/>
      <c r="D327" s="100"/>
      <c r="E327" s="117"/>
      <c r="F327" s="249"/>
      <c r="G327" s="523"/>
      <c r="H327" s="524"/>
      <c r="I327" s="523"/>
      <c r="J327" s="36">
        <f t="shared" si="1"/>
        <v>0</v>
      </c>
      <c r="K327" s="37">
        <f t="shared" si="2"/>
        <v>0</v>
      </c>
      <c r="L327" s="38">
        <f t="shared" si="3"/>
        <v>0</v>
      </c>
      <c r="M327" s="39">
        <f t="shared" si="4"/>
        <v>0</v>
      </c>
      <c r="N327" s="38">
        <f t="shared" si="5"/>
        <v>0</v>
      </c>
      <c r="O327" s="39">
        <f t="shared" si="6"/>
        <v>0</v>
      </c>
      <c r="P327" s="40"/>
      <c r="Q327" s="34"/>
      <c r="R327" s="35"/>
      <c r="S327" s="35"/>
      <c r="T327" s="35"/>
      <c r="U327" s="35"/>
      <c r="V327" s="35"/>
      <c r="W327" s="35"/>
      <c r="X327" s="35"/>
      <c r="Y327" s="35"/>
      <c r="Z327" s="35"/>
      <c r="AA327" s="35"/>
    </row>
    <row r="328" ht="14.25" customHeight="1">
      <c r="A328" s="221"/>
      <c r="B328" s="231"/>
      <c r="C328" s="115"/>
      <c r="D328" s="100"/>
      <c r="E328" s="117"/>
      <c r="F328" s="238"/>
      <c r="G328" s="523"/>
      <c r="H328" s="524"/>
      <c r="I328" s="523"/>
      <c r="J328" s="36">
        <f t="shared" si="1"/>
        <v>0</v>
      </c>
      <c r="K328" s="37">
        <f t="shared" si="2"/>
        <v>0</v>
      </c>
      <c r="L328" s="38">
        <f t="shared" si="3"/>
        <v>0</v>
      </c>
      <c r="M328" s="39">
        <f t="shared" si="4"/>
        <v>0</v>
      </c>
      <c r="N328" s="38">
        <f t="shared" si="5"/>
        <v>0</v>
      </c>
      <c r="O328" s="39">
        <f t="shared" si="6"/>
        <v>0</v>
      </c>
      <c r="P328" s="40"/>
      <c r="Q328" s="34"/>
      <c r="R328" s="35"/>
      <c r="S328" s="35"/>
      <c r="T328" s="35"/>
      <c r="U328" s="35"/>
      <c r="V328" s="35"/>
      <c r="W328" s="35"/>
      <c r="X328" s="35"/>
      <c r="Y328" s="35"/>
      <c r="Z328" s="35"/>
      <c r="AA328" s="35"/>
    </row>
    <row r="329" ht="14.25" customHeight="1">
      <c r="A329" s="221"/>
      <c r="B329" s="231"/>
      <c r="C329" s="108"/>
      <c r="D329" s="85"/>
      <c r="E329" s="117"/>
      <c r="F329" s="242"/>
      <c r="G329" s="523"/>
      <c r="H329" s="524"/>
      <c r="I329" s="523"/>
      <c r="J329" s="36">
        <f t="shared" si="1"/>
        <v>0</v>
      </c>
      <c r="K329" s="37">
        <f t="shared" si="2"/>
        <v>0</v>
      </c>
      <c r="L329" s="38">
        <f t="shared" si="3"/>
        <v>0</v>
      </c>
      <c r="M329" s="39">
        <f t="shared" si="4"/>
        <v>0</v>
      </c>
      <c r="N329" s="38">
        <f t="shared" si="5"/>
        <v>0</v>
      </c>
      <c r="O329" s="39">
        <f t="shared" si="6"/>
        <v>0</v>
      </c>
      <c r="P329" s="40"/>
      <c r="Q329" s="34"/>
      <c r="R329" s="35"/>
      <c r="S329" s="35"/>
      <c r="T329" s="35"/>
      <c r="U329" s="35"/>
      <c r="V329" s="35"/>
      <c r="W329" s="35"/>
      <c r="X329" s="35"/>
      <c r="Y329" s="35"/>
      <c r="Z329" s="35"/>
      <c r="AA329" s="35"/>
    </row>
    <row r="330" ht="14.25" customHeight="1">
      <c r="A330" s="83"/>
      <c r="B330" s="84"/>
      <c r="C330" s="108"/>
      <c r="D330" s="102"/>
      <c r="E330" s="117"/>
      <c r="F330" s="250"/>
      <c r="G330" s="523"/>
      <c r="H330" s="524"/>
      <c r="I330" s="523"/>
      <c r="J330" s="36"/>
      <c r="K330" s="37"/>
      <c r="L330" s="38"/>
      <c r="M330" s="39"/>
      <c r="N330" s="38"/>
      <c r="O330" s="39"/>
      <c r="P330" s="40"/>
      <c r="Q330" s="34"/>
      <c r="R330" s="35"/>
      <c r="S330" s="35"/>
      <c r="T330" s="35"/>
      <c r="U330" s="35"/>
      <c r="V330" s="35"/>
      <c r="W330" s="35"/>
      <c r="X330" s="35"/>
      <c r="Y330" s="35"/>
      <c r="Z330" s="35"/>
      <c r="AA330" s="35"/>
    </row>
    <row r="331" ht="14.25" customHeight="1">
      <c r="A331" s="83"/>
      <c r="B331" s="84"/>
      <c r="C331" s="108"/>
      <c r="D331" s="102"/>
      <c r="E331" s="117"/>
      <c r="F331" s="250"/>
      <c r="G331" s="523"/>
      <c r="H331" s="524"/>
      <c r="I331" s="523"/>
      <c r="J331" s="36"/>
      <c r="K331" s="37"/>
      <c r="L331" s="38"/>
      <c r="M331" s="39"/>
      <c r="N331" s="38"/>
      <c r="O331" s="39"/>
      <c r="P331" s="40"/>
      <c r="Q331" s="34"/>
      <c r="R331" s="35"/>
      <c r="S331" s="35"/>
      <c r="T331" s="35"/>
      <c r="U331" s="35"/>
      <c r="V331" s="35"/>
      <c r="W331" s="35"/>
      <c r="X331" s="35"/>
      <c r="Y331" s="35"/>
      <c r="Z331" s="35"/>
      <c r="AA331" s="35"/>
    </row>
    <row r="332" ht="14.25" customHeight="1">
      <c r="A332" s="83"/>
      <c r="B332" s="84"/>
      <c r="C332" s="108"/>
      <c r="D332" s="102"/>
      <c r="E332" s="117"/>
      <c r="F332" s="250"/>
      <c r="G332" s="523"/>
      <c r="H332" s="524"/>
      <c r="I332" s="523"/>
      <c r="J332" s="36"/>
      <c r="K332" s="37"/>
      <c r="L332" s="38"/>
      <c r="M332" s="39"/>
      <c r="N332" s="38"/>
      <c r="O332" s="39"/>
      <c r="P332" s="40"/>
      <c r="Q332" s="34"/>
      <c r="R332" s="35"/>
      <c r="S332" s="35"/>
      <c r="T332" s="35"/>
      <c r="U332" s="35"/>
      <c r="V332" s="35"/>
      <c r="W332" s="35"/>
      <c r="X332" s="35"/>
      <c r="Y332" s="35"/>
      <c r="Z332" s="35"/>
      <c r="AA332" s="35"/>
    </row>
    <row r="333" ht="14.25" customHeight="1">
      <c r="A333" s="83"/>
      <c r="B333" s="84"/>
      <c r="C333" s="108"/>
      <c r="D333" s="102"/>
      <c r="E333" s="117"/>
      <c r="F333" s="250"/>
      <c r="G333" s="523"/>
      <c r="H333" s="524"/>
      <c r="I333" s="523"/>
      <c r="J333" s="36"/>
      <c r="K333" s="37"/>
      <c r="L333" s="38"/>
      <c r="M333" s="39"/>
      <c r="N333" s="38"/>
      <c r="O333" s="39"/>
      <c r="P333" s="40"/>
      <c r="Q333" s="34"/>
      <c r="R333" s="35"/>
      <c r="S333" s="35"/>
      <c r="T333" s="35"/>
      <c r="U333" s="35"/>
      <c r="V333" s="35"/>
      <c r="W333" s="35"/>
      <c r="X333" s="35"/>
      <c r="Y333" s="35"/>
      <c r="Z333" s="35"/>
      <c r="AA333" s="35"/>
    </row>
    <row r="334" ht="14.25" customHeight="1">
      <c r="A334" s="83"/>
      <c r="B334" s="84"/>
      <c r="C334" s="108"/>
      <c r="D334" s="102"/>
      <c r="E334" s="117"/>
      <c r="F334" s="250"/>
      <c r="G334" s="523"/>
      <c r="H334" s="524"/>
      <c r="I334" s="523"/>
      <c r="J334" s="36"/>
      <c r="K334" s="37"/>
      <c r="L334" s="38"/>
      <c r="M334" s="39"/>
      <c r="N334" s="38"/>
      <c r="O334" s="39"/>
      <c r="P334" s="40"/>
      <c r="Q334" s="34"/>
      <c r="R334" s="35"/>
      <c r="S334" s="35"/>
      <c r="T334" s="35"/>
      <c r="U334" s="35"/>
      <c r="V334" s="35"/>
      <c r="W334" s="35"/>
      <c r="X334" s="35"/>
      <c r="Y334" s="35"/>
      <c r="Z334" s="35"/>
      <c r="AA334" s="35"/>
    </row>
    <row r="335" ht="14.25" customHeight="1">
      <c r="A335" s="83"/>
      <c r="B335" s="84"/>
      <c r="C335" s="108"/>
      <c r="D335" s="102"/>
      <c r="E335" s="117"/>
      <c r="F335" s="250"/>
      <c r="G335" s="523"/>
      <c r="H335" s="524"/>
      <c r="I335" s="523"/>
      <c r="J335" s="36"/>
      <c r="K335" s="37"/>
      <c r="L335" s="38"/>
      <c r="M335" s="39"/>
      <c r="N335" s="38"/>
      <c r="O335" s="39"/>
      <c r="P335" s="40"/>
      <c r="Q335" s="34"/>
      <c r="R335" s="35"/>
      <c r="S335" s="35"/>
      <c r="T335" s="35"/>
      <c r="U335" s="35"/>
      <c r="V335" s="35"/>
      <c r="W335" s="35"/>
      <c r="X335" s="35"/>
      <c r="Y335" s="35"/>
      <c r="Z335" s="35"/>
      <c r="AA335" s="35"/>
    </row>
    <row r="336" ht="14.25" customHeight="1">
      <c r="A336" s="83"/>
      <c r="B336" s="84"/>
      <c r="C336" s="108"/>
      <c r="D336" s="102"/>
      <c r="E336" s="117"/>
      <c r="F336" s="250"/>
      <c r="G336" s="523"/>
      <c r="H336" s="524"/>
      <c r="I336" s="523"/>
      <c r="J336" s="36"/>
      <c r="K336" s="37"/>
      <c r="L336" s="38"/>
      <c r="M336" s="39"/>
      <c r="N336" s="38"/>
      <c r="O336" s="39"/>
      <c r="P336" s="40"/>
      <c r="Q336" s="34"/>
      <c r="R336" s="35"/>
      <c r="S336" s="35"/>
      <c r="T336" s="35"/>
      <c r="U336" s="35"/>
      <c r="V336" s="35"/>
      <c r="W336" s="35"/>
      <c r="X336" s="35"/>
      <c r="Y336" s="35"/>
      <c r="Z336" s="35"/>
      <c r="AA336" s="35"/>
    </row>
    <row r="337" ht="14.25" customHeight="1">
      <c r="A337" s="83"/>
      <c r="B337" s="84"/>
      <c r="C337" s="108"/>
      <c r="D337" s="102"/>
      <c r="E337" s="117"/>
      <c r="F337" s="250"/>
      <c r="G337" s="523"/>
      <c r="H337" s="524"/>
      <c r="I337" s="523"/>
      <c r="J337" s="36"/>
      <c r="K337" s="37"/>
      <c r="L337" s="38"/>
      <c r="M337" s="39"/>
      <c r="N337" s="38"/>
      <c r="O337" s="39"/>
      <c r="P337" s="40"/>
      <c r="Q337" s="34"/>
      <c r="R337" s="35"/>
      <c r="S337" s="35"/>
      <c r="T337" s="35"/>
      <c r="U337" s="35"/>
      <c r="V337" s="35"/>
      <c r="W337" s="35"/>
      <c r="X337" s="35"/>
      <c r="Y337" s="35"/>
      <c r="Z337" s="35"/>
      <c r="AA337" s="35"/>
    </row>
    <row r="338" ht="14.25" customHeight="1">
      <c r="A338" s="83"/>
      <c r="B338" s="84"/>
      <c r="C338" s="108"/>
      <c r="D338" s="102"/>
      <c r="E338" s="117"/>
      <c r="F338" s="250"/>
      <c r="G338" s="523"/>
      <c r="H338" s="524"/>
      <c r="I338" s="523"/>
      <c r="J338" s="36"/>
      <c r="K338" s="37"/>
      <c r="L338" s="38"/>
      <c r="M338" s="39"/>
      <c r="N338" s="38"/>
      <c r="O338" s="39"/>
      <c r="P338" s="40"/>
      <c r="Q338" s="34"/>
      <c r="R338" s="35"/>
      <c r="S338" s="35"/>
      <c r="T338" s="35"/>
      <c r="U338" s="35"/>
      <c r="V338" s="35"/>
      <c r="W338" s="35"/>
      <c r="X338" s="35"/>
      <c r="Y338" s="35"/>
      <c r="Z338" s="35"/>
      <c r="AA338" s="35"/>
    </row>
    <row r="339" ht="14.25" customHeight="1">
      <c r="A339" s="83"/>
      <c r="B339" s="84"/>
      <c r="C339" s="108"/>
      <c r="D339" s="102"/>
      <c r="E339" s="117"/>
      <c r="F339" s="250"/>
      <c r="G339" s="523"/>
      <c r="H339" s="524"/>
      <c r="I339" s="523"/>
      <c r="J339" s="36"/>
      <c r="K339" s="37"/>
      <c r="L339" s="38"/>
      <c r="M339" s="39"/>
      <c r="N339" s="38"/>
      <c r="O339" s="39"/>
      <c r="P339" s="40"/>
      <c r="Q339" s="34"/>
      <c r="R339" s="35"/>
      <c r="S339" s="35"/>
      <c r="T339" s="35"/>
      <c r="U339" s="35"/>
      <c r="V339" s="35"/>
      <c r="W339" s="35"/>
      <c r="X339" s="35"/>
      <c r="Y339" s="35"/>
      <c r="Z339" s="35"/>
      <c r="AA339" s="35"/>
    </row>
    <row r="340" ht="14.25" customHeight="1">
      <c r="A340" s="83"/>
      <c r="B340" s="84"/>
      <c r="C340" s="108"/>
      <c r="D340" s="102"/>
      <c r="E340" s="117"/>
      <c r="F340" s="250"/>
      <c r="G340" s="523"/>
      <c r="H340" s="524"/>
      <c r="I340" s="523"/>
      <c r="J340" s="36"/>
      <c r="K340" s="37"/>
      <c r="L340" s="38"/>
      <c r="M340" s="39"/>
      <c r="N340" s="38"/>
      <c r="O340" s="39"/>
      <c r="P340" s="40"/>
      <c r="Q340" s="34"/>
      <c r="R340" s="35"/>
      <c r="S340" s="35"/>
      <c r="T340" s="35"/>
      <c r="U340" s="35"/>
      <c r="V340" s="35"/>
      <c r="W340" s="35"/>
      <c r="X340" s="35"/>
      <c r="Y340" s="35"/>
      <c r="Z340" s="35"/>
      <c r="AA340" s="35"/>
    </row>
    <row r="341" ht="14.25" customHeight="1">
      <c r="A341" s="83"/>
      <c r="B341" s="84"/>
      <c r="C341" s="108"/>
      <c r="D341" s="102"/>
      <c r="E341" s="117"/>
      <c r="F341" s="250"/>
      <c r="G341" s="523"/>
      <c r="H341" s="524"/>
      <c r="I341" s="523"/>
      <c r="J341" s="36"/>
      <c r="K341" s="37"/>
      <c r="L341" s="38"/>
      <c r="M341" s="39"/>
      <c r="N341" s="38"/>
      <c r="O341" s="39"/>
      <c r="P341" s="40"/>
      <c r="Q341" s="34"/>
      <c r="R341" s="35"/>
      <c r="S341" s="35"/>
      <c r="T341" s="35"/>
      <c r="U341" s="35"/>
      <c r="V341" s="35"/>
      <c r="W341" s="35"/>
      <c r="X341" s="35"/>
      <c r="Y341" s="35"/>
      <c r="Z341" s="35"/>
      <c r="AA341" s="35"/>
    </row>
    <row r="342" ht="14.25" customHeight="1">
      <c r="A342" s="83"/>
      <c r="B342" s="84"/>
      <c r="C342" s="108"/>
      <c r="D342" s="102"/>
      <c r="E342" s="117"/>
      <c r="F342" s="250"/>
      <c r="G342" s="523"/>
      <c r="H342" s="524"/>
      <c r="I342" s="523"/>
      <c r="J342" s="36"/>
      <c r="K342" s="37"/>
      <c r="L342" s="38"/>
      <c r="M342" s="39"/>
      <c r="N342" s="38"/>
      <c r="O342" s="39"/>
      <c r="P342" s="40"/>
      <c r="Q342" s="34"/>
      <c r="R342" s="35"/>
      <c r="S342" s="35"/>
      <c r="T342" s="35"/>
      <c r="U342" s="35"/>
      <c r="V342" s="35"/>
      <c r="W342" s="35"/>
      <c r="X342" s="35"/>
      <c r="Y342" s="35"/>
      <c r="Z342" s="35"/>
      <c r="AA342" s="35"/>
    </row>
    <row r="343" ht="14.25" customHeight="1">
      <c r="A343" s="83"/>
      <c r="B343" s="84"/>
      <c r="C343" s="108"/>
      <c r="D343" s="102"/>
      <c r="E343" s="117"/>
      <c r="F343" s="250"/>
      <c r="G343" s="523"/>
      <c r="H343" s="524"/>
      <c r="I343" s="523"/>
      <c r="J343" s="36"/>
      <c r="K343" s="37"/>
      <c r="L343" s="38"/>
      <c r="M343" s="39"/>
      <c r="N343" s="38"/>
      <c r="O343" s="39"/>
      <c r="P343" s="40"/>
      <c r="Q343" s="34"/>
      <c r="R343" s="35"/>
      <c r="S343" s="35"/>
      <c r="T343" s="35"/>
      <c r="U343" s="35"/>
      <c r="V343" s="35"/>
      <c r="W343" s="35"/>
      <c r="X343" s="35"/>
      <c r="Y343" s="35"/>
      <c r="Z343" s="35"/>
      <c r="AA343" s="35"/>
    </row>
    <row r="344" ht="14.25" customHeight="1">
      <c r="A344" s="83"/>
      <c r="B344" s="84"/>
      <c r="C344" s="108"/>
      <c r="D344" s="102"/>
      <c r="E344" s="117"/>
      <c r="F344" s="250"/>
      <c r="G344" s="523"/>
      <c r="H344" s="524"/>
      <c r="I344" s="523"/>
      <c r="J344" s="36"/>
      <c r="K344" s="37"/>
      <c r="L344" s="38"/>
      <c r="M344" s="39"/>
      <c r="N344" s="38"/>
      <c r="O344" s="39"/>
      <c r="P344" s="40"/>
      <c r="Q344" s="34"/>
      <c r="R344" s="35"/>
      <c r="S344" s="35"/>
      <c r="T344" s="35"/>
      <c r="U344" s="35"/>
      <c r="V344" s="35"/>
      <c r="W344" s="35"/>
      <c r="X344" s="35"/>
      <c r="Y344" s="35"/>
      <c r="Z344" s="35"/>
      <c r="AA344" s="35"/>
    </row>
    <row r="345" ht="14.25" customHeight="1">
      <c r="A345" s="83"/>
      <c r="B345" s="84"/>
      <c r="C345" s="108"/>
      <c r="D345" s="102"/>
      <c r="E345" s="117"/>
      <c r="F345" s="250"/>
      <c r="G345" s="523"/>
      <c r="H345" s="524"/>
      <c r="I345" s="523"/>
      <c r="J345" s="36"/>
      <c r="K345" s="37"/>
      <c r="L345" s="38"/>
      <c r="M345" s="39"/>
      <c r="N345" s="38"/>
      <c r="O345" s="39"/>
      <c r="P345" s="40"/>
      <c r="Q345" s="34"/>
      <c r="R345" s="35"/>
      <c r="S345" s="35"/>
      <c r="T345" s="35"/>
      <c r="U345" s="35"/>
      <c r="V345" s="35"/>
      <c r="W345" s="35"/>
      <c r="X345" s="35"/>
      <c r="Y345" s="35"/>
      <c r="Z345" s="35"/>
      <c r="AA345" s="35"/>
    </row>
    <row r="346" ht="14.25" customHeight="1">
      <c r="A346" s="83"/>
      <c r="B346" s="84"/>
      <c r="C346" s="108"/>
      <c r="D346" s="102"/>
      <c r="E346" s="117"/>
      <c r="F346" s="250"/>
      <c r="G346" s="523"/>
      <c r="H346" s="524"/>
      <c r="I346" s="523"/>
      <c r="J346" s="36"/>
      <c r="K346" s="37"/>
      <c r="L346" s="38"/>
      <c r="M346" s="39"/>
      <c r="N346" s="38"/>
      <c r="O346" s="39"/>
      <c r="P346" s="40"/>
      <c r="Q346" s="34"/>
      <c r="R346" s="35"/>
      <c r="S346" s="35"/>
      <c r="T346" s="35"/>
      <c r="U346" s="35"/>
      <c r="V346" s="35"/>
      <c r="W346" s="35"/>
      <c r="X346" s="35"/>
      <c r="Y346" s="35"/>
      <c r="Z346" s="35"/>
      <c r="AA346" s="35"/>
    </row>
    <row r="347" ht="14.25" customHeight="1">
      <c r="A347" s="83"/>
      <c r="B347" s="84"/>
      <c r="C347" s="108"/>
      <c r="D347" s="102"/>
      <c r="E347" s="117"/>
      <c r="F347" s="250"/>
      <c r="G347" s="523"/>
      <c r="H347" s="524"/>
      <c r="I347" s="523"/>
      <c r="J347" s="36"/>
      <c r="K347" s="37"/>
      <c r="L347" s="38"/>
      <c r="M347" s="39"/>
      <c r="N347" s="38"/>
      <c r="O347" s="39"/>
      <c r="P347" s="40"/>
      <c r="Q347" s="34"/>
      <c r="R347" s="35"/>
      <c r="S347" s="35"/>
      <c r="T347" s="35"/>
      <c r="U347" s="35"/>
      <c r="V347" s="35"/>
      <c r="W347" s="35"/>
      <c r="X347" s="35"/>
      <c r="Y347" s="35"/>
      <c r="Z347" s="35"/>
      <c r="AA347" s="35"/>
    </row>
    <row r="348" ht="14.25" customHeight="1">
      <c r="A348" s="83"/>
      <c r="B348" s="84"/>
      <c r="C348" s="108"/>
      <c r="D348" s="102"/>
      <c r="E348" s="117"/>
      <c r="F348" s="250"/>
      <c r="G348" s="523"/>
      <c r="H348" s="524"/>
      <c r="I348" s="523"/>
      <c r="J348" s="36"/>
      <c r="K348" s="37"/>
      <c r="L348" s="38"/>
      <c r="M348" s="39"/>
      <c r="N348" s="38"/>
      <c r="O348" s="39"/>
      <c r="P348" s="40"/>
      <c r="Q348" s="34"/>
      <c r="R348" s="35"/>
      <c r="S348" s="35"/>
      <c r="T348" s="35"/>
      <c r="U348" s="35"/>
      <c r="V348" s="35"/>
      <c r="W348" s="35"/>
      <c r="X348" s="35"/>
      <c r="Y348" s="35"/>
      <c r="Z348" s="35"/>
      <c r="AA348" s="35"/>
    </row>
    <row r="349" ht="14.25" customHeight="1">
      <c r="A349" s="83"/>
      <c r="B349" s="84"/>
      <c r="C349" s="108"/>
      <c r="D349" s="102"/>
      <c r="E349" s="117"/>
      <c r="F349" s="250"/>
      <c r="G349" s="523"/>
      <c r="H349" s="524"/>
      <c r="I349" s="523"/>
      <c r="J349" s="36"/>
      <c r="K349" s="37"/>
      <c r="L349" s="38"/>
      <c r="M349" s="39"/>
      <c r="N349" s="38"/>
      <c r="O349" s="39"/>
      <c r="P349" s="40"/>
      <c r="Q349" s="34"/>
      <c r="R349" s="35"/>
      <c r="S349" s="35"/>
      <c r="T349" s="35"/>
      <c r="U349" s="35"/>
      <c r="V349" s="35"/>
      <c r="W349" s="35"/>
      <c r="X349" s="35"/>
      <c r="Y349" s="35"/>
      <c r="Z349" s="35"/>
      <c r="AA349" s="35"/>
    </row>
    <row r="350" ht="14.25" customHeight="1">
      <c r="A350" s="83"/>
      <c r="B350" s="84"/>
      <c r="C350" s="108"/>
      <c r="D350" s="102"/>
      <c r="E350" s="117"/>
      <c r="F350" s="250"/>
      <c r="G350" s="523"/>
      <c r="H350" s="524"/>
      <c r="I350" s="523"/>
      <c r="J350" s="36"/>
      <c r="K350" s="37"/>
      <c r="L350" s="38"/>
      <c r="M350" s="39"/>
      <c r="N350" s="38"/>
      <c r="O350" s="39"/>
      <c r="P350" s="40"/>
      <c r="Q350" s="34"/>
      <c r="R350" s="35"/>
      <c r="S350" s="35"/>
      <c r="T350" s="35"/>
      <c r="U350" s="35"/>
      <c r="V350" s="35"/>
      <c r="W350" s="35"/>
      <c r="X350" s="35"/>
      <c r="Y350" s="35"/>
      <c r="Z350" s="35"/>
      <c r="AA350" s="35"/>
    </row>
    <row r="351" ht="14.25" customHeight="1">
      <c r="A351" s="83"/>
      <c r="B351" s="84"/>
      <c r="C351" s="108"/>
      <c r="D351" s="102"/>
      <c r="E351" s="117"/>
      <c r="F351" s="250"/>
      <c r="G351" s="523"/>
      <c r="H351" s="524"/>
      <c r="I351" s="523"/>
      <c r="J351" s="36"/>
      <c r="K351" s="37"/>
      <c r="L351" s="38"/>
      <c r="M351" s="39"/>
      <c r="N351" s="38"/>
      <c r="O351" s="39"/>
      <c r="P351" s="40"/>
      <c r="Q351" s="34"/>
      <c r="R351" s="35"/>
      <c r="S351" s="35"/>
      <c r="T351" s="35"/>
      <c r="U351" s="35"/>
      <c r="V351" s="35"/>
      <c r="W351" s="35"/>
      <c r="X351" s="35"/>
      <c r="Y351" s="35"/>
      <c r="Z351" s="35"/>
      <c r="AA351" s="35"/>
    </row>
    <row r="352" ht="14.25" customHeight="1">
      <c r="A352" s="83"/>
      <c r="B352" s="84"/>
      <c r="C352" s="108"/>
      <c r="D352" s="102"/>
      <c r="E352" s="117"/>
      <c r="F352" s="250"/>
      <c r="G352" s="523"/>
      <c r="H352" s="524"/>
      <c r="I352" s="523"/>
      <c r="J352" s="36"/>
      <c r="K352" s="37"/>
      <c r="L352" s="38"/>
      <c r="M352" s="39"/>
      <c r="N352" s="38"/>
      <c r="O352" s="39"/>
      <c r="P352" s="40"/>
      <c r="Q352" s="34"/>
      <c r="R352" s="35"/>
      <c r="S352" s="35"/>
      <c r="T352" s="35"/>
      <c r="U352" s="35"/>
      <c r="V352" s="35"/>
      <c r="W352" s="35"/>
      <c r="X352" s="35"/>
      <c r="Y352" s="35"/>
      <c r="Z352" s="35"/>
      <c r="AA352" s="35"/>
    </row>
    <row r="353" ht="14.25" customHeight="1">
      <c r="A353" s="83"/>
      <c r="B353" s="84"/>
      <c r="C353" s="108"/>
      <c r="D353" s="102"/>
      <c r="E353" s="117"/>
      <c r="F353" s="250"/>
      <c r="G353" s="523"/>
      <c r="H353" s="524"/>
      <c r="I353" s="523"/>
      <c r="J353" s="36"/>
      <c r="K353" s="37"/>
      <c r="L353" s="38"/>
      <c r="M353" s="39"/>
      <c r="N353" s="38"/>
      <c r="O353" s="39"/>
      <c r="P353" s="40"/>
      <c r="Q353" s="34"/>
      <c r="R353" s="35"/>
      <c r="S353" s="35"/>
      <c r="T353" s="35"/>
      <c r="U353" s="35"/>
      <c r="V353" s="35"/>
      <c r="W353" s="35"/>
      <c r="X353" s="35"/>
      <c r="Y353" s="35"/>
      <c r="Z353" s="35"/>
      <c r="AA353" s="35"/>
    </row>
    <row r="354" ht="14.25" customHeight="1">
      <c r="A354" s="83"/>
      <c r="B354" s="84"/>
      <c r="C354" s="108"/>
      <c r="D354" s="102"/>
      <c r="E354" s="117"/>
      <c r="F354" s="250"/>
      <c r="G354" s="523"/>
      <c r="H354" s="524"/>
      <c r="I354" s="523"/>
      <c r="J354" s="36"/>
      <c r="K354" s="37"/>
      <c r="L354" s="38"/>
      <c r="M354" s="39"/>
      <c r="N354" s="38"/>
      <c r="O354" s="39"/>
      <c r="P354" s="40"/>
      <c r="Q354" s="34"/>
      <c r="R354" s="35"/>
      <c r="S354" s="35"/>
      <c r="T354" s="35"/>
      <c r="U354" s="35"/>
      <c r="V354" s="35"/>
      <c r="W354" s="35"/>
      <c r="X354" s="35"/>
      <c r="Y354" s="35"/>
      <c r="Z354" s="35"/>
      <c r="AA354" s="35"/>
    </row>
    <row r="355" ht="14.25" customHeight="1">
      <c r="A355" s="83"/>
      <c r="B355" s="84"/>
      <c r="C355" s="108"/>
      <c r="D355" s="102"/>
      <c r="E355" s="117"/>
      <c r="F355" s="250"/>
      <c r="G355" s="523"/>
      <c r="H355" s="524"/>
      <c r="I355" s="523"/>
      <c r="J355" s="36"/>
      <c r="K355" s="37"/>
      <c r="L355" s="38"/>
      <c r="M355" s="39"/>
      <c r="N355" s="38"/>
      <c r="O355" s="39"/>
      <c r="P355" s="40"/>
      <c r="Q355" s="34"/>
      <c r="R355" s="35"/>
      <c r="S355" s="35"/>
      <c r="T355" s="35"/>
      <c r="U355" s="35"/>
      <c r="V355" s="35"/>
      <c r="W355" s="35"/>
      <c r="X355" s="35"/>
      <c r="Y355" s="35"/>
      <c r="Z355" s="35"/>
      <c r="AA355" s="35"/>
    </row>
    <row r="356" ht="14.25" customHeight="1">
      <c r="A356" s="83"/>
      <c r="B356" s="84"/>
      <c r="C356" s="108"/>
      <c r="D356" s="102"/>
      <c r="E356" s="117"/>
      <c r="F356" s="250"/>
      <c r="G356" s="523"/>
      <c r="H356" s="524"/>
      <c r="I356" s="523"/>
      <c r="J356" s="36"/>
      <c r="K356" s="37"/>
      <c r="L356" s="38"/>
      <c r="M356" s="39"/>
      <c r="N356" s="38"/>
      <c r="O356" s="39"/>
      <c r="P356" s="40"/>
      <c r="Q356" s="34"/>
      <c r="R356" s="35"/>
      <c r="S356" s="35"/>
      <c r="T356" s="35"/>
      <c r="U356" s="35"/>
      <c r="V356" s="35"/>
      <c r="W356" s="35"/>
      <c r="X356" s="35"/>
      <c r="Y356" s="35"/>
      <c r="Z356" s="35"/>
      <c r="AA356" s="35"/>
    </row>
    <row r="357" ht="14.25" customHeight="1">
      <c r="A357" s="83"/>
      <c r="B357" s="84"/>
      <c r="C357" s="108"/>
      <c r="D357" s="102"/>
      <c r="E357" s="117"/>
      <c r="F357" s="250"/>
      <c r="G357" s="523"/>
      <c r="H357" s="524"/>
      <c r="I357" s="523"/>
      <c r="J357" s="36"/>
      <c r="K357" s="37"/>
      <c r="L357" s="38"/>
      <c r="M357" s="39"/>
      <c r="N357" s="38"/>
      <c r="O357" s="39"/>
      <c r="P357" s="40"/>
      <c r="Q357" s="34"/>
      <c r="R357" s="35"/>
      <c r="S357" s="35"/>
      <c r="T357" s="35"/>
      <c r="U357" s="35"/>
      <c r="V357" s="35"/>
      <c r="W357" s="35"/>
      <c r="X357" s="35"/>
      <c r="Y357" s="35"/>
      <c r="Z357" s="35"/>
      <c r="AA357" s="35"/>
    </row>
    <row r="358" ht="14.25" customHeight="1">
      <c r="A358" s="83"/>
      <c r="B358" s="84"/>
      <c r="C358" s="108"/>
      <c r="D358" s="102"/>
      <c r="E358" s="117"/>
      <c r="F358" s="250"/>
      <c r="G358" s="523"/>
      <c r="H358" s="524"/>
      <c r="I358" s="523"/>
      <c r="J358" s="36"/>
      <c r="K358" s="37"/>
      <c r="L358" s="38"/>
      <c r="M358" s="39"/>
      <c r="N358" s="38"/>
      <c r="O358" s="39"/>
      <c r="P358" s="40"/>
      <c r="Q358" s="34"/>
      <c r="R358" s="35"/>
      <c r="S358" s="35"/>
      <c r="T358" s="35"/>
      <c r="U358" s="35"/>
      <c r="V358" s="35"/>
      <c r="W358" s="35"/>
      <c r="X358" s="35"/>
      <c r="Y358" s="35"/>
      <c r="Z358" s="35"/>
      <c r="AA358" s="35"/>
    </row>
    <row r="359" ht="14.25" customHeight="1">
      <c r="A359" s="83"/>
      <c r="B359" s="84"/>
      <c r="C359" s="108"/>
      <c r="D359" s="102"/>
      <c r="E359" s="117"/>
      <c r="F359" s="250"/>
      <c r="G359" s="523"/>
      <c r="H359" s="524"/>
      <c r="I359" s="523"/>
      <c r="J359" s="36"/>
      <c r="K359" s="37"/>
      <c r="L359" s="38"/>
      <c r="M359" s="39"/>
      <c r="N359" s="38"/>
      <c r="O359" s="39"/>
      <c r="P359" s="40"/>
      <c r="Q359" s="34"/>
      <c r="R359" s="35"/>
      <c r="S359" s="35"/>
      <c r="T359" s="35"/>
      <c r="U359" s="35"/>
      <c r="V359" s="35"/>
      <c r="W359" s="35"/>
      <c r="X359" s="35"/>
      <c r="Y359" s="35"/>
      <c r="Z359" s="35"/>
      <c r="AA359" s="35"/>
    </row>
    <row r="360" ht="14.25" customHeight="1">
      <c r="A360" s="83"/>
      <c r="B360" s="84"/>
      <c r="C360" s="108"/>
      <c r="D360" s="102"/>
      <c r="E360" s="117"/>
      <c r="F360" s="250"/>
      <c r="G360" s="523"/>
      <c r="H360" s="524"/>
      <c r="I360" s="523"/>
      <c r="J360" s="36"/>
      <c r="K360" s="37"/>
      <c r="L360" s="38"/>
      <c r="M360" s="39"/>
      <c r="N360" s="38"/>
      <c r="O360" s="39"/>
      <c r="P360" s="40"/>
      <c r="Q360" s="34"/>
      <c r="R360" s="35"/>
      <c r="S360" s="35"/>
      <c r="T360" s="35"/>
      <c r="U360" s="35"/>
      <c r="V360" s="35"/>
      <c r="W360" s="35"/>
      <c r="X360" s="35"/>
      <c r="Y360" s="35"/>
      <c r="Z360" s="35"/>
      <c r="AA360" s="35"/>
    </row>
    <row r="361" ht="14.25" customHeight="1">
      <c r="A361" s="83"/>
      <c r="B361" s="84"/>
      <c r="C361" s="108"/>
      <c r="D361" s="102"/>
      <c r="E361" s="117"/>
      <c r="F361" s="250"/>
      <c r="G361" s="523"/>
      <c r="H361" s="524"/>
      <c r="I361" s="523"/>
      <c r="J361" s="36"/>
      <c r="K361" s="37"/>
      <c r="L361" s="38"/>
      <c r="M361" s="39"/>
      <c r="N361" s="38"/>
      <c r="O361" s="39"/>
      <c r="P361" s="40"/>
      <c r="Q361" s="34"/>
      <c r="R361" s="35"/>
      <c r="S361" s="35"/>
      <c r="T361" s="35"/>
      <c r="U361" s="35"/>
      <c r="V361" s="35"/>
      <c r="W361" s="35"/>
      <c r="X361" s="35"/>
      <c r="Y361" s="35"/>
      <c r="Z361" s="35"/>
      <c r="AA361" s="35"/>
    </row>
    <row r="362" ht="14.25" customHeight="1">
      <c r="A362" s="83"/>
      <c r="B362" s="84"/>
      <c r="C362" s="108"/>
      <c r="D362" s="102"/>
      <c r="E362" s="117"/>
      <c r="F362" s="250"/>
      <c r="G362" s="523"/>
      <c r="H362" s="524"/>
      <c r="I362" s="523"/>
      <c r="J362" s="36"/>
      <c r="K362" s="37"/>
      <c r="L362" s="38"/>
      <c r="M362" s="39"/>
      <c r="N362" s="38"/>
      <c r="O362" s="39"/>
      <c r="P362" s="40"/>
      <c r="Q362" s="34"/>
      <c r="R362" s="35"/>
      <c r="S362" s="35"/>
      <c r="T362" s="35"/>
      <c r="U362" s="35"/>
      <c r="V362" s="35"/>
      <c r="W362" s="35"/>
      <c r="X362" s="35"/>
      <c r="Y362" s="35"/>
      <c r="Z362" s="35"/>
      <c r="AA362" s="35"/>
    </row>
    <row r="363" ht="14.25" customHeight="1">
      <c r="A363" s="83"/>
      <c r="B363" s="84"/>
      <c r="C363" s="108"/>
      <c r="D363" s="102"/>
      <c r="E363" s="117"/>
      <c r="F363" s="250"/>
      <c r="G363" s="523"/>
      <c r="H363" s="524"/>
      <c r="I363" s="523"/>
      <c r="J363" s="36"/>
      <c r="K363" s="37"/>
      <c r="L363" s="38"/>
      <c r="M363" s="39"/>
      <c r="N363" s="38"/>
      <c r="O363" s="39"/>
      <c r="P363" s="40"/>
      <c r="Q363" s="34"/>
      <c r="R363" s="35"/>
      <c r="S363" s="35"/>
      <c r="T363" s="35"/>
      <c r="U363" s="35"/>
      <c r="V363" s="35"/>
      <c r="W363" s="35"/>
      <c r="X363" s="35"/>
      <c r="Y363" s="35"/>
      <c r="Z363" s="35"/>
      <c r="AA363" s="35"/>
    </row>
    <row r="364" ht="14.25" customHeight="1">
      <c r="A364" s="83"/>
      <c r="B364" s="84"/>
      <c r="C364" s="108"/>
      <c r="D364" s="102"/>
      <c r="E364" s="117"/>
      <c r="F364" s="250"/>
      <c r="G364" s="523"/>
      <c r="H364" s="524"/>
      <c r="I364" s="523"/>
      <c r="J364" s="36"/>
      <c r="K364" s="37"/>
      <c r="L364" s="38"/>
      <c r="M364" s="39"/>
      <c r="N364" s="38"/>
      <c r="O364" s="39"/>
      <c r="P364" s="40"/>
      <c r="Q364" s="34"/>
      <c r="R364" s="35"/>
      <c r="S364" s="35"/>
      <c r="T364" s="35"/>
      <c r="U364" s="35"/>
      <c r="V364" s="35"/>
      <c r="W364" s="35"/>
      <c r="X364" s="35"/>
      <c r="Y364" s="35"/>
      <c r="Z364" s="35"/>
      <c r="AA364" s="35"/>
    </row>
    <row r="365" ht="14.25" customHeight="1">
      <c r="A365" s="83"/>
      <c r="B365" s="84"/>
      <c r="C365" s="108"/>
      <c r="D365" s="102"/>
      <c r="E365" s="117"/>
      <c r="F365" s="250"/>
      <c r="G365" s="523"/>
      <c r="H365" s="524"/>
      <c r="I365" s="523"/>
      <c r="J365" s="36"/>
      <c r="K365" s="37"/>
      <c r="L365" s="38"/>
      <c r="M365" s="39"/>
      <c r="N365" s="38"/>
      <c r="O365" s="39"/>
      <c r="P365" s="40"/>
      <c r="Q365" s="34"/>
      <c r="R365" s="35"/>
      <c r="S365" s="35"/>
      <c r="T365" s="35"/>
      <c r="U365" s="35"/>
      <c r="V365" s="35"/>
      <c r="W365" s="35"/>
      <c r="X365" s="35"/>
      <c r="Y365" s="35"/>
      <c r="Z365" s="35"/>
      <c r="AA365" s="35"/>
    </row>
    <row r="366" ht="14.25" customHeight="1">
      <c r="A366" s="83"/>
      <c r="B366" s="84"/>
      <c r="C366" s="108"/>
      <c r="D366" s="102"/>
      <c r="E366" s="117"/>
      <c r="F366" s="250"/>
      <c r="G366" s="523"/>
      <c r="H366" s="524"/>
      <c r="I366" s="523"/>
      <c r="J366" s="36"/>
      <c r="K366" s="37"/>
      <c r="L366" s="38"/>
      <c r="M366" s="39"/>
      <c r="N366" s="38"/>
      <c r="O366" s="39"/>
      <c r="P366" s="40"/>
      <c r="Q366" s="34"/>
      <c r="R366" s="35"/>
      <c r="S366" s="35"/>
      <c r="T366" s="35"/>
      <c r="U366" s="35"/>
      <c r="V366" s="35"/>
      <c r="W366" s="35"/>
      <c r="X366" s="35"/>
      <c r="Y366" s="35"/>
      <c r="Z366" s="35"/>
      <c r="AA366" s="35"/>
    </row>
    <row r="367" ht="14.25" customHeight="1">
      <c r="A367" s="83"/>
      <c r="B367" s="84"/>
      <c r="C367" s="108"/>
      <c r="D367" s="102"/>
      <c r="E367" s="117"/>
      <c r="F367" s="250"/>
      <c r="G367" s="523"/>
      <c r="H367" s="524"/>
      <c r="I367" s="523"/>
      <c r="J367" s="36"/>
      <c r="K367" s="37"/>
      <c r="L367" s="38"/>
      <c r="M367" s="39"/>
      <c r="N367" s="38"/>
      <c r="O367" s="39"/>
      <c r="P367" s="40"/>
      <c r="Q367" s="34"/>
      <c r="R367" s="35"/>
      <c r="S367" s="35"/>
      <c r="T367" s="35"/>
      <c r="U367" s="35"/>
      <c r="V367" s="35"/>
      <c r="W367" s="35"/>
      <c r="X367" s="35"/>
      <c r="Y367" s="35"/>
      <c r="Z367" s="35"/>
      <c r="AA367" s="35"/>
    </row>
    <row r="368" ht="14.25" customHeight="1">
      <c r="A368" s="83"/>
      <c r="B368" s="84"/>
      <c r="C368" s="108"/>
      <c r="D368" s="102"/>
      <c r="E368" s="117"/>
      <c r="F368" s="250"/>
      <c r="G368" s="523"/>
      <c r="H368" s="524"/>
      <c r="I368" s="523"/>
      <c r="J368" s="36"/>
      <c r="K368" s="37"/>
      <c r="L368" s="38"/>
      <c r="M368" s="39"/>
      <c r="N368" s="38"/>
      <c r="O368" s="39"/>
      <c r="P368" s="40"/>
      <c r="Q368" s="34"/>
      <c r="R368" s="35"/>
      <c r="S368" s="35"/>
      <c r="T368" s="35"/>
      <c r="U368" s="35"/>
      <c r="V368" s="35"/>
      <c r="W368" s="35"/>
      <c r="X368" s="35"/>
      <c r="Y368" s="35"/>
      <c r="Z368" s="35"/>
      <c r="AA368" s="35"/>
    </row>
    <row r="369" ht="14.25" customHeight="1">
      <c r="A369" s="83"/>
      <c r="B369" s="84"/>
      <c r="C369" s="108"/>
      <c r="D369" s="102"/>
      <c r="E369" s="117"/>
      <c r="F369" s="250"/>
      <c r="G369" s="523"/>
      <c r="H369" s="524"/>
      <c r="I369" s="523"/>
      <c r="J369" s="36"/>
      <c r="K369" s="37"/>
      <c r="L369" s="38"/>
      <c r="M369" s="39"/>
      <c r="N369" s="38"/>
      <c r="O369" s="39"/>
      <c r="P369" s="40"/>
      <c r="Q369" s="34"/>
      <c r="R369" s="35"/>
      <c r="S369" s="35"/>
      <c r="T369" s="35"/>
      <c r="U369" s="35"/>
      <c r="V369" s="35"/>
      <c r="W369" s="35"/>
      <c r="X369" s="35"/>
      <c r="Y369" s="35"/>
      <c r="Z369" s="35"/>
      <c r="AA369" s="35"/>
    </row>
    <row r="370" ht="14.25" customHeight="1">
      <c r="A370" s="83"/>
      <c r="B370" s="84"/>
      <c r="C370" s="108"/>
      <c r="D370" s="102"/>
      <c r="E370" s="117"/>
      <c r="F370" s="250"/>
      <c r="G370" s="523"/>
      <c r="H370" s="524"/>
      <c r="I370" s="523"/>
      <c r="J370" s="36"/>
      <c r="K370" s="37"/>
      <c r="L370" s="38"/>
      <c r="M370" s="39"/>
      <c r="N370" s="38"/>
      <c r="O370" s="39"/>
      <c r="P370" s="40"/>
      <c r="Q370" s="34"/>
      <c r="R370" s="35"/>
      <c r="S370" s="35"/>
      <c r="T370" s="35"/>
      <c r="U370" s="35"/>
      <c r="V370" s="35"/>
      <c r="W370" s="35"/>
      <c r="X370" s="35"/>
      <c r="Y370" s="35"/>
      <c r="Z370" s="35"/>
      <c r="AA370" s="35"/>
    </row>
    <row r="371" ht="14.25" customHeight="1">
      <c r="A371" s="83"/>
      <c r="B371" s="84"/>
      <c r="C371" s="108"/>
      <c r="D371" s="102"/>
      <c r="E371" s="117"/>
      <c r="F371" s="250"/>
      <c r="G371" s="523"/>
      <c r="H371" s="524"/>
      <c r="I371" s="523"/>
      <c r="J371" s="36"/>
      <c r="K371" s="37"/>
      <c r="L371" s="38"/>
      <c r="M371" s="39"/>
      <c r="N371" s="38"/>
      <c r="O371" s="39"/>
      <c r="P371" s="40"/>
      <c r="Q371" s="34"/>
      <c r="R371" s="35"/>
      <c r="S371" s="35"/>
      <c r="T371" s="35"/>
      <c r="U371" s="35"/>
      <c r="V371" s="35"/>
      <c r="W371" s="35"/>
      <c r="X371" s="35"/>
      <c r="Y371" s="35"/>
      <c r="Z371" s="35"/>
      <c r="AA371" s="35"/>
    </row>
    <row r="372" ht="14.25" customHeight="1">
      <c r="A372" s="83"/>
      <c r="B372" s="84"/>
      <c r="C372" s="108"/>
      <c r="D372" s="102"/>
      <c r="E372" s="117"/>
      <c r="F372" s="250"/>
      <c r="G372" s="523"/>
      <c r="H372" s="524"/>
      <c r="I372" s="523"/>
      <c r="J372" s="36"/>
      <c r="K372" s="37"/>
      <c r="L372" s="38"/>
      <c r="M372" s="39"/>
      <c r="N372" s="38"/>
      <c r="O372" s="39"/>
      <c r="P372" s="40"/>
      <c r="Q372" s="34"/>
      <c r="R372" s="35"/>
      <c r="S372" s="35"/>
      <c r="T372" s="35"/>
      <c r="U372" s="35"/>
      <c r="V372" s="35"/>
      <c r="W372" s="35"/>
      <c r="X372" s="35"/>
      <c r="Y372" s="35"/>
      <c r="Z372" s="35"/>
      <c r="AA372" s="35"/>
    </row>
    <row r="373" ht="14.25" customHeight="1">
      <c r="A373" s="83"/>
      <c r="B373" s="84"/>
      <c r="C373" s="108"/>
      <c r="D373" s="102"/>
      <c r="E373" s="117"/>
      <c r="F373" s="250"/>
      <c r="G373" s="523"/>
      <c r="H373" s="524"/>
      <c r="I373" s="523"/>
      <c r="J373" s="36"/>
      <c r="K373" s="37"/>
      <c r="L373" s="38"/>
      <c r="M373" s="39"/>
      <c r="N373" s="38"/>
      <c r="O373" s="39"/>
      <c r="P373" s="40"/>
      <c r="Q373" s="34"/>
      <c r="R373" s="35"/>
      <c r="S373" s="35"/>
      <c r="T373" s="35"/>
      <c r="U373" s="35"/>
      <c r="V373" s="35"/>
      <c r="W373" s="35"/>
      <c r="X373" s="35"/>
      <c r="Y373" s="35"/>
      <c r="Z373" s="35"/>
      <c r="AA373" s="35"/>
    </row>
    <row r="374" ht="14.25" customHeight="1">
      <c r="A374" s="83"/>
      <c r="B374" s="84"/>
      <c r="C374" s="108"/>
      <c r="D374" s="102"/>
      <c r="E374" s="117"/>
      <c r="F374" s="250"/>
      <c r="G374" s="523"/>
      <c r="H374" s="524"/>
      <c r="I374" s="523"/>
      <c r="J374" s="36"/>
      <c r="K374" s="37"/>
      <c r="L374" s="38"/>
      <c r="M374" s="39"/>
      <c r="N374" s="38"/>
      <c r="O374" s="39"/>
      <c r="P374" s="40"/>
      <c r="Q374" s="34"/>
      <c r="R374" s="35"/>
      <c r="S374" s="35"/>
      <c r="T374" s="35"/>
      <c r="U374" s="35"/>
      <c r="V374" s="35"/>
      <c r="W374" s="35"/>
      <c r="X374" s="35"/>
      <c r="Y374" s="35"/>
      <c r="Z374" s="35"/>
      <c r="AA374" s="35"/>
    </row>
    <row r="375" ht="14.25" customHeight="1">
      <c r="A375" s="83"/>
      <c r="B375" s="84"/>
      <c r="C375" s="108"/>
      <c r="D375" s="102"/>
      <c r="E375" s="117"/>
      <c r="F375" s="250"/>
      <c r="G375" s="523"/>
      <c r="H375" s="524"/>
      <c r="I375" s="523"/>
      <c r="J375" s="36"/>
      <c r="K375" s="37"/>
      <c r="L375" s="38"/>
      <c r="M375" s="39"/>
      <c r="N375" s="38"/>
      <c r="O375" s="39"/>
      <c r="P375" s="40"/>
      <c r="Q375" s="34"/>
      <c r="R375" s="35"/>
      <c r="S375" s="35"/>
      <c r="T375" s="35"/>
      <c r="U375" s="35"/>
      <c r="V375" s="35"/>
      <c r="W375" s="35"/>
      <c r="X375" s="35"/>
      <c r="Y375" s="35"/>
      <c r="Z375" s="35"/>
      <c r="AA375" s="35"/>
    </row>
    <row r="376" ht="14.25" customHeight="1">
      <c r="A376" s="83"/>
      <c r="B376" s="84"/>
      <c r="C376" s="108"/>
      <c r="D376" s="102"/>
      <c r="E376" s="117"/>
      <c r="F376" s="250"/>
      <c r="G376" s="523"/>
      <c r="H376" s="524"/>
      <c r="I376" s="523"/>
      <c r="J376" s="36"/>
      <c r="K376" s="37"/>
      <c r="L376" s="38"/>
      <c r="M376" s="39"/>
      <c r="N376" s="38"/>
      <c r="O376" s="39"/>
      <c r="P376" s="40"/>
      <c r="Q376" s="34"/>
      <c r="R376" s="35"/>
      <c r="S376" s="35"/>
      <c r="T376" s="35"/>
      <c r="U376" s="35"/>
      <c r="V376" s="35"/>
      <c r="W376" s="35"/>
      <c r="X376" s="35"/>
      <c r="Y376" s="35"/>
      <c r="Z376" s="35"/>
      <c r="AA376" s="35"/>
    </row>
    <row r="377" ht="14.25" customHeight="1">
      <c r="A377" s="83"/>
      <c r="B377" s="84"/>
      <c r="C377" s="108"/>
      <c r="D377" s="102"/>
      <c r="E377" s="117"/>
      <c r="F377" s="250"/>
      <c r="G377" s="523"/>
      <c r="H377" s="524"/>
      <c r="I377" s="523"/>
      <c r="J377" s="36"/>
      <c r="K377" s="37"/>
      <c r="L377" s="38"/>
      <c r="M377" s="39"/>
      <c r="N377" s="38"/>
      <c r="O377" s="39"/>
      <c r="P377" s="40"/>
      <c r="Q377" s="34"/>
      <c r="R377" s="35"/>
      <c r="S377" s="35"/>
      <c r="T377" s="35"/>
      <c r="U377" s="35"/>
      <c r="V377" s="35"/>
      <c r="W377" s="35"/>
      <c r="X377" s="35"/>
      <c r="Y377" s="35"/>
      <c r="Z377" s="35"/>
      <c r="AA377" s="35"/>
    </row>
    <row r="378" ht="14.25" customHeight="1">
      <c r="A378" s="83"/>
      <c r="B378" s="84"/>
      <c r="C378" s="108"/>
      <c r="D378" s="102"/>
      <c r="E378" s="117"/>
      <c r="F378" s="250"/>
      <c r="G378" s="523"/>
      <c r="H378" s="524"/>
      <c r="I378" s="523"/>
      <c r="J378" s="36"/>
      <c r="K378" s="37"/>
      <c r="L378" s="38"/>
      <c r="M378" s="39"/>
      <c r="N378" s="38"/>
      <c r="O378" s="39"/>
      <c r="P378" s="40"/>
      <c r="Q378" s="34"/>
      <c r="R378" s="35"/>
      <c r="S378" s="35"/>
      <c r="T378" s="35"/>
      <c r="U378" s="35"/>
      <c r="V378" s="35"/>
      <c r="W378" s="35"/>
      <c r="X378" s="35"/>
      <c r="Y378" s="35"/>
      <c r="Z378" s="35"/>
      <c r="AA378" s="35"/>
    </row>
    <row r="379" ht="14.25" customHeight="1">
      <c r="A379" s="83"/>
      <c r="B379" s="84"/>
      <c r="C379" s="108"/>
      <c r="D379" s="102"/>
      <c r="E379" s="117"/>
      <c r="F379" s="250"/>
      <c r="G379" s="523"/>
      <c r="H379" s="524"/>
      <c r="I379" s="523"/>
      <c r="J379" s="36"/>
      <c r="K379" s="37"/>
      <c r="L379" s="38"/>
      <c r="M379" s="39"/>
      <c r="N379" s="38"/>
      <c r="O379" s="39"/>
      <c r="P379" s="40"/>
      <c r="Q379" s="34"/>
      <c r="R379" s="35"/>
      <c r="S379" s="35"/>
      <c r="T379" s="35"/>
      <c r="U379" s="35"/>
      <c r="V379" s="35"/>
      <c r="W379" s="35"/>
      <c r="X379" s="35"/>
      <c r="Y379" s="35"/>
      <c r="Z379" s="35"/>
      <c r="AA379" s="35"/>
    </row>
    <row r="380" ht="14.25" customHeight="1">
      <c r="A380" s="83"/>
      <c r="B380" s="84"/>
      <c r="C380" s="108"/>
      <c r="D380" s="102"/>
      <c r="E380" s="117"/>
      <c r="F380" s="250"/>
      <c r="G380" s="523"/>
      <c r="H380" s="524"/>
      <c r="I380" s="523"/>
      <c r="J380" s="36"/>
      <c r="K380" s="37"/>
      <c r="L380" s="38"/>
      <c r="M380" s="39"/>
      <c r="N380" s="38"/>
      <c r="O380" s="39"/>
      <c r="P380" s="40"/>
      <c r="Q380" s="34"/>
      <c r="R380" s="35"/>
      <c r="S380" s="35"/>
      <c r="T380" s="35"/>
      <c r="U380" s="35"/>
      <c r="V380" s="35"/>
      <c r="W380" s="35"/>
      <c r="X380" s="35"/>
      <c r="Y380" s="35"/>
      <c r="Z380" s="35"/>
      <c r="AA380" s="35"/>
    </row>
    <row r="381" ht="14.25" customHeight="1">
      <c r="A381" s="83"/>
      <c r="B381" s="84"/>
      <c r="C381" s="108"/>
      <c r="D381" s="102"/>
      <c r="E381" s="117"/>
      <c r="F381" s="250"/>
      <c r="G381" s="523"/>
      <c r="H381" s="524"/>
      <c r="I381" s="523"/>
      <c r="J381" s="36"/>
      <c r="K381" s="37"/>
      <c r="L381" s="38"/>
      <c r="M381" s="39"/>
      <c r="N381" s="38"/>
      <c r="O381" s="39"/>
      <c r="P381" s="40"/>
      <c r="Q381" s="34"/>
      <c r="R381" s="35"/>
      <c r="S381" s="35"/>
      <c r="T381" s="35"/>
      <c r="U381" s="35"/>
      <c r="V381" s="35"/>
      <c r="W381" s="35"/>
      <c r="X381" s="35"/>
      <c r="Y381" s="35"/>
      <c r="Z381" s="35"/>
      <c r="AA381" s="35"/>
    </row>
    <row r="382" ht="14.25" customHeight="1">
      <c r="A382" s="83"/>
      <c r="B382" s="84"/>
      <c r="C382" s="108"/>
      <c r="D382" s="102"/>
      <c r="E382" s="117"/>
      <c r="F382" s="250"/>
      <c r="G382" s="523"/>
      <c r="H382" s="524"/>
      <c r="I382" s="523"/>
      <c r="J382" s="36"/>
      <c r="K382" s="37"/>
      <c r="L382" s="38"/>
      <c r="M382" s="39"/>
      <c r="N382" s="38"/>
      <c r="O382" s="39"/>
      <c r="P382" s="40"/>
      <c r="Q382" s="34"/>
      <c r="R382" s="35"/>
      <c r="S382" s="35"/>
      <c r="T382" s="35"/>
      <c r="U382" s="35"/>
      <c r="V382" s="35"/>
      <c r="W382" s="35"/>
      <c r="X382" s="35"/>
      <c r="Y382" s="35"/>
      <c r="Z382" s="35"/>
      <c r="AA382" s="35"/>
    </row>
    <row r="383" ht="14.25" customHeight="1">
      <c r="A383" s="83"/>
      <c r="B383" s="84"/>
      <c r="C383" s="108"/>
      <c r="D383" s="102"/>
      <c r="E383" s="117"/>
      <c r="F383" s="250"/>
      <c r="G383" s="523"/>
      <c r="H383" s="524"/>
      <c r="I383" s="523"/>
      <c r="J383" s="36"/>
      <c r="K383" s="37"/>
      <c r="L383" s="38"/>
      <c r="M383" s="39"/>
      <c r="N383" s="38"/>
      <c r="O383" s="39"/>
      <c r="P383" s="40"/>
      <c r="Q383" s="34"/>
      <c r="R383" s="35"/>
      <c r="S383" s="35"/>
      <c r="T383" s="35"/>
      <c r="U383" s="35"/>
      <c r="V383" s="35"/>
      <c r="W383" s="35"/>
      <c r="X383" s="35"/>
      <c r="Y383" s="35"/>
      <c r="Z383" s="35"/>
      <c r="AA383" s="35"/>
    </row>
    <row r="384" ht="14.25" customHeight="1">
      <c r="A384" s="83"/>
      <c r="B384" s="84"/>
      <c r="C384" s="108"/>
      <c r="D384" s="102"/>
      <c r="E384" s="117"/>
      <c r="F384" s="250"/>
      <c r="G384" s="523"/>
      <c r="H384" s="524"/>
      <c r="I384" s="523"/>
      <c r="J384" s="36"/>
      <c r="K384" s="37"/>
      <c r="L384" s="38"/>
      <c r="M384" s="39"/>
      <c r="N384" s="38"/>
      <c r="O384" s="39"/>
      <c r="P384" s="40"/>
      <c r="Q384" s="34"/>
      <c r="R384" s="35"/>
      <c r="S384" s="35"/>
      <c r="T384" s="35"/>
      <c r="U384" s="35"/>
      <c r="V384" s="35"/>
      <c r="W384" s="35"/>
      <c r="X384" s="35"/>
      <c r="Y384" s="35"/>
      <c r="Z384" s="35"/>
      <c r="AA384" s="35"/>
    </row>
    <row r="385" ht="14.25" customHeight="1">
      <c r="A385" s="83"/>
      <c r="B385" s="84"/>
      <c r="C385" s="108"/>
      <c r="D385" s="102"/>
      <c r="E385" s="117"/>
      <c r="F385" s="250"/>
      <c r="G385" s="523"/>
      <c r="H385" s="524"/>
      <c r="I385" s="523"/>
      <c r="J385" s="36"/>
      <c r="K385" s="37"/>
      <c r="L385" s="38"/>
      <c r="M385" s="39"/>
      <c r="N385" s="38"/>
      <c r="O385" s="39"/>
      <c r="P385" s="40"/>
      <c r="Q385" s="34"/>
      <c r="R385" s="35"/>
      <c r="S385" s="35"/>
      <c r="T385" s="35"/>
      <c r="U385" s="35"/>
      <c r="V385" s="35"/>
      <c r="W385" s="35"/>
      <c r="X385" s="35"/>
      <c r="Y385" s="35"/>
      <c r="Z385" s="35"/>
      <c r="AA385" s="35"/>
    </row>
    <row r="386" ht="14.25" customHeight="1">
      <c r="A386" s="83"/>
      <c r="B386" s="84"/>
      <c r="C386" s="108"/>
      <c r="D386" s="102"/>
      <c r="E386" s="117"/>
      <c r="F386" s="250"/>
      <c r="G386" s="523"/>
      <c r="H386" s="524"/>
      <c r="I386" s="523"/>
      <c r="J386" s="36"/>
      <c r="K386" s="37"/>
      <c r="L386" s="38"/>
      <c r="M386" s="39"/>
      <c r="N386" s="38"/>
      <c r="O386" s="39"/>
      <c r="P386" s="40"/>
      <c r="Q386" s="34"/>
      <c r="R386" s="35"/>
      <c r="S386" s="35"/>
      <c r="T386" s="35"/>
      <c r="U386" s="35"/>
      <c r="V386" s="35"/>
      <c r="W386" s="35"/>
      <c r="X386" s="35"/>
      <c r="Y386" s="35"/>
      <c r="Z386" s="35"/>
      <c r="AA386" s="35"/>
    </row>
    <row r="387" ht="14.25" customHeight="1">
      <c r="A387" s="83"/>
      <c r="B387" s="84"/>
      <c r="C387" s="108"/>
      <c r="D387" s="102"/>
      <c r="E387" s="117"/>
      <c r="F387" s="250"/>
      <c r="G387" s="523"/>
      <c r="H387" s="524"/>
      <c r="I387" s="523"/>
      <c r="J387" s="36"/>
      <c r="K387" s="37"/>
      <c r="L387" s="38"/>
      <c r="M387" s="39"/>
      <c r="N387" s="38"/>
      <c r="O387" s="39"/>
      <c r="P387" s="40"/>
      <c r="Q387" s="34"/>
      <c r="R387" s="35"/>
      <c r="S387" s="35"/>
      <c r="T387" s="35"/>
      <c r="U387" s="35"/>
      <c r="V387" s="35"/>
      <c r="W387" s="35"/>
      <c r="X387" s="35"/>
      <c r="Y387" s="35"/>
      <c r="Z387" s="35"/>
      <c r="AA387" s="35"/>
    </row>
    <row r="388" ht="14.25" customHeight="1">
      <c r="A388" s="83"/>
      <c r="B388" s="84"/>
      <c r="C388" s="108"/>
      <c r="D388" s="102"/>
      <c r="E388" s="117"/>
      <c r="F388" s="250"/>
      <c r="G388" s="523"/>
      <c r="H388" s="524"/>
      <c r="I388" s="523"/>
      <c r="J388" s="36"/>
      <c r="K388" s="37"/>
      <c r="L388" s="38"/>
      <c r="M388" s="39"/>
      <c r="N388" s="38"/>
      <c r="O388" s="39"/>
      <c r="P388" s="40"/>
      <c r="Q388" s="34"/>
      <c r="R388" s="35"/>
      <c r="S388" s="35"/>
      <c r="T388" s="35"/>
      <c r="U388" s="35"/>
      <c r="V388" s="35"/>
      <c r="W388" s="35"/>
      <c r="X388" s="35"/>
      <c r="Y388" s="35"/>
      <c r="Z388" s="35"/>
      <c r="AA388" s="35"/>
    </row>
    <row r="389" ht="14.25" customHeight="1">
      <c r="A389" s="83"/>
      <c r="B389" s="84"/>
      <c r="C389" s="108"/>
      <c r="D389" s="102"/>
      <c r="E389" s="117"/>
      <c r="F389" s="250"/>
      <c r="G389" s="523"/>
      <c r="H389" s="524"/>
      <c r="I389" s="523"/>
      <c r="J389" s="36"/>
      <c r="K389" s="37"/>
      <c r="L389" s="38"/>
      <c r="M389" s="39"/>
      <c r="N389" s="38"/>
      <c r="O389" s="39"/>
      <c r="P389" s="40"/>
      <c r="Q389" s="34"/>
      <c r="R389" s="35"/>
      <c r="S389" s="35"/>
      <c r="T389" s="35"/>
      <c r="U389" s="35"/>
      <c r="V389" s="35"/>
      <c r="W389" s="35"/>
      <c r="X389" s="35"/>
      <c r="Y389" s="35"/>
      <c r="Z389" s="35"/>
      <c r="AA389" s="35"/>
    </row>
    <row r="390" ht="14.25" customHeight="1">
      <c r="A390" s="83"/>
      <c r="B390" s="84"/>
      <c r="C390" s="108"/>
      <c r="D390" s="102"/>
      <c r="E390" s="117"/>
      <c r="F390" s="250"/>
      <c r="G390" s="523"/>
      <c r="H390" s="524"/>
      <c r="I390" s="523"/>
      <c r="J390" s="36"/>
      <c r="K390" s="37"/>
      <c r="L390" s="38"/>
      <c r="M390" s="39"/>
      <c r="N390" s="38"/>
      <c r="O390" s="39"/>
      <c r="P390" s="40"/>
      <c r="Q390" s="34"/>
      <c r="R390" s="35"/>
      <c r="S390" s="35"/>
      <c r="T390" s="35"/>
      <c r="U390" s="35"/>
      <c r="V390" s="35"/>
      <c r="W390" s="35"/>
      <c r="X390" s="35"/>
      <c r="Y390" s="35"/>
      <c r="Z390" s="35"/>
      <c r="AA390" s="35"/>
    </row>
    <row r="391" ht="14.25" customHeight="1">
      <c r="A391" s="83"/>
      <c r="B391" s="84"/>
      <c r="C391" s="108"/>
      <c r="D391" s="102"/>
      <c r="E391" s="117"/>
      <c r="F391" s="250"/>
      <c r="G391" s="523"/>
      <c r="H391" s="524"/>
      <c r="I391" s="523"/>
      <c r="J391" s="36"/>
      <c r="K391" s="37"/>
      <c r="L391" s="38"/>
      <c r="M391" s="39"/>
      <c r="N391" s="38"/>
      <c r="O391" s="39"/>
      <c r="P391" s="40"/>
      <c r="Q391" s="34"/>
      <c r="R391" s="35"/>
      <c r="S391" s="35"/>
      <c r="T391" s="35"/>
      <c r="U391" s="35"/>
      <c r="V391" s="35"/>
      <c r="W391" s="35"/>
      <c r="X391" s="35"/>
      <c r="Y391" s="35"/>
      <c r="Z391" s="35"/>
      <c r="AA391" s="35"/>
    </row>
    <row r="392" ht="14.25" customHeight="1">
      <c r="A392" s="83"/>
      <c r="B392" s="84"/>
      <c r="C392" s="108"/>
      <c r="D392" s="102"/>
      <c r="E392" s="117"/>
      <c r="F392" s="250"/>
      <c r="G392" s="523"/>
      <c r="H392" s="524"/>
      <c r="I392" s="523"/>
      <c r="J392" s="36"/>
      <c r="K392" s="37"/>
      <c r="L392" s="38"/>
      <c r="M392" s="39"/>
      <c r="N392" s="38"/>
      <c r="O392" s="39"/>
      <c r="P392" s="40"/>
      <c r="Q392" s="34"/>
      <c r="R392" s="35"/>
      <c r="S392" s="35"/>
      <c r="T392" s="35"/>
      <c r="U392" s="35"/>
      <c r="V392" s="35"/>
      <c r="W392" s="35"/>
      <c r="X392" s="35"/>
      <c r="Y392" s="35"/>
      <c r="Z392" s="35"/>
      <c r="AA392" s="35"/>
    </row>
    <row r="393" ht="14.25" customHeight="1">
      <c r="A393" s="83"/>
      <c r="B393" s="84"/>
      <c r="C393" s="108"/>
      <c r="D393" s="102"/>
      <c r="E393" s="117"/>
      <c r="F393" s="250"/>
      <c r="G393" s="523"/>
      <c r="H393" s="524"/>
      <c r="I393" s="523"/>
      <c r="J393" s="36"/>
      <c r="K393" s="37"/>
      <c r="L393" s="38"/>
      <c r="M393" s="39"/>
      <c r="N393" s="38"/>
      <c r="O393" s="39"/>
      <c r="P393" s="40"/>
      <c r="Q393" s="34"/>
      <c r="R393" s="35"/>
      <c r="S393" s="35"/>
      <c r="T393" s="35"/>
      <c r="U393" s="35"/>
      <c r="V393" s="35"/>
      <c r="W393" s="35"/>
      <c r="X393" s="35"/>
      <c r="Y393" s="35"/>
      <c r="Z393" s="35"/>
      <c r="AA393" s="35"/>
    </row>
    <row r="394" ht="14.25" customHeight="1">
      <c r="A394" s="83"/>
      <c r="B394" s="84"/>
      <c r="C394" s="108"/>
      <c r="D394" s="102"/>
      <c r="E394" s="117"/>
      <c r="F394" s="250"/>
      <c r="G394" s="523"/>
      <c r="H394" s="524"/>
      <c r="I394" s="523"/>
      <c r="J394" s="36"/>
      <c r="K394" s="37"/>
      <c r="L394" s="38"/>
      <c r="M394" s="39"/>
      <c r="N394" s="38"/>
      <c r="O394" s="39"/>
      <c r="P394" s="40"/>
      <c r="Q394" s="34"/>
      <c r="R394" s="35"/>
      <c r="S394" s="35"/>
      <c r="T394" s="35"/>
      <c r="U394" s="35"/>
      <c r="V394" s="35"/>
      <c r="W394" s="35"/>
      <c r="X394" s="35"/>
      <c r="Y394" s="35"/>
      <c r="Z394" s="35"/>
      <c r="AA394" s="35"/>
    </row>
    <row r="395" ht="14.25" customHeight="1">
      <c r="A395" s="83"/>
      <c r="B395" s="84"/>
      <c r="C395" s="108"/>
      <c r="D395" s="102"/>
      <c r="E395" s="117"/>
      <c r="F395" s="250"/>
      <c r="G395" s="523"/>
      <c r="H395" s="524"/>
      <c r="I395" s="523"/>
      <c r="J395" s="36"/>
      <c r="K395" s="37"/>
      <c r="L395" s="38"/>
      <c r="M395" s="39"/>
      <c r="N395" s="38"/>
      <c r="O395" s="39"/>
      <c r="P395" s="40"/>
      <c r="Q395" s="34"/>
      <c r="R395" s="35"/>
      <c r="S395" s="35"/>
      <c r="T395" s="35"/>
      <c r="U395" s="35"/>
      <c r="V395" s="35"/>
      <c r="W395" s="35"/>
      <c r="X395" s="35"/>
      <c r="Y395" s="35"/>
      <c r="Z395" s="35"/>
      <c r="AA395" s="35"/>
    </row>
    <row r="396" ht="14.25" customHeight="1">
      <c r="A396" s="83"/>
      <c r="B396" s="84"/>
      <c r="C396" s="108"/>
      <c r="D396" s="102"/>
      <c r="E396" s="117"/>
      <c r="F396" s="250"/>
      <c r="G396" s="523"/>
      <c r="H396" s="524"/>
      <c r="I396" s="523"/>
      <c r="J396" s="36"/>
      <c r="K396" s="37"/>
      <c r="L396" s="38"/>
      <c r="M396" s="39"/>
      <c r="N396" s="38"/>
      <c r="O396" s="39"/>
      <c r="P396" s="40"/>
      <c r="Q396" s="34"/>
      <c r="R396" s="35"/>
      <c r="S396" s="35"/>
      <c r="T396" s="35"/>
      <c r="U396" s="35"/>
      <c r="V396" s="35"/>
      <c r="W396" s="35"/>
      <c r="X396" s="35"/>
      <c r="Y396" s="35"/>
      <c r="Z396" s="35"/>
      <c r="AA396" s="35"/>
    </row>
    <row r="397" ht="14.25" customHeight="1">
      <c r="A397" s="83"/>
      <c r="B397" s="84"/>
      <c r="C397" s="108"/>
      <c r="D397" s="102"/>
      <c r="E397" s="117"/>
      <c r="F397" s="250"/>
      <c r="G397" s="523"/>
      <c r="H397" s="524"/>
      <c r="I397" s="523"/>
      <c r="J397" s="36"/>
      <c r="K397" s="37"/>
      <c r="L397" s="38"/>
      <c r="M397" s="39"/>
      <c r="N397" s="38"/>
      <c r="O397" s="39"/>
      <c r="P397" s="40"/>
      <c r="Q397" s="34"/>
      <c r="R397" s="35"/>
      <c r="S397" s="35"/>
      <c r="T397" s="35"/>
      <c r="U397" s="35"/>
      <c r="V397" s="35"/>
      <c r="W397" s="35"/>
      <c r="X397" s="35"/>
      <c r="Y397" s="35"/>
      <c r="Z397" s="35"/>
      <c r="AA397" s="35"/>
    </row>
    <row r="398" ht="14.25" customHeight="1">
      <c r="A398" s="83"/>
      <c r="B398" s="84"/>
      <c r="C398" s="108"/>
      <c r="D398" s="102"/>
      <c r="E398" s="117"/>
      <c r="F398" s="250"/>
      <c r="G398" s="523"/>
      <c r="H398" s="524"/>
      <c r="I398" s="523"/>
      <c r="J398" s="36"/>
      <c r="K398" s="37"/>
      <c r="L398" s="38"/>
      <c r="M398" s="39"/>
      <c r="N398" s="38"/>
      <c r="O398" s="39"/>
      <c r="P398" s="40"/>
      <c r="Q398" s="34"/>
      <c r="R398" s="35"/>
      <c r="S398" s="35"/>
      <c r="T398" s="35"/>
      <c r="U398" s="35"/>
      <c r="V398" s="35"/>
      <c r="W398" s="35"/>
      <c r="X398" s="35"/>
      <c r="Y398" s="35"/>
      <c r="Z398" s="35"/>
      <c r="AA398" s="35"/>
    </row>
    <row r="399" ht="14.25" customHeight="1">
      <c r="A399" s="83"/>
      <c r="B399" s="84"/>
      <c r="C399" s="108"/>
      <c r="D399" s="102"/>
      <c r="E399" s="117"/>
      <c r="F399" s="250"/>
      <c r="G399" s="523"/>
      <c r="H399" s="524"/>
      <c r="I399" s="523"/>
      <c r="J399" s="36"/>
      <c r="K399" s="37"/>
      <c r="L399" s="38"/>
      <c r="M399" s="39"/>
      <c r="N399" s="38"/>
      <c r="O399" s="39"/>
      <c r="P399" s="40"/>
      <c r="Q399" s="34"/>
      <c r="R399" s="35"/>
      <c r="S399" s="35"/>
      <c r="T399" s="35"/>
      <c r="U399" s="35"/>
      <c r="V399" s="35"/>
      <c r="W399" s="35"/>
      <c r="X399" s="35"/>
      <c r="Y399" s="35"/>
      <c r="Z399" s="35"/>
      <c r="AA399" s="35"/>
    </row>
    <row r="400" ht="14.25" customHeight="1">
      <c r="A400" s="83"/>
      <c r="B400" s="84"/>
      <c r="C400" s="108"/>
      <c r="D400" s="102"/>
      <c r="E400" s="117"/>
      <c r="F400" s="250"/>
      <c r="G400" s="523"/>
      <c r="H400" s="524"/>
      <c r="I400" s="523"/>
      <c r="J400" s="36"/>
      <c r="K400" s="37"/>
      <c r="L400" s="38"/>
      <c r="M400" s="39"/>
      <c r="N400" s="38"/>
      <c r="O400" s="39"/>
      <c r="P400" s="40"/>
      <c r="Q400" s="34"/>
      <c r="R400" s="35"/>
      <c r="S400" s="35"/>
      <c r="T400" s="35"/>
      <c r="U400" s="35"/>
      <c r="V400" s="35"/>
      <c r="W400" s="35"/>
      <c r="X400" s="35"/>
      <c r="Y400" s="35"/>
      <c r="Z400" s="35"/>
      <c r="AA400" s="35"/>
    </row>
    <row r="401" ht="14.25" customHeight="1">
      <c r="A401" s="83"/>
      <c r="B401" s="84"/>
      <c r="C401" s="108"/>
      <c r="D401" s="102"/>
      <c r="E401" s="117"/>
      <c r="F401" s="250"/>
      <c r="G401" s="523"/>
      <c r="H401" s="524"/>
      <c r="I401" s="523"/>
      <c r="J401" s="36"/>
      <c r="K401" s="37"/>
      <c r="L401" s="38"/>
      <c r="M401" s="39"/>
      <c r="N401" s="38"/>
      <c r="O401" s="39"/>
      <c r="P401" s="40"/>
      <c r="Q401" s="34"/>
      <c r="R401" s="35"/>
      <c r="S401" s="35"/>
      <c r="T401" s="35"/>
      <c r="U401" s="35"/>
      <c r="V401" s="35"/>
      <c r="W401" s="35"/>
      <c r="X401" s="35"/>
      <c r="Y401" s="35"/>
      <c r="Z401" s="35"/>
      <c r="AA401" s="35"/>
    </row>
    <row r="402" ht="14.25" customHeight="1">
      <c r="A402" s="83"/>
      <c r="B402" s="84"/>
      <c r="C402" s="108"/>
      <c r="D402" s="102"/>
      <c r="E402" s="117"/>
      <c r="F402" s="250"/>
      <c r="G402" s="523"/>
      <c r="H402" s="524"/>
      <c r="I402" s="523"/>
      <c r="J402" s="36"/>
      <c r="K402" s="37"/>
      <c r="L402" s="38"/>
      <c r="M402" s="39"/>
      <c r="N402" s="38"/>
      <c r="O402" s="39"/>
      <c r="P402" s="40"/>
      <c r="Q402" s="34"/>
      <c r="R402" s="35"/>
      <c r="S402" s="35"/>
      <c r="T402" s="35"/>
      <c r="U402" s="35"/>
      <c r="V402" s="35"/>
      <c r="W402" s="35"/>
      <c r="X402" s="35"/>
      <c r="Y402" s="35"/>
      <c r="Z402" s="35"/>
      <c r="AA402" s="35"/>
    </row>
    <row r="403" ht="14.25" customHeight="1">
      <c r="A403" s="83"/>
      <c r="B403" s="84"/>
      <c r="C403" s="108"/>
      <c r="D403" s="102"/>
      <c r="E403" s="117"/>
      <c r="F403" s="250"/>
      <c r="G403" s="523"/>
      <c r="H403" s="524"/>
      <c r="I403" s="523"/>
      <c r="J403" s="36"/>
      <c r="K403" s="37"/>
      <c r="L403" s="38"/>
      <c r="M403" s="39"/>
      <c r="N403" s="38"/>
      <c r="O403" s="39"/>
      <c r="P403" s="40"/>
      <c r="Q403" s="34"/>
      <c r="R403" s="35"/>
      <c r="S403" s="35"/>
      <c r="T403" s="35"/>
      <c r="U403" s="35"/>
      <c r="V403" s="35"/>
      <c r="W403" s="35"/>
      <c r="X403" s="35"/>
      <c r="Y403" s="35"/>
      <c r="Z403" s="35"/>
      <c r="AA403" s="35"/>
    </row>
    <row r="404" ht="14.25" customHeight="1">
      <c r="A404" s="83"/>
      <c r="B404" s="84"/>
      <c r="C404" s="108"/>
      <c r="D404" s="102"/>
      <c r="E404" s="117"/>
      <c r="F404" s="250"/>
      <c r="G404" s="523"/>
      <c r="H404" s="524"/>
      <c r="I404" s="523"/>
      <c r="J404" s="36"/>
      <c r="K404" s="37"/>
      <c r="L404" s="38"/>
      <c r="M404" s="39"/>
      <c r="N404" s="38"/>
      <c r="O404" s="39"/>
      <c r="P404" s="40"/>
      <c r="Q404" s="34"/>
      <c r="R404" s="35"/>
      <c r="S404" s="35"/>
      <c r="T404" s="35"/>
      <c r="U404" s="35"/>
      <c r="V404" s="35"/>
      <c r="W404" s="35"/>
      <c r="X404" s="35"/>
      <c r="Y404" s="35"/>
      <c r="Z404" s="35"/>
      <c r="AA404" s="35"/>
    </row>
    <row r="405" ht="14.25" customHeight="1">
      <c r="A405" s="83"/>
      <c r="B405" s="84"/>
      <c r="C405" s="108"/>
      <c r="D405" s="102"/>
      <c r="E405" s="117"/>
      <c r="F405" s="250"/>
      <c r="G405" s="523"/>
      <c r="H405" s="524"/>
      <c r="I405" s="523"/>
      <c r="J405" s="36"/>
      <c r="K405" s="37"/>
      <c r="L405" s="38"/>
      <c r="M405" s="39"/>
      <c r="N405" s="38"/>
      <c r="O405" s="39"/>
      <c r="P405" s="40"/>
      <c r="Q405" s="34"/>
      <c r="R405" s="35"/>
      <c r="S405" s="35"/>
      <c r="T405" s="35"/>
      <c r="U405" s="35"/>
      <c r="V405" s="35"/>
      <c r="W405" s="35"/>
      <c r="X405" s="35"/>
      <c r="Y405" s="35"/>
      <c r="Z405" s="35"/>
      <c r="AA405" s="35"/>
    </row>
    <row r="406" ht="14.25" customHeight="1">
      <c r="A406" s="83"/>
      <c r="B406" s="84"/>
      <c r="C406" s="108"/>
      <c r="D406" s="102"/>
      <c r="E406" s="117"/>
      <c r="F406" s="250"/>
      <c r="G406" s="523"/>
      <c r="H406" s="524"/>
      <c r="I406" s="523"/>
      <c r="J406" s="36"/>
      <c r="K406" s="37"/>
      <c r="L406" s="38"/>
      <c r="M406" s="39"/>
      <c r="N406" s="38"/>
      <c r="O406" s="39"/>
      <c r="P406" s="40"/>
      <c r="Q406" s="34"/>
      <c r="R406" s="35"/>
      <c r="S406" s="35"/>
      <c r="T406" s="35"/>
      <c r="U406" s="35"/>
      <c r="V406" s="35"/>
      <c r="W406" s="35"/>
      <c r="X406" s="35"/>
      <c r="Y406" s="35"/>
      <c r="Z406" s="35"/>
      <c r="AA406" s="35"/>
    </row>
    <row r="407" ht="14.25" customHeight="1">
      <c r="A407" s="83"/>
      <c r="B407" s="84"/>
      <c r="C407" s="108"/>
      <c r="D407" s="102"/>
      <c r="E407" s="117"/>
      <c r="F407" s="250"/>
      <c r="G407" s="523"/>
      <c r="H407" s="524"/>
      <c r="I407" s="523"/>
      <c r="J407" s="36"/>
      <c r="K407" s="37"/>
      <c r="L407" s="38"/>
      <c r="M407" s="39"/>
      <c r="N407" s="38"/>
      <c r="O407" s="39"/>
      <c r="P407" s="40"/>
      <c r="Q407" s="34"/>
      <c r="R407" s="35"/>
      <c r="S407" s="35"/>
      <c r="T407" s="35"/>
      <c r="U407" s="35"/>
      <c r="V407" s="35"/>
      <c r="W407" s="35"/>
      <c r="X407" s="35"/>
      <c r="Y407" s="35"/>
      <c r="Z407" s="35"/>
      <c r="AA407" s="35"/>
    </row>
    <row r="408" ht="14.25" customHeight="1">
      <c r="A408" s="83"/>
      <c r="B408" s="84"/>
      <c r="C408" s="108"/>
      <c r="D408" s="102"/>
      <c r="E408" s="117"/>
      <c r="F408" s="250"/>
      <c r="G408" s="523"/>
      <c r="H408" s="524"/>
      <c r="I408" s="523"/>
      <c r="J408" s="36"/>
      <c r="K408" s="37"/>
      <c r="L408" s="38"/>
      <c r="M408" s="39"/>
      <c r="N408" s="38"/>
      <c r="O408" s="39"/>
      <c r="P408" s="40"/>
      <c r="Q408" s="34"/>
      <c r="R408" s="35"/>
      <c r="S408" s="35"/>
      <c r="T408" s="35"/>
      <c r="U408" s="35"/>
      <c r="V408" s="35"/>
      <c r="W408" s="35"/>
      <c r="X408" s="35"/>
      <c r="Y408" s="35"/>
      <c r="Z408" s="35"/>
      <c r="AA408" s="35"/>
    </row>
    <row r="409" ht="14.25" customHeight="1">
      <c r="A409" s="83"/>
      <c r="B409" s="84"/>
      <c r="C409" s="108"/>
      <c r="D409" s="102"/>
      <c r="E409" s="117"/>
      <c r="F409" s="250"/>
      <c r="G409" s="523"/>
      <c r="H409" s="524"/>
      <c r="I409" s="523"/>
      <c r="J409" s="36"/>
      <c r="K409" s="37"/>
      <c r="L409" s="38"/>
      <c r="M409" s="39"/>
      <c r="N409" s="38"/>
      <c r="O409" s="39"/>
      <c r="P409" s="40"/>
      <c r="Q409" s="34"/>
      <c r="R409" s="35"/>
      <c r="S409" s="35"/>
      <c r="T409" s="35"/>
      <c r="U409" s="35"/>
      <c r="V409" s="35"/>
      <c r="W409" s="35"/>
      <c r="X409" s="35"/>
      <c r="Y409" s="35"/>
      <c r="Z409" s="35"/>
      <c r="AA409" s="35"/>
    </row>
    <row r="410" ht="14.25" customHeight="1">
      <c r="A410" s="83"/>
      <c r="B410" s="84"/>
      <c r="C410" s="108"/>
      <c r="D410" s="102"/>
      <c r="E410" s="117"/>
      <c r="F410" s="250"/>
      <c r="G410" s="523"/>
      <c r="H410" s="524"/>
      <c r="I410" s="523"/>
      <c r="J410" s="36"/>
      <c r="K410" s="37"/>
      <c r="L410" s="38"/>
      <c r="M410" s="39"/>
      <c r="N410" s="38"/>
      <c r="O410" s="39"/>
      <c r="P410" s="40"/>
      <c r="Q410" s="34"/>
      <c r="R410" s="35"/>
      <c r="S410" s="35"/>
      <c r="T410" s="35"/>
      <c r="U410" s="35"/>
      <c r="V410" s="35"/>
      <c r="W410" s="35"/>
      <c r="X410" s="35"/>
      <c r="Y410" s="35"/>
      <c r="Z410" s="35"/>
      <c r="AA410" s="35"/>
    </row>
    <row r="411" ht="14.25" customHeight="1">
      <c r="A411" s="83"/>
      <c r="B411" s="84"/>
      <c r="C411" s="108"/>
      <c r="D411" s="102"/>
      <c r="E411" s="117"/>
      <c r="F411" s="250"/>
      <c r="G411" s="523"/>
      <c r="H411" s="524"/>
      <c r="I411" s="523"/>
      <c r="J411" s="36"/>
      <c r="K411" s="37"/>
      <c r="L411" s="38"/>
      <c r="M411" s="39"/>
      <c r="N411" s="38"/>
      <c r="O411" s="39"/>
      <c r="P411" s="40"/>
      <c r="Q411" s="34"/>
      <c r="R411" s="35"/>
      <c r="S411" s="35"/>
      <c r="T411" s="35"/>
      <c r="U411" s="35"/>
      <c r="V411" s="35"/>
      <c r="W411" s="35"/>
      <c r="X411" s="35"/>
      <c r="Y411" s="35"/>
      <c r="Z411" s="35"/>
      <c r="AA411" s="35"/>
    </row>
    <row r="412" ht="14.25" customHeight="1">
      <c r="A412" s="83"/>
      <c r="B412" s="84"/>
      <c r="C412" s="108"/>
      <c r="D412" s="102"/>
      <c r="E412" s="117"/>
      <c r="F412" s="250"/>
      <c r="G412" s="523"/>
      <c r="H412" s="524"/>
      <c r="I412" s="523"/>
      <c r="J412" s="36"/>
      <c r="K412" s="37"/>
      <c r="L412" s="38"/>
      <c r="M412" s="39"/>
      <c r="N412" s="38"/>
      <c r="O412" s="39"/>
      <c r="P412" s="40"/>
      <c r="Q412" s="34"/>
      <c r="R412" s="35"/>
      <c r="S412" s="35"/>
      <c r="T412" s="35"/>
      <c r="U412" s="35"/>
      <c r="V412" s="35"/>
      <c r="W412" s="35"/>
      <c r="X412" s="35"/>
      <c r="Y412" s="35"/>
      <c r="Z412" s="35"/>
      <c r="AA412" s="35"/>
    </row>
    <row r="413" ht="14.25" customHeight="1">
      <c r="A413" s="83"/>
      <c r="B413" s="84"/>
      <c r="C413" s="108"/>
      <c r="D413" s="102"/>
      <c r="E413" s="117"/>
      <c r="F413" s="250"/>
      <c r="G413" s="523"/>
      <c r="H413" s="524"/>
      <c r="I413" s="523"/>
      <c r="J413" s="36"/>
      <c r="K413" s="37"/>
      <c r="L413" s="38"/>
      <c r="M413" s="39"/>
      <c r="N413" s="38"/>
      <c r="O413" s="39"/>
      <c r="P413" s="40"/>
      <c r="Q413" s="34"/>
      <c r="R413" s="35"/>
      <c r="S413" s="35"/>
      <c r="T413" s="35"/>
      <c r="U413" s="35"/>
      <c r="V413" s="35"/>
      <c r="W413" s="35"/>
      <c r="X413" s="35"/>
      <c r="Y413" s="35"/>
      <c r="Z413" s="35"/>
      <c r="AA413" s="35"/>
    </row>
    <row r="414" ht="14.25" customHeight="1">
      <c r="A414" s="83"/>
      <c r="B414" s="84"/>
      <c r="C414" s="108"/>
      <c r="D414" s="102"/>
      <c r="E414" s="117"/>
      <c r="F414" s="250"/>
      <c r="G414" s="523"/>
      <c r="H414" s="524"/>
      <c r="I414" s="523"/>
      <c r="J414" s="36"/>
      <c r="K414" s="37"/>
      <c r="L414" s="38"/>
      <c r="M414" s="39"/>
      <c r="N414" s="38"/>
      <c r="O414" s="39"/>
      <c r="P414" s="40"/>
      <c r="Q414" s="34"/>
      <c r="R414" s="35"/>
      <c r="S414" s="35"/>
      <c r="T414" s="35"/>
      <c r="U414" s="35"/>
      <c r="V414" s="35"/>
      <c r="W414" s="35"/>
      <c r="X414" s="35"/>
      <c r="Y414" s="35"/>
      <c r="Z414" s="35"/>
      <c r="AA414" s="35"/>
    </row>
    <row r="415" ht="14.25" customHeight="1">
      <c r="A415" s="83"/>
      <c r="B415" s="84"/>
      <c r="C415" s="108"/>
      <c r="D415" s="102"/>
      <c r="E415" s="117"/>
      <c r="F415" s="250"/>
      <c r="G415" s="523"/>
      <c r="H415" s="524"/>
      <c r="I415" s="523"/>
      <c r="J415" s="36"/>
      <c r="K415" s="37"/>
      <c r="L415" s="38"/>
      <c r="M415" s="39"/>
      <c r="N415" s="38"/>
      <c r="O415" s="39"/>
      <c r="P415" s="40"/>
      <c r="Q415" s="34"/>
      <c r="R415" s="35"/>
      <c r="S415" s="35"/>
      <c r="T415" s="35"/>
      <c r="U415" s="35"/>
      <c r="V415" s="35"/>
      <c r="W415" s="35"/>
      <c r="X415" s="35"/>
      <c r="Y415" s="35"/>
      <c r="Z415" s="35"/>
      <c r="AA415" s="35"/>
    </row>
    <row r="416" ht="14.25" customHeight="1">
      <c r="A416" s="83"/>
      <c r="B416" s="84"/>
      <c r="C416" s="108"/>
      <c r="D416" s="102"/>
      <c r="E416" s="117"/>
      <c r="F416" s="250"/>
      <c r="G416" s="523"/>
      <c r="H416" s="524"/>
      <c r="I416" s="523"/>
      <c r="J416" s="36"/>
      <c r="K416" s="37"/>
      <c r="L416" s="38"/>
      <c r="M416" s="39"/>
      <c r="N416" s="38"/>
      <c r="O416" s="39"/>
      <c r="P416" s="40"/>
      <c r="Q416" s="34"/>
      <c r="R416" s="35"/>
      <c r="S416" s="35"/>
      <c r="T416" s="35"/>
      <c r="U416" s="35"/>
      <c r="V416" s="35"/>
      <c r="W416" s="35"/>
      <c r="X416" s="35"/>
      <c r="Y416" s="35"/>
      <c r="Z416" s="35"/>
      <c r="AA416" s="35"/>
    </row>
    <row r="417" ht="14.25" customHeight="1">
      <c r="A417" s="83"/>
      <c r="B417" s="84"/>
      <c r="C417" s="108"/>
      <c r="D417" s="102"/>
      <c r="E417" s="117"/>
      <c r="F417" s="250"/>
      <c r="G417" s="523"/>
      <c r="H417" s="524"/>
      <c r="I417" s="523"/>
      <c r="J417" s="36"/>
      <c r="K417" s="37"/>
      <c r="L417" s="38"/>
      <c r="M417" s="39"/>
      <c r="N417" s="38"/>
      <c r="O417" s="39"/>
      <c r="P417" s="40"/>
      <c r="Q417" s="34"/>
      <c r="R417" s="35"/>
      <c r="S417" s="35"/>
      <c r="T417" s="35"/>
      <c r="U417" s="35"/>
      <c r="V417" s="35"/>
      <c r="W417" s="35"/>
      <c r="X417" s="35"/>
      <c r="Y417" s="35"/>
      <c r="Z417" s="35"/>
      <c r="AA417" s="35"/>
    </row>
    <row r="418" ht="14.25" customHeight="1">
      <c r="A418" s="83"/>
      <c r="B418" s="84"/>
      <c r="C418" s="108"/>
      <c r="D418" s="102"/>
      <c r="E418" s="117"/>
      <c r="F418" s="250"/>
      <c r="G418" s="523"/>
      <c r="H418" s="524"/>
      <c r="I418" s="523"/>
      <c r="J418" s="36"/>
      <c r="K418" s="37"/>
      <c r="L418" s="38"/>
      <c r="M418" s="39"/>
      <c r="N418" s="38"/>
      <c r="O418" s="39"/>
      <c r="P418" s="40"/>
      <c r="Q418" s="34"/>
      <c r="R418" s="35"/>
      <c r="S418" s="35"/>
      <c r="T418" s="35"/>
      <c r="U418" s="35"/>
      <c r="V418" s="35"/>
      <c r="W418" s="35"/>
      <c r="X418" s="35"/>
      <c r="Y418" s="35"/>
      <c r="Z418" s="35"/>
      <c r="AA418" s="35"/>
    </row>
    <row r="419" ht="14.25" customHeight="1">
      <c r="A419" s="83"/>
      <c r="B419" s="84"/>
      <c r="C419" s="108"/>
      <c r="D419" s="102"/>
      <c r="E419" s="117"/>
      <c r="F419" s="250"/>
      <c r="G419" s="523"/>
      <c r="H419" s="524"/>
      <c r="I419" s="523"/>
      <c r="J419" s="36"/>
      <c r="K419" s="37"/>
      <c r="L419" s="38"/>
      <c r="M419" s="39"/>
      <c r="N419" s="38"/>
      <c r="O419" s="39"/>
      <c r="P419" s="40"/>
      <c r="Q419" s="34"/>
      <c r="R419" s="35"/>
      <c r="S419" s="35"/>
      <c r="T419" s="35"/>
      <c r="U419" s="35"/>
      <c r="V419" s="35"/>
      <c r="W419" s="35"/>
      <c r="X419" s="35"/>
      <c r="Y419" s="35"/>
      <c r="Z419" s="35"/>
      <c r="AA419" s="35"/>
    </row>
    <row r="420" ht="14.25" customHeight="1">
      <c r="A420" s="83"/>
      <c r="B420" s="84"/>
      <c r="C420" s="108"/>
      <c r="D420" s="102"/>
      <c r="E420" s="117"/>
      <c r="F420" s="250"/>
      <c r="G420" s="523"/>
      <c r="H420" s="524"/>
      <c r="I420" s="523"/>
      <c r="J420" s="36"/>
      <c r="K420" s="37"/>
      <c r="L420" s="38"/>
      <c r="M420" s="39"/>
      <c r="N420" s="38"/>
      <c r="O420" s="39"/>
      <c r="P420" s="40"/>
      <c r="Q420" s="34"/>
      <c r="R420" s="35"/>
      <c r="S420" s="35"/>
      <c r="T420" s="35"/>
      <c r="U420" s="35"/>
      <c r="V420" s="35"/>
      <c r="W420" s="35"/>
      <c r="X420" s="35"/>
      <c r="Y420" s="35"/>
      <c r="Z420" s="35"/>
      <c r="AA420" s="35"/>
    </row>
    <row r="421" ht="14.25" customHeight="1">
      <c r="A421" s="83"/>
      <c r="B421" s="84"/>
      <c r="C421" s="108"/>
      <c r="D421" s="102"/>
      <c r="E421" s="117"/>
      <c r="F421" s="250"/>
      <c r="G421" s="523"/>
      <c r="H421" s="524"/>
      <c r="I421" s="523"/>
      <c r="J421" s="36"/>
      <c r="K421" s="37"/>
      <c r="L421" s="38"/>
      <c r="M421" s="39"/>
      <c r="N421" s="38"/>
      <c r="O421" s="39"/>
      <c r="P421" s="40"/>
      <c r="Q421" s="34"/>
      <c r="R421" s="35"/>
      <c r="S421" s="35"/>
      <c r="T421" s="35"/>
      <c r="U421" s="35"/>
      <c r="V421" s="35"/>
      <c r="W421" s="35"/>
      <c r="X421" s="35"/>
      <c r="Y421" s="35"/>
      <c r="Z421" s="35"/>
      <c r="AA421" s="35"/>
    </row>
    <row r="422" ht="14.25" customHeight="1">
      <c r="A422" s="83"/>
      <c r="B422" s="84"/>
      <c r="C422" s="108"/>
      <c r="D422" s="102"/>
      <c r="E422" s="117"/>
      <c r="F422" s="250"/>
      <c r="G422" s="523"/>
      <c r="H422" s="524"/>
      <c r="I422" s="523"/>
      <c r="J422" s="36"/>
      <c r="K422" s="37"/>
      <c r="L422" s="38"/>
      <c r="M422" s="39"/>
      <c r="N422" s="38"/>
      <c r="O422" s="39"/>
      <c r="P422" s="40"/>
      <c r="Q422" s="34"/>
      <c r="R422" s="35"/>
      <c r="S422" s="35"/>
      <c r="T422" s="35"/>
      <c r="U422" s="35"/>
      <c r="V422" s="35"/>
      <c r="W422" s="35"/>
      <c r="X422" s="35"/>
      <c r="Y422" s="35"/>
      <c r="Z422" s="35"/>
      <c r="AA422" s="35"/>
    </row>
    <row r="423" ht="14.25" customHeight="1">
      <c r="A423" s="83"/>
      <c r="B423" s="84"/>
      <c r="C423" s="108"/>
      <c r="D423" s="102"/>
      <c r="E423" s="117"/>
      <c r="F423" s="250"/>
      <c r="G423" s="523"/>
      <c r="H423" s="524"/>
      <c r="I423" s="523"/>
      <c r="J423" s="36"/>
      <c r="K423" s="37"/>
      <c r="L423" s="38"/>
      <c r="M423" s="39"/>
      <c r="N423" s="38"/>
      <c r="O423" s="39"/>
      <c r="P423" s="40"/>
      <c r="Q423" s="34"/>
      <c r="R423" s="35"/>
      <c r="S423" s="35"/>
      <c r="T423" s="35"/>
      <c r="U423" s="35"/>
      <c r="V423" s="35"/>
      <c r="W423" s="35"/>
      <c r="X423" s="35"/>
      <c r="Y423" s="35"/>
      <c r="Z423" s="35"/>
      <c r="AA423" s="35"/>
    </row>
    <row r="424" ht="14.25" customHeight="1">
      <c r="A424" s="83"/>
      <c r="B424" s="84"/>
      <c r="C424" s="108"/>
      <c r="D424" s="102"/>
      <c r="E424" s="117"/>
      <c r="F424" s="250"/>
      <c r="G424" s="523"/>
      <c r="H424" s="524"/>
      <c r="I424" s="523"/>
      <c r="J424" s="36"/>
      <c r="K424" s="37"/>
      <c r="L424" s="38"/>
      <c r="M424" s="39"/>
      <c r="N424" s="38"/>
      <c r="O424" s="39"/>
      <c r="P424" s="40"/>
      <c r="Q424" s="34"/>
      <c r="R424" s="35"/>
      <c r="S424" s="35"/>
      <c r="T424" s="35"/>
      <c r="U424" s="35"/>
      <c r="V424" s="35"/>
      <c r="W424" s="35"/>
      <c r="X424" s="35"/>
      <c r="Y424" s="35"/>
      <c r="Z424" s="35"/>
      <c r="AA424" s="35"/>
    </row>
    <row r="425" ht="14.25" customHeight="1">
      <c r="A425" s="83"/>
      <c r="B425" s="84"/>
      <c r="C425" s="108"/>
      <c r="D425" s="102"/>
      <c r="E425" s="117"/>
      <c r="F425" s="250"/>
      <c r="G425" s="523"/>
      <c r="H425" s="524"/>
      <c r="I425" s="523"/>
      <c r="J425" s="36"/>
      <c r="K425" s="37"/>
      <c r="L425" s="38"/>
      <c r="M425" s="39"/>
      <c r="N425" s="38"/>
      <c r="O425" s="39"/>
      <c r="P425" s="40"/>
      <c r="Q425" s="34"/>
      <c r="R425" s="35"/>
      <c r="S425" s="35"/>
      <c r="T425" s="35"/>
      <c r="U425" s="35"/>
      <c r="V425" s="35"/>
      <c r="W425" s="35"/>
      <c r="X425" s="35"/>
      <c r="Y425" s="35"/>
      <c r="Z425" s="35"/>
      <c r="AA425" s="35"/>
    </row>
    <row r="426" ht="14.25" customHeight="1">
      <c r="A426" s="83"/>
      <c r="B426" s="84"/>
      <c r="C426" s="108"/>
      <c r="D426" s="102"/>
      <c r="E426" s="117"/>
      <c r="F426" s="250"/>
      <c r="G426" s="523"/>
      <c r="H426" s="524"/>
      <c r="I426" s="523"/>
      <c r="J426" s="36"/>
      <c r="K426" s="37"/>
      <c r="L426" s="38"/>
      <c r="M426" s="39"/>
      <c r="N426" s="38"/>
      <c r="O426" s="39"/>
      <c r="P426" s="40"/>
      <c r="Q426" s="34"/>
      <c r="R426" s="35"/>
      <c r="S426" s="35"/>
      <c r="T426" s="35"/>
      <c r="U426" s="35"/>
      <c r="V426" s="35"/>
      <c r="W426" s="35"/>
      <c r="X426" s="35"/>
      <c r="Y426" s="35"/>
      <c r="Z426" s="35"/>
      <c r="AA426" s="35"/>
    </row>
    <row r="427" ht="14.25" customHeight="1">
      <c r="A427" s="83"/>
      <c r="B427" s="84"/>
      <c r="C427" s="108"/>
      <c r="D427" s="102"/>
      <c r="E427" s="117"/>
      <c r="F427" s="250"/>
      <c r="G427" s="523"/>
      <c r="H427" s="524"/>
      <c r="I427" s="523"/>
      <c r="J427" s="36"/>
      <c r="K427" s="37"/>
      <c r="L427" s="38"/>
      <c r="M427" s="39"/>
      <c r="N427" s="38"/>
      <c r="O427" s="39"/>
      <c r="P427" s="40"/>
      <c r="Q427" s="34"/>
      <c r="R427" s="35"/>
      <c r="S427" s="35"/>
      <c r="T427" s="35"/>
      <c r="U427" s="35"/>
      <c r="V427" s="35"/>
      <c r="W427" s="35"/>
      <c r="X427" s="35"/>
      <c r="Y427" s="35"/>
      <c r="Z427" s="35"/>
      <c r="AA427" s="35"/>
    </row>
    <row r="428" ht="14.25" customHeight="1">
      <c r="A428" s="83"/>
      <c r="B428" s="84"/>
      <c r="C428" s="108"/>
      <c r="D428" s="102"/>
      <c r="E428" s="117"/>
      <c r="F428" s="250"/>
      <c r="G428" s="523"/>
      <c r="H428" s="524"/>
      <c r="I428" s="523"/>
      <c r="J428" s="36"/>
      <c r="K428" s="37"/>
      <c r="L428" s="38"/>
      <c r="M428" s="39"/>
      <c r="N428" s="38"/>
      <c r="O428" s="39"/>
      <c r="P428" s="40"/>
      <c r="Q428" s="34"/>
      <c r="R428" s="35"/>
      <c r="S428" s="35"/>
      <c r="T428" s="35"/>
      <c r="U428" s="35"/>
      <c r="V428" s="35"/>
      <c r="W428" s="35"/>
      <c r="X428" s="35"/>
      <c r="Y428" s="35"/>
      <c r="Z428" s="35"/>
      <c r="AA428" s="35"/>
    </row>
    <row r="429" ht="14.25" customHeight="1">
      <c r="A429" s="83"/>
      <c r="B429" s="84"/>
      <c r="C429" s="108"/>
      <c r="D429" s="102"/>
      <c r="E429" s="117"/>
      <c r="F429" s="250"/>
      <c r="G429" s="523"/>
      <c r="H429" s="524"/>
      <c r="I429" s="523"/>
      <c r="J429" s="36"/>
      <c r="K429" s="37"/>
      <c r="L429" s="38"/>
      <c r="M429" s="39"/>
      <c r="N429" s="38"/>
      <c r="O429" s="39"/>
      <c r="P429" s="40"/>
      <c r="Q429" s="34"/>
      <c r="R429" s="35"/>
      <c r="S429" s="35"/>
      <c r="T429" s="35"/>
      <c r="U429" s="35"/>
      <c r="V429" s="35"/>
      <c r="W429" s="35"/>
      <c r="X429" s="35"/>
      <c r="Y429" s="35"/>
      <c r="Z429" s="35"/>
      <c r="AA429" s="35"/>
    </row>
    <row r="430" ht="14.25" customHeight="1">
      <c r="A430" s="83"/>
      <c r="B430" s="84"/>
      <c r="C430" s="108"/>
      <c r="D430" s="102"/>
      <c r="E430" s="117"/>
      <c r="F430" s="250"/>
      <c r="G430" s="523"/>
      <c r="H430" s="524"/>
      <c r="I430" s="523"/>
      <c r="J430" s="36"/>
      <c r="K430" s="37"/>
      <c r="L430" s="38"/>
      <c r="M430" s="39"/>
      <c r="N430" s="38"/>
      <c r="O430" s="39"/>
      <c r="P430" s="40"/>
      <c r="Q430" s="34"/>
      <c r="R430" s="35"/>
      <c r="S430" s="35"/>
      <c r="T430" s="35"/>
      <c r="U430" s="35"/>
      <c r="V430" s="35"/>
      <c r="W430" s="35"/>
      <c r="X430" s="35"/>
      <c r="Y430" s="35"/>
      <c r="Z430" s="35"/>
      <c r="AA430" s="35"/>
    </row>
    <row r="431" ht="14.25" customHeight="1">
      <c r="A431" s="83"/>
      <c r="B431" s="84"/>
      <c r="C431" s="108"/>
      <c r="D431" s="102"/>
      <c r="E431" s="117"/>
      <c r="F431" s="250"/>
      <c r="G431" s="523"/>
      <c r="H431" s="524"/>
      <c r="I431" s="523"/>
      <c r="J431" s="36"/>
      <c r="K431" s="37"/>
      <c r="L431" s="38"/>
      <c r="M431" s="39"/>
      <c r="N431" s="38"/>
      <c r="O431" s="39"/>
      <c r="P431" s="40"/>
      <c r="Q431" s="34"/>
      <c r="R431" s="35"/>
      <c r="S431" s="35"/>
      <c r="T431" s="35"/>
      <c r="U431" s="35"/>
      <c r="V431" s="35"/>
      <c r="W431" s="35"/>
      <c r="X431" s="35"/>
      <c r="Y431" s="35"/>
      <c r="Z431" s="35"/>
      <c r="AA431" s="35"/>
    </row>
    <row r="432" ht="14.25" customHeight="1">
      <c r="A432" s="83"/>
      <c r="B432" s="84"/>
      <c r="C432" s="108"/>
      <c r="D432" s="102"/>
      <c r="E432" s="117"/>
      <c r="F432" s="250"/>
      <c r="G432" s="523"/>
      <c r="H432" s="524"/>
      <c r="I432" s="523"/>
      <c r="J432" s="36"/>
      <c r="K432" s="37"/>
      <c r="L432" s="38"/>
      <c r="M432" s="39"/>
      <c r="N432" s="38"/>
      <c r="O432" s="39"/>
      <c r="P432" s="40"/>
      <c r="Q432" s="34"/>
      <c r="R432" s="35"/>
      <c r="S432" s="35"/>
      <c r="T432" s="35"/>
      <c r="U432" s="35"/>
      <c r="V432" s="35"/>
      <c r="W432" s="35"/>
      <c r="X432" s="35"/>
      <c r="Y432" s="35"/>
      <c r="Z432" s="35"/>
      <c r="AA432" s="35"/>
    </row>
    <row r="433" ht="14.25" customHeight="1">
      <c r="A433" s="83"/>
      <c r="B433" s="84"/>
      <c r="C433" s="108"/>
      <c r="D433" s="102"/>
      <c r="E433" s="117"/>
      <c r="F433" s="250"/>
      <c r="G433" s="523"/>
      <c r="H433" s="524"/>
      <c r="I433" s="523"/>
      <c r="J433" s="36"/>
      <c r="K433" s="37"/>
      <c r="L433" s="38"/>
      <c r="M433" s="39"/>
      <c r="N433" s="38"/>
      <c r="O433" s="39"/>
      <c r="P433" s="40"/>
      <c r="Q433" s="34"/>
      <c r="R433" s="35"/>
      <c r="S433" s="35"/>
      <c r="T433" s="35"/>
      <c r="U433" s="35"/>
      <c r="V433" s="35"/>
      <c r="W433" s="35"/>
      <c r="X433" s="35"/>
      <c r="Y433" s="35"/>
      <c r="Z433" s="35"/>
      <c r="AA433" s="35"/>
    </row>
    <row r="434" ht="14.25" customHeight="1">
      <c r="A434" s="83"/>
      <c r="B434" s="84"/>
      <c r="C434" s="108"/>
      <c r="D434" s="102"/>
      <c r="E434" s="117"/>
      <c r="F434" s="250"/>
      <c r="G434" s="523"/>
      <c r="H434" s="524"/>
      <c r="I434" s="523"/>
      <c r="J434" s="36"/>
      <c r="K434" s="37"/>
      <c r="L434" s="38"/>
      <c r="M434" s="39"/>
      <c r="N434" s="38"/>
      <c r="O434" s="39"/>
      <c r="P434" s="40"/>
      <c r="Q434" s="34"/>
      <c r="R434" s="35"/>
      <c r="S434" s="35"/>
      <c r="T434" s="35"/>
      <c r="U434" s="35"/>
      <c r="V434" s="35"/>
      <c r="W434" s="35"/>
      <c r="X434" s="35"/>
      <c r="Y434" s="35"/>
      <c r="Z434" s="35"/>
      <c r="AA434" s="35"/>
    </row>
    <row r="435" ht="14.25" customHeight="1">
      <c r="A435" s="83"/>
      <c r="B435" s="84"/>
      <c r="C435" s="108"/>
      <c r="D435" s="102"/>
      <c r="E435" s="117"/>
      <c r="F435" s="250"/>
      <c r="G435" s="523"/>
      <c r="H435" s="524"/>
      <c r="I435" s="523"/>
      <c r="J435" s="36"/>
      <c r="K435" s="37"/>
      <c r="L435" s="38"/>
      <c r="M435" s="39"/>
      <c r="N435" s="38"/>
      <c r="O435" s="39"/>
      <c r="P435" s="40"/>
      <c r="Q435" s="34"/>
      <c r="R435" s="35"/>
      <c r="S435" s="35"/>
      <c r="T435" s="35"/>
      <c r="U435" s="35"/>
      <c r="V435" s="35"/>
      <c r="W435" s="35"/>
      <c r="X435" s="35"/>
      <c r="Y435" s="35"/>
      <c r="Z435" s="35"/>
      <c r="AA435" s="35"/>
    </row>
    <row r="436" ht="14.25" customHeight="1">
      <c r="A436" s="83"/>
      <c r="B436" s="84"/>
      <c r="C436" s="108"/>
      <c r="D436" s="102"/>
      <c r="E436" s="117"/>
      <c r="F436" s="250"/>
      <c r="G436" s="523"/>
      <c r="H436" s="524"/>
      <c r="I436" s="523"/>
      <c r="J436" s="36"/>
      <c r="K436" s="37"/>
      <c r="L436" s="38"/>
      <c r="M436" s="39"/>
      <c r="N436" s="38"/>
      <c r="O436" s="39"/>
      <c r="P436" s="40"/>
      <c r="Q436" s="34"/>
      <c r="R436" s="35"/>
      <c r="S436" s="35"/>
      <c r="T436" s="35"/>
      <c r="U436" s="35"/>
      <c r="V436" s="35"/>
      <c r="W436" s="35"/>
      <c r="X436" s="35"/>
      <c r="Y436" s="35"/>
      <c r="Z436" s="35"/>
      <c r="AA436" s="35"/>
    </row>
    <row r="437" ht="14.25" customHeight="1">
      <c r="A437" s="83"/>
      <c r="B437" s="84"/>
      <c r="C437" s="108"/>
      <c r="D437" s="102"/>
      <c r="E437" s="117"/>
      <c r="F437" s="250"/>
      <c r="G437" s="523"/>
      <c r="H437" s="524"/>
      <c r="I437" s="523"/>
      <c r="J437" s="36"/>
      <c r="K437" s="37"/>
      <c r="L437" s="38"/>
      <c r="M437" s="39"/>
      <c r="N437" s="38"/>
      <c r="O437" s="39"/>
      <c r="P437" s="40"/>
      <c r="Q437" s="34"/>
      <c r="R437" s="35"/>
      <c r="S437" s="35"/>
      <c r="T437" s="35"/>
      <c r="U437" s="35"/>
      <c r="V437" s="35"/>
      <c r="W437" s="35"/>
      <c r="X437" s="35"/>
      <c r="Y437" s="35"/>
      <c r="Z437" s="35"/>
      <c r="AA437" s="35"/>
    </row>
    <row r="438" ht="14.25" customHeight="1">
      <c r="A438" s="83"/>
      <c r="B438" s="84"/>
      <c r="C438" s="108"/>
      <c r="D438" s="102"/>
      <c r="E438" s="117"/>
      <c r="F438" s="250"/>
      <c r="G438" s="523"/>
      <c r="H438" s="524"/>
      <c r="I438" s="523"/>
      <c r="J438" s="36"/>
      <c r="K438" s="37"/>
      <c r="L438" s="38"/>
      <c r="M438" s="39"/>
      <c r="N438" s="38"/>
      <c r="O438" s="39"/>
      <c r="P438" s="40"/>
      <c r="Q438" s="34"/>
      <c r="R438" s="35"/>
      <c r="S438" s="35"/>
      <c r="T438" s="35"/>
      <c r="U438" s="35"/>
      <c r="V438" s="35"/>
      <c r="W438" s="35"/>
      <c r="X438" s="35"/>
      <c r="Y438" s="35"/>
      <c r="Z438" s="35"/>
      <c r="AA438" s="35"/>
    </row>
    <row r="439" ht="14.25" customHeight="1">
      <c r="A439" s="83"/>
      <c r="B439" s="84"/>
      <c r="C439" s="108"/>
      <c r="D439" s="102"/>
      <c r="E439" s="117"/>
      <c r="F439" s="250"/>
      <c r="G439" s="523"/>
      <c r="H439" s="524"/>
      <c r="I439" s="523"/>
      <c r="J439" s="36"/>
      <c r="K439" s="37"/>
      <c r="L439" s="38"/>
      <c r="M439" s="39"/>
      <c r="N439" s="38"/>
      <c r="O439" s="39"/>
      <c r="P439" s="40"/>
      <c r="Q439" s="34"/>
      <c r="R439" s="35"/>
      <c r="S439" s="35"/>
      <c r="T439" s="35"/>
      <c r="U439" s="35"/>
      <c r="V439" s="35"/>
      <c r="W439" s="35"/>
      <c r="X439" s="35"/>
      <c r="Y439" s="35"/>
      <c r="Z439" s="35"/>
      <c r="AA439" s="35"/>
    </row>
    <row r="440" ht="14.25" customHeight="1">
      <c r="A440" s="83"/>
      <c r="B440" s="84"/>
      <c r="C440" s="108"/>
      <c r="D440" s="102"/>
      <c r="E440" s="117"/>
      <c r="F440" s="250"/>
      <c r="G440" s="523"/>
      <c r="H440" s="524"/>
      <c r="I440" s="523"/>
      <c r="J440" s="36"/>
      <c r="K440" s="37"/>
      <c r="L440" s="38"/>
      <c r="M440" s="39"/>
      <c r="N440" s="38"/>
      <c r="O440" s="39"/>
      <c r="P440" s="40"/>
      <c r="Q440" s="34"/>
      <c r="R440" s="35"/>
      <c r="S440" s="35"/>
      <c r="T440" s="35"/>
      <c r="U440" s="35"/>
      <c r="V440" s="35"/>
      <c r="W440" s="35"/>
      <c r="X440" s="35"/>
      <c r="Y440" s="35"/>
      <c r="Z440" s="35"/>
      <c r="AA440" s="35"/>
    </row>
    <row r="441" ht="14.25" customHeight="1">
      <c r="A441" s="83"/>
      <c r="B441" s="84"/>
      <c r="C441" s="108"/>
      <c r="D441" s="102"/>
      <c r="E441" s="117"/>
      <c r="F441" s="250"/>
      <c r="G441" s="523"/>
      <c r="H441" s="524"/>
      <c r="I441" s="523"/>
      <c r="J441" s="36"/>
      <c r="K441" s="37"/>
      <c r="L441" s="38"/>
      <c r="M441" s="39"/>
      <c r="N441" s="38"/>
      <c r="O441" s="39"/>
      <c r="P441" s="40"/>
      <c r="Q441" s="34"/>
      <c r="R441" s="35"/>
      <c r="S441" s="35"/>
      <c r="T441" s="35"/>
      <c r="U441" s="35"/>
      <c r="V441" s="35"/>
      <c r="W441" s="35"/>
      <c r="X441" s="35"/>
      <c r="Y441" s="35"/>
      <c r="Z441" s="35"/>
      <c r="AA441" s="35"/>
    </row>
    <row r="442" ht="14.25" customHeight="1">
      <c r="A442" s="83"/>
      <c r="B442" s="84"/>
      <c r="C442" s="108"/>
      <c r="D442" s="102"/>
      <c r="E442" s="117"/>
      <c r="F442" s="250"/>
      <c r="G442" s="523"/>
      <c r="H442" s="524"/>
      <c r="I442" s="523"/>
      <c r="J442" s="36"/>
      <c r="K442" s="37"/>
      <c r="L442" s="38"/>
      <c r="M442" s="39"/>
      <c r="N442" s="38"/>
      <c r="O442" s="39"/>
      <c r="P442" s="40"/>
      <c r="Q442" s="34"/>
      <c r="R442" s="35"/>
      <c r="S442" s="35"/>
      <c r="T442" s="35"/>
      <c r="U442" s="35"/>
      <c r="V442" s="35"/>
      <c r="W442" s="35"/>
      <c r="X442" s="35"/>
      <c r="Y442" s="35"/>
      <c r="Z442" s="35"/>
      <c r="AA442" s="35"/>
    </row>
    <row r="443" ht="14.25" customHeight="1">
      <c r="A443" s="83"/>
      <c r="B443" s="84"/>
      <c r="C443" s="108"/>
      <c r="D443" s="102"/>
      <c r="E443" s="117"/>
      <c r="F443" s="250"/>
      <c r="G443" s="523"/>
      <c r="H443" s="524"/>
      <c r="I443" s="523"/>
      <c r="J443" s="36"/>
      <c r="K443" s="37"/>
      <c r="L443" s="38"/>
      <c r="M443" s="39"/>
      <c r="N443" s="38"/>
      <c r="O443" s="39"/>
      <c r="P443" s="40"/>
      <c r="Q443" s="34"/>
      <c r="R443" s="35"/>
      <c r="S443" s="35"/>
      <c r="T443" s="35"/>
      <c r="U443" s="35"/>
      <c r="V443" s="35"/>
      <c r="W443" s="35"/>
      <c r="X443" s="35"/>
      <c r="Y443" s="35"/>
      <c r="Z443" s="35"/>
      <c r="AA443" s="35"/>
    </row>
    <row r="444" ht="14.25" customHeight="1">
      <c r="A444" s="83"/>
      <c r="B444" s="84"/>
      <c r="C444" s="108"/>
      <c r="D444" s="102"/>
      <c r="E444" s="117"/>
      <c r="F444" s="250"/>
      <c r="G444" s="523"/>
      <c r="H444" s="524"/>
      <c r="I444" s="523"/>
      <c r="J444" s="36"/>
      <c r="K444" s="37"/>
      <c r="L444" s="38"/>
      <c r="M444" s="39"/>
      <c r="N444" s="38"/>
      <c r="O444" s="39"/>
      <c r="P444" s="40"/>
      <c r="Q444" s="34"/>
      <c r="R444" s="35"/>
      <c r="S444" s="35"/>
      <c r="T444" s="35"/>
      <c r="U444" s="35"/>
      <c r="V444" s="35"/>
      <c r="W444" s="35"/>
      <c r="X444" s="35"/>
      <c r="Y444" s="35"/>
      <c r="Z444" s="35"/>
      <c r="AA444" s="35"/>
    </row>
    <row r="445" ht="14.25" customHeight="1">
      <c r="A445" s="83"/>
      <c r="B445" s="84"/>
      <c r="C445" s="108"/>
      <c r="D445" s="102"/>
      <c r="E445" s="117"/>
      <c r="F445" s="250"/>
      <c r="G445" s="523"/>
      <c r="H445" s="524"/>
      <c r="I445" s="523"/>
      <c r="J445" s="36"/>
      <c r="K445" s="37"/>
      <c r="L445" s="38"/>
      <c r="M445" s="39"/>
      <c r="N445" s="38"/>
      <c r="O445" s="39"/>
      <c r="P445" s="40"/>
      <c r="Q445" s="34"/>
      <c r="R445" s="35"/>
      <c r="S445" s="35"/>
      <c r="T445" s="35"/>
      <c r="U445" s="35"/>
      <c r="V445" s="35"/>
      <c r="W445" s="35"/>
      <c r="X445" s="35"/>
      <c r="Y445" s="35"/>
      <c r="Z445" s="35"/>
      <c r="AA445" s="35"/>
    </row>
    <row r="446" ht="14.25" customHeight="1">
      <c r="A446" s="83"/>
      <c r="B446" s="84"/>
      <c r="C446" s="108"/>
      <c r="D446" s="102"/>
      <c r="E446" s="117"/>
      <c r="F446" s="250"/>
      <c r="G446" s="523"/>
      <c r="H446" s="524"/>
      <c r="I446" s="523"/>
      <c r="J446" s="36"/>
      <c r="K446" s="37"/>
      <c r="L446" s="38"/>
      <c r="M446" s="39"/>
      <c r="N446" s="38"/>
      <c r="O446" s="39"/>
      <c r="P446" s="40"/>
      <c r="Q446" s="34"/>
      <c r="R446" s="35"/>
      <c r="S446" s="35"/>
      <c r="T446" s="35"/>
      <c r="U446" s="35"/>
      <c r="V446" s="35"/>
      <c r="W446" s="35"/>
      <c r="X446" s="35"/>
      <c r="Y446" s="35"/>
      <c r="Z446" s="35"/>
      <c r="AA446" s="35"/>
    </row>
    <row r="447" ht="14.25" customHeight="1">
      <c r="A447" s="83"/>
      <c r="B447" s="84"/>
      <c r="C447" s="108"/>
      <c r="D447" s="102"/>
      <c r="E447" s="117"/>
      <c r="F447" s="250"/>
      <c r="G447" s="523"/>
      <c r="H447" s="524"/>
      <c r="I447" s="523"/>
      <c r="J447" s="36"/>
      <c r="K447" s="37"/>
      <c r="L447" s="38"/>
      <c r="M447" s="39"/>
      <c r="N447" s="38"/>
      <c r="O447" s="39"/>
      <c r="P447" s="40"/>
      <c r="Q447" s="34"/>
      <c r="R447" s="35"/>
      <c r="S447" s="35"/>
      <c r="T447" s="35"/>
      <c r="U447" s="35"/>
      <c r="V447" s="35"/>
      <c r="W447" s="35"/>
      <c r="X447" s="35"/>
      <c r="Y447" s="35"/>
      <c r="Z447" s="35"/>
      <c r="AA447" s="35"/>
    </row>
    <row r="448" ht="14.25" customHeight="1">
      <c r="A448" s="83"/>
      <c r="B448" s="84"/>
      <c r="C448" s="108"/>
      <c r="D448" s="102"/>
      <c r="E448" s="117"/>
      <c r="F448" s="250"/>
      <c r="G448" s="523"/>
      <c r="H448" s="524"/>
      <c r="I448" s="523"/>
      <c r="J448" s="36"/>
      <c r="K448" s="37"/>
      <c r="L448" s="38"/>
      <c r="M448" s="39"/>
      <c r="N448" s="38"/>
      <c r="O448" s="39"/>
      <c r="P448" s="40"/>
      <c r="Q448" s="34"/>
      <c r="R448" s="35"/>
      <c r="S448" s="35"/>
      <c r="T448" s="35"/>
      <c r="U448" s="35"/>
      <c r="V448" s="35"/>
      <c r="W448" s="35"/>
      <c r="X448" s="35"/>
      <c r="Y448" s="35"/>
      <c r="Z448" s="35"/>
      <c r="AA448" s="35"/>
    </row>
    <row r="449" ht="14.25" customHeight="1">
      <c r="A449" s="83"/>
      <c r="B449" s="84"/>
      <c r="C449" s="108"/>
      <c r="D449" s="102"/>
      <c r="E449" s="117"/>
      <c r="F449" s="250"/>
      <c r="G449" s="523"/>
      <c r="H449" s="524"/>
      <c r="I449" s="523"/>
      <c r="J449" s="36"/>
      <c r="K449" s="37"/>
      <c r="L449" s="38"/>
      <c r="M449" s="39"/>
      <c r="N449" s="38"/>
      <c r="O449" s="39"/>
      <c r="P449" s="40"/>
      <c r="Q449" s="34"/>
      <c r="R449" s="35"/>
      <c r="S449" s="35"/>
      <c r="T449" s="35"/>
      <c r="U449" s="35"/>
      <c r="V449" s="35"/>
      <c r="W449" s="35"/>
      <c r="X449" s="35"/>
      <c r="Y449" s="35"/>
      <c r="Z449" s="35"/>
      <c r="AA449" s="35"/>
    </row>
    <row r="450" ht="14.25" customHeight="1">
      <c r="A450" s="83"/>
      <c r="B450" s="84"/>
      <c r="C450" s="108"/>
      <c r="D450" s="102"/>
      <c r="E450" s="117"/>
      <c r="F450" s="250"/>
      <c r="G450" s="523"/>
      <c r="H450" s="524"/>
      <c r="I450" s="523"/>
      <c r="J450" s="36"/>
      <c r="K450" s="37"/>
      <c r="L450" s="38"/>
      <c r="M450" s="39"/>
      <c r="N450" s="38"/>
      <c r="O450" s="39"/>
      <c r="P450" s="40"/>
      <c r="Q450" s="34"/>
      <c r="R450" s="35"/>
      <c r="S450" s="35"/>
      <c r="T450" s="35"/>
      <c r="U450" s="35"/>
      <c r="V450" s="35"/>
      <c r="W450" s="35"/>
      <c r="X450" s="35"/>
      <c r="Y450" s="35"/>
      <c r="Z450" s="35"/>
      <c r="AA450" s="35"/>
    </row>
    <row r="451" ht="14.25" customHeight="1">
      <c r="A451" s="83"/>
      <c r="B451" s="84"/>
      <c r="C451" s="108"/>
      <c r="D451" s="102"/>
      <c r="E451" s="117"/>
      <c r="F451" s="250"/>
      <c r="G451" s="523"/>
      <c r="H451" s="524"/>
      <c r="I451" s="523"/>
      <c r="J451" s="36"/>
      <c r="K451" s="37"/>
      <c r="L451" s="38"/>
      <c r="M451" s="39"/>
      <c r="N451" s="38"/>
      <c r="O451" s="39"/>
      <c r="P451" s="40"/>
      <c r="Q451" s="34"/>
      <c r="R451" s="35"/>
      <c r="S451" s="35"/>
      <c r="T451" s="35"/>
      <c r="U451" s="35"/>
      <c r="V451" s="35"/>
      <c r="W451" s="35"/>
      <c r="X451" s="35"/>
      <c r="Y451" s="35"/>
      <c r="Z451" s="35"/>
      <c r="AA451" s="35"/>
    </row>
    <row r="452" ht="14.25" customHeight="1">
      <c r="A452" s="83"/>
      <c r="B452" s="84"/>
      <c r="C452" s="108"/>
      <c r="D452" s="102"/>
      <c r="E452" s="117"/>
      <c r="F452" s="250"/>
      <c r="G452" s="523"/>
      <c r="H452" s="524"/>
      <c r="I452" s="523"/>
      <c r="J452" s="36"/>
      <c r="K452" s="37"/>
      <c r="L452" s="38"/>
      <c r="M452" s="39"/>
      <c r="N452" s="38"/>
      <c r="O452" s="39"/>
      <c r="P452" s="40"/>
      <c r="Q452" s="34"/>
      <c r="R452" s="35"/>
      <c r="S452" s="35"/>
      <c r="T452" s="35"/>
      <c r="U452" s="35"/>
      <c r="V452" s="35"/>
      <c r="W452" s="35"/>
      <c r="X452" s="35"/>
      <c r="Y452" s="35"/>
      <c r="Z452" s="35"/>
      <c r="AA452" s="35"/>
    </row>
    <row r="453" ht="14.25" customHeight="1">
      <c r="A453" s="83"/>
      <c r="B453" s="84"/>
      <c r="C453" s="108"/>
      <c r="D453" s="102"/>
      <c r="E453" s="117"/>
      <c r="F453" s="250"/>
      <c r="G453" s="523"/>
      <c r="H453" s="524"/>
      <c r="I453" s="523"/>
      <c r="J453" s="36"/>
      <c r="K453" s="37"/>
      <c r="L453" s="38"/>
      <c r="M453" s="39"/>
      <c r="N453" s="38"/>
      <c r="O453" s="39"/>
      <c r="P453" s="40"/>
      <c r="Q453" s="34"/>
      <c r="R453" s="35"/>
      <c r="S453" s="35"/>
      <c r="T453" s="35"/>
      <c r="U453" s="35"/>
      <c r="V453" s="35"/>
      <c r="W453" s="35"/>
      <c r="X453" s="35"/>
      <c r="Y453" s="35"/>
      <c r="Z453" s="35"/>
      <c r="AA453" s="35"/>
    </row>
    <row r="454" ht="14.25" customHeight="1">
      <c r="A454" s="83"/>
      <c r="B454" s="84"/>
      <c r="C454" s="108"/>
      <c r="D454" s="102"/>
      <c r="E454" s="117"/>
      <c r="F454" s="250"/>
      <c r="G454" s="523"/>
      <c r="H454" s="524"/>
      <c r="I454" s="523"/>
      <c r="J454" s="36"/>
      <c r="K454" s="37"/>
      <c r="L454" s="38"/>
      <c r="M454" s="39"/>
      <c r="N454" s="38"/>
      <c r="O454" s="39"/>
      <c r="P454" s="40"/>
      <c r="Q454" s="34"/>
      <c r="R454" s="35"/>
      <c r="S454" s="35"/>
      <c r="T454" s="35"/>
      <c r="U454" s="35"/>
      <c r="V454" s="35"/>
      <c r="W454" s="35"/>
      <c r="X454" s="35"/>
      <c r="Y454" s="35"/>
      <c r="Z454" s="35"/>
      <c r="AA454" s="35"/>
    </row>
    <row r="455" ht="14.25" customHeight="1">
      <c r="A455" s="83"/>
      <c r="B455" s="84"/>
      <c r="C455" s="108"/>
      <c r="D455" s="102"/>
      <c r="E455" s="117"/>
      <c r="F455" s="250"/>
      <c r="G455" s="523"/>
      <c r="H455" s="524"/>
      <c r="I455" s="523"/>
      <c r="J455" s="36"/>
      <c r="K455" s="37"/>
      <c r="L455" s="38"/>
      <c r="M455" s="39"/>
      <c r="N455" s="38"/>
      <c r="O455" s="39"/>
      <c r="P455" s="40"/>
      <c r="Q455" s="34"/>
      <c r="R455" s="35"/>
      <c r="S455" s="35"/>
      <c r="T455" s="35"/>
      <c r="U455" s="35"/>
      <c r="V455" s="35"/>
      <c r="W455" s="35"/>
      <c r="X455" s="35"/>
      <c r="Y455" s="35"/>
      <c r="Z455" s="35"/>
      <c r="AA455" s="35"/>
    </row>
    <row r="456" ht="14.25" customHeight="1">
      <c r="A456" s="83"/>
      <c r="B456" s="84"/>
      <c r="C456" s="108"/>
      <c r="D456" s="102"/>
      <c r="E456" s="117"/>
      <c r="F456" s="250"/>
      <c r="G456" s="523"/>
      <c r="H456" s="524"/>
      <c r="I456" s="523"/>
      <c r="J456" s="36"/>
      <c r="K456" s="37"/>
      <c r="L456" s="38"/>
      <c r="M456" s="39"/>
      <c r="N456" s="38"/>
      <c r="O456" s="39"/>
      <c r="P456" s="40"/>
      <c r="Q456" s="34"/>
      <c r="R456" s="35"/>
      <c r="S456" s="35"/>
      <c r="T456" s="35"/>
      <c r="U456" s="35"/>
      <c r="V456" s="35"/>
      <c r="W456" s="35"/>
      <c r="X456" s="35"/>
      <c r="Y456" s="35"/>
      <c r="Z456" s="35"/>
      <c r="AA456" s="35"/>
    </row>
    <row r="457" ht="14.25" customHeight="1">
      <c r="A457" s="83"/>
      <c r="B457" s="84"/>
      <c r="C457" s="108"/>
      <c r="D457" s="102"/>
      <c r="E457" s="117"/>
      <c r="F457" s="250"/>
      <c r="G457" s="523"/>
      <c r="H457" s="524"/>
      <c r="I457" s="523"/>
      <c r="J457" s="36"/>
      <c r="K457" s="37"/>
      <c r="L457" s="38"/>
      <c r="M457" s="39"/>
      <c r="N457" s="38"/>
      <c r="O457" s="39"/>
      <c r="P457" s="40"/>
      <c r="Q457" s="34"/>
      <c r="R457" s="35"/>
      <c r="S457" s="35"/>
      <c r="T457" s="35"/>
      <c r="U457" s="35"/>
      <c r="V457" s="35"/>
      <c r="W457" s="35"/>
      <c r="X457" s="35"/>
      <c r="Y457" s="35"/>
      <c r="Z457" s="35"/>
      <c r="AA457" s="35"/>
    </row>
    <row r="458" ht="14.25" customHeight="1">
      <c r="A458" s="83"/>
      <c r="B458" s="84"/>
      <c r="C458" s="108"/>
      <c r="D458" s="102"/>
      <c r="E458" s="117"/>
      <c r="F458" s="250"/>
      <c r="G458" s="523"/>
      <c r="H458" s="524"/>
      <c r="I458" s="523"/>
      <c r="J458" s="36"/>
      <c r="K458" s="37"/>
      <c r="L458" s="38"/>
      <c r="M458" s="39"/>
      <c r="N458" s="38"/>
      <c r="O458" s="39"/>
      <c r="P458" s="40"/>
      <c r="Q458" s="34"/>
      <c r="R458" s="35"/>
      <c r="S458" s="35"/>
      <c r="T458" s="35"/>
      <c r="U458" s="35"/>
      <c r="V458" s="35"/>
      <c r="W458" s="35"/>
      <c r="X458" s="35"/>
      <c r="Y458" s="35"/>
      <c r="Z458" s="35"/>
      <c r="AA458" s="35"/>
    </row>
    <row r="459" ht="14.25" customHeight="1">
      <c r="A459" s="83"/>
      <c r="B459" s="84"/>
      <c r="C459" s="108"/>
      <c r="D459" s="102"/>
      <c r="E459" s="117"/>
      <c r="F459" s="250"/>
      <c r="G459" s="523"/>
      <c r="H459" s="524"/>
      <c r="I459" s="523"/>
      <c r="J459" s="36"/>
      <c r="K459" s="37"/>
      <c r="L459" s="38"/>
      <c r="M459" s="39"/>
      <c r="N459" s="38"/>
      <c r="O459" s="39"/>
      <c r="P459" s="40"/>
      <c r="Q459" s="34"/>
      <c r="R459" s="35"/>
      <c r="S459" s="35"/>
      <c r="T459" s="35"/>
      <c r="U459" s="35"/>
      <c r="V459" s="35"/>
      <c r="W459" s="35"/>
      <c r="X459" s="35"/>
      <c r="Y459" s="35"/>
      <c r="Z459" s="35"/>
      <c r="AA459" s="35"/>
    </row>
    <row r="460" ht="14.25" customHeight="1">
      <c r="A460" s="83"/>
      <c r="B460" s="84"/>
      <c r="C460" s="108"/>
      <c r="D460" s="102"/>
      <c r="E460" s="117"/>
      <c r="F460" s="250"/>
      <c r="G460" s="523"/>
      <c r="H460" s="524"/>
      <c r="I460" s="523"/>
      <c r="J460" s="36"/>
      <c r="K460" s="37"/>
      <c r="L460" s="38"/>
      <c r="M460" s="39"/>
      <c r="N460" s="38"/>
      <c r="O460" s="39"/>
      <c r="P460" s="40"/>
      <c r="Q460" s="34"/>
      <c r="R460" s="35"/>
      <c r="S460" s="35"/>
      <c r="T460" s="35"/>
      <c r="U460" s="35"/>
      <c r="V460" s="35"/>
      <c r="W460" s="35"/>
      <c r="X460" s="35"/>
      <c r="Y460" s="35"/>
      <c r="Z460" s="35"/>
      <c r="AA460" s="35"/>
    </row>
    <row r="461" ht="14.25" customHeight="1">
      <c r="A461" s="83"/>
      <c r="B461" s="84"/>
      <c r="C461" s="108"/>
      <c r="D461" s="102"/>
      <c r="E461" s="117"/>
      <c r="F461" s="250"/>
      <c r="G461" s="523"/>
      <c r="H461" s="524"/>
      <c r="I461" s="523"/>
      <c r="J461" s="36"/>
      <c r="K461" s="37"/>
      <c r="L461" s="38"/>
      <c r="M461" s="39"/>
      <c r="N461" s="38"/>
      <c r="O461" s="39"/>
      <c r="P461" s="40"/>
      <c r="Q461" s="34"/>
      <c r="R461" s="35"/>
      <c r="S461" s="35"/>
      <c r="T461" s="35"/>
      <c r="U461" s="35"/>
      <c r="V461" s="35"/>
      <c r="W461" s="35"/>
      <c r="X461" s="35"/>
      <c r="Y461" s="35"/>
      <c r="Z461" s="35"/>
      <c r="AA461" s="35"/>
    </row>
    <row r="462" ht="14.25" customHeight="1">
      <c r="A462" s="83"/>
      <c r="B462" s="84"/>
      <c r="C462" s="108"/>
      <c r="D462" s="102"/>
      <c r="E462" s="117"/>
      <c r="F462" s="250"/>
      <c r="G462" s="523"/>
      <c r="H462" s="524"/>
      <c r="I462" s="523"/>
      <c r="J462" s="36"/>
      <c r="K462" s="37"/>
      <c r="L462" s="38"/>
      <c r="M462" s="39"/>
      <c r="N462" s="38"/>
      <c r="O462" s="39"/>
      <c r="P462" s="40"/>
      <c r="Q462" s="34"/>
      <c r="R462" s="35"/>
      <c r="S462" s="35"/>
      <c r="T462" s="35"/>
      <c r="U462" s="35"/>
      <c r="V462" s="35"/>
      <c r="W462" s="35"/>
      <c r="X462" s="35"/>
      <c r="Y462" s="35"/>
      <c r="Z462" s="35"/>
      <c r="AA462" s="35"/>
    </row>
    <row r="463" ht="14.25" customHeight="1">
      <c r="A463" s="83"/>
      <c r="B463" s="84"/>
      <c r="C463" s="108"/>
      <c r="D463" s="102"/>
      <c r="E463" s="117"/>
      <c r="F463" s="250"/>
      <c r="G463" s="523"/>
      <c r="H463" s="524"/>
      <c r="I463" s="523"/>
      <c r="J463" s="36"/>
      <c r="K463" s="37"/>
      <c r="L463" s="38"/>
      <c r="M463" s="39"/>
      <c r="N463" s="38"/>
      <c r="O463" s="39"/>
      <c r="P463" s="40"/>
      <c r="Q463" s="34"/>
      <c r="R463" s="35"/>
      <c r="S463" s="35"/>
      <c r="T463" s="35"/>
      <c r="U463" s="35"/>
      <c r="V463" s="35"/>
      <c r="W463" s="35"/>
      <c r="X463" s="35"/>
      <c r="Y463" s="35"/>
      <c r="Z463" s="35"/>
      <c r="AA463" s="35"/>
    </row>
    <row r="464" ht="14.25" customHeight="1">
      <c r="A464" s="83"/>
      <c r="B464" s="84"/>
      <c r="C464" s="108"/>
      <c r="D464" s="102"/>
      <c r="E464" s="117"/>
      <c r="F464" s="250"/>
      <c r="G464" s="523"/>
      <c r="H464" s="524"/>
      <c r="I464" s="523"/>
      <c r="J464" s="36"/>
      <c r="K464" s="37"/>
      <c r="L464" s="38"/>
      <c r="M464" s="39"/>
      <c r="N464" s="38"/>
      <c r="O464" s="39"/>
      <c r="P464" s="40"/>
      <c r="Q464" s="34"/>
      <c r="R464" s="35"/>
      <c r="S464" s="35"/>
      <c r="T464" s="35"/>
      <c r="U464" s="35"/>
      <c r="V464" s="35"/>
      <c r="W464" s="35"/>
      <c r="X464" s="35"/>
      <c r="Y464" s="35"/>
      <c r="Z464" s="35"/>
      <c r="AA464" s="35"/>
    </row>
    <row r="465" ht="14.25" customHeight="1">
      <c r="A465" s="83"/>
      <c r="B465" s="84"/>
      <c r="C465" s="108"/>
      <c r="D465" s="102"/>
      <c r="E465" s="117"/>
      <c r="F465" s="250"/>
      <c r="G465" s="523"/>
      <c r="H465" s="524"/>
      <c r="I465" s="523"/>
      <c r="J465" s="36"/>
      <c r="K465" s="37"/>
      <c r="L465" s="38"/>
      <c r="M465" s="39"/>
      <c r="N465" s="38"/>
      <c r="O465" s="39"/>
      <c r="P465" s="40"/>
      <c r="Q465" s="34"/>
      <c r="R465" s="35"/>
      <c r="S465" s="35"/>
      <c r="T465" s="35"/>
      <c r="U465" s="35"/>
      <c r="V465" s="35"/>
      <c r="W465" s="35"/>
      <c r="X465" s="35"/>
      <c r="Y465" s="35"/>
      <c r="Z465" s="35"/>
      <c r="AA465" s="35"/>
    </row>
    <row r="466" ht="14.25" customHeight="1">
      <c r="A466" s="83"/>
      <c r="B466" s="84"/>
      <c r="C466" s="108"/>
      <c r="D466" s="102"/>
      <c r="E466" s="117"/>
      <c r="F466" s="250"/>
      <c r="G466" s="523"/>
      <c r="H466" s="524"/>
      <c r="I466" s="523"/>
      <c r="J466" s="36"/>
      <c r="K466" s="37"/>
      <c r="L466" s="38"/>
      <c r="M466" s="39"/>
      <c r="N466" s="38"/>
      <c r="O466" s="39"/>
      <c r="P466" s="40"/>
      <c r="Q466" s="34"/>
      <c r="R466" s="35"/>
      <c r="S466" s="35"/>
      <c r="T466" s="35"/>
      <c r="U466" s="35"/>
      <c r="V466" s="35"/>
      <c r="W466" s="35"/>
      <c r="X466" s="35"/>
      <c r="Y466" s="35"/>
      <c r="Z466" s="35"/>
      <c r="AA466" s="35"/>
    </row>
    <row r="467" ht="14.25" customHeight="1">
      <c r="A467" s="83"/>
      <c r="B467" s="84"/>
      <c r="C467" s="108"/>
      <c r="D467" s="102"/>
      <c r="E467" s="117"/>
      <c r="F467" s="250"/>
      <c r="G467" s="523"/>
      <c r="H467" s="524"/>
      <c r="I467" s="523"/>
      <c r="J467" s="36"/>
      <c r="K467" s="37"/>
      <c r="L467" s="38"/>
      <c r="M467" s="39"/>
      <c r="N467" s="38"/>
      <c r="O467" s="39"/>
      <c r="P467" s="40"/>
      <c r="Q467" s="34"/>
      <c r="R467" s="35"/>
      <c r="S467" s="35"/>
      <c r="T467" s="35"/>
      <c r="U467" s="35"/>
      <c r="V467" s="35"/>
      <c r="W467" s="35"/>
      <c r="X467" s="35"/>
      <c r="Y467" s="35"/>
      <c r="Z467" s="35"/>
      <c r="AA467" s="35"/>
    </row>
    <row r="468" ht="14.25" customHeight="1">
      <c r="A468" s="83"/>
      <c r="B468" s="84"/>
      <c r="C468" s="108"/>
      <c r="D468" s="102"/>
      <c r="E468" s="117"/>
      <c r="F468" s="250"/>
      <c r="G468" s="523"/>
      <c r="H468" s="524"/>
      <c r="I468" s="523"/>
      <c r="J468" s="36"/>
      <c r="K468" s="37"/>
      <c r="L468" s="38"/>
      <c r="M468" s="39"/>
      <c r="N468" s="38"/>
      <c r="O468" s="39"/>
      <c r="P468" s="40"/>
      <c r="Q468" s="34"/>
      <c r="R468" s="35"/>
      <c r="S468" s="35"/>
      <c r="T468" s="35"/>
      <c r="U468" s="35"/>
      <c r="V468" s="35"/>
      <c r="W468" s="35"/>
      <c r="X468" s="35"/>
      <c r="Y468" s="35"/>
      <c r="Z468" s="35"/>
      <c r="AA468" s="35"/>
    </row>
    <row r="469" ht="14.25" customHeight="1">
      <c r="A469" s="83"/>
      <c r="B469" s="84"/>
      <c r="C469" s="108"/>
      <c r="D469" s="102"/>
      <c r="E469" s="117"/>
      <c r="F469" s="250"/>
      <c r="G469" s="523"/>
      <c r="H469" s="524"/>
      <c r="I469" s="523"/>
      <c r="J469" s="36"/>
      <c r="K469" s="37"/>
      <c r="L469" s="38"/>
      <c r="M469" s="39"/>
      <c r="N469" s="38"/>
      <c r="O469" s="39"/>
      <c r="P469" s="40"/>
      <c r="Q469" s="34"/>
      <c r="R469" s="35"/>
      <c r="S469" s="35"/>
      <c r="T469" s="35"/>
      <c r="U469" s="35"/>
      <c r="V469" s="35"/>
      <c r="W469" s="35"/>
      <c r="X469" s="35"/>
      <c r="Y469" s="35"/>
      <c r="Z469" s="35"/>
      <c r="AA469" s="35"/>
    </row>
    <row r="470" ht="14.25" customHeight="1">
      <c r="A470" s="83"/>
      <c r="B470" s="84"/>
      <c r="C470" s="108"/>
      <c r="D470" s="102"/>
      <c r="E470" s="117"/>
      <c r="F470" s="250"/>
      <c r="G470" s="523"/>
      <c r="H470" s="524"/>
      <c r="I470" s="523"/>
      <c r="J470" s="36"/>
      <c r="K470" s="37"/>
      <c r="L470" s="38"/>
      <c r="M470" s="39"/>
      <c r="N470" s="38"/>
      <c r="O470" s="39"/>
      <c r="P470" s="40"/>
      <c r="Q470" s="34"/>
      <c r="R470" s="35"/>
      <c r="S470" s="35"/>
      <c r="T470" s="35"/>
      <c r="U470" s="35"/>
      <c r="V470" s="35"/>
      <c r="W470" s="35"/>
      <c r="X470" s="35"/>
      <c r="Y470" s="35"/>
      <c r="Z470" s="35"/>
      <c r="AA470" s="35"/>
    </row>
    <row r="471" ht="14.25" customHeight="1">
      <c r="A471" s="83"/>
      <c r="B471" s="84"/>
      <c r="C471" s="108"/>
      <c r="D471" s="102"/>
      <c r="E471" s="117"/>
      <c r="F471" s="250"/>
      <c r="G471" s="523"/>
      <c r="H471" s="524"/>
      <c r="I471" s="523"/>
      <c r="J471" s="36"/>
      <c r="K471" s="37"/>
      <c r="L471" s="38"/>
      <c r="M471" s="39"/>
      <c r="N471" s="38"/>
      <c r="O471" s="39"/>
      <c r="P471" s="40"/>
      <c r="Q471" s="34"/>
      <c r="R471" s="35"/>
      <c r="S471" s="35"/>
      <c r="T471" s="35"/>
      <c r="U471" s="35"/>
      <c r="V471" s="35"/>
      <c r="W471" s="35"/>
      <c r="X471" s="35"/>
      <c r="Y471" s="35"/>
      <c r="Z471" s="35"/>
      <c r="AA471" s="35"/>
    </row>
    <row r="472" ht="14.25" customHeight="1">
      <c r="A472" s="83"/>
      <c r="B472" s="84"/>
      <c r="C472" s="108"/>
      <c r="D472" s="102"/>
      <c r="E472" s="117"/>
      <c r="F472" s="250"/>
      <c r="G472" s="523"/>
      <c r="H472" s="524"/>
      <c r="I472" s="523"/>
      <c r="J472" s="36"/>
      <c r="K472" s="37"/>
      <c r="L472" s="38"/>
      <c r="M472" s="39"/>
      <c r="N472" s="38"/>
      <c r="O472" s="39"/>
      <c r="P472" s="40"/>
      <c r="Q472" s="34"/>
      <c r="R472" s="35"/>
      <c r="S472" s="35"/>
      <c r="T472" s="35"/>
      <c r="U472" s="35"/>
      <c r="V472" s="35"/>
      <c r="W472" s="35"/>
      <c r="X472" s="35"/>
      <c r="Y472" s="35"/>
      <c r="Z472" s="35"/>
      <c r="AA472" s="35"/>
    </row>
    <row r="473" ht="14.25" customHeight="1">
      <c r="A473" s="83"/>
      <c r="B473" s="84"/>
      <c r="C473" s="108"/>
      <c r="D473" s="102"/>
      <c r="E473" s="117"/>
      <c r="F473" s="250"/>
      <c r="G473" s="523"/>
      <c r="H473" s="524"/>
      <c r="I473" s="523"/>
      <c r="J473" s="36"/>
      <c r="K473" s="37"/>
      <c r="L473" s="38"/>
      <c r="M473" s="39"/>
      <c r="N473" s="38"/>
      <c r="O473" s="39"/>
      <c r="P473" s="40"/>
      <c r="Q473" s="34"/>
      <c r="R473" s="35"/>
      <c r="S473" s="35"/>
      <c r="T473" s="35"/>
      <c r="U473" s="35"/>
      <c r="V473" s="35"/>
      <c r="W473" s="35"/>
      <c r="X473" s="35"/>
      <c r="Y473" s="35"/>
      <c r="Z473" s="35"/>
      <c r="AA473" s="35"/>
    </row>
    <row r="474" ht="14.25" customHeight="1">
      <c r="A474" s="83"/>
      <c r="B474" s="84"/>
      <c r="C474" s="108"/>
      <c r="D474" s="102"/>
      <c r="E474" s="117"/>
      <c r="F474" s="250"/>
      <c r="G474" s="523"/>
      <c r="H474" s="524"/>
      <c r="I474" s="523"/>
      <c r="J474" s="36"/>
      <c r="K474" s="37"/>
      <c r="L474" s="38"/>
      <c r="M474" s="39"/>
      <c r="N474" s="38"/>
      <c r="O474" s="39"/>
      <c r="P474" s="40"/>
      <c r="Q474" s="34"/>
      <c r="R474" s="35"/>
      <c r="S474" s="35"/>
      <c r="T474" s="35"/>
      <c r="U474" s="35"/>
      <c r="V474" s="35"/>
      <c r="W474" s="35"/>
      <c r="X474" s="35"/>
      <c r="Y474" s="35"/>
      <c r="Z474" s="35"/>
      <c r="AA474" s="35"/>
    </row>
    <row r="475" ht="14.25" customHeight="1">
      <c r="A475" s="83"/>
      <c r="B475" s="84"/>
      <c r="C475" s="108"/>
      <c r="D475" s="102"/>
      <c r="E475" s="117"/>
      <c r="F475" s="250"/>
      <c r="G475" s="523"/>
      <c r="H475" s="524"/>
      <c r="I475" s="523"/>
      <c r="J475" s="36"/>
      <c r="K475" s="37"/>
      <c r="L475" s="38"/>
      <c r="M475" s="39"/>
      <c r="N475" s="38"/>
      <c r="O475" s="39"/>
      <c r="P475" s="40"/>
      <c r="Q475" s="34"/>
      <c r="R475" s="35"/>
      <c r="S475" s="35"/>
      <c r="T475" s="35"/>
      <c r="U475" s="35"/>
      <c r="V475" s="35"/>
      <c r="W475" s="35"/>
      <c r="X475" s="35"/>
      <c r="Y475" s="35"/>
      <c r="Z475" s="35"/>
      <c r="AA475" s="35"/>
    </row>
    <row r="476" ht="14.25" customHeight="1">
      <c r="A476" s="83"/>
      <c r="B476" s="84"/>
      <c r="C476" s="108"/>
      <c r="D476" s="102"/>
      <c r="E476" s="117"/>
      <c r="F476" s="250"/>
      <c r="G476" s="523"/>
      <c r="H476" s="524"/>
      <c r="I476" s="523"/>
      <c r="J476" s="36"/>
      <c r="K476" s="37"/>
      <c r="L476" s="38"/>
      <c r="M476" s="39"/>
      <c r="N476" s="38"/>
      <c r="O476" s="39"/>
      <c r="P476" s="40"/>
      <c r="Q476" s="34"/>
      <c r="R476" s="35"/>
      <c r="S476" s="35"/>
      <c r="T476" s="35"/>
      <c r="U476" s="35"/>
      <c r="V476" s="35"/>
      <c r="W476" s="35"/>
      <c r="X476" s="35"/>
      <c r="Y476" s="35"/>
      <c r="Z476" s="35"/>
      <c r="AA476" s="35"/>
    </row>
    <row r="477" ht="14.25" customHeight="1">
      <c r="A477" s="83"/>
      <c r="B477" s="84"/>
      <c r="C477" s="108"/>
      <c r="D477" s="102"/>
      <c r="E477" s="117"/>
      <c r="F477" s="250"/>
      <c r="G477" s="523"/>
      <c r="H477" s="524"/>
      <c r="I477" s="523"/>
      <c r="J477" s="36"/>
      <c r="K477" s="37"/>
      <c r="L477" s="38"/>
      <c r="M477" s="39"/>
      <c r="N477" s="38"/>
      <c r="O477" s="39"/>
      <c r="P477" s="40"/>
      <c r="Q477" s="34"/>
      <c r="R477" s="35"/>
      <c r="S477" s="35"/>
      <c r="T477" s="35"/>
      <c r="U477" s="35"/>
      <c r="V477" s="35"/>
      <c r="W477" s="35"/>
      <c r="X477" s="35"/>
      <c r="Y477" s="35"/>
      <c r="Z477" s="35"/>
      <c r="AA477" s="35"/>
    </row>
    <row r="478" ht="14.25" customHeight="1">
      <c r="A478" s="83"/>
      <c r="B478" s="84"/>
      <c r="C478" s="108"/>
      <c r="D478" s="102"/>
      <c r="E478" s="117"/>
      <c r="F478" s="250"/>
      <c r="G478" s="523"/>
      <c r="H478" s="524"/>
      <c r="I478" s="523"/>
      <c r="J478" s="36"/>
      <c r="K478" s="37"/>
      <c r="L478" s="38"/>
      <c r="M478" s="39"/>
      <c r="N478" s="38"/>
      <c r="O478" s="39"/>
      <c r="P478" s="40"/>
      <c r="Q478" s="34"/>
      <c r="R478" s="35"/>
      <c r="S478" s="35"/>
      <c r="T478" s="35"/>
      <c r="U478" s="35"/>
      <c r="V478" s="35"/>
      <c r="W478" s="35"/>
      <c r="X478" s="35"/>
      <c r="Y478" s="35"/>
      <c r="Z478" s="35"/>
      <c r="AA478" s="35"/>
    </row>
    <row r="479" ht="14.25" customHeight="1">
      <c r="A479" s="83"/>
      <c r="B479" s="84"/>
      <c r="C479" s="108"/>
      <c r="D479" s="102"/>
      <c r="E479" s="117"/>
      <c r="F479" s="250"/>
      <c r="G479" s="523"/>
      <c r="H479" s="524"/>
      <c r="I479" s="523"/>
      <c r="J479" s="36"/>
      <c r="K479" s="37"/>
      <c r="L479" s="38"/>
      <c r="M479" s="39"/>
      <c r="N479" s="38"/>
      <c r="O479" s="39"/>
      <c r="P479" s="40"/>
      <c r="Q479" s="34"/>
      <c r="R479" s="35"/>
      <c r="S479" s="35"/>
      <c r="T479" s="35"/>
      <c r="U479" s="35"/>
      <c r="V479" s="35"/>
      <c r="W479" s="35"/>
      <c r="X479" s="35"/>
      <c r="Y479" s="35"/>
      <c r="Z479" s="35"/>
      <c r="AA479" s="35"/>
    </row>
    <row r="480" ht="14.25" customHeight="1">
      <c r="A480" s="83"/>
      <c r="B480" s="84"/>
      <c r="C480" s="108"/>
      <c r="D480" s="102"/>
      <c r="E480" s="117"/>
      <c r="F480" s="250"/>
      <c r="G480" s="523"/>
      <c r="H480" s="524"/>
      <c r="I480" s="523"/>
      <c r="J480" s="36"/>
      <c r="K480" s="37"/>
      <c r="L480" s="38"/>
      <c r="M480" s="39"/>
      <c r="N480" s="38"/>
      <c r="O480" s="39"/>
      <c r="P480" s="40"/>
      <c r="Q480" s="34"/>
      <c r="R480" s="35"/>
      <c r="S480" s="35"/>
      <c r="T480" s="35"/>
      <c r="U480" s="35"/>
      <c r="V480" s="35"/>
      <c r="W480" s="35"/>
      <c r="X480" s="35"/>
      <c r="Y480" s="35"/>
      <c r="Z480" s="35"/>
      <c r="AA480" s="35"/>
    </row>
    <row r="481" ht="14.25" customHeight="1">
      <c r="A481" s="83"/>
      <c r="B481" s="84"/>
      <c r="C481" s="108"/>
      <c r="D481" s="102"/>
      <c r="E481" s="117"/>
      <c r="F481" s="250"/>
      <c r="G481" s="523"/>
      <c r="H481" s="524"/>
      <c r="I481" s="523"/>
      <c r="J481" s="36"/>
      <c r="K481" s="37"/>
      <c r="L481" s="38"/>
      <c r="M481" s="39"/>
      <c r="N481" s="38"/>
      <c r="O481" s="39"/>
      <c r="P481" s="40"/>
      <c r="Q481" s="34"/>
      <c r="R481" s="35"/>
      <c r="S481" s="35"/>
      <c r="T481" s="35"/>
      <c r="U481" s="35"/>
      <c r="V481" s="35"/>
      <c r="W481" s="35"/>
      <c r="X481" s="35"/>
      <c r="Y481" s="35"/>
      <c r="Z481" s="35"/>
      <c r="AA481" s="35"/>
    </row>
    <row r="482" ht="14.25" customHeight="1">
      <c r="A482" s="83"/>
      <c r="B482" s="84"/>
      <c r="C482" s="108"/>
      <c r="D482" s="102"/>
      <c r="E482" s="117"/>
      <c r="F482" s="250"/>
      <c r="G482" s="523"/>
      <c r="H482" s="524"/>
      <c r="I482" s="523"/>
      <c r="J482" s="36"/>
      <c r="K482" s="37"/>
      <c r="L482" s="38"/>
      <c r="M482" s="39"/>
      <c r="N482" s="38"/>
      <c r="O482" s="39"/>
      <c r="P482" s="40"/>
      <c r="Q482" s="34"/>
      <c r="R482" s="35"/>
      <c r="S482" s="35"/>
      <c r="T482" s="35"/>
      <c r="U482" s="35"/>
      <c r="V482" s="35"/>
      <c r="W482" s="35"/>
      <c r="X482" s="35"/>
      <c r="Y482" s="35"/>
      <c r="Z482" s="35"/>
      <c r="AA482" s="35"/>
    </row>
    <row r="483" ht="14.25" customHeight="1">
      <c r="A483" s="83"/>
      <c r="B483" s="84"/>
      <c r="C483" s="108"/>
      <c r="D483" s="102"/>
      <c r="E483" s="117"/>
      <c r="F483" s="250"/>
      <c r="G483" s="523"/>
      <c r="H483" s="524"/>
      <c r="I483" s="523"/>
      <c r="J483" s="36"/>
      <c r="K483" s="37"/>
      <c r="L483" s="38"/>
      <c r="M483" s="39"/>
      <c r="N483" s="38"/>
      <c r="O483" s="39"/>
      <c r="P483" s="40"/>
      <c r="Q483" s="34"/>
      <c r="R483" s="35"/>
      <c r="S483" s="35"/>
      <c r="T483" s="35"/>
      <c r="U483" s="35"/>
      <c r="V483" s="35"/>
      <c r="W483" s="35"/>
      <c r="X483" s="35"/>
      <c r="Y483" s="35"/>
      <c r="Z483" s="35"/>
      <c r="AA483" s="35"/>
    </row>
    <row r="484" ht="14.25" customHeight="1">
      <c r="A484" s="83"/>
      <c r="B484" s="84"/>
      <c r="C484" s="108"/>
      <c r="D484" s="102"/>
      <c r="E484" s="117"/>
      <c r="F484" s="250"/>
      <c r="G484" s="523"/>
      <c r="H484" s="524"/>
      <c r="I484" s="523"/>
      <c r="J484" s="36"/>
      <c r="K484" s="37"/>
      <c r="L484" s="38"/>
      <c r="M484" s="39"/>
      <c r="N484" s="38"/>
      <c r="O484" s="39"/>
      <c r="P484" s="40"/>
      <c r="Q484" s="34"/>
      <c r="R484" s="35"/>
      <c r="S484" s="35"/>
      <c r="T484" s="35"/>
      <c r="U484" s="35"/>
      <c r="V484" s="35"/>
      <c r="W484" s="35"/>
      <c r="X484" s="35"/>
      <c r="Y484" s="35"/>
      <c r="Z484" s="35"/>
      <c r="AA484" s="35"/>
    </row>
    <row r="485" ht="14.25" customHeight="1">
      <c r="A485" s="83"/>
      <c r="B485" s="84"/>
      <c r="C485" s="108"/>
      <c r="D485" s="102"/>
      <c r="E485" s="117"/>
      <c r="F485" s="250"/>
      <c r="G485" s="523"/>
      <c r="H485" s="524"/>
      <c r="I485" s="523"/>
      <c r="J485" s="36"/>
      <c r="K485" s="37"/>
      <c r="L485" s="38"/>
      <c r="M485" s="39"/>
      <c r="N485" s="38"/>
      <c r="O485" s="39"/>
      <c r="P485" s="40"/>
      <c r="Q485" s="34"/>
      <c r="R485" s="35"/>
      <c r="S485" s="35"/>
      <c r="T485" s="35"/>
      <c r="U485" s="35"/>
      <c r="V485" s="35"/>
      <c r="W485" s="35"/>
      <c r="X485" s="35"/>
      <c r="Y485" s="35"/>
      <c r="Z485" s="35"/>
      <c r="AA485" s="35"/>
    </row>
    <row r="486" ht="14.25" customHeight="1">
      <c r="A486" s="83"/>
      <c r="B486" s="84"/>
      <c r="C486" s="108"/>
      <c r="D486" s="102"/>
      <c r="E486" s="117"/>
      <c r="F486" s="250"/>
      <c r="G486" s="523"/>
      <c r="H486" s="524"/>
      <c r="I486" s="523"/>
      <c r="J486" s="36"/>
      <c r="K486" s="37"/>
      <c r="L486" s="38"/>
      <c r="M486" s="39"/>
      <c r="N486" s="38"/>
      <c r="O486" s="39"/>
      <c r="P486" s="40"/>
      <c r="Q486" s="34"/>
      <c r="R486" s="35"/>
      <c r="S486" s="35"/>
      <c r="T486" s="35"/>
      <c r="U486" s="35"/>
      <c r="V486" s="35"/>
      <c r="W486" s="35"/>
      <c r="X486" s="35"/>
      <c r="Y486" s="35"/>
      <c r="Z486" s="35"/>
      <c r="AA486" s="35"/>
    </row>
    <row r="487" ht="14.25" customHeight="1">
      <c r="A487" s="83"/>
      <c r="B487" s="84"/>
      <c r="C487" s="108"/>
      <c r="D487" s="102"/>
      <c r="E487" s="117"/>
      <c r="F487" s="250"/>
      <c r="G487" s="523"/>
      <c r="H487" s="524"/>
      <c r="I487" s="523"/>
      <c r="J487" s="36"/>
      <c r="K487" s="37"/>
      <c r="L487" s="38"/>
      <c r="M487" s="39"/>
      <c r="N487" s="38"/>
      <c r="O487" s="39"/>
      <c r="P487" s="40"/>
      <c r="Q487" s="34"/>
      <c r="R487" s="35"/>
      <c r="S487" s="35"/>
      <c r="T487" s="35"/>
      <c r="U487" s="35"/>
      <c r="V487" s="35"/>
      <c r="W487" s="35"/>
      <c r="X487" s="35"/>
      <c r="Y487" s="35"/>
      <c r="Z487" s="35"/>
      <c r="AA487" s="35"/>
    </row>
    <row r="488" ht="14.25" customHeight="1">
      <c r="A488" s="83"/>
      <c r="B488" s="84"/>
      <c r="C488" s="108"/>
      <c r="D488" s="102"/>
      <c r="E488" s="117"/>
      <c r="F488" s="250"/>
      <c r="G488" s="523"/>
      <c r="H488" s="524"/>
      <c r="I488" s="523"/>
      <c r="J488" s="36"/>
      <c r="K488" s="37"/>
      <c r="L488" s="38"/>
      <c r="M488" s="39"/>
      <c r="N488" s="38"/>
      <c r="O488" s="39"/>
      <c r="P488" s="40"/>
      <c r="Q488" s="34"/>
      <c r="R488" s="35"/>
      <c r="S488" s="35"/>
      <c r="T488" s="35"/>
      <c r="U488" s="35"/>
      <c r="V488" s="35"/>
      <c r="W488" s="35"/>
      <c r="X488" s="35"/>
      <c r="Y488" s="35"/>
      <c r="Z488" s="35"/>
      <c r="AA488" s="35"/>
    </row>
    <row r="489" ht="14.25" customHeight="1">
      <c r="A489" s="83"/>
      <c r="B489" s="84"/>
      <c r="C489" s="108"/>
      <c r="D489" s="102"/>
      <c r="E489" s="117"/>
      <c r="F489" s="250"/>
      <c r="G489" s="523"/>
      <c r="H489" s="524"/>
      <c r="I489" s="523"/>
      <c r="J489" s="36"/>
      <c r="K489" s="37"/>
      <c r="L489" s="38"/>
      <c r="M489" s="39"/>
      <c r="N489" s="38"/>
      <c r="O489" s="39"/>
      <c r="P489" s="40"/>
      <c r="Q489" s="34"/>
      <c r="R489" s="35"/>
      <c r="S489" s="35"/>
      <c r="T489" s="35"/>
      <c r="U489" s="35"/>
      <c r="V489" s="35"/>
      <c r="W489" s="35"/>
      <c r="X489" s="35"/>
      <c r="Y489" s="35"/>
      <c r="Z489" s="35"/>
      <c r="AA489" s="35"/>
    </row>
    <row r="490" ht="14.25" customHeight="1">
      <c r="A490" s="83"/>
      <c r="B490" s="84"/>
      <c r="C490" s="108"/>
      <c r="D490" s="102"/>
      <c r="E490" s="117"/>
      <c r="F490" s="250"/>
      <c r="G490" s="523"/>
      <c r="H490" s="524"/>
      <c r="I490" s="523"/>
      <c r="J490" s="36"/>
      <c r="K490" s="37"/>
      <c r="L490" s="38"/>
      <c r="M490" s="39"/>
      <c r="N490" s="38"/>
      <c r="O490" s="39"/>
      <c r="P490" s="40"/>
      <c r="Q490" s="34"/>
      <c r="R490" s="35"/>
      <c r="S490" s="35"/>
      <c r="T490" s="35"/>
      <c r="U490" s="35"/>
      <c r="V490" s="35"/>
      <c r="W490" s="35"/>
      <c r="X490" s="35"/>
      <c r="Y490" s="35"/>
      <c r="Z490" s="35"/>
      <c r="AA490" s="35"/>
    </row>
    <row r="491" ht="14.25" customHeight="1">
      <c r="A491" s="83"/>
      <c r="B491" s="84"/>
      <c r="C491" s="108"/>
      <c r="D491" s="102"/>
      <c r="E491" s="117"/>
      <c r="F491" s="250"/>
      <c r="G491" s="523"/>
      <c r="H491" s="524"/>
      <c r="I491" s="523"/>
      <c r="J491" s="36"/>
      <c r="K491" s="37"/>
      <c r="L491" s="38"/>
      <c r="M491" s="39"/>
      <c r="N491" s="38"/>
      <c r="O491" s="39"/>
      <c r="P491" s="40"/>
      <c r="Q491" s="34"/>
      <c r="R491" s="35"/>
      <c r="S491" s="35"/>
      <c r="T491" s="35"/>
      <c r="U491" s="35"/>
      <c r="V491" s="35"/>
      <c r="W491" s="35"/>
      <c r="X491" s="35"/>
      <c r="Y491" s="35"/>
      <c r="Z491" s="35"/>
      <c r="AA491" s="35"/>
    </row>
    <row r="492" ht="14.25" customHeight="1">
      <c r="A492" s="83"/>
      <c r="B492" s="84"/>
      <c r="C492" s="108"/>
      <c r="D492" s="102"/>
      <c r="E492" s="117"/>
      <c r="F492" s="250"/>
      <c r="G492" s="523"/>
      <c r="H492" s="524"/>
      <c r="I492" s="523"/>
      <c r="J492" s="36"/>
      <c r="K492" s="37"/>
      <c r="L492" s="38"/>
      <c r="M492" s="39"/>
      <c r="N492" s="38"/>
      <c r="O492" s="39"/>
      <c r="P492" s="40"/>
      <c r="Q492" s="34"/>
      <c r="R492" s="35"/>
      <c r="S492" s="35"/>
      <c r="T492" s="35"/>
      <c r="U492" s="35"/>
      <c r="V492" s="35"/>
      <c r="W492" s="35"/>
      <c r="X492" s="35"/>
      <c r="Y492" s="35"/>
      <c r="Z492" s="35"/>
      <c r="AA492" s="35"/>
    </row>
    <row r="493" ht="14.25" customHeight="1">
      <c r="A493" s="83"/>
      <c r="B493" s="84"/>
      <c r="C493" s="108"/>
      <c r="D493" s="102"/>
      <c r="E493" s="117"/>
      <c r="F493" s="250"/>
      <c r="G493" s="523"/>
      <c r="H493" s="524"/>
      <c r="I493" s="523"/>
      <c r="J493" s="36"/>
      <c r="K493" s="37"/>
      <c r="L493" s="38"/>
      <c r="M493" s="39"/>
      <c r="N493" s="38"/>
      <c r="O493" s="39"/>
      <c r="P493" s="40"/>
      <c r="Q493" s="34"/>
      <c r="R493" s="35"/>
      <c r="S493" s="35"/>
      <c r="T493" s="35"/>
      <c r="U493" s="35"/>
      <c r="V493" s="35"/>
      <c r="W493" s="35"/>
      <c r="X493" s="35"/>
      <c r="Y493" s="35"/>
      <c r="Z493" s="35"/>
      <c r="AA493" s="35"/>
    </row>
    <row r="494" ht="14.25" customHeight="1">
      <c r="A494" s="83"/>
      <c r="B494" s="84"/>
      <c r="C494" s="108"/>
      <c r="D494" s="102"/>
      <c r="E494" s="117"/>
      <c r="F494" s="250"/>
      <c r="G494" s="523"/>
      <c r="H494" s="524"/>
      <c r="I494" s="523"/>
      <c r="J494" s="36"/>
      <c r="K494" s="37"/>
      <c r="L494" s="38"/>
      <c r="M494" s="39"/>
      <c r="N494" s="38"/>
      <c r="O494" s="39"/>
      <c r="P494" s="40"/>
      <c r="Q494" s="34"/>
      <c r="R494" s="35"/>
      <c r="S494" s="35"/>
      <c r="T494" s="35"/>
      <c r="U494" s="35"/>
      <c r="V494" s="35"/>
      <c r="W494" s="35"/>
      <c r="X494" s="35"/>
      <c r="Y494" s="35"/>
      <c r="Z494" s="35"/>
      <c r="AA494" s="35"/>
    </row>
    <row r="495" ht="14.25" customHeight="1">
      <c r="A495" s="83"/>
      <c r="B495" s="84"/>
      <c r="C495" s="108"/>
      <c r="D495" s="102"/>
      <c r="E495" s="117"/>
      <c r="F495" s="250"/>
      <c r="G495" s="523"/>
      <c r="H495" s="524"/>
      <c r="I495" s="523"/>
      <c r="J495" s="36"/>
      <c r="K495" s="37"/>
      <c r="L495" s="38"/>
      <c r="M495" s="39"/>
      <c r="N495" s="38"/>
      <c r="O495" s="39"/>
      <c r="P495" s="40"/>
      <c r="Q495" s="34"/>
      <c r="R495" s="35"/>
      <c r="S495" s="35"/>
      <c r="T495" s="35"/>
      <c r="U495" s="35"/>
      <c r="V495" s="35"/>
      <c r="W495" s="35"/>
      <c r="X495" s="35"/>
      <c r="Y495" s="35"/>
      <c r="Z495" s="35"/>
      <c r="AA495" s="35"/>
    </row>
    <row r="496" ht="14.25" customHeight="1">
      <c r="A496" s="83"/>
      <c r="B496" s="84"/>
      <c r="C496" s="108"/>
      <c r="D496" s="102"/>
      <c r="E496" s="117"/>
      <c r="F496" s="250"/>
      <c r="G496" s="523"/>
      <c r="H496" s="524"/>
      <c r="I496" s="523"/>
      <c r="J496" s="36"/>
      <c r="K496" s="37"/>
      <c r="L496" s="38"/>
      <c r="M496" s="39"/>
      <c r="N496" s="38"/>
      <c r="O496" s="39"/>
      <c r="P496" s="40"/>
      <c r="Q496" s="34"/>
      <c r="R496" s="35"/>
      <c r="S496" s="35"/>
      <c r="T496" s="35"/>
      <c r="U496" s="35"/>
      <c r="V496" s="35"/>
      <c r="W496" s="35"/>
      <c r="X496" s="35"/>
      <c r="Y496" s="35"/>
      <c r="Z496" s="35"/>
      <c r="AA496" s="35"/>
    </row>
    <row r="497" ht="14.25" customHeight="1">
      <c r="A497" s="83"/>
      <c r="B497" s="84"/>
      <c r="C497" s="108"/>
      <c r="D497" s="102"/>
      <c r="E497" s="117"/>
      <c r="F497" s="250"/>
      <c r="G497" s="523"/>
      <c r="H497" s="524"/>
      <c r="I497" s="523"/>
      <c r="J497" s="36"/>
      <c r="K497" s="37"/>
      <c r="L497" s="38"/>
      <c r="M497" s="39"/>
      <c r="N497" s="38"/>
      <c r="O497" s="39"/>
      <c r="P497" s="40"/>
      <c r="Q497" s="34"/>
      <c r="R497" s="35"/>
      <c r="S497" s="35"/>
      <c r="T497" s="35"/>
      <c r="U497" s="35"/>
      <c r="V497" s="35"/>
      <c r="W497" s="35"/>
      <c r="X497" s="35"/>
      <c r="Y497" s="35"/>
      <c r="Z497" s="35"/>
      <c r="AA497" s="35"/>
    </row>
    <row r="498" ht="14.25" customHeight="1">
      <c r="A498" s="83"/>
      <c r="B498" s="84"/>
      <c r="C498" s="108"/>
      <c r="D498" s="102"/>
      <c r="E498" s="117"/>
      <c r="F498" s="250"/>
      <c r="G498" s="523"/>
      <c r="H498" s="524"/>
      <c r="I498" s="523"/>
      <c r="J498" s="36"/>
      <c r="K498" s="37"/>
      <c r="L498" s="38"/>
      <c r="M498" s="39"/>
      <c r="N498" s="38"/>
      <c r="O498" s="39"/>
      <c r="P498" s="40"/>
      <c r="Q498" s="34"/>
      <c r="R498" s="35"/>
      <c r="S498" s="35"/>
      <c r="T498" s="35"/>
      <c r="U498" s="35"/>
      <c r="V498" s="35"/>
      <c r="W498" s="35"/>
      <c r="X498" s="35"/>
      <c r="Y498" s="35"/>
      <c r="Z498" s="35"/>
      <c r="AA498" s="35"/>
    </row>
    <row r="499" ht="14.25" customHeight="1">
      <c r="A499" s="83"/>
      <c r="B499" s="84"/>
      <c r="C499" s="108"/>
      <c r="D499" s="102"/>
      <c r="E499" s="117"/>
      <c r="F499" s="250"/>
      <c r="G499" s="523"/>
      <c r="H499" s="524"/>
      <c r="I499" s="523"/>
      <c r="J499" s="36"/>
      <c r="K499" s="37"/>
      <c r="L499" s="38"/>
      <c r="M499" s="39"/>
      <c r="N499" s="38"/>
      <c r="O499" s="39"/>
      <c r="P499" s="40"/>
      <c r="Q499" s="34"/>
      <c r="R499" s="35"/>
      <c r="S499" s="35"/>
      <c r="T499" s="35"/>
      <c r="U499" s="35"/>
      <c r="V499" s="35"/>
      <c r="W499" s="35"/>
      <c r="X499" s="35"/>
      <c r="Y499" s="35"/>
      <c r="Z499" s="35"/>
      <c r="AA499" s="35"/>
    </row>
    <row r="500" ht="14.25" customHeight="1">
      <c r="A500" s="83"/>
      <c r="B500" s="84"/>
      <c r="C500" s="108"/>
      <c r="D500" s="102"/>
      <c r="E500" s="117"/>
      <c r="F500" s="250"/>
      <c r="G500" s="523"/>
      <c r="H500" s="524"/>
      <c r="I500" s="523"/>
      <c r="J500" s="36"/>
      <c r="K500" s="37"/>
      <c r="L500" s="38"/>
      <c r="M500" s="39"/>
      <c r="N500" s="38"/>
      <c r="O500" s="39"/>
      <c r="P500" s="40"/>
      <c r="Q500" s="34"/>
      <c r="R500" s="35"/>
      <c r="S500" s="35"/>
      <c r="T500" s="35"/>
      <c r="U500" s="35"/>
      <c r="V500" s="35"/>
      <c r="W500" s="35"/>
      <c r="X500" s="35"/>
      <c r="Y500" s="35"/>
      <c r="Z500" s="35"/>
      <c r="AA500" s="35"/>
    </row>
    <row r="501" ht="14.25" customHeight="1">
      <c r="A501" s="83"/>
      <c r="B501" s="84"/>
      <c r="C501" s="108"/>
      <c r="D501" s="102"/>
      <c r="E501" s="117"/>
      <c r="F501" s="250"/>
      <c r="G501" s="523"/>
      <c r="H501" s="524"/>
      <c r="I501" s="523"/>
      <c r="J501" s="36"/>
      <c r="K501" s="37"/>
      <c r="L501" s="38"/>
      <c r="M501" s="39"/>
      <c r="N501" s="38"/>
      <c r="O501" s="39"/>
      <c r="P501" s="40"/>
      <c r="Q501" s="34"/>
      <c r="R501" s="35"/>
      <c r="S501" s="35"/>
      <c r="T501" s="35"/>
      <c r="U501" s="35"/>
      <c r="V501" s="35"/>
      <c r="W501" s="35"/>
      <c r="X501" s="35"/>
      <c r="Y501" s="35"/>
      <c r="Z501" s="35"/>
      <c r="AA501" s="35"/>
    </row>
    <row r="502" ht="14.25" customHeight="1">
      <c r="A502" s="83"/>
      <c r="B502" s="84"/>
      <c r="C502" s="108"/>
      <c r="D502" s="102"/>
      <c r="E502" s="117"/>
      <c r="F502" s="250"/>
      <c r="G502" s="523"/>
      <c r="H502" s="524"/>
      <c r="I502" s="523"/>
      <c r="J502" s="36"/>
      <c r="K502" s="37"/>
      <c r="L502" s="38"/>
      <c r="M502" s="39"/>
      <c r="N502" s="38"/>
      <c r="O502" s="39"/>
      <c r="P502" s="40"/>
      <c r="Q502" s="34"/>
      <c r="R502" s="35"/>
      <c r="S502" s="35"/>
      <c r="T502" s="35"/>
      <c r="U502" s="35"/>
      <c r="V502" s="35"/>
      <c r="W502" s="35"/>
      <c r="X502" s="35"/>
      <c r="Y502" s="35"/>
      <c r="Z502" s="35"/>
      <c r="AA502" s="35"/>
    </row>
    <row r="503" ht="14.25" customHeight="1">
      <c r="A503" s="83"/>
      <c r="B503" s="84"/>
      <c r="C503" s="108"/>
      <c r="D503" s="102"/>
      <c r="E503" s="117"/>
      <c r="F503" s="250"/>
      <c r="G503" s="523"/>
      <c r="H503" s="524"/>
      <c r="I503" s="523"/>
      <c r="J503" s="36"/>
      <c r="K503" s="37"/>
      <c r="L503" s="38"/>
      <c r="M503" s="39"/>
      <c r="N503" s="38"/>
      <c r="O503" s="39"/>
      <c r="P503" s="40"/>
      <c r="Q503" s="34"/>
      <c r="R503" s="35"/>
      <c r="S503" s="35"/>
      <c r="T503" s="35"/>
      <c r="U503" s="35"/>
      <c r="V503" s="35"/>
      <c r="W503" s="35"/>
      <c r="X503" s="35"/>
      <c r="Y503" s="35"/>
      <c r="Z503" s="35"/>
      <c r="AA503" s="35"/>
    </row>
    <row r="504" ht="14.25" customHeight="1">
      <c r="A504" s="83"/>
      <c r="B504" s="84"/>
      <c r="C504" s="108"/>
      <c r="D504" s="102"/>
      <c r="E504" s="117"/>
      <c r="F504" s="250"/>
      <c r="G504" s="523"/>
      <c r="H504" s="524"/>
      <c r="I504" s="523"/>
      <c r="J504" s="36"/>
      <c r="K504" s="37"/>
      <c r="L504" s="38"/>
      <c r="M504" s="39"/>
      <c r="N504" s="38"/>
      <c r="O504" s="39"/>
      <c r="P504" s="40"/>
      <c r="Q504" s="34"/>
      <c r="R504" s="35"/>
      <c r="S504" s="35"/>
      <c r="T504" s="35"/>
      <c r="U504" s="35"/>
      <c r="V504" s="35"/>
      <c r="W504" s="35"/>
      <c r="X504" s="35"/>
      <c r="Y504" s="35"/>
      <c r="Z504" s="35"/>
      <c r="AA504" s="35"/>
    </row>
    <row r="505" ht="14.25" customHeight="1">
      <c r="A505" s="83"/>
      <c r="B505" s="84"/>
      <c r="C505" s="108"/>
      <c r="D505" s="102"/>
      <c r="E505" s="117"/>
      <c r="F505" s="250"/>
      <c r="G505" s="523"/>
      <c r="H505" s="524"/>
      <c r="I505" s="523"/>
      <c r="J505" s="36"/>
      <c r="K505" s="37"/>
      <c r="L505" s="38"/>
      <c r="M505" s="39"/>
      <c r="N505" s="38"/>
      <c r="O505" s="39"/>
      <c r="P505" s="40"/>
      <c r="Q505" s="34"/>
      <c r="R505" s="35"/>
      <c r="S505" s="35"/>
      <c r="T505" s="35"/>
      <c r="U505" s="35"/>
      <c r="V505" s="35"/>
      <c r="W505" s="35"/>
      <c r="X505" s="35"/>
      <c r="Y505" s="35"/>
      <c r="Z505" s="35"/>
      <c r="AA505" s="35"/>
    </row>
    <row r="506" ht="14.25" customHeight="1">
      <c r="A506" s="83"/>
      <c r="B506" s="84"/>
      <c r="C506" s="108"/>
      <c r="D506" s="102"/>
      <c r="E506" s="117"/>
      <c r="F506" s="250"/>
      <c r="G506" s="523"/>
      <c r="H506" s="524"/>
      <c r="I506" s="523"/>
      <c r="J506" s="36"/>
      <c r="K506" s="37"/>
      <c r="L506" s="38"/>
      <c r="M506" s="39"/>
      <c r="N506" s="38"/>
      <c r="O506" s="39"/>
      <c r="P506" s="40"/>
      <c r="Q506" s="34"/>
      <c r="R506" s="35"/>
      <c r="S506" s="35"/>
      <c r="T506" s="35"/>
      <c r="U506" s="35"/>
      <c r="V506" s="35"/>
      <c r="W506" s="35"/>
      <c r="X506" s="35"/>
      <c r="Y506" s="35"/>
      <c r="Z506" s="35"/>
      <c r="AA506" s="35"/>
    </row>
    <row r="507" ht="14.25" customHeight="1">
      <c r="A507" s="83"/>
      <c r="B507" s="84"/>
      <c r="C507" s="108"/>
      <c r="D507" s="102"/>
      <c r="E507" s="117"/>
      <c r="F507" s="250"/>
      <c r="G507" s="523"/>
      <c r="H507" s="524"/>
      <c r="I507" s="523"/>
      <c r="J507" s="36"/>
      <c r="K507" s="37"/>
      <c r="L507" s="38"/>
      <c r="M507" s="39"/>
      <c r="N507" s="38"/>
      <c r="O507" s="39"/>
      <c r="P507" s="40"/>
      <c r="Q507" s="34"/>
      <c r="R507" s="35"/>
      <c r="S507" s="35"/>
      <c r="T507" s="35"/>
      <c r="U507" s="35"/>
      <c r="V507" s="35"/>
      <c r="W507" s="35"/>
      <c r="X507" s="35"/>
      <c r="Y507" s="35"/>
      <c r="Z507" s="35"/>
      <c r="AA507" s="35"/>
    </row>
    <row r="508" ht="14.25" customHeight="1">
      <c r="A508" s="83"/>
      <c r="B508" s="84"/>
      <c r="C508" s="108"/>
      <c r="D508" s="102"/>
      <c r="E508" s="117"/>
      <c r="F508" s="250"/>
      <c r="G508" s="523"/>
      <c r="H508" s="524"/>
      <c r="I508" s="523"/>
      <c r="J508" s="36"/>
      <c r="K508" s="37"/>
      <c r="L508" s="38"/>
      <c r="M508" s="39"/>
      <c r="N508" s="38"/>
      <c r="O508" s="39"/>
      <c r="P508" s="40"/>
      <c r="Q508" s="34"/>
      <c r="R508" s="35"/>
      <c r="S508" s="35"/>
      <c r="T508" s="35"/>
      <c r="U508" s="35"/>
      <c r="V508" s="35"/>
      <c r="W508" s="35"/>
      <c r="X508" s="35"/>
      <c r="Y508" s="35"/>
      <c r="Z508" s="35"/>
      <c r="AA508" s="35"/>
    </row>
    <row r="509" ht="14.25" customHeight="1">
      <c r="A509" s="83"/>
      <c r="B509" s="84"/>
      <c r="C509" s="108"/>
      <c r="D509" s="102"/>
      <c r="E509" s="117"/>
      <c r="F509" s="250"/>
      <c r="G509" s="523"/>
      <c r="H509" s="524"/>
      <c r="I509" s="523"/>
      <c r="J509" s="36"/>
      <c r="K509" s="37"/>
      <c r="L509" s="38"/>
      <c r="M509" s="39"/>
      <c r="N509" s="38"/>
      <c r="O509" s="39"/>
      <c r="P509" s="40"/>
      <c r="Q509" s="34"/>
      <c r="R509" s="35"/>
      <c r="S509" s="35"/>
      <c r="T509" s="35"/>
      <c r="U509" s="35"/>
      <c r="V509" s="35"/>
      <c r="W509" s="35"/>
      <c r="X509" s="35"/>
      <c r="Y509" s="35"/>
      <c r="Z509" s="35"/>
      <c r="AA509" s="35"/>
    </row>
    <row r="510" ht="14.25" customHeight="1">
      <c r="A510" s="83"/>
      <c r="B510" s="84"/>
      <c r="C510" s="108"/>
      <c r="D510" s="102"/>
      <c r="E510" s="117"/>
      <c r="F510" s="250"/>
      <c r="G510" s="523"/>
      <c r="H510" s="524"/>
      <c r="I510" s="523"/>
      <c r="J510" s="36"/>
      <c r="K510" s="37"/>
      <c r="L510" s="38"/>
      <c r="M510" s="39"/>
      <c r="N510" s="38"/>
      <c r="O510" s="39"/>
      <c r="P510" s="40"/>
      <c r="Q510" s="34"/>
      <c r="R510" s="35"/>
      <c r="S510" s="35"/>
      <c r="T510" s="35"/>
      <c r="U510" s="35"/>
      <c r="V510" s="35"/>
      <c r="W510" s="35"/>
      <c r="X510" s="35"/>
      <c r="Y510" s="35"/>
      <c r="Z510" s="35"/>
      <c r="AA510" s="35"/>
    </row>
    <row r="511" ht="14.25" customHeight="1">
      <c r="A511" s="83"/>
      <c r="B511" s="84"/>
      <c r="C511" s="108"/>
      <c r="D511" s="102"/>
      <c r="E511" s="117"/>
      <c r="F511" s="250"/>
      <c r="G511" s="523"/>
      <c r="H511" s="524"/>
      <c r="I511" s="523"/>
      <c r="J511" s="36"/>
      <c r="K511" s="37"/>
      <c r="L511" s="38"/>
      <c r="M511" s="39"/>
      <c r="N511" s="38"/>
      <c r="O511" s="39"/>
      <c r="P511" s="40"/>
      <c r="Q511" s="34"/>
      <c r="R511" s="35"/>
      <c r="S511" s="35"/>
      <c r="T511" s="35"/>
      <c r="U511" s="35"/>
      <c r="V511" s="35"/>
      <c r="W511" s="35"/>
      <c r="X511" s="35"/>
      <c r="Y511" s="35"/>
      <c r="Z511" s="35"/>
      <c r="AA511" s="35"/>
    </row>
    <row r="512" ht="14.25" customHeight="1">
      <c r="A512" s="83"/>
      <c r="B512" s="84"/>
      <c r="C512" s="108"/>
      <c r="D512" s="102"/>
      <c r="E512" s="117"/>
      <c r="F512" s="250"/>
      <c r="G512" s="523"/>
      <c r="H512" s="524"/>
      <c r="I512" s="523"/>
      <c r="J512" s="36"/>
      <c r="K512" s="37"/>
      <c r="L512" s="38"/>
      <c r="M512" s="39"/>
      <c r="N512" s="38"/>
      <c r="O512" s="39"/>
      <c r="P512" s="40"/>
      <c r="Q512" s="34"/>
      <c r="R512" s="35"/>
      <c r="S512" s="35"/>
      <c r="T512" s="35"/>
      <c r="U512" s="35"/>
      <c r="V512" s="35"/>
      <c r="W512" s="35"/>
      <c r="X512" s="35"/>
      <c r="Y512" s="35"/>
      <c r="Z512" s="35"/>
      <c r="AA512" s="35"/>
    </row>
    <row r="513" ht="14.25" customHeight="1">
      <c r="A513" s="83"/>
      <c r="B513" s="84"/>
      <c r="C513" s="108"/>
      <c r="D513" s="102"/>
      <c r="E513" s="117"/>
      <c r="F513" s="250"/>
      <c r="G513" s="523"/>
      <c r="H513" s="524"/>
      <c r="I513" s="523"/>
      <c r="J513" s="36"/>
      <c r="K513" s="37"/>
      <c r="L513" s="38"/>
      <c r="M513" s="39"/>
      <c r="N513" s="38"/>
      <c r="O513" s="39"/>
      <c r="P513" s="40"/>
      <c r="Q513" s="34"/>
      <c r="R513" s="35"/>
      <c r="S513" s="35"/>
      <c r="T513" s="35"/>
      <c r="U513" s="35"/>
      <c r="V513" s="35"/>
      <c r="W513" s="35"/>
      <c r="X513" s="35"/>
      <c r="Y513" s="35"/>
      <c r="Z513" s="35"/>
      <c r="AA513" s="35"/>
    </row>
    <row r="514" ht="14.25" customHeight="1">
      <c r="A514" s="83"/>
      <c r="B514" s="84"/>
      <c r="C514" s="108"/>
      <c r="D514" s="102"/>
      <c r="E514" s="117"/>
      <c r="F514" s="250"/>
      <c r="G514" s="523"/>
      <c r="H514" s="524"/>
      <c r="I514" s="523"/>
      <c r="J514" s="36"/>
      <c r="K514" s="37"/>
      <c r="L514" s="38"/>
      <c r="M514" s="39"/>
      <c r="N514" s="38"/>
      <c r="O514" s="39"/>
      <c r="P514" s="40"/>
      <c r="Q514" s="34"/>
      <c r="R514" s="35"/>
      <c r="S514" s="35"/>
      <c r="T514" s="35"/>
      <c r="U514" s="35"/>
      <c r="V514" s="35"/>
      <c r="W514" s="35"/>
      <c r="X514" s="35"/>
      <c r="Y514" s="35"/>
      <c r="Z514" s="35"/>
      <c r="AA514" s="35"/>
    </row>
    <row r="515" ht="14.25" customHeight="1">
      <c r="A515" s="83"/>
      <c r="B515" s="84"/>
      <c r="C515" s="108"/>
      <c r="D515" s="102"/>
      <c r="E515" s="117"/>
      <c r="F515" s="250"/>
      <c r="G515" s="523"/>
      <c r="H515" s="524"/>
      <c r="I515" s="523"/>
      <c r="J515" s="36"/>
      <c r="K515" s="37"/>
      <c r="L515" s="38"/>
      <c r="M515" s="39"/>
      <c r="N515" s="38"/>
      <c r="O515" s="39"/>
      <c r="P515" s="40"/>
      <c r="Q515" s="34"/>
      <c r="R515" s="35"/>
      <c r="S515" s="35"/>
      <c r="T515" s="35"/>
      <c r="U515" s="35"/>
      <c r="V515" s="35"/>
      <c r="W515" s="35"/>
      <c r="X515" s="35"/>
      <c r="Y515" s="35"/>
      <c r="Z515" s="35"/>
      <c r="AA515" s="35"/>
    </row>
    <row r="516" ht="14.25" customHeight="1">
      <c r="A516" s="83"/>
      <c r="B516" s="84"/>
      <c r="C516" s="108"/>
      <c r="D516" s="102"/>
      <c r="E516" s="117"/>
      <c r="F516" s="250"/>
      <c r="G516" s="523"/>
      <c r="H516" s="524"/>
      <c r="I516" s="523"/>
      <c r="J516" s="36"/>
      <c r="K516" s="37"/>
      <c r="L516" s="38"/>
      <c r="M516" s="39"/>
      <c r="N516" s="38"/>
      <c r="O516" s="39"/>
      <c r="P516" s="40"/>
      <c r="Q516" s="34"/>
      <c r="R516" s="35"/>
      <c r="S516" s="35"/>
      <c r="T516" s="35"/>
      <c r="U516" s="35"/>
      <c r="V516" s="35"/>
      <c r="W516" s="35"/>
      <c r="X516" s="35"/>
      <c r="Y516" s="35"/>
      <c r="Z516" s="35"/>
      <c r="AA516" s="35"/>
    </row>
    <row r="517" ht="14.25" customHeight="1">
      <c r="A517" s="83"/>
      <c r="B517" s="84"/>
      <c r="C517" s="108"/>
      <c r="D517" s="102"/>
      <c r="E517" s="117"/>
      <c r="F517" s="250"/>
      <c r="G517" s="523"/>
      <c r="H517" s="524"/>
      <c r="I517" s="523"/>
      <c r="J517" s="36"/>
      <c r="K517" s="37"/>
      <c r="L517" s="38"/>
      <c r="M517" s="39"/>
      <c r="N517" s="38"/>
      <c r="O517" s="39"/>
      <c r="P517" s="40"/>
      <c r="Q517" s="34"/>
      <c r="R517" s="35"/>
      <c r="S517" s="35"/>
      <c r="T517" s="35"/>
      <c r="U517" s="35"/>
      <c r="V517" s="35"/>
      <c r="W517" s="35"/>
      <c r="X517" s="35"/>
      <c r="Y517" s="35"/>
      <c r="Z517" s="35"/>
      <c r="AA517" s="35"/>
    </row>
    <row r="518" ht="14.25" customHeight="1">
      <c r="A518" s="83"/>
      <c r="B518" s="84"/>
      <c r="C518" s="108"/>
      <c r="D518" s="102"/>
      <c r="E518" s="117"/>
      <c r="F518" s="250"/>
      <c r="G518" s="523"/>
      <c r="H518" s="524"/>
      <c r="I518" s="523"/>
      <c r="J518" s="36"/>
      <c r="K518" s="37"/>
      <c r="L518" s="38"/>
      <c r="M518" s="39"/>
      <c r="N518" s="38"/>
      <c r="O518" s="39"/>
      <c r="P518" s="40"/>
      <c r="Q518" s="34"/>
      <c r="R518" s="35"/>
      <c r="S518" s="35"/>
      <c r="T518" s="35"/>
      <c r="U518" s="35"/>
      <c r="V518" s="35"/>
      <c r="W518" s="35"/>
      <c r="X518" s="35"/>
      <c r="Y518" s="35"/>
      <c r="Z518" s="35"/>
      <c r="AA518" s="35"/>
    </row>
    <row r="519" ht="14.25" customHeight="1">
      <c r="A519" s="83"/>
      <c r="B519" s="84"/>
      <c r="C519" s="108"/>
      <c r="D519" s="102"/>
      <c r="E519" s="117"/>
      <c r="F519" s="250"/>
      <c r="G519" s="523"/>
      <c r="H519" s="524"/>
      <c r="I519" s="523"/>
      <c r="J519" s="36"/>
      <c r="K519" s="37"/>
      <c r="L519" s="38"/>
      <c r="M519" s="39"/>
      <c r="N519" s="38"/>
      <c r="O519" s="39"/>
      <c r="P519" s="40"/>
      <c r="Q519" s="34"/>
      <c r="R519" s="35"/>
      <c r="S519" s="35"/>
      <c r="T519" s="35"/>
      <c r="U519" s="35"/>
      <c r="V519" s="35"/>
      <c r="W519" s="35"/>
      <c r="X519" s="35"/>
      <c r="Y519" s="35"/>
      <c r="Z519" s="35"/>
      <c r="AA519" s="35"/>
    </row>
    <row r="520" ht="14.25" customHeight="1">
      <c r="A520" s="83"/>
      <c r="B520" s="84"/>
      <c r="C520" s="108"/>
      <c r="D520" s="102"/>
      <c r="E520" s="117"/>
      <c r="F520" s="250"/>
      <c r="G520" s="523"/>
      <c r="H520" s="524"/>
      <c r="I520" s="523"/>
      <c r="J520" s="36"/>
      <c r="K520" s="37"/>
      <c r="L520" s="38"/>
      <c r="M520" s="39"/>
      <c r="N520" s="38"/>
      <c r="O520" s="39"/>
      <c r="P520" s="40"/>
      <c r="Q520" s="34"/>
      <c r="R520" s="35"/>
      <c r="S520" s="35"/>
      <c r="T520" s="35"/>
      <c r="U520" s="35"/>
      <c r="V520" s="35"/>
      <c r="W520" s="35"/>
      <c r="X520" s="35"/>
      <c r="Y520" s="35"/>
      <c r="Z520" s="35"/>
      <c r="AA520" s="35"/>
    </row>
    <row r="521" ht="14.25" customHeight="1">
      <c r="A521" s="83"/>
      <c r="B521" s="84"/>
      <c r="C521" s="108"/>
      <c r="D521" s="102"/>
      <c r="E521" s="117"/>
      <c r="F521" s="250"/>
      <c r="G521" s="523"/>
      <c r="H521" s="524"/>
      <c r="I521" s="523"/>
      <c r="J521" s="36"/>
      <c r="K521" s="37"/>
      <c r="L521" s="38"/>
      <c r="M521" s="39"/>
      <c r="N521" s="38"/>
      <c r="O521" s="39"/>
      <c r="P521" s="40"/>
      <c r="Q521" s="34"/>
      <c r="R521" s="35"/>
      <c r="S521" s="35"/>
      <c r="T521" s="35"/>
      <c r="U521" s="35"/>
      <c r="V521" s="35"/>
      <c r="W521" s="35"/>
      <c r="X521" s="35"/>
      <c r="Y521" s="35"/>
      <c r="Z521" s="35"/>
      <c r="AA521" s="35"/>
    </row>
    <row r="522" ht="14.25" customHeight="1">
      <c r="A522" s="83"/>
      <c r="B522" s="84"/>
      <c r="C522" s="108"/>
      <c r="D522" s="102"/>
      <c r="E522" s="117"/>
      <c r="F522" s="250"/>
      <c r="G522" s="523"/>
      <c r="H522" s="524"/>
      <c r="I522" s="523"/>
      <c r="J522" s="36"/>
      <c r="K522" s="37"/>
      <c r="L522" s="38"/>
      <c r="M522" s="39"/>
      <c r="N522" s="38"/>
      <c r="O522" s="39"/>
      <c r="P522" s="40"/>
      <c r="Q522" s="34"/>
      <c r="R522" s="35"/>
      <c r="S522" s="35"/>
      <c r="T522" s="35"/>
      <c r="U522" s="35"/>
      <c r="V522" s="35"/>
      <c r="W522" s="35"/>
      <c r="X522" s="35"/>
      <c r="Y522" s="35"/>
      <c r="Z522" s="35"/>
      <c r="AA522" s="35"/>
    </row>
    <row r="523" ht="14.25" customHeight="1">
      <c r="A523" s="83"/>
      <c r="B523" s="84"/>
      <c r="C523" s="108"/>
      <c r="D523" s="102"/>
      <c r="E523" s="117"/>
      <c r="F523" s="250"/>
      <c r="G523" s="523"/>
      <c r="H523" s="524"/>
      <c r="I523" s="523"/>
      <c r="J523" s="36"/>
      <c r="K523" s="37"/>
      <c r="L523" s="38"/>
      <c r="M523" s="39"/>
      <c r="N523" s="38"/>
      <c r="O523" s="39"/>
      <c r="P523" s="40"/>
      <c r="Q523" s="34"/>
      <c r="R523" s="35"/>
      <c r="S523" s="35"/>
      <c r="T523" s="35"/>
      <c r="U523" s="35"/>
      <c r="V523" s="35"/>
      <c r="W523" s="35"/>
      <c r="X523" s="35"/>
      <c r="Y523" s="35"/>
      <c r="Z523" s="35"/>
      <c r="AA523" s="35"/>
    </row>
    <row r="524" ht="14.25" customHeight="1">
      <c r="A524" s="83"/>
      <c r="B524" s="84"/>
      <c r="C524" s="108"/>
      <c r="D524" s="102"/>
      <c r="E524" s="117"/>
      <c r="F524" s="250"/>
      <c r="G524" s="523"/>
      <c r="H524" s="524"/>
      <c r="I524" s="523"/>
      <c r="J524" s="36"/>
      <c r="K524" s="37"/>
      <c r="L524" s="38"/>
      <c r="M524" s="39"/>
      <c r="N524" s="38"/>
      <c r="O524" s="39"/>
      <c r="P524" s="40"/>
      <c r="Q524" s="34"/>
      <c r="R524" s="35"/>
      <c r="S524" s="35"/>
      <c r="T524" s="35"/>
      <c r="U524" s="35"/>
      <c r="V524" s="35"/>
      <c r="W524" s="35"/>
      <c r="X524" s="35"/>
      <c r="Y524" s="35"/>
      <c r="Z524" s="35"/>
      <c r="AA524" s="35"/>
    </row>
    <row r="525" ht="14.25" customHeight="1">
      <c r="A525" s="83"/>
      <c r="B525" s="84"/>
      <c r="C525" s="108"/>
      <c r="D525" s="102"/>
      <c r="E525" s="117"/>
      <c r="F525" s="250"/>
      <c r="G525" s="523"/>
      <c r="H525" s="524"/>
      <c r="I525" s="523"/>
      <c r="J525" s="36"/>
      <c r="K525" s="37"/>
      <c r="L525" s="38"/>
      <c r="M525" s="39"/>
      <c r="N525" s="38"/>
      <c r="O525" s="39"/>
      <c r="P525" s="40"/>
      <c r="Q525" s="34"/>
      <c r="R525" s="35"/>
      <c r="S525" s="35"/>
      <c r="T525" s="35"/>
      <c r="U525" s="35"/>
      <c r="V525" s="35"/>
      <c r="W525" s="35"/>
      <c r="X525" s="35"/>
      <c r="Y525" s="35"/>
      <c r="Z525" s="35"/>
      <c r="AA525" s="35"/>
    </row>
    <row r="526" ht="14.25" customHeight="1">
      <c r="A526" s="83"/>
      <c r="B526" s="84"/>
      <c r="C526" s="108"/>
      <c r="D526" s="102"/>
      <c r="E526" s="117"/>
      <c r="F526" s="250"/>
      <c r="G526" s="523"/>
      <c r="H526" s="524"/>
      <c r="I526" s="523"/>
      <c r="J526" s="36"/>
      <c r="K526" s="37"/>
      <c r="L526" s="38"/>
      <c r="M526" s="39"/>
      <c r="N526" s="38"/>
      <c r="O526" s="39"/>
      <c r="P526" s="40"/>
      <c r="Q526" s="34"/>
      <c r="R526" s="35"/>
      <c r="S526" s="35"/>
      <c r="T526" s="35"/>
      <c r="U526" s="35"/>
      <c r="V526" s="35"/>
      <c r="W526" s="35"/>
      <c r="X526" s="35"/>
      <c r="Y526" s="35"/>
      <c r="Z526" s="35"/>
      <c r="AA526" s="35"/>
    </row>
    <row r="527" ht="14.25" customHeight="1">
      <c r="A527" s="83"/>
      <c r="B527" s="84"/>
      <c r="C527" s="108"/>
      <c r="D527" s="102"/>
      <c r="E527" s="117"/>
      <c r="F527" s="250"/>
      <c r="G527" s="523"/>
      <c r="H527" s="524"/>
      <c r="I527" s="523"/>
      <c r="J527" s="36"/>
      <c r="K527" s="37"/>
      <c r="L527" s="38"/>
      <c r="M527" s="39"/>
      <c r="N527" s="38"/>
      <c r="O527" s="39"/>
      <c r="P527" s="40"/>
      <c r="Q527" s="34"/>
      <c r="R527" s="35"/>
      <c r="S527" s="35"/>
      <c r="T527" s="35"/>
      <c r="U527" s="35"/>
      <c r="V527" s="35"/>
      <c r="W527" s="35"/>
      <c r="X527" s="35"/>
      <c r="Y527" s="35"/>
      <c r="Z527" s="35"/>
      <c r="AA527" s="35"/>
    </row>
    <row r="528" ht="14.25" customHeight="1">
      <c r="A528" s="83"/>
      <c r="B528" s="84"/>
      <c r="C528" s="108"/>
      <c r="D528" s="102"/>
      <c r="E528" s="117"/>
      <c r="F528" s="250"/>
      <c r="G528" s="523"/>
      <c r="H528" s="524"/>
      <c r="I528" s="523"/>
      <c r="J528" s="36"/>
      <c r="K528" s="37"/>
      <c r="L528" s="38"/>
      <c r="M528" s="39"/>
      <c r="N528" s="38"/>
      <c r="O528" s="39"/>
      <c r="P528" s="40"/>
      <c r="Q528" s="34"/>
      <c r="R528" s="35"/>
      <c r="S528" s="35"/>
      <c r="T528" s="35"/>
      <c r="U528" s="35"/>
      <c r="V528" s="35"/>
      <c r="W528" s="35"/>
      <c r="X528" s="35"/>
      <c r="Y528" s="35"/>
      <c r="Z528" s="35"/>
      <c r="AA528" s="35"/>
    </row>
    <row r="529" ht="14.25" customHeight="1">
      <c r="A529" s="83"/>
      <c r="B529" s="84"/>
      <c r="C529" s="108"/>
      <c r="D529" s="102"/>
      <c r="E529" s="117"/>
      <c r="F529" s="250"/>
      <c r="G529" s="523"/>
      <c r="H529" s="524"/>
      <c r="I529" s="523"/>
      <c r="J529" s="36"/>
      <c r="K529" s="37"/>
      <c r="L529" s="38"/>
      <c r="M529" s="39"/>
      <c r="N529" s="38"/>
      <c r="O529" s="39"/>
      <c r="P529" s="40"/>
      <c r="Q529" s="34"/>
      <c r="R529" s="35"/>
      <c r="S529" s="35"/>
      <c r="T529" s="35"/>
      <c r="U529" s="35"/>
      <c r="V529" s="35"/>
      <c r="W529" s="35"/>
      <c r="X529" s="35"/>
      <c r="Y529" s="35"/>
      <c r="Z529" s="35"/>
      <c r="AA529" s="35"/>
    </row>
    <row r="530" ht="14.25" customHeight="1">
      <c r="A530" s="136"/>
      <c r="B530" s="137"/>
      <c r="C530" s="251"/>
      <c r="D530" s="452"/>
      <c r="E530" s="136"/>
      <c r="F530" s="253"/>
      <c r="G530" s="526"/>
      <c r="H530" s="527"/>
      <c r="I530" s="527"/>
      <c r="J530" s="141"/>
      <c r="K530" s="141"/>
      <c r="L530" s="142"/>
      <c r="M530" s="142"/>
      <c r="N530" s="142"/>
      <c r="O530" s="142"/>
      <c r="P530" s="136"/>
      <c r="Q530" s="34"/>
      <c r="R530" s="35"/>
      <c r="S530" s="35"/>
      <c r="T530" s="35"/>
      <c r="U530" s="35"/>
      <c r="V530" s="35"/>
      <c r="W530" s="35"/>
      <c r="X530" s="35"/>
      <c r="Y530" s="35"/>
      <c r="Z530" s="35"/>
      <c r="AA530" s="35"/>
    </row>
    <row r="531" ht="14.25" customHeight="1">
      <c r="A531" s="136"/>
      <c r="B531" s="137"/>
      <c r="C531" s="251"/>
      <c r="D531" s="452"/>
      <c r="E531" s="136"/>
      <c r="F531" s="253"/>
      <c r="G531" s="526"/>
      <c r="H531" s="527"/>
      <c r="I531" s="527"/>
      <c r="J531" s="141"/>
      <c r="K531" s="141"/>
      <c r="L531" s="142"/>
      <c r="M531" s="142"/>
      <c r="N531" s="142"/>
      <c r="O531" s="142"/>
      <c r="P531" s="136"/>
      <c r="Q531" s="34"/>
      <c r="R531" s="35"/>
      <c r="S531" s="35"/>
      <c r="T531" s="35"/>
      <c r="U531" s="35"/>
      <c r="V531" s="35"/>
      <c r="W531" s="35"/>
      <c r="X531" s="35"/>
      <c r="Y531" s="35"/>
      <c r="Z531" s="35"/>
      <c r="AA531" s="35"/>
    </row>
    <row r="532" ht="14.25" customHeight="1">
      <c r="A532" s="136"/>
      <c r="B532" s="137"/>
      <c r="C532" s="251"/>
      <c r="D532" s="452"/>
      <c r="E532" s="136"/>
      <c r="F532" s="253"/>
      <c r="G532" s="526"/>
      <c r="H532" s="527"/>
      <c r="I532" s="527"/>
      <c r="J532" s="141"/>
      <c r="K532" s="141"/>
      <c r="L532" s="142"/>
      <c r="M532" s="142"/>
      <c r="N532" s="142"/>
      <c r="O532" s="142"/>
      <c r="P532" s="136"/>
      <c r="Q532" s="34"/>
      <c r="R532" s="35"/>
      <c r="S532" s="35"/>
      <c r="T532" s="35"/>
      <c r="U532" s="35"/>
      <c r="V532" s="35"/>
      <c r="W532" s="35"/>
      <c r="X532" s="35"/>
      <c r="Y532" s="35"/>
      <c r="Z532" s="35"/>
      <c r="AA532" s="35"/>
    </row>
    <row r="533" ht="14.25" customHeight="1">
      <c r="A533" s="136"/>
      <c r="B533" s="137"/>
      <c r="C533" s="251"/>
      <c r="D533" s="452"/>
      <c r="E533" s="136"/>
      <c r="F533" s="253"/>
      <c r="G533" s="526"/>
      <c r="H533" s="527"/>
      <c r="I533" s="527"/>
      <c r="J533" s="141"/>
      <c r="K533" s="141"/>
      <c r="L533" s="142"/>
      <c r="M533" s="142"/>
      <c r="N533" s="142"/>
      <c r="O533" s="142"/>
      <c r="P533" s="136"/>
      <c r="Q533" s="34"/>
      <c r="R533" s="35"/>
      <c r="S533" s="35"/>
      <c r="T533" s="35"/>
      <c r="U533" s="35"/>
      <c r="V533" s="35"/>
      <c r="W533" s="35"/>
      <c r="X533" s="35"/>
      <c r="Y533" s="35"/>
      <c r="Z533" s="35"/>
      <c r="AA533" s="35"/>
    </row>
    <row r="534" ht="14.25" customHeight="1">
      <c r="A534" s="136"/>
      <c r="B534" s="137"/>
      <c r="C534" s="251"/>
      <c r="D534" s="452"/>
      <c r="E534" s="136"/>
      <c r="F534" s="253"/>
      <c r="G534" s="526"/>
      <c r="H534" s="527"/>
      <c r="I534" s="527"/>
      <c r="J534" s="141"/>
      <c r="K534" s="141"/>
      <c r="L534" s="142"/>
      <c r="M534" s="142"/>
      <c r="N534" s="142"/>
      <c r="O534" s="142"/>
      <c r="P534" s="136"/>
      <c r="Q534" s="34"/>
      <c r="R534" s="35"/>
      <c r="S534" s="35"/>
      <c r="T534" s="35"/>
      <c r="U534" s="35"/>
      <c r="V534" s="35"/>
      <c r="W534" s="35"/>
      <c r="X534" s="35"/>
      <c r="Y534" s="35"/>
      <c r="Z534" s="35"/>
      <c r="AA534" s="35"/>
    </row>
    <row r="535" ht="14.25" customHeight="1">
      <c r="A535" s="136"/>
      <c r="B535" s="137"/>
      <c r="C535" s="251"/>
      <c r="D535" s="452"/>
      <c r="E535" s="136"/>
      <c r="F535" s="253"/>
      <c r="G535" s="526"/>
      <c r="H535" s="527"/>
      <c r="I535" s="527"/>
      <c r="J535" s="141"/>
      <c r="K535" s="141"/>
      <c r="L535" s="142"/>
      <c r="M535" s="142"/>
      <c r="N535" s="142"/>
      <c r="O535" s="142"/>
      <c r="P535" s="136"/>
      <c r="Q535" s="34"/>
      <c r="R535" s="35"/>
      <c r="S535" s="35"/>
      <c r="T535" s="35"/>
      <c r="U535" s="35"/>
      <c r="V535" s="35"/>
      <c r="W535" s="35"/>
      <c r="X535" s="35"/>
      <c r="Y535" s="35"/>
      <c r="Z535" s="35"/>
      <c r="AA535" s="35"/>
    </row>
    <row r="536" ht="14.25" customHeight="1">
      <c r="A536" s="136"/>
      <c r="B536" s="137"/>
      <c r="C536" s="251"/>
      <c r="D536" s="452"/>
      <c r="E536" s="136"/>
      <c r="F536" s="253"/>
      <c r="G536" s="526"/>
      <c r="H536" s="527"/>
      <c r="I536" s="527"/>
      <c r="J536" s="141"/>
      <c r="K536" s="141"/>
      <c r="L536" s="142"/>
      <c r="M536" s="142"/>
      <c r="N536" s="142"/>
      <c r="O536" s="142"/>
      <c r="P536" s="136"/>
      <c r="Q536" s="34"/>
      <c r="R536" s="35"/>
      <c r="S536" s="35"/>
      <c r="T536" s="35"/>
      <c r="U536" s="35"/>
      <c r="V536" s="35"/>
      <c r="W536" s="35"/>
      <c r="X536" s="35"/>
      <c r="Y536" s="35"/>
      <c r="Z536" s="35"/>
      <c r="AA536" s="35"/>
    </row>
    <row r="537" ht="14.25" customHeight="1">
      <c r="A537" s="136"/>
      <c r="B537" s="137"/>
      <c r="C537" s="251"/>
      <c r="D537" s="452"/>
      <c r="E537" s="136"/>
      <c r="F537" s="253"/>
      <c r="G537" s="526"/>
      <c r="H537" s="527"/>
      <c r="I537" s="527"/>
      <c r="J537" s="141"/>
      <c r="K537" s="141"/>
      <c r="L537" s="142"/>
      <c r="M537" s="142"/>
      <c r="N537" s="142"/>
      <c r="O537" s="142"/>
      <c r="P537" s="136"/>
      <c r="Q537" s="34"/>
      <c r="R537" s="35"/>
      <c r="S537" s="35"/>
      <c r="T537" s="35"/>
      <c r="U537" s="35"/>
      <c r="V537" s="35"/>
      <c r="W537" s="35"/>
      <c r="X537" s="35"/>
      <c r="Y537" s="35"/>
      <c r="Z537" s="35"/>
      <c r="AA537" s="35"/>
    </row>
    <row r="538" ht="14.25" customHeight="1">
      <c r="A538" s="136"/>
      <c r="B538" s="137"/>
      <c r="C538" s="251"/>
      <c r="D538" s="452"/>
      <c r="E538" s="136"/>
      <c r="F538" s="253"/>
      <c r="G538" s="526"/>
      <c r="H538" s="527"/>
      <c r="I538" s="527"/>
      <c r="J538" s="141"/>
      <c r="K538" s="141"/>
      <c r="L538" s="142"/>
      <c r="M538" s="142"/>
      <c r="N538" s="142"/>
      <c r="O538" s="142"/>
      <c r="P538" s="136"/>
      <c r="Q538" s="34"/>
      <c r="R538" s="35"/>
      <c r="S538" s="35"/>
      <c r="T538" s="35"/>
      <c r="U538" s="35"/>
      <c r="V538" s="35"/>
      <c r="W538" s="35"/>
      <c r="X538" s="35"/>
      <c r="Y538" s="35"/>
      <c r="Z538" s="35"/>
      <c r="AA538" s="35"/>
    </row>
    <row r="539" ht="14.25" customHeight="1">
      <c r="A539" s="136"/>
      <c r="B539" s="137"/>
      <c r="C539" s="251"/>
      <c r="D539" s="452"/>
      <c r="E539" s="136"/>
      <c r="F539" s="253"/>
      <c r="G539" s="526"/>
      <c r="H539" s="527"/>
      <c r="I539" s="527"/>
      <c r="J539" s="141"/>
      <c r="K539" s="141"/>
      <c r="L539" s="142"/>
      <c r="M539" s="142"/>
      <c r="N539" s="142"/>
      <c r="O539" s="142"/>
      <c r="P539" s="136"/>
      <c r="Q539" s="34"/>
      <c r="R539" s="35"/>
      <c r="S539" s="35"/>
      <c r="T539" s="35"/>
      <c r="U539" s="35"/>
      <c r="V539" s="35"/>
      <c r="W539" s="35"/>
      <c r="X539" s="35"/>
      <c r="Y539" s="35"/>
      <c r="Z539" s="35"/>
      <c r="AA539" s="35"/>
    </row>
    <row r="540" ht="14.25" customHeight="1">
      <c r="A540" s="136"/>
      <c r="B540" s="137"/>
      <c r="C540" s="251"/>
      <c r="D540" s="452"/>
      <c r="E540" s="136"/>
      <c r="F540" s="253"/>
      <c r="G540" s="526"/>
      <c r="H540" s="527"/>
      <c r="I540" s="527"/>
      <c r="J540" s="141"/>
      <c r="K540" s="141"/>
      <c r="L540" s="142"/>
      <c r="M540" s="142"/>
      <c r="N540" s="142"/>
      <c r="O540" s="142"/>
      <c r="P540" s="136"/>
      <c r="Q540" s="34"/>
      <c r="R540" s="35"/>
      <c r="S540" s="35"/>
      <c r="T540" s="35"/>
      <c r="U540" s="35"/>
      <c r="V540" s="35"/>
      <c r="W540" s="35"/>
      <c r="X540" s="35"/>
      <c r="Y540" s="35"/>
      <c r="Z540" s="35"/>
      <c r="AA540" s="35"/>
    </row>
    <row r="541" ht="14.25" customHeight="1">
      <c r="A541" s="136"/>
      <c r="B541" s="137"/>
      <c r="C541" s="251"/>
      <c r="D541" s="452"/>
      <c r="E541" s="136"/>
      <c r="F541" s="253"/>
      <c r="G541" s="526"/>
      <c r="H541" s="527"/>
      <c r="I541" s="527"/>
      <c r="J541" s="141"/>
      <c r="K541" s="141"/>
      <c r="L541" s="142"/>
      <c r="M541" s="142"/>
      <c r="N541" s="142"/>
      <c r="O541" s="142"/>
      <c r="P541" s="136"/>
      <c r="Q541" s="34"/>
      <c r="R541" s="35"/>
      <c r="S541" s="35"/>
      <c r="T541" s="35"/>
      <c r="U541" s="35"/>
      <c r="V541" s="35"/>
      <c r="W541" s="35"/>
      <c r="X541" s="35"/>
      <c r="Y541" s="35"/>
      <c r="Z541" s="35"/>
      <c r="AA541" s="35"/>
    </row>
    <row r="542" ht="14.25" customHeight="1">
      <c r="A542" s="136"/>
      <c r="B542" s="137"/>
      <c r="C542" s="251"/>
      <c r="D542" s="452"/>
      <c r="E542" s="136"/>
      <c r="F542" s="253"/>
      <c r="G542" s="526"/>
      <c r="H542" s="527"/>
      <c r="I542" s="527"/>
      <c r="J542" s="141"/>
      <c r="K542" s="141"/>
      <c r="L542" s="142"/>
      <c r="M542" s="142"/>
      <c r="N542" s="142"/>
      <c r="O542" s="142"/>
      <c r="P542" s="136"/>
      <c r="Q542" s="34"/>
      <c r="R542" s="35"/>
      <c r="S542" s="35"/>
      <c r="T542" s="35"/>
      <c r="U542" s="35"/>
      <c r="V542" s="35"/>
      <c r="W542" s="35"/>
      <c r="X542" s="35"/>
      <c r="Y542" s="35"/>
      <c r="Z542" s="35"/>
      <c r="AA542" s="35"/>
    </row>
    <row r="543" ht="14.25" customHeight="1">
      <c r="A543" s="136"/>
      <c r="B543" s="137"/>
      <c r="C543" s="251"/>
      <c r="D543" s="452"/>
      <c r="E543" s="136"/>
      <c r="F543" s="253"/>
      <c r="G543" s="526"/>
      <c r="H543" s="527"/>
      <c r="I543" s="527"/>
      <c r="J543" s="141"/>
      <c r="K543" s="141"/>
      <c r="L543" s="142"/>
      <c r="M543" s="142"/>
      <c r="N543" s="142"/>
      <c r="O543" s="142"/>
      <c r="P543" s="136"/>
      <c r="Q543" s="34"/>
      <c r="R543" s="35"/>
      <c r="S543" s="35"/>
      <c r="T543" s="35"/>
      <c r="U543" s="35"/>
      <c r="V543" s="35"/>
      <c r="W543" s="35"/>
      <c r="X543" s="35"/>
      <c r="Y543" s="35"/>
      <c r="Z543" s="35"/>
      <c r="AA543" s="35"/>
    </row>
    <row r="544" ht="14.25" customHeight="1">
      <c r="A544" s="136"/>
      <c r="B544" s="137"/>
      <c r="C544" s="251"/>
      <c r="D544" s="452"/>
      <c r="E544" s="136"/>
      <c r="F544" s="253"/>
      <c r="G544" s="526"/>
      <c r="H544" s="527"/>
      <c r="I544" s="527"/>
      <c r="J544" s="141"/>
      <c r="K544" s="141"/>
      <c r="L544" s="142"/>
      <c r="M544" s="142"/>
      <c r="N544" s="142"/>
      <c r="O544" s="142"/>
      <c r="P544" s="136"/>
      <c r="Q544" s="34"/>
      <c r="R544" s="35"/>
      <c r="S544" s="35"/>
      <c r="T544" s="35"/>
      <c r="U544" s="35"/>
      <c r="V544" s="35"/>
      <c r="W544" s="35"/>
      <c r="X544" s="35"/>
      <c r="Y544" s="35"/>
      <c r="Z544" s="35"/>
      <c r="AA544" s="35"/>
    </row>
    <row r="545" ht="14.25" customHeight="1">
      <c r="A545" s="136"/>
      <c r="B545" s="137"/>
      <c r="C545" s="251"/>
      <c r="D545" s="452"/>
      <c r="E545" s="136"/>
      <c r="F545" s="253"/>
      <c r="G545" s="526"/>
      <c r="H545" s="527"/>
      <c r="I545" s="527"/>
      <c r="J545" s="141"/>
      <c r="K545" s="141"/>
      <c r="L545" s="142"/>
      <c r="M545" s="142"/>
      <c r="N545" s="142"/>
      <c r="O545" s="142"/>
      <c r="P545" s="136"/>
      <c r="Q545" s="34"/>
      <c r="R545" s="35"/>
      <c r="S545" s="35"/>
      <c r="T545" s="35"/>
      <c r="U545" s="35"/>
      <c r="V545" s="35"/>
      <c r="W545" s="35"/>
      <c r="X545" s="35"/>
      <c r="Y545" s="35"/>
      <c r="Z545" s="35"/>
      <c r="AA545" s="35"/>
    </row>
    <row r="546" ht="14.25" customHeight="1">
      <c r="A546" s="136"/>
      <c r="B546" s="137"/>
      <c r="C546" s="251"/>
      <c r="D546" s="452"/>
      <c r="E546" s="136"/>
      <c r="F546" s="253"/>
      <c r="G546" s="526"/>
      <c r="H546" s="527"/>
      <c r="I546" s="527"/>
      <c r="J546" s="141"/>
      <c r="K546" s="141"/>
      <c r="L546" s="142"/>
      <c r="M546" s="142"/>
      <c r="N546" s="142"/>
      <c r="O546" s="142"/>
      <c r="P546" s="136"/>
      <c r="Q546" s="34"/>
      <c r="R546" s="35"/>
      <c r="S546" s="35"/>
      <c r="T546" s="35"/>
      <c r="U546" s="35"/>
      <c r="V546" s="35"/>
      <c r="W546" s="35"/>
      <c r="X546" s="35"/>
      <c r="Y546" s="35"/>
      <c r="Z546" s="35"/>
      <c r="AA546" s="35"/>
    </row>
    <row r="547" ht="14.25" customHeight="1">
      <c r="A547" s="136"/>
      <c r="B547" s="137"/>
      <c r="C547" s="251"/>
      <c r="D547" s="452"/>
      <c r="E547" s="136"/>
      <c r="F547" s="253"/>
      <c r="G547" s="526"/>
      <c r="H547" s="527"/>
      <c r="I547" s="527"/>
      <c r="J547" s="141"/>
      <c r="K547" s="141"/>
      <c r="L547" s="142"/>
      <c r="M547" s="142"/>
      <c r="N547" s="142"/>
      <c r="O547" s="142"/>
      <c r="P547" s="136"/>
      <c r="Q547" s="34"/>
      <c r="R547" s="35"/>
      <c r="S547" s="35"/>
      <c r="T547" s="35"/>
      <c r="U547" s="35"/>
      <c r="V547" s="35"/>
      <c r="W547" s="35"/>
      <c r="X547" s="35"/>
      <c r="Y547" s="35"/>
      <c r="Z547" s="35"/>
      <c r="AA547" s="35"/>
    </row>
    <row r="548" ht="14.25" customHeight="1">
      <c r="A548" s="136"/>
      <c r="B548" s="137"/>
      <c r="C548" s="251"/>
      <c r="D548" s="452"/>
      <c r="E548" s="136"/>
      <c r="F548" s="253"/>
      <c r="G548" s="526"/>
      <c r="H548" s="527"/>
      <c r="I548" s="527"/>
      <c r="J548" s="141"/>
      <c r="K548" s="141"/>
      <c r="L548" s="142"/>
      <c r="M548" s="142"/>
      <c r="N548" s="142"/>
      <c r="O548" s="142"/>
      <c r="P548" s="136"/>
      <c r="Q548" s="34"/>
      <c r="R548" s="35"/>
      <c r="S548" s="35"/>
      <c r="T548" s="35"/>
      <c r="U548" s="35"/>
      <c r="V548" s="35"/>
      <c r="W548" s="35"/>
      <c r="X548" s="35"/>
      <c r="Y548" s="35"/>
      <c r="Z548" s="35"/>
      <c r="AA548" s="35"/>
    </row>
    <row r="549" ht="14.25" customHeight="1">
      <c r="A549" s="136"/>
      <c r="B549" s="137"/>
      <c r="C549" s="251"/>
      <c r="D549" s="452"/>
      <c r="E549" s="136"/>
      <c r="F549" s="253"/>
      <c r="G549" s="526"/>
      <c r="H549" s="527"/>
      <c r="I549" s="527"/>
      <c r="J549" s="141"/>
      <c r="K549" s="141"/>
      <c r="L549" s="142"/>
      <c r="M549" s="142"/>
      <c r="N549" s="142"/>
      <c r="O549" s="142"/>
      <c r="P549" s="136"/>
      <c r="Q549" s="34"/>
      <c r="R549" s="35"/>
      <c r="S549" s="35"/>
      <c r="T549" s="35"/>
      <c r="U549" s="35"/>
      <c r="V549" s="35"/>
      <c r="W549" s="35"/>
      <c r="X549" s="35"/>
      <c r="Y549" s="35"/>
      <c r="Z549" s="35"/>
      <c r="AA549" s="35"/>
    </row>
    <row r="550" ht="14.25" customHeight="1">
      <c r="A550" s="136"/>
      <c r="B550" s="137"/>
      <c r="C550" s="251"/>
      <c r="D550" s="452"/>
      <c r="E550" s="136"/>
      <c r="F550" s="253"/>
      <c r="G550" s="526"/>
      <c r="H550" s="527"/>
      <c r="I550" s="527"/>
      <c r="J550" s="141"/>
      <c r="K550" s="141"/>
      <c r="L550" s="142"/>
      <c r="M550" s="142"/>
      <c r="N550" s="142"/>
      <c r="O550" s="142"/>
      <c r="P550" s="136"/>
      <c r="Q550" s="34"/>
      <c r="R550" s="35"/>
      <c r="S550" s="35"/>
      <c r="T550" s="35"/>
      <c r="U550" s="35"/>
      <c r="V550" s="35"/>
      <c r="W550" s="35"/>
      <c r="X550" s="35"/>
      <c r="Y550" s="35"/>
      <c r="Z550" s="35"/>
      <c r="AA550" s="35"/>
    </row>
    <row r="551" ht="14.25" customHeight="1">
      <c r="A551" s="136"/>
      <c r="B551" s="137"/>
      <c r="C551" s="251"/>
      <c r="D551" s="452"/>
      <c r="E551" s="136"/>
      <c r="F551" s="253"/>
      <c r="G551" s="526"/>
      <c r="H551" s="527"/>
      <c r="I551" s="527"/>
      <c r="J551" s="141"/>
      <c r="K551" s="141"/>
      <c r="L551" s="142"/>
      <c r="M551" s="142"/>
      <c r="N551" s="142"/>
      <c r="O551" s="142"/>
      <c r="P551" s="136"/>
      <c r="Q551" s="34"/>
      <c r="R551" s="35"/>
      <c r="S551" s="35"/>
      <c r="T551" s="35"/>
      <c r="U551" s="35"/>
      <c r="V551" s="35"/>
      <c r="W551" s="35"/>
      <c r="X551" s="35"/>
      <c r="Y551" s="35"/>
      <c r="Z551" s="35"/>
      <c r="AA551" s="35"/>
    </row>
    <row r="552" ht="14.25" customHeight="1">
      <c r="A552" s="136"/>
      <c r="B552" s="137"/>
      <c r="C552" s="251"/>
      <c r="D552" s="452"/>
      <c r="E552" s="136"/>
      <c r="F552" s="253"/>
      <c r="G552" s="526"/>
      <c r="H552" s="527"/>
      <c r="I552" s="527"/>
      <c r="J552" s="141"/>
      <c r="K552" s="141"/>
      <c r="L552" s="142"/>
      <c r="M552" s="142"/>
      <c r="N552" s="142"/>
      <c r="O552" s="142"/>
      <c r="P552" s="136"/>
      <c r="Q552" s="34"/>
      <c r="R552" s="35"/>
      <c r="S552" s="35"/>
      <c r="T552" s="35"/>
      <c r="U552" s="35"/>
      <c r="V552" s="35"/>
      <c r="W552" s="35"/>
      <c r="X552" s="35"/>
      <c r="Y552" s="35"/>
      <c r="Z552" s="35"/>
      <c r="AA552" s="35"/>
    </row>
    <row r="553" ht="14.25" customHeight="1">
      <c r="A553" s="136"/>
      <c r="B553" s="137"/>
      <c r="C553" s="251"/>
      <c r="D553" s="452"/>
      <c r="E553" s="136"/>
      <c r="F553" s="253"/>
      <c r="G553" s="526"/>
      <c r="H553" s="527"/>
      <c r="I553" s="527"/>
      <c r="J553" s="141"/>
      <c r="K553" s="141"/>
      <c r="L553" s="142"/>
      <c r="M553" s="142"/>
      <c r="N553" s="142"/>
      <c r="O553" s="142"/>
      <c r="P553" s="136"/>
      <c r="Q553" s="34"/>
      <c r="R553" s="35"/>
      <c r="S553" s="35"/>
      <c r="T553" s="35"/>
      <c r="U553" s="35"/>
      <c r="V553" s="35"/>
      <c r="W553" s="35"/>
      <c r="X553" s="35"/>
      <c r="Y553" s="35"/>
      <c r="Z553" s="35"/>
      <c r="AA553" s="35"/>
    </row>
    <row r="554" ht="14.25" customHeight="1">
      <c r="A554" s="136"/>
      <c r="B554" s="137"/>
      <c r="C554" s="251"/>
      <c r="D554" s="452"/>
      <c r="E554" s="136"/>
      <c r="F554" s="253"/>
      <c r="G554" s="526"/>
      <c r="H554" s="527"/>
      <c r="I554" s="527"/>
      <c r="J554" s="141"/>
      <c r="K554" s="141"/>
      <c r="L554" s="142"/>
      <c r="M554" s="142"/>
      <c r="N554" s="142"/>
      <c r="O554" s="142"/>
      <c r="P554" s="136"/>
      <c r="Q554" s="34"/>
      <c r="R554" s="35"/>
      <c r="S554" s="35"/>
      <c r="T554" s="35"/>
      <c r="U554" s="35"/>
      <c r="V554" s="35"/>
      <c r="W554" s="35"/>
      <c r="X554" s="35"/>
      <c r="Y554" s="35"/>
      <c r="Z554" s="35"/>
      <c r="AA554" s="35"/>
    </row>
    <row r="555" ht="14.25" customHeight="1">
      <c r="A555" s="136"/>
      <c r="B555" s="137"/>
      <c r="C555" s="251"/>
      <c r="D555" s="452"/>
      <c r="E555" s="136"/>
      <c r="F555" s="253"/>
      <c r="G555" s="526"/>
      <c r="H555" s="527"/>
      <c r="I555" s="527"/>
      <c r="J555" s="141"/>
      <c r="K555" s="141"/>
      <c r="L555" s="142"/>
      <c r="M555" s="142"/>
      <c r="N555" s="142"/>
      <c r="O555" s="142"/>
      <c r="P555" s="136"/>
      <c r="Q555" s="34"/>
      <c r="R555" s="35"/>
      <c r="S555" s="35"/>
      <c r="T555" s="35"/>
      <c r="U555" s="35"/>
      <c r="V555" s="35"/>
      <c r="W555" s="35"/>
      <c r="X555" s="35"/>
      <c r="Y555" s="35"/>
      <c r="Z555" s="35"/>
      <c r="AA555" s="35"/>
    </row>
    <row r="556" ht="14.25" customHeight="1">
      <c r="A556" s="136"/>
      <c r="B556" s="137"/>
      <c r="C556" s="251"/>
      <c r="D556" s="452"/>
      <c r="E556" s="136"/>
      <c r="F556" s="253"/>
      <c r="G556" s="526"/>
      <c r="H556" s="527"/>
      <c r="I556" s="527"/>
      <c r="J556" s="141"/>
      <c r="K556" s="141"/>
      <c r="L556" s="142"/>
      <c r="M556" s="142"/>
      <c r="N556" s="142"/>
      <c r="O556" s="142"/>
      <c r="P556" s="136"/>
      <c r="Q556" s="34"/>
      <c r="R556" s="35"/>
      <c r="S556" s="35"/>
      <c r="T556" s="35"/>
      <c r="U556" s="35"/>
      <c r="V556" s="35"/>
      <c r="W556" s="35"/>
      <c r="X556" s="35"/>
      <c r="Y556" s="35"/>
      <c r="Z556" s="35"/>
      <c r="AA556" s="35"/>
    </row>
    <row r="557" ht="14.25" customHeight="1">
      <c r="A557" s="136"/>
      <c r="B557" s="137"/>
      <c r="C557" s="251"/>
      <c r="D557" s="452"/>
      <c r="E557" s="136"/>
      <c r="F557" s="253"/>
      <c r="G557" s="526"/>
      <c r="H557" s="527"/>
      <c r="I557" s="527"/>
      <c r="J557" s="141"/>
      <c r="K557" s="141"/>
      <c r="L557" s="142"/>
      <c r="M557" s="142"/>
      <c r="N557" s="142"/>
      <c r="O557" s="142"/>
      <c r="P557" s="136"/>
      <c r="Q557" s="34"/>
      <c r="R557" s="35"/>
      <c r="S557" s="35"/>
      <c r="T557" s="35"/>
      <c r="U557" s="35"/>
      <c r="V557" s="35"/>
      <c r="W557" s="35"/>
      <c r="X557" s="35"/>
      <c r="Y557" s="35"/>
      <c r="Z557" s="35"/>
      <c r="AA557" s="35"/>
    </row>
    <row r="558" ht="14.25" customHeight="1">
      <c r="A558" s="136"/>
      <c r="B558" s="137"/>
      <c r="C558" s="251"/>
      <c r="D558" s="452"/>
      <c r="E558" s="136"/>
      <c r="F558" s="253"/>
      <c r="G558" s="526"/>
      <c r="H558" s="527"/>
      <c r="I558" s="527"/>
      <c r="J558" s="141"/>
      <c r="K558" s="141"/>
      <c r="L558" s="142"/>
      <c r="M558" s="142"/>
      <c r="N558" s="142"/>
      <c r="O558" s="142"/>
      <c r="P558" s="136"/>
      <c r="Q558" s="34"/>
      <c r="R558" s="35"/>
      <c r="S558" s="35"/>
      <c r="T558" s="35"/>
      <c r="U558" s="35"/>
      <c r="V558" s="35"/>
      <c r="W558" s="35"/>
      <c r="X558" s="35"/>
      <c r="Y558" s="35"/>
      <c r="Z558" s="35"/>
      <c r="AA558" s="35"/>
    </row>
    <row r="559" ht="14.25" customHeight="1">
      <c r="A559" s="136"/>
      <c r="B559" s="137"/>
      <c r="C559" s="251"/>
      <c r="D559" s="452"/>
      <c r="E559" s="136"/>
      <c r="F559" s="253"/>
      <c r="G559" s="526"/>
      <c r="H559" s="527"/>
      <c r="I559" s="527"/>
      <c r="J559" s="141"/>
      <c r="K559" s="141"/>
      <c r="L559" s="142"/>
      <c r="M559" s="142"/>
      <c r="N559" s="142"/>
      <c r="O559" s="142"/>
      <c r="P559" s="136"/>
      <c r="Q559" s="34"/>
      <c r="R559" s="35"/>
      <c r="S559" s="35"/>
      <c r="T559" s="35"/>
      <c r="U559" s="35"/>
      <c r="V559" s="35"/>
      <c r="W559" s="35"/>
      <c r="X559" s="35"/>
      <c r="Y559" s="35"/>
      <c r="Z559" s="35"/>
      <c r="AA559" s="35"/>
    </row>
    <row r="560" ht="14.25" customHeight="1">
      <c r="A560" s="136"/>
      <c r="B560" s="137"/>
      <c r="C560" s="251"/>
      <c r="D560" s="452"/>
      <c r="E560" s="136"/>
      <c r="F560" s="253"/>
      <c r="G560" s="526"/>
      <c r="H560" s="527"/>
      <c r="I560" s="527"/>
      <c r="J560" s="141"/>
      <c r="K560" s="141"/>
      <c r="L560" s="142"/>
      <c r="M560" s="142"/>
      <c r="N560" s="142"/>
      <c r="O560" s="142"/>
      <c r="P560" s="136"/>
      <c r="Q560" s="34"/>
      <c r="R560" s="35"/>
      <c r="S560" s="35"/>
      <c r="T560" s="35"/>
      <c r="U560" s="35"/>
      <c r="V560" s="35"/>
      <c r="W560" s="35"/>
      <c r="X560" s="35"/>
      <c r="Y560" s="35"/>
      <c r="Z560" s="35"/>
      <c r="AA560" s="35"/>
    </row>
    <row r="561" ht="14.25" customHeight="1">
      <c r="A561" s="136"/>
      <c r="B561" s="137"/>
      <c r="C561" s="251"/>
      <c r="D561" s="452"/>
      <c r="E561" s="136"/>
      <c r="F561" s="253"/>
      <c r="G561" s="526"/>
      <c r="H561" s="527"/>
      <c r="I561" s="527"/>
      <c r="J561" s="141"/>
      <c r="K561" s="141"/>
      <c r="L561" s="142"/>
      <c r="M561" s="142"/>
      <c r="N561" s="142"/>
      <c r="O561" s="142"/>
      <c r="P561" s="136"/>
      <c r="Q561" s="34"/>
      <c r="R561" s="35"/>
      <c r="S561" s="35"/>
      <c r="T561" s="35"/>
      <c r="U561" s="35"/>
      <c r="V561" s="35"/>
      <c r="W561" s="35"/>
      <c r="X561" s="35"/>
      <c r="Y561" s="35"/>
      <c r="Z561" s="35"/>
      <c r="AA561" s="35"/>
    </row>
    <row r="562" ht="14.25" customHeight="1">
      <c r="A562" s="136"/>
      <c r="B562" s="137"/>
      <c r="C562" s="251"/>
      <c r="D562" s="452"/>
      <c r="E562" s="136"/>
      <c r="F562" s="253"/>
      <c r="G562" s="526"/>
      <c r="H562" s="527"/>
      <c r="I562" s="527"/>
      <c r="J562" s="141"/>
      <c r="K562" s="141"/>
      <c r="L562" s="142"/>
      <c r="M562" s="142"/>
      <c r="N562" s="142"/>
      <c r="O562" s="142"/>
      <c r="P562" s="136"/>
      <c r="Q562" s="34"/>
      <c r="R562" s="35"/>
      <c r="S562" s="35"/>
      <c r="T562" s="35"/>
      <c r="U562" s="35"/>
      <c r="V562" s="35"/>
      <c r="W562" s="35"/>
      <c r="X562" s="35"/>
      <c r="Y562" s="35"/>
      <c r="Z562" s="35"/>
      <c r="AA562" s="35"/>
    </row>
    <row r="563" ht="14.25" customHeight="1">
      <c r="A563" s="136"/>
      <c r="B563" s="137"/>
      <c r="C563" s="251"/>
      <c r="D563" s="452"/>
      <c r="E563" s="136"/>
      <c r="F563" s="253"/>
      <c r="G563" s="526"/>
      <c r="H563" s="527"/>
      <c r="I563" s="527"/>
      <c r="J563" s="141"/>
      <c r="K563" s="141"/>
      <c r="L563" s="142"/>
      <c r="M563" s="142"/>
      <c r="N563" s="142"/>
      <c r="O563" s="142"/>
      <c r="P563" s="136"/>
      <c r="Q563" s="34"/>
      <c r="R563" s="35"/>
      <c r="S563" s="35"/>
      <c r="T563" s="35"/>
      <c r="U563" s="35"/>
      <c r="V563" s="35"/>
      <c r="W563" s="35"/>
      <c r="X563" s="35"/>
      <c r="Y563" s="35"/>
      <c r="Z563" s="35"/>
      <c r="AA563" s="35"/>
    </row>
    <row r="564" ht="14.25" customHeight="1">
      <c r="A564" s="136"/>
      <c r="B564" s="137"/>
      <c r="C564" s="251"/>
      <c r="D564" s="452"/>
      <c r="E564" s="136"/>
      <c r="F564" s="253"/>
      <c r="G564" s="526"/>
      <c r="H564" s="527"/>
      <c r="I564" s="527"/>
      <c r="J564" s="141"/>
      <c r="K564" s="141"/>
      <c r="L564" s="142"/>
      <c r="M564" s="142"/>
      <c r="N564" s="142"/>
      <c r="O564" s="142"/>
      <c r="P564" s="136"/>
      <c r="Q564" s="34"/>
      <c r="R564" s="35"/>
      <c r="S564" s="35"/>
      <c r="T564" s="35"/>
      <c r="U564" s="35"/>
      <c r="V564" s="35"/>
      <c r="W564" s="35"/>
      <c r="X564" s="35"/>
      <c r="Y564" s="35"/>
      <c r="Z564" s="35"/>
      <c r="AA564" s="35"/>
    </row>
    <row r="565" ht="14.25" customHeight="1">
      <c r="A565" s="136"/>
      <c r="B565" s="137"/>
      <c r="C565" s="251"/>
      <c r="D565" s="452"/>
      <c r="E565" s="136"/>
      <c r="F565" s="253"/>
      <c r="G565" s="526"/>
      <c r="H565" s="527"/>
      <c r="I565" s="527"/>
      <c r="J565" s="141"/>
      <c r="K565" s="141"/>
      <c r="L565" s="142"/>
      <c r="M565" s="142"/>
      <c r="N565" s="142"/>
      <c r="O565" s="142"/>
      <c r="P565" s="136"/>
      <c r="Q565" s="34"/>
      <c r="R565" s="35"/>
      <c r="S565" s="35"/>
      <c r="T565" s="35"/>
      <c r="U565" s="35"/>
      <c r="V565" s="35"/>
      <c r="W565" s="35"/>
      <c r="X565" s="35"/>
      <c r="Y565" s="35"/>
      <c r="Z565" s="35"/>
      <c r="AA565" s="35"/>
    </row>
    <row r="566" ht="14.25" customHeight="1">
      <c r="A566" s="136"/>
      <c r="B566" s="137"/>
      <c r="C566" s="251"/>
      <c r="D566" s="452"/>
      <c r="E566" s="136"/>
      <c r="F566" s="253"/>
      <c r="G566" s="526"/>
      <c r="H566" s="527"/>
      <c r="I566" s="527"/>
      <c r="J566" s="141"/>
      <c r="K566" s="141"/>
      <c r="L566" s="142"/>
      <c r="M566" s="142"/>
      <c r="N566" s="142"/>
      <c r="O566" s="142"/>
      <c r="P566" s="136"/>
      <c r="Q566" s="34"/>
      <c r="R566" s="35"/>
      <c r="S566" s="35"/>
      <c r="T566" s="35"/>
      <c r="U566" s="35"/>
      <c r="V566" s="35"/>
      <c r="W566" s="35"/>
      <c r="X566" s="35"/>
      <c r="Y566" s="35"/>
      <c r="Z566" s="35"/>
      <c r="AA566" s="35"/>
    </row>
    <row r="567" ht="14.25" customHeight="1">
      <c r="A567" s="136"/>
      <c r="B567" s="137"/>
      <c r="C567" s="251"/>
      <c r="D567" s="452"/>
      <c r="E567" s="136"/>
      <c r="F567" s="253"/>
      <c r="G567" s="526"/>
      <c r="H567" s="527"/>
      <c r="I567" s="527"/>
      <c r="J567" s="141"/>
      <c r="K567" s="141"/>
      <c r="L567" s="142"/>
      <c r="M567" s="142"/>
      <c r="N567" s="142"/>
      <c r="O567" s="142"/>
      <c r="P567" s="136"/>
      <c r="Q567" s="34"/>
      <c r="R567" s="35"/>
      <c r="S567" s="35"/>
      <c r="T567" s="35"/>
      <c r="U567" s="35"/>
      <c r="V567" s="35"/>
      <c r="W567" s="35"/>
      <c r="X567" s="35"/>
      <c r="Y567" s="35"/>
      <c r="Z567" s="35"/>
      <c r="AA567" s="35"/>
    </row>
    <row r="568" ht="14.25" customHeight="1">
      <c r="A568" s="136"/>
      <c r="B568" s="137"/>
      <c r="C568" s="251"/>
      <c r="D568" s="452"/>
      <c r="E568" s="136"/>
      <c r="F568" s="253"/>
      <c r="G568" s="526"/>
      <c r="H568" s="527"/>
      <c r="I568" s="527"/>
      <c r="J568" s="141"/>
      <c r="K568" s="141"/>
      <c r="L568" s="142"/>
      <c r="M568" s="142"/>
      <c r="N568" s="142"/>
      <c r="O568" s="142"/>
      <c r="P568" s="136"/>
      <c r="Q568" s="34"/>
      <c r="R568" s="35"/>
      <c r="S568" s="35"/>
      <c r="T568" s="35"/>
      <c r="U568" s="35"/>
      <c r="V568" s="35"/>
      <c r="W568" s="35"/>
      <c r="X568" s="35"/>
      <c r="Y568" s="35"/>
      <c r="Z568" s="35"/>
      <c r="AA568" s="35"/>
    </row>
    <row r="569" ht="14.25" customHeight="1">
      <c r="A569" s="136"/>
      <c r="B569" s="137"/>
      <c r="C569" s="251"/>
      <c r="D569" s="452"/>
      <c r="E569" s="136"/>
      <c r="F569" s="253"/>
      <c r="G569" s="526"/>
      <c r="H569" s="527"/>
      <c r="I569" s="527"/>
      <c r="J569" s="141"/>
      <c r="K569" s="141"/>
      <c r="L569" s="142"/>
      <c r="M569" s="142"/>
      <c r="N569" s="142"/>
      <c r="O569" s="142"/>
      <c r="P569" s="136"/>
      <c r="Q569" s="34"/>
      <c r="R569" s="35"/>
      <c r="S569" s="35"/>
      <c r="T569" s="35"/>
      <c r="U569" s="35"/>
      <c r="V569" s="35"/>
      <c r="W569" s="35"/>
      <c r="X569" s="35"/>
      <c r="Y569" s="35"/>
      <c r="Z569" s="35"/>
      <c r="AA569" s="35"/>
    </row>
    <row r="570" ht="14.25" customHeight="1">
      <c r="A570" s="136"/>
      <c r="B570" s="137"/>
      <c r="C570" s="251"/>
      <c r="D570" s="452"/>
      <c r="E570" s="136"/>
      <c r="F570" s="253"/>
      <c r="G570" s="526"/>
      <c r="H570" s="527"/>
      <c r="I570" s="527"/>
      <c r="J570" s="141"/>
      <c r="K570" s="141"/>
      <c r="L570" s="142"/>
      <c r="M570" s="142"/>
      <c r="N570" s="142"/>
      <c r="O570" s="142"/>
      <c r="P570" s="136"/>
      <c r="Q570" s="34"/>
      <c r="R570" s="35"/>
      <c r="S570" s="35"/>
      <c r="T570" s="35"/>
      <c r="U570" s="35"/>
      <c r="V570" s="35"/>
      <c r="W570" s="35"/>
      <c r="X570" s="35"/>
      <c r="Y570" s="35"/>
      <c r="Z570" s="35"/>
      <c r="AA570" s="35"/>
    </row>
    <row r="571" ht="14.25" customHeight="1">
      <c r="A571" s="136"/>
      <c r="B571" s="137"/>
      <c r="C571" s="251"/>
      <c r="D571" s="452"/>
      <c r="E571" s="136"/>
      <c r="F571" s="253"/>
      <c r="G571" s="526"/>
      <c r="H571" s="527"/>
      <c r="I571" s="527"/>
      <c r="J571" s="141"/>
      <c r="K571" s="141"/>
      <c r="L571" s="142"/>
      <c r="M571" s="142"/>
      <c r="N571" s="142"/>
      <c r="O571" s="142"/>
      <c r="P571" s="136"/>
      <c r="Q571" s="34"/>
      <c r="R571" s="35"/>
      <c r="S571" s="35"/>
      <c r="T571" s="35"/>
      <c r="U571" s="35"/>
      <c r="V571" s="35"/>
      <c r="W571" s="35"/>
      <c r="X571" s="35"/>
      <c r="Y571" s="35"/>
      <c r="Z571" s="35"/>
      <c r="AA571" s="35"/>
    </row>
    <row r="572" ht="14.25" customHeight="1">
      <c r="A572" s="136"/>
      <c r="B572" s="137"/>
      <c r="C572" s="251"/>
      <c r="D572" s="452"/>
      <c r="E572" s="136"/>
      <c r="F572" s="253"/>
      <c r="G572" s="526"/>
      <c r="H572" s="527"/>
      <c r="I572" s="527"/>
      <c r="J572" s="141"/>
      <c r="K572" s="141"/>
      <c r="L572" s="142"/>
      <c r="M572" s="142"/>
      <c r="N572" s="142"/>
      <c r="O572" s="142"/>
      <c r="P572" s="136"/>
      <c r="Q572" s="34"/>
      <c r="R572" s="35"/>
      <c r="S572" s="35"/>
      <c r="T572" s="35"/>
      <c r="U572" s="35"/>
      <c r="V572" s="35"/>
      <c r="W572" s="35"/>
      <c r="X572" s="35"/>
      <c r="Y572" s="35"/>
      <c r="Z572" s="35"/>
      <c r="AA572" s="35"/>
    </row>
    <row r="573" ht="14.25" customHeight="1">
      <c r="A573" s="136"/>
      <c r="B573" s="137"/>
      <c r="C573" s="251"/>
      <c r="D573" s="452"/>
      <c r="E573" s="136"/>
      <c r="F573" s="253"/>
      <c r="G573" s="526"/>
      <c r="H573" s="527"/>
      <c r="I573" s="527"/>
      <c r="J573" s="141"/>
      <c r="K573" s="141"/>
      <c r="L573" s="142"/>
      <c r="M573" s="142"/>
      <c r="N573" s="142"/>
      <c r="O573" s="142"/>
      <c r="P573" s="136"/>
      <c r="Q573" s="34"/>
      <c r="R573" s="35"/>
      <c r="S573" s="35"/>
      <c r="T573" s="35"/>
      <c r="U573" s="35"/>
      <c r="V573" s="35"/>
      <c r="W573" s="35"/>
      <c r="X573" s="35"/>
      <c r="Y573" s="35"/>
      <c r="Z573" s="35"/>
      <c r="AA573" s="35"/>
    </row>
    <row r="574" ht="14.25" customHeight="1">
      <c r="A574" s="136"/>
      <c r="B574" s="137"/>
      <c r="C574" s="251"/>
      <c r="D574" s="452"/>
      <c r="E574" s="136"/>
      <c r="F574" s="253"/>
      <c r="G574" s="526"/>
      <c r="H574" s="527"/>
      <c r="I574" s="527"/>
      <c r="J574" s="141"/>
      <c r="K574" s="141"/>
      <c r="L574" s="142"/>
      <c r="M574" s="142"/>
      <c r="N574" s="142"/>
      <c r="O574" s="142"/>
      <c r="P574" s="136"/>
      <c r="Q574" s="34"/>
      <c r="R574" s="35"/>
      <c r="S574" s="35"/>
      <c r="T574" s="35"/>
      <c r="U574" s="35"/>
      <c r="V574" s="35"/>
      <c r="W574" s="35"/>
      <c r="X574" s="35"/>
      <c r="Y574" s="35"/>
      <c r="Z574" s="35"/>
      <c r="AA574" s="35"/>
    </row>
    <row r="575" ht="14.25" customHeight="1">
      <c r="A575" s="136"/>
      <c r="B575" s="137"/>
      <c r="C575" s="251"/>
      <c r="D575" s="452"/>
      <c r="E575" s="136"/>
      <c r="F575" s="253"/>
      <c r="G575" s="526"/>
      <c r="H575" s="527"/>
      <c r="I575" s="527"/>
      <c r="J575" s="141"/>
      <c r="K575" s="141"/>
      <c r="L575" s="142"/>
      <c r="M575" s="142"/>
      <c r="N575" s="142"/>
      <c r="O575" s="142"/>
      <c r="P575" s="136"/>
      <c r="Q575" s="34"/>
      <c r="R575" s="35"/>
      <c r="S575" s="35"/>
      <c r="T575" s="35"/>
      <c r="U575" s="35"/>
      <c r="V575" s="35"/>
      <c r="W575" s="35"/>
      <c r="X575" s="35"/>
      <c r="Y575" s="35"/>
      <c r="Z575" s="35"/>
      <c r="AA575" s="35"/>
    </row>
    <row r="576" ht="14.25" customHeight="1">
      <c r="A576" s="136"/>
      <c r="B576" s="137"/>
      <c r="C576" s="251"/>
      <c r="D576" s="452"/>
      <c r="E576" s="136"/>
      <c r="F576" s="253"/>
      <c r="G576" s="526"/>
      <c r="H576" s="527"/>
      <c r="I576" s="527"/>
      <c r="J576" s="141"/>
      <c r="K576" s="141"/>
      <c r="L576" s="142"/>
      <c r="M576" s="142"/>
      <c r="N576" s="142"/>
      <c r="O576" s="142"/>
      <c r="P576" s="136"/>
      <c r="Q576" s="34"/>
      <c r="R576" s="35"/>
      <c r="S576" s="35"/>
      <c r="T576" s="35"/>
      <c r="U576" s="35"/>
      <c r="V576" s="35"/>
      <c r="W576" s="35"/>
      <c r="X576" s="35"/>
      <c r="Y576" s="35"/>
      <c r="Z576" s="35"/>
      <c r="AA576" s="35"/>
    </row>
    <row r="577" ht="14.25" customHeight="1">
      <c r="A577" s="136"/>
      <c r="B577" s="137"/>
      <c r="C577" s="251"/>
      <c r="D577" s="452"/>
      <c r="E577" s="136"/>
      <c r="F577" s="253"/>
      <c r="G577" s="526"/>
      <c r="H577" s="527"/>
      <c r="I577" s="527"/>
      <c r="J577" s="141"/>
      <c r="K577" s="141"/>
      <c r="L577" s="142"/>
      <c r="M577" s="142"/>
      <c r="N577" s="142"/>
      <c r="O577" s="142"/>
      <c r="P577" s="136"/>
      <c r="Q577" s="34"/>
      <c r="R577" s="35"/>
      <c r="S577" s="35"/>
      <c r="T577" s="35"/>
      <c r="U577" s="35"/>
      <c r="V577" s="35"/>
      <c r="W577" s="35"/>
      <c r="X577" s="35"/>
      <c r="Y577" s="35"/>
      <c r="Z577" s="35"/>
      <c r="AA577" s="35"/>
    </row>
    <row r="578" ht="14.25" customHeight="1">
      <c r="A578" s="136"/>
      <c r="B578" s="137"/>
      <c r="C578" s="251"/>
      <c r="D578" s="452"/>
      <c r="E578" s="136"/>
      <c r="F578" s="253"/>
      <c r="G578" s="526"/>
      <c r="H578" s="527"/>
      <c r="I578" s="527"/>
      <c r="J578" s="141"/>
      <c r="K578" s="141"/>
      <c r="L578" s="142"/>
      <c r="M578" s="142"/>
      <c r="N578" s="142"/>
      <c r="O578" s="142"/>
      <c r="P578" s="136"/>
      <c r="Q578" s="34"/>
      <c r="R578" s="35"/>
      <c r="S578" s="35"/>
      <c r="T578" s="35"/>
      <c r="U578" s="35"/>
      <c r="V578" s="35"/>
      <c r="W578" s="35"/>
      <c r="X578" s="35"/>
      <c r="Y578" s="35"/>
      <c r="Z578" s="35"/>
      <c r="AA578" s="35"/>
    </row>
    <row r="579" ht="14.25" customHeight="1">
      <c r="A579" s="136"/>
      <c r="B579" s="137"/>
      <c r="C579" s="251"/>
      <c r="D579" s="452"/>
      <c r="E579" s="136"/>
      <c r="F579" s="253"/>
      <c r="G579" s="526"/>
      <c r="H579" s="527"/>
      <c r="I579" s="527"/>
      <c r="J579" s="141"/>
      <c r="K579" s="141"/>
      <c r="L579" s="142"/>
      <c r="M579" s="142"/>
      <c r="N579" s="142"/>
      <c r="O579" s="142"/>
      <c r="P579" s="136"/>
      <c r="Q579" s="34"/>
      <c r="R579" s="35"/>
      <c r="S579" s="35"/>
      <c r="T579" s="35"/>
      <c r="U579" s="35"/>
      <c r="V579" s="35"/>
      <c r="W579" s="35"/>
      <c r="X579" s="35"/>
      <c r="Y579" s="35"/>
      <c r="Z579" s="35"/>
      <c r="AA579" s="35"/>
    </row>
    <row r="580" ht="14.25" customHeight="1">
      <c r="A580" s="136"/>
      <c r="B580" s="137"/>
      <c r="C580" s="251"/>
      <c r="D580" s="452"/>
      <c r="E580" s="136"/>
      <c r="F580" s="253"/>
      <c r="G580" s="526"/>
      <c r="H580" s="527"/>
      <c r="I580" s="527"/>
      <c r="J580" s="141"/>
      <c r="K580" s="141"/>
      <c r="L580" s="142"/>
      <c r="M580" s="142"/>
      <c r="N580" s="142"/>
      <c r="O580" s="142"/>
      <c r="P580" s="136"/>
      <c r="Q580" s="34"/>
      <c r="R580" s="35"/>
      <c r="S580" s="35"/>
      <c r="T580" s="35"/>
      <c r="U580" s="35"/>
      <c r="V580" s="35"/>
      <c r="W580" s="35"/>
      <c r="X580" s="35"/>
      <c r="Y580" s="35"/>
      <c r="Z580" s="35"/>
      <c r="AA580" s="35"/>
    </row>
    <row r="581" ht="14.25" customHeight="1">
      <c r="A581" s="136"/>
      <c r="B581" s="137"/>
      <c r="C581" s="251"/>
      <c r="D581" s="452"/>
      <c r="E581" s="136"/>
      <c r="F581" s="253"/>
      <c r="G581" s="526"/>
      <c r="H581" s="527"/>
      <c r="I581" s="527"/>
      <c r="J581" s="141"/>
      <c r="K581" s="141"/>
      <c r="L581" s="142"/>
      <c r="M581" s="142"/>
      <c r="N581" s="142"/>
      <c r="O581" s="142"/>
      <c r="P581" s="136"/>
      <c r="Q581" s="34"/>
      <c r="R581" s="35"/>
      <c r="S581" s="35"/>
      <c r="T581" s="35"/>
      <c r="U581" s="35"/>
      <c r="V581" s="35"/>
      <c r="W581" s="35"/>
      <c r="X581" s="35"/>
      <c r="Y581" s="35"/>
      <c r="Z581" s="35"/>
      <c r="AA581" s="35"/>
    </row>
    <row r="582" ht="14.25" customHeight="1">
      <c r="A582" s="136"/>
      <c r="B582" s="137"/>
      <c r="C582" s="251"/>
      <c r="D582" s="452"/>
      <c r="E582" s="136"/>
      <c r="F582" s="253"/>
      <c r="G582" s="526"/>
      <c r="H582" s="527"/>
      <c r="I582" s="527"/>
      <c r="J582" s="141"/>
      <c r="K582" s="141"/>
      <c r="L582" s="142"/>
      <c r="M582" s="142"/>
      <c r="N582" s="142"/>
      <c r="O582" s="142"/>
      <c r="P582" s="136"/>
      <c r="Q582" s="34"/>
      <c r="R582" s="35"/>
      <c r="S582" s="35"/>
      <c r="T582" s="35"/>
      <c r="U582" s="35"/>
      <c r="V582" s="35"/>
      <c r="W582" s="35"/>
      <c r="X582" s="35"/>
      <c r="Y582" s="35"/>
      <c r="Z582" s="35"/>
      <c r="AA582" s="35"/>
    </row>
    <row r="583" ht="14.25" customHeight="1">
      <c r="A583" s="136"/>
      <c r="B583" s="137"/>
      <c r="C583" s="251"/>
      <c r="D583" s="452"/>
      <c r="E583" s="136"/>
      <c r="F583" s="253"/>
      <c r="G583" s="526"/>
      <c r="H583" s="527"/>
      <c r="I583" s="527"/>
      <c r="J583" s="141"/>
      <c r="K583" s="141"/>
      <c r="L583" s="142"/>
      <c r="M583" s="142"/>
      <c r="N583" s="142"/>
      <c r="O583" s="142"/>
      <c r="P583" s="136"/>
      <c r="Q583" s="34"/>
      <c r="R583" s="35"/>
      <c r="S583" s="35"/>
      <c r="T583" s="35"/>
      <c r="U583" s="35"/>
      <c r="V583" s="35"/>
      <c r="W583" s="35"/>
      <c r="X583" s="35"/>
      <c r="Y583" s="35"/>
      <c r="Z583" s="35"/>
      <c r="AA583" s="35"/>
    </row>
    <row r="584" ht="14.25" customHeight="1">
      <c r="A584" s="136"/>
      <c r="B584" s="137"/>
      <c r="C584" s="251"/>
      <c r="D584" s="452"/>
      <c r="E584" s="136"/>
      <c r="F584" s="253"/>
      <c r="G584" s="526"/>
      <c r="H584" s="527"/>
      <c r="I584" s="527"/>
      <c r="J584" s="141"/>
      <c r="K584" s="141"/>
      <c r="L584" s="142"/>
      <c r="M584" s="142"/>
      <c r="N584" s="142"/>
      <c r="O584" s="142"/>
      <c r="P584" s="136"/>
      <c r="Q584" s="34"/>
      <c r="R584" s="35"/>
      <c r="S584" s="35"/>
      <c r="T584" s="35"/>
      <c r="U584" s="35"/>
      <c r="V584" s="35"/>
      <c r="W584" s="35"/>
      <c r="X584" s="35"/>
      <c r="Y584" s="35"/>
      <c r="Z584" s="35"/>
      <c r="AA584" s="35"/>
    </row>
    <row r="585" ht="14.25" customHeight="1">
      <c r="A585" s="136"/>
      <c r="B585" s="137"/>
      <c r="C585" s="251"/>
      <c r="D585" s="452"/>
      <c r="E585" s="136"/>
      <c r="F585" s="253"/>
      <c r="G585" s="526"/>
      <c r="H585" s="527"/>
      <c r="I585" s="527"/>
      <c r="J585" s="141"/>
      <c r="K585" s="141"/>
      <c r="L585" s="142"/>
      <c r="M585" s="142"/>
      <c r="N585" s="142"/>
      <c r="O585" s="142"/>
      <c r="P585" s="136"/>
      <c r="Q585" s="34"/>
      <c r="R585" s="35"/>
      <c r="S585" s="35"/>
      <c r="T585" s="35"/>
      <c r="U585" s="35"/>
      <c r="V585" s="35"/>
      <c r="W585" s="35"/>
      <c r="X585" s="35"/>
      <c r="Y585" s="35"/>
      <c r="Z585" s="35"/>
      <c r="AA585" s="35"/>
    </row>
    <row r="586" ht="14.25" customHeight="1">
      <c r="A586" s="136"/>
      <c r="B586" s="137"/>
      <c r="C586" s="251"/>
      <c r="D586" s="452"/>
      <c r="E586" s="136"/>
      <c r="F586" s="253"/>
      <c r="G586" s="526"/>
      <c r="H586" s="527"/>
      <c r="I586" s="527"/>
      <c r="J586" s="141"/>
      <c r="K586" s="141"/>
      <c r="L586" s="142"/>
      <c r="M586" s="142"/>
      <c r="N586" s="142"/>
      <c r="O586" s="142"/>
      <c r="P586" s="136"/>
      <c r="Q586" s="34"/>
      <c r="R586" s="35"/>
      <c r="S586" s="35"/>
      <c r="T586" s="35"/>
      <c r="U586" s="35"/>
      <c r="V586" s="35"/>
      <c r="W586" s="35"/>
      <c r="X586" s="35"/>
      <c r="Y586" s="35"/>
      <c r="Z586" s="35"/>
      <c r="AA586" s="35"/>
    </row>
    <row r="587" ht="14.25" customHeight="1">
      <c r="A587" s="136"/>
      <c r="B587" s="137"/>
      <c r="C587" s="251"/>
      <c r="D587" s="452"/>
      <c r="E587" s="136"/>
      <c r="F587" s="253"/>
      <c r="G587" s="526"/>
      <c r="H587" s="527"/>
      <c r="I587" s="527"/>
      <c r="J587" s="141"/>
      <c r="K587" s="141"/>
      <c r="L587" s="142"/>
      <c r="M587" s="142"/>
      <c r="N587" s="142"/>
      <c r="O587" s="142"/>
      <c r="P587" s="136"/>
      <c r="Q587" s="34"/>
      <c r="R587" s="35"/>
      <c r="S587" s="35"/>
      <c r="T587" s="35"/>
      <c r="U587" s="35"/>
      <c r="V587" s="35"/>
      <c r="W587" s="35"/>
      <c r="X587" s="35"/>
      <c r="Y587" s="35"/>
      <c r="Z587" s="35"/>
      <c r="AA587" s="35"/>
    </row>
    <row r="588" ht="14.25" customHeight="1">
      <c r="A588" s="136"/>
      <c r="B588" s="137"/>
      <c r="C588" s="251"/>
      <c r="D588" s="452"/>
      <c r="E588" s="136"/>
      <c r="F588" s="253"/>
      <c r="G588" s="526"/>
      <c r="H588" s="527"/>
      <c r="I588" s="527"/>
      <c r="J588" s="141"/>
      <c r="K588" s="141"/>
      <c r="L588" s="142"/>
      <c r="M588" s="142"/>
      <c r="N588" s="142"/>
      <c r="O588" s="142"/>
      <c r="P588" s="136"/>
      <c r="Q588" s="34"/>
      <c r="R588" s="35"/>
      <c r="S588" s="35"/>
      <c r="T588" s="35"/>
      <c r="U588" s="35"/>
      <c r="V588" s="35"/>
      <c r="W588" s="35"/>
      <c r="X588" s="35"/>
      <c r="Y588" s="35"/>
      <c r="Z588" s="35"/>
      <c r="AA588" s="35"/>
    </row>
    <row r="589" ht="14.25" customHeight="1">
      <c r="A589" s="136"/>
      <c r="B589" s="137"/>
      <c r="C589" s="251"/>
      <c r="D589" s="452"/>
      <c r="E589" s="136"/>
      <c r="F589" s="253"/>
      <c r="G589" s="526"/>
      <c r="H589" s="527"/>
      <c r="I589" s="527"/>
      <c r="J589" s="141"/>
      <c r="K589" s="141"/>
      <c r="L589" s="142"/>
      <c r="M589" s="142"/>
      <c r="N589" s="142"/>
      <c r="O589" s="142"/>
      <c r="P589" s="136"/>
      <c r="Q589" s="34"/>
      <c r="R589" s="35"/>
      <c r="S589" s="35"/>
      <c r="T589" s="35"/>
      <c r="U589" s="35"/>
      <c r="V589" s="35"/>
      <c r="W589" s="35"/>
      <c r="X589" s="35"/>
      <c r="Y589" s="35"/>
      <c r="Z589" s="35"/>
      <c r="AA589" s="35"/>
    </row>
    <row r="590" ht="14.25" customHeight="1">
      <c r="A590" s="136"/>
      <c r="B590" s="137"/>
      <c r="C590" s="251"/>
      <c r="D590" s="452"/>
      <c r="E590" s="136"/>
      <c r="F590" s="253"/>
      <c r="G590" s="526"/>
      <c r="H590" s="527"/>
      <c r="I590" s="527"/>
      <c r="J590" s="141"/>
      <c r="K590" s="141"/>
      <c r="L590" s="142"/>
      <c r="M590" s="142"/>
      <c r="N590" s="142"/>
      <c r="O590" s="142"/>
      <c r="P590" s="136"/>
      <c r="Q590" s="34"/>
      <c r="R590" s="35"/>
      <c r="S590" s="35"/>
      <c r="T590" s="35"/>
      <c r="U590" s="35"/>
      <c r="V590" s="35"/>
      <c r="W590" s="35"/>
      <c r="X590" s="35"/>
      <c r="Y590" s="35"/>
      <c r="Z590" s="35"/>
      <c r="AA590" s="35"/>
    </row>
    <row r="591" ht="14.25" customHeight="1">
      <c r="A591" s="136"/>
      <c r="B591" s="137"/>
      <c r="C591" s="251"/>
      <c r="D591" s="452"/>
      <c r="E591" s="136"/>
      <c r="F591" s="253"/>
      <c r="G591" s="526"/>
      <c r="H591" s="527"/>
      <c r="I591" s="527"/>
      <c r="J591" s="141"/>
      <c r="K591" s="141"/>
      <c r="L591" s="142"/>
      <c r="M591" s="142"/>
      <c r="N591" s="142"/>
      <c r="O591" s="142"/>
      <c r="P591" s="136"/>
      <c r="Q591" s="34"/>
      <c r="R591" s="35"/>
      <c r="S591" s="35"/>
      <c r="T591" s="35"/>
      <c r="U591" s="35"/>
      <c r="V591" s="35"/>
      <c r="W591" s="35"/>
      <c r="X591" s="35"/>
      <c r="Y591" s="35"/>
      <c r="Z591" s="35"/>
      <c r="AA591" s="35"/>
    </row>
    <row r="592" ht="14.25" customHeight="1">
      <c r="A592" s="136"/>
      <c r="B592" s="137"/>
      <c r="C592" s="251"/>
      <c r="D592" s="452"/>
      <c r="E592" s="136"/>
      <c r="F592" s="253"/>
      <c r="G592" s="526"/>
      <c r="H592" s="527"/>
      <c r="I592" s="527"/>
      <c r="J592" s="141"/>
      <c r="K592" s="141"/>
      <c r="L592" s="142"/>
      <c r="M592" s="142"/>
      <c r="N592" s="142"/>
      <c r="O592" s="142"/>
      <c r="P592" s="136"/>
      <c r="Q592" s="34"/>
      <c r="R592" s="35"/>
      <c r="S592" s="35"/>
      <c r="T592" s="35"/>
      <c r="U592" s="35"/>
      <c r="V592" s="35"/>
      <c r="W592" s="35"/>
      <c r="X592" s="35"/>
      <c r="Y592" s="35"/>
      <c r="Z592" s="35"/>
      <c r="AA592" s="35"/>
    </row>
    <row r="593" ht="14.25" customHeight="1">
      <c r="A593" s="136"/>
      <c r="B593" s="137"/>
      <c r="C593" s="251"/>
      <c r="D593" s="452"/>
      <c r="E593" s="136"/>
      <c r="F593" s="253"/>
      <c r="G593" s="526"/>
      <c r="H593" s="527"/>
      <c r="I593" s="527"/>
      <c r="J593" s="141"/>
      <c r="K593" s="141"/>
      <c r="L593" s="142"/>
      <c r="M593" s="142"/>
      <c r="N593" s="142"/>
      <c r="O593" s="142"/>
      <c r="P593" s="136"/>
      <c r="Q593" s="34"/>
      <c r="R593" s="35"/>
      <c r="S593" s="35"/>
      <c r="T593" s="35"/>
      <c r="U593" s="35"/>
      <c r="V593" s="35"/>
      <c r="W593" s="35"/>
      <c r="X593" s="35"/>
      <c r="Y593" s="35"/>
      <c r="Z593" s="35"/>
      <c r="AA593" s="35"/>
    </row>
    <row r="594" ht="14.25" customHeight="1">
      <c r="A594" s="136"/>
      <c r="B594" s="137"/>
      <c r="C594" s="251"/>
      <c r="D594" s="452"/>
      <c r="E594" s="136"/>
      <c r="F594" s="253"/>
      <c r="G594" s="526"/>
      <c r="H594" s="527"/>
      <c r="I594" s="527"/>
      <c r="J594" s="141"/>
      <c r="K594" s="141"/>
      <c r="L594" s="142"/>
      <c r="M594" s="142"/>
      <c r="N594" s="142"/>
      <c r="O594" s="142"/>
      <c r="P594" s="136"/>
      <c r="Q594" s="34"/>
      <c r="R594" s="35"/>
      <c r="S594" s="35"/>
      <c r="T594" s="35"/>
      <c r="U594" s="35"/>
      <c r="V594" s="35"/>
      <c r="W594" s="35"/>
      <c r="X594" s="35"/>
      <c r="Y594" s="35"/>
      <c r="Z594" s="35"/>
      <c r="AA594" s="35"/>
    </row>
    <row r="595" ht="14.25" customHeight="1">
      <c r="A595" s="136"/>
      <c r="B595" s="137"/>
      <c r="C595" s="251"/>
      <c r="D595" s="452"/>
      <c r="E595" s="136"/>
      <c r="F595" s="253"/>
      <c r="G595" s="526"/>
      <c r="H595" s="527"/>
      <c r="I595" s="527"/>
      <c r="J595" s="141"/>
      <c r="K595" s="141"/>
      <c r="L595" s="142"/>
      <c r="M595" s="142"/>
      <c r="N595" s="142"/>
      <c r="O595" s="142"/>
      <c r="P595" s="136"/>
      <c r="Q595" s="34"/>
      <c r="R595" s="35"/>
      <c r="S595" s="35"/>
      <c r="T595" s="35"/>
      <c r="U595" s="35"/>
      <c r="V595" s="35"/>
      <c r="W595" s="35"/>
      <c r="X595" s="35"/>
      <c r="Y595" s="35"/>
      <c r="Z595" s="35"/>
      <c r="AA595" s="35"/>
    </row>
    <row r="596" ht="14.25" customHeight="1">
      <c r="A596" s="136"/>
      <c r="B596" s="137"/>
      <c r="C596" s="251"/>
      <c r="D596" s="452"/>
      <c r="E596" s="136"/>
      <c r="F596" s="253"/>
      <c r="G596" s="526"/>
      <c r="H596" s="527"/>
      <c r="I596" s="527"/>
      <c r="J596" s="141"/>
      <c r="K596" s="141"/>
      <c r="L596" s="142"/>
      <c r="M596" s="142"/>
      <c r="N596" s="142"/>
      <c r="O596" s="142"/>
      <c r="P596" s="136"/>
      <c r="Q596" s="34"/>
      <c r="R596" s="35"/>
      <c r="S596" s="35"/>
      <c r="T596" s="35"/>
      <c r="U596" s="35"/>
      <c r="V596" s="35"/>
      <c r="W596" s="35"/>
      <c r="X596" s="35"/>
      <c r="Y596" s="35"/>
      <c r="Z596" s="35"/>
      <c r="AA596" s="35"/>
    </row>
    <row r="597" ht="14.25" customHeight="1">
      <c r="A597" s="136"/>
      <c r="B597" s="137"/>
      <c r="C597" s="251"/>
      <c r="D597" s="452"/>
      <c r="E597" s="136"/>
      <c r="F597" s="253"/>
      <c r="G597" s="526"/>
      <c r="H597" s="527"/>
      <c r="I597" s="527"/>
      <c r="J597" s="141"/>
      <c r="K597" s="141"/>
      <c r="L597" s="142"/>
      <c r="M597" s="142"/>
      <c r="N597" s="142"/>
      <c r="O597" s="142"/>
      <c r="P597" s="136"/>
      <c r="Q597" s="34"/>
      <c r="R597" s="35"/>
      <c r="S597" s="35"/>
      <c r="T597" s="35"/>
      <c r="U597" s="35"/>
      <c r="V597" s="35"/>
      <c r="W597" s="35"/>
      <c r="X597" s="35"/>
      <c r="Y597" s="35"/>
      <c r="Z597" s="35"/>
      <c r="AA597" s="35"/>
    </row>
    <row r="598" ht="14.25" customHeight="1">
      <c r="A598" s="136"/>
      <c r="B598" s="137"/>
      <c r="C598" s="251"/>
      <c r="D598" s="452"/>
      <c r="E598" s="136"/>
      <c r="F598" s="253"/>
      <c r="G598" s="526"/>
      <c r="H598" s="527"/>
      <c r="I598" s="527"/>
      <c r="J598" s="141"/>
      <c r="K598" s="141"/>
      <c r="L598" s="142"/>
      <c r="M598" s="142"/>
      <c r="N598" s="142"/>
      <c r="O598" s="142"/>
      <c r="P598" s="136"/>
      <c r="Q598" s="34"/>
      <c r="R598" s="35"/>
      <c r="S598" s="35"/>
      <c r="T598" s="35"/>
      <c r="U598" s="35"/>
      <c r="V598" s="35"/>
      <c r="W598" s="35"/>
      <c r="X598" s="35"/>
      <c r="Y598" s="35"/>
      <c r="Z598" s="35"/>
      <c r="AA598" s="35"/>
    </row>
    <row r="599" ht="14.25" customHeight="1">
      <c r="A599" s="136"/>
      <c r="B599" s="137"/>
      <c r="C599" s="251"/>
      <c r="D599" s="452"/>
      <c r="E599" s="136"/>
      <c r="F599" s="253"/>
      <c r="G599" s="526"/>
      <c r="H599" s="527"/>
      <c r="I599" s="527"/>
      <c r="J599" s="141"/>
      <c r="K599" s="141"/>
      <c r="L599" s="142"/>
      <c r="M599" s="142"/>
      <c r="N599" s="142"/>
      <c r="O599" s="142"/>
      <c r="P599" s="136"/>
      <c r="Q599" s="34"/>
      <c r="R599" s="35"/>
      <c r="S599" s="35"/>
      <c r="T599" s="35"/>
      <c r="U599" s="35"/>
      <c r="V599" s="35"/>
      <c r="W599" s="35"/>
      <c r="X599" s="35"/>
      <c r="Y599" s="35"/>
      <c r="Z599" s="35"/>
      <c r="AA599" s="35"/>
    </row>
    <row r="600" ht="14.25" customHeight="1">
      <c r="A600" s="136"/>
      <c r="B600" s="137"/>
      <c r="C600" s="251"/>
      <c r="D600" s="452"/>
      <c r="E600" s="136"/>
      <c r="F600" s="253"/>
      <c r="G600" s="526"/>
      <c r="H600" s="527"/>
      <c r="I600" s="527"/>
      <c r="J600" s="141"/>
      <c r="K600" s="141"/>
      <c r="L600" s="142"/>
      <c r="M600" s="142"/>
      <c r="N600" s="142"/>
      <c r="O600" s="142"/>
      <c r="P600" s="136"/>
      <c r="Q600" s="34"/>
      <c r="R600" s="35"/>
      <c r="S600" s="35"/>
      <c r="T600" s="35"/>
      <c r="U600" s="35"/>
      <c r="V600" s="35"/>
      <c r="W600" s="35"/>
      <c r="X600" s="35"/>
      <c r="Y600" s="35"/>
      <c r="Z600" s="35"/>
      <c r="AA600" s="35"/>
    </row>
    <row r="601" ht="14.25" customHeight="1">
      <c r="A601" s="136"/>
      <c r="B601" s="137"/>
      <c r="C601" s="251"/>
      <c r="D601" s="452"/>
      <c r="E601" s="136"/>
      <c r="F601" s="253"/>
      <c r="G601" s="526"/>
      <c r="H601" s="527"/>
      <c r="I601" s="527"/>
      <c r="J601" s="141"/>
      <c r="K601" s="141"/>
      <c r="L601" s="142"/>
      <c r="M601" s="142"/>
      <c r="N601" s="142"/>
      <c r="O601" s="142"/>
      <c r="P601" s="136"/>
      <c r="Q601" s="34"/>
      <c r="R601" s="35"/>
      <c r="S601" s="35"/>
      <c r="T601" s="35"/>
      <c r="U601" s="35"/>
      <c r="V601" s="35"/>
      <c r="W601" s="35"/>
      <c r="X601" s="35"/>
      <c r="Y601" s="35"/>
      <c r="Z601" s="35"/>
      <c r="AA601" s="35"/>
    </row>
    <row r="602" ht="14.25" customHeight="1">
      <c r="A602" s="136"/>
      <c r="B602" s="137"/>
      <c r="C602" s="251"/>
      <c r="D602" s="452"/>
      <c r="E602" s="136"/>
      <c r="F602" s="253"/>
      <c r="G602" s="526"/>
      <c r="H602" s="527"/>
      <c r="I602" s="527"/>
      <c r="J602" s="141"/>
      <c r="K602" s="141"/>
      <c r="L602" s="142"/>
      <c r="M602" s="142"/>
      <c r="N602" s="142"/>
      <c r="O602" s="142"/>
      <c r="P602" s="136"/>
      <c r="Q602" s="34"/>
      <c r="R602" s="35"/>
      <c r="S602" s="35"/>
      <c r="T602" s="35"/>
      <c r="U602" s="35"/>
      <c r="V602" s="35"/>
      <c r="W602" s="35"/>
      <c r="X602" s="35"/>
      <c r="Y602" s="35"/>
      <c r="Z602" s="35"/>
      <c r="AA602" s="35"/>
    </row>
    <row r="603" ht="14.25" customHeight="1">
      <c r="A603" s="136"/>
      <c r="B603" s="137"/>
      <c r="C603" s="251"/>
      <c r="D603" s="452"/>
      <c r="E603" s="136"/>
      <c r="F603" s="253"/>
      <c r="G603" s="526"/>
      <c r="H603" s="527"/>
      <c r="I603" s="527"/>
      <c r="J603" s="141"/>
      <c r="K603" s="141"/>
      <c r="L603" s="142"/>
      <c r="M603" s="142"/>
      <c r="N603" s="142"/>
      <c r="O603" s="142"/>
      <c r="P603" s="136"/>
      <c r="Q603" s="34"/>
      <c r="R603" s="35"/>
      <c r="S603" s="35"/>
      <c r="T603" s="35"/>
      <c r="U603" s="35"/>
      <c r="V603" s="35"/>
      <c r="W603" s="35"/>
      <c r="X603" s="35"/>
      <c r="Y603" s="35"/>
      <c r="Z603" s="35"/>
      <c r="AA603" s="35"/>
    </row>
    <row r="604" ht="14.25" customHeight="1">
      <c r="A604" s="136"/>
      <c r="B604" s="137"/>
      <c r="C604" s="251"/>
      <c r="D604" s="452"/>
      <c r="E604" s="136"/>
      <c r="F604" s="253"/>
      <c r="G604" s="526"/>
      <c r="H604" s="527"/>
      <c r="I604" s="527"/>
      <c r="J604" s="141"/>
      <c r="K604" s="141"/>
      <c r="L604" s="142"/>
      <c r="M604" s="142"/>
      <c r="N604" s="142"/>
      <c r="O604" s="142"/>
      <c r="P604" s="136"/>
      <c r="Q604" s="34"/>
      <c r="R604" s="35"/>
      <c r="S604" s="35"/>
      <c r="T604" s="35"/>
      <c r="U604" s="35"/>
      <c r="V604" s="35"/>
      <c r="W604" s="35"/>
      <c r="X604" s="35"/>
      <c r="Y604" s="35"/>
      <c r="Z604" s="35"/>
      <c r="AA604" s="35"/>
    </row>
    <row r="605" ht="14.25" customHeight="1">
      <c r="A605" s="136"/>
      <c r="B605" s="137"/>
      <c r="C605" s="251"/>
      <c r="D605" s="452"/>
      <c r="E605" s="136"/>
      <c r="F605" s="253"/>
      <c r="G605" s="526"/>
      <c r="H605" s="527"/>
      <c r="I605" s="527"/>
      <c r="J605" s="141"/>
      <c r="K605" s="141"/>
      <c r="L605" s="142"/>
      <c r="M605" s="142"/>
      <c r="N605" s="142"/>
      <c r="O605" s="142"/>
      <c r="P605" s="136"/>
      <c r="Q605" s="34"/>
      <c r="R605" s="35"/>
      <c r="S605" s="35"/>
      <c r="T605" s="35"/>
      <c r="U605" s="35"/>
      <c r="V605" s="35"/>
      <c r="W605" s="35"/>
      <c r="X605" s="35"/>
      <c r="Y605" s="35"/>
      <c r="Z605" s="35"/>
      <c r="AA605" s="35"/>
    </row>
    <row r="606" ht="14.25" customHeight="1">
      <c r="A606" s="136"/>
      <c r="B606" s="137"/>
      <c r="C606" s="251"/>
      <c r="D606" s="452"/>
      <c r="E606" s="136"/>
      <c r="F606" s="253"/>
      <c r="G606" s="526"/>
      <c r="H606" s="527"/>
      <c r="I606" s="527"/>
      <c r="J606" s="141"/>
      <c r="K606" s="141"/>
      <c r="L606" s="142"/>
      <c r="M606" s="142"/>
      <c r="N606" s="142"/>
      <c r="O606" s="142"/>
      <c r="P606" s="136"/>
      <c r="Q606" s="34"/>
      <c r="R606" s="35"/>
      <c r="S606" s="35"/>
      <c r="T606" s="35"/>
      <c r="U606" s="35"/>
      <c r="V606" s="35"/>
      <c r="W606" s="35"/>
      <c r="X606" s="35"/>
      <c r="Y606" s="35"/>
      <c r="Z606" s="35"/>
      <c r="AA606" s="35"/>
    </row>
    <row r="607" ht="14.25" customHeight="1">
      <c r="A607" s="136"/>
      <c r="B607" s="137"/>
      <c r="C607" s="251"/>
      <c r="D607" s="452"/>
      <c r="E607" s="136"/>
      <c r="F607" s="253"/>
      <c r="G607" s="526"/>
      <c r="H607" s="527"/>
      <c r="I607" s="527"/>
      <c r="J607" s="141"/>
      <c r="K607" s="141"/>
      <c r="L607" s="142"/>
      <c r="M607" s="142"/>
      <c r="N607" s="142"/>
      <c r="O607" s="142"/>
      <c r="P607" s="136"/>
      <c r="Q607" s="34"/>
      <c r="R607" s="35"/>
      <c r="S607" s="35"/>
      <c r="T607" s="35"/>
      <c r="U607" s="35"/>
      <c r="V607" s="35"/>
      <c r="W607" s="35"/>
      <c r="X607" s="35"/>
      <c r="Y607" s="35"/>
      <c r="Z607" s="35"/>
      <c r="AA607" s="35"/>
    </row>
    <row r="608" ht="14.25" customHeight="1">
      <c r="A608" s="136"/>
      <c r="B608" s="137"/>
      <c r="C608" s="251"/>
      <c r="D608" s="452"/>
      <c r="E608" s="136"/>
      <c r="F608" s="253"/>
      <c r="G608" s="526"/>
      <c r="H608" s="527"/>
      <c r="I608" s="527"/>
      <c r="J608" s="141"/>
      <c r="K608" s="141"/>
      <c r="L608" s="142"/>
      <c r="M608" s="142"/>
      <c r="N608" s="142"/>
      <c r="O608" s="142"/>
      <c r="P608" s="136"/>
      <c r="Q608" s="34"/>
      <c r="R608" s="35"/>
      <c r="S608" s="35"/>
      <c r="T608" s="35"/>
      <c r="U608" s="35"/>
      <c r="V608" s="35"/>
      <c r="W608" s="35"/>
      <c r="X608" s="35"/>
      <c r="Y608" s="35"/>
      <c r="Z608" s="35"/>
      <c r="AA608" s="35"/>
    </row>
    <row r="609" ht="14.25" customHeight="1">
      <c r="A609" s="136"/>
      <c r="B609" s="137"/>
      <c r="C609" s="251"/>
      <c r="D609" s="452"/>
      <c r="E609" s="136"/>
      <c r="F609" s="253"/>
      <c r="G609" s="526"/>
      <c r="H609" s="527"/>
      <c r="I609" s="527"/>
      <c r="J609" s="141"/>
      <c r="K609" s="141"/>
      <c r="L609" s="142"/>
      <c r="M609" s="142"/>
      <c r="N609" s="142"/>
      <c r="O609" s="142"/>
      <c r="P609" s="136"/>
      <c r="Q609" s="34"/>
      <c r="R609" s="35"/>
      <c r="S609" s="35"/>
      <c r="T609" s="35"/>
      <c r="U609" s="35"/>
      <c r="V609" s="35"/>
      <c r="W609" s="35"/>
      <c r="X609" s="35"/>
      <c r="Y609" s="35"/>
      <c r="Z609" s="35"/>
      <c r="AA609" s="35"/>
    </row>
    <row r="610" ht="14.25" customHeight="1">
      <c r="A610" s="136"/>
      <c r="B610" s="137"/>
      <c r="C610" s="251"/>
      <c r="D610" s="452"/>
      <c r="E610" s="136"/>
      <c r="F610" s="253"/>
      <c r="G610" s="526"/>
      <c r="H610" s="527"/>
      <c r="I610" s="527"/>
      <c r="J610" s="141"/>
      <c r="K610" s="141"/>
      <c r="L610" s="142"/>
      <c r="M610" s="142"/>
      <c r="N610" s="142"/>
      <c r="O610" s="142"/>
      <c r="P610" s="136"/>
      <c r="Q610" s="34"/>
      <c r="R610" s="35"/>
      <c r="S610" s="35"/>
      <c r="T610" s="35"/>
      <c r="U610" s="35"/>
      <c r="V610" s="35"/>
      <c r="W610" s="35"/>
      <c r="X610" s="35"/>
      <c r="Y610" s="35"/>
      <c r="Z610" s="35"/>
      <c r="AA610" s="35"/>
    </row>
    <row r="611" ht="14.25" customHeight="1">
      <c r="A611" s="136"/>
      <c r="B611" s="137"/>
      <c r="C611" s="251"/>
      <c r="D611" s="452"/>
      <c r="E611" s="136"/>
      <c r="F611" s="253"/>
      <c r="G611" s="526"/>
      <c r="H611" s="527"/>
      <c r="I611" s="527"/>
      <c r="J611" s="141"/>
      <c r="K611" s="141"/>
      <c r="L611" s="142"/>
      <c r="M611" s="142"/>
      <c r="N611" s="142"/>
      <c r="O611" s="142"/>
      <c r="P611" s="136"/>
      <c r="Q611" s="34"/>
      <c r="R611" s="35"/>
      <c r="S611" s="35"/>
      <c r="T611" s="35"/>
      <c r="U611" s="35"/>
      <c r="V611" s="35"/>
      <c r="W611" s="35"/>
      <c r="X611" s="35"/>
      <c r="Y611" s="35"/>
      <c r="Z611" s="35"/>
      <c r="AA611" s="35"/>
    </row>
    <row r="612" ht="14.25" customHeight="1">
      <c r="A612" s="136"/>
      <c r="B612" s="137"/>
      <c r="C612" s="251"/>
      <c r="D612" s="452"/>
      <c r="E612" s="136"/>
      <c r="F612" s="253"/>
      <c r="G612" s="526"/>
      <c r="H612" s="527"/>
      <c r="I612" s="527"/>
      <c r="J612" s="141"/>
      <c r="K612" s="141"/>
      <c r="L612" s="142"/>
      <c r="M612" s="142"/>
      <c r="N612" s="142"/>
      <c r="O612" s="142"/>
      <c r="P612" s="136"/>
      <c r="Q612" s="34"/>
      <c r="R612" s="35"/>
      <c r="S612" s="35"/>
      <c r="T612" s="35"/>
      <c r="U612" s="35"/>
      <c r="V612" s="35"/>
      <c r="W612" s="35"/>
      <c r="X612" s="35"/>
      <c r="Y612" s="35"/>
      <c r="Z612" s="35"/>
      <c r="AA612" s="35"/>
    </row>
    <row r="613" ht="14.25" customHeight="1">
      <c r="A613" s="136"/>
      <c r="B613" s="137"/>
      <c r="C613" s="251"/>
      <c r="D613" s="452"/>
      <c r="E613" s="136"/>
      <c r="F613" s="253"/>
      <c r="G613" s="526"/>
      <c r="H613" s="527"/>
      <c r="I613" s="527"/>
      <c r="J613" s="141"/>
      <c r="K613" s="141"/>
      <c r="L613" s="142"/>
      <c r="M613" s="142"/>
      <c r="N613" s="142"/>
      <c r="O613" s="142"/>
      <c r="P613" s="136"/>
      <c r="Q613" s="34"/>
      <c r="R613" s="35"/>
      <c r="S613" s="35"/>
      <c r="T613" s="35"/>
      <c r="U613" s="35"/>
      <c r="V613" s="35"/>
      <c r="W613" s="35"/>
      <c r="X613" s="35"/>
      <c r="Y613" s="35"/>
      <c r="Z613" s="35"/>
      <c r="AA613" s="35"/>
    </row>
    <row r="614" ht="14.25" customHeight="1">
      <c r="A614" s="136"/>
      <c r="B614" s="137"/>
      <c r="C614" s="251"/>
      <c r="D614" s="452"/>
      <c r="E614" s="136"/>
      <c r="F614" s="253"/>
      <c r="G614" s="526"/>
      <c r="H614" s="527"/>
      <c r="I614" s="527"/>
      <c r="J614" s="141"/>
      <c r="K614" s="141"/>
      <c r="L614" s="142"/>
      <c r="M614" s="142"/>
      <c r="N614" s="142"/>
      <c r="O614" s="142"/>
      <c r="P614" s="136"/>
      <c r="Q614" s="34"/>
      <c r="R614" s="35"/>
      <c r="S614" s="35"/>
      <c r="T614" s="35"/>
      <c r="U614" s="35"/>
      <c r="V614" s="35"/>
      <c r="W614" s="35"/>
      <c r="X614" s="35"/>
      <c r="Y614" s="35"/>
      <c r="Z614" s="35"/>
      <c r="AA614" s="35"/>
    </row>
    <row r="615" ht="14.25" customHeight="1">
      <c r="A615" s="136"/>
      <c r="B615" s="137"/>
      <c r="C615" s="251"/>
      <c r="D615" s="452"/>
      <c r="E615" s="136"/>
      <c r="F615" s="253"/>
      <c r="G615" s="526"/>
      <c r="H615" s="527"/>
      <c r="I615" s="527"/>
      <c r="J615" s="141"/>
      <c r="K615" s="141"/>
      <c r="L615" s="142"/>
      <c r="M615" s="142"/>
      <c r="N615" s="142"/>
      <c r="O615" s="142"/>
      <c r="P615" s="136"/>
      <c r="Q615" s="34"/>
      <c r="R615" s="35"/>
      <c r="S615" s="35"/>
      <c r="T615" s="35"/>
      <c r="U615" s="35"/>
      <c r="V615" s="35"/>
      <c r="W615" s="35"/>
      <c r="X615" s="35"/>
      <c r="Y615" s="35"/>
      <c r="Z615" s="35"/>
      <c r="AA615" s="35"/>
    </row>
    <row r="616" ht="14.25" customHeight="1">
      <c r="A616" s="136"/>
      <c r="B616" s="137"/>
      <c r="C616" s="251"/>
      <c r="D616" s="452"/>
      <c r="E616" s="136"/>
      <c r="F616" s="253"/>
      <c r="G616" s="526"/>
      <c r="H616" s="527"/>
      <c r="I616" s="527"/>
      <c r="J616" s="141"/>
      <c r="K616" s="141"/>
      <c r="L616" s="142"/>
      <c r="M616" s="142"/>
      <c r="N616" s="142"/>
      <c r="O616" s="142"/>
      <c r="P616" s="136"/>
      <c r="Q616" s="34"/>
      <c r="R616" s="35"/>
      <c r="S616" s="35"/>
      <c r="T616" s="35"/>
      <c r="U616" s="35"/>
      <c r="V616" s="35"/>
      <c r="W616" s="35"/>
      <c r="X616" s="35"/>
      <c r="Y616" s="35"/>
      <c r="Z616" s="35"/>
      <c r="AA616" s="35"/>
    </row>
    <row r="617" ht="14.25" customHeight="1">
      <c r="A617" s="136"/>
      <c r="B617" s="137"/>
      <c r="C617" s="251"/>
      <c r="D617" s="452"/>
      <c r="E617" s="136"/>
      <c r="F617" s="253"/>
      <c r="G617" s="526"/>
      <c r="H617" s="527"/>
      <c r="I617" s="527"/>
      <c r="J617" s="141"/>
      <c r="K617" s="141"/>
      <c r="L617" s="142"/>
      <c r="M617" s="142"/>
      <c r="N617" s="142"/>
      <c r="O617" s="142"/>
      <c r="P617" s="136"/>
      <c r="Q617" s="34"/>
      <c r="R617" s="35"/>
      <c r="S617" s="35"/>
      <c r="T617" s="35"/>
      <c r="U617" s="35"/>
      <c r="V617" s="35"/>
      <c r="W617" s="35"/>
      <c r="X617" s="35"/>
      <c r="Y617" s="35"/>
      <c r="Z617" s="35"/>
      <c r="AA617" s="35"/>
    </row>
    <row r="618" ht="14.25" customHeight="1">
      <c r="A618" s="136"/>
      <c r="B618" s="137"/>
      <c r="C618" s="251"/>
      <c r="D618" s="452"/>
      <c r="E618" s="136"/>
      <c r="F618" s="253"/>
      <c r="G618" s="526"/>
      <c r="H618" s="527"/>
      <c r="I618" s="527"/>
      <c r="J618" s="141"/>
      <c r="K618" s="141"/>
      <c r="L618" s="142"/>
      <c r="M618" s="142"/>
      <c r="N618" s="142"/>
      <c r="O618" s="142"/>
      <c r="P618" s="136"/>
      <c r="Q618" s="34"/>
      <c r="R618" s="35"/>
      <c r="S618" s="35"/>
      <c r="T618" s="35"/>
      <c r="U618" s="35"/>
      <c r="V618" s="35"/>
      <c r="W618" s="35"/>
      <c r="X618" s="35"/>
      <c r="Y618" s="35"/>
      <c r="Z618" s="35"/>
      <c r="AA618" s="35"/>
    </row>
    <row r="619" ht="14.25" customHeight="1">
      <c r="A619" s="136"/>
      <c r="B619" s="137"/>
      <c r="C619" s="251"/>
      <c r="D619" s="452"/>
      <c r="E619" s="136"/>
      <c r="F619" s="253"/>
      <c r="G619" s="526"/>
      <c r="H619" s="527"/>
      <c r="I619" s="527"/>
      <c r="J619" s="141"/>
      <c r="K619" s="141"/>
      <c r="L619" s="142"/>
      <c r="M619" s="142"/>
      <c r="N619" s="142"/>
      <c r="O619" s="142"/>
      <c r="P619" s="136"/>
      <c r="Q619" s="34"/>
      <c r="R619" s="35"/>
      <c r="S619" s="35"/>
      <c r="T619" s="35"/>
      <c r="U619" s="35"/>
      <c r="V619" s="35"/>
      <c r="W619" s="35"/>
      <c r="X619" s="35"/>
      <c r="Y619" s="35"/>
      <c r="Z619" s="35"/>
      <c r="AA619" s="35"/>
    </row>
    <row r="620" ht="14.25" customHeight="1">
      <c r="A620" s="136"/>
      <c r="B620" s="137"/>
      <c r="C620" s="251"/>
      <c r="D620" s="452"/>
      <c r="E620" s="136"/>
      <c r="F620" s="253"/>
      <c r="G620" s="526"/>
      <c r="H620" s="527"/>
      <c r="I620" s="527"/>
      <c r="J620" s="141"/>
      <c r="K620" s="141"/>
      <c r="L620" s="142"/>
      <c r="M620" s="142"/>
      <c r="N620" s="142"/>
      <c r="O620" s="142"/>
      <c r="P620" s="136"/>
      <c r="Q620" s="34"/>
      <c r="R620" s="35"/>
      <c r="S620" s="35"/>
      <c r="T620" s="35"/>
      <c r="U620" s="35"/>
      <c r="V620" s="35"/>
      <c r="W620" s="35"/>
      <c r="X620" s="35"/>
      <c r="Y620" s="35"/>
      <c r="Z620" s="35"/>
      <c r="AA620" s="35"/>
    </row>
    <row r="621" ht="14.25" customHeight="1">
      <c r="A621" s="136"/>
      <c r="B621" s="137"/>
      <c r="C621" s="251"/>
      <c r="D621" s="452"/>
      <c r="E621" s="136"/>
      <c r="F621" s="253"/>
      <c r="G621" s="526"/>
      <c r="H621" s="527"/>
      <c r="I621" s="527"/>
      <c r="J621" s="141"/>
      <c r="K621" s="141"/>
      <c r="L621" s="142"/>
      <c r="M621" s="142"/>
      <c r="N621" s="142"/>
      <c r="O621" s="142"/>
      <c r="P621" s="136"/>
      <c r="Q621" s="34"/>
      <c r="R621" s="35"/>
      <c r="S621" s="35"/>
      <c r="T621" s="35"/>
      <c r="U621" s="35"/>
      <c r="V621" s="35"/>
      <c r="W621" s="35"/>
      <c r="X621" s="35"/>
      <c r="Y621" s="35"/>
      <c r="Z621" s="35"/>
      <c r="AA621" s="35"/>
    </row>
    <row r="622" ht="14.25" customHeight="1">
      <c r="A622" s="136"/>
      <c r="B622" s="137"/>
      <c r="C622" s="251"/>
      <c r="D622" s="452"/>
      <c r="E622" s="136"/>
      <c r="F622" s="253"/>
      <c r="G622" s="526"/>
      <c r="H622" s="527"/>
      <c r="I622" s="527"/>
      <c r="J622" s="141"/>
      <c r="K622" s="141"/>
      <c r="L622" s="142"/>
      <c r="M622" s="142"/>
      <c r="N622" s="142"/>
      <c r="O622" s="142"/>
      <c r="P622" s="136"/>
      <c r="Q622" s="34"/>
      <c r="R622" s="35"/>
      <c r="S622" s="35"/>
      <c r="T622" s="35"/>
      <c r="U622" s="35"/>
      <c r="V622" s="35"/>
      <c r="W622" s="35"/>
      <c r="X622" s="35"/>
      <c r="Y622" s="35"/>
      <c r="Z622" s="35"/>
      <c r="AA622" s="35"/>
    </row>
    <row r="623" ht="14.25" customHeight="1">
      <c r="A623" s="136"/>
      <c r="B623" s="137"/>
      <c r="C623" s="251"/>
      <c r="D623" s="452"/>
      <c r="E623" s="136"/>
      <c r="F623" s="253"/>
      <c r="G623" s="526"/>
      <c r="H623" s="527"/>
      <c r="I623" s="527"/>
      <c r="J623" s="141"/>
      <c r="K623" s="141"/>
      <c r="L623" s="142"/>
      <c r="M623" s="142"/>
      <c r="N623" s="142"/>
      <c r="O623" s="142"/>
      <c r="P623" s="136"/>
      <c r="Q623" s="34"/>
      <c r="R623" s="35"/>
      <c r="S623" s="35"/>
      <c r="T623" s="35"/>
      <c r="U623" s="35"/>
      <c r="V623" s="35"/>
      <c r="W623" s="35"/>
      <c r="X623" s="35"/>
      <c r="Y623" s="35"/>
      <c r="Z623" s="35"/>
      <c r="AA623" s="35"/>
    </row>
    <row r="624" ht="14.25" customHeight="1">
      <c r="A624" s="136"/>
      <c r="B624" s="137"/>
      <c r="C624" s="251"/>
      <c r="D624" s="452"/>
      <c r="E624" s="136"/>
      <c r="F624" s="253"/>
      <c r="G624" s="526"/>
      <c r="H624" s="527"/>
      <c r="I624" s="527"/>
      <c r="J624" s="141"/>
      <c r="K624" s="141"/>
      <c r="L624" s="142"/>
      <c r="M624" s="142"/>
      <c r="N624" s="142"/>
      <c r="O624" s="142"/>
      <c r="P624" s="136"/>
      <c r="Q624" s="34"/>
      <c r="R624" s="35"/>
      <c r="S624" s="35"/>
      <c r="T624" s="35"/>
      <c r="U624" s="35"/>
      <c r="V624" s="35"/>
      <c r="W624" s="35"/>
      <c r="X624" s="35"/>
      <c r="Y624" s="35"/>
      <c r="Z624" s="35"/>
      <c r="AA624" s="35"/>
    </row>
    <row r="625" ht="14.25" customHeight="1">
      <c r="A625" s="136"/>
      <c r="B625" s="137"/>
      <c r="C625" s="251"/>
      <c r="D625" s="452"/>
      <c r="E625" s="136"/>
      <c r="F625" s="253"/>
      <c r="G625" s="526"/>
      <c r="H625" s="527"/>
      <c r="I625" s="527"/>
      <c r="J625" s="141"/>
      <c r="K625" s="141"/>
      <c r="L625" s="142"/>
      <c r="M625" s="142"/>
      <c r="N625" s="142"/>
      <c r="O625" s="142"/>
      <c r="P625" s="136"/>
      <c r="Q625" s="34"/>
      <c r="R625" s="35"/>
      <c r="S625" s="35"/>
      <c r="T625" s="35"/>
      <c r="U625" s="35"/>
      <c r="V625" s="35"/>
      <c r="W625" s="35"/>
      <c r="X625" s="35"/>
      <c r="Y625" s="35"/>
      <c r="Z625" s="35"/>
      <c r="AA625" s="35"/>
    </row>
    <row r="626" ht="14.25" customHeight="1">
      <c r="A626" s="136"/>
      <c r="B626" s="137"/>
      <c r="C626" s="251"/>
      <c r="D626" s="452"/>
      <c r="E626" s="136"/>
      <c r="F626" s="253"/>
      <c r="G626" s="526"/>
      <c r="H626" s="527"/>
      <c r="I626" s="527"/>
      <c r="J626" s="141"/>
      <c r="K626" s="141"/>
      <c r="L626" s="142"/>
      <c r="M626" s="142"/>
      <c r="N626" s="142"/>
      <c r="O626" s="142"/>
      <c r="P626" s="136"/>
      <c r="Q626" s="34"/>
      <c r="R626" s="35"/>
      <c r="S626" s="35"/>
      <c r="T626" s="35"/>
      <c r="U626" s="35"/>
      <c r="V626" s="35"/>
      <c r="W626" s="35"/>
      <c r="X626" s="35"/>
      <c r="Y626" s="35"/>
      <c r="Z626" s="35"/>
      <c r="AA626" s="35"/>
    </row>
    <row r="627" ht="14.25" customHeight="1">
      <c r="A627" s="136"/>
      <c r="B627" s="137"/>
      <c r="C627" s="251"/>
      <c r="D627" s="452"/>
      <c r="E627" s="136"/>
      <c r="F627" s="253"/>
      <c r="G627" s="526"/>
      <c r="H627" s="527"/>
      <c r="I627" s="527"/>
      <c r="J627" s="141"/>
      <c r="K627" s="141"/>
      <c r="L627" s="142"/>
      <c r="M627" s="142"/>
      <c r="N627" s="142"/>
      <c r="O627" s="142"/>
      <c r="P627" s="136"/>
      <c r="Q627" s="34"/>
      <c r="R627" s="35"/>
      <c r="S627" s="35"/>
      <c r="T627" s="35"/>
      <c r="U627" s="35"/>
      <c r="V627" s="35"/>
      <c r="W627" s="35"/>
      <c r="X627" s="35"/>
      <c r="Y627" s="35"/>
      <c r="Z627" s="35"/>
      <c r="AA627" s="35"/>
    </row>
    <row r="628" ht="14.25" customHeight="1">
      <c r="A628" s="136"/>
      <c r="B628" s="137"/>
      <c r="C628" s="251"/>
      <c r="D628" s="452"/>
      <c r="E628" s="136"/>
      <c r="F628" s="253"/>
      <c r="G628" s="526"/>
      <c r="H628" s="527"/>
      <c r="I628" s="527"/>
      <c r="J628" s="141"/>
      <c r="K628" s="141"/>
      <c r="L628" s="142"/>
      <c r="M628" s="142"/>
      <c r="N628" s="142"/>
      <c r="O628" s="142"/>
      <c r="P628" s="136"/>
      <c r="Q628" s="34"/>
      <c r="R628" s="35"/>
      <c r="S628" s="35"/>
      <c r="T628" s="35"/>
      <c r="U628" s="35"/>
      <c r="V628" s="35"/>
      <c r="W628" s="35"/>
      <c r="X628" s="35"/>
      <c r="Y628" s="35"/>
      <c r="Z628" s="35"/>
      <c r="AA628" s="35"/>
    </row>
    <row r="629" ht="14.25" customHeight="1">
      <c r="A629" s="136"/>
      <c r="B629" s="137"/>
      <c r="C629" s="251"/>
      <c r="D629" s="452"/>
      <c r="E629" s="136"/>
      <c r="F629" s="253"/>
      <c r="G629" s="526"/>
      <c r="H629" s="527"/>
      <c r="I629" s="527"/>
      <c r="J629" s="141"/>
      <c r="K629" s="141"/>
      <c r="L629" s="142"/>
      <c r="M629" s="142"/>
      <c r="N629" s="142"/>
      <c r="O629" s="142"/>
      <c r="P629" s="136"/>
      <c r="Q629" s="34"/>
      <c r="R629" s="35"/>
      <c r="S629" s="35"/>
      <c r="T629" s="35"/>
      <c r="U629" s="35"/>
      <c r="V629" s="35"/>
      <c r="W629" s="35"/>
      <c r="X629" s="35"/>
      <c r="Y629" s="35"/>
      <c r="Z629" s="35"/>
      <c r="AA629" s="35"/>
    </row>
    <row r="630" ht="14.25" customHeight="1">
      <c r="A630" s="136"/>
      <c r="B630" s="137"/>
      <c r="C630" s="251"/>
      <c r="D630" s="452"/>
      <c r="E630" s="136"/>
      <c r="F630" s="253"/>
      <c r="G630" s="526"/>
      <c r="H630" s="527"/>
      <c r="I630" s="527"/>
      <c r="J630" s="141"/>
      <c r="K630" s="141"/>
      <c r="L630" s="142"/>
      <c r="M630" s="142"/>
      <c r="N630" s="142"/>
      <c r="O630" s="142"/>
      <c r="P630" s="136"/>
      <c r="Q630" s="34"/>
      <c r="R630" s="35"/>
      <c r="S630" s="35"/>
      <c r="T630" s="35"/>
      <c r="U630" s="35"/>
      <c r="V630" s="35"/>
      <c r="W630" s="35"/>
      <c r="X630" s="35"/>
      <c r="Y630" s="35"/>
      <c r="Z630" s="35"/>
      <c r="AA630" s="35"/>
    </row>
    <row r="631" ht="14.25" customHeight="1">
      <c r="A631" s="136"/>
      <c r="B631" s="137"/>
      <c r="C631" s="251"/>
      <c r="D631" s="452"/>
      <c r="E631" s="136"/>
      <c r="F631" s="253"/>
      <c r="G631" s="526"/>
      <c r="H631" s="527"/>
      <c r="I631" s="527"/>
      <c r="J631" s="141"/>
      <c r="K631" s="141"/>
      <c r="L631" s="142"/>
      <c r="M631" s="142"/>
      <c r="N631" s="142"/>
      <c r="O631" s="142"/>
      <c r="P631" s="136"/>
      <c r="Q631" s="34"/>
      <c r="R631" s="35"/>
      <c r="S631" s="35"/>
      <c r="T631" s="35"/>
      <c r="U631" s="35"/>
      <c r="V631" s="35"/>
      <c r="W631" s="35"/>
      <c r="X631" s="35"/>
      <c r="Y631" s="35"/>
      <c r="Z631" s="35"/>
      <c r="AA631" s="35"/>
    </row>
    <row r="632" ht="14.25" customHeight="1">
      <c r="A632" s="136"/>
      <c r="B632" s="137"/>
      <c r="C632" s="251"/>
      <c r="D632" s="452"/>
      <c r="E632" s="136"/>
      <c r="F632" s="253"/>
      <c r="G632" s="526"/>
      <c r="H632" s="527"/>
      <c r="I632" s="527"/>
      <c r="J632" s="141"/>
      <c r="K632" s="141"/>
      <c r="L632" s="142"/>
      <c r="M632" s="142"/>
      <c r="N632" s="142"/>
      <c r="O632" s="142"/>
      <c r="P632" s="136"/>
      <c r="Q632" s="34"/>
      <c r="R632" s="35"/>
      <c r="S632" s="35"/>
      <c r="T632" s="35"/>
      <c r="U632" s="35"/>
      <c r="V632" s="35"/>
      <c r="W632" s="35"/>
      <c r="X632" s="35"/>
      <c r="Y632" s="35"/>
      <c r="Z632" s="35"/>
      <c r="AA632" s="35"/>
    </row>
    <row r="633" ht="14.25" customHeight="1">
      <c r="A633" s="136"/>
      <c r="B633" s="137"/>
      <c r="C633" s="251"/>
      <c r="D633" s="452"/>
      <c r="E633" s="136"/>
      <c r="F633" s="253"/>
      <c r="G633" s="526"/>
      <c r="H633" s="527"/>
      <c r="I633" s="527"/>
      <c r="J633" s="141"/>
      <c r="K633" s="141"/>
      <c r="L633" s="142"/>
      <c r="M633" s="142"/>
      <c r="N633" s="142"/>
      <c r="O633" s="142"/>
      <c r="P633" s="136"/>
      <c r="Q633" s="34"/>
      <c r="R633" s="35"/>
      <c r="S633" s="35"/>
      <c r="T633" s="35"/>
      <c r="U633" s="35"/>
      <c r="V633" s="35"/>
      <c r="W633" s="35"/>
      <c r="X633" s="35"/>
      <c r="Y633" s="35"/>
      <c r="Z633" s="35"/>
      <c r="AA633" s="35"/>
    </row>
    <row r="634" ht="14.25" customHeight="1">
      <c r="A634" s="136"/>
      <c r="B634" s="137"/>
      <c r="C634" s="251"/>
      <c r="D634" s="452"/>
      <c r="E634" s="136"/>
      <c r="F634" s="253"/>
      <c r="G634" s="526"/>
      <c r="H634" s="527"/>
      <c r="I634" s="527"/>
      <c r="J634" s="141"/>
      <c r="K634" s="141"/>
      <c r="L634" s="142"/>
      <c r="M634" s="142"/>
      <c r="N634" s="142"/>
      <c r="O634" s="142"/>
      <c r="P634" s="136"/>
      <c r="Q634" s="34"/>
      <c r="R634" s="35"/>
      <c r="S634" s="35"/>
      <c r="T634" s="35"/>
      <c r="U634" s="35"/>
      <c r="V634" s="35"/>
      <c r="W634" s="35"/>
      <c r="X634" s="35"/>
      <c r="Y634" s="35"/>
      <c r="Z634" s="35"/>
      <c r="AA634" s="35"/>
    </row>
    <row r="635" ht="14.25" customHeight="1">
      <c r="A635" s="136"/>
      <c r="B635" s="137"/>
      <c r="C635" s="251"/>
      <c r="D635" s="452"/>
      <c r="E635" s="136"/>
      <c r="F635" s="253"/>
      <c r="G635" s="526"/>
      <c r="H635" s="527"/>
      <c r="I635" s="527"/>
      <c r="J635" s="141"/>
      <c r="K635" s="141"/>
      <c r="L635" s="142"/>
      <c r="M635" s="142"/>
      <c r="N635" s="142"/>
      <c r="O635" s="142"/>
      <c r="P635" s="136"/>
      <c r="Q635" s="34"/>
      <c r="R635" s="35"/>
      <c r="S635" s="35"/>
      <c r="T635" s="35"/>
      <c r="U635" s="35"/>
      <c r="V635" s="35"/>
      <c r="W635" s="35"/>
      <c r="X635" s="35"/>
      <c r="Y635" s="35"/>
      <c r="Z635" s="35"/>
      <c r="AA635" s="35"/>
    </row>
    <row r="636" ht="14.25" customHeight="1">
      <c r="A636" s="136"/>
      <c r="B636" s="137"/>
      <c r="C636" s="251"/>
      <c r="D636" s="452"/>
      <c r="E636" s="136"/>
      <c r="F636" s="253"/>
      <c r="G636" s="526"/>
      <c r="H636" s="527"/>
      <c r="I636" s="527"/>
      <c r="J636" s="141"/>
      <c r="K636" s="141"/>
      <c r="L636" s="142"/>
      <c r="M636" s="142"/>
      <c r="N636" s="142"/>
      <c r="O636" s="142"/>
      <c r="P636" s="136"/>
      <c r="Q636" s="34"/>
      <c r="R636" s="35"/>
      <c r="S636" s="35"/>
      <c r="T636" s="35"/>
      <c r="U636" s="35"/>
      <c r="V636" s="35"/>
      <c r="W636" s="35"/>
      <c r="X636" s="35"/>
      <c r="Y636" s="35"/>
      <c r="Z636" s="35"/>
      <c r="AA636" s="35"/>
    </row>
    <row r="637" ht="14.25" customHeight="1">
      <c r="A637" s="136"/>
      <c r="B637" s="137"/>
      <c r="C637" s="251"/>
      <c r="D637" s="452"/>
      <c r="E637" s="136"/>
      <c r="F637" s="253"/>
      <c r="G637" s="526"/>
      <c r="H637" s="527"/>
      <c r="I637" s="527"/>
      <c r="J637" s="141"/>
      <c r="K637" s="141"/>
      <c r="L637" s="142"/>
      <c r="M637" s="142"/>
      <c r="N637" s="142"/>
      <c r="O637" s="142"/>
      <c r="P637" s="136"/>
      <c r="Q637" s="34"/>
      <c r="R637" s="35"/>
      <c r="S637" s="35"/>
      <c r="T637" s="35"/>
      <c r="U637" s="35"/>
      <c r="V637" s="35"/>
      <c r="W637" s="35"/>
      <c r="X637" s="35"/>
      <c r="Y637" s="35"/>
      <c r="Z637" s="35"/>
      <c r="AA637" s="35"/>
    </row>
    <row r="638" ht="14.25" customHeight="1">
      <c r="A638" s="136"/>
      <c r="B638" s="137"/>
      <c r="C638" s="251"/>
      <c r="D638" s="452"/>
      <c r="E638" s="136"/>
      <c r="F638" s="253"/>
      <c r="G638" s="526"/>
      <c r="H638" s="527"/>
      <c r="I638" s="527"/>
      <c r="J638" s="141"/>
      <c r="K638" s="141"/>
      <c r="L638" s="142"/>
      <c r="M638" s="142"/>
      <c r="N638" s="142"/>
      <c r="O638" s="142"/>
      <c r="P638" s="136"/>
      <c r="Q638" s="34"/>
      <c r="R638" s="35"/>
      <c r="S638" s="35"/>
      <c r="T638" s="35"/>
      <c r="U638" s="35"/>
      <c r="V638" s="35"/>
      <c r="W638" s="35"/>
      <c r="X638" s="35"/>
      <c r="Y638" s="35"/>
      <c r="Z638" s="35"/>
      <c r="AA638" s="35"/>
    </row>
    <row r="639" ht="14.25" customHeight="1">
      <c r="A639" s="136"/>
      <c r="B639" s="137"/>
      <c r="C639" s="251"/>
      <c r="D639" s="452"/>
      <c r="E639" s="136"/>
      <c r="F639" s="253"/>
      <c r="G639" s="526"/>
      <c r="H639" s="527"/>
      <c r="I639" s="527"/>
      <c r="J639" s="141"/>
      <c r="K639" s="141"/>
      <c r="L639" s="142"/>
      <c r="M639" s="142"/>
      <c r="N639" s="142"/>
      <c r="O639" s="142"/>
      <c r="P639" s="136"/>
      <c r="Q639" s="34"/>
      <c r="R639" s="35"/>
      <c r="S639" s="35"/>
      <c r="T639" s="35"/>
      <c r="U639" s="35"/>
      <c r="V639" s="35"/>
      <c r="W639" s="35"/>
      <c r="X639" s="35"/>
      <c r="Y639" s="35"/>
      <c r="Z639" s="35"/>
      <c r="AA639" s="35"/>
    </row>
    <row r="640" ht="14.25" customHeight="1">
      <c r="A640" s="136"/>
      <c r="B640" s="137"/>
      <c r="C640" s="251"/>
      <c r="D640" s="452"/>
      <c r="E640" s="136"/>
      <c r="F640" s="253"/>
      <c r="G640" s="526"/>
      <c r="H640" s="527"/>
      <c r="I640" s="527"/>
      <c r="J640" s="141"/>
      <c r="K640" s="141"/>
      <c r="L640" s="142"/>
      <c r="M640" s="142"/>
      <c r="N640" s="142"/>
      <c r="O640" s="142"/>
      <c r="P640" s="136"/>
      <c r="Q640" s="34"/>
      <c r="R640" s="35"/>
      <c r="S640" s="35"/>
      <c r="T640" s="35"/>
      <c r="U640" s="35"/>
      <c r="V640" s="35"/>
      <c r="W640" s="35"/>
      <c r="X640" s="35"/>
      <c r="Y640" s="35"/>
      <c r="Z640" s="35"/>
      <c r="AA640" s="35"/>
    </row>
    <row r="641" ht="14.25" customHeight="1">
      <c r="A641" s="136"/>
      <c r="B641" s="137"/>
      <c r="C641" s="251"/>
      <c r="D641" s="452"/>
      <c r="E641" s="136"/>
      <c r="F641" s="253"/>
      <c r="G641" s="526"/>
      <c r="H641" s="527"/>
      <c r="I641" s="527"/>
      <c r="J641" s="141"/>
      <c r="K641" s="141"/>
      <c r="L641" s="142"/>
      <c r="M641" s="142"/>
      <c r="N641" s="142"/>
      <c r="O641" s="142"/>
      <c r="P641" s="136"/>
      <c r="Q641" s="34"/>
      <c r="R641" s="35"/>
      <c r="S641" s="35"/>
      <c r="T641" s="35"/>
      <c r="U641" s="35"/>
      <c r="V641" s="35"/>
      <c r="W641" s="35"/>
      <c r="X641" s="35"/>
      <c r="Y641" s="35"/>
      <c r="Z641" s="35"/>
      <c r="AA641" s="35"/>
    </row>
    <row r="642" ht="14.25" customHeight="1">
      <c r="A642" s="136"/>
      <c r="B642" s="137"/>
      <c r="C642" s="251"/>
      <c r="D642" s="452"/>
      <c r="E642" s="136"/>
      <c r="F642" s="253"/>
      <c r="G642" s="526"/>
      <c r="H642" s="527"/>
      <c r="I642" s="527"/>
      <c r="J642" s="141"/>
      <c r="K642" s="141"/>
      <c r="L642" s="142"/>
      <c r="M642" s="142"/>
      <c r="N642" s="142"/>
      <c r="O642" s="142"/>
      <c r="P642" s="136"/>
      <c r="Q642" s="34"/>
      <c r="R642" s="35"/>
      <c r="S642" s="35"/>
      <c r="T642" s="35"/>
      <c r="U642" s="35"/>
      <c r="V642" s="35"/>
      <c r="W642" s="35"/>
      <c r="X642" s="35"/>
      <c r="Y642" s="35"/>
      <c r="Z642" s="35"/>
      <c r="AA642" s="35"/>
    </row>
    <row r="643" ht="14.25" customHeight="1">
      <c r="A643" s="136"/>
      <c r="B643" s="137"/>
      <c r="C643" s="251"/>
      <c r="D643" s="452"/>
      <c r="E643" s="136"/>
      <c r="F643" s="253"/>
      <c r="G643" s="526"/>
      <c r="H643" s="527"/>
      <c r="I643" s="527"/>
      <c r="J643" s="141"/>
      <c r="K643" s="141"/>
      <c r="L643" s="142"/>
      <c r="M643" s="142"/>
      <c r="N643" s="142"/>
      <c r="O643" s="142"/>
      <c r="P643" s="136"/>
      <c r="Q643" s="34"/>
      <c r="R643" s="35"/>
      <c r="S643" s="35"/>
      <c r="T643" s="35"/>
      <c r="U643" s="35"/>
      <c r="V643" s="35"/>
      <c r="W643" s="35"/>
      <c r="X643" s="35"/>
      <c r="Y643" s="35"/>
      <c r="Z643" s="35"/>
      <c r="AA643" s="35"/>
    </row>
    <row r="644" ht="14.25" customHeight="1">
      <c r="A644" s="136"/>
      <c r="B644" s="137"/>
      <c r="C644" s="251"/>
      <c r="D644" s="452"/>
      <c r="E644" s="136"/>
      <c r="F644" s="253"/>
      <c r="G644" s="526"/>
      <c r="H644" s="527"/>
      <c r="I644" s="527"/>
      <c r="J644" s="141"/>
      <c r="K644" s="141"/>
      <c r="L644" s="142"/>
      <c r="M644" s="142"/>
      <c r="N644" s="142"/>
      <c r="O644" s="142"/>
      <c r="P644" s="136"/>
      <c r="Q644" s="34"/>
      <c r="R644" s="35"/>
      <c r="S644" s="35"/>
      <c r="T644" s="35"/>
      <c r="U644" s="35"/>
      <c r="V644" s="35"/>
      <c r="W644" s="35"/>
      <c r="X644" s="35"/>
      <c r="Y644" s="35"/>
      <c r="Z644" s="35"/>
      <c r="AA644" s="35"/>
    </row>
    <row r="645" ht="14.25" customHeight="1">
      <c r="A645" s="136"/>
      <c r="B645" s="137"/>
      <c r="C645" s="251"/>
      <c r="D645" s="452"/>
      <c r="E645" s="136"/>
      <c r="F645" s="253"/>
      <c r="G645" s="526"/>
      <c r="H645" s="527"/>
      <c r="I645" s="527"/>
      <c r="J645" s="141"/>
      <c r="K645" s="141"/>
      <c r="L645" s="142"/>
      <c r="M645" s="142"/>
      <c r="N645" s="142"/>
      <c r="O645" s="142"/>
      <c r="P645" s="136"/>
      <c r="Q645" s="34"/>
      <c r="R645" s="35"/>
      <c r="S645" s="35"/>
      <c r="T645" s="35"/>
      <c r="U645" s="35"/>
      <c r="V645" s="35"/>
      <c r="W645" s="35"/>
      <c r="X645" s="35"/>
      <c r="Y645" s="35"/>
      <c r="Z645" s="35"/>
      <c r="AA645" s="35"/>
    </row>
    <row r="646" ht="14.25" customHeight="1">
      <c r="A646" s="136"/>
      <c r="B646" s="137"/>
      <c r="C646" s="251"/>
      <c r="D646" s="452"/>
      <c r="E646" s="136"/>
      <c r="F646" s="253"/>
      <c r="G646" s="526"/>
      <c r="H646" s="527"/>
      <c r="I646" s="527"/>
      <c r="J646" s="141"/>
      <c r="K646" s="141"/>
      <c r="L646" s="142"/>
      <c r="M646" s="142"/>
      <c r="N646" s="142"/>
      <c r="O646" s="142"/>
      <c r="P646" s="136"/>
      <c r="Q646" s="34"/>
      <c r="R646" s="35"/>
      <c r="S646" s="35"/>
      <c r="T646" s="35"/>
      <c r="U646" s="35"/>
      <c r="V646" s="35"/>
      <c r="W646" s="35"/>
      <c r="X646" s="35"/>
      <c r="Y646" s="35"/>
      <c r="Z646" s="35"/>
      <c r="AA646" s="35"/>
    </row>
    <row r="647" ht="14.25" customHeight="1">
      <c r="A647" s="136"/>
      <c r="B647" s="137"/>
      <c r="C647" s="251"/>
      <c r="D647" s="452"/>
      <c r="E647" s="136"/>
      <c r="F647" s="253"/>
      <c r="G647" s="526"/>
      <c r="H647" s="527"/>
      <c r="I647" s="527"/>
      <c r="J647" s="141"/>
      <c r="K647" s="141"/>
      <c r="L647" s="142"/>
      <c r="M647" s="142"/>
      <c r="N647" s="142"/>
      <c r="O647" s="142"/>
      <c r="P647" s="136"/>
      <c r="Q647" s="34"/>
      <c r="R647" s="35"/>
      <c r="S647" s="35"/>
      <c r="T647" s="35"/>
      <c r="U647" s="35"/>
      <c r="V647" s="35"/>
      <c r="W647" s="35"/>
      <c r="X647" s="35"/>
      <c r="Y647" s="35"/>
      <c r="Z647" s="35"/>
      <c r="AA647" s="35"/>
    </row>
    <row r="648" ht="14.25" customHeight="1">
      <c r="A648" s="136"/>
      <c r="B648" s="137"/>
      <c r="C648" s="251"/>
      <c r="D648" s="452"/>
      <c r="E648" s="136"/>
      <c r="F648" s="253"/>
      <c r="G648" s="526"/>
      <c r="H648" s="527"/>
      <c r="I648" s="527"/>
      <c r="J648" s="141"/>
      <c r="K648" s="141"/>
      <c r="L648" s="142"/>
      <c r="M648" s="142"/>
      <c r="N648" s="142"/>
      <c r="O648" s="142"/>
      <c r="P648" s="136"/>
      <c r="Q648" s="34"/>
      <c r="R648" s="35"/>
      <c r="S648" s="35"/>
      <c r="T648" s="35"/>
      <c r="U648" s="35"/>
      <c r="V648" s="35"/>
      <c r="W648" s="35"/>
      <c r="X648" s="35"/>
      <c r="Y648" s="35"/>
      <c r="Z648" s="35"/>
      <c r="AA648" s="35"/>
    </row>
    <row r="649" ht="14.25" customHeight="1">
      <c r="A649" s="136"/>
      <c r="B649" s="137"/>
      <c r="C649" s="251"/>
      <c r="D649" s="452"/>
      <c r="E649" s="136"/>
      <c r="F649" s="253"/>
      <c r="G649" s="526"/>
      <c r="H649" s="527"/>
      <c r="I649" s="527"/>
      <c r="J649" s="141"/>
      <c r="K649" s="141"/>
      <c r="L649" s="142"/>
      <c r="M649" s="142"/>
      <c r="N649" s="142"/>
      <c r="O649" s="142"/>
      <c r="P649" s="136"/>
      <c r="Q649" s="34"/>
      <c r="R649" s="35"/>
      <c r="S649" s="35"/>
      <c r="T649" s="35"/>
      <c r="U649" s="35"/>
      <c r="V649" s="35"/>
      <c r="W649" s="35"/>
      <c r="X649" s="35"/>
      <c r="Y649" s="35"/>
      <c r="Z649" s="35"/>
      <c r="AA649" s="35"/>
    </row>
    <row r="650" ht="14.25" customHeight="1">
      <c r="A650" s="136"/>
      <c r="B650" s="137"/>
      <c r="C650" s="251"/>
      <c r="D650" s="452"/>
      <c r="E650" s="136"/>
      <c r="F650" s="253"/>
      <c r="G650" s="526"/>
      <c r="H650" s="527"/>
      <c r="I650" s="527"/>
      <c r="J650" s="141"/>
      <c r="K650" s="141"/>
      <c r="L650" s="142"/>
      <c r="M650" s="142"/>
      <c r="N650" s="142"/>
      <c r="O650" s="142"/>
      <c r="P650" s="136"/>
      <c r="Q650" s="34"/>
      <c r="R650" s="35"/>
      <c r="S650" s="35"/>
      <c r="T650" s="35"/>
      <c r="U650" s="35"/>
      <c r="V650" s="35"/>
      <c r="W650" s="35"/>
      <c r="X650" s="35"/>
      <c r="Y650" s="35"/>
      <c r="Z650" s="35"/>
      <c r="AA650" s="35"/>
    </row>
    <row r="651" ht="14.25" customHeight="1">
      <c r="A651" s="136"/>
      <c r="B651" s="137"/>
      <c r="C651" s="251"/>
      <c r="D651" s="452"/>
      <c r="E651" s="136"/>
      <c r="F651" s="253"/>
      <c r="G651" s="526"/>
      <c r="H651" s="527"/>
      <c r="I651" s="527"/>
      <c r="J651" s="141"/>
      <c r="K651" s="141"/>
      <c r="L651" s="142"/>
      <c r="M651" s="142"/>
      <c r="N651" s="142"/>
      <c r="O651" s="142"/>
      <c r="P651" s="136"/>
      <c r="Q651" s="34"/>
      <c r="R651" s="35"/>
      <c r="S651" s="35"/>
      <c r="T651" s="35"/>
      <c r="U651" s="35"/>
      <c r="V651" s="35"/>
      <c r="W651" s="35"/>
      <c r="X651" s="35"/>
      <c r="Y651" s="35"/>
      <c r="Z651" s="35"/>
      <c r="AA651" s="35"/>
    </row>
    <row r="652" ht="14.25" customHeight="1">
      <c r="A652" s="136"/>
      <c r="B652" s="137"/>
      <c r="C652" s="251"/>
      <c r="D652" s="452"/>
      <c r="E652" s="136"/>
      <c r="F652" s="253"/>
      <c r="G652" s="526"/>
      <c r="H652" s="527"/>
      <c r="I652" s="527"/>
      <c r="J652" s="141"/>
      <c r="K652" s="141"/>
      <c r="L652" s="142"/>
      <c r="M652" s="142"/>
      <c r="N652" s="142"/>
      <c r="O652" s="142"/>
      <c r="P652" s="136"/>
      <c r="Q652" s="34"/>
      <c r="R652" s="35"/>
      <c r="S652" s="35"/>
      <c r="T652" s="35"/>
      <c r="U652" s="35"/>
      <c r="V652" s="35"/>
      <c r="W652" s="35"/>
      <c r="X652" s="35"/>
      <c r="Y652" s="35"/>
      <c r="Z652" s="35"/>
      <c r="AA652" s="35"/>
    </row>
    <row r="653" ht="14.25" customHeight="1">
      <c r="A653" s="136"/>
      <c r="B653" s="137"/>
      <c r="C653" s="251"/>
      <c r="D653" s="452"/>
      <c r="E653" s="136"/>
      <c r="F653" s="253"/>
      <c r="G653" s="526"/>
      <c r="H653" s="527"/>
      <c r="I653" s="527"/>
      <c r="J653" s="141"/>
      <c r="K653" s="141"/>
      <c r="L653" s="142"/>
      <c r="M653" s="142"/>
      <c r="N653" s="142"/>
      <c r="O653" s="142"/>
      <c r="P653" s="136"/>
      <c r="Q653" s="34"/>
      <c r="R653" s="35"/>
      <c r="S653" s="35"/>
      <c r="T653" s="35"/>
      <c r="U653" s="35"/>
      <c r="V653" s="35"/>
      <c r="W653" s="35"/>
      <c r="X653" s="35"/>
      <c r="Y653" s="35"/>
      <c r="Z653" s="35"/>
      <c r="AA653" s="35"/>
    </row>
    <row r="654" ht="14.25" customHeight="1">
      <c r="A654" s="136"/>
      <c r="B654" s="137"/>
      <c r="C654" s="251"/>
      <c r="D654" s="452"/>
      <c r="E654" s="136"/>
      <c r="F654" s="253"/>
      <c r="G654" s="526"/>
      <c r="H654" s="527"/>
      <c r="I654" s="527"/>
      <c r="J654" s="141"/>
      <c r="K654" s="141"/>
      <c r="L654" s="142"/>
      <c r="M654" s="142"/>
      <c r="N654" s="142"/>
      <c r="O654" s="142"/>
      <c r="P654" s="136"/>
      <c r="Q654" s="34"/>
      <c r="R654" s="35"/>
      <c r="S654" s="35"/>
      <c r="T654" s="35"/>
      <c r="U654" s="35"/>
      <c r="V654" s="35"/>
      <c r="W654" s="35"/>
      <c r="X654" s="35"/>
      <c r="Y654" s="35"/>
      <c r="Z654" s="35"/>
      <c r="AA654" s="35"/>
    </row>
    <row r="655" ht="14.25" customHeight="1">
      <c r="A655" s="136"/>
      <c r="B655" s="137"/>
      <c r="C655" s="251"/>
      <c r="D655" s="452"/>
      <c r="E655" s="136"/>
      <c r="F655" s="253"/>
      <c r="G655" s="526"/>
      <c r="H655" s="527"/>
      <c r="I655" s="527"/>
      <c r="J655" s="141"/>
      <c r="K655" s="141"/>
      <c r="L655" s="142"/>
      <c r="M655" s="142"/>
      <c r="N655" s="142"/>
      <c r="O655" s="142"/>
      <c r="P655" s="136"/>
      <c r="Q655" s="34"/>
      <c r="R655" s="35"/>
      <c r="S655" s="35"/>
      <c r="T655" s="35"/>
      <c r="U655" s="35"/>
      <c r="V655" s="35"/>
      <c r="W655" s="35"/>
      <c r="X655" s="35"/>
      <c r="Y655" s="35"/>
      <c r="Z655" s="35"/>
      <c r="AA655" s="35"/>
    </row>
    <row r="656" ht="14.25" customHeight="1">
      <c r="A656" s="136"/>
      <c r="B656" s="137"/>
      <c r="C656" s="251"/>
      <c r="D656" s="452"/>
      <c r="E656" s="136"/>
      <c r="F656" s="253"/>
      <c r="G656" s="526"/>
      <c r="H656" s="527"/>
      <c r="I656" s="527"/>
      <c r="J656" s="141"/>
      <c r="K656" s="141"/>
      <c r="L656" s="142"/>
      <c r="M656" s="142"/>
      <c r="N656" s="142"/>
      <c r="O656" s="142"/>
      <c r="P656" s="136"/>
      <c r="Q656" s="34"/>
      <c r="R656" s="35"/>
      <c r="S656" s="35"/>
      <c r="T656" s="35"/>
      <c r="U656" s="35"/>
      <c r="V656" s="35"/>
      <c r="W656" s="35"/>
      <c r="X656" s="35"/>
      <c r="Y656" s="35"/>
      <c r="Z656" s="35"/>
      <c r="AA656" s="35"/>
    </row>
    <row r="657" ht="14.25" customHeight="1">
      <c r="A657" s="136"/>
      <c r="B657" s="137"/>
      <c r="C657" s="251"/>
      <c r="D657" s="452"/>
      <c r="E657" s="136"/>
      <c r="F657" s="253"/>
      <c r="G657" s="526"/>
      <c r="H657" s="527"/>
      <c r="I657" s="527"/>
      <c r="J657" s="141"/>
      <c r="K657" s="141"/>
      <c r="L657" s="142"/>
      <c r="M657" s="142"/>
      <c r="N657" s="142"/>
      <c r="O657" s="142"/>
      <c r="P657" s="136"/>
      <c r="Q657" s="34"/>
      <c r="R657" s="35"/>
      <c r="S657" s="35"/>
      <c r="T657" s="35"/>
      <c r="U657" s="35"/>
      <c r="V657" s="35"/>
      <c r="W657" s="35"/>
      <c r="X657" s="35"/>
      <c r="Y657" s="35"/>
      <c r="Z657" s="35"/>
      <c r="AA657" s="35"/>
    </row>
    <row r="658" ht="14.25" customHeight="1">
      <c r="A658" s="136"/>
      <c r="B658" s="137"/>
      <c r="C658" s="251"/>
      <c r="D658" s="452"/>
      <c r="E658" s="136"/>
      <c r="F658" s="253"/>
      <c r="G658" s="526"/>
      <c r="H658" s="527"/>
      <c r="I658" s="527"/>
      <c r="J658" s="141"/>
      <c r="K658" s="141"/>
      <c r="L658" s="142"/>
      <c r="M658" s="142"/>
      <c r="N658" s="142"/>
      <c r="O658" s="142"/>
      <c r="P658" s="136"/>
      <c r="Q658" s="34"/>
      <c r="R658" s="35"/>
      <c r="S658" s="35"/>
      <c r="T658" s="35"/>
      <c r="U658" s="35"/>
      <c r="V658" s="35"/>
      <c r="W658" s="35"/>
      <c r="X658" s="35"/>
      <c r="Y658" s="35"/>
      <c r="Z658" s="35"/>
      <c r="AA658" s="35"/>
    </row>
    <row r="659" ht="14.25" customHeight="1">
      <c r="A659" s="136"/>
      <c r="B659" s="137"/>
      <c r="C659" s="251"/>
      <c r="D659" s="452"/>
      <c r="E659" s="136"/>
      <c r="F659" s="253"/>
      <c r="G659" s="526"/>
      <c r="H659" s="527"/>
      <c r="I659" s="527"/>
      <c r="J659" s="141"/>
      <c r="K659" s="141"/>
      <c r="L659" s="142"/>
      <c r="M659" s="142"/>
      <c r="N659" s="142"/>
      <c r="O659" s="142"/>
      <c r="P659" s="136"/>
      <c r="Q659" s="34"/>
      <c r="R659" s="35"/>
      <c r="S659" s="35"/>
      <c r="T659" s="35"/>
      <c r="U659" s="35"/>
      <c r="V659" s="35"/>
      <c r="W659" s="35"/>
      <c r="X659" s="35"/>
      <c r="Y659" s="35"/>
      <c r="Z659" s="35"/>
      <c r="AA659" s="35"/>
    </row>
    <row r="660" ht="14.25" customHeight="1">
      <c r="A660" s="136"/>
      <c r="B660" s="137"/>
      <c r="C660" s="251"/>
      <c r="D660" s="452"/>
      <c r="E660" s="136"/>
      <c r="F660" s="253"/>
      <c r="G660" s="526"/>
      <c r="H660" s="527"/>
      <c r="I660" s="527"/>
      <c r="J660" s="141"/>
      <c r="K660" s="141"/>
      <c r="L660" s="142"/>
      <c r="M660" s="142"/>
      <c r="N660" s="142"/>
      <c r="O660" s="142"/>
      <c r="P660" s="136"/>
      <c r="Q660" s="34"/>
      <c r="R660" s="35"/>
      <c r="S660" s="35"/>
      <c r="T660" s="35"/>
      <c r="U660" s="35"/>
      <c r="V660" s="35"/>
      <c r="W660" s="35"/>
      <c r="X660" s="35"/>
      <c r="Y660" s="35"/>
      <c r="Z660" s="35"/>
      <c r="AA660" s="35"/>
    </row>
    <row r="661" ht="14.25" customHeight="1">
      <c r="A661" s="136"/>
      <c r="B661" s="137"/>
      <c r="C661" s="251"/>
      <c r="D661" s="452"/>
      <c r="E661" s="136"/>
      <c r="F661" s="253"/>
      <c r="G661" s="526"/>
      <c r="H661" s="527"/>
      <c r="I661" s="527"/>
      <c r="J661" s="141"/>
      <c r="K661" s="141"/>
      <c r="L661" s="142"/>
      <c r="M661" s="142"/>
      <c r="N661" s="142"/>
      <c r="O661" s="142"/>
      <c r="P661" s="136"/>
      <c r="Q661" s="34"/>
      <c r="R661" s="35"/>
      <c r="S661" s="35"/>
      <c r="T661" s="35"/>
      <c r="U661" s="35"/>
      <c r="V661" s="35"/>
      <c r="W661" s="35"/>
      <c r="X661" s="35"/>
      <c r="Y661" s="35"/>
      <c r="Z661" s="35"/>
      <c r="AA661" s="35"/>
    </row>
    <row r="662" ht="14.25" customHeight="1">
      <c r="A662" s="136"/>
      <c r="B662" s="137"/>
      <c r="C662" s="251"/>
      <c r="D662" s="452"/>
      <c r="E662" s="136"/>
      <c r="F662" s="253"/>
      <c r="G662" s="526"/>
      <c r="H662" s="527"/>
      <c r="I662" s="527"/>
      <c r="J662" s="141"/>
      <c r="K662" s="141"/>
      <c r="L662" s="142"/>
      <c r="M662" s="142"/>
      <c r="N662" s="142"/>
      <c r="O662" s="142"/>
      <c r="P662" s="136"/>
      <c r="Q662" s="34"/>
      <c r="R662" s="35"/>
      <c r="S662" s="35"/>
      <c r="T662" s="35"/>
      <c r="U662" s="35"/>
      <c r="V662" s="35"/>
      <c r="W662" s="35"/>
      <c r="X662" s="35"/>
      <c r="Y662" s="35"/>
      <c r="Z662" s="35"/>
      <c r="AA662" s="35"/>
    </row>
    <row r="663" ht="14.25" customHeight="1">
      <c r="A663" s="136"/>
      <c r="B663" s="137"/>
      <c r="C663" s="251"/>
      <c r="D663" s="452"/>
      <c r="E663" s="136"/>
      <c r="F663" s="253"/>
      <c r="G663" s="526"/>
      <c r="H663" s="527"/>
      <c r="I663" s="527"/>
      <c r="J663" s="141"/>
      <c r="K663" s="141"/>
      <c r="L663" s="142"/>
      <c r="M663" s="142"/>
      <c r="N663" s="142"/>
      <c r="O663" s="142"/>
      <c r="P663" s="136"/>
      <c r="Q663" s="34"/>
      <c r="R663" s="35"/>
      <c r="S663" s="35"/>
      <c r="T663" s="35"/>
      <c r="U663" s="35"/>
      <c r="V663" s="35"/>
      <c r="W663" s="35"/>
      <c r="X663" s="35"/>
      <c r="Y663" s="35"/>
      <c r="Z663" s="35"/>
      <c r="AA663" s="35"/>
    </row>
    <row r="664" ht="14.25" customHeight="1">
      <c r="A664" s="136"/>
      <c r="B664" s="137"/>
      <c r="C664" s="251"/>
      <c r="D664" s="452"/>
      <c r="E664" s="136"/>
      <c r="F664" s="253"/>
      <c r="G664" s="526"/>
      <c r="H664" s="527"/>
      <c r="I664" s="527"/>
      <c r="J664" s="141"/>
      <c r="K664" s="141"/>
      <c r="L664" s="142"/>
      <c r="M664" s="142"/>
      <c r="N664" s="142"/>
      <c r="O664" s="142"/>
      <c r="P664" s="136"/>
      <c r="Q664" s="34"/>
      <c r="R664" s="35"/>
      <c r="S664" s="35"/>
      <c r="T664" s="35"/>
      <c r="U664" s="35"/>
      <c r="V664" s="35"/>
      <c r="W664" s="35"/>
      <c r="X664" s="35"/>
      <c r="Y664" s="35"/>
      <c r="Z664" s="35"/>
      <c r="AA664" s="35"/>
    </row>
    <row r="665" ht="14.25" customHeight="1">
      <c r="A665" s="136"/>
      <c r="B665" s="137"/>
      <c r="C665" s="251"/>
      <c r="D665" s="452"/>
      <c r="E665" s="136"/>
      <c r="F665" s="253"/>
      <c r="G665" s="526"/>
      <c r="H665" s="527"/>
      <c r="I665" s="527"/>
      <c r="J665" s="141"/>
      <c r="K665" s="141"/>
      <c r="L665" s="142"/>
      <c r="M665" s="142"/>
      <c r="N665" s="142"/>
      <c r="O665" s="142"/>
      <c r="P665" s="136"/>
      <c r="Q665" s="34"/>
      <c r="R665" s="35"/>
      <c r="S665" s="35"/>
      <c r="T665" s="35"/>
      <c r="U665" s="35"/>
      <c r="V665" s="35"/>
      <c r="W665" s="35"/>
      <c r="X665" s="35"/>
      <c r="Y665" s="35"/>
      <c r="Z665" s="35"/>
      <c r="AA665" s="35"/>
    </row>
    <row r="666" ht="14.25" customHeight="1">
      <c r="A666" s="136"/>
      <c r="B666" s="137"/>
      <c r="C666" s="251"/>
      <c r="D666" s="452"/>
      <c r="E666" s="136"/>
      <c r="F666" s="253"/>
      <c r="G666" s="526"/>
      <c r="H666" s="527"/>
      <c r="I666" s="527"/>
      <c r="J666" s="141"/>
      <c r="K666" s="141"/>
      <c r="L666" s="142"/>
      <c r="M666" s="142"/>
      <c r="N666" s="142"/>
      <c r="O666" s="142"/>
      <c r="P666" s="136"/>
      <c r="Q666" s="34"/>
      <c r="R666" s="35"/>
      <c r="S666" s="35"/>
      <c r="T666" s="35"/>
      <c r="U666" s="35"/>
      <c r="V666" s="35"/>
      <c r="W666" s="35"/>
      <c r="X666" s="35"/>
      <c r="Y666" s="35"/>
      <c r="Z666" s="35"/>
      <c r="AA666" s="35"/>
    </row>
    <row r="667" ht="14.25" customHeight="1">
      <c r="A667" s="136"/>
      <c r="B667" s="137"/>
      <c r="C667" s="251"/>
      <c r="D667" s="452"/>
      <c r="E667" s="136"/>
      <c r="F667" s="253"/>
      <c r="G667" s="526"/>
      <c r="H667" s="527"/>
      <c r="I667" s="527"/>
      <c r="J667" s="141"/>
      <c r="K667" s="141"/>
      <c r="L667" s="142"/>
      <c r="M667" s="142"/>
      <c r="N667" s="142"/>
      <c r="O667" s="142"/>
      <c r="P667" s="136"/>
      <c r="Q667" s="34"/>
      <c r="R667" s="35"/>
      <c r="S667" s="35"/>
      <c r="T667" s="35"/>
      <c r="U667" s="35"/>
      <c r="V667" s="35"/>
      <c r="W667" s="35"/>
      <c r="X667" s="35"/>
      <c r="Y667" s="35"/>
      <c r="Z667" s="35"/>
      <c r="AA667" s="35"/>
    </row>
    <row r="668" ht="14.25" customHeight="1">
      <c r="A668" s="136"/>
      <c r="B668" s="137"/>
      <c r="C668" s="251"/>
      <c r="D668" s="452"/>
      <c r="E668" s="136"/>
      <c r="F668" s="253"/>
      <c r="G668" s="526"/>
      <c r="H668" s="527"/>
      <c r="I668" s="527"/>
      <c r="J668" s="141"/>
      <c r="K668" s="141"/>
      <c r="L668" s="142"/>
      <c r="M668" s="142"/>
      <c r="N668" s="142"/>
      <c r="O668" s="142"/>
      <c r="P668" s="136"/>
      <c r="Q668" s="34"/>
      <c r="R668" s="35"/>
      <c r="S668" s="35"/>
      <c r="T668" s="35"/>
      <c r="U668" s="35"/>
      <c r="V668" s="35"/>
      <c r="W668" s="35"/>
      <c r="X668" s="35"/>
      <c r="Y668" s="35"/>
      <c r="Z668" s="35"/>
      <c r="AA668" s="35"/>
    </row>
    <row r="669" ht="14.25" customHeight="1">
      <c r="A669" s="136"/>
      <c r="B669" s="137"/>
      <c r="C669" s="251"/>
      <c r="D669" s="452"/>
      <c r="E669" s="136"/>
      <c r="F669" s="253"/>
      <c r="G669" s="526"/>
      <c r="H669" s="527"/>
      <c r="I669" s="527"/>
      <c r="J669" s="141"/>
      <c r="K669" s="141"/>
      <c r="L669" s="142"/>
      <c r="M669" s="142"/>
      <c r="N669" s="142"/>
      <c r="O669" s="142"/>
      <c r="P669" s="136"/>
      <c r="Q669" s="34"/>
      <c r="R669" s="35"/>
      <c r="S669" s="35"/>
      <c r="T669" s="35"/>
      <c r="U669" s="35"/>
      <c r="V669" s="35"/>
      <c r="W669" s="35"/>
      <c r="X669" s="35"/>
      <c r="Y669" s="35"/>
      <c r="Z669" s="35"/>
      <c r="AA669" s="35"/>
    </row>
    <row r="670" ht="14.25" customHeight="1">
      <c r="A670" s="136"/>
      <c r="B670" s="137"/>
      <c r="C670" s="251"/>
      <c r="D670" s="452"/>
      <c r="E670" s="136"/>
      <c r="F670" s="253"/>
      <c r="G670" s="526"/>
      <c r="H670" s="527"/>
      <c r="I670" s="527"/>
      <c r="J670" s="141"/>
      <c r="K670" s="141"/>
      <c r="L670" s="142"/>
      <c r="M670" s="142"/>
      <c r="N670" s="142"/>
      <c r="O670" s="142"/>
      <c r="P670" s="136"/>
      <c r="Q670" s="34"/>
      <c r="R670" s="35"/>
      <c r="S670" s="35"/>
      <c r="T670" s="35"/>
      <c r="U670" s="35"/>
      <c r="V670" s="35"/>
      <c r="W670" s="35"/>
      <c r="X670" s="35"/>
      <c r="Y670" s="35"/>
      <c r="Z670" s="35"/>
      <c r="AA670" s="35"/>
    </row>
    <row r="671" ht="14.25" customHeight="1">
      <c r="A671" s="136"/>
      <c r="B671" s="137"/>
      <c r="C671" s="251"/>
      <c r="D671" s="452"/>
      <c r="E671" s="136"/>
      <c r="F671" s="253"/>
      <c r="G671" s="526"/>
      <c r="H671" s="527"/>
      <c r="I671" s="527"/>
      <c r="J671" s="141"/>
      <c r="K671" s="141"/>
      <c r="L671" s="142"/>
      <c r="M671" s="142"/>
      <c r="N671" s="142"/>
      <c r="O671" s="142"/>
      <c r="P671" s="136"/>
      <c r="Q671" s="34"/>
      <c r="R671" s="35"/>
      <c r="S671" s="35"/>
      <c r="T671" s="35"/>
      <c r="U671" s="35"/>
      <c r="V671" s="35"/>
      <c r="W671" s="35"/>
      <c r="X671" s="35"/>
      <c r="Y671" s="35"/>
      <c r="Z671" s="35"/>
      <c r="AA671" s="35"/>
    </row>
    <row r="672" ht="14.25" customHeight="1">
      <c r="A672" s="136"/>
      <c r="B672" s="137"/>
      <c r="C672" s="251"/>
      <c r="D672" s="452"/>
      <c r="E672" s="136"/>
      <c r="F672" s="253"/>
      <c r="G672" s="526"/>
      <c r="H672" s="527"/>
      <c r="I672" s="527"/>
      <c r="J672" s="141"/>
      <c r="K672" s="141"/>
      <c r="L672" s="142"/>
      <c r="M672" s="142"/>
      <c r="N672" s="142"/>
      <c r="O672" s="142"/>
      <c r="P672" s="136"/>
      <c r="Q672" s="34"/>
      <c r="R672" s="35"/>
      <c r="S672" s="35"/>
      <c r="T672" s="35"/>
      <c r="U672" s="35"/>
      <c r="V672" s="35"/>
      <c r="W672" s="35"/>
      <c r="X672" s="35"/>
      <c r="Y672" s="35"/>
      <c r="Z672" s="35"/>
      <c r="AA672" s="35"/>
    </row>
    <row r="673" ht="14.25" customHeight="1">
      <c r="A673" s="136"/>
      <c r="B673" s="137"/>
      <c r="C673" s="251"/>
      <c r="D673" s="452"/>
      <c r="E673" s="136"/>
      <c r="F673" s="253"/>
      <c r="G673" s="526"/>
      <c r="H673" s="527"/>
      <c r="I673" s="527"/>
      <c r="J673" s="141"/>
      <c r="K673" s="141"/>
      <c r="L673" s="142"/>
      <c r="M673" s="142"/>
      <c r="N673" s="142"/>
      <c r="O673" s="142"/>
      <c r="P673" s="136"/>
      <c r="Q673" s="34"/>
      <c r="R673" s="35"/>
      <c r="S673" s="35"/>
      <c r="T673" s="35"/>
      <c r="U673" s="35"/>
      <c r="V673" s="35"/>
      <c r="W673" s="35"/>
      <c r="X673" s="35"/>
      <c r="Y673" s="35"/>
      <c r="Z673" s="35"/>
      <c r="AA673" s="35"/>
    </row>
    <row r="674" ht="14.25" customHeight="1">
      <c r="A674" s="136"/>
      <c r="B674" s="137"/>
      <c r="C674" s="251"/>
      <c r="D674" s="452"/>
      <c r="E674" s="136"/>
      <c r="F674" s="253"/>
      <c r="G674" s="526"/>
      <c r="H674" s="527"/>
      <c r="I674" s="527"/>
      <c r="J674" s="141"/>
      <c r="K674" s="141"/>
      <c r="L674" s="142"/>
      <c r="M674" s="142"/>
      <c r="N674" s="142"/>
      <c r="O674" s="142"/>
      <c r="P674" s="136"/>
      <c r="Q674" s="34"/>
      <c r="R674" s="35"/>
      <c r="S674" s="35"/>
      <c r="T674" s="35"/>
      <c r="U674" s="35"/>
      <c r="V674" s="35"/>
      <c r="W674" s="35"/>
      <c r="X674" s="35"/>
      <c r="Y674" s="35"/>
      <c r="Z674" s="35"/>
      <c r="AA674" s="35"/>
    </row>
    <row r="675" ht="14.25" customHeight="1">
      <c r="A675" s="136"/>
      <c r="B675" s="137"/>
      <c r="C675" s="251"/>
      <c r="D675" s="452"/>
      <c r="E675" s="136"/>
      <c r="F675" s="253"/>
      <c r="G675" s="526"/>
      <c r="H675" s="527"/>
      <c r="I675" s="527"/>
      <c r="J675" s="141"/>
      <c r="K675" s="141"/>
      <c r="L675" s="142"/>
      <c r="M675" s="142"/>
      <c r="N675" s="142"/>
      <c r="O675" s="142"/>
      <c r="P675" s="136"/>
      <c r="Q675" s="34"/>
      <c r="R675" s="35"/>
      <c r="S675" s="35"/>
      <c r="T675" s="35"/>
      <c r="U675" s="35"/>
      <c r="V675" s="35"/>
      <c r="W675" s="35"/>
      <c r="X675" s="35"/>
      <c r="Y675" s="35"/>
      <c r="Z675" s="35"/>
      <c r="AA675" s="35"/>
    </row>
    <row r="676" ht="14.25" customHeight="1">
      <c r="A676" s="136"/>
      <c r="B676" s="137"/>
      <c r="C676" s="251"/>
      <c r="D676" s="452"/>
      <c r="E676" s="136"/>
      <c r="F676" s="253"/>
      <c r="G676" s="526"/>
      <c r="H676" s="527"/>
      <c r="I676" s="527"/>
      <c r="J676" s="141"/>
      <c r="K676" s="141"/>
      <c r="L676" s="142"/>
      <c r="M676" s="142"/>
      <c r="N676" s="142"/>
      <c r="O676" s="142"/>
      <c r="P676" s="136"/>
      <c r="Q676" s="34"/>
      <c r="R676" s="35"/>
      <c r="S676" s="35"/>
      <c r="T676" s="35"/>
      <c r="U676" s="35"/>
      <c r="V676" s="35"/>
      <c r="W676" s="35"/>
      <c r="X676" s="35"/>
      <c r="Y676" s="35"/>
      <c r="Z676" s="35"/>
      <c r="AA676" s="35"/>
    </row>
    <row r="677" ht="14.25" customHeight="1">
      <c r="A677" s="136"/>
      <c r="B677" s="137"/>
      <c r="C677" s="251"/>
      <c r="D677" s="452"/>
      <c r="E677" s="136"/>
      <c r="F677" s="253"/>
      <c r="G677" s="526"/>
      <c r="H677" s="527"/>
      <c r="I677" s="527"/>
      <c r="J677" s="141"/>
      <c r="K677" s="141"/>
      <c r="L677" s="142"/>
      <c r="M677" s="142"/>
      <c r="N677" s="142"/>
      <c r="O677" s="142"/>
      <c r="P677" s="136"/>
      <c r="Q677" s="34"/>
      <c r="R677" s="35"/>
      <c r="S677" s="35"/>
      <c r="T677" s="35"/>
      <c r="U677" s="35"/>
      <c r="V677" s="35"/>
      <c r="W677" s="35"/>
      <c r="X677" s="35"/>
      <c r="Y677" s="35"/>
      <c r="Z677" s="35"/>
      <c r="AA677" s="35"/>
    </row>
    <row r="678" ht="14.25" customHeight="1">
      <c r="A678" s="136"/>
      <c r="B678" s="137"/>
      <c r="C678" s="251"/>
      <c r="D678" s="452"/>
      <c r="E678" s="136"/>
      <c r="F678" s="253"/>
      <c r="G678" s="526"/>
      <c r="H678" s="527"/>
      <c r="I678" s="527"/>
      <c r="J678" s="141"/>
      <c r="K678" s="141"/>
      <c r="L678" s="142"/>
      <c r="M678" s="142"/>
      <c r="N678" s="142"/>
      <c r="O678" s="142"/>
      <c r="P678" s="136"/>
      <c r="Q678" s="34"/>
      <c r="R678" s="35"/>
      <c r="S678" s="35"/>
      <c r="T678" s="35"/>
      <c r="U678" s="35"/>
      <c r="V678" s="35"/>
      <c r="W678" s="35"/>
      <c r="X678" s="35"/>
      <c r="Y678" s="35"/>
      <c r="Z678" s="35"/>
      <c r="AA678" s="35"/>
    </row>
    <row r="679" ht="14.25" customHeight="1">
      <c r="A679" s="136"/>
      <c r="B679" s="137"/>
      <c r="C679" s="251"/>
      <c r="D679" s="452"/>
      <c r="E679" s="136"/>
      <c r="F679" s="253"/>
      <c r="G679" s="526"/>
      <c r="H679" s="527"/>
      <c r="I679" s="527"/>
      <c r="J679" s="141"/>
      <c r="K679" s="141"/>
      <c r="L679" s="142"/>
      <c r="M679" s="142"/>
      <c r="N679" s="142"/>
      <c r="O679" s="142"/>
      <c r="P679" s="136"/>
      <c r="Q679" s="34"/>
      <c r="R679" s="35"/>
      <c r="S679" s="35"/>
      <c r="T679" s="35"/>
      <c r="U679" s="35"/>
      <c r="V679" s="35"/>
      <c r="W679" s="35"/>
      <c r="X679" s="35"/>
      <c r="Y679" s="35"/>
      <c r="Z679" s="35"/>
      <c r="AA679" s="35"/>
    </row>
    <row r="680" ht="14.25" customHeight="1">
      <c r="A680" s="136"/>
      <c r="B680" s="137"/>
      <c r="C680" s="251"/>
      <c r="D680" s="452"/>
      <c r="E680" s="136"/>
      <c r="F680" s="253"/>
      <c r="G680" s="526"/>
      <c r="H680" s="527"/>
      <c r="I680" s="527"/>
      <c r="J680" s="141"/>
      <c r="K680" s="141"/>
      <c r="L680" s="142"/>
      <c r="M680" s="142"/>
      <c r="N680" s="142"/>
      <c r="O680" s="142"/>
      <c r="P680" s="136"/>
      <c r="Q680" s="34"/>
      <c r="R680" s="35"/>
      <c r="S680" s="35"/>
      <c r="T680" s="35"/>
      <c r="U680" s="35"/>
      <c r="V680" s="35"/>
      <c r="W680" s="35"/>
      <c r="X680" s="35"/>
      <c r="Y680" s="35"/>
      <c r="Z680" s="35"/>
      <c r="AA680" s="35"/>
    </row>
    <row r="681" ht="14.25" customHeight="1">
      <c r="A681" s="136"/>
      <c r="B681" s="137"/>
      <c r="C681" s="251"/>
      <c r="D681" s="452"/>
      <c r="E681" s="136"/>
      <c r="F681" s="253"/>
      <c r="G681" s="526"/>
      <c r="H681" s="527"/>
      <c r="I681" s="527"/>
      <c r="J681" s="141"/>
      <c r="K681" s="141"/>
      <c r="L681" s="142"/>
      <c r="M681" s="142"/>
      <c r="N681" s="142"/>
      <c r="O681" s="142"/>
      <c r="P681" s="136"/>
      <c r="Q681" s="34"/>
      <c r="R681" s="35"/>
      <c r="S681" s="35"/>
      <c r="T681" s="35"/>
      <c r="U681" s="35"/>
      <c r="V681" s="35"/>
      <c r="W681" s="35"/>
      <c r="X681" s="35"/>
      <c r="Y681" s="35"/>
      <c r="Z681" s="35"/>
      <c r="AA681" s="35"/>
    </row>
    <row r="682" ht="14.25" customHeight="1">
      <c r="A682" s="136"/>
      <c r="B682" s="137"/>
      <c r="C682" s="251"/>
      <c r="D682" s="452"/>
      <c r="E682" s="136"/>
      <c r="F682" s="253"/>
      <c r="G682" s="526"/>
      <c r="H682" s="527"/>
      <c r="I682" s="527"/>
      <c r="J682" s="141"/>
      <c r="K682" s="141"/>
      <c r="L682" s="142"/>
      <c r="M682" s="142"/>
      <c r="N682" s="142"/>
      <c r="O682" s="142"/>
      <c r="P682" s="136"/>
      <c r="Q682" s="34"/>
      <c r="R682" s="35"/>
      <c r="S682" s="35"/>
      <c r="T682" s="35"/>
      <c r="U682" s="35"/>
      <c r="V682" s="35"/>
      <c r="W682" s="35"/>
      <c r="X682" s="35"/>
      <c r="Y682" s="35"/>
      <c r="Z682" s="35"/>
      <c r="AA682" s="35"/>
    </row>
    <row r="683" ht="14.25" customHeight="1">
      <c r="A683" s="136"/>
      <c r="B683" s="137"/>
      <c r="C683" s="251"/>
      <c r="D683" s="452"/>
      <c r="E683" s="136"/>
      <c r="F683" s="253"/>
      <c r="G683" s="526"/>
      <c r="H683" s="527"/>
      <c r="I683" s="527"/>
      <c r="J683" s="141"/>
      <c r="K683" s="141"/>
      <c r="L683" s="142"/>
      <c r="M683" s="142"/>
      <c r="N683" s="142"/>
      <c r="O683" s="142"/>
      <c r="P683" s="136"/>
      <c r="Q683" s="34"/>
      <c r="R683" s="35"/>
      <c r="S683" s="35"/>
      <c r="T683" s="35"/>
      <c r="U683" s="35"/>
      <c r="V683" s="35"/>
      <c r="W683" s="35"/>
      <c r="X683" s="35"/>
      <c r="Y683" s="35"/>
      <c r="Z683" s="35"/>
      <c r="AA683" s="35"/>
    </row>
    <row r="684" ht="14.25" customHeight="1">
      <c r="A684" s="136"/>
      <c r="B684" s="137"/>
      <c r="C684" s="251"/>
      <c r="D684" s="452"/>
      <c r="E684" s="136"/>
      <c r="F684" s="253"/>
      <c r="G684" s="526"/>
      <c r="H684" s="527"/>
      <c r="I684" s="527"/>
      <c r="J684" s="141"/>
      <c r="K684" s="141"/>
      <c r="L684" s="142"/>
      <c r="M684" s="142"/>
      <c r="N684" s="142"/>
      <c r="O684" s="142"/>
      <c r="P684" s="136"/>
      <c r="Q684" s="34"/>
      <c r="R684" s="35"/>
      <c r="S684" s="35"/>
      <c r="T684" s="35"/>
      <c r="U684" s="35"/>
      <c r="V684" s="35"/>
      <c r="W684" s="35"/>
      <c r="X684" s="35"/>
      <c r="Y684" s="35"/>
      <c r="Z684" s="35"/>
      <c r="AA684" s="35"/>
    </row>
    <row r="685" ht="14.25" customHeight="1">
      <c r="A685" s="136"/>
      <c r="B685" s="137"/>
      <c r="C685" s="251"/>
      <c r="D685" s="452"/>
      <c r="E685" s="136"/>
      <c r="F685" s="253"/>
      <c r="G685" s="526"/>
      <c r="H685" s="527"/>
      <c r="I685" s="527"/>
      <c r="J685" s="141"/>
      <c r="K685" s="141"/>
      <c r="L685" s="142"/>
      <c r="M685" s="142"/>
      <c r="N685" s="142"/>
      <c r="O685" s="142"/>
      <c r="P685" s="136"/>
      <c r="Q685" s="34"/>
      <c r="R685" s="35"/>
      <c r="S685" s="35"/>
      <c r="T685" s="35"/>
      <c r="U685" s="35"/>
      <c r="V685" s="35"/>
      <c r="W685" s="35"/>
      <c r="X685" s="35"/>
      <c r="Y685" s="35"/>
      <c r="Z685" s="35"/>
      <c r="AA685" s="35"/>
    </row>
    <row r="686" ht="14.25" customHeight="1">
      <c r="A686" s="136"/>
      <c r="B686" s="137"/>
      <c r="C686" s="251"/>
      <c r="D686" s="452"/>
      <c r="E686" s="136"/>
      <c r="F686" s="253"/>
      <c r="G686" s="526"/>
      <c r="H686" s="527"/>
      <c r="I686" s="527"/>
      <c r="J686" s="141"/>
      <c r="K686" s="141"/>
      <c r="L686" s="142"/>
      <c r="M686" s="142"/>
      <c r="N686" s="142"/>
      <c r="O686" s="142"/>
      <c r="P686" s="136"/>
      <c r="Q686" s="34"/>
      <c r="R686" s="35"/>
      <c r="S686" s="35"/>
      <c r="T686" s="35"/>
      <c r="U686" s="35"/>
      <c r="V686" s="35"/>
      <c r="W686" s="35"/>
      <c r="X686" s="35"/>
      <c r="Y686" s="35"/>
      <c r="Z686" s="35"/>
      <c r="AA686" s="35"/>
    </row>
    <row r="687" ht="14.25" customHeight="1">
      <c r="A687" s="136"/>
      <c r="B687" s="137"/>
      <c r="C687" s="251"/>
      <c r="D687" s="452"/>
      <c r="E687" s="136"/>
      <c r="F687" s="253"/>
      <c r="G687" s="526"/>
      <c r="H687" s="527"/>
      <c r="I687" s="527"/>
      <c r="J687" s="141"/>
      <c r="K687" s="141"/>
      <c r="L687" s="142"/>
      <c r="M687" s="142"/>
      <c r="N687" s="142"/>
      <c r="O687" s="142"/>
      <c r="P687" s="136"/>
      <c r="Q687" s="34"/>
      <c r="R687" s="35"/>
      <c r="S687" s="35"/>
      <c r="T687" s="35"/>
      <c r="U687" s="35"/>
      <c r="V687" s="35"/>
      <c r="W687" s="35"/>
      <c r="X687" s="35"/>
      <c r="Y687" s="35"/>
      <c r="Z687" s="35"/>
      <c r="AA687" s="35"/>
    </row>
    <row r="688" ht="14.25" customHeight="1">
      <c r="A688" s="136"/>
      <c r="B688" s="137"/>
      <c r="C688" s="251"/>
      <c r="D688" s="452"/>
      <c r="E688" s="136"/>
      <c r="F688" s="253"/>
      <c r="G688" s="526"/>
      <c r="H688" s="527"/>
      <c r="I688" s="527"/>
      <c r="J688" s="141"/>
      <c r="K688" s="141"/>
      <c r="L688" s="142"/>
      <c r="M688" s="142"/>
      <c r="N688" s="142"/>
      <c r="O688" s="142"/>
      <c r="P688" s="136"/>
      <c r="Q688" s="34"/>
      <c r="R688" s="35"/>
      <c r="S688" s="35"/>
      <c r="T688" s="35"/>
      <c r="U688" s="35"/>
      <c r="V688" s="35"/>
      <c r="W688" s="35"/>
      <c r="X688" s="35"/>
      <c r="Y688" s="35"/>
      <c r="Z688" s="35"/>
      <c r="AA688" s="35"/>
    </row>
    <row r="689" ht="14.25" customHeight="1">
      <c r="A689" s="136"/>
      <c r="B689" s="137"/>
      <c r="C689" s="251"/>
      <c r="D689" s="452"/>
      <c r="E689" s="136"/>
      <c r="F689" s="253"/>
      <c r="G689" s="526"/>
      <c r="H689" s="527"/>
      <c r="I689" s="527"/>
      <c r="J689" s="141"/>
      <c r="K689" s="141"/>
      <c r="L689" s="142"/>
      <c r="M689" s="142"/>
      <c r="N689" s="142"/>
      <c r="O689" s="142"/>
      <c r="P689" s="136"/>
      <c r="Q689" s="34"/>
      <c r="R689" s="35"/>
      <c r="S689" s="35"/>
      <c r="T689" s="35"/>
      <c r="U689" s="35"/>
      <c r="V689" s="35"/>
      <c r="W689" s="35"/>
      <c r="X689" s="35"/>
      <c r="Y689" s="35"/>
      <c r="Z689" s="35"/>
      <c r="AA689" s="35"/>
    </row>
    <row r="690" ht="14.25" customHeight="1">
      <c r="A690" s="136"/>
      <c r="B690" s="137"/>
      <c r="C690" s="251"/>
      <c r="D690" s="452"/>
      <c r="E690" s="136"/>
      <c r="F690" s="253"/>
      <c r="G690" s="526"/>
      <c r="H690" s="527"/>
      <c r="I690" s="527"/>
      <c r="J690" s="141"/>
      <c r="K690" s="141"/>
      <c r="L690" s="142"/>
      <c r="M690" s="142"/>
      <c r="N690" s="142"/>
      <c r="O690" s="142"/>
      <c r="P690" s="136"/>
      <c r="Q690" s="34"/>
      <c r="R690" s="35"/>
      <c r="S690" s="35"/>
      <c r="T690" s="35"/>
      <c r="U690" s="35"/>
      <c r="V690" s="35"/>
      <c r="W690" s="35"/>
      <c r="X690" s="35"/>
      <c r="Y690" s="35"/>
      <c r="Z690" s="35"/>
      <c r="AA690" s="35"/>
    </row>
    <row r="691" ht="14.25" customHeight="1">
      <c r="A691" s="136"/>
      <c r="B691" s="137"/>
      <c r="C691" s="251"/>
      <c r="D691" s="452"/>
      <c r="E691" s="136"/>
      <c r="F691" s="253"/>
      <c r="G691" s="526"/>
      <c r="H691" s="527"/>
      <c r="I691" s="527"/>
      <c r="J691" s="141"/>
      <c r="K691" s="141"/>
      <c r="L691" s="142"/>
      <c r="M691" s="142"/>
      <c r="N691" s="142"/>
      <c r="O691" s="142"/>
      <c r="P691" s="136"/>
      <c r="Q691" s="34"/>
      <c r="R691" s="35"/>
      <c r="S691" s="35"/>
      <c r="T691" s="35"/>
      <c r="U691" s="35"/>
      <c r="V691" s="35"/>
      <c r="W691" s="35"/>
      <c r="X691" s="35"/>
      <c r="Y691" s="35"/>
      <c r="Z691" s="35"/>
      <c r="AA691" s="35"/>
    </row>
    <row r="692" ht="14.25" customHeight="1">
      <c r="A692" s="136"/>
      <c r="B692" s="137"/>
      <c r="C692" s="251"/>
      <c r="D692" s="452"/>
      <c r="E692" s="136"/>
      <c r="F692" s="253"/>
      <c r="G692" s="526"/>
      <c r="H692" s="527"/>
      <c r="I692" s="527"/>
      <c r="J692" s="141"/>
      <c r="K692" s="141"/>
      <c r="L692" s="142"/>
      <c r="M692" s="142"/>
      <c r="N692" s="142"/>
      <c r="O692" s="142"/>
      <c r="P692" s="136"/>
      <c r="Q692" s="34"/>
      <c r="R692" s="35"/>
      <c r="S692" s="35"/>
      <c r="T692" s="35"/>
      <c r="U692" s="35"/>
      <c r="V692" s="35"/>
      <c r="W692" s="35"/>
      <c r="X692" s="35"/>
      <c r="Y692" s="35"/>
      <c r="Z692" s="35"/>
      <c r="AA692" s="35"/>
    </row>
    <row r="693" ht="14.25" customHeight="1">
      <c r="A693" s="136"/>
      <c r="B693" s="137"/>
      <c r="C693" s="251"/>
      <c r="D693" s="452"/>
      <c r="E693" s="136"/>
      <c r="F693" s="253"/>
      <c r="G693" s="526"/>
      <c r="H693" s="527"/>
      <c r="I693" s="527"/>
      <c r="J693" s="141"/>
      <c r="K693" s="141"/>
      <c r="L693" s="142"/>
      <c r="M693" s="142"/>
      <c r="N693" s="142"/>
      <c r="O693" s="142"/>
      <c r="P693" s="136"/>
      <c r="Q693" s="34"/>
      <c r="R693" s="35"/>
      <c r="S693" s="35"/>
      <c r="T693" s="35"/>
      <c r="U693" s="35"/>
      <c r="V693" s="35"/>
      <c r="W693" s="35"/>
      <c r="X693" s="35"/>
      <c r="Y693" s="35"/>
      <c r="Z693" s="35"/>
      <c r="AA693" s="35"/>
    </row>
    <row r="694" ht="14.25" customHeight="1">
      <c r="A694" s="136"/>
      <c r="B694" s="137"/>
      <c r="C694" s="251"/>
      <c r="D694" s="452"/>
      <c r="E694" s="136"/>
      <c r="F694" s="253"/>
      <c r="G694" s="526"/>
      <c r="H694" s="527"/>
      <c r="I694" s="527"/>
      <c r="J694" s="141"/>
      <c r="K694" s="141"/>
      <c r="L694" s="142"/>
      <c r="M694" s="142"/>
      <c r="N694" s="142"/>
      <c r="O694" s="142"/>
      <c r="P694" s="136"/>
      <c r="Q694" s="34"/>
      <c r="R694" s="35"/>
      <c r="S694" s="35"/>
      <c r="T694" s="35"/>
      <c r="U694" s="35"/>
      <c r="V694" s="35"/>
      <c r="W694" s="35"/>
      <c r="X694" s="35"/>
      <c r="Y694" s="35"/>
      <c r="Z694" s="35"/>
      <c r="AA694" s="35"/>
    </row>
    <row r="695" ht="14.25" customHeight="1">
      <c r="A695" s="136"/>
      <c r="B695" s="137"/>
      <c r="C695" s="251"/>
      <c r="D695" s="452"/>
      <c r="E695" s="136"/>
      <c r="F695" s="253"/>
      <c r="G695" s="526"/>
      <c r="H695" s="527"/>
      <c r="I695" s="527"/>
      <c r="J695" s="141"/>
      <c r="K695" s="141"/>
      <c r="L695" s="142"/>
      <c r="M695" s="142"/>
      <c r="N695" s="142"/>
      <c r="O695" s="142"/>
      <c r="P695" s="136"/>
      <c r="Q695" s="34"/>
      <c r="R695" s="35"/>
      <c r="S695" s="35"/>
      <c r="T695" s="35"/>
      <c r="U695" s="35"/>
      <c r="V695" s="35"/>
      <c r="W695" s="35"/>
      <c r="X695" s="35"/>
      <c r="Y695" s="35"/>
      <c r="Z695" s="35"/>
      <c r="AA695" s="35"/>
    </row>
    <row r="696" ht="14.25" customHeight="1">
      <c r="A696" s="136"/>
      <c r="B696" s="137"/>
      <c r="C696" s="251"/>
      <c r="D696" s="452"/>
      <c r="E696" s="136"/>
      <c r="F696" s="253"/>
      <c r="G696" s="526"/>
      <c r="H696" s="527"/>
      <c r="I696" s="527"/>
      <c r="J696" s="141"/>
      <c r="K696" s="141"/>
      <c r="L696" s="142"/>
      <c r="M696" s="142"/>
      <c r="N696" s="142"/>
      <c r="O696" s="142"/>
      <c r="P696" s="136"/>
      <c r="Q696" s="34"/>
      <c r="R696" s="35"/>
      <c r="S696" s="35"/>
      <c r="T696" s="35"/>
      <c r="U696" s="35"/>
      <c r="V696" s="35"/>
      <c r="W696" s="35"/>
      <c r="X696" s="35"/>
      <c r="Y696" s="35"/>
      <c r="Z696" s="35"/>
      <c r="AA696" s="35"/>
    </row>
    <row r="697" ht="14.25" customHeight="1">
      <c r="A697" s="136"/>
      <c r="B697" s="137"/>
      <c r="C697" s="251"/>
      <c r="D697" s="452"/>
      <c r="E697" s="136"/>
      <c r="F697" s="253"/>
      <c r="G697" s="526"/>
      <c r="H697" s="527"/>
      <c r="I697" s="527"/>
      <c r="J697" s="141"/>
      <c r="K697" s="141"/>
      <c r="L697" s="142"/>
      <c r="M697" s="142"/>
      <c r="N697" s="142"/>
      <c r="O697" s="142"/>
      <c r="P697" s="136"/>
      <c r="Q697" s="34"/>
      <c r="R697" s="35"/>
      <c r="S697" s="35"/>
      <c r="T697" s="35"/>
      <c r="U697" s="35"/>
      <c r="V697" s="35"/>
      <c r="W697" s="35"/>
      <c r="X697" s="35"/>
      <c r="Y697" s="35"/>
      <c r="Z697" s="35"/>
      <c r="AA697" s="35"/>
    </row>
    <row r="698" ht="14.25" customHeight="1">
      <c r="A698" s="136"/>
      <c r="B698" s="137"/>
      <c r="C698" s="251"/>
      <c r="D698" s="452"/>
      <c r="E698" s="136"/>
      <c r="F698" s="253"/>
      <c r="G698" s="526"/>
      <c r="H698" s="527"/>
      <c r="I698" s="527"/>
      <c r="J698" s="141"/>
      <c r="K698" s="141"/>
      <c r="L698" s="142"/>
      <c r="M698" s="142"/>
      <c r="N698" s="142"/>
      <c r="O698" s="142"/>
      <c r="P698" s="136"/>
      <c r="Q698" s="34"/>
      <c r="R698" s="35"/>
      <c r="S698" s="35"/>
      <c r="T698" s="35"/>
      <c r="U698" s="35"/>
      <c r="V698" s="35"/>
      <c r="W698" s="35"/>
      <c r="X698" s="35"/>
      <c r="Y698" s="35"/>
      <c r="Z698" s="35"/>
      <c r="AA698" s="35"/>
    </row>
    <row r="699" ht="14.25" customHeight="1">
      <c r="A699" s="136"/>
      <c r="B699" s="137"/>
      <c r="C699" s="251"/>
      <c r="D699" s="452"/>
      <c r="E699" s="136"/>
      <c r="F699" s="253"/>
      <c r="G699" s="526"/>
      <c r="H699" s="527"/>
      <c r="I699" s="527"/>
      <c r="J699" s="141"/>
      <c r="K699" s="141"/>
      <c r="L699" s="142"/>
      <c r="M699" s="142"/>
      <c r="N699" s="142"/>
      <c r="O699" s="142"/>
      <c r="P699" s="136"/>
      <c r="Q699" s="34"/>
      <c r="R699" s="35"/>
      <c r="S699" s="35"/>
      <c r="T699" s="35"/>
      <c r="U699" s="35"/>
      <c r="V699" s="35"/>
      <c r="W699" s="35"/>
      <c r="X699" s="35"/>
      <c r="Y699" s="35"/>
      <c r="Z699" s="35"/>
      <c r="AA699" s="35"/>
    </row>
    <row r="700" ht="14.25" customHeight="1">
      <c r="A700" s="136"/>
      <c r="B700" s="137"/>
      <c r="C700" s="251"/>
      <c r="D700" s="452"/>
      <c r="E700" s="136"/>
      <c r="F700" s="253"/>
      <c r="G700" s="526"/>
      <c r="H700" s="527"/>
      <c r="I700" s="527"/>
      <c r="J700" s="141"/>
      <c r="K700" s="141"/>
      <c r="L700" s="142"/>
      <c r="M700" s="142"/>
      <c r="N700" s="142"/>
      <c r="O700" s="142"/>
      <c r="P700" s="136"/>
      <c r="Q700" s="34"/>
      <c r="R700" s="35"/>
      <c r="S700" s="35"/>
      <c r="T700" s="35"/>
      <c r="U700" s="35"/>
      <c r="V700" s="35"/>
      <c r="W700" s="35"/>
      <c r="X700" s="35"/>
      <c r="Y700" s="35"/>
      <c r="Z700" s="35"/>
      <c r="AA700" s="35"/>
    </row>
    <row r="701" ht="14.25" customHeight="1">
      <c r="A701" s="136"/>
      <c r="B701" s="137"/>
      <c r="C701" s="251"/>
      <c r="D701" s="452"/>
      <c r="E701" s="136"/>
      <c r="F701" s="253"/>
      <c r="G701" s="526"/>
      <c r="H701" s="527"/>
      <c r="I701" s="527"/>
      <c r="J701" s="141"/>
      <c r="K701" s="141"/>
      <c r="L701" s="142"/>
      <c r="M701" s="142"/>
      <c r="N701" s="142"/>
      <c r="O701" s="142"/>
      <c r="P701" s="136"/>
      <c r="Q701" s="34"/>
      <c r="R701" s="35"/>
      <c r="S701" s="35"/>
      <c r="T701" s="35"/>
      <c r="U701" s="35"/>
      <c r="V701" s="35"/>
      <c r="W701" s="35"/>
      <c r="X701" s="35"/>
      <c r="Y701" s="35"/>
      <c r="Z701" s="35"/>
      <c r="AA701" s="35"/>
    </row>
    <row r="702" ht="14.25" customHeight="1">
      <c r="A702" s="136"/>
      <c r="B702" s="137"/>
      <c r="C702" s="251"/>
      <c r="D702" s="452"/>
      <c r="E702" s="136"/>
      <c r="F702" s="253"/>
      <c r="G702" s="526"/>
      <c r="H702" s="527"/>
      <c r="I702" s="527"/>
      <c r="J702" s="141"/>
      <c r="K702" s="141"/>
      <c r="L702" s="142"/>
      <c r="M702" s="142"/>
      <c r="N702" s="142"/>
      <c r="O702" s="142"/>
      <c r="P702" s="136"/>
      <c r="Q702" s="34"/>
      <c r="R702" s="35"/>
      <c r="S702" s="35"/>
      <c r="T702" s="35"/>
      <c r="U702" s="35"/>
      <c r="V702" s="35"/>
      <c r="W702" s="35"/>
      <c r="X702" s="35"/>
      <c r="Y702" s="35"/>
      <c r="Z702" s="35"/>
      <c r="AA702" s="35"/>
    </row>
    <row r="703" ht="14.25" customHeight="1">
      <c r="A703" s="136"/>
      <c r="B703" s="137"/>
      <c r="C703" s="251"/>
      <c r="D703" s="452"/>
      <c r="E703" s="136"/>
      <c r="F703" s="253"/>
      <c r="G703" s="526"/>
      <c r="H703" s="527"/>
      <c r="I703" s="527"/>
      <c r="J703" s="141"/>
      <c r="K703" s="141"/>
      <c r="L703" s="142"/>
      <c r="M703" s="142"/>
      <c r="N703" s="142"/>
      <c r="O703" s="142"/>
      <c r="P703" s="136"/>
      <c r="Q703" s="34"/>
      <c r="R703" s="35"/>
      <c r="S703" s="35"/>
      <c r="T703" s="35"/>
      <c r="U703" s="35"/>
      <c r="V703" s="35"/>
      <c r="W703" s="35"/>
      <c r="X703" s="35"/>
      <c r="Y703" s="35"/>
      <c r="Z703" s="35"/>
      <c r="AA703" s="35"/>
    </row>
    <row r="704" ht="14.25" customHeight="1">
      <c r="A704" s="136"/>
      <c r="B704" s="137"/>
      <c r="C704" s="251"/>
      <c r="D704" s="452"/>
      <c r="E704" s="136"/>
      <c r="F704" s="253"/>
      <c r="G704" s="526"/>
      <c r="H704" s="527"/>
      <c r="I704" s="527"/>
      <c r="J704" s="141"/>
      <c r="K704" s="141"/>
      <c r="L704" s="142"/>
      <c r="M704" s="142"/>
      <c r="N704" s="142"/>
      <c r="O704" s="142"/>
      <c r="P704" s="136"/>
      <c r="Q704" s="34"/>
      <c r="R704" s="35"/>
      <c r="S704" s="35"/>
      <c r="T704" s="35"/>
      <c r="U704" s="35"/>
      <c r="V704" s="35"/>
      <c r="W704" s="35"/>
      <c r="X704" s="35"/>
      <c r="Y704" s="35"/>
      <c r="Z704" s="35"/>
      <c r="AA704" s="35"/>
    </row>
    <row r="705" ht="14.25" customHeight="1">
      <c r="A705" s="136"/>
      <c r="B705" s="137"/>
      <c r="C705" s="251"/>
      <c r="D705" s="452"/>
      <c r="E705" s="136"/>
      <c r="F705" s="253"/>
      <c r="G705" s="526"/>
      <c r="H705" s="527"/>
      <c r="I705" s="527"/>
      <c r="J705" s="141"/>
      <c r="K705" s="141"/>
      <c r="L705" s="142"/>
      <c r="M705" s="142"/>
      <c r="N705" s="142"/>
      <c r="O705" s="142"/>
      <c r="P705" s="136"/>
      <c r="Q705" s="34"/>
      <c r="R705" s="35"/>
      <c r="S705" s="35"/>
      <c r="T705" s="35"/>
      <c r="U705" s="35"/>
      <c r="V705" s="35"/>
      <c r="W705" s="35"/>
      <c r="X705" s="35"/>
      <c r="Y705" s="35"/>
      <c r="Z705" s="35"/>
      <c r="AA705" s="35"/>
    </row>
    <row r="706" ht="14.25" customHeight="1">
      <c r="A706" s="136"/>
      <c r="B706" s="137"/>
      <c r="C706" s="251"/>
      <c r="D706" s="452"/>
      <c r="E706" s="136"/>
      <c r="F706" s="253"/>
      <c r="G706" s="526"/>
      <c r="H706" s="527"/>
      <c r="I706" s="527"/>
      <c r="J706" s="141"/>
      <c r="K706" s="141"/>
      <c r="L706" s="142"/>
      <c r="M706" s="142"/>
      <c r="N706" s="142"/>
      <c r="O706" s="142"/>
      <c r="P706" s="136"/>
      <c r="Q706" s="34"/>
      <c r="R706" s="35"/>
      <c r="S706" s="35"/>
      <c r="T706" s="35"/>
      <c r="U706" s="35"/>
      <c r="V706" s="35"/>
      <c r="W706" s="35"/>
      <c r="X706" s="35"/>
      <c r="Y706" s="35"/>
      <c r="Z706" s="35"/>
      <c r="AA706" s="35"/>
    </row>
    <row r="707" ht="14.25" customHeight="1">
      <c r="A707" s="136"/>
      <c r="B707" s="137"/>
      <c r="C707" s="251"/>
      <c r="D707" s="452"/>
      <c r="E707" s="136"/>
      <c r="F707" s="253"/>
      <c r="G707" s="526"/>
      <c r="H707" s="527"/>
      <c r="I707" s="527"/>
      <c r="J707" s="141"/>
      <c r="K707" s="141"/>
      <c r="L707" s="142"/>
      <c r="M707" s="142"/>
      <c r="N707" s="142"/>
      <c r="O707" s="142"/>
      <c r="P707" s="136"/>
      <c r="Q707" s="34"/>
      <c r="R707" s="35"/>
      <c r="S707" s="35"/>
      <c r="T707" s="35"/>
      <c r="U707" s="35"/>
      <c r="V707" s="35"/>
      <c r="W707" s="35"/>
      <c r="X707" s="35"/>
      <c r="Y707" s="35"/>
      <c r="Z707" s="35"/>
      <c r="AA707" s="35"/>
    </row>
    <row r="708" ht="14.25" customHeight="1">
      <c r="A708" s="136"/>
      <c r="B708" s="137"/>
      <c r="C708" s="251"/>
      <c r="D708" s="452"/>
      <c r="E708" s="136"/>
      <c r="F708" s="253"/>
      <c r="G708" s="526"/>
      <c r="H708" s="527"/>
      <c r="I708" s="527"/>
      <c r="J708" s="141"/>
      <c r="K708" s="141"/>
      <c r="L708" s="142"/>
      <c r="M708" s="142"/>
      <c r="N708" s="142"/>
      <c r="O708" s="142"/>
      <c r="P708" s="136"/>
      <c r="Q708" s="34"/>
      <c r="R708" s="35"/>
      <c r="S708" s="35"/>
      <c r="T708" s="35"/>
      <c r="U708" s="35"/>
      <c r="V708" s="35"/>
      <c r="W708" s="35"/>
      <c r="X708" s="35"/>
      <c r="Y708" s="35"/>
      <c r="Z708" s="35"/>
      <c r="AA708" s="35"/>
    </row>
    <row r="709" ht="14.25" customHeight="1">
      <c r="A709" s="136"/>
      <c r="B709" s="137"/>
      <c r="C709" s="251"/>
      <c r="D709" s="452"/>
      <c r="E709" s="136"/>
      <c r="F709" s="253"/>
      <c r="G709" s="526"/>
      <c r="H709" s="527"/>
      <c r="I709" s="527"/>
      <c r="J709" s="141"/>
      <c r="K709" s="141"/>
      <c r="L709" s="142"/>
      <c r="M709" s="142"/>
      <c r="N709" s="142"/>
      <c r="O709" s="142"/>
      <c r="P709" s="136"/>
      <c r="Q709" s="34"/>
      <c r="R709" s="35"/>
      <c r="S709" s="35"/>
      <c r="T709" s="35"/>
      <c r="U709" s="35"/>
      <c r="V709" s="35"/>
      <c r="W709" s="35"/>
      <c r="X709" s="35"/>
      <c r="Y709" s="35"/>
      <c r="Z709" s="35"/>
      <c r="AA709" s="35"/>
    </row>
    <row r="710" ht="14.25" customHeight="1">
      <c r="A710" s="136"/>
      <c r="B710" s="137"/>
      <c r="C710" s="251"/>
      <c r="D710" s="452"/>
      <c r="E710" s="136"/>
      <c r="F710" s="253"/>
      <c r="G710" s="526"/>
      <c r="H710" s="527"/>
      <c r="I710" s="527"/>
      <c r="J710" s="141"/>
      <c r="K710" s="141"/>
      <c r="L710" s="142"/>
      <c r="M710" s="142"/>
      <c r="N710" s="142"/>
      <c r="O710" s="142"/>
      <c r="P710" s="136"/>
      <c r="Q710" s="34"/>
      <c r="R710" s="35"/>
      <c r="S710" s="35"/>
      <c r="T710" s="35"/>
      <c r="U710" s="35"/>
      <c r="V710" s="35"/>
      <c r="W710" s="35"/>
      <c r="X710" s="35"/>
      <c r="Y710" s="35"/>
      <c r="Z710" s="35"/>
      <c r="AA710" s="35"/>
    </row>
    <row r="711" ht="14.25" customHeight="1">
      <c r="A711" s="136"/>
      <c r="B711" s="137"/>
      <c r="C711" s="251"/>
      <c r="D711" s="452"/>
      <c r="E711" s="136"/>
      <c r="F711" s="253"/>
      <c r="G711" s="526"/>
      <c r="H711" s="527"/>
      <c r="I711" s="527"/>
      <c r="J711" s="141"/>
      <c r="K711" s="141"/>
      <c r="L711" s="142"/>
      <c r="M711" s="142"/>
      <c r="N711" s="142"/>
      <c r="O711" s="142"/>
      <c r="P711" s="136"/>
      <c r="Q711" s="34"/>
      <c r="R711" s="35"/>
      <c r="S711" s="35"/>
      <c r="T711" s="35"/>
      <c r="U711" s="35"/>
      <c r="V711" s="35"/>
      <c r="W711" s="35"/>
      <c r="X711" s="35"/>
      <c r="Y711" s="35"/>
      <c r="Z711" s="35"/>
      <c r="AA711" s="35"/>
    </row>
    <row r="712" ht="14.25" customHeight="1">
      <c r="A712" s="136"/>
      <c r="B712" s="137"/>
      <c r="C712" s="251"/>
      <c r="D712" s="452"/>
      <c r="E712" s="136"/>
      <c r="F712" s="253"/>
      <c r="G712" s="526"/>
      <c r="H712" s="527"/>
      <c r="I712" s="527"/>
      <c r="J712" s="141"/>
      <c r="K712" s="141"/>
      <c r="L712" s="142"/>
      <c r="M712" s="142"/>
      <c r="N712" s="142"/>
      <c r="O712" s="142"/>
      <c r="P712" s="136"/>
      <c r="Q712" s="34"/>
      <c r="R712" s="35"/>
      <c r="S712" s="35"/>
      <c r="T712" s="35"/>
      <c r="U712" s="35"/>
      <c r="V712" s="35"/>
      <c r="W712" s="35"/>
      <c r="X712" s="35"/>
      <c r="Y712" s="35"/>
      <c r="Z712" s="35"/>
      <c r="AA712" s="35"/>
    </row>
    <row r="713" ht="14.25" customHeight="1">
      <c r="A713" s="136"/>
      <c r="B713" s="137"/>
      <c r="C713" s="251"/>
      <c r="D713" s="452"/>
      <c r="E713" s="136"/>
      <c r="F713" s="253"/>
      <c r="G713" s="526"/>
      <c r="H713" s="527"/>
      <c r="I713" s="527"/>
      <c r="J713" s="141"/>
      <c r="K713" s="141"/>
      <c r="L713" s="142"/>
      <c r="M713" s="142"/>
      <c r="N713" s="142"/>
      <c r="O713" s="142"/>
      <c r="P713" s="136"/>
      <c r="Q713" s="34"/>
      <c r="R713" s="35"/>
      <c r="S713" s="35"/>
      <c r="T713" s="35"/>
      <c r="U713" s="35"/>
      <c r="V713" s="35"/>
      <c r="W713" s="35"/>
      <c r="X713" s="35"/>
      <c r="Y713" s="35"/>
      <c r="Z713" s="35"/>
      <c r="AA713" s="35"/>
    </row>
    <row r="714" ht="14.25" customHeight="1">
      <c r="A714" s="136"/>
      <c r="B714" s="137"/>
      <c r="C714" s="251"/>
      <c r="D714" s="452"/>
      <c r="E714" s="136"/>
      <c r="F714" s="253"/>
      <c r="G714" s="526"/>
      <c r="H714" s="527"/>
      <c r="I714" s="527"/>
      <c r="J714" s="141"/>
      <c r="K714" s="141"/>
      <c r="L714" s="142"/>
      <c r="M714" s="142"/>
      <c r="N714" s="142"/>
      <c r="O714" s="142"/>
      <c r="P714" s="136"/>
      <c r="Q714" s="34"/>
      <c r="R714" s="35"/>
      <c r="S714" s="35"/>
      <c r="T714" s="35"/>
      <c r="U714" s="35"/>
      <c r="V714" s="35"/>
      <c r="W714" s="35"/>
      <c r="X714" s="35"/>
      <c r="Y714" s="35"/>
      <c r="Z714" s="35"/>
      <c r="AA714" s="35"/>
    </row>
    <row r="715" ht="14.25" customHeight="1">
      <c r="A715" s="136"/>
      <c r="B715" s="137"/>
      <c r="C715" s="251"/>
      <c r="D715" s="452"/>
      <c r="E715" s="136"/>
      <c r="F715" s="253"/>
      <c r="G715" s="526"/>
      <c r="H715" s="527"/>
      <c r="I715" s="527"/>
      <c r="J715" s="141"/>
      <c r="K715" s="141"/>
      <c r="L715" s="142"/>
      <c r="M715" s="142"/>
      <c r="N715" s="142"/>
      <c r="O715" s="142"/>
      <c r="P715" s="136"/>
      <c r="Q715" s="34"/>
      <c r="R715" s="35"/>
      <c r="S715" s="35"/>
      <c r="T715" s="35"/>
      <c r="U715" s="35"/>
      <c r="V715" s="35"/>
      <c r="W715" s="35"/>
      <c r="X715" s="35"/>
      <c r="Y715" s="35"/>
      <c r="Z715" s="35"/>
      <c r="AA715" s="35"/>
    </row>
    <row r="716" ht="14.25" customHeight="1">
      <c r="A716" s="136"/>
      <c r="B716" s="137"/>
      <c r="C716" s="251"/>
      <c r="D716" s="452"/>
      <c r="E716" s="136"/>
      <c r="F716" s="253"/>
      <c r="G716" s="526"/>
      <c r="H716" s="527"/>
      <c r="I716" s="527"/>
      <c r="J716" s="141"/>
      <c r="K716" s="141"/>
      <c r="L716" s="142"/>
      <c r="M716" s="142"/>
      <c r="N716" s="142"/>
      <c r="O716" s="142"/>
      <c r="P716" s="136"/>
      <c r="Q716" s="34"/>
      <c r="R716" s="35"/>
      <c r="S716" s="35"/>
      <c r="T716" s="35"/>
      <c r="U716" s="35"/>
      <c r="V716" s="35"/>
      <c r="W716" s="35"/>
      <c r="X716" s="35"/>
      <c r="Y716" s="35"/>
      <c r="Z716" s="35"/>
      <c r="AA716" s="35"/>
    </row>
    <row r="717" ht="14.25" customHeight="1">
      <c r="A717" s="136"/>
      <c r="B717" s="137"/>
      <c r="C717" s="251"/>
      <c r="D717" s="452"/>
      <c r="E717" s="136"/>
      <c r="F717" s="253"/>
      <c r="G717" s="526"/>
      <c r="H717" s="527"/>
      <c r="I717" s="527"/>
      <c r="J717" s="141"/>
      <c r="K717" s="141"/>
      <c r="L717" s="142"/>
      <c r="M717" s="142"/>
      <c r="N717" s="142"/>
      <c r="O717" s="142"/>
      <c r="P717" s="136"/>
      <c r="Q717" s="34"/>
      <c r="R717" s="35"/>
      <c r="S717" s="35"/>
      <c r="T717" s="35"/>
      <c r="U717" s="35"/>
      <c r="V717" s="35"/>
      <c r="W717" s="35"/>
      <c r="X717" s="35"/>
      <c r="Y717" s="35"/>
      <c r="Z717" s="35"/>
      <c r="AA717" s="35"/>
    </row>
    <row r="718" ht="14.25" customHeight="1">
      <c r="A718" s="136"/>
      <c r="B718" s="137"/>
      <c r="C718" s="251"/>
      <c r="D718" s="452"/>
      <c r="E718" s="136"/>
      <c r="F718" s="253"/>
      <c r="G718" s="526"/>
      <c r="H718" s="527"/>
      <c r="I718" s="527"/>
      <c r="J718" s="141"/>
      <c r="K718" s="141"/>
      <c r="L718" s="142"/>
      <c r="M718" s="142"/>
      <c r="N718" s="142"/>
      <c r="O718" s="142"/>
      <c r="P718" s="136"/>
      <c r="Q718" s="34"/>
      <c r="R718" s="35"/>
      <c r="S718" s="35"/>
      <c r="T718" s="35"/>
      <c r="U718" s="35"/>
      <c r="V718" s="35"/>
      <c r="W718" s="35"/>
      <c r="X718" s="35"/>
      <c r="Y718" s="35"/>
      <c r="Z718" s="35"/>
      <c r="AA718" s="35"/>
    </row>
    <row r="719" ht="14.25" customHeight="1">
      <c r="A719" s="136"/>
      <c r="B719" s="137"/>
      <c r="C719" s="251"/>
      <c r="D719" s="452"/>
      <c r="E719" s="136"/>
      <c r="F719" s="253"/>
      <c r="G719" s="526"/>
      <c r="H719" s="527"/>
      <c r="I719" s="527"/>
      <c r="J719" s="141"/>
      <c r="K719" s="141"/>
      <c r="L719" s="142"/>
      <c r="M719" s="142"/>
      <c r="N719" s="142"/>
      <c r="O719" s="142"/>
      <c r="P719" s="136"/>
      <c r="Q719" s="34"/>
      <c r="R719" s="35"/>
      <c r="S719" s="35"/>
      <c r="T719" s="35"/>
      <c r="U719" s="35"/>
      <c r="V719" s="35"/>
      <c r="W719" s="35"/>
      <c r="X719" s="35"/>
      <c r="Y719" s="35"/>
      <c r="Z719" s="35"/>
      <c r="AA719" s="35"/>
    </row>
    <row r="720" ht="14.25" customHeight="1">
      <c r="A720" s="136"/>
      <c r="B720" s="137"/>
      <c r="C720" s="251"/>
      <c r="D720" s="452"/>
      <c r="E720" s="136"/>
      <c r="F720" s="253"/>
      <c r="G720" s="526"/>
      <c r="H720" s="527"/>
      <c r="I720" s="527"/>
      <c r="J720" s="141"/>
      <c r="K720" s="141"/>
      <c r="L720" s="142"/>
      <c r="M720" s="142"/>
      <c r="N720" s="142"/>
      <c r="O720" s="142"/>
      <c r="P720" s="136"/>
      <c r="Q720" s="34"/>
      <c r="R720" s="35"/>
      <c r="S720" s="35"/>
      <c r="T720" s="35"/>
      <c r="U720" s="35"/>
      <c r="V720" s="35"/>
      <c r="W720" s="35"/>
      <c r="X720" s="35"/>
      <c r="Y720" s="35"/>
      <c r="Z720" s="35"/>
      <c r="AA720" s="35"/>
    </row>
    <row r="721" ht="14.25" customHeight="1">
      <c r="A721" s="136"/>
      <c r="B721" s="137"/>
      <c r="C721" s="251"/>
      <c r="D721" s="452"/>
      <c r="E721" s="136"/>
      <c r="F721" s="253"/>
      <c r="G721" s="526"/>
      <c r="H721" s="527"/>
      <c r="I721" s="527"/>
      <c r="J721" s="141"/>
      <c r="K721" s="141"/>
      <c r="L721" s="142"/>
      <c r="M721" s="142"/>
      <c r="N721" s="142"/>
      <c r="O721" s="142"/>
      <c r="P721" s="136"/>
      <c r="Q721" s="34"/>
      <c r="R721" s="35"/>
      <c r="S721" s="35"/>
      <c r="T721" s="35"/>
      <c r="U721" s="35"/>
      <c r="V721" s="35"/>
      <c r="W721" s="35"/>
      <c r="X721" s="35"/>
      <c r="Y721" s="35"/>
      <c r="Z721" s="35"/>
      <c r="AA721" s="35"/>
    </row>
    <row r="722" ht="14.25" customHeight="1">
      <c r="A722" s="136"/>
      <c r="B722" s="137"/>
      <c r="C722" s="251"/>
      <c r="D722" s="452"/>
      <c r="E722" s="136"/>
      <c r="F722" s="253"/>
      <c r="G722" s="526"/>
      <c r="H722" s="527"/>
      <c r="I722" s="527"/>
      <c r="J722" s="141"/>
      <c r="K722" s="141"/>
      <c r="L722" s="142"/>
      <c r="M722" s="142"/>
      <c r="N722" s="142"/>
      <c r="O722" s="142"/>
      <c r="P722" s="136"/>
      <c r="Q722" s="34"/>
      <c r="R722" s="35"/>
      <c r="S722" s="35"/>
      <c r="T722" s="35"/>
      <c r="U722" s="35"/>
      <c r="V722" s="35"/>
      <c r="W722" s="35"/>
      <c r="X722" s="35"/>
      <c r="Y722" s="35"/>
      <c r="Z722" s="35"/>
      <c r="AA722" s="35"/>
    </row>
    <row r="723" ht="14.25" customHeight="1">
      <c r="A723" s="136"/>
      <c r="B723" s="137"/>
      <c r="C723" s="251"/>
      <c r="D723" s="452"/>
      <c r="E723" s="136"/>
      <c r="F723" s="253"/>
      <c r="G723" s="526"/>
      <c r="H723" s="527"/>
      <c r="I723" s="527"/>
      <c r="J723" s="141"/>
      <c r="K723" s="141"/>
      <c r="L723" s="142"/>
      <c r="M723" s="142"/>
      <c r="N723" s="142"/>
      <c r="O723" s="142"/>
      <c r="P723" s="136"/>
      <c r="Q723" s="34"/>
      <c r="R723" s="35"/>
      <c r="S723" s="35"/>
      <c r="T723" s="35"/>
      <c r="U723" s="35"/>
      <c r="V723" s="35"/>
      <c r="W723" s="35"/>
      <c r="X723" s="35"/>
      <c r="Y723" s="35"/>
      <c r="Z723" s="35"/>
      <c r="AA723" s="35"/>
    </row>
    <row r="724" ht="14.25" customHeight="1">
      <c r="A724" s="136"/>
      <c r="B724" s="137"/>
      <c r="C724" s="251"/>
      <c r="D724" s="452"/>
      <c r="E724" s="136"/>
      <c r="F724" s="253"/>
      <c r="G724" s="526"/>
      <c r="H724" s="527"/>
      <c r="I724" s="527"/>
      <c r="J724" s="141"/>
      <c r="K724" s="141"/>
      <c r="L724" s="142"/>
      <c r="M724" s="142"/>
      <c r="N724" s="142"/>
      <c r="O724" s="142"/>
      <c r="P724" s="136"/>
      <c r="Q724" s="34"/>
      <c r="R724" s="35"/>
      <c r="S724" s="35"/>
      <c r="T724" s="35"/>
      <c r="U724" s="35"/>
      <c r="V724" s="35"/>
      <c r="W724" s="35"/>
      <c r="X724" s="35"/>
      <c r="Y724" s="35"/>
      <c r="Z724" s="35"/>
      <c r="AA724" s="35"/>
    </row>
    <row r="725" ht="14.25" customHeight="1">
      <c r="A725" s="136"/>
      <c r="B725" s="137"/>
      <c r="C725" s="251"/>
      <c r="D725" s="452"/>
      <c r="E725" s="136"/>
      <c r="F725" s="253"/>
      <c r="G725" s="526"/>
      <c r="H725" s="527"/>
      <c r="I725" s="527"/>
      <c r="J725" s="141"/>
      <c r="K725" s="141"/>
      <c r="L725" s="142"/>
      <c r="M725" s="142"/>
      <c r="N725" s="142"/>
      <c r="O725" s="142"/>
      <c r="P725" s="136"/>
      <c r="Q725" s="34"/>
      <c r="R725" s="35"/>
      <c r="S725" s="35"/>
      <c r="T725" s="35"/>
      <c r="U725" s="35"/>
      <c r="V725" s="35"/>
      <c r="W725" s="35"/>
      <c r="X725" s="35"/>
      <c r="Y725" s="35"/>
      <c r="Z725" s="35"/>
      <c r="AA725" s="35"/>
    </row>
    <row r="726" ht="14.25" customHeight="1">
      <c r="A726" s="136"/>
      <c r="B726" s="137"/>
      <c r="C726" s="251"/>
      <c r="D726" s="452"/>
      <c r="E726" s="136"/>
      <c r="F726" s="253"/>
      <c r="G726" s="526"/>
      <c r="H726" s="527"/>
      <c r="I726" s="527"/>
      <c r="J726" s="141"/>
      <c r="K726" s="141"/>
      <c r="L726" s="142"/>
      <c r="M726" s="142"/>
      <c r="N726" s="142"/>
      <c r="O726" s="142"/>
      <c r="P726" s="136"/>
      <c r="Q726" s="34"/>
      <c r="R726" s="35"/>
      <c r="S726" s="35"/>
      <c r="T726" s="35"/>
      <c r="U726" s="35"/>
      <c r="V726" s="35"/>
      <c r="W726" s="35"/>
      <c r="X726" s="35"/>
      <c r="Y726" s="35"/>
      <c r="Z726" s="35"/>
      <c r="AA726" s="35"/>
    </row>
    <row r="727" ht="14.25" customHeight="1">
      <c r="A727" s="136"/>
      <c r="B727" s="137"/>
      <c r="C727" s="251"/>
      <c r="D727" s="452"/>
      <c r="E727" s="136"/>
      <c r="F727" s="253"/>
      <c r="G727" s="526"/>
      <c r="H727" s="527"/>
      <c r="I727" s="527"/>
      <c r="J727" s="141"/>
      <c r="K727" s="141"/>
      <c r="L727" s="142"/>
      <c r="M727" s="142"/>
      <c r="N727" s="142"/>
      <c r="O727" s="142"/>
      <c r="P727" s="136"/>
      <c r="Q727" s="34"/>
      <c r="R727" s="35"/>
      <c r="S727" s="35"/>
      <c r="T727" s="35"/>
      <c r="U727" s="35"/>
      <c r="V727" s="35"/>
      <c r="W727" s="35"/>
      <c r="X727" s="35"/>
      <c r="Y727" s="35"/>
      <c r="Z727" s="35"/>
      <c r="AA727" s="35"/>
    </row>
    <row r="728" ht="14.25" customHeight="1">
      <c r="A728" s="136"/>
      <c r="B728" s="137"/>
      <c r="C728" s="251"/>
      <c r="D728" s="452"/>
      <c r="E728" s="136"/>
      <c r="F728" s="253"/>
      <c r="G728" s="526"/>
      <c r="H728" s="527"/>
      <c r="I728" s="527"/>
      <c r="J728" s="141"/>
      <c r="K728" s="141"/>
      <c r="L728" s="142"/>
      <c r="M728" s="142"/>
      <c r="N728" s="142"/>
      <c r="O728" s="142"/>
      <c r="P728" s="136"/>
      <c r="Q728" s="34"/>
      <c r="R728" s="35"/>
      <c r="S728" s="35"/>
      <c r="T728" s="35"/>
      <c r="U728" s="35"/>
      <c r="V728" s="35"/>
      <c r="W728" s="35"/>
      <c r="X728" s="35"/>
      <c r="Y728" s="35"/>
      <c r="Z728" s="35"/>
      <c r="AA728" s="35"/>
    </row>
    <row r="729" ht="14.25" customHeight="1">
      <c r="A729" s="136"/>
      <c r="B729" s="137"/>
      <c r="C729" s="251"/>
      <c r="D729" s="452"/>
      <c r="E729" s="136"/>
      <c r="F729" s="253"/>
      <c r="G729" s="526"/>
      <c r="H729" s="527"/>
      <c r="I729" s="527"/>
      <c r="J729" s="141"/>
      <c r="K729" s="141"/>
      <c r="L729" s="142"/>
      <c r="M729" s="142"/>
      <c r="N729" s="142"/>
      <c r="O729" s="142"/>
      <c r="P729" s="136"/>
      <c r="Q729" s="34"/>
      <c r="R729" s="35"/>
      <c r="S729" s="35"/>
      <c r="T729" s="35"/>
      <c r="U729" s="35"/>
      <c r="V729" s="35"/>
      <c r="W729" s="35"/>
      <c r="X729" s="35"/>
      <c r="Y729" s="35"/>
      <c r="Z729" s="35"/>
      <c r="AA729" s="35"/>
    </row>
    <row r="730" ht="14.25" customHeight="1">
      <c r="A730" s="136"/>
      <c r="B730" s="137"/>
      <c r="C730" s="251"/>
      <c r="D730" s="452"/>
      <c r="E730" s="136"/>
      <c r="F730" s="253"/>
      <c r="G730" s="526"/>
      <c r="H730" s="527"/>
      <c r="I730" s="527"/>
      <c r="J730" s="141"/>
      <c r="K730" s="141"/>
      <c r="L730" s="142"/>
      <c r="M730" s="142"/>
      <c r="N730" s="142"/>
      <c r="O730" s="142"/>
      <c r="P730" s="136"/>
      <c r="Q730" s="34"/>
      <c r="R730" s="35"/>
      <c r="S730" s="35"/>
      <c r="T730" s="35"/>
      <c r="U730" s="35"/>
      <c r="V730" s="35"/>
      <c r="W730" s="35"/>
      <c r="X730" s="35"/>
      <c r="Y730" s="35"/>
      <c r="Z730" s="35"/>
      <c r="AA730" s="35"/>
    </row>
    <row r="731" ht="14.25" customHeight="1">
      <c r="A731" s="136"/>
      <c r="B731" s="137"/>
      <c r="C731" s="251"/>
      <c r="D731" s="452"/>
      <c r="E731" s="136"/>
      <c r="F731" s="253"/>
      <c r="G731" s="526"/>
      <c r="H731" s="527"/>
      <c r="I731" s="527"/>
      <c r="J731" s="141"/>
      <c r="K731" s="141"/>
      <c r="L731" s="142"/>
      <c r="M731" s="142"/>
      <c r="N731" s="142"/>
      <c r="O731" s="142"/>
      <c r="P731" s="136"/>
      <c r="Q731" s="34"/>
      <c r="R731" s="35"/>
      <c r="S731" s="35"/>
      <c r="T731" s="35"/>
      <c r="U731" s="35"/>
      <c r="V731" s="35"/>
      <c r="W731" s="35"/>
      <c r="X731" s="35"/>
      <c r="Y731" s="35"/>
      <c r="Z731" s="35"/>
      <c r="AA731" s="35"/>
    </row>
    <row r="732" ht="14.25" customHeight="1">
      <c r="A732" s="136"/>
      <c r="B732" s="137"/>
      <c r="C732" s="251"/>
      <c r="D732" s="452"/>
      <c r="E732" s="136"/>
      <c r="F732" s="253"/>
      <c r="G732" s="526"/>
      <c r="H732" s="527"/>
      <c r="I732" s="527"/>
      <c r="J732" s="141"/>
      <c r="K732" s="141"/>
      <c r="L732" s="142"/>
      <c r="M732" s="142"/>
      <c r="N732" s="142"/>
      <c r="O732" s="142"/>
      <c r="P732" s="136"/>
      <c r="Q732" s="34"/>
      <c r="R732" s="35"/>
      <c r="S732" s="35"/>
      <c r="T732" s="35"/>
      <c r="U732" s="35"/>
      <c r="V732" s="35"/>
      <c r="W732" s="35"/>
      <c r="X732" s="35"/>
      <c r="Y732" s="35"/>
      <c r="Z732" s="35"/>
      <c r="AA732" s="35"/>
    </row>
    <row r="733" ht="14.25" customHeight="1">
      <c r="A733" s="136"/>
      <c r="B733" s="137"/>
      <c r="C733" s="251"/>
      <c r="D733" s="452"/>
      <c r="E733" s="136"/>
      <c r="F733" s="253"/>
      <c r="G733" s="526"/>
      <c r="H733" s="527"/>
      <c r="I733" s="527"/>
      <c r="J733" s="141"/>
      <c r="K733" s="141"/>
      <c r="L733" s="142"/>
      <c r="M733" s="142"/>
      <c r="N733" s="142"/>
      <c r="O733" s="142"/>
      <c r="P733" s="136"/>
      <c r="Q733" s="34"/>
      <c r="R733" s="35"/>
      <c r="S733" s="35"/>
      <c r="T733" s="35"/>
      <c r="U733" s="35"/>
      <c r="V733" s="35"/>
      <c r="W733" s="35"/>
      <c r="X733" s="35"/>
      <c r="Y733" s="35"/>
      <c r="Z733" s="35"/>
      <c r="AA733" s="35"/>
    </row>
    <row r="734" ht="14.25" customHeight="1">
      <c r="A734" s="136"/>
      <c r="B734" s="137"/>
      <c r="C734" s="251"/>
      <c r="D734" s="452"/>
      <c r="E734" s="136"/>
      <c r="F734" s="253"/>
      <c r="G734" s="526"/>
      <c r="H734" s="527"/>
      <c r="I734" s="527"/>
      <c r="J734" s="141"/>
      <c r="K734" s="141"/>
      <c r="L734" s="142"/>
      <c r="M734" s="142"/>
      <c r="N734" s="142"/>
      <c r="O734" s="142"/>
      <c r="P734" s="136"/>
      <c r="Q734" s="34"/>
      <c r="R734" s="35"/>
      <c r="S734" s="35"/>
      <c r="T734" s="35"/>
      <c r="U734" s="35"/>
      <c r="V734" s="35"/>
      <c r="W734" s="35"/>
      <c r="X734" s="35"/>
      <c r="Y734" s="35"/>
      <c r="Z734" s="35"/>
      <c r="AA734" s="35"/>
    </row>
    <row r="735" ht="14.25" customHeight="1">
      <c r="A735" s="136"/>
      <c r="B735" s="137"/>
      <c r="C735" s="251"/>
      <c r="D735" s="452"/>
      <c r="E735" s="136"/>
      <c r="F735" s="253"/>
      <c r="G735" s="526"/>
      <c r="H735" s="527"/>
      <c r="I735" s="527"/>
      <c r="J735" s="141"/>
      <c r="K735" s="141"/>
      <c r="L735" s="142"/>
      <c r="M735" s="142"/>
      <c r="N735" s="142"/>
      <c r="O735" s="142"/>
      <c r="P735" s="136"/>
      <c r="Q735" s="34"/>
      <c r="R735" s="35"/>
      <c r="S735" s="35"/>
      <c r="T735" s="35"/>
      <c r="U735" s="35"/>
      <c r="V735" s="35"/>
      <c r="W735" s="35"/>
      <c r="X735" s="35"/>
      <c r="Y735" s="35"/>
      <c r="Z735" s="35"/>
      <c r="AA735" s="35"/>
    </row>
    <row r="736" ht="14.25" customHeight="1">
      <c r="A736" s="136"/>
      <c r="B736" s="137"/>
      <c r="C736" s="251"/>
      <c r="D736" s="452"/>
      <c r="E736" s="136"/>
      <c r="F736" s="253"/>
      <c r="G736" s="526"/>
      <c r="H736" s="527"/>
      <c r="I736" s="527"/>
      <c r="J736" s="141"/>
      <c r="K736" s="141"/>
      <c r="L736" s="142"/>
      <c r="M736" s="142"/>
      <c r="N736" s="142"/>
      <c r="O736" s="142"/>
      <c r="P736" s="136"/>
      <c r="Q736" s="34"/>
      <c r="R736" s="35"/>
      <c r="S736" s="35"/>
      <c r="T736" s="35"/>
      <c r="U736" s="35"/>
      <c r="V736" s="35"/>
      <c r="W736" s="35"/>
      <c r="X736" s="35"/>
      <c r="Y736" s="35"/>
      <c r="Z736" s="35"/>
      <c r="AA736" s="35"/>
    </row>
    <row r="737" ht="14.25" customHeight="1">
      <c r="A737" s="136"/>
      <c r="B737" s="137"/>
      <c r="C737" s="251"/>
      <c r="D737" s="452"/>
      <c r="E737" s="136"/>
      <c r="F737" s="253"/>
      <c r="G737" s="526"/>
      <c r="H737" s="527"/>
      <c r="I737" s="527"/>
      <c r="J737" s="141"/>
      <c r="K737" s="141"/>
      <c r="L737" s="142"/>
      <c r="M737" s="142"/>
      <c r="N737" s="142"/>
      <c r="O737" s="142"/>
      <c r="P737" s="136"/>
      <c r="Q737" s="34"/>
      <c r="R737" s="35"/>
      <c r="S737" s="35"/>
      <c r="T737" s="35"/>
      <c r="U737" s="35"/>
      <c r="V737" s="35"/>
      <c r="W737" s="35"/>
      <c r="X737" s="35"/>
      <c r="Y737" s="35"/>
      <c r="Z737" s="35"/>
      <c r="AA737" s="35"/>
    </row>
    <row r="738" ht="14.25" customHeight="1">
      <c r="A738" s="136"/>
      <c r="B738" s="137"/>
      <c r="C738" s="251"/>
      <c r="D738" s="452"/>
      <c r="E738" s="136"/>
      <c r="F738" s="253"/>
      <c r="G738" s="526"/>
      <c r="H738" s="527"/>
      <c r="I738" s="527"/>
      <c r="J738" s="141"/>
      <c r="K738" s="141"/>
      <c r="L738" s="142"/>
      <c r="M738" s="142"/>
      <c r="N738" s="142"/>
      <c r="O738" s="142"/>
      <c r="P738" s="136"/>
      <c r="Q738" s="34"/>
      <c r="R738" s="35"/>
      <c r="S738" s="35"/>
      <c r="T738" s="35"/>
      <c r="U738" s="35"/>
      <c r="V738" s="35"/>
      <c r="W738" s="35"/>
      <c r="X738" s="35"/>
      <c r="Y738" s="35"/>
      <c r="Z738" s="35"/>
      <c r="AA738" s="35"/>
    </row>
    <row r="739" ht="14.25" customHeight="1">
      <c r="A739" s="136"/>
      <c r="B739" s="137"/>
      <c r="C739" s="251"/>
      <c r="D739" s="452"/>
      <c r="E739" s="136"/>
      <c r="F739" s="253"/>
      <c r="G739" s="526"/>
      <c r="H739" s="527"/>
      <c r="I739" s="527"/>
      <c r="J739" s="141"/>
      <c r="K739" s="141"/>
      <c r="L739" s="142"/>
      <c r="M739" s="142"/>
      <c r="N739" s="142"/>
      <c r="O739" s="142"/>
      <c r="P739" s="136"/>
      <c r="Q739" s="34"/>
      <c r="R739" s="35"/>
      <c r="S739" s="35"/>
      <c r="T739" s="35"/>
      <c r="U739" s="35"/>
      <c r="V739" s="35"/>
      <c r="W739" s="35"/>
      <c r="X739" s="35"/>
      <c r="Y739" s="35"/>
      <c r="Z739" s="35"/>
      <c r="AA739" s="35"/>
    </row>
    <row r="740" ht="14.25" customHeight="1">
      <c r="A740" s="136"/>
      <c r="B740" s="137"/>
      <c r="C740" s="251"/>
      <c r="D740" s="452"/>
      <c r="E740" s="136"/>
      <c r="F740" s="253"/>
      <c r="G740" s="526"/>
      <c r="H740" s="527"/>
      <c r="I740" s="527"/>
      <c r="J740" s="141"/>
      <c r="K740" s="141"/>
      <c r="L740" s="142"/>
      <c r="M740" s="142"/>
      <c r="N740" s="142"/>
      <c r="O740" s="142"/>
      <c r="P740" s="136"/>
      <c r="Q740" s="34"/>
      <c r="R740" s="35"/>
      <c r="S740" s="35"/>
      <c r="T740" s="35"/>
      <c r="U740" s="35"/>
      <c r="V740" s="35"/>
      <c r="W740" s="35"/>
      <c r="X740" s="35"/>
      <c r="Y740" s="35"/>
      <c r="Z740" s="35"/>
      <c r="AA740" s="35"/>
    </row>
    <row r="741" ht="14.25" customHeight="1">
      <c r="A741" s="136"/>
      <c r="B741" s="137"/>
      <c r="C741" s="251"/>
      <c r="D741" s="452"/>
      <c r="E741" s="136"/>
      <c r="F741" s="253"/>
      <c r="G741" s="526"/>
      <c r="H741" s="527"/>
      <c r="I741" s="527"/>
      <c r="J741" s="141"/>
      <c r="K741" s="141"/>
      <c r="L741" s="142"/>
      <c r="M741" s="142"/>
      <c r="N741" s="142"/>
      <c r="O741" s="142"/>
      <c r="P741" s="136"/>
      <c r="Q741" s="34"/>
      <c r="R741" s="35"/>
      <c r="S741" s="35"/>
      <c r="T741" s="35"/>
      <c r="U741" s="35"/>
      <c r="V741" s="35"/>
      <c r="W741" s="35"/>
      <c r="X741" s="35"/>
      <c r="Y741" s="35"/>
      <c r="Z741" s="35"/>
      <c r="AA741" s="35"/>
    </row>
    <row r="742" ht="14.25" customHeight="1">
      <c r="A742" s="136"/>
      <c r="B742" s="137"/>
      <c r="C742" s="251"/>
      <c r="D742" s="452"/>
      <c r="E742" s="136"/>
      <c r="F742" s="253"/>
      <c r="G742" s="526"/>
      <c r="H742" s="527"/>
      <c r="I742" s="527"/>
      <c r="J742" s="141"/>
      <c r="K742" s="141"/>
      <c r="L742" s="142"/>
      <c r="M742" s="142"/>
      <c r="N742" s="142"/>
      <c r="O742" s="142"/>
      <c r="P742" s="136"/>
      <c r="Q742" s="34"/>
      <c r="R742" s="35"/>
      <c r="S742" s="35"/>
      <c r="T742" s="35"/>
      <c r="U742" s="35"/>
      <c r="V742" s="35"/>
      <c r="W742" s="35"/>
      <c r="X742" s="35"/>
      <c r="Y742" s="35"/>
      <c r="Z742" s="35"/>
      <c r="AA742" s="35"/>
    </row>
    <row r="743" ht="14.25" customHeight="1">
      <c r="A743" s="136"/>
      <c r="B743" s="137"/>
      <c r="C743" s="251"/>
      <c r="D743" s="452"/>
      <c r="E743" s="136"/>
      <c r="F743" s="253"/>
      <c r="G743" s="526"/>
      <c r="H743" s="527"/>
      <c r="I743" s="527"/>
      <c r="J743" s="141"/>
      <c r="K743" s="141"/>
      <c r="L743" s="142"/>
      <c r="M743" s="142"/>
      <c r="N743" s="142"/>
      <c r="O743" s="142"/>
      <c r="P743" s="136"/>
      <c r="Q743" s="34"/>
      <c r="R743" s="35"/>
      <c r="S743" s="35"/>
      <c r="T743" s="35"/>
      <c r="U743" s="35"/>
      <c r="V743" s="35"/>
      <c r="W743" s="35"/>
      <c r="X743" s="35"/>
      <c r="Y743" s="35"/>
      <c r="Z743" s="35"/>
      <c r="AA743" s="35"/>
    </row>
    <row r="744" ht="14.25" customHeight="1">
      <c r="A744" s="136"/>
      <c r="B744" s="137"/>
      <c r="C744" s="251"/>
      <c r="D744" s="452"/>
      <c r="E744" s="136"/>
      <c r="F744" s="253"/>
      <c r="G744" s="526"/>
      <c r="H744" s="527"/>
      <c r="I744" s="527"/>
      <c r="J744" s="141"/>
      <c r="K744" s="141"/>
      <c r="L744" s="142"/>
      <c r="M744" s="142"/>
      <c r="N744" s="142"/>
      <c r="O744" s="142"/>
      <c r="P744" s="136"/>
      <c r="Q744" s="34"/>
      <c r="R744" s="35"/>
      <c r="S744" s="35"/>
      <c r="T744" s="35"/>
      <c r="U744" s="35"/>
      <c r="V744" s="35"/>
      <c r="W744" s="35"/>
      <c r="X744" s="35"/>
      <c r="Y744" s="35"/>
      <c r="Z744" s="35"/>
      <c r="AA744" s="35"/>
    </row>
    <row r="745" ht="14.25" customHeight="1">
      <c r="A745" s="136"/>
      <c r="B745" s="137"/>
      <c r="C745" s="251"/>
      <c r="D745" s="452"/>
      <c r="E745" s="136"/>
      <c r="F745" s="253"/>
      <c r="G745" s="526"/>
      <c r="H745" s="527"/>
      <c r="I745" s="527"/>
      <c r="J745" s="141"/>
      <c r="K745" s="141"/>
      <c r="L745" s="142"/>
      <c r="M745" s="142"/>
      <c r="N745" s="142"/>
      <c r="O745" s="142"/>
      <c r="P745" s="136"/>
      <c r="Q745" s="34"/>
      <c r="R745" s="35"/>
      <c r="S745" s="35"/>
      <c r="T745" s="35"/>
      <c r="U745" s="35"/>
      <c r="V745" s="35"/>
      <c r="W745" s="35"/>
      <c r="X745" s="35"/>
      <c r="Y745" s="35"/>
      <c r="Z745" s="35"/>
      <c r="AA745" s="35"/>
    </row>
    <row r="746" ht="14.25" customHeight="1">
      <c r="A746" s="136"/>
      <c r="B746" s="137"/>
      <c r="C746" s="251"/>
      <c r="D746" s="452"/>
      <c r="E746" s="136"/>
      <c r="F746" s="253"/>
      <c r="G746" s="526"/>
      <c r="H746" s="527"/>
      <c r="I746" s="527"/>
      <c r="J746" s="141"/>
      <c r="K746" s="141"/>
      <c r="L746" s="142"/>
      <c r="M746" s="142"/>
      <c r="N746" s="142"/>
      <c r="O746" s="142"/>
      <c r="P746" s="136"/>
      <c r="Q746" s="34"/>
      <c r="R746" s="35"/>
      <c r="S746" s="35"/>
      <c r="T746" s="35"/>
      <c r="U746" s="35"/>
      <c r="V746" s="35"/>
      <c r="W746" s="35"/>
      <c r="X746" s="35"/>
      <c r="Y746" s="35"/>
      <c r="Z746" s="35"/>
      <c r="AA746" s="35"/>
    </row>
    <row r="747" ht="14.25" customHeight="1">
      <c r="A747" s="136"/>
      <c r="B747" s="137"/>
      <c r="C747" s="251"/>
      <c r="D747" s="452"/>
      <c r="E747" s="136"/>
      <c r="F747" s="253"/>
      <c r="G747" s="526"/>
      <c r="H747" s="527"/>
      <c r="I747" s="527"/>
      <c r="J747" s="141"/>
      <c r="K747" s="141"/>
      <c r="L747" s="142"/>
      <c r="M747" s="142"/>
      <c r="N747" s="142"/>
      <c r="O747" s="142"/>
      <c r="P747" s="136"/>
      <c r="Q747" s="34"/>
      <c r="R747" s="35"/>
      <c r="S747" s="35"/>
      <c r="T747" s="35"/>
      <c r="U747" s="35"/>
      <c r="V747" s="35"/>
      <c r="W747" s="35"/>
      <c r="X747" s="35"/>
      <c r="Y747" s="35"/>
      <c r="Z747" s="35"/>
      <c r="AA747" s="35"/>
    </row>
    <row r="748" ht="14.25" customHeight="1">
      <c r="A748" s="136"/>
      <c r="B748" s="137"/>
      <c r="C748" s="251"/>
      <c r="D748" s="452"/>
      <c r="E748" s="136"/>
      <c r="F748" s="253"/>
      <c r="G748" s="526"/>
      <c r="H748" s="527"/>
      <c r="I748" s="527"/>
      <c r="J748" s="141"/>
      <c r="K748" s="141"/>
      <c r="L748" s="142"/>
      <c r="M748" s="142"/>
      <c r="N748" s="142"/>
      <c r="O748" s="142"/>
      <c r="P748" s="136"/>
      <c r="Q748" s="34"/>
      <c r="R748" s="35"/>
      <c r="S748" s="35"/>
      <c r="T748" s="35"/>
      <c r="U748" s="35"/>
      <c r="V748" s="35"/>
      <c r="W748" s="35"/>
      <c r="X748" s="35"/>
      <c r="Y748" s="35"/>
      <c r="Z748" s="35"/>
      <c r="AA748" s="35"/>
    </row>
    <row r="749" ht="14.25" customHeight="1">
      <c r="A749" s="136"/>
      <c r="B749" s="137"/>
      <c r="C749" s="251"/>
      <c r="D749" s="452"/>
      <c r="E749" s="136"/>
      <c r="F749" s="253"/>
      <c r="G749" s="526"/>
      <c r="H749" s="527"/>
      <c r="I749" s="527"/>
      <c r="J749" s="141"/>
      <c r="K749" s="141"/>
      <c r="L749" s="142"/>
      <c r="M749" s="142"/>
      <c r="N749" s="142"/>
      <c r="O749" s="142"/>
      <c r="P749" s="136"/>
      <c r="Q749" s="34"/>
      <c r="R749" s="35"/>
      <c r="S749" s="35"/>
      <c r="T749" s="35"/>
      <c r="U749" s="35"/>
      <c r="V749" s="35"/>
      <c r="W749" s="35"/>
      <c r="X749" s="35"/>
      <c r="Y749" s="35"/>
      <c r="Z749" s="35"/>
      <c r="AA749" s="35"/>
    </row>
    <row r="750" ht="14.25" customHeight="1">
      <c r="A750" s="136"/>
      <c r="B750" s="137"/>
      <c r="C750" s="251"/>
      <c r="D750" s="452"/>
      <c r="E750" s="136"/>
      <c r="F750" s="253"/>
      <c r="G750" s="526"/>
      <c r="H750" s="527"/>
      <c r="I750" s="527"/>
      <c r="J750" s="141"/>
      <c r="K750" s="141"/>
      <c r="L750" s="142"/>
      <c r="M750" s="142"/>
      <c r="N750" s="142"/>
      <c r="O750" s="142"/>
      <c r="P750" s="136"/>
      <c r="Q750" s="34"/>
      <c r="R750" s="35"/>
      <c r="S750" s="35"/>
      <c r="T750" s="35"/>
      <c r="U750" s="35"/>
      <c r="V750" s="35"/>
      <c r="W750" s="35"/>
      <c r="X750" s="35"/>
      <c r="Y750" s="35"/>
      <c r="Z750" s="35"/>
      <c r="AA750" s="35"/>
    </row>
    <row r="751" ht="14.25" customHeight="1">
      <c r="A751" s="136"/>
      <c r="B751" s="137"/>
      <c r="C751" s="251"/>
      <c r="D751" s="452"/>
      <c r="E751" s="136"/>
      <c r="F751" s="253"/>
      <c r="G751" s="526"/>
      <c r="H751" s="527"/>
      <c r="I751" s="527"/>
      <c r="J751" s="141"/>
      <c r="K751" s="141"/>
      <c r="L751" s="142"/>
      <c r="M751" s="142"/>
      <c r="N751" s="142"/>
      <c r="O751" s="142"/>
      <c r="P751" s="136"/>
      <c r="Q751" s="34"/>
      <c r="R751" s="35"/>
      <c r="S751" s="35"/>
      <c r="T751" s="35"/>
      <c r="U751" s="35"/>
      <c r="V751" s="35"/>
      <c r="W751" s="35"/>
      <c r="X751" s="35"/>
      <c r="Y751" s="35"/>
      <c r="Z751" s="35"/>
      <c r="AA751" s="35"/>
    </row>
    <row r="752" ht="14.25" customHeight="1">
      <c r="A752" s="136"/>
      <c r="B752" s="137"/>
      <c r="C752" s="251"/>
      <c r="D752" s="452"/>
      <c r="E752" s="136"/>
      <c r="F752" s="253"/>
      <c r="G752" s="526"/>
      <c r="H752" s="527"/>
      <c r="I752" s="527"/>
      <c r="J752" s="141"/>
      <c r="K752" s="141"/>
      <c r="L752" s="142"/>
      <c r="M752" s="142"/>
      <c r="N752" s="142"/>
      <c r="O752" s="142"/>
      <c r="P752" s="136"/>
      <c r="Q752" s="34"/>
      <c r="R752" s="35"/>
      <c r="S752" s="35"/>
      <c r="T752" s="35"/>
      <c r="U752" s="35"/>
      <c r="V752" s="35"/>
      <c r="W752" s="35"/>
      <c r="X752" s="35"/>
      <c r="Y752" s="35"/>
      <c r="Z752" s="35"/>
      <c r="AA752" s="35"/>
    </row>
    <row r="753" ht="14.25" customHeight="1">
      <c r="A753" s="136"/>
      <c r="B753" s="137"/>
      <c r="C753" s="251"/>
      <c r="D753" s="452"/>
      <c r="E753" s="136"/>
      <c r="F753" s="253"/>
      <c r="G753" s="526"/>
      <c r="H753" s="527"/>
      <c r="I753" s="527"/>
      <c r="J753" s="141"/>
      <c r="K753" s="141"/>
      <c r="L753" s="142"/>
      <c r="M753" s="142"/>
      <c r="N753" s="142"/>
      <c r="O753" s="142"/>
      <c r="P753" s="136"/>
      <c r="Q753" s="34"/>
      <c r="R753" s="35"/>
      <c r="S753" s="35"/>
      <c r="T753" s="35"/>
      <c r="U753" s="35"/>
      <c r="V753" s="35"/>
      <c r="W753" s="35"/>
      <c r="X753" s="35"/>
      <c r="Y753" s="35"/>
      <c r="Z753" s="35"/>
      <c r="AA753" s="35"/>
    </row>
    <row r="754" ht="14.25" customHeight="1">
      <c r="A754" s="136"/>
      <c r="B754" s="137"/>
      <c r="C754" s="251"/>
      <c r="D754" s="452"/>
      <c r="E754" s="136"/>
      <c r="F754" s="253"/>
      <c r="G754" s="526"/>
      <c r="H754" s="527"/>
      <c r="I754" s="527"/>
      <c r="J754" s="141"/>
      <c r="K754" s="141"/>
      <c r="L754" s="142"/>
      <c r="M754" s="142"/>
      <c r="N754" s="142"/>
      <c r="O754" s="142"/>
      <c r="P754" s="136"/>
      <c r="Q754" s="34"/>
      <c r="R754" s="35"/>
      <c r="S754" s="35"/>
      <c r="T754" s="35"/>
      <c r="U754" s="35"/>
      <c r="V754" s="35"/>
      <c r="W754" s="35"/>
      <c r="X754" s="35"/>
      <c r="Y754" s="35"/>
      <c r="Z754" s="35"/>
      <c r="AA754" s="35"/>
    </row>
    <row r="755" ht="14.25" customHeight="1">
      <c r="A755" s="136"/>
      <c r="B755" s="137"/>
      <c r="C755" s="251"/>
      <c r="D755" s="452"/>
      <c r="E755" s="136"/>
      <c r="F755" s="253"/>
      <c r="G755" s="526"/>
      <c r="H755" s="527"/>
      <c r="I755" s="527"/>
      <c r="J755" s="141"/>
      <c r="K755" s="141"/>
      <c r="L755" s="142"/>
      <c r="M755" s="142"/>
      <c r="N755" s="142"/>
      <c r="O755" s="142"/>
      <c r="P755" s="136"/>
      <c r="Q755" s="34"/>
      <c r="R755" s="35"/>
      <c r="S755" s="35"/>
      <c r="T755" s="35"/>
      <c r="U755" s="35"/>
      <c r="V755" s="35"/>
      <c r="W755" s="35"/>
      <c r="X755" s="35"/>
      <c r="Y755" s="35"/>
      <c r="Z755" s="35"/>
      <c r="AA755" s="35"/>
    </row>
    <row r="756" ht="14.25" customHeight="1">
      <c r="A756" s="136"/>
      <c r="B756" s="137"/>
      <c r="C756" s="251"/>
      <c r="D756" s="452"/>
      <c r="E756" s="136"/>
      <c r="F756" s="253"/>
      <c r="G756" s="526"/>
      <c r="H756" s="527"/>
      <c r="I756" s="527"/>
      <c r="J756" s="141"/>
      <c r="K756" s="141"/>
      <c r="L756" s="142"/>
      <c r="M756" s="142"/>
      <c r="N756" s="142"/>
      <c r="O756" s="142"/>
      <c r="P756" s="136"/>
      <c r="Q756" s="34"/>
      <c r="R756" s="35"/>
      <c r="S756" s="35"/>
      <c r="T756" s="35"/>
      <c r="U756" s="35"/>
      <c r="V756" s="35"/>
      <c r="W756" s="35"/>
      <c r="X756" s="35"/>
      <c r="Y756" s="35"/>
      <c r="Z756" s="35"/>
      <c r="AA756" s="35"/>
    </row>
    <row r="757" ht="14.25" customHeight="1">
      <c r="A757" s="136"/>
      <c r="B757" s="137"/>
      <c r="C757" s="251"/>
      <c r="D757" s="452"/>
      <c r="E757" s="136"/>
      <c r="F757" s="253"/>
      <c r="G757" s="526"/>
      <c r="H757" s="527"/>
      <c r="I757" s="527"/>
      <c r="J757" s="141"/>
      <c r="K757" s="141"/>
      <c r="L757" s="142"/>
      <c r="M757" s="142"/>
      <c r="N757" s="142"/>
      <c r="O757" s="142"/>
      <c r="P757" s="136"/>
      <c r="Q757" s="34"/>
      <c r="R757" s="35"/>
      <c r="S757" s="35"/>
      <c r="T757" s="35"/>
      <c r="U757" s="35"/>
      <c r="V757" s="35"/>
      <c r="W757" s="35"/>
      <c r="X757" s="35"/>
      <c r="Y757" s="35"/>
      <c r="Z757" s="35"/>
      <c r="AA757" s="35"/>
    </row>
    <row r="758" ht="14.25" customHeight="1">
      <c r="A758" s="136"/>
      <c r="B758" s="137"/>
      <c r="C758" s="251"/>
      <c r="D758" s="452"/>
      <c r="E758" s="136"/>
      <c r="F758" s="253"/>
      <c r="G758" s="526"/>
      <c r="H758" s="527"/>
      <c r="I758" s="527"/>
      <c r="J758" s="141"/>
      <c r="K758" s="141"/>
      <c r="L758" s="142"/>
      <c r="M758" s="142"/>
      <c r="N758" s="142"/>
      <c r="O758" s="142"/>
      <c r="P758" s="136"/>
      <c r="Q758" s="34"/>
      <c r="R758" s="35"/>
      <c r="S758" s="35"/>
      <c r="T758" s="35"/>
      <c r="U758" s="35"/>
      <c r="V758" s="35"/>
      <c r="W758" s="35"/>
      <c r="X758" s="35"/>
      <c r="Y758" s="35"/>
      <c r="Z758" s="35"/>
      <c r="AA758" s="35"/>
    </row>
    <row r="759" ht="14.25" customHeight="1">
      <c r="A759" s="136"/>
      <c r="B759" s="137"/>
      <c r="C759" s="251"/>
      <c r="D759" s="452"/>
      <c r="E759" s="136"/>
      <c r="F759" s="253"/>
      <c r="G759" s="526"/>
      <c r="H759" s="527"/>
      <c r="I759" s="527"/>
      <c r="J759" s="141"/>
      <c r="K759" s="141"/>
      <c r="L759" s="142"/>
      <c r="M759" s="142"/>
      <c r="N759" s="142"/>
      <c r="O759" s="142"/>
      <c r="P759" s="136"/>
      <c r="Q759" s="34"/>
      <c r="R759" s="35"/>
      <c r="S759" s="35"/>
      <c r="T759" s="35"/>
      <c r="U759" s="35"/>
      <c r="V759" s="35"/>
      <c r="W759" s="35"/>
      <c r="X759" s="35"/>
      <c r="Y759" s="35"/>
      <c r="Z759" s="35"/>
      <c r="AA759" s="35"/>
    </row>
    <row r="760" ht="14.25" customHeight="1">
      <c r="A760" s="136"/>
      <c r="B760" s="137"/>
      <c r="C760" s="251"/>
      <c r="D760" s="452"/>
      <c r="E760" s="136"/>
      <c r="F760" s="253"/>
      <c r="G760" s="526"/>
      <c r="H760" s="527"/>
      <c r="I760" s="527"/>
      <c r="J760" s="141"/>
      <c r="K760" s="141"/>
      <c r="L760" s="142"/>
      <c r="M760" s="142"/>
      <c r="N760" s="142"/>
      <c r="O760" s="142"/>
      <c r="P760" s="136"/>
      <c r="Q760" s="34"/>
      <c r="R760" s="35"/>
      <c r="S760" s="35"/>
      <c r="T760" s="35"/>
      <c r="U760" s="35"/>
      <c r="V760" s="35"/>
      <c r="W760" s="35"/>
      <c r="X760" s="35"/>
      <c r="Y760" s="35"/>
      <c r="Z760" s="35"/>
      <c r="AA760" s="35"/>
    </row>
    <row r="761" ht="14.25" customHeight="1">
      <c r="A761" s="136"/>
      <c r="B761" s="137"/>
      <c r="C761" s="251"/>
      <c r="D761" s="452"/>
      <c r="E761" s="136"/>
      <c r="F761" s="253"/>
      <c r="G761" s="526"/>
      <c r="H761" s="527"/>
      <c r="I761" s="527"/>
      <c r="J761" s="141"/>
      <c r="K761" s="141"/>
      <c r="L761" s="142"/>
      <c r="M761" s="142"/>
      <c r="N761" s="142"/>
      <c r="O761" s="142"/>
      <c r="P761" s="136"/>
      <c r="Q761" s="34"/>
      <c r="R761" s="35"/>
      <c r="S761" s="35"/>
      <c r="T761" s="35"/>
      <c r="U761" s="35"/>
      <c r="V761" s="35"/>
      <c r="W761" s="35"/>
      <c r="X761" s="35"/>
      <c r="Y761" s="35"/>
      <c r="Z761" s="35"/>
      <c r="AA761" s="35"/>
    </row>
    <row r="762" ht="14.25" customHeight="1">
      <c r="A762" s="136"/>
      <c r="B762" s="137"/>
      <c r="C762" s="251"/>
      <c r="D762" s="452"/>
      <c r="E762" s="136"/>
      <c r="F762" s="253"/>
      <c r="G762" s="526"/>
      <c r="H762" s="527"/>
      <c r="I762" s="527"/>
      <c r="J762" s="141"/>
      <c r="K762" s="141"/>
      <c r="L762" s="142"/>
      <c r="M762" s="142"/>
      <c r="N762" s="142"/>
      <c r="O762" s="142"/>
      <c r="P762" s="136"/>
      <c r="Q762" s="34"/>
      <c r="R762" s="35"/>
      <c r="S762" s="35"/>
      <c r="T762" s="35"/>
      <c r="U762" s="35"/>
      <c r="V762" s="35"/>
      <c r="W762" s="35"/>
      <c r="X762" s="35"/>
      <c r="Y762" s="35"/>
      <c r="Z762" s="35"/>
      <c r="AA762" s="35"/>
    </row>
    <row r="763" ht="14.25" customHeight="1">
      <c r="A763" s="136"/>
      <c r="B763" s="137"/>
      <c r="C763" s="251"/>
      <c r="D763" s="452"/>
      <c r="E763" s="136"/>
      <c r="F763" s="253"/>
      <c r="G763" s="526"/>
      <c r="H763" s="527"/>
      <c r="I763" s="527"/>
      <c r="J763" s="141"/>
      <c r="K763" s="141"/>
      <c r="L763" s="142"/>
      <c r="M763" s="142"/>
      <c r="N763" s="142"/>
      <c r="O763" s="142"/>
      <c r="P763" s="136"/>
      <c r="Q763" s="34"/>
      <c r="R763" s="35"/>
      <c r="S763" s="35"/>
      <c r="T763" s="35"/>
      <c r="U763" s="35"/>
      <c r="V763" s="35"/>
      <c r="W763" s="35"/>
      <c r="X763" s="35"/>
      <c r="Y763" s="35"/>
      <c r="Z763" s="35"/>
      <c r="AA763" s="35"/>
    </row>
    <row r="764" ht="14.25" customHeight="1">
      <c r="A764" s="136"/>
      <c r="B764" s="137"/>
      <c r="C764" s="251"/>
      <c r="D764" s="452"/>
      <c r="E764" s="136"/>
      <c r="F764" s="253"/>
      <c r="G764" s="526"/>
      <c r="H764" s="527"/>
      <c r="I764" s="527"/>
      <c r="J764" s="141"/>
      <c r="K764" s="141"/>
      <c r="L764" s="142"/>
      <c r="M764" s="142"/>
      <c r="N764" s="142"/>
      <c r="O764" s="142"/>
      <c r="P764" s="136"/>
      <c r="Q764" s="34"/>
      <c r="R764" s="35"/>
      <c r="S764" s="35"/>
      <c r="T764" s="35"/>
      <c r="U764" s="35"/>
      <c r="V764" s="35"/>
      <c r="W764" s="35"/>
      <c r="X764" s="35"/>
      <c r="Y764" s="35"/>
      <c r="Z764" s="35"/>
      <c r="AA764" s="35"/>
    </row>
    <row r="765" ht="14.25" customHeight="1">
      <c r="A765" s="136"/>
      <c r="B765" s="137"/>
      <c r="C765" s="251"/>
      <c r="D765" s="452"/>
      <c r="E765" s="136"/>
      <c r="F765" s="253"/>
      <c r="G765" s="526"/>
      <c r="H765" s="527"/>
      <c r="I765" s="527"/>
      <c r="J765" s="141"/>
      <c r="K765" s="141"/>
      <c r="L765" s="142"/>
      <c r="M765" s="142"/>
      <c r="N765" s="142"/>
      <c r="O765" s="142"/>
      <c r="P765" s="136"/>
      <c r="Q765" s="34"/>
      <c r="R765" s="35"/>
      <c r="S765" s="35"/>
      <c r="T765" s="35"/>
      <c r="U765" s="35"/>
      <c r="V765" s="35"/>
      <c r="W765" s="35"/>
      <c r="X765" s="35"/>
      <c r="Y765" s="35"/>
      <c r="Z765" s="35"/>
      <c r="AA765" s="35"/>
    </row>
    <row r="766" ht="14.25" customHeight="1">
      <c r="A766" s="136"/>
      <c r="B766" s="137"/>
      <c r="C766" s="251"/>
      <c r="D766" s="452"/>
      <c r="E766" s="136"/>
      <c r="F766" s="253"/>
      <c r="G766" s="526"/>
      <c r="H766" s="527"/>
      <c r="I766" s="527"/>
      <c r="J766" s="141"/>
      <c r="K766" s="141"/>
      <c r="L766" s="142"/>
      <c r="M766" s="142"/>
      <c r="N766" s="142"/>
      <c r="O766" s="142"/>
      <c r="P766" s="136"/>
      <c r="Q766" s="34"/>
      <c r="R766" s="35"/>
      <c r="S766" s="35"/>
      <c r="T766" s="35"/>
      <c r="U766" s="35"/>
      <c r="V766" s="35"/>
      <c r="W766" s="35"/>
      <c r="X766" s="35"/>
      <c r="Y766" s="35"/>
      <c r="Z766" s="35"/>
      <c r="AA766" s="35"/>
    </row>
    <row r="767" ht="14.25" customHeight="1">
      <c r="A767" s="136"/>
      <c r="B767" s="137"/>
      <c r="C767" s="251"/>
      <c r="D767" s="452"/>
      <c r="E767" s="136"/>
      <c r="F767" s="253"/>
      <c r="G767" s="526"/>
      <c r="H767" s="527"/>
      <c r="I767" s="527"/>
      <c r="J767" s="141"/>
      <c r="K767" s="141"/>
      <c r="L767" s="142"/>
      <c r="M767" s="142"/>
      <c r="N767" s="142"/>
      <c r="O767" s="142"/>
      <c r="P767" s="136"/>
      <c r="Q767" s="34"/>
      <c r="R767" s="35"/>
      <c r="S767" s="35"/>
      <c r="T767" s="35"/>
      <c r="U767" s="35"/>
      <c r="V767" s="35"/>
      <c r="W767" s="35"/>
      <c r="X767" s="35"/>
      <c r="Y767" s="35"/>
      <c r="Z767" s="35"/>
      <c r="AA767" s="35"/>
    </row>
    <row r="768" ht="14.25" customHeight="1">
      <c r="A768" s="136"/>
      <c r="B768" s="137"/>
      <c r="C768" s="251"/>
      <c r="D768" s="452"/>
      <c r="E768" s="136"/>
      <c r="F768" s="253"/>
      <c r="G768" s="526"/>
      <c r="H768" s="527"/>
      <c r="I768" s="527"/>
      <c r="J768" s="141"/>
      <c r="K768" s="141"/>
      <c r="L768" s="142"/>
      <c r="M768" s="142"/>
      <c r="N768" s="142"/>
      <c r="O768" s="142"/>
      <c r="P768" s="136"/>
      <c r="Q768" s="34"/>
      <c r="R768" s="35"/>
      <c r="S768" s="35"/>
      <c r="T768" s="35"/>
      <c r="U768" s="35"/>
      <c r="V768" s="35"/>
      <c r="W768" s="35"/>
      <c r="X768" s="35"/>
      <c r="Y768" s="35"/>
      <c r="Z768" s="35"/>
      <c r="AA768" s="35"/>
    </row>
    <row r="769" ht="14.25" customHeight="1">
      <c r="A769" s="136"/>
      <c r="B769" s="137"/>
      <c r="C769" s="251"/>
      <c r="D769" s="452"/>
      <c r="E769" s="136"/>
      <c r="F769" s="253"/>
      <c r="G769" s="526"/>
      <c r="H769" s="527"/>
      <c r="I769" s="527"/>
      <c r="J769" s="141"/>
      <c r="K769" s="141"/>
      <c r="L769" s="142"/>
      <c r="M769" s="142"/>
      <c r="N769" s="142"/>
      <c r="O769" s="142"/>
      <c r="P769" s="136"/>
      <c r="Q769" s="34"/>
      <c r="R769" s="35"/>
      <c r="S769" s="35"/>
      <c r="T769" s="35"/>
      <c r="U769" s="35"/>
      <c r="V769" s="35"/>
      <c r="W769" s="35"/>
      <c r="X769" s="35"/>
      <c r="Y769" s="35"/>
      <c r="Z769" s="35"/>
      <c r="AA769" s="35"/>
    </row>
    <row r="770" ht="14.25" customHeight="1">
      <c r="A770" s="136"/>
      <c r="B770" s="137"/>
      <c r="C770" s="251"/>
      <c r="D770" s="452"/>
      <c r="E770" s="136"/>
      <c r="F770" s="253"/>
      <c r="G770" s="526"/>
      <c r="H770" s="527"/>
      <c r="I770" s="527"/>
      <c r="J770" s="141"/>
      <c r="K770" s="141"/>
      <c r="L770" s="142"/>
      <c r="M770" s="142"/>
      <c r="N770" s="142"/>
      <c r="O770" s="142"/>
      <c r="P770" s="136"/>
      <c r="Q770" s="34"/>
      <c r="R770" s="35"/>
      <c r="S770" s="35"/>
      <c r="T770" s="35"/>
      <c r="U770" s="35"/>
      <c r="V770" s="35"/>
      <c r="W770" s="35"/>
      <c r="X770" s="35"/>
      <c r="Y770" s="35"/>
      <c r="Z770" s="35"/>
      <c r="AA770" s="35"/>
    </row>
    <row r="771" ht="14.25" customHeight="1">
      <c r="A771" s="136"/>
      <c r="B771" s="137"/>
      <c r="C771" s="251"/>
      <c r="D771" s="452"/>
      <c r="E771" s="136"/>
      <c r="F771" s="253"/>
      <c r="G771" s="526"/>
      <c r="H771" s="527"/>
      <c r="I771" s="527"/>
      <c r="J771" s="141"/>
      <c r="K771" s="141"/>
      <c r="L771" s="142"/>
      <c r="M771" s="142"/>
      <c r="N771" s="142"/>
      <c r="O771" s="142"/>
      <c r="P771" s="136"/>
      <c r="Q771" s="34"/>
      <c r="R771" s="35"/>
      <c r="S771" s="35"/>
      <c r="T771" s="35"/>
      <c r="U771" s="35"/>
      <c r="V771" s="35"/>
      <c r="W771" s="35"/>
      <c r="X771" s="35"/>
      <c r="Y771" s="35"/>
      <c r="Z771" s="35"/>
      <c r="AA771" s="35"/>
    </row>
    <row r="772" ht="14.25" customHeight="1">
      <c r="A772" s="136"/>
      <c r="B772" s="137"/>
      <c r="C772" s="251"/>
      <c r="D772" s="452"/>
      <c r="E772" s="136"/>
      <c r="F772" s="253"/>
      <c r="G772" s="526"/>
      <c r="H772" s="527"/>
      <c r="I772" s="527"/>
      <c r="J772" s="141"/>
      <c r="K772" s="141"/>
      <c r="L772" s="142"/>
      <c r="M772" s="142"/>
      <c r="N772" s="142"/>
      <c r="O772" s="142"/>
      <c r="P772" s="136"/>
      <c r="Q772" s="34"/>
      <c r="R772" s="35"/>
      <c r="S772" s="35"/>
      <c r="T772" s="35"/>
      <c r="U772" s="35"/>
      <c r="V772" s="35"/>
      <c r="W772" s="35"/>
      <c r="X772" s="35"/>
      <c r="Y772" s="35"/>
      <c r="Z772" s="35"/>
      <c r="AA772" s="35"/>
    </row>
    <row r="773" ht="14.25" customHeight="1">
      <c r="A773" s="136"/>
      <c r="B773" s="137"/>
      <c r="C773" s="251"/>
      <c r="D773" s="452"/>
      <c r="E773" s="136"/>
      <c r="F773" s="253"/>
      <c r="G773" s="526"/>
      <c r="H773" s="527"/>
      <c r="I773" s="527"/>
      <c r="J773" s="141"/>
      <c r="K773" s="141"/>
      <c r="L773" s="142"/>
      <c r="M773" s="142"/>
      <c r="N773" s="142"/>
      <c r="O773" s="142"/>
      <c r="P773" s="136"/>
      <c r="Q773" s="34"/>
      <c r="R773" s="35"/>
      <c r="S773" s="35"/>
      <c r="T773" s="35"/>
      <c r="U773" s="35"/>
      <c r="V773" s="35"/>
      <c r="W773" s="35"/>
      <c r="X773" s="35"/>
      <c r="Y773" s="35"/>
      <c r="Z773" s="35"/>
      <c r="AA773" s="35"/>
    </row>
    <row r="774" ht="14.25" customHeight="1">
      <c r="A774" s="136"/>
      <c r="B774" s="137"/>
      <c r="C774" s="251"/>
      <c r="D774" s="452"/>
      <c r="E774" s="136"/>
      <c r="F774" s="253"/>
      <c r="G774" s="526"/>
      <c r="H774" s="527"/>
      <c r="I774" s="527"/>
      <c r="J774" s="141"/>
      <c r="K774" s="141"/>
      <c r="L774" s="142"/>
      <c r="M774" s="142"/>
      <c r="N774" s="142"/>
      <c r="O774" s="142"/>
      <c r="P774" s="136"/>
      <c r="Q774" s="34"/>
      <c r="R774" s="35"/>
      <c r="S774" s="35"/>
      <c r="T774" s="35"/>
      <c r="U774" s="35"/>
      <c r="V774" s="35"/>
      <c r="W774" s="35"/>
      <c r="X774" s="35"/>
      <c r="Y774" s="35"/>
      <c r="Z774" s="35"/>
      <c r="AA774" s="35"/>
    </row>
    <row r="775" ht="14.25" customHeight="1">
      <c r="A775" s="136"/>
      <c r="B775" s="137"/>
      <c r="C775" s="251"/>
      <c r="D775" s="452"/>
      <c r="E775" s="136"/>
      <c r="F775" s="253"/>
      <c r="G775" s="526"/>
      <c r="H775" s="527"/>
      <c r="I775" s="527"/>
      <c r="J775" s="141"/>
      <c r="K775" s="141"/>
      <c r="L775" s="142"/>
      <c r="M775" s="142"/>
      <c r="N775" s="142"/>
      <c r="O775" s="142"/>
      <c r="P775" s="136"/>
      <c r="Q775" s="34"/>
      <c r="R775" s="35"/>
      <c r="S775" s="35"/>
      <c r="T775" s="35"/>
      <c r="U775" s="35"/>
      <c r="V775" s="35"/>
      <c r="W775" s="35"/>
      <c r="X775" s="35"/>
      <c r="Y775" s="35"/>
      <c r="Z775" s="35"/>
      <c r="AA775" s="35"/>
    </row>
    <row r="776" ht="14.25" customHeight="1">
      <c r="A776" s="136"/>
      <c r="B776" s="137"/>
      <c r="C776" s="251"/>
      <c r="D776" s="452"/>
      <c r="E776" s="136"/>
      <c r="F776" s="253"/>
      <c r="G776" s="526"/>
      <c r="H776" s="527"/>
      <c r="I776" s="527"/>
      <c r="J776" s="141"/>
      <c r="K776" s="141"/>
      <c r="L776" s="142"/>
      <c r="M776" s="142"/>
      <c r="N776" s="142"/>
      <c r="O776" s="142"/>
      <c r="P776" s="136"/>
      <c r="Q776" s="34"/>
      <c r="R776" s="35"/>
      <c r="S776" s="35"/>
      <c r="T776" s="35"/>
      <c r="U776" s="35"/>
      <c r="V776" s="35"/>
      <c r="W776" s="35"/>
      <c r="X776" s="35"/>
      <c r="Y776" s="35"/>
      <c r="Z776" s="35"/>
      <c r="AA776" s="35"/>
    </row>
    <row r="777" ht="14.25" customHeight="1">
      <c r="A777" s="136"/>
      <c r="B777" s="137"/>
      <c r="C777" s="251"/>
      <c r="D777" s="452"/>
      <c r="E777" s="136"/>
      <c r="F777" s="253"/>
      <c r="G777" s="526"/>
      <c r="H777" s="527"/>
      <c r="I777" s="527"/>
      <c r="J777" s="141"/>
      <c r="K777" s="141"/>
      <c r="L777" s="142"/>
      <c r="M777" s="142"/>
      <c r="N777" s="142"/>
      <c r="O777" s="142"/>
      <c r="P777" s="136"/>
      <c r="Q777" s="34"/>
      <c r="R777" s="35"/>
      <c r="S777" s="35"/>
      <c r="T777" s="35"/>
      <c r="U777" s="35"/>
      <c r="V777" s="35"/>
      <c r="W777" s="35"/>
      <c r="X777" s="35"/>
      <c r="Y777" s="35"/>
      <c r="Z777" s="35"/>
      <c r="AA777" s="35"/>
    </row>
    <row r="778" ht="14.25" customHeight="1">
      <c r="A778" s="136"/>
      <c r="B778" s="137"/>
      <c r="C778" s="251"/>
      <c r="D778" s="452"/>
      <c r="E778" s="136"/>
      <c r="F778" s="253"/>
      <c r="G778" s="526"/>
      <c r="H778" s="527"/>
      <c r="I778" s="527"/>
      <c r="J778" s="141"/>
      <c r="K778" s="141"/>
      <c r="L778" s="142"/>
      <c r="M778" s="142"/>
      <c r="N778" s="142"/>
      <c r="O778" s="142"/>
      <c r="P778" s="136"/>
      <c r="Q778" s="34"/>
      <c r="R778" s="35"/>
      <c r="S778" s="35"/>
      <c r="T778" s="35"/>
      <c r="U778" s="35"/>
      <c r="V778" s="35"/>
      <c r="W778" s="35"/>
      <c r="X778" s="35"/>
      <c r="Y778" s="35"/>
      <c r="Z778" s="35"/>
      <c r="AA778" s="35"/>
    </row>
    <row r="779" ht="14.25" customHeight="1">
      <c r="A779" s="136"/>
      <c r="B779" s="137"/>
      <c r="C779" s="251"/>
      <c r="D779" s="452"/>
      <c r="E779" s="136"/>
      <c r="F779" s="253"/>
      <c r="G779" s="526"/>
      <c r="H779" s="527"/>
      <c r="I779" s="527"/>
      <c r="J779" s="141"/>
      <c r="K779" s="141"/>
      <c r="L779" s="142"/>
      <c r="M779" s="142"/>
      <c r="N779" s="142"/>
      <c r="O779" s="142"/>
      <c r="P779" s="136"/>
      <c r="Q779" s="34"/>
      <c r="R779" s="35"/>
      <c r="S779" s="35"/>
      <c r="T779" s="35"/>
      <c r="U779" s="35"/>
      <c r="V779" s="35"/>
      <c r="W779" s="35"/>
      <c r="X779" s="35"/>
      <c r="Y779" s="35"/>
      <c r="Z779" s="35"/>
      <c r="AA779" s="35"/>
    </row>
    <row r="780" ht="14.25" customHeight="1">
      <c r="A780" s="136"/>
      <c r="B780" s="137"/>
      <c r="C780" s="251"/>
      <c r="D780" s="452"/>
      <c r="E780" s="136"/>
      <c r="F780" s="253"/>
      <c r="G780" s="526"/>
      <c r="H780" s="527"/>
      <c r="I780" s="527"/>
      <c r="J780" s="141"/>
      <c r="K780" s="141"/>
      <c r="L780" s="142"/>
      <c r="M780" s="142"/>
      <c r="N780" s="142"/>
      <c r="O780" s="142"/>
      <c r="P780" s="136"/>
      <c r="Q780" s="34"/>
      <c r="R780" s="35"/>
      <c r="S780" s="35"/>
      <c r="T780" s="35"/>
      <c r="U780" s="35"/>
      <c r="V780" s="35"/>
      <c r="W780" s="35"/>
      <c r="X780" s="35"/>
      <c r="Y780" s="35"/>
      <c r="Z780" s="35"/>
      <c r="AA780" s="35"/>
    </row>
    <row r="781" ht="14.25" customHeight="1">
      <c r="A781" s="136"/>
      <c r="B781" s="137"/>
      <c r="C781" s="251"/>
      <c r="D781" s="452"/>
      <c r="E781" s="136"/>
      <c r="F781" s="253"/>
      <c r="G781" s="526"/>
      <c r="H781" s="527"/>
      <c r="I781" s="527"/>
      <c r="J781" s="141"/>
      <c r="K781" s="141"/>
      <c r="L781" s="142"/>
      <c r="M781" s="142"/>
      <c r="N781" s="142"/>
      <c r="O781" s="142"/>
      <c r="P781" s="136"/>
      <c r="Q781" s="34"/>
      <c r="R781" s="35"/>
      <c r="S781" s="35"/>
      <c r="T781" s="35"/>
      <c r="U781" s="35"/>
      <c r="V781" s="35"/>
      <c r="W781" s="35"/>
      <c r="X781" s="35"/>
      <c r="Y781" s="35"/>
      <c r="Z781" s="35"/>
      <c r="AA781" s="35"/>
    </row>
    <row r="782" ht="14.25" customHeight="1">
      <c r="A782" s="136"/>
      <c r="B782" s="137"/>
      <c r="C782" s="251"/>
      <c r="D782" s="452"/>
      <c r="E782" s="136"/>
      <c r="F782" s="253"/>
      <c r="G782" s="526"/>
      <c r="H782" s="527"/>
      <c r="I782" s="527"/>
      <c r="J782" s="141"/>
      <c r="K782" s="141"/>
      <c r="L782" s="142"/>
      <c r="M782" s="142"/>
      <c r="N782" s="142"/>
      <c r="O782" s="142"/>
      <c r="P782" s="136"/>
      <c r="Q782" s="34"/>
      <c r="R782" s="35"/>
      <c r="S782" s="35"/>
      <c r="T782" s="35"/>
      <c r="U782" s="35"/>
      <c r="V782" s="35"/>
      <c r="W782" s="35"/>
      <c r="X782" s="35"/>
      <c r="Y782" s="35"/>
      <c r="Z782" s="35"/>
      <c r="AA782" s="35"/>
    </row>
    <row r="783" ht="14.25" customHeight="1">
      <c r="A783" s="136"/>
      <c r="B783" s="137"/>
      <c r="C783" s="251"/>
      <c r="D783" s="452"/>
      <c r="E783" s="136"/>
      <c r="F783" s="253"/>
      <c r="G783" s="526"/>
      <c r="H783" s="527"/>
      <c r="I783" s="527"/>
      <c r="J783" s="141"/>
      <c r="K783" s="141"/>
      <c r="L783" s="142"/>
      <c r="M783" s="142"/>
      <c r="N783" s="142"/>
      <c r="O783" s="142"/>
      <c r="P783" s="136"/>
      <c r="Q783" s="34"/>
      <c r="R783" s="35"/>
      <c r="S783" s="35"/>
      <c r="T783" s="35"/>
      <c r="U783" s="35"/>
      <c r="V783" s="35"/>
      <c r="W783" s="35"/>
      <c r="X783" s="35"/>
      <c r="Y783" s="35"/>
      <c r="Z783" s="35"/>
      <c r="AA783" s="35"/>
    </row>
    <row r="784" ht="14.25" customHeight="1">
      <c r="A784" s="136"/>
      <c r="B784" s="137"/>
      <c r="C784" s="251"/>
      <c r="D784" s="452"/>
      <c r="E784" s="136"/>
      <c r="F784" s="253"/>
      <c r="G784" s="526"/>
      <c r="H784" s="527"/>
      <c r="I784" s="527"/>
      <c r="J784" s="141"/>
      <c r="K784" s="141"/>
      <c r="L784" s="142"/>
      <c r="M784" s="142"/>
      <c r="N784" s="142"/>
      <c r="O784" s="142"/>
      <c r="P784" s="136"/>
      <c r="Q784" s="34"/>
      <c r="R784" s="35"/>
      <c r="S784" s="35"/>
      <c r="T784" s="35"/>
      <c r="U784" s="35"/>
      <c r="V784" s="35"/>
      <c r="W784" s="35"/>
      <c r="X784" s="35"/>
      <c r="Y784" s="35"/>
      <c r="Z784" s="35"/>
      <c r="AA784" s="35"/>
    </row>
    <row r="785" ht="14.25" customHeight="1">
      <c r="A785" s="136"/>
      <c r="B785" s="137"/>
      <c r="C785" s="251"/>
      <c r="D785" s="452"/>
      <c r="E785" s="136"/>
      <c r="F785" s="253"/>
      <c r="G785" s="526"/>
      <c r="H785" s="527"/>
      <c r="I785" s="527"/>
      <c r="J785" s="141"/>
      <c r="K785" s="141"/>
      <c r="L785" s="142"/>
      <c r="M785" s="142"/>
      <c r="N785" s="142"/>
      <c r="O785" s="142"/>
      <c r="P785" s="136"/>
      <c r="Q785" s="34"/>
      <c r="R785" s="35"/>
      <c r="S785" s="35"/>
      <c r="T785" s="35"/>
      <c r="U785" s="35"/>
      <c r="V785" s="35"/>
      <c r="W785" s="35"/>
      <c r="X785" s="35"/>
      <c r="Y785" s="35"/>
      <c r="Z785" s="35"/>
      <c r="AA785" s="35"/>
    </row>
    <row r="786" ht="14.25" customHeight="1">
      <c r="A786" s="136"/>
      <c r="B786" s="137"/>
      <c r="C786" s="251"/>
      <c r="D786" s="452"/>
      <c r="E786" s="136"/>
      <c r="F786" s="253"/>
      <c r="G786" s="526"/>
      <c r="H786" s="527"/>
      <c r="I786" s="527"/>
      <c r="J786" s="141"/>
      <c r="K786" s="141"/>
      <c r="L786" s="142"/>
      <c r="M786" s="142"/>
      <c r="N786" s="142"/>
      <c r="O786" s="142"/>
      <c r="P786" s="136"/>
      <c r="Q786" s="34"/>
      <c r="R786" s="35"/>
      <c r="S786" s="35"/>
      <c r="T786" s="35"/>
      <c r="U786" s="35"/>
      <c r="V786" s="35"/>
      <c r="W786" s="35"/>
      <c r="X786" s="35"/>
      <c r="Y786" s="35"/>
      <c r="Z786" s="35"/>
      <c r="AA786" s="35"/>
    </row>
    <row r="787" ht="14.25" customHeight="1">
      <c r="A787" s="136"/>
      <c r="B787" s="137"/>
      <c r="C787" s="251"/>
      <c r="D787" s="452"/>
      <c r="E787" s="136"/>
      <c r="F787" s="253"/>
      <c r="G787" s="526"/>
      <c r="H787" s="527"/>
      <c r="I787" s="527"/>
      <c r="J787" s="141"/>
      <c r="K787" s="141"/>
      <c r="L787" s="142"/>
      <c r="M787" s="142"/>
      <c r="N787" s="142"/>
      <c r="O787" s="142"/>
      <c r="P787" s="136"/>
      <c r="Q787" s="34"/>
      <c r="R787" s="35"/>
      <c r="S787" s="35"/>
      <c r="T787" s="35"/>
      <c r="U787" s="35"/>
      <c r="V787" s="35"/>
      <c r="W787" s="35"/>
      <c r="X787" s="35"/>
      <c r="Y787" s="35"/>
      <c r="Z787" s="35"/>
      <c r="AA787" s="35"/>
    </row>
    <row r="788" ht="14.25" customHeight="1">
      <c r="A788" s="136"/>
      <c r="B788" s="137"/>
      <c r="C788" s="251"/>
      <c r="D788" s="452"/>
      <c r="E788" s="136"/>
      <c r="F788" s="253"/>
      <c r="G788" s="526"/>
      <c r="H788" s="527"/>
      <c r="I788" s="527"/>
      <c r="J788" s="141"/>
      <c r="K788" s="141"/>
      <c r="L788" s="142"/>
      <c r="M788" s="142"/>
      <c r="N788" s="142"/>
      <c r="O788" s="142"/>
      <c r="P788" s="136"/>
      <c r="Q788" s="34"/>
      <c r="R788" s="35"/>
      <c r="S788" s="35"/>
      <c r="T788" s="35"/>
      <c r="U788" s="35"/>
      <c r="V788" s="35"/>
      <c r="W788" s="35"/>
      <c r="X788" s="35"/>
      <c r="Y788" s="35"/>
      <c r="Z788" s="35"/>
      <c r="AA788" s="35"/>
    </row>
    <row r="789" ht="14.25" customHeight="1">
      <c r="A789" s="136"/>
      <c r="B789" s="137"/>
      <c r="C789" s="251"/>
      <c r="D789" s="452"/>
      <c r="E789" s="136"/>
      <c r="F789" s="253"/>
      <c r="G789" s="526"/>
      <c r="H789" s="527"/>
      <c r="I789" s="527"/>
      <c r="J789" s="141"/>
      <c r="K789" s="141"/>
      <c r="L789" s="142"/>
      <c r="M789" s="142"/>
      <c r="N789" s="142"/>
      <c r="O789" s="142"/>
      <c r="P789" s="136"/>
      <c r="Q789" s="34"/>
      <c r="R789" s="35"/>
      <c r="S789" s="35"/>
      <c r="T789" s="35"/>
      <c r="U789" s="35"/>
      <c r="V789" s="35"/>
      <c r="W789" s="35"/>
      <c r="X789" s="35"/>
      <c r="Y789" s="35"/>
      <c r="Z789" s="35"/>
      <c r="AA789" s="35"/>
    </row>
    <row r="790" ht="14.25" customHeight="1">
      <c r="A790" s="136"/>
      <c r="B790" s="137"/>
      <c r="C790" s="251"/>
      <c r="D790" s="452"/>
      <c r="E790" s="136"/>
      <c r="F790" s="253"/>
      <c r="G790" s="526"/>
      <c r="H790" s="527"/>
      <c r="I790" s="527"/>
      <c r="J790" s="141"/>
      <c r="K790" s="141"/>
      <c r="L790" s="142"/>
      <c r="M790" s="142"/>
      <c r="N790" s="142"/>
      <c r="O790" s="142"/>
      <c r="P790" s="136"/>
      <c r="Q790" s="34"/>
      <c r="R790" s="35"/>
      <c r="S790" s="35"/>
      <c r="T790" s="35"/>
      <c r="U790" s="35"/>
      <c r="V790" s="35"/>
      <c r="W790" s="35"/>
      <c r="X790" s="35"/>
      <c r="Y790" s="35"/>
      <c r="Z790" s="35"/>
      <c r="AA790" s="35"/>
    </row>
    <row r="791" ht="14.25" customHeight="1">
      <c r="A791" s="136"/>
      <c r="B791" s="137"/>
      <c r="C791" s="251"/>
      <c r="D791" s="452"/>
      <c r="E791" s="136"/>
      <c r="F791" s="253"/>
      <c r="G791" s="526"/>
      <c r="H791" s="527"/>
      <c r="I791" s="527"/>
      <c r="J791" s="141"/>
      <c r="K791" s="141"/>
      <c r="L791" s="142"/>
      <c r="M791" s="142"/>
      <c r="N791" s="142"/>
      <c r="O791" s="142"/>
      <c r="P791" s="136"/>
      <c r="Q791" s="34"/>
      <c r="R791" s="35"/>
      <c r="S791" s="35"/>
      <c r="T791" s="35"/>
      <c r="U791" s="35"/>
      <c r="V791" s="35"/>
      <c r="W791" s="35"/>
      <c r="X791" s="35"/>
      <c r="Y791" s="35"/>
      <c r="Z791" s="35"/>
      <c r="AA791" s="35"/>
    </row>
    <row r="792" ht="14.25" customHeight="1">
      <c r="A792" s="136"/>
      <c r="B792" s="137"/>
      <c r="C792" s="251"/>
      <c r="D792" s="452"/>
      <c r="E792" s="136"/>
      <c r="F792" s="253"/>
      <c r="G792" s="526"/>
      <c r="H792" s="527"/>
      <c r="I792" s="527"/>
      <c r="J792" s="141"/>
      <c r="K792" s="141"/>
      <c r="L792" s="142"/>
      <c r="M792" s="142"/>
      <c r="N792" s="142"/>
      <c r="O792" s="142"/>
      <c r="P792" s="136"/>
      <c r="Q792" s="34"/>
      <c r="R792" s="35"/>
      <c r="S792" s="35"/>
      <c r="T792" s="35"/>
      <c r="U792" s="35"/>
      <c r="V792" s="35"/>
      <c r="W792" s="35"/>
      <c r="X792" s="35"/>
      <c r="Y792" s="35"/>
      <c r="Z792" s="35"/>
      <c r="AA792" s="35"/>
    </row>
    <row r="793" ht="14.25" customHeight="1">
      <c r="A793" s="136"/>
      <c r="B793" s="137"/>
      <c r="C793" s="251"/>
      <c r="D793" s="452"/>
      <c r="E793" s="136"/>
      <c r="F793" s="253"/>
      <c r="G793" s="526"/>
      <c r="H793" s="527"/>
      <c r="I793" s="527"/>
      <c r="J793" s="141"/>
      <c r="K793" s="141"/>
      <c r="L793" s="142"/>
      <c r="M793" s="142"/>
      <c r="N793" s="142"/>
      <c r="O793" s="142"/>
      <c r="P793" s="136"/>
      <c r="Q793" s="34"/>
      <c r="R793" s="35"/>
      <c r="S793" s="35"/>
      <c r="T793" s="35"/>
      <c r="U793" s="35"/>
      <c r="V793" s="35"/>
      <c r="W793" s="35"/>
      <c r="X793" s="35"/>
      <c r="Y793" s="35"/>
      <c r="Z793" s="35"/>
      <c r="AA793" s="35"/>
    </row>
    <row r="794" ht="14.25" customHeight="1">
      <c r="A794" s="136"/>
      <c r="B794" s="137"/>
      <c r="C794" s="251"/>
      <c r="D794" s="452"/>
      <c r="E794" s="136"/>
      <c r="F794" s="253"/>
      <c r="G794" s="526"/>
      <c r="H794" s="527"/>
      <c r="I794" s="527"/>
      <c r="J794" s="141"/>
      <c r="K794" s="141"/>
      <c r="L794" s="142"/>
      <c r="M794" s="142"/>
      <c r="N794" s="142"/>
      <c r="O794" s="142"/>
      <c r="P794" s="136"/>
      <c r="Q794" s="34"/>
      <c r="R794" s="35"/>
      <c r="S794" s="35"/>
      <c r="T794" s="35"/>
      <c r="U794" s="35"/>
      <c r="V794" s="35"/>
      <c r="W794" s="35"/>
      <c r="X794" s="35"/>
      <c r="Y794" s="35"/>
      <c r="Z794" s="35"/>
      <c r="AA794" s="35"/>
    </row>
    <row r="795" ht="14.25" customHeight="1">
      <c r="A795" s="136"/>
      <c r="B795" s="137"/>
      <c r="C795" s="251"/>
      <c r="D795" s="452"/>
      <c r="E795" s="136"/>
      <c r="F795" s="253"/>
      <c r="G795" s="526"/>
      <c r="H795" s="527"/>
      <c r="I795" s="527"/>
      <c r="J795" s="141"/>
      <c r="K795" s="141"/>
      <c r="L795" s="142"/>
      <c r="M795" s="142"/>
      <c r="N795" s="142"/>
      <c r="O795" s="142"/>
      <c r="P795" s="136"/>
      <c r="Q795" s="34"/>
      <c r="R795" s="35"/>
      <c r="S795" s="35"/>
      <c r="T795" s="35"/>
      <c r="U795" s="35"/>
      <c r="V795" s="35"/>
      <c r="W795" s="35"/>
      <c r="X795" s="35"/>
      <c r="Y795" s="35"/>
      <c r="Z795" s="35"/>
      <c r="AA795" s="35"/>
    </row>
    <row r="796" ht="14.25" customHeight="1">
      <c r="A796" s="136"/>
      <c r="B796" s="137"/>
      <c r="C796" s="251"/>
      <c r="D796" s="452"/>
      <c r="E796" s="136"/>
      <c r="F796" s="253"/>
      <c r="G796" s="526"/>
      <c r="H796" s="527"/>
      <c r="I796" s="527"/>
      <c r="J796" s="141"/>
      <c r="K796" s="141"/>
      <c r="L796" s="142"/>
      <c r="M796" s="142"/>
      <c r="N796" s="142"/>
      <c r="O796" s="142"/>
      <c r="P796" s="136"/>
      <c r="Q796" s="34"/>
      <c r="R796" s="35"/>
      <c r="S796" s="35"/>
      <c r="T796" s="35"/>
      <c r="U796" s="35"/>
      <c r="V796" s="35"/>
      <c r="W796" s="35"/>
      <c r="X796" s="35"/>
      <c r="Y796" s="35"/>
      <c r="Z796" s="35"/>
      <c r="AA796" s="35"/>
    </row>
    <row r="797" ht="14.25" customHeight="1">
      <c r="A797" s="136"/>
      <c r="B797" s="137"/>
      <c r="C797" s="251"/>
      <c r="D797" s="452"/>
      <c r="E797" s="136"/>
      <c r="F797" s="253"/>
      <c r="G797" s="526"/>
      <c r="H797" s="527"/>
      <c r="I797" s="527"/>
      <c r="J797" s="141"/>
      <c r="K797" s="141"/>
      <c r="L797" s="142"/>
      <c r="M797" s="142"/>
      <c r="N797" s="142"/>
      <c r="O797" s="142"/>
      <c r="P797" s="136"/>
      <c r="Q797" s="34"/>
      <c r="R797" s="35"/>
      <c r="S797" s="35"/>
      <c r="T797" s="35"/>
      <c r="U797" s="35"/>
      <c r="V797" s="35"/>
      <c r="W797" s="35"/>
      <c r="X797" s="35"/>
      <c r="Y797" s="35"/>
      <c r="Z797" s="35"/>
      <c r="AA797" s="35"/>
    </row>
    <row r="798" ht="14.25" customHeight="1">
      <c r="A798" s="136"/>
      <c r="B798" s="137"/>
      <c r="C798" s="251"/>
      <c r="D798" s="452"/>
      <c r="E798" s="136"/>
      <c r="F798" s="253"/>
      <c r="G798" s="526"/>
      <c r="H798" s="527"/>
      <c r="I798" s="527"/>
      <c r="J798" s="141"/>
      <c r="K798" s="141"/>
      <c r="L798" s="142"/>
      <c r="M798" s="142"/>
      <c r="N798" s="142"/>
      <c r="O798" s="142"/>
      <c r="P798" s="136"/>
      <c r="Q798" s="34"/>
      <c r="R798" s="35"/>
      <c r="S798" s="35"/>
      <c r="T798" s="35"/>
      <c r="U798" s="35"/>
      <c r="V798" s="35"/>
      <c r="W798" s="35"/>
      <c r="X798" s="35"/>
      <c r="Y798" s="35"/>
      <c r="Z798" s="35"/>
      <c r="AA798" s="35"/>
    </row>
    <row r="799" ht="14.25" customHeight="1">
      <c r="A799" s="136"/>
      <c r="B799" s="137"/>
      <c r="C799" s="251"/>
      <c r="D799" s="452"/>
      <c r="E799" s="136"/>
      <c r="F799" s="253"/>
      <c r="G799" s="526"/>
      <c r="H799" s="527"/>
      <c r="I799" s="527"/>
      <c r="J799" s="141"/>
      <c r="K799" s="141"/>
      <c r="L799" s="142"/>
      <c r="M799" s="142"/>
      <c r="N799" s="142"/>
      <c r="O799" s="142"/>
      <c r="P799" s="136"/>
      <c r="Q799" s="34"/>
      <c r="R799" s="35"/>
      <c r="S799" s="35"/>
      <c r="T799" s="35"/>
      <c r="U799" s="35"/>
      <c r="V799" s="35"/>
      <c r="W799" s="35"/>
      <c r="X799" s="35"/>
      <c r="Y799" s="35"/>
      <c r="Z799" s="35"/>
      <c r="AA799" s="35"/>
    </row>
    <row r="800" ht="14.25" customHeight="1">
      <c r="A800" s="136"/>
      <c r="B800" s="137"/>
      <c r="C800" s="251"/>
      <c r="D800" s="452"/>
      <c r="E800" s="136"/>
      <c r="F800" s="253"/>
      <c r="G800" s="526"/>
      <c r="H800" s="527"/>
      <c r="I800" s="527"/>
      <c r="J800" s="141"/>
      <c r="K800" s="141"/>
      <c r="L800" s="142"/>
      <c r="M800" s="142"/>
      <c r="N800" s="142"/>
      <c r="O800" s="142"/>
      <c r="P800" s="136"/>
      <c r="Q800" s="34"/>
      <c r="R800" s="35"/>
      <c r="S800" s="35"/>
      <c r="T800" s="35"/>
      <c r="U800" s="35"/>
      <c r="V800" s="35"/>
      <c r="W800" s="35"/>
      <c r="X800" s="35"/>
      <c r="Y800" s="35"/>
      <c r="Z800" s="35"/>
      <c r="AA800" s="35"/>
    </row>
    <row r="801" ht="14.25" customHeight="1">
      <c r="A801" s="136"/>
      <c r="B801" s="137"/>
      <c r="C801" s="251"/>
      <c r="D801" s="452"/>
      <c r="E801" s="136"/>
      <c r="F801" s="253"/>
      <c r="G801" s="526"/>
      <c r="H801" s="527"/>
      <c r="I801" s="527"/>
      <c r="J801" s="141"/>
      <c r="K801" s="141"/>
      <c r="L801" s="142"/>
      <c r="M801" s="142"/>
      <c r="N801" s="142"/>
      <c r="O801" s="142"/>
      <c r="P801" s="136"/>
      <c r="Q801" s="34"/>
      <c r="R801" s="35"/>
      <c r="S801" s="35"/>
      <c r="T801" s="35"/>
      <c r="U801" s="35"/>
      <c r="V801" s="35"/>
      <c r="W801" s="35"/>
      <c r="X801" s="35"/>
      <c r="Y801" s="35"/>
      <c r="Z801" s="35"/>
      <c r="AA801" s="35"/>
    </row>
    <row r="802" ht="14.25" customHeight="1">
      <c r="A802" s="136"/>
      <c r="B802" s="137"/>
      <c r="C802" s="251"/>
      <c r="D802" s="452"/>
      <c r="E802" s="136"/>
      <c r="F802" s="253"/>
      <c r="G802" s="526"/>
      <c r="H802" s="527"/>
      <c r="I802" s="527"/>
      <c r="J802" s="141"/>
      <c r="K802" s="141"/>
      <c r="L802" s="142"/>
      <c r="M802" s="142"/>
      <c r="N802" s="142"/>
      <c r="O802" s="142"/>
      <c r="P802" s="136"/>
      <c r="Q802" s="34"/>
      <c r="R802" s="35"/>
      <c r="S802" s="35"/>
      <c r="T802" s="35"/>
      <c r="U802" s="35"/>
      <c r="V802" s="35"/>
      <c r="W802" s="35"/>
      <c r="X802" s="35"/>
      <c r="Y802" s="35"/>
      <c r="Z802" s="35"/>
      <c r="AA802" s="35"/>
    </row>
    <row r="803" ht="14.25" customHeight="1">
      <c r="A803" s="136"/>
      <c r="B803" s="137"/>
      <c r="C803" s="251"/>
      <c r="D803" s="452"/>
      <c r="E803" s="136"/>
      <c r="F803" s="253"/>
      <c r="G803" s="526"/>
      <c r="H803" s="527"/>
      <c r="I803" s="527"/>
      <c r="J803" s="141"/>
      <c r="K803" s="141"/>
      <c r="L803" s="142"/>
      <c r="M803" s="142"/>
      <c r="N803" s="142"/>
      <c r="O803" s="142"/>
      <c r="P803" s="136"/>
      <c r="Q803" s="34"/>
      <c r="R803" s="35"/>
      <c r="S803" s="35"/>
      <c r="T803" s="35"/>
      <c r="U803" s="35"/>
      <c r="V803" s="35"/>
      <c r="W803" s="35"/>
      <c r="X803" s="35"/>
      <c r="Y803" s="35"/>
      <c r="Z803" s="35"/>
      <c r="AA803" s="35"/>
    </row>
    <row r="804" ht="14.25" customHeight="1">
      <c r="A804" s="136"/>
      <c r="B804" s="137"/>
      <c r="C804" s="251"/>
      <c r="D804" s="452"/>
      <c r="E804" s="136"/>
      <c r="F804" s="253"/>
      <c r="G804" s="526"/>
      <c r="H804" s="527"/>
      <c r="I804" s="527"/>
      <c r="J804" s="141"/>
      <c r="K804" s="141"/>
      <c r="L804" s="142"/>
      <c r="M804" s="142"/>
      <c r="N804" s="142"/>
      <c r="O804" s="142"/>
      <c r="P804" s="136"/>
      <c r="Q804" s="34"/>
      <c r="R804" s="35"/>
      <c r="S804" s="35"/>
      <c r="T804" s="35"/>
      <c r="U804" s="35"/>
      <c r="V804" s="35"/>
      <c r="W804" s="35"/>
      <c r="X804" s="35"/>
      <c r="Y804" s="35"/>
      <c r="Z804" s="35"/>
      <c r="AA804" s="35"/>
    </row>
    <row r="805" ht="14.25" customHeight="1">
      <c r="A805" s="136"/>
      <c r="B805" s="137"/>
      <c r="C805" s="251"/>
      <c r="D805" s="452"/>
      <c r="E805" s="136"/>
      <c r="F805" s="253"/>
      <c r="G805" s="526"/>
      <c r="H805" s="527"/>
      <c r="I805" s="527"/>
      <c r="J805" s="141"/>
      <c r="K805" s="141"/>
      <c r="L805" s="142"/>
      <c r="M805" s="142"/>
      <c r="N805" s="142"/>
      <c r="O805" s="142"/>
      <c r="P805" s="136"/>
      <c r="Q805" s="34"/>
      <c r="R805" s="35"/>
      <c r="S805" s="35"/>
      <c r="T805" s="35"/>
      <c r="U805" s="35"/>
      <c r="V805" s="35"/>
      <c r="W805" s="35"/>
      <c r="X805" s="35"/>
      <c r="Y805" s="35"/>
      <c r="Z805" s="35"/>
      <c r="AA805" s="35"/>
    </row>
    <row r="806" ht="14.25" customHeight="1">
      <c r="A806" s="136"/>
      <c r="B806" s="137"/>
      <c r="C806" s="251"/>
      <c r="D806" s="452"/>
      <c r="E806" s="136"/>
      <c r="F806" s="253"/>
      <c r="G806" s="526"/>
      <c r="H806" s="527"/>
      <c r="I806" s="527"/>
      <c r="J806" s="141"/>
      <c r="K806" s="141"/>
      <c r="L806" s="142"/>
      <c r="M806" s="142"/>
      <c r="N806" s="142"/>
      <c r="O806" s="142"/>
      <c r="P806" s="136"/>
      <c r="Q806" s="34"/>
      <c r="R806" s="35"/>
      <c r="S806" s="35"/>
      <c r="T806" s="35"/>
      <c r="U806" s="35"/>
      <c r="V806" s="35"/>
      <c r="W806" s="35"/>
      <c r="X806" s="35"/>
      <c r="Y806" s="35"/>
      <c r="Z806" s="35"/>
      <c r="AA806" s="35"/>
    </row>
    <row r="807" ht="14.25" customHeight="1">
      <c r="A807" s="136"/>
      <c r="B807" s="137"/>
      <c r="C807" s="251"/>
      <c r="D807" s="452"/>
      <c r="E807" s="136"/>
      <c r="F807" s="253"/>
      <c r="G807" s="526"/>
      <c r="H807" s="527"/>
      <c r="I807" s="527"/>
      <c r="J807" s="141"/>
      <c r="K807" s="141"/>
      <c r="L807" s="142"/>
      <c r="M807" s="142"/>
      <c r="N807" s="142"/>
      <c r="O807" s="142"/>
      <c r="P807" s="136"/>
      <c r="Q807" s="34"/>
      <c r="R807" s="35"/>
      <c r="S807" s="35"/>
      <c r="T807" s="35"/>
      <c r="U807" s="35"/>
      <c r="V807" s="35"/>
      <c r="W807" s="35"/>
      <c r="X807" s="35"/>
      <c r="Y807" s="35"/>
      <c r="Z807" s="35"/>
      <c r="AA807" s="35"/>
    </row>
    <row r="808" ht="14.25" customHeight="1">
      <c r="A808" s="136"/>
      <c r="B808" s="137"/>
      <c r="C808" s="251"/>
      <c r="D808" s="452"/>
      <c r="E808" s="136"/>
      <c r="F808" s="253"/>
      <c r="G808" s="526"/>
      <c r="H808" s="527"/>
      <c r="I808" s="527"/>
      <c r="J808" s="141"/>
      <c r="K808" s="141"/>
      <c r="L808" s="142"/>
      <c r="M808" s="142"/>
      <c r="N808" s="142"/>
      <c r="O808" s="142"/>
      <c r="P808" s="136"/>
      <c r="Q808" s="34"/>
      <c r="R808" s="35"/>
      <c r="S808" s="35"/>
      <c r="T808" s="35"/>
      <c r="U808" s="35"/>
      <c r="V808" s="35"/>
      <c r="W808" s="35"/>
      <c r="X808" s="35"/>
      <c r="Y808" s="35"/>
      <c r="Z808" s="35"/>
      <c r="AA808" s="35"/>
    </row>
    <row r="809" ht="14.25" customHeight="1">
      <c r="A809" s="136"/>
      <c r="B809" s="137"/>
      <c r="C809" s="251"/>
      <c r="D809" s="452"/>
      <c r="E809" s="136"/>
      <c r="F809" s="253"/>
      <c r="G809" s="526"/>
      <c r="H809" s="527"/>
      <c r="I809" s="527"/>
      <c r="J809" s="141"/>
      <c r="K809" s="141"/>
      <c r="L809" s="142"/>
      <c r="M809" s="142"/>
      <c r="N809" s="142"/>
      <c r="O809" s="142"/>
      <c r="P809" s="136"/>
      <c r="Q809" s="34"/>
      <c r="R809" s="35"/>
      <c r="S809" s="35"/>
      <c r="T809" s="35"/>
      <c r="U809" s="35"/>
      <c r="V809" s="35"/>
      <c r="W809" s="35"/>
      <c r="X809" s="35"/>
      <c r="Y809" s="35"/>
      <c r="Z809" s="35"/>
      <c r="AA809" s="35"/>
    </row>
    <row r="810" ht="14.25" customHeight="1">
      <c r="A810" s="136"/>
      <c r="B810" s="137"/>
      <c r="C810" s="251"/>
      <c r="D810" s="452"/>
      <c r="E810" s="136"/>
      <c r="F810" s="253"/>
      <c r="G810" s="526"/>
      <c r="H810" s="527"/>
      <c r="I810" s="527"/>
      <c r="J810" s="141"/>
      <c r="K810" s="141"/>
      <c r="L810" s="142"/>
      <c r="M810" s="142"/>
      <c r="N810" s="142"/>
      <c r="O810" s="142"/>
      <c r="P810" s="136"/>
      <c r="Q810" s="34"/>
      <c r="R810" s="35"/>
      <c r="S810" s="35"/>
      <c r="T810" s="35"/>
      <c r="U810" s="35"/>
      <c r="V810" s="35"/>
      <c r="W810" s="35"/>
      <c r="X810" s="35"/>
      <c r="Y810" s="35"/>
      <c r="Z810" s="35"/>
      <c r="AA810" s="35"/>
    </row>
    <row r="811" ht="14.25" customHeight="1">
      <c r="A811" s="136"/>
      <c r="B811" s="137"/>
      <c r="C811" s="251"/>
      <c r="D811" s="452"/>
      <c r="E811" s="136"/>
      <c r="F811" s="253"/>
      <c r="G811" s="526"/>
      <c r="H811" s="527"/>
      <c r="I811" s="527"/>
      <c r="J811" s="141"/>
      <c r="K811" s="141"/>
      <c r="L811" s="142"/>
      <c r="M811" s="142"/>
      <c r="N811" s="142"/>
      <c r="O811" s="142"/>
      <c r="P811" s="136"/>
      <c r="Q811" s="34"/>
      <c r="R811" s="35"/>
      <c r="S811" s="35"/>
      <c r="T811" s="35"/>
      <c r="U811" s="35"/>
      <c r="V811" s="35"/>
      <c r="W811" s="35"/>
      <c r="X811" s="35"/>
      <c r="Y811" s="35"/>
      <c r="Z811" s="35"/>
      <c r="AA811" s="35"/>
    </row>
    <row r="812" ht="14.25" customHeight="1">
      <c r="A812" s="136"/>
      <c r="B812" s="137"/>
      <c r="C812" s="251"/>
      <c r="D812" s="452"/>
      <c r="E812" s="136"/>
      <c r="F812" s="253"/>
      <c r="G812" s="526"/>
      <c r="H812" s="527"/>
      <c r="I812" s="527"/>
      <c r="J812" s="141"/>
      <c r="K812" s="141"/>
      <c r="L812" s="142"/>
      <c r="M812" s="142"/>
      <c r="N812" s="142"/>
      <c r="O812" s="142"/>
      <c r="P812" s="136"/>
      <c r="Q812" s="34"/>
      <c r="R812" s="35"/>
      <c r="S812" s="35"/>
      <c r="T812" s="35"/>
      <c r="U812" s="35"/>
      <c r="V812" s="35"/>
      <c r="W812" s="35"/>
      <c r="X812" s="35"/>
      <c r="Y812" s="35"/>
      <c r="Z812" s="35"/>
      <c r="AA812" s="35"/>
    </row>
    <row r="813" ht="14.25" customHeight="1">
      <c r="A813" s="136"/>
      <c r="B813" s="137"/>
      <c r="C813" s="251"/>
      <c r="D813" s="452"/>
      <c r="E813" s="136"/>
      <c r="F813" s="253"/>
      <c r="G813" s="526"/>
      <c r="H813" s="527"/>
      <c r="I813" s="527"/>
      <c r="J813" s="141"/>
      <c r="K813" s="141"/>
      <c r="L813" s="142"/>
      <c r="M813" s="142"/>
      <c r="N813" s="142"/>
      <c r="O813" s="142"/>
      <c r="P813" s="136"/>
      <c r="Q813" s="34"/>
      <c r="R813" s="35"/>
      <c r="S813" s="35"/>
      <c r="T813" s="35"/>
      <c r="U813" s="35"/>
      <c r="V813" s="35"/>
      <c r="W813" s="35"/>
      <c r="X813" s="35"/>
      <c r="Y813" s="35"/>
      <c r="Z813" s="35"/>
      <c r="AA813" s="35"/>
    </row>
    <row r="814" ht="14.25" customHeight="1">
      <c r="A814" s="136"/>
      <c r="B814" s="137"/>
      <c r="C814" s="251"/>
      <c r="D814" s="452"/>
      <c r="E814" s="136"/>
      <c r="F814" s="253"/>
      <c r="G814" s="526"/>
      <c r="H814" s="527"/>
      <c r="I814" s="527"/>
      <c r="J814" s="141"/>
      <c r="K814" s="141"/>
      <c r="L814" s="142"/>
      <c r="M814" s="142"/>
      <c r="N814" s="142"/>
      <c r="O814" s="142"/>
      <c r="P814" s="136"/>
      <c r="Q814" s="34"/>
      <c r="R814" s="35"/>
      <c r="S814" s="35"/>
      <c r="T814" s="35"/>
      <c r="U814" s="35"/>
      <c r="V814" s="35"/>
      <c r="W814" s="35"/>
      <c r="X814" s="35"/>
      <c r="Y814" s="35"/>
      <c r="Z814" s="35"/>
      <c r="AA814" s="35"/>
    </row>
    <row r="815" ht="14.25" customHeight="1">
      <c r="A815" s="136"/>
      <c r="B815" s="137"/>
      <c r="C815" s="251"/>
      <c r="D815" s="452"/>
      <c r="E815" s="136"/>
      <c r="F815" s="253"/>
      <c r="G815" s="526"/>
      <c r="H815" s="527"/>
      <c r="I815" s="527"/>
      <c r="J815" s="141"/>
      <c r="K815" s="141"/>
      <c r="L815" s="142"/>
      <c r="M815" s="142"/>
      <c r="N815" s="142"/>
      <c r="O815" s="142"/>
      <c r="P815" s="136"/>
      <c r="Q815" s="34"/>
      <c r="R815" s="35"/>
      <c r="S815" s="35"/>
      <c r="T815" s="35"/>
      <c r="U815" s="35"/>
      <c r="V815" s="35"/>
      <c r="W815" s="35"/>
      <c r="X815" s="35"/>
      <c r="Y815" s="35"/>
      <c r="Z815" s="35"/>
      <c r="AA815" s="35"/>
    </row>
    <row r="816" ht="14.25" customHeight="1">
      <c r="A816" s="136"/>
      <c r="B816" s="137"/>
      <c r="C816" s="251"/>
      <c r="D816" s="452"/>
      <c r="E816" s="136"/>
      <c r="F816" s="253"/>
      <c r="G816" s="526"/>
      <c r="H816" s="527"/>
      <c r="I816" s="527"/>
      <c r="J816" s="141"/>
      <c r="K816" s="141"/>
      <c r="L816" s="142"/>
      <c r="M816" s="142"/>
      <c r="N816" s="142"/>
      <c r="O816" s="142"/>
      <c r="P816" s="136"/>
      <c r="Q816" s="34"/>
      <c r="R816" s="35"/>
      <c r="S816" s="35"/>
      <c r="T816" s="35"/>
      <c r="U816" s="35"/>
      <c r="V816" s="35"/>
      <c r="W816" s="35"/>
      <c r="X816" s="35"/>
      <c r="Y816" s="35"/>
      <c r="Z816" s="35"/>
      <c r="AA816" s="35"/>
    </row>
    <row r="817" ht="14.25" customHeight="1">
      <c r="A817" s="136"/>
      <c r="B817" s="137"/>
      <c r="C817" s="251"/>
      <c r="D817" s="452"/>
      <c r="E817" s="136"/>
      <c r="F817" s="253"/>
      <c r="G817" s="526"/>
      <c r="H817" s="527"/>
      <c r="I817" s="527"/>
      <c r="J817" s="141"/>
      <c r="K817" s="141"/>
      <c r="L817" s="142"/>
      <c r="M817" s="142"/>
      <c r="N817" s="142"/>
      <c r="O817" s="142"/>
      <c r="P817" s="136"/>
      <c r="Q817" s="34"/>
      <c r="R817" s="35"/>
      <c r="S817" s="35"/>
      <c r="T817" s="35"/>
      <c r="U817" s="35"/>
      <c r="V817" s="35"/>
      <c r="W817" s="35"/>
      <c r="X817" s="35"/>
      <c r="Y817" s="35"/>
      <c r="Z817" s="35"/>
      <c r="AA817" s="35"/>
    </row>
    <row r="818" ht="14.25" customHeight="1">
      <c r="A818" s="136"/>
      <c r="B818" s="137"/>
      <c r="C818" s="251"/>
      <c r="D818" s="452"/>
      <c r="E818" s="136"/>
      <c r="F818" s="253"/>
      <c r="G818" s="526"/>
      <c r="H818" s="527"/>
      <c r="I818" s="527"/>
      <c r="J818" s="141"/>
      <c r="K818" s="141"/>
      <c r="L818" s="142"/>
      <c r="M818" s="142"/>
      <c r="N818" s="142"/>
      <c r="O818" s="142"/>
      <c r="P818" s="136"/>
      <c r="Q818" s="34"/>
      <c r="R818" s="35"/>
      <c r="S818" s="35"/>
      <c r="T818" s="35"/>
      <c r="U818" s="35"/>
      <c r="V818" s="35"/>
      <c r="W818" s="35"/>
      <c r="X818" s="35"/>
      <c r="Y818" s="35"/>
      <c r="Z818" s="35"/>
      <c r="AA818" s="35"/>
    </row>
    <row r="819" ht="14.25" customHeight="1">
      <c r="A819" s="136"/>
      <c r="B819" s="137"/>
      <c r="C819" s="251"/>
      <c r="D819" s="452"/>
      <c r="E819" s="136"/>
      <c r="F819" s="253"/>
      <c r="G819" s="526"/>
      <c r="H819" s="527"/>
      <c r="I819" s="527"/>
      <c r="J819" s="141"/>
      <c r="K819" s="141"/>
      <c r="L819" s="142"/>
      <c r="M819" s="142"/>
      <c r="N819" s="142"/>
      <c r="O819" s="142"/>
      <c r="P819" s="136"/>
      <c r="Q819" s="34"/>
      <c r="R819" s="35"/>
      <c r="S819" s="35"/>
      <c r="T819" s="35"/>
      <c r="U819" s="35"/>
      <c r="V819" s="35"/>
      <c r="W819" s="35"/>
      <c r="X819" s="35"/>
      <c r="Y819" s="35"/>
      <c r="Z819" s="35"/>
      <c r="AA819" s="35"/>
    </row>
    <row r="820" ht="14.25" customHeight="1">
      <c r="A820" s="136"/>
      <c r="B820" s="137"/>
      <c r="C820" s="251"/>
      <c r="D820" s="452"/>
      <c r="E820" s="136"/>
      <c r="F820" s="253"/>
      <c r="G820" s="526"/>
      <c r="H820" s="527"/>
      <c r="I820" s="527"/>
      <c r="J820" s="141"/>
      <c r="K820" s="141"/>
      <c r="L820" s="142"/>
      <c r="M820" s="142"/>
      <c r="N820" s="142"/>
      <c r="O820" s="142"/>
      <c r="P820" s="136"/>
      <c r="Q820" s="34"/>
      <c r="R820" s="35"/>
      <c r="S820" s="35"/>
      <c r="T820" s="35"/>
      <c r="U820" s="35"/>
      <c r="V820" s="35"/>
      <c r="W820" s="35"/>
      <c r="X820" s="35"/>
      <c r="Y820" s="35"/>
      <c r="Z820" s="35"/>
      <c r="AA820" s="35"/>
    </row>
    <row r="821" ht="14.25" customHeight="1">
      <c r="A821" s="136"/>
      <c r="B821" s="137"/>
      <c r="C821" s="251"/>
      <c r="D821" s="452"/>
      <c r="E821" s="136"/>
      <c r="F821" s="253"/>
      <c r="G821" s="526"/>
      <c r="H821" s="527"/>
      <c r="I821" s="527"/>
      <c r="J821" s="141"/>
      <c r="K821" s="141"/>
      <c r="L821" s="142"/>
      <c r="M821" s="142"/>
      <c r="N821" s="142"/>
      <c r="O821" s="142"/>
      <c r="P821" s="136"/>
      <c r="Q821" s="34"/>
      <c r="R821" s="35"/>
      <c r="S821" s="35"/>
      <c r="T821" s="35"/>
      <c r="U821" s="35"/>
      <c r="V821" s="35"/>
      <c r="W821" s="35"/>
      <c r="X821" s="35"/>
      <c r="Y821" s="35"/>
      <c r="Z821" s="35"/>
      <c r="AA821" s="35"/>
    </row>
    <row r="822" ht="14.25" customHeight="1">
      <c r="A822" s="136"/>
      <c r="B822" s="137"/>
      <c r="C822" s="251"/>
      <c r="D822" s="452"/>
      <c r="E822" s="136"/>
      <c r="F822" s="253"/>
      <c r="G822" s="526"/>
      <c r="H822" s="527"/>
      <c r="I822" s="527"/>
      <c r="J822" s="141"/>
      <c r="K822" s="141"/>
      <c r="L822" s="142"/>
      <c r="M822" s="142"/>
      <c r="N822" s="142"/>
      <c r="O822" s="142"/>
      <c r="P822" s="136"/>
      <c r="Q822" s="34"/>
      <c r="R822" s="35"/>
      <c r="S822" s="35"/>
      <c r="T822" s="35"/>
      <c r="U822" s="35"/>
      <c r="V822" s="35"/>
      <c r="W822" s="35"/>
      <c r="X822" s="35"/>
      <c r="Y822" s="35"/>
      <c r="Z822" s="35"/>
      <c r="AA822" s="35"/>
    </row>
    <row r="823" ht="14.25" customHeight="1">
      <c r="A823" s="136"/>
      <c r="B823" s="137"/>
      <c r="C823" s="251"/>
      <c r="D823" s="452"/>
      <c r="E823" s="136"/>
      <c r="F823" s="253"/>
      <c r="G823" s="526"/>
      <c r="H823" s="527"/>
      <c r="I823" s="527"/>
      <c r="J823" s="141"/>
      <c r="K823" s="141"/>
      <c r="L823" s="142"/>
      <c r="M823" s="142"/>
      <c r="N823" s="142"/>
      <c r="O823" s="142"/>
      <c r="P823" s="136"/>
      <c r="Q823" s="34"/>
      <c r="R823" s="35"/>
      <c r="S823" s="35"/>
      <c r="T823" s="35"/>
      <c r="U823" s="35"/>
      <c r="V823" s="35"/>
      <c r="W823" s="35"/>
      <c r="X823" s="35"/>
      <c r="Y823" s="35"/>
      <c r="Z823" s="35"/>
      <c r="AA823" s="35"/>
    </row>
    <row r="824" ht="14.25" customHeight="1">
      <c r="A824" s="136"/>
      <c r="B824" s="137"/>
      <c r="C824" s="251"/>
      <c r="D824" s="452"/>
      <c r="E824" s="136"/>
      <c r="F824" s="253"/>
      <c r="G824" s="526"/>
      <c r="H824" s="527"/>
      <c r="I824" s="527"/>
      <c r="J824" s="141"/>
      <c r="K824" s="141"/>
      <c r="L824" s="142"/>
      <c r="M824" s="142"/>
      <c r="N824" s="142"/>
      <c r="O824" s="142"/>
      <c r="P824" s="136"/>
      <c r="Q824" s="34"/>
      <c r="R824" s="35"/>
      <c r="S824" s="35"/>
      <c r="T824" s="35"/>
      <c r="U824" s="35"/>
      <c r="V824" s="35"/>
      <c r="W824" s="35"/>
      <c r="X824" s="35"/>
      <c r="Y824" s="35"/>
      <c r="Z824" s="35"/>
      <c r="AA824" s="35"/>
    </row>
    <row r="825" ht="14.25" customHeight="1">
      <c r="A825" s="136"/>
      <c r="B825" s="137"/>
      <c r="C825" s="251"/>
      <c r="D825" s="452"/>
      <c r="E825" s="136"/>
      <c r="F825" s="253"/>
      <c r="G825" s="526"/>
      <c r="H825" s="527"/>
      <c r="I825" s="527"/>
      <c r="J825" s="141"/>
      <c r="K825" s="141"/>
      <c r="L825" s="142"/>
      <c r="M825" s="142"/>
      <c r="N825" s="142"/>
      <c r="O825" s="142"/>
      <c r="P825" s="136"/>
      <c r="Q825" s="34"/>
      <c r="R825" s="35"/>
      <c r="S825" s="35"/>
      <c r="T825" s="35"/>
      <c r="U825" s="35"/>
      <c r="V825" s="35"/>
      <c r="W825" s="35"/>
      <c r="X825" s="35"/>
      <c r="Y825" s="35"/>
      <c r="Z825" s="35"/>
      <c r="AA825" s="35"/>
    </row>
    <row r="826" ht="14.25" customHeight="1">
      <c r="A826" s="136"/>
      <c r="B826" s="137"/>
      <c r="C826" s="251"/>
      <c r="D826" s="452"/>
      <c r="E826" s="136"/>
      <c r="F826" s="253"/>
      <c r="G826" s="526"/>
      <c r="H826" s="527"/>
      <c r="I826" s="527"/>
      <c r="J826" s="141"/>
      <c r="K826" s="141"/>
      <c r="L826" s="142"/>
      <c r="M826" s="142"/>
      <c r="N826" s="142"/>
      <c r="O826" s="142"/>
      <c r="P826" s="136"/>
      <c r="Q826" s="34"/>
      <c r="R826" s="35"/>
      <c r="S826" s="35"/>
      <c r="T826" s="35"/>
      <c r="U826" s="35"/>
      <c r="V826" s="35"/>
      <c r="W826" s="35"/>
      <c r="X826" s="35"/>
      <c r="Y826" s="35"/>
      <c r="Z826" s="35"/>
      <c r="AA826" s="35"/>
    </row>
    <row r="827" ht="14.25" customHeight="1">
      <c r="A827" s="136"/>
      <c r="B827" s="137"/>
      <c r="C827" s="251"/>
      <c r="D827" s="452"/>
      <c r="E827" s="136"/>
      <c r="F827" s="253"/>
      <c r="G827" s="526"/>
      <c r="H827" s="527"/>
      <c r="I827" s="527"/>
      <c r="J827" s="141"/>
      <c r="K827" s="141"/>
      <c r="L827" s="142"/>
      <c r="M827" s="142"/>
      <c r="N827" s="142"/>
      <c r="O827" s="142"/>
      <c r="P827" s="136"/>
      <c r="Q827" s="34"/>
      <c r="R827" s="35"/>
      <c r="S827" s="35"/>
      <c r="T827" s="35"/>
      <c r="U827" s="35"/>
      <c r="V827" s="35"/>
      <c r="W827" s="35"/>
      <c r="X827" s="35"/>
      <c r="Y827" s="35"/>
      <c r="Z827" s="35"/>
      <c r="AA827" s="35"/>
    </row>
    <row r="828" ht="14.25" customHeight="1">
      <c r="A828" s="136"/>
      <c r="B828" s="137"/>
      <c r="C828" s="251"/>
      <c r="D828" s="452"/>
      <c r="E828" s="136"/>
      <c r="F828" s="253"/>
      <c r="G828" s="526"/>
      <c r="H828" s="527"/>
      <c r="I828" s="527"/>
      <c r="J828" s="141"/>
      <c r="K828" s="141"/>
      <c r="L828" s="142"/>
      <c r="M828" s="142"/>
      <c r="N828" s="142"/>
      <c r="O828" s="142"/>
      <c r="P828" s="136"/>
      <c r="Q828" s="34"/>
      <c r="R828" s="35"/>
      <c r="S828" s="35"/>
      <c r="T828" s="35"/>
      <c r="U828" s="35"/>
      <c r="V828" s="35"/>
      <c r="W828" s="35"/>
      <c r="X828" s="35"/>
      <c r="Y828" s="35"/>
      <c r="Z828" s="35"/>
      <c r="AA828" s="35"/>
    </row>
    <row r="829" ht="14.25" customHeight="1">
      <c r="A829" s="136"/>
      <c r="B829" s="137"/>
      <c r="C829" s="251"/>
      <c r="D829" s="452"/>
      <c r="E829" s="136"/>
      <c r="F829" s="253"/>
      <c r="G829" s="526"/>
      <c r="H829" s="527"/>
      <c r="I829" s="527"/>
      <c r="J829" s="141"/>
      <c r="K829" s="141"/>
      <c r="L829" s="142"/>
      <c r="M829" s="142"/>
      <c r="N829" s="142"/>
      <c r="O829" s="142"/>
      <c r="P829" s="136"/>
      <c r="Q829" s="34"/>
      <c r="R829" s="35"/>
      <c r="S829" s="35"/>
      <c r="T829" s="35"/>
      <c r="U829" s="35"/>
      <c r="V829" s="35"/>
      <c r="W829" s="35"/>
      <c r="X829" s="35"/>
      <c r="Y829" s="35"/>
      <c r="Z829" s="35"/>
      <c r="AA829" s="35"/>
    </row>
    <row r="830" ht="14.25" customHeight="1">
      <c r="A830" s="136"/>
      <c r="B830" s="137"/>
      <c r="C830" s="251"/>
      <c r="D830" s="452"/>
      <c r="E830" s="136"/>
      <c r="F830" s="253"/>
      <c r="G830" s="526"/>
      <c r="H830" s="527"/>
      <c r="I830" s="527"/>
      <c r="J830" s="141"/>
      <c r="K830" s="141"/>
      <c r="L830" s="142"/>
      <c r="M830" s="142"/>
      <c r="N830" s="142"/>
      <c r="O830" s="142"/>
      <c r="P830" s="136"/>
      <c r="Q830" s="34"/>
      <c r="R830" s="35"/>
      <c r="S830" s="35"/>
      <c r="T830" s="35"/>
      <c r="U830" s="35"/>
      <c r="V830" s="35"/>
      <c r="W830" s="35"/>
      <c r="X830" s="35"/>
      <c r="Y830" s="35"/>
      <c r="Z830" s="35"/>
      <c r="AA830" s="35"/>
    </row>
    <row r="831" ht="14.25" customHeight="1">
      <c r="A831" s="136"/>
      <c r="B831" s="137"/>
      <c r="C831" s="251"/>
      <c r="D831" s="452"/>
      <c r="E831" s="136"/>
      <c r="F831" s="253"/>
      <c r="G831" s="526"/>
      <c r="H831" s="527"/>
      <c r="I831" s="527"/>
      <c r="J831" s="141"/>
      <c r="K831" s="141"/>
      <c r="L831" s="142"/>
      <c r="M831" s="142"/>
      <c r="N831" s="142"/>
      <c r="O831" s="142"/>
      <c r="P831" s="136"/>
      <c r="Q831" s="34"/>
      <c r="R831" s="35"/>
      <c r="S831" s="35"/>
      <c r="T831" s="35"/>
      <c r="U831" s="35"/>
      <c r="V831" s="35"/>
      <c r="W831" s="35"/>
      <c r="X831" s="35"/>
      <c r="Y831" s="35"/>
      <c r="Z831" s="35"/>
      <c r="AA831" s="35"/>
    </row>
    <row r="832" ht="14.25" customHeight="1">
      <c r="A832" s="136"/>
      <c r="B832" s="137"/>
      <c r="C832" s="251"/>
      <c r="D832" s="452"/>
      <c r="E832" s="136"/>
      <c r="F832" s="253"/>
      <c r="G832" s="526"/>
      <c r="H832" s="527"/>
      <c r="I832" s="527"/>
      <c r="J832" s="141"/>
      <c r="K832" s="141"/>
      <c r="L832" s="142"/>
      <c r="M832" s="142"/>
      <c r="N832" s="142"/>
      <c r="O832" s="142"/>
      <c r="P832" s="136"/>
      <c r="Q832" s="34"/>
      <c r="R832" s="35"/>
      <c r="S832" s="35"/>
      <c r="T832" s="35"/>
      <c r="U832" s="35"/>
      <c r="V832" s="35"/>
      <c r="W832" s="35"/>
      <c r="X832" s="35"/>
      <c r="Y832" s="35"/>
      <c r="Z832" s="35"/>
      <c r="AA832" s="35"/>
    </row>
    <row r="833" ht="14.25" customHeight="1">
      <c r="A833" s="136"/>
      <c r="B833" s="137"/>
      <c r="C833" s="251"/>
      <c r="D833" s="452"/>
      <c r="E833" s="136"/>
      <c r="F833" s="253"/>
      <c r="G833" s="526"/>
      <c r="H833" s="527"/>
      <c r="I833" s="527"/>
      <c r="J833" s="141"/>
      <c r="K833" s="141"/>
      <c r="L833" s="142"/>
      <c r="M833" s="142"/>
      <c r="N833" s="142"/>
      <c r="O833" s="142"/>
      <c r="P833" s="136"/>
      <c r="Q833" s="34"/>
      <c r="R833" s="35"/>
      <c r="S833" s="35"/>
      <c r="T833" s="35"/>
      <c r="U833" s="35"/>
      <c r="V833" s="35"/>
      <c r="W833" s="35"/>
      <c r="X833" s="35"/>
      <c r="Y833" s="35"/>
      <c r="Z833" s="35"/>
      <c r="AA833" s="35"/>
    </row>
    <row r="834" ht="14.25" customHeight="1">
      <c r="A834" s="136"/>
      <c r="B834" s="137"/>
      <c r="C834" s="251"/>
      <c r="D834" s="452"/>
      <c r="E834" s="136"/>
      <c r="F834" s="253"/>
      <c r="G834" s="526"/>
      <c r="H834" s="527"/>
      <c r="I834" s="527"/>
      <c r="J834" s="141"/>
      <c r="K834" s="141"/>
      <c r="L834" s="142"/>
      <c r="M834" s="142"/>
      <c r="N834" s="142"/>
      <c r="O834" s="142"/>
      <c r="P834" s="136"/>
      <c r="Q834" s="34"/>
      <c r="R834" s="35"/>
      <c r="S834" s="35"/>
      <c r="T834" s="35"/>
      <c r="U834" s="35"/>
      <c r="V834" s="35"/>
      <c r="W834" s="35"/>
      <c r="X834" s="35"/>
      <c r="Y834" s="35"/>
      <c r="Z834" s="35"/>
      <c r="AA834" s="35"/>
    </row>
    <row r="835" ht="14.25" customHeight="1">
      <c r="A835" s="136"/>
      <c r="B835" s="137"/>
      <c r="C835" s="251"/>
      <c r="D835" s="452"/>
      <c r="E835" s="136"/>
      <c r="F835" s="253"/>
      <c r="G835" s="526"/>
      <c r="H835" s="527"/>
      <c r="I835" s="527"/>
      <c r="J835" s="141"/>
      <c r="K835" s="141"/>
      <c r="L835" s="142"/>
      <c r="M835" s="142"/>
      <c r="N835" s="142"/>
      <c r="O835" s="142"/>
      <c r="P835" s="136"/>
      <c r="Q835" s="34"/>
      <c r="R835" s="35"/>
      <c r="S835" s="35"/>
      <c r="T835" s="35"/>
      <c r="U835" s="35"/>
      <c r="V835" s="35"/>
      <c r="W835" s="35"/>
      <c r="X835" s="35"/>
      <c r="Y835" s="35"/>
      <c r="Z835" s="35"/>
      <c r="AA835" s="35"/>
    </row>
    <row r="836" ht="14.25" customHeight="1">
      <c r="A836" s="136"/>
      <c r="B836" s="137"/>
      <c r="C836" s="251"/>
      <c r="D836" s="452"/>
      <c r="E836" s="136"/>
      <c r="F836" s="253"/>
      <c r="G836" s="526"/>
      <c r="H836" s="527"/>
      <c r="I836" s="527"/>
      <c r="J836" s="141"/>
      <c r="K836" s="141"/>
      <c r="L836" s="142"/>
      <c r="M836" s="142"/>
      <c r="N836" s="142"/>
      <c r="O836" s="142"/>
      <c r="P836" s="136"/>
      <c r="Q836" s="34"/>
      <c r="R836" s="35"/>
      <c r="S836" s="35"/>
      <c r="T836" s="35"/>
      <c r="U836" s="35"/>
      <c r="V836" s="35"/>
      <c r="W836" s="35"/>
      <c r="X836" s="35"/>
      <c r="Y836" s="35"/>
      <c r="Z836" s="35"/>
      <c r="AA836" s="35"/>
    </row>
    <row r="837" ht="14.25" customHeight="1">
      <c r="A837" s="136"/>
      <c r="B837" s="137"/>
      <c r="C837" s="251"/>
      <c r="D837" s="452"/>
      <c r="E837" s="136"/>
      <c r="F837" s="253"/>
      <c r="G837" s="526"/>
      <c r="H837" s="527"/>
      <c r="I837" s="527"/>
      <c r="J837" s="141"/>
      <c r="K837" s="141"/>
      <c r="L837" s="142"/>
      <c r="M837" s="142"/>
      <c r="N837" s="142"/>
      <c r="O837" s="142"/>
      <c r="P837" s="136"/>
      <c r="Q837" s="34"/>
      <c r="R837" s="35"/>
      <c r="S837" s="35"/>
      <c r="T837" s="35"/>
      <c r="U837" s="35"/>
      <c r="V837" s="35"/>
      <c r="W837" s="35"/>
      <c r="X837" s="35"/>
      <c r="Y837" s="35"/>
      <c r="Z837" s="35"/>
      <c r="AA837" s="35"/>
    </row>
    <row r="838" ht="14.25" customHeight="1">
      <c r="A838" s="136"/>
      <c r="B838" s="137"/>
      <c r="C838" s="251"/>
      <c r="D838" s="452"/>
      <c r="E838" s="136"/>
      <c r="F838" s="253"/>
      <c r="G838" s="526"/>
      <c r="H838" s="527"/>
      <c r="I838" s="527"/>
      <c r="J838" s="141"/>
      <c r="K838" s="141"/>
      <c r="L838" s="142"/>
      <c r="M838" s="142"/>
      <c r="N838" s="142"/>
      <c r="O838" s="142"/>
      <c r="P838" s="136"/>
      <c r="Q838" s="34"/>
      <c r="R838" s="35"/>
      <c r="S838" s="35"/>
      <c r="T838" s="35"/>
      <c r="U838" s="35"/>
      <c r="V838" s="35"/>
      <c r="W838" s="35"/>
      <c r="X838" s="35"/>
      <c r="Y838" s="35"/>
      <c r="Z838" s="35"/>
      <c r="AA838" s="35"/>
    </row>
    <row r="839" ht="14.25" customHeight="1">
      <c r="A839" s="136"/>
      <c r="B839" s="137"/>
      <c r="C839" s="251"/>
      <c r="D839" s="452"/>
      <c r="E839" s="136"/>
      <c r="F839" s="253"/>
      <c r="G839" s="526"/>
      <c r="H839" s="527"/>
      <c r="I839" s="527"/>
      <c r="J839" s="141"/>
      <c r="K839" s="141"/>
      <c r="L839" s="142"/>
      <c r="M839" s="142"/>
      <c r="N839" s="142"/>
      <c r="O839" s="142"/>
      <c r="P839" s="136"/>
      <c r="Q839" s="34"/>
      <c r="R839" s="35"/>
      <c r="S839" s="35"/>
      <c r="T839" s="35"/>
      <c r="U839" s="35"/>
      <c r="V839" s="35"/>
      <c r="W839" s="35"/>
      <c r="X839" s="35"/>
      <c r="Y839" s="35"/>
      <c r="Z839" s="35"/>
      <c r="AA839" s="35"/>
    </row>
    <row r="840" ht="14.25" customHeight="1">
      <c r="A840" s="136"/>
      <c r="B840" s="137"/>
      <c r="C840" s="251"/>
      <c r="D840" s="452"/>
      <c r="E840" s="136"/>
      <c r="F840" s="253"/>
      <c r="G840" s="526"/>
      <c r="H840" s="527"/>
      <c r="I840" s="527"/>
      <c r="J840" s="141"/>
      <c r="K840" s="141"/>
      <c r="L840" s="142"/>
      <c r="M840" s="142"/>
      <c r="N840" s="142"/>
      <c r="O840" s="142"/>
      <c r="P840" s="136"/>
      <c r="Q840" s="34"/>
      <c r="R840" s="35"/>
      <c r="S840" s="35"/>
      <c r="T840" s="35"/>
      <c r="U840" s="35"/>
      <c r="V840" s="35"/>
      <c r="W840" s="35"/>
      <c r="X840" s="35"/>
      <c r="Y840" s="35"/>
      <c r="Z840" s="35"/>
      <c r="AA840" s="35"/>
    </row>
    <row r="841" ht="14.25" customHeight="1">
      <c r="A841" s="136"/>
      <c r="B841" s="137"/>
      <c r="C841" s="251"/>
      <c r="D841" s="452"/>
      <c r="E841" s="136"/>
      <c r="F841" s="253"/>
      <c r="G841" s="526"/>
      <c r="H841" s="527"/>
      <c r="I841" s="527"/>
      <c r="J841" s="141"/>
      <c r="K841" s="141"/>
      <c r="L841" s="142"/>
      <c r="M841" s="142"/>
      <c r="N841" s="142"/>
      <c r="O841" s="142"/>
      <c r="P841" s="136"/>
      <c r="Q841" s="34"/>
      <c r="R841" s="35"/>
      <c r="S841" s="35"/>
      <c r="T841" s="35"/>
      <c r="U841" s="35"/>
      <c r="V841" s="35"/>
      <c r="W841" s="35"/>
      <c r="X841" s="35"/>
      <c r="Y841" s="35"/>
      <c r="Z841" s="35"/>
      <c r="AA841" s="35"/>
    </row>
    <row r="842" ht="14.25" customHeight="1">
      <c r="A842" s="136"/>
      <c r="B842" s="137"/>
      <c r="C842" s="251"/>
      <c r="D842" s="452"/>
      <c r="E842" s="136"/>
      <c r="F842" s="253"/>
      <c r="G842" s="526"/>
      <c r="H842" s="527"/>
      <c r="I842" s="527"/>
      <c r="J842" s="141"/>
      <c r="K842" s="141"/>
      <c r="L842" s="142"/>
      <c r="M842" s="142"/>
      <c r="N842" s="142"/>
      <c r="O842" s="142"/>
      <c r="P842" s="136"/>
      <c r="Q842" s="34"/>
      <c r="R842" s="35"/>
      <c r="S842" s="35"/>
      <c r="T842" s="35"/>
      <c r="U842" s="35"/>
      <c r="V842" s="35"/>
      <c r="W842" s="35"/>
      <c r="X842" s="35"/>
      <c r="Y842" s="35"/>
      <c r="Z842" s="35"/>
      <c r="AA842" s="35"/>
    </row>
    <row r="843" ht="14.25" customHeight="1">
      <c r="A843" s="136"/>
      <c r="B843" s="137"/>
      <c r="C843" s="251"/>
      <c r="D843" s="452"/>
      <c r="E843" s="136"/>
      <c r="F843" s="253"/>
      <c r="G843" s="526"/>
      <c r="H843" s="527"/>
      <c r="I843" s="527"/>
      <c r="J843" s="141"/>
      <c r="K843" s="141"/>
      <c r="L843" s="142"/>
      <c r="M843" s="142"/>
      <c r="N843" s="142"/>
      <c r="O843" s="142"/>
      <c r="P843" s="136"/>
      <c r="Q843" s="34"/>
      <c r="R843" s="35"/>
      <c r="S843" s="35"/>
      <c r="T843" s="35"/>
      <c r="U843" s="35"/>
      <c r="V843" s="35"/>
      <c r="W843" s="35"/>
      <c r="X843" s="35"/>
      <c r="Y843" s="35"/>
      <c r="Z843" s="35"/>
      <c r="AA843" s="35"/>
    </row>
    <row r="844" ht="14.25" customHeight="1">
      <c r="A844" s="136"/>
      <c r="B844" s="137"/>
      <c r="C844" s="251"/>
      <c r="D844" s="452"/>
      <c r="E844" s="136"/>
      <c r="F844" s="253"/>
      <c r="G844" s="526"/>
      <c r="H844" s="527"/>
      <c r="I844" s="527"/>
      <c r="J844" s="141"/>
      <c r="K844" s="141"/>
      <c r="L844" s="142"/>
      <c r="M844" s="142"/>
      <c r="N844" s="142"/>
      <c r="O844" s="142"/>
      <c r="P844" s="136"/>
      <c r="Q844" s="34"/>
      <c r="R844" s="35"/>
      <c r="S844" s="35"/>
      <c r="T844" s="35"/>
      <c r="U844" s="35"/>
      <c r="V844" s="35"/>
      <c r="W844" s="35"/>
      <c r="X844" s="35"/>
      <c r="Y844" s="35"/>
      <c r="Z844" s="35"/>
      <c r="AA844" s="35"/>
    </row>
    <row r="845" ht="14.25" customHeight="1">
      <c r="A845" s="136"/>
      <c r="B845" s="137"/>
      <c r="C845" s="251"/>
      <c r="D845" s="452"/>
      <c r="E845" s="136"/>
      <c r="F845" s="253"/>
      <c r="G845" s="526"/>
      <c r="H845" s="527"/>
      <c r="I845" s="527"/>
      <c r="J845" s="141"/>
      <c r="K845" s="141"/>
      <c r="L845" s="142"/>
      <c r="M845" s="142"/>
      <c r="N845" s="142"/>
      <c r="O845" s="142"/>
      <c r="P845" s="136"/>
      <c r="Q845" s="34"/>
      <c r="R845" s="35"/>
      <c r="S845" s="35"/>
      <c r="T845" s="35"/>
      <c r="U845" s="35"/>
      <c r="V845" s="35"/>
      <c r="W845" s="35"/>
      <c r="X845" s="35"/>
      <c r="Y845" s="35"/>
      <c r="Z845" s="35"/>
      <c r="AA845" s="35"/>
    </row>
    <row r="846" ht="14.25" customHeight="1">
      <c r="A846" s="136"/>
      <c r="B846" s="137"/>
      <c r="C846" s="251"/>
      <c r="D846" s="452"/>
      <c r="E846" s="136"/>
      <c r="F846" s="253"/>
      <c r="G846" s="526"/>
      <c r="H846" s="527"/>
      <c r="I846" s="527"/>
      <c r="J846" s="141"/>
      <c r="K846" s="141"/>
      <c r="L846" s="142"/>
      <c r="M846" s="142"/>
      <c r="N846" s="142"/>
      <c r="O846" s="142"/>
      <c r="P846" s="136"/>
      <c r="Q846" s="34"/>
      <c r="R846" s="35"/>
      <c r="S846" s="35"/>
      <c r="T846" s="35"/>
      <c r="U846" s="35"/>
      <c r="V846" s="35"/>
      <c r="W846" s="35"/>
      <c r="X846" s="35"/>
      <c r="Y846" s="35"/>
      <c r="Z846" s="35"/>
      <c r="AA846" s="35"/>
    </row>
    <row r="847" ht="14.25" customHeight="1">
      <c r="A847" s="136"/>
      <c r="B847" s="137"/>
      <c r="C847" s="251"/>
      <c r="D847" s="452"/>
      <c r="E847" s="136"/>
      <c r="F847" s="253"/>
      <c r="G847" s="526"/>
      <c r="H847" s="527"/>
      <c r="I847" s="527"/>
      <c r="J847" s="141"/>
      <c r="K847" s="141"/>
      <c r="L847" s="142"/>
      <c r="M847" s="142"/>
      <c r="N847" s="142"/>
      <c r="O847" s="142"/>
      <c r="P847" s="136"/>
      <c r="Q847" s="34"/>
      <c r="R847" s="35"/>
      <c r="S847" s="35"/>
      <c r="T847" s="35"/>
      <c r="U847" s="35"/>
      <c r="V847" s="35"/>
      <c r="W847" s="35"/>
      <c r="X847" s="35"/>
      <c r="Y847" s="35"/>
      <c r="Z847" s="35"/>
      <c r="AA847" s="35"/>
    </row>
    <row r="848" ht="14.25" customHeight="1">
      <c r="A848" s="136"/>
      <c r="B848" s="137"/>
      <c r="C848" s="251"/>
      <c r="D848" s="452"/>
      <c r="E848" s="136"/>
      <c r="F848" s="253"/>
      <c r="G848" s="526"/>
      <c r="H848" s="527"/>
      <c r="I848" s="527"/>
      <c r="J848" s="141"/>
      <c r="K848" s="141"/>
      <c r="L848" s="142"/>
      <c r="M848" s="142"/>
      <c r="N848" s="142"/>
      <c r="O848" s="142"/>
      <c r="P848" s="136"/>
      <c r="Q848" s="34"/>
      <c r="R848" s="35"/>
      <c r="S848" s="35"/>
      <c r="T848" s="35"/>
      <c r="U848" s="35"/>
      <c r="V848" s="35"/>
      <c r="W848" s="35"/>
      <c r="X848" s="35"/>
      <c r="Y848" s="35"/>
      <c r="Z848" s="35"/>
      <c r="AA848" s="35"/>
    </row>
    <row r="849" ht="14.25" customHeight="1">
      <c r="A849" s="136"/>
      <c r="B849" s="137"/>
      <c r="C849" s="251"/>
      <c r="D849" s="452"/>
      <c r="E849" s="136"/>
      <c r="F849" s="253"/>
      <c r="G849" s="526"/>
      <c r="H849" s="527"/>
      <c r="I849" s="527"/>
      <c r="J849" s="141"/>
      <c r="K849" s="141"/>
      <c r="L849" s="142"/>
      <c r="M849" s="142"/>
      <c r="N849" s="142"/>
      <c r="O849" s="142"/>
      <c r="P849" s="136"/>
      <c r="Q849" s="34"/>
      <c r="R849" s="35"/>
      <c r="S849" s="35"/>
      <c r="T849" s="35"/>
      <c r="U849" s="35"/>
      <c r="V849" s="35"/>
      <c r="W849" s="35"/>
      <c r="X849" s="35"/>
      <c r="Y849" s="35"/>
      <c r="Z849" s="35"/>
      <c r="AA849" s="35"/>
    </row>
    <row r="850" ht="14.25" customHeight="1">
      <c r="A850" s="136"/>
      <c r="B850" s="137"/>
      <c r="C850" s="251"/>
      <c r="D850" s="452"/>
      <c r="E850" s="136"/>
      <c r="F850" s="253"/>
      <c r="G850" s="526"/>
      <c r="H850" s="527"/>
      <c r="I850" s="527"/>
      <c r="J850" s="141"/>
      <c r="K850" s="141"/>
      <c r="L850" s="142"/>
      <c r="M850" s="142"/>
      <c r="N850" s="142"/>
      <c r="O850" s="142"/>
      <c r="P850" s="136"/>
      <c r="Q850" s="34"/>
      <c r="R850" s="35"/>
      <c r="S850" s="35"/>
      <c r="T850" s="35"/>
      <c r="U850" s="35"/>
      <c r="V850" s="35"/>
      <c r="W850" s="35"/>
      <c r="X850" s="35"/>
      <c r="Y850" s="35"/>
      <c r="Z850" s="35"/>
      <c r="AA850" s="35"/>
    </row>
    <row r="851" ht="14.25" customHeight="1">
      <c r="A851" s="136"/>
      <c r="B851" s="137"/>
      <c r="C851" s="251"/>
      <c r="D851" s="452"/>
      <c r="E851" s="136"/>
      <c r="F851" s="253"/>
      <c r="G851" s="526"/>
      <c r="H851" s="527"/>
      <c r="I851" s="527"/>
      <c r="J851" s="141"/>
      <c r="K851" s="141"/>
      <c r="L851" s="142"/>
      <c r="M851" s="142"/>
      <c r="N851" s="142"/>
      <c r="O851" s="142"/>
      <c r="P851" s="136"/>
      <c r="Q851" s="34"/>
      <c r="R851" s="35"/>
      <c r="S851" s="35"/>
      <c r="T851" s="35"/>
      <c r="U851" s="35"/>
      <c r="V851" s="35"/>
      <c r="W851" s="35"/>
      <c r="X851" s="35"/>
      <c r="Y851" s="35"/>
      <c r="Z851" s="35"/>
      <c r="AA851" s="35"/>
    </row>
    <row r="852" ht="14.25" customHeight="1">
      <c r="A852" s="136"/>
      <c r="B852" s="137"/>
      <c r="C852" s="251"/>
      <c r="D852" s="452"/>
      <c r="E852" s="136"/>
      <c r="F852" s="253"/>
      <c r="G852" s="526"/>
      <c r="H852" s="527"/>
      <c r="I852" s="527"/>
      <c r="J852" s="141"/>
      <c r="K852" s="141"/>
      <c r="L852" s="142"/>
      <c r="M852" s="142"/>
      <c r="N852" s="142"/>
      <c r="O852" s="142"/>
      <c r="P852" s="136"/>
      <c r="Q852" s="34"/>
      <c r="R852" s="35"/>
      <c r="S852" s="35"/>
      <c r="T852" s="35"/>
      <c r="U852" s="35"/>
      <c r="V852" s="35"/>
      <c r="W852" s="35"/>
      <c r="X852" s="35"/>
      <c r="Y852" s="35"/>
      <c r="Z852" s="35"/>
      <c r="AA852" s="35"/>
    </row>
    <row r="853" ht="14.25" customHeight="1">
      <c r="A853" s="136"/>
      <c r="B853" s="137"/>
      <c r="C853" s="251"/>
      <c r="D853" s="452"/>
      <c r="E853" s="136"/>
      <c r="F853" s="253"/>
      <c r="G853" s="526"/>
      <c r="H853" s="527"/>
      <c r="I853" s="527"/>
      <c r="J853" s="141"/>
      <c r="K853" s="141"/>
      <c r="L853" s="142"/>
      <c r="M853" s="142"/>
      <c r="N853" s="142"/>
      <c r="O853" s="142"/>
      <c r="P853" s="136"/>
      <c r="Q853" s="34"/>
      <c r="R853" s="35"/>
      <c r="S853" s="35"/>
      <c r="T853" s="35"/>
      <c r="U853" s="35"/>
      <c r="V853" s="35"/>
      <c r="W853" s="35"/>
      <c r="X853" s="35"/>
      <c r="Y853" s="35"/>
      <c r="Z853" s="35"/>
      <c r="AA853" s="35"/>
    </row>
    <row r="854" ht="14.25" customHeight="1">
      <c r="A854" s="136"/>
      <c r="B854" s="137"/>
      <c r="C854" s="251"/>
      <c r="D854" s="452"/>
      <c r="E854" s="136"/>
      <c r="F854" s="253"/>
      <c r="G854" s="526"/>
      <c r="H854" s="527"/>
      <c r="I854" s="527"/>
      <c r="J854" s="141"/>
      <c r="K854" s="141"/>
      <c r="L854" s="142"/>
      <c r="M854" s="142"/>
      <c r="N854" s="142"/>
      <c r="O854" s="142"/>
      <c r="P854" s="136"/>
      <c r="Q854" s="34"/>
      <c r="R854" s="35"/>
      <c r="S854" s="35"/>
      <c r="T854" s="35"/>
      <c r="U854" s="35"/>
      <c r="V854" s="35"/>
      <c r="W854" s="35"/>
      <c r="X854" s="35"/>
      <c r="Y854" s="35"/>
      <c r="Z854" s="35"/>
      <c r="AA854" s="35"/>
    </row>
    <row r="855" ht="14.25" customHeight="1">
      <c r="A855" s="136"/>
      <c r="B855" s="137"/>
      <c r="C855" s="251"/>
      <c r="D855" s="452"/>
      <c r="E855" s="136"/>
      <c r="F855" s="253"/>
      <c r="G855" s="526"/>
      <c r="H855" s="527"/>
      <c r="I855" s="527"/>
      <c r="J855" s="141"/>
      <c r="K855" s="141"/>
      <c r="L855" s="142"/>
      <c r="M855" s="142"/>
      <c r="N855" s="142"/>
      <c r="O855" s="142"/>
      <c r="P855" s="136"/>
      <c r="Q855" s="34"/>
      <c r="R855" s="35"/>
      <c r="S855" s="35"/>
      <c r="T855" s="35"/>
      <c r="U855" s="35"/>
      <c r="V855" s="35"/>
      <c r="W855" s="35"/>
      <c r="X855" s="35"/>
      <c r="Y855" s="35"/>
      <c r="Z855" s="35"/>
      <c r="AA855" s="35"/>
    </row>
    <row r="856" ht="14.25" customHeight="1">
      <c r="A856" s="136"/>
      <c r="B856" s="137"/>
      <c r="C856" s="251"/>
      <c r="D856" s="452"/>
      <c r="E856" s="136"/>
      <c r="F856" s="253"/>
      <c r="G856" s="526"/>
      <c r="H856" s="527"/>
      <c r="I856" s="527"/>
      <c r="J856" s="141"/>
      <c r="K856" s="141"/>
      <c r="L856" s="142"/>
      <c r="M856" s="142"/>
      <c r="N856" s="142"/>
      <c r="O856" s="142"/>
      <c r="P856" s="136"/>
      <c r="Q856" s="34"/>
      <c r="R856" s="35"/>
      <c r="S856" s="35"/>
      <c r="T856" s="35"/>
      <c r="U856" s="35"/>
      <c r="V856" s="35"/>
      <c r="W856" s="35"/>
      <c r="X856" s="35"/>
      <c r="Y856" s="35"/>
      <c r="Z856" s="35"/>
      <c r="AA856" s="35"/>
    </row>
    <row r="857" ht="14.25" customHeight="1">
      <c r="A857" s="136"/>
      <c r="B857" s="137"/>
      <c r="C857" s="251"/>
      <c r="D857" s="452"/>
      <c r="E857" s="136"/>
      <c r="F857" s="253"/>
      <c r="G857" s="526"/>
      <c r="H857" s="527"/>
      <c r="I857" s="527"/>
      <c r="J857" s="141"/>
      <c r="K857" s="141"/>
      <c r="L857" s="142"/>
      <c r="M857" s="142"/>
      <c r="N857" s="142"/>
      <c r="O857" s="142"/>
      <c r="P857" s="136"/>
      <c r="Q857" s="34"/>
      <c r="R857" s="35"/>
      <c r="S857" s="35"/>
      <c r="T857" s="35"/>
      <c r="U857" s="35"/>
      <c r="V857" s="35"/>
      <c r="W857" s="35"/>
      <c r="X857" s="35"/>
      <c r="Y857" s="35"/>
      <c r="Z857" s="35"/>
      <c r="AA857" s="35"/>
    </row>
    <row r="858" ht="14.25" customHeight="1">
      <c r="A858" s="136"/>
      <c r="B858" s="137"/>
      <c r="C858" s="251"/>
      <c r="D858" s="452"/>
      <c r="E858" s="136"/>
      <c r="F858" s="253"/>
      <c r="G858" s="526"/>
      <c r="H858" s="527"/>
      <c r="I858" s="527"/>
      <c r="J858" s="141"/>
      <c r="K858" s="141"/>
      <c r="L858" s="142"/>
      <c r="M858" s="142"/>
      <c r="N858" s="142"/>
      <c r="O858" s="142"/>
      <c r="P858" s="136"/>
      <c r="Q858" s="34"/>
      <c r="R858" s="35"/>
      <c r="S858" s="35"/>
      <c r="T858" s="35"/>
      <c r="U858" s="35"/>
      <c r="V858" s="35"/>
      <c r="W858" s="35"/>
      <c r="X858" s="35"/>
      <c r="Y858" s="35"/>
      <c r="Z858" s="35"/>
      <c r="AA858" s="35"/>
    </row>
    <row r="859" ht="14.25" customHeight="1">
      <c r="A859" s="136"/>
      <c r="B859" s="137"/>
      <c r="C859" s="251"/>
      <c r="D859" s="452"/>
      <c r="E859" s="136"/>
      <c r="F859" s="253"/>
      <c r="G859" s="526"/>
      <c r="H859" s="527"/>
      <c r="I859" s="527"/>
      <c r="J859" s="141"/>
      <c r="K859" s="141"/>
      <c r="L859" s="142"/>
      <c r="M859" s="142"/>
      <c r="N859" s="142"/>
      <c r="O859" s="142"/>
      <c r="P859" s="136"/>
      <c r="Q859" s="34"/>
      <c r="R859" s="35"/>
      <c r="S859" s="35"/>
      <c r="T859" s="35"/>
      <c r="U859" s="35"/>
      <c r="V859" s="35"/>
      <c r="W859" s="35"/>
      <c r="X859" s="35"/>
      <c r="Y859" s="35"/>
      <c r="Z859" s="35"/>
      <c r="AA859" s="35"/>
    </row>
    <row r="860" ht="14.25" customHeight="1">
      <c r="A860" s="136"/>
      <c r="B860" s="137"/>
      <c r="C860" s="251"/>
      <c r="D860" s="452"/>
      <c r="E860" s="136"/>
      <c r="F860" s="253"/>
      <c r="G860" s="526"/>
      <c r="H860" s="527"/>
      <c r="I860" s="527"/>
      <c r="J860" s="141"/>
      <c r="K860" s="141"/>
      <c r="L860" s="142"/>
      <c r="M860" s="142"/>
      <c r="N860" s="142"/>
      <c r="O860" s="142"/>
      <c r="P860" s="136"/>
      <c r="Q860" s="34"/>
      <c r="R860" s="35"/>
      <c r="S860" s="35"/>
      <c r="T860" s="35"/>
      <c r="U860" s="35"/>
      <c r="V860" s="35"/>
      <c r="W860" s="35"/>
      <c r="X860" s="35"/>
      <c r="Y860" s="35"/>
      <c r="Z860" s="35"/>
      <c r="AA860" s="35"/>
    </row>
    <row r="861" ht="14.25" customHeight="1">
      <c r="A861" s="136"/>
      <c r="B861" s="137"/>
      <c r="C861" s="251"/>
      <c r="D861" s="452"/>
      <c r="E861" s="136"/>
      <c r="F861" s="253"/>
      <c r="G861" s="526"/>
      <c r="H861" s="527"/>
      <c r="I861" s="527"/>
      <c r="J861" s="141"/>
      <c r="K861" s="141"/>
      <c r="L861" s="142"/>
      <c r="M861" s="142"/>
      <c r="N861" s="142"/>
      <c r="O861" s="142"/>
      <c r="P861" s="136"/>
      <c r="Q861" s="34"/>
      <c r="R861" s="35"/>
      <c r="S861" s="35"/>
      <c r="T861" s="35"/>
      <c r="U861" s="35"/>
      <c r="V861" s="35"/>
      <c r="W861" s="35"/>
      <c r="X861" s="35"/>
      <c r="Y861" s="35"/>
      <c r="Z861" s="35"/>
      <c r="AA861" s="35"/>
    </row>
    <row r="862" ht="14.25" customHeight="1">
      <c r="A862" s="136"/>
      <c r="B862" s="137"/>
      <c r="C862" s="251"/>
      <c r="D862" s="452"/>
      <c r="E862" s="136"/>
      <c r="F862" s="253"/>
      <c r="G862" s="526"/>
      <c r="H862" s="527"/>
      <c r="I862" s="527"/>
      <c r="J862" s="141"/>
      <c r="K862" s="141"/>
      <c r="L862" s="142"/>
      <c r="M862" s="142"/>
      <c r="N862" s="142"/>
      <c r="O862" s="142"/>
      <c r="P862" s="136"/>
      <c r="Q862" s="34"/>
      <c r="R862" s="35"/>
      <c r="S862" s="35"/>
      <c r="T862" s="35"/>
      <c r="U862" s="35"/>
      <c r="V862" s="35"/>
      <c r="W862" s="35"/>
      <c r="X862" s="35"/>
      <c r="Y862" s="35"/>
      <c r="Z862" s="35"/>
      <c r="AA862" s="35"/>
    </row>
    <row r="863" ht="14.25" customHeight="1">
      <c r="A863" s="136"/>
      <c r="B863" s="137"/>
      <c r="C863" s="251"/>
      <c r="D863" s="452"/>
      <c r="E863" s="136"/>
      <c r="F863" s="253"/>
      <c r="G863" s="526"/>
      <c r="H863" s="527"/>
      <c r="I863" s="527"/>
      <c r="J863" s="141"/>
      <c r="K863" s="141"/>
      <c r="L863" s="142"/>
      <c r="M863" s="142"/>
      <c r="N863" s="142"/>
      <c r="O863" s="142"/>
      <c r="P863" s="136"/>
      <c r="Q863" s="34"/>
      <c r="R863" s="35"/>
      <c r="S863" s="35"/>
      <c r="T863" s="35"/>
      <c r="U863" s="35"/>
      <c r="V863" s="35"/>
      <c r="W863" s="35"/>
      <c r="X863" s="35"/>
      <c r="Y863" s="35"/>
      <c r="Z863" s="35"/>
      <c r="AA863" s="35"/>
    </row>
    <row r="864" ht="14.25" customHeight="1">
      <c r="A864" s="136"/>
      <c r="B864" s="137"/>
      <c r="C864" s="251"/>
      <c r="D864" s="452"/>
      <c r="E864" s="136"/>
      <c r="F864" s="253"/>
      <c r="G864" s="526"/>
      <c r="H864" s="527"/>
      <c r="I864" s="527"/>
      <c r="J864" s="141"/>
      <c r="K864" s="141"/>
      <c r="L864" s="142"/>
      <c r="M864" s="142"/>
      <c r="N864" s="142"/>
      <c r="O864" s="142"/>
      <c r="P864" s="136"/>
      <c r="Q864" s="34"/>
      <c r="R864" s="35"/>
      <c r="S864" s="35"/>
      <c r="T864" s="35"/>
      <c r="U864" s="35"/>
      <c r="V864" s="35"/>
      <c r="W864" s="35"/>
      <c r="X864" s="35"/>
      <c r="Y864" s="35"/>
      <c r="Z864" s="35"/>
      <c r="AA864" s="35"/>
    </row>
    <row r="865" ht="14.25" customHeight="1">
      <c r="A865" s="136"/>
      <c r="B865" s="137"/>
      <c r="C865" s="251"/>
      <c r="D865" s="452"/>
      <c r="E865" s="136"/>
      <c r="F865" s="253"/>
      <c r="G865" s="526"/>
      <c r="H865" s="527"/>
      <c r="I865" s="527"/>
      <c r="J865" s="141"/>
      <c r="K865" s="141"/>
      <c r="L865" s="142"/>
      <c r="M865" s="142"/>
      <c r="N865" s="142"/>
      <c r="O865" s="142"/>
      <c r="P865" s="136"/>
      <c r="Q865" s="34"/>
      <c r="R865" s="35"/>
      <c r="S865" s="35"/>
      <c r="T865" s="35"/>
      <c r="U865" s="35"/>
      <c r="V865" s="35"/>
      <c r="W865" s="35"/>
      <c r="X865" s="35"/>
      <c r="Y865" s="35"/>
      <c r="Z865" s="35"/>
      <c r="AA865" s="35"/>
    </row>
    <row r="866" ht="14.25" customHeight="1">
      <c r="A866" s="136"/>
      <c r="B866" s="137"/>
      <c r="C866" s="251"/>
      <c r="D866" s="452"/>
      <c r="E866" s="136"/>
      <c r="F866" s="253"/>
      <c r="G866" s="526"/>
      <c r="H866" s="527"/>
      <c r="I866" s="527"/>
      <c r="J866" s="141"/>
      <c r="K866" s="141"/>
      <c r="L866" s="142"/>
      <c r="M866" s="142"/>
      <c r="N866" s="142"/>
      <c r="O866" s="142"/>
      <c r="P866" s="136"/>
      <c r="Q866" s="34"/>
      <c r="R866" s="35"/>
      <c r="S866" s="35"/>
      <c r="T866" s="35"/>
      <c r="U866" s="35"/>
      <c r="V866" s="35"/>
      <c r="W866" s="35"/>
      <c r="X866" s="35"/>
      <c r="Y866" s="35"/>
      <c r="Z866" s="35"/>
      <c r="AA866" s="35"/>
    </row>
    <row r="867" ht="14.25" customHeight="1">
      <c r="A867" s="136"/>
      <c r="B867" s="137"/>
      <c r="C867" s="251"/>
      <c r="D867" s="452"/>
      <c r="E867" s="136"/>
      <c r="F867" s="253"/>
      <c r="G867" s="526"/>
      <c r="H867" s="527"/>
      <c r="I867" s="527"/>
      <c r="J867" s="141"/>
      <c r="K867" s="141"/>
      <c r="L867" s="142"/>
      <c r="M867" s="142"/>
      <c r="N867" s="142"/>
      <c r="O867" s="142"/>
      <c r="P867" s="136"/>
      <c r="Q867" s="34"/>
      <c r="R867" s="35"/>
      <c r="S867" s="35"/>
      <c r="T867" s="35"/>
      <c r="U867" s="35"/>
      <c r="V867" s="35"/>
      <c r="W867" s="35"/>
      <c r="X867" s="35"/>
      <c r="Y867" s="35"/>
      <c r="Z867" s="35"/>
      <c r="AA867" s="35"/>
    </row>
    <row r="868" ht="14.25" customHeight="1">
      <c r="A868" s="136"/>
      <c r="B868" s="137"/>
      <c r="C868" s="251"/>
      <c r="D868" s="452"/>
      <c r="E868" s="136"/>
      <c r="F868" s="253"/>
      <c r="G868" s="526"/>
      <c r="H868" s="527"/>
      <c r="I868" s="527"/>
      <c r="J868" s="141"/>
      <c r="K868" s="141"/>
      <c r="L868" s="142"/>
      <c r="M868" s="142"/>
      <c r="N868" s="142"/>
      <c r="O868" s="142"/>
      <c r="P868" s="136"/>
      <c r="Q868" s="34"/>
      <c r="R868" s="35"/>
      <c r="S868" s="35"/>
      <c r="T868" s="35"/>
      <c r="U868" s="35"/>
      <c r="V868" s="35"/>
      <c r="W868" s="35"/>
      <c r="X868" s="35"/>
      <c r="Y868" s="35"/>
      <c r="Z868" s="35"/>
      <c r="AA868" s="35"/>
    </row>
    <row r="869" ht="14.25" customHeight="1">
      <c r="A869" s="136"/>
      <c r="B869" s="137"/>
      <c r="C869" s="251"/>
      <c r="D869" s="452"/>
      <c r="E869" s="136"/>
      <c r="F869" s="253"/>
      <c r="G869" s="526"/>
      <c r="H869" s="527"/>
      <c r="I869" s="527"/>
      <c r="J869" s="141"/>
      <c r="K869" s="141"/>
      <c r="L869" s="142"/>
      <c r="M869" s="142"/>
      <c r="N869" s="142"/>
      <c r="O869" s="142"/>
      <c r="P869" s="136"/>
      <c r="Q869" s="34"/>
      <c r="R869" s="35"/>
      <c r="S869" s="35"/>
      <c r="T869" s="35"/>
      <c r="U869" s="35"/>
      <c r="V869" s="35"/>
      <c r="W869" s="35"/>
      <c r="X869" s="35"/>
      <c r="Y869" s="35"/>
      <c r="Z869" s="35"/>
      <c r="AA869" s="35"/>
    </row>
    <row r="870" ht="14.25" customHeight="1">
      <c r="A870" s="136"/>
      <c r="B870" s="137"/>
      <c r="C870" s="251"/>
      <c r="D870" s="452"/>
      <c r="E870" s="136"/>
      <c r="F870" s="253"/>
      <c r="G870" s="526"/>
      <c r="H870" s="527"/>
      <c r="I870" s="527"/>
      <c r="J870" s="141"/>
      <c r="K870" s="141"/>
      <c r="L870" s="142"/>
      <c r="M870" s="142"/>
      <c r="N870" s="142"/>
      <c r="O870" s="142"/>
      <c r="P870" s="136"/>
      <c r="Q870" s="34"/>
      <c r="R870" s="35"/>
      <c r="S870" s="35"/>
      <c r="T870" s="35"/>
      <c r="U870" s="35"/>
      <c r="V870" s="35"/>
      <c r="W870" s="35"/>
      <c r="X870" s="35"/>
      <c r="Y870" s="35"/>
      <c r="Z870" s="35"/>
      <c r="AA870" s="35"/>
    </row>
    <row r="871" ht="14.25" customHeight="1">
      <c r="A871" s="136"/>
      <c r="B871" s="137"/>
      <c r="C871" s="251"/>
      <c r="D871" s="452"/>
      <c r="E871" s="136"/>
      <c r="F871" s="253"/>
      <c r="G871" s="526"/>
      <c r="H871" s="527"/>
      <c r="I871" s="527"/>
      <c r="J871" s="141"/>
      <c r="K871" s="141"/>
      <c r="L871" s="142"/>
      <c r="M871" s="142"/>
      <c r="N871" s="142"/>
      <c r="O871" s="142"/>
      <c r="P871" s="136"/>
      <c r="Q871" s="34"/>
      <c r="R871" s="35"/>
      <c r="S871" s="35"/>
      <c r="T871" s="35"/>
      <c r="U871" s="35"/>
      <c r="V871" s="35"/>
      <c r="W871" s="35"/>
      <c r="X871" s="35"/>
      <c r="Y871" s="35"/>
      <c r="Z871" s="35"/>
      <c r="AA871" s="35"/>
    </row>
    <row r="872" ht="14.25" customHeight="1">
      <c r="A872" s="136"/>
      <c r="B872" s="137"/>
      <c r="C872" s="251"/>
      <c r="D872" s="452"/>
      <c r="E872" s="136"/>
      <c r="F872" s="253"/>
      <c r="G872" s="526"/>
      <c r="H872" s="527"/>
      <c r="I872" s="527"/>
      <c r="J872" s="141"/>
      <c r="K872" s="141"/>
      <c r="L872" s="142"/>
      <c r="M872" s="142"/>
      <c r="N872" s="142"/>
      <c r="O872" s="142"/>
      <c r="P872" s="136"/>
      <c r="Q872" s="34"/>
      <c r="R872" s="35"/>
      <c r="S872" s="35"/>
      <c r="T872" s="35"/>
      <c r="U872" s="35"/>
      <c r="V872" s="35"/>
      <c r="W872" s="35"/>
      <c r="X872" s="35"/>
      <c r="Y872" s="35"/>
      <c r="Z872" s="35"/>
      <c r="AA872" s="35"/>
    </row>
    <row r="873" ht="14.25" customHeight="1">
      <c r="A873" s="136"/>
      <c r="B873" s="137"/>
      <c r="C873" s="251"/>
      <c r="D873" s="452"/>
      <c r="E873" s="136"/>
      <c r="F873" s="253"/>
      <c r="G873" s="526"/>
      <c r="H873" s="527"/>
      <c r="I873" s="527"/>
      <c r="J873" s="141"/>
      <c r="K873" s="141"/>
      <c r="L873" s="142"/>
      <c r="M873" s="142"/>
      <c r="N873" s="142"/>
      <c r="O873" s="142"/>
      <c r="P873" s="136"/>
      <c r="Q873" s="34"/>
      <c r="R873" s="35"/>
      <c r="S873" s="35"/>
      <c r="T873" s="35"/>
      <c r="U873" s="35"/>
      <c r="V873" s="35"/>
      <c r="W873" s="35"/>
      <c r="X873" s="35"/>
      <c r="Y873" s="35"/>
      <c r="Z873" s="35"/>
      <c r="AA873" s="35"/>
    </row>
    <row r="874" ht="14.25" customHeight="1">
      <c r="A874" s="136"/>
      <c r="B874" s="137"/>
      <c r="C874" s="251"/>
      <c r="D874" s="452"/>
      <c r="E874" s="136"/>
      <c r="F874" s="253"/>
      <c r="G874" s="526"/>
      <c r="H874" s="527"/>
      <c r="I874" s="527"/>
      <c r="J874" s="141"/>
      <c r="K874" s="141"/>
      <c r="L874" s="142"/>
      <c r="M874" s="142"/>
      <c r="N874" s="142"/>
      <c r="O874" s="142"/>
      <c r="P874" s="136"/>
      <c r="Q874" s="34"/>
      <c r="R874" s="35"/>
      <c r="S874" s="35"/>
      <c r="T874" s="35"/>
      <c r="U874" s="35"/>
      <c r="V874" s="35"/>
      <c r="W874" s="35"/>
      <c r="X874" s="35"/>
      <c r="Y874" s="35"/>
      <c r="Z874" s="35"/>
      <c r="AA874" s="35"/>
    </row>
    <row r="875" ht="14.25" customHeight="1">
      <c r="A875" s="136"/>
      <c r="B875" s="137"/>
      <c r="C875" s="251"/>
      <c r="D875" s="452"/>
      <c r="E875" s="136"/>
      <c r="F875" s="253"/>
      <c r="G875" s="526"/>
      <c r="H875" s="527"/>
      <c r="I875" s="527"/>
      <c r="J875" s="141"/>
      <c r="K875" s="141"/>
      <c r="L875" s="142"/>
      <c r="M875" s="142"/>
      <c r="N875" s="142"/>
      <c r="O875" s="142"/>
      <c r="P875" s="136"/>
      <c r="Q875" s="34"/>
      <c r="R875" s="35"/>
      <c r="S875" s="35"/>
      <c r="T875" s="35"/>
      <c r="U875" s="35"/>
      <c r="V875" s="35"/>
      <c r="W875" s="35"/>
      <c r="X875" s="35"/>
      <c r="Y875" s="35"/>
      <c r="Z875" s="35"/>
      <c r="AA875" s="35"/>
    </row>
    <row r="876" ht="14.25" customHeight="1">
      <c r="A876" s="136"/>
      <c r="B876" s="137"/>
      <c r="C876" s="251"/>
      <c r="D876" s="452"/>
      <c r="E876" s="136"/>
      <c r="F876" s="253"/>
      <c r="G876" s="526"/>
      <c r="H876" s="527"/>
      <c r="I876" s="527"/>
      <c r="J876" s="141"/>
      <c r="K876" s="141"/>
      <c r="L876" s="142"/>
      <c r="M876" s="142"/>
      <c r="N876" s="142"/>
      <c r="O876" s="142"/>
      <c r="P876" s="136"/>
      <c r="Q876" s="34"/>
      <c r="R876" s="35"/>
      <c r="S876" s="35"/>
      <c r="T876" s="35"/>
      <c r="U876" s="35"/>
      <c r="V876" s="35"/>
      <c r="W876" s="35"/>
      <c r="X876" s="35"/>
      <c r="Y876" s="35"/>
      <c r="Z876" s="35"/>
      <c r="AA876" s="35"/>
    </row>
    <row r="877" ht="14.25" customHeight="1">
      <c r="A877" s="136"/>
      <c r="B877" s="137"/>
      <c r="C877" s="251"/>
      <c r="D877" s="452"/>
      <c r="E877" s="136"/>
      <c r="F877" s="253"/>
      <c r="G877" s="526"/>
      <c r="H877" s="527"/>
      <c r="I877" s="527"/>
      <c r="J877" s="141"/>
      <c r="K877" s="141"/>
      <c r="L877" s="142"/>
      <c r="M877" s="142"/>
      <c r="N877" s="142"/>
      <c r="O877" s="142"/>
      <c r="P877" s="136"/>
      <c r="Q877" s="34"/>
      <c r="R877" s="35"/>
      <c r="S877" s="35"/>
      <c r="T877" s="35"/>
      <c r="U877" s="35"/>
      <c r="V877" s="35"/>
      <c r="W877" s="35"/>
      <c r="X877" s="35"/>
      <c r="Y877" s="35"/>
      <c r="Z877" s="35"/>
      <c r="AA877" s="35"/>
    </row>
    <row r="878" ht="14.25" customHeight="1">
      <c r="A878" s="136"/>
      <c r="B878" s="137"/>
      <c r="C878" s="251"/>
      <c r="D878" s="452"/>
      <c r="E878" s="136"/>
      <c r="F878" s="253"/>
      <c r="G878" s="526"/>
      <c r="H878" s="527"/>
      <c r="I878" s="527"/>
      <c r="J878" s="141"/>
      <c r="K878" s="141"/>
      <c r="L878" s="142"/>
      <c r="M878" s="142"/>
      <c r="N878" s="142"/>
      <c r="O878" s="142"/>
      <c r="P878" s="136"/>
      <c r="Q878" s="34"/>
      <c r="R878" s="35"/>
      <c r="S878" s="35"/>
      <c r="T878" s="35"/>
      <c r="U878" s="35"/>
      <c r="V878" s="35"/>
      <c r="W878" s="35"/>
      <c r="X878" s="35"/>
      <c r="Y878" s="35"/>
      <c r="Z878" s="35"/>
      <c r="AA878" s="35"/>
    </row>
    <row r="879" ht="14.25" customHeight="1">
      <c r="A879" s="136"/>
      <c r="B879" s="137"/>
      <c r="C879" s="251"/>
      <c r="D879" s="452"/>
      <c r="E879" s="136"/>
      <c r="F879" s="253"/>
      <c r="G879" s="526"/>
      <c r="H879" s="527"/>
      <c r="I879" s="527"/>
      <c r="J879" s="141"/>
      <c r="K879" s="141"/>
      <c r="L879" s="142"/>
      <c r="M879" s="142"/>
      <c r="N879" s="142"/>
      <c r="O879" s="142"/>
      <c r="P879" s="136"/>
      <c r="Q879" s="34"/>
      <c r="R879" s="35"/>
      <c r="S879" s="35"/>
      <c r="T879" s="35"/>
      <c r="U879" s="35"/>
      <c r="V879" s="35"/>
      <c r="W879" s="35"/>
      <c r="X879" s="35"/>
      <c r="Y879" s="35"/>
      <c r="Z879" s="35"/>
      <c r="AA879" s="35"/>
    </row>
    <row r="880" ht="14.25" customHeight="1">
      <c r="A880" s="136"/>
      <c r="B880" s="137"/>
      <c r="C880" s="251"/>
      <c r="D880" s="452"/>
      <c r="E880" s="136"/>
      <c r="F880" s="253"/>
      <c r="G880" s="526"/>
      <c r="H880" s="527"/>
      <c r="I880" s="527"/>
      <c r="J880" s="141"/>
      <c r="K880" s="141"/>
      <c r="L880" s="142"/>
      <c r="M880" s="142"/>
      <c r="N880" s="142"/>
      <c r="O880" s="142"/>
      <c r="P880" s="136"/>
      <c r="Q880" s="34"/>
      <c r="R880" s="35"/>
      <c r="S880" s="35"/>
      <c r="T880" s="35"/>
      <c r="U880" s="35"/>
      <c r="V880" s="35"/>
      <c r="W880" s="35"/>
      <c r="X880" s="35"/>
      <c r="Y880" s="35"/>
      <c r="Z880" s="35"/>
      <c r="AA880" s="35"/>
    </row>
    <row r="881" ht="14.25" customHeight="1">
      <c r="A881" s="136"/>
      <c r="B881" s="137"/>
      <c r="C881" s="251"/>
      <c r="D881" s="452"/>
      <c r="E881" s="136"/>
      <c r="F881" s="253"/>
      <c r="G881" s="526"/>
      <c r="H881" s="527"/>
      <c r="I881" s="527"/>
      <c r="J881" s="141"/>
      <c r="K881" s="141"/>
      <c r="L881" s="142"/>
      <c r="M881" s="142"/>
      <c r="N881" s="142"/>
      <c r="O881" s="142"/>
      <c r="P881" s="136"/>
      <c r="Q881" s="34"/>
      <c r="R881" s="35"/>
      <c r="S881" s="35"/>
      <c r="T881" s="35"/>
      <c r="U881" s="35"/>
      <c r="V881" s="35"/>
      <c r="W881" s="35"/>
      <c r="X881" s="35"/>
      <c r="Y881" s="35"/>
      <c r="Z881" s="35"/>
      <c r="AA881" s="35"/>
    </row>
    <row r="882" ht="14.25" customHeight="1">
      <c r="A882" s="136"/>
      <c r="B882" s="137"/>
      <c r="C882" s="251"/>
      <c r="D882" s="452"/>
      <c r="E882" s="136"/>
      <c r="F882" s="253"/>
      <c r="G882" s="526"/>
      <c r="H882" s="527"/>
      <c r="I882" s="527"/>
      <c r="J882" s="141"/>
      <c r="K882" s="141"/>
      <c r="L882" s="142"/>
      <c r="M882" s="142"/>
      <c r="N882" s="142"/>
      <c r="O882" s="142"/>
      <c r="P882" s="136"/>
      <c r="Q882" s="34"/>
      <c r="R882" s="35"/>
      <c r="S882" s="35"/>
      <c r="T882" s="35"/>
      <c r="U882" s="35"/>
      <c r="V882" s="35"/>
      <c r="W882" s="35"/>
      <c r="X882" s="35"/>
      <c r="Y882" s="35"/>
      <c r="Z882" s="35"/>
      <c r="AA882" s="35"/>
    </row>
    <row r="883" ht="14.25" customHeight="1">
      <c r="A883" s="136"/>
      <c r="B883" s="137"/>
      <c r="C883" s="251"/>
      <c r="D883" s="452"/>
      <c r="E883" s="136"/>
      <c r="F883" s="253"/>
      <c r="G883" s="526"/>
      <c r="H883" s="527"/>
      <c r="I883" s="527"/>
      <c r="J883" s="141"/>
      <c r="K883" s="141"/>
      <c r="L883" s="142"/>
      <c r="M883" s="142"/>
      <c r="N883" s="142"/>
      <c r="O883" s="142"/>
      <c r="P883" s="136"/>
      <c r="Q883" s="34"/>
      <c r="R883" s="35"/>
      <c r="S883" s="35"/>
      <c r="T883" s="35"/>
      <c r="U883" s="35"/>
      <c r="V883" s="35"/>
      <c r="W883" s="35"/>
      <c r="X883" s="35"/>
      <c r="Y883" s="35"/>
      <c r="Z883" s="35"/>
      <c r="AA883" s="35"/>
    </row>
    <row r="884" ht="14.25" customHeight="1">
      <c r="A884" s="136"/>
      <c r="B884" s="137"/>
      <c r="C884" s="251"/>
      <c r="D884" s="452"/>
      <c r="E884" s="136"/>
      <c r="F884" s="253"/>
      <c r="G884" s="526"/>
      <c r="H884" s="527"/>
      <c r="I884" s="527"/>
      <c r="J884" s="141"/>
      <c r="K884" s="141"/>
      <c r="L884" s="142"/>
      <c r="M884" s="142"/>
      <c r="N884" s="142"/>
      <c r="O884" s="142"/>
      <c r="P884" s="136"/>
      <c r="Q884" s="34"/>
      <c r="R884" s="35"/>
      <c r="S884" s="35"/>
      <c r="T884" s="35"/>
      <c r="U884" s="35"/>
      <c r="V884" s="35"/>
      <c r="W884" s="35"/>
      <c r="X884" s="35"/>
      <c r="Y884" s="35"/>
      <c r="Z884" s="35"/>
      <c r="AA884" s="35"/>
    </row>
    <row r="885" ht="14.25" customHeight="1">
      <c r="A885" s="136"/>
      <c r="B885" s="137"/>
      <c r="C885" s="251"/>
      <c r="D885" s="452"/>
      <c r="E885" s="136"/>
      <c r="F885" s="253"/>
      <c r="G885" s="526"/>
      <c r="H885" s="527"/>
      <c r="I885" s="527"/>
      <c r="J885" s="141"/>
      <c r="K885" s="141"/>
      <c r="L885" s="142"/>
      <c r="M885" s="142"/>
      <c r="N885" s="142"/>
      <c r="O885" s="142"/>
      <c r="P885" s="136"/>
      <c r="Q885" s="34"/>
      <c r="R885" s="35"/>
      <c r="S885" s="35"/>
      <c r="T885" s="35"/>
      <c r="U885" s="35"/>
      <c r="V885" s="35"/>
      <c r="W885" s="35"/>
      <c r="X885" s="35"/>
      <c r="Y885" s="35"/>
      <c r="Z885" s="35"/>
      <c r="AA885" s="35"/>
    </row>
    <row r="886" ht="14.25" customHeight="1">
      <c r="A886" s="136"/>
      <c r="B886" s="137"/>
      <c r="C886" s="251"/>
      <c r="D886" s="452"/>
      <c r="E886" s="136"/>
      <c r="F886" s="253"/>
      <c r="G886" s="526"/>
      <c r="H886" s="527"/>
      <c r="I886" s="527"/>
      <c r="J886" s="141"/>
      <c r="K886" s="141"/>
      <c r="L886" s="142"/>
      <c r="M886" s="142"/>
      <c r="N886" s="142"/>
      <c r="O886" s="142"/>
      <c r="P886" s="136"/>
      <c r="Q886" s="34"/>
      <c r="R886" s="35"/>
      <c r="S886" s="35"/>
      <c r="T886" s="35"/>
      <c r="U886" s="35"/>
      <c r="V886" s="35"/>
      <c r="W886" s="35"/>
      <c r="X886" s="35"/>
      <c r="Y886" s="35"/>
      <c r="Z886" s="35"/>
      <c r="AA886" s="35"/>
    </row>
    <row r="887" ht="14.25" customHeight="1">
      <c r="A887" s="136"/>
      <c r="B887" s="137"/>
      <c r="C887" s="251"/>
      <c r="D887" s="452"/>
      <c r="E887" s="136"/>
      <c r="F887" s="253"/>
      <c r="G887" s="526"/>
      <c r="H887" s="527"/>
      <c r="I887" s="527"/>
      <c r="J887" s="141"/>
      <c r="K887" s="141"/>
      <c r="L887" s="142"/>
      <c r="M887" s="142"/>
      <c r="N887" s="142"/>
      <c r="O887" s="142"/>
      <c r="P887" s="136"/>
      <c r="Q887" s="34"/>
      <c r="R887" s="35"/>
      <c r="S887" s="35"/>
      <c r="T887" s="35"/>
      <c r="U887" s="35"/>
      <c r="V887" s="35"/>
      <c r="W887" s="35"/>
      <c r="X887" s="35"/>
      <c r="Y887" s="35"/>
      <c r="Z887" s="35"/>
      <c r="AA887" s="35"/>
    </row>
    <row r="888" ht="14.25" customHeight="1">
      <c r="A888" s="136"/>
      <c r="B888" s="137"/>
      <c r="C888" s="251"/>
      <c r="D888" s="452"/>
      <c r="E888" s="136"/>
      <c r="F888" s="253"/>
      <c r="G888" s="526"/>
      <c r="H888" s="527"/>
      <c r="I888" s="527"/>
      <c r="J888" s="141"/>
      <c r="K888" s="141"/>
      <c r="L888" s="142"/>
      <c r="M888" s="142"/>
      <c r="N888" s="142"/>
      <c r="O888" s="142"/>
      <c r="P888" s="136"/>
      <c r="Q888" s="34"/>
      <c r="R888" s="35"/>
      <c r="S888" s="35"/>
      <c r="T888" s="35"/>
      <c r="U888" s="35"/>
      <c r="V888" s="35"/>
      <c r="W888" s="35"/>
      <c r="X888" s="35"/>
      <c r="Y888" s="35"/>
      <c r="Z888" s="35"/>
      <c r="AA888" s="35"/>
    </row>
    <row r="889" ht="14.25" customHeight="1">
      <c r="A889" s="136"/>
      <c r="B889" s="137"/>
      <c r="C889" s="251"/>
      <c r="D889" s="452"/>
      <c r="E889" s="136"/>
      <c r="F889" s="253"/>
      <c r="G889" s="526"/>
      <c r="H889" s="527"/>
      <c r="I889" s="527"/>
      <c r="J889" s="141"/>
      <c r="K889" s="141"/>
      <c r="L889" s="142"/>
      <c r="M889" s="142"/>
      <c r="N889" s="142"/>
      <c r="O889" s="142"/>
      <c r="P889" s="136"/>
      <c r="Q889" s="34"/>
      <c r="R889" s="35"/>
      <c r="S889" s="35"/>
      <c r="T889" s="35"/>
      <c r="U889" s="35"/>
      <c r="V889" s="35"/>
      <c r="W889" s="35"/>
      <c r="X889" s="35"/>
      <c r="Y889" s="35"/>
      <c r="Z889" s="35"/>
      <c r="AA889" s="35"/>
    </row>
    <row r="890" ht="14.25" customHeight="1">
      <c r="A890" s="136"/>
      <c r="B890" s="137"/>
      <c r="C890" s="251"/>
      <c r="D890" s="452"/>
      <c r="E890" s="136"/>
      <c r="F890" s="253"/>
      <c r="G890" s="526"/>
      <c r="H890" s="527"/>
      <c r="I890" s="527"/>
      <c r="J890" s="141"/>
      <c r="K890" s="141"/>
      <c r="L890" s="142"/>
      <c r="M890" s="142"/>
      <c r="N890" s="142"/>
      <c r="O890" s="142"/>
      <c r="P890" s="136"/>
      <c r="Q890" s="34"/>
      <c r="R890" s="35"/>
      <c r="S890" s="35"/>
      <c r="T890" s="35"/>
      <c r="U890" s="35"/>
      <c r="V890" s="35"/>
      <c r="W890" s="35"/>
      <c r="X890" s="35"/>
      <c r="Y890" s="35"/>
      <c r="Z890" s="35"/>
      <c r="AA890" s="35"/>
    </row>
    <row r="891" ht="14.25" customHeight="1">
      <c r="A891" s="136"/>
      <c r="B891" s="137"/>
      <c r="C891" s="251"/>
      <c r="D891" s="452"/>
      <c r="E891" s="136"/>
      <c r="F891" s="253"/>
      <c r="G891" s="526"/>
      <c r="H891" s="527"/>
      <c r="I891" s="527"/>
      <c r="J891" s="141"/>
      <c r="K891" s="141"/>
      <c r="L891" s="142"/>
      <c r="M891" s="142"/>
      <c r="N891" s="142"/>
      <c r="O891" s="142"/>
      <c r="P891" s="136"/>
      <c r="Q891" s="34"/>
      <c r="R891" s="35"/>
      <c r="S891" s="35"/>
      <c r="T891" s="35"/>
      <c r="U891" s="35"/>
      <c r="V891" s="35"/>
      <c r="W891" s="35"/>
      <c r="X891" s="35"/>
      <c r="Y891" s="35"/>
      <c r="Z891" s="35"/>
      <c r="AA891" s="35"/>
    </row>
    <row r="892" ht="14.25" customHeight="1">
      <c r="A892" s="136"/>
      <c r="B892" s="137"/>
      <c r="C892" s="251"/>
      <c r="D892" s="452"/>
      <c r="E892" s="136"/>
      <c r="F892" s="253"/>
      <c r="G892" s="526"/>
      <c r="H892" s="527"/>
      <c r="I892" s="527"/>
      <c r="J892" s="141"/>
      <c r="K892" s="141"/>
      <c r="L892" s="142"/>
      <c r="M892" s="142"/>
      <c r="N892" s="142"/>
      <c r="O892" s="142"/>
      <c r="P892" s="136"/>
      <c r="Q892" s="34"/>
      <c r="R892" s="35"/>
      <c r="S892" s="35"/>
      <c r="T892" s="35"/>
      <c r="U892" s="35"/>
      <c r="V892" s="35"/>
      <c r="W892" s="35"/>
      <c r="X892" s="35"/>
      <c r="Y892" s="35"/>
      <c r="Z892" s="35"/>
      <c r="AA892" s="35"/>
    </row>
    <row r="893" ht="14.25" customHeight="1">
      <c r="A893" s="136"/>
      <c r="B893" s="137"/>
      <c r="C893" s="251"/>
      <c r="D893" s="452"/>
      <c r="E893" s="136"/>
      <c r="F893" s="253"/>
      <c r="G893" s="526"/>
      <c r="H893" s="527"/>
      <c r="I893" s="527"/>
      <c r="J893" s="141"/>
      <c r="K893" s="141"/>
      <c r="L893" s="142"/>
      <c r="M893" s="142"/>
      <c r="N893" s="142"/>
      <c r="O893" s="142"/>
      <c r="P893" s="136"/>
      <c r="Q893" s="34"/>
      <c r="R893" s="35"/>
      <c r="S893" s="35"/>
      <c r="T893" s="35"/>
      <c r="U893" s="35"/>
      <c r="V893" s="35"/>
      <c r="W893" s="35"/>
      <c r="X893" s="35"/>
      <c r="Y893" s="35"/>
      <c r="Z893" s="35"/>
      <c r="AA893" s="35"/>
    </row>
    <row r="894" ht="14.25" customHeight="1">
      <c r="A894" s="136"/>
      <c r="B894" s="137"/>
      <c r="C894" s="251"/>
      <c r="D894" s="452"/>
      <c r="E894" s="136"/>
      <c r="F894" s="253"/>
      <c r="G894" s="526"/>
      <c r="H894" s="527"/>
      <c r="I894" s="527"/>
      <c r="J894" s="141"/>
      <c r="K894" s="141"/>
      <c r="L894" s="142"/>
      <c r="M894" s="142"/>
      <c r="N894" s="142"/>
      <c r="O894" s="142"/>
      <c r="P894" s="136"/>
      <c r="Q894" s="34"/>
      <c r="R894" s="35"/>
      <c r="S894" s="35"/>
      <c r="T894" s="35"/>
      <c r="U894" s="35"/>
      <c r="V894" s="35"/>
      <c r="W894" s="35"/>
      <c r="X894" s="35"/>
      <c r="Y894" s="35"/>
      <c r="Z894" s="35"/>
      <c r="AA894" s="35"/>
    </row>
    <row r="895" ht="14.25" customHeight="1">
      <c r="A895" s="136"/>
      <c r="B895" s="137"/>
      <c r="C895" s="251"/>
      <c r="D895" s="452"/>
      <c r="E895" s="136"/>
      <c r="F895" s="253"/>
      <c r="G895" s="526"/>
      <c r="H895" s="527"/>
      <c r="I895" s="527"/>
      <c r="J895" s="141"/>
      <c r="K895" s="141"/>
      <c r="L895" s="142"/>
      <c r="M895" s="142"/>
      <c r="N895" s="142"/>
      <c r="O895" s="142"/>
      <c r="P895" s="136"/>
      <c r="Q895" s="34"/>
      <c r="R895" s="35"/>
      <c r="S895" s="35"/>
      <c r="T895" s="35"/>
      <c r="U895" s="35"/>
      <c r="V895" s="35"/>
      <c r="W895" s="35"/>
      <c r="X895" s="35"/>
      <c r="Y895" s="35"/>
      <c r="Z895" s="35"/>
      <c r="AA895" s="35"/>
    </row>
    <row r="896" ht="14.25" customHeight="1">
      <c r="A896" s="136"/>
      <c r="B896" s="137"/>
      <c r="C896" s="251"/>
      <c r="D896" s="452"/>
      <c r="E896" s="136"/>
      <c r="F896" s="253"/>
      <c r="G896" s="526"/>
      <c r="H896" s="527"/>
      <c r="I896" s="527"/>
      <c r="J896" s="141"/>
      <c r="K896" s="141"/>
      <c r="L896" s="142"/>
      <c r="M896" s="142"/>
      <c r="N896" s="142"/>
      <c r="O896" s="142"/>
      <c r="P896" s="136"/>
      <c r="Q896" s="34"/>
      <c r="R896" s="35"/>
      <c r="S896" s="35"/>
      <c r="T896" s="35"/>
      <c r="U896" s="35"/>
      <c r="V896" s="35"/>
      <c r="W896" s="35"/>
      <c r="X896" s="35"/>
      <c r="Y896" s="35"/>
      <c r="Z896" s="35"/>
      <c r="AA896" s="35"/>
    </row>
    <row r="897" ht="14.25" customHeight="1">
      <c r="A897" s="136"/>
      <c r="B897" s="137"/>
      <c r="C897" s="251"/>
      <c r="D897" s="452"/>
      <c r="E897" s="136"/>
      <c r="F897" s="253"/>
      <c r="G897" s="526"/>
      <c r="H897" s="527"/>
      <c r="I897" s="527"/>
      <c r="J897" s="141"/>
      <c r="K897" s="141"/>
      <c r="L897" s="142"/>
      <c r="M897" s="142"/>
      <c r="N897" s="142"/>
      <c r="O897" s="142"/>
      <c r="P897" s="136"/>
      <c r="Q897" s="34"/>
      <c r="R897" s="35"/>
      <c r="S897" s="35"/>
      <c r="T897" s="35"/>
      <c r="U897" s="35"/>
      <c r="V897" s="35"/>
      <c r="W897" s="35"/>
      <c r="X897" s="35"/>
      <c r="Y897" s="35"/>
      <c r="Z897" s="35"/>
      <c r="AA897" s="35"/>
    </row>
    <row r="898" ht="14.25" customHeight="1">
      <c r="A898" s="136"/>
      <c r="B898" s="137"/>
      <c r="C898" s="251"/>
      <c r="D898" s="452"/>
      <c r="E898" s="136"/>
      <c r="F898" s="253"/>
      <c r="G898" s="526"/>
      <c r="H898" s="527"/>
      <c r="I898" s="527"/>
      <c r="J898" s="141"/>
      <c r="K898" s="141"/>
      <c r="L898" s="142"/>
      <c r="M898" s="142"/>
      <c r="N898" s="142"/>
      <c r="O898" s="142"/>
      <c r="P898" s="136"/>
      <c r="Q898" s="34"/>
      <c r="R898" s="35"/>
      <c r="S898" s="35"/>
      <c r="T898" s="35"/>
      <c r="U898" s="35"/>
      <c r="V898" s="35"/>
      <c r="W898" s="35"/>
      <c r="X898" s="35"/>
      <c r="Y898" s="35"/>
      <c r="Z898" s="35"/>
      <c r="AA898" s="35"/>
    </row>
    <row r="899" ht="14.25" customHeight="1">
      <c r="A899" s="136"/>
      <c r="B899" s="137"/>
      <c r="C899" s="251"/>
      <c r="D899" s="452"/>
      <c r="E899" s="136"/>
      <c r="F899" s="253"/>
      <c r="G899" s="526"/>
      <c r="H899" s="527"/>
      <c r="I899" s="527"/>
      <c r="J899" s="141"/>
      <c r="K899" s="141"/>
      <c r="L899" s="142"/>
      <c r="M899" s="142"/>
      <c r="N899" s="142"/>
      <c r="O899" s="142"/>
      <c r="P899" s="136"/>
      <c r="Q899" s="34"/>
      <c r="R899" s="35"/>
      <c r="S899" s="35"/>
      <c r="T899" s="35"/>
      <c r="U899" s="35"/>
      <c r="V899" s="35"/>
      <c r="W899" s="35"/>
      <c r="X899" s="35"/>
      <c r="Y899" s="35"/>
      <c r="Z899" s="35"/>
      <c r="AA899" s="35"/>
    </row>
    <row r="900" ht="14.25" customHeight="1">
      <c r="A900" s="136"/>
      <c r="B900" s="137"/>
      <c r="C900" s="251"/>
      <c r="D900" s="452"/>
      <c r="E900" s="136"/>
      <c r="F900" s="253"/>
      <c r="G900" s="526"/>
      <c r="H900" s="527"/>
      <c r="I900" s="527"/>
      <c r="J900" s="141"/>
      <c r="K900" s="141"/>
      <c r="L900" s="142"/>
      <c r="M900" s="142"/>
      <c r="N900" s="142"/>
      <c r="O900" s="142"/>
      <c r="P900" s="136"/>
      <c r="Q900" s="34"/>
      <c r="R900" s="35"/>
      <c r="S900" s="35"/>
      <c r="T900" s="35"/>
      <c r="U900" s="35"/>
      <c r="V900" s="35"/>
      <c r="W900" s="35"/>
      <c r="X900" s="35"/>
      <c r="Y900" s="35"/>
      <c r="Z900" s="35"/>
      <c r="AA900" s="35"/>
    </row>
    <row r="901" ht="14.25" customHeight="1">
      <c r="A901" s="136"/>
      <c r="B901" s="137"/>
      <c r="C901" s="251"/>
      <c r="D901" s="452"/>
      <c r="E901" s="136"/>
      <c r="F901" s="253"/>
      <c r="G901" s="526"/>
      <c r="H901" s="527"/>
      <c r="I901" s="527"/>
      <c r="J901" s="141"/>
      <c r="K901" s="141"/>
      <c r="L901" s="142"/>
      <c r="M901" s="142"/>
      <c r="N901" s="142"/>
      <c r="O901" s="142"/>
      <c r="P901" s="136"/>
      <c r="Q901" s="34"/>
      <c r="R901" s="35"/>
      <c r="S901" s="35"/>
      <c r="T901" s="35"/>
      <c r="U901" s="35"/>
      <c r="V901" s="35"/>
      <c r="W901" s="35"/>
      <c r="X901" s="35"/>
      <c r="Y901" s="35"/>
      <c r="Z901" s="35"/>
      <c r="AA901" s="35"/>
    </row>
    <row r="902" ht="14.25" customHeight="1">
      <c r="A902" s="136"/>
      <c r="B902" s="137"/>
      <c r="C902" s="251"/>
      <c r="D902" s="452"/>
      <c r="E902" s="136"/>
      <c r="F902" s="253"/>
      <c r="G902" s="526"/>
      <c r="H902" s="527"/>
      <c r="I902" s="527"/>
      <c r="J902" s="141"/>
      <c r="K902" s="141"/>
      <c r="L902" s="142"/>
      <c r="M902" s="142"/>
      <c r="N902" s="142"/>
      <c r="O902" s="142"/>
      <c r="P902" s="136"/>
      <c r="Q902" s="34"/>
      <c r="R902" s="35"/>
      <c r="S902" s="35"/>
      <c r="T902" s="35"/>
      <c r="U902" s="35"/>
      <c r="V902" s="35"/>
      <c r="W902" s="35"/>
      <c r="X902" s="35"/>
      <c r="Y902" s="35"/>
      <c r="Z902" s="35"/>
      <c r="AA902" s="35"/>
    </row>
    <row r="903" ht="14.25" customHeight="1">
      <c r="A903" s="136"/>
      <c r="B903" s="137"/>
      <c r="C903" s="251"/>
      <c r="D903" s="452"/>
      <c r="E903" s="136"/>
      <c r="F903" s="253"/>
      <c r="G903" s="526"/>
      <c r="H903" s="527"/>
      <c r="I903" s="527"/>
      <c r="J903" s="141"/>
      <c r="K903" s="141"/>
      <c r="L903" s="142"/>
      <c r="M903" s="142"/>
      <c r="N903" s="142"/>
      <c r="O903" s="142"/>
      <c r="P903" s="136"/>
      <c r="Q903" s="34"/>
      <c r="R903" s="35"/>
      <c r="S903" s="35"/>
      <c r="T903" s="35"/>
      <c r="U903" s="35"/>
      <c r="V903" s="35"/>
      <c r="W903" s="35"/>
      <c r="X903" s="35"/>
      <c r="Y903" s="35"/>
      <c r="Z903" s="35"/>
      <c r="AA903" s="35"/>
    </row>
    <row r="904" ht="14.25" customHeight="1">
      <c r="A904" s="136"/>
      <c r="B904" s="137"/>
      <c r="C904" s="251"/>
      <c r="D904" s="452"/>
      <c r="E904" s="136"/>
      <c r="F904" s="253"/>
      <c r="G904" s="526"/>
      <c r="H904" s="527"/>
      <c r="I904" s="527"/>
      <c r="J904" s="141"/>
      <c r="K904" s="141"/>
      <c r="L904" s="142"/>
      <c r="M904" s="142"/>
      <c r="N904" s="142"/>
      <c r="O904" s="142"/>
      <c r="P904" s="136"/>
      <c r="Q904" s="34"/>
      <c r="R904" s="35"/>
      <c r="S904" s="35"/>
      <c r="T904" s="35"/>
      <c r="U904" s="35"/>
      <c r="V904" s="35"/>
      <c r="W904" s="35"/>
      <c r="X904" s="35"/>
      <c r="Y904" s="35"/>
      <c r="Z904" s="35"/>
      <c r="AA904" s="35"/>
    </row>
    <row r="905" ht="14.25" customHeight="1">
      <c r="A905" s="136"/>
      <c r="B905" s="137"/>
      <c r="C905" s="251"/>
      <c r="D905" s="452"/>
      <c r="E905" s="136"/>
      <c r="F905" s="253"/>
      <c r="G905" s="526"/>
      <c r="H905" s="527"/>
      <c r="I905" s="527"/>
      <c r="J905" s="141"/>
      <c r="K905" s="141"/>
      <c r="L905" s="142"/>
      <c r="M905" s="142"/>
      <c r="N905" s="142"/>
      <c r="O905" s="142"/>
      <c r="P905" s="136"/>
      <c r="Q905" s="34"/>
      <c r="R905" s="35"/>
      <c r="S905" s="35"/>
      <c r="T905" s="35"/>
      <c r="U905" s="35"/>
      <c r="V905" s="35"/>
      <c r="W905" s="35"/>
      <c r="X905" s="35"/>
      <c r="Y905" s="35"/>
      <c r="Z905" s="35"/>
      <c r="AA905" s="35"/>
    </row>
    <row r="906" ht="14.25" customHeight="1">
      <c r="A906" s="136"/>
      <c r="B906" s="137"/>
      <c r="C906" s="251"/>
      <c r="D906" s="452"/>
      <c r="E906" s="136"/>
      <c r="F906" s="253"/>
      <c r="G906" s="526"/>
      <c r="H906" s="527"/>
      <c r="I906" s="527"/>
      <c r="J906" s="141"/>
      <c r="K906" s="141"/>
      <c r="L906" s="142"/>
      <c r="M906" s="142"/>
      <c r="N906" s="142"/>
      <c r="O906" s="142"/>
      <c r="P906" s="136"/>
      <c r="Q906" s="34"/>
      <c r="R906" s="35"/>
      <c r="S906" s="35"/>
      <c r="T906" s="35"/>
      <c r="U906" s="35"/>
      <c r="V906" s="35"/>
      <c r="W906" s="35"/>
      <c r="X906" s="35"/>
      <c r="Y906" s="35"/>
      <c r="Z906" s="35"/>
      <c r="AA906" s="35"/>
    </row>
    <row r="907" ht="14.25" customHeight="1">
      <c r="A907" s="136"/>
      <c r="B907" s="137"/>
      <c r="C907" s="251"/>
      <c r="D907" s="452"/>
      <c r="E907" s="136"/>
      <c r="F907" s="253"/>
      <c r="G907" s="526"/>
      <c r="H907" s="527"/>
      <c r="I907" s="527"/>
      <c r="J907" s="141"/>
      <c r="K907" s="141"/>
      <c r="L907" s="142"/>
      <c r="M907" s="142"/>
      <c r="N907" s="142"/>
      <c r="O907" s="142"/>
      <c r="P907" s="136"/>
      <c r="Q907" s="34"/>
      <c r="R907" s="35"/>
      <c r="S907" s="35"/>
      <c r="T907" s="35"/>
      <c r="U907" s="35"/>
      <c r="V907" s="35"/>
      <c r="W907" s="35"/>
      <c r="X907" s="35"/>
      <c r="Y907" s="35"/>
      <c r="Z907" s="35"/>
      <c r="AA907" s="35"/>
    </row>
    <row r="908" ht="14.25" customHeight="1">
      <c r="A908" s="136"/>
      <c r="B908" s="137"/>
      <c r="C908" s="251"/>
      <c r="D908" s="452"/>
      <c r="E908" s="136"/>
      <c r="F908" s="253"/>
      <c r="G908" s="526"/>
      <c r="H908" s="527"/>
      <c r="I908" s="527"/>
      <c r="J908" s="141"/>
      <c r="K908" s="141"/>
      <c r="L908" s="142"/>
      <c r="M908" s="142"/>
      <c r="N908" s="142"/>
      <c r="O908" s="142"/>
      <c r="P908" s="136"/>
      <c r="Q908" s="34"/>
      <c r="R908" s="35"/>
      <c r="S908" s="35"/>
      <c r="T908" s="35"/>
      <c r="U908" s="35"/>
      <c r="V908" s="35"/>
      <c r="W908" s="35"/>
      <c r="X908" s="35"/>
      <c r="Y908" s="35"/>
      <c r="Z908" s="35"/>
      <c r="AA908" s="35"/>
    </row>
    <row r="909" ht="14.25" customHeight="1">
      <c r="A909" s="136"/>
      <c r="B909" s="137"/>
      <c r="C909" s="251"/>
      <c r="D909" s="452"/>
      <c r="E909" s="136"/>
      <c r="F909" s="253"/>
      <c r="G909" s="526"/>
      <c r="H909" s="527"/>
      <c r="I909" s="527"/>
      <c r="J909" s="141"/>
      <c r="K909" s="141"/>
      <c r="L909" s="142"/>
      <c r="M909" s="142"/>
      <c r="N909" s="142"/>
      <c r="O909" s="142"/>
      <c r="P909" s="136"/>
      <c r="Q909" s="34"/>
      <c r="R909" s="35"/>
      <c r="S909" s="35"/>
      <c r="T909" s="35"/>
      <c r="U909" s="35"/>
      <c r="V909" s="35"/>
      <c r="W909" s="35"/>
      <c r="X909" s="35"/>
      <c r="Y909" s="35"/>
      <c r="Z909" s="35"/>
      <c r="AA909" s="35"/>
    </row>
    <row r="910" ht="14.25" customHeight="1">
      <c r="A910" s="136"/>
      <c r="B910" s="137"/>
      <c r="C910" s="251"/>
      <c r="D910" s="452"/>
      <c r="E910" s="136"/>
      <c r="F910" s="253"/>
      <c r="G910" s="526"/>
      <c r="H910" s="527"/>
      <c r="I910" s="527"/>
      <c r="J910" s="141"/>
      <c r="K910" s="141"/>
      <c r="L910" s="142"/>
      <c r="M910" s="142"/>
      <c r="N910" s="142"/>
      <c r="O910" s="142"/>
      <c r="P910" s="136"/>
      <c r="Q910" s="34"/>
      <c r="R910" s="35"/>
      <c r="S910" s="35"/>
      <c r="T910" s="35"/>
      <c r="U910" s="35"/>
      <c r="V910" s="35"/>
      <c r="W910" s="35"/>
      <c r="X910" s="35"/>
      <c r="Y910" s="35"/>
      <c r="Z910" s="35"/>
      <c r="AA910" s="35"/>
    </row>
    <row r="911" ht="14.25" customHeight="1">
      <c r="A911" s="136"/>
      <c r="B911" s="137"/>
      <c r="C911" s="251"/>
      <c r="D911" s="452"/>
      <c r="E911" s="136"/>
      <c r="F911" s="253"/>
      <c r="G911" s="526"/>
      <c r="H911" s="527"/>
      <c r="I911" s="527"/>
      <c r="J911" s="141"/>
      <c r="K911" s="141"/>
      <c r="L911" s="142"/>
      <c r="M911" s="142"/>
      <c r="N911" s="142"/>
      <c r="O911" s="142"/>
      <c r="P911" s="136"/>
      <c r="Q911" s="34"/>
      <c r="R911" s="35"/>
      <c r="S911" s="35"/>
      <c r="T911" s="35"/>
      <c r="U911" s="35"/>
      <c r="V911" s="35"/>
      <c r="W911" s="35"/>
      <c r="X911" s="35"/>
      <c r="Y911" s="35"/>
      <c r="Z911" s="35"/>
      <c r="AA911" s="35"/>
    </row>
    <row r="912" ht="14.25" customHeight="1">
      <c r="A912" s="136"/>
      <c r="B912" s="137"/>
      <c r="C912" s="251"/>
      <c r="D912" s="452"/>
      <c r="E912" s="136"/>
      <c r="F912" s="253"/>
      <c r="G912" s="526"/>
      <c r="H912" s="527"/>
      <c r="I912" s="527"/>
      <c r="J912" s="141"/>
      <c r="K912" s="141"/>
      <c r="L912" s="142"/>
      <c r="M912" s="142"/>
      <c r="N912" s="142"/>
      <c r="O912" s="142"/>
      <c r="P912" s="136"/>
      <c r="Q912" s="34"/>
      <c r="R912" s="35"/>
      <c r="S912" s="35"/>
      <c r="T912" s="35"/>
      <c r="U912" s="35"/>
      <c r="V912" s="35"/>
      <c r="W912" s="35"/>
      <c r="X912" s="35"/>
      <c r="Y912" s="35"/>
      <c r="Z912" s="35"/>
      <c r="AA912" s="35"/>
    </row>
    <row r="913" ht="14.25" customHeight="1">
      <c r="A913" s="136"/>
      <c r="B913" s="137"/>
      <c r="C913" s="251"/>
      <c r="D913" s="452"/>
      <c r="E913" s="136"/>
      <c r="F913" s="253"/>
      <c r="G913" s="526"/>
      <c r="H913" s="527"/>
      <c r="I913" s="527"/>
      <c r="J913" s="141"/>
      <c r="K913" s="141"/>
      <c r="L913" s="142"/>
      <c r="M913" s="142"/>
      <c r="N913" s="142"/>
      <c r="O913" s="142"/>
      <c r="P913" s="136"/>
      <c r="Q913" s="34"/>
      <c r="R913" s="35"/>
      <c r="S913" s="35"/>
      <c r="T913" s="35"/>
      <c r="U913" s="35"/>
      <c r="V913" s="35"/>
      <c r="W913" s="35"/>
      <c r="X913" s="35"/>
      <c r="Y913" s="35"/>
      <c r="Z913" s="35"/>
      <c r="AA913" s="35"/>
    </row>
    <row r="914" ht="14.25" customHeight="1">
      <c r="A914" s="136"/>
      <c r="B914" s="137"/>
      <c r="C914" s="251"/>
      <c r="D914" s="452"/>
      <c r="E914" s="136"/>
      <c r="F914" s="253"/>
      <c r="G914" s="526"/>
      <c r="H914" s="527"/>
      <c r="I914" s="527"/>
      <c r="J914" s="141"/>
      <c r="K914" s="141"/>
      <c r="L914" s="142"/>
      <c r="M914" s="142"/>
      <c r="N914" s="142"/>
      <c r="O914" s="142"/>
      <c r="P914" s="136"/>
      <c r="Q914" s="34"/>
      <c r="R914" s="35"/>
      <c r="S914" s="35"/>
      <c r="T914" s="35"/>
      <c r="U914" s="35"/>
      <c r="V914" s="35"/>
      <c r="W914" s="35"/>
      <c r="X914" s="35"/>
      <c r="Y914" s="35"/>
      <c r="Z914" s="35"/>
      <c r="AA914" s="35"/>
    </row>
    <row r="915" ht="14.25" customHeight="1">
      <c r="A915" s="136"/>
      <c r="B915" s="137"/>
      <c r="C915" s="251"/>
      <c r="D915" s="452"/>
      <c r="E915" s="136"/>
      <c r="F915" s="253"/>
      <c r="G915" s="526"/>
      <c r="H915" s="527"/>
      <c r="I915" s="527"/>
      <c r="J915" s="141"/>
      <c r="K915" s="141"/>
      <c r="L915" s="142"/>
      <c r="M915" s="142"/>
      <c r="N915" s="142"/>
      <c r="O915" s="142"/>
      <c r="P915" s="136"/>
      <c r="Q915" s="34"/>
      <c r="R915" s="35"/>
      <c r="S915" s="35"/>
      <c r="T915" s="35"/>
      <c r="U915" s="35"/>
      <c r="V915" s="35"/>
      <c r="W915" s="35"/>
      <c r="X915" s="35"/>
      <c r="Y915" s="35"/>
      <c r="Z915" s="35"/>
      <c r="AA915" s="35"/>
    </row>
    <row r="916" ht="14.25" customHeight="1">
      <c r="A916" s="136"/>
      <c r="B916" s="137"/>
      <c r="C916" s="251"/>
      <c r="D916" s="452"/>
      <c r="E916" s="136"/>
      <c r="F916" s="253"/>
      <c r="G916" s="526"/>
      <c r="H916" s="527"/>
      <c r="I916" s="527"/>
      <c r="J916" s="141"/>
      <c r="K916" s="141"/>
      <c r="L916" s="142"/>
      <c r="M916" s="142"/>
      <c r="N916" s="142"/>
      <c r="O916" s="142"/>
      <c r="P916" s="136"/>
      <c r="Q916" s="34"/>
      <c r="R916" s="35"/>
      <c r="S916" s="35"/>
      <c r="T916" s="35"/>
      <c r="U916" s="35"/>
      <c r="V916" s="35"/>
      <c r="W916" s="35"/>
      <c r="X916" s="35"/>
      <c r="Y916" s="35"/>
      <c r="Z916" s="35"/>
      <c r="AA916" s="35"/>
    </row>
    <row r="917" ht="14.25" customHeight="1">
      <c r="A917" s="136"/>
      <c r="B917" s="137"/>
      <c r="C917" s="251"/>
      <c r="D917" s="452"/>
      <c r="E917" s="136"/>
      <c r="F917" s="253"/>
      <c r="G917" s="526"/>
      <c r="H917" s="527"/>
      <c r="I917" s="527"/>
      <c r="J917" s="141"/>
      <c r="K917" s="141"/>
      <c r="L917" s="142"/>
      <c r="M917" s="142"/>
      <c r="N917" s="142"/>
      <c r="O917" s="142"/>
      <c r="P917" s="136"/>
      <c r="Q917" s="34"/>
      <c r="R917" s="35"/>
      <c r="S917" s="35"/>
      <c r="T917" s="35"/>
      <c r="U917" s="35"/>
      <c r="V917" s="35"/>
      <c r="W917" s="35"/>
      <c r="X917" s="35"/>
      <c r="Y917" s="35"/>
      <c r="Z917" s="35"/>
      <c r="AA917" s="35"/>
    </row>
    <row r="918" ht="14.25" customHeight="1">
      <c r="A918" s="136"/>
      <c r="B918" s="137"/>
      <c r="C918" s="251"/>
      <c r="D918" s="452"/>
      <c r="E918" s="136"/>
      <c r="F918" s="253"/>
      <c r="G918" s="526"/>
      <c r="H918" s="527"/>
      <c r="I918" s="527"/>
      <c r="J918" s="141"/>
      <c r="K918" s="141"/>
      <c r="L918" s="142"/>
      <c r="M918" s="142"/>
      <c r="N918" s="142"/>
      <c r="O918" s="142"/>
      <c r="P918" s="136"/>
      <c r="Q918" s="34"/>
      <c r="R918" s="35"/>
      <c r="S918" s="35"/>
      <c r="T918" s="35"/>
      <c r="U918" s="35"/>
      <c r="V918" s="35"/>
      <c r="W918" s="35"/>
      <c r="X918" s="35"/>
      <c r="Y918" s="35"/>
      <c r="Z918" s="35"/>
      <c r="AA918" s="35"/>
    </row>
    <row r="919" ht="14.25" customHeight="1">
      <c r="A919" s="136"/>
      <c r="B919" s="137"/>
      <c r="C919" s="251"/>
      <c r="D919" s="452"/>
      <c r="E919" s="136"/>
      <c r="F919" s="253"/>
      <c r="G919" s="526"/>
      <c r="H919" s="527"/>
      <c r="I919" s="527"/>
      <c r="J919" s="141"/>
      <c r="K919" s="141"/>
      <c r="L919" s="142"/>
      <c r="M919" s="142"/>
      <c r="N919" s="142"/>
      <c r="O919" s="142"/>
      <c r="P919" s="136"/>
      <c r="Q919" s="34"/>
      <c r="R919" s="35"/>
      <c r="S919" s="35"/>
      <c r="T919" s="35"/>
      <c r="U919" s="35"/>
      <c r="V919" s="35"/>
      <c r="W919" s="35"/>
      <c r="X919" s="35"/>
      <c r="Y919" s="35"/>
      <c r="Z919" s="35"/>
      <c r="AA919" s="35"/>
    </row>
    <row r="920" ht="14.25" customHeight="1">
      <c r="A920" s="136"/>
      <c r="B920" s="137"/>
      <c r="C920" s="251"/>
      <c r="D920" s="452"/>
      <c r="E920" s="136"/>
      <c r="F920" s="253"/>
      <c r="G920" s="526"/>
      <c r="H920" s="527"/>
      <c r="I920" s="527"/>
      <c r="J920" s="141"/>
      <c r="K920" s="141"/>
      <c r="L920" s="142"/>
      <c r="M920" s="142"/>
      <c r="N920" s="142"/>
      <c r="O920" s="142"/>
      <c r="P920" s="136"/>
      <c r="Q920" s="34"/>
      <c r="R920" s="35"/>
      <c r="S920" s="35"/>
      <c r="T920" s="35"/>
      <c r="U920" s="35"/>
      <c r="V920" s="35"/>
      <c r="W920" s="35"/>
      <c r="X920" s="35"/>
      <c r="Y920" s="35"/>
      <c r="Z920" s="35"/>
      <c r="AA920" s="35"/>
    </row>
    <row r="921" ht="14.25" customHeight="1">
      <c r="A921" s="136"/>
      <c r="B921" s="137"/>
      <c r="C921" s="251"/>
      <c r="D921" s="452"/>
      <c r="E921" s="136"/>
      <c r="F921" s="253"/>
      <c r="G921" s="526"/>
      <c r="H921" s="527"/>
      <c r="I921" s="527"/>
      <c r="J921" s="141"/>
      <c r="K921" s="141"/>
      <c r="L921" s="142"/>
      <c r="M921" s="142"/>
      <c r="N921" s="142"/>
      <c r="O921" s="142"/>
      <c r="P921" s="136"/>
      <c r="Q921" s="34"/>
      <c r="R921" s="35"/>
      <c r="S921" s="35"/>
      <c r="T921" s="35"/>
      <c r="U921" s="35"/>
      <c r="V921" s="35"/>
      <c r="W921" s="35"/>
      <c r="X921" s="35"/>
      <c r="Y921" s="35"/>
      <c r="Z921" s="35"/>
      <c r="AA921" s="35"/>
    </row>
    <row r="922" ht="14.25" customHeight="1">
      <c r="A922" s="136"/>
      <c r="B922" s="137"/>
      <c r="C922" s="251"/>
      <c r="D922" s="452"/>
      <c r="E922" s="136"/>
      <c r="F922" s="253"/>
      <c r="G922" s="526"/>
      <c r="H922" s="527"/>
      <c r="I922" s="527"/>
      <c r="J922" s="141"/>
      <c r="K922" s="141"/>
      <c r="L922" s="142"/>
      <c r="M922" s="142"/>
      <c r="N922" s="142"/>
      <c r="O922" s="142"/>
      <c r="P922" s="136"/>
      <c r="Q922" s="34"/>
      <c r="R922" s="35"/>
      <c r="S922" s="35"/>
      <c r="T922" s="35"/>
      <c r="U922" s="35"/>
      <c r="V922" s="35"/>
      <c r="W922" s="35"/>
      <c r="X922" s="35"/>
      <c r="Y922" s="35"/>
      <c r="Z922" s="35"/>
      <c r="AA922" s="35"/>
    </row>
    <row r="923" ht="14.25" customHeight="1">
      <c r="A923" s="136"/>
      <c r="B923" s="137"/>
      <c r="C923" s="251"/>
      <c r="D923" s="452"/>
      <c r="E923" s="136"/>
      <c r="F923" s="253"/>
      <c r="G923" s="526"/>
      <c r="H923" s="527"/>
      <c r="I923" s="527"/>
      <c r="J923" s="141"/>
      <c r="K923" s="141"/>
      <c r="L923" s="142"/>
      <c r="M923" s="142"/>
      <c r="N923" s="142"/>
      <c r="O923" s="142"/>
      <c r="P923" s="136"/>
      <c r="Q923" s="34"/>
      <c r="R923" s="35"/>
      <c r="S923" s="35"/>
      <c r="T923" s="35"/>
      <c r="U923" s="35"/>
      <c r="V923" s="35"/>
      <c r="W923" s="35"/>
      <c r="X923" s="35"/>
      <c r="Y923" s="35"/>
      <c r="Z923" s="35"/>
      <c r="AA923" s="35"/>
    </row>
    <row r="924" ht="14.25" customHeight="1">
      <c r="A924" s="136"/>
      <c r="B924" s="137"/>
      <c r="C924" s="251"/>
      <c r="D924" s="452"/>
      <c r="E924" s="136"/>
      <c r="F924" s="253"/>
      <c r="G924" s="526"/>
      <c r="H924" s="527"/>
      <c r="I924" s="527"/>
      <c r="J924" s="141"/>
      <c r="K924" s="141"/>
      <c r="L924" s="142"/>
      <c r="M924" s="142"/>
      <c r="N924" s="142"/>
      <c r="O924" s="142"/>
      <c r="P924" s="136"/>
      <c r="Q924" s="34"/>
      <c r="R924" s="35"/>
      <c r="S924" s="35"/>
      <c r="T924" s="35"/>
      <c r="U924" s="35"/>
      <c r="V924" s="35"/>
      <c r="W924" s="35"/>
      <c r="X924" s="35"/>
      <c r="Y924" s="35"/>
      <c r="Z924" s="35"/>
      <c r="AA924" s="35"/>
    </row>
    <row r="925" ht="14.25" customHeight="1">
      <c r="A925" s="136"/>
      <c r="B925" s="137"/>
      <c r="C925" s="251"/>
      <c r="D925" s="452"/>
      <c r="E925" s="136"/>
      <c r="F925" s="253"/>
      <c r="G925" s="526"/>
      <c r="H925" s="527"/>
      <c r="I925" s="527"/>
      <c r="J925" s="141"/>
      <c r="K925" s="141"/>
      <c r="L925" s="142"/>
      <c r="M925" s="142"/>
      <c r="N925" s="142"/>
      <c r="O925" s="142"/>
      <c r="P925" s="136"/>
      <c r="Q925" s="34"/>
      <c r="R925" s="35"/>
      <c r="S925" s="35"/>
      <c r="T925" s="35"/>
      <c r="U925" s="35"/>
      <c r="V925" s="35"/>
      <c r="W925" s="35"/>
      <c r="X925" s="35"/>
      <c r="Y925" s="35"/>
      <c r="Z925" s="35"/>
      <c r="AA925" s="35"/>
    </row>
    <row r="926" ht="14.25" customHeight="1">
      <c r="A926" s="136"/>
      <c r="B926" s="137"/>
      <c r="C926" s="251"/>
      <c r="D926" s="452"/>
      <c r="E926" s="136"/>
      <c r="F926" s="253"/>
      <c r="G926" s="526"/>
      <c r="H926" s="527"/>
      <c r="I926" s="527"/>
      <c r="J926" s="141"/>
      <c r="K926" s="141"/>
      <c r="L926" s="142"/>
      <c r="M926" s="142"/>
      <c r="N926" s="142"/>
      <c r="O926" s="142"/>
      <c r="P926" s="136"/>
      <c r="Q926" s="34"/>
      <c r="R926" s="35"/>
      <c r="S926" s="35"/>
      <c r="T926" s="35"/>
      <c r="U926" s="35"/>
      <c r="V926" s="35"/>
      <c r="W926" s="35"/>
      <c r="X926" s="35"/>
      <c r="Y926" s="35"/>
      <c r="Z926" s="35"/>
      <c r="AA926" s="35"/>
    </row>
    <row r="927" ht="14.25" customHeight="1">
      <c r="A927" s="136"/>
      <c r="B927" s="137"/>
      <c r="C927" s="251"/>
      <c r="D927" s="452"/>
      <c r="E927" s="136"/>
      <c r="F927" s="253"/>
      <c r="G927" s="526"/>
      <c r="H927" s="527"/>
      <c r="I927" s="527"/>
      <c r="J927" s="141"/>
      <c r="K927" s="141"/>
      <c r="L927" s="142"/>
      <c r="M927" s="142"/>
      <c r="N927" s="142"/>
      <c r="O927" s="142"/>
      <c r="P927" s="136"/>
      <c r="Q927" s="34"/>
      <c r="R927" s="35"/>
      <c r="S927" s="35"/>
      <c r="T927" s="35"/>
      <c r="U927" s="35"/>
      <c r="V927" s="35"/>
      <c r="W927" s="35"/>
      <c r="X927" s="35"/>
      <c r="Y927" s="35"/>
      <c r="Z927" s="35"/>
      <c r="AA927" s="35"/>
    </row>
    <row r="928" ht="14.25" customHeight="1">
      <c r="A928" s="136"/>
      <c r="B928" s="137"/>
      <c r="C928" s="251"/>
      <c r="D928" s="452"/>
      <c r="E928" s="136"/>
      <c r="F928" s="253"/>
      <c r="G928" s="526"/>
      <c r="H928" s="527"/>
      <c r="I928" s="527"/>
      <c r="J928" s="141"/>
      <c r="K928" s="141"/>
      <c r="L928" s="142"/>
      <c r="M928" s="142"/>
      <c r="N928" s="142"/>
      <c r="O928" s="142"/>
      <c r="P928" s="136"/>
      <c r="Q928" s="34"/>
      <c r="R928" s="35"/>
      <c r="S928" s="35"/>
      <c r="T928" s="35"/>
      <c r="U928" s="35"/>
      <c r="V928" s="35"/>
      <c r="W928" s="35"/>
      <c r="X928" s="35"/>
      <c r="Y928" s="35"/>
      <c r="Z928" s="35"/>
      <c r="AA928" s="35"/>
    </row>
    <row r="929" ht="14.25" customHeight="1">
      <c r="A929" s="136"/>
      <c r="B929" s="137"/>
      <c r="C929" s="251"/>
      <c r="D929" s="452"/>
      <c r="E929" s="136"/>
      <c r="F929" s="253"/>
      <c r="G929" s="526"/>
      <c r="H929" s="527"/>
      <c r="I929" s="527"/>
      <c r="J929" s="141"/>
      <c r="K929" s="141"/>
      <c r="L929" s="142"/>
      <c r="M929" s="142"/>
      <c r="N929" s="142"/>
      <c r="O929" s="142"/>
      <c r="P929" s="136"/>
      <c r="Q929" s="34"/>
      <c r="R929" s="35"/>
      <c r="S929" s="35"/>
      <c r="T929" s="35"/>
      <c r="U929" s="35"/>
      <c r="V929" s="35"/>
      <c r="W929" s="35"/>
      <c r="X929" s="35"/>
      <c r="Y929" s="35"/>
      <c r="Z929" s="35"/>
      <c r="AA929" s="35"/>
    </row>
    <row r="930" ht="14.25" customHeight="1">
      <c r="A930" s="136"/>
      <c r="B930" s="137"/>
      <c r="C930" s="251"/>
      <c r="D930" s="452"/>
      <c r="E930" s="136"/>
      <c r="F930" s="253"/>
      <c r="G930" s="526"/>
      <c r="H930" s="527"/>
      <c r="I930" s="527"/>
      <c r="J930" s="141"/>
      <c r="K930" s="141"/>
      <c r="L930" s="142"/>
      <c r="M930" s="142"/>
      <c r="N930" s="142"/>
      <c r="O930" s="142"/>
      <c r="P930" s="136"/>
      <c r="Q930" s="34"/>
      <c r="R930" s="35"/>
      <c r="S930" s="35"/>
      <c r="T930" s="35"/>
      <c r="U930" s="35"/>
      <c r="V930" s="35"/>
      <c r="W930" s="35"/>
      <c r="X930" s="35"/>
      <c r="Y930" s="35"/>
      <c r="Z930" s="35"/>
      <c r="AA930" s="35"/>
    </row>
    <row r="931" ht="14.25" customHeight="1">
      <c r="A931" s="136"/>
      <c r="B931" s="137"/>
      <c r="C931" s="251"/>
      <c r="D931" s="452"/>
      <c r="E931" s="136"/>
      <c r="F931" s="253"/>
      <c r="G931" s="526"/>
      <c r="H931" s="527"/>
      <c r="I931" s="527"/>
      <c r="J931" s="141"/>
      <c r="K931" s="141"/>
      <c r="L931" s="142"/>
      <c r="M931" s="142"/>
      <c r="N931" s="142"/>
      <c r="O931" s="142"/>
      <c r="P931" s="136"/>
      <c r="Q931" s="34"/>
      <c r="R931" s="35"/>
      <c r="S931" s="35"/>
      <c r="T931" s="35"/>
      <c r="U931" s="35"/>
      <c r="V931" s="35"/>
      <c r="W931" s="35"/>
      <c r="X931" s="35"/>
      <c r="Y931" s="35"/>
      <c r="Z931" s="35"/>
      <c r="AA931" s="35"/>
    </row>
    <row r="932" ht="14.25" customHeight="1">
      <c r="A932" s="136"/>
      <c r="B932" s="137"/>
      <c r="C932" s="251"/>
      <c r="D932" s="452"/>
      <c r="E932" s="136"/>
      <c r="F932" s="253"/>
      <c r="G932" s="526"/>
      <c r="H932" s="527"/>
      <c r="I932" s="527"/>
      <c r="J932" s="141"/>
      <c r="K932" s="141"/>
      <c r="L932" s="142"/>
      <c r="M932" s="142"/>
      <c r="N932" s="142"/>
      <c r="O932" s="142"/>
      <c r="P932" s="136"/>
      <c r="Q932" s="34"/>
      <c r="R932" s="35"/>
      <c r="S932" s="35"/>
      <c r="T932" s="35"/>
      <c r="U932" s="35"/>
      <c r="V932" s="35"/>
      <c r="W932" s="35"/>
      <c r="X932" s="35"/>
      <c r="Y932" s="35"/>
      <c r="Z932" s="35"/>
      <c r="AA932" s="35"/>
    </row>
    <row r="933" ht="14.25" customHeight="1">
      <c r="A933" s="136"/>
      <c r="B933" s="137"/>
      <c r="C933" s="251"/>
      <c r="D933" s="452"/>
      <c r="E933" s="136"/>
      <c r="F933" s="253"/>
      <c r="G933" s="526"/>
      <c r="H933" s="527"/>
      <c r="I933" s="527"/>
      <c r="J933" s="141"/>
      <c r="K933" s="141"/>
      <c r="L933" s="142"/>
      <c r="M933" s="142"/>
      <c r="N933" s="142"/>
      <c r="O933" s="142"/>
      <c r="P933" s="136"/>
      <c r="Q933" s="34"/>
      <c r="R933" s="35"/>
      <c r="S933" s="35"/>
      <c r="T933" s="35"/>
      <c r="U933" s="35"/>
      <c r="V933" s="35"/>
      <c r="W933" s="35"/>
      <c r="X933" s="35"/>
      <c r="Y933" s="35"/>
      <c r="Z933" s="35"/>
      <c r="AA933" s="35"/>
    </row>
    <row r="934" ht="14.25" customHeight="1">
      <c r="A934" s="136"/>
      <c r="B934" s="137"/>
      <c r="C934" s="251"/>
      <c r="D934" s="452"/>
      <c r="E934" s="136"/>
      <c r="F934" s="253"/>
      <c r="G934" s="526"/>
      <c r="H934" s="527"/>
      <c r="I934" s="527"/>
      <c r="J934" s="141"/>
      <c r="K934" s="141"/>
      <c r="L934" s="142"/>
      <c r="M934" s="142"/>
      <c r="N934" s="142"/>
      <c r="O934" s="142"/>
      <c r="P934" s="136"/>
      <c r="Q934" s="34"/>
      <c r="R934" s="35"/>
      <c r="S934" s="35"/>
      <c r="T934" s="35"/>
      <c r="U934" s="35"/>
      <c r="V934" s="35"/>
      <c r="W934" s="35"/>
      <c r="X934" s="35"/>
      <c r="Y934" s="35"/>
      <c r="Z934" s="35"/>
      <c r="AA934" s="35"/>
    </row>
    <row r="935" ht="14.25" customHeight="1">
      <c r="A935" s="136"/>
      <c r="B935" s="137"/>
      <c r="C935" s="251"/>
      <c r="D935" s="452"/>
      <c r="E935" s="136"/>
      <c r="F935" s="253"/>
      <c r="G935" s="526"/>
      <c r="H935" s="527"/>
      <c r="I935" s="527"/>
      <c r="J935" s="141"/>
      <c r="K935" s="141"/>
      <c r="L935" s="142"/>
      <c r="M935" s="142"/>
      <c r="N935" s="142"/>
      <c r="O935" s="142"/>
      <c r="P935" s="136"/>
      <c r="Q935" s="34"/>
      <c r="R935" s="35"/>
      <c r="S935" s="35"/>
      <c r="T935" s="35"/>
      <c r="U935" s="35"/>
      <c r="V935" s="35"/>
      <c r="W935" s="35"/>
      <c r="X935" s="35"/>
      <c r="Y935" s="35"/>
      <c r="Z935" s="35"/>
      <c r="AA935" s="35"/>
    </row>
    <row r="936" ht="14.25" customHeight="1">
      <c r="A936" s="136"/>
      <c r="B936" s="137"/>
      <c r="C936" s="251"/>
      <c r="D936" s="452"/>
      <c r="E936" s="136"/>
      <c r="F936" s="253"/>
      <c r="G936" s="526"/>
      <c r="H936" s="527"/>
      <c r="I936" s="527"/>
      <c r="J936" s="141"/>
      <c r="K936" s="141"/>
      <c r="L936" s="142"/>
      <c r="M936" s="142"/>
      <c r="N936" s="142"/>
      <c r="O936" s="142"/>
      <c r="P936" s="136"/>
      <c r="Q936" s="34"/>
      <c r="R936" s="35"/>
      <c r="S936" s="35"/>
      <c r="T936" s="35"/>
      <c r="U936" s="35"/>
      <c r="V936" s="35"/>
      <c r="W936" s="35"/>
      <c r="X936" s="35"/>
      <c r="Y936" s="35"/>
      <c r="Z936" s="35"/>
      <c r="AA936" s="35"/>
    </row>
    <row r="937" ht="14.25" customHeight="1">
      <c r="A937" s="136"/>
      <c r="B937" s="137"/>
      <c r="C937" s="251"/>
      <c r="D937" s="452"/>
      <c r="E937" s="136"/>
      <c r="F937" s="253"/>
      <c r="G937" s="526"/>
      <c r="H937" s="527"/>
      <c r="I937" s="527"/>
      <c r="J937" s="141"/>
      <c r="K937" s="141"/>
      <c r="L937" s="142"/>
      <c r="M937" s="142"/>
      <c r="N937" s="142"/>
      <c r="O937" s="142"/>
      <c r="P937" s="136"/>
      <c r="Q937" s="34"/>
      <c r="R937" s="35"/>
      <c r="S937" s="35"/>
      <c r="T937" s="35"/>
      <c r="U937" s="35"/>
      <c r="V937" s="35"/>
      <c r="W937" s="35"/>
      <c r="X937" s="35"/>
      <c r="Y937" s="35"/>
      <c r="Z937" s="35"/>
      <c r="AA937" s="35"/>
    </row>
    <row r="938" ht="14.25" customHeight="1">
      <c r="A938" s="136"/>
      <c r="B938" s="137"/>
      <c r="C938" s="251"/>
      <c r="D938" s="452"/>
      <c r="E938" s="136"/>
      <c r="F938" s="253"/>
      <c r="G938" s="526"/>
      <c r="H938" s="527"/>
      <c r="I938" s="527"/>
      <c r="J938" s="141"/>
      <c r="K938" s="141"/>
      <c r="L938" s="142"/>
      <c r="M938" s="142"/>
      <c r="N938" s="142"/>
      <c r="O938" s="142"/>
      <c r="P938" s="136"/>
      <c r="Q938" s="34"/>
      <c r="R938" s="35"/>
      <c r="S938" s="35"/>
      <c r="T938" s="35"/>
      <c r="U938" s="35"/>
      <c r="V938" s="35"/>
      <c r="W938" s="35"/>
      <c r="X938" s="35"/>
      <c r="Y938" s="35"/>
      <c r="Z938" s="35"/>
      <c r="AA938" s="35"/>
    </row>
    <row r="939" ht="14.25" customHeight="1">
      <c r="A939" s="136"/>
      <c r="B939" s="137"/>
      <c r="C939" s="251"/>
      <c r="D939" s="452"/>
      <c r="E939" s="136"/>
      <c r="F939" s="253"/>
      <c r="G939" s="526"/>
      <c r="H939" s="527"/>
      <c r="I939" s="527"/>
      <c r="J939" s="141"/>
      <c r="K939" s="141"/>
      <c r="L939" s="142"/>
      <c r="M939" s="142"/>
      <c r="N939" s="142"/>
      <c r="O939" s="142"/>
      <c r="P939" s="136"/>
      <c r="Q939" s="34"/>
      <c r="R939" s="35"/>
      <c r="S939" s="35"/>
      <c r="T939" s="35"/>
      <c r="U939" s="35"/>
      <c r="V939" s="35"/>
      <c r="W939" s="35"/>
      <c r="X939" s="35"/>
      <c r="Y939" s="35"/>
      <c r="Z939" s="35"/>
      <c r="AA939" s="35"/>
    </row>
    <row r="940" ht="14.25" customHeight="1">
      <c r="A940" s="136"/>
      <c r="B940" s="137"/>
      <c r="C940" s="251"/>
      <c r="D940" s="452"/>
      <c r="E940" s="136"/>
      <c r="F940" s="253"/>
      <c r="G940" s="526"/>
      <c r="H940" s="527"/>
      <c r="I940" s="527"/>
      <c r="J940" s="141"/>
      <c r="K940" s="141"/>
      <c r="L940" s="142"/>
      <c r="M940" s="142"/>
      <c r="N940" s="142"/>
      <c r="O940" s="142"/>
      <c r="P940" s="136"/>
      <c r="Q940" s="34"/>
      <c r="R940" s="35"/>
      <c r="S940" s="35"/>
      <c r="T940" s="35"/>
      <c r="U940" s="35"/>
      <c r="V940" s="35"/>
      <c r="W940" s="35"/>
      <c r="X940" s="35"/>
      <c r="Y940" s="35"/>
      <c r="Z940" s="35"/>
      <c r="AA940" s="35"/>
    </row>
    <row r="941" ht="14.25" customHeight="1">
      <c r="A941" s="136"/>
      <c r="B941" s="137"/>
      <c r="C941" s="251"/>
      <c r="D941" s="452"/>
      <c r="E941" s="136"/>
      <c r="F941" s="253"/>
      <c r="G941" s="526"/>
      <c r="H941" s="527"/>
      <c r="I941" s="527"/>
      <c r="J941" s="141"/>
      <c r="K941" s="141"/>
      <c r="L941" s="142"/>
      <c r="M941" s="142"/>
      <c r="N941" s="142"/>
      <c r="O941" s="142"/>
      <c r="P941" s="136"/>
      <c r="Q941" s="34"/>
      <c r="R941" s="35"/>
      <c r="S941" s="35"/>
      <c r="T941" s="35"/>
      <c r="U941" s="35"/>
      <c r="V941" s="35"/>
      <c r="W941" s="35"/>
      <c r="X941" s="35"/>
      <c r="Y941" s="35"/>
      <c r="Z941" s="35"/>
      <c r="AA941" s="35"/>
    </row>
    <row r="942" ht="14.25" customHeight="1">
      <c r="A942" s="136"/>
      <c r="B942" s="137"/>
      <c r="C942" s="251"/>
      <c r="D942" s="452"/>
      <c r="E942" s="136"/>
      <c r="F942" s="253"/>
      <c r="G942" s="526"/>
      <c r="H942" s="527"/>
      <c r="I942" s="527"/>
      <c r="J942" s="141"/>
      <c r="K942" s="141"/>
      <c r="L942" s="142"/>
      <c r="M942" s="142"/>
      <c r="N942" s="142"/>
      <c r="O942" s="142"/>
      <c r="P942" s="136"/>
      <c r="Q942" s="34"/>
      <c r="R942" s="35"/>
      <c r="S942" s="35"/>
      <c r="T942" s="35"/>
      <c r="U942" s="35"/>
      <c r="V942" s="35"/>
      <c r="W942" s="35"/>
      <c r="X942" s="35"/>
      <c r="Y942" s="35"/>
      <c r="Z942" s="35"/>
      <c r="AA942" s="35"/>
    </row>
    <row r="943" ht="14.25" customHeight="1">
      <c r="A943" s="136"/>
      <c r="B943" s="137"/>
      <c r="C943" s="251"/>
      <c r="D943" s="452"/>
      <c r="E943" s="136"/>
      <c r="F943" s="253"/>
      <c r="G943" s="526"/>
      <c r="H943" s="527"/>
      <c r="I943" s="527"/>
      <c r="J943" s="141"/>
      <c r="K943" s="141"/>
      <c r="L943" s="142"/>
      <c r="M943" s="142"/>
      <c r="N943" s="142"/>
      <c r="O943" s="142"/>
      <c r="P943" s="136"/>
      <c r="Q943" s="34"/>
      <c r="R943" s="35"/>
      <c r="S943" s="35"/>
      <c r="T943" s="35"/>
      <c r="U943" s="35"/>
      <c r="V943" s="35"/>
      <c r="W943" s="35"/>
      <c r="X943" s="35"/>
      <c r="Y943" s="35"/>
      <c r="Z943" s="35"/>
      <c r="AA943" s="35"/>
    </row>
    <row r="944" ht="14.25" customHeight="1">
      <c r="A944" s="136"/>
      <c r="B944" s="137"/>
      <c r="C944" s="251"/>
      <c r="D944" s="452"/>
      <c r="E944" s="136"/>
      <c r="F944" s="253"/>
      <c r="G944" s="526"/>
      <c r="H944" s="527"/>
      <c r="I944" s="527"/>
      <c r="J944" s="141"/>
      <c r="K944" s="141"/>
      <c r="L944" s="142"/>
      <c r="M944" s="142"/>
      <c r="N944" s="142"/>
      <c r="O944" s="142"/>
      <c r="P944" s="136"/>
      <c r="Q944" s="34"/>
      <c r="R944" s="35"/>
      <c r="S944" s="35"/>
      <c r="T944" s="35"/>
      <c r="U944" s="35"/>
      <c r="V944" s="35"/>
      <c r="W944" s="35"/>
      <c r="X944" s="35"/>
      <c r="Y944" s="35"/>
      <c r="Z944" s="35"/>
      <c r="AA944" s="35"/>
    </row>
    <row r="945" ht="14.25" customHeight="1">
      <c r="A945" s="136"/>
      <c r="B945" s="137"/>
      <c r="C945" s="251"/>
      <c r="D945" s="452"/>
      <c r="E945" s="136"/>
      <c r="F945" s="253"/>
      <c r="G945" s="526"/>
      <c r="H945" s="527"/>
      <c r="I945" s="527"/>
      <c r="J945" s="141"/>
      <c r="K945" s="141"/>
      <c r="L945" s="142"/>
      <c r="M945" s="142"/>
      <c r="N945" s="142"/>
      <c r="O945" s="142"/>
      <c r="P945" s="136"/>
      <c r="Q945" s="34"/>
      <c r="R945" s="35"/>
      <c r="S945" s="35"/>
      <c r="T945" s="35"/>
      <c r="U945" s="35"/>
      <c r="V945" s="35"/>
      <c r="W945" s="35"/>
      <c r="X945" s="35"/>
      <c r="Y945" s="35"/>
      <c r="Z945" s="35"/>
      <c r="AA945" s="35"/>
    </row>
    <row r="946" ht="14.25" customHeight="1">
      <c r="A946" s="136"/>
      <c r="B946" s="137"/>
      <c r="C946" s="251"/>
      <c r="D946" s="452"/>
      <c r="E946" s="136"/>
      <c r="F946" s="253"/>
      <c r="G946" s="526"/>
      <c r="H946" s="527"/>
      <c r="I946" s="527"/>
      <c r="J946" s="141"/>
      <c r="K946" s="141"/>
      <c r="L946" s="142"/>
      <c r="M946" s="142"/>
      <c r="N946" s="142"/>
      <c r="O946" s="142"/>
      <c r="P946" s="136"/>
      <c r="Q946" s="34"/>
      <c r="R946" s="35"/>
      <c r="S946" s="35"/>
      <c r="T946" s="35"/>
      <c r="U946" s="35"/>
      <c r="V946" s="35"/>
      <c r="W946" s="35"/>
      <c r="X946" s="35"/>
      <c r="Y946" s="35"/>
      <c r="Z946" s="35"/>
      <c r="AA946" s="35"/>
    </row>
    <row r="947" ht="14.25" customHeight="1">
      <c r="A947" s="136"/>
      <c r="B947" s="137"/>
      <c r="C947" s="251"/>
      <c r="D947" s="452"/>
      <c r="E947" s="136"/>
      <c r="F947" s="253"/>
      <c r="G947" s="526"/>
      <c r="H947" s="527"/>
      <c r="I947" s="527"/>
      <c r="J947" s="141"/>
      <c r="K947" s="141"/>
      <c r="L947" s="142"/>
      <c r="M947" s="142"/>
      <c r="N947" s="142"/>
      <c r="O947" s="142"/>
      <c r="P947" s="136"/>
      <c r="Q947" s="34"/>
      <c r="R947" s="35"/>
      <c r="S947" s="35"/>
      <c r="T947" s="35"/>
      <c r="U947" s="35"/>
      <c r="V947" s="35"/>
      <c r="W947" s="35"/>
      <c r="X947" s="35"/>
      <c r="Y947" s="35"/>
      <c r="Z947" s="35"/>
      <c r="AA947" s="35"/>
    </row>
    <row r="948" ht="14.25" customHeight="1">
      <c r="A948" s="136"/>
      <c r="B948" s="137"/>
      <c r="C948" s="251"/>
      <c r="D948" s="452"/>
      <c r="E948" s="136"/>
      <c r="F948" s="253"/>
      <c r="G948" s="526"/>
      <c r="H948" s="527"/>
      <c r="I948" s="527"/>
      <c r="J948" s="141"/>
      <c r="K948" s="141"/>
      <c r="L948" s="142"/>
      <c r="M948" s="142"/>
      <c r="N948" s="142"/>
      <c r="O948" s="142"/>
      <c r="P948" s="136"/>
      <c r="Q948" s="34"/>
      <c r="R948" s="35"/>
      <c r="S948" s="35"/>
      <c r="T948" s="35"/>
      <c r="U948" s="35"/>
      <c r="V948" s="35"/>
      <c r="W948" s="35"/>
      <c r="X948" s="35"/>
      <c r="Y948" s="35"/>
      <c r="Z948" s="35"/>
      <c r="AA948" s="35"/>
    </row>
    <row r="949" ht="14.25" customHeight="1">
      <c r="A949" s="136"/>
      <c r="B949" s="137"/>
      <c r="C949" s="251"/>
      <c r="D949" s="452"/>
      <c r="E949" s="136"/>
      <c r="F949" s="253"/>
      <c r="G949" s="526"/>
      <c r="H949" s="527"/>
      <c r="I949" s="527"/>
      <c r="J949" s="141"/>
      <c r="K949" s="141"/>
      <c r="L949" s="142"/>
      <c r="M949" s="142"/>
      <c r="N949" s="142"/>
      <c r="O949" s="142"/>
      <c r="P949" s="136"/>
      <c r="Q949" s="34"/>
      <c r="R949" s="35"/>
      <c r="S949" s="35"/>
      <c r="T949" s="35"/>
      <c r="U949" s="35"/>
      <c r="V949" s="35"/>
      <c r="W949" s="35"/>
      <c r="X949" s="35"/>
      <c r="Y949" s="35"/>
      <c r="Z949" s="35"/>
      <c r="AA949" s="35"/>
    </row>
    <row r="950" ht="14.25" customHeight="1">
      <c r="A950" s="136"/>
      <c r="B950" s="137"/>
      <c r="C950" s="251"/>
      <c r="D950" s="452"/>
      <c r="E950" s="136"/>
      <c r="F950" s="253"/>
      <c r="G950" s="526"/>
      <c r="H950" s="527"/>
      <c r="I950" s="527"/>
      <c r="J950" s="141"/>
      <c r="K950" s="141"/>
      <c r="L950" s="142"/>
      <c r="M950" s="142"/>
      <c r="N950" s="142"/>
      <c r="O950" s="142"/>
      <c r="P950" s="136"/>
      <c r="Q950" s="34"/>
      <c r="R950" s="35"/>
      <c r="S950" s="35"/>
      <c r="T950" s="35"/>
      <c r="U950" s="35"/>
      <c r="V950" s="35"/>
      <c r="W950" s="35"/>
      <c r="X950" s="35"/>
      <c r="Y950" s="35"/>
      <c r="Z950" s="35"/>
      <c r="AA950" s="35"/>
    </row>
    <row r="951" ht="14.25" customHeight="1">
      <c r="A951" s="136"/>
      <c r="B951" s="137"/>
      <c r="C951" s="251"/>
      <c r="D951" s="452"/>
      <c r="E951" s="136"/>
      <c r="F951" s="253"/>
      <c r="G951" s="526"/>
      <c r="H951" s="527"/>
      <c r="I951" s="527"/>
      <c r="J951" s="141"/>
      <c r="K951" s="141"/>
      <c r="L951" s="142"/>
      <c r="M951" s="142"/>
      <c r="N951" s="142"/>
      <c r="O951" s="142"/>
      <c r="P951" s="136"/>
      <c r="Q951" s="34"/>
      <c r="R951" s="35"/>
      <c r="S951" s="35"/>
      <c r="T951" s="35"/>
      <c r="U951" s="35"/>
      <c r="V951" s="35"/>
      <c r="W951" s="35"/>
      <c r="X951" s="35"/>
      <c r="Y951" s="35"/>
      <c r="Z951" s="35"/>
      <c r="AA951" s="35"/>
    </row>
    <row r="952" ht="14.25" customHeight="1">
      <c r="A952" s="136"/>
      <c r="B952" s="137"/>
      <c r="C952" s="251"/>
      <c r="D952" s="452"/>
      <c r="E952" s="136"/>
      <c r="F952" s="253"/>
      <c r="G952" s="526"/>
      <c r="H952" s="527"/>
      <c r="I952" s="527"/>
      <c r="J952" s="141"/>
      <c r="K952" s="141"/>
      <c r="L952" s="142"/>
      <c r="M952" s="142"/>
      <c r="N952" s="142"/>
      <c r="O952" s="142"/>
      <c r="P952" s="136"/>
      <c r="Q952" s="34"/>
      <c r="R952" s="35"/>
      <c r="S952" s="35"/>
      <c r="T952" s="35"/>
      <c r="U952" s="35"/>
      <c r="V952" s="35"/>
      <c r="W952" s="35"/>
      <c r="X952" s="35"/>
      <c r="Y952" s="35"/>
      <c r="Z952" s="35"/>
      <c r="AA952" s="35"/>
    </row>
    <row r="953" ht="14.25" customHeight="1">
      <c r="A953" s="136"/>
      <c r="B953" s="137"/>
      <c r="C953" s="251"/>
      <c r="D953" s="452"/>
      <c r="E953" s="136"/>
      <c r="F953" s="253"/>
      <c r="G953" s="526"/>
      <c r="H953" s="527"/>
      <c r="I953" s="527"/>
      <c r="J953" s="141"/>
      <c r="K953" s="141"/>
      <c r="L953" s="142"/>
      <c r="M953" s="142"/>
      <c r="N953" s="142"/>
      <c r="O953" s="142"/>
      <c r="P953" s="136"/>
      <c r="Q953" s="34"/>
      <c r="R953" s="35"/>
      <c r="S953" s="35"/>
      <c r="T953" s="35"/>
      <c r="U953" s="35"/>
      <c r="V953" s="35"/>
      <c r="W953" s="35"/>
      <c r="X953" s="35"/>
      <c r="Y953" s="35"/>
      <c r="Z953" s="35"/>
      <c r="AA953" s="35"/>
    </row>
    <row r="954" ht="14.25" customHeight="1">
      <c r="A954" s="136"/>
      <c r="B954" s="137"/>
      <c r="C954" s="251"/>
      <c r="D954" s="452"/>
      <c r="E954" s="136"/>
      <c r="F954" s="253"/>
      <c r="G954" s="526"/>
      <c r="H954" s="527"/>
      <c r="I954" s="527"/>
      <c r="J954" s="141"/>
      <c r="K954" s="141"/>
      <c r="L954" s="142"/>
      <c r="M954" s="142"/>
      <c r="N954" s="142"/>
      <c r="O954" s="142"/>
      <c r="P954" s="136"/>
      <c r="Q954" s="34"/>
      <c r="R954" s="35"/>
      <c r="S954" s="35"/>
      <c r="T954" s="35"/>
      <c r="U954" s="35"/>
      <c r="V954" s="35"/>
      <c r="W954" s="35"/>
      <c r="X954" s="35"/>
      <c r="Y954" s="35"/>
      <c r="Z954" s="35"/>
      <c r="AA954" s="35"/>
    </row>
    <row r="955" ht="14.25" customHeight="1">
      <c r="A955" s="136"/>
      <c r="B955" s="137"/>
      <c r="C955" s="251"/>
      <c r="D955" s="452"/>
      <c r="E955" s="136"/>
      <c r="F955" s="253"/>
      <c r="G955" s="526"/>
      <c r="H955" s="527"/>
      <c r="I955" s="527"/>
      <c r="J955" s="141"/>
      <c r="K955" s="141"/>
      <c r="L955" s="142"/>
      <c r="M955" s="142"/>
      <c r="N955" s="142"/>
      <c r="O955" s="142"/>
      <c r="P955" s="136"/>
      <c r="Q955" s="34"/>
      <c r="R955" s="35"/>
      <c r="S955" s="35"/>
      <c r="T955" s="35"/>
      <c r="U955" s="35"/>
      <c r="V955" s="35"/>
      <c r="W955" s="35"/>
      <c r="X955" s="35"/>
      <c r="Y955" s="35"/>
      <c r="Z955" s="35"/>
      <c r="AA955" s="35"/>
    </row>
    <row r="956" ht="14.25" customHeight="1">
      <c r="A956" s="136"/>
      <c r="B956" s="137"/>
      <c r="C956" s="251"/>
      <c r="D956" s="452"/>
      <c r="E956" s="136"/>
      <c r="F956" s="253"/>
      <c r="G956" s="526"/>
      <c r="H956" s="527"/>
      <c r="I956" s="527"/>
      <c r="J956" s="141"/>
      <c r="K956" s="141"/>
      <c r="L956" s="142"/>
      <c r="M956" s="142"/>
      <c r="N956" s="142"/>
      <c r="O956" s="142"/>
      <c r="P956" s="136"/>
      <c r="Q956" s="34"/>
      <c r="R956" s="35"/>
      <c r="S956" s="35"/>
      <c r="T956" s="35"/>
      <c r="U956" s="35"/>
      <c r="V956" s="35"/>
      <c r="W956" s="35"/>
      <c r="X956" s="35"/>
      <c r="Y956" s="35"/>
      <c r="Z956" s="35"/>
      <c r="AA956" s="35"/>
    </row>
    <row r="957" ht="14.25" customHeight="1">
      <c r="A957" s="136"/>
      <c r="B957" s="137"/>
      <c r="C957" s="251"/>
      <c r="D957" s="452"/>
      <c r="E957" s="136"/>
      <c r="F957" s="253"/>
      <c r="G957" s="526"/>
      <c r="H957" s="527"/>
      <c r="I957" s="527"/>
      <c r="J957" s="141"/>
      <c r="K957" s="141"/>
      <c r="L957" s="142"/>
      <c r="M957" s="142"/>
      <c r="N957" s="142"/>
      <c r="O957" s="142"/>
      <c r="P957" s="136"/>
      <c r="Q957" s="34"/>
      <c r="R957" s="35"/>
      <c r="S957" s="35"/>
      <c r="T957" s="35"/>
      <c r="U957" s="35"/>
      <c r="V957" s="35"/>
      <c r="W957" s="35"/>
      <c r="X957" s="35"/>
      <c r="Y957" s="35"/>
      <c r="Z957" s="35"/>
      <c r="AA957" s="35"/>
    </row>
    <row r="958" ht="14.25" customHeight="1">
      <c r="A958" s="136"/>
      <c r="B958" s="137"/>
      <c r="C958" s="251"/>
      <c r="D958" s="452"/>
      <c r="E958" s="136"/>
      <c r="F958" s="253"/>
      <c r="G958" s="526"/>
      <c r="H958" s="527"/>
      <c r="I958" s="527"/>
      <c r="J958" s="141"/>
      <c r="K958" s="141"/>
      <c r="L958" s="142"/>
      <c r="M958" s="142"/>
      <c r="N958" s="142"/>
      <c r="O958" s="142"/>
      <c r="P958" s="136"/>
      <c r="Q958" s="34"/>
      <c r="R958" s="35"/>
      <c r="S958" s="35"/>
      <c r="T958" s="35"/>
      <c r="U958" s="35"/>
      <c r="V958" s="35"/>
      <c r="W958" s="35"/>
      <c r="X958" s="35"/>
      <c r="Y958" s="35"/>
      <c r="Z958" s="35"/>
      <c r="AA958" s="35"/>
    </row>
    <row r="959" ht="14.25" customHeight="1">
      <c r="A959" s="136"/>
      <c r="B959" s="137"/>
      <c r="C959" s="251"/>
      <c r="D959" s="452"/>
      <c r="E959" s="136"/>
      <c r="F959" s="253"/>
      <c r="G959" s="526"/>
      <c r="H959" s="527"/>
      <c r="I959" s="527"/>
      <c r="J959" s="141"/>
      <c r="K959" s="141"/>
      <c r="L959" s="142"/>
      <c r="M959" s="142"/>
      <c r="N959" s="142"/>
      <c r="O959" s="142"/>
      <c r="P959" s="136"/>
      <c r="Q959" s="34"/>
      <c r="R959" s="35"/>
      <c r="S959" s="35"/>
      <c r="T959" s="35"/>
      <c r="U959" s="35"/>
      <c r="V959" s="35"/>
      <c r="W959" s="35"/>
      <c r="X959" s="35"/>
      <c r="Y959" s="35"/>
      <c r="Z959" s="35"/>
      <c r="AA959" s="35"/>
    </row>
    <row r="960" ht="14.25" customHeight="1">
      <c r="A960" s="136"/>
      <c r="B960" s="137"/>
      <c r="C960" s="251"/>
      <c r="D960" s="452"/>
      <c r="E960" s="136"/>
      <c r="F960" s="253"/>
      <c r="G960" s="526"/>
      <c r="H960" s="527"/>
      <c r="I960" s="527"/>
      <c r="J960" s="141"/>
      <c r="K960" s="141"/>
      <c r="L960" s="142"/>
      <c r="M960" s="142"/>
      <c r="N960" s="142"/>
      <c r="O960" s="142"/>
      <c r="P960" s="136"/>
      <c r="Q960" s="34"/>
      <c r="R960" s="35"/>
      <c r="S960" s="35"/>
      <c r="T960" s="35"/>
      <c r="U960" s="35"/>
      <c r="V960" s="35"/>
      <c r="W960" s="35"/>
      <c r="X960" s="35"/>
      <c r="Y960" s="35"/>
      <c r="Z960" s="35"/>
      <c r="AA960" s="35"/>
    </row>
    <row r="961" ht="14.25" customHeight="1">
      <c r="A961" s="136"/>
      <c r="B961" s="137"/>
      <c r="C961" s="251"/>
      <c r="D961" s="452"/>
      <c r="E961" s="136"/>
      <c r="F961" s="253"/>
      <c r="G961" s="526"/>
      <c r="H961" s="527"/>
      <c r="I961" s="527"/>
      <c r="J961" s="141"/>
      <c r="K961" s="141"/>
      <c r="L961" s="142"/>
      <c r="M961" s="142"/>
      <c r="N961" s="142"/>
      <c r="O961" s="142"/>
      <c r="P961" s="136"/>
      <c r="Q961" s="34"/>
      <c r="R961" s="35"/>
      <c r="S961" s="35"/>
      <c r="T961" s="35"/>
      <c r="U961" s="35"/>
      <c r="V961" s="35"/>
      <c r="W961" s="35"/>
      <c r="X961" s="35"/>
      <c r="Y961" s="35"/>
      <c r="Z961" s="35"/>
      <c r="AA961" s="35"/>
    </row>
    <row r="962" ht="14.25" customHeight="1">
      <c r="A962" s="136"/>
      <c r="B962" s="137"/>
      <c r="C962" s="251"/>
      <c r="D962" s="452"/>
      <c r="E962" s="136"/>
      <c r="F962" s="253"/>
      <c r="G962" s="526"/>
      <c r="H962" s="527"/>
      <c r="I962" s="527"/>
      <c r="J962" s="141"/>
      <c r="K962" s="141"/>
      <c r="L962" s="142"/>
      <c r="M962" s="142"/>
      <c r="N962" s="142"/>
      <c r="O962" s="142"/>
      <c r="P962" s="136"/>
      <c r="Q962" s="34"/>
      <c r="R962" s="35"/>
      <c r="S962" s="35"/>
      <c r="T962" s="35"/>
      <c r="U962" s="35"/>
      <c r="V962" s="35"/>
      <c r="W962" s="35"/>
      <c r="X962" s="35"/>
      <c r="Y962" s="35"/>
      <c r="Z962" s="35"/>
      <c r="AA962" s="35"/>
    </row>
    <row r="963" ht="14.25" customHeight="1">
      <c r="A963" s="136"/>
      <c r="B963" s="137"/>
      <c r="C963" s="251"/>
      <c r="D963" s="452"/>
      <c r="E963" s="136"/>
      <c r="F963" s="253"/>
      <c r="G963" s="526"/>
      <c r="H963" s="527"/>
      <c r="I963" s="527"/>
      <c r="J963" s="141"/>
      <c r="K963" s="141"/>
      <c r="L963" s="142"/>
      <c r="M963" s="142"/>
      <c r="N963" s="142"/>
      <c r="O963" s="142"/>
      <c r="P963" s="136"/>
      <c r="Q963" s="34"/>
      <c r="R963" s="35"/>
      <c r="S963" s="35"/>
      <c r="T963" s="35"/>
      <c r="U963" s="35"/>
      <c r="V963" s="35"/>
      <c r="W963" s="35"/>
      <c r="X963" s="35"/>
      <c r="Y963" s="35"/>
      <c r="Z963" s="35"/>
      <c r="AA963" s="35"/>
    </row>
    <row r="964" ht="14.25" customHeight="1">
      <c r="A964" s="136"/>
      <c r="B964" s="137"/>
      <c r="C964" s="251"/>
      <c r="D964" s="452"/>
      <c r="E964" s="136"/>
      <c r="F964" s="253"/>
      <c r="G964" s="526"/>
      <c r="H964" s="527"/>
      <c r="I964" s="527"/>
      <c r="J964" s="141"/>
      <c r="K964" s="141"/>
      <c r="L964" s="142"/>
      <c r="M964" s="142"/>
      <c r="N964" s="142"/>
      <c r="O964" s="142"/>
      <c r="P964" s="136"/>
      <c r="Q964" s="34"/>
      <c r="R964" s="35"/>
      <c r="S964" s="35"/>
      <c r="T964" s="35"/>
      <c r="U964" s="35"/>
      <c r="V964" s="35"/>
      <c r="W964" s="35"/>
      <c r="X964" s="35"/>
      <c r="Y964" s="35"/>
      <c r="Z964" s="35"/>
      <c r="AA964" s="35"/>
    </row>
    <row r="965" ht="14.25" customHeight="1">
      <c r="A965" s="136"/>
      <c r="B965" s="137"/>
      <c r="C965" s="251"/>
      <c r="D965" s="452"/>
      <c r="E965" s="136"/>
      <c r="F965" s="253"/>
      <c r="G965" s="526"/>
      <c r="H965" s="527"/>
      <c r="I965" s="527"/>
      <c r="J965" s="141"/>
      <c r="K965" s="141"/>
      <c r="L965" s="142"/>
      <c r="M965" s="142"/>
      <c r="N965" s="142"/>
      <c r="O965" s="142"/>
      <c r="P965" s="136"/>
      <c r="Q965" s="34"/>
      <c r="R965" s="35"/>
      <c r="S965" s="35"/>
      <c r="T965" s="35"/>
      <c r="U965" s="35"/>
      <c r="V965" s="35"/>
      <c r="W965" s="35"/>
      <c r="X965" s="35"/>
      <c r="Y965" s="35"/>
      <c r="Z965" s="35"/>
      <c r="AA965" s="35"/>
    </row>
    <row r="966" ht="14.25" customHeight="1">
      <c r="A966" s="136"/>
      <c r="B966" s="137"/>
      <c r="C966" s="251"/>
      <c r="D966" s="452"/>
      <c r="E966" s="136"/>
      <c r="F966" s="253"/>
      <c r="G966" s="526"/>
      <c r="H966" s="527"/>
      <c r="I966" s="527"/>
      <c r="J966" s="141"/>
      <c r="K966" s="141"/>
      <c r="L966" s="142"/>
      <c r="M966" s="142"/>
      <c r="N966" s="142"/>
      <c r="O966" s="142"/>
      <c r="P966" s="136"/>
      <c r="Q966" s="34"/>
      <c r="R966" s="35"/>
      <c r="S966" s="35"/>
      <c r="T966" s="35"/>
      <c r="U966" s="35"/>
      <c r="V966" s="35"/>
      <c r="W966" s="35"/>
      <c r="X966" s="35"/>
      <c r="Y966" s="35"/>
      <c r="Z966" s="35"/>
      <c r="AA966" s="35"/>
    </row>
    <row r="967" ht="14.25" customHeight="1">
      <c r="A967" s="136"/>
      <c r="B967" s="137"/>
      <c r="C967" s="251"/>
      <c r="D967" s="452"/>
      <c r="E967" s="136"/>
      <c r="F967" s="253"/>
      <c r="G967" s="526"/>
      <c r="H967" s="527"/>
      <c r="I967" s="527"/>
      <c r="J967" s="141"/>
      <c r="K967" s="141"/>
      <c r="L967" s="142"/>
      <c r="M967" s="142"/>
      <c r="N967" s="142"/>
      <c r="O967" s="142"/>
      <c r="P967" s="136"/>
      <c r="Q967" s="34"/>
      <c r="R967" s="35"/>
      <c r="S967" s="35"/>
      <c r="T967" s="35"/>
      <c r="U967" s="35"/>
      <c r="V967" s="35"/>
      <c r="W967" s="35"/>
      <c r="X967" s="35"/>
      <c r="Y967" s="35"/>
      <c r="Z967" s="35"/>
      <c r="AA967" s="35"/>
    </row>
    <row r="968" ht="14.25" customHeight="1">
      <c r="A968" s="136"/>
      <c r="B968" s="137"/>
      <c r="C968" s="251"/>
      <c r="D968" s="452"/>
      <c r="E968" s="136"/>
      <c r="F968" s="253"/>
      <c r="G968" s="526"/>
      <c r="H968" s="527"/>
      <c r="I968" s="527"/>
      <c r="J968" s="141"/>
      <c r="K968" s="141"/>
      <c r="L968" s="142"/>
      <c r="M968" s="142"/>
      <c r="N968" s="142"/>
      <c r="O968" s="142"/>
      <c r="P968" s="136"/>
      <c r="Q968" s="34"/>
      <c r="R968" s="35"/>
      <c r="S968" s="35"/>
      <c r="T968" s="35"/>
      <c r="U968" s="35"/>
      <c r="V968" s="35"/>
      <c r="W968" s="35"/>
      <c r="X968" s="35"/>
      <c r="Y968" s="35"/>
      <c r="Z968" s="35"/>
      <c r="AA968" s="35"/>
    </row>
    <row r="969" ht="14.25" customHeight="1">
      <c r="A969" s="136"/>
      <c r="B969" s="137"/>
      <c r="C969" s="251"/>
      <c r="D969" s="452"/>
      <c r="E969" s="136"/>
      <c r="F969" s="253"/>
      <c r="G969" s="526"/>
      <c r="H969" s="527"/>
      <c r="I969" s="527"/>
      <c r="J969" s="141"/>
      <c r="K969" s="141"/>
      <c r="L969" s="142"/>
      <c r="M969" s="142"/>
      <c r="N969" s="142"/>
      <c r="O969" s="142"/>
      <c r="P969" s="136"/>
      <c r="Q969" s="34"/>
      <c r="R969" s="35"/>
      <c r="S969" s="35"/>
      <c r="T969" s="35"/>
      <c r="U969" s="35"/>
      <c r="V969" s="35"/>
      <c r="W969" s="35"/>
      <c r="X969" s="35"/>
      <c r="Y969" s="35"/>
      <c r="Z969" s="35"/>
      <c r="AA969" s="35"/>
    </row>
    <row r="970" ht="14.25" customHeight="1">
      <c r="A970" s="136"/>
      <c r="B970" s="137"/>
      <c r="C970" s="251"/>
      <c r="D970" s="452"/>
      <c r="E970" s="136"/>
      <c r="F970" s="253"/>
      <c r="G970" s="526"/>
      <c r="H970" s="527"/>
      <c r="I970" s="527"/>
      <c r="J970" s="141"/>
      <c r="K970" s="141"/>
      <c r="L970" s="142"/>
      <c r="M970" s="142"/>
      <c r="N970" s="142"/>
      <c r="O970" s="142"/>
      <c r="P970" s="136"/>
      <c r="Q970" s="34"/>
      <c r="R970" s="35"/>
      <c r="S970" s="35"/>
      <c r="T970" s="35"/>
      <c r="U970" s="35"/>
      <c r="V970" s="35"/>
      <c r="W970" s="35"/>
      <c r="X970" s="35"/>
      <c r="Y970" s="35"/>
      <c r="Z970" s="35"/>
      <c r="AA970" s="35"/>
    </row>
    <row r="971" ht="14.25" customHeight="1">
      <c r="A971" s="136"/>
      <c r="B971" s="137"/>
      <c r="C971" s="251"/>
      <c r="D971" s="452"/>
      <c r="E971" s="136"/>
      <c r="F971" s="253"/>
      <c r="G971" s="526"/>
      <c r="H971" s="527"/>
      <c r="I971" s="527"/>
      <c r="J971" s="141"/>
      <c r="K971" s="141"/>
      <c r="L971" s="142"/>
      <c r="M971" s="142"/>
      <c r="N971" s="142"/>
      <c r="O971" s="142"/>
      <c r="P971" s="136"/>
      <c r="Q971" s="34"/>
      <c r="R971" s="35"/>
      <c r="S971" s="35"/>
      <c r="T971" s="35"/>
      <c r="U971" s="35"/>
      <c r="V971" s="35"/>
      <c r="W971" s="35"/>
      <c r="X971" s="35"/>
      <c r="Y971" s="35"/>
      <c r="Z971" s="35"/>
      <c r="AA971" s="35"/>
    </row>
    <row r="972" ht="14.25" customHeight="1">
      <c r="A972" s="136"/>
      <c r="B972" s="137"/>
      <c r="C972" s="251"/>
      <c r="D972" s="452"/>
      <c r="E972" s="136"/>
      <c r="F972" s="253"/>
      <c r="G972" s="526"/>
      <c r="H972" s="527"/>
      <c r="I972" s="527"/>
      <c r="J972" s="141"/>
      <c r="K972" s="141"/>
      <c r="L972" s="142"/>
      <c r="M972" s="142"/>
      <c r="N972" s="142"/>
      <c r="O972" s="142"/>
      <c r="P972" s="136"/>
      <c r="Q972" s="34"/>
      <c r="R972" s="35"/>
      <c r="S972" s="35"/>
      <c r="T972" s="35"/>
      <c r="U972" s="35"/>
      <c r="V972" s="35"/>
      <c r="W972" s="35"/>
      <c r="X972" s="35"/>
      <c r="Y972" s="35"/>
      <c r="Z972" s="35"/>
      <c r="AA972" s="35"/>
    </row>
    <row r="973" ht="14.25" customHeight="1">
      <c r="A973" s="136"/>
      <c r="B973" s="137"/>
      <c r="C973" s="251"/>
      <c r="D973" s="452"/>
      <c r="E973" s="136"/>
      <c r="F973" s="253"/>
      <c r="G973" s="526"/>
      <c r="H973" s="527"/>
      <c r="I973" s="527"/>
      <c r="J973" s="141"/>
      <c r="K973" s="141"/>
      <c r="L973" s="142"/>
      <c r="M973" s="142"/>
      <c r="N973" s="142"/>
      <c r="O973" s="142"/>
      <c r="P973" s="136"/>
      <c r="Q973" s="34"/>
      <c r="R973" s="35"/>
      <c r="S973" s="35"/>
      <c r="T973" s="35"/>
      <c r="U973" s="35"/>
      <c r="V973" s="35"/>
      <c r="W973" s="35"/>
      <c r="X973" s="35"/>
      <c r="Y973" s="35"/>
      <c r="Z973" s="35"/>
      <c r="AA973" s="35"/>
    </row>
    <row r="974" ht="14.25" customHeight="1">
      <c r="A974" s="136"/>
      <c r="B974" s="137"/>
      <c r="C974" s="251"/>
      <c r="D974" s="452"/>
      <c r="E974" s="136"/>
      <c r="F974" s="253"/>
      <c r="G974" s="526"/>
      <c r="H974" s="527"/>
      <c r="I974" s="527"/>
      <c r="J974" s="141"/>
      <c r="K974" s="141"/>
      <c r="L974" s="142"/>
      <c r="M974" s="142"/>
      <c r="N974" s="142"/>
      <c r="O974" s="142"/>
      <c r="P974" s="136"/>
      <c r="Q974" s="34"/>
      <c r="R974" s="35"/>
      <c r="S974" s="35"/>
      <c r="T974" s="35"/>
      <c r="U974" s="35"/>
      <c r="V974" s="35"/>
      <c r="W974" s="35"/>
      <c r="X974" s="35"/>
      <c r="Y974" s="35"/>
      <c r="Z974" s="35"/>
      <c r="AA974" s="35"/>
    </row>
    <row r="975" ht="14.25" customHeight="1">
      <c r="A975" s="136"/>
      <c r="B975" s="137"/>
      <c r="C975" s="251"/>
      <c r="D975" s="452"/>
      <c r="E975" s="136"/>
      <c r="F975" s="253"/>
      <c r="G975" s="526"/>
      <c r="H975" s="527"/>
      <c r="I975" s="527"/>
      <c r="J975" s="141"/>
      <c r="K975" s="141"/>
      <c r="L975" s="142"/>
      <c r="M975" s="142"/>
      <c r="N975" s="142"/>
      <c r="O975" s="142"/>
      <c r="P975" s="136"/>
      <c r="Q975" s="34"/>
      <c r="R975" s="35"/>
      <c r="S975" s="35"/>
      <c r="T975" s="35"/>
      <c r="U975" s="35"/>
      <c r="V975" s="35"/>
      <c r="W975" s="35"/>
      <c r="X975" s="35"/>
      <c r="Y975" s="35"/>
      <c r="Z975" s="35"/>
      <c r="AA975" s="35"/>
    </row>
    <row r="976" ht="14.25" customHeight="1">
      <c r="A976" s="136"/>
      <c r="B976" s="137"/>
      <c r="C976" s="251"/>
      <c r="D976" s="452"/>
      <c r="E976" s="136"/>
      <c r="F976" s="253"/>
      <c r="G976" s="526"/>
      <c r="H976" s="527"/>
      <c r="I976" s="527"/>
      <c r="J976" s="141"/>
      <c r="K976" s="141"/>
      <c r="L976" s="142"/>
      <c r="M976" s="142"/>
      <c r="N976" s="142"/>
      <c r="O976" s="142"/>
      <c r="P976" s="136"/>
      <c r="Q976" s="34"/>
      <c r="R976" s="35"/>
      <c r="S976" s="35"/>
      <c r="T976" s="35"/>
      <c r="U976" s="35"/>
      <c r="V976" s="35"/>
      <c r="W976" s="35"/>
      <c r="X976" s="35"/>
      <c r="Y976" s="35"/>
      <c r="Z976" s="35"/>
      <c r="AA976" s="35"/>
    </row>
    <row r="977" ht="14.25" customHeight="1">
      <c r="A977" s="136"/>
      <c r="B977" s="137"/>
      <c r="C977" s="251"/>
      <c r="D977" s="452"/>
      <c r="E977" s="136"/>
      <c r="F977" s="253"/>
      <c r="G977" s="526"/>
      <c r="H977" s="527"/>
      <c r="I977" s="527"/>
      <c r="J977" s="141"/>
      <c r="K977" s="141"/>
      <c r="L977" s="142"/>
      <c r="M977" s="142"/>
      <c r="N977" s="142"/>
      <c r="O977" s="142"/>
      <c r="P977" s="136"/>
      <c r="Q977" s="34"/>
      <c r="R977" s="35"/>
      <c r="S977" s="35"/>
      <c r="T977" s="35"/>
      <c r="U977" s="35"/>
      <c r="V977" s="35"/>
      <c r="W977" s="35"/>
      <c r="X977" s="35"/>
      <c r="Y977" s="35"/>
      <c r="Z977" s="35"/>
      <c r="AA977" s="35"/>
    </row>
    <row r="978" ht="14.25" customHeight="1">
      <c r="A978" s="136"/>
      <c r="B978" s="137"/>
      <c r="C978" s="251"/>
      <c r="D978" s="452"/>
      <c r="E978" s="136"/>
      <c r="F978" s="253"/>
      <c r="G978" s="526"/>
      <c r="H978" s="527"/>
      <c r="I978" s="527"/>
      <c r="J978" s="141"/>
      <c r="K978" s="141"/>
      <c r="L978" s="142"/>
      <c r="M978" s="142"/>
      <c r="N978" s="142"/>
      <c r="O978" s="142"/>
      <c r="P978" s="136"/>
      <c r="Q978" s="34"/>
      <c r="R978" s="35"/>
      <c r="S978" s="35"/>
      <c r="T978" s="35"/>
      <c r="U978" s="35"/>
      <c r="V978" s="35"/>
      <c r="W978" s="35"/>
      <c r="X978" s="35"/>
      <c r="Y978" s="35"/>
      <c r="Z978" s="35"/>
      <c r="AA978" s="35"/>
    </row>
    <row r="979" ht="14.25" customHeight="1">
      <c r="A979" s="136"/>
      <c r="B979" s="137"/>
      <c r="C979" s="251"/>
      <c r="D979" s="452"/>
      <c r="E979" s="136"/>
      <c r="F979" s="253"/>
      <c r="G979" s="526"/>
      <c r="H979" s="527"/>
      <c r="I979" s="527"/>
      <c r="J979" s="141"/>
      <c r="K979" s="141"/>
      <c r="L979" s="142"/>
      <c r="M979" s="142"/>
      <c r="N979" s="142"/>
      <c r="O979" s="142"/>
      <c r="P979" s="136"/>
      <c r="Q979" s="34"/>
      <c r="R979" s="35"/>
      <c r="S979" s="35"/>
      <c r="T979" s="35"/>
      <c r="U979" s="35"/>
      <c r="V979" s="35"/>
      <c r="W979" s="35"/>
      <c r="X979" s="35"/>
      <c r="Y979" s="35"/>
      <c r="Z979" s="35"/>
      <c r="AA979" s="35"/>
    </row>
    <row r="980" ht="14.25" customHeight="1">
      <c r="A980" s="136"/>
      <c r="B980" s="137"/>
      <c r="C980" s="251"/>
      <c r="D980" s="452"/>
      <c r="E980" s="136"/>
      <c r="F980" s="253"/>
      <c r="G980" s="526"/>
      <c r="H980" s="527"/>
      <c r="I980" s="527"/>
      <c r="J980" s="141"/>
      <c r="K980" s="141"/>
      <c r="L980" s="142"/>
      <c r="M980" s="142"/>
      <c r="N980" s="142"/>
      <c r="O980" s="142"/>
      <c r="P980" s="136"/>
      <c r="Q980" s="34"/>
      <c r="R980" s="35"/>
      <c r="S980" s="35"/>
      <c r="T980" s="35"/>
      <c r="U980" s="35"/>
      <c r="V980" s="35"/>
      <c r="W980" s="35"/>
      <c r="X980" s="35"/>
      <c r="Y980" s="35"/>
      <c r="Z980" s="35"/>
      <c r="AA980" s="35"/>
    </row>
    <row r="981" ht="14.25" customHeight="1">
      <c r="A981" s="136"/>
      <c r="B981" s="137"/>
      <c r="C981" s="251"/>
      <c r="D981" s="452"/>
      <c r="E981" s="136"/>
      <c r="F981" s="253"/>
      <c r="G981" s="526"/>
      <c r="H981" s="527"/>
      <c r="I981" s="527"/>
      <c r="J981" s="141"/>
      <c r="K981" s="141"/>
      <c r="L981" s="142"/>
      <c r="M981" s="142"/>
      <c r="N981" s="142"/>
      <c r="O981" s="142"/>
      <c r="P981" s="136"/>
      <c r="Q981" s="34"/>
      <c r="R981" s="35"/>
      <c r="S981" s="35"/>
      <c r="T981" s="35"/>
      <c r="U981" s="35"/>
      <c r="V981" s="35"/>
      <c r="W981" s="35"/>
      <c r="X981" s="35"/>
      <c r="Y981" s="35"/>
      <c r="Z981" s="35"/>
      <c r="AA981" s="35"/>
    </row>
    <row r="982" ht="14.25" customHeight="1">
      <c r="A982" s="136"/>
      <c r="B982" s="137"/>
      <c r="C982" s="251"/>
      <c r="D982" s="452"/>
      <c r="E982" s="136"/>
      <c r="F982" s="253"/>
      <c r="G982" s="526"/>
      <c r="H982" s="527"/>
      <c r="I982" s="527"/>
      <c r="J982" s="141"/>
      <c r="K982" s="141"/>
      <c r="L982" s="142"/>
      <c r="M982" s="142"/>
      <c r="N982" s="142"/>
      <c r="O982" s="142"/>
      <c r="P982" s="136"/>
      <c r="Q982" s="34"/>
      <c r="R982" s="35"/>
      <c r="S982" s="35"/>
      <c r="T982" s="35"/>
      <c r="U982" s="35"/>
      <c r="V982" s="35"/>
      <c r="W982" s="35"/>
      <c r="X982" s="35"/>
      <c r="Y982" s="35"/>
      <c r="Z982" s="35"/>
      <c r="AA982" s="35"/>
    </row>
    <row r="983" ht="14.25" customHeight="1">
      <c r="A983" s="136"/>
      <c r="B983" s="137"/>
      <c r="C983" s="251"/>
      <c r="D983" s="452"/>
      <c r="E983" s="136"/>
      <c r="F983" s="253"/>
      <c r="G983" s="526"/>
      <c r="H983" s="527"/>
      <c r="I983" s="527"/>
      <c r="J983" s="141"/>
      <c r="K983" s="141"/>
      <c r="L983" s="142"/>
      <c r="M983" s="142"/>
      <c r="N983" s="142"/>
      <c r="O983" s="142"/>
      <c r="P983" s="136"/>
      <c r="Q983" s="34"/>
      <c r="R983" s="35"/>
      <c r="S983" s="35"/>
      <c r="T983" s="35"/>
      <c r="U983" s="35"/>
      <c r="V983" s="35"/>
      <c r="W983" s="35"/>
      <c r="X983" s="35"/>
      <c r="Y983" s="35"/>
      <c r="Z983" s="35"/>
      <c r="AA983" s="35"/>
    </row>
    <row r="984" ht="14.25" customHeight="1">
      <c r="A984" s="136"/>
      <c r="B984" s="137"/>
      <c r="C984" s="251"/>
      <c r="D984" s="452"/>
      <c r="E984" s="136"/>
      <c r="F984" s="253"/>
      <c r="G984" s="526"/>
      <c r="H984" s="527"/>
      <c r="I984" s="527"/>
      <c r="J984" s="141"/>
      <c r="K984" s="141"/>
      <c r="L984" s="142"/>
      <c r="M984" s="142"/>
      <c r="N984" s="142"/>
      <c r="O984" s="142"/>
      <c r="P984" s="136"/>
      <c r="Q984" s="34"/>
      <c r="R984" s="35"/>
      <c r="S984" s="35"/>
      <c r="T984" s="35"/>
      <c r="U984" s="35"/>
      <c r="V984" s="35"/>
      <c r="W984" s="35"/>
      <c r="X984" s="35"/>
      <c r="Y984" s="35"/>
      <c r="Z984" s="35"/>
      <c r="AA984" s="35"/>
    </row>
    <row r="985" ht="14.25" customHeight="1">
      <c r="A985" s="136"/>
      <c r="B985" s="137"/>
      <c r="C985" s="251"/>
      <c r="D985" s="452"/>
      <c r="E985" s="136"/>
      <c r="F985" s="253"/>
      <c r="G985" s="526"/>
      <c r="H985" s="527"/>
      <c r="I985" s="527"/>
      <c r="J985" s="141"/>
      <c r="K985" s="141"/>
      <c r="L985" s="142"/>
      <c r="M985" s="142"/>
      <c r="N985" s="142"/>
      <c r="O985" s="142"/>
      <c r="P985" s="136"/>
      <c r="Q985" s="34"/>
      <c r="R985" s="35"/>
      <c r="S985" s="35"/>
      <c r="T985" s="35"/>
      <c r="U985" s="35"/>
      <c r="V985" s="35"/>
      <c r="W985" s="35"/>
      <c r="X985" s="35"/>
      <c r="Y985" s="35"/>
      <c r="Z985" s="35"/>
      <c r="AA985" s="35"/>
    </row>
    <row r="986" ht="14.25" customHeight="1">
      <c r="A986" s="136"/>
      <c r="B986" s="137"/>
      <c r="C986" s="251"/>
      <c r="D986" s="452"/>
      <c r="E986" s="136"/>
      <c r="F986" s="253"/>
      <c r="G986" s="526"/>
      <c r="H986" s="527"/>
      <c r="I986" s="527"/>
      <c r="J986" s="141"/>
      <c r="K986" s="141"/>
      <c r="L986" s="142"/>
      <c r="M986" s="142"/>
      <c r="N986" s="142"/>
      <c r="O986" s="142"/>
      <c r="P986" s="136"/>
      <c r="Q986" s="34"/>
      <c r="R986" s="35"/>
      <c r="S986" s="35"/>
      <c r="T986" s="35"/>
      <c r="U986" s="35"/>
      <c r="V986" s="35"/>
      <c r="W986" s="35"/>
      <c r="X986" s="35"/>
      <c r="Y986" s="35"/>
      <c r="Z986" s="35"/>
      <c r="AA986" s="35"/>
    </row>
    <row r="987" ht="14.25" customHeight="1">
      <c r="A987" s="136"/>
      <c r="B987" s="137"/>
      <c r="C987" s="251"/>
      <c r="D987" s="452"/>
      <c r="E987" s="136"/>
      <c r="F987" s="253"/>
      <c r="G987" s="526"/>
      <c r="H987" s="527"/>
      <c r="I987" s="527"/>
      <c r="J987" s="141"/>
      <c r="K987" s="141"/>
      <c r="L987" s="142"/>
      <c r="M987" s="142"/>
      <c r="N987" s="142"/>
      <c r="O987" s="142"/>
      <c r="P987" s="136"/>
      <c r="Q987" s="34"/>
      <c r="R987" s="35"/>
      <c r="S987" s="35"/>
      <c r="T987" s="35"/>
      <c r="U987" s="35"/>
      <c r="V987" s="35"/>
      <c r="W987" s="35"/>
      <c r="X987" s="35"/>
      <c r="Y987" s="35"/>
      <c r="Z987" s="35"/>
      <c r="AA987" s="35"/>
    </row>
    <row r="988" ht="14.25" customHeight="1">
      <c r="A988" s="136"/>
      <c r="B988" s="137"/>
      <c r="C988" s="251"/>
      <c r="D988" s="452"/>
      <c r="E988" s="136"/>
      <c r="F988" s="253"/>
      <c r="G988" s="526"/>
      <c r="H988" s="527"/>
      <c r="I988" s="527"/>
      <c r="J988" s="141"/>
      <c r="K988" s="141"/>
      <c r="L988" s="142"/>
      <c r="M988" s="142"/>
      <c r="N988" s="142"/>
      <c r="O988" s="142"/>
      <c r="P988" s="136"/>
      <c r="Q988" s="34"/>
      <c r="R988" s="35"/>
      <c r="S988" s="35"/>
      <c r="T988" s="35"/>
      <c r="U988" s="35"/>
      <c r="V988" s="35"/>
      <c r="W988" s="35"/>
      <c r="X988" s="35"/>
      <c r="Y988" s="35"/>
      <c r="Z988" s="35"/>
      <c r="AA988" s="35"/>
    </row>
    <row r="989" ht="14.25" customHeight="1">
      <c r="A989" s="136"/>
      <c r="B989" s="137"/>
      <c r="C989" s="251"/>
      <c r="D989" s="452"/>
      <c r="E989" s="136"/>
      <c r="F989" s="253"/>
      <c r="G989" s="526"/>
      <c r="H989" s="527"/>
      <c r="I989" s="527"/>
      <c r="J989" s="141"/>
      <c r="K989" s="141"/>
      <c r="L989" s="142"/>
      <c r="M989" s="142"/>
      <c r="N989" s="142"/>
      <c r="O989" s="142"/>
      <c r="P989" s="136"/>
      <c r="Q989" s="34"/>
      <c r="R989" s="35"/>
      <c r="S989" s="35"/>
      <c r="T989" s="35"/>
      <c r="U989" s="35"/>
      <c r="V989" s="35"/>
      <c r="W989" s="35"/>
      <c r="X989" s="35"/>
      <c r="Y989" s="35"/>
      <c r="Z989" s="35"/>
      <c r="AA989" s="35"/>
    </row>
    <row r="990" ht="14.25" customHeight="1">
      <c r="A990" s="136"/>
      <c r="B990" s="137"/>
      <c r="C990" s="251"/>
      <c r="D990" s="452"/>
      <c r="E990" s="136"/>
      <c r="F990" s="253"/>
      <c r="G990" s="526"/>
      <c r="H990" s="527"/>
      <c r="I990" s="527"/>
      <c r="J990" s="141"/>
      <c r="K990" s="141"/>
      <c r="L990" s="142"/>
      <c r="M990" s="142"/>
      <c r="N990" s="142"/>
      <c r="O990" s="142"/>
      <c r="P990" s="136"/>
      <c r="Q990" s="34"/>
      <c r="R990" s="35"/>
      <c r="S990" s="35"/>
      <c r="T990" s="35"/>
      <c r="U990" s="35"/>
      <c r="V990" s="35"/>
      <c r="W990" s="35"/>
      <c r="X990" s="35"/>
      <c r="Y990" s="35"/>
      <c r="Z990" s="35"/>
      <c r="AA990" s="35"/>
    </row>
    <row r="991" ht="14.25" customHeight="1">
      <c r="A991" s="136"/>
      <c r="B991" s="137"/>
      <c r="C991" s="251"/>
      <c r="D991" s="452"/>
      <c r="E991" s="136"/>
      <c r="F991" s="253"/>
      <c r="G991" s="526"/>
      <c r="H991" s="527"/>
      <c r="I991" s="527"/>
      <c r="J991" s="141"/>
      <c r="K991" s="141"/>
      <c r="L991" s="142"/>
      <c r="M991" s="142"/>
      <c r="N991" s="142"/>
      <c r="O991" s="142"/>
      <c r="P991" s="136"/>
      <c r="Q991" s="34"/>
      <c r="R991" s="35"/>
      <c r="S991" s="35"/>
      <c r="T991" s="35"/>
      <c r="U991" s="35"/>
      <c r="V991" s="35"/>
      <c r="W991" s="35"/>
      <c r="X991" s="35"/>
      <c r="Y991" s="35"/>
      <c r="Z991" s="35"/>
      <c r="AA991" s="35"/>
    </row>
    <row r="992" ht="14.25" customHeight="1">
      <c r="A992" s="136"/>
      <c r="B992" s="137"/>
      <c r="C992" s="251"/>
      <c r="D992" s="452"/>
      <c r="E992" s="136"/>
      <c r="F992" s="253"/>
      <c r="G992" s="526"/>
      <c r="H992" s="527"/>
      <c r="I992" s="527"/>
      <c r="J992" s="141"/>
      <c r="K992" s="141"/>
      <c r="L992" s="142"/>
      <c r="M992" s="142"/>
      <c r="N992" s="142"/>
      <c r="O992" s="142"/>
      <c r="P992" s="136"/>
      <c r="Q992" s="34"/>
      <c r="R992" s="35"/>
      <c r="S992" s="35"/>
      <c r="T992" s="35"/>
      <c r="U992" s="35"/>
      <c r="V992" s="35"/>
      <c r="W992" s="35"/>
      <c r="X992" s="35"/>
      <c r="Y992" s="35"/>
      <c r="Z992" s="35"/>
      <c r="AA992" s="35"/>
    </row>
    <row r="993" ht="14.25" customHeight="1">
      <c r="A993" s="136"/>
      <c r="B993" s="137"/>
      <c r="C993" s="251"/>
      <c r="D993" s="452"/>
      <c r="E993" s="136"/>
      <c r="F993" s="253"/>
      <c r="G993" s="526"/>
      <c r="H993" s="527"/>
      <c r="I993" s="527"/>
      <c r="J993" s="141"/>
      <c r="K993" s="141"/>
      <c r="L993" s="142"/>
      <c r="M993" s="142"/>
      <c r="N993" s="142"/>
      <c r="O993" s="142"/>
      <c r="P993" s="136"/>
      <c r="Q993" s="34"/>
      <c r="R993" s="35"/>
      <c r="S993" s="35"/>
      <c r="T993" s="35"/>
      <c r="U993" s="35"/>
      <c r="V993" s="35"/>
      <c r="W993" s="35"/>
      <c r="X993" s="35"/>
      <c r="Y993" s="35"/>
      <c r="Z993" s="35"/>
      <c r="AA993" s="35"/>
    </row>
    <row r="994" ht="14.25" customHeight="1">
      <c r="A994" s="136"/>
      <c r="B994" s="137"/>
      <c r="C994" s="251"/>
      <c r="D994" s="452"/>
      <c r="E994" s="136"/>
      <c r="F994" s="253"/>
      <c r="G994" s="526"/>
      <c r="H994" s="527"/>
      <c r="I994" s="527"/>
      <c r="J994" s="141"/>
      <c r="K994" s="141"/>
      <c r="L994" s="142"/>
      <c r="M994" s="142"/>
      <c r="N994" s="142"/>
      <c r="O994" s="142"/>
      <c r="P994" s="136"/>
      <c r="Q994" s="34"/>
      <c r="R994" s="35"/>
      <c r="S994" s="35"/>
      <c r="T994" s="35"/>
      <c r="U994" s="35"/>
      <c r="V994" s="35"/>
      <c r="W994" s="35"/>
      <c r="X994" s="35"/>
      <c r="Y994" s="35"/>
      <c r="Z994" s="35"/>
      <c r="AA994" s="35"/>
    </row>
    <row r="995" ht="14.25" customHeight="1">
      <c r="A995" s="136"/>
      <c r="B995" s="137"/>
      <c r="C995" s="251"/>
      <c r="D995" s="452"/>
      <c r="E995" s="136"/>
      <c r="F995" s="253"/>
      <c r="G995" s="526"/>
      <c r="H995" s="527"/>
      <c r="I995" s="527"/>
      <c r="J995" s="141"/>
      <c r="K995" s="141"/>
      <c r="L995" s="142"/>
      <c r="M995" s="142"/>
      <c r="N995" s="142"/>
      <c r="O995" s="142"/>
      <c r="P995" s="136"/>
      <c r="Q995" s="34"/>
      <c r="R995" s="35"/>
      <c r="S995" s="35"/>
      <c r="T995" s="35"/>
      <c r="U995" s="35"/>
      <c r="V995" s="35"/>
      <c r="W995" s="35"/>
      <c r="X995" s="35"/>
      <c r="Y995" s="35"/>
      <c r="Z995" s="35"/>
      <c r="AA995" s="35"/>
    </row>
    <row r="996" ht="14.25" customHeight="1">
      <c r="A996" s="136"/>
      <c r="B996" s="137"/>
      <c r="C996" s="251"/>
      <c r="D996" s="452"/>
      <c r="E996" s="136"/>
      <c r="F996" s="253"/>
      <c r="G996" s="526"/>
      <c r="H996" s="527"/>
      <c r="I996" s="527"/>
      <c r="J996" s="141"/>
      <c r="K996" s="141"/>
      <c r="L996" s="142"/>
      <c r="M996" s="142"/>
      <c r="N996" s="142"/>
      <c r="O996" s="142"/>
      <c r="P996" s="136"/>
      <c r="Q996" s="34"/>
      <c r="R996" s="35"/>
      <c r="S996" s="35"/>
      <c r="T996" s="35"/>
      <c r="U996" s="35"/>
      <c r="V996" s="35"/>
      <c r="W996" s="35"/>
      <c r="X996" s="35"/>
      <c r="Y996" s="35"/>
      <c r="Z996" s="35"/>
      <c r="AA996" s="35"/>
    </row>
    <row r="997" ht="14.25" customHeight="1">
      <c r="A997" s="136"/>
      <c r="B997" s="137"/>
      <c r="C997" s="251"/>
      <c r="D997" s="452"/>
      <c r="E997" s="136"/>
      <c r="F997" s="253"/>
      <c r="G997" s="526"/>
      <c r="H997" s="527"/>
      <c r="I997" s="527"/>
      <c r="J997" s="141"/>
      <c r="K997" s="141"/>
      <c r="L997" s="142"/>
      <c r="M997" s="142"/>
      <c r="N997" s="142"/>
      <c r="O997" s="142"/>
      <c r="P997" s="136"/>
      <c r="Q997" s="34"/>
      <c r="R997" s="35"/>
      <c r="S997" s="35"/>
      <c r="T997" s="35"/>
      <c r="U997" s="35"/>
      <c r="V997" s="35"/>
      <c r="W997" s="35"/>
      <c r="X997" s="35"/>
      <c r="Y997" s="35"/>
      <c r="Z997" s="35"/>
      <c r="AA997" s="35"/>
    </row>
    <row r="998" ht="14.25" customHeight="1">
      <c r="A998" s="136"/>
      <c r="B998" s="137"/>
      <c r="C998" s="251"/>
      <c r="D998" s="452"/>
      <c r="E998" s="136"/>
      <c r="F998" s="253"/>
      <c r="G998" s="526"/>
      <c r="H998" s="527"/>
      <c r="I998" s="527"/>
      <c r="J998" s="141"/>
      <c r="K998" s="141"/>
      <c r="L998" s="142"/>
      <c r="M998" s="142"/>
      <c r="N998" s="142"/>
      <c r="O998" s="142"/>
      <c r="P998" s="136"/>
      <c r="Q998" s="34"/>
      <c r="R998" s="35"/>
      <c r="S998" s="35"/>
      <c r="T998" s="35"/>
      <c r="U998" s="35"/>
      <c r="V998" s="35"/>
      <c r="W998" s="35"/>
      <c r="X998" s="35"/>
      <c r="Y998" s="35"/>
      <c r="Z998" s="35"/>
      <c r="AA998" s="35"/>
    </row>
    <row r="999" ht="14.25" customHeight="1">
      <c r="A999" s="136"/>
      <c r="B999" s="137"/>
      <c r="C999" s="251"/>
      <c r="D999" s="452"/>
      <c r="E999" s="136"/>
      <c r="F999" s="253"/>
      <c r="G999" s="526"/>
      <c r="H999" s="527"/>
      <c r="I999" s="527"/>
      <c r="J999" s="141"/>
      <c r="K999" s="141"/>
      <c r="L999" s="142"/>
      <c r="M999" s="142"/>
      <c r="N999" s="142"/>
      <c r="O999" s="142"/>
      <c r="P999" s="136"/>
      <c r="Q999" s="34"/>
      <c r="R999" s="35"/>
      <c r="S999" s="35"/>
      <c r="T999" s="35"/>
      <c r="U999" s="35"/>
      <c r="V999" s="35"/>
      <c r="W999" s="35"/>
      <c r="X999" s="35"/>
      <c r="Y999" s="35"/>
      <c r="Z999" s="35"/>
      <c r="AA999" s="35"/>
    </row>
    <row r="1000" ht="14.25" customHeight="1">
      <c r="A1000" s="136"/>
      <c r="B1000" s="137"/>
      <c r="C1000" s="251"/>
      <c r="D1000" s="452"/>
      <c r="E1000" s="136"/>
      <c r="F1000" s="253"/>
      <c r="G1000" s="526"/>
      <c r="H1000" s="527"/>
      <c r="I1000" s="527"/>
      <c r="J1000" s="141"/>
      <c r="K1000" s="141"/>
      <c r="L1000" s="142"/>
      <c r="M1000" s="142"/>
      <c r="N1000" s="142"/>
      <c r="O1000" s="142"/>
      <c r="P1000" s="136"/>
      <c r="Q1000" s="34"/>
      <c r="R1000" s="35"/>
      <c r="S1000" s="35"/>
      <c r="T1000" s="35"/>
      <c r="U1000" s="35"/>
      <c r="V1000" s="35"/>
      <c r="W1000" s="35"/>
      <c r="X1000" s="35"/>
      <c r="Y1000" s="35"/>
      <c r="Z1000" s="35"/>
      <c r="AA1000" s="35"/>
    </row>
  </sheetData>
  <mergeCells count="12">
    <mergeCell ref="H1:H2"/>
    <mergeCell ref="I1:I2"/>
    <mergeCell ref="J1:K1"/>
    <mergeCell ref="L1:M1"/>
    <mergeCell ref="N1:O1"/>
    <mergeCell ref="A1:A2"/>
    <mergeCell ref="B1:B2"/>
    <mergeCell ref="C1:C2"/>
    <mergeCell ref="D1:D2"/>
    <mergeCell ref="E1:E2"/>
    <mergeCell ref="F1:F2"/>
    <mergeCell ref="G1:G2"/>
  </mergeCells>
  <dataValidations>
    <dataValidation type="custom" allowBlank="1" showErrorMessage="1" sqref="C19:C45 C47:C70">
      <formula1>LTE(LEN(C19),(22))</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ht="14.25" customHeight="1">
      <c r="A1" s="1" t="s">
        <v>1740</v>
      </c>
      <c r="B1" s="217" t="s">
        <v>555</v>
      </c>
      <c r="C1" s="2" t="s">
        <v>2</v>
      </c>
      <c r="D1" s="2" t="s">
        <v>3</v>
      </c>
      <c r="E1" s="2" t="s">
        <v>4</v>
      </c>
      <c r="F1" s="218" t="s">
        <v>3067</v>
      </c>
      <c r="G1" s="4" t="s">
        <v>7</v>
      </c>
      <c r="H1" s="5" t="s">
        <v>8</v>
      </c>
      <c r="I1" s="6"/>
      <c r="J1" s="7" t="s">
        <v>9</v>
      </c>
      <c r="K1" s="6"/>
      <c r="L1" s="8" t="s">
        <v>10</v>
      </c>
      <c r="M1" s="6"/>
      <c r="N1" s="219" t="s">
        <v>11</v>
      </c>
      <c r="O1" s="10"/>
      <c r="P1" s="11"/>
      <c r="Q1" s="11"/>
      <c r="R1" s="11"/>
      <c r="S1" s="11"/>
      <c r="T1" s="11"/>
      <c r="U1" s="11"/>
      <c r="V1" s="11"/>
      <c r="W1" s="11"/>
      <c r="X1" s="11"/>
      <c r="Y1" s="11"/>
      <c r="Z1" s="11"/>
    </row>
    <row r="2" ht="31.5" customHeight="1">
      <c r="A2" s="12"/>
      <c r="B2" s="12"/>
      <c r="C2" s="13"/>
      <c r="D2" s="13"/>
      <c r="E2" s="13"/>
      <c r="F2" s="13"/>
      <c r="G2" s="14"/>
      <c r="H2" s="15" t="s">
        <v>3068</v>
      </c>
      <c r="I2" s="16" t="s">
        <v>3069</v>
      </c>
      <c r="J2" s="17" t="s">
        <v>3070</v>
      </c>
      <c r="K2" s="18" t="s">
        <v>3071</v>
      </c>
      <c r="L2" s="19" t="s">
        <v>3072</v>
      </c>
      <c r="M2" s="20" t="s">
        <v>3073</v>
      </c>
      <c r="N2" s="220"/>
      <c r="O2" s="10"/>
      <c r="P2" s="11"/>
      <c r="Q2" s="11"/>
      <c r="R2" s="11"/>
      <c r="S2" s="11"/>
      <c r="T2" s="11"/>
      <c r="U2" s="11"/>
      <c r="V2" s="11"/>
      <c r="W2" s="11"/>
      <c r="X2" s="11"/>
      <c r="Y2" s="11"/>
      <c r="Z2" s="11"/>
    </row>
    <row r="3" ht="14.25" customHeight="1">
      <c r="A3" s="221"/>
      <c r="B3" s="222" t="s">
        <v>1788</v>
      </c>
      <c r="C3" s="102" t="s">
        <v>3074</v>
      </c>
      <c r="D3" s="223" t="s">
        <v>3075</v>
      </c>
      <c r="E3" s="224"/>
      <c r="F3" s="225">
        <v>140000.0</v>
      </c>
      <c r="G3" s="88">
        <v>44469.0</v>
      </c>
      <c r="H3" s="29">
        <f t="shared" ref="H3:H329" si="1">F3*0.5+F3</f>
        <v>210000</v>
      </c>
      <c r="I3" s="30">
        <f t="shared" ref="I3:I329" si="2">F3*0.3+F3</f>
        <v>182000</v>
      </c>
      <c r="J3" s="31">
        <f t="shared" ref="J3:J329" si="3">F3*0.3+F3</f>
        <v>182000</v>
      </c>
      <c r="K3" s="32">
        <f t="shared" ref="K3:K329" si="4">F3*0.2+F3</f>
        <v>168000</v>
      </c>
      <c r="L3" s="31">
        <f t="shared" ref="L3:L329" si="5">F3*0.15+F3</f>
        <v>161000</v>
      </c>
      <c r="M3" s="32">
        <f t="shared" ref="M3:M329" si="6">F3*0.1+F3</f>
        <v>154000</v>
      </c>
      <c r="N3" s="40"/>
      <c r="O3" s="34"/>
      <c r="P3" s="35"/>
      <c r="Q3" s="35"/>
      <c r="R3" s="35"/>
      <c r="S3" s="35"/>
      <c r="T3" s="35"/>
      <c r="U3" s="35"/>
      <c r="V3" s="35"/>
      <c r="W3" s="35"/>
      <c r="X3" s="35"/>
      <c r="Y3" s="35"/>
      <c r="Z3" s="35"/>
    </row>
    <row r="4" ht="14.25" customHeight="1">
      <c r="A4" s="221"/>
      <c r="B4" s="222" t="s">
        <v>3076</v>
      </c>
      <c r="C4" s="102" t="s">
        <v>3077</v>
      </c>
      <c r="D4" s="508" t="s">
        <v>3078</v>
      </c>
      <c r="E4" s="85"/>
      <c r="F4" s="225">
        <v>23406.0</v>
      </c>
      <c r="G4" s="88">
        <v>44469.0</v>
      </c>
      <c r="H4" s="36">
        <f t="shared" si="1"/>
        <v>35109</v>
      </c>
      <c r="I4" s="37">
        <f t="shared" si="2"/>
        <v>30427.8</v>
      </c>
      <c r="J4" s="38">
        <f t="shared" si="3"/>
        <v>30427.8</v>
      </c>
      <c r="K4" s="39">
        <f t="shared" si="4"/>
        <v>28087.2</v>
      </c>
      <c r="L4" s="38">
        <f t="shared" si="5"/>
        <v>26916.9</v>
      </c>
      <c r="M4" s="39">
        <f t="shared" si="6"/>
        <v>25746.6</v>
      </c>
      <c r="N4" s="40"/>
      <c r="O4" s="34"/>
      <c r="P4" s="35"/>
      <c r="Q4" s="35"/>
      <c r="R4" s="35"/>
      <c r="S4" s="35"/>
      <c r="T4" s="35"/>
      <c r="U4" s="35"/>
      <c r="V4" s="35"/>
      <c r="W4" s="35"/>
      <c r="X4" s="35"/>
      <c r="Y4" s="35"/>
      <c r="Z4" s="35"/>
    </row>
    <row r="5" ht="14.25" customHeight="1">
      <c r="A5" s="221"/>
      <c r="B5" s="222" t="s">
        <v>3076</v>
      </c>
      <c r="C5" s="227" t="s">
        <v>3079</v>
      </c>
      <c r="D5" s="223" t="s">
        <v>3080</v>
      </c>
      <c r="E5" s="85"/>
      <c r="F5" s="225">
        <v>45829.0</v>
      </c>
      <c r="G5" s="88">
        <v>44469.0</v>
      </c>
      <c r="H5" s="36">
        <f t="shared" si="1"/>
        <v>68743.5</v>
      </c>
      <c r="I5" s="37">
        <f t="shared" si="2"/>
        <v>59577.7</v>
      </c>
      <c r="J5" s="38">
        <f t="shared" si="3"/>
        <v>59577.7</v>
      </c>
      <c r="K5" s="39">
        <f t="shared" si="4"/>
        <v>54994.8</v>
      </c>
      <c r="L5" s="38">
        <f t="shared" si="5"/>
        <v>52703.35</v>
      </c>
      <c r="M5" s="39">
        <f t="shared" si="6"/>
        <v>50411.9</v>
      </c>
      <c r="N5" s="40"/>
      <c r="O5" s="34"/>
      <c r="P5" s="35"/>
      <c r="Q5" s="35"/>
      <c r="R5" s="35"/>
      <c r="S5" s="35"/>
      <c r="T5" s="35"/>
      <c r="U5" s="35"/>
      <c r="V5" s="35"/>
      <c r="W5" s="35"/>
      <c r="X5" s="35"/>
      <c r="Y5" s="35"/>
      <c r="Z5" s="35"/>
    </row>
    <row r="6" ht="14.25" customHeight="1">
      <c r="A6" s="221"/>
      <c r="B6" s="222" t="s">
        <v>3076</v>
      </c>
      <c r="C6" s="228" t="s">
        <v>3081</v>
      </c>
      <c r="D6" s="223" t="s">
        <v>3082</v>
      </c>
      <c r="E6" s="85"/>
      <c r="F6" s="225">
        <v>16000.0</v>
      </c>
      <c r="G6" s="88">
        <v>44469.0</v>
      </c>
      <c r="H6" s="36">
        <f t="shared" si="1"/>
        <v>24000</v>
      </c>
      <c r="I6" s="37">
        <f t="shared" si="2"/>
        <v>20800</v>
      </c>
      <c r="J6" s="38">
        <f t="shared" si="3"/>
        <v>20800</v>
      </c>
      <c r="K6" s="39">
        <f t="shared" si="4"/>
        <v>19200</v>
      </c>
      <c r="L6" s="38">
        <f t="shared" si="5"/>
        <v>18400</v>
      </c>
      <c r="M6" s="39">
        <f t="shared" si="6"/>
        <v>17600</v>
      </c>
      <c r="N6" s="40"/>
      <c r="O6" s="34"/>
      <c r="P6" s="35"/>
      <c r="Q6" s="35"/>
      <c r="R6" s="35"/>
      <c r="S6" s="35"/>
      <c r="T6" s="35"/>
      <c r="U6" s="35"/>
      <c r="V6" s="35"/>
      <c r="W6" s="35"/>
      <c r="X6" s="35"/>
      <c r="Y6" s="35"/>
      <c r="Z6" s="35"/>
    </row>
    <row r="7" ht="14.25" customHeight="1">
      <c r="A7" s="221"/>
      <c r="B7" s="222" t="s">
        <v>3083</v>
      </c>
      <c r="C7" s="211" t="s">
        <v>3084</v>
      </c>
      <c r="D7" s="212" t="s">
        <v>3085</v>
      </c>
      <c r="E7" s="213"/>
      <c r="F7" s="214">
        <v>24000.0</v>
      </c>
      <c r="G7" s="88">
        <v>44469.0</v>
      </c>
      <c r="H7" s="36">
        <f t="shared" si="1"/>
        <v>36000</v>
      </c>
      <c r="I7" s="37">
        <f t="shared" si="2"/>
        <v>31200</v>
      </c>
      <c r="J7" s="38">
        <f t="shared" si="3"/>
        <v>31200</v>
      </c>
      <c r="K7" s="39">
        <f t="shared" si="4"/>
        <v>28800</v>
      </c>
      <c r="L7" s="38">
        <f t="shared" si="5"/>
        <v>27600</v>
      </c>
      <c r="M7" s="39">
        <f t="shared" si="6"/>
        <v>26400</v>
      </c>
      <c r="N7" s="40"/>
      <c r="O7" s="34"/>
      <c r="P7" s="35"/>
      <c r="Q7" s="35"/>
      <c r="R7" s="35"/>
      <c r="S7" s="35"/>
      <c r="T7" s="35"/>
      <c r="U7" s="35"/>
      <c r="V7" s="35"/>
      <c r="W7" s="35"/>
      <c r="X7" s="35"/>
      <c r="Y7" s="35"/>
      <c r="Z7" s="35"/>
    </row>
    <row r="8" ht="14.25" customHeight="1">
      <c r="A8" s="221"/>
      <c r="B8" s="222"/>
      <c r="C8" s="211"/>
      <c r="D8" s="212"/>
      <c r="E8" s="213"/>
      <c r="F8" s="214"/>
      <c r="G8" s="232"/>
      <c r="H8" s="36">
        <f t="shared" si="1"/>
        <v>0</v>
      </c>
      <c r="I8" s="37">
        <f t="shared" si="2"/>
        <v>0</v>
      </c>
      <c r="J8" s="38">
        <f t="shared" si="3"/>
        <v>0</v>
      </c>
      <c r="K8" s="39">
        <f t="shared" si="4"/>
        <v>0</v>
      </c>
      <c r="L8" s="38">
        <f t="shared" si="5"/>
        <v>0</v>
      </c>
      <c r="M8" s="39">
        <f t="shared" si="6"/>
        <v>0</v>
      </c>
      <c r="N8" s="40"/>
      <c r="O8" s="34"/>
      <c r="P8" s="35"/>
      <c r="Q8" s="35"/>
      <c r="R8" s="35"/>
      <c r="S8" s="35"/>
      <c r="T8" s="35"/>
      <c r="U8" s="35"/>
      <c r="V8" s="35"/>
      <c r="W8" s="35"/>
      <c r="X8" s="35"/>
      <c r="Y8" s="35"/>
      <c r="Z8" s="35"/>
    </row>
    <row r="9" ht="14.25" customHeight="1">
      <c r="A9" s="221"/>
      <c r="B9" s="222"/>
      <c r="C9" s="211"/>
      <c r="D9" s="212"/>
      <c r="E9" s="213"/>
      <c r="F9" s="214"/>
      <c r="G9" s="232"/>
      <c r="H9" s="36">
        <f t="shared" si="1"/>
        <v>0</v>
      </c>
      <c r="I9" s="37">
        <f t="shared" si="2"/>
        <v>0</v>
      </c>
      <c r="J9" s="38">
        <f t="shared" si="3"/>
        <v>0</v>
      </c>
      <c r="K9" s="39">
        <f t="shared" si="4"/>
        <v>0</v>
      </c>
      <c r="L9" s="38">
        <f t="shared" si="5"/>
        <v>0</v>
      </c>
      <c r="M9" s="39">
        <f t="shared" si="6"/>
        <v>0</v>
      </c>
      <c r="N9" s="40"/>
      <c r="O9" s="34"/>
      <c r="P9" s="35"/>
      <c r="Q9" s="35"/>
      <c r="R9" s="35"/>
      <c r="S9" s="35"/>
      <c r="T9" s="35"/>
      <c r="U9" s="35"/>
      <c r="V9" s="35"/>
      <c r="W9" s="35"/>
      <c r="X9" s="35"/>
      <c r="Y9" s="35"/>
      <c r="Z9" s="35"/>
    </row>
    <row r="10" ht="14.25" customHeight="1">
      <c r="A10" s="221"/>
      <c r="B10" s="222"/>
      <c r="C10" s="211"/>
      <c r="D10" s="212"/>
      <c r="E10" s="213"/>
      <c r="F10" s="214"/>
      <c r="G10" s="232"/>
      <c r="H10" s="36">
        <f t="shared" si="1"/>
        <v>0</v>
      </c>
      <c r="I10" s="37">
        <f t="shared" si="2"/>
        <v>0</v>
      </c>
      <c r="J10" s="38">
        <f t="shared" si="3"/>
        <v>0</v>
      </c>
      <c r="K10" s="39">
        <f t="shared" si="4"/>
        <v>0</v>
      </c>
      <c r="L10" s="38">
        <f t="shared" si="5"/>
        <v>0</v>
      </c>
      <c r="M10" s="39">
        <f t="shared" si="6"/>
        <v>0</v>
      </c>
      <c r="N10" s="40"/>
      <c r="O10" s="34"/>
      <c r="P10" s="35"/>
      <c r="Q10" s="35"/>
      <c r="R10" s="35"/>
      <c r="S10" s="35"/>
      <c r="T10" s="35"/>
      <c r="U10" s="35"/>
      <c r="V10" s="35"/>
      <c r="W10" s="35"/>
      <c r="X10" s="35"/>
      <c r="Y10" s="35"/>
      <c r="Z10" s="35"/>
    </row>
    <row r="11" ht="14.25" customHeight="1">
      <c r="A11" s="221"/>
      <c r="B11" s="222"/>
      <c r="C11" s="211"/>
      <c r="D11" s="212"/>
      <c r="E11" s="213"/>
      <c r="F11" s="214"/>
      <c r="G11" s="232"/>
      <c r="H11" s="36">
        <f t="shared" si="1"/>
        <v>0</v>
      </c>
      <c r="I11" s="37">
        <f t="shared" si="2"/>
        <v>0</v>
      </c>
      <c r="J11" s="38">
        <f t="shared" si="3"/>
        <v>0</v>
      </c>
      <c r="K11" s="39">
        <f t="shared" si="4"/>
        <v>0</v>
      </c>
      <c r="L11" s="38">
        <f t="shared" si="5"/>
        <v>0</v>
      </c>
      <c r="M11" s="39">
        <f t="shared" si="6"/>
        <v>0</v>
      </c>
      <c r="N11" s="40"/>
      <c r="O11" s="34"/>
      <c r="P11" s="35"/>
      <c r="Q11" s="35"/>
      <c r="R11" s="35"/>
      <c r="S11" s="35"/>
      <c r="T11" s="35"/>
      <c r="U11" s="35"/>
      <c r="V11" s="35"/>
      <c r="W11" s="35"/>
      <c r="X11" s="35"/>
      <c r="Y11" s="35"/>
      <c r="Z11" s="35"/>
    </row>
    <row r="12" ht="14.25" customHeight="1">
      <c r="A12" s="221"/>
      <c r="B12" s="222"/>
      <c r="C12" s="211"/>
      <c r="D12" s="212"/>
      <c r="E12" s="213"/>
      <c r="F12" s="214"/>
      <c r="G12" s="232"/>
      <c r="H12" s="36">
        <f t="shared" si="1"/>
        <v>0</v>
      </c>
      <c r="I12" s="37">
        <f t="shared" si="2"/>
        <v>0</v>
      </c>
      <c r="J12" s="38">
        <f t="shared" si="3"/>
        <v>0</v>
      </c>
      <c r="K12" s="39">
        <f t="shared" si="4"/>
        <v>0</v>
      </c>
      <c r="L12" s="38">
        <f t="shared" si="5"/>
        <v>0</v>
      </c>
      <c r="M12" s="39">
        <f t="shared" si="6"/>
        <v>0</v>
      </c>
      <c r="N12" s="40"/>
      <c r="O12" s="34"/>
      <c r="P12" s="35"/>
      <c r="Q12" s="35"/>
      <c r="R12" s="35"/>
      <c r="S12" s="35"/>
      <c r="T12" s="35"/>
      <c r="U12" s="35"/>
      <c r="V12" s="35"/>
      <c r="W12" s="35"/>
      <c r="X12" s="35"/>
      <c r="Y12" s="35"/>
      <c r="Z12" s="35"/>
    </row>
    <row r="13" ht="14.25" customHeight="1">
      <c r="A13" s="221"/>
      <c r="B13" s="222"/>
      <c r="C13" s="211"/>
      <c r="D13" s="212"/>
      <c r="E13" s="213"/>
      <c r="F13" s="214"/>
      <c r="G13" s="232"/>
      <c r="H13" s="36">
        <f t="shared" si="1"/>
        <v>0</v>
      </c>
      <c r="I13" s="37">
        <f t="shared" si="2"/>
        <v>0</v>
      </c>
      <c r="J13" s="38">
        <f t="shared" si="3"/>
        <v>0</v>
      </c>
      <c r="K13" s="39">
        <f t="shared" si="4"/>
        <v>0</v>
      </c>
      <c r="L13" s="38">
        <f t="shared" si="5"/>
        <v>0</v>
      </c>
      <c r="M13" s="39">
        <f t="shared" si="6"/>
        <v>0</v>
      </c>
      <c r="N13" s="40"/>
      <c r="O13" s="34"/>
      <c r="P13" s="35"/>
      <c r="Q13" s="35"/>
      <c r="R13" s="35"/>
      <c r="S13" s="35"/>
      <c r="T13" s="35"/>
      <c r="U13" s="35"/>
      <c r="V13" s="35"/>
      <c r="W13" s="35"/>
      <c r="X13" s="35"/>
      <c r="Y13" s="35"/>
      <c r="Z13" s="35"/>
    </row>
    <row r="14" ht="14.25" customHeight="1">
      <c r="A14" s="221"/>
      <c r="B14" s="222"/>
      <c r="C14" s="211"/>
      <c r="D14" s="212"/>
      <c r="E14" s="213"/>
      <c r="F14" s="214"/>
      <c r="G14" s="232"/>
      <c r="H14" s="36">
        <f t="shared" si="1"/>
        <v>0</v>
      </c>
      <c r="I14" s="37">
        <f t="shared" si="2"/>
        <v>0</v>
      </c>
      <c r="J14" s="38">
        <f t="shared" si="3"/>
        <v>0</v>
      </c>
      <c r="K14" s="39">
        <f t="shared" si="4"/>
        <v>0</v>
      </c>
      <c r="L14" s="38">
        <f t="shared" si="5"/>
        <v>0</v>
      </c>
      <c r="M14" s="39">
        <f t="shared" si="6"/>
        <v>0</v>
      </c>
      <c r="N14" s="40"/>
      <c r="O14" s="34"/>
      <c r="P14" s="35"/>
      <c r="Q14" s="35"/>
      <c r="R14" s="35"/>
      <c r="S14" s="35"/>
      <c r="T14" s="35"/>
      <c r="U14" s="35"/>
      <c r="V14" s="35"/>
      <c r="W14" s="35"/>
      <c r="X14" s="35"/>
      <c r="Y14" s="35"/>
      <c r="Z14" s="35"/>
    </row>
    <row r="15" ht="14.25" customHeight="1">
      <c r="A15" s="221"/>
      <c r="B15" s="222"/>
      <c r="C15" s="211"/>
      <c r="D15" s="212"/>
      <c r="E15" s="213"/>
      <c r="F15" s="214"/>
      <c r="G15" s="232"/>
      <c r="H15" s="36">
        <f t="shared" si="1"/>
        <v>0</v>
      </c>
      <c r="I15" s="37">
        <f t="shared" si="2"/>
        <v>0</v>
      </c>
      <c r="J15" s="38">
        <f t="shared" si="3"/>
        <v>0</v>
      </c>
      <c r="K15" s="39">
        <f t="shared" si="4"/>
        <v>0</v>
      </c>
      <c r="L15" s="38">
        <f t="shared" si="5"/>
        <v>0</v>
      </c>
      <c r="M15" s="39">
        <f t="shared" si="6"/>
        <v>0</v>
      </c>
      <c r="N15" s="40"/>
      <c r="O15" s="34"/>
      <c r="P15" s="35"/>
      <c r="Q15" s="35"/>
      <c r="R15" s="35"/>
      <c r="S15" s="35"/>
      <c r="T15" s="35"/>
      <c r="U15" s="35"/>
      <c r="V15" s="35"/>
      <c r="W15" s="35"/>
      <c r="X15" s="35"/>
      <c r="Y15" s="35"/>
      <c r="Z15" s="35"/>
    </row>
    <row r="16" ht="14.25" customHeight="1">
      <c r="A16" s="221"/>
      <c r="B16" s="222"/>
      <c r="C16" s="211"/>
      <c r="D16" s="212"/>
      <c r="E16" s="213"/>
      <c r="F16" s="214"/>
      <c r="G16" s="232"/>
      <c r="H16" s="36">
        <f t="shared" si="1"/>
        <v>0</v>
      </c>
      <c r="I16" s="37">
        <f t="shared" si="2"/>
        <v>0</v>
      </c>
      <c r="J16" s="38">
        <f t="shared" si="3"/>
        <v>0</v>
      </c>
      <c r="K16" s="39">
        <f t="shared" si="4"/>
        <v>0</v>
      </c>
      <c r="L16" s="38">
        <f t="shared" si="5"/>
        <v>0</v>
      </c>
      <c r="M16" s="39">
        <f t="shared" si="6"/>
        <v>0</v>
      </c>
      <c r="N16" s="40"/>
      <c r="O16" s="34"/>
      <c r="P16" s="35"/>
      <c r="Q16" s="35"/>
      <c r="R16" s="35"/>
      <c r="S16" s="35"/>
      <c r="T16" s="35"/>
      <c r="U16" s="35"/>
      <c r="V16" s="35"/>
      <c r="W16" s="35"/>
      <c r="X16" s="35"/>
      <c r="Y16" s="35"/>
      <c r="Z16" s="35"/>
    </row>
    <row r="17" ht="14.25" customHeight="1">
      <c r="A17" s="221"/>
      <c r="B17" s="231"/>
      <c r="C17" s="211"/>
      <c r="D17" s="212"/>
      <c r="E17" s="213"/>
      <c r="F17" s="214"/>
      <c r="G17" s="528"/>
      <c r="H17" s="36">
        <f t="shared" si="1"/>
        <v>0</v>
      </c>
      <c r="I17" s="37">
        <f t="shared" si="2"/>
        <v>0</v>
      </c>
      <c r="J17" s="38">
        <f t="shared" si="3"/>
        <v>0</v>
      </c>
      <c r="K17" s="39">
        <f t="shared" si="4"/>
        <v>0</v>
      </c>
      <c r="L17" s="38">
        <f t="shared" si="5"/>
        <v>0</v>
      </c>
      <c r="M17" s="39">
        <f t="shared" si="6"/>
        <v>0</v>
      </c>
      <c r="N17" s="40"/>
      <c r="O17" s="34"/>
      <c r="P17" s="35"/>
      <c r="Q17" s="35"/>
      <c r="R17" s="35"/>
      <c r="S17" s="35"/>
      <c r="T17" s="35"/>
      <c r="U17" s="35"/>
      <c r="V17" s="35"/>
      <c r="W17" s="35"/>
      <c r="X17" s="35"/>
      <c r="Y17" s="35"/>
      <c r="Z17" s="35"/>
    </row>
    <row r="18" ht="14.25" customHeight="1">
      <c r="A18" s="221"/>
      <c r="B18" s="231"/>
      <c r="C18" s="211"/>
      <c r="D18" s="212"/>
      <c r="E18" s="213"/>
      <c r="F18" s="214"/>
      <c r="G18" s="232"/>
      <c r="H18" s="36">
        <f t="shared" si="1"/>
        <v>0</v>
      </c>
      <c r="I18" s="37">
        <f t="shared" si="2"/>
        <v>0</v>
      </c>
      <c r="J18" s="38">
        <f t="shared" si="3"/>
        <v>0</v>
      </c>
      <c r="K18" s="39">
        <f t="shared" si="4"/>
        <v>0</v>
      </c>
      <c r="L18" s="38">
        <f t="shared" si="5"/>
        <v>0</v>
      </c>
      <c r="M18" s="39">
        <f t="shared" si="6"/>
        <v>0</v>
      </c>
      <c r="N18" s="40"/>
      <c r="O18" s="34"/>
      <c r="P18" s="35"/>
      <c r="Q18" s="35"/>
      <c r="R18" s="35"/>
      <c r="S18" s="35"/>
      <c r="T18" s="35"/>
      <c r="U18" s="35"/>
      <c r="V18" s="35"/>
      <c r="W18" s="35"/>
      <c r="X18" s="35"/>
      <c r="Y18" s="35"/>
      <c r="Z18" s="35"/>
    </row>
    <row r="19" ht="14.25" customHeight="1">
      <c r="A19" s="221"/>
      <c r="B19" s="231"/>
      <c r="C19" s="211"/>
      <c r="D19" s="212"/>
      <c r="E19" s="213"/>
      <c r="F19" s="214"/>
      <c r="G19" s="232"/>
      <c r="H19" s="36">
        <f t="shared" si="1"/>
        <v>0</v>
      </c>
      <c r="I19" s="37">
        <f t="shared" si="2"/>
        <v>0</v>
      </c>
      <c r="J19" s="38">
        <f t="shared" si="3"/>
        <v>0</v>
      </c>
      <c r="K19" s="39">
        <f t="shared" si="4"/>
        <v>0</v>
      </c>
      <c r="L19" s="38">
        <f t="shared" si="5"/>
        <v>0</v>
      </c>
      <c r="M19" s="39">
        <f t="shared" si="6"/>
        <v>0</v>
      </c>
      <c r="N19" s="40"/>
      <c r="O19" s="34"/>
      <c r="P19" s="35"/>
      <c r="Q19" s="35"/>
      <c r="R19" s="35"/>
      <c r="S19" s="35"/>
      <c r="T19" s="35"/>
      <c r="U19" s="35"/>
      <c r="V19" s="35"/>
      <c r="W19" s="35"/>
      <c r="X19" s="35"/>
      <c r="Y19" s="35"/>
      <c r="Z19" s="35"/>
    </row>
    <row r="20" ht="14.25" customHeight="1">
      <c r="A20" s="221"/>
      <c r="B20" s="231"/>
      <c r="C20" s="211"/>
      <c r="D20" s="212"/>
      <c r="E20" s="213"/>
      <c r="F20" s="214"/>
      <c r="G20" s="232"/>
      <c r="H20" s="36">
        <f t="shared" si="1"/>
        <v>0</v>
      </c>
      <c r="I20" s="37">
        <f t="shared" si="2"/>
        <v>0</v>
      </c>
      <c r="J20" s="38">
        <f t="shared" si="3"/>
        <v>0</v>
      </c>
      <c r="K20" s="39">
        <f t="shared" si="4"/>
        <v>0</v>
      </c>
      <c r="L20" s="38">
        <f t="shared" si="5"/>
        <v>0</v>
      </c>
      <c r="M20" s="39">
        <f t="shared" si="6"/>
        <v>0</v>
      </c>
      <c r="N20" s="40"/>
      <c r="O20" s="34"/>
      <c r="P20" s="35"/>
      <c r="Q20" s="35"/>
      <c r="R20" s="35"/>
      <c r="S20" s="35"/>
      <c r="T20" s="35"/>
      <c r="U20" s="35"/>
      <c r="V20" s="35"/>
      <c r="W20" s="35"/>
      <c r="X20" s="35"/>
      <c r="Y20" s="35"/>
      <c r="Z20" s="35"/>
    </row>
    <row r="21" ht="14.25" customHeight="1">
      <c r="A21" s="221"/>
      <c r="B21" s="231"/>
      <c r="C21" s="211"/>
      <c r="D21" s="212"/>
      <c r="E21" s="213"/>
      <c r="F21" s="214"/>
      <c r="G21" s="232"/>
      <c r="H21" s="36">
        <f t="shared" si="1"/>
        <v>0</v>
      </c>
      <c r="I21" s="37">
        <f t="shared" si="2"/>
        <v>0</v>
      </c>
      <c r="J21" s="38">
        <f t="shared" si="3"/>
        <v>0</v>
      </c>
      <c r="K21" s="39">
        <f t="shared" si="4"/>
        <v>0</v>
      </c>
      <c r="L21" s="38">
        <f t="shared" si="5"/>
        <v>0</v>
      </c>
      <c r="M21" s="39">
        <f t="shared" si="6"/>
        <v>0</v>
      </c>
      <c r="N21" s="40"/>
      <c r="O21" s="34"/>
      <c r="P21" s="35"/>
      <c r="Q21" s="35"/>
      <c r="R21" s="35"/>
      <c r="S21" s="35"/>
      <c r="T21" s="35"/>
      <c r="U21" s="35"/>
      <c r="V21" s="35"/>
      <c r="W21" s="35"/>
      <c r="X21" s="35"/>
      <c r="Y21" s="35"/>
      <c r="Z21" s="35"/>
    </row>
    <row r="22" ht="14.25" customHeight="1">
      <c r="A22" s="221"/>
      <c r="B22" s="231"/>
      <c r="C22" s="211"/>
      <c r="D22" s="212"/>
      <c r="E22" s="213"/>
      <c r="F22" s="214"/>
      <c r="G22" s="232"/>
      <c r="H22" s="36">
        <f t="shared" si="1"/>
        <v>0</v>
      </c>
      <c r="I22" s="37">
        <f t="shared" si="2"/>
        <v>0</v>
      </c>
      <c r="J22" s="38">
        <f t="shared" si="3"/>
        <v>0</v>
      </c>
      <c r="K22" s="39">
        <f t="shared" si="4"/>
        <v>0</v>
      </c>
      <c r="L22" s="38">
        <f t="shared" si="5"/>
        <v>0</v>
      </c>
      <c r="M22" s="39">
        <f t="shared" si="6"/>
        <v>0</v>
      </c>
      <c r="N22" s="40"/>
      <c r="O22" s="34"/>
      <c r="P22" s="35"/>
      <c r="Q22" s="35"/>
      <c r="R22" s="35"/>
      <c r="S22" s="35"/>
      <c r="T22" s="35"/>
      <c r="U22" s="35"/>
      <c r="V22" s="35"/>
      <c r="W22" s="35"/>
      <c r="X22" s="35"/>
      <c r="Y22" s="35"/>
      <c r="Z22" s="35"/>
    </row>
    <row r="23" ht="14.25" customHeight="1">
      <c r="A23" s="221"/>
      <c r="B23" s="231"/>
      <c r="C23" s="211"/>
      <c r="D23" s="212"/>
      <c r="E23" s="213"/>
      <c r="F23" s="214"/>
      <c r="G23" s="232"/>
      <c r="H23" s="36">
        <f t="shared" si="1"/>
        <v>0</v>
      </c>
      <c r="I23" s="37">
        <f t="shared" si="2"/>
        <v>0</v>
      </c>
      <c r="J23" s="38">
        <f t="shared" si="3"/>
        <v>0</v>
      </c>
      <c r="K23" s="39">
        <f t="shared" si="4"/>
        <v>0</v>
      </c>
      <c r="L23" s="38">
        <f t="shared" si="5"/>
        <v>0</v>
      </c>
      <c r="M23" s="39">
        <f t="shared" si="6"/>
        <v>0</v>
      </c>
      <c r="N23" s="40"/>
      <c r="O23" s="34"/>
      <c r="P23" s="35"/>
      <c r="Q23" s="35"/>
      <c r="R23" s="35"/>
      <c r="S23" s="35"/>
      <c r="T23" s="35"/>
      <c r="U23" s="35"/>
      <c r="V23" s="35"/>
      <c r="W23" s="35"/>
      <c r="X23" s="35"/>
      <c r="Y23" s="35"/>
      <c r="Z23" s="35"/>
    </row>
    <row r="24" ht="14.25" customHeight="1">
      <c r="A24" s="221"/>
      <c r="B24" s="231"/>
      <c r="C24" s="211"/>
      <c r="D24" s="212"/>
      <c r="E24" s="213"/>
      <c r="F24" s="214"/>
      <c r="G24" s="232"/>
      <c r="H24" s="36">
        <f t="shared" si="1"/>
        <v>0</v>
      </c>
      <c r="I24" s="37">
        <f t="shared" si="2"/>
        <v>0</v>
      </c>
      <c r="J24" s="38">
        <f t="shared" si="3"/>
        <v>0</v>
      </c>
      <c r="K24" s="39">
        <f t="shared" si="4"/>
        <v>0</v>
      </c>
      <c r="L24" s="38">
        <f t="shared" si="5"/>
        <v>0</v>
      </c>
      <c r="M24" s="39">
        <f t="shared" si="6"/>
        <v>0</v>
      </c>
      <c r="N24" s="40"/>
      <c r="O24" s="34"/>
      <c r="P24" s="35"/>
      <c r="Q24" s="35"/>
      <c r="R24" s="35"/>
      <c r="S24" s="35"/>
      <c r="T24" s="35"/>
      <c r="U24" s="35"/>
      <c r="V24" s="35"/>
      <c r="W24" s="35"/>
      <c r="X24" s="35"/>
      <c r="Y24" s="35"/>
      <c r="Z24" s="35"/>
    </row>
    <row r="25" ht="14.25" customHeight="1">
      <c r="A25" s="221"/>
      <c r="B25" s="231"/>
      <c r="C25" s="211"/>
      <c r="D25" s="212"/>
      <c r="E25" s="213"/>
      <c r="F25" s="214"/>
      <c r="G25" s="232"/>
      <c r="H25" s="36">
        <f t="shared" si="1"/>
        <v>0</v>
      </c>
      <c r="I25" s="37">
        <f t="shared" si="2"/>
        <v>0</v>
      </c>
      <c r="J25" s="38">
        <f t="shared" si="3"/>
        <v>0</v>
      </c>
      <c r="K25" s="39">
        <f t="shared" si="4"/>
        <v>0</v>
      </c>
      <c r="L25" s="38">
        <f t="shared" si="5"/>
        <v>0</v>
      </c>
      <c r="M25" s="39">
        <f t="shared" si="6"/>
        <v>0</v>
      </c>
      <c r="N25" s="40"/>
      <c r="O25" s="34"/>
      <c r="P25" s="35"/>
      <c r="Q25" s="35"/>
      <c r="R25" s="35"/>
      <c r="S25" s="35"/>
      <c r="T25" s="35"/>
      <c r="U25" s="35"/>
      <c r="V25" s="35"/>
      <c r="W25" s="35"/>
      <c r="X25" s="35"/>
      <c r="Y25" s="35"/>
      <c r="Z25" s="35"/>
    </row>
    <row r="26" ht="14.25" customHeight="1">
      <c r="A26" s="221"/>
      <c r="B26" s="231"/>
      <c r="C26" s="211"/>
      <c r="D26" s="212"/>
      <c r="E26" s="213"/>
      <c r="F26" s="214"/>
      <c r="G26" s="232"/>
      <c r="H26" s="36">
        <f t="shared" si="1"/>
        <v>0</v>
      </c>
      <c r="I26" s="37">
        <f t="shared" si="2"/>
        <v>0</v>
      </c>
      <c r="J26" s="38">
        <f t="shared" si="3"/>
        <v>0</v>
      </c>
      <c r="K26" s="39">
        <f t="shared" si="4"/>
        <v>0</v>
      </c>
      <c r="L26" s="38">
        <f t="shared" si="5"/>
        <v>0</v>
      </c>
      <c r="M26" s="39">
        <f t="shared" si="6"/>
        <v>0</v>
      </c>
      <c r="N26" s="40"/>
      <c r="O26" s="34"/>
      <c r="P26" s="35"/>
      <c r="Q26" s="35"/>
      <c r="R26" s="35"/>
      <c r="S26" s="35"/>
      <c r="T26" s="35"/>
      <c r="U26" s="35"/>
      <c r="V26" s="35"/>
      <c r="W26" s="35"/>
      <c r="X26" s="35"/>
      <c r="Y26" s="35"/>
      <c r="Z26" s="35"/>
    </row>
    <row r="27" ht="14.25" customHeight="1">
      <c r="A27" s="221"/>
      <c r="B27" s="231"/>
      <c r="C27" s="211"/>
      <c r="D27" s="212"/>
      <c r="E27" s="213"/>
      <c r="F27" s="214"/>
      <c r="G27" s="232"/>
      <c r="H27" s="36">
        <f t="shared" si="1"/>
        <v>0</v>
      </c>
      <c r="I27" s="37">
        <f t="shared" si="2"/>
        <v>0</v>
      </c>
      <c r="J27" s="38">
        <f t="shared" si="3"/>
        <v>0</v>
      </c>
      <c r="K27" s="39">
        <f t="shared" si="4"/>
        <v>0</v>
      </c>
      <c r="L27" s="38">
        <f t="shared" si="5"/>
        <v>0</v>
      </c>
      <c r="M27" s="39">
        <f t="shared" si="6"/>
        <v>0</v>
      </c>
      <c r="N27" s="40"/>
      <c r="O27" s="34"/>
      <c r="P27" s="35"/>
      <c r="Q27" s="35"/>
      <c r="R27" s="35"/>
      <c r="S27" s="35"/>
      <c r="T27" s="35"/>
      <c r="U27" s="35"/>
      <c r="V27" s="35"/>
      <c r="W27" s="35"/>
      <c r="X27" s="35"/>
      <c r="Y27" s="35"/>
      <c r="Z27" s="35"/>
    </row>
    <row r="28" ht="14.25" customHeight="1">
      <c r="A28" s="221"/>
      <c r="B28" s="231"/>
      <c r="C28" s="211"/>
      <c r="D28" s="212"/>
      <c r="E28" s="213"/>
      <c r="F28" s="214"/>
      <c r="G28" s="232"/>
      <c r="H28" s="36">
        <f t="shared" si="1"/>
        <v>0</v>
      </c>
      <c r="I28" s="37">
        <f t="shared" si="2"/>
        <v>0</v>
      </c>
      <c r="J28" s="38">
        <f t="shared" si="3"/>
        <v>0</v>
      </c>
      <c r="K28" s="39">
        <f t="shared" si="4"/>
        <v>0</v>
      </c>
      <c r="L28" s="38">
        <f t="shared" si="5"/>
        <v>0</v>
      </c>
      <c r="M28" s="39">
        <f t="shared" si="6"/>
        <v>0</v>
      </c>
      <c r="N28" s="40"/>
      <c r="O28" s="34"/>
      <c r="P28" s="35"/>
      <c r="Q28" s="35"/>
      <c r="R28" s="35"/>
      <c r="S28" s="35"/>
      <c r="T28" s="35"/>
      <c r="U28" s="35"/>
      <c r="V28" s="35"/>
      <c r="W28" s="35"/>
      <c r="X28" s="35"/>
      <c r="Y28" s="35"/>
      <c r="Z28" s="35"/>
    </row>
    <row r="29" ht="14.25" customHeight="1">
      <c r="A29" s="221"/>
      <c r="B29" s="231"/>
      <c r="C29" s="211"/>
      <c r="D29" s="212"/>
      <c r="E29" s="213"/>
      <c r="F29" s="214"/>
      <c r="G29" s="232"/>
      <c r="H29" s="36">
        <f t="shared" si="1"/>
        <v>0</v>
      </c>
      <c r="I29" s="37">
        <f t="shared" si="2"/>
        <v>0</v>
      </c>
      <c r="J29" s="38">
        <f t="shared" si="3"/>
        <v>0</v>
      </c>
      <c r="K29" s="39">
        <f t="shared" si="4"/>
        <v>0</v>
      </c>
      <c r="L29" s="38">
        <f t="shared" si="5"/>
        <v>0</v>
      </c>
      <c r="M29" s="39">
        <f t="shared" si="6"/>
        <v>0</v>
      </c>
      <c r="N29" s="40"/>
      <c r="O29" s="34"/>
      <c r="P29" s="35"/>
      <c r="Q29" s="35"/>
      <c r="R29" s="35"/>
      <c r="S29" s="35"/>
      <c r="T29" s="35"/>
      <c r="U29" s="35"/>
      <c r="V29" s="35"/>
      <c r="W29" s="35"/>
      <c r="X29" s="35"/>
      <c r="Y29" s="35"/>
      <c r="Z29" s="35"/>
    </row>
    <row r="30" ht="14.25" customHeight="1">
      <c r="A30" s="221"/>
      <c r="B30" s="231"/>
      <c r="C30" s="211"/>
      <c r="D30" s="212"/>
      <c r="E30" s="213"/>
      <c r="F30" s="214"/>
      <c r="G30" s="232"/>
      <c r="H30" s="36">
        <f t="shared" si="1"/>
        <v>0</v>
      </c>
      <c r="I30" s="37">
        <f t="shared" si="2"/>
        <v>0</v>
      </c>
      <c r="J30" s="38">
        <f t="shared" si="3"/>
        <v>0</v>
      </c>
      <c r="K30" s="39">
        <f t="shared" si="4"/>
        <v>0</v>
      </c>
      <c r="L30" s="38">
        <f t="shared" si="5"/>
        <v>0</v>
      </c>
      <c r="M30" s="39">
        <f t="shared" si="6"/>
        <v>0</v>
      </c>
      <c r="N30" s="40"/>
      <c r="O30" s="34"/>
      <c r="P30" s="35"/>
      <c r="Q30" s="35"/>
      <c r="R30" s="35"/>
      <c r="S30" s="35"/>
      <c r="T30" s="35"/>
      <c r="U30" s="35"/>
      <c r="V30" s="35"/>
      <c r="W30" s="35"/>
      <c r="X30" s="35"/>
      <c r="Y30" s="35"/>
      <c r="Z30" s="35"/>
    </row>
    <row r="31" ht="14.25" customHeight="1">
      <c r="A31" s="221"/>
      <c r="B31" s="231"/>
      <c r="C31" s="211"/>
      <c r="D31" s="212"/>
      <c r="E31" s="213"/>
      <c r="F31" s="214"/>
      <c r="G31" s="232"/>
      <c r="H31" s="36">
        <f t="shared" si="1"/>
        <v>0</v>
      </c>
      <c r="I31" s="37">
        <f t="shared" si="2"/>
        <v>0</v>
      </c>
      <c r="J31" s="38">
        <f t="shared" si="3"/>
        <v>0</v>
      </c>
      <c r="K31" s="39">
        <f t="shared" si="4"/>
        <v>0</v>
      </c>
      <c r="L31" s="38">
        <f t="shared" si="5"/>
        <v>0</v>
      </c>
      <c r="M31" s="39">
        <f t="shared" si="6"/>
        <v>0</v>
      </c>
      <c r="N31" s="40"/>
      <c r="O31" s="34"/>
      <c r="P31" s="35"/>
      <c r="Q31" s="35"/>
      <c r="R31" s="35"/>
      <c r="S31" s="35"/>
      <c r="T31" s="35"/>
      <c r="U31" s="35"/>
      <c r="V31" s="35"/>
      <c r="W31" s="35"/>
      <c r="X31" s="35"/>
      <c r="Y31" s="35"/>
      <c r="Z31" s="35"/>
    </row>
    <row r="32" ht="14.25" customHeight="1">
      <c r="A32" s="221"/>
      <c r="B32" s="231"/>
      <c r="C32" s="211"/>
      <c r="D32" s="212"/>
      <c r="E32" s="213"/>
      <c r="F32" s="214"/>
      <c r="G32" s="232"/>
      <c r="H32" s="36">
        <f t="shared" si="1"/>
        <v>0</v>
      </c>
      <c r="I32" s="37">
        <f t="shared" si="2"/>
        <v>0</v>
      </c>
      <c r="J32" s="38">
        <f t="shared" si="3"/>
        <v>0</v>
      </c>
      <c r="K32" s="39">
        <f t="shared" si="4"/>
        <v>0</v>
      </c>
      <c r="L32" s="38">
        <f t="shared" si="5"/>
        <v>0</v>
      </c>
      <c r="M32" s="39">
        <f t="shared" si="6"/>
        <v>0</v>
      </c>
      <c r="N32" s="40"/>
      <c r="O32" s="34"/>
      <c r="P32" s="35"/>
      <c r="Q32" s="35"/>
      <c r="R32" s="35"/>
      <c r="S32" s="35"/>
      <c r="T32" s="35"/>
      <c r="U32" s="35"/>
      <c r="V32" s="35"/>
      <c r="W32" s="35"/>
      <c r="X32" s="35"/>
      <c r="Y32" s="35"/>
      <c r="Z32" s="35"/>
    </row>
    <row r="33" ht="14.25" customHeight="1">
      <c r="A33" s="221"/>
      <c r="B33" s="231"/>
      <c r="C33" s="211"/>
      <c r="D33" s="212"/>
      <c r="E33" s="213"/>
      <c r="F33" s="214"/>
      <c r="G33" s="232"/>
      <c r="H33" s="36">
        <f t="shared" si="1"/>
        <v>0</v>
      </c>
      <c r="I33" s="37">
        <f t="shared" si="2"/>
        <v>0</v>
      </c>
      <c r="J33" s="38">
        <f t="shared" si="3"/>
        <v>0</v>
      </c>
      <c r="K33" s="39">
        <f t="shared" si="4"/>
        <v>0</v>
      </c>
      <c r="L33" s="38">
        <f t="shared" si="5"/>
        <v>0</v>
      </c>
      <c r="M33" s="39">
        <f t="shared" si="6"/>
        <v>0</v>
      </c>
      <c r="N33" s="40"/>
      <c r="O33" s="34"/>
      <c r="P33" s="35"/>
      <c r="Q33" s="35"/>
      <c r="R33" s="35"/>
      <c r="S33" s="35"/>
      <c r="T33" s="35"/>
      <c r="U33" s="35"/>
      <c r="V33" s="35"/>
      <c r="W33" s="35"/>
      <c r="X33" s="35"/>
      <c r="Y33" s="35"/>
      <c r="Z33" s="35"/>
    </row>
    <row r="34" ht="14.25" customHeight="1">
      <c r="A34" s="221"/>
      <c r="B34" s="231"/>
      <c r="C34" s="211"/>
      <c r="D34" s="212"/>
      <c r="E34" s="213"/>
      <c r="F34" s="214"/>
      <c r="G34" s="232"/>
      <c r="H34" s="36">
        <f t="shared" si="1"/>
        <v>0</v>
      </c>
      <c r="I34" s="37">
        <f t="shared" si="2"/>
        <v>0</v>
      </c>
      <c r="J34" s="38">
        <f t="shared" si="3"/>
        <v>0</v>
      </c>
      <c r="K34" s="39">
        <f t="shared" si="4"/>
        <v>0</v>
      </c>
      <c r="L34" s="38">
        <f t="shared" si="5"/>
        <v>0</v>
      </c>
      <c r="M34" s="39">
        <f t="shared" si="6"/>
        <v>0</v>
      </c>
      <c r="N34" s="40"/>
      <c r="O34" s="34"/>
      <c r="P34" s="35"/>
      <c r="Q34" s="35"/>
      <c r="R34" s="35"/>
      <c r="S34" s="35"/>
      <c r="T34" s="35"/>
      <c r="U34" s="35"/>
      <c r="V34" s="35"/>
      <c r="W34" s="35"/>
      <c r="X34" s="35"/>
      <c r="Y34" s="35"/>
      <c r="Z34" s="35"/>
    </row>
    <row r="35" ht="14.25" customHeight="1">
      <c r="A35" s="221"/>
      <c r="B35" s="231"/>
      <c r="C35" s="211"/>
      <c r="D35" s="212"/>
      <c r="E35" s="213"/>
      <c r="F35" s="214"/>
      <c r="G35" s="232"/>
      <c r="H35" s="36">
        <f t="shared" si="1"/>
        <v>0</v>
      </c>
      <c r="I35" s="37">
        <f t="shared" si="2"/>
        <v>0</v>
      </c>
      <c r="J35" s="38">
        <f t="shared" si="3"/>
        <v>0</v>
      </c>
      <c r="K35" s="39">
        <f t="shared" si="4"/>
        <v>0</v>
      </c>
      <c r="L35" s="38">
        <f t="shared" si="5"/>
        <v>0</v>
      </c>
      <c r="M35" s="39">
        <f t="shared" si="6"/>
        <v>0</v>
      </c>
      <c r="N35" s="40"/>
      <c r="O35" s="34"/>
      <c r="P35" s="35"/>
      <c r="Q35" s="35"/>
      <c r="R35" s="35"/>
      <c r="S35" s="35"/>
      <c r="T35" s="35"/>
      <c r="U35" s="35"/>
      <c r="V35" s="35"/>
      <c r="W35" s="35"/>
      <c r="X35" s="35"/>
      <c r="Y35" s="35"/>
      <c r="Z35" s="35"/>
    </row>
    <row r="36" ht="14.25" customHeight="1">
      <c r="A36" s="221"/>
      <c r="B36" s="231"/>
      <c r="C36" s="211"/>
      <c r="D36" s="212"/>
      <c r="E36" s="213"/>
      <c r="F36" s="214"/>
      <c r="G36" s="232"/>
      <c r="H36" s="36">
        <f t="shared" si="1"/>
        <v>0</v>
      </c>
      <c r="I36" s="37">
        <f t="shared" si="2"/>
        <v>0</v>
      </c>
      <c r="J36" s="38">
        <f t="shared" si="3"/>
        <v>0</v>
      </c>
      <c r="K36" s="39">
        <f t="shared" si="4"/>
        <v>0</v>
      </c>
      <c r="L36" s="38">
        <f t="shared" si="5"/>
        <v>0</v>
      </c>
      <c r="M36" s="39">
        <f t="shared" si="6"/>
        <v>0</v>
      </c>
      <c r="N36" s="40"/>
      <c r="O36" s="34"/>
      <c r="P36" s="35"/>
      <c r="Q36" s="35"/>
      <c r="R36" s="35"/>
      <c r="S36" s="35"/>
      <c r="T36" s="35"/>
      <c r="U36" s="35"/>
      <c r="V36" s="35"/>
      <c r="W36" s="35"/>
      <c r="X36" s="35"/>
      <c r="Y36" s="35"/>
      <c r="Z36" s="35"/>
    </row>
    <row r="37" ht="14.25" customHeight="1">
      <c r="A37" s="221"/>
      <c r="B37" s="231"/>
      <c r="C37" s="211"/>
      <c r="D37" s="212"/>
      <c r="E37" s="213"/>
      <c r="F37" s="214"/>
      <c r="G37" s="232"/>
      <c r="H37" s="36">
        <f t="shared" si="1"/>
        <v>0</v>
      </c>
      <c r="I37" s="37">
        <f t="shared" si="2"/>
        <v>0</v>
      </c>
      <c r="J37" s="38">
        <f t="shared" si="3"/>
        <v>0</v>
      </c>
      <c r="K37" s="39">
        <f t="shared" si="4"/>
        <v>0</v>
      </c>
      <c r="L37" s="38">
        <f t="shared" si="5"/>
        <v>0</v>
      </c>
      <c r="M37" s="39">
        <f t="shared" si="6"/>
        <v>0</v>
      </c>
      <c r="N37" s="40"/>
      <c r="O37" s="34"/>
      <c r="P37" s="35"/>
      <c r="Q37" s="35"/>
      <c r="R37" s="35"/>
      <c r="S37" s="35"/>
      <c r="T37" s="35"/>
      <c r="U37" s="35"/>
      <c r="V37" s="35"/>
      <c r="W37" s="35"/>
      <c r="X37" s="35"/>
      <c r="Y37" s="35"/>
      <c r="Z37" s="35"/>
    </row>
    <row r="38" ht="14.25" customHeight="1">
      <c r="A38" s="221"/>
      <c r="B38" s="231"/>
      <c r="C38" s="211"/>
      <c r="D38" s="212"/>
      <c r="E38" s="213"/>
      <c r="F38" s="214"/>
      <c r="G38" s="232"/>
      <c r="H38" s="36">
        <f t="shared" si="1"/>
        <v>0</v>
      </c>
      <c r="I38" s="37">
        <f t="shared" si="2"/>
        <v>0</v>
      </c>
      <c r="J38" s="38">
        <f t="shared" si="3"/>
        <v>0</v>
      </c>
      <c r="K38" s="39">
        <f t="shared" si="4"/>
        <v>0</v>
      </c>
      <c r="L38" s="38">
        <f t="shared" si="5"/>
        <v>0</v>
      </c>
      <c r="M38" s="39">
        <f t="shared" si="6"/>
        <v>0</v>
      </c>
      <c r="N38" s="40"/>
      <c r="O38" s="34"/>
      <c r="P38" s="35"/>
      <c r="Q38" s="35"/>
      <c r="R38" s="35"/>
      <c r="S38" s="35"/>
      <c r="T38" s="35"/>
      <c r="U38" s="35"/>
      <c r="V38" s="35"/>
      <c r="W38" s="35"/>
      <c r="X38" s="35"/>
      <c r="Y38" s="35"/>
      <c r="Z38" s="35"/>
    </row>
    <row r="39" ht="14.25" customHeight="1">
      <c r="A39" s="221"/>
      <c r="B39" s="231"/>
      <c r="C39" s="211"/>
      <c r="D39" s="212"/>
      <c r="E39" s="213"/>
      <c r="F39" s="214"/>
      <c r="G39" s="232"/>
      <c r="H39" s="36">
        <f t="shared" si="1"/>
        <v>0</v>
      </c>
      <c r="I39" s="37">
        <f t="shared" si="2"/>
        <v>0</v>
      </c>
      <c r="J39" s="38">
        <f t="shared" si="3"/>
        <v>0</v>
      </c>
      <c r="K39" s="39">
        <f t="shared" si="4"/>
        <v>0</v>
      </c>
      <c r="L39" s="38">
        <f t="shared" si="5"/>
        <v>0</v>
      </c>
      <c r="M39" s="39">
        <f t="shared" si="6"/>
        <v>0</v>
      </c>
      <c r="N39" s="40"/>
      <c r="O39" s="34"/>
      <c r="P39" s="35"/>
      <c r="Q39" s="35"/>
      <c r="R39" s="35"/>
      <c r="S39" s="35"/>
      <c r="T39" s="35"/>
      <c r="U39" s="35"/>
      <c r="V39" s="35"/>
      <c r="W39" s="35"/>
      <c r="X39" s="35"/>
      <c r="Y39" s="35"/>
      <c r="Z39" s="35"/>
    </row>
    <row r="40" ht="14.25" customHeight="1">
      <c r="A40" s="221"/>
      <c r="B40" s="231"/>
      <c r="C40" s="211"/>
      <c r="D40" s="212"/>
      <c r="E40" s="213"/>
      <c r="F40" s="214"/>
      <c r="G40" s="232"/>
      <c r="H40" s="36">
        <f t="shared" si="1"/>
        <v>0</v>
      </c>
      <c r="I40" s="37">
        <f t="shared" si="2"/>
        <v>0</v>
      </c>
      <c r="J40" s="38">
        <f t="shared" si="3"/>
        <v>0</v>
      </c>
      <c r="K40" s="39">
        <f t="shared" si="4"/>
        <v>0</v>
      </c>
      <c r="L40" s="38">
        <f t="shared" si="5"/>
        <v>0</v>
      </c>
      <c r="M40" s="39">
        <f t="shared" si="6"/>
        <v>0</v>
      </c>
      <c r="N40" s="40"/>
      <c r="O40" s="34"/>
      <c r="P40" s="35"/>
      <c r="Q40" s="35"/>
      <c r="R40" s="35"/>
      <c r="S40" s="35"/>
      <c r="T40" s="35"/>
      <c r="U40" s="35"/>
      <c r="V40" s="35"/>
      <c r="W40" s="35"/>
      <c r="X40" s="35"/>
      <c r="Y40" s="35"/>
      <c r="Z40" s="35"/>
    </row>
    <row r="41" ht="14.25" customHeight="1">
      <c r="A41" s="221"/>
      <c r="B41" s="231"/>
      <c r="C41" s="211"/>
      <c r="D41" s="212"/>
      <c r="E41" s="213"/>
      <c r="F41" s="214"/>
      <c r="G41" s="232"/>
      <c r="H41" s="36">
        <f t="shared" si="1"/>
        <v>0</v>
      </c>
      <c r="I41" s="37">
        <f t="shared" si="2"/>
        <v>0</v>
      </c>
      <c r="J41" s="38">
        <f t="shared" si="3"/>
        <v>0</v>
      </c>
      <c r="K41" s="39">
        <f t="shared" si="4"/>
        <v>0</v>
      </c>
      <c r="L41" s="38">
        <f t="shared" si="5"/>
        <v>0</v>
      </c>
      <c r="M41" s="39">
        <f t="shared" si="6"/>
        <v>0</v>
      </c>
      <c r="N41" s="40"/>
      <c r="O41" s="34"/>
      <c r="P41" s="35"/>
      <c r="Q41" s="35"/>
      <c r="R41" s="35"/>
      <c r="S41" s="35"/>
      <c r="T41" s="35"/>
      <c r="U41" s="35"/>
      <c r="V41" s="35"/>
      <c r="W41" s="35"/>
      <c r="X41" s="35"/>
      <c r="Y41" s="35"/>
      <c r="Z41" s="35"/>
    </row>
    <row r="42" ht="14.25" customHeight="1">
      <c r="A42" s="221"/>
      <c r="B42" s="231"/>
      <c r="C42" s="211"/>
      <c r="D42" s="212"/>
      <c r="E42" s="213"/>
      <c r="F42" s="214"/>
      <c r="G42" s="232"/>
      <c r="H42" s="36">
        <f t="shared" si="1"/>
        <v>0</v>
      </c>
      <c r="I42" s="37">
        <f t="shared" si="2"/>
        <v>0</v>
      </c>
      <c r="J42" s="38">
        <f t="shared" si="3"/>
        <v>0</v>
      </c>
      <c r="K42" s="39">
        <f t="shared" si="4"/>
        <v>0</v>
      </c>
      <c r="L42" s="38">
        <f t="shared" si="5"/>
        <v>0</v>
      </c>
      <c r="M42" s="39">
        <f t="shared" si="6"/>
        <v>0</v>
      </c>
      <c r="N42" s="40"/>
      <c r="O42" s="34"/>
      <c r="P42" s="35"/>
      <c r="Q42" s="35"/>
      <c r="R42" s="35"/>
      <c r="S42" s="35"/>
      <c r="T42" s="35"/>
      <c r="U42" s="35"/>
      <c r="V42" s="35"/>
      <c r="W42" s="35"/>
      <c r="X42" s="35"/>
      <c r="Y42" s="35"/>
      <c r="Z42" s="35"/>
    </row>
    <row r="43" ht="14.25" customHeight="1">
      <c r="A43" s="221"/>
      <c r="B43" s="231"/>
      <c r="C43" s="211"/>
      <c r="D43" s="212"/>
      <c r="E43" s="213"/>
      <c r="F43" s="214"/>
      <c r="G43" s="232"/>
      <c r="H43" s="36">
        <f t="shared" si="1"/>
        <v>0</v>
      </c>
      <c r="I43" s="37">
        <f t="shared" si="2"/>
        <v>0</v>
      </c>
      <c r="J43" s="38">
        <f t="shared" si="3"/>
        <v>0</v>
      </c>
      <c r="K43" s="39">
        <f t="shared" si="4"/>
        <v>0</v>
      </c>
      <c r="L43" s="38">
        <f t="shared" si="5"/>
        <v>0</v>
      </c>
      <c r="M43" s="39">
        <f t="shared" si="6"/>
        <v>0</v>
      </c>
      <c r="N43" s="40"/>
      <c r="O43" s="34"/>
      <c r="P43" s="35"/>
      <c r="Q43" s="35"/>
      <c r="R43" s="35"/>
      <c r="S43" s="35"/>
      <c r="T43" s="35"/>
      <c r="U43" s="35"/>
      <c r="V43" s="35"/>
      <c r="W43" s="35"/>
      <c r="X43" s="35"/>
      <c r="Y43" s="35"/>
      <c r="Z43" s="35"/>
    </row>
    <row r="44" ht="14.25" customHeight="1">
      <c r="A44" s="221"/>
      <c r="B44" s="231"/>
      <c r="C44" s="211"/>
      <c r="D44" s="212"/>
      <c r="E44" s="213"/>
      <c r="F44" s="214"/>
      <c r="G44" s="232"/>
      <c r="H44" s="36">
        <f t="shared" si="1"/>
        <v>0</v>
      </c>
      <c r="I44" s="37">
        <f t="shared" si="2"/>
        <v>0</v>
      </c>
      <c r="J44" s="38">
        <f t="shared" si="3"/>
        <v>0</v>
      </c>
      <c r="K44" s="39">
        <f t="shared" si="4"/>
        <v>0</v>
      </c>
      <c r="L44" s="38">
        <f t="shared" si="5"/>
        <v>0</v>
      </c>
      <c r="M44" s="39">
        <f t="shared" si="6"/>
        <v>0</v>
      </c>
      <c r="N44" s="40"/>
      <c r="O44" s="34"/>
      <c r="P44" s="35"/>
      <c r="Q44" s="35"/>
      <c r="R44" s="35"/>
      <c r="S44" s="35"/>
      <c r="T44" s="35"/>
      <c r="U44" s="35"/>
      <c r="V44" s="35"/>
      <c r="W44" s="35"/>
      <c r="X44" s="35"/>
      <c r="Y44" s="35"/>
      <c r="Z44" s="35"/>
    </row>
    <row r="45" ht="14.25" customHeight="1">
      <c r="A45" s="221"/>
      <c r="B45" s="231"/>
      <c r="C45" s="211"/>
      <c r="D45" s="212"/>
      <c r="E45" s="213"/>
      <c r="F45" s="214"/>
      <c r="G45" s="232"/>
      <c r="H45" s="36">
        <f t="shared" si="1"/>
        <v>0</v>
      </c>
      <c r="I45" s="37">
        <f t="shared" si="2"/>
        <v>0</v>
      </c>
      <c r="J45" s="38">
        <f t="shared" si="3"/>
        <v>0</v>
      </c>
      <c r="K45" s="39">
        <f t="shared" si="4"/>
        <v>0</v>
      </c>
      <c r="L45" s="38">
        <f t="shared" si="5"/>
        <v>0</v>
      </c>
      <c r="M45" s="39">
        <f t="shared" si="6"/>
        <v>0</v>
      </c>
      <c r="N45" s="40"/>
      <c r="O45" s="34"/>
      <c r="P45" s="35"/>
      <c r="Q45" s="35"/>
      <c r="R45" s="35"/>
      <c r="S45" s="35"/>
      <c r="T45" s="35"/>
      <c r="U45" s="35"/>
      <c r="V45" s="35"/>
      <c r="W45" s="35"/>
      <c r="X45" s="35"/>
      <c r="Y45" s="35"/>
      <c r="Z45" s="35"/>
    </row>
    <row r="46" ht="14.25" customHeight="1">
      <c r="A46" s="221"/>
      <c r="B46" s="231"/>
      <c r="C46" s="211"/>
      <c r="D46" s="212"/>
      <c r="E46" s="213"/>
      <c r="F46" s="214"/>
      <c r="G46" s="232"/>
      <c r="H46" s="36">
        <f t="shared" si="1"/>
        <v>0</v>
      </c>
      <c r="I46" s="37">
        <f t="shared" si="2"/>
        <v>0</v>
      </c>
      <c r="J46" s="38">
        <f t="shared" si="3"/>
        <v>0</v>
      </c>
      <c r="K46" s="39">
        <f t="shared" si="4"/>
        <v>0</v>
      </c>
      <c r="L46" s="38">
        <f t="shared" si="5"/>
        <v>0</v>
      </c>
      <c r="M46" s="39">
        <f t="shared" si="6"/>
        <v>0</v>
      </c>
      <c r="N46" s="40"/>
      <c r="O46" s="34"/>
      <c r="P46" s="35"/>
      <c r="Q46" s="35"/>
      <c r="R46" s="35"/>
      <c r="S46" s="35"/>
      <c r="T46" s="35"/>
      <c r="U46" s="35"/>
      <c r="V46" s="35"/>
      <c r="W46" s="35"/>
      <c r="X46" s="35"/>
      <c r="Y46" s="35"/>
      <c r="Z46" s="35"/>
    </row>
    <row r="47" ht="14.25" customHeight="1">
      <c r="A47" s="221"/>
      <c r="B47" s="231"/>
      <c r="C47" s="211"/>
      <c r="D47" s="212"/>
      <c r="E47" s="213"/>
      <c r="F47" s="214"/>
      <c r="G47" s="232"/>
      <c r="H47" s="36">
        <f t="shared" si="1"/>
        <v>0</v>
      </c>
      <c r="I47" s="37">
        <f t="shared" si="2"/>
        <v>0</v>
      </c>
      <c r="J47" s="38">
        <f t="shared" si="3"/>
        <v>0</v>
      </c>
      <c r="K47" s="39">
        <f t="shared" si="4"/>
        <v>0</v>
      </c>
      <c r="L47" s="38">
        <f t="shared" si="5"/>
        <v>0</v>
      </c>
      <c r="M47" s="39">
        <f t="shared" si="6"/>
        <v>0</v>
      </c>
      <c r="N47" s="40"/>
      <c r="O47" s="34"/>
      <c r="P47" s="35"/>
      <c r="Q47" s="35"/>
      <c r="R47" s="35"/>
      <c r="S47" s="35"/>
      <c r="T47" s="35"/>
      <c r="U47" s="35"/>
      <c r="V47" s="35"/>
      <c r="W47" s="35"/>
      <c r="X47" s="35"/>
      <c r="Y47" s="35"/>
      <c r="Z47" s="35"/>
    </row>
    <row r="48" ht="14.25" customHeight="1">
      <c r="A48" s="221"/>
      <c r="B48" s="231"/>
      <c r="C48" s="211"/>
      <c r="D48" s="212"/>
      <c r="E48" s="213"/>
      <c r="F48" s="214"/>
      <c r="G48" s="232"/>
      <c r="H48" s="36">
        <f t="shared" si="1"/>
        <v>0</v>
      </c>
      <c r="I48" s="37">
        <f t="shared" si="2"/>
        <v>0</v>
      </c>
      <c r="J48" s="38">
        <f t="shared" si="3"/>
        <v>0</v>
      </c>
      <c r="K48" s="39">
        <f t="shared" si="4"/>
        <v>0</v>
      </c>
      <c r="L48" s="38">
        <f t="shared" si="5"/>
        <v>0</v>
      </c>
      <c r="M48" s="39">
        <f t="shared" si="6"/>
        <v>0</v>
      </c>
      <c r="N48" s="40"/>
      <c r="O48" s="34"/>
      <c r="P48" s="35"/>
      <c r="Q48" s="35"/>
      <c r="R48" s="35"/>
      <c r="S48" s="35"/>
      <c r="T48" s="35"/>
      <c r="U48" s="35"/>
      <c r="V48" s="35"/>
      <c r="W48" s="35"/>
      <c r="X48" s="35"/>
      <c r="Y48" s="35"/>
      <c r="Z48" s="35"/>
    </row>
    <row r="49" ht="14.25" customHeight="1">
      <c r="A49" s="221"/>
      <c r="B49" s="231"/>
      <c r="C49" s="211"/>
      <c r="D49" s="212"/>
      <c r="E49" s="213"/>
      <c r="F49" s="214"/>
      <c r="G49" s="232"/>
      <c r="H49" s="36">
        <f t="shared" si="1"/>
        <v>0</v>
      </c>
      <c r="I49" s="37">
        <f t="shared" si="2"/>
        <v>0</v>
      </c>
      <c r="J49" s="38">
        <f t="shared" si="3"/>
        <v>0</v>
      </c>
      <c r="K49" s="39">
        <f t="shared" si="4"/>
        <v>0</v>
      </c>
      <c r="L49" s="38">
        <f t="shared" si="5"/>
        <v>0</v>
      </c>
      <c r="M49" s="39">
        <f t="shared" si="6"/>
        <v>0</v>
      </c>
      <c r="N49" s="40"/>
      <c r="O49" s="34"/>
      <c r="P49" s="35"/>
      <c r="Q49" s="35"/>
      <c r="R49" s="35"/>
      <c r="S49" s="35"/>
      <c r="T49" s="35"/>
      <c r="U49" s="35"/>
      <c r="V49" s="35"/>
      <c r="W49" s="35"/>
      <c r="X49" s="35"/>
      <c r="Y49" s="35"/>
      <c r="Z49" s="35"/>
    </row>
    <row r="50" ht="14.25" customHeight="1">
      <c r="A50" s="221"/>
      <c r="B50" s="231"/>
      <c r="C50" s="211"/>
      <c r="D50" s="212"/>
      <c r="E50" s="213"/>
      <c r="F50" s="214"/>
      <c r="G50" s="232"/>
      <c r="H50" s="36">
        <f t="shared" si="1"/>
        <v>0</v>
      </c>
      <c r="I50" s="37">
        <f t="shared" si="2"/>
        <v>0</v>
      </c>
      <c r="J50" s="38">
        <f t="shared" si="3"/>
        <v>0</v>
      </c>
      <c r="K50" s="39">
        <f t="shared" si="4"/>
        <v>0</v>
      </c>
      <c r="L50" s="38">
        <f t="shared" si="5"/>
        <v>0</v>
      </c>
      <c r="M50" s="39">
        <f t="shared" si="6"/>
        <v>0</v>
      </c>
      <c r="N50" s="40"/>
      <c r="O50" s="34"/>
      <c r="P50" s="35"/>
      <c r="Q50" s="35"/>
      <c r="R50" s="35"/>
      <c r="S50" s="35"/>
      <c r="T50" s="35"/>
      <c r="U50" s="35"/>
      <c r="V50" s="35"/>
      <c r="W50" s="35"/>
      <c r="X50" s="35"/>
      <c r="Y50" s="35"/>
      <c r="Z50" s="35"/>
    </row>
    <row r="51" ht="14.25" customHeight="1">
      <c r="A51" s="221"/>
      <c r="B51" s="231"/>
      <c r="C51" s="211"/>
      <c r="D51" s="212"/>
      <c r="E51" s="213"/>
      <c r="F51" s="214"/>
      <c r="G51" s="232"/>
      <c r="H51" s="36">
        <f t="shared" si="1"/>
        <v>0</v>
      </c>
      <c r="I51" s="37">
        <f t="shared" si="2"/>
        <v>0</v>
      </c>
      <c r="J51" s="38">
        <f t="shared" si="3"/>
        <v>0</v>
      </c>
      <c r="K51" s="39">
        <f t="shared" si="4"/>
        <v>0</v>
      </c>
      <c r="L51" s="38">
        <f t="shared" si="5"/>
        <v>0</v>
      </c>
      <c r="M51" s="39">
        <f t="shared" si="6"/>
        <v>0</v>
      </c>
      <c r="N51" s="40"/>
      <c r="O51" s="34"/>
      <c r="P51" s="35"/>
      <c r="Q51" s="35"/>
      <c r="R51" s="35"/>
      <c r="S51" s="35"/>
      <c r="T51" s="35"/>
      <c r="U51" s="35"/>
      <c r="V51" s="35"/>
      <c r="W51" s="35"/>
      <c r="X51" s="35"/>
      <c r="Y51" s="35"/>
      <c r="Z51" s="35"/>
    </row>
    <row r="52" ht="14.25" customHeight="1">
      <c r="A52" s="221"/>
      <c r="B52" s="231"/>
      <c r="C52" s="211"/>
      <c r="D52" s="212"/>
      <c r="E52" s="213"/>
      <c r="F52" s="214"/>
      <c r="G52" s="232"/>
      <c r="H52" s="36">
        <f t="shared" si="1"/>
        <v>0</v>
      </c>
      <c r="I52" s="37">
        <f t="shared" si="2"/>
        <v>0</v>
      </c>
      <c r="J52" s="38">
        <f t="shared" si="3"/>
        <v>0</v>
      </c>
      <c r="K52" s="39">
        <f t="shared" si="4"/>
        <v>0</v>
      </c>
      <c r="L52" s="38">
        <f t="shared" si="5"/>
        <v>0</v>
      </c>
      <c r="M52" s="39">
        <f t="shared" si="6"/>
        <v>0</v>
      </c>
      <c r="N52" s="40"/>
      <c r="O52" s="34"/>
      <c r="P52" s="35"/>
      <c r="Q52" s="35"/>
      <c r="R52" s="35"/>
      <c r="S52" s="35"/>
      <c r="T52" s="35"/>
      <c r="U52" s="35"/>
      <c r="V52" s="35"/>
      <c r="W52" s="35"/>
      <c r="X52" s="35"/>
      <c r="Y52" s="35"/>
      <c r="Z52" s="35"/>
    </row>
    <row r="53" ht="14.25" customHeight="1">
      <c r="A53" s="221"/>
      <c r="B53" s="231"/>
      <c r="C53" s="233"/>
      <c r="D53" s="212"/>
      <c r="E53" s="234"/>
      <c r="F53" s="235"/>
      <c r="G53" s="232"/>
      <c r="H53" s="36">
        <f t="shared" si="1"/>
        <v>0</v>
      </c>
      <c r="I53" s="37">
        <f t="shared" si="2"/>
        <v>0</v>
      </c>
      <c r="J53" s="38">
        <f t="shared" si="3"/>
        <v>0</v>
      </c>
      <c r="K53" s="39">
        <f t="shared" si="4"/>
        <v>0</v>
      </c>
      <c r="L53" s="38">
        <f t="shared" si="5"/>
        <v>0</v>
      </c>
      <c r="M53" s="39">
        <f t="shared" si="6"/>
        <v>0</v>
      </c>
      <c r="N53" s="40"/>
      <c r="O53" s="34"/>
      <c r="P53" s="35"/>
      <c r="Q53" s="35"/>
      <c r="R53" s="35"/>
      <c r="S53" s="35"/>
      <c r="T53" s="35"/>
      <c r="U53" s="35"/>
      <c r="V53" s="35"/>
      <c r="W53" s="35"/>
      <c r="X53" s="35"/>
      <c r="Y53" s="35"/>
      <c r="Z53" s="35"/>
    </row>
    <row r="54" ht="14.25" customHeight="1">
      <c r="A54" s="221"/>
      <c r="B54" s="231"/>
      <c r="C54" s="233"/>
      <c r="D54" s="212"/>
      <c r="E54" s="213"/>
      <c r="F54" s="214"/>
      <c r="G54" s="232"/>
      <c r="H54" s="36">
        <f t="shared" si="1"/>
        <v>0</v>
      </c>
      <c r="I54" s="37">
        <f t="shared" si="2"/>
        <v>0</v>
      </c>
      <c r="J54" s="38">
        <f t="shared" si="3"/>
        <v>0</v>
      </c>
      <c r="K54" s="39">
        <f t="shared" si="4"/>
        <v>0</v>
      </c>
      <c r="L54" s="38">
        <f t="shared" si="5"/>
        <v>0</v>
      </c>
      <c r="M54" s="39">
        <f t="shared" si="6"/>
        <v>0</v>
      </c>
      <c r="N54" s="40"/>
      <c r="O54" s="34"/>
      <c r="P54" s="35"/>
      <c r="Q54" s="35"/>
      <c r="R54" s="35"/>
      <c r="S54" s="35"/>
      <c r="T54" s="35"/>
      <c r="U54" s="35"/>
      <c r="V54" s="35"/>
      <c r="W54" s="35"/>
      <c r="X54" s="35"/>
      <c r="Y54" s="35"/>
      <c r="Z54" s="35"/>
    </row>
    <row r="55" ht="14.25" customHeight="1">
      <c r="A55" s="221"/>
      <c r="B55" s="231"/>
      <c r="C55" s="233"/>
      <c r="D55" s="212"/>
      <c r="E55" s="213"/>
      <c r="F55" s="214"/>
      <c r="G55" s="232"/>
      <c r="H55" s="36">
        <f t="shared" si="1"/>
        <v>0</v>
      </c>
      <c r="I55" s="37">
        <f t="shared" si="2"/>
        <v>0</v>
      </c>
      <c r="J55" s="38">
        <f t="shared" si="3"/>
        <v>0</v>
      </c>
      <c r="K55" s="39">
        <f t="shared" si="4"/>
        <v>0</v>
      </c>
      <c r="L55" s="38">
        <f t="shared" si="5"/>
        <v>0</v>
      </c>
      <c r="M55" s="39">
        <f t="shared" si="6"/>
        <v>0</v>
      </c>
      <c r="N55" s="40"/>
      <c r="O55" s="34"/>
      <c r="P55" s="35"/>
      <c r="Q55" s="35"/>
      <c r="R55" s="35"/>
      <c r="S55" s="35"/>
      <c r="T55" s="35"/>
      <c r="U55" s="35"/>
      <c r="V55" s="35"/>
      <c r="W55" s="35"/>
      <c r="X55" s="35"/>
      <c r="Y55" s="35"/>
      <c r="Z55" s="35"/>
    </row>
    <row r="56" ht="14.25" customHeight="1">
      <c r="A56" s="221"/>
      <c r="B56" s="231"/>
      <c r="C56" s="233"/>
      <c r="D56" s="212"/>
      <c r="E56" s="213"/>
      <c r="F56" s="214"/>
      <c r="G56" s="232"/>
      <c r="H56" s="36">
        <f t="shared" si="1"/>
        <v>0</v>
      </c>
      <c r="I56" s="37">
        <f t="shared" si="2"/>
        <v>0</v>
      </c>
      <c r="J56" s="38">
        <f t="shared" si="3"/>
        <v>0</v>
      </c>
      <c r="K56" s="39">
        <f t="shared" si="4"/>
        <v>0</v>
      </c>
      <c r="L56" s="38">
        <f t="shared" si="5"/>
        <v>0</v>
      </c>
      <c r="M56" s="39">
        <f t="shared" si="6"/>
        <v>0</v>
      </c>
      <c r="N56" s="40"/>
      <c r="O56" s="34"/>
      <c r="P56" s="35"/>
      <c r="Q56" s="35"/>
      <c r="R56" s="35"/>
      <c r="S56" s="35"/>
      <c r="T56" s="35"/>
      <c r="U56" s="35"/>
      <c r="V56" s="35"/>
      <c r="W56" s="35"/>
      <c r="X56" s="35"/>
      <c r="Y56" s="35"/>
      <c r="Z56" s="35"/>
    </row>
    <row r="57" ht="14.25" customHeight="1">
      <c r="A57" s="221"/>
      <c r="B57" s="231"/>
      <c r="C57" s="233"/>
      <c r="D57" s="212"/>
      <c r="E57" s="213"/>
      <c r="F57" s="214"/>
      <c r="G57" s="232"/>
      <c r="H57" s="36">
        <f t="shared" si="1"/>
        <v>0</v>
      </c>
      <c r="I57" s="37">
        <f t="shared" si="2"/>
        <v>0</v>
      </c>
      <c r="J57" s="38">
        <f t="shared" si="3"/>
        <v>0</v>
      </c>
      <c r="K57" s="39">
        <f t="shared" si="4"/>
        <v>0</v>
      </c>
      <c r="L57" s="38">
        <f t="shared" si="5"/>
        <v>0</v>
      </c>
      <c r="M57" s="39">
        <f t="shared" si="6"/>
        <v>0</v>
      </c>
      <c r="N57" s="40"/>
      <c r="O57" s="34"/>
      <c r="P57" s="35"/>
      <c r="Q57" s="35"/>
      <c r="R57" s="35"/>
      <c r="S57" s="35"/>
      <c r="T57" s="35"/>
      <c r="U57" s="35"/>
      <c r="V57" s="35"/>
      <c r="W57" s="35"/>
      <c r="X57" s="35"/>
      <c r="Y57" s="35"/>
      <c r="Z57" s="35"/>
    </row>
    <row r="58" ht="14.25" customHeight="1">
      <c r="A58" s="221"/>
      <c r="B58" s="231"/>
      <c r="C58" s="233"/>
      <c r="D58" s="212"/>
      <c r="E58" s="234"/>
      <c r="F58" s="235"/>
      <c r="G58" s="232"/>
      <c r="H58" s="36">
        <f t="shared" si="1"/>
        <v>0</v>
      </c>
      <c r="I58" s="37">
        <f t="shared" si="2"/>
        <v>0</v>
      </c>
      <c r="J58" s="38">
        <f t="shared" si="3"/>
        <v>0</v>
      </c>
      <c r="K58" s="39">
        <f t="shared" si="4"/>
        <v>0</v>
      </c>
      <c r="L58" s="38">
        <f t="shared" si="5"/>
        <v>0</v>
      </c>
      <c r="M58" s="39">
        <f t="shared" si="6"/>
        <v>0</v>
      </c>
      <c r="N58" s="40"/>
      <c r="O58" s="34"/>
      <c r="P58" s="35"/>
      <c r="Q58" s="35"/>
      <c r="R58" s="35"/>
      <c r="S58" s="35"/>
      <c r="T58" s="35"/>
      <c r="U58" s="35"/>
      <c r="V58" s="35"/>
      <c r="W58" s="35"/>
      <c r="X58" s="35"/>
      <c r="Y58" s="35"/>
      <c r="Z58" s="35"/>
    </row>
    <row r="59" ht="14.25" customHeight="1">
      <c r="A59" s="221"/>
      <c r="B59" s="231"/>
      <c r="C59" s="233"/>
      <c r="D59" s="212"/>
      <c r="E59" s="213"/>
      <c r="F59" s="214"/>
      <c r="G59" s="232"/>
      <c r="H59" s="36">
        <f t="shared" si="1"/>
        <v>0</v>
      </c>
      <c r="I59" s="37">
        <f t="shared" si="2"/>
        <v>0</v>
      </c>
      <c r="J59" s="38">
        <f t="shared" si="3"/>
        <v>0</v>
      </c>
      <c r="K59" s="39">
        <f t="shared" si="4"/>
        <v>0</v>
      </c>
      <c r="L59" s="38">
        <f t="shared" si="5"/>
        <v>0</v>
      </c>
      <c r="M59" s="39">
        <f t="shared" si="6"/>
        <v>0</v>
      </c>
      <c r="N59" s="40"/>
      <c r="O59" s="34"/>
      <c r="P59" s="35"/>
      <c r="Q59" s="35"/>
      <c r="R59" s="35"/>
      <c r="S59" s="35"/>
      <c r="T59" s="35"/>
      <c r="U59" s="35"/>
      <c r="V59" s="35"/>
      <c r="W59" s="35"/>
      <c r="X59" s="35"/>
      <c r="Y59" s="35"/>
      <c r="Z59" s="35"/>
    </row>
    <row r="60" ht="14.25" customHeight="1">
      <c r="A60" s="221"/>
      <c r="B60" s="231"/>
      <c r="C60" s="233"/>
      <c r="D60" s="212"/>
      <c r="E60" s="213"/>
      <c r="F60" s="214"/>
      <c r="G60" s="236"/>
      <c r="H60" s="36">
        <f t="shared" si="1"/>
        <v>0</v>
      </c>
      <c r="I60" s="37">
        <f t="shared" si="2"/>
        <v>0</v>
      </c>
      <c r="J60" s="38">
        <f t="shared" si="3"/>
        <v>0</v>
      </c>
      <c r="K60" s="39">
        <f t="shared" si="4"/>
        <v>0</v>
      </c>
      <c r="L60" s="38">
        <f t="shared" si="5"/>
        <v>0</v>
      </c>
      <c r="M60" s="39">
        <f t="shared" si="6"/>
        <v>0</v>
      </c>
      <c r="N60" s="40"/>
      <c r="O60" s="34"/>
      <c r="P60" s="35"/>
      <c r="Q60" s="35"/>
      <c r="R60" s="35"/>
      <c r="S60" s="35"/>
      <c r="T60" s="35"/>
      <c r="U60" s="35"/>
      <c r="V60" s="35"/>
      <c r="W60" s="35"/>
      <c r="X60" s="35"/>
      <c r="Y60" s="35"/>
      <c r="Z60" s="35"/>
    </row>
    <row r="61" ht="14.25" customHeight="1">
      <c r="A61" s="221"/>
      <c r="B61" s="231"/>
      <c r="C61" s="233"/>
      <c r="D61" s="212"/>
      <c r="E61" s="213"/>
      <c r="F61" s="214"/>
      <c r="G61" s="232"/>
      <c r="H61" s="36">
        <f t="shared" si="1"/>
        <v>0</v>
      </c>
      <c r="I61" s="37">
        <f t="shared" si="2"/>
        <v>0</v>
      </c>
      <c r="J61" s="38">
        <f t="shared" si="3"/>
        <v>0</v>
      </c>
      <c r="K61" s="39">
        <f t="shared" si="4"/>
        <v>0</v>
      </c>
      <c r="L61" s="38">
        <f t="shared" si="5"/>
        <v>0</v>
      </c>
      <c r="M61" s="39">
        <f t="shared" si="6"/>
        <v>0</v>
      </c>
      <c r="N61" s="40"/>
      <c r="O61" s="34"/>
      <c r="P61" s="35"/>
      <c r="Q61" s="35"/>
      <c r="R61" s="35"/>
      <c r="S61" s="35"/>
      <c r="T61" s="35"/>
      <c r="U61" s="35"/>
      <c r="V61" s="35"/>
      <c r="W61" s="35"/>
      <c r="X61" s="35"/>
      <c r="Y61" s="35"/>
      <c r="Z61" s="35"/>
    </row>
    <row r="62" ht="14.25" customHeight="1">
      <c r="A62" s="221"/>
      <c r="B62" s="231"/>
      <c r="C62" s="233"/>
      <c r="D62" s="212"/>
      <c r="E62" s="213"/>
      <c r="F62" s="214"/>
      <c r="G62" s="232"/>
      <c r="H62" s="36">
        <f t="shared" si="1"/>
        <v>0</v>
      </c>
      <c r="I62" s="37">
        <f t="shared" si="2"/>
        <v>0</v>
      </c>
      <c r="J62" s="38">
        <f t="shared" si="3"/>
        <v>0</v>
      </c>
      <c r="K62" s="39">
        <f t="shared" si="4"/>
        <v>0</v>
      </c>
      <c r="L62" s="38">
        <f t="shared" si="5"/>
        <v>0</v>
      </c>
      <c r="M62" s="39">
        <f t="shared" si="6"/>
        <v>0</v>
      </c>
      <c r="N62" s="40"/>
      <c r="O62" s="34"/>
      <c r="P62" s="35"/>
      <c r="Q62" s="35"/>
      <c r="R62" s="35"/>
      <c r="S62" s="35"/>
      <c r="T62" s="35"/>
      <c r="U62" s="35"/>
      <c r="V62" s="35"/>
      <c r="W62" s="35"/>
      <c r="X62" s="35"/>
      <c r="Y62" s="35"/>
      <c r="Z62" s="35"/>
    </row>
    <row r="63" ht="14.25" customHeight="1">
      <c r="A63" s="221"/>
      <c r="B63" s="231"/>
      <c r="C63" s="233"/>
      <c r="D63" s="212"/>
      <c r="E63" s="213"/>
      <c r="F63" s="214"/>
      <c r="G63" s="232"/>
      <c r="H63" s="36">
        <f t="shared" si="1"/>
        <v>0</v>
      </c>
      <c r="I63" s="37">
        <f t="shared" si="2"/>
        <v>0</v>
      </c>
      <c r="J63" s="38">
        <f t="shared" si="3"/>
        <v>0</v>
      </c>
      <c r="K63" s="39">
        <f t="shared" si="4"/>
        <v>0</v>
      </c>
      <c r="L63" s="38">
        <f t="shared" si="5"/>
        <v>0</v>
      </c>
      <c r="M63" s="39">
        <f t="shared" si="6"/>
        <v>0</v>
      </c>
      <c r="N63" s="40"/>
      <c r="O63" s="34"/>
      <c r="P63" s="35"/>
      <c r="Q63" s="35"/>
      <c r="R63" s="35"/>
      <c r="S63" s="35"/>
      <c r="T63" s="35"/>
      <c r="U63" s="35"/>
      <c r="V63" s="35"/>
      <c r="W63" s="35"/>
      <c r="X63" s="35"/>
      <c r="Y63" s="35"/>
      <c r="Z63" s="35"/>
    </row>
    <row r="64" ht="14.25" customHeight="1">
      <c r="A64" s="221"/>
      <c r="B64" s="231"/>
      <c r="C64" s="233"/>
      <c r="D64" s="212"/>
      <c r="E64" s="213"/>
      <c r="F64" s="214"/>
      <c r="G64" s="232"/>
      <c r="H64" s="36">
        <f t="shared" si="1"/>
        <v>0</v>
      </c>
      <c r="I64" s="37">
        <f t="shared" si="2"/>
        <v>0</v>
      </c>
      <c r="J64" s="38">
        <f t="shared" si="3"/>
        <v>0</v>
      </c>
      <c r="K64" s="39">
        <f t="shared" si="4"/>
        <v>0</v>
      </c>
      <c r="L64" s="38">
        <f t="shared" si="5"/>
        <v>0</v>
      </c>
      <c r="M64" s="39">
        <f t="shared" si="6"/>
        <v>0</v>
      </c>
      <c r="N64" s="40"/>
      <c r="O64" s="34"/>
      <c r="P64" s="35"/>
      <c r="Q64" s="35"/>
      <c r="R64" s="35"/>
      <c r="S64" s="35"/>
      <c r="T64" s="35"/>
      <c r="U64" s="35"/>
      <c r="V64" s="35"/>
      <c r="W64" s="35"/>
      <c r="X64" s="35"/>
      <c r="Y64" s="35"/>
      <c r="Z64" s="35"/>
    </row>
    <row r="65" ht="14.25" customHeight="1">
      <c r="A65" s="221"/>
      <c r="B65" s="231"/>
      <c r="C65" s="233"/>
      <c r="D65" s="212"/>
      <c r="E65" s="213"/>
      <c r="F65" s="214"/>
      <c r="G65" s="232"/>
      <c r="H65" s="36">
        <f t="shared" si="1"/>
        <v>0</v>
      </c>
      <c r="I65" s="37">
        <f t="shared" si="2"/>
        <v>0</v>
      </c>
      <c r="J65" s="38">
        <f t="shared" si="3"/>
        <v>0</v>
      </c>
      <c r="K65" s="39">
        <f t="shared" si="4"/>
        <v>0</v>
      </c>
      <c r="L65" s="38">
        <f t="shared" si="5"/>
        <v>0</v>
      </c>
      <c r="M65" s="39">
        <f t="shared" si="6"/>
        <v>0</v>
      </c>
      <c r="N65" s="40"/>
      <c r="O65" s="34"/>
      <c r="P65" s="35"/>
      <c r="Q65" s="35"/>
      <c r="R65" s="35"/>
      <c r="S65" s="35"/>
      <c r="T65" s="35"/>
      <c r="U65" s="35"/>
      <c r="V65" s="35"/>
      <c r="W65" s="35"/>
      <c r="X65" s="35"/>
      <c r="Y65" s="35"/>
      <c r="Z65" s="35"/>
    </row>
    <row r="66" ht="14.25" customHeight="1">
      <c r="A66" s="221"/>
      <c r="B66" s="231"/>
      <c r="C66" s="233"/>
      <c r="D66" s="212"/>
      <c r="E66" s="213"/>
      <c r="F66" s="214"/>
      <c r="G66" s="232"/>
      <c r="H66" s="36">
        <f t="shared" si="1"/>
        <v>0</v>
      </c>
      <c r="I66" s="37">
        <f t="shared" si="2"/>
        <v>0</v>
      </c>
      <c r="J66" s="38">
        <f t="shared" si="3"/>
        <v>0</v>
      </c>
      <c r="K66" s="39">
        <f t="shared" si="4"/>
        <v>0</v>
      </c>
      <c r="L66" s="38">
        <f t="shared" si="5"/>
        <v>0</v>
      </c>
      <c r="M66" s="39">
        <f t="shared" si="6"/>
        <v>0</v>
      </c>
      <c r="N66" s="40"/>
      <c r="O66" s="34"/>
      <c r="P66" s="35"/>
      <c r="Q66" s="35"/>
      <c r="R66" s="35"/>
      <c r="S66" s="35"/>
      <c r="T66" s="35"/>
      <c r="U66" s="35"/>
      <c r="V66" s="35"/>
      <c r="W66" s="35"/>
      <c r="X66" s="35"/>
      <c r="Y66" s="35"/>
      <c r="Z66" s="35"/>
    </row>
    <row r="67" ht="14.25" customHeight="1">
      <c r="A67" s="221"/>
      <c r="B67" s="231"/>
      <c r="C67" s="233"/>
      <c r="D67" s="212"/>
      <c r="E67" s="213"/>
      <c r="F67" s="214"/>
      <c r="G67" s="232"/>
      <c r="H67" s="36">
        <f t="shared" si="1"/>
        <v>0</v>
      </c>
      <c r="I67" s="37">
        <f t="shared" si="2"/>
        <v>0</v>
      </c>
      <c r="J67" s="38">
        <f t="shared" si="3"/>
        <v>0</v>
      </c>
      <c r="K67" s="39">
        <f t="shared" si="4"/>
        <v>0</v>
      </c>
      <c r="L67" s="38">
        <f t="shared" si="5"/>
        <v>0</v>
      </c>
      <c r="M67" s="39">
        <f t="shared" si="6"/>
        <v>0</v>
      </c>
      <c r="N67" s="40"/>
      <c r="O67" s="34"/>
      <c r="P67" s="35"/>
      <c r="Q67" s="35"/>
      <c r="R67" s="35"/>
      <c r="S67" s="35"/>
      <c r="T67" s="35"/>
      <c r="U67" s="35"/>
      <c r="V67" s="35"/>
      <c r="W67" s="35"/>
      <c r="X67" s="35"/>
      <c r="Y67" s="35"/>
      <c r="Z67" s="35"/>
    </row>
    <row r="68" ht="14.25" customHeight="1">
      <c r="A68" s="221"/>
      <c r="B68" s="231"/>
      <c r="C68" s="233"/>
      <c r="D68" s="212"/>
      <c r="E68" s="213"/>
      <c r="F68" s="214"/>
      <c r="G68" s="232"/>
      <c r="H68" s="36">
        <f t="shared" si="1"/>
        <v>0</v>
      </c>
      <c r="I68" s="37">
        <f t="shared" si="2"/>
        <v>0</v>
      </c>
      <c r="J68" s="38">
        <f t="shared" si="3"/>
        <v>0</v>
      </c>
      <c r="K68" s="39">
        <f t="shared" si="4"/>
        <v>0</v>
      </c>
      <c r="L68" s="38">
        <f t="shared" si="5"/>
        <v>0</v>
      </c>
      <c r="M68" s="39">
        <f t="shared" si="6"/>
        <v>0</v>
      </c>
      <c r="N68" s="40"/>
      <c r="O68" s="34"/>
      <c r="P68" s="35"/>
      <c r="Q68" s="35"/>
      <c r="R68" s="35"/>
      <c r="S68" s="35"/>
      <c r="T68" s="35"/>
      <c r="U68" s="35"/>
      <c r="V68" s="35"/>
      <c r="W68" s="35"/>
      <c r="X68" s="35"/>
      <c r="Y68" s="35"/>
      <c r="Z68" s="35"/>
    </row>
    <row r="69" ht="14.25" customHeight="1">
      <c r="A69" s="221"/>
      <c r="B69" s="231"/>
      <c r="C69" s="233"/>
      <c r="D69" s="212"/>
      <c r="E69" s="213"/>
      <c r="F69" s="214"/>
      <c r="G69" s="232"/>
      <c r="H69" s="36">
        <f t="shared" si="1"/>
        <v>0</v>
      </c>
      <c r="I69" s="37">
        <f t="shared" si="2"/>
        <v>0</v>
      </c>
      <c r="J69" s="38">
        <f t="shared" si="3"/>
        <v>0</v>
      </c>
      <c r="K69" s="39">
        <f t="shared" si="4"/>
        <v>0</v>
      </c>
      <c r="L69" s="38">
        <f t="shared" si="5"/>
        <v>0</v>
      </c>
      <c r="M69" s="39">
        <f t="shared" si="6"/>
        <v>0</v>
      </c>
      <c r="N69" s="40"/>
      <c r="O69" s="34"/>
      <c r="Q69" s="76"/>
      <c r="R69" s="76"/>
      <c r="S69" s="76"/>
      <c r="T69" s="76"/>
      <c r="U69" s="76"/>
      <c r="V69" s="76"/>
      <c r="W69" s="76"/>
      <c r="X69" s="76"/>
      <c r="Y69" s="76"/>
      <c r="Z69" s="76"/>
    </row>
    <row r="70" ht="14.25" customHeight="1">
      <c r="A70" s="221"/>
      <c r="B70" s="231"/>
      <c r="C70" s="233"/>
      <c r="D70" s="212"/>
      <c r="E70" s="213"/>
      <c r="F70" s="214"/>
      <c r="G70" s="232"/>
      <c r="H70" s="36">
        <f t="shared" si="1"/>
        <v>0</v>
      </c>
      <c r="I70" s="37">
        <f t="shared" si="2"/>
        <v>0</v>
      </c>
      <c r="J70" s="38">
        <f t="shared" si="3"/>
        <v>0</v>
      </c>
      <c r="K70" s="39">
        <f t="shared" si="4"/>
        <v>0</v>
      </c>
      <c r="L70" s="38">
        <f t="shared" si="5"/>
        <v>0</v>
      </c>
      <c r="M70" s="39">
        <f t="shared" si="6"/>
        <v>0</v>
      </c>
      <c r="N70" s="40"/>
      <c r="O70" s="34"/>
      <c r="P70" s="35"/>
      <c r="Q70" s="35"/>
      <c r="R70" s="35"/>
      <c r="S70" s="35"/>
      <c r="T70" s="35"/>
      <c r="U70" s="35"/>
      <c r="V70" s="35"/>
      <c r="W70" s="35"/>
      <c r="X70" s="35"/>
      <c r="Y70" s="35"/>
      <c r="Z70" s="35"/>
    </row>
    <row r="71" ht="14.25" customHeight="1">
      <c r="A71" s="221"/>
      <c r="B71" s="231"/>
      <c r="C71" s="233"/>
      <c r="D71" s="212"/>
      <c r="E71" s="213"/>
      <c r="F71" s="214"/>
      <c r="G71" s="232"/>
      <c r="H71" s="36">
        <f t="shared" si="1"/>
        <v>0</v>
      </c>
      <c r="I71" s="37">
        <f t="shared" si="2"/>
        <v>0</v>
      </c>
      <c r="J71" s="38">
        <f t="shared" si="3"/>
        <v>0</v>
      </c>
      <c r="K71" s="39">
        <f t="shared" si="4"/>
        <v>0</v>
      </c>
      <c r="L71" s="38">
        <f t="shared" si="5"/>
        <v>0</v>
      </c>
      <c r="M71" s="39">
        <f t="shared" si="6"/>
        <v>0</v>
      </c>
      <c r="N71" s="40"/>
      <c r="O71" s="34"/>
      <c r="Q71" s="76"/>
      <c r="R71" s="76"/>
      <c r="S71" s="76"/>
      <c r="T71" s="76"/>
      <c r="U71" s="76"/>
      <c r="V71" s="76"/>
      <c r="W71" s="76"/>
      <c r="X71" s="76"/>
      <c r="Y71" s="76"/>
      <c r="Z71" s="76"/>
    </row>
    <row r="72" ht="14.25" customHeight="1">
      <c r="A72" s="221"/>
      <c r="B72" s="231"/>
      <c r="C72" s="233"/>
      <c r="D72" s="212"/>
      <c r="E72" s="213"/>
      <c r="F72" s="214"/>
      <c r="G72" s="232"/>
      <c r="H72" s="36">
        <f t="shared" si="1"/>
        <v>0</v>
      </c>
      <c r="I72" s="37">
        <f t="shared" si="2"/>
        <v>0</v>
      </c>
      <c r="J72" s="38">
        <f t="shared" si="3"/>
        <v>0</v>
      </c>
      <c r="K72" s="39">
        <f t="shared" si="4"/>
        <v>0</v>
      </c>
      <c r="L72" s="38">
        <f t="shared" si="5"/>
        <v>0</v>
      </c>
      <c r="M72" s="39">
        <f t="shared" si="6"/>
        <v>0</v>
      </c>
      <c r="N72" s="40"/>
      <c r="O72" s="34"/>
      <c r="P72" s="35"/>
      <c r="Q72" s="35"/>
      <c r="R72" s="35"/>
      <c r="S72" s="35"/>
      <c r="T72" s="35"/>
      <c r="U72" s="35"/>
      <c r="V72" s="35"/>
      <c r="W72" s="35"/>
      <c r="X72" s="35"/>
      <c r="Y72" s="35"/>
      <c r="Z72" s="35"/>
    </row>
    <row r="73" ht="14.25" customHeight="1">
      <c r="A73" s="221"/>
      <c r="B73" s="231"/>
      <c r="C73" s="233"/>
      <c r="D73" s="212"/>
      <c r="E73" s="213"/>
      <c r="F73" s="214"/>
      <c r="G73" s="232"/>
      <c r="H73" s="36">
        <f t="shared" si="1"/>
        <v>0</v>
      </c>
      <c r="I73" s="37">
        <f t="shared" si="2"/>
        <v>0</v>
      </c>
      <c r="J73" s="38">
        <f t="shared" si="3"/>
        <v>0</v>
      </c>
      <c r="K73" s="39">
        <f t="shared" si="4"/>
        <v>0</v>
      </c>
      <c r="L73" s="38">
        <f t="shared" si="5"/>
        <v>0</v>
      </c>
      <c r="M73" s="39">
        <f t="shared" si="6"/>
        <v>0</v>
      </c>
      <c r="N73" s="40"/>
      <c r="O73" s="34"/>
      <c r="P73" s="35"/>
      <c r="Q73" s="35"/>
      <c r="R73" s="35"/>
      <c r="S73" s="35"/>
      <c r="T73" s="35"/>
      <c r="U73" s="35"/>
      <c r="V73" s="35"/>
      <c r="W73" s="35"/>
      <c r="X73" s="35"/>
      <c r="Y73" s="35"/>
      <c r="Z73" s="35"/>
    </row>
    <row r="74" ht="14.25" customHeight="1">
      <c r="A74" s="221"/>
      <c r="B74" s="231"/>
      <c r="C74" s="233"/>
      <c r="D74" s="212"/>
      <c r="E74" s="213"/>
      <c r="F74" s="214"/>
      <c r="G74" s="232"/>
      <c r="H74" s="36">
        <f t="shared" si="1"/>
        <v>0</v>
      </c>
      <c r="I74" s="37">
        <f t="shared" si="2"/>
        <v>0</v>
      </c>
      <c r="J74" s="38">
        <f t="shared" si="3"/>
        <v>0</v>
      </c>
      <c r="K74" s="39">
        <f t="shared" si="4"/>
        <v>0</v>
      </c>
      <c r="L74" s="38">
        <f t="shared" si="5"/>
        <v>0</v>
      </c>
      <c r="M74" s="39">
        <f t="shared" si="6"/>
        <v>0</v>
      </c>
      <c r="N74" s="40"/>
      <c r="O74" s="34"/>
      <c r="P74" s="35"/>
      <c r="Q74" s="35"/>
      <c r="R74" s="35"/>
      <c r="S74" s="35"/>
      <c r="T74" s="35"/>
      <c r="U74" s="35"/>
      <c r="V74" s="35"/>
      <c r="W74" s="35"/>
      <c r="X74" s="35"/>
      <c r="Y74" s="35"/>
      <c r="Z74" s="35"/>
    </row>
    <row r="75" ht="14.25" customHeight="1">
      <c r="A75" s="221"/>
      <c r="B75" s="231"/>
      <c r="C75" s="233"/>
      <c r="D75" s="212"/>
      <c r="E75" s="213"/>
      <c r="F75" s="214"/>
      <c r="G75" s="232"/>
      <c r="H75" s="36">
        <f t="shared" si="1"/>
        <v>0</v>
      </c>
      <c r="I75" s="37">
        <f t="shared" si="2"/>
        <v>0</v>
      </c>
      <c r="J75" s="38">
        <f t="shared" si="3"/>
        <v>0</v>
      </c>
      <c r="K75" s="39">
        <f t="shared" si="4"/>
        <v>0</v>
      </c>
      <c r="L75" s="38">
        <f t="shared" si="5"/>
        <v>0</v>
      </c>
      <c r="M75" s="39">
        <f t="shared" si="6"/>
        <v>0</v>
      </c>
      <c r="N75" s="40"/>
      <c r="O75" s="34"/>
      <c r="P75" s="35"/>
      <c r="Q75" s="35"/>
      <c r="R75" s="35"/>
      <c r="S75" s="35"/>
      <c r="T75" s="35"/>
      <c r="U75" s="35"/>
      <c r="V75" s="35"/>
      <c r="W75" s="35"/>
      <c r="X75" s="35"/>
      <c r="Y75" s="35"/>
      <c r="Z75" s="35"/>
    </row>
    <row r="76" ht="14.25" customHeight="1">
      <c r="A76" s="221"/>
      <c r="B76" s="231"/>
      <c r="C76" s="233"/>
      <c r="D76" s="212"/>
      <c r="E76" s="213"/>
      <c r="F76" s="214"/>
      <c r="G76" s="88"/>
      <c r="H76" s="36">
        <f t="shared" si="1"/>
        <v>0</v>
      </c>
      <c r="I76" s="37">
        <f t="shared" si="2"/>
        <v>0</v>
      </c>
      <c r="J76" s="38">
        <f t="shared" si="3"/>
        <v>0</v>
      </c>
      <c r="K76" s="39">
        <f t="shared" si="4"/>
        <v>0</v>
      </c>
      <c r="L76" s="38">
        <f t="shared" si="5"/>
        <v>0</v>
      </c>
      <c r="M76" s="39">
        <f t="shared" si="6"/>
        <v>0</v>
      </c>
      <c r="N76" s="40"/>
      <c r="O76" s="34"/>
      <c r="P76" s="35"/>
      <c r="Q76" s="35"/>
      <c r="R76" s="35"/>
      <c r="S76" s="35"/>
      <c r="T76" s="35"/>
      <c r="U76" s="35"/>
      <c r="V76" s="35"/>
      <c r="W76" s="35"/>
      <c r="X76" s="35"/>
      <c r="Y76" s="35"/>
      <c r="Z76" s="35"/>
    </row>
    <row r="77" ht="14.25" customHeight="1">
      <c r="A77" s="221"/>
      <c r="B77" s="231"/>
      <c r="C77" s="233"/>
      <c r="D77" s="212"/>
      <c r="E77" s="213"/>
      <c r="F77" s="214"/>
      <c r="G77" s="88"/>
      <c r="H77" s="36">
        <f t="shared" si="1"/>
        <v>0</v>
      </c>
      <c r="I77" s="37">
        <f t="shared" si="2"/>
        <v>0</v>
      </c>
      <c r="J77" s="38">
        <f t="shared" si="3"/>
        <v>0</v>
      </c>
      <c r="K77" s="39">
        <f t="shared" si="4"/>
        <v>0</v>
      </c>
      <c r="L77" s="38">
        <f t="shared" si="5"/>
        <v>0</v>
      </c>
      <c r="M77" s="39">
        <f t="shared" si="6"/>
        <v>0</v>
      </c>
      <c r="N77" s="40"/>
      <c r="O77" s="34"/>
      <c r="P77" s="35"/>
      <c r="Q77" s="35"/>
      <c r="R77" s="35"/>
      <c r="S77" s="35"/>
      <c r="T77" s="35"/>
      <c r="U77" s="35"/>
      <c r="V77" s="35"/>
      <c r="W77" s="35"/>
      <c r="X77" s="35"/>
      <c r="Y77" s="35"/>
      <c r="Z77" s="35"/>
    </row>
    <row r="78" ht="14.25" customHeight="1">
      <c r="A78" s="221"/>
      <c r="B78" s="231"/>
      <c r="C78" s="233"/>
      <c r="D78" s="212"/>
      <c r="E78" s="213"/>
      <c r="F78" s="214"/>
      <c r="G78" s="88"/>
      <c r="H78" s="36">
        <f t="shared" si="1"/>
        <v>0</v>
      </c>
      <c r="I78" s="37">
        <f t="shared" si="2"/>
        <v>0</v>
      </c>
      <c r="J78" s="38">
        <f t="shared" si="3"/>
        <v>0</v>
      </c>
      <c r="K78" s="39">
        <f t="shared" si="4"/>
        <v>0</v>
      </c>
      <c r="L78" s="38">
        <f t="shared" si="5"/>
        <v>0</v>
      </c>
      <c r="M78" s="39">
        <f t="shared" si="6"/>
        <v>0</v>
      </c>
      <c r="N78" s="40"/>
      <c r="O78" s="34"/>
      <c r="P78" s="35"/>
      <c r="Q78" s="35"/>
      <c r="R78" s="35"/>
      <c r="S78" s="35"/>
      <c r="T78" s="35"/>
      <c r="U78" s="35"/>
      <c r="V78" s="35"/>
      <c r="W78" s="35"/>
      <c r="X78" s="35"/>
      <c r="Y78" s="35"/>
      <c r="Z78" s="35"/>
    </row>
    <row r="79" ht="14.25" customHeight="1">
      <c r="A79" s="221"/>
      <c r="B79" s="231"/>
      <c r="C79" s="233"/>
      <c r="D79" s="212"/>
      <c r="E79" s="213"/>
      <c r="F79" s="214"/>
      <c r="G79" s="88"/>
      <c r="H79" s="36">
        <f t="shared" si="1"/>
        <v>0</v>
      </c>
      <c r="I79" s="37">
        <f t="shared" si="2"/>
        <v>0</v>
      </c>
      <c r="J79" s="38">
        <f t="shared" si="3"/>
        <v>0</v>
      </c>
      <c r="K79" s="39">
        <f t="shared" si="4"/>
        <v>0</v>
      </c>
      <c r="L79" s="38">
        <f t="shared" si="5"/>
        <v>0</v>
      </c>
      <c r="M79" s="39">
        <f t="shared" si="6"/>
        <v>0</v>
      </c>
      <c r="N79" s="40"/>
      <c r="O79" s="34"/>
      <c r="P79" s="35"/>
      <c r="Q79" s="35"/>
      <c r="R79" s="35"/>
      <c r="S79" s="35"/>
      <c r="T79" s="35"/>
      <c r="U79" s="35"/>
      <c r="V79" s="35"/>
      <c r="W79" s="35"/>
      <c r="X79" s="35"/>
      <c r="Y79" s="35"/>
      <c r="Z79" s="35"/>
    </row>
    <row r="80" ht="14.25" customHeight="1">
      <c r="A80" s="221"/>
      <c r="B80" s="231"/>
      <c r="C80" s="233"/>
      <c r="D80" s="212"/>
      <c r="E80" s="213"/>
      <c r="F80" s="214"/>
      <c r="G80" s="88"/>
      <c r="H80" s="36">
        <f t="shared" si="1"/>
        <v>0</v>
      </c>
      <c r="I80" s="37">
        <f t="shared" si="2"/>
        <v>0</v>
      </c>
      <c r="J80" s="38">
        <f t="shared" si="3"/>
        <v>0</v>
      </c>
      <c r="K80" s="39">
        <f t="shared" si="4"/>
        <v>0</v>
      </c>
      <c r="L80" s="38">
        <f t="shared" si="5"/>
        <v>0</v>
      </c>
      <c r="M80" s="39">
        <f t="shared" si="6"/>
        <v>0</v>
      </c>
      <c r="N80" s="40"/>
      <c r="O80" s="34"/>
      <c r="P80" s="35"/>
      <c r="Q80" s="35"/>
      <c r="R80" s="35"/>
      <c r="S80" s="35"/>
      <c r="T80" s="35"/>
      <c r="U80" s="35"/>
      <c r="V80" s="35"/>
      <c r="W80" s="35"/>
      <c r="X80" s="35"/>
      <c r="Y80" s="35"/>
      <c r="Z80" s="35"/>
    </row>
    <row r="81" ht="14.25" customHeight="1">
      <c r="A81" s="221"/>
      <c r="B81" s="231"/>
      <c r="C81" s="233"/>
      <c r="D81" s="212"/>
      <c r="E81" s="213"/>
      <c r="F81" s="214"/>
      <c r="G81" s="88"/>
      <c r="H81" s="36">
        <f t="shared" si="1"/>
        <v>0</v>
      </c>
      <c r="I81" s="37">
        <f t="shared" si="2"/>
        <v>0</v>
      </c>
      <c r="J81" s="38">
        <f t="shared" si="3"/>
        <v>0</v>
      </c>
      <c r="K81" s="39">
        <f t="shared" si="4"/>
        <v>0</v>
      </c>
      <c r="L81" s="38">
        <f t="shared" si="5"/>
        <v>0</v>
      </c>
      <c r="M81" s="39">
        <f t="shared" si="6"/>
        <v>0</v>
      </c>
      <c r="N81" s="40"/>
      <c r="O81" s="34"/>
      <c r="P81" s="35"/>
      <c r="Q81" s="35"/>
      <c r="R81" s="35"/>
      <c r="S81" s="35"/>
      <c r="T81" s="35"/>
      <c r="U81" s="35"/>
      <c r="V81" s="35"/>
      <c r="W81" s="35"/>
      <c r="X81" s="35"/>
      <c r="Y81" s="35"/>
      <c r="Z81" s="35"/>
    </row>
    <row r="82" ht="14.25" customHeight="1">
      <c r="A82" s="221"/>
      <c r="B82" s="231"/>
      <c r="C82" s="233"/>
      <c r="D82" s="212"/>
      <c r="E82" s="213"/>
      <c r="F82" s="214"/>
      <c r="G82" s="88"/>
      <c r="H82" s="36">
        <f t="shared" si="1"/>
        <v>0</v>
      </c>
      <c r="I82" s="37">
        <f t="shared" si="2"/>
        <v>0</v>
      </c>
      <c r="J82" s="38">
        <f t="shared" si="3"/>
        <v>0</v>
      </c>
      <c r="K82" s="39">
        <f t="shared" si="4"/>
        <v>0</v>
      </c>
      <c r="L82" s="38">
        <f t="shared" si="5"/>
        <v>0</v>
      </c>
      <c r="M82" s="39">
        <f t="shared" si="6"/>
        <v>0</v>
      </c>
      <c r="N82" s="40"/>
      <c r="O82" s="34"/>
      <c r="P82" s="35"/>
      <c r="Q82" s="35"/>
      <c r="R82" s="35"/>
      <c r="S82" s="35"/>
      <c r="T82" s="35"/>
      <c r="U82" s="35"/>
      <c r="V82" s="35"/>
      <c r="W82" s="35"/>
      <c r="X82" s="35"/>
      <c r="Y82" s="35"/>
      <c r="Z82" s="35"/>
    </row>
    <row r="83" ht="14.25" customHeight="1">
      <c r="A83" s="221"/>
      <c r="B83" s="231"/>
      <c r="C83" s="233"/>
      <c r="D83" s="212"/>
      <c r="E83" s="213"/>
      <c r="F83" s="214"/>
      <c r="G83" s="88"/>
      <c r="H83" s="36">
        <f t="shared" si="1"/>
        <v>0</v>
      </c>
      <c r="I83" s="37">
        <f t="shared" si="2"/>
        <v>0</v>
      </c>
      <c r="J83" s="38">
        <f t="shared" si="3"/>
        <v>0</v>
      </c>
      <c r="K83" s="39">
        <f t="shared" si="4"/>
        <v>0</v>
      </c>
      <c r="L83" s="38">
        <f t="shared" si="5"/>
        <v>0</v>
      </c>
      <c r="M83" s="39">
        <f t="shared" si="6"/>
        <v>0</v>
      </c>
      <c r="N83" s="40"/>
      <c r="O83" s="34"/>
      <c r="P83" s="35"/>
      <c r="Q83" s="35"/>
      <c r="R83" s="35"/>
      <c r="S83" s="35"/>
      <c r="T83" s="35"/>
      <c r="U83" s="35"/>
      <c r="V83" s="35"/>
      <c r="W83" s="35"/>
      <c r="X83" s="35"/>
      <c r="Y83" s="35"/>
      <c r="Z83" s="35"/>
    </row>
    <row r="84" ht="14.25" customHeight="1">
      <c r="A84" s="221"/>
      <c r="B84" s="231"/>
      <c r="C84" s="233"/>
      <c r="D84" s="212"/>
      <c r="E84" s="213"/>
      <c r="F84" s="214"/>
      <c r="G84" s="88"/>
      <c r="H84" s="36">
        <f t="shared" si="1"/>
        <v>0</v>
      </c>
      <c r="I84" s="37">
        <f t="shared" si="2"/>
        <v>0</v>
      </c>
      <c r="J84" s="38">
        <f t="shared" si="3"/>
        <v>0</v>
      </c>
      <c r="K84" s="39">
        <f t="shared" si="4"/>
        <v>0</v>
      </c>
      <c r="L84" s="38">
        <f t="shared" si="5"/>
        <v>0</v>
      </c>
      <c r="M84" s="39">
        <f t="shared" si="6"/>
        <v>0</v>
      </c>
      <c r="N84" s="40"/>
      <c r="O84" s="34"/>
      <c r="P84" s="35"/>
      <c r="Q84" s="35"/>
      <c r="R84" s="35"/>
      <c r="S84" s="35"/>
      <c r="T84" s="35"/>
      <c r="U84" s="35"/>
      <c r="V84" s="35"/>
      <c r="W84" s="35"/>
      <c r="X84" s="35"/>
      <c r="Y84" s="35"/>
      <c r="Z84" s="35"/>
    </row>
    <row r="85" ht="14.25" customHeight="1">
      <c r="A85" s="221"/>
      <c r="B85" s="231"/>
      <c r="C85" s="233"/>
      <c r="D85" s="212"/>
      <c r="E85" s="213"/>
      <c r="F85" s="214"/>
      <c r="G85" s="88"/>
      <c r="H85" s="36">
        <f t="shared" si="1"/>
        <v>0</v>
      </c>
      <c r="I85" s="37">
        <f t="shared" si="2"/>
        <v>0</v>
      </c>
      <c r="J85" s="38">
        <f t="shared" si="3"/>
        <v>0</v>
      </c>
      <c r="K85" s="39">
        <f t="shared" si="4"/>
        <v>0</v>
      </c>
      <c r="L85" s="38">
        <f t="shared" si="5"/>
        <v>0</v>
      </c>
      <c r="M85" s="39">
        <f t="shared" si="6"/>
        <v>0</v>
      </c>
      <c r="N85" s="40"/>
      <c r="O85" s="34"/>
      <c r="P85" s="35"/>
      <c r="Q85" s="35"/>
      <c r="R85" s="35"/>
      <c r="S85" s="35"/>
      <c r="T85" s="35"/>
      <c r="U85" s="35"/>
      <c r="V85" s="35"/>
      <c r="W85" s="35"/>
      <c r="X85" s="35"/>
      <c r="Y85" s="35"/>
      <c r="Z85" s="35"/>
    </row>
    <row r="86" ht="14.25" customHeight="1">
      <c r="A86" s="221"/>
      <c r="B86" s="231"/>
      <c r="C86" s="233"/>
      <c r="D86" s="212"/>
      <c r="E86" s="213"/>
      <c r="F86" s="214"/>
      <c r="G86" s="88"/>
      <c r="H86" s="36">
        <f t="shared" si="1"/>
        <v>0</v>
      </c>
      <c r="I86" s="37">
        <f t="shared" si="2"/>
        <v>0</v>
      </c>
      <c r="J86" s="38">
        <f t="shared" si="3"/>
        <v>0</v>
      </c>
      <c r="K86" s="39">
        <f t="shared" si="4"/>
        <v>0</v>
      </c>
      <c r="L86" s="38">
        <f t="shared" si="5"/>
        <v>0</v>
      </c>
      <c r="M86" s="39">
        <f t="shared" si="6"/>
        <v>0</v>
      </c>
      <c r="N86" s="40"/>
      <c r="O86" s="78"/>
      <c r="P86" s="76"/>
      <c r="Q86" s="76"/>
      <c r="R86" s="76"/>
      <c r="S86" s="76"/>
      <c r="T86" s="76"/>
      <c r="U86" s="76"/>
      <c r="V86" s="76"/>
      <c r="W86" s="76"/>
      <c r="X86" s="76"/>
      <c r="Y86" s="76"/>
      <c r="Z86" s="76"/>
    </row>
    <row r="87" ht="14.25" customHeight="1">
      <c r="A87" s="221"/>
      <c r="B87" s="231"/>
      <c r="C87" s="233"/>
      <c r="D87" s="212"/>
      <c r="E87" s="213"/>
      <c r="F87" s="214"/>
      <c r="G87" s="88"/>
      <c r="H87" s="36">
        <f t="shared" si="1"/>
        <v>0</v>
      </c>
      <c r="I87" s="37">
        <f t="shared" si="2"/>
        <v>0</v>
      </c>
      <c r="J87" s="38">
        <f t="shared" si="3"/>
        <v>0</v>
      </c>
      <c r="K87" s="39">
        <f t="shared" si="4"/>
        <v>0</v>
      </c>
      <c r="L87" s="38">
        <f t="shared" si="5"/>
        <v>0</v>
      </c>
      <c r="M87" s="39">
        <f t="shared" si="6"/>
        <v>0</v>
      </c>
      <c r="N87" s="40"/>
      <c r="O87" s="78"/>
      <c r="P87" s="35"/>
      <c r="Q87" s="35"/>
      <c r="R87" s="35"/>
      <c r="S87" s="35"/>
      <c r="T87" s="35"/>
      <c r="U87" s="35"/>
      <c r="V87" s="35"/>
      <c r="W87" s="35"/>
      <c r="X87" s="35"/>
      <c r="Y87" s="35"/>
      <c r="Z87" s="35"/>
    </row>
    <row r="88" ht="14.25" customHeight="1">
      <c r="A88" s="221"/>
      <c r="B88" s="231"/>
      <c r="C88" s="233"/>
      <c r="D88" s="212"/>
      <c r="E88" s="213"/>
      <c r="F88" s="214"/>
      <c r="G88" s="88"/>
      <c r="H88" s="36">
        <f t="shared" si="1"/>
        <v>0</v>
      </c>
      <c r="I88" s="37">
        <f t="shared" si="2"/>
        <v>0</v>
      </c>
      <c r="J88" s="38">
        <f t="shared" si="3"/>
        <v>0</v>
      </c>
      <c r="K88" s="39">
        <f t="shared" si="4"/>
        <v>0</v>
      </c>
      <c r="L88" s="38">
        <f t="shared" si="5"/>
        <v>0</v>
      </c>
      <c r="M88" s="39">
        <f t="shared" si="6"/>
        <v>0</v>
      </c>
      <c r="N88" s="40"/>
      <c r="O88" s="78"/>
      <c r="P88" s="35"/>
      <c r="Q88" s="35"/>
      <c r="R88" s="35"/>
      <c r="S88" s="35"/>
      <c r="T88" s="35"/>
      <c r="U88" s="35"/>
      <c r="V88" s="35"/>
      <c r="W88" s="35"/>
      <c r="X88" s="35"/>
      <c r="Y88" s="35"/>
      <c r="Z88" s="35"/>
    </row>
    <row r="89" ht="14.25" customHeight="1">
      <c r="A89" s="221"/>
      <c r="B89" s="231"/>
      <c r="C89" s="233"/>
      <c r="D89" s="212"/>
      <c r="E89" s="213"/>
      <c r="F89" s="214"/>
      <c r="G89" s="88"/>
      <c r="H89" s="36">
        <f t="shared" si="1"/>
        <v>0</v>
      </c>
      <c r="I89" s="37">
        <f t="shared" si="2"/>
        <v>0</v>
      </c>
      <c r="J89" s="38">
        <f t="shared" si="3"/>
        <v>0</v>
      </c>
      <c r="K89" s="39">
        <f t="shared" si="4"/>
        <v>0</v>
      </c>
      <c r="L89" s="38">
        <f t="shared" si="5"/>
        <v>0</v>
      </c>
      <c r="M89" s="39">
        <f t="shared" si="6"/>
        <v>0</v>
      </c>
      <c r="N89" s="40"/>
      <c r="O89" s="34"/>
      <c r="P89" s="35"/>
      <c r="Q89" s="35"/>
      <c r="R89" s="35"/>
      <c r="S89" s="35"/>
      <c r="T89" s="35"/>
      <c r="U89" s="35"/>
      <c r="V89" s="35"/>
      <c r="W89" s="35"/>
      <c r="X89" s="35"/>
      <c r="Y89" s="35"/>
      <c r="Z89" s="35"/>
    </row>
    <row r="90" ht="14.25" customHeight="1">
      <c r="A90" s="221"/>
      <c r="B90" s="231"/>
      <c r="C90" s="233"/>
      <c r="D90" s="212"/>
      <c r="E90" s="213"/>
      <c r="F90" s="214"/>
      <c r="G90" s="88"/>
      <c r="H90" s="36">
        <f t="shared" si="1"/>
        <v>0</v>
      </c>
      <c r="I90" s="37">
        <f t="shared" si="2"/>
        <v>0</v>
      </c>
      <c r="J90" s="38">
        <f t="shared" si="3"/>
        <v>0</v>
      </c>
      <c r="K90" s="39">
        <f t="shared" si="4"/>
        <v>0</v>
      </c>
      <c r="L90" s="38">
        <f t="shared" si="5"/>
        <v>0</v>
      </c>
      <c r="M90" s="39">
        <f t="shared" si="6"/>
        <v>0</v>
      </c>
      <c r="N90" s="40"/>
      <c r="O90" s="78"/>
      <c r="P90" s="35"/>
      <c r="Q90" s="35"/>
      <c r="R90" s="35"/>
      <c r="S90" s="35"/>
      <c r="T90" s="35"/>
      <c r="U90" s="35"/>
      <c r="V90" s="35"/>
      <c r="W90" s="35"/>
      <c r="X90" s="35"/>
      <c r="Y90" s="35"/>
      <c r="Z90" s="35"/>
    </row>
    <row r="91" ht="14.25" customHeight="1">
      <c r="A91" s="221"/>
      <c r="B91" s="231"/>
      <c r="C91" s="233"/>
      <c r="D91" s="212"/>
      <c r="E91" s="213"/>
      <c r="F91" s="214"/>
      <c r="G91" s="88"/>
      <c r="H91" s="36">
        <f t="shared" si="1"/>
        <v>0</v>
      </c>
      <c r="I91" s="37">
        <f t="shared" si="2"/>
        <v>0</v>
      </c>
      <c r="J91" s="38">
        <f t="shared" si="3"/>
        <v>0</v>
      </c>
      <c r="K91" s="39">
        <f t="shared" si="4"/>
        <v>0</v>
      </c>
      <c r="L91" s="38">
        <f t="shared" si="5"/>
        <v>0</v>
      </c>
      <c r="M91" s="39">
        <f t="shared" si="6"/>
        <v>0</v>
      </c>
      <c r="N91" s="40"/>
      <c r="O91" s="34"/>
      <c r="P91" s="35"/>
      <c r="Q91" s="35"/>
      <c r="R91" s="35"/>
      <c r="S91" s="35"/>
      <c r="T91" s="35"/>
      <c r="U91" s="35"/>
      <c r="V91" s="35"/>
      <c r="W91" s="35"/>
      <c r="X91" s="35"/>
      <c r="Y91" s="35"/>
      <c r="Z91" s="35"/>
    </row>
    <row r="92" ht="14.25" customHeight="1">
      <c r="A92" s="221"/>
      <c r="B92" s="231"/>
      <c r="C92" s="233"/>
      <c r="D92" s="212"/>
      <c r="E92" s="213"/>
      <c r="F92" s="214"/>
      <c r="G92" s="88"/>
      <c r="H92" s="36">
        <f t="shared" si="1"/>
        <v>0</v>
      </c>
      <c r="I92" s="37">
        <f t="shared" si="2"/>
        <v>0</v>
      </c>
      <c r="J92" s="38">
        <f t="shared" si="3"/>
        <v>0</v>
      </c>
      <c r="K92" s="39">
        <f t="shared" si="4"/>
        <v>0</v>
      </c>
      <c r="L92" s="38">
        <f t="shared" si="5"/>
        <v>0</v>
      </c>
      <c r="M92" s="39">
        <f t="shared" si="6"/>
        <v>0</v>
      </c>
      <c r="N92" s="40"/>
      <c r="O92" s="78"/>
      <c r="P92" s="35"/>
      <c r="Q92" s="35"/>
      <c r="R92" s="35"/>
      <c r="S92" s="35"/>
      <c r="T92" s="35"/>
      <c r="U92" s="35"/>
      <c r="V92" s="35"/>
      <c r="W92" s="35"/>
      <c r="X92" s="35"/>
      <c r="Y92" s="35"/>
      <c r="Z92" s="35"/>
    </row>
    <row r="93" ht="14.25" customHeight="1">
      <c r="A93" s="221"/>
      <c r="B93" s="231"/>
      <c r="C93" s="233"/>
      <c r="D93" s="212"/>
      <c r="E93" s="213"/>
      <c r="F93" s="214"/>
      <c r="G93" s="88"/>
      <c r="H93" s="36">
        <f t="shared" si="1"/>
        <v>0</v>
      </c>
      <c r="I93" s="37">
        <f t="shared" si="2"/>
        <v>0</v>
      </c>
      <c r="J93" s="38">
        <f t="shared" si="3"/>
        <v>0</v>
      </c>
      <c r="K93" s="39">
        <f t="shared" si="4"/>
        <v>0</v>
      </c>
      <c r="L93" s="38">
        <f t="shared" si="5"/>
        <v>0</v>
      </c>
      <c r="M93" s="39">
        <f t="shared" si="6"/>
        <v>0</v>
      </c>
      <c r="N93" s="40"/>
      <c r="O93" s="78"/>
      <c r="P93" s="35"/>
      <c r="Q93" s="35"/>
      <c r="R93" s="35"/>
      <c r="S93" s="35"/>
      <c r="T93" s="35"/>
      <c r="U93" s="35"/>
      <c r="V93" s="35"/>
      <c r="W93" s="35"/>
      <c r="X93" s="35"/>
      <c r="Y93" s="35"/>
      <c r="Z93" s="35"/>
    </row>
    <row r="94" ht="14.25" customHeight="1">
      <c r="A94" s="221"/>
      <c r="B94" s="231"/>
      <c r="C94" s="233"/>
      <c r="D94" s="212"/>
      <c r="E94" s="213"/>
      <c r="F94" s="214"/>
      <c r="G94" s="88"/>
      <c r="H94" s="36">
        <f t="shared" si="1"/>
        <v>0</v>
      </c>
      <c r="I94" s="37">
        <f t="shared" si="2"/>
        <v>0</v>
      </c>
      <c r="J94" s="38">
        <f t="shared" si="3"/>
        <v>0</v>
      </c>
      <c r="K94" s="39">
        <f t="shared" si="4"/>
        <v>0</v>
      </c>
      <c r="L94" s="38">
        <f t="shared" si="5"/>
        <v>0</v>
      </c>
      <c r="M94" s="39">
        <f t="shared" si="6"/>
        <v>0</v>
      </c>
      <c r="N94" s="40"/>
      <c r="O94" s="78"/>
      <c r="P94" s="35"/>
      <c r="Q94" s="35"/>
      <c r="R94" s="35"/>
      <c r="S94" s="35"/>
      <c r="T94" s="35"/>
      <c r="U94" s="35"/>
      <c r="V94" s="35"/>
      <c r="W94" s="35"/>
      <c r="X94" s="35"/>
      <c r="Y94" s="35"/>
      <c r="Z94" s="35"/>
    </row>
    <row r="95" ht="14.25" customHeight="1">
      <c r="A95" s="221"/>
      <c r="B95" s="231"/>
      <c r="C95" s="233"/>
      <c r="D95" s="212"/>
      <c r="E95" s="213"/>
      <c r="F95" s="214"/>
      <c r="G95" s="88"/>
      <c r="H95" s="36">
        <f t="shared" si="1"/>
        <v>0</v>
      </c>
      <c r="I95" s="37">
        <f t="shared" si="2"/>
        <v>0</v>
      </c>
      <c r="J95" s="38">
        <f t="shared" si="3"/>
        <v>0</v>
      </c>
      <c r="K95" s="39">
        <f t="shared" si="4"/>
        <v>0</v>
      </c>
      <c r="L95" s="38">
        <f t="shared" si="5"/>
        <v>0</v>
      </c>
      <c r="M95" s="39">
        <f t="shared" si="6"/>
        <v>0</v>
      </c>
      <c r="N95" s="40"/>
      <c r="O95" s="34"/>
      <c r="P95" s="35"/>
      <c r="Q95" s="35"/>
      <c r="R95" s="35"/>
      <c r="S95" s="35"/>
      <c r="T95" s="35"/>
      <c r="U95" s="35"/>
      <c r="V95" s="35"/>
      <c r="W95" s="35"/>
      <c r="X95" s="35"/>
      <c r="Y95" s="35"/>
      <c r="Z95" s="35"/>
    </row>
    <row r="96" ht="14.25" customHeight="1">
      <c r="A96" s="221"/>
      <c r="B96" s="231"/>
      <c r="C96" s="233"/>
      <c r="D96" s="212"/>
      <c r="E96" s="213"/>
      <c r="F96" s="214"/>
      <c r="G96" s="88"/>
      <c r="H96" s="36">
        <f t="shared" si="1"/>
        <v>0</v>
      </c>
      <c r="I96" s="37">
        <f t="shared" si="2"/>
        <v>0</v>
      </c>
      <c r="J96" s="38">
        <f t="shared" si="3"/>
        <v>0</v>
      </c>
      <c r="K96" s="39">
        <f t="shared" si="4"/>
        <v>0</v>
      </c>
      <c r="L96" s="38">
        <f t="shared" si="5"/>
        <v>0</v>
      </c>
      <c r="M96" s="39">
        <f t="shared" si="6"/>
        <v>0</v>
      </c>
      <c r="N96" s="40"/>
      <c r="O96" s="34"/>
      <c r="P96" s="35"/>
      <c r="Q96" s="35"/>
      <c r="R96" s="35"/>
      <c r="S96" s="35"/>
      <c r="T96" s="35"/>
      <c r="U96" s="35"/>
      <c r="V96" s="35"/>
      <c r="W96" s="35"/>
      <c r="X96" s="35"/>
      <c r="Y96" s="35"/>
      <c r="Z96" s="35"/>
    </row>
    <row r="97" ht="14.25" customHeight="1">
      <c r="A97" s="221"/>
      <c r="B97" s="231"/>
      <c r="C97" s="233"/>
      <c r="D97" s="212"/>
      <c r="E97" s="213"/>
      <c r="F97" s="214"/>
      <c r="G97" s="88"/>
      <c r="H97" s="36">
        <f t="shared" si="1"/>
        <v>0</v>
      </c>
      <c r="I97" s="37">
        <f t="shared" si="2"/>
        <v>0</v>
      </c>
      <c r="J97" s="38">
        <f t="shared" si="3"/>
        <v>0</v>
      </c>
      <c r="K97" s="39">
        <f t="shared" si="4"/>
        <v>0</v>
      </c>
      <c r="L97" s="38">
        <f t="shared" si="5"/>
        <v>0</v>
      </c>
      <c r="M97" s="39">
        <f t="shared" si="6"/>
        <v>0</v>
      </c>
      <c r="N97" s="40"/>
      <c r="O97" s="34"/>
      <c r="P97" s="35"/>
      <c r="Q97" s="35"/>
      <c r="R97" s="35"/>
      <c r="S97" s="35"/>
      <c r="T97" s="35"/>
      <c r="U97" s="35"/>
      <c r="V97" s="35"/>
      <c r="W97" s="35"/>
      <c r="X97" s="35"/>
      <c r="Y97" s="35"/>
      <c r="Z97" s="35"/>
    </row>
    <row r="98" ht="14.25" customHeight="1">
      <c r="A98" s="221"/>
      <c r="B98" s="231"/>
      <c r="C98" s="233"/>
      <c r="D98" s="212"/>
      <c r="E98" s="213"/>
      <c r="F98" s="214"/>
      <c r="G98" s="88"/>
      <c r="H98" s="36">
        <f t="shared" si="1"/>
        <v>0</v>
      </c>
      <c r="I98" s="37">
        <f t="shared" si="2"/>
        <v>0</v>
      </c>
      <c r="J98" s="38">
        <f t="shared" si="3"/>
        <v>0</v>
      </c>
      <c r="K98" s="39">
        <f t="shared" si="4"/>
        <v>0</v>
      </c>
      <c r="L98" s="38">
        <f t="shared" si="5"/>
        <v>0</v>
      </c>
      <c r="M98" s="39">
        <f t="shared" si="6"/>
        <v>0</v>
      </c>
      <c r="N98" s="40"/>
      <c r="O98" s="34"/>
      <c r="P98" s="35"/>
      <c r="Q98" s="35"/>
      <c r="R98" s="35"/>
      <c r="S98" s="35"/>
      <c r="T98" s="35"/>
      <c r="U98" s="35"/>
      <c r="V98" s="35"/>
      <c r="W98" s="35"/>
      <c r="X98" s="35"/>
      <c r="Y98" s="35"/>
      <c r="Z98" s="35"/>
    </row>
    <row r="99" ht="14.25" customHeight="1">
      <c r="A99" s="221"/>
      <c r="B99" s="231"/>
      <c r="C99" s="233"/>
      <c r="D99" s="212"/>
      <c r="E99" s="213"/>
      <c r="F99" s="214"/>
      <c r="G99" s="88"/>
      <c r="H99" s="36">
        <f t="shared" si="1"/>
        <v>0</v>
      </c>
      <c r="I99" s="37">
        <f t="shared" si="2"/>
        <v>0</v>
      </c>
      <c r="J99" s="38">
        <f t="shared" si="3"/>
        <v>0</v>
      </c>
      <c r="K99" s="39">
        <f t="shared" si="4"/>
        <v>0</v>
      </c>
      <c r="L99" s="38">
        <f t="shared" si="5"/>
        <v>0</v>
      </c>
      <c r="M99" s="39">
        <f t="shared" si="6"/>
        <v>0</v>
      </c>
      <c r="N99" s="40"/>
      <c r="O99" s="34"/>
      <c r="P99" s="35"/>
      <c r="Q99" s="35"/>
      <c r="R99" s="35"/>
      <c r="S99" s="35"/>
      <c r="T99" s="35"/>
      <c r="U99" s="35"/>
      <c r="V99" s="35"/>
      <c r="W99" s="35"/>
      <c r="X99" s="35"/>
      <c r="Y99" s="35"/>
      <c r="Z99" s="35"/>
    </row>
    <row r="100" ht="14.25" customHeight="1">
      <c r="A100" s="221"/>
      <c r="B100" s="231"/>
      <c r="C100" s="233"/>
      <c r="D100" s="212"/>
      <c r="E100" s="213"/>
      <c r="F100" s="214"/>
      <c r="G100" s="88"/>
      <c r="H100" s="36">
        <f t="shared" si="1"/>
        <v>0</v>
      </c>
      <c r="I100" s="37">
        <f t="shared" si="2"/>
        <v>0</v>
      </c>
      <c r="J100" s="38">
        <f t="shared" si="3"/>
        <v>0</v>
      </c>
      <c r="K100" s="39">
        <f t="shared" si="4"/>
        <v>0</v>
      </c>
      <c r="L100" s="38">
        <f t="shared" si="5"/>
        <v>0</v>
      </c>
      <c r="M100" s="39">
        <f t="shared" si="6"/>
        <v>0</v>
      </c>
      <c r="N100" s="40"/>
      <c r="O100" s="34"/>
      <c r="P100" s="35"/>
      <c r="Q100" s="35"/>
      <c r="R100" s="35"/>
      <c r="S100" s="35"/>
      <c r="T100" s="35"/>
      <c r="U100" s="35"/>
      <c r="V100" s="35"/>
      <c r="W100" s="35"/>
      <c r="X100" s="35"/>
      <c r="Y100" s="35"/>
      <c r="Z100" s="35"/>
    </row>
    <row r="101" ht="14.25" customHeight="1">
      <c r="A101" s="221"/>
      <c r="B101" s="231"/>
      <c r="C101" s="233"/>
      <c r="D101" s="212"/>
      <c r="E101" s="213"/>
      <c r="F101" s="214"/>
      <c r="G101" s="88"/>
      <c r="H101" s="36">
        <f t="shared" si="1"/>
        <v>0</v>
      </c>
      <c r="I101" s="37">
        <f t="shared" si="2"/>
        <v>0</v>
      </c>
      <c r="J101" s="38">
        <f t="shared" si="3"/>
        <v>0</v>
      </c>
      <c r="K101" s="39">
        <f t="shared" si="4"/>
        <v>0</v>
      </c>
      <c r="L101" s="38">
        <f t="shared" si="5"/>
        <v>0</v>
      </c>
      <c r="M101" s="39">
        <f t="shared" si="6"/>
        <v>0</v>
      </c>
      <c r="N101" s="40"/>
      <c r="O101" s="34"/>
      <c r="P101" s="35"/>
      <c r="Q101" s="35"/>
      <c r="R101" s="35"/>
      <c r="S101" s="35"/>
      <c r="T101" s="35"/>
      <c r="U101" s="35"/>
      <c r="V101" s="35"/>
      <c r="W101" s="35"/>
      <c r="X101" s="35"/>
      <c r="Y101" s="35"/>
      <c r="Z101" s="35"/>
    </row>
    <row r="102" ht="14.25" customHeight="1">
      <c r="A102" s="221"/>
      <c r="B102" s="231"/>
      <c r="C102" s="233"/>
      <c r="D102" s="212"/>
      <c r="E102" s="213"/>
      <c r="F102" s="214"/>
      <c r="G102" s="88"/>
      <c r="H102" s="36">
        <f t="shared" si="1"/>
        <v>0</v>
      </c>
      <c r="I102" s="37">
        <f t="shared" si="2"/>
        <v>0</v>
      </c>
      <c r="J102" s="38">
        <f t="shared" si="3"/>
        <v>0</v>
      </c>
      <c r="K102" s="39">
        <f t="shared" si="4"/>
        <v>0</v>
      </c>
      <c r="L102" s="38">
        <f t="shared" si="5"/>
        <v>0</v>
      </c>
      <c r="M102" s="39">
        <f t="shared" si="6"/>
        <v>0</v>
      </c>
      <c r="N102" s="40"/>
      <c r="O102" s="78"/>
      <c r="P102" s="35"/>
      <c r="Q102" s="35"/>
      <c r="R102" s="35"/>
      <c r="S102" s="35"/>
      <c r="T102" s="35"/>
      <c r="U102" s="35"/>
      <c r="V102" s="35"/>
      <c r="W102" s="35"/>
      <c r="X102" s="35"/>
      <c r="Y102" s="35"/>
      <c r="Z102" s="35"/>
    </row>
    <row r="103" ht="14.25" customHeight="1">
      <c r="A103" s="221"/>
      <c r="B103" s="231"/>
      <c r="C103" s="233"/>
      <c r="D103" s="212"/>
      <c r="E103" s="213"/>
      <c r="F103" s="214"/>
      <c r="G103" s="88"/>
      <c r="H103" s="36">
        <f t="shared" si="1"/>
        <v>0</v>
      </c>
      <c r="I103" s="37">
        <f t="shared" si="2"/>
        <v>0</v>
      </c>
      <c r="J103" s="38">
        <f t="shared" si="3"/>
        <v>0</v>
      </c>
      <c r="K103" s="39">
        <f t="shared" si="4"/>
        <v>0</v>
      </c>
      <c r="L103" s="38">
        <f t="shared" si="5"/>
        <v>0</v>
      </c>
      <c r="M103" s="39">
        <f t="shared" si="6"/>
        <v>0</v>
      </c>
      <c r="N103" s="40"/>
      <c r="O103" s="78"/>
      <c r="P103" s="35"/>
      <c r="Q103" s="35"/>
      <c r="R103" s="35"/>
      <c r="S103" s="35"/>
      <c r="T103" s="35"/>
      <c r="U103" s="35"/>
      <c r="V103" s="35"/>
      <c r="W103" s="35"/>
      <c r="X103" s="35"/>
      <c r="Y103" s="35"/>
      <c r="Z103" s="35"/>
    </row>
    <row r="104" ht="14.25" customHeight="1">
      <c r="A104" s="221"/>
      <c r="B104" s="231"/>
      <c r="C104" s="233"/>
      <c r="D104" s="212"/>
      <c r="E104" s="213"/>
      <c r="F104" s="214"/>
      <c r="G104" s="88"/>
      <c r="H104" s="36">
        <f t="shared" si="1"/>
        <v>0</v>
      </c>
      <c r="I104" s="37">
        <f t="shared" si="2"/>
        <v>0</v>
      </c>
      <c r="J104" s="38">
        <f t="shared" si="3"/>
        <v>0</v>
      </c>
      <c r="K104" s="39">
        <f t="shared" si="4"/>
        <v>0</v>
      </c>
      <c r="L104" s="38">
        <f t="shared" si="5"/>
        <v>0</v>
      </c>
      <c r="M104" s="39">
        <f t="shared" si="6"/>
        <v>0</v>
      </c>
      <c r="N104" s="40"/>
      <c r="O104" s="78"/>
      <c r="P104" s="35"/>
      <c r="Q104" s="35"/>
      <c r="R104" s="35"/>
      <c r="S104" s="35"/>
      <c r="T104" s="35"/>
      <c r="U104" s="35"/>
      <c r="V104" s="35"/>
      <c r="W104" s="35"/>
      <c r="X104" s="35"/>
      <c r="Y104" s="35"/>
      <c r="Z104" s="35"/>
    </row>
    <row r="105" ht="14.25" customHeight="1">
      <c r="A105" s="221"/>
      <c r="B105" s="231"/>
      <c r="C105" s="233"/>
      <c r="D105" s="212"/>
      <c r="E105" s="213"/>
      <c r="F105" s="214"/>
      <c r="G105" s="88"/>
      <c r="H105" s="36">
        <f t="shared" si="1"/>
        <v>0</v>
      </c>
      <c r="I105" s="37">
        <f t="shared" si="2"/>
        <v>0</v>
      </c>
      <c r="J105" s="38">
        <f t="shared" si="3"/>
        <v>0</v>
      </c>
      <c r="K105" s="39">
        <f t="shared" si="4"/>
        <v>0</v>
      </c>
      <c r="L105" s="38">
        <f t="shared" si="5"/>
        <v>0</v>
      </c>
      <c r="M105" s="39">
        <f t="shared" si="6"/>
        <v>0</v>
      </c>
      <c r="N105" s="40"/>
      <c r="O105" s="78"/>
      <c r="P105" s="35"/>
      <c r="Q105" s="35"/>
      <c r="R105" s="35"/>
      <c r="S105" s="35"/>
      <c r="T105" s="35"/>
      <c r="U105" s="35"/>
      <c r="V105" s="35"/>
      <c r="W105" s="35"/>
      <c r="X105" s="35"/>
      <c r="Y105" s="35"/>
      <c r="Z105" s="35"/>
    </row>
    <row r="106" ht="14.25" customHeight="1">
      <c r="A106" s="221"/>
      <c r="B106" s="231"/>
      <c r="C106" s="233"/>
      <c r="D106" s="212"/>
      <c r="E106" s="213"/>
      <c r="F106" s="214"/>
      <c r="G106" s="88"/>
      <c r="H106" s="36">
        <f t="shared" si="1"/>
        <v>0</v>
      </c>
      <c r="I106" s="37">
        <f t="shared" si="2"/>
        <v>0</v>
      </c>
      <c r="J106" s="38">
        <f t="shared" si="3"/>
        <v>0</v>
      </c>
      <c r="K106" s="39">
        <f t="shared" si="4"/>
        <v>0</v>
      </c>
      <c r="L106" s="38">
        <f t="shared" si="5"/>
        <v>0</v>
      </c>
      <c r="M106" s="39">
        <f t="shared" si="6"/>
        <v>0</v>
      </c>
      <c r="N106" s="40"/>
      <c r="O106" s="78"/>
      <c r="P106" s="35"/>
      <c r="Q106" s="35"/>
      <c r="R106" s="35"/>
      <c r="S106" s="35"/>
      <c r="T106" s="35"/>
      <c r="U106" s="35"/>
      <c r="V106" s="35"/>
      <c r="W106" s="35"/>
      <c r="X106" s="35"/>
      <c r="Y106" s="35"/>
      <c r="Z106" s="35"/>
    </row>
    <row r="107" ht="14.25" customHeight="1">
      <c r="A107" s="221"/>
      <c r="B107" s="231"/>
      <c r="C107" s="233"/>
      <c r="D107" s="212"/>
      <c r="E107" s="213"/>
      <c r="F107" s="214"/>
      <c r="G107" s="88"/>
      <c r="H107" s="36">
        <f t="shared" si="1"/>
        <v>0</v>
      </c>
      <c r="I107" s="37">
        <f t="shared" si="2"/>
        <v>0</v>
      </c>
      <c r="J107" s="38">
        <f t="shared" si="3"/>
        <v>0</v>
      </c>
      <c r="K107" s="39">
        <f t="shared" si="4"/>
        <v>0</v>
      </c>
      <c r="L107" s="38">
        <f t="shared" si="5"/>
        <v>0</v>
      </c>
      <c r="M107" s="39">
        <f t="shared" si="6"/>
        <v>0</v>
      </c>
      <c r="N107" s="40"/>
      <c r="O107" s="78"/>
      <c r="P107" s="35"/>
      <c r="Q107" s="35"/>
      <c r="R107" s="35"/>
      <c r="S107" s="35"/>
      <c r="T107" s="35"/>
      <c r="U107" s="35"/>
      <c r="V107" s="35"/>
      <c r="W107" s="35"/>
      <c r="X107" s="35"/>
      <c r="Y107" s="35"/>
      <c r="Z107" s="35"/>
    </row>
    <row r="108" ht="14.25" customHeight="1">
      <c r="A108" s="221"/>
      <c r="B108" s="231"/>
      <c r="C108" s="233"/>
      <c r="D108" s="212"/>
      <c r="E108" s="213"/>
      <c r="F108" s="214"/>
      <c r="G108" s="88"/>
      <c r="H108" s="36">
        <f t="shared" si="1"/>
        <v>0</v>
      </c>
      <c r="I108" s="37">
        <f t="shared" si="2"/>
        <v>0</v>
      </c>
      <c r="J108" s="38">
        <f t="shared" si="3"/>
        <v>0</v>
      </c>
      <c r="K108" s="39">
        <f t="shared" si="4"/>
        <v>0</v>
      </c>
      <c r="L108" s="38">
        <f t="shared" si="5"/>
        <v>0</v>
      </c>
      <c r="M108" s="39">
        <f t="shared" si="6"/>
        <v>0</v>
      </c>
      <c r="N108" s="40"/>
      <c r="O108" s="78"/>
      <c r="P108" s="35"/>
      <c r="Q108" s="35"/>
      <c r="R108" s="35"/>
      <c r="S108" s="35"/>
      <c r="T108" s="35"/>
      <c r="U108" s="35"/>
      <c r="V108" s="35"/>
      <c r="W108" s="35"/>
      <c r="X108" s="35"/>
      <c r="Y108" s="35"/>
      <c r="Z108" s="35"/>
    </row>
    <row r="109" ht="14.25" customHeight="1">
      <c r="A109" s="221"/>
      <c r="B109" s="231"/>
      <c r="C109" s="233"/>
      <c r="D109" s="212"/>
      <c r="E109" s="213"/>
      <c r="F109" s="214"/>
      <c r="G109" s="88"/>
      <c r="H109" s="36">
        <f t="shared" si="1"/>
        <v>0</v>
      </c>
      <c r="I109" s="37">
        <f t="shared" si="2"/>
        <v>0</v>
      </c>
      <c r="J109" s="38">
        <f t="shared" si="3"/>
        <v>0</v>
      </c>
      <c r="K109" s="39">
        <f t="shared" si="4"/>
        <v>0</v>
      </c>
      <c r="L109" s="38">
        <f t="shared" si="5"/>
        <v>0</v>
      </c>
      <c r="M109" s="39">
        <f t="shared" si="6"/>
        <v>0</v>
      </c>
      <c r="N109" s="40"/>
      <c r="O109" s="78"/>
      <c r="P109" s="35"/>
      <c r="Q109" s="35"/>
      <c r="R109" s="35"/>
      <c r="S109" s="35"/>
      <c r="T109" s="35"/>
      <c r="U109" s="35"/>
      <c r="V109" s="35"/>
      <c r="W109" s="35"/>
      <c r="X109" s="35"/>
      <c r="Y109" s="35"/>
      <c r="Z109" s="35"/>
    </row>
    <row r="110" ht="14.25" customHeight="1">
      <c r="A110" s="221"/>
      <c r="B110" s="231"/>
      <c r="C110" s="233"/>
      <c r="D110" s="212"/>
      <c r="E110" s="213"/>
      <c r="F110" s="214"/>
      <c r="G110" s="88"/>
      <c r="H110" s="36">
        <f t="shared" si="1"/>
        <v>0</v>
      </c>
      <c r="I110" s="37">
        <f t="shared" si="2"/>
        <v>0</v>
      </c>
      <c r="J110" s="38">
        <f t="shared" si="3"/>
        <v>0</v>
      </c>
      <c r="K110" s="39">
        <f t="shared" si="4"/>
        <v>0</v>
      </c>
      <c r="L110" s="38">
        <f t="shared" si="5"/>
        <v>0</v>
      </c>
      <c r="M110" s="39">
        <f t="shared" si="6"/>
        <v>0</v>
      </c>
      <c r="N110" s="40"/>
      <c r="O110" s="78"/>
      <c r="P110" s="35"/>
      <c r="Q110" s="35"/>
      <c r="R110" s="35"/>
      <c r="S110" s="35"/>
      <c r="T110" s="35"/>
      <c r="U110" s="35"/>
      <c r="V110" s="35"/>
      <c r="W110" s="35"/>
      <c r="X110" s="35"/>
      <c r="Y110" s="35"/>
      <c r="Z110" s="35"/>
    </row>
    <row r="111" ht="14.25" customHeight="1">
      <c r="A111" s="221"/>
      <c r="B111" s="231"/>
      <c r="C111" s="233"/>
      <c r="D111" s="212"/>
      <c r="E111" s="213"/>
      <c r="F111" s="214"/>
      <c r="G111" s="88"/>
      <c r="H111" s="36">
        <f t="shared" si="1"/>
        <v>0</v>
      </c>
      <c r="I111" s="37">
        <f t="shared" si="2"/>
        <v>0</v>
      </c>
      <c r="J111" s="38">
        <f t="shared" si="3"/>
        <v>0</v>
      </c>
      <c r="K111" s="39">
        <f t="shared" si="4"/>
        <v>0</v>
      </c>
      <c r="L111" s="38">
        <f t="shared" si="5"/>
        <v>0</v>
      </c>
      <c r="M111" s="39">
        <f t="shared" si="6"/>
        <v>0</v>
      </c>
      <c r="N111" s="40"/>
      <c r="O111" s="78"/>
      <c r="P111" s="35"/>
      <c r="Q111" s="35"/>
      <c r="R111" s="35"/>
      <c r="S111" s="35"/>
      <c r="T111" s="35"/>
      <c r="U111" s="35"/>
      <c r="V111" s="35"/>
      <c r="W111" s="35"/>
      <c r="X111" s="35"/>
      <c r="Y111" s="35"/>
      <c r="Z111" s="35"/>
    </row>
    <row r="112" ht="14.25" customHeight="1">
      <c r="A112" s="221"/>
      <c r="B112" s="231"/>
      <c r="C112" s="233"/>
      <c r="D112" s="212"/>
      <c r="E112" s="213"/>
      <c r="F112" s="214"/>
      <c r="G112" s="88"/>
      <c r="H112" s="36">
        <f t="shared" si="1"/>
        <v>0</v>
      </c>
      <c r="I112" s="37">
        <f t="shared" si="2"/>
        <v>0</v>
      </c>
      <c r="J112" s="38">
        <f t="shared" si="3"/>
        <v>0</v>
      </c>
      <c r="K112" s="39">
        <f t="shared" si="4"/>
        <v>0</v>
      </c>
      <c r="L112" s="38">
        <f t="shared" si="5"/>
        <v>0</v>
      </c>
      <c r="M112" s="39">
        <f t="shared" si="6"/>
        <v>0</v>
      </c>
      <c r="N112" s="40"/>
      <c r="O112" s="78"/>
      <c r="P112" s="35"/>
      <c r="Q112" s="35"/>
      <c r="R112" s="35"/>
      <c r="S112" s="35"/>
      <c r="T112" s="35"/>
      <c r="U112" s="35"/>
      <c r="V112" s="35"/>
      <c r="W112" s="35"/>
      <c r="X112" s="35"/>
      <c r="Y112" s="35"/>
      <c r="Z112" s="35"/>
    </row>
    <row r="113" ht="14.25" customHeight="1">
      <c r="A113" s="221"/>
      <c r="B113" s="231"/>
      <c r="C113" s="233"/>
      <c r="D113" s="212"/>
      <c r="E113" s="213"/>
      <c r="F113" s="214"/>
      <c r="G113" s="88"/>
      <c r="H113" s="36">
        <f t="shared" si="1"/>
        <v>0</v>
      </c>
      <c r="I113" s="37">
        <f t="shared" si="2"/>
        <v>0</v>
      </c>
      <c r="J113" s="38">
        <f t="shared" si="3"/>
        <v>0</v>
      </c>
      <c r="K113" s="39">
        <f t="shared" si="4"/>
        <v>0</v>
      </c>
      <c r="L113" s="38">
        <f t="shared" si="5"/>
        <v>0</v>
      </c>
      <c r="M113" s="39">
        <f t="shared" si="6"/>
        <v>0</v>
      </c>
      <c r="N113" s="40"/>
      <c r="O113" s="78"/>
      <c r="P113" s="35"/>
      <c r="Q113" s="35"/>
      <c r="R113" s="35"/>
      <c r="S113" s="35"/>
      <c r="T113" s="35"/>
      <c r="U113" s="35"/>
      <c r="V113" s="35"/>
      <c r="W113" s="35"/>
      <c r="X113" s="35"/>
      <c r="Y113" s="35"/>
      <c r="Z113" s="35"/>
    </row>
    <row r="114" ht="14.25" customHeight="1">
      <c r="A114" s="221"/>
      <c r="B114" s="231"/>
      <c r="C114" s="233"/>
      <c r="D114" s="212"/>
      <c r="E114" s="213"/>
      <c r="F114" s="214"/>
      <c r="G114" s="88"/>
      <c r="H114" s="36">
        <f t="shared" si="1"/>
        <v>0</v>
      </c>
      <c r="I114" s="37">
        <f t="shared" si="2"/>
        <v>0</v>
      </c>
      <c r="J114" s="38">
        <f t="shared" si="3"/>
        <v>0</v>
      </c>
      <c r="K114" s="39">
        <f t="shared" si="4"/>
        <v>0</v>
      </c>
      <c r="L114" s="38">
        <f t="shared" si="5"/>
        <v>0</v>
      </c>
      <c r="M114" s="39">
        <f t="shared" si="6"/>
        <v>0</v>
      </c>
      <c r="N114" s="40"/>
      <c r="O114" s="78"/>
      <c r="P114" s="35"/>
      <c r="Q114" s="35"/>
      <c r="R114" s="35"/>
      <c r="S114" s="35"/>
      <c r="T114" s="35"/>
      <c r="U114" s="35"/>
      <c r="V114" s="35"/>
      <c r="W114" s="35"/>
      <c r="X114" s="35"/>
      <c r="Y114" s="35"/>
      <c r="Z114" s="35"/>
    </row>
    <row r="115" ht="14.25" customHeight="1">
      <c r="A115" s="221"/>
      <c r="B115" s="231"/>
      <c r="C115" s="233"/>
      <c r="D115" s="212"/>
      <c r="E115" s="213"/>
      <c r="F115" s="214"/>
      <c r="G115" s="88"/>
      <c r="H115" s="36">
        <f t="shared" si="1"/>
        <v>0</v>
      </c>
      <c r="I115" s="37">
        <f t="shared" si="2"/>
        <v>0</v>
      </c>
      <c r="J115" s="38">
        <f t="shared" si="3"/>
        <v>0</v>
      </c>
      <c r="K115" s="39">
        <f t="shared" si="4"/>
        <v>0</v>
      </c>
      <c r="L115" s="38">
        <f t="shared" si="5"/>
        <v>0</v>
      </c>
      <c r="M115" s="39">
        <f t="shared" si="6"/>
        <v>0</v>
      </c>
      <c r="N115" s="40"/>
      <c r="O115" s="78"/>
      <c r="P115" s="35"/>
      <c r="Q115" s="35"/>
      <c r="R115" s="35"/>
      <c r="S115" s="35"/>
      <c r="T115" s="35"/>
      <c r="U115" s="35"/>
      <c r="V115" s="35"/>
      <c r="W115" s="35"/>
      <c r="X115" s="35"/>
      <c r="Y115" s="35"/>
      <c r="Z115" s="35"/>
    </row>
    <row r="116" ht="14.25" customHeight="1">
      <c r="A116" s="221"/>
      <c r="B116" s="231"/>
      <c r="C116" s="233"/>
      <c r="D116" s="212"/>
      <c r="E116" s="213"/>
      <c r="F116" s="214"/>
      <c r="G116" s="88"/>
      <c r="H116" s="36">
        <f t="shared" si="1"/>
        <v>0</v>
      </c>
      <c r="I116" s="37">
        <f t="shared" si="2"/>
        <v>0</v>
      </c>
      <c r="J116" s="38">
        <f t="shared" si="3"/>
        <v>0</v>
      </c>
      <c r="K116" s="39">
        <f t="shared" si="4"/>
        <v>0</v>
      </c>
      <c r="L116" s="38">
        <f t="shared" si="5"/>
        <v>0</v>
      </c>
      <c r="M116" s="39">
        <f t="shared" si="6"/>
        <v>0</v>
      </c>
      <c r="N116" s="40"/>
      <c r="O116" s="78"/>
      <c r="P116" s="35"/>
      <c r="Q116" s="35"/>
      <c r="R116" s="35"/>
      <c r="S116" s="35"/>
      <c r="T116" s="35"/>
      <c r="U116" s="35"/>
      <c r="V116" s="35"/>
      <c r="W116" s="35"/>
      <c r="X116" s="35"/>
      <c r="Y116" s="35"/>
      <c r="Z116" s="35"/>
    </row>
    <row r="117" ht="14.25" customHeight="1">
      <c r="A117" s="221"/>
      <c r="B117" s="231"/>
      <c r="C117" s="233"/>
      <c r="D117" s="212"/>
      <c r="E117" s="213"/>
      <c r="F117" s="214"/>
      <c r="G117" s="88"/>
      <c r="H117" s="36">
        <f t="shared" si="1"/>
        <v>0</v>
      </c>
      <c r="I117" s="37">
        <f t="shared" si="2"/>
        <v>0</v>
      </c>
      <c r="J117" s="38">
        <f t="shared" si="3"/>
        <v>0</v>
      </c>
      <c r="K117" s="39">
        <f t="shared" si="4"/>
        <v>0</v>
      </c>
      <c r="L117" s="38">
        <f t="shared" si="5"/>
        <v>0</v>
      </c>
      <c r="M117" s="39">
        <f t="shared" si="6"/>
        <v>0</v>
      </c>
      <c r="N117" s="40"/>
      <c r="O117" s="78"/>
      <c r="P117" s="35"/>
      <c r="Q117" s="35"/>
      <c r="R117" s="35"/>
      <c r="S117" s="35"/>
      <c r="T117" s="35"/>
      <c r="U117" s="35"/>
      <c r="V117" s="35"/>
      <c r="W117" s="35"/>
      <c r="X117" s="35"/>
      <c r="Y117" s="35"/>
      <c r="Z117" s="35"/>
    </row>
    <row r="118" ht="14.25" customHeight="1">
      <c r="A118" s="221"/>
      <c r="B118" s="231"/>
      <c r="C118" s="233"/>
      <c r="D118" s="212"/>
      <c r="E118" s="213"/>
      <c r="F118" s="214"/>
      <c r="G118" s="88"/>
      <c r="H118" s="36">
        <f t="shared" si="1"/>
        <v>0</v>
      </c>
      <c r="I118" s="37">
        <f t="shared" si="2"/>
        <v>0</v>
      </c>
      <c r="J118" s="38">
        <f t="shared" si="3"/>
        <v>0</v>
      </c>
      <c r="K118" s="39">
        <f t="shared" si="4"/>
        <v>0</v>
      </c>
      <c r="L118" s="38">
        <f t="shared" si="5"/>
        <v>0</v>
      </c>
      <c r="M118" s="39">
        <f t="shared" si="6"/>
        <v>0</v>
      </c>
      <c r="N118" s="40"/>
      <c r="O118" s="78"/>
      <c r="P118" s="35"/>
      <c r="Q118" s="35"/>
      <c r="R118" s="35"/>
      <c r="S118" s="35"/>
      <c r="T118" s="35"/>
      <c r="U118" s="35"/>
      <c r="V118" s="35"/>
      <c r="W118" s="35"/>
      <c r="X118" s="35"/>
      <c r="Y118" s="35"/>
      <c r="Z118" s="35"/>
    </row>
    <row r="119" ht="14.25" customHeight="1">
      <c r="A119" s="221"/>
      <c r="B119" s="231"/>
      <c r="C119" s="233"/>
      <c r="D119" s="212"/>
      <c r="E119" s="213"/>
      <c r="F119" s="214"/>
      <c r="G119" s="88"/>
      <c r="H119" s="36">
        <f t="shared" si="1"/>
        <v>0</v>
      </c>
      <c r="I119" s="37">
        <f t="shared" si="2"/>
        <v>0</v>
      </c>
      <c r="J119" s="38">
        <f t="shared" si="3"/>
        <v>0</v>
      </c>
      <c r="K119" s="39">
        <f t="shared" si="4"/>
        <v>0</v>
      </c>
      <c r="L119" s="38">
        <f t="shared" si="5"/>
        <v>0</v>
      </c>
      <c r="M119" s="39">
        <f t="shared" si="6"/>
        <v>0</v>
      </c>
      <c r="N119" s="40"/>
      <c r="O119" s="78"/>
      <c r="P119" s="35"/>
      <c r="Q119" s="35"/>
      <c r="R119" s="35"/>
      <c r="S119" s="35"/>
      <c r="T119" s="35"/>
      <c r="U119" s="35"/>
      <c r="V119" s="35"/>
      <c r="W119" s="35"/>
      <c r="X119" s="35"/>
      <c r="Y119" s="35"/>
      <c r="Z119" s="35"/>
    </row>
    <row r="120" ht="14.25" customHeight="1">
      <c r="A120" s="221"/>
      <c r="B120" s="231"/>
      <c r="C120" s="233"/>
      <c r="D120" s="212"/>
      <c r="E120" s="213"/>
      <c r="F120" s="214"/>
      <c r="G120" s="88"/>
      <c r="H120" s="36">
        <f t="shared" si="1"/>
        <v>0</v>
      </c>
      <c r="I120" s="37">
        <f t="shared" si="2"/>
        <v>0</v>
      </c>
      <c r="J120" s="38">
        <f t="shared" si="3"/>
        <v>0</v>
      </c>
      <c r="K120" s="39">
        <f t="shared" si="4"/>
        <v>0</v>
      </c>
      <c r="L120" s="38">
        <f t="shared" si="5"/>
        <v>0</v>
      </c>
      <c r="M120" s="39">
        <f t="shared" si="6"/>
        <v>0</v>
      </c>
      <c r="N120" s="40"/>
      <c r="O120" s="78"/>
      <c r="P120" s="35"/>
      <c r="Q120" s="35"/>
      <c r="R120" s="35"/>
      <c r="S120" s="35"/>
      <c r="T120" s="35"/>
      <c r="U120" s="35"/>
      <c r="V120" s="35"/>
      <c r="W120" s="35"/>
      <c r="X120" s="35"/>
      <c r="Y120" s="35"/>
      <c r="Z120" s="35"/>
    </row>
    <row r="121" ht="14.25" customHeight="1">
      <c r="A121" s="221"/>
      <c r="B121" s="231"/>
      <c r="C121" s="233"/>
      <c r="D121" s="212"/>
      <c r="E121" s="213"/>
      <c r="F121" s="214"/>
      <c r="G121" s="88"/>
      <c r="H121" s="36">
        <f t="shared" si="1"/>
        <v>0</v>
      </c>
      <c r="I121" s="37">
        <f t="shared" si="2"/>
        <v>0</v>
      </c>
      <c r="J121" s="38">
        <f t="shared" si="3"/>
        <v>0</v>
      </c>
      <c r="K121" s="39">
        <f t="shared" si="4"/>
        <v>0</v>
      </c>
      <c r="L121" s="38">
        <f t="shared" si="5"/>
        <v>0</v>
      </c>
      <c r="M121" s="39">
        <f t="shared" si="6"/>
        <v>0</v>
      </c>
      <c r="N121" s="40"/>
      <c r="O121" s="78"/>
      <c r="P121" s="35"/>
      <c r="Q121" s="35"/>
      <c r="R121" s="35"/>
      <c r="S121" s="35"/>
      <c r="T121" s="35"/>
      <c r="U121" s="35"/>
      <c r="V121" s="35"/>
      <c r="W121" s="35"/>
      <c r="X121" s="35"/>
      <c r="Y121" s="35"/>
      <c r="Z121" s="35"/>
    </row>
    <row r="122" ht="14.25" customHeight="1">
      <c r="A122" s="221"/>
      <c r="B122" s="231"/>
      <c r="C122" s="233"/>
      <c r="D122" s="212"/>
      <c r="E122" s="213"/>
      <c r="F122" s="214"/>
      <c r="G122" s="88"/>
      <c r="H122" s="36">
        <f t="shared" si="1"/>
        <v>0</v>
      </c>
      <c r="I122" s="37">
        <f t="shared" si="2"/>
        <v>0</v>
      </c>
      <c r="J122" s="38">
        <f t="shared" si="3"/>
        <v>0</v>
      </c>
      <c r="K122" s="39">
        <f t="shared" si="4"/>
        <v>0</v>
      </c>
      <c r="L122" s="38">
        <f t="shared" si="5"/>
        <v>0</v>
      </c>
      <c r="M122" s="39">
        <f t="shared" si="6"/>
        <v>0</v>
      </c>
      <c r="N122" s="40"/>
      <c r="O122" s="78"/>
      <c r="P122" s="35"/>
      <c r="Q122" s="35"/>
      <c r="R122" s="35"/>
      <c r="S122" s="35"/>
      <c r="T122" s="35"/>
      <c r="U122" s="35"/>
      <c r="V122" s="35"/>
      <c r="W122" s="35"/>
      <c r="X122" s="35"/>
      <c r="Y122" s="35"/>
      <c r="Z122" s="35"/>
    </row>
    <row r="123" ht="14.25" customHeight="1">
      <c r="A123" s="221"/>
      <c r="B123" s="231"/>
      <c r="C123" s="233"/>
      <c r="D123" s="212"/>
      <c r="E123" s="213"/>
      <c r="F123" s="214"/>
      <c r="G123" s="88"/>
      <c r="H123" s="36">
        <f t="shared" si="1"/>
        <v>0</v>
      </c>
      <c r="I123" s="37">
        <f t="shared" si="2"/>
        <v>0</v>
      </c>
      <c r="J123" s="38">
        <f t="shared" si="3"/>
        <v>0</v>
      </c>
      <c r="K123" s="39">
        <f t="shared" si="4"/>
        <v>0</v>
      </c>
      <c r="L123" s="38">
        <f t="shared" si="5"/>
        <v>0</v>
      </c>
      <c r="M123" s="39">
        <f t="shared" si="6"/>
        <v>0</v>
      </c>
      <c r="N123" s="40"/>
      <c r="O123" s="78"/>
      <c r="P123" s="35"/>
      <c r="Q123" s="35"/>
      <c r="R123" s="35"/>
      <c r="S123" s="35"/>
      <c r="T123" s="35"/>
      <c r="U123" s="35"/>
      <c r="V123" s="35"/>
      <c r="W123" s="35"/>
      <c r="X123" s="35"/>
      <c r="Y123" s="35"/>
      <c r="Z123" s="35"/>
    </row>
    <row r="124" ht="14.25" customHeight="1">
      <c r="A124" s="221"/>
      <c r="B124" s="231"/>
      <c r="C124" s="233"/>
      <c r="D124" s="212"/>
      <c r="E124" s="213"/>
      <c r="F124" s="214"/>
      <c r="G124" s="88"/>
      <c r="H124" s="36">
        <f t="shared" si="1"/>
        <v>0</v>
      </c>
      <c r="I124" s="37">
        <f t="shared" si="2"/>
        <v>0</v>
      </c>
      <c r="J124" s="38">
        <f t="shared" si="3"/>
        <v>0</v>
      </c>
      <c r="K124" s="39">
        <f t="shared" si="4"/>
        <v>0</v>
      </c>
      <c r="L124" s="38">
        <f t="shared" si="5"/>
        <v>0</v>
      </c>
      <c r="M124" s="39">
        <f t="shared" si="6"/>
        <v>0</v>
      </c>
      <c r="N124" s="40"/>
      <c r="O124" s="78"/>
      <c r="P124" s="35"/>
      <c r="Q124" s="35"/>
      <c r="R124" s="35"/>
      <c r="S124" s="35"/>
      <c r="T124" s="35"/>
      <c r="U124" s="35"/>
      <c r="V124" s="35"/>
      <c r="W124" s="35"/>
      <c r="X124" s="35"/>
      <c r="Y124" s="35"/>
      <c r="Z124" s="35"/>
    </row>
    <row r="125" ht="14.25" customHeight="1">
      <c r="A125" s="221"/>
      <c r="B125" s="231"/>
      <c r="C125" s="233"/>
      <c r="D125" s="212"/>
      <c r="E125" s="213"/>
      <c r="F125" s="214"/>
      <c r="G125" s="88"/>
      <c r="H125" s="36">
        <f t="shared" si="1"/>
        <v>0</v>
      </c>
      <c r="I125" s="37">
        <f t="shared" si="2"/>
        <v>0</v>
      </c>
      <c r="J125" s="38">
        <f t="shared" si="3"/>
        <v>0</v>
      </c>
      <c r="K125" s="39">
        <f t="shared" si="4"/>
        <v>0</v>
      </c>
      <c r="L125" s="38">
        <f t="shared" si="5"/>
        <v>0</v>
      </c>
      <c r="M125" s="39">
        <f t="shared" si="6"/>
        <v>0</v>
      </c>
      <c r="N125" s="40"/>
      <c r="O125" s="78"/>
      <c r="P125" s="35"/>
      <c r="Q125" s="35"/>
      <c r="R125" s="35"/>
      <c r="S125" s="35"/>
      <c r="T125" s="35"/>
      <c r="U125" s="35"/>
      <c r="V125" s="35"/>
      <c r="W125" s="35"/>
      <c r="X125" s="35"/>
      <c r="Y125" s="35"/>
      <c r="Z125" s="35"/>
    </row>
    <row r="126" ht="14.25" customHeight="1">
      <c r="A126" s="221"/>
      <c r="B126" s="231"/>
      <c r="C126" s="233"/>
      <c r="D126" s="212"/>
      <c r="E126" s="213"/>
      <c r="F126" s="214"/>
      <c r="G126" s="88"/>
      <c r="H126" s="36">
        <f t="shared" si="1"/>
        <v>0</v>
      </c>
      <c r="I126" s="37">
        <f t="shared" si="2"/>
        <v>0</v>
      </c>
      <c r="J126" s="38">
        <f t="shared" si="3"/>
        <v>0</v>
      </c>
      <c r="K126" s="39">
        <f t="shared" si="4"/>
        <v>0</v>
      </c>
      <c r="L126" s="38">
        <f t="shared" si="5"/>
        <v>0</v>
      </c>
      <c r="M126" s="39">
        <f t="shared" si="6"/>
        <v>0</v>
      </c>
      <c r="N126" s="40"/>
      <c r="O126" s="78"/>
      <c r="P126" s="35"/>
      <c r="Q126" s="35"/>
      <c r="R126" s="35"/>
      <c r="S126" s="35"/>
      <c r="T126" s="35"/>
      <c r="U126" s="35"/>
      <c r="V126" s="35"/>
      <c r="W126" s="35"/>
      <c r="X126" s="35"/>
      <c r="Y126" s="35"/>
      <c r="Z126" s="35"/>
    </row>
    <row r="127" ht="14.25" customHeight="1">
      <c r="A127" s="221"/>
      <c r="B127" s="231"/>
      <c r="C127" s="233"/>
      <c r="D127" s="212"/>
      <c r="E127" s="213"/>
      <c r="F127" s="214"/>
      <c r="G127" s="88"/>
      <c r="H127" s="36">
        <f t="shared" si="1"/>
        <v>0</v>
      </c>
      <c r="I127" s="37">
        <f t="shared" si="2"/>
        <v>0</v>
      </c>
      <c r="J127" s="38">
        <f t="shared" si="3"/>
        <v>0</v>
      </c>
      <c r="K127" s="39">
        <f t="shared" si="4"/>
        <v>0</v>
      </c>
      <c r="L127" s="38">
        <f t="shared" si="5"/>
        <v>0</v>
      </c>
      <c r="M127" s="39">
        <f t="shared" si="6"/>
        <v>0</v>
      </c>
      <c r="N127" s="40"/>
      <c r="O127" s="78"/>
      <c r="P127" s="35"/>
      <c r="Q127" s="35"/>
      <c r="R127" s="35"/>
      <c r="S127" s="35"/>
      <c r="T127" s="35"/>
      <c r="U127" s="35"/>
      <c r="V127" s="35"/>
      <c r="W127" s="35"/>
      <c r="X127" s="35"/>
      <c r="Y127" s="35"/>
      <c r="Z127" s="35"/>
    </row>
    <row r="128" ht="14.25" customHeight="1">
      <c r="A128" s="221"/>
      <c r="B128" s="231"/>
      <c r="C128" s="233"/>
      <c r="D128" s="212"/>
      <c r="E128" s="213"/>
      <c r="F128" s="214"/>
      <c r="G128" s="88"/>
      <c r="H128" s="36">
        <f t="shared" si="1"/>
        <v>0</v>
      </c>
      <c r="I128" s="37">
        <f t="shared" si="2"/>
        <v>0</v>
      </c>
      <c r="J128" s="38">
        <f t="shared" si="3"/>
        <v>0</v>
      </c>
      <c r="K128" s="39">
        <f t="shared" si="4"/>
        <v>0</v>
      </c>
      <c r="L128" s="38">
        <f t="shared" si="5"/>
        <v>0</v>
      </c>
      <c r="M128" s="39">
        <f t="shared" si="6"/>
        <v>0</v>
      </c>
      <c r="N128" s="40"/>
      <c r="O128" s="78"/>
      <c r="P128" s="35"/>
      <c r="Q128" s="35"/>
      <c r="R128" s="35"/>
      <c r="S128" s="35"/>
      <c r="T128" s="35"/>
      <c r="U128" s="35"/>
      <c r="V128" s="35"/>
      <c r="W128" s="35"/>
      <c r="X128" s="35"/>
      <c r="Y128" s="35"/>
      <c r="Z128" s="35"/>
    </row>
    <row r="129" ht="14.25" customHeight="1">
      <c r="A129" s="221"/>
      <c r="B129" s="231"/>
      <c r="C129" s="233"/>
      <c r="D129" s="212"/>
      <c r="E129" s="213"/>
      <c r="F129" s="214"/>
      <c r="G129" s="88"/>
      <c r="H129" s="36">
        <f t="shared" si="1"/>
        <v>0</v>
      </c>
      <c r="I129" s="37">
        <f t="shared" si="2"/>
        <v>0</v>
      </c>
      <c r="J129" s="38">
        <f t="shared" si="3"/>
        <v>0</v>
      </c>
      <c r="K129" s="39">
        <f t="shared" si="4"/>
        <v>0</v>
      </c>
      <c r="L129" s="38">
        <f t="shared" si="5"/>
        <v>0</v>
      </c>
      <c r="M129" s="39">
        <f t="shared" si="6"/>
        <v>0</v>
      </c>
      <c r="N129" s="40"/>
      <c r="O129" s="78"/>
      <c r="P129" s="35"/>
      <c r="Q129" s="35"/>
      <c r="R129" s="35"/>
      <c r="S129" s="35"/>
      <c r="T129" s="35"/>
      <c r="U129" s="35"/>
      <c r="V129" s="35"/>
      <c r="W129" s="35"/>
      <c r="X129" s="35"/>
      <c r="Y129" s="35"/>
      <c r="Z129" s="35"/>
    </row>
    <row r="130" ht="14.25" customHeight="1">
      <c r="A130" s="221"/>
      <c r="B130" s="231"/>
      <c r="C130" s="233"/>
      <c r="D130" s="212"/>
      <c r="E130" s="213"/>
      <c r="F130" s="214"/>
      <c r="G130" s="88"/>
      <c r="H130" s="36">
        <f t="shared" si="1"/>
        <v>0</v>
      </c>
      <c r="I130" s="37">
        <f t="shared" si="2"/>
        <v>0</v>
      </c>
      <c r="J130" s="38">
        <f t="shared" si="3"/>
        <v>0</v>
      </c>
      <c r="K130" s="39">
        <f t="shared" si="4"/>
        <v>0</v>
      </c>
      <c r="L130" s="38">
        <f t="shared" si="5"/>
        <v>0</v>
      </c>
      <c r="M130" s="39">
        <f t="shared" si="6"/>
        <v>0</v>
      </c>
      <c r="N130" s="40"/>
      <c r="O130" s="78"/>
      <c r="P130" s="35"/>
      <c r="Q130" s="35"/>
      <c r="R130" s="35"/>
      <c r="S130" s="35"/>
      <c r="T130" s="35"/>
      <c r="U130" s="35"/>
      <c r="V130" s="35"/>
      <c r="W130" s="35"/>
      <c r="X130" s="35"/>
      <c r="Y130" s="35"/>
      <c r="Z130" s="35"/>
    </row>
    <row r="131" ht="14.25" customHeight="1">
      <c r="A131" s="221"/>
      <c r="B131" s="231"/>
      <c r="C131" s="233"/>
      <c r="D131" s="212"/>
      <c r="E131" s="213"/>
      <c r="F131" s="214"/>
      <c r="G131" s="88"/>
      <c r="H131" s="36">
        <f t="shared" si="1"/>
        <v>0</v>
      </c>
      <c r="I131" s="37">
        <f t="shared" si="2"/>
        <v>0</v>
      </c>
      <c r="J131" s="38">
        <f t="shared" si="3"/>
        <v>0</v>
      </c>
      <c r="K131" s="39">
        <f t="shared" si="4"/>
        <v>0</v>
      </c>
      <c r="L131" s="38">
        <f t="shared" si="5"/>
        <v>0</v>
      </c>
      <c r="M131" s="39">
        <f t="shared" si="6"/>
        <v>0</v>
      </c>
      <c r="N131" s="40"/>
      <c r="O131" s="78"/>
      <c r="P131" s="35"/>
      <c r="Q131" s="35"/>
      <c r="R131" s="35"/>
      <c r="S131" s="35"/>
      <c r="T131" s="35"/>
      <c r="U131" s="35"/>
      <c r="V131" s="35"/>
      <c r="W131" s="35"/>
      <c r="X131" s="35"/>
      <c r="Y131" s="35"/>
      <c r="Z131" s="35"/>
    </row>
    <row r="132" ht="14.25" customHeight="1">
      <c r="A132" s="221"/>
      <c r="B132" s="231"/>
      <c r="C132" s="233"/>
      <c r="D132" s="212"/>
      <c r="E132" s="213"/>
      <c r="F132" s="214"/>
      <c r="G132" s="88"/>
      <c r="H132" s="36">
        <f t="shared" si="1"/>
        <v>0</v>
      </c>
      <c r="I132" s="37">
        <f t="shared" si="2"/>
        <v>0</v>
      </c>
      <c r="J132" s="38">
        <f t="shared" si="3"/>
        <v>0</v>
      </c>
      <c r="K132" s="39">
        <f t="shared" si="4"/>
        <v>0</v>
      </c>
      <c r="L132" s="38">
        <f t="shared" si="5"/>
        <v>0</v>
      </c>
      <c r="M132" s="39">
        <f t="shared" si="6"/>
        <v>0</v>
      </c>
      <c r="N132" s="40"/>
      <c r="O132" s="78"/>
      <c r="P132" s="35"/>
      <c r="Q132" s="35"/>
      <c r="R132" s="35"/>
      <c r="S132" s="35"/>
      <c r="T132" s="35"/>
      <c r="U132" s="35"/>
      <c r="V132" s="35"/>
      <c r="W132" s="35"/>
      <c r="X132" s="35"/>
      <c r="Y132" s="35"/>
      <c r="Z132" s="35"/>
    </row>
    <row r="133" ht="14.25" customHeight="1">
      <c r="A133" s="221"/>
      <c r="B133" s="231"/>
      <c r="C133" s="233"/>
      <c r="D133" s="212"/>
      <c r="E133" s="213"/>
      <c r="F133" s="214"/>
      <c r="G133" s="88"/>
      <c r="H133" s="36">
        <f t="shared" si="1"/>
        <v>0</v>
      </c>
      <c r="I133" s="37">
        <f t="shared" si="2"/>
        <v>0</v>
      </c>
      <c r="J133" s="38">
        <f t="shared" si="3"/>
        <v>0</v>
      </c>
      <c r="K133" s="39">
        <f t="shared" si="4"/>
        <v>0</v>
      </c>
      <c r="L133" s="38">
        <f t="shared" si="5"/>
        <v>0</v>
      </c>
      <c r="M133" s="39">
        <f t="shared" si="6"/>
        <v>0</v>
      </c>
      <c r="N133" s="40"/>
      <c r="O133" s="78"/>
      <c r="P133" s="35"/>
      <c r="Q133" s="35"/>
      <c r="R133" s="35"/>
      <c r="S133" s="35"/>
      <c r="T133" s="35"/>
      <c r="U133" s="35"/>
      <c r="V133" s="35"/>
      <c r="W133" s="35"/>
      <c r="X133" s="35"/>
      <c r="Y133" s="35"/>
      <c r="Z133" s="35"/>
    </row>
    <row r="134" ht="14.25" customHeight="1">
      <c r="A134" s="221"/>
      <c r="B134" s="231"/>
      <c r="C134" s="233"/>
      <c r="D134" s="212"/>
      <c r="E134" s="213"/>
      <c r="F134" s="214"/>
      <c r="G134" s="88"/>
      <c r="H134" s="36">
        <f t="shared" si="1"/>
        <v>0</v>
      </c>
      <c r="I134" s="37">
        <f t="shared" si="2"/>
        <v>0</v>
      </c>
      <c r="J134" s="38">
        <f t="shared" si="3"/>
        <v>0</v>
      </c>
      <c r="K134" s="39">
        <f t="shared" si="4"/>
        <v>0</v>
      </c>
      <c r="L134" s="38">
        <f t="shared" si="5"/>
        <v>0</v>
      </c>
      <c r="M134" s="39">
        <f t="shared" si="6"/>
        <v>0</v>
      </c>
      <c r="N134" s="40"/>
      <c r="O134" s="78"/>
      <c r="P134" s="35"/>
      <c r="Q134" s="35"/>
      <c r="R134" s="35"/>
      <c r="S134" s="35"/>
      <c r="T134" s="35"/>
      <c r="U134" s="35"/>
      <c r="V134" s="35"/>
      <c r="W134" s="35"/>
      <c r="X134" s="35"/>
      <c r="Y134" s="35"/>
      <c r="Z134" s="35"/>
    </row>
    <row r="135" ht="14.25" customHeight="1">
      <c r="A135" s="221"/>
      <c r="B135" s="231"/>
      <c r="C135" s="233"/>
      <c r="D135" s="212"/>
      <c r="E135" s="213"/>
      <c r="F135" s="214"/>
      <c r="G135" s="88"/>
      <c r="H135" s="36">
        <f t="shared" si="1"/>
        <v>0</v>
      </c>
      <c r="I135" s="37">
        <f t="shared" si="2"/>
        <v>0</v>
      </c>
      <c r="J135" s="38">
        <f t="shared" si="3"/>
        <v>0</v>
      </c>
      <c r="K135" s="39">
        <f t="shared" si="4"/>
        <v>0</v>
      </c>
      <c r="L135" s="38">
        <f t="shared" si="5"/>
        <v>0</v>
      </c>
      <c r="M135" s="39">
        <f t="shared" si="6"/>
        <v>0</v>
      </c>
      <c r="N135" s="40"/>
      <c r="O135" s="78"/>
      <c r="P135" s="35"/>
      <c r="Q135" s="35"/>
      <c r="R135" s="35"/>
      <c r="S135" s="35"/>
      <c r="T135" s="35"/>
      <c r="U135" s="35"/>
      <c r="V135" s="35"/>
      <c r="W135" s="35"/>
      <c r="X135" s="35"/>
      <c r="Y135" s="35"/>
      <c r="Z135" s="35"/>
    </row>
    <row r="136" ht="14.25" customHeight="1">
      <c r="A136" s="221"/>
      <c r="B136" s="231"/>
      <c r="C136" s="233"/>
      <c r="D136" s="212"/>
      <c r="E136" s="213"/>
      <c r="F136" s="214"/>
      <c r="G136" s="88"/>
      <c r="H136" s="36">
        <f t="shared" si="1"/>
        <v>0</v>
      </c>
      <c r="I136" s="37">
        <f t="shared" si="2"/>
        <v>0</v>
      </c>
      <c r="J136" s="38">
        <f t="shared" si="3"/>
        <v>0</v>
      </c>
      <c r="K136" s="39">
        <f t="shared" si="4"/>
        <v>0</v>
      </c>
      <c r="L136" s="38">
        <f t="shared" si="5"/>
        <v>0</v>
      </c>
      <c r="M136" s="39">
        <f t="shared" si="6"/>
        <v>0</v>
      </c>
      <c r="N136" s="40"/>
      <c r="O136" s="78"/>
      <c r="P136" s="35"/>
      <c r="Q136" s="35"/>
      <c r="R136" s="35"/>
      <c r="S136" s="35"/>
      <c r="T136" s="35"/>
      <c r="U136" s="35"/>
      <c r="V136" s="35"/>
      <c r="W136" s="35"/>
      <c r="X136" s="35"/>
      <c r="Y136" s="35"/>
      <c r="Z136" s="35"/>
    </row>
    <row r="137" ht="14.25" customHeight="1">
      <c r="A137" s="221"/>
      <c r="B137" s="231"/>
      <c r="C137" s="233"/>
      <c r="D137" s="212"/>
      <c r="E137" s="213"/>
      <c r="F137" s="214"/>
      <c r="G137" s="88"/>
      <c r="H137" s="36">
        <f t="shared" si="1"/>
        <v>0</v>
      </c>
      <c r="I137" s="37">
        <f t="shared" si="2"/>
        <v>0</v>
      </c>
      <c r="J137" s="38">
        <f t="shared" si="3"/>
        <v>0</v>
      </c>
      <c r="K137" s="39">
        <f t="shared" si="4"/>
        <v>0</v>
      </c>
      <c r="L137" s="38">
        <f t="shared" si="5"/>
        <v>0</v>
      </c>
      <c r="M137" s="39">
        <f t="shared" si="6"/>
        <v>0</v>
      </c>
      <c r="N137" s="40"/>
      <c r="O137" s="78"/>
      <c r="P137" s="35"/>
      <c r="Q137" s="35"/>
      <c r="R137" s="35"/>
      <c r="S137" s="35"/>
      <c r="T137" s="35"/>
      <c r="U137" s="35"/>
      <c r="V137" s="35"/>
      <c r="W137" s="35"/>
      <c r="X137" s="35"/>
      <c r="Y137" s="35"/>
      <c r="Z137" s="35"/>
    </row>
    <row r="138" ht="14.25" customHeight="1">
      <c r="A138" s="221"/>
      <c r="B138" s="231"/>
      <c r="C138" s="233"/>
      <c r="D138" s="212"/>
      <c r="E138" s="213"/>
      <c r="F138" s="214"/>
      <c r="G138" s="88"/>
      <c r="H138" s="36">
        <f t="shared" si="1"/>
        <v>0</v>
      </c>
      <c r="I138" s="37">
        <f t="shared" si="2"/>
        <v>0</v>
      </c>
      <c r="J138" s="38">
        <f t="shared" si="3"/>
        <v>0</v>
      </c>
      <c r="K138" s="39">
        <f t="shared" si="4"/>
        <v>0</v>
      </c>
      <c r="L138" s="38">
        <f t="shared" si="5"/>
        <v>0</v>
      </c>
      <c r="M138" s="39">
        <f t="shared" si="6"/>
        <v>0</v>
      </c>
      <c r="N138" s="40"/>
      <c r="O138" s="78"/>
      <c r="P138" s="35"/>
      <c r="Q138" s="35"/>
      <c r="R138" s="35"/>
      <c r="S138" s="35"/>
      <c r="T138" s="35"/>
      <c r="U138" s="35"/>
      <c r="V138" s="35"/>
      <c r="W138" s="35"/>
      <c r="X138" s="35"/>
      <c r="Y138" s="35"/>
      <c r="Z138" s="35"/>
    </row>
    <row r="139" ht="14.25" customHeight="1">
      <c r="A139" s="221"/>
      <c r="B139" s="231"/>
      <c r="C139" s="233"/>
      <c r="D139" s="212"/>
      <c r="E139" s="213"/>
      <c r="F139" s="214"/>
      <c r="G139" s="88"/>
      <c r="H139" s="36">
        <f t="shared" si="1"/>
        <v>0</v>
      </c>
      <c r="I139" s="37">
        <f t="shared" si="2"/>
        <v>0</v>
      </c>
      <c r="J139" s="38">
        <f t="shared" si="3"/>
        <v>0</v>
      </c>
      <c r="K139" s="39">
        <f t="shared" si="4"/>
        <v>0</v>
      </c>
      <c r="L139" s="38">
        <f t="shared" si="5"/>
        <v>0</v>
      </c>
      <c r="M139" s="39">
        <f t="shared" si="6"/>
        <v>0</v>
      </c>
      <c r="N139" s="40"/>
      <c r="O139" s="78"/>
      <c r="P139" s="35"/>
      <c r="Q139" s="35"/>
      <c r="R139" s="35"/>
      <c r="S139" s="35"/>
      <c r="T139" s="35"/>
      <c r="U139" s="35"/>
      <c r="V139" s="35"/>
      <c r="W139" s="35"/>
      <c r="X139" s="35"/>
      <c r="Y139" s="35"/>
      <c r="Z139" s="35"/>
    </row>
    <row r="140" ht="14.25" customHeight="1">
      <c r="A140" s="221"/>
      <c r="B140" s="231"/>
      <c r="C140" s="233"/>
      <c r="D140" s="212"/>
      <c r="E140" s="213"/>
      <c r="F140" s="214"/>
      <c r="G140" s="88"/>
      <c r="H140" s="36">
        <f t="shared" si="1"/>
        <v>0</v>
      </c>
      <c r="I140" s="37">
        <f t="shared" si="2"/>
        <v>0</v>
      </c>
      <c r="J140" s="38">
        <f t="shared" si="3"/>
        <v>0</v>
      </c>
      <c r="K140" s="39">
        <f t="shared" si="4"/>
        <v>0</v>
      </c>
      <c r="L140" s="38">
        <f t="shared" si="5"/>
        <v>0</v>
      </c>
      <c r="M140" s="39">
        <f t="shared" si="6"/>
        <v>0</v>
      </c>
      <c r="N140" s="40"/>
      <c r="O140" s="78"/>
      <c r="P140" s="35"/>
      <c r="Q140" s="35"/>
      <c r="R140" s="35"/>
      <c r="S140" s="35"/>
      <c r="T140" s="35"/>
      <c r="U140" s="35"/>
      <c r="V140" s="35"/>
      <c r="W140" s="35"/>
      <c r="X140" s="35"/>
      <c r="Y140" s="35"/>
      <c r="Z140" s="35"/>
    </row>
    <row r="141" ht="14.25" customHeight="1">
      <c r="A141" s="221"/>
      <c r="B141" s="231"/>
      <c r="C141" s="233"/>
      <c r="D141" s="212"/>
      <c r="E141" s="213"/>
      <c r="F141" s="214"/>
      <c r="G141" s="88"/>
      <c r="H141" s="36">
        <f t="shared" si="1"/>
        <v>0</v>
      </c>
      <c r="I141" s="37">
        <f t="shared" si="2"/>
        <v>0</v>
      </c>
      <c r="J141" s="38">
        <f t="shared" si="3"/>
        <v>0</v>
      </c>
      <c r="K141" s="39">
        <f t="shared" si="4"/>
        <v>0</v>
      </c>
      <c r="L141" s="38">
        <f t="shared" si="5"/>
        <v>0</v>
      </c>
      <c r="M141" s="39">
        <f t="shared" si="6"/>
        <v>0</v>
      </c>
      <c r="N141" s="40"/>
      <c r="O141" s="78"/>
      <c r="P141" s="35"/>
      <c r="Q141" s="35"/>
      <c r="R141" s="35"/>
      <c r="S141" s="35"/>
      <c r="T141" s="35"/>
      <c r="U141" s="35"/>
      <c r="V141" s="35"/>
      <c r="W141" s="35"/>
      <c r="X141" s="35"/>
      <c r="Y141" s="35"/>
      <c r="Z141" s="35"/>
    </row>
    <row r="142" ht="14.25" customHeight="1">
      <c r="A142" s="221"/>
      <c r="B142" s="231"/>
      <c r="C142" s="233"/>
      <c r="D142" s="212"/>
      <c r="E142" s="213"/>
      <c r="F142" s="214"/>
      <c r="G142" s="88"/>
      <c r="H142" s="36">
        <f t="shared" si="1"/>
        <v>0</v>
      </c>
      <c r="I142" s="37">
        <f t="shared" si="2"/>
        <v>0</v>
      </c>
      <c r="J142" s="38">
        <f t="shared" si="3"/>
        <v>0</v>
      </c>
      <c r="K142" s="39">
        <f t="shared" si="4"/>
        <v>0</v>
      </c>
      <c r="L142" s="38">
        <f t="shared" si="5"/>
        <v>0</v>
      </c>
      <c r="M142" s="39">
        <f t="shared" si="6"/>
        <v>0</v>
      </c>
      <c r="N142" s="40"/>
      <c r="O142" s="78"/>
      <c r="P142" s="35"/>
      <c r="Q142" s="35"/>
      <c r="R142" s="35"/>
      <c r="S142" s="35"/>
      <c r="T142" s="35"/>
      <c r="U142" s="35"/>
      <c r="V142" s="35"/>
      <c r="W142" s="35"/>
      <c r="X142" s="35"/>
      <c r="Y142" s="35"/>
      <c r="Z142" s="35"/>
    </row>
    <row r="143" ht="14.25" customHeight="1">
      <c r="A143" s="221"/>
      <c r="B143" s="231"/>
      <c r="C143" s="233"/>
      <c r="D143" s="212"/>
      <c r="E143" s="213"/>
      <c r="F143" s="214"/>
      <c r="G143" s="88"/>
      <c r="H143" s="36">
        <f t="shared" si="1"/>
        <v>0</v>
      </c>
      <c r="I143" s="37">
        <f t="shared" si="2"/>
        <v>0</v>
      </c>
      <c r="J143" s="38">
        <f t="shared" si="3"/>
        <v>0</v>
      </c>
      <c r="K143" s="39">
        <f t="shared" si="4"/>
        <v>0</v>
      </c>
      <c r="L143" s="38">
        <f t="shared" si="5"/>
        <v>0</v>
      </c>
      <c r="M143" s="39">
        <f t="shared" si="6"/>
        <v>0</v>
      </c>
      <c r="N143" s="40"/>
      <c r="O143" s="78"/>
      <c r="P143" s="35"/>
      <c r="Q143" s="35"/>
      <c r="R143" s="35"/>
      <c r="S143" s="35"/>
      <c r="T143" s="35"/>
      <c r="U143" s="35"/>
      <c r="V143" s="35"/>
      <c r="W143" s="35"/>
      <c r="X143" s="35"/>
      <c r="Y143" s="35"/>
      <c r="Z143" s="35"/>
    </row>
    <row r="144" ht="14.25" customHeight="1">
      <c r="A144" s="221"/>
      <c r="B144" s="231"/>
      <c r="C144" s="233"/>
      <c r="D144" s="212"/>
      <c r="E144" s="213"/>
      <c r="F144" s="214"/>
      <c r="G144" s="88"/>
      <c r="H144" s="36">
        <f t="shared" si="1"/>
        <v>0</v>
      </c>
      <c r="I144" s="37">
        <f t="shared" si="2"/>
        <v>0</v>
      </c>
      <c r="J144" s="38">
        <f t="shared" si="3"/>
        <v>0</v>
      </c>
      <c r="K144" s="39">
        <f t="shared" si="4"/>
        <v>0</v>
      </c>
      <c r="L144" s="38">
        <f t="shared" si="5"/>
        <v>0</v>
      </c>
      <c r="M144" s="39">
        <f t="shared" si="6"/>
        <v>0</v>
      </c>
      <c r="N144" s="40"/>
      <c r="O144" s="78"/>
      <c r="P144" s="35"/>
      <c r="Q144" s="35"/>
      <c r="R144" s="35"/>
      <c r="S144" s="35"/>
      <c r="T144" s="35"/>
      <c r="U144" s="35"/>
      <c r="V144" s="35"/>
      <c r="W144" s="35"/>
      <c r="X144" s="35"/>
      <c r="Y144" s="35"/>
      <c r="Z144" s="35"/>
    </row>
    <row r="145" ht="14.25" customHeight="1">
      <c r="A145" s="221"/>
      <c r="B145" s="231"/>
      <c r="C145" s="233"/>
      <c r="D145" s="212"/>
      <c r="E145" s="213"/>
      <c r="F145" s="214"/>
      <c r="G145" s="88"/>
      <c r="H145" s="36">
        <f t="shared" si="1"/>
        <v>0</v>
      </c>
      <c r="I145" s="37">
        <f t="shared" si="2"/>
        <v>0</v>
      </c>
      <c r="J145" s="38">
        <f t="shared" si="3"/>
        <v>0</v>
      </c>
      <c r="K145" s="39">
        <f t="shared" si="4"/>
        <v>0</v>
      </c>
      <c r="L145" s="38">
        <f t="shared" si="5"/>
        <v>0</v>
      </c>
      <c r="M145" s="39">
        <f t="shared" si="6"/>
        <v>0</v>
      </c>
      <c r="N145" s="40"/>
      <c r="O145" s="34"/>
      <c r="P145" s="35"/>
      <c r="Q145" s="35"/>
      <c r="R145" s="35"/>
      <c r="S145" s="35"/>
      <c r="T145" s="35"/>
      <c r="U145" s="35"/>
      <c r="V145" s="35"/>
      <c r="W145" s="35"/>
      <c r="X145" s="35"/>
      <c r="Y145" s="35"/>
      <c r="Z145" s="35"/>
    </row>
    <row r="146" ht="14.25" customHeight="1">
      <c r="A146" s="221"/>
      <c r="B146" s="231"/>
      <c r="C146" s="233"/>
      <c r="D146" s="212"/>
      <c r="E146" s="213"/>
      <c r="F146" s="214"/>
      <c r="G146" s="88"/>
      <c r="H146" s="36">
        <f t="shared" si="1"/>
        <v>0</v>
      </c>
      <c r="I146" s="37">
        <f t="shared" si="2"/>
        <v>0</v>
      </c>
      <c r="J146" s="38">
        <f t="shared" si="3"/>
        <v>0</v>
      </c>
      <c r="K146" s="39">
        <f t="shared" si="4"/>
        <v>0</v>
      </c>
      <c r="L146" s="38">
        <f t="shared" si="5"/>
        <v>0</v>
      </c>
      <c r="M146" s="39">
        <f t="shared" si="6"/>
        <v>0</v>
      </c>
      <c r="N146" s="40"/>
      <c r="O146" s="34"/>
      <c r="P146" s="35"/>
      <c r="Q146" s="35"/>
      <c r="R146" s="35"/>
      <c r="S146" s="35"/>
      <c r="T146" s="35"/>
      <c r="U146" s="35"/>
      <c r="V146" s="35"/>
      <c r="W146" s="35"/>
      <c r="X146" s="35"/>
      <c r="Y146" s="35"/>
      <c r="Z146" s="35"/>
    </row>
    <row r="147" ht="14.25" customHeight="1">
      <c r="A147" s="221"/>
      <c r="B147" s="231"/>
      <c r="C147" s="233"/>
      <c r="D147" s="212"/>
      <c r="E147" s="213"/>
      <c r="F147" s="214"/>
      <c r="G147" s="88"/>
      <c r="H147" s="36">
        <f t="shared" si="1"/>
        <v>0</v>
      </c>
      <c r="I147" s="37">
        <f t="shared" si="2"/>
        <v>0</v>
      </c>
      <c r="J147" s="38">
        <f t="shared" si="3"/>
        <v>0</v>
      </c>
      <c r="K147" s="39">
        <f t="shared" si="4"/>
        <v>0</v>
      </c>
      <c r="L147" s="38">
        <f t="shared" si="5"/>
        <v>0</v>
      </c>
      <c r="M147" s="39">
        <f t="shared" si="6"/>
        <v>0</v>
      </c>
      <c r="N147" s="40"/>
      <c r="O147" s="34"/>
      <c r="P147" s="35"/>
      <c r="Q147" s="35"/>
      <c r="R147" s="35"/>
      <c r="S147" s="35"/>
      <c r="T147" s="35"/>
      <c r="U147" s="35"/>
      <c r="V147" s="35"/>
      <c r="W147" s="35"/>
      <c r="X147" s="35"/>
      <c r="Y147" s="35"/>
      <c r="Z147" s="35"/>
    </row>
    <row r="148" ht="14.25" customHeight="1">
      <c r="A148" s="221"/>
      <c r="B148" s="231"/>
      <c r="C148" s="233"/>
      <c r="D148" s="212"/>
      <c r="E148" s="213"/>
      <c r="F148" s="214"/>
      <c r="G148" s="88"/>
      <c r="H148" s="36">
        <f t="shared" si="1"/>
        <v>0</v>
      </c>
      <c r="I148" s="37">
        <f t="shared" si="2"/>
        <v>0</v>
      </c>
      <c r="J148" s="38">
        <f t="shared" si="3"/>
        <v>0</v>
      </c>
      <c r="K148" s="39">
        <f t="shared" si="4"/>
        <v>0</v>
      </c>
      <c r="L148" s="38">
        <f t="shared" si="5"/>
        <v>0</v>
      </c>
      <c r="M148" s="39">
        <f t="shared" si="6"/>
        <v>0</v>
      </c>
      <c r="N148" s="40"/>
      <c r="O148" s="34"/>
      <c r="P148" s="35"/>
      <c r="Q148" s="35"/>
      <c r="R148" s="35"/>
      <c r="S148" s="35"/>
      <c r="T148" s="35"/>
      <c r="U148" s="35"/>
      <c r="V148" s="35"/>
      <c r="W148" s="35"/>
      <c r="X148" s="35"/>
      <c r="Y148" s="35"/>
      <c r="Z148" s="35"/>
    </row>
    <row r="149" ht="14.25" customHeight="1">
      <c r="A149" s="221"/>
      <c r="B149" s="231"/>
      <c r="C149" s="233"/>
      <c r="D149" s="212"/>
      <c r="E149" s="213"/>
      <c r="F149" s="214"/>
      <c r="G149" s="88"/>
      <c r="H149" s="36">
        <f t="shared" si="1"/>
        <v>0</v>
      </c>
      <c r="I149" s="37">
        <f t="shared" si="2"/>
        <v>0</v>
      </c>
      <c r="J149" s="38">
        <f t="shared" si="3"/>
        <v>0</v>
      </c>
      <c r="K149" s="39">
        <f t="shared" si="4"/>
        <v>0</v>
      </c>
      <c r="L149" s="38">
        <f t="shared" si="5"/>
        <v>0</v>
      </c>
      <c r="M149" s="39">
        <f t="shared" si="6"/>
        <v>0</v>
      </c>
      <c r="N149" s="40"/>
      <c r="O149" s="34"/>
      <c r="P149" s="35"/>
      <c r="Q149" s="35"/>
      <c r="R149" s="35"/>
      <c r="S149" s="35"/>
      <c r="T149" s="35"/>
      <c r="U149" s="35"/>
      <c r="V149" s="35"/>
      <c r="W149" s="35"/>
      <c r="X149" s="35"/>
      <c r="Y149" s="35"/>
      <c r="Z149" s="35"/>
    </row>
    <row r="150" ht="14.25" customHeight="1">
      <c r="A150" s="221"/>
      <c r="B150" s="231"/>
      <c r="C150" s="233"/>
      <c r="D150" s="212"/>
      <c r="E150" s="213"/>
      <c r="F150" s="214"/>
      <c r="G150" s="88"/>
      <c r="H150" s="36">
        <f t="shared" si="1"/>
        <v>0</v>
      </c>
      <c r="I150" s="37">
        <f t="shared" si="2"/>
        <v>0</v>
      </c>
      <c r="J150" s="38">
        <f t="shared" si="3"/>
        <v>0</v>
      </c>
      <c r="K150" s="39">
        <f t="shared" si="4"/>
        <v>0</v>
      </c>
      <c r="L150" s="38">
        <f t="shared" si="5"/>
        <v>0</v>
      </c>
      <c r="M150" s="39">
        <f t="shared" si="6"/>
        <v>0</v>
      </c>
      <c r="N150" s="40"/>
      <c r="O150" s="34"/>
      <c r="P150" s="35"/>
      <c r="Q150" s="35"/>
      <c r="R150" s="35"/>
      <c r="S150" s="35"/>
      <c r="T150" s="35"/>
      <c r="U150" s="35"/>
      <c r="V150" s="35"/>
      <c r="W150" s="35"/>
      <c r="X150" s="35"/>
      <c r="Y150" s="35"/>
      <c r="Z150" s="35"/>
    </row>
    <row r="151" ht="14.25" customHeight="1">
      <c r="A151" s="221"/>
      <c r="B151" s="231"/>
      <c r="C151" s="233"/>
      <c r="D151" s="212"/>
      <c r="E151" s="213"/>
      <c r="F151" s="214"/>
      <c r="G151" s="88"/>
      <c r="H151" s="36">
        <f t="shared" si="1"/>
        <v>0</v>
      </c>
      <c r="I151" s="37">
        <f t="shared" si="2"/>
        <v>0</v>
      </c>
      <c r="J151" s="38">
        <f t="shared" si="3"/>
        <v>0</v>
      </c>
      <c r="K151" s="39">
        <f t="shared" si="4"/>
        <v>0</v>
      </c>
      <c r="L151" s="38">
        <f t="shared" si="5"/>
        <v>0</v>
      </c>
      <c r="M151" s="39">
        <f t="shared" si="6"/>
        <v>0</v>
      </c>
      <c r="N151" s="40"/>
      <c r="O151" s="78"/>
      <c r="P151" s="35"/>
      <c r="Q151" s="35"/>
      <c r="R151" s="35"/>
      <c r="S151" s="35"/>
      <c r="T151" s="35"/>
      <c r="U151" s="35"/>
      <c r="V151" s="35"/>
      <c r="W151" s="35"/>
      <c r="X151" s="35"/>
      <c r="Y151" s="35"/>
      <c r="Z151" s="35"/>
    </row>
    <row r="152" ht="14.25" customHeight="1">
      <c r="A152" s="221"/>
      <c r="B152" s="231"/>
      <c r="C152" s="233"/>
      <c r="D152" s="212"/>
      <c r="E152" s="213"/>
      <c r="F152" s="214"/>
      <c r="G152" s="88"/>
      <c r="H152" s="36">
        <f t="shared" si="1"/>
        <v>0</v>
      </c>
      <c r="I152" s="37">
        <f t="shared" si="2"/>
        <v>0</v>
      </c>
      <c r="J152" s="38">
        <f t="shared" si="3"/>
        <v>0</v>
      </c>
      <c r="K152" s="39">
        <f t="shared" si="4"/>
        <v>0</v>
      </c>
      <c r="L152" s="38">
        <f t="shared" si="5"/>
        <v>0</v>
      </c>
      <c r="M152" s="39">
        <f t="shared" si="6"/>
        <v>0</v>
      </c>
      <c r="N152" s="40"/>
      <c r="O152" s="78"/>
      <c r="P152" s="35"/>
      <c r="Q152" s="35"/>
      <c r="R152" s="35"/>
      <c r="S152" s="35"/>
      <c r="T152" s="35"/>
      <c r="U152" s="35"/>
      <c r="V152" s="35"/>
      <c r="W152" s="35"/>
      <c r="X152" s="35"/>
      <c r="Y152" s="35"/>
      <c r="Z152" s="35"/>
    </row>
    <row r="153" ht="14.25" customHeight="1">
      <c r="A153" s="221"/>
      <c r="B153" s="231"/>
      <c r="C153" s="233"/>
      <c r="D153" s="212"/>
      <c r="E153" s="213"/>
      <c r="F153" s="214"/>
      <c r="G153" s="88"/>
      <c r="H153" s="36">
        <f t="shared" si="1"/>
        <v>0</v>
      </c>
      <c r="I153" s="37">
        <f t="shared" si="2"/>
        <v>0</v>
      </c>
      <c r="J153" s="38">
        <f t="shared" si="3"/>
        <v>0</v>
      </c>
      <c r="K153" s="39">
        <f t="shared" si="4"/>
        <v>0</v>
      </c>
      <c r="L153" s="38">
        <f t="shared" si="5"/>
        <v>0</v>
      </c>
      <c r="M153" s="39">
        <f t="shared" si="6"/>
        <v>0</v>
      </c>
      <c r="N153" s="40"/>
      <c r="O153" s="78"/>
      <c r="P153" s="35"/>
      <c r="Q153" s="35"/>
      <c r="R153" s="35"/>
      <c r="S153" s="35"/>
      <c r="T153" s="35"/>
      <c r="U153" s="35"/>
      <c r="V153" s="35"/>
      <c r="W153" s="35"/>
      <c r="X153" s="35"/>
      <c r="Y153" s="35"/>
      <c r="Z153" s="35"/>
    </row>
    <row r="154" ht="14.25" customHeight="1">
      <c r="A154" s="221"/>
      <c r="B154" s="231"/>
      <c r="C154" s="233"/>
      <c r="D154" s="212"/>
      <c r="E154" s="213"/>
      <c r="F154" s="214"/>
      <c r="G154" s="88"/>
      <c r="H154" s="36">
        <f t="shared" si="1"/>
        <v>0</v>
      </c>
      <c r="I154" s="37">
        <f t="shared" si="2"/>
        <v>0</v>
      </c>
      <c r="J154" s="38">
        <f t="shared" si="3"/>
        <v>0</v>
      </c>
      <c r="K154" s="39">
        <f t="shared" si="4"/>
        <v>0</v>
      </c>
      <c r="L154" s="38">
        <f t="shared" si="5"/>
        <v>0</v>
      </c>
      <c r="M154" s="39">
        <f t="shared" si="6"/>
        <v>0</v>
      </c>
      <c r="N154" s="40"/>
      <c r="O154" s="78"/>
      <c r="P154" s="35"/>
      <c r="Q154" s="35"/>
      <c r="R154" s="35"/>
      <c r="S154" s="35"/>
      <c r="T154" s="35"/>
      <c r="U154" s="35"/>
      <c r="V154" s="35"/>
      <c r="W154" s="35"/>
      <c r="X154" s="35"/>
      <c r="Y154" s="35"/>
      <c r="Z154" s="35"/>
    </row>
    <row r="155" ht="14.25" customHeight="1">
      <c r="A155" s="221"/>
      <c r="B155" s="231"/>
      <c r="C155" s="233"/>
      <c r="D155" s="212"/>
      <c r="E155" s="213"/>
      <c r="F155" s="214"/>
      <c r="G155" s="88"/>
      <c r="H155" s="36">
        <f t="shared" si="1"/>
        <v>0</v>
      </c>
      <c r="I155" s="37">
        <f t="shared" si="2"/>
        <v>0</v>
      </c>
      <c r="J155" s="38">
        <f t="shared" si="3"/>
        <v>0</v>
      </c>
      <c r="K155" s="39">
        <f t="shared" si="4"/>
        <v>0</v>
      </c>
      <c r="L155" s="38">
        <f t="shared" si="5"/>
        <v>0</v>
      </c>
      <c r="M155" s="39">
        <f t="shared" si="6"/>
        <v>0</v>
      </c>
      <c r="N155" s="40"/>
      <c r="O155" s="78"/>
      <c r="P155" s="35"/>
      <c r="Q155" s="35"/>
      <c r="R155" s="35"/>
      <c r="S155" s="35"/>
      <c r="T155" s="35"/>
      <c r="U155" s="35"/>
      <c r="V155" s="35"/>
      <c r="W155" s="35"/>
      <c r="X155" s="35"/>
      <c r="Y155" s="35"/>
      <c r="Z155" s="35"/>
    </row>
    <row r="156" ht="14.25" customHeight="1">
      <c r="A156" s="221"/>
      <c r="B156" s="231"/>
      <c r="C156" s="233"/>
      <c r="D156" s="212"/>
      <c r="E156" s="213"/>
      <c r="F156" s="214"/>
      <c r="G156" s="88"/>
      <c r="H156" s="36">
        <f t="shared" si="1"/>
        <v>0</v>
      </c>
      <c r="I156" s="37">
        <f t="shared" si="2"/>
        <v>0</v>
      </c>
      <c r="J156" s="38">
        <f t="shared" si="3"/>
        <v>0</v>
      </c>
      <c r="K156" s="39">
        <f t="shared" si="4"/>
        <v>0</v>
      </c>
      <c r="L156" s="38">
        <f t="shared" si="5"/>
        <v>0</v>
      </c>
      <c r="M156" s="39">
        <f t="shared" si="6"/>
        <v>0</v>
      </c>
      <c r="N156" s="40"/>
      <c r="O156" s="78"/>
      <c r="P156" s="35"/>
      <c r="Q156" s="35"/>
      <c r="R156" s="35"/>
      <c r="S156" s="35"/>
      <c r="T156" s="35"/>
      <c r="U156" s="35"/>
      <c r="V156" s="35"/>
      <c r="W156" s="35"/>
      <c r="X156" s="35"/>
      <c r="Y156" s="35"/>
      <c r="Z156" s="35"/>
    </row>
    <row r="157" ht="14.25" customHeight="1">
      <c r="A157" s="221"/>
      <c r="B157" s="231"/>
      <c r="C157" s="233"/>
      <c r="D157" s="212"/>
      <c r="E157" s="213"/>
      <c r="F157" s="214"/>
      <c r="G157" s="88"/>
      <c r="H157" s="36">
        <f t="shared" si="1"/>
        <v>0</v>
      </c>
      <c r="I157" s="37">
        <f t="shared" si="2"/>
        <v>0</v>
      </c>
      <c r="J157" s="38">
        <f t="shared" si="3"/>
        <v>0</v>
      </c>
      <c r="K157" s="39">
        <f t="shared" si="4"/>
        <v>0</v>
      </c>
      <c r="L157" s="38">
        <f t="shared" si="5"/>
        <v>0</v>
      </c>
      <c r="M157" s="39">
        <f t="shared" si="6"/>
        <v>0</v>
      </c>
      <c r="N157" s="40"/>
      <c r="O157" s="78"/>
      <c r="P157" s="35"/>
      <c r="Q157" s="35"/>
      <c r="R157" s="35"/>
      <c r="S157" s="35"/>
      <c r="T157" s="35"/>
      <c r="U157" s="35"/>
      <c r="V157" s="35"/>
      <c r="W157" s="35"/>
      <c r="X157" s="35"/>
      <c r="Y157" s="35"/>
      <c r="Z157" s="35"/>
    </row>
    <row r="158" ht="14.25" customHeight="1">
      <c r="A158" s="221"/>
      <c r="B158" s="231"/>
      <c r="C158" s="233"/>
      <c r="D158" s="212"/>
      <c r="E158" s="213"/>
      <c r="F158" s="214"/>
      <c r="G158" s="88"/>
      <c r="H158" s="36">
        <f t="shared" si="1"/>
        <v>0</v>
      </c>
      <c r="I158" s="37">
        <f t="shared" si="2"/>
        <v>0</v>
      </c>
      <c r="J158" s="38">
        <f t="shared" si="3"/>
        <v>0</v>
      </c>
      <c r="K158" s="39">
        <f t="shared" si="4"/>
        <v>0</v>
      </c>
      <c r="L158" s="38">
        <f t="shared" si="5"/>
        <v>0</v>
      </c>
      <c r="M158" s="39">
        <f t="shared" si="6"/>
        <v>0</v>
      </c>
      <c r="N158" s="40"/>
      <c r="O158" s="78"/>
      <c r="P158" s="35"/>
      <c r="Q158" s="35"/>
      <c r="R158" s="35"/>
      <c r="S158" s="35"/>
      <c r="T158" s="35"/>
      <c r="U158" s="35"/>
      <c r="V158" s="35"/>
      <c r="W158" s="35"/>
      <c r="X158" s="35"/>
      <c r="Y158" s="35"/>
      <c r="Z158" s="35"/>
    </row>
    <row r="159" ht="14.25" customHeight="1">
      <c r="A159" s="221"/>
      <c r="B159" s="231"/>
      <c r="C159" s="233"/>
      <c r="D159" s="212"/>
      <c r="E159" s="213"/>
      <c r="F159" s="214"/>
      <c r="G159" s="88"/>
      <c r="H159" s="36">
        <f t="shared" si="1"/>
        <v>0</v>
      </c>
      <c r="I159" s="37">
        <f t="shared" si="2"/>
        <v>0</v>
      </c>
      <c r="J159" s="38">
        <f t="shared" si="3"/>
        <v>0</v>
      </c>
      <c r="K159" s="39">
        <f t="shared" si="4"/>
        <v>0</v>
      </c>
      <c r="L159" s="38">
        <f t="shared" si="5"/>
        <v>0</v>
      </c>
      <c r="M159" s="39">
        <f t="shared" si="6"/>
        <v>0</v>
      </c>
      <c r="N159" s="40"/>
      <c r="O159" s="78"/>
      <c r="P159" s="35"/>
      <c r="Q159" s="35"/>
      <c r="R159" s="35"/>
      <c r="S159" s="35"/>
      <c r="T159" s="35"/>
      <c r="U159" s="35"/>
      <c r="V159" s="35"/>
      <c r="W159" s="35"/>
      <c r="X159" s="35"/>
      <c r="Y159" s="35"/>
      <c r="Z159" s="35"/>
    </row>
    <row r="160" ht="14.25" customHeight="1">
      <c r="A160" s="221"/>
      <c r="B160" s="231"/>
      <c r="C160" s="233"/>
      <c r="D160" s="212"/>
      <c r="E160" s="213"/>
      <c r="F160" s="214"/>
      <c r="G160" s="88"/>
      <c r="H160" s="36">
        <f t="shared" si="1"/>
        <v>0</v>
      </c>
      <c r="I160" s="37">
        <f t="shared" si="2"/>
        <v>0</v>
      </c>
      <c r="J160" s="38">
        <f t="shared" si="3"/>
        <v>0</v>
      </c>
      <c r="K160" s="39">
        <f t="shared" si="4"/>
        <v>0</v>
      </c>
      <c r="L160" s="38">
        <f t="shared" si="5"/>
        <v>0</v>
      </c>
      <c r="M160" s="39">
        <f t="shared" si="6"/>
        <v>0</v>
      </c>
      <c r="N160" s="40"/>
      <c r="O160" s="78"/>
      <c r="P160" s="35"/>
      <c r="Q160" s="35"/>
      <c r="R160" s="35"/>
      <c r="S160" s="35"/>
      <c r="T160" s="35"/>
      <c r="U160" s="35"/>
      <c r="V160" s="35"/>
      <c r="W160" s="35"/>
      <c r="X160" s="35"/>
      <c r="Y160" s="35"/>
      <c r="Z160" s="35"/>
    </row>
    <row r="161" ht="14.25" customHeight="1">
      <c r="A161" s="221"/>
      <c r="B161" s="231"/>
      <c r="C161" s="116"/>
      <c r="D161" s="223"/>
      <c r="E161" s="85"/>
      <c r="F161" s="107"/>
      <c r="G161" s="88"/>
      <c r="H161" s="36">
        <f t="shared" si="1"/>
        <v>0</v>
      </c>
      <c r="I161" s="37">
        <f t="shared" si="2"/>
        <v>0</v>
      </c>
      <c r="J161" s="38">
        <f t="shared" si="3"/>
        <v>0</v>
      </c>
      <c r="K161" s="39">
        <f t="shared" si="4"/>
        <v>0</v>
      </c>
      <c r="L161" s="38">
        <f t="shared" si="5"/>
        <v>0</v>
      </c>
      <c r="M161" s="39">
        <f t="shared" si="6"/>
        <v>0</v>
      </c>
      <c r="N161" s="40"/>
      <c r="O161" s="78"/>
      <c r="P161" s="35"/>
      <c r="Q161" s="35"/>
      <c r="R161" s="35"/>
      <c r="S161" s="35"/>
      <c r="T161" s="35"/>
      <c r="U161" s="35"/>
      <c r="V161" s="35"/>
      <c r="W161" s="35"/>
      <c r="X161" s="35"/>
      <c r="Y161" s="35"/>
      <c r="Z161" s="35"/>
    </row>
    <row r="162" ht="14.25" customHeight="1">
      <c r="A162" s="221"/>
      <c r="B162" s="231"/>
      <c r="C162" s="116"/>
      <c r="D162" s="223"/>
      <c r="E162" s="85"/>
      <c r="F162" s="107"/>
      <c r="G162" s="88"/>
      <c r="H162" s="36">
        <f t="shared" si="1"/>
        <v>0</v>
      </c>
      <c r="I162" s="37">
        <f t="shared" si="2"/>
        <v>0</v>
      </c>
      <c r="J162" s="38">
        <f t="shared" si="3"/>
        <v>0</v>
      </c>
      <c r="K162" s="39">
        <f t="shared" si="4"/>
        <v>0</v>
      </c>
      <c r="L162" s="38">
        <f t="shared" si="5"/>
        <v>0</v>
      </c>
      <c r="M162" s="39">
        <f t="shared" si="6"/>
        <v>0</v>
      </c>
      <c r="N162" s="40"/>
      <c r="O162" s="78"/>
      <c r="P162" s="35"/>
      <c r="Q162" s="35"/>
      <c r="R162" s="35"/>
      <c r="S162" s="35"/>
      <c r="T162" s="35"/>
      <c r="U162" s="35"/>
      <c r="V162" s="35"/>
      <c r="W162" s="35"/>
      <c r="X162" s="35"/>
      <c r="Y162" s="35"/>
      <c r="Z162" s="35"/>
    </row>
    <row r="163" ht="14.25" customHeight="1">
      <c r="A163" s="221"/>
      <c r="B163" s="231"/>
      <c r="C163" s="116"/>
      <c r="D163" s="223"/>
      <c r="E163" s="85"/>
      <c r="F163" s="107"/>
      <c r="G163" s="88"/>
      <c r="H163" s="36">
        <f t="shared" si="1"/>
        <v>0</v>
      </c>
      <c r="I163" s="37">
        <f t="shared" si="2"/>
        <v>0</v>
      </c>
      <c r="J163" s="38">
        <f t="shared" si="3"/>
        <v>0</v>
      </c>
      <c r="K163" s="39">
        <f t="shared" si="4"/>
        <v>0</v>
      </c>
      <c r="L163" s="38">
        <f t="shared" si="5"/>
        <v>0</v>
      </c>
      <c r="M163" s="39">
        <f t="shared" si="6"/>
        <v>0</v>
      </c>
      <c r="N163" s="40"/>
      <c r="O163" s="78"/>
      <c r="P163" s="35"/>
      <c r="Q163" s="35"/>
      <c r="R163" s="35"/>
      <c r="S163" s="35"/>
      <c r="T163" s="35"/>
      <c r="U163" s="35"/>
      <c r="V163" s="35"/>
      <c r="W163" s="35"/>
      <c r="X163" s="35"/>
      <c r="Y163" s="35"/>
      <c r="Z163" s="35"/>
    </row>
    <row r="164" ht="14.25" customHeight="1">
      <c r="A164" s="221"/>
      <c r="B164" s="231"/>
      <c r="C164" s="126"/>
      <c r="D164" s="508"/>
      <c r="E164" s="48"/>
      <c r="F164" s="107"/>
      <c r="G164" s="88"/>
      <c r="H164" s="36">
        <f t="shared" si="1"/>
        <v>0</v>
      </c>
      <c r="I164" s="37">
        <f t="shared" si="2"/>
        <v>0</v>
      </c>
      <c r="J164" s="38">
        <f t="shared" si="3"/>
        <v>0</v>
      </c>
      <c r="K164" s="39">
        <f t="shared" si="4"/>
        <v>0</v>
      </c>
      <c r="L164" s="38">
        <f t="shared" si="5"/>
        <v>0</v>
      </c>
      <c r="M164" s="39">
        <f t="shared" si="6"/>
        <v>0</v>
      </c>
      <c r="N164" s="40"/>
      <c r="O164" s="78"/>
      <c r="P164" s="35"/>
      <c r="Q164" s="35"/>
      <c r="R164" s="35"/>
      <c r="S164" s="35"/>
      <c r="T164" s="35"/>
      <c r="U164" s="35"/>
      <c r="V164" s="35"/>
      <c r="W164" s="35"/>
      <c r="X164" s="35"/>
      <c r="Y164" s="35"/>
      <c r="Z164" s="35"/>
    </row>
    <row r="165" ht="14.25" customHeight="1">
      <c r="A165" s="221"/>
      <c r="B165" s="231"/>
      <c r="C165" s="126"/>
      <c r="D165" s="223"/>
      <c r="E165" s="85"/>
      <c r="F165" s="107"/>
      <c r="G165" s="88"/>
      <c r="H165" s="36">
        <f t="shared" si="1"/>
        <v>0</v>
      </c>
      <c r="I165" s="37">
        <f t="shared" si="2"/>
        <v>0</v>
      </c>
      <c r="J165" s="38">
        <f t="shared" si="3"/>
        <v>0</v>
      </c>
      <c r="K165" s="39">
        <f t="shared" si="4"/>
        <v>0</v>
      </c>
      <c r="L165" s="38">
        <f t="shared" si="5"/>
        <v>0</v>
      </c>
      <c r="M165" s="39">
        <f t="shared" si="6"/>
        <v>0</v>
      </c>
      <c r="N165" s="40"/>
      <c r="O165" s="78"/>
      <c r="P165" s="35"/>
      <c r="Q165" s="35"/>
      <c r="R165" s="35"/>
      <c r="S165" s="35"/>
      <c r="T165" s="35"/>
      <c r="U165" s="35"/>
      <c r="V165" s="35"/>
      <c r="W165" s="35"/>
      <c r="X165" s="35"/>
      <c r="Y165" s="35"/>
      <c r="Z165" s="35"/>
    </row>
    <row r="166" ht="14.25" customHeight="1">
      <c r="A166" s="221"/>
      <c r="B166" s="231"/>
      <c r="C166" s="126"/>
      <c r="D166" s="223"/>
      <c r="E166" s="85"/>
      <c r="F166" s="107"/>
      <c r="G166" s="88"/>
      <c r="H166" s="36">
        <f t="shared" si="1"/>
        <v>0</v>
      </c>
      <c r="I166" s="37">
        <f t="shared" si="2"/>
        <v>0</v>
      </c>
      <c r="J166" s="38">
        <f t="shared" si="3"/>
        <v>0</v>
      </c>
      <c r="K166" s="39">
        <f t="shared" si="4"/>
        <v>0</v>
      </c>
      <c r="L166" s="38">
        <f t="shared" si="5"/>
        <v>0</v>
      </c>
      <c r="M166" s="39">
        <f t="shared" si="6"/>
        <v>0</v>
      </c>
      <c r="N166" s="40"/>
      <c r="O166" s="78"/>
      <c r="P166" s="35"/>
      <c r="Q166" s="35"/>
      <c r="R166" s="35"/>
      <c r="S166" s="35"/>
      <c r="T166" s="35"/>
      <c r="U166" s="35"/>
      <c r="V166" s="35"/>
      <c r="W166" s="35"/>
      <c r="X166" s="35"/>
      <c r="Y166" s="35"/>
      <c r="Z166" s="35"/>
    </row>
    <row r="167" ht="14.25" customHeight="1">
      <c r="A167" s="221"/>
      <c r="B167" s="231"/>
      <c r="C167" s="116"/>
      <c r="D167" s="223"/>
      <c r="E167" s="85"/>
      <c r="F167" s="107"/>
      <c r="G167" s="88"/>
      <c r="H167" s="36">
        <f t="shared" si="1"/>
        <v>0</v>
      </c>
      <c r="I167" s="37">
        <f t="shared" si="2"/>
        <v>0</v>
      </c>
      <c r="J167" s="38">
        <f t="shared" si="3"/>
        <v>0</v>
      </c>
      <c r="K167" s="39">
        <f t="shared" si="4"/>
        <v>0</v>
      </c>
      <c r="L167" s="38">
        <f t="shared" si="5"/>
        <v>0</v>
      </c>
      <c r="M167" s="39">
        <f t="shared" si="6"/>
        <v>0</v>
      </c>
      <c r="N167" s="40"/>
      <c r="O167" s="78"/>
      <c r="P167" s="35"/>
      <c r="Q167" s="35"/>
      <c r="R167" s="35"/>
      <c r="S167" s="35"/>
      <c r="T167" s="35"/>
      <c r="U167" s="35"/>
      <c r="V167" s="35"/>
      <c r="W167" s="35"/>
      <c r="X167" s="35"/>
      <c r="Y167" s="35"/>
      <c r="Z167" s="35"/>
    </row>
    <row r="168" ht="14.25" customHeight="1">
      <c r="A168" s="221"/>
      <c r="B168" s="231"/>
      <c r="C168" s="116"/>
      <c r="D168" s="223"/>
      <c r="E168" s="85"/>
      <c r="F168" s="107"/>
      <c r="G168" s="88"/>
      <c r="H168" s="36">
        <f t="shared" si="1"/>
        <v>0</v>
      </c>
      <c r="I168" s="37">
        <f t="shared" si="2"/>
        <v>0</v>
      </c>
      <c r="J168" s="38">
        <f t="shared" si="3"/>
        <v>0</v>
      </c>
      <c r="K168" s="39">
        <f t="shared" si="4"/>
        <v>0</v>
      </c>
      <c r="L168" s="38">
        <f t="shared" si="5"/>
        <v>0</v>
      </c>
      <c r="M168" s="39">
        <f t="shared" si="6"/>
        <v>0</v>
      </c>
      <c r="N168" s="40"/>
      <c r="O168" s="78"/>
      <c r="P168" s="35"/>
      <c r="Q168" s="35"/>
      <c r="R168" s="35"/>
      <c r="S168" s="35"/>
      <c r="T168" s="35"/>
      <c r="U168" s="35"/>
      <c r="V168" s="35"/>
      <c r="W168" s="35"/>
      <c r="X168" s="35"/>
      <c r="Y168" s="35"/>
      <c r="Z168" s="35"/>
    </row>
    <row r="169" ht="14.25" customHeight="1">
      <c r="A169" s="221"/>
      <c r="B169" s="231"/>
      <c r="C169" s="108"/>
      <c r="D169" s="223"/>
      <c r="E169" s="42"/>
      <c r="F169" s="109"/>
      <c r="G169" s="88"/>
      <c r="H169" s="36">
        <f t="shared" si="1"/>
        <v>0</v>
      </c>
      <c r="I169" s="37">
        <f t="shared" si="2"/>
        <v>0</v>
      </c>
      <c r="J169" s="38">
        <f t="shared" si="3"/>
        <v>0</v>
      </c>
      <c r="K169" s="39">
        <f t="shared" si="4"/>
        <v>0</v>
      </c>
      <c r="L169" s="38">
        <f t="shared" si="5"/>
        <v>0</v>
      </c>
      <c r="M169" s="39">
        <f t="shared" si="6"/>
        <v>0</v>
      </c>
      <c r="N169" s="40"/>
      <c r="O169" s="34"/>
      <c r="P169" s="35"/>
      <c r="Q169" s="35"/>
      <c r="R169" s="35"/>
      <c r="S169" s="35"/>
      <c r="T169" s="35"/>
      <c r="U169" s="35"/>
      <c r="V169" s="35"/>
      <c r="W169" s="35"/>
      <c r="X169" s="35"/>
      <c r="Y169" s="35"/>
      <c r="Z169" s="35"/>
    </row>
    <row r="170" ht="14.25" customHeight="1">
      <c r="A170" s="221"/>
      <c r="B170" s="231"/>
      <c r="C170" s="106"/>
      <c r="D170" s="223"/>
      <c r="E170" s="85"/>
      <c r="F170" s="107"/>
      <c r="G170" s="88"/>
      <c r="H170" s="36">
        <f t="shared" si="1"/>
        <v>0</v>
      </c>
      <c r="I170" s="37">
        <f t="shared" si="2"/>
        <v>0</v>
      </c>
      <c r="J170" s="38">
        <f t="shared" si="3"/>
        <v>0</v>
      </c>
      <c r="K170" s="39">
        <f t="shared" si="4"/>
        <v>0</v>
      </c>
      <c r="L170" s="38">
        <f t="shared" si="5"/>
        <v>0</v>
      </c>
      <c r="M170" s="39">
        <f t="shared" si="6"/>
        <v>0</v>
      </c>
      <c r="N170" s="40"/>
      <c r="O170" s="34"/>
      <c r="P170" s="35"/>
      <c r="Q170" s="35"/>
      <c r="R170" s="35"/>
      <c r="S170" s="35"/>
      <c r="T170" s="35"/>
      <c r="U170" s="35"/>
      <c r="V170" s="35"/>
      <c r="W170" s="35"/>
      <c r="X170" s="35"/>
      <c r="Y170" s="35"/>
      <c r="Z170" s="35"/>
    </row>
    <row r="171" ht="14.25" customHeight="1">
      <c r="A171" s="221"/>
      <c r="B171" s="231"/>
      <c r="C171" s="106"/>
      <c r="D171" s="223"/>
      <c r="E171" s="85"/>
      <c r="F171" s="107"/>
      <c r="G171" s="88"/>
      <c r="H171" s="36">
        <f t="shared" si="1"/>
        <v>0</v>
      </c>
      <c r="I171" s="37">
        <f t="shared" si="2"/>
        <v>0</v>
      </c>
      <c r="J171" s="38">
        <f t="shared" si="3"/>
        <v>0</v>
      </c>
      <c r="K171" s="39">
        <f t="shared" si="4"/>
        <v>0</v>
      </c>
      <c r="L171" s="38">
        <f t="shared" si="5"/>
        <v>0</v>
      </c>
      <c r="M171" s="39">
        <f t="shared" si="6"/>
        <v>0</v>
      </c>
      <c r="N171" s="40"/>
      <c r="O171" s="34"/>
      <c r="P171" s="35"/>
      <c r="Q171" s="35"/>
      <c r="R171" s="35"/>
      <c r="S171" s="35"/>
      <c r="T171" s="35"/>
      <c r="U171" s="35"/>
      <c r="V171" s="35"/>
      <c r="W171" s="35"/>
      <c r="X171" s="35"/>
      <c r="Y171" s="35"/>
      <c r="Z171" s="35"/>
    </row>
    <row r="172" ht="14.25" customHeight="1">
      <c r="A172" s="221"/>
      <c r="B172" s="231"/>
      <c r="C172" s="106"/>
      <c r="D172" s="223"/>
      <c r="E172" s="85"/>
      <c r="F172" s="107"/>
      <c r="G172" s="88"/>
      <c r="H172" s="36">
        <f t="shared" si="1"/>
        <v>0</v>
      </c>
      <c r="I172" s="37">
        <f t="shared" si="2"/>
        <v>0</v>
      </c>
      <c r="J172" s="38">
        <f t="shared" si="3"/>
        <v>0</v>
      </c>
      <c r="K172" s="39">
        <f t="shared" si="4"/>
        <v>0</v>
      </c>
      <c r="L172" s="38">
        <f t="shared" si="5"/>
        <v>0</v>
      </c>
      <c r="M172" s="39">
        <f t="shared" si="6"/>
        <v>0</v>
      </c>
      <c r="N172" s="40"/>
      <c r="O172" s="34"/>
      <c r="P172" s="35"/>
      <c r="Q172" s="35"/>
      <c r="R172" s="35"/>
      <c r="S172" s="35"/>
      <c r="T172" s="35"/>
      <c r="U172" s="35"/>
      <c r="V172" s="35"/>
      <c r="W172" s="35"/>
      <c r="X172" s="35"/>
      <c r="Y172" s="35"/>
      <c r="Z172" s="35"/>
    </row>
    <row r="173" ht="14.25" customHeight="1">
      <c r="A173" s="221"/>
      <c r="B173" s="231"/>
      <c r="C173" s="106"/>
      <c r="D173" s="223"/>
      <c r="E173" s="85"/>
      <c r="F173" s="107"/>
      <c r="G173" s="88"/>
      <c r="H173" s="36">
        <f t="shared" si="1"/>
        <v>0</v>
      </c>
      <c r="I173" s="37">
        <f t="shared" si="2"/>
        <v>0</v>
      </c>
      <c r="J173" s="38">
        <f t="shared" si="3"/>
        <v>0</v>
      </c>
      <c r="K173" s="39">
        <f t="shared" si="4"/>
        <v>0</v>
      </c>
      <c r="L173" s="38">
        <f t="shared" si="5"/>
        <v>0</v>
      </c>
      <c r="M173" s="39">
        <f t="shared" si="6"/>
        <v>0</v>
      </c>
      <c r="N173" s="40"/>
      <c r="O173" s="34"/>
      <c r="P173" s="35"/>
      <c r="Q173" s="35"/>
      <c r="R173" s="35"/>
      <c r="S173" s="35"/>
      <c r="T173" s="35"/>
      <c r="U173" s="35"/>
      <c r="V173" s="35"/>
      <c r="W173" s="35"/>
      <c r="X173" s="35"/>
      <c r="Y173" s="35"/>
      <c r="Z173" s="35"/>
    </row>
    <row r="174" ht="14.25" customHeight="1">
      <c r="A174" s="221"/>
      <c r="B174" s="231"/>
      <c r="C174" s="106"/>
      <c r="D174" s="223"/>
      <c r="E174" s="85"/>
      <c r="F174" s="107"/>
      <c r="G174" s="88"/>
      <c r="H174" s="36">
        <f t="shared" si="1"/>
        <v>0</v>
      </c>
      <c r="I174" s="37">
        <f t="shared" si="2"/>
        <v>0</v>
      </c>
      <c r="J174" s="38">
        <f t="shared" si="3"/>
        <v>0</v>
      </c>
      <c r="K174" s="39">
        <f t="shared" si="4"/>
        <v>0</v>
      </c>
      <c r="L174" s="38">
        <f t="shared" si="5"/>
        <v>0</v>
      </c>
      <c r="M174" s="39">
        <f t="shared" si="6"/>
        <v>0</v>
      </c>
      <c r="N174" s="40"/>
      <c r="O174" s="34"/>
      <c r="P174" s="35"/>
      <c r="Q174" s="35"/>
      <c r="R174" s="35"/>
      <c r="S174" s="35"/>
      <c r="T174" s="35"/>
      <c r="U174" s="35"/>
      <c r="V174" s="35"/>
      <c r="W174" s="35"/>
      <c r="X174" s="35"/>
      <c r="Y174" s="35"/>
      <c r="Z174" s="35"/>
    </row>
    <row r="175" ht="14.25" customHeight="1">
      <c r="A175" s="221"/>
      <c r="B175" s="231"/>
      <c r="C175" s="115"/>
      <c r="D175" s="223"/>
      <c r="E175" s="105"/>
      <c r="F175" s="107"/>
      <c r="G175" s="88"/>
      <c r="H175" s="36">
        <f t="shared" si="1"/>
        <v>0</v>
      </c>
      <c r="I175" s="37">
        <f t="shared" si="2"/>
        <v>0</v>
      </c>
      <c r="J175" s="38">
        <f t="shared" si="3"/>
        <v>0</v>
      </c>
      <c r="K175" s="39">
        <f t="shared" si="4"/>
        <v>0</v>
      </c>
      <c r="L175" s="38">
        <f t="shared" si="5"/>
        <v>0</v>
      </c>
      <c r="M175" s="39">
        <f t="shared" si="6"/>
        <v>0</v>
      </c>
      <c r="N175" s="40"/>
      <c r="O175" s="34"/>
      <c r="P175" s="35"/>
      <c r="Q175" s="35"/>
      <c r="R175" s="35"/>
      <c r="S175" s="35"/>
      <c r="T175" s="35"/>
      <c r="U175" s="35"/>
      <c r="V175" s="35"/>
      <c r="W175" s="35"/>
      <c r="X175" s="35"/>
      <c r="Y175" s="35"/>
      <c r="Z175" s="35"/>
    </row>
    <row r="176" ht="14.25" customHeight="1">
      <c r="A176" s="221"/>
      <c r="B176" s="231"/>
      <c r="C176" s="106"/>
      <c r="D176" s="223"/>
      <c r="E176" s="85"/>
      <c r="F176" s="107"/>
      <c r="G176" s="88"/>
      <c r="H176" s="36">
        <f t="shared" si="1"/>
        <v>0</v>
      </c>
      <c r="I176" s="37">
        <f t="shared" si="2"/>
        <v>0</v>
      </c>
      <c r="J176" s="38">
        <f t="shared" si="3"/>
        <v>0</v>
      </c>
      <c r="K176" s="39">
        <f t="shared" si="4"/>
        <v>0</v>
      </c>
      <c r="L176" s="38">
        <f t="shared" si="5"/>
        <v>0</v>
      </c>
      <c r="M176" s="39">
        <f t="shared" si="6"/>
        <v>0</v>
      </c>
      <c r="N176" s="40"/>
      <c r="O176" s="34"/>
      <c r="P176" s="35"/>
      <c r="Q176" s="35"/>
      <c r="R176" s="35"/>
      <c r="S176" s="35"/>
      <c r="T176" s="35"/>
      <c r="U176" s="35"/>
      <c r="V176" s="35"/>
      <c r="W176" s="35"/>
      <c r="X176" s="35"/>
      <c r="Y176" s="35"/>
      <c r="Z176" s="35"/>
    </row>
    <row r="177" ht="14.25" customHeight="1">
      <c r="A177" s="221"/>
      <c r="B177" s="231"/>
      <c r="C177" s="108"/>
      <c r="D177" s="525"/>
      <c r="E177" s="85"/>
      <c r="F177" s="107"/>
      <c r="G177" s="88"/>
      <c r="H177" s="36">
        <f t="shared" si="1"/>
        <v>0</v>
      </c>
      <c r="I177" s="37">
        <f t="shared" si="2"/>
        <v>0</v>
      </c>
      <c r="J177" s="38">
        <f t="shared" si="3"/>
        <v>0</v>
      </c>
      <c r="K177" s="39">
        <f t="shared" si="4"/>
        <v>0</v>
      </c>
      <c r="L177" s="38">
        <f t="shared" si="5"/>
        <v>0</v>
      </c>
      <c r="M177" s="39">
        <f t="shared" si="6"/>
        <v>0</v>
      </c>
      <c r="N177" s="40"/>
      <c r="O177" s="34"/>
      <c r="P177" s="35"/>
      <c r="Q177" s="35"/>
      <c r="R177" s="35"/>
      <c r="S177" s="35"/>
      <c r="T177" s="35"/>
      <c r="U177" s="35"/>
      <c r="V177" s="35"/>
      <c r="W177" s="35"/>
      <c r="X177" s="35"/>
      <c r="Y177" s="35"/>
      <c r="Z177" s="35"/>
    </row>
    <row r="178" ht="14.25" customHeight="1">
      <c r="A178" s="221"/>
      <c r="B178" s="231"/>
      <c r="C178" s="115"/>
      <c r="D178" s="223"/>
      <c r="E178" s="85"/>
      <c r="F178" s="238"/>
      <c r="G178" s="88"/>
      <c r="H178" s="36">
        <f t="shared" si="1"/>
        <v>0</v>
      </c>
      <c r="I178" s="37">
        <f t="shared" si="2"/>
        <v>0</v>
      </c>
      <c r="J178" s="38">
        <f t="shared" si="3"/>
        <v>0</v>
      </c>
      <c r="K178" s="39">
        <f t="shared" si="4"/>
        <v>0</v>
      </c>
      <c r="L178" s="38">
        <f t="shared" si="5"/>
        <v>0</v>
      </c>
      <c r="M178" s="39">
        <f t="shared" si="6"/>
        <v>0</v>
      </c>
      <c r="N178" s="40"/>
      <c r="O178" s="34"/>
      <c r="P178" s="35"/>
      <c r="Q178" s="35"/>
      <c r="R178" s="35"/>
      <c r="S178" s="35"/>
      <c r="T178" s="35"/>
      <c r="U178" s="35"/>
      <c r="V178" s="35"/>
      <c r="W178" s="35"/>
      <c r="X178" s="35"/>
      <c r="Y178" s="35"/>
      <c r="Z178" s="35"/>
    </row>
    <row r="179" ht="14.25" customHeight="1">
      <c r="A179" s="221"/>
      <c r="B179" s="231"/>
      <c r="C179" s="115"/>
      <c r="D179" s="223"/>
      <c r="E179" s="85"/>
      <c r="F179" s="238"/>
      <c r="G179" s="88"/>
      <c r="H179" s="36">
        <f t="shared" si="1"/>
        <v>0</v>
      </c>
      <c r="I179" s="37">
        <f t="shared" si="2"/>
        <v>0</v>
      </c>
      <c r="J179" s="38">
        <f t="shared" si="3"/>
        <v>0</v>
      </c>
      <c r="K179" s="39">
        <f t="shared" si="4"/>
        <v>0</v>
      </c>
      <c r="L179" s="38">
        <f t="shared" si="5"/>
        <v>0</v>
      </c>
      <c r="M179" s="39">
        <f t="shared" si="6"/>
        <v>0</v>
      </c>
      <c r="N179" s="40"/>
      <c r="O179" s="34"/>
      <c r="P179" s="35"/>
      <c r="Q179" s="35"/>
      <c r="R179" s="35"/>
      <c r="S179" s="35"/>
      <c r="T179" s="35"/>
      <c r="U179" s="35"/>
      <c r="V179" s="35"/>
      <c r="W179" s="35"/>
      <c r="X179" s="35"/>
      <c r="Y179" s="35"/>
      <c r="Z179" s="35"/>
    </row>
    <row r="180" ht="14.25" customHeight="1">
      <c r="A180" s="221"/>
      <c r="B180" s="231"/>
      <c r="C180" s="115"/>
      <c r="D180" s="223"/>
      <c r="E180" s="85"/>
      <c r="F180" s="238"/>
      <c r="G180" s="88"/>
      <c r="H180" s="36">
        <f t="shared" si="1"/>
        <v>0</v>
      </c>
      <c r="I180" s="37">
        <f t="shared" si="2"/>
        <v>0</v>
      </c>
      <c r="J180" s="38">
        <f t="shared" si="3"/>
        <v>0</v>
      </c>
      <c r="K180" s="39">
        <f t="shared" si="4"/>
        <v>0</v>
      </c>
      <c r="L180" s="38">
        <f t="shared" si="5"/>
        <v>0</v>
      </c>
      <c r="M180" s="39">
        <f t="shared" si="6"/>
        <v>0</v>
      </c>
      <c r="N180" s="40"/>
      <c r="O180" s="34"/>
      <c r="P180" s="35"/>
      <c r="Q180" s="35"/>
      <c r="R180" s="35"/>
      <c r="S180" s="35"/>
      <c r="T180" s="35"/>
      <c r="U180" s="35"/>
      <c r="V180" s="35"/>
      <c r="W180" s="35"/>
      <c r="X180" s="35"/>
      <c r="Y180" s="35"/>
      <c r="Z180" s="35"/>
    </row>
    <row r="181" ht="14.25" customHeight="1">
      <c r="A181" s="221"/>
      <c r="B181" s="231"/>
      <c r="C181" s="106"/>
      <c r="D181" s="223"/>
      <c r="E181" s="85"/>
      <c r="F181" s="238"/>
      <c r="G181" s="88"/>
      <c r="H181" s="36">
        <f t="shared" si="1"/>
        <v>0</v>
      </c>
      <c r="I181" s="37">
        <f t="shared" si="2"/>
        <v>0</v>
      </c>
      <c r="J181" s="38">
        <f t="shared" si="3"/>
        <v>0</v>
      </c>
      <c r="K181" s="39">
        <f t="shared" si="4"/>
        <v>0</v>
      </c>
      <c r="L181" s="38">
        <f t="shared" si="5"/>
        <v>0</v>
      </c>
      <c r="M181" s="39">
        <f t="shared" si="6"/>
        <v>0</v>
      </c>
      <c r="N181" s="40"/>
      <c r="O181" s="34"/>
      <c r="P181" s="35"/>
      <c r="Q181" s="35"/>
      <c r="R181" s="35"/>
      <c r="S181" s="35"/>
      <c r="T181" s="35"/>
      <c r="U181" s="35"/>
      <c r="V181" s="35"/>
      <c r="W181" s="35"/>
      <c r="X181" s="35"/>
      <c r="Y181" s="35"/>
      <c r="Z181" s="35"/>
    </row>
    <row r="182" ht="14.25" customHeight="1">
      <c r="A182" s="221"/>
      <c r="B182" s="231"/>
      <c r="C182" s="106"/>
      <c r="D182" s="223"/>
      <c r="E182" s="85"/>
      <c r="F182" s="238"/>
      <c r="G182" s="88"/>
      <c r="H182" s="36">
        <f t="shared" si="1"/>
        <v>0</v>
      </c>
      <c r="I182" s="37">
        <f t="shared" si="2"/>
        <v>0</v>
      </c>
      <c r="J182" s="38">
        <f t="shared" si="3"/>
        <v>0</v>
      </c>
      <c r="K182" s="39">
        <f t="shared" si="4"/>
        <v>0</v>
      </c>
      <c r="L182" s="38">
        <f t="shared" si="5"/>
        <v>0</v>
      </c>
      <c r="M182" s="39">
        <f t="shared" si="6"/>
        <v>0</v>
      </c>
      <c r="N182" s="40"/>
      <c r="O182" s="34"/>
      <c r="P182" s="35"/>
      <c r="Q182" s="35"/>
      <c r="R182" s="35"/>
      <c r="S182" s="35"/>
      <c r="T182" s="35"/>
      <c r="U182" s="35"/>
      <c r="V182" s="35"/>
      <c r="W182" s="35"/>
      <c r="X182" s="35"/>
      <c r="Y182" s="35"/>
      <c r="Z182" s="35"/>
    </row>
    <row r="183" ht="14.25" customHeight="1">
      <c r="A183" s="221"/>
      <c r="B183" s="231"/>
      <c r="C183" s="106"/>
      <c r="D183" s="223"/>
      <c r="E183" s="85"/>
      <c r="F183" s="238"/>
      <c r="G183" s="88"/>
      <c r="H183" s="36">
        <f t="shared" si="1"/>
        <v>0</v>
      </c>
      <c r="I183" s="37">
        <f t="shared" si="2"/>
        <v>0</v>
      </c>
      <c r="J183" s="38">
        <f t="shared" si="3"/>
        <v>0</v>
      </c>
      <c r="K183" s="39">
        <f t="shared" si="4"/>
        <v>0</v>
      </c>
      <c r="L183" s="38">
        <f t="shared" si="5"/>
        <v>0</v>
      </c>
      <c r="M183" s="39">
        <f t="shared" si="6"/>
        <v>0</v>
      </c>
      <c r="N183" s="40"/>
      <c r="O183" s="34"/>
      <c r="P183" s="35"/>
      <c r="Q183" s="35"/>
      <c r="R183" s="35"/>
      <c r="S183" s="35"/>
      <c r="T183" s="35"/>
      <c r="U183" s="35"/>
      <c r="V183" s="35"/>
      <c r="W183" s="35"/>
      <c r="X183" s="35"/>
      <c r="Y183" s="35"/>
      <c r="Z183" s="35"/>
    </row>
    <row r="184" ht="14.25" customHeight="1">
      <c r="A184" s="221"/>
      <c r="B184" s="231"/>
      <c r="C184" s="115"/>
      <c r="D184" s="223"/>
      <c r="E184" s="85"/>
      <c r="F184" s="238"/>
      <c r="G184" s="88"/>
      <c r="H184" s="36">
        <f t="shared" si="1"/>
        <v>0</v>
      </c>
      <c r="I184" s="37">
        <f t="shared" si="2"/>
        <v>0</v>
      </c>
      <c r="J184" s="38">
        <f t="shared" si="3"/>
        <v>0</v>
      </c>
      <c r="K184" s="39">
        <f t="shared" si="4"/>
        <v>0</v>
      </c>
      <c r="L184" s="38">
        <f t="shared" si="5"/>
        <v>0</v>
      </c>
      <c r="M184" s="39">
        <f t="shared" si="6"/>
        <v>0</v>
      </c>
      <c r="N184" s="40"/>
      <c r="O184" s="34"/>
      <c r="P184" s="35"/>
      <c r="Q184" s="35"/>
      <c r="R184" s="35"/>
      <c r="S184" s="35"/>
      <c r="T184" s="35"/>
      <c r="U184" s="35"/>
      <c r="V184" s="35"/>
      <c r="W184" s="35"/>
      <c r="X184" s="35"/>
      <c r="Y184" s="35"/>
      <c r="Z184" s="35"/>
    </row>
    <row r="185" ht="14.25" customHeight="1">
      <c r="A185" s="221"/>
      <c r="B185" s="231"/>
      <c r="C185" s="106"/>
      <c r="D185" s="223"/>
      <c r="E185" s="85"/>
      <c r="F185" s="238"/>
      <c r="G185" s="88"/>
      <c r="H185" s="36">
        <f t="shared" si="1"/>
        <v>0</v>
      </c>
      <c r="I185" s="37">
        <f t="shared" si="2"/>
        <v>0</v>
      </c>
      <c r="J185" s="38">
        <f t="shared" si="3"/>
        <v>0</v>
      </c>
      <c r="K185" s="39">
        <f t="shared" si="4"/>
        <v>0</v>
      </c>
      <c r="L185" s="38">
        <f t="shared" si="5"/>
        <v>0</v>
      </c>
      <c r="M185" s="39">
        <f t="shared" si="6"/>
        <v>0</v>
      </c>
      <c r="N185" s="40"/>
      <c r="O185" s="34"/>
      <c r="P185" s="35"/>
      <c r="Q185" s="35"/>
      <c r="R185" s="35"/>
      <c r="S185" s="35"/>
      <c r="T185" s="35"/>
      <c r="U185" s="35"/>
      <c r="V185" s="35"/>
      <c r="W185" s="35"/>
      <c r="X185" s="35"/>
      <c r="Y185" s="35"/>
      <c r="Z185" s="35"/>
    </row>
    <row r="186" ht="14.25" customHeight="1">
      <c r="A186" s="221"/>
      <c r="B186" s="231"/>
      <c r="C186" s="106"/>
      <c r="D186" s="223"/>
      <c r="E186" s="85"/>
      <c r="F186" s="238"/>
      <c r="G186" s="88"/>
      <c r="H186" s="36">
        <f t="shared" si="1"/>
        <v>0</v>
      </c>
      <c r="I186" s="37">
        <f t="shared" si="2"/>
        <v>0</v>
      </c>
      <c r="J186" s="38">
        <f t="shared" si="3"/>
        <v>0</v>
      </c>
      <c r="K186" s="39">
        <f t="shared" si="4"/>
        <v>0</v>
      </c>
      <c r="L186" s="38">
        <f t="shared" si="5"/>
        <v>0</v>
      </c>
      <c r="M186" s="39">
        <f t="shared" si="6"/>
        <v>0</v>
      </c>
      <c r="N186" s="40"/>
      <c r="O186" s="34"/>
      <c r="P186" s="35"/>
      <c r="Q186" s="35"/>
      <c r="R186" s="35"/>
      <c r="S186" s="35"/>
      <c r="T186" s="35"/>
      <c r="U186" s="35"/>
      <c r="V186" s="35"/>
      <c r="W186" s="35"/>
      <c r="X186" s="35"/>
      <c r="Y186" s="35"/>
      <c r="Z186" s="35"/>
    </row>
    <row r="187" ht="14.25" customHeight="1">
      <c r="A187" s="221"/>
      <c r="B187" s="231"/>
      <c r="C187" s="106"/>
      <c r="D187" s="223"/>
      <c r="E187" s="85"/>
      <c r="F187" s="238"/>
      <c r="G187" s="88"/>
      <c r="H187" s="36">
        <f t="shared" si="1"/>
        <v>0</v>
      </c>
      <c r="I187" s="37">
        <f t="shared" si="2"/>
        <v>0</v>
      </c>
      <c r="J187" s="38">
        <f t="shared" si="3"/>
        <v>0</v>
      </c>
      <c r="K187" s="39">
        <f t="shared" si="4"/>
        <v>0</v>
      </c>
      <c r="L187" s="38">
        <f t="shared" si="5"/>
        <v>0</v>
      </c>
      <c r="M187" s="39">
        <f t="shared" si="6"/>
        <v>0</v>
      </c>
      <c r="N187" s="40"/>
      <c r="O187" s="34"/>
      <c r="P187" s="35"/>
      <c r="Q187" s="35"/>
      <c r="R187" s="35"/>
      <c r="S187" s="35"/>
      <c r="T187" s="35"/>
      <c r="U187" s="35"/>
      <c r="V187" s="35"/>
      <c r="W187" s="35"/>
      <c r="X187" s="35"/>
      <c r="Y187" s="35"/>
      <c r="Z187" s="35"/>
    </row>
    <row r="188" ht="14.25" customHeight="1">
      <c r="A188" s="221"/>
      <c r="B188" s="231"/>
      <c r="C188" s="106"/>
      <c r="D188" s="223"/>
      <c r="E188" s="85"/>
      <c r="F188" s="238"/>
      <c r="G188" s="88"/>
      <c r="H188" s="36">
        <f t="shared" si="1"/>
        <v>0</v>
      </c>
      <c r="I188" s="37">
        <f t="shared" si="2"/>
        <v>0</v>
      </c>
      <c r="J188" s="38">
        <f t="shared" si="3"/>
        <v>0</v>
      </c>
      <c r="K188" s="39">
        <f t="shared" si="4"/>
        <v>0</v>
      </c>
      <c r="L188" s="38">
        <f t="shared" si="5"/>
        <v>0</v>
      </c>
      <c r="M188" s="39">
        <f t="shared" si="6"/>
        <v>0</v>
      </c>
      <c r="N188" s="40"/>
      <c r="O188" s="34"/>
      <c r="P188" s="35"/>
      <c r="Q188" s="35"/>
      <c r="R188" s="35"/>
      <c r="S188" s="35"/>
      <c r="T188" s="35"/>
      <c r="U188" s="35"/>
      <c r="V188" s="35"/>
      <c r="W188" s="35"/>
      <c r="X188" s="35"/>
      <c r="Y188" s="35"/>
      <c r="Z188" s="35"/>
    </row>
    <row r="189" ht="14.25" customHeight="1">
      <c r="A189" s="221"/>
      <c r="B189" s="231"/>
      <c r="C189" s="106"/>
      <c r="D189" s="223"/>
      <c r="E189" s="85"/>
      <c r="F189" s="238"/>
      <c r="G189" s="88"/>
      <c r="H189" s="36">
        <f t="shared" si="1"/>
        <v>0</v>
      </c>
      <c r="I189" s="37">
        <f t="shared" si="2"/>
        <v>0</v>
      </c>
      <c r="J189" s="38">
        <f t="shared" si="3"/>
        <v>0</v>
      </c>
      <c r="K189" s="39">
        <f t="shared" si="4"/>
        <v>0</v>
      </c>
      <c r="L189" s="38">
        <f t="shared" si="5"/>
        <v>0</v>
      </c>
      <c r="M189" s="39">
        <f t="shared" si="6"/>
        <v>0</v>
      </c>
      <c r="N189" s="40"/>
      <c r="O189" s="34"/>
      <c r="P189" s="35"/>
      <c r="Q189" s="35"/>
      <c r="R189" s="35"/>
      <c r="S189" s="35"/>
      <c r="T189" s="35"/>
      <c r="U189" s="35"/>
      <c r="V189" s="35"/>
      <c r="W189" s="35"/>
      <c r="X189" s="35"/>
      <c r="Y189" s="35"/>
      <c r="Z189" s="35"/>
    </row>
    <row r="190" ht="14.25" customHeight="1">
      <c r="A190" s="221"/>
      <c r="B190" s="231"/>
      <c r="C190" s="106"/>
      <c r="D190" s="223"/>
      <c r="E190" s="85"/>
      <c r="F190" s="238"/>
      <c r="G190" s="88"/>
      <c r="H190" s="36">
        <f t="shared" si="1"/>
        <v>0</v>
      </c>
      <c r="I190" s="37">
        <f t="shared" si="2"/>
        <v>0</v>
      </c>
      <c r="J190" s="38">
        <f t="shared" si="3"/>
        <v>0</v>
      </c>
      <c r="K190" s="39">
        <f t="shared" si="4"/>
        <v>0</v>
      </c>
      <c r="L190" s="38">
        <f t="shared" si="5"/>
        <v>0</v>
      </c>
      <c r="M190" s="39">
        <f t="shared" si="6"/>
        <v>0</v>
      </c>
      <c r="N190" s="40"/>
      <c r="O190" s="34"/>
      <c r="P190" s="35"/>
      <c r="Q190" s="35"/>
      <c r="R190" s="35"/>
      <c r="S190" s="35"/>
      <c r="T190" s="35"/>
      <c r="U190" s="35"/>
      <c r="V190" s="35"/>
      <c r="W190" s="35"/>
      <c r="X190" s="35"/>
      <c r="Y190" s="35"/>
      <c r="Z190" s="35"/>
    </row>
    <row r="191" ht="14.25" customHeight="1">
      <c r="A191" s="221"/>
      <c r="B191" s="231"/>
      <c r="C191" s="106"/>
      <c r="D191" s="223"/>
      <c r="E191" s="85"/>
      <c r="F191" s="238"/>
      <c r="G191" s="88"/>
      <c r="H191" s="36">
        <f t="shared" si="1"/>
        <v>0</v>
      </c>
      <c r="I191" s="37">
        <f t="shared" si="2"/>
        <v>0</v>
      </c>
      <c r="J191" s="38">
        <f t="shared" si="3"/>
        <v>0</v>
      </c>
      <c r="K191" s="39">
        <f t="shared" si="4"/>
        <v>0</v>
      </c>
      <c r="L191" s="38">
        <f t="shared" si="5"/>
        <v>0</v>
      </c>
      <c r="M191" s="39">
        <f t="shared" si="6"/>
        <v>0</v>
      </c>
      <c r="N191" s="40"/>
      <c r="O191" s="34"/>
      <c r="P191" s="35"/>
      <c r="Q191" s="35"/>
      <c r="R191" s="35"/>
      <c r="S191" s="35"/>
      <c r="T191" s="35"/>
      <c r="U191" s="35"/>
      <c r="V191" s="35"/>
      <c r="W191" s="35"/>
      <c r="X191" s="35"/>
      <c r="Y191" s="35"/>
      <c r="Z191" s="35"/>
    </row>
    <row r="192" ht="14.25" customHeight="1">
      <c r="A192" s="221"/>
      <c r="B192" s="231"/>
      <c r="C192" s="106"/>
      <c r="D192" s="223"/>
      <c r="E192" s="85"/>
      <c r="F192" s="238"/>
      <c r="G192" s="88"/>
      <c r="H192" s="36">
        <f t="shared" si="1"/>
        <v>0</v>
      </c>
      <c r="I192" s="37">
        <f t="shared" si="2"/>
        <v>0</v>
      </c>
      <c r="J192" s="38">
        <f t="shared" si="3"/>
        <v>0</v>
      </c>
      <c r="K192" s="39">
        <f t="shared" si="4"/>
        <v>0</v>
      </c>
      <c r="L192" s="38">
        <f t="shared" si="5"/>
        <v>0</v>
      </c>
      <c r="M192" s="39">
        <f t="shared" si="6"/>
        <v>0</v>
      </c>
      <c r="N192" s="40"/>
      <c r="O192" s="34"/>
      <c r="P192" s="35"/>
      <c r="Q192" s="35"/>
      <c r="R192" s="35"/>
      <c r="S192" s="35"/>
      <c r="T192" s="35"/>
      <c r="U192" s="35"/>
      <c r="V192" s="35"/>
      <c r="W192" s="35"/>
      <c r="X192" s="35"/>
      <c r="Y192" s="35"/>
      <c r="Z192" s="35"/>
    </row>
    <row r="193" ht="14.25" customHeight="1">
      <c r="A193" s="221"/>
      <c r="B193" s="231"/>
      <c r="C193" s="108"/>
      <c r="D193" s="525"/>
      <c r="E193" s="85"/>
      <c r="F193" s="238"/>
      <c r="G193" s="88"/>
      <c r="H193" s="36">
        <f t="shared" si="1"/>
        <v>0</v>
      </c>
      <c r="I193" s="37">
        <f t="shared" si="2"/>
        <v>0</v>
      </c>
      <c r="J193" s="38">
        <f t="shared" si="3"/>
        <v>0</v>
      </c>
      <c r="K193" s="39">
        <f t="shared" si="4"/>
        <v>0</v>
      </c>
      <c r="L193" s="38">
        <f t="shared" si="5"/>
        <v>0</v>
      </c>
      <c r="M193" s="39">
        <f t="shared" si="6"/>
        <v>0</v>
      </c>
      <c r="N193" s="40"/>
      <c r="O193" s="34"/>
      <c r="P193" s="35"/>
      <c r="Q193" s="35"/>
      <c r="R193" s="35"/>
      <c r="S193" s="35"/>
      <c r="T193" s="35"/>
      <c r="U193" s="35"/>
      <c r="V193" s="35"/>
      <c r="W193" s="35"/>
      <c r="X193" s="35"/>
      <c r="Y193" s="35"/>
      <c r="Z193" s="35"/>
    </row>
    <row r="194" ht="14.25" customHeight="1">
      <c r="A194" s="221"/>
      <c r="B194" s="231"/>
      <c r="C194" s="108"/>
      <c r="D194" s="525"/>
      <c r="E194" s="85"/>
      <c r="F194" s="238"/>
      <c r="G194" s="88"/>
      <c r="H194" s="36">
        <f t="shared" si="1"/>
        <v>0</v>
      </c>
      <c r="I194" s="37">
        <f t="shared" si="2"/>
        <v>0</v>
      </c>
      <c r="J194" s="38">
        <f t="shared" si="3"/>
        <v>0</v>
      </c>
      <c r="K194" s="39">
        <f t="shared" si="4"/>
        <v>0</v>
      </c>
      <c r="L194" s="38">
        <f t="shared" si="5"/>
        <v>0</v>
      </c>
      <c r="M194" s="39">
        <f t="shared" si="6"/>
        <v>0</v>
      </c>
      <c r="N194" s="40"/>
      <c r="O194" s="34"/>
      <c r="P194" s="35"/>
      <c r="Q194" s="35"/>
      <c r="R194" s="35"/>
      <c r="S194" s="35"/>
      <c r="T194" s="35"/>
      <c r="U194" s="35"/>
      <c r="V194" s="35"/>
      <c r="W194" s="35"/>
      <c r="X194" s="35"/>
      <c r="Y194" s="35"/>
      <c r="Z194" s="35"/>
    </row>
    <row r="195" ht="14.25" customHeight="1">
      <c r="A195" s="221"/>
      <c r="B195" s="231"/>
      <c r="C195" s="106"/>
      <c r="D195" s="223"/>
      <c r="E195" s="85"/>
      <c r="F195" s="238"/>
      <c r="G195" s="88"/>
      <c r="H195" s="36">
        <f t="shared" si="1"/>
        <v>0</v>
      </c>
      <c r="I195" s="37">
        <f t="shared" si="2"/>
        <v>0</v>
      </c>
      <c r="J195" s="38">
        <f t="shared" si="3"/>
        <v>0</v>
      </c>
      <c r="K195" s="39">
        <f t="shared" si="4"/>
        <v>0</v>
      </c>
      <c r="L195" s="38">
        <f t="shared" si="5"/>
        <v>0</v>
      </c>
      <c r="M195" s="39">
        <f t="shared" si="6"/>
        <v>0</v>
      </c>
      <c r="N195" s="40"/>
      <c r="O195" s="34"/>
      <c r="P195" s="35"/>
      <c r="Q195" s="35"/>
      <c r="R195" s="35"/>
      <c r="S195" s="35"/>
      <c r="T195" s="35"/>
      <c r="U195" s="35"/>
      <c r="V195" s="35"/>
      <c r="W195" s="35"/>
      <c r="X195" s="35"/>
      <c r="Y195" s="35"/>
      <c r="Z195" s="35"/>
    </row>
    <row r="196" ht="14.25" customHeight="1">
      <c r="A196" s="221"/>
      <c r="B196" s="231"/>
      <c r="C196" s="106"/>
      <c r="D196" s="223"/>
      <c r="E196" s="85"/>
      <c r="F196" s="238"/>
      <c r="G196" s="88"/>
      <c r="H196" s="36">
        <f t="shared" si="1"/>
        <v>0</v>
      </c>
      <c r="I196" s="37">
        <f t="shared" si="2"/>
        <v>0</v>
      </c>
      <c r="J196" s="38">
        <f t="shared" si="3"/>
        <v>0</v>
      </c>
      <c r="K196" s="39">
        <f t="shared" si="4"/>
        <v>0</v>
      </c>
      <c r="L196" s="38">
        <f t="shared" si="5"/>
        <v>0</v>
      </c>
      <c r="M196" s="39">
        <f t="shared" si="6"/>
        <v>0</v>
      </c>
      <c r="N196" s="40"/>
      <c r="O196" s="34"/>
      <c r="P196" s="35"/>
      <c r="Q196" s="35"/>
      <c r="R196" s="35"/>
      <c r="S196" s="35"/>
      <c r="T196" s="35"/>
      <c r="U196" s="35"/>
      <c r="V196" s="35"/>
      <c r="W196" s="35"/>
      <c r="X196" s="35"/>
      <c r="Y196" s="35"/>
      <c r="Z196" s="35"/>
    </row>
    <row r="197" ht="14.25" customHeight="1">
      <c r="A197" s="221"/>
      <c r="B197" s="231"/>
      <c r="C197" s="106"/>
      <c r="D197" s="223"/>
      <c r="E197" s="85"/>
      <c r="F197" s="238"/>
      <c r="G197" s="88"/>
      <c r="H197" s="36">
        <f t="shared" si="1"/>
        <v>0</v>
      </c>
      <c r="I197" s="37">
        <f t="shared" si="2"/>
        <v>0</v>
      </c>
      <c r="J197" s="38">
        <f t="shared" si="3"/>
        <v>0</v>
      </c>
      <c r="K197" s="39">
        <f t="shared" si="4"/>
        <v>0</v>
      </c>
      <c r="L197" s="38">
        <f t="shared" si="5"/>
        <v>0</v>
      </c>
      <c r="M197" s="39">
        <f t="shared" si="6"/>
        <v>0</v>
      </c>
      <c r="N197" s="40"/>
      <c r="O197" s="34"/>
      <c r="P197" s="35"/>
      <c r="Q197" s="35"/>
      <c r="R197" s="35"/>
      <c r="S197" s="35"/>
      <c r="T197" s="35"/>
      <c r="U197" s="35"/>
      <c r="V197" s="35"/>
      <c r="W197" s="35"/>
      <c r="X197" s="35"/>
      <c r="Y197" s="35"/>
      <c r="Z197" s="35"/>
    </row>
    <row r="198" ht="14.25" customHeight="1">
      <c r="A198" s="221"/>
      <c r="B198" s="231"/>
      <c r="C198" s="106"/>
      <c r="D198" s="223"/>
      <c r="E198" s="85"/>
      <c r="F198" s="238"/>
      <c r="G198" s="88"/>
      <c r="H198" s="36">
        <f t="shared" si="1"/>
        <v>0</v>
      </c>
      <c r="I198" s="37">
        <f t="shared" si="2"/>
        <v>0</v>
      </c>
      <c r="J198" s="38">
        <f t="shared" si="3"/>
        <v>0</v>
      </c>
      <c r="K198" s="39">
        <f t="shared" si="4"/>
        <v>0</v>
      </c>
      <c r="L198" s="38">
        <f t="shared" si="5"/>
        <v>0</v>
      </c>
      <c r="M198" s="39">
        <f t="shared" si="6"/>
        <v>0</v>
      </c>
      <c r="N198" s="40"/>
      <c r="O198" s="34"/>
      <c r="P198" s="35"/>
      <c r="Q198" s="35"/>
      <c r="R198" s="35"/>
      <c r="S198" s="35"/>
      <c r="T198" s="35"/>
      <c r="U198" s="35"/>
      <c r="V198" s="35"/>
      <c r="W198" s="35"/>
      <c r="X198" s="35"/>
      <c r="Y198" s="35"/>
      <c r="Z198" s="35"/>
    </row>
    <row r="199" ht="14.25" customHeight="1">
      <c r="A199" s="221"/>
      <c r="B199" s="231"/>
      <c r="C199" s="106"/>
      <c r="D199" s="223"/>
      <c r="E199" s="85"/>
      <c r="F199" s="238"/>
      <c r="G199" s="88"/>
      <c r="H199" s="36">
        <f t="shared" si="1"/>
        <v>0</v>
      </c>
      <c r="I199" s="37">
        <f t="shared" si="2"/>
        <v>0</v>
      </c>
      <c r="J199" s="38">
        <f t="shared" si="3"/>
        <v>0</v>
      </c>
      <c r="K199" s="39">
        <f t="shared" si="4"/>
        <v>0</v>
      </c>
      <c r="L199" s="38">
        <f t="shared" si="5"/>
        <v>0</v>
      </c>
      <c r="M199" s="39">
        <f t="shared" si="6"/>
        <v>0</v>
      </c>
      <c r="N199" s="40"/>
      <c r="O199" s="34"/>
      <c r="P199" s="35"/>
      <c r="Q199" s="35"/>
      <c r="R199" s="35"/>
      <c r="S199" s="35"/>
      <c r="T199" s="35"/>
      <c r="U199" s="35"/>
      <c r="V199" s="35"/>
      <c r="W199" s="35"/>
      <c r="X199" s="35"/>
      <c r="Y199" s="35"/>
      <c r="Z199" s="35"/>
    </row>
    <row r="200" ht="14.25" customHeight="1">
      <c r="A200" s="221"/>
      <c r="B200" s="231"/>
      <c r="C200" s="108"/>
      <c r="D200" s="223"/>
      <c r="E200" s="85"/>
      <c r="F200" s="239"/>
      <c r="G200" s="88"/>
      <c r="H200" s="36">
        <f t="shared" si="1"/>
        <v>0</v>
      </c>
      <c r="I200" s="37">
        <f t="shared" si="2"/>
        <v>0</v>
      </c>
      <c r="J200" s="38">
        <f t="shared" si="3"/>
        <v>0</v>
      </c>
      <c r="K200" s="39">
        <f t="shared" si="4"/>
        <v>0</v>
      </c>
      <c r="L200" s="38">
        <f t="shared" si="5"/>
        <v>0</v>
      </c>
      <c r="M200" s="39">
        <f t="shared" si="6"/>
        <v>0</v>
      </c>
      <c r="N200" s="40"/>
      <c r="O200" s="34"/>
      <c r="P200" s="35"/>
      <c r="Q200" s="35"/>
      <c r="R200" s="35"/>
      <c r="S200" s="35"/>
      <c r="T200" s="35"/>
      <c r="U200" s="35"/>
      <c r="V200" s="35"/>
      <c r="W200" s="35"/>
      <c r="X200" s="35"/>
      <c r="Y200" s="35"/>
      <c r="Z200" s="35"/>
    </row>
    <row r="201" ht="14.25" customHeight="1">
      <c r="A201" s="221"/>
      <c r="B201" s="231"/>
      <c r="C201" s="106"/>
      <c r="D201" s="240"/>
      <c r="E201" s="85"/>
      <c r="F201" s="238"/>
      <c r="G201" s="88"/>
      <c r="H201" s="36">
        <f t="shared" si="1"/>
        <v>0</v>
      </c>
      <c r="I201" s="37">
        <f t="shared" si="2"/>
        <v>0</v>
      </c>
      <c r="J201" s="38">
        <f t="shared" si="3"/>
        <v>0</v>
      </c>
      <c r="K201" s="39">
        <f t="shared" si="4"/>
        <v>0</v>
      </c>
      <c r="L201" s="38">
        <f t="shared" si="5"/>
        <v>0</v>
      </c>
      <c r="M201" s="39">
        <f t="shared" si="6"/>
        <v>0</v>
      </c>
      <c r="N201" s="40"/>
      <c r="O201" s="34"/>
      <c r="P201" s="35"/>
      <c r="Q201" s="35"/>
      <c r="R201" s="35"/>
      <c r="S201" s="35"/>
      <c r="T201" s="35"/>
      <c r="U201" s="35"/>
      <c r="V201" s="35"/>
      <c r="W201" s="35"/>
      <c r="X201" s="35"/>
      <c r="Y201" s="35"/>
      <c r="Z201" s="35"/>
    </row>
    <row r="202" ht="14.25" customHeight="1">
      <c r="A202" s="221"/>
      <c r="B202" s="231"/>
      <c r="C202" s="106"/>
      <c r="D202" s="240"/>
      <c r="E202" s="85"/>
      <c r="F202" s="238"/>
      <c r="G202" s="88"/>
      <c r="H202" s="36">
        <f t="shared" si="1"/>
        <v>0</v>
      </c>
      <c r="I202" s="37">
        <f t="shared" si="2"/>
        <v>0</v>
      </c>
      <c r="J202" s="38">
        <f t="shared" si="3"/>
        <v>0</v>
      </c>
      <c r="K202" s="39">
        <f t="shared" si="4"/>
        <v>0</v>
      </c>
      <c r="L202" s="38">
        <f t="shared" si="5"/>
        <v>0</v>
      </c>
      <c r="M202" s="39">
        <f t="shared" si="6"/>
        <v>0</v>
      </c>
      <c r="N202" s="40"/>
      <c r="O202" s="34"/>
      <c r="P202" s="35"/>
      <c r="Q202" s="35"/>
      <c r="R202" s="35"/>
      <c r="S202" s="35"/>
      <c r="T202" s="35"/>
      <c r="U202" s="35"/>
      <c r="V202" s="35"/>
      <c r="W202" s="35"/>
      <c r="X202" s="35"/>
      <c r="Y202" s="35"/>
      <c r="Z202" s="35"/>
    </row>
    <row r="203" ht="14.25" customHeight="1">
      <c r="A203" s="221"/>
      <c r="B203" s="231"/>
      <c r="C203" s="106"/>
      <c r="D203" s="525"/>
      <c r="E203" s="110"/>
      <c r="F203" s="238"/>
      <c r="G203" s="88"/>
      <c r="H203" s="36">
        <f t="shared" si="1"/>
        <v>0</v>
      </c>
      <c r="I203" s="37">
        <f t="shared" si="2"/>
        <v>0</v>
      </c>
      <c r="J203" s="38">
        <f t="shared" si="3"/>
        <v>0</v>
      </c>
      <c r="K203" s="39">
        <f t="shared" si="4"/>
        <v>0</v>
      </c>
      <c r="L203" s="38">
        <f t="shared" si="5"/>
        <v>0</v>
      </c>
      <c r="M203" s="39">
        <f t="shared" si="6"/>
        <v>0</v>
      </c>
      <c r="N203" s="40"/>
      <c r="O203" s="34"/>
      <c r="P203" s="35"/>
      <c r="Q203" s="35"/>
      <c r="R203" s="35"/>
      <c r="S203" s="35"/>
      <c r="T203" s="35"/>
      <c r="U203" s="35"/>
      <c r="V203" s="35"/>
      <c r="W203" s="35"/>
      <c r="X203" s="35"/>
      <c r="Y203" s="35"/>
      <c r="Z203" s="35"/>
    </row>
    <row r="204" ht="14.25" customHeight="1">
      <c r="A204" s="221"/>
      <c r="B204" s="231"/>
      <c r="C204" s="108"/>
      <c r="D204" s="525"/>
      <c r="E204" s="85"/>
      <c r="F204" s="238"/>
      <c r="G204" s="88"/>
      <c r="H204" s="36">
        <f t="shared" si="1"/>
        <v>0</v>
      </c>
      <c r="I204" s="37">
        <f t="shared" si="2"/>
        <v>0</v>
      </c>
      <c r="J204" s="38">
        <f t="shared" si="3"/>
        <v>0</v>
      </c>
      <c r="K204" s="39">
        <f t="shared" si="4"/>
        <v>0</v>
      </c>
      <c r="L204" s="38">
        <f t="shared" si="5"/>
        <v>0</v>
      </c>
      <c r="M204" s="39">
        <f t="shared" si="6"/>
        <v>0</v>
      </c>
      <c r="N204" s="40"/>
      <c r="O204" s="34"/>
      <c r="P204" s="35"/>
      <c r="Q204" s="35"/>
      <c r="R204" s="35"/>
      <c r="S204" s="35"/>
      <c r="T204" s="35"/>
      <c r="U204" s="35"/>
      <c r="V204" s="35"/>
      <c r="W204" s="35"/>
      <c r="X204" s="35"/>
      <c r="Y204" s="35"/>
      <c r="Z204" s="35"/>
    </row>
    <row r="205" ht="14.25" customHeight="1">
      <c r="A205" s="221"/>
      <c r="B205" s="231"/>
      <c r="C205" s="108"/>
      <c r="D205" s="525"/>
      <c r="E205" s="85"/>
      <c r="F205" s="238"/>
      <c r="G205" s="88"/>
      <c r="H205" s="36">
        <f t="shared" si="1"/>
        <v>0</v>
      </c>
      <c r="I205" s="37">
        <f t="shared" si="2"/>
        <v>0</v>
      </c>
      <c r="J205" s="38">
        <f t="shared" si="3"/>
        <v>0</v>
      </c>
      <c r="K205" s="39">
        <f t="shared" si="4"/>
        <v>0</v>
      </c>
      <c r="L205" s="38">
        <f t="shared" si="5"/>
        <v>0</v>
      </c>
      <c r="M205" s="39">
        <f t="shared" si="6"/>
        <v>0</v>
      </c>
      <c r="N205" s="40"/>
      <c r="O205" s="34"/>
      <c r="P205" s="35"/>
      <c r="Q205" s="35"/>
      <c r="R205" s="35"/>
      <c r="S205" s="35"/>
      <c r="T205" s="35"/>
      <c r="U205" s="35"/>
      <c r="V205" s="35"/>
      <c r="W205" s="35"/>
      <c r="X205" s="35"/>
      <c r="Y205" s="35"/>
      <c r="Z205" s="35"/>
    </row>
    <row r="206" ht="14.25" customHeight="1">
      <c r="A206" s="221"/>
      <c r="B206" s="231"/>
      <c r="C206" s="111"/>
      <c r="D206" s="241"/>
      <c r="E206" s="85"/>
      <c r="F206" s="242"/>
      <c r="G206" s="88"/>
      <c r="H206" s="36">
        <f t="shared" si="1"/>
        <v>0</v>
      </c>
      <c r="I206" s="37">
        <f t="shared" si="2"/>
        <v>0</v>
      </c>
      <c r="J206" s="38">
        <f t="shared" si="3"/>
        <v>0</v>
      </c>
      <c r="K206" s="39">
        <f t="shared" si="4"/>
        <v>0</v>
      </c>
      <c r="L206" s="38">
        <f t="shared" si="5"/>
        <v>0</v>
      </c>
      <c r="M206" s="39">
        <f t="shared" si="6"/>
        <v>0</v>
      </c>
      <c r="N206" s="40"/>
      <c r="O206" s="34"/>
      <c r="P206" s="35"/>
      <c r="Q206" s="35"/>
      <c r="R206" s="35"/>
      <c r="S206" s="35"/>
      <c r="T206" s="35"/>
      <c r="U206" s="35"/>
      <c r="V206" s="35"/>
      <c r="W206" s="35"/>
      <c r="X206" s="35"/>
      <c r="Y206" s="35"/>
      <c r="Z206" s="35"/>
    </row>
    <row r="207" ht="14.25" customHeight="1">
      <c r="A207" s="221"/>
      <c r="B207" s="231"/>
      <c r="C207" s="111"/>
      <c r="D207" s="241"/>
      <c r="E207" s="85"/>
      <c r="F207" s="242"/>
      <c r="G207" s="88"/>
      <c r="H207" s="36">
        <f t="shared" si="1"/>
        <v>0</v>
      </c>
      <c r="I207" s="37">
        <f t="shared" si="2"/>
        <v>0</v>
      </c>
      <c r="J207" s="38">
        <f t="shared" si="3"/>
        <v>0</v>
      </c>
      <c r="K207" s="39">
        <f t="shared" si="4"/>
        <v>0</v>
      </c>
      <c r="L207" s="38">
        <f t="shared" si="5"/>
        <v>0</v>
      </c>
      <c r="M207" s="39">
        <f t="shared" si="6"/>
        <v>0</v>
      </c>
      <c r="N207" s="40"/>
      <c r="O207" s="34"/>
      <c r="P207" s="35"/>
      <c r="Q207" s="35"/>
      <c r="R207" s="35"/>
      <c r="S207" s="35"/>
      <c r="T207" s="35"/>
      <c r="U207" s="35"/>
      <c r="V207" s="35"/>
      <c r="W207" s="35"/>
      <c r="X207" s="35"/>
      <c r="Y207" s="35"/>
      <c r="Z207" s="35"/>
    </row>
    <row r="208" ht="14.25" customHeight="1">
      <c r="A208" s="221"/>
      <c r="B208" s="231"/>
      <c r="C208" s="111"/>
      <c r="D208" s="241"/>
      <c r="E208" s="85"/>
      <c r="F208" s="242"/>
      <c r="G208" s="88"/>
      <c r="H208" s="36">
        <f t="shared" si="1"/>
        <v>0</v>
      </c>
      <c r="I208" s="37">
        <f t="shared" si="2"/>
        <v>0</v>
      </c>
      <c r="J208" s="38">
        <f t="shared" si="3"/>
        <v>0</v>
      </c>
      <c r="K208" s="39">
        <f t="shared" si="4"/>
        <v>0</v>
      </c>
      <c r="L208" s="38">
        <f t="shared" si="5"/>
        <v>0</v>
      </c>
      <c r="M208" s="39">
        <f t="shared" si="6"/>
        <v>0</v>
      </c>
      <c r="N208" s="40"/>
      <c r="O208" s="34"/>
      <c r="P208" s="35"/>
      <c r="Q208" s="35"/>
      <c r="R208" s="35"/>
      <c r="S208" s="35"/>
      <c r="T208" s="35"/>
      <c r="U208" s="35"/>
      <c r="V208" s="35"/>
      <c r="W208" s="35"/>
      <c r="X208" s="35"/>
      <c r="Y208" s="35"/>
      <c r="Z208" s="35"/>
    </row>
    <row r="209" ht="14.25" customHeight="1">
      <c r="A209" s="221"/>
      <c r="B209" s="231"/>
      <c r="C209" s="111"/>
      <c r="D209" s="241"/>
      <c r="E209" s="85"/>
      <c r="F209" s="242"/>
      <c r="G209" s="88"/>
      <c r="H209" s="36">
        <f t="shared" si="1"/>
        <v>0</v>
      </c>
      <c r="I209" s="37">
        <f t="shared" si="2"/>
        <v>0</v>
      </c>
      <c r="J209" s="38">
        <f t="shared" si="3"/>
        <v>0</v>
      </c>
      <c r="K209" s="39">
        <f t="shared" si="4"/>
        <v>0</v>
      </c>
      <c r="L209" s="38">
        <f t="shared" si="5"/>
        <v>0</v>
      </c>
      <c r="M209" s="39">
        <f t="shared" si="6"/>
        <v>0</v>
      </c>
      <c r="N209" s="40"/>
      <c r="O209" s="34"/>
      <c r="P209" s="35"/>
      <c r="Q209" s="35"/>
      <c r="R209" s="35"/>
      <c r="S209" s="35"/>
      <c r="T209" s="35"/>
      <c r="U209" s="35"/>
      <c r="V209" s="35"/>
      <c r="W209" s="35"/>
      <c r="X209" s="35"/>
      <c r="Y209" s="35"/>
      <c r="Z209" s="35"/>
    </row>
    <row r="210" ht="14.25" customHeight="1">
      <c r="A210" s="221"/>
      <c r="B210" s="231"/>
      <c r="C210" s="111"/>
      <c r="D210" s="241"/>
      <c r="E210" s="85"/>
      <c r="F210" s="242"/>
      <c r="G210" s="88"/>
      <c r="H210" s="36">
        <f t="shared" si="1"/>
        <v>0</v>
      </c>
      <c r="I210" s="37">
        <f t="shared" si="2"/>
        <v>0</v>
      </c>
      <c r="J210" s="38">
        <f t="shared" si="3"/>
        <v>0</v>
      </c>
      <c r="K210" s="39">
        <f t="shared" si="4"/>
        <v>0</v>
      </c>
      <c r="L210" s="38">
        <f t="shared" si="5"/>
        <v>0</v>
      </c>
      <c r="M210" s="39">
        <f t="shared" si="6"/>
        <v>0</v>
      </c>
      <c r="N210" s="40"/>
      <c r="O210" s="34"/>
      <c r="P210" s="35"/>
      <c r="Q210" s="35"/>
      <c r="R210" s="35"/>
      <c r="S210" s="35"/>
      <c r="T210" s="35"/>
      <c r="U210" s="35"/>
      <c r="V210" s="35"/>
      <c r="W210" s="35"/>
      <c r="X210" s="35"/>
      <c r="Y210" s="35"/>
      <c r="Z210" s="35"/>
    </row>
    <row r="211" ht="14.25" customHeight="1">
      <c r="A211" s="221"/>
      <c r="B211" s="231"/>
      <c r="C211" s="111"/>
      <c r="D211" s="241"/>
      <c r="E211" s="85"/>
      <c r="F211" s="242"/>
      <c r="G211" s="88"/>
      <c r="H211" s="36">
        <f t="shared" si="1"/>
        <v>0</v>
      </c>
      <c r="I211" s="37">
        <f t="shared" si="2"/>
        <v>0</v>
      </c>
      <c r="J211" s="38">
        <f t="shared" si="3"/>
        <v>0</v>
      </c>
      <c r="K211" s="39">
        <f t="shared" si="4"/>
        <v>0</v>
      </c>
      <c r="L211" s="38">
        <f t="shared" si="5"/>
        <v>0</v>
      </c>
      <c r="M211" s="39">
        <f t="shared" si="6"/>
        <v>0</v>
      </c>
      <c r="N211" s="40"/>
      <c r="O211" s="34"/>
      <c r="P211" s="35"/>
      <c r="Q211" s="35"/>
      <c r="R211" s="35"/>
      <c r="S211" s="35"/>
      <c r="T211" s="35"/>
      <c r="U211" s="35"/>
      <c r="V211" s="35"/>
      <c r="W211" s="35"/>
      <c r="X211" s="35"/>
      <c r="Y211" s="35"/>
      <c r="Z211" s="35"/>
    </row>
    <row r="212" ht="14.25" customHeight="1">
      <c r="A212" s="221"/>
      <c r="B212" s="231"/>
      <c r="C212" s="111"/>
      <c r="D212" s="241"/>
      <c r="E212" s="85"/>
      <c r="F212" s="242"/>
      <c r="G212" s="88"/>
      <c r="H212" s="36">
        <f t="shared" si="1"/>
        <v>0</v>
      </c>
      <c r="I212" s="37">
        <f t="shared" si="2"/>
        <v>0</v>
      </c>
      <c r="J212" s="38">
        <f t="shared" si="3"/>
        <v>0</v>
      </c>
      <c r="K212" s="39">
        <f t="shared" si="4"/>
        <v>0</v>
      </c>
      <c r="L212" s="38">
        <f t="shared" si="5"/>
        <v>0</v>
      </c>
      <c r="M212" s="39">
        <f t="shared" si="6"/>
        <v>0</v>
      </c>
      <c r="N212" s="40"/>
      <c r="O212" s="34"/>
      <c r="P212" s="35"/>
      <c r="Q212" s="35"/>
      <c r="R212" s="35"/>
      <c r="S212" s="35"/>
      <c r="T212" s="35"/>
      <c r="U212" s="35"/>
      <c r="V212" s="35"/>
      <c r="W212" s="35"/>
      <c r="X212" s="35"/>
      <c r="Y212" s="35"/>
      <c r="Z212" s="35"/>
    </row>
    <row r="213" ht="14.25" customHeight="1">
      <c r="A213" s="221"/>
      <c r="B213" s="231"/>
      <c r="C213" s="111"/>
      <c r="D213" s="241"/>
      <c r="E213" s="85"/>
      <c r="F213" s="242"/>
      <c r="G213" s="88"/>
      <c r="H213" s="36">
        <f t="shared" si="1"/>
        <v>0</v>
      </c>
      <c r="I213" s="37">
        <f t="shared" si="2"/>
        <v>0</v>
      </c>
      <c r="J213" s="38">
        <f t="shared" si="3"/>
        <v>0</v>
      </c>
      <c r="K213" s="39">
        <f t="shared" si="4"/>
        <v>0</v>
      </c>
      <c r="L213" s="38">
        <f t="shared" si="5"/>
        <v>0</v>
      </c>
      <c r="M213" s="39">
        <f t="shared" si="6"/>
        <v>0</v>
      </c>
      <c r="N213" s="40"/>
      <c r="O213" s="34"/>
      <c r="P213" s="35"/>
      <c r="Q213" s="35"/>
      <c r="R213" s="35"/>
      <c r="S213" s="35"/>
      <c r="T213" s="35"/>
      <c r="U213" s="35"/>
      <c r="V213" s="35"/>
      <c r="W213" s="35"/>
      <c r="X213" s="35"/>
      <c r="Y213" s="35"/>
      <c r="Z213" s="35"/>
    </row>
    <row r="214" ht="14.25" customHeight="1">
      <c r="A214" s="221"/>
      <c r="B214" s="231"/>
      <c r="C214" s="111"/>
      <c r="D214" s="241"/>
      <c r="E214" s="85"/>
      <c r="F214" s="242"/>
      <c r="G214" s="88"/>
      <c r="H214" s="36">
        <f t="shared" si="1"/>
        <v>0</v>
      </c>
      <c r="I214" s="37">
        <f t="shared" si="2"/>
        <v>0</v>
      </c>
      <c r="J214" s="38">
        <f t="shared" si="3"/>
        <v>0</v>
      </c>
      <c r="K214" s="39">
        <f t="shared" si="4"/>
        <v>0</v>
      </c>
      <c r="L214" s="38">
        <f t="shared" si="5"/>
        <v>0</v>
      </c>
      <c r="M214" s="39">
        <f t="shared" si="6"/>
        <v>0</v>
      </c>
      <c r="N214" s="40"/>
      <c r="O214" s="34"/>
      <c r="P214" s="35"/>
      <c r="Q214" s="35"/>
      <c r="R214" s="35"/>
      <c r="S214" s="35"/>
      <c r="T214" s="35"/>
      <c r="U214" s="35"/>
      <c r="V214" s="35"/>
      <c r="W214" s="35"/>
      <c r="X214" s="35"/>
      <c r="Y214" s="35"/>
      <c r="Z214" s="35"/>
    </row>
    <row r="215" ht="14.25" customHeight="1">
      <c r="A215" s="221"/>
      <c r="B215" s="231"/>
      <c r="C215" s="111"/>
      <c r="D215" s="241"/>
      <c r="E215" s="85"/>
      <c r="F215" s="242"/>
      <c r="G215" s="88"/>
      <c r="H215" s="36">
        <f t="shared" si="1"/>
        <v>0</v>
      </c>
      <c r="I215" s="37">
        <f t="shared" si="2"/>
        <v>0</v>
      </c>
      <c r="J215" s="38">
        <f t="shared" si="3"/>
        <v>0</v>
      </c>
      <c r="K215" s="39">
        <f t="shared" si="4"/>
        <v>0</v>
      </c>
      <c r="L215" s="38">
        <f t="shared" si="5"/>
        <v>0</v>
      </c>
      <c r="M215" s="39">
        <f t="shared" si="6"/>
        <v>0</v>
      </c>
      <c r="N215" s="40"/>
      <c r="O215" s="34"/>
      <c r="P215" s="35"/>
      <c r="Q215" s="35"/>
      <c r="R215" s="35"/>
      <c r="S215" s="35"/>
      <c r="T215" s="35"/>
      <c r="U215" s="35"/>
      <c r="V215" s="35"/>
      <c r="W215" s="35"/>
      <c r="X215" s="35"/>
      <c r="Y215" s="35"/>
      <c r="Z215" s="35"/>
    </row>
    <row r="216" ht="14.25" customHeight="1">
      <c r="A216" s="221"/>
      <c r="B216" s="231"/>
      <c r="C216" s="111"/>
      <c r="D216" s="241"/>
      <c r="E216" s="85"/>
      <c r="F216" s="242"/>
      <c r="G216" s="88"/>
      <c r="H216" s="36">
        <f t="shared" si="1"/>
        <v>0</v>
      </c>
      <c r="I216" s="37">
        <f t="shared" si="2"/>
        <v>0</v>
      </c>
      <c r="J216" s="38">
        <f t="shared" si="3"/>
        <v>0</v>
      </c>
      <c r="K216" s="39">
        <f t="shared" si="4"/>
        <v>0</v>
      </c>
      <c r="L216" s="38">
        <f t="shared" si="5"/>
        <v>0</v>
      </c>
      <c r="M216" s="39">
        <f t="shared" si="6"/>
        <v>0</v>
      </c>
      <c r="N216" s="40"/>
      <c r="O216" s="34"/>
      <c r="P216" s="35"/>
      <c r="Q216" s="35"/>
      <c r="R216" s="35"/>
      <c r="S216" s="35"/>
      <c r="T216" s="35"/>
      <c r="U216" s="35"/>
      <c r="V216" s="35"/>
      <c r="W216" s="35"/>
      <c r="X216" s="35"/>
      <c r="Y216" s="35"/>
      <c r="Z216" s="35"/>
    </row>
    <row r="217" ht="14.25" customHeight="1">
      <c r="A217" s="221"/>
      <c r="B217" s="231"/>
      <c r="C217" s="113"/>
      <c r="D217" s="241"/>
      <c r="E217" s="85"/>
      <c r="F217" s="243"/>
      <c r="G217" s="88"/>
      <c r="H217" s="36">
        <f t="shared" si="1"/>
        <v>0</v>
      </c>
      <c r="I217" s="37">
        <f t="shared" si="2"/>
        <v>0</v>
      </c>
      <c r="J217" s="38">
        <f t="shared" si="3"/>
        <v>0</v>
      </c>
      <c r="K217" s="39">
        <f t="shared" si="4"/>
        <v>0</v>
      </c>
      <c r="L217" s="38">
        <f t="shared" si="5"/>
        <v>0</v>
      </c>
      <c r="M217" s="39">
        <f t="shared" si="6"/>
        <v>0</v>
      </c>
      <c r="N217" s="40"/>
      <c r="O217" s="34"/>
      <c r="P217" s="35"/>
      <c r="Q217" s="35"/>
      <c r="R217" s="35"/>
      <c r="S217" s="35"/>
      <c r="T217" s="35"/>
      <c r="U217" s="35"/>
      <c r="V217" s="35"/>
      <c r="W217" s="35"/>
      <c r="X217" s="35"/>
      <c r="Y217" s="35"/>
      <c r="Z217" s="35"/>
    </row>
    <row r="218" ht="14.25" customHeight="1">
      <c r="A218" s="221"/>
      <c r="B218" s="231"/>
      <c r="C218" s="108"/>
      <c r="D218" s="241"/>
      <c r="E218" s="85"/>
      <c r="F218" s="242"/>
      <c r="G218" s="88"/>
      <c r="H218" s="36">
        <f t="shared" si="1"/>
        <v>0</v>
      </c>
      <c r="I218" s="37">
        <f t="shared" si="2"/>
        <v>0</v>
      </c>
      <c r="J218" s="38">
        <f t="shared" si="3"/>
        <v>0</v>
      </c>
      <c r="K218" s="39">
        <f t="shared" si="4"/>
        <v>0</v>
      </c>
      <c r="L218" s="38">
        <f t="shared" si="5"/>
        <v>0</v>
      </c>
      <c r="M218" s="39">
        <f t="shared" si="6"/>
        <v>0</v>
      </c>
      <c r="N218" s="40"/>
      <c r="O218" s="34"/>
      <c r="P218" s="35"/>
      <c r="Q218" s="35"/>
      <c r="R218" s="35"/>
      <c r="S218" s="35"/>
      <c r="T218" s="35"/>
      <c r="U218" s="35"/>
      <c r="V218" s="35"/>
      <c r="W218" s="35"/>
      <c r="X218" s="35"/>
      <c r="Y218" s="35"/>
      <c r="Z218" s="35"/>
    </row>
    <row r="219" ht="14.25" customHeight="1">
      <c r="A219" s="221"/>
      <c r="B219" s="231"/>
      <c r="C219" s="108"/>
      <c r="D219" s="241"/>
      <c r="E219" s="101"/>
      <c r="F219" s="242"/>
      <c r="G219" s="88"/>
      <c r="H219" s="36">
        <f t="shared" si="1"/>
        <v>0</v>
      </c>
      <c r="I219" s="37">
        <f t="shared" si="2"/>
        <v>0</v>
      </c>
      <c r="J219" s="38">
        <f t="shared" si="3"/>
        <v>0</v>
      </c>
      <c r="K219" s="39">
        <f t="shared" si="4"/>
        <v>0</v>
      </c>
      <c r="L219" s="38">
        <f t="shared" si="5"/>
        <v>0</v>
      </c>
      <c r="M219" s="39">
        <f t="shared" si="6"/>
        <v>0</v>
      </c>
      <c r="N219" s="40"/>
      <c r="O219" s="34"/>
      <c r="P219" s="35"/>
      <c r="Q219" s="35"/>
      <c r="R219" s="35"/>
      <c r="S219" s="35"/>
      <c r="T219" s="35"/>
      <c r="U219" s="35"/>
      <c r="V219" s="35"/>
      <c r="W219" s="35"/>
      <c r="X219" s="35"/>
      <c r="Y219" s="35"/>
      <c r="Z219" s="35"/>
    </row>
    <row r="220" ht="14.25" customHeight="1">
      <c r="A220" s="221"/>
      <c r="B220" s="231"/>
      <c r="C220" s="108"/>
      <c r="D220" s="241"/>
      <c r="E220" s="101"/>
      <c r="F220" s="242"/>
      <c r="G220" s="88"/>
      <c r="H220" s="36">
        <f t="shared" si="1"/>
        <v>0</v>
      </c>
      <c r="I220" s="37">
        <f t="shared" si="2"/>
        <v>0</v>
      </c>
      <c r="J220" s="38">
        <f t="shared" si="3"/>
        <v>0</v>
      </c>
      <c r="K220" s="39">
        <f t="shared" si="4"/>
        <v>0</v>
      </c>
      <c r="L220" s="38">
        <f t="shared" si="5"/>
        <v>0</v>
      </c>
      <c r="M220" s="39">
        <f t="shared" si="6"/>
        <v>0</v>
      </c>
      <c r="N220" s="40"/>
      <c r="O220" s="34"/>
      <c r="P220" s="35"/>
      <c r="Q220" s="35"/>
      <c r="R220" s="35"/>
      <c r="S220" s="35"/>
      <c r="T220" s="35"/>
      <c r="U220" s="35"/>
      <c r="V220" s="35"/>
      <c r="W220" s="35"/>
      <c r="X220" s="35"/>
      <c r="Y220" s="35"/>
      <c r="Z220" s="35"/>
    </row>
    <row r="221" ht="14.25" customHeight="1">
      <c r="A221" s="221"/>
      <c r="B221" s="231"/>
      <c r="C221" s="108"/>
      <c r="D221" s="241"/>
      <c r="E221" s="101"/>
      <c r="F221" s="242"/>
      <c r="G221" s="88"/>
      <c r="H221" s="36">
        <f t="shared" si="1"/>
        <v>0</v>
      </c>
      <c r="I221" s="37">
        <f t="shared" si="2"/>
        <v>0</v>
      </c>
      <c r="J221" s="38">
        <f t="shared" si="3"/>
        <v>0</v>
      </c>
      <c r="K221" s="39">
        <f t="shared" si="4"/>
        <v>0</v>
      </c>
      <c r="L221" s="38">
        <f t="shared" si="5"/>
        <v>0</v>
      </c>
      <c r="M221" s="39">
        <f t="shared" si="6"/>
        <v>0</v>
      </c>
      <c r="N221" s="40"/>
      <c r="O221" s="34"/>
      <c r="P221" s="35"/>
      <c r="Q221" s="35"/>
      <c r="R221" s="35"/>
      <c r="S221" s="35"/>
      <c r="T221" s="35"/>
      <c r="U221" s="35"/>
      <c r="V221" s="35"/>
      <c r="W221" s="35"/>
      <c r="X221" s="35"/>
      <c r="Y221" s="35"/>
      <c r="Z221" s="35"/>
    </row>
    <row r="222" ht="14.25" customHeight="1">
      <c r="A222" s="221"/>
      <c r="B222" s="231"/>
      <c r="C222" s="108"/>
      <c r="D222" s="241"/>
      <c r="E222" s="101"/>
      <c r="F222" s="242"/>
      <c r="G222" s="88"/>
      <c r="H222" s="36">
        <f t="shared" si="1"/>
        <v>0</v>
      </c>
      <c r="I222" s="37">
        <f t="shared" si="2"/>
        <v>0</v>
      </c>
      <c r="J222" s="38">
        <f t="shared" si="3"/>
        <v>0</v>
      </c>
      <c r="K222" s="39">
        <f t="shared" si="4"/>
        <v>0</v>
      </c>
      <c r="L222" s="38">
        <f t="shared" si="5"/>
        <v>0</v>
      </c>
      <c r="M222" s="39">
        <f t="shared" si="6"/>
        <v>0</v>
      </c>
      <c r="N222" s="40"/>
      <c r="O222" s="34"/>
      <c r="P222" s="35"/>
      <c r="Q222" s="35"/>
      <c r="R222" s="35"/>
      <c r="S222" s="35"/>
      <c r="T222" s="35"/>
      <c r="U222" s="35"/>
      <c r="V222" s="35"/>
      <c r="W222" s="35"/>
      <c r="X222" s="35"/>
      <c r="Y222" s="35"/>
      <c r="Z222" s="35"/>
    </row>
    <row r="223" ht="14.25" customHeight="1">
      <c r="A223" s="221"/>
      <c r="B223" s="231"/>
      <c r="C223" s="115"/>
      <c r="D223" s="237"/>
      <c r="E223" s="101"/>
      <c r="F223" s="243"/>
      <c r="G223" s="88"/>
      <c r="H223" s="36">
        <f t="shared" si="1"/>
        <v>0</v>
      </c>
      <c r="I223" s="37">
        <f t="shared" si="2"/>
        <v>0</v>
      </c>
      <c r="J223" s="38">
        <f t="shared" si="3"/>
        <v>0</v>
      </c>
      <c r="K223" s="39">
        <f t="shared" si="4"/>
        <v>0</v>
      </c>
      <c r="L223" s="38">
        <f t="shared" si="5"/>
        <v>0</v>
      </c>
      <c r="M223" s="39">
        <f t="shared" si="6"/>
        <v>0</v>
      </c>
      <c r="N223" s="40"/>
      <c r="O223" s="34"/>
      <c r="P223" s="35"/>
      <c r="Q223" s="35"/>
      <c r="R223" s="35"/>
      <c r="S223" s="35"/>
      <c r="T223" s="35"/>
      <c r="U223" s="35"/>
      <c r="V223" s="35"/>
      <c r="W223" s="35"/>
      <c r="X223" s="35"/>
      <c r="Y223" s="35"/>
      <c r="Z223" s="35"/>
    </row>
    <row r="224" ht="14.25" customHeight="1">
      <c r="A224" s="221"/>
      <c r="B224" s="231"/>
      <c r="C224" s="113"/>
      <c r="D224" s="237"/>
      <c r="E224" s="101"/>
      <c r="F224" s="243"/>
      <c r="G224" s="88"/>
      <c r="H224" s="36">
        <f t="shared" si="1"/>
        <v>0</v>
      </c>
      <c r="I224" s="37">
        <f t="shared" si="2"/>
        <v>0</v>
      </c>
      <c r="J224" s="38">
        <f t="shared" si="3"/>
        <v>0</v>
      </c>
      <c r="K224" s="39">
        <f t="shared" si="4"/>
        <v>0</v>
      </c>
      <c r="L224" s="38">
        <f t="shared" si="5"/>
        <v>0</v>
      </c>
      <c r="M224" s="39">
        <f t="shared" si="6"/>
        <v>0</v>
      </c>
      <c r="N224" s="40"/>
      <c r="O224" s="34"/>
      <c r="P224" s="35"/>
      <c r="Q224" s="35"/>
      <c r="R224" s="35"/>
      <c r="S224" s="35"/>
      <c r="T224" s="35"/>
      <c r="U224" s="35"/>
      <c r="V224" s="35"/>
      <c r="W224" s="35"/>
      <c r="X224" s="35"/>
      <c r="Y224" s="35"/>
      <c r="Z224" s="35"/>
    </row>
    <row r="225" ht="14.25" customHeight="1">
      <c r="A225" s="221"/>
      <c r="B225" s="231"/>
      <c r="C225" s="113"/>
      <c r="D225" s="237"/>
      <c r="E225" s="100"/>
      <c r="F225" s="243"/>
      <c r="G225" s="88"/>
      <c r="H225" s="36">
        <f t="shared" si="1"/>
        <v>0</v>
      </c>
      <c r="I225" s="37">
        <f t="shared" si="2"/>
        <v>0</v>
      </c>
      <c r="J225" s="38">
        <f t="shared" si="3"/>
        <v>0</v>
      </c>
      <c r="K225" s="39">
        <f t="shared" si="4"/>
        <v>0</v>
      </c>
      <c r="L225" s="38">
        <f t="shared" si="5"/>
        <v>0</v>
      </c>
      <c r="M225" s="39">
        <f t="shared" si="6"/>
        <v>0</v>
      </c>
      <c r="N225" s="40"/>
      <c r="O225" s="34"/>
      <c r="P225" s="35"/>
      <c r="Q225" s="35"/>
      <c r="R225" s="35"/>
      <c r="S225" s="35"/>
      <c r="T225" s="35"/>
      <c r="U225" s="35"/>
      <c r="V225" s="35"/>
      <c r="W225" s="35"/>
      <c r="X225" s="35"/>
      <c r="Y225" s="35"/>
      <c r="Z225" s="35"/>
    </row>
    <row r="226" ht="14.25" customHeight="1">
      <c r="A226" s="221"/>
      <c r="B226" s="231"/>
      <c r="C226" s="111"/>
      <c r="D226" s="237"/>
      <c r="E226" s="101"/>
      <c r="F226" s="242"/>
      <c r="G226" s="88"/>
      <c r="H226" s="36">
        <f t="shared" si="1"/>
        <v>0</v>
      </c>
      <c r="I226" s="37">
        <f t="shared" si="2"/>
        <v>0</v>
      </c>
      <c r="J226" s="38">
        <f t="shared" si="3"/>
        <v>0</v>
      </c>
      <c r="K226" s="39">
        <f t="shared" si="4"/>
        <v>0</v>
      </c>
      <c r="L226" s="38">
        <f t="shared" si="5"/>
        <v>0</v>
      </c>
      <c r="M226" s="39">
        <f t="shared" si="6"/>
        <v>0</v>
      </c>
      <c r="N226" s="40"/>
      <c r="O226" s="34"/>
      <c r="P226" s="35"/>
      <c r="Q226" s="35"/>
      <c r="R226" s="35"/>
      <c r="S226" s="35"/>
      <c r="T226" s="35"/>
      <c r="U226" s="35"/>
      <c r="V226" s="35"/>
      <c r="W226" s="35"/>
      <c r="X226" s="35"/>
      <c r="Y226" s="35"/>
      <c r="Z226" s="35"/>
    </row>
    <row r="227" ht="14.25" customHeight="1">
      <c r="A227" s="221"/>
      <c r="B227" s="231"/>
      <c r="C227" s="115"/>
      <c r="D227" s="237"/>
      <c r="E227" s="101"/>
      <c r="F227" s="243"/>
      <c r="G227" s="88"/>
      <c r="H227" s="36">
        <f t="shared" si="1"/>
        <v>0</v>
      </c>
      <c r="I227" s="37">
        <f t="shared" si="2"/>
        <v>0</v>
      </c>
      <c r="J227" s="38">
        <f t="shared" si="3"/>
        <v>0</v>
      </c>
      <c r="K227" s="39">
        <f t="shared" si="4"/>
        <v>0</v>
      </c>
      <c r="L227" s="38">
        <f t="shared" si="5"/>
        <v>0</v>
      </c>
      <c r="M227" s="39">
        <f t="shared" si="6"/>
        <v>0</v>
      </c>
      <c r="N227" s="40"/>
      <c r="O227" s="34"/>
      <c r="P227" s="35"/>
      <c r="Q227" s="35"/>
      <c r="R227" s="35"/>
      <c r="S227" s="35"/>
      <c r="T227" s="35"/>
      <c r="U227" s="35"/>
      <c r="V227" s="35"/>
      <c r="W227" s="35"/>
      <c r="X227" s="35"/>
      <c r="Y227" s="35"/>
      <c r="Z227" s="35"/>
    </row>
    <row r="228" ht="14.25" customHeight="1">
      <c r="A228" s="221"/>
      <c r="B228" s="231"/>
      <c r="C228" s="113"/>
      <c r="D228" s="237"/>
      <c r="E228" s="101"/>
      <c r="F228" s="242"/>
      <c r="G228" s="88"/>
      <c r="H228" s="36">
        <f t="shared" si="1"/>
        <v>0</v>
      </c>
      <c r="I228" s="37">
        <f t="shared" si="2"/>
        <v>0</v>
      </c>
      <c r="J228" s="38">
        <f t="shared" si="3"/>
        <v>0</v>
      </c>
      <c r="K228" s="39">
        <f t="shared" si="4"/>
        <v>0</v>
      </c>
      <c r="L228" s="38">
        <f t="shared" si="5"/>
        <v>0</v>
      </c>
      <c r="M228" s="39">
        <f t="shared" si="6"/>
        <v>0</v>
      </c>
      <c r="N228" s="40"/>
      <c r="O228" s="34"/>
      <c r="P228" s="35"/>
      <c r="Q228" s="35"/>
      <c r="R228" s="35"/>
      <c r="S228" s="35"/>
      <c r="T228" s="35"/>
      <c r="U228" s="35"/>
      <c r="V228" s="35"/>
      <c r="W228" s="35"/>
      <c r="X228" s="35"/>
      <c r="Y228" s="35"/>
      <c r="Z228" s="35"/>
    </row>
    <row r="229" ht="14.25" customHeight="1">
      <c r="A229" s="221"/>
      <c r="B229" s="231"/>
      <c r="C229" s="113"/>
      <c r="D229" s="237"/>
      <c r="E229" s="101"/>
      <c r="F229" s="243"/>
      <c r="G229" s="88"/>
      <c r="H229" s="36">
        <f t="shared" si="1"/>
        <v>0</v>
      </c>
      <c r="I229" s="37">
        <f t="shared" si="2"/>
        <v>0</v>
      </c>
      <c r="J229" s="38">
        <f t="shared" si="3"/>
        <v>0</v>
      </c>
      <c r="K229" s="39">
        <f t="shared" si="4"/>
        <v>0</v>
      </c>
      <c r="L229" s="38">
        <f t="shared" si="5"/>
        <v>0</v>
      </c>
      <c r="M229" s="39">
        <f t="shared" si="6"/>
        <v>0</v>
      </c>
      <c r="N229" s="40"/>
      <c r="O229" s="34"/>
      <c r="P229" s="35"/>
      <c r="Q229" s="35"/>
      <c r="R229" s="35"/>
      <c r="S229" s="35"/>
      <c r="T229" s="35"/>
      <c r="U229" s="35"/>
      <c r="V229" s="35"/>
      <c r="W229" s="35"/>
      <c r="X229" s="35"/>
      <c r="Y229" s="35"/>
      <c r="Z229" s="35"/>
    </row>
    <row r="230" ht="14.25" customHeight="1">
      <c r="A230" s="221"/>
      <c r="B230" s="231"/>
      <c r="C230" s="108"/>
      <c r="D230" s="237"/>
      <c r="E230" s="101"/>
      <c r="F230" s="238"/>
      <c r="G230" s="88"/>
      <c r="H230" s="36">
        <f t="shared" si="1"/>
        <v>0</v>
      </c>
      <c r="I230" s="37">
        <f t="shared" si="2"/>
        <v>0</v>
      </c>
      <c r="J230" s="38">
        <f t="shared" si="3"/>
        <v>0</v>
      </c>
      <c r="K230" s="39">
        <f t="shared" si="4"/>
        <v>0</v>
      </c>
      <c r="L230" s="38">
        <f t="shared" si="5"/>
        <v>0</v>
      </c>
      <c r="M230" s="39">
        <f t="shared" si="6"/>
        <v>0</v>
      </c>
      <c r="N230" s="40"/>
      <c r="O230" s="34"/>
      <c r="P230" s="35"/>
      <c r="Q230" s="35"/>
      <c r="R230" s="35"/>
      <c r="S230" s="35"/>
      <c r="T230" s="35"/>
      <c r="U230" s="35"/>
      <c r="V230" s="35"/>
      <c r="W230" s="35"/>
      <c r="X230" s="35"/>
      <c r="Y230" s="35"/>
      <c r="Z230" s="35"/>
    </row>
    <row r="231" ht="14.25" customHeight="1">
      <c r="A231" s="221"/>
      <c r="B231" s="231"/>
      <c r="C231" s="108"/>
      <c r="D231" s="237"/>
      <c r="E231" s="101"/>
      <c r="F231" s="243"/>
      <c r="G231" s="88"/>
      <c r="H231" s="36">
        <f t="shared" si="1"/>
        <v>0</v>
      </c>
      <c r="I231" s="37">
        <f t="shared" si="2"/>
        <v>0</v>
      </c>
      <c r="J231" s="38">
        <f t="shared" si="3"/>
        <v>0</v>
      </c>
      <c r="K231" s="39">
        <f t="shared" si="4"/>
        <v>0</v>
      </c>
      <c r="L231" s="38">
        <f t="shared" si="5"/>
        <v>0</v>
      </c>
      <c r="M231" s="39">
        <f t="shared" si="6"/>
        <v>0</v>
      </c>
      <c r="N231" s="40"/>
      <c r="O231" s="34"/>
      <c r="P231" s="35"/>
      <c r="Q231" s="35"/>
      <c r="R231" s="35"/>
      <c r="S231" s="35"/>
      <c r="T231" s="35"/>
      <c r="U231" s="35"/>
      <c r="V231" s="35"/>
      <c r="W231" s="35"/>
      <c r="X231" s="35"/>
      <c r="Y231" s="35"/>
      <c r="Z231" s="35"/>
    </row>
    <row r="232" ht="14.25" customHeight="1">
      <c r="A232" s="221"/>
      <c r="B232" s="231"/>
      <c r="C232" s="113"/>
      <c r="D232" s="237"/>
      <c r="E232" s="101"/>
      <c r="F232" s="242"/>
      <c r="G232" s="88"/>
      <c r="H232" s="36">
        <f t="shared" si="1"/>
        <v>0</v>
      </c>
      <c r="I232" s="37">
        <f t="shared" si="2"/>
        <v>0</v>
      </c>
      <c r="J232" s="38">
        <f t="shared" si="3"/>
        <v>0</v>
      </c>
      <c r="K232" s="39">
        <f t="shared" si="4"/>
        <v>0</v>
      </c>
      <c r="L232" s="38">
        <f t="shared" si="5"/>
        <v>0</v>
      </c>
      <c r="M232" s="39">
        <f t="shared" si="6"/>
        <v>0</v>
      </c>
      <c r="N232" s="40"/>
      <c r="O232" s="34"/>
      <c r="P232" s="35"/>
      <c r="Q232" s="35"/>
      <c r="R232" s="35"/>
      <c r="S232" s="35"/>
      <c r="T232" s="35"/>
      <c r="U232" s="35"/>
      <c r="V232" s="35"/>
      <c r="W232" s="35"/>
      <c r="X232" s="35"/>
      <c r="Y232" s="35"/>
      <c r="Z232" s="35"/>
    </row>
    <row r="233" ht="14.25" customHeight="1">
      <c r="A233" s="221"/>
      <c r="B233" s="231"/>
      <c r="C233" s="108"/>
      <c r="D233" s="241"/>
      <c r="E233" s="101"/>
      <c r="F233" s="242"/>
      <c r="G233" s="88"/>
      <c r="H233" s="36">
        <f t="shared" si="1"/>
        <v>0</v>
      </c>
      <c r="I233" s="37">
        <f t="shared" si="2"/>
        <v>0</v>
      </c>
      <c r="J233" s="38">
        <f t="shared" si="3"/>
        <v>0</v>
      </c>
      <c r="K233" s="39">
        <f t="shared" si="4"/>
        <v>0</v>
      </c>
      <c r="L233" s="38">
        <f t="shared" si="5"/>
        <v>0</v>
      </c>
      <c r="M233" s="39">
        <f t="shared" si="6"/>
        <v>0</v>
      </c>
      <c r="N233" s="40"/>
      <c r="O233" s="34"/>
      <c r="P233" s="35"/>
      <c r="Q233" s="35"/>
      <c r="R233" s="35"/>
      <c r="S233" s="35"/>
      <c r="T233" s="35"/>
      <c r="U233" s="35"/>
      <c r="V233" s="35"/>
      <c r="W233" s="35"/>
      <c r="X233" s="35"/>
      <c r="Y233" s="35"/>
      <c r="Z233" s="35"/>
    </row>
    <row r="234" ht="14.25" customHeight="1">
      <c r="A234" s="221"/>
      <c r="B234" s="231"/>
      <c r="C234" s="108"/>
      <c r="D234" s="241"/>
      <c r="E234" s="101"/>
      <c r="F234" s="242"/>
      <c r="G234" s="88"/>
      <c r="H234" s="36">
        <f t="shared" si="1"/>
        <v>0</v>
      </c>
      <c r="I234" s="37">
        <f t="shared" si="2"/>
        <v>0</v>
      </c>
      <c r="J234" s="38">
        <f t="shared" si="3"/>
        <v>0</v>
      </c>
      <c r="K234" s="39">
        <f t="shared" si="4"/>
        <v>0</v>
      </c>
      <c r="L234" s="38">
        <f t="shared" si="5"/>
        <v>0</v>
      </c>
      <c r="M234" s="39">
        <f t="shared" si="6"/>
        <v>0</v>
      </c>
      <c r="N234" s="40"/>
      <c r="O234" s="34"/>
      <c r="P234" s="35"/>
      <c r="Q234" s="35"/>
      <c r="R234" s="35"/>
      <c r="S234" s="35"/>
      <c r="T234" s="35"/>
      <c r="U234" s="35"/>
      <c r="V234" s="35"/>
      <c r="W234" s="35"/>
      <c r="X234" s="35"/>
      <c r="Y234" s="35"/>
      <c r="Z234" s="35"/>
    </row>
    <row r="235" ht="14.25" customHeight="1">
      <c r="A235" s="221"/>
      <c r="B235" s="231"/>
      <c r="C235" s="108"/>
      <c r="D235" s="241"/>
      <c r="E235" s="101"/>
      <c r="F235" s="242"/>
      <c r="G235" s="88"/>
      <c r="H235" s="36">
        <f t="shared" si="1"/>
        <v>0</v>
      </c>
      <c r="I235" s="37">
        <f t="shared" si="2"/>
        <v>0</v>
      </c>
      <c r="J235" s="38">
        <f t="shared" si="3"/>
        <v>0</v>
      </c>
      <c r="K235" s="39">
        <f t="shared" si="4"/>
        <v>0</v>
      </c>
      <c r="L235" s="38">
        <f t="shared" si="5"/>
        <v>0</v>
      </c>
      <c r="M235" s="39">
        <f t="shared" si="6"/>
        <v>0</v>
      </c>
      <c r="N235" s="40"/>
      <c r="O235" s="34"/>
      <c r="P235" s="35"/>
      <c r="Q235" s="35"/>
      <c r="R235" s="35"/>
      <c r="S235" s="35"/>
      <c r="T235" s="35"/>
      <c r="U235" s="35"/>
      <c r="V235" s="35"/>
      <c r="W235" s="35"/>
      <c r="X235" s="35"/>
      <c r="Y235" s="35"/>
      <c r="Z235" s="35"/>
    </row>
    <row r="236" ht="14.25" customHeight="1">
      <c r="A236" s="221"/>
      <c r="B236" s="231"/>
      <c r="C236" s="116"/>
      <c r="D236" s="237"/>
      <c r="E236" s="117"/>
      <c r="F236" s="244"/>
      <c r="G236" s="88"/>
      <c r="H236" s="36">
        <f t="shared" si="1"/>
        <v>0</v>
      </c>
      <c r="I236" s="37">
        <f t="shared" si="2"/>
        <v>0</v>
      </c>
      <c r="J236" s="38">
        <f t="shared" si="3"/>
        <v>0</v>
      </c>
      <c r="K236" s="39">
        <f t="shared" si="4"/>
        <v>0</v>
      </c>
      <c r="L236" s="38">
        <f t="shared" si="5"/>
        <v>0</v>
      </c>
      <c r="M236" s="39">
        <f t="shared" si="6"/>
        <v>0</v>
      </c>
      <c r="N236" s="40"/>
      <c r="O236" s="34"/>
      <c r="P236" s="35"/>
      <c r="Q236" s="35"/>
      <c r="R236" s="35"/>
      <c r="S236" s="35"/>
      <c r="T236" s="35"/>
      <c r="U236" s="35"/>
      <c r="V236" s="35"/>
      <c r="W236" s="35"/>
      <c r="X236" s="35"/>
      <c r="Y236" s="35"/>
      <c r="Z236" s="35"/>
    </row>
    <row r="237" ht="14.25" customHeight="1">
      <c r="A237" s="221"/>
      <c r="B237" s="231"/>
      <c r="C237" s="116"/>
      <c r="D237" s="237"/>
      <c r="E237" s="117"/>
      <c r="F237" s="244"/>
      <c r="G237" s="88"/>
      <c r="H237" s="36">
        <f t="shared" si="1"/>
        <v>0</v>
      </c>
      <c r="I237" s="37">
        <f t="shared" si="2"/>
        <v>0</v>
      </c>
      <c r="J237" s="38">
        <f t="shared" si="3"/>
        <v>0</v>
      </c>
      <c r="K237" s="39">
        <f t="shared" si="4"/>
        <v>0</v>
      </c>
      <c r="L237" s="38">
        <f t="shared" si="5"/>
        <v>0</v>
      </c>
      <c r="M237" s="39">
        <f t="shared" si="6"/>
        <v>0</v>
      </c>
      <c r="N237" s="40"/>
      <c r="O237" s="34"/>
      <c r="P237" s="35"/>
      <c r="Q237" s="35"/>
      <c r="R237" s="35"/>
      <c r="S237" s="35"/>
      <c r="T237" s="35"/>
      <c r="U237" s="35"/>
      <c r="V237" s="35"/>
      <c r="W237" s="35"/>
      <c r="X237" s="35"/>
      <c r="Y237" s="35"/>
      <c r="Z237" s="35"/>
    </row>
    <row r="238" ht="14.25" customHeight="1">
      <c r="A238" s="221"/>
      <c r="B238" s="231"/>
      <c r="C238" s="116"/>
      <c r="D238" s="237"/>
      <c r="E238" s="117"/>
      <c r="F238" s="244"/>
      <c r="G238" s="88"/>
      <c r="H238" s="36">
        <f t="shared" si="1"/>
        <v>0</v>
      </c>
      <c r="I238" s="37">
        <f t="shared" si="2"/>
        <v>0</v>
      </c>
      <c r="J238" s="38">
        <f t="shared" si="3"/>
        <v>0</v>
      </c>
      <c r="K238" s="39">
        <f t="shared" si="4"/>
        <v>0</v>
      </c>
      <c r="L238" s="38">
        <f t="shared" si="5"/>
        <v>0</v>
      </c>
      <c r="M238" s="39">
        <f t="shared" si="6"/>
        <v>0</v>
      </c>
      <c r="N238" s="40"/>
      <c r="O238" s="34"/>
      <c r="P238" s="35"/>
      <c r="Q238" s="35"/>
      <c r="R238" s="35"/>
      <c r="S238" s="35"/>
      <c r="T238" s="35"/>
      <c r="U238" s="35"/>
      <c r="V238" s="35"/>
      <c r="W238" s="35"/>
      <c r="X238" s="35"/>
      <c r="Y238" s="35"/>
      <c r="Z238" s="35"/>
    </row>
    <row r="239" ht="14.25" customHeight="1">
      <c r="A239" s="221"/>
      <c r="B239" s="231"/>
      <c r="C239" s="116"/>
      <c r="D239" s="237"/>
      <c r="E239" s="117"/>
      <c r="F239" s="244"/>
      <c r="G239" s="88"/>
      <c r="H239" s="36">
        <f t="shared" si="1"/>
        <v>0</v>
      </c>
      <c r="I239" s="37">
        <f t="shared" si="2"/>
        <v>0</v>
      </c>
      <c r="J239" s="38">
        <f t="shared" si="3"/>
        <v>0</v>
      </c>
      <c r="K239" s="39">
        <f t="shared" si="4"/>
        <v>0</v>
      </c>
      <c r="L239" s="38">
        <f t="shared" si="5"/>
        <v>0</v>
      </c>
      <c r="M239" s="39">
        <f t="shared" si="6"/>
        <v>0</v>
      </c>
      <c r="N239" s="40"/>
      <c r="O239" s="34"/>
      <c r="P239" s="35"/>
      <c r="Q239" s="35"/>
      <c r="R239" s="35"/>
      <c r="S239" s="35"/>
      <c r="T239" s="35"/>
      <c r="U239" s="35"/>
      <c r="V239" s="35"/>
      <c r="W239" s="35"/>
      <c r="X239" s="35"/>
      <c r="Y239" s="35"/>
      <c r="Z239" s="35"/>
    </row>
    <row r="240" ht="14.25" customHeight="1">
      <c r="A240" s="221"/>
      <c r="B240" s="231"/>
      <c r="C240" s="116"/>
      <c r="D240" s="237"/>
      <c r="E240" s="117"/>
      <c r="F240" s="244"/>
      <c r="G240" s="88"/>
      <c r="H240" s="36">
        <f t="shared" si="1"/>
        <v>0</v>
      </c>
      <c r="I240" s="37">
        <f t="shared" si="2"/>
        <v>0</v>
      </c>
      <c r="J240" s="38">
        <f t="shared" si="3"/>
        <v>0</v>
      </c>
      <c r="K240" s="39">
        <f t="shared" si="4"/>
        <v>0</v>
      </c>
      <c r="L240" s="38">
        <f t="shared" si="5"/>
        <v>0</v>
      </c>
      <c r="M240" s="39">
        <f t="shared" si="6"/>
        <v>0</v>
      </c>
      <c r="N240" s="40"/>
      <c r="O240" s="34"/>
      <c r="P240" s="35"/>
      <c r="Q240" s="35"/>
      <c r="R240" s="35"/>
      <c r="S240" s="35"/>
      <c r="T240" s="35"/>
      <c r="U240" s="35"/>
      <c r="V240" s="35"/>
      <c r="W240" s="35"/>
      <c r="X240" s="35"/>
      <c r="Y240" s="35"/>
      <c r="Z240" s="35"/>
    </row>
    <row r="241" ht="14.25" customHeight="1">
      <c r="A241" s="221"/>
      <c r="B241" s="231"/>
      <c r="C241" s="116"/>
      <c r="D241" s="237"/>
      <c r="E241" s="117"/>
      <c r="F241" s="244"/>
      <c r="G241" s="88"/>
      <c r="H241" s="36">
        <f t="shared" si="1"/>
        <v>0</v>
      </c>
      <c r="I241" s="37">
        <f t="shared" si="2"/>
        <v>0</v>
      </c>
      <c r="J241" s="38">
        <f t="shared" si="3"/>
        <v>0</v>
      </c>
      <c r="K241" s="39">
        <f t="shared" si="4"/>
        <v>0</v>
      </c>
      <c r="L241" s="38">
        <f t="shared" si="5"/>
        <v>0</v>
      </c>
      <c r="M241" s="39">
        <f t="shared" si="6"/>
        <v>0</v>
      </c>
      <c r="N241" s="40"/>
      <c r="O241" s="34"/>
      <c r="P241" s="35"/>
      <c r="Q241" s="35"/>
      <c r="R241" s="35"/>
      <c r="S241" s="35"/>
      <c r="T241" s="35"/>
      <c r="U241" s="35"/>
      <c r="V241" s="35"/>
      <c r="W241" s="35"/>
      <c r="X241" s="35"/>
      <c r="Y241" s="35"/>
      <c r="Z241" s="35"/>
    </row>
    <row r="242" ht="14.25" customHeight="1">
      <c r="A242" s="221"/>
      <c r="B242" s="231"/>
      <c r="C242" s="116"/>
      <c r="D242" s="237"/>
      <c r="E242" s="117"/>
      <c r="F242" s="244"/>
      <c r="G242" s="88"/>
      <c r="H242" s="36">
        <f t="shared" si="1"/>
        <v>0</v>
      </c>
      <c r="I242" s="37">
        <f t="shared" si="2"/>
        <v>0</v>
      </c>
      <c r="J242" s="38">
        <f t="shared" si="3"/>
        <v>0</v>
      </c>
      <c r="K242" s="39">
        <f t="shared" si="4"/>
        <v>0</v>
      </c>
      <c r="L242" s="38">
        <f t="shared" si="5"/>
        <v>0</v>
      </c>
      <c r="M242" s="39">
        <f t="shared" si="6"/>
        <v>0</v>
      </c>
      <c r="N242" s="40"/>
      <c r="O242" s="34"/>
      <c r="P242" s="35"/>
      <c r="Q242" s="35"/>
      <c r="R242" s="35"/>
      <c r="S242" s="35"/>
      <c r="T242" s="35"/>
      <c r="U242" s="35"/>
      <c r="V242" s="35"/>
      <c r="W242" s="35"/>
      <c r="X242" s="35"/>
      <c r="Y242" s="35"/>
      <c r="Z242" s="35"/>
    </row>
    <row r="243" ht="14.25" customHeight="1">
      <c r="A243" s="221"/>
      <c r="B243" s="231"/>
      <c r="C243" s="115"/>
      <c r="D243" s="237"/>
      <c r="E243" s="117"/>
      <c r="F243" s="244"/>
      <c r="G243" s="88"/>
      <c r="H243" s="36">
        <f t="shared" si="1"/>
        <v>0</v>
      </c>
      <c r="I243" s="37">
        <f t="shared" si="2"/>
        <v>0</v>
      </c>
      <c r="J243" s="38">
        <f t="shared" si="3"/>
        <v>0</v>
      </c>
      <c r="K243" s="39">
        <f t="shared" si="4"/>
        <v>0</v>
      </c>
      <c r="L243" s="38">
        <f t="shared" si="5"/>
        <v>0</v>
      </c>
      <c r="M243" s="39">
        <f t="shared" si="6"/>
        <v>0</v>
      </c>
      <c r="N243" s="40"/>
      <c r="O243" s="34"/>
      <c r="P243" s="35"/>
      <c r="Q243" s="35"/>
      <c r="R243" s="35"/>
      <c r="S243" s="35"/>
      <c r="T243" s="35"/>
      <c r="U243" s="35"/>
      <c r="V243" s="35"/>
      <c r="W243" s="35"/>
      <c r="X243" s="35"/>
      <c r="Y243" s="35"/>
      <c r="Z243" s="35"/>
    </row>
    <row r="244" ht="14.25" customHeight="1">
      <c r="A244" s="221"/>
      <c r="B244" s="231"/>
      <c r="C244" s="108"/>
      <c r="D244" s="237"/>
      <c r="E244" s="117"/>
      <c r="F244" s="245"/>
      <c r="G244" s="88"/>
      <c r="H244" s="36">
        <f t="shared" si="1"/>
        <v>0</v>
      </c>
      <c r="I244" s="37">
        <f t="shared" si="2"/>
        <v>0</v>
      </c>
      <c r="J244" s="38">
        <f t="shared" si="3"/>
        <v>0</v>
      </c>
      <c r="K244" s="39">
        <f t="shared" si="4"/>
        <v>0</v>
      </c>
      <c r="L244" s="38">
        <f t="shared" si="5"/>
        <v>0</v>
      </c>
      <c r="M244" s="39">
        <f t="shared" si="6"/>
        <v>0</v>
      </c>
      <c r="N244" s="40"/>
      <c r="O244" s="34"/>
      <c r="P244" s="35"/>
      <c r="Q244" s="35"/>
      <c r="R244" s="35"/>
      <c r="S244" s="35"/>
      <c r="T244" s="35"/>
      <c r="U244" s="35"/>
      <c r="V244" s="35"/>
      <c r="W244" s="35"/>
      <c r="X244" s="35"/>
      <c r="Y244" s="35"/>
      <c r="Z244" s="35"/>
    </row>
    <row r="245" ht="14.25" customHeight="1">
      <c r="A245" s="221"/>
      <c r="B245" s="231"/>
      <c r="C245" s="108"/>
      <c r="D245" s="237"/>
      <c r="E245" s="117"/>
      <c r="F245" s="245"/>
      <c r="G245" s="88"/>
      <c r="H245" s="36">
        <f t="shared" si="1"/>
        <v>0</v>
      </c>
      <c r="I245" s="37">
        <f t="shared" si="2"/>
        <v>0</v>
      </c>
      <c r="J245" s="38">
        <f t="shared" si="3"/>
        <v>0</v>
      </c>
      <c r="K245" s="39">
        <f t="shared" si="4"/>
        <v>0</v>
      </c>
      <c r="L245" s="38">
        <f t="shared" si="5"/>
        <v>0</v>
      </c>
      <c r="M245" s="39">
        <f t="shared" si="6"/>
        <v>0</v>
      </c>
      <c r="N245" s="40"/>
      <c r="O245" s="34"/>
      <c r="P245" s="35"/>
      <c r="Q245" s="35"/>
      <c r="R245" s="35"/>
      <c r="S245" s="35"/>
      <c r="T245" s="35"/>
      <c r="U245" s="35"/>
      <c r="V245" s="35"/>
      <c r="W245" s="35"/>
      <c r="X245" s="35"/>
      <c r="Y245" s="35"/>
      <c r="Z245" s="35"/>
    </row>
    <row r="246" ht="14.25" customHeight="1">
      <c r="A246" s="221"/>
      <c r="B246" s="231"/>
      <c r="C246" s="108"/>
      <c r="D246" s="237"/>
      <c r="E246" s="117"/>
      <c r="F246" s="245"/>
      <c r="G246" s="88"/>
      <c r="H246" s="36">
        <f t="shared" si="1"/>
        <v>0</v>
      </c>
      <c r="I246" s="37">
        <f t="shared" si="2"/>
        <v>0</v>
      </c>
      <c r="J246" s="38">
        <f t="shared" si="3"/>
        <v>0</v>
      </c>
      <c r="K246" s="39">
        <f t="shared" si="4"/>
        <v>0</v>
      </c>
      <c r="L246" s="38">
        <f t="shared" si="5"/>
        <v>0</v>
      </c>
      <c r="M246" s="39">
        <f t="shared" si="6"/>
        <v>0</v>
      </c>
      <c r="N246" s="40"/>
      <c r="O246" s="34"/>
      <c r="P246" s="35"/>
      <c r="Q246" s="35"/>
      <c r="R246" s="35"/>
      <c r="S246" s="35"/>
      <c r="T246" s="35"/>
      <c r="U246" s="35"/>
      <c r="V246" s="35"/>
      <c r="W246" s="35"/>
      <c r="X246" s="35"/>
      <c r="Y246" s="35"/>
      <c r="Z246" s="35"/>
    </row>
    <row r="247" ht="14.25" customHeight="1">
      <c r="A247" s="221"/>
      <c r="B247" s="231"/>
      <c r="C247" s="108"/>
      <c r="D247" s="223"/>
      <c r="E247" s="117"/>
      <c r="F247" s="245"/>
      <c r="G247" s="88"/>
      <c r="H247" s="36">
        <f t="shared" si="1"/>
        <v>0</v>
      </c>
      <c r="I247" s="37">
        <f t="shared" si="2"/>
        <v>0</v>
      </c>
      <c r="J247" s="38">
        <f t="shared" si="3"/>
        <v>0</v>
      </c>
      <c r="K247" s="39">
        <f t="shared" si="4"/>
        <v>0</v>
      </c>
      <c r="L247" s="38">
        <f t="shared" si="5"/>
        <v>0</v>
      </c>
      <c r="M247" s="39">
        <f t="shared" si="6"/>
        <v>0</v>
      </c>
      <c r="N247" s="40"/>
      <c r="O247" s="34"/>
      <c r="P247" s="35"/>
      <c r="Q247" s="35"/>
      <c r="R247" s="35"/>
      <c r="S247" s="35"/>
      <c r="T247" s="35"/>
      <c r="U247" s="35"/>
      <c r="V247" s="35"/>
      <c r="W247" s="35"/>
      <c r="X247" s="35"/>
      <c r="Y247" s="35"/>
      <c r="Z247" s="35"/>
    </row>
    <row r="248" ht="14.25" customHeight="1">
      <c r="A248" s="221"/>
      <c r="B248" s="231"/>
      <c r="C248" s="108"/>
      <c r="D248" s="237"/>
      <c r="E248" s="117"/>
      <c r="F248" s="245"/>
      <c r="G248" s="88"/>
      <c r="H248" s="36">
        <f t="shared" si="1"/>
        <v>0</v>
      </c>
      <c r="I248" s="37">
        <f t="shared" si="2"/>
        <v>0</v>
      </c>
      <c r="J248" s="38">
        <f t="shared" si="3"/>
        <v>0</v>
      </c>
      <c r="K248" s="39">
        <f t="shared" si="4"/>
        <v>0</v>
      </c>
      <c r="L248" s="38">
        <f t="shared" si="5"/>
        <v>0</v>
      </c>
      <c r="M248" s="39">
        <f t="shared" si="6"/>
        <v>0</v>
      </c>
      <c r="N248" s="40"/>
      <c r="O248" s="34"/>
      <c r="P248" s="35"/>
      <c r="Q248" s="35"/>
      <c r="R248" s="35"/>
      <c r="S248" s="35"/>
      <c r="T248" s="35"/>
      <c r="U248" s="35"/>
      <c r="V248" s="35"/>
      <c r="W248" s="35"/>
      <c r="X248" s="35"/>
      <c r="Y248" s="35"/>
      <c r="Z248" s="35"/>
    </row>
    <row r="249" ht="14.25" customHeight="1">
      <c r="A249" s="221"/>
      <c r="B249" s="231"/>
      <c r="C249" s="108"/>
      <c r="D249" s="237"/>
      <c r="E249" s="117"/>
      <c r="F249" s="245"/>
      <c r="G249" s="88"/>
      <c r="H249" s="36">
        <f t="shared" si="1"/>
        <v>0</v>
      </c>
      <c r="I249" s="37">
        <f t="shared" si="2"/>
        <v>0</v>
      </c>
      <c r="J249" s="38">
        <f t="shared" si="3"/>
        <v>0</v>
      </c>
      <c r="K249" s="39">
        <f t="shared" si="4"/>
        <v>0</v>
      </c>
      <c r="L249" s="38">
        <f t="shared" si="5"/>
        <v>0</v>
      </c>
      <c r="M249" s="39">
        <f t="shared" si="6"/>
        <v>0</v>
      </c>
      <c r="N249" s="40"/>
      <c r="O249" s="34"/>
      <c r="P249" s="35"/>
      <c r="Q249" s="35"/>
      <c r="R249" s="35"/>
      <c r="S249" s="35"/>
      <c r="T249" s="35"/>
      <c r="U249" s="35"/>
      <c r="V249" s="35"/>
      <c r="W249" s="35"/>
      <c r="X249" s="35"/>
      <c r="Y249" s="35"/>
      <c r="Z249" s="35"/>
    </row>
    <row r="250" ht="14.25" customHeight="1">
      <c r="A250" s="221"/>
      <c r="B250" s="231"/>
      <c r="C250" s="108"/>
      <c r="D250" s="237"/>
      <c r="E250" s="117"/>
      <c r="F250" s="245"/>
      <c r="G250" s="88"/>
      <c r="H250" s="36">
        <f t="shared" si="1"/>
        <v>0</v>
      </c>
      <c r="I250" s="37">
        <f t="shared" si="2"/>
        <v>0</v>
      </c>
      <c r="J250" s="38">
        <f t="shared" si="3"/>
        <v>0</v>
      </c>
      <c r="K250" s="39">
        <f t="shared" si="4"/>
        <v>0</v>
      </c>
      <c r="L250" s="38">
        <f t="shared" si="5"/>
        <v>0</v>
      </c>
      <c r="M250" s="39">
        <f t="shared" si="6"/>
        <v>0</v>
      </c>
      <c r="N250" s="40"/>
      <c r="O250" s="34"/>
      <c r="P250" s="35"/>
      <c r="Q250" s="35"/>
      <c r="R250" s="35"/>
      <c r="S250" s="35"/>
      <c r="T250" s="35"/>
      <c r="U250" s="35"/>
      <c r="V250" s="35"/>
      <c r="W250" s="35"/>
      <c r="X250" s="35"/>
      <c r="Y250" s="35"/>
      <c r="Z250" s="35"/>
    </row>
    <row r="251" ht="14.25" customHeight="1">
      <c r="A251" s="221"/>
      <c r="B251" s="231"/>
      <c r="C251" s="108"/>
      <c r="D251" s="237"/>
      <c r="E251" s="117"/>
      <c r="F251" s="245"/>
      <c r="G251" s="88"/>
      <c r="H251" s="36">
        <f t="shared" si="1"/>
        <v>0</v>
      </c>
      <c r="I251" s="37">
        <f t="shared" si="2"/>
        <v>0</v>
      </c>
      <c r="J251" s="38">
        <f t="shared" si="3"/>
        <v>0</v>
      </c>
      <c r="K251" s="39">
        <f t="shared" si="4"/>
        <v>0</v>
      </c>
      <c r="L251" s="38">
        <f t="shared" si="5"/>
        <v>0</v>
      </c>
      <c r="M251" s="39">
        <f t="shared" si="6"/>
        <v>0</v>
      </c>
      <c r="N251" s="40"/>
      <c r="O251" s="34"/>
      <c r="P251" s="35"/>
      <c r="Q251" s="35"/>
      <c r="R251" s="35"/>
      <c r="S251" s="35"/>
      <c r="T251" s="35"/>
      <c r="U251" s="35"/>
      <c r="V251" s="35"/>
      <c r="W251" s="35"/>
      <c r="X251" s="35"/>
      <c r="Y251" s="35"/>
      <c r="Z251" s="35"/>
    </row>
    <row r="252" ht="14.25" customHeight="1">
      <c r="A252" s="221"/>
      <c r="B252" s="231"/>
      <c r="C252" s="108"/>
      <c r="D252" s="237"/>
      <c r="E252" s="117"/>
      <c r="F252" s="245"/>
      <c r="G252" s="88"/>
      <c r="H252" s="36">
        <f t="shared" si="1"/>
        <v>0</v>
      </c>
      <c r="I252" s="37">
        <f t="shared" si="2"/>
        <v>0</v>
      </c>
      <c r="J252" s="38">
        <f t="shared" si="3"/>
        <v>0</v>
      </c>
      <c r="K252" s="39">
        <f t="shared" si="4"/>
        <v>0</v>
      </c>
      <c r="L252" s="38">
        <f t="shared" si="5"/>
        <v>0</v>
      </c>
      <c r="M252" s="39">
        <f t="shared" si="6"/>
        <v>0</v>
      </c>
      <c r="N252" s="40"/>
      <c r="O252" s="34"/>
      <c r="P252" s="35"/>
      <c r="Q252" s="35"/>
      <c r="R252" s="35"/>
      <c r="S252" s="35"/>
      <c r="T252" s="35"/>
      <c r="U252" s="35"/>
      <c r="V252" s="35"/>
      <c r="W252" s="35"/>
      <c r="X252" s="35"/>
      <c r="Y252" s="35"/>
      <c r="Z252" s="35"/>
    </row>
    <row r="253" ht="14.25" customHeight="1">
      <c r="A253" s="221"/>
      <c r="B253" s="231"/>
      <c r="C253" s="108"/>
      <c r="D253" s="237"/>
      <c r="E253" s="117"/>
      <c r="F253" s="245"/>
      <c r="G253" s="88"/>
      <c r="H253" s="36">
        <f t="shared" si="1"/>
        <v>0</v>
      </c>
      <c r="I253" s="37">
        <f t="shared" si="2"/>
        <v>0</v>
      </c>
      <c r="J253" s="38">
        <f t="shared" si="3"/>
        <v>0</v>
      </c>
      <c r="K253" s="39">
        <f t="shared" si="4"/>
        <v>0</v>
      </c>
      <c r="L253" s="38">
        <f t="shared" si="5"/>
        <v>0</v>
      </c>
      <c r="M253" s="39">
        <f t="shared" si="6"/>
        <v>0</v>
      </c>
      <c r="N253" s="40"/>
      <c r="O253" s="34"/>
      <c r="P253" s="35"/>
      <c r="Q253" s="35"/>
      <c r="R253" s="35"/>
      <c r="S253" s="35"/>
      <c r="T253" s="35"/>
      <c r="U253" s="35"/>
      <c r="V253" s="35"/>
      <c r="W253" s="35"/>
      <c r="X253" s="35"/>
      <c r="Y253" s="35"/>
      <c r="Z253" s="35"/>
    </row>
    <row r="254" ht="14.25" customHeight="1">
      <c r="A254" s="221"/>
      <c r="B254" s="231"/>
      <c r="C254" s="108"/>
      <c r="D254" s="237"/>
      <c r="E254" s="117"/>
      <c r="F254" s="244"/>
      <c r="G254" s="88"/>
      <c r="H254" s="36">
        <f t="shared" si="1"/>
        <v>0</v>
      </c>
      <c r="I254" s="37">
        <f t="shared" si="2"/>
        <v>0</v>
      </c>
      <c r="J254" s="38">
        <f t="shared" si="3"/>
        <v>0</v>
      </c>
      <c r="K254" s="39">
        <f t="shared" si="4"/>
        <v>0</v>
      </c>
      <c r="L254" s="38">
        <f t="shared" si="5"/>
        <v>0</v>
      </c>
      <c r="M254" s="39">
        <f t="shared" si="6"/>
        <v>0</v>
      </c>
      <c r="N254" s="40"/>
      <c r="O254" s="34"/>
      <c r="P254" s="35"/>
      <c r="Q254" s="35"/>
      <c r="R254" s="35"/>
      <c r="S254" s="35"/>
      <c r="T254" s="35"/>
      <c r="U254" s="35"/>
      <c r="V254" s="35"/>
      <c r="W254" s="35"/>
      <c r="X254" s="35"/>
      <c r="Y254" s="35"/>
      <c r="Z254" s="35"/>
    </row>
    <row r="255" ht="14.25" customHeight="1">
      <c r="A255" s="221"/>
      <c r="B255" s="231"/>
      <c r="C255" s="108"/>
      <c r="D255" s="223"/>
      <c r="E255" s="117"/>
      <c r="F255" s="246"/>
      <c r="G255" s="88"/>
      <c r="H255" s="36">
        <f t="shared" si="1"/>
        <v>0</v>
      </c>
      <c r="I255" s="37">
        <f t="shared" si="2"/>
        <v>0</v>
      </c>
      <c r="J255" s="38">
        <f t="shared" si="3"/>
        <v>0</v>
      </c>
      <c r="K255" s="39">
        <f t="shared" si="4"/>
        <v>0</v>
      </c>
      <c r="L255" s="38">
        <f t="shared" si="5"/>
        <v>0</v>
      </c>
      <c r="M255" s="39">
        <f t="shared" si="6"/>
        <v>0</v>
      </c>
      <c r="N255" s="40"/>
      <c r="O255" s="34"/>
      <c r="P255" s="35"/>
      <c r="Q255" s="35"/>
      <c r="R255" s="35"/>
      <c r="S255" s="35"/>
      <c r="T255" s="35"/>
      <c r="U255" s="35"/>
      <c r="V255" s="35"/>
      <c r="W255" s="35"/>
      <c r="X255" s="35"/>
      <c r="Y255" s="35"/>
      <c r="Z255" s="35"/>
    </row>
    <row r="256" ht="14.25" customHeight="1">
      <c r="A256" s="221"/>
      <c r="B256" s="231"/>
      <c r="C256" s="108"/>
      <c r="D256" s="247"/>
      <c r="E256" s="117"/>
      <c r="F256" s="246"/>
      <c r="G256" s="88"/>
      <c r="H256" s="36">
        <f t="shared" si="1"/>
        <v>0</v>
      </c>
      <c r="I256" s="37">
        <f t="shared" si="2"/>
        <v>0</v>
      </c>
      <c r="J256" s="38">
        <f t="shared" si="3"/>
        <v>0</v>
      </c>
      <c r="K256" s="39">
        <f t="shared" si="4"/>
        <v>0</v>
      </c>
      <c r="L256" s="38">
        <f t="shared" si="5"/>
        <v>0</v>
      </c>
      <c r="M256" s="39">
        <f t="shared" si="6"/>
        <v>0</v>
      </c>
      <c r="N256" s="40"/>
      <c r="O256" s="34"/>
      <c r="P256" s="35"/>
      <c r="Q256" s="35"/>
      <c r="R256" s="35"/>
      <c r="S256" s="35"/>
      <c r="T256" s="35"/>
      <c r="U256" s="35"/>
      <c r="V256" s="35"/>
      <c r="W256" s="35"/>
      <c r="X256" s="35"/>
      <c r="Y256" s="35"/>
      <c r="Z256" s="35"/>
    </row>
    <row r="257" ht="14.25" customHeight="1">
      <c r="A257" s="221"/>
      <c r="B257" s="231"/>
      <c r="C257" s="108"/>
      <c r="D257" s="223"/>
      <c r="E257" s="117"/>
      <c r="F257" s="246"/>
      <c r="G257" s="88"/>
      <c r="H257" s="36">
        <f t="shared" si="1"/>
        <v>0</v>
      </c>
      <c r="I257" s="37">
        <f t="shared" si="2"/>
        <v>0</v>
      </c>
      <c r="J257" s="38">
        <f t="shared" si="3"/>
        <v>0</v>
      </c>
      <c r="K257" s="39">
        <f t="shared" si="4"/>
        <v>0</v>
      </c>
      <c r="L257" s="38">
        <f t="shared" si="5"/>
        <v>0</v>
      </c>
      <c r="M257" s="39">
        <f t="shared" si="6"/>
        <v>0</v>
      </c>
      <c r="N257" s="40"/>
      <c r="O257" s="34"/>
      <c r="P257" s="35"/>
      <c r="Q257" s="35"/>
      <c r="R257" s="35"/>
      <c r="S257" s="35"/>
      <c r="T257" s="35"/>
      <c r="U257" s="35"/>
      <c r="V257" s="35"/>
      <c r="W257" s="35"/>
      <c r="X257" s="35"/>
      <c r="Y257" s="35"/>
      <c r="Z257" s="35"/>
    </row>
    <row r="258" ht="14.25" customHeight="1">
      <c r="A258" s="221"/>
      <c r="B258" s="231"/>
      <c r="C258" s="108"/>
      <c r="D258" s="223"/>
      <c r="E258" s="117"/>
      <c r="F258" s="246"/>
      <c r="G258" s="88"/>
      <c r="H258" s="36">
        <f t="shared" si="1"/>
        <v>0</v>
      </c>
      <c r="I258" s="37">
        <f t="shared" si="2"/>
        <v>0</v>
      </c>
      <c r="J258" s="38">
        <f t="shared" si="3"/>
        <v>0</v>
      </c>
      <c r="K258" s="39">
        <f t="shared" si="4"/>
        <v>0</v>
      </c>
      <c r="L258" s="38">
        <f t="shared" si="5"/>
        <v>0</v>
      </c>
      <c r="M258" s="39">
        <f t="shared" si="6"/>
        <v>0</v>
      </c>
      <c r="N258" s="40"/>
      <c r="O258" s="34"/>
      <c r="P258" s="35"/>
      <c r="Q258" s="35"/>
      <c r="R258" s="35"/>
      <c r="S258" s="35"/>
      <c r="T258" s="35"/>
      <c r="U258" s="35"/>
      <c r="V258" s="35"/>
      <c r="W258" s="35"/>
      <c r="X258" s="35"/>
      <c r="Y258" s="35"/>
      <c r="Z258" s="35"/>
    </row>
    <row r="259" ht="14.25" customHeight="1">
      <c r="A259" s="221"/>
      <c r="B259" s="231"/>
      <c r="C259" s="108"/>
      <c r="D259" s="223"/>
      <c r="E259" s="117"/>
      <c r="F259" s="246"/>
      <c r="G259" s="88"/>
      <c r="H259" s="36">
        <f t="shared" si="1"/>
        <v>0</v>
      </c>
      <c r="I259" s="37">
        <f t="shared" si="2"/>
        <v>0</v>
      </c>
      <c r="J259" s="38">
        <f t="shared" si="3"/>
        <v>0</v>
      </c>
      <c r="K259" s="39">
        <f t="shared" si="4"/>
        <v>0</v>
      </c>
      <c r="L259" s="38">
        <f t="shared" si="5"/>
        <v>0</v>
      </c>
      <c r="M259" s="39">
        <f t="shared" si="6"/>
        <v>0</v>
      </c>
      <c r="N259" s="40"/>
      <c r="O259" s="34"/>
      <c r="P259" s="35"/>
      <c r="Q259" s="35"/>
      <c r="R259" s="35"/>
      <c r="S259" s="35"/>
      <c r="T259" s="35"/>
      <c r="U259" s="35"/>
      <c r="V259" s="35"/>
      <c r="W259" s="35"/>
      <c r="X259" s="35"/>
      <c r="Y259" s="35"/>
      <c r="Z259" s="35"/>
    </row>
    <row r="260" ht="14.25" customHeight="1">
      <c r="A260" s="221"/>
      <c r="B260" s="231"/>
      <c r="C260" s="108"/>
      <c r="D260" s="223"/>
      <c r="E260" s="117"/>
      <c r="F260" s="246"/>
      <c r="G260" s="88"/>
      <c r="H260" s="36">
        <f t="shared" si="1"/>
        <v>0</v>
      </c>
      <c r="I260" s="37">
        <f t="shared" si="2"/>
        <v>0</v>
      </c>
      <c r="J260" s="38">
        <f t="shared" si="3"/>
        <v>0</v>
      </c>
      <c r="K260" s="39">
        <f t="shared" si="4"/>
        <v>0</v>
      </c>
      <c r="L260" s="38">
        <f t="shared" si="5"/>
        <v>0</v>
      </c>
      <c r="M260" s="39">
        <f t="shared" si="6"/>
        <v>0</v>
      </c>
      <c r="N260" s="40"/>
      <c r="O260" s="34"/>
      <c r="P260" s="35"/>
      <c r="Q260" s="35"/>
      <c r="R260" s="35"/>
      <c r="S260" s="35"/>
      <c r="T260" s="35"/>
      <c r="U260" s="35"/>
      <c r="V260" s="35"/>
      <c r="W260" s="35"/>
      <c r="X260" s="35"/>
      <c r="Y260" s="35"/>
      <c r="Z260" s="35"/>
    </row>
    <row r="261" ht="14.25" customHeight="1">
      <c r="A261" s="221"/>
      <c r="B261" s="231"/>
      <c r="C261" s="108"/>
      <c r="D261" s="223"/>
      <c r="E261" s="117"/>
      <c r="F261" s="245"/>
      <c r="G261" s="88"/>
      <c r="H261" s="36">
        <f t="shared" si="1"/>
        <v>0</v>
      </c>
      <c r="I261" s="37">
        <f t="shared" si="2"/>
        <v>0</v>
      </c>
      <c r="J261" s="38">
        <f t="shared" si="3"/>
        <v>0</v>
      </c>
      <c r="K261" s="39">
        <f t="shared" si="4"/>
        <v>0</v>
      </c>
      <c r="L261" s="38">
        <f t="shared" si="5"/>
        <v>0</v>
      </c>
      <c r="M261" s="39">
        <f t="shared" si="6"/>
        <v>0</v>
      </c>
      <c r="N261" s="40"/>
      <c r="O261" s="34"/>
      <c r="P261" s="35"/>
      <c r="Q261" s="35"/>
      <c r="R261" s="35"/>
      <c r="S261" s="35"/>
      <c r="T261" s="35"/>
      <c r="U261" s="35"/>
      <c r="V261" s="35"/>
      <c r="W261" s="35"/>
      <c r="X261" s="35"/>
      <c r="Y261" s="35"/>
      <c r="Z261" s="35"/>
    </row>
    <row r="262" ht="14.25" customHeight="1">
      <c r="A262" s="221"/>
      <c r="B262" s="231"/>
      <c r="C262" s="110"/>
      <c r="D262" s="223"/>
      <c r="E262" s="117"/>
      <c r="F262" s="245"/>
      <c r="G262" s="88"/>
      <c r="H262" s="36">
        <f t="shared" si="1"/>
        <v>0</v>
      </c>
      <c r="I262" s="37">
        <f t="shared" si="2"/>
        <v>0</v>
      </c>
      <c r="J262" s="38">
        <f t="shared" si="3"/>
        <v>0</v>
      </c>
      <c r="K262" s="39">
        <f t="shared" si="4"/>
        <v>0</v>
      </c>
      <c r="L262" s="38">
        <f t="shared" si="5"/>
        <v>0</v>
      </c>
      <c r="M262" s="39">
        <f t="shared" si="6"/>
        <v>0</v>
      </c>
      <c r="N262" s="40"/>
      <c r="O262" s="34"/>
      <c r="P262" s="35"/>
      <c r="Q262" s="35"/>
      <c r="R262" s="35"/>
      <c r="S262" s="35"/>
      <c r="T262" s="35"/>
      <c r="U262" s="35"/>
      <c r="V262" s="35"/>
      <c r="W262" s="35"/>
      <c r="X262" s="35"/>
      <c r="Y262" s="35"/>
      <c r="Z262" s="35"/>
    </row>
    <row r="263" ht="14.25" customHeight="1">
      <c r="A263" s="221"/>
      <c r="B263" s="231"/>
      <c r="C263" s="115"/>
      <c r="D263" s="237"/>
      <c r="E263" s="117"/>
      <c r="F263" s="245"/>
      <c r="G263" s="88"/>
      <c r="H263" s="36">
        <f t="shared" si="1"/>
        <v>0</v>
      </c>
      <c r="I263" s="37">
        <f t="shared" si="2"/>
        <v>0</v>
      </c>
      <c r="J263" s="38">
        <f t="shared" si="3"/>
        <v>0</v>
      </c>
      <c r="K263" s="39">
        <f t="shared" si="4"/>
        <v>0</v>
      </c>
      <c r="L263" s="38">
        <f t="shared" si="5"/>
        <v>0</v>
      </c>
      <c r="M263" s="39">
        <f t="shared" si="6"/>
        <v>0</v>
      </c>
      <c r="N263" s="40"/>
      <c r="O263" s="34"/>
      <c r="P263" s="35"/>
      <c r="Q263" s="35"/>
      <c r="R263" s="35"/>
      <c r="S263" s="35"/>
      <c r="T263" s="35"/>
      <c r="U263" s="35"/>
      <c r="V263" s="35"/>
      <c r="W263" s="35"/>
      <c r="X263" s="35"/>
      <c r="Y263" s="35"/>
      <c r="Z263" s="35"/>
    </row>
    <row r="264" ht="14.25" customHeight="1">
      <c r="A264" s="221"/>
      <c r="B264" s="231"/>
      <c r="C264" s="115"/>
      <c r="D264" s="237"/>
      <c r="E264" s="117"/>
      <c r="F264" s="245"/>
      <c r="G264" s="88"/>
      <c r="H264" s="36">
        <f t="shared" si="1"/>
        <v>0</v>
      </c>
      <c r="I264" s="37">
        <f t="shared" si="2"/>
        <v>0</v>
      </c>
      <c r="J264" s="38">
        <f t="shared" si="3"/>
        <v>0</v>
      </c>
      <c r="K264" s="39">
        <f t="shared" si="4"/>
        <v>0</v>
      </c>
      <c r="L264" s="38">
        <f t="shared" si="5"/>
        <v>0</v>
      </c>
      <c r="M264" s="39">
        <f t="shared" si="6"/>
        <v>0</v>
      </c>
      <c r="N264" s="40"/>
      <c r="O264" s="34"/>
      <c r="P264" s="35"/>
      <c r="Q264" s="35"/>
      <c r="R264" s="35"/>
      <c r="S264" s="35"/>
      <c r="T264" s="35"/>
      <c r="U264" s="35"/>
      <c r="V264" s="35"/>
      <c r="W264" s="35"/>
      <c r="X264" s="35"/>
      <c r="Y264" s="35"/>
      <c r="Z264" s="35"/>
    </row>
    <row r="265" ht="14.25" customHeight="1">
      <c r="A265" s="221"/>
      <c r="B265" s="231"/>
      <c r="C265" s="115"/>
      <c r="D265" s="237"/>
      <c r="E265" s="117"/>
      <c r="F265" s="245"/>
      <c r="G265" s="88"/>
      <c r="H265" s="36">
        <f t="shared" si="1"/>
        <v>0</v>
      </c>
      <c r="I265" s="37">
        <f t="shared" si="2"/>
        <v>0</v>
      </c>
      <c r="J265" s="38">
        <f t="shared" si="3"/>
        <v>0</v>
      </c>
      <c r="K265" s="39">
        <f t="shared" si="4"/>
        <v>0</v>
      </c>
      <c r="L265" s="38">
        <f t="shared" si="5"/>
        <v>0</v>
      </c>
      <c r="M265" s="39">
        <f t="shared" si="6"/>
        <v>0</v>
      </c>
      <c r="N265" s="40"/>
      <c r="O265" s="34"/>
      <c r="P265" s="35"/>
      <c r="Q265" s="35"/>
      <c r="R265" s="35"/>
      <c r="S265" s="35"/>
      <c r="T265" s="35"/>
      <c r="U265" s="35"/>
      <c r="V265" s="35"/>
      <c r="W265" s="35"/>
      <c r="X265" s="35"/>
      <c r="Y265" s="35"/>
      <c r="Z265" s="35"/>
    </row>
    <row r="266" ht="14.25" customHeight="1">
      <c r="A266" s="221"/>
      <c r="B266" s="231"/>
      <c r="C266" s="115"/>
      <c r="D266" s="237"/>
      <c r="E266" s="117"/>
      <c r="F266" s="245"/>
      <c r="G266" s="88"/>
      <c r="H266" s="36">
        <f t="shared" si="1"/>
        <v>0</v>
      </c>
      <c r="I266" s="37">
        <f t="shared" si="2"/>
        <v>0</v>
      </c>
      <c r="J266" s="38">
        <f t="shared" si="3"/>
        <v>0</v>
      </c>
      <c r="K266" s="39">
        <f t="shared" si="4"/>
        <v>0</v>
      </c>
      <c r="L266" s="38">
        <f t="shared" si="5"/>
        <v>0</v>
      </c>
      <c r="M266" s="39">
        <f t="shared" si="6"/>
        <v>0</v>
      </c>
      <c r="N266" s="40"/>
      <c r="O266" s="34"/>
      <c r="P266" s="35"/>
      <c r="Q266" s="35"/>
      <c r="R266" s="35"/>
      <c r="S266" s="35"/>
      <c r="T266" s="35"/>
      <c r="U266" s="35"/>
      <c r="V266" s="35"/>
      <c r="W266" s="35"/>
      <c r="X266" s="35"/>
      <c r="Y266" s="35"/>
      <c r="Z266" s="35"/>
    </row>
    <row r="267" ht="14.25" customHeight="1">
      <c r="A267" s="221"/>
      <c r="B267" s="231"/>
      <c r="C267" s="108"/>
      <c r="D267" s="237"/>
      <c r="E267" s="117"/>
      <c r="F267" s="245"/>
      <c r="G267" s="88"/>
      <c r="H267" s="36">
        <f t="shared" si="1"/>
        <v>0</v>
      </c>
      <c r="I267" s="37">
        <f t="shared" si="2"/>
        <v>0</v>
      </c>
      <c r="J267" s="38">
        <f t="shared" si="3"/>
        <v>0</v>
      </c>
      <c r="K267" s="39">
        <f t="shared" si="4"/>
        <v>0</v>
      </c>
      <c r="L267" s="38">
        <f t="shared" si="5"/>
        <v>0</v>
      </c>
      <c r="M267" s="39">
        <f t="shared" si="6"/>
        <v>0</v>
      </c>
      <c r="N267" s="40"/>
      <c r="O267" s="34"/>
      <c r="P267" s="35"/>
      <c r="Q267" s="35"/>
      <c r="R267" s="35"/>
      <c r="S267" s="35"/>
      <c r="T267" s="35"/>
      <c r="U267" s="35"/>
      <c r="V267" s="35"/>
      <c r="W267" s="35"/>
      <c r="X267" s="35"/>
      <c r="Y267" s="35"/>
      <c r="Z267" s="35"/>
    </row>
    <row r="268" ht="14.25" customHeight="1">
      <c r="A268" s="221"/>
      <c r="B268" s="231"/>
      <c r="C268" s="116"/>
      <c r="D268" s="237"/>
      <c r="E268" s="117"/>
      <c r="F268" s="245"/>
      <c r="G268" s="88"/>
      <c r="H268" s="36">
        <f t="shared" si="1"/>
        <v>0</v>
      </c>
      <c r="I268" s="37">
        <f t="shared" si="2"/>
        <v>0</v>
      </c>
      <c r="J268" s="38">
        <f t="shared" si="3"/>
        <v>0</v>
      </c>
      <c r="K268" s="39">
        <f t="shared" si="4"/>
        <v>0</v>
      </c>
      <c r="L268" s="38">
        <f t="shared" si="5"/>
        <v>0</v>
      </c>
      <c r="M268" s="39">
        <f t="shared" si="6"/>
        <v>0</v>
      </c>
      <c r="N268" s="40"/>
      <c r="O268" s="34"/>
      <c r="P268" s="35"/>
      <c r="Q268" s="35"/>
      <c r="R268" s="35"/>
      <c r="S268" s="35"/>
      <c r="T268" s="35"/>
      <c r="U268" s="35"/>
      <c r="V268" s="35"/>
      <c r="W268" s="35"/>
      <c r="X268" s="35"/>
      <c r="Y268" s="35"/>
      <c r="Z268" s="35"/>
    </row>
    <row r="269" ht="14.25" customHeight="1">
      <c r="A269" s="221"/>
      <c r="B269" s="231"/>
      <c r="C269" s="126"/>
      <c r="D269" s="237"/>
      <c r="E269" s="117"/>
      <c r="F269" s="245"/>
      <c r="G269" s="88"/>
      <c r="H269" s="36">
        <f t="shared" si="1"/>
        <v>0</v>
      </c>
      <c r="I269" s="37">
        <f t="shared" si="2"/>
        <v>0</v>
      </c>
      <c r="J269" s="38">
        <f t="shared" si="3"/>
        <v>0</v>
      </c>
      <c r="K269" s="39">
        <f t="shared" si="4"/>
        <v>0</v>
      </c>
      <c r="L269" s="38">
        <f t="shared" si="5"/>
        <v>0</v>
      </c>
      <c r="M269" s="39">
        <f t="shared" si="6"/>
        <v>0</v>
      </c>
      <c r="N269" s="40"/>
      <c r="O269" s="34"/>
      <c r="P269" s="35"/>
      <c r="Q269" s="35"/>
      <c r="R269" s="35"/>
      <c r="S269" s="35"/>
      <c r="T269" s="35"/>
      <c r="U269" s="35"/>
      <c r="V269" s="35"/>
      <c r="W269" s="35"/>
      <c r="X269" s="35"/>
      <c r="Y269" s="35"/>
      <c r="Z269" s="35"/>
    </row>
    <row r="270" ht="14.25" customHeight="1">
      <c r="A270" s="221"/>
      <c r="B270" s="231"/>
      <c r="C270" s="115"/>
      <c r="D270" s="237"/>
      <c r="E270" s="117"/>
      <c r="F270" s="245"/>
      <c r="G270" s="88"/>
      <c r="H270" s="36">
        <f t="shared" si="1"/>
        <v>0</v>
      </c>
      <c r="I270" s="37">
        <f t="shared" si="2"/>
        <v>0</v>
      </c>
      <c r="J270" s="38">
        <f t="shared" si="3"/>
        <v>0</v>
      </c>
      <c r="K270" s="39">
        <f t="shared" si="4"/>
        <v>0</v>
      </c>
      <c r="L270" s="38">
        <f t="shared" si="5"/>
        <v>0</v>
      </c>
      <c r="M270" s="39">
        <f t="shared" si="6"/>
        <v>0</v>
      </c>
      <c r="N270" s="40"/>
      <c r="O270" s="34"/>
      <c r="P270" s="35"/>
      <c r="Q270" s="35"/>
      <c r="R270" s="35"/>
      <c r="S270" s="35"/>
      <c r="T270" s="35"/>
      <c r="U270" s="35"/>
      <c r="V270" s="35"/>
      <c r="W270" s="35"/>
      <c r="X270" s="35"/>
      <c r="Y270" s="35"/>
      <c r="Z270" s="35"/>
    </row>
    <row r="271" ht="14.25" customHeight="1">
      <c r="A271" s="221"/>
      <c r="B271" s="231"/>
      <c r="C271" s="116"/>
      <c r="D271" s="237"/>
      <c r="E271" s="117"/>
      <c r="F271" s="245"/>
      <c r="G271" s="88"/>
      <c r="H271" s="36">
        <f t="shared" si="1"/>
        <v>0</v>
      </c>
      <c r="I271" s="37">
        <f t="shared" si="2"/>
        <v>0</v>
      </c>
      <c r="J271" s="38">
        <f t="shared" si="3"/>
        <v>0</v>
      </c>
      <c r="K271" s="39">
        <f t="shared" si="4"/>
        <v>0</v>
      </c>
      <c r="L271" s="38">
        <f t="shared" si="5"/>
        <v>0</v>
      </c>
      <c r="M271" s="39">
        <f t="shared" si="6"/>
        <v>0</v>
      </c>
      <c r="N271" s="40"/>
      <c r="O271" s="34"/>
      <c r="P271" s="35"/>
      <c r="Q271" s="35"/>
      <c r="R271" s="35"/>
      <c r="S271" s="35"/>
      <c r="T271" s="35"/>
      <c r="U271" s="35"/>
      <c r="V271" s="35"/>
      <c r="W271" s="35"/>
      <c r="X271" s="35"/>
      <c r="Y271" s="35"/>
      <c r="Z271" s="35"/>
    </row>
    <row r="272" ht="14.25" customHeight="1">
      <c r="A272" s="221"/>
      <c r="B272" s="231"/>
      <c r="C272" s="116"/>
      <c r="D272" s="237"/>
      <c r="E272" s="117"/>
      <c r="F272" s="245"/>
      <c r="G272" s="88"/>
      <c r="H272" s="36">
        <f t="shared" si="1"/>
        <v>0</v>
      </c>
      <c r="I272" s="37">
        <f t="shared" si="2"/>
        <v>0</v>
      </c>
      <c r="J272" s="38">
        <f t="shared" si="3"/>
        <v>0</v>
      </c>
      <c r="K272" s="39">
        <f t="shared" si="4"/>
        <v>0</v>
      </c>
      <c r="L272" s="38">
        <f t="shared" si="5"/>
        <v>0</v>
      </c>
      <c r="M272" s="39">
        <f t="shared" si="6"/>
        <v>0</v>
      </c>
      <c r="N272" s="40"/>
      <c r="O272" s="34"/>
      <c r="P272" s="35"/>
      <c r="Q272" s="35"/>
      <c r="R272" s="35"/>
      <c r="S272" s="35"/>
      <c r="T272" s="35"/>
      <c r="U272" s="35"/>
      <c r="V272" s="35"/>
      <c r="W272" s="35"/>
      <c r="X272" s="35"/>
      <c r="Y272" s="35"/>
      <c r="Z272" s="35"/>
    </row>
    <row r="273" ht="14.25" customHeight="1">
      <c r="A273" s="221"/>
      <c r="B273" s="231"/>
      <c r="C273" s="116"/>
      <c r="D273" s="237"/>
      <c r="E273" s="117"/>
      <c r="F273" s="245"/>
      <c r="G273" s="88"/>
      <c r="H273" s="36">
        <f t="shared" si="1"/>
        <v>0</v>
      </c>
      <c r="I273" s="37">
        <f t="shared" si="2"/>
        <v>0</v>
      </c>
      <c r="J273" s="38">
        <f t="shared" si="3"/>
        <v>0</v>
      </c>
      <c r="K273" s="39">
        <f t="shared" si="4"/>
        <v>0</v>
      </c>
      <c r="L273" s="38">
        <f t="shared" si="5"/>
        <v>0</v>
      </c>
      <c r="M273" s="39">
        <f t="shared" si="6"/>
        <v>0</v>
      </c>
      <c r="N273" s="40"/>
      <c r="O273" s="34"/>
      <c r="P273" s="35"/>
      <c r="Q273" s="35"/>
      <c r="R273" s="35"/>
      <c r="S273" s="35"/>
      <c r="T273" s="35"/>
      <c r="U273" s="35"/>
      <c r="V273" s="35"/>
      <c r="W273" s="35"/>
      <c r="X273" s="35"/>
      <c r="Y273" s="35"/>
      <c r="Z273" s="35"/>
    </row>
    <row r="274" ht="14.25" customHeight="1">
      <c r="A274" s="221"/>
      <c r="B274" s="231"/>
      <c r="C274" s="116"/>
      <c r="D274" s="237"/>
      <c r="E274" s="117"/>
      <c r="F274" s="245"/>
      <c r="G274" s="88"/>
      <c r="H274" s="36">
        <f t="shared" si="1"/>
        <v>0</v>
      </c>
      <c r="I274" s="37">
        <f t="shared" si="2"/>
        <v>0</v>
      </c>
      <c r="J274" s="38">
        <f t="shared" si="3"/>
        <v>0</v>
      </c>
      <c r="K274" s="39">
        <f t="shared" si="4"/>
        <v>0</v>
      </c>
      <c r="L274" s="38">
        <f t="shared" si="5"/>
        <v>0</v>
      </c>
      <c r="M274" s="39">
        <f t="shared" si="6"/>
        <v>0</v>
      </c>
      <c r="N274" s="40"/>
      <c r="O274" s="34"/>
      <c r="P274" s="35"/>
      <c r="Q274" s="35"/>
      <c r="R274" s="35"/>
      <c r="S274" s="35"/>
      <c r="T274" s="35"/>
      <c r="U274" s="35"/>
      <c r="V274" s="35"/>
      <c r="W274" s="35"/>
      <c r="X274" s="35"/>
      <c r="Y274" s="35"/>
      <c r="Z274" s="35"/>
    </row>
    <row r="275" ht="14.25" customHeight="1">
      <c r="A275" s="221"/>
      <c r="B275" s="231"/>
      <c r="C275" s="116"/>
      <c r="D275" s="237"/>
      <c r="E275" s="117"/>
      <c r="F275" s="245"/>
      <c r="G275" s="88"/>
      <c r="H275" s="36">
        <f t="shared" si="1"/>
        <v>0</v>
      </c>
      <c r="I275" s="37">
        <f t="shared" si="2"/>
        <v>0</v>
      </c>
      <c r="J275" s="38">
        <f t="shared" si="3"/>
        <v>0</v>
      </c>
      <c r="K275" s="39">
        <f t="shared" si="4"/>
        <v>0</v>
      </c>
      <c r="L275" s="38">
        <f t="shared" si="5"/>
        <v>0</v>
      </c>
      <c r="M275" s="39">
        <f t="shared" si="6"/>
        <v>0</v>
      </c>
      <c r="N275" s="40"/>
      <c r="O275" s="34"/>
      <c r="P275" s="35"/>
      <c r="Q275" s="35"/>
      <c r="R275" s="35"/>
      <c r="S275" s="35"/>
      <c r="T275" s="35"/>
      <c r="U275" s="35"/>
      <c r="V275" s="35"/>
      <c r="W275" s="35"/>
      <c r="X275" s="35"/>
      <c r="Y275" s="35"/>
      <c r="Z275" s="35"/>
    </row>
    <row r="276" ht="14.25" customHeight="1">
      <c r="A276" s="221"/>
      <c r="B276" s="231"/>
      <c r="C276" s="116"/>
      <c r="D276" s="237"/>
      <c r="E276" s="117"/>
      <c r="F276" s="245"/>
      <c r="G276" s="88"/>
      <c r="H276" s="36">
        <f t="shared" si="1"/>
        <v>0</v>
      </c>
      <c r="I276" s="37">
        <f t="shared" si="2"/>
        <v>0</v>
      </c>
      <c r="J276" s="38">
        <f t="shared" si="3"/>
        <v>0</v>
      </c>
      <c r="K276" s="39">
        <f t="shared" si="4"/>
        <v>0</v>
      </c>
      <c r="L276" s="38">
        <f t="shared" si="5"/>
        <v>0</v>
      </c>
      <c r="M276" s="39">
        <f t="shared" si="6"/>
        <v>0</v>
      </c>
      <c r="N276" s="40"/>
      <c r="O276" s="34"/>
      <c r="P276" s="35"/>
      <c r="Q276" s="35"/>
      <c r="R276" s="35"/>
      <c r="S276" s="35"/>
      <c r="T276" s="35"/>
      <c r="U276" s="35"/>
      <c r="V276" s="35"/>
      <c r="W276" s="35"/>
      <c r="X276" s="35"/>
      <c r="Y276" s="35"/>
      <c r="Z276" s="35"/>
    </row>
    <row r="277" ht="14.25" customHeight="1">
      <c r="A277" s="221"/>
      <c r="B277" s="231"/>
      <c r="C277" s="116"/>
      <c r="D277" s="100"/>
      <c r="E277" s="117"/>
      <c r="F277" s="245"/>
      <c r="G277" s="88"/>
      <c r="H277" s="36">
        <f t="shared" si="1"/>
        <v>0</v>
      </c>
      <c r="I277" s="37">
        <f t="shared" si="2"/>
        <v>0</v>
      </c>
      <c r="J277" s="38">
        <f t="shared" si="3"/>
        <v>0</v>
      </c>
      <c r="K277" s="39">
        <f t="shared" si="4"/>
        <v>0</v>
      </c>
      <c r="L277" s="38">
        <f t="shared" si="5"/>
        <v>0</v>
      </c>
      <c r="M277" s="39">
        <f t="shared" si="6"/>
        <v>0</v>
      </c>
      <c r="N277" s="40"/>
      <c r="O277" s="34"/>
      <c r="P277" s="35"/>
      <c r="Q277" s="35"/>
      <c r="R277" s="35"/>
      <c r="S277" s="35"/>
      <c r="T277" s="35"/>
      <c r="U277" s="35"/>
      <c r="V277" s="35"/>
      <c r="W277" s="35"/>
      <c r="X277" s="35"/>
      <c r="Y277" s="35"/>
      <c r="Z277" s="35"/>
    </row>
    <row r="278" ht="14.25" customHeight="1">
      <c r="A278" s="221"/>
      <c r="B278" s="231"/>
      <c r="C278" s="116"/>
      <c r="D278" s="100"/>
      <c r="E278" s="117"/>
      <c r="F278" s="245"/>
      <c r="G278" s="88"/>
      <c r="H278" s="36">
        <f t="shared" si="1"/>
        <v>0</v>
      </c>
      <c r="I278" s="37">
        <f t="shared" si="2"/>
        <v>0</v>
      </c>
      <c r="J278" s="38">
        <f t="shared" si="3"/>
        <v>0</v>
      </c>
      <c r="K278" s="39">
        <f t="shared" si="4"/>
        <v>0</v>
      </c>
      <c r="L278" s="38">
        <f t="shared" si="5"/>
        <v>0</v>
      </c>
      <c r="M278" s="39">
        <f t="shared" si="6"/>
        <v>0</v>
      </c>
      <c r="N278" s="40"/>
      <c r="O278" s="34"/>
      <c r="P278" s="35"/>
      <c r="Q278" s="35"/>
      <c r="R278" s="35"/>
      <c r="S278" s="35"/>
      <c r="T278" s="35"/>
      <c r="U278" s="35"/>
      <c r="V278" s="35"/>
      <c r="W278" s="35"/>
      <c r="X278" s="35"/>
      <c r="Y278" s="35"/>
      <c r="Z278" s="35"/>
    </row>
    <row r="279" ht="14.25" customHeight="1">
      <c r="A279" s="221"/>
      <c r="B279" s="231"/>
      <c r="C279" s="116"/>
      <c r="D279" s="100"/>
      <c r="E279" s="117"/>
      <c r="F279" s="245"/>
      <c r="G279" s="88"/>
      <c r="H279" s="36">
        <f t="shared" si="1"/>
        <v>0</v>
      </c>
      <c r="I279" s="37">
        <f t="shared" si="2"/>
        <v>0</v>
      </c>
      <c r="J279" s="38">
        <f t="shared" si="3"/>
        <v>0</v>
      </c>
      <c r="K279" s="39">
        <f t="shared" si="4"/>
        <v>0</v>
      </c>
      <c r="L279" s="38">
        <f t="shared" si="5"/>
        <v>0</v>
      </c>
      <c r="M279" s="39">
        <f t="shared" si="6"/>
        <v>0</v>
      </c>
      <c r="N279" s="40"/>
      <c r="O279" s="34"/>
      <c r="P279" s="35"/>
      <c r="Q279" s="35"/>
      <c r="R279" s="35"/>
      <c r="S279" s="35"/>
      <c r="T279" s="35"/>
      <c r="U279" s="35"/>
      <c r="V279" s="35"/>
      <c r="W279" s="35"/>
      <c r="X279" s="35"/>
      <c r="Y279" s="35"/>
      <c r="Z279" s="35"/>
    </row>
    <row r="280" ht="14.25" customHeight="1">
      <c r="A280" s="221"/>
      <c r="B280" s="231"/>
      <c r="C280" s="116"/>
      <c r="D280" s="100"/>
      <c r="E280" s="117"/>
      <c r="F280" s="245"/>
      <c r="G280" s="88"/>
      <c r="H280" s="36">
        <f t="shared" si="1"/>
        <v>0</v>
      </c>
      <c r="I280" s="37">
        <f t="shared" si="2"/>
        <v>0</v>
      </c>
      <c r="J280" s="38">
        <f t="shared" si="3"/>
        <v>0</v>
      </c>
      <c r="K280" s="39">
        <f t="shared" si="4"/>
        <v>0</v>
      </c>
      <c r="L280" s="38">
        <f t="shared" si="5"/>
        <v>0</v>
      </c>
      <c r="M280" s="39">
        <f t="shared" si="6"/>
        <v>0</v>
      </c>
      <c r="N280" s="40"/>
      <c r="O280" s="34"/>
      <c r="P280" s="35"/>
      <c r="Q280" s="35"/>
      <c r="R280" s="35"/>
      <c r="S280" s="35"/>
      <c r="T280" s="35"/>
      <c r="U280" s="35"/>
      <c r="V280" s="35"/>
      <c r="W280" s="35"/>
      <c r="X280" s="35"/>
      <c r="Y280" s="35"/>
      <c r="Z280" s="35"/>
    </row>
    <row r="281" ht="14.25" customHeight="1">
      <c r="A281" s="221"/>
      <c r="B281" s="231"/>
      <c r="C281" s="116"/>
      <c r="D281" s="100"/>
      <c r="E281" s="117"/>
      <c r="F281" s="245"/>
      <c r="G281" s="88"/>
      <c r="H281" s="36">
        <f t="shared" si="1"/>
        <v>0</v>
      </c>
      <c r="I281" s="37">
        <f t="shared" si="2"/>
        <v>0</v>
      </c>
      <c r="J281" s="38">
        <f t="shared" si="3"/>
        <v>0</v>
      </c>
      <c r="K281" s="39">
        <f t="shared" si="4"/>
        <v>0</v>
      </c>
      <c r="L281" s="38">
        <f t="shared" si="5"/>
        <v>0</v>
      </c>
      <c r="M281" s="39">
        <f t="shared" si="6"/>
        <v>0</v>
      </c>
      <c r="N281" s="40"/>
      <c r="O281" s="34"/>
      <c r="P281" s="35"/>
      <c r="Q281" s="35"/>
      <c r="R281" s="35"/>
      <c r="S281" s="35"/>
      <c r="T281" s="35"/>
      <c r="U281" s="35"/>
      <c r="V281" s="35"/>
      <c r="W281" s="35"/>
      <c r="X281" s="35"/>
      <c r="Y281" s="35"/>
      <c r="Z281" s="35"/>
    </row>
    <row r="282" ht="14.25" customHeight="1">
      <c r="A282" s="221"/>
      <c r="B282" s="231"/>
      <c r="C282" s="108"/>
      <c r="D282" s="100"/>
      <c r="E282" s="117"/>
      <c r="F282" s="245"/>
      <c r="G282" s="88"/>
      <c r="H282" s="36">
        <f t="shared" si="1"/>
        <v>0</v>
      </c>
      <c r="I282" s="37">
        <f t="shared" si="2"/>
        <v>0</v>
      </c>
      <c r="J282" s="38">
        <f t="shared" si="3"/>
        <v>0</v>
      </c>
      <c r="K282" s="39">
        <f t="shared" si="4"/>
        <v>0</v>
      </c>
      <c r="L282" s="38">
        <f t="shared" si="5"/>
        <v>0</v>
      </c>
      <c r="M282" s="39">
        <f t="shared" si="6"/>
        <v>0</v>
      </c>
      <c r="N282" s="40"/>
      <c r="O282" s="34"/>
      <c r="P282" s="35"/>
      <c r="Q282" s="35"/>
      <c r="R282" s="35"/>
      <c r="S282" s="35"/>
      <c r="T282" s="35"/>
      <c r="U282" s="35"/>
      <c r="V282" s="35"/>
      <c r="W282" s="35"/>
      <c r="X282" s="35"/>
      <c r="Y282" s="35"/>
      <c r="Z282" s="35"/>
    </row>
    <row r="283" ht="14.25" customHeight="1">
      <c r="A283" s="221"/>
      <c r="B283" s="231"/>
      <c r="C283" s="108"/>
      <c r="D283" s="85"/>
      <c r="E283" s="117"/>
      <c r="F283" s="245"/>
      <c r="G283" s="88"/>
      <c r="H283" s="36">
        <f t="shared" si="1"/>
        <v>0</v>
      </c>
      <c r="I283" s="37">
        <f t="shared" si="2"/>
        <v>0</v>
      </c>
      <c r="J283" s="38">
        <f t="shared" si="3"/>
        <v>0</v>
      </c>
      <c r="K283" s="39">
        <f t="shared" si="4"/>
        <v>0</v>
      </c>
      <c r="L283" s="38">
        <f t="shared" si="5"/>
        <v>0</v>
      </c>
      <c r="M283" s="39">
        <f t="shared" si="6"/>
        <v>0</v>
      </c>
      <c r="N283" s="40"/>
      <c r="O283" s="34"/>
      <c r="P283" s="35"/>
      <c r="Q283" s="35"/>
      <c r="R283" s="35"/>
      <c r="S283" s="35"/>
      <c r="T283" s="35"/>
      <c r="U283" s="35"/>
      <c r="V283" s="35"/>
      <c r="W283" s="35"/>
      <c r="X283" s="35"/>
      <c r="Y283" s="35"/>
      <c r="Z283" s="35"/>
    </row>
    <row r="284" ht="14.25" customHeight="1">
      <c r="A284" s="221"/>
      <c r="B284" s="231"/>
      <c r="C284" s="108"/>
      <c r="D284" s="85"/>
      <c r="E284" s="117"/>
      <c r="F284" s="245"/>
      <c r="G284" s="88"/>
      <c r="H284" s="36">
        <f t="shared" si="1"/>
        <v>0</v>
      </c>
      <c r="I284" s="37">
        <f t="shared" si="2"/>
        <v>0</v>
      </c>
      <c r="J284" s="38">
        <f t="shared" si="3"/>
        <v>0</v>
      </c>
      <c r="K284" s="39">
        <f t="shared" si="4"/>
        <v>0</v>
      </c>
      <c r="L284" s="38">
        <f t="shared" si="5"/>
        <v>0</v>
      </c>
      <c r="M284" s="39">
        <f t="shared" si="6"/>
        <v>0</v>
      </c>
      <c r="N284" s="40"/>
      <c r="O284" s="34"/>
      <c r="P284" s="35"/>
      <c r="Q284" s="35"/>
      <c r="R284" s="35"/>
      <c r="S284" s="35"/>
      <c r="T284" s="35"/>
      <c r="U284" s="35"/>
      <c r="V284" s="35"/>
      <c r="W284" s="35"/>
      <c r="X284" s="35"/>
      <c r="Y284" s="35"/>
      <c r="Z284" s="35"/>
    </row>
    <row r="285" ht="14.25" customHeight="1">
      <c r="A285" s="221"/>
      <c r="B285" s="231"/>
      <c r="C285" s="108"/>
      <c r="D285" s="100"/>
      <c r="E285" s="117"/>
      <c r="F285" s="245"/>
      <c r="G285" s="88"/>
      <c r="H285" s="36">
        <f t="shared" si="1"/>
        <v>0</v>
      </c>
      <c r="I285" s="37">
        <f t="shared" si="2"/>
        <v>0</v>
      </c>
      <c r="J285" s="38">
        <f t="shared" si="3"/>
        <v>0</v>
      </c>
      <c r="K285" s="39">
        <f t="shared" si="4"/>
        <v>0</v>
      </c>
      <c r="L285" s="38">
        <f t="shared" si="5"/>
        <v>0</v>
      </c>
      <c r="M285" s="39">
        <f t="shared" si="6"/>
        <v>0</v>
      </c>
      <c r="N285" s="40"/>
      <c r="O285" s="34"/>
      <c r="P285" s="35"/>
      <c r="Q285" s="35"/>
      <c r="R285" s="35"/>
      <c r="S285" s="35"/>
      <c r="T285" s="35"/>
      <c r="U285" s="35"/>
      <c r="V285" s="35"/>
      <c r="W285" s="35"/>
      <c r="X285" s="35"/>
      <c r="Y285" s="35"/>
      <c r="Z285" s="35"/>
    </row>
    <row r="286" ht="14.25" customHeight="1">
      <c r="A286" s="221"/>
      <c r="B286" s="231"/>
      <c r="C286" s="116"/>
      <c r="D286" s="100"/>
      <c r="E286" s="117"/>
      <c r="F286" s="245"/>
      <c r="G286" s="88"/>
      <c r="H286" s="36">
        <f t="shared" si="1"/>
        <v>0</v>
      </c>
      <c r="I286" s="37">
        <f t="shared" si="2"/>
        <v>0</v>
      </c>
      <c r="J286" s="38">
        <f t="shared" si="3"/>
        <v>0</v>
      </c>
      <c r="K286" s="39">
        <f t="shared" si="4"/>
        <v>0</v>
      </c>
      <c r="L286" s="38">
        <f t="shared" si="5"/>
        <v>0</v>
      </c>
      <c r="M286" s="39">
        <f t="shared" si="6"/>
        <v>0</v>
      </c>
      <c r="N286" s="40"/>
      <c r="O286" s="34"/>
      <c r="P286" s="35"/>
      <c r="Q286" s="35"/>
      <c r="R286" s="35"/>
      <c r="S286" s="35"/>
      <c r="T286" s="35"/>
      <c r="U286" s="35"/>
      <c r="V286" s="35"/>
      <c r="W286" s="35"/>
      <c r="X286" s="35"/>
      <c r="Y286" s="35"/>
      <c r="Z286" s="35"/>
    </row>
    <row r="287" ht="14.25" customHeight="1">
      <c r="A287" s="221"/>
      <c r="B287" s="231"/>
      <c r="C287" s="116"/>
      <c r="D287" s="100"/>
      <c r="E287" s="117"/>
      <c r="F287" s="245"/>
      <c r="G287" s="88"/>
      <c r="H287" s="36">
        <f t="shared" si="1"/>
        <v>0</v>
      </c>
      <c r="I287" s="37">
        <f t="shared" si="2"/>
        <v>0</v>
      </c>
      <c r="J287" s="38">
        <f t="shared" si="3"/>
        <v>0</v>
      </c>
      <c r="K287" s="39">
        <f t="shared" si="4"/>
        <v>0</v>
      </c>
      <c r="L287" s="38">
        <f t="shared" si="5"/>
        <v>0</v>
      </c>
      <c r="M287" s="39">
        <f t="shared" si="6"/>
        <v>0</v>
      </c>
      <c r="N287" s="40"/>
      <c r="O287" s="34"/>
      <c r="P287" s="35"/>
      <c r="Q287" s="35"/>
      <c r="R287" s="35"/>
      <c r="S287" s="35"/>
      <c r="T287" s="35"/>
      <c r="U287" s="35"/>
      <c r="V287" s="35"/>
      <c r="W287" s="35"/>
      <c r="X287" s="35"/>
      <c r="Y287" s="35"/>
      <c r="Z287" s="35"/>
    </row>
    <row r="288" ht="14.25" customHeight="1">
      <c r="A288" s="221"/>
      <c r="B288" s="231"/>
      <c r="C288" s="116"/>
      <c r="D288" s="100"/>
      <c r="E288" s="117"/>
      <c r="F288" s="245"/>
      <c r="G288" s="88"/>
      <c r="H288" s="36">
        <f t="shared" si="1"/>
        <v>0</v>
      </c>
      <c r="I288" s="37">
        <f t="shared" si="2"/>
        <v>0</v>
      </c>
      <c r="J288" s="38">
        <f t="shared" si="3"/>
        <v>0</v>
      </c>
      <c r="K288" s="39">
        <f t="shared" si="4"/>
        <v>0</v>
      </c>
      <c r="L288" s="38">
        <f t="shared" si="5"/>
        <v>0</v>
      </c>
      <c r="M288" s="39">
        <f t="shared" si="6"/>
        <v>0</v>
      </c>
      <c r="N288" s="40"/>
      <c r="O288" s="34"/>
      <c r="P288" s="35"/>
      <c r="Q288" s="35"/>
      <c r="R288" s="35"/>
      <c r="S288" s="35"/>
      <c r="T288" s="35"/>
      <c r="U288" s="35"/>
      <c r="V288" s="35"/>
      <c r="W288" s="35"/>
      <c r="X288" s="35"/>
      <c r="Y288" s="35"/>
      <c r="Z288" s="35"/>
    </row>
    <row r="289" ht="14.25" customHeight="1">
      <c r="A289" s="221"/>
      <c r="B289" s="231"/>
      <c r="C289" s="116"/>
      <c r="D289" s="100"/>
      <c r="E289" s="117"/>
      <c r="F289" s="245"/>
      <c r="G289" s="88"/>
      <c r="H289" s="36">
        <f t="shared" si="1"/>
        <v>0</v>
      </c>
      <c r="I289" s="37">
        <f t="shared" si="2"/>
        <v>0</v>
      </c>
      <c r="J289" s="38">
        <f t="shared" si="3"/>
        <v>0</v>
      </c>
      <c r="K289" s="39">
        <f t="shared" si="4"/>
        <v>0</v>
      </c>
      <c r="L289" s="38">
        <f t="shared" si="5"/>
        <v>0</v>
      </c>
      <c r="M289" s="39">
        <f t="shared" si="6"/>
        <v>0</v>
      </c>
      <c r="N289" s="40"/>
      <c r="O289" s="34"/>
      <c r="P289" s="35"/>
      <c r="Q289" s="35"/>
      <c r="R289" s="35"/>
      <c r="S289" s="35"/>
      <c r="T289" s="35"/>
      <c r="U289" s="35"/>
      <c r="V289" s="35"/>
      <c r="W289" s="35"/>
      <c r="X289" s="35"/>
      <c r="Y289" s="35"/>
      <c r="Z289" s="35"/>
    </row>
    <row r="290" ht="14.25" customHeight="1">
      <c r="A290" s="221"/>
      <c r="B290" s="231"/>
      <c r="C290" s="116"/>
      <c r="D290" s="100"/>
      <c r="E290" s="117"/>
      <c r="F290" s="245"/>
      <c r="G290" s="88"/>
      <c r="H290" s="36">
        <f t="shared" si="1"/>
        <v>0</v>
      </c>
      <c r="I290" s="37">
        <f t="shared" si="2"/>
        <v>0</v>
      </c>
      <c r="J290" s="38">
        <f t="shared" si="3"/>
        <v>0</v>
      </c>
      <c r="K290" s="39">
        <f t="shared" si="4"/>
        <v>0</v>
      </c>
      <c r="L290" s="38">
        <f t="shared" si="5"/>
        <v>0</v>
      </c>
      <c r="M290" s="39">
        <f t="shared" si="6"/>
        <v>0</v>
      </c>
      <c r="N290" s="40"/>
      <c r="O290" s="34"/>
      <c r="P290" s="35"/>
      <c r="Q290" s="35"/>
      <c r="R290" s="35"/>
      <c r="S290" s="35"/>
      <c r="T290" s="35"/>
      <c r="U290" s="35"/>
      <c r="V290" s="35"/>
      <c r="W290" s="35"/>
      <c r="X290" s="35"/>
      <c r="Y290" s="35"/>
      <c r="Z290" s="35"/>
    </row>
    <row r="291" ht="14.25" customHeight="1">
      <c r="A291" s="221"/>
      <c r="B291" s="231"/>
      <c r="C291" s="116"/>
      <c r="D291" s="100"/>
      <c r="E291" s="117"/>
      <c r="F291" s="245"/>
      <c r="G291" s="88"/>
      <c r="H291" s="36">
        <f t="shared" si="1"/>
        <v>0</v>
      </c>
      <c r="I291" s="37">
        <f t="shared" si="2"/>
        <v>0</v>
      </c>
      <c r="J291" s="38">
        <f t="shared" si="3"/>
        <v>0</v>
      </c>
      <c r="K291" s="39">
        <f t="shared" si="4"/>
        <v>0</v>
      </c>
      <c r="L291" s="38">
        <f t="shared" si="5"/>
        <v>0</v>
      </c>
      <c r="M291" s="39">
        <f t="shared" si="6"/>
        <v>0</v>
      </c>
      <c r="N291" s="40"/>
      <c r="O291" s="34"/>
      <c r="P291" s="35"/>
      <c r="Q291" s="35"/>
      <c r="R291" s="35"/>
      <c r="S291" s="35"/>
      <c r="T291" s="35"/>
      <c r="U291" s="35"/>
      <c r="V291" s="35"/>
      <c r="W291" s="35"/>
      <c r="X291" s="35"/>
      <c r="Y291" s="35"/>
      <c r="Z291" s="35"/>
    </row>
    <row r="292" ht="14.25" customHeight="1">
      <c r="A292" s="221"/>
      <c r="B292" s="231"/>
      <c r="C292" s="116"/>
      <c r="D292" s="100"/>
      <c r="E292" s="117"/>
      <c r="F292" s="245"/>
      <c r="G292" s="88"/>
      <c r="H292" s="36">
        <f t="shared" si="1"/>
        <v>0</v>
      </c>
      <c r="I292" s="37">
        <f t="shared" si="2"/>
        <v>0</v>
      </c>
      <c r="J292" s="38">
        <f t="shared" si="3"/>
        <v>0</v>
      </c>
      <c r="K292" s="39">
        <f t="shared" si="4"/>
        <v>0</v>
      </c>
      <c r="L292" s="38">
        <f t="shared" si="5"/>
        <v>0</v>
      </c>
      <c r="M292" s="39">
        <f t="shared" si="6"/>
        <v>0</v>
      </c>
      <c r="N292" s="40"/>
      <c r="O292" s="34"/>
      <c r="P292" s="35"/>
      <c r="Q292" s="35"/>
      <c r="R292" s="35"/>
      <c r="S292" s="35"/>
      <c r="T292" s="35"/>
      <c r="U292" s="35"/>
      <c r="V292" s="35"/>
      <c r="W292" s="35"/>
      <c r="X292" s="35"/>
      <c r="Y292" s="35"/>
      <c r="Z292" s="35"/>
    </row>
    <row r="293" ht="14.25" customHeight="1">
      <c r="A293" s="221"/>
      <c r="B293" s="231"/>
      <c r="C293" s="116"/>
      <c r="D293" s="100"/>
      <c r="E293" s="117"/>
      <c r="F293" s="245"/>
      <c r="G293" s="88"/>
      <c r="H293" s="36">
        <f t="shared" si="1"/>
        <v>0</v>
      </c>
      <c r="I293" s="37">
        <f t="shared" si="2"/>
        <v>0</v>
      </c>
      <c r="J293" s="38">
        <f t="shared" si="3"/>
        <v>0</v>
      </c>
      <c r="K293" s="39">
        <f t="shared" si="4"/>
        <v>0</v>
      </c>
      <c r="L293" s="38">
        <f t="shared" si="5"/>
        <v>0</v>
      </c>
      <c r="M293" s="39">
        <f t="shared" si="6"/>
        <v>0</v>
      </c>
      <c r="N293" s="40"/>
      <c r="O293" s="34"/>
      <c r="P293" s="35"/>
      <c r="Q293" s="35"/>
      <c r="R293" s="35"/>
      <c r="S293" s="35"/>
      <c r="T293" s="35"/>
      <c r="U293" s="35"/>
      <c r="V293" s="35"/>
      <c r="W293" s="35"/>
      <c r="X293" s="35"/>
      <c r="Y293" s="35"/>
      <c r="Z293" s="35"/>
    </row>
    <row r="294" ht="14.25" customHeight="1">
      <c r="A294" s="221"/>
      <c r="B294" s="231"/>
      <c r="C294" s="108"/>
      <c r="D294" s="85"/>
      <c r="E294" s="117"/>
      <c r="F294" s="245"/>
      <c r="G294" s="88"/>
      <c r="H294" s="36">
        <f t="shared" si="1"/>
        <v>0</v>
      </c>
      <c r="I294" s="37">
        <f t="shared" si="2"/>
        <v>0</v>
      </c>
      <c r="J294" s="38">
        <f t="shared" si="3"/>
        <v>0</v>
      </c>
      <c r="K294" s="39">
        <f t="shared" si="4"/>
        <v>0</v>
      </c>
      <c r="L294" s="38">
        <f t="shared" si="5"/>
        <v>0</v>
      </c>
      <c r="M294" s="39">
        <f t="shared" si="6"/>
        <v>0</v>
      </c>
      <c r="N294" s="40"/>
      <c r="O294" s="34"/>
      <c r="P294" s="35"/>
      <c r="Q294" s="35"/>
      <c r="R294" s="35"/>
      <c r="S294" s="35"/>
      <c r="T294" s="35"/>
      <c r="U294" s="35"/>
      <c r="V294" s="35"/>
      <c r="W294" s="35"/>
      <c r="X294" s="35"/>
      <c r="Y294" s="35"/>
      <c r="Z294" s="35"/>
    </row>
    <row r="295" ht="14.25" customHeight="1">
      <c r="A295" s="221"/>
      <c r="B295" s="231"/>
      <c r="C295" s="108"/>
      <c r="D295" s="85"/>
      <c r="E295" s="117"/>
      <c r="F295" s="245"/>
      <c r="G295" s="88"/>
      <c r="H295" s="36">
        <f t="shared" si="1"/>
        <v>0</v>
      </c>
      <c r="I295" s="37">
        <f t="shared" si="2"/>
        <v>0</v>
      </c>
      <c r="J295" s="38">
        <f t="shared" si="3"/>
        <v>0</v>
      </c>
      <c r="K295" s="39">
        <f t="shared" si="4"/>
        <v>0</v>
      </c>
      <c r="L295" s="38">
        <f t="shared" si="5"/>
        <v>0</v>
      </c>
      <c r="M295" s="39">
        <f t="shared" si="6"/>
        <v>0</v>
      </c>
      <c r="N295" s="40"/>
      <c r="O295" s="34"/>
      <c r="P295" s="35"/>
      <c r="Q295" s="35"/>
      <c r="R295" s="35"/>
      <c r="S295" s="35"/>
      <c r="T295" s="35"/>
      <c r="U295" s="35"/>
      <c r="V295" s="35"/>
      <c r="W295" s="35"/>
      <c r="X295" s="35"/>
      <c r="Y295" s="35"/>
      <c r="Z295" s="35"/>
    </row>
    <row r="296" ht="14.25" customHeight="1">
      <c r="A296" s="221"/>
      <c r="B296" s="231"/>
      <c r="C296" s="115"/>
      <c r="D296" s="100"/>
      <c r="E296" s="117"/>
      <c r="F296" s="245"/>
      <c r="G296" s="88"/>
      <c r="H296" s="36">
        <f t="shared" si="1"/>
        <v>0</v>
      </c>
      <c r="I296" s="37">
        <f t="shared" si="2"/>
        <v>0</v>
      </c>
      <c r="J296" s="38">
        <f t="shared" si="3"/>
        <v>0</v>
      </c>
      <c r="K296" s="39">
        <f t="shared" si="4"/>
        <v>0</v>
      </c>
      <c r="L296" s="38">
        <f t="shared" si="5"/>
        <v>0</v>
      </c>
      <c r="M296" s="39">
        <f t="shared" si="6"/>
        <v>0</v>
      </c>
      <c r="N296" s="40"/>
      <c r="O296" s="34"/>
      <c r="P296" s="35"/>
      <c r="Q296" s="35"/>
      <c r="R296" s="35"/>
      <c r="S296" s="35"/>
      <c r="T296" s="35"/>
      <c r="U296" s="35"/>
      <c r="V296" s="35"/>
      <c r="W296" s="35"/>
      <c r="X296" s="35"/>
      <c r="Y296" s="35"/>
      <c r="Z296" s="35"/>
    </row>
    <row r="297" ht="14.25" customHeight="1">
      <c r="A297" s="221"/>
      <c r="B297" s="231"/>
      <c r="C297" s="116"/>
      <c r="D297" s="100"/>
      <c r="E297" s="117"/>
      <c r="F297" s="245"/>
      <c r="G297" s="88"/>
      <c r="H297" s="36">
        <f t="shared" si="1"/>
        <v>0</v>
      </c>
      <c r="I297" s="37">
        <f t="shared" si="2"/>
        <v>0</v>
      </c>
      <c r="J297" s="38">
        <f t="shared" si="3"/>
        <v>0</v>
      </c>
      <c r="K297" s="39">
        <f t="shared" si="4"/>
        <v>0</v>
      </c>
      <c r="L297" s="38">
        <f t="shared" si="5"/>
        <v>0</v>
      </c>
      <c r="M297" s="39">
        <f t="shared" si="6"/>
        <v>0</v>
      </c>
      <c r="N297" s="40"/>
      <c r="O297" s="34"/>
      <c r="P297" s="35"/>
      <c r="Q297" s="35"/>
      <c r="R297" s="35"/>
      <c r="S297" s="35"/>
      <c r="T297" s="35"/>
      <c r="U297" s="35"/>
      <c r="V297" s="35"/>
      <c r="W297" s="35"/>
      <c r="X297" s="35"/>
      <c r="Y297" s="35"/>
      <c r="Z297" s="35"/>
    </row>
    <row r="298" ht="14.25" customHeight="1">
      <c r="A298" s="221"/>
      <c r="B298" s="231"/>
      <c r="C298" s="116"/>
      <c r="D298" s="100"/>
      <c r="E298" s="117"/>
      <c r="F298" s="245"/>
      <c r="G298" s="88"/>
      <c r="H298" s="36">
        <f t="shared" si="1"/>
        <v>0</v>
      </c>
      <c r="I298" s="37">
        <f t="shared" si="2"/>
        <v>0</v>
      </c>
      <c r="J298" s="38">
        <f t="shared" si="3"/>
        <v>0</v>
      </c>
      <c r="K298" s="39">
        <f t="shared" si="4"/>
        <v>0</v>
      </c>
      <c r="L298" s="38">
        <f t="shared" si="5"/>
        <v>0</v>
      </c>
      <c r="M298" s="39">
        <f t="shared" si="6"/>
        <v>0</v>
      </c>
      <c r="N298" s="40"/>
      <c r="O298" s="34"/>
      <c r="P298" s="35"/>
      <c r="Q298" s="35"/>
      <c r="R298" s="35"/>
      <c r="S298" s="35"/>
      <c r="T298" s="35"/>
      <c r="U298" s="35"/>
      <c r="V298" s="35"/>
      <c r="W298" s="35"/>
      <c r="X298" s="35"/>
      <c r="Y298" s="35"/>
      <c r="Z298" s="35"/>
    </row>
    <row r="299" ht="14.25" customHeight="1">
      <c r="A299" s="221"/>
      <c r="B299" s="231"/>
      <c r="C299" s="115"/>
      <c r="D299" s="100"/>
      <c r="E299" s="117"/>
      <c r="F299" s="245"/>
      <c r="G299" s="88"/>
      <c r="H299" s="36">
        <f t="shared" si="1"/>
        <v>0</v>
      </c>
      <c r="I299" s="37">
        <f t="shared" si="2"/>
        <v>0</v>
      </c>
      <c r="J299" s="38">
        <f t="shared" si="3"/>
        <v>0</v>
      </c>
      <c r="K299" s="39">
        <f t="shared" si="4"/>
        <v>0</v>
      </c>
      <c r="L299" s="38">
        <f t="shared" si="5"/>
        <v>0</v>
      </c>
      <c r="M299" s="39">
        <f t="shared" si="6"/>
        <v>0</v>
      </c>
      <c r="N299" s="40"/>
      <c r="O299" s="34"/>
      <c r="P299" s="35"/>
      <c r="Q299" s="35"/>
      <c r="R299" s="35"/>
      <c r="S299" s="35"/>
      <c r="T299" s="35"/>
      <c r="U299" s="35"/>
      <c r="V299" s="35"/>
      <c r="W299" s="35"/>
      <c r="X299" s="35"/>
      <c r="Y299" s="35"/>
      <c r="Z299" s="35"/>
    </row>
    <row r="300" ht="14.25" customHeight="1">
      <c r="A300" s="221"/>
      <c r="B300" s="231"/>
      <c r="C300" s="115"/>
      <c r="D300" s="100"/>
      <c r="E300" s="117"/>
      <c r="F300" s="245"/>
      <c r="G300" s="88"/>
      <c r="H300" s="36">
        <f t="shared" si="1"/>
        <v>0</v>
      </c>
      <c r="I300" s="37">
        <f t="shared" si="2"/>
        <v>0</v>
      </c>
      <c r="J300" s="38">
        <f t="shared" si="3"/>
        <v>0</v>
      </c>
      <c r="K300" s="39">
        <f t="shared" si="4"/>
        <v>0</v>
      </c>
      <c r="L300" s="38">
        <f t="shared" si="5"/>
        <v>0</v>
      </c>
      <c r="M300" s="39">
        <f t="shared" si="6"/>
        <v>0</v>
      </c>
      <c r="N300" s="40"/>
      <c r="O300" s="34"/>
      <c r="P300" s="35"/>
      <c r="Q300" s="35"/>
      <c r="R300" s="35"/>
      <c r="S300" s="35"/>
      <c r="T300" s="35"/>
      <c r="U300" s="35"/>
      <c r="V300" s="35"/>
      <c r="W300" s="35"/>
      <c r="X300" s="35"/>
      <c r="Y300" s="35"/>
      <c r="Z300" s="35"/>
    </row>
    <row r="301" ht="14.25" customHeight="1">
      <c r="A301" s="221"/>
      <c r="B301" s="231"/>
      <c r="C301" s="115"/>
      <c r="D301" s="85"/>
      <c r="E301" s="117"/>
      <c r="F301" s="245"/>
      <c r="G301" s="88"/>
      <c r="H301" s="36">
        <f t="shared" si="1"/>
        <v>0</v>
      </c>
      <c r="I301" s="37">
        <f t="shared" si="2"/>
        <v>0</v>
      </c>
      <c r="J301" s="38">
        <f t="shared" si="3"/>
        <v>0</v>
      </c>
      <c r="K301" s="39">
        <f t="shared" si="4"/>
        <v>0</v>
      </c>
      <c r="L301" s="38">
        <f t="shared" si="5"/>
        <v>0</v>
      </c>
      <c r="M301" s="39">
        <f t="shared" si="6"/>
        <v>0</v>
      </c>
      <c r="N301" s="40"/>
      <c r="O301" s="34"/>
      <c r="P301" s="35"/>
      <c r="Q301" s="35"/>
      <c r="R301" s="35"/>
      <c r="S301" s="35"/>
      <c r="T301" s="35"/>
      <c r="U301" s="35"/>
      <c r="V301" s="35"/>
      <c r="W301" s="35"/>
      <c r="X301" s="35"/>
      <c r="Y301" s="35"/>
      <c r="Z301" s="35"/>
    </row>
    <row r="302" ht="14.25" customHeight="1">
      <c r="A302" s="221"/>
      <c r="B302" s="231"/>
      <c r="C302" s="129"/>
      <c r="D302" s="89"/>
      <c r="E302" s="117"/>
      <c r="F302" s="245"/>
      <c r="G302" s="88"/>
      <c r="H302" s="36">
        <f t="shared" si="1"/>
        <v>0</v>
      </c>
      <c r="I302" s="37">
        <f t="shared" si="2"/>
        <v>0</v>
      </c>
      <c r="J302" s="38">
        <f t="shared" si="3"/>
        <v>0</v>
      </c>
      <c r="K302" s="39">
        <f t="shared" si="4"/>
        <v>0</v>
      </c>
      <c r="L302" s="38">
        <f t="shared" si="5"/>
        <v>0</v>
      </c>
      <c r="M302" s="39">
        <f t="shared" si="6"/>
        <v>0</v>
      </c>
      <c r="N302" s="40"/>
      <c r="O302" s="34"/>
      <c r="P302" s="35"/>
      <c r="Q302" s="35"/>
      <c r="R302" s="35"/>
      <c r="S302" s="35"/>
      <c r="T302" s="35"/>
      <c r="U302" s="35"/>
      <c r="V302" s="35"/>
      <c r="W302" s="35"/>
      <c r="X302" s="35"/>
      <c r="Y302" s="35"/>
      <c r="Z302" s="35"/>
    </row>
    <row r="303" ht="14.25" customHeight="1">
      <c r="A303" s="221"/>
      <c r="B303" s="231"/>
      <c r="C303" s="110"/>
      <c r="D303" s="102"/>
      <c r="E303" s="117"/>
      <c r="F303" s="245"/>
      <c r="G303" s="88"/>
      <c r="H303" s="36">
        <f t="shared" si="1"/>
        <v>0</v>
      </c>
      <c r="I303" s="37">
        <f t="shared" si="2"/>
        <v>0</v>
      </c>
      <c r="J303" s="38">
        <f t="shared" si="3"/>
        <v>0</v>
      </c>
      <c r="K303" s="39">
        <f t="shared" si="4"/>
        <v>0</v>
      </c>
      <c r="L303" s="38">
        <f t="shared" si="5"/>
        <v>0</v>
      </c>
      <c r="M303" s="39">
        <f t="shared" si="6"/>
        <v>0</v>
      </c>
      <c r="N303" s="40"/>
      <c r="O303" s="34"/>
      <c r="P303" s="35"/>
      <c r="Q303" s="35"/>
      <c r="R303" s="35"/>
      <c r="S303" s="35"/>
      <c r="T303" s="35"/>
      <c r="U303" s="35"/>
      <c r="V303" s="35"/>
      <c r="W303" s="35"/>
      <c r="X303" s="35"/>
      <c r="Y303" s="35"/>
      <c r="Z303" s="35"/>
    </row>
    <row r="304" ht="14.25" customHeight="1">
      <c r="A304" s="221"/>
      <c r="B304" s="231"/>
      <c r="C304" s="116"/>
      <c r="D304" s="85"/>
      <c r="E304" s="117"/>
      <c r="F304" s="245"/>
      <c r="G304" s="88"/>
      <c r="H304" s="36">
        <f t="shared" si="1"/>
        <v>0</v>
      </c>
      <c r="I304" s="37">
        <f t="shared" si="2"/>
        <v>0</v>
      </c>
      <c r="J304" s="38">
        <f t="shared" si="3"/>
        <v>0</v>
      </c>
      <c r="K304" s="39">
        <f t="shared" si="4"/>
        <v>0</v>
      </c>
      <c r="L304" s="38">
        <f t="shared" si="5"/>
        <v>0</v>
      </c>
      <c r="M304" s="39">
        <f t="shared" si="6"/>
        <v>0</v>
      </c>
      <c r="N304" s="40"/>
      <c r="O304" s="34"/>
      <c r="P304" s="35"/>
      <c r="Q304" s="35"/>
      <c r="R304" s="35"/>
      <c r="S304" s="35"/>
      <c r="T304" s="35"/>
      <c r="U304" s="35"/>
      <c r="V304" s="35"/>
      <c r="W304" s="35"/>
      <c r="X304" s="35"/>
      <c r="Y304" s="35"/>
      <c r="Z304" s="35"/>
    </row>
    <row r="305" ht="14.25" customHeight="1">
      <c r="A305" s="221"/>
      <c r="B305" s="231"/>
      <c r="C305" s="116"/>
      <c r="D305" s="85"/>
      <c r="E305" s="117"/>
      <c r="F305" s="245"/>
      <c r="G305" s="88"/>
      <c r="H305" s="36">
        <f t="shared" si="1"/>
        <v>0</v>
      </c>
      <c r="I305" s="37">
        <f t="shared" si="2"/>
        <v>0</v>
      </c>
      <c r="J305" s="38">
        <f t="shared" si="3"/>
        <v>0</v>
      </c>
      <c r="K305" s="39">
        <f t="shared" si="4"/>
        <v>0</v>
      </c>
      <c r="L305" s="38">
        <f t="shared" si="5"/>
        <v>0</v>
      </c>
      <c r="M305" s="39">
        <f t="shared" si="6"/>
        <v>0</v>
      </c>
      <c r="N305" s="40"/>
      <c r="O305" s="34"/>
      <c r="P305" s="35"/>
      <c r="Q305" s="35"/>
      <c r="R305" s="35"/>
      <c r="S305" s="35"/>
      <c r="T305" s="35"/>
      <c r="U305" s="35"/>
      <c r="V305" s="35"/>
      <c r="W305" s="35"/>
      <c r="X305" s="35"/>
      <c r="Y305" s="35"/>
      <c r="Z305" s="35"/>
    </row>
    <row r="306" ht="14.25" customHeight="1">
      <c r="A306" s="221"/>
      <c r="B306" s="231"/>
      <c r="C306" s="116"/>
      <c r="D306" s="85"/>
      <c r="E306" s="117"/>
      <c r="F306" s="245"/>
      <c r="G306" s="88"/>
      <c r="H306" s="36">
        <f t="shared" si="1"/>
        <v>0</v>
      </c>
      <c r="I306" s="37">
        <f t="shared" si="2"/>
        <v>0</v>
      </c>
      <c r="J306" s="38">
        <f t="shared" si="3"/>
        <v>0</v>
      </c>
      <c r="K306" s="39">
        <f t="shared" si="4"/>
        <v>0</v>
      </c>
      <c r="L306" s="38">
        <f t="shared" si="5"/>
        <v>0</v>
      </c>
      <c r="M306" s="39">
        <f t="shared" si="6"/>
        <v>0</v>
      </c>
      <c r="N306" s="40"/>
      <c r="O306" s="34"/>
      <c r="P306" s="35"/>
      <c r="Q306" s="35"/>
      <c r="R306" s="35"/>
      <c r="S306" s="35"/>
      <c r="T306" s="35"/>
      <c r="U306" s="35"/>
      <c r="V306" s="35"/>
      <c r="W306" s="35"/>
      <c r="X306" s="35"/>
      <c r="Y306" s="35"/>
      <c r="Z306" s="35"/>
    </row>
    <row r="307" ht="14.25" customHeight="1">
      <c r="A307" s="221"/>
      <c r="B307" s="231"/>
      <c r="C307" s="116"/>
      <c r="D307" s="85"/>
      <c r="E307" s="117"/>
      <c r="F307" s="245"/>
      <c r="G307" s="88"/>
      <c r="H307" s="36">
        <f t="shared" si="1"/>
        <v>0</v>
      </c>
      <c r="I307" s="37">
        <f t="shared" si="2"/>
        <v>0</v>
      </c>
      <c r="J307" s="38">
        <f t="shared" si="3"/>
        <v>0</v>
      </c>
      <c r="K307" s="39">
        <f t="shared" si="4"/>
        <v>0</v>
      </c>
      <c r="L307" s="38">
        <f t="shared" si="5"/>
        <v>0</v>
      </c>
      <c r="M307" s="39">
        <f t="shared" si="6"/>
        <v>0</v>
      </c>
      <c r="N307" s="40"/>
      <c r="O307" s="34"/>
      <c r="P307" s="35"/>
      <c r="Q307" s="35"/>
      <c r="R307" s="35"/>
      <c r="S307" s="35"/>
      <c r="T307" s="35"/>
      <c r="U307" s="35"/>
      <c r="V307" s="35"/>
      <c r="W307" s="35"/>
      <c r="X307" s="35"/>
      <c r="Y307" s="35"/>
      <c r="Z307" s="35"/>
    </row>
    <row r="308" ht="14.25" customHeight="1">
      <c r="A308" s="221"/>
      <c r="B308" s="231"/>
      <c r="C308" s="110"/>
      <c r="D308" s="122"/>
      <c r="E308" s="117"/>
      <c r="F308" s="245"/>
      <c r="G308" s="88"/>
      <c r="H308" s="36">
        <f t="shared" si="1"/>
        <v>0</v>
      </c>
      <c r="I308" s="37">
        <f t="shared" si="2"/>
        <v>0</v>
      </c>
      <c r="J308" s="38">
        <f t="shared" si="3"/>
        <v>0</v>
      </c>
      <c r="K308" s="39">
        <f t="shared" si="4"/>
        <v>0</v>
      </c>
      <c r="L308" s="38">
        <f t="shared" si="5"/>
        <v>0</v>
      </c>
      <c r="M308" s="39">
        <f t="shared" si="6"/>
        <v>0</v>
      </c>
      <c r="N308" s="40"/>
      <c r="O308" s="34"/>
      <c r="P308" s="35"/>
      <c r="Q308" s="35"/>
      <c r="R308" s="35"/>
      <c r="S308" s="35"/>
      <c r="T308" s="35"/>
      <c r="U308" s="35"/>
      <c r="V308" s="35"/>
      <c r="W308" s="35"/>
      <c r="X308" s="35"/>
      <c r="Y308" s="35"/>
      <c r="Z308" s="35"/>
    </row>
    <row r="309" ht="14.25" customHeight="1">
      <c r="A309" s="221"/>
      <c r="B309" s="231"/>
      <c r="C309" s="110"/>
      <c r="D309" s="122"/>
      <c r="E309" s="117"/>
      <c r="F309" s="245"/>
      <c r="G309" s="88"/>
      <c r="H309" s="36">
        <f t="shared" si="1"/>
        <v>0</v>
      </c>
      <c r="I309" s="37">
        <f t="shared" si="2"/>
        <v>0</v>
      </c>
      <c r="J309" s="38">
        <f t="shared" si="3"/>
        <v>0</v>
      </c>
      <c r="K309" s="39">
        <f t="shared" si="4"/>
        <v>0</v>
      </c>
      <c r="L309" s="38">
        <f t="shared" si="5"/>
        <v>0</v>
      </c>
      <c r="M309" s="39">
        <f t="shared" si="6"/>
        <v>0</v>
      </c>
      <c r="N309" s="40"/>
      <c r="O309" s="34"/>
      <c r="P309" s="35"/>
      <c r="Q309" s="35"/>
      <c r="R309" s="35"/>
      <c r="S309" s="35"/>
      <c r="T309" s="35"/>
      <c r="U309" s="35"/>
      <c r="V309" s="35"/>
      <c r="W309" s="35"/>
      <c r="X309" s="35"/>
      <c r="Y309" s="35"/>
      <c r="Z309" s="35"/>
    </row>
    <row r="310" ht="14.25" customHeight="1">
      <c r="A310" s="221"/>
      <c r="B310" s="231"/>
      <c r="C310" s="110"/>
      <c r="D310" s="102"/>
      <c r="E310" s="117"/>
      <c r="F310" s="245"/>
      <c r="G310" s="88"/>
      <c r="H310" s="36">
        <f t="shared" si="1"/>
        <v>0</v>
      </c>
      <c r="I310" s="37">
        <f t="shared" si="2"/>
        <v>0</v>
      </c>
      <c r="J310" s="38">
        <f t="shared" si="3"/>
        <v>0</v>
      </c>
      <c r="K310" s="39">
        <f t="shared" si="4"/>
        <v>0</v>
      </c>
      <c r="L310" s="38">
        <f t="shared" si="5"/>
        <v>0</v>
      </c>
      <c r="M310" s="39">
        <f t="shared" si="6"/>
        <v>0</v>
      </c>
      <c r="N310" s="40"/>
      <c r="O310" s="34"/>
      <c r="P310" s="35"/>
      <c r="Q310" s="35"/>
      <c r="R310" s="35"/>
      <c r="S310" s="35"/>
      <c r="T310" s="35"/>
      <c r="U310" s="35"/>
      <c r="V310" s="35"/>
      <c r="W310" s="35"/>
      <c r="X310" s="35"/>
      <c r="Y310" s="35"/>
      <c r="Z310" s="35"/>
    </row>
    <row r="311" ht="14.25" customHeight="1">
      <c r="A311" s="221"/>
      <c r="B311" s="231"/>
      <c r="C311" s="108"/>
      <c r="D311" s="85"/>
      <c r="E311" s="117"/>
      <c r="F311" s="245"/>
      <c r="G311" s="88"/>
      <c r="H311" s="36">
        <f t="shared" si="1"/>
        <v>0</v>
      </c>
      <c r="I311" s="37">
        <f t="shared" si="2"/>
        <v>0</v>
      </c>
      <c r="J311" s="38">
        <f t="shared" si="3"/>
        <v>0</v>
      </c>
      <c r="K311" s="39">
        <f t="shared" si="4"/>
        <v>0</v>
      </c>
      <c r="L311" s="38">
        <f t="shared" si="5"/>
        <v>0</v>
      </c>
      <c r="M311" s="39">
        <f t="shared" si="6"/>
        <v>0</v>
      </c>
      <c r="N311" s="40"/>
      <c r="O311" s="34"/>
      <c r="P311" s="35"/>
      <c r="Q311" s="35"/>
      <c r="R311" s="35"/>
      <c r="S311" s="35"/>
      <c r="T311" s="35"/>
      <c r="U311" s="35"/>
      <c r="V311" s="35"/>
      <c r="W311" s="35"/>
      <c r="X311" s="35"/>
      <c r="Y311" s="35"/>
      <c r="Z311" s="35"/>
    </row>
    <row r="312" ht="14.25" customHeight="1">
      <c r="A312" s="221"/>
      <c r="B312" s="231"/>
      <c r="C312" s="108"/>
      <c r="D312" s="85"/>
      <c r="E312" s="117"/>
      <c r="F312" s="245"/>
      <c r="G312" s="88"/>
      <c r="H312" s="36">
        <f t="shared" si="1"/>
        <v>0</v>
      </c>
      <c r="I312" s="37">
        <f t="shared" si="2"/>
        <v>0</v>
      </c>
      <c r="J312" s="38">
        <f t="shared" si="3"/>
        <v>0</v>
      </c>
      <c r="K312" s="39">
        <f t="shared" si="4"/>
        <v>0</v>
      </c>
      <c r="L312" s="38">
        <f t="shared" si="5"/>
        <v>0</v>
      </c>
      <c r="M312" s="39">
        <f t="shared" si="6"/>
        <v>0</v>
      </c>
      <c r="N312" s="40"/>
      <c r="O312" s="34"/>
      <c r="P312" s="35"/>
      <c r="Q312" s="35"/>
      <c r="R312" s="35"/>
      <c r="S312" s="35"/>
      <c r="T312" s="35"/>
      <c r="U312" s="35"/>
      <c r="V312" s="35"/>
      <c r="W312" s="35"/>
      <c r="X312" s="35"/>
      <c r="Y312" s="35"/>
      <c r="Z312" s="35"/>
    </row>
    <row r="313" ht="14.25" customHeight="1">
      <c r="A313" s="221"/>
      <c r="B313" s="231"/>
      <c r="C313" s="108"/>
      <c r="D313" s="85"/>
      <c r="E313" s="117"/>
      <c r="F313" s="245"/>
      <c r="G313" s="88"/>
      <c r="H313" s="36">
        <f t="shared" si="1"/>
        <v>0</v>
      </c>
      <c r="I313" s="37">
        <f t="shared" si="2"/>
        <v>0</v>
      </c>
      <c r="J313" s="38">
        <f t="shared" si="3"/>
        <v>0</v>
      </c>
      <c r="K313" s="39">
        <f t="shared" si="4"/>
        <v>0</v>
      </c>
      <c r="L313" s="38">
        <f t="shared" si="5"/>
        <v>0</v>
      </c>
      <c r="M313" s="39">
        <f t="shared" si="6"/>
        <v>0</v>
      </c>
      <c r="N313" s="40"/>
      <c r="O313" s="34"/>
      <c r="P313" s="35"/>
      <c r="Q313" s="35"/>
      <c r="R313" s="35"/>
      <c r="S313" s="35"/>
      <c r="T313" s="35"/>
      <c r="U313" s="35"/>
      <c r="V313" s="35"/>
      <c r="W313" s="35"/>
      <c r="X313" s="35"/>
      <c r="Y313" s="35"/>
      <c r="Z313" s="35"/>
    </row>
    <row r="314" ht="14.25" customHeight="1">
      <c r="A314" s="221"/>
      <c r="B314" s="231"/>
      <c r="C314" s="108"/>
      <c r="D314" s="85"/>
      <c r="E314" s="117"/>
      <c r="F314" s="245"/>
      <c r="G314" s="88"/>
      <c r="H314" s="36">
        <f t="shared" si="1"/>
        <v>0</v>
      </c>
      <c r="I314" s="37">
        <f t="shared" si="2"/>
        <v>0</v>
      </c>
      <c r="J314" s="38">
        <f t="shared" si="3"/>
        <v>0</v>
      </c>
      <c r="K314" s="39">
        <f t="shared" si="4"/>
        <v>0</v>
      </c>
      <c r="L314" s="38">
        <f t="shared" si="5"/>
        <v>0</v>
      </c>
      <c r="M314" s="39">
        <f t="shared" si="6"/>
        <v>0</v>
      </c>
      <c r="N314" s="40"/>
      <c r="O314" s="34"/>
      <c r="P314" s="35"/>
      <c r="Q314" s="35"/>
      <c r="R314" s="35"/>
      <c r="S314" s="35"/>
      <c r="T314" s="35"/>
      <c r="U314" s="35"/>
      <c r="V314" s="35"/>
      <c r="W314" s="35"/>
      <c r="X314" s="35"/>
      <c r="Y314" s="35"/>
      <c r="Z314" s="35"/>
    </row>
    <row r="315" ht="14.25" customHeight="1">
      <c r="A315" s="221"/>
      <c r="B315" s="231"/>
      <c r="C315" s="108"/>
      <c r="D315" s="85"/>
      <c r="E315" s="117"/>
      <c r="F315" s="245"/>
      <c r="G315" s="88"/>
      <c r="H315" s="36">
        <f t="shared" si="1"/>
        <v>0</v>
      </c>
      <c r="I315" s="37">
        <f t="shared" si="2"/>
        <v>0</v>
      </c>
      <c r="J315" s="38">
        <f t="shared" si="3"/>
        <v>0</v>
      </c>
      <c r="K315" s="39">
        <f t="shared" si="4"/>
        <v>0</v>
      </c>
      <c r="L315" s="38">
        <f t="shared" si="5"/>
        <v>0</v>
      </c>
      <c r="M315" s="39">
        <f t="shared" si="6"/>
        <v>0</v>
      </c>
      <c r="N315" s="40"/>
      <c r="O315" s="34"/>
      <c r="P315" s="35"/>
      <c r="Q315" s="35"/>
      <c r="R315" s="35"/>
      <c r="S315" s="35"/>
      <c r="T315" s="35"/>
      <c r="U315" s="35"/>
      <c r="V315" s="35"/>
      <c r="W315" s="35"/>
      <c r="X315" s="35"/>
      <c r="Y315" s="35"/>
      <c r="Z315" s="35"/>
    </row>
    <row r="316" ht="14.25" customHeight="1">
      <c r="A316" s="221"/>
      <c r="B316" s="231"/>
      <c r="C316" s="108"/>
      <c r="D316" s="85"/>
      <c r="E316" s="117"/>
      <c r="F316" s="245"/>
      <c r="G316" s="88"/>
      <c r="H316" s="36">
        <f t="shared" si="1"/>
        <v>0</v>
      </c>
      <c r="I316" s="37">
        <f t="shared" si="2"/>
        <v>0</v>
      </c>
      <c r="J316" s="38">
        <f t="shared" si="3"/>
        <v>0</v>
      </c>
      <c r="K316" s="39">
        <f t="shared" si="4"/>
        <v>0</v>
      </c>
      <c r="L316" s="38">
        <f t="shared" si="5"/>
        <v>0</v>
      </c>
      <c r="M316" s="39">
        <f t="shared" si="6"/>
        <v>0</v>
      </c>
      <c r="N316" s="40"/>
      <c r="O316" s="34"/>
      <c r="P316" s="35"/>
      <c r="Q316" s="35"/>
      <c r="R316" s="35"/>
      <c r="S316" s="35"/>
      <c r="T316" s="35"/>
      <c r="U316" s="35"/>
      <c r="V316" s="35"/>
      <c r="W316" s="35"/>
      <c r="X316" s="35"/>
      <c r="Y316" s="35"/>
      <c r="Z316" s="35"/>
    </row>
    <row r="317" ht="14.25" customHeight="1">
      <c r="A317" s="221"/>
      <c r="B317" s="231"/>
      <c r="C317" s="108"/>
      <c r="D317" s="85"/>
      <c r="E317" s="117"/>
      <c r="F317" s="245"/>
      <c r="G317" s="88"/>
      <c r="H317" s="36">
        <f t="shared" si="1"/>
        <v>0</v>
      </c>
      <c r="I317" s="37">
        <f t="shared" si="2"/>
        <v>0</v>
      </c>
      <c r="J317" s="38">
        <f t="shared" si="3"/>
        <v>0</v>
      </c>
      <c r="K317" s="39">
        <f t="shared" si="4"/>
        <v>0</v>
      </c>
      <c r="L317" s="38">
        <f t="shared" si="5"/>
        <v>0</v>
      </c>
      <c r="M317" s="39">
        <f t="shared" si="6"/>
        <v>0</v>
      </c>
      <c r="N317" s="40"/>
      <c r="O317" s="34"/>
      <c r="P317" s="35"/>
      <c r="Q317" s="35"/>
      <c r="R317" s="35"/>
      <c r="S317" s="35"/>
      <c r="T317" s="35"/>
      <c r="U317" s="35"/>
      <c r="V317" s="35"/>
      <c r="W317" s="35"/>
      <c r="X317" s="35"/>
      <c r="Y317" s="35"/>
      <c r="Z317" s="35"/>
    </row>
    <row r="318" ht="14.25" customHeight="1">
      <c r="A318" s="221"/>
      <c r="B318" s="231"/>
      <c r="C318" s="129"/>
      <c r="D318" s="85"/>
      <c r="E318" s="117"/>
      <c r="F318" s="245"/>
      <c r="G318" s="88"/>
      <c r="H318" s="36">
        <f t="shared" si="1"/>
        <v>0</v>
      </c>
      <c r="I318" s="37">
        <f t="shared" si="2"/>
        <v>0</v>
      </c>
      <c r="J318" s="38">
        <f t="shared" si="3"/>
        <v>0</v>
      </c>
      <c r="K318" s="39">
        <f t="shared" si="4"/>
        <v>0</v>
      </c>
      <c r="L318" s="38">
        <f t="shared" si="5"/>
        <v>0</v>
      </c>
      <c r="M318" s="39">
        <f t="shared" si="6"/>
        <v>0</v>
      </c>
      <c r="N318" s="40"/>
      <c r="O318" s="34"/>
      <c r="P318" s="35"/>
      <c r="Q318" s="35"/>
      <c r="R318" s="35"/>
      <c r="S318" s="35"/>
      <c r="T318" s="35"/>
      <c r="U318" s="35"/>
      <c r="V318" s="35"/>
      <c r="W318" s="35"/>
      <c r="X318" s="35"/>
      <c r="Y318" s="35"/>
      <c r="Z318" s="35"/>
    </row>
    <row r="319" ht="14.25" customHeight="1">
      <c r="A319" s="221"/>
      <c r="B319" s="231"/>
      <c r="C319" s="108"/>
      <c r="D319" s="102"/>
      <c r="E319" s="117"/>
      <c r="F319" s="245"/>
      <c r="G319" s="88"/>
      <c r="H319" s="36">
        <f t="shared" si="1"/>
        <v>0</v>
      </c>
      <c r="I319" s="37">
        <f t="shared" si="2"/>
        <v>0</v>
      </c>
      <c r="J319" s="38">
        <f t="shared" si="3"/>
        <v>0</v>
      </c>
      <c r="K319" s="39">
        <f t="shared" si="4"/>
        <v>0</v>
      </c>
      <c r="L319" s="38">
        <f t="shared" si="5"/>
        <v>0</v>
      </c>
      <c r="M319" s="39">
        <f t="shared" si="6"/>
        <v>0</v>
      </c>
      <c r="N319" s="40"/>
      <c r="O319" s="34"/>
      <c r="P319" s="35"/>
      <c r="Q319" s="35"/>
      <c r="R319" s="35"/>
      <c r="S319" s="35"/>
      <c r="T319" s="35"/>
      <c r="U319" s="35"/>
      <c r="V319" s="35"/>
      <c r="W319" s="35"/>
      <c r="X319" s="35"/>
      <c r="Y319" s="35"/>
      <c r="Z319" s="35"/>
    </row>
    <row r="320" ht="14.25" customHeight="1">
      <c r="A320" s="221"/>
      <c r="B320" s="231"/>
      <c r="C320" s="108"/>
      <c r="D320" s="90"/>
      <c r="E320" s="117"/>
      <c r="F320" s="245"/>
      <c r="G320" s="88"/>
      <c r="H320" s="36">
        <f t="shared" si="1"/>
        <v>0</v>
      </c>
      <c r="I320" s="37">
        <f t="shared" si="2"/>
        <v>0</v>
      </c>
      <c r="J320" s="38">
        <f t="shared" si="3"/>
        <v>0</v>
      </c>
      <c r="K320" s="39">
        <f t="shared" si="4"/>
        <v>0</v>
      </c>
      <c r="L320" s="38">
        <f t="shared" si="5"/>
        <v>0</v>
      </c>
      <c r="M320" s="39">
        <f t="shared" si="6"/>
        <v>0</v>
      </c>
      <c r="N320" s="40"/>
      <c r="O320" s="34"/>
      <c r="P320" s="35"/>
      <c r="Q320" s="35"/>
      <c r="R320" s="35"/>
      <c r="S320" s="35"/>
      <c r="T320" s="35"/>
      <c r="U320" s="35"/>
      <c r="V320" s="35"/>
      <c r="W320" s="35"/>
      <c r="X320" s="35"/>
      <c r="Y320" s="35"/>
      <c r="Z320" s="35"/>
    </row>
    <row r="321" ht="14.25" customHeight="1">
      <c r="A321" s="221"/>
      <c r="B321" s="231"/>
      <c r="C321" s="132"/>
      <c r="D321" s="42"/>
      <c r="E321" s="117"/>
      <c r="F321" s="248"/>
      <c r="G321" s="88"/>
      <c r="H321" s="36">
        <f t="shared" si="1"/>
        <v>0</v>
      </c>
      <c r="I321" s="37">
        <f t="shared" si="2"/>
        <v>0</v>
      </c>
      <c r="J321" s="38">
        <f t="shared" si="3"/>
        <v>0</v>
      </c>
      <c r="K321" s="39">
        <f t="shared" si="4"/>
        <v>0</v>
      </c>
      <c r="L321" s="38">
        <f t="shared" si="5"/>
        <v>0</v>
      </c>
      <c r="M321" s="39">
        <f t="shared" si="6"/>
        <v>0</v>
      </c>
      <c r="N321" s="40"/>
      <c r="O321" s="34"/>
      <c r="P321" s="35"/>
      <c r="Q321" s="35"/>
      <c r="R321" s="35"/>
      <c r="S321" s="35"/>
      <c r="T321" s="35"/>
      <c r="U321" s="35"/>
      <c r="V321" s="35"/>
      <c r="W321" s="35"/>
      <c r="X321" s="35"/>
      <c r="Y321" s="35"/>
      <c r="Z321" s="35"/>
    </row>
    <row r="322" ht="14.25" customHeight="1">
      <c r="A322" s="221"/>
      <c r="B322" s="231"/>
      <c r="C322" s="115"/>
      <c r="D322" s="100"/>
      <c r="E322" s="117"/>
      <c r="F322" s="249"/>
      <c r="G322" s="88"/>
      <c r="H322" s="36">
        <f t="shared" si="1"/>
        <v>0</v>
      </c>
      <c r="I322" s="37">
        <f t="shared" si="2"/>
        <v>0</v>
      </c>
      <c r="J322" s="38">
        <f t="shared" si="3"/>
        <v>0</v>
      </c>
      <c r="K322" s="39">
        <f t="shared" si="4"/>
        <v>0</v>
      </c>
      <c r="L322" s="38">
        <f t="shared" si="5"/>
        <v>0</v>
      </c>
      <c r="M322" s="39">
        <f t="shared" si="6"/>
        <v>0</v>
      </c>
      <c r="N322" s="40"/>
      <c r="O322" s="34"/>
      <c r="P322" s="35"/>
      <c r="Q322" s="35"/>
      <c r="R322" s="35"/>
      <c r="S322" s="35"/>
      <c r="T322" s="35"/>
      <c r="U322" s="35"/>
      <c r="V322" s="35"/>
      <c r="W322" s="35"/>
      <c r="X322" s="35"/>
      <c r="Y322" s="35"/>
      <c r="Z322" s="35"/>
    </row>
    <row r="323" ht="14.25" customHeight="1">
      <c r="A323" s="221"/>
      <c r="B323" s="231"/>
      <c r="C323" s="115"/>
      <c r="D323" s="100"/>
      <c r="E323" s="117"/>
      <c r="F323" s="249"/>
      <c r="G323" s="88"/>
      <c r="H323" s="36">
        <f t="shared" si="1"/>
        <v>0</v>
      </c>
      <c r="I323" s="37">
        <f t="shared" si="2"/>
        <v>0</v>
      </c>
      <c r="J323" s="38">
        <f t="shared" si="3"/>
        <v>0</v>
      </c>
      <c r="K323" s="39">
        <f t="shared" si="4"/>
        <v>0</v>
      </c>
      <c r="L323" s="38">
        <f t="shared" si="5"/>
        <v>0</v>
      </c>
      <c r="M323" s="39">
        <f t="shared" si="6"/>
        <v>0</v>
      </c>
      <c r="N323" s="40"/>
      <c r="O323" s="34"/>
      <c r="P323" s="35"/>
      <c r="Q323" s="35"/>
      <c r="R323" s="35"/>
      <c r="S323" s="35"/>
      <c r="T323" s="35"/>
      <c r="U323" s="35"/>
      <c r="V323" s="35"/>
      <c r="W323" s="35"/>
      <c r="X323" s="35"/>
      <c r="Y323" s="35"/>
      <c r="Z323" s="35"/>
    </row>
    <row r="324" ht="14.25" customHeight="1">
      <c r="A324" s="221"/>
      <c r="B324" s="231"/>
      <c r="C324" s="115"/>
      <c r="D324" s="100"/>
      <c r="E324" s="117"/>
      <c r="F324" s="249"/>
      <c r="G324" s="88"/>
      <c r="H324" s="36">
        <f t="shared" si="1"/>
        <v>0</v>
      </c>
      <c r="I324" s="37">
        <f t="shared" si="2"/>
        <v>0</v>
      </c>
      <c r="J324" s="38">
        <f t="shared" si="3"/>
        <v>0</v>
      </c>
      <c r="K324" s="39">
        <f t="shared" si="4"/>
        <v>0</v>
      </c>
      <c r="L324" s="38">
        <f t="shared" si="5"/>
        <v>0</v>
      </c>
      <c r="M324" s="39">
        <f t="shared" si="6"/>
        <v>0</v>
      </c>
      <c r="N324" s="40"/>
      <c r="O324" s="34"/>
      <c r="P324" s="35"/>
      <c r="Q324" s="35"/>
      <c r="R324" s="35"/>
      <c r="S324" s="35"/>
      <c r="T324" s="35"/>
      <c r="U324" s="35"/>
      <c r="V324" s="35"/>
      <c r="W324" s="35"/>
      <c r="X324" s="35"/>
      <c r="Y324" s="35"/>
      <c r="Z324" s="35"/>
    </row>
    <row r="325" ht="14.25" customHeight="1">
      <c r="A325" s="221"/>
      <c r="B325" s="231"/>
      <c r="C325" s="115"/>
      <c r="D325" s="100"/>
      <c r="E325" s="117"/>
      <c r="F325" s="249"/>
      <c r="G325" s="88"/>
      <c r="H325" s="36">
        <f t="shared" si="1"/>
        <v>0</v>
      </c>
      <c r="I325" s="37">
        <f t="shared" si="2"/>
        <v>0</v>
      </c>
      <c r="J325" s="38">
        <f t="shared" si="3"/>
        <v>0</v>
      </c>
      <c r="K325" s="39">
        <f t="shared" si="4"/>
        <v>0</v>
      </c>
      <c r="L325" s="38">
        <f t="shared" si="5"/>
        <v>0</v>
      </c>
      <c r="M325" s="39">
        <f t="shared" si="6"/>
        <v>0</v>
      </c>
      <c r="N325" s="40"/>
      <c r="O325" s="34"/>
      <c r="P325" s="35"/>
      <c r="Q325" s="35"/>
      <c r="R325" s="35"/>
      <c r="S325" s="35"/>
      <c r="T325" s="35"/>
      <c r="U325" s="35"/>
      <c r="V325" s="35"/>
      <c r="W325" s="35"/>
      <c r="X325" s="35"/>
      <c r="Y325" s="35"/>
      <c r="Z325" s="35"/>
    </row>
    <row r="326" ht="14.25" customHeight="1">
      <c r="A326" s="221"/>
      <c r="B326" s="231"/>
      <c r="C326" s="115"/>
      <c r="D326" s="100"/>
      <c r="E326" s="117"/>
      <c r="F326" s="249"/>
      <c r="G326" s="88"/>
      <c r="H326" s="36">
        <f t="shared" si="1"/>
        <v>0</v>
      </c>
      <c r="I326" s="37">
        <f t="shared" si="2"/>
        <v>0</v>
      </c>
      <c r="J326" s="38">
        <f t="shared" si="3"/>
        <v>0</v>
      </c>
      <c r="K326" s="39">
        <f t="shared" si="4"/>
        <v>0</v>
      </c>
      <c r="L326" s="38">
        <f t="shared" si="5"/>
        <v>0</v>
      </c>
      <c r="M326" s="39">
        <f t="shared" si="6"/>
        <v>0</v>
      </c>
      <c r="N326" s="40"/>
      <c r="O326" s="34"/>
      <c r="P326" s="35"/>
      <c r="Q326" s="35"/>
      <c r="R326" s="35"/>
      <c r="S326" s="35"/>
      <c r="T326" s="35"/>
      <c r="U326" s="35"/>
      <c r="V326" s="35"/>
      <c r="W326" s="35"/>
      <c r="X326" s="35"/>
      <c r="Y326" s="35"/>
      <c r="Z326" s="35"/>
    </row>
    <row r="327" ht="14.25" customHeight="1">
      <c r="A327" s="221"/>
      <c r="B327" s="231"/>
      <c r="C327" s="115"/>
      <c r="D327" s="100"/>
      <c r="E327" s="117"/>
      <c r="F327" s="249"/>
      <c r="G327" s="88"/>
      <c r="H327" s="36">
        <f t="shared" si="1"/>
        <v>0</v>
      </c>
      <c r="I327" s="37">
        <f t="shared" si="2"/>
        <v>0</v>
      </c>
      <c r="J327" s="38">
        <f t="shared" si="3"/>
        <v>0</v>
      </c>
      <c r="K327" s="39">
        <f t="shared" si="4"/>
        <v>0</v>
      </c>
      <c r="L327" s="38">
        <f t="shared" si="5"/>
        <v>0</v>
      </c>
      <c r="M327" s="39">
        <f t="shared" si="6"/>
        <v>0</v>
      </c>
      <c r="N327" s="40"/>
      <c r="O327" s="34"/>
      <c r="P327" s="35"/>
      <c r="Q327" s="35"/>
      <c r="R327" s="35"/>
      <c r="S327" s="35"/>
      <c r="T327" s="35"/>
      <c r="U327" s="35"/>
      <c r="V327" s="35"/>
      <c r="W327" s="35"/>
      <c r="X327" s="35"/>
      <c r="Y327" s="35"/>
      <c r="Z327" s="35"/>
    </row>
    <row r="328" ht="14.25" customHeight="1">
      <c r="A328" s="221"/>
      <c r="B328" s="231"/>
      <c r="C328" s="115"/>
      <c r="D328" s="100"/>
      <c r="E328" s="117"/>
      <c r="F328" s="238"/>
      <c r="G328" s="88"/>
      <c r="H328" s="36">
        <f t="shared" si="1"/>
        <v>0</v>
      </c>
      <c r="I328" s="37">
        <f t="shared" si="2"/>
        <v>0</v>
      </c>
      <c r="J328" s="38">
        <f t="shared" si="3"/>
        <v>0</v>
      </c>
      <c r="K328" s="39">
        <f t="shared" si="4"/>
        <v>0</v>
      </c>
      <c r="L328" s="38">
        <f t="shared" si="5"/>
        <v>0</v>
      </c>
      <c r="M328" s="39">
        <f t="shared" si="6"/>
        <v>0</v>
      </c>
      <c r="N328" s="40"/>
      <c r="O328" s="34"/>
      <c r="P328" s="35"/>
      <c r="Q328" s="35"/>
      <c r="R328" s="35"/>
      <c r="S328" s="35"/>
      <c r="T328" s="35"/>
      <c r="U328" s="35"/>
      <c r="V328" s="35"/>
      <c r="W328" s="35"/>
      <c r="X328" s="35"/>
      <c r="Y328" s="35"/>
      <c r="Z328" s="35"/>
    </row>
    <row r="329" ht="14.25" customHeight="1">
      <c r="A329" s="221"/>
      <c r="B329" s="231"/>
      <c r="C329" s="108"/>
      <c r="D329" s="85"/>
      <c r="E329" s="117"/>
      <c r="F329" s="242"/>
      <c r="G329" s="88"/>
      <c r="H329" s="36">
        <f t="shared" si="1"/>
        <v>0</v>
      </c>
      <c r="I329" s="37">
        <f t="shared" si="2"/>
        <v>0</v>
      </c>
      <c r="J329" s="38">
        <f t="shared" si="3"/>
        <v>0</v>
      </c>
      <c r="K329" s="39">
        <f t="shared" si="4"/>
        <v>0</v>
      </c>
      <c r="L329" s="38">
        <f t="shared" si="5"/>
        <v>0</v>
      </c>
      <c r="M329" s="39">
        <f t="shared" si="6"/>
        <v>0</v>
      </c>
      <c r="N329" s="40"/>
      <c r="O329" s="34"/>
      <c r="P329" s="35"/>
      <c r="Q329" s="35"/>
      <c r="R329" s="35"/>
      <c r="S329" s="35"/>
      <c r="T329" s="35"/>
      <c r="U329" s="35"/>
      <c r="V329" s="35"/>
      <c r="W329" s="35"/>
      <c r="X329" s="35"/>
      <c r="Y329" s="35"/>
      <c r="Z329" s="35"/>
    </row>
    <row r="330" ht="14.25" customHeight="1">
      <c r="A330" s="83"/>
      <c r="B330" s="84"/>
      <c r="C330" s="108"/>
      <c r="D330" s="102"/>
      <c r="E330" s="117"/>
      <c r="F330" s="250"/>
      <c r="G330" s="88"/>
      <c r="H330" s="36"/>
      <c r="I330" s="37"/>
      <c r="J330" s="38"/>
      <c r="K330" s="39"/>
      <c r="L330" s="38"/>
      <c r="M330" s="39"/>
      <c r="N330" s="40"/>
      <c r="O330" s="34"/>
      <c r="P330" s="35"/>
      <c r="Q330" s="35"/>
      <c r="R330" s="35"/>
      <c r="S330" s="35"/>
      <c r="T330" s="35"/>
      <c r="U330" s="35"/>
      <c r="V330" s="35"/>
      <c r="W330" s="35"/>
      <c r="X330" s="35"/>
      <c r="Y330" s="35"/>
      <c r="Z330" s="35"/>
    </row>
    <row r="331" ht="14.25" customHeight="1">
      <c r="A331" s="83"/>
      <c r="B331" s="84"/>
      <c r="C331" s="108"/>
      <c r="D331" s="102"/>
      <c r="E331" s="117"/>
      <c r="F331" s="250"/>
      <c r="G331" s="88"/>
      <c r="H331" s="36"/>
      <c r="I331" s="37"/>
      <c r="J331" s="38"/>
      <c r="K331" s="39"/>
      <c r="L331" s="38"/>
      <c r="M331" s="39"/>
      <c r="N331" s="40"/>
      <c r="O331" s="34"/>
      <c r="P331" s="35"/>
      <c r="Q331" s="35"/>
      <c r="R331" s="35"/>
      <c r="S331" s="35"/>
      <c r="T331" s="35"/>
      <c r="U331" s="35"/>
      <c r="V331" s="35"/>
      <c r="W331" s="35"/>
      <c r="X331" s="35"/>
      <c r="Y331" s="35"/>
      <c r="Z331" s="35"/>
    </row>
    <row r="332" ht="14.25" customHeight="1">
      <c r="A332" s="83"/>
      <c r="B332" s="84"/>
      <c r="C332" s="108"/>
      <c r="D332" s="102"/>
      <c r="E332" s="117"/>
      <c r="F332" s="250"/>
      <c r="G332" s="88"/>
      <c r="H332" s="36"/>
      <c r="I332" s="37"/>
      <c r="J332" s="38"/>
      <c r="K332" s="39"/>
      <c r="L332" s="38"/>
      <c r="M332" s="39"/>
      <c r="N332" s="40"/>
      <c r="O332" s="34"/>
      <c r="P332" s="35"/>
      <c r="Q332" s="35"/>
      <c r="R332" s="35"/>
      <c r="S332" s="35"/>
      <c r="T332" s="35"/>
      <c r="U332" s="35"/>
      <c r="V332" s="35"/>
      <c r="W332" s="35"/>
      <c r="X332" s="35"/>
      <c r="Y332" s="35"/>
      <c r="Z332" s="35"/>
    </row>
    <row r="333" ht="14.25" customHeight="1">
      <c r="A333" s="83"/>
      <c r="B333" s="84"/>
      <c r="C333" s="108"/>
      <c r="D333" s="102"/>
      <c r="E333" s="117"/>
      <c r="F333" s="250"/>
      <c r="G333" s="88"/>
      <c r="H333" s="36"/>
      <c r="I333" s="37"/>
      <c r="J333" s="38"/>
      <c r="K333" s="39"/>
      <c r="L333" s="38"/>
      <c r="M333" s="39"/>
      <c r="N333" s="40"/>
      <c r="O333" s="34"/>
      <c r="P333" s="35"/>
      <c r="Q333" s="35"/>
      <c r="R333" s="35"/>
      <c r="S333" s="35"/>
      <c r="T333" s="35"/>
      <c r="U333" s="35"/>
      <c r="V333" s="35"/>
      <c r="W333" s="35"/>
      <c r="X333" s="35"/>
      <c r="Y333" s="35"/>
      <c r="Z333" s="35"/>
    </row>
    <row r="334" ht="14.25" customHeight="1">
      <c r="A334" s="83"/>
      <c r="B334" s="84"/>
      <c r="C334" s="108"/>
      <c r="D334" s="102"/>
      <c r="E334" s="117"/>
      <c r="F334" s="250"/>
      <c r="G334" s="88"/>
      <c r="H334" s="36"/>
      <c r="I334" s="37"/>
      <c r="J334" s="38"/>
      <c r="K334" s="39"/>
      <c r="L334" s="38"/>
      <c r="M334" s="39"/>
      <c r="N334" s="40"/>
      <c r="O334" s="34"/>
      <c r="P334" s="35"/>
      <c r="Q334" s="35"/>
      <c r="R334" s="35"/>
      <c r="S334" s="35"/>
      <c r="T334" s="35"/>
      <c r="U334" s="35"/>
      <c r="V334" s="35"/>
      <c r="W334" s="35"/>
      <c r="X334" s="35"/>
      <c r="Y334" s="35"/>
      <c r="Z334" s="35"/>
    </row>
    <row r="335" ht="14.25" customHeight="1">
      <c r="A335" s="83"/>
      <c r="B335" s="84"/>
      <c r="C335" s="108"/>
      <c r="D335" s="102"/>
      <c r="E335" s="117"/>
      <c r="F335" s="250"/>
      <c r="G335" s="88"/>
      <c r="H335" s="36"/>
      <c r="I335" s="37"/>
      <c r="J335" s="38"/>
      <c r="K335" s="39"/>
      <c r="L335" s="38"/>
      <c r="M335" s="39"/>
      <c r="N335" s="40"/>
      <c r="O335" s="34"/>
      <c r="P335" s="35"/>
      <c r="Q335" s="35"/>
      <c r="R335" s="35"/>
      <c r="S335" s="35"/>
      <c r="T335" s="35"/>
      <c r="U335" s="35"/>
      <c r="V335" s="35"/>
      <c r="W335" s="35"/>
      <c r="X335" s="35"/>
      <c r="Y335" s="35"/>
      <c r="Z335" s="35"/>
    </row>
    <row r="336" ht="14.25" customHeight="1">
      <c r="A336" s="83"/>
      <c r="B336" s="84"/>
      <c r="C336" s="108"/>
      <c r="D336" s="102"/>
      <c r="E336" s="117"/>
      <c r="F336" s="250"/>
      <c r="G336" s="88"/>
      <c r="H336" s="36"/>
      <c r="I336" s="37"/>
      <c r="J336" s="38"/>
      <c r="K336" s="39"/>
      <c r="L336" s="38"/>
      <c r="M336" s="39"/>
      <c r="N336" s="40"/>
      <c r="O336" s="34"/>
      <c r="P336" s="35"/>
      <c r="Q336" s="35"/>
      <c r="R336" s="35"/>
      <c r="S336" s="35"/>
      <c r="T336" s="35"/>
      <c r="U336" s="35"/>
      <c r="V336" s="35"/>
      <c r="W336" s="35"/>
      <c r="X336" s="35"/>
      <c r="Y336" s="35"/>
      <c r="Z336" s="35"/>
    </row>
    <row r="337" ht="14.25" customHeight="1">
      <c r="A337" s="83"/>
      <c r="B337" s="84"/>
      <c r="C337" s="108"/>
      <c r="D337" s="102"/>
      <c r="E337" s="117"/>
      <c r="F337" s="250"/>
      <c r="G337" s="88"/>
      <c r="H337" s="36"/>
      <c r="I337" s="37"/>
      <c r="J337" s="38"/>
      <c r="K337" s="39"/>
      <c r="L337" s="38"/>
      <c r="M337" s="39"/>
      <c r="N337" s="40"/>
      <c r="O337" s="34"/>
      <c r="P337" s="35"/>
      <c r="Q337" s="35"/>
      <c r="R337" s="35"/>
      <c r="S337" s="35"/>
      <c r="T337" s="35"/>
      <c r="U337" s="35"/>
      <c r="V337" s="35"/>
      <c r="W337" s="35"/>
      <c r="X337" s="35"/>
      <c r="Y337" s="35"/>
      <c r="Z337" s="35"/>
    </row>
    <row r="338" ht="14.25" customHeight="1">
      <c r="A338" s="83"/>
      <c r="B338" s="84"/>
      <c r="C338" s="108"/>
      <c r="D338" s="102"/>
      <c r="E338" s="117"/>
      <c r="F338" s="250"/>
      <c r="G338" s="88"/>
      <c r="H338" s="36"/>
      <c r="I338" s="37"/>
      <c r="J338" s="38"/>
      <c r="K338" s="39"/>
      <c r="L338" s="38"/>
      <c r="M338" s="39"/>
      <c r="N338" s="40"/>
      <c r="O338" s="34"/>
      <c r="P338" s="35"/>
      <c r="Q338" s="35"/>
      <c r="R338" s="35"/>
      <c r="S338" s="35"/>
      <c r="T338" s="35"/>
      <c r="U338" s="35"/>
      <c r="V338" s="35"/>
      <c r="W338" s="35"/>
      <c r="X338" s="35"/>
      <c r="Y338" s="35"/>
      <c r="Z338" s="35"/>
    </row>
    <row r="339" ht="14.25" customHeight="1">
      <c r="A339" s="83"/>
      <c r="B339" s="84"/>
      <c r="C339" s="108"/>
      <c r="D339" s="102"/>
      <c r="E339" s="117"/>
      <c r="F339" s="250"/>
      <c r="G339" s="88"/>
      <c r="H339" s="36"/>
      <c r="I339" s="37"/>
      <c r="J339" s="38"/>
      <c r="K339" s="39"/>
      <c r="L339" s="38"/>
      <c r="M339" s="39"/>
      <c r="N339" s="40"/>
      <c r="O339" s="34"/>
      <c r="P339" s="35"/>
      <c r="Q339" s="35"/>
      <c r="R339" s="35"/>
      <c r="S339" s="35"/>
      <c r="T339" s="35"/>
      <c r="U339" s="35"/>
      <c r="V339" s="35"/>
      <c r="W339" s="35"/>
      <c r="X339" s="35"/>
      <c r="Y339" s="35"/>
      <c r="Z339" s="35"/>
    </row>
    <row r="340" ht="14.25" customHeight="1">
      <c r="A340" s="83"/>
      <c r="B340" s="84"/>
      <c r="C340" s="108"/>
      <c r="D340" s="102"/>
      <c r="E340" s="117"/>
      <c r="F340" s="250"/>
      <c r="G340" s="88"/>
      <c r="H340" s="36"/>
      <c r="I340" s="37"/>
      <c r="J340" s="38"/>
      <c r="K340" s="39"/>
      <c r="L340" s="38"/>
      <c r="M340" s="39"/>
      <c r="N340" s="40"/>
      <c r="O340" s="34"/>
      <c r="P340" s="35"/>
      <c r="Q340" s="35"/>
      <c r="R340" s="35"/>
      <c r="S340" s="35"/>
      <c r="T340" s="35"/>
      <c r="U340" s="35"/>
      <c r="V340" s="35"/>
      <c r="W340" s="35"/>
      <c r="X340" s="35"/>
      <c r="Y340" s="35"/>
      <c r="Z340" s="35"/>
    </row>
    <row r="341" ht="14.25" customHeight="1">
      <c r="A341" s="83"/>
      <c r="B341" s="84"/>
      <c r="C341" s="108"/>
      <c r="D341" s="102"/>
      <c r="E341" s="117"/>
      <c r="F341" s="250"/>
      <c r="G341" s="88"/>
      <c r="H341" s="36"/>
      <c r="I341" s="37"/>
      <c r="J341" s="38"/>
      <c r="K341" s="39"/>
      <c r="L341" s="38"/>
      <c r="M341" s="39"/>
      <c r="N341" s="40"/>
      <c r="O341" s="34"/>
      <c r="P341" s="35"/>
      <c r="Q341" s="35"/>
      <c r="R341" s="35"/>
      <c r="S341" s="35"/>
      <c r="T341" s="35"/>
      <c r="U341" s="35"/>
      <c r="V341" s="35"/>
      <c r="W341" s="35"/>
      <c r="X341" s="35"/>
      <c r="Y341" s="35"/>
      <c r="Z341" s="35"/>
    </row>
    <row r="342" ht="14.25" customHeight="1">
      <c r="A342" s="83"/>
      <c r="B342" s="84"/>
      <c r="C342" s="108"/>
      <c r="D342" s="102"/>
      <c r="E342" s="117"/>
      <c r="F342" s="250"/>
      <c r="G342" s="88"/>
      <c r="H342" s="36"/>
      <c r="I342" s="37"/>
      <c r="J342" s="38"/>
      <c r="K342" s="39"/>
      <c r="L342" s="38"/>
      <c r="M342" s="39"/>
      <c r="N342" s="40"/>
      <c r="O342" s="34"/>
      <c r="P342" s="35"/>
      <c r="Q342" s="35"/>
      <c r="R342" s="35"/>
      <c r="S342" s="35"/>
      <c r="T342" s="35"/>
      <c r="U342" s="35"/>
      <c r="V342" s="35"/>
      <c r="W342" s="35"/>
      <c r="X342" s="35"/>
      <c r="Y342" s="35"/>
      <c r="Z342" s="35"/>
    </row>
    <row r="343" ht="14.25" customHeight="1">
      <c r="A343" s="83"/>
      <c r="B343" s="84"/>
      <c r="C343" s="108"/>
      <c r="D343" s="102"/>
      <c r="E343" s="117"/>
      <c r="F343" s="250"/>
      <c r="G343" s="88"/>
      <c r="H343" s="36"/>
      <c r="I343" s="37"/>
      <c r="J343" s="38"/>
      <c r="K343" s="39"/>
      <c r="L343" s="38"/>
      <c r="M343" s="39"/>
      <c r="N343" s="40"/>
      <c r="O343" s="34"/>
      <c r="P343" s="35"/>
      <c r="Q343" s="35"/>
      <c r="R343" s="35"/>
      <c r="S343" s="35"/>
      <c r="T343" s="35"/>
      <c r="U343" s="35"/>
      <c r="V343" s="35"/>
      <c r="W343" s="35"/>
      <c r="X343" s="35"/>
      <c r="Y343" s="35"/>
      <c r="Z343" s="35"/>
    </row>
    <row r="344" ht="14.25" customHeight="1">
      <c r="A344" s="83"/>
      <c r="B344" s="84"/>
      <c r="C344" s="108"/>
      <c r="D344" s="102"/>
      <c r="E344" s="117"/>
      <c r="F344" s="250"/>
      <c r="G344" s="88"/>
      <c r="H344" s="36"/>
      <c r="I344" s="37"/>
      <c r="J344" s="38"/>
      <c r="K344" s="39"/>
      <c r="L344" s="38"/>
      <c r="M344" s="39"/>
      <c r="N344" s="40"/>
      <c r="O344" s="34"/>
      <c r="P344" s="35"/>
      <c r="Q344" s="35"/>
      <c r="R344" s="35"/>
      <c r="S344" s="35"/>
      <c r="T344" s="35"/>
      <c r="U344" s="35"/>
      <c r="V344" s="35"/>
      <c r="W344" s="35"/>
      <c r="X344" s="35"/>
      <c r="Y344" s="35"/>
      <c r="Z344" s="35"/>
    </row>
    <row r="345" ht="14.25" customHeight="1">
      <c r="A345" s="83"/>
      <c r="B345" s="84"/>
      <c r="C345" s="108"/>
      <c r="D345" s="102"/>
      <c r="E345" s="117"/>
      <c r="F345" s="250"/>
      <c r="G345" s="88"/>
      <c r="H345" s="36"/>
      <c r="I345" s="37"/>
      <c r="J345" s="38"/>
      <c r="K345" s="39"/>
      <c r="L345" s="38"/>
      <c r="M345" s="39"/>
      <c r="N345" s="40"/>
      <c r="O345" s="34"/>
      <c r="P345" s="35"/>
      <c r="Q345" s="35"/>
      <c r="R345" s="35"/>
      <c r="S345" s="35"/>
      <c r="T345" s="35"/>
      <c r="U345" s="35"/>
      <c r="V345" s="35"/>
      <c r="W345" s="35"/>
      <c r="X345" s="35"/>
      <c r="Y345" s="35"/>
      <c r="Z345" s="35"/>
    </row>
    <row r="346" ht="14.25" customHeight="1">
      <c r="A346" s="83"/>
      <c r="B346" s="84"/>
      <c r="C346" s="108"/>
      <c r="D346" s="102"/>
      <c r="E346" s="117"/>
      <c r="F346" s="250"/>
      <c r="G346" s="88"/>
      <c r="H346" s="36"/>
      <c r="I346" s="37"/>
      <c r="J346" s="38"/>
      <c r="K346" s="39"/>
      <c r="L346" s="38"/>
      <c r="M346" s="39"/>
      <c r="N346" s="40"/>
      <c r="O346" s="34"/>
      <c r="P346" s="35"/>
      <c r="Q346" s="35"/>
      <c r="R346" s="35"/>
      <c r="S346" s="35"/>
      <c r="T346" s="35"/>
      <c r="U346" s="35"/>
      <c r="V346" s="35"/>
      <c r="W346" s="35"/>
      <c r="X346" s="35"/>
      <c r="Y346" s="35"/>
      <c r="Z346" s="35"/>
    </row>
    <row r="347" ht="14.25" customHeight="1">
      <c r="A347" s="83"/>
      <c r="B347" s="84"/>
      <c r="C347" s="108"/>
      <c r="D347" s="102"/>
      <c r="E347" s="117"/>
      <c r="F347" s="250"/>
      <c r="G347" s="88"/>
      <c r="H347" s="36"/>
      <c r="I347" s="37"/>
      <c r="J347" s="38"/>
      <c r="K347" s="39"/>
      <c r="L347" s="38"/>
      <c r="M347" s="39"/>
      <c r="N347" s="40"/>
      <c r="O347" s="34"/>
      <c r="P347" s="35"/>
      <c r="Q347" s="35"/>
      <c r="R347" s="35"/>
      <c r="S347" s="35"/>
      <c r="T347" s="35"/>
      <c r="U347" s="35"/>
      <c r="V347" s="35"/>
      <c r="W347" s="35"/>
      <c r="X347" s="35"/>
      <c r="Y347" s="35"/>
      <c r="Z347" s="35"/>
    </row>
    <row r="348" ht="14.25" customHeight="1">
      <c r="A348" s="83"/>
      <c r="B348" s="84"/>
      <c r="C348" s="108"/>
      <c r="D348" s="102"/>
      <c r="E348" s="117"/>
      <c r="F348" s="250"/>
      <c r="G348" s="88"/>
      <c r="H348" s="36"/>
      <c r="I348" s="37"/>
      <c r="J348" s="38"/>
      <c r="K348" s="39"/>
      <c r="L348" s="38"/>
      <c r="M348" s="39"/>
      <c r="N348" s="40"/>
      <c r="O348" s="34"/>
      <c r="P348" s="35"/>
      <c r="Q348" s="35"/>
      <c r="R348" s="35"/>
      <c r="S348" s="35"/>
      <c r="T348" s="35"/>
      <c r="U348" s="35"/>
      <c r="V348" s="35"/>
      <c r="W348" s="35"/>
      <c r="X348" s="35"/>
      <c r="Y348" s="35"/>
      <c r="Z348" s="35"/>
    </row>
    <row r="349" ht="14.25" customHeight="1">
      <c r="A349" s="83"/>
      <c r="B349" s="84"/>
      <c r="C349" s="108"/>
      <c r="D349" s="102"/>
      <c r="E349" s="117"/>
      <c r="F349" s="250"/>
      <c r="G349" s="88"/>
      <c r="H349" s="36"/>
      <c r="I349" s="37"/>
      <c r="J349" s="38"/>
      <c r="K349" s="39"/>
      <c r="L349" s="38"/>
      <c r="M349" s="39"/>
      <c r="N349" s="40"/>
      <c r="O349" s="34"/>
      <c r="P349" s="35"/>
      <c r="Q349" s="35"/>
      <c r="R349" s="35"/>
      <c r="S349" s="35"/>
      <c r="T349" s="35"/>
      <c r="U349" s="35"/>
      <c r="V349" s="35"/>
      <c r="W349" s="35"/>
      <c r="X349" s="35"/>
      <c r="Y349" s="35"/>
      <c r="Z349" s="35"/>
    </row>
    <row r="350" ht="14.25" customHeight="1">
      <c r="A350" s="83"/>
      <c r="B350" s="84"/>
      <c r="C350" s="108"/>
      <c r="D350" s="102"/>
      <c r="E350" s="117"/>
      <c r="F350" s="250"/>
      <c r="G350" s="88"/>
      <c r="H350" s="36"/>
      <c r="I350" s="37"/>
      <c r="J350" s="38"/>
      <c r="K350" s="39"/>
      <c r="L350" s="38"/>
      <c r="M350" s="39"/>
      <c r="N350" s="40"/>
      <c r="O350" s="34"/>
      <c r="P350" s="35"/>
      <c r="Q350" s="35"/>
      <c r="R350" s="35"/>
      <c r="S350" s="35"/>
      <c r="T350" s="35"/>
      <c r="U350" s="35"/>
      <c r="V350" s="35"/>
      <c r="W350" s="35"/>
      <c r="X350" s="35"/>
      <c r="Y350" s="35"/>
      <c r="Z350" s="35"/>
    </row>
    <row r="351" ht="14.25" customHeight="1">
      <c r="A351" s="83"/>
      <c r="B351" s="84"/>
      <c r="C351" s="108"/>
      <c r="D351" s="102"/>
      <c r="E351" s="117"/>
      <c r="F351" s="250"/>
      <c r="G351" s="88"/>
      <c r="H351" s="36"/>
      <c r="I351" s="37"/>
      <c r="J351" s="38"/>
      <c r="K351" s="39"/>
      <c r="L351" s="38"/>
      <c r="M351" s="39"/>
      <c r="N351" s="40"/>
      <c r="O351" s="34"/>
      <c r="P351" s="35"/>
      <c r="Q351" s="35"/>
      <c r="R351" s="35"/>
      <c r="S351" s="35"/>
      <c r="T351" s="35"/>
      <c r="U351" s="35"/>
      <c r="V351" s="35"/>
      <c r="W351" s="35"/>
      <c r="X351" s="35"/>
      <c r="Y351" s="35"/>
      <c r="Z351" s="35"/>
    </row>
    <row r="352" ht="14.25" customHeight="1">
      <c r="A352" s="83"/>
      <c r="B352" s="84"/>
      <c r="C352" s="108"/>
      <c r="D352" s="102"/>
      <c r="E352" s="117"/>
      <c r="F352" s="250"/>
      <c r="G352" s="88"/>
      <c r="H352" s="36"/>
      <c r="I352" s="37"/>
      <c r="J352" s="38"/>
      <c r="K352" s="39"/>
      <c r="L352" s="38"/>
      <c r="M352" s="39"/>
      <c r="N352" s="40"/>
      <c r="O352" s="34"/>
      <c r="P352" s="35"/>
      <c r="Q352" s="35"/>
      <c r="R352" s="35"/>
      <c r="S352" s="35"/>
      <c r="T352" s="35"/>
      <c r="U352" s="35"/>
      <c r="V352" s="35"/>
      <c r="W352" s="35"/>
      <c r="X352" s="35"/>
      <c r="Y352" s="35"/>
      <c r="Z352" s="35"/>
    </row>
    <row r="353" ht="14.25" customHeight="1">
      <c r="A353" s="83"/>
      <c r="B353" s="84"/>
      <c r="C353" s="108"/>
      <c r="D353" s="102"/>
      <c r="E353" s="117"/>
      <c r="F353" s="250"/>
      <c r="G353" s="88"/>
      <c r="H353" s="36"/>
      <c r="I353" s="37"/>
      <c r="J353" s="38"/>
      <c r="K353" s="39"/>
      <c r="L353" s="38"/>
      <c r="M353" s="39"/>
      <c r="N353" s="40"/>
      <c r="O353" s="34"/>
      <c r="P353" s="35"/>
      <c r="Q353" s="35"/>
      <c r="R353" s="35"/>
      <c r="S353" s="35"/>
      <c r="T353" s="35"/>
      <c r="U353" s="35"/>
      <c r="V353" s="35"/>
      <c r="W353" s="35"/>
      <c r="X353" s="35"/>
      <c r="Y353" s="35"/>
      <c r="Z353" s="35"/>
    </row>
    <row r="354" ht="14.25" customHeight="1">
      <c r="A354" s="83"/>
      <c r="B354" s="84"/>
      <c r="C354" s="108"/>
      <c r="D354" s="102"/>
      <c r="E354" s="117"/>
      <c r="F354" s="250"/>
      <c r="G354" s="88"/>
      <c r="H354" s="36"/>
      <c r="I354" s="37"/>
      <c r="J354" s="38"/>
      <c r="K354" s="39"/>
      <c r="L354" s="38"/>
      <c r="M354" s="39"/>
      <c r="N354" s="40"/>
      <c r="O354" s="34"/>
      <c r="P354" s="35"/>
      <c r="Q354" s="35"/>
      <c r="R354" s="35"/>
      <c r="S354" s="35"/>
      <c r="T354" s="35"/>
      <c r="U354" s="35"/>
      <c r="V354" s="35"/>
      <c r="W354" s="35"/>
      <c r="X354" s="35"/>
      <c r="Y354" s="35"/>
      <c r="Z354" s="35"/>
    </row>
    <row r="355" ht="14.25" customHeight="1">
      <c r="A355" s="83"/>
      <c r="B355" s="84"/>
      <c r="C355" s="108"/>
      <c r="D355" s="102"/>
      <c r="E355" s="117"/>
      <c r="F355" s="250"/>
      <c r="G355" s="88"/>
      <c r="H355" s="36"/>
      <c r="I355" s="37"/>
      <c r="J355" s="38"/>
      <c r="K355" s="39"/>
      <c r="L355" s="38"/>
      <c r="M355" s="39"/>
      <c r="N355" s="40"/>
      <c r="O355" s="34"/>
      <c r="P355" s="35"/>
      <c r="Q355" s="35"/>
      <c r="R355" s="35"/>
      <c r="S355" s="35"/>
      <c r="T355" s="35"/>
      <c r="U355" s="35"/>
      <c r="V355" s="35"/>
      <c r="W355" s="35"/>
      <c r="X355" s="35"/>
      <c r="Y355" s="35"/>
      <c r="Z355" s="35"/>
    </row>
    <row r="356" ht="14.25" customHeight="1">
      <c r="A356" s="83"/>
      <c r="B356" s="84"/>
      <c r="C356" s="108"/>
      <c r="D356" s="102"/>
      <c r="E356" s="117"/>
      <c r="F356" s="250"/>
      <c r="G356" s="88"/>
      <c r="H356" s="36"/>
      <c r="I356" s="37"/>
      <c r="J356" s="38"/>
      <c r="K356" s="39"/>
      <c r="L356" s="38"/>
      <c r="M356" s="39"/>
      <c r="N356" s="40"/>
      <c r="O356" s="34"/>
      <c r="P356" s="35"/>
      <c r="Q356" s="35"/>
      <c r="R356" s="35"/>
      <c r="S356" s="35"/>
      <c r="T356" s="35"/>
      <c r="U356" s="35"/>
      <c r="V356" s="35"/>
      <c r="W356" s="35"/>
      <c r="X356" s="35"/>
      <c r="Y356" s="35"/>
      <c r="Z356" s="35"/>
    </row>
    <row r="357" ht="14.25" customHeight="1">
      <c r="A357" s="83"/>
      <c r="B357" s="84"/>
      <c r="C357" s="108"/>
      <c r="D357" s="102"/>
      <c r="E357" s="117"/>
      <c r="F357" s="250"/>
      <c r="G357" s="88"/>
      <c r="H357" s="36"/>
      <c r="I357" s="37"/>
      <c r="J357" s="38"/>
      <c r="K357" s="39"/>
      <c r="L357" s="38"/>
      <c r="M357" s="39"/>
      <c r="N357" s="40"/>
      <c r="O357" s="34"/>
      <c r="P357" s="35"/>
      <c r="Q357" s="35"/>
      <c r="R357" s="35"/>
      <c r="S357" s="35"/>
      <c r="T357" s="35"/>
      <c r="U357" s="35"/>
      <c r="V357" s="35"/>
      <c r="W357" s="35"/>
      <c r="X357" s="35"/>
      <c r="Y357" s="35"/>
      <c r="Z357" s="35"/>
    </row>
    <row r="358" ht="14.25" customHeight="1">
      <c r="A358" s="83"/>
      <c r="B358" s="84"/>
      <c r="C358" s="108"/>
      <c r="D358" s="102"/>
      <c r="E358" s="117"/>
      <c r="F358" s="250"/>
      <c r="G358" s="88"/>
      <c r="H358" s="36"/>
      <c r="I358" s="37"/>
      <c r="J358" s="38"/>
      <c r="K358" s="39"/>
      <c r="L358" s="38"/>
      <c r="M358" s="39"/>
      <c r="N358" s="40"/>
      <c r="O358" s="34"/>
      <c r="P358" s="35"/>
      <c r="Q358" s="35"/>
      <c r="R358" s="35"/>
      <c r="S358" s="35"/>
      <c r="T358" s="35"/>
      <c r="U358" s="35"/>
      <c r="V358" s="35"/>
      <c r="W358" s="35"/>
      <c r="X358" s="35"/>
      <c r="Y358" s="35"/>
      <c r="Z358" s="35"/>
    </row>
    <row r="359" ht="14.25" customHeight="1">
      <c r="A359" s="83"/>
      <c r="B359" s="84"/>
      <c r="C359" s="108"/>
      <c r="D359" s="102"/>
      <c r="E359" s="117"/>
      <c r="F359" s="250"/>
      <c r="G359" s="88"/>
      <c r="H359" s="36"/>
      <c r="I359" s="37"/>
      <c r="J359" s="38"/>
      <c r="K359" s="39"/>
      <c r="L359" s="38"/>
      <c r="M359" s="39"/>
      <c r="N359" s="40"/>
      <c r="O359" s="34"/>
      <c r="P359" s="35"/>
      <c r="Q359" s="35"/>
      <c r="R359" s="35"/>
      <c r="S359" s="35"/>
      <c r="T359" s="35"/>
      <c r="U359" s="35"/>
      <c r="V359" s="35"/>
      <c r="W359" s="35"/>
      <c r="X359" s="35"/>
      <c r="Y359" s="35"/>
      <c r="Z359" s="35"/>
    </row>
    <row r="360" ht="14.25" customHeight="1">
      <c r="A360" s="83"/>
      <c r="B360" s="84"/>
      <c r="C360" s="108"/>
      <c r="D360" s="102"/>
      <c r="E360" s="117"/>
      <c r="F360" s="250"/>
      <c r="G360" s="88"/>
      <c r="H360" s="36"/>
      <c r="I360" s="37"/>
      <c r="J360" s="38"/>
      <c r="K360" s="39"/>
      <c r="L360" s="38"/>
      <c r="M360" s="39"/>
      <c r="N360" s="40"/>
      <c r="O360" s="34"/>
      <c r="P360" s="35"/>
      <c r="Q360" s="35"/>
      <c r="R360" s="35"/>
      <c r="S360" s="35"/>
      <c r="T360" s="35"/>
      <c r="U360" s="35"/>
      <c r="V360" s="35"/>
      <c r="W360" s="35"/>
      <c r="X360" s="35"/>
      <c r="Y360" s="35"/>
      <c r="Z360" s="35"/>
    </row>
    <row r="361" ht="14.25" customHeight="1">
      <c r="A361" s="83"/>
      <c r="B361" s="84"/>
      <c r="C361" s="108"/>
      <c r="D361" s="102"/>
      <c r="E361" s="117"/>
      <c r="F361" s="250"/>
      <c r="G361" s="88"/>
      <c r="H361" s="36"/>
      <c r="I361" s="37"/>
      <c r="J361" s="38"/>
      <c r="K361" s="39"/>
      <c r="L361" s="38"/>
      <c r="M361" s="39"/>
      <c r="N361" s="40"/>
      <c r="O361" s="34"/>
      <c r="P361" s="35"/>
      <c r="Q361" s="35"/>
      <c r="R361" s="35"/>
      <c r="S361" s="35"/>
      <c r="T361" s="35"/>
      <c r="U361" s="35"/>
      <c r="V361" s="35"/>
      <c r="W361" s="35"/>
      <c r="X361" s="35"/>
      <c r="Y361" s="35"/>
      <c r="Z361" s="35"/>
    </row>
    <row r="362" ht="14.25" customHeight="1">
      <c r="A362" s="83"/>
      <c r="B362" s="84"/>
      <c r="C362" s="108"/>
      <c r="D362" s="102"/>
      <c r="E362" s="117"/>
      <c r="F362" s="250"/>
      <c r="G362" s="88"/>
      <c r="H362" s="36"/>
      <c r="I362" s="37"/>
      <c r="J362" s="38"/>
      <c r="K362" s="39"/>
      <c r="L362" s="38"/>
      <c r="M362" s="39"/>
      <c r="N362" s="40"/>
      <c r="O362" s="34"/>
      <c r="P362" s="35"/>
      <c r="Q362" s="35"/>
      <c r="R362" s="35"/>
      <c r="S362" s="35"/>
      <c r="T362" s="35"/>
      <c r="U362" s="35"/>
      <c r="V362" s="35"/>
      <c r="W362" s="35"/>
      <c r="X362" s="35"/>
      <c r="Y362" s="35"/>
      <c r="Z362" s="35"/>
    </row>
    <row r="363" ht="14.25" customHeight="1">
      <c r="A363" s="83"/>
      <c r="B363" s="84"/>
      <c r="C363" s="108"/>
      <c r="D363" s="102"/>
      <c r="E363" s="117"/>
      <c r="F363" s="250"/>
      <c r="G363" s="88"/>
      <c r="H363" s="36"/>
      <c r="I363" s="37"/>
      <c r="J363" s="38"/>
      <c r="K363" s="39"/>
      <c r="L363" s="38"/>
      <c r="M363" s="39"/>
      <c r="N363" s="40"/>
      <c r="O363" s="34"/>
      <c r="P363" s="35"/>
      <c r="Q363" s="35"/>
      <c r="R363" s="35"/>
      <c r="S363" s="35"/>
      <c r="T363" s="35"/>
      <c r="U363" s="35"/>
      <c r="V363" s="35"/>
      <c r="W363" s="35"/>
      <c r="X363" s="35"/>
      <c r="Y363" s="35"/>
      <c r="Z363" s="35"/>
    </row>
    <row r="364" ht="14.25" customHeight="1">
      <c r="A364" s="83"/>
      <c r="B364" s="84"/>
      <c r="C364" s="108"/>
      <c r="D364" s="102"/>
      <c r="E364" s="117"/>
      <c r="F364" s="250"/>
      <c r="G364" s="88"/>
      <c r="H364" s="36"/>
      <c r="I364" s="37"/>
      <c r="J364" s="38"/>
      <c r="K364" s="39"/>
      <c r="L364" s="38"/>
      <c r="M364" s="39"/>
      <c r="N364" s="40"/>
      <c r="O364" s="34"/>
      <c r="P364" s="35"/>
      <c r="Q364" s="35"/>
      <c r="R364" s="35"/>
      <c r="S364" s="35"/>
      <c r="T364" s="35"/>
      <c r="U364" s="35"/>
      <c r="V364" s="35"/>
      <c r="W364" s="35"/>
      <c r="X364" s="35"/>
      <c r="Y364" s="35"/>
      <c r="Z364" s="35"/>
    </row>
    <row r="365" ht="14.25" customHeight="1">
      <c r="A365" s="83"/>
      <c r="B365" s="84"/>
      <c r="C365" s="108"/>
      <c r="D365" s="102"/>
      <c r="E365" s="117"/>
      <c r="F365" s="250"/>
      <c r="G365" s="88"/>
      <c r="H365" s="36"/>
      <c r="I365" s="37"/>
      <c r="J365" s="38"/>
      <c r="K365" s="39"/>
      <c r="L365" s="38"/>
      <c r="M365" s="39"/>
      <c r="N365" s="40"/>
      <c r="O365" s="34"/>
      <c r="P365" s="35"/>
      <c r="Q365" s="35"/>
      <c r="R365" s="35"/>
      <c r="S365" s="35"/>
      <c r="T365" s="35"/>
      <c r="U365" s="35"/>
      <c r="V365" s="35"/>
      <c r="W365" s="35"/>
      <c r="X365" s="35"/>
      <c r="Y365" s="35"/>
      <c r="Z365" s="35"/>
    </row>
    <row r="366" ht="14.25" customHeight="1">
      <c r="A366" s="83"/>
      <c r="B366" s="84"/>
      <c r="C366" s="108"/>
      <c r="D366" s="102"/>
      <c r="E366" s="117"/>
      <c r="F366" s="250"/>
      <c r="G366" s="88"/>
      <c r="H366" s="36"/>
      <c r="I366" s="37"/>
      <c r="J366" s="38"/>
      <c r="K366" s="39"/>
      <c r="L366" s="38"/>
      <c r="M366" s="39"/>
      <c r="N366" s="40"/>
      <c r="O366" s="34"/>
      <c r="P366" s="35"/>
      <c r="Q366" s="35"/>
      <c r="R366" s="35"/>
      <c r="S366" s="35"/>
      <c r="T366" s="35"/>
      <c r="U366" s="35"/>
      <c r="V366" s="35"/>
      <c r="W366" s="35"/>
      <c r="X366" s="35"/>
      <c r="Y366" s="35"/>
      <c r="Z366" s="35"/>
    </row>
    <row r="367" ht="14.25" customHeight="1">
      <c r="A367" s="83"/>
      <c r="B367" s="84"/>
      <c r="C367" s="108"/>
      <c r="D367" s="102"/>
      <c r="E367" s="117"/>
      <c r="F367" s="250"/>
      <c r="G367" s="88"/>
      <c r="H367" s="36"/>
      <c r="I367" s="37"/>
      <c r="J367" s="38"/>
      <c r="K367" s="39"/>
      <c r="L367" s="38"/>
      <c r="M367" s="39"/>
      <c r="N367" s="40"/>
      <c r="O367" s="34"/>
      <c r="P367" s="35"/>
      <c r="Q367" s="35"/>
      <c r="R367" s="35"/>
      <c r="S367" s="35"/>
      <c r="T367" s="35"/>
      <c r="U367" s="35"/>
      <c r="V367" s="35"/>
      <c r="W367" s="35"/>
      <c r="X367" s="35"/>
      <c r="Y367" s="35"/>
      <c r="Z367" s="35"/>
    </row>
    <row r="368" ht="14.25" customHeight="1">
      <c r="A368" s="83"/>
      <c r="B368" s="84"/>
      <c r="C368" s="108"/>
      <c r="D368" s="102"/>
      <c r="E368" s="117"/>
      <c r="F368" s="250"/>
      <c r="G368" s="88"/>
      <c r="H368" s="36"/>
      <c r="I368" s="37"/>
      <c r="J368" s="38"/>
      <c r="K368" s="39"/>
      <c r="L368" s="38"/>
      <c r="M368" s="39"/>
      <c r="N368" s="40"/>
      <c r="O368" s="34"/>
      <c r="P368" s="35"/>
      <c r="Q368" s="35"/>
      <c r="R368" s="35"/>
      <c r="S368" s="35"/>
      <c r="T368" s="35"/>
      <c r="U368" s="35"/>
      <c r="V368" s="35"/>
      <c r="W368" s="35"/>
      <c r="X368" s="35"/>
      <c r="Y368" s="35"/>
      <c r="Z368" s="35"/>
    </row>
    <row r="369" ht="14.25" customHeight="1">
      <c r="A369" s="83"/>
      <c r="B369" s="84"/>
      <c r="C369" s="108"/>
      <c r="D369" s="102"/>
      <c r="E369" s="117"/>
      <c r="F369" s="250"/>
      <c r="G369" s="88"/>
      <c r="H369" s="36"/>
      <c r="I369" s="37"/>
      <c r="J369" s="38"/>
      <c r="K369" s="39"/>
      <c r="L369" s="38"/>
      <c r="M369" s="39"/>
      <c r="N369" s="40"/>
      <c r="O369" s="34"/>
      <c r="P369" s="35"/>
      <c r="Q369" s="35"/>
      <c r="R369" s="35"/>
      <c r="S369" s="35"/>
      <c r="T369" s="35"/>
      <c r="U369" s="35"/>
      <c r="V369" s="35"/>
      <c r="W369" s="35"/>
      <c r="X369" s="35"/>
      <c r="Y369" s="35"/>
      <c r="Z369" s="35"/>
    </row>
    <row r="370" ht="14.25" customHeight="1">
      <c r="A370" s="83"/>
      <c r="B370" s="84"/>
      <c r="C370" s="108"/>
      <c r="D370" s="102"/>
      <c r="E370" s="117"/>
      <c r="F370" s="250"/>
      <c r="G370" s="88"/>
      <c r="H370" s="36"/>
      <c r="I370" s="37"/>
      <c r="J370" s="38"/>
      <c r="K370" s="39"/>
      <c r="L370" s="38"/>
      <c r="M370" s="39"/>
      <c r="N370" s="40"/>
      <c r="O370" s="34"/>
      <c r="P370" s="35"/>
      <c r="Q370" s="35"/>
      <c r="R370" s="35"/>
      <c r="S370" s="35"/>
      <c r="T370" s="35"/>
      <c r="U370" s="35"/>
      <c r="V370" s="35"/>
      <c r="W370" s="35"/>
      <c r="X370" s="35"/>
      <c r="Y370" s="35"/>
      <c r="Z370" s="35"/>
    </row>
    <row r="371" ht="14.25" customHeight="1">
      <c r="A371" s="83"/>
      <c r="B371" s="84"/>
      <c r="C371" s="108"/>
      <c r="D371" s="102"/>
      <c r="E371" s="117"/>
      <c r="F371" s="250"/>
      <c r="G371" s="88"/>
      <c r="H371" s="36"/>
      <c r="I371" s="37"/>
      <c r="J371" s="38"/>
      <c r="K371" s="39"/>
      <c r="L371" s="38"/>
      <c r="M371" s="39"/>
      <c r="N371" s="40"/>
      <c r="O371" s="34"/>
      <c r="P371" s="35"/>
      <c r="Q371" s="35"/>
      <c r="R371" s="35"/>
      <c r="S371" s="35"/>
      <c r="T371" s="35"/>
      <c r="U371" s="35"/>
      <c r="V371" s="35"/>
      <c r="W371" s="35"/>
      <c r="X371" s="35"/>
      <c r="Y371" s="35"/>
      <c r="Z371" s="35"/>
    </row>
    <row r="372" ht="14.25" customHeight="1">
      <c r="A372" s="83"/>
      <c r="B372" s="84"/>
      <c r="C372" s="108"/>
      <c r="D372" s="102"/>
      <c r="E372" s="117"/>
      <c r="F372" s="250"/>
      <c r="G372" s="88"/>
      <c r="H372" s="36"/>
      <c r="I372" s="37"/>
      <c r="J372" s="38"/>
      <c r="K372" s="39"/>
      <c r="L372" s="38"/>
      <c r="M372" s="39"/>
      <c r="N372" s="40"/>
      <c r="O372" s="34"/>
      <c r="P372" s="35"/>
      <c r="Q372" s="35"/>
      <c r="R372" s="35"/>
      <c r="S372" s="35"/>
      <c r="T372" s="35"/>
      <c r="U372" s="35"/>
      <c r="V372" s="35"/>
      <c r="W372" s="35"/>
      <c r="X372" s="35"/>
      <c r="Y372" s="35"/>
      <c r="Z372" s="35"/>
    </row>
    <row r="373" ht="14.25" customHeight="1">
      <c r="A373" s="83"/>
      <c r="B373" s="84"/>
      <c r="C373" s="108"/>
      <c r="D373" s="102"/>
      <c r="E373" s="117"/>
      <c r="F373" s="250"/>
      <c r="G373" s="88"/>
      <c r="H373" s="36"/>
      <c r="I373" s="37"/>
      <c r="J373" s="38"/>
      <c r="K373" s="39"/>
      <c r="L373" s="38"/>
      <c r="M373" s="39"/>
      <c r="N373" s="40"/>
      <c r="O373" s="34"/>
      <c r="P373" s="35"/>
      <c r="Q373" s="35"/>
      <c r="R373" s="35"/>
      <c r="S373" s="35"/>
      <c r="T373" s="35"/>
      <c r="U373" s="35"/>
      <c r="V373" s="35"/>
      <c r="W373" s="35"/>
      <c r="X373" s="35"/>
      <c r="Y373" s="35"/>
      <c r="Z373" s="35"/>
    </row>
    <row r="374" ht="14.25" customHeight="1">
      <c r="A374" s="83"/>
      <c r="B374" s="84"/>
      <c r="C374" s="108"/>
      <c r="D374" s="102"/>
      <c r="E374" s="117"/>
      <c r="F374" s="250"/>
      <c r="G374" s="88"/>
      <c r="H374" s="36"/>
      <c r="I374" s="37"/>
      <c r="J374" s="38"/>
      <c r="K374" s="39"/>
      <c r="L374" s="38"/>
      <c r="M374" s="39"/>
      <c r="N374" s="40"/>
      <c r="O374" s="34"/>
      <c r="P374" s="35"/>
      <c r="Q374" s="35"/>
      <c r="R374" s="35"/>
      <c r="S374" s="35"/>
      <c r="T374" s="35"/>
      <c r="U374" s="35"/>
      <c r="V374" s="35"/>
      <c r="W374" s="35"/>
      <c r="X374" s="35"/>
      <c r="Y374" s="35"/>
      <c r="Z374" s="35"/>
    </row>
    <row r="375" ht="14.25" customHeight="1">
      <c r="A375" s="83"/>
      <c r="B375" s="84"/>
      <c r="C375" s="108"/>
      <c r="D375" s="102"/>
      <c r="E375" s="117"/>
      <c r="F375" s="250"/>
      <c r="G375" s="88"/>
      <c r="H375" s="36"/>
      <c r="I375" s="37"/>
      <c r="J375" s="38"/>
      <c r="K375" s="39"/>
      <c r="L375" s="38"/>
      <c r="M375" s="39"/>
      <c r="N375" s="40"/>
      <c r="O375" s="34"/>
      <c r="P375" s="35"/>
      <c r="Q375" s="35"/>
      <c r="R375" s="35"/>
      <c r="S375" s="35"/>
      <c r="T375" s="35"/>
      <c r="U375" s="35"/>
      <c r="V375" s="35"/>
      <c r="W375" s="35"/>
      <c r="X375" s="35"/>
      <c r="Y375" s="35"/>
      <c r="Z375" s="35"/>
    </row>
    <row r="376" ht="14.25" customHeight="1">
      <c r="A376" s="83"/>
      <c r="B376" s="84"/>
      <c r="C376" s="108"/>
      <c r="D376" s="102"/>
      <c r="E376" s="117"/>
      <c r="F376" s="250"/>
      <c r="G376" s="88"/>
      <c r="H376" s="36"/>
      <c r="I376" s="37"/>
      <c r="J376" s="38"/>
      <c r="K376" s="39"/>
      <c r="L376" s="38"/>
      <c r="M376" s="39"/>
      <c r="N376" s="40"/>
      <c r="O376" s="34"/>
      <c r="P376" s="35"/>
      <c r="Q376" s="35"/>
      <c r="R376" s="35"/>
      <c r="S376" s="35"/>
      <c r="T376" s="35"/>
      <c r="U376" s="35"/>
      <c r="V376" s="35"/>
      <c r="W376" s="35"/>
      <c r="X376" s="35"/>
      <c r="Y376" s="35"/>
      <c r="Z376" s="35"/>
    </row>
    <row r="377" ht="14.25" customHeight="1">
      <c r="A377" s="83"/>
      <c r="B377" s="84"/>
      <c r="C377" s="108"/>
      <c r="D377" s="102"/>
      <c r="E377" s="117"/>
      <c r="F377" s="250"/>
      <c r="G377" s="88"/>
      <c r="H377" s="36"/>
      <c r="I377" s="37"/>
      <c r="J377" s="38"/>
      <c r="K377" s="39"/>
      <c r="L377" s="38"/>
      <c r="M377" s="39"/>
      <c r="N377" s="40"/>
      <c r="O377" s="34"/>
      <c r="P377" s="35"/>
      <c r="Q377" s="35"/>
      <c r="R377" s="35"/>
      <c r="S377" s="35"/>
      <c r="T377" s="35"/>
      <c r="U377" s="35"/>
      <c r="V377" s="35"/>
      <c r="W377" s="35"/>
      <c r="X377" s="35"/>
      <c r="Y377" s="35"/>
      <c r="Z377" s="35"/>
    </row>
    <row r="378" ht="14.25" customHeight="1">
      <c r="A378" s="83"/>
      <c r="B378" s="84"/>
      <c r="C378" s="108"/>
      <c r="D378" s="102"/>
      <c r="E378" s="117"/>
      <c r="F378" s="250"/>
      <c r="G378" s="88"/>
      <c r="H378" s="36"/>
      <c r="I378" s="37"/>
      <c r="J378" s="38"/>
      <c r="K378" s="39"/>
      <c r="L378" s="38"/>
      <c r="M378" s="39"/>
      <c r="N378" s="40"/>
      <c r="O378" s="34"/>
      <c r="P378" s="35"/>
      <c r="Q378" s="35"/>
      <c r="R378" s="35"/>
      <c r="S378" s="35"/>
      <c r="T378" s="35"/>
      <c r="U378" s="35"/>
      <c r="V378" s="35"/>
      <c r="W378" s="35"/>
      <c r="X378" s="35"/>
      <c r="Y378" s="35"/>
      <c r="Z378" s="35"/>
    </row>
    <row r="379" ht="14.25" customHeight="1">
      <c r="A379" s="83"/>
      <c r="B379" s="84"/>
      <c r="C379" s="108"/>
      <c r="D379" s="102"/>
      <c r="E379" s="117"/>
      <c r="F379" s="250"/>
      <c r="G379" s="88"/>
      <c r="H379" s="36"/>
      <c r="I379" s="37"/>
      <c r="J379" s="38"/>
      <c r="K379" s="39"/>
      <c r="L379" s="38"/>
      <c r="M379" s="39"/>
      <c r="N379" s="40"/>
      <c r="O379" s="34"/>
      <c r="P379" s="35"/>
      <c r="Q379" s="35"/>
      <c r="R379" s="35"/>
      <c r="S379" s="35"/>
      <c r="T379" s="35"/>
      <c r="U379" s="35"/>
      <c r="V379" s="35"/>
      <c r="W379" s="35"/>
      <c r="X379" s="35"/>
      <c r="Y379" s="35"/>
      <c r="Z379" s="35"/>
    </row>
    <row r="380" ht="14.25" customHeight="1">
      <c r="A380" s="83"/>
      <c r="B380" s="84"/>
      <c r="C380" s="108"/>
      <c r="D380" s="102"/>
      <c r="E380" s="117"/>
      <c r="F380" s="250"/>
      <c r="G380" s="88"/>
      <c r="H380" s="36"/>
      <c r="I380" s="37"/>
      <c r="J380" s="38"/>
      <c r="K380" s="39"/>
      <c r="L380" s="38"/>
      <c r="M380" s="39"/>
      <c r="N380" s="40"/>
      <c r="O380" s="34"/>
      <c r="P380" s="35"/>
      <c r="Q380" s="35"/>
      <c r="R380" s="35"/>
      <c r="S380" s="35"/>
      <c r="T380" s="35"/>
      <c r="U380" s="35"/>
      <c r="V380" s="35"/>
      <c r="W380" s="35"/>
      <c r="X380" s="35"/>
      <c r="Y380" s="35"/>
      <c r="Z380" s="35"/>
    </row>
    <row r="381" ht="14.25" customHeight="1">
      <c r="A381" s="83"/>
      <c r="B381" s="84"/>
      <c r="C381" s="108"/>
      <c r="D381" s="102"/>
      <c r="E381" s="117"/>
      <c r="F381" s="250"/>
      <c r="G381" s="88"/>
      <c r="H381" s="36"/>
      <c r="I381" s="37"/>
      <c r="J381" s="38"/>
      <c r="K381" s="39"/>
      <c r="L381" s="38"/>
      <c r="M381" s="39"/>
      <c r="N381" s="40"/>
      <c r="O381" s="34"/>
      <c r="P381" s="35"/>
      <c r="Q381" s="35"/>
      <c r="R381" s="35"/>
      <c r="S381" s="35"/>
      <c r="T381" s="35"/>
      <c r="U381" s="35"/>
      <c r="V381" s="35"/>
      <c r="W381" s="35"/>
      <c r="X381" s="35"/>
      <c r="Y381" s="35"/>
      <c r="Z381" s="35"/>
    </row>
    <row r="382" ht="14.25" customHeight="1">
      <c r="A382" s="83"/>
      <c r="B382" s="84"/>
      <c r="C382" s="108"/>
      <c r="D382" s="102"/>
      <c r="E382" s="117"/>
      <c r="F382" s="250"/>
      <c r="G382" s="88"/>
      <c r="H382" s="36"/>
      <c r="I382" s="37"/>
      <c r="J382" s="38"/>
      <c r="K382" s="39"/>
      <c r="L382" s="38"/>
      <c r="M382" s="39"/>
      <c r="N382" s="40"/>
      <c r="O382" s="34"/>
      <c r="P382" s="35"/>
      <c r="Q382" s="35"/>
      <c r="R382" s="35"/>
      <c r="S382" s="35"/>
      <c r="T382" s="35"/>
      <c r="U382" s="35"/>
      <c r="V382" s="35"/>
      <c r="W382" s="35"/>
      <c r="X382" s="35"/>
      <c r="Y382" s="35"/>
      <c r="Z382" s="35"/>
    </row>
    <row r="383" ht="14.25" customHeight="1">
      <c r="A383" s="83"/>
      <c r="B383" s="84"/>
      <c r="C383" s="108"/>
      <c r="D383" s="102"/>
      <c r="E383" s="117"/>
      <c r="F383" s="250"/>
      <c r="G383" s="88"/>
      <c r="H383" s="36"/>
      <c r="I383" s="37"/>
      <c r="J383" s="38"/>
      <c r="K383" s="39"/>
      <c r="L383" s="38"/>
      <c r="M383" s="39"/>
      <c r="N383" s="40"/>
      <c r="O383" s="34"/>
      <c r="P383" s="35"/>
      <c r="Q383" s="35"/>
      <c r="R383" s="35"/>
      <c r="S383" s="35"/>
      <c r="T383" s="35"/>
      <c r="U383" s="35"/>
      <c r="V383" s="35"/>
      <c r="W383" s="35"/>
      <c r="X383" s="35"/>
      <c r="Y383" s="35"/>
      <c r="Z383" s="35"/>
    </row>
    <row r="384" ht="14.25" customHeight="1">
      <c r="A384" s="83"/>
      <c r="B384" s="84"/>
      <c r="C384" s="108"/>
      <c r="D384" s="102"/>
      <c r="E384" s="117"/>
      <c r="F384" s="250"/>
      <c r="G384" s="88"/>
      <c r="H384" s="36"/>
      <c r="I384" s="37"/>
      <c r="J384" s="38"/>
      <c r="K384" s="39"/>
      <c r="L384" s="38"/>
      <c r="M384" s="39"/>
      <c r="N384" s="40"/>
      <c r="O384" s="34"/>
      <c r="P384" s="35"/>
      <c r="Q384" s="35"/>
      <c r="R384" s="35"/>
      <c r="S384" s="35"/>
      <c r="T384" s="35"/>
      <c r="U384" s="35"/>
      <c r="V384" s="35"/>
      <c r="W384" s="35"/>
      <c r="X384" s="35"/>
      <c r="Y384" s="35"/>
      <c r="Z384" s="35"/>
    </row>
    <row r="385" ht="14.25" customHeight="1">
      <c r="A385" s="83"/>
      <c r="B385" s="84"/>
      <c r="C385" s="108"/>
      <c r="D385" s="102"/>
      <c r="E385" s="117"/>
      <c r="F385" s="250"/>
      <c r="G385" s="88"/>
      <c r="H385" s="36"/>
      <c r="I385" s="37"/>
      <c r="J385" s="38"/>
      <c r="K385" s="39"/>
      <c r="L385" s="38"/>
      <c r="M385" s="39"/>
      <c r="N385" s="40"/>
      <c r="O385" s="34"/>
      <c r="P385" s="35"/>
      <c r="Q385" s="35"/>
      <c r="R385" s="35"/>
      <c r="S385" s="35"/>
      <c r="T385" s="35"/>
      <c r="U385" s="35"/>
      <c r="V385" s="35"/>
      <c r="W385" s="35"/>
      <c r="X385" s="35"/>
      <c r="Y385" s="35"/>
      <c r="Z385" s="35"/>
    </row>
    <row r="386" ht="14.25" customHeight="1">
      <c r="A386" s="83"/>
      <c r="B386" s="84"/>
      <c r="C386" s="108"/>
      <c r="D386" s="102"/>
      <c r="E386" s="117"/>
      <c r="F386" s="250"/>
      <c r="G386" s="88"/>
      <c r="H386" s="36"/>
      <c r="I386" s="37"/>
      <c r="J386" s="38"/>
      <c r="K386" s="39"/>
      <c r="L386" s="38"/>
      <c r="M386" s="39"/>
      <c r="N386" s="40"/>
      <c r="O386" s="34"/>
      <c r="P386" s="35"/>
      <c r="Q386" s="35"/>
      <c r="R386" s="35"/>
      <c r="S386" s="35"/>
      <c r="T386" s="35"/>
      <c r="U386" s="35"/>
      <c r="V386" s="35"/>
      <c r="W386" s="35"/>
      <c r="X386" s="35"/>
      <c r="Y386" s="35"/>
      <c r="Z386" s="35"/>
    </row>
    <row r="387" ht="14.25" customHeight="1">
      <c r="A387" s="83"/>
      <c r="B387" s="84"/>
      <c r="C387" s="108"/>
      <c r="D387" s="102"/>
      <c r="E387" s="117"/>
      <c r="F387" s="250"/>
      <c r="G387" s="88"/>
      <c r="H387" s="36"/>
      <c r="I387" s="37"/>
      <c r="J387" s="38"/>
      <c r="K387" s="39"/>
      <c r="L387" s="38"/>
      <c r="M387" s="39"/>
      <c r="N387" s="40"/>
      <c r="O387" s="34"/>
      <c r="P387" s="35"/>
      <c r="Q387" s="35"/>
      <c r="R387" s="35"/>
      <c r="S387" s="35"/>
      <c r="T387" s="35"/>
      <c r="U387" s="35"/>
      <c r="V387" s="35"/>
      <c r="W387" s="35"/>
      <c r="X387" s="35"/>
      <c r="Y387" s="35"/>
      <c r="Z387" s="35"/>
    </row>
    <row r="388" ht="14.25" customHeight="1">
      <c r="A388" s="83"/>
      <c r="B388" s="84"/>
      <c r="C388" s="108"/>
      <c r="D388" s="102"/>
      <c r="E388" s="117"/>
      <c r="F388" s="250"/>
      <c r="G388" s="88"/>
      <c r="H388" s="36"/>
      <c r="I388" s="37"/>
      <c r="J388" s="38"/>
      <c r="K388" s="39"/>
      <c r="L388" s="38"/>
      <c r="M388" s="39"/>
      <c r="N388" s="40"/>
      <c r="O388" s="34"/>
      <c r="P388" s="35"/>
      <c r="Q388" s="35"/>
      <c r="R388" s="35"/>
      <c r="S388" s="35"/>
      <c r="T388" s="35"/>
      <c r="U388" s="35"/>
      <c r="V388" s="35"/>
      <c r="W388" s="35"/>
      <c r="X388" s="35"/>
      <c r="Y388" s="35"/>
      <c r="Z388" s="35"/>
    </row>
    <row r="389" ht="14.25" customHeight="1">
      <c r="A389" s="83"/>
      <c r="B389" s="84"/>
      <c r="C389" s="108"/>
      <c r="D389" s="102"/>
      <c r="E389" s="117"/>
      <c r="F389" s="250"/>
      <c r="G389" s="88"/>
      <c r="H389" s="36"/>
      <c r="I389" s="37"/>
      <c r="J389" s="38"/>
      <c r="K389" s="39"/>
      <c r="L389" s="38"/>
      <c r="M389" s="39"/>
      <c r="N389" s="40"/>
      <c r="O389" s="34"/>
      <c r="P389" s="35"/>
      <c r="Q389" s="35"/>
      <c r="R389" s="35"/>
      <c r="S389" s="35"/>
      <c r="T389" s="35"/>
      <c r="U389" s="35"/>
      <c r="V389" s="35"/>
      <c r="W389" s="35"/>
      <c r="X389" s="35"/>
      <c r="Y389" s="35"/>
      <c r="Z389" s="35"/>
    </row>
    <row r="390" ht="14.25" customHeight="1">
      <c r="A390" s="83"/>
      <c r="B390" s="84"/>
      <c r="C390" s="108"/>
      <c r="D390" s="102"/>
      <c r="E390" s="117"/>
      <c r="F390" s="250"/>
      <c r="G390" s="88"/>
      <c r="H390" s="36"/>
      <c r="I390" s="37"/>
      <c r="J390" s="38"/>
      <c r="K390" s="39"/>
      <c r="L390" s="38"/>
      <c r="M390" s="39"/>
      <c r="N390" s="40"/>
      <c r="O390" s="34"/>
      <c r="P390" s="35"/>
      <c r="Q390" s="35"/>
      <c r="R390" s="35"/>
      <c r="S390" s="35"/>
      <c r="T390" s="35"/>
      <c r="U390" s="35"/>
      <c r="V390" s="35"/>
      <c r="W390" s="35"/>
      <c r="X390" s="35"/>
      <c r="Y390" s="35"/>
      <c r="Z390" s="35"/>
    </row>
    <row r="391" ht="14.25" customHeight="1">
      <c r="A391" s="83"/>
      <c r="B391" s="84"/>
      <c r="C391" s="108"/>
      <c r="D391" s="102"/>
      <c r="E391" s="117"/>
      <c r="F391" s="250"/>
      <c r="G391" s="88"/>
      <c r="H391" s="36"/>
      <c r="I391" s="37"/>
      <c r="J391" s="38"/>
      <c r="K391" s="39"/>
      <c r="L391" s="38"/>
      <c r="M391" s="39"/>
      <c r="N391" s="40"/>
      <c r="O391" s="34"/>
      <c r="P391" s="35"/>
      <c r="Q391" s="35"/>
      <c r="R391" s="35"/>
      <c r="S391" s="35"/>
      <c r="T391" s="35"/>
      <c r="U391" s="35"/>
      <c r="V391" s="35"/>
      <c r="W391" s="35"/>
      <c r="X391" s="35"/>
      <c r="Y391" s="35"/>
      <c r="Z391" s="35"/>
    </row>
    <row r="392" ht="14.25" customHeight="1">
      <c r="A392" s="83"/>
      <c r="B392" s="84"/>
      <c r="C392" s="108"/>
      <c r="D392" s="102"/>
      <c r="E392" s="117"/>
      <c r="F392" s="250"/>
      <c r="G392" s="88"/>
      <c r="H392" s="36"/>
      <c r="I392" s="37"/>
      <c r="J392" s="38"/>
      <c r="K392" s="39"/>
      <c r="L392" s="38"/>
      <c r="M392" s="39"/>
      <c r="N392" s="40"/>
      <c r="O392" s="34"/>
      <c r="P392" s="35"/>
      <c r="Q392" s="35"/>
      <c r="R392" s="35"/>
      <c r="S392" s="35"/>
      <c r="T392" s="35"/>
      <c r="U392" s="35"/>
      <c r="V392" s="35"/>
      <c r="W392" s="35"/>
      <c r="X392" s="35"/>
      <c r="Y392" s="35"/>
      <c r="Z392" s="35"/>
    </row>
    <row r="393" ht="14.25" customHeight="1">
      <c r="A393" s="83"/>
      <c r="B393" s="84"/>
      <c r="C393" s="108"/>
      <c r="D393" s="102"/>
      <c r="E393" s="117"/>
      <c r="F393" s="250"/>
      <c r="G393" s="88"/>
      <c r="H393" s="36"/>
      <c r="I393" s="37"/>
      <c r="J393" s="38"/>
      <c r="K393" s="39"/>
      <c r="L393" s="38"/>
      <c r="M393" s="39"/>
      <c r="N393" s="40"/>
      <c r="O393" s="34"/>
      <c r="P393" s="35"/>
      <c r="Q393" s="35"/>
      <c r="R393" s="35"/>
      <c r="S393" s="35"/>
      <c r="T393" s="35"/>
      <c r="U393" s="35"/>
      <c r="V393" s="35"/>
      <c r="W393" s="35"/>
      <c r="X393" s="35"/>
      <c r="Y393" s="35"/>
      <c r="Z393" s="35"/>
    </row>
    <row r="394" ht="14.25" customHeight="1">
      <c r="A394" s="83"/>
      <c r="B394" s="84"/>
      <c r="C394" s="108"/>
      <c r="D394" s="102"/>
      <c r="E394" s="117"/>
      <c r="F394" s="250"/>
      <c r="G394" s="88"/>
      <c r="H394" s="36"/>
      <c r="I394" s="37"/>
      <c r="J394" s="38"/>
      <c r="K394" s="39"/>
      <c r="L394" s="38"/>
      <c r="M394" s="39"/>
      <c r="N394" s="40"/>
      <c r="O394" s="34"/>
      <c r="P394" s="35"/>
      <c r="Q394" s="35"/>
      <c r="R394" s="35"/>
      <c r="S394" s="35"/>
      <c r="T394" s="35"/>
      <c r="U394" s="35"/>
      <c r="V394" s="35"/>
      <c r="W394" s="35"/>
      <c r="X394" s="35"/>
      <c r="Y394" s="35"/>
      <c r="Z394" s="35"/>
    </row>
    <row r="395" ht="14.25" customHeight="1">
      <c r="A395" s="83"/>
      <c r="B395" s="84"/>
      <c r="C395" s="108"/>
      <c r="D395" s="102"/>
      <c r="E395" s="117"/>
      <c r="F395" s="250"/>
      <c r="G395" s="88"/>
      <c r="H395" s="36"/>
      <c r="I395" s="37"/>
      <c r="J395" s="38"/>
      <c r="K395" s="39"/>
      <c r="L395" s="38"/>
      <c r="M395" s="39"/>
      <c r="N395" s="40"/>
      <c r="O395" s="34"/>
      <c r="P395" s="35"/>
      <c r="Q395" s="35"/>
      <c r="R395" s="35"/>
      <c r="S395" s="35"/>
      <c r="T395" s="35"/>
      <c r="U395" s="35"/>
      <c r="V395" s="35"/>
      <c r="W395" s="35"/>
      <c r="X395" s="35"/>
      <c r="Y395" s="35"/>
      <c r="Z395" s="35"/>
    </row>
    <row r="396" ht="14.25" customHeight="1">
      <c r="A396" s="83"/>
      <c r="B396" s="84"/>
      <c r="C396" s="108"/>
      <c r="D396" s="102"/>
      <c r="E396" s="117"/>
      <c r="F396" s="250"/>
      <c r="G396" s="88"/>
      <c r="H396" s="36"/>
      <c r="I396" s="37"/>
      <c r="J396" s="38"/>
      <c r="K396" s="39"/>
      <c r="L396" s="38"/>
      <c r="M396" s="39"/>
      <c r="N396" s="40"/>
      <c r="O396" s="34"/>
      <c r="P396" s="35"/>
      <c r="Q396" s="35"/>
      <c r="R396" s="35"/>
      <c r="S396" s="35"/>
      <c r="T396" s="35"/>
      <c r="U396" s="35"/>
      <c r="V396" s="35"/>
      <c r="W396" s="35"/>
      <c r="X396" s="35"/>
      <c r="Y396" s="35"/>
      <c r="Z396" s="35"/>
    </row>
    <row r="397" ht="14.25" customHeight="1">
      <c r="A397" s="83"/>
      <c r="B397" s="84"/>
      <c r="C397" s="108"/>
      <c r="D397" s="102"/>
      <c r="E397" s="117"/>
      <c r="F397" s="250"/>
      <c r="G397" s="88"/>
      <c r="H397" s="36"/>
      <c r="I397" s="37"/>
      <c r="J397" s="38"/>
      <c r="K397" s="39"/>
      <c r="L397" s="38"/>
      <c r="M397" s="39"/>
      <c r="N397" s="40"/>
      <c r="O397" s="34"/>
      <c r="P397" s="35"/>
      <c r="Q397" s="35"/>
      <c r="R397" s="35"/>
      <c r="S397" s="35"/>
      <c r="T397" s="35"/>
      <c r="U397" s="35"/>
      <c r="V397" s="35"/>
      <c r="W397" s="35"/>
      <c r="X397" s="35"/>
      <c r="Y397" s="35"/>
      <c r="Z397" s="35"/>
    </row>
    <row r="398" ht="14.25" customHeight="1">
      <c r="A398" s="83"/>
      <c r="B398" s="84"/>
      <c r="C398" s="108"/>
      <c r="D398" s="102"/>
      <c r="E398" s="117"/>
      <c r="F398" s="250"/>
      <c r="G398" s="88"/>
      <c r="H398" s="36"/>
      <c r="I398" s="37"/>
      <c r="J398" s="38"/>
      <c r="K398" s="39"/>
      <c r="L398" s="38"/>
      <c r="M398" s="39"/>
      <c r="N398" s="40"/>
      <c r="O398" s="34"/>
      <c r="P398" s="35"/>
      <c r="Q398" s="35"/>
      <c r="R398" s="35"/>
      <c r="S398" s="35"/>
      <c r="T398" s="35"/>
      <c r="U398" s="35"/>
      <c r="V398" s="35"/>
      <c r="W398" s="35"/>
      <c r="X398" s="35"/>
      <c r="Y398" s="35"/>
      <c r="Z398" s="35"/>
    </row>
    <row r="399" ht="14.25" customHeight="1">
      <c r="A399" s="83"/>
      <c r="B399" s="84"/>
      <c r="C399" s="108"/>
      <c r="D399" s="102"/>
      <c r="E399" s="117"/>
      <c r="F399" s="250"/>
      <c r="G399" s="88"/>
      <c r="H399" s="36"/>
      <c r="I399" s="37"/>
      <c r="J399" s="38"/>
      <c r="K399" s="39"/>
      <c r="L399" s="38"/>
      <c r="M399" s="39"/>
      <c r="N399" s="40"/>
      <c r="O399" s="34"/>
      <c r="P399" s="35"/>
      <c r="Q399" s="35"/>
      <c r="R399" s="35"/>
      <c r="S399" s="35"/>
      <c r="T399" s="35"/>
      <c r="U399" s="35"/>
      <c r="V399" s="35"/>
      <c r="W399" s="35"/>
      <c r="X399" s="35"/>
      <c r="Y399" s="35"/>
      <c r="Z399" s="35"/>
    </row>
    <row r="400" ht="14.25" customHeight="1">
      <c r="A400" s="83"/>
      <c r="B400" s="84"/>
      <c r="C400" s="108"/>
      <c r="D400" s="102"/>
      <c r="E400" s="117"/>
      <c r="F400" s="250"/>
      <c r="G400" s="88"/>
      <c r="H400" s="36"/>
      <c r="I400" s="37"/>
      <c r="J400" s="38"/>
      <c r="K400" s="39"/>
      <c r="L400" s="38"/>
      <c r="M400" s="39"/>
      <c r="N400" s="40"/>
      <c r="O400" s="34"/>
      <c r="P400" s="35"/>
      <c r="Q400" s="35"/>
      <c r="R400" s="35"/>
      <c r="S400" s="35"/>
      <c r="T400" s="35"/>
      <c r="U400" s="35"/>
      <c r="V400" s="35"/>
      <c r="W400" s="35"/>
      <c r="X400" s="35"/>
      <c r="Y400" s="35"/>
      <c r="Z400" s="35"/>
    </row>
    <row r="401" ht="14.25" customHeight="1">
      <c r="A401" s="83"/>
      <c r="B401" s="84"/>
      <c r="C401" s="108"/>
      <c r="D401" s="102"/>
      <c r="E401" s="117"/>
      <c r="F401" s="250"/>
      <c r="G401" s="88"/>
      <c r="H401" s="36"/>
      <c r="I401" s="37"/>
      <c r="J401" s="38"/>
      <c r="K401" s="39"/>
      <c r="L401" s="38"/>
      <c r="M401" s="39"/>
      <c r="N401" s="40"/>
      <c r="O401" s="34"/>
      <c r="P401" s="35"/>
      <c r="Q401" s="35"/>
      <c r="R401" s="35"/>
      <c r="S401" s="35"/>
      <c r="T401" s="35"/>
      <c r="U401" s="35"/>
      <c r="V401" s="35"/>
      <c r="W401" s="35"/>
      <c r="X401" s="35"/>
      <c r="Y401" s="35"/>
      <c r="Z401" s="35"/>
    </row>
    <row r="402" ht="14.25" customHeight="1">
      <c r="A402" s="83"/>
      <c r="B402" s="84"/>
      <c r="C402" s="108"/>
      <c r="D402" s="102"/>
      <c r="E402" s="117"/>
      <c r="F402" s="250"/>
      <c r="G402" s="88"/>
      <c r="H402" s="36"/>
      <c r="I402" s="37"/>
      <c r="J402" s="38"/>
      <c r="K402" s="39"/>
      <c r="L402" s="38"/>
      <c r="M402" s="39"/>
      <c r="N402" s="40"/>
      <c r="O402" s="34"/>
      <c r="P402" s="35"/>
      <c r="Q402" s="35"/>
      <c r="R402" s="35"/>
      <c r="S402" s="35"/>
      <c r="T402" s="35"/>
      <c r="U402" s="35"/>
      <c r="V402" s="35"/>
      <c r="W402" s="35"/>
      <c r="X402" s="35"/>
      <c r="Y402" s="35"/>
      <c r="Z402" s="35"/>
    </row>
    <row r="403" ht="14.25" customHeight="1">
      <c r="A403" s="83"/>
      <c r="B403" s="84"/>
      <c r="C403" s="108"/>
      <c r="D403" s="102"/>
      <c r="E403" s="117"/>
      <c r="F403" s="250"/>
      <c r="G403" s="88"/>
      <c r="H403" s="36"/>
      <c r="I403" s="37"/>
      <c r="J403" s="38"/>
      <c r="K403" s="39"/>
      <c r="L403" s="38"/>
      <c r="M403" s="39"/>
      <c r="N403" s="40"/>
      <c r="O403" s="34"/>
      <c r="P403" s="35"/>
      <c r="Q403" s="35"/>
      <c r="R403" s="35"/>
      <c r="S403" s="35"/>
      <c r="T403" s="35"/>
      <c r="U403" s="35"/>
      <c r="V403" s="35"/>
      <c r="W403" s="35"/>
      <c r="X403" s="35"/>
      <c r="Y403" s="35"/>
      <c r="Z403" s="35"/>
    </row>
    <row r="404" ht="14.25" customHeight="1">
      <c r="A404" s="83"/>
      <c r="B404" s="84"/>
      <c r="C404" s="108"/>
      <c r="D404" s="102"/>
      <c r="E404" s="117"/>
      <c r="F404" s="250"/>
      <c r="G404" s="88"/>
      <c r="H404" s="36"/>
      <c r="I404" s="37"/>
      <c r="J404" s="38"/>
      <c r="K404" s="39"/>
      <c r="L404" s="38"/>
      <c r="M404" s="39"/>
      <c r="N404" s="40"/>
      <c r="O404" s="34"/>
      <c r="P404" s="35"/>
      <c r="Q404" s="35"/>
      <c r="R404" s="35"/>
      <c r="S404" s="35"/>
      <c r="T404" s="35"/>
      <c r="U404" s="35"/>
      <c r="V404" s="35"/>
      <c r="W404" s="35"/>
      <c r="X404" s="35"/>
      <c r="Y404" s="35"/>
      <c r="Z404" s="35"/>
    </row>
    <row r="405" ht="14.25" customHeight="1">
      <c r="A405" s="83"/>
      <c r="B405" s="84"/>
      <c r="C405" s="108"/>
      <c r="D405" s="102"/>
      <c r="E405" s="117"/>
      <c r="F405" s="250"/>
      <c r="G405" s="88"/>
      <c r="H405" s="36"/>
      <c r="I405" s="37"/>
      <c r="J405" s="38"/>
      <c r="K405" s="39"/>
      <c r="L405" s="38"/>
      <c r="M405" s="39"/>
      <c r="N405" s="40"/>
      <c r="O405" s="34"/>
      <c r="P405" s="35"/>
      <c r="Q405" s="35"/>
      <c r="R405" s="35"/>
      <c r="S405" s="35"/>
      <c r="T405" s="35"/>
      <c r="U405" s="35"/>
      <c r="V405" s="35"/>
      <c r="W405" s="35"/>
      <c r="X405" s="35"/>
      <c r="Y405" s="35"/>
      <c r="Z405" s="35"/>
    </row>
    <row r="406" ht="14.25" customHeight="1">
      <c r="A406" s="83"/>
      <c r="B406" s="84"/>
      <c r="C406" s="108"/>
      <c r="D406" s="102"/>
      <c r="E406" s="117"/>
      <c r="F406" s="250"/>
      <c r="G406" s="88"/>
      <c r="H406" s="36"/>
      <c r="I406" s="37"/>
      <c r="J406" s="38"/>
      <c r="K406" s="39"/>
      <c r="L406" s="38"/>
      <c r="M406" s="39"/>
      <c r="N406" s="40"/>
      <c r="O406" s="34"/>
      <c r="P406" s="35"/>
      <c r="Q406" s="35"/>
      <c r="R406" s="35"/>
      <c r="S406" s="35"/>
      <c r="T406" s="35"/>
      <c r="U406" s="35"/>
      <c r="V406" s="35"/>
      <c r="W406" s="35"/>
      <c r="X406" s="35"/>
      <c r="Y406" s="35"/>
      <c r="Z406" s="35"/>
    </row>
    <row r="407" ht="14.25" customHeight="1">
      <c r="A407" s="83"/>
      <c r="B407" s="84"/>
      <c r="C407" s="108"/>
      <c r="D407" s="102"/>
      <c r="E407" s="117"/>
      <c r="F407" s="250"/>
      <c r="G407" s="88"/>
      <c r="H407" s="36"/>
      <c r="I407" s="37"/>
      <c r="J407" s="38"/>
      <c r="K407" s="39"/>
      <c r="L407" s="38"/>
      <c r="M407" s="39"/>
      <c r="N407" s="40"/>
      <c r="O407" s="34"/>
      <c r="P407" s="35"/>
      <c r="Q407" s="35"/>
      <c r="R407" s="35"/>
      <c r="S407" s="35"/>
      <c r="T407" s="35"/>
      <c r="U407" s="35"/>
      <c r="V407" s="35"/>
      <c r="W407" s="35"/>
      <c r="X407" s="35"/>
      <c r="Y407" s="35"/>
      <c r="Z407" s="35"/>
    </row>
    <row r="408" ht="14.25" customHeight="1">
      <c r="A408" s="83"/>
      <c r="B408" s="84"/>
      <c r="C408" s="108"/>
      <c r="D408" s="102"/>
      <c r="E408" s="117"/>
      <c r="F408" s="250"/>
      <c r="G408" s="88"/>
      <c r="H408" s="36"/>
      <c r="I408" s="37"/>
      <c r="J408" s="38"/>
      <c r="K408" s="39"/>
      <c r="L408" s="38"/>
      <c r="M408" s="39"/>
      <c r="N408" s="40"/>
      <c r="O408" s="34"/>
      <c r="P408" s="35"/>
      <c r="Q408" s="35"/>
      <c r="R408" s="35"/>
      <c r="S408" s="35"/>
      <c r="T408" s="35"/>
      <c r="U408" s="35"/>
      <c r="V408" s="35"/>
      <c r="W408" s="35"/>
      <c r="X408" s="35"/>
      <c r="Y408" s="35"/>
      <c r="Z408" s="35"/>
    </row>
    <row r="409" ht="14.25" customHeight="1">
      <c r="A409" s="83"/>
      <c r="B409" s="84"/>
      <c r="C409" s="108"/>
      <c r="D409" s="102"/>
      <c r="E409" s="117"/>
      <c r="F409" s="250"/>
      <c r="G409" s="88"/>
      <c r="H409" s="36"/>
      <c r="I409" s="37"/>
      <c r="J409" s="38"/>
      <c r="K409" s="39"/>
      <c r="L409" s="38"/>
      <c r="M409" s="39"/>
      <c r="N409" s="40"/>
      <c r="O409" s="34"/>
      <c r="P409" s="35"/>
      <c r="Q409" s="35"/>
      <c r="R409" s="35"/>
      <c r="S409" s="35"/>
      <c r="T409" s="35"/>
      <c r="U409" s="35"/>
      <c r="V409" s="35"/>
      <c r="W409" s="35"/>
      <c r="X409" s="35"/>
      <c r="Y409" s="35"/>
      <c r="Z409" s="35"/>
    </row>
    <row r="410" ht="14.25" customHeight="1">
      <c r="A410" s="83"/>
      <c r="B410" s="84"/>
      <c r="C410" s="108"/>
      <c r="D410" s="102"/>
      <c r="E410" s="117"/>
      <c r="F410" s="250"/>
      <c r="G410" s="88"/>
      <c r="H410" s="36"/>
      <c r="I410" s="37"/>
      <c r="J410" s="38"/>
      <c r="K410" s="39"/>
      <c r="L410" s="38"/>
      <c r="M410" s="39"/>
      <c r="N410" s="40"/>
      <c r="O410" s="34"/>
      <c r="P410" s="35"/>
      <c r="Q410" s="35"/>
      <c r="R410" s="35"/>
      <c r="S410" s="35"/>
      <c r="T410" s="35"/>
      <c r="U410" s="35"/>
      <c r="V410" s="35"/>
      <c r="W410" s="35"/>
      <c r="X410" s="35"/>
      <c r="Y410" s="35"/>
      <c r="Z410" s="35"/>
    </row>
    <row r="411" ht="14.25" customHeight="1">
      <c r="A411" s="83"/>
      <c r="B411" s="84"/>
      <c r="C411" s="108"/>
      <c r="D411" s="102"/>
      <c r="E411" s="117"/>
      <c r="F411" s="250"/>
      <c r="G411" s="88"/>
      <c r="H411" s="36"/>
      <c r="I411" s="37"/>
      <c r="J411" s="38"/>
      <c r="K411" s="39"/>
      <c r="L411" s="38"/>
      <c r="M411" s="39"/>
      <c r="N411" s="40"/>
      <c r="O411" s="34"/>
      <c r="P411" s="35"/>
      <c r="Q411" s="35"/>
      <c r="R411" s="35"/>
      <c r="S411" s="35"/>
      <c r="T411" s="35"/>
      <c r="U411" s="35"/>
      <c r="V411" s="35"/>
      <c r="W411" s="35"/>
      <c r="X411" s="35"/>
      <c r="Y411" s="35"/>
      <c r="Z411" s="35"/>
    </row>
    <row r="412" ht="14.25" customHeight="1">
      <c r="A412" s="83"/>
      <c r="B412" s="84"/>
      <c r="C412" s="108"/>
      <c r="D412" s="102"/>
      <c r="E412" s="117"/>
      <c r="F412" s="250"/>
      <c r="G412" s="88"/>
      <c r="H412" s="36"/>
      <c r="I412" s="37"/>
      <c r="J412" s="38"/>
      <c r="K412" s="39"/>
      <c r="L412" s="38"/>
      <c r="M412" s="39"/>
      <c r="N412" s="40"/>
      <c r="O412" s="34"/>
      <c r="P412" s="35"/>
      <c r="Q412" s="35"/>
      <c r="R412" s="35"/>
      <c r="S412" s="35"/>
      <c r="T412" s="35"/>
      <c r="U412" s="35"/>
      <c r="V412" s="35"/>
      <c r="W412" s="35"/>
      <c r="X412" s="35"/>
      <c r="Y412" s="35"/>
      <c r="Z412" s="35"/>
    </row>
    <row r="413" ht="14.25" customHeight="1">
      <c r="A413" s="83"/>
      <c r="B413" s="84"/>
      <c r="C413" s="108"/>
      <c r="D413" s="102"/>
      <c r="E413" s="117"/>
      <c r="F413" s="250"/>
      <c r="G413" s="88"/>
      <c r="H413" s="36"/>
      <c r="I413" s="37"/>
      <c r="J413" s="38"/>
      <c r="K413" s="39"/>
      <c r="L413" s="38"/>
      <c r="M413" s="39"/>
      <c r="N413" s="40"/>
      <c r="O413" s="34"/>
      <c r="P413" s="35"/>
      <c r="Q413" s="35"/>
      <c r="R413" s="35"/>
      <c r="S413" s="35"/>
      <c r="T413" s="35"/>
      <c r="U413" s="35"/>
      <c r="V413" s="35"/>
      <c r="W413" s="35"/>
      <c r="X413" s="35"/>
      <c r="Y413" s="35"/>
      <c r="Z413" s="35"/>
    </row>
    <row r="414" ht="14.25" customHeight="1">
      <c r="A414" s="83"/>
      <c r="B414" s="84"/>
      <c r="C414" s="108"/>
      <c r="D414" s="102"/>
      <c r="E414" s="117"/>
      <c r="F414" s="250"/>
      <c r="G414" s="88"/>
      <c r="H414" s="36"/>
      <c r="I414" s="37"/>
      <c r="J414" s="38"/>
      <c r="K414" s="39"/>
      <c r="L414" s="38"/>
      <c r="M414" s="39"/>
      <c r="N414" s="40"/>
      <c r="O414" s="34"/>
      <c r="P414" s="35"/>
      <c r="Q414" s="35"/>
      <c r="R414" s="35"/>
      <c r="S414" s="35"/>
      <c r="T414" s="35"/>
      <c r="U414" s="35"/>
      <c r="V414" s="35"/>
      <c r="W414" s="35"/>
      <c r="X414" s="35"/>
      <c r="Y414" s="35"/>
      <c r="Z414" s="35"/>
    </row>
    <row r="415" ht="14.25" customHeight="1">
      <c r="A415" s="83"/>
      <c r="B415" s="84"/>
      <c r="C415" s="108"/>
      <c r="D415" s="102"/>
      <c r="E415" s="117"/>
      <c r="F415" s="250"/>
      <c r="G415" s="88"/>
      <c r="H415" s="36"/>
      <c r="I415" s="37"/>
      <c r="J415" s="38"/>
      <c r="K415" s="39"/>
      <c r="L415" s="38"/>
      <c r="M415" s="39"/>
      <c r="N415" s="40"/>
      <c r="O415" s="34"/>
      <c r="P415" s="35"/>
      <c r="Q415" s="35"/>
      <c r="R415" s="35"/>
      <c r="S415" s="35"/>
      <c r="T415" s="35"/>
      <c r="U415" s="35"/>
      <c r="V415" s="35"/>
      <c r="W415" s="35"/>
      <c r="X415" s="35"/>
      <c r="Y415" s="35"/>
      <c r="Z415" s="35"/>
    </row>
    <row r="416" ht="14.25" customHeight="1">
      <c r="A416" s="83"/>
      <c r="B416" s="84"/>
      <c r="C416" s="108"/>
      <c r="D416" s="102"/>
      <c r="E416" s="117"/>
      <c r="F416" s="250"/>
      <c r="G416" s="88"/>
      <c r="H416" s="36"/>
      <c r="I416" s="37"/>
      <c r="J416" s="38"/>
      <c r="K416" s="39"/>
      <c r="L416" s="38"/>
      <c r="M416" s="39"/>
      <c r="N416" s="40"/>
      <c r="O416" s="34"/>
      <c r="P416" s="35"/>
      <c r="Q416" s="35"/>
      <c r="R416" s="35"/>
      <c r="S416" s="35"/>
      <c r="T416" s="35"/>
      <c r="U416" s="35"/>
      <c r="V416" s="35"/>
      <c r="W416" s="35"/>
      <c r="X416" s="35"/>
      <c r="Y416" s="35"/>
      <c r="Z416" s="35"/>
    </row>
    <row r="417" ht="14.25" customHeight="1">
      <c r="A417" s="83"/>
      <c r="B417" s="84"/>
      <c r="C417" s="108"/>
      <c r="D417" s="102"/>
      <c r="E417" s="117"/>
      <c r="F417" s="250"/>
      <c r="G417" s="88"/>
      <c r="H417" s="36"/>
      <c r="I417" s="37"/>
      <c r="J417" s="38"/>
      <c r="K417" s="39"/>
      <c r="L417" s="38"/>
      <c r="M417" s="39"/>
      <c r="N417" s="40"/>
      <c r="O417" s="34"/>
      <c r="P417" s="35"/>
      <c r="Q417" s="35"/>
      <c r="R417" s="35"/>
      <c r="S417" s="35"/>
      <c r="T417" s="35"/>
      <c r="U417" s="35"/>
      <c r="V417" s="35"/>
      <c r="W417" s="35"/>
      <c r="X417" s="35"/>
      <c r="Y417" s="35"/>
      <c r="Z417" s="35"/>
    </row>
    <row r="418" ht="14.25" customHeight="1">
      <c r="A418" s="83"/>
      <c r="B418" s="84"/>
      <c r="C418" s="108"/>
      <c r="D418" s="102"/>
      <c r="E418" s="117"/>
      <c r="F418" s="250"/>
      <c r="G418" s="88"/>
      <c r="H418" s="36"/>
      <c r="I418" s="37"/>
      <c r="J418" s="38"/>
      <c r="K418" s="39"/>
      <c r="L418" s="38"/>
      <c r="M418" s="39"/>
      <c r="N418" s="40"/>
      <c r="O418" s="34"/>
      <c r="P418" s="35"/>
      <c r="Q418" s="35"/>
      <c r="R418" s="35"/>
      <c r="S418" s="35"/>
      <c r="T418" s="35"/>
      <c r="U418" s="35"/>
      <c r="V418" s="35"/>
      <c r="W418" s="35"/>
      <c r="X418" s="35"/>
      <c r="Y418" s="35"/>
      <c r="Z418" s="35"/>
    </row>
    <row r="419" ht="14.25" customHeight="1">
      <c r="A419" s="83"/>
      <c r="B419" s="84"/>
      <c r="C419" s="108"/>
      <c r="D419" s="102"/>
      <c r="E419" s="117"/>
      <c r="F419" s="250"/>
      <c r="G419" s="88"/>
      <c r="H419" s="36"/>
      <c r="I419" s="37"/>
      <c r="J419" s="38"/>
      <c r="K419" s="39"/>
      <c r="L419" s="38"/>
      <c r="M419" s="39"/>
      <c r="N419" s="40"/>
      <c r="O419" s="34"/>
      <c r="P419" s="35"/>
      <c r="Q419" s="35"/>
      <c r="R419" s="35"/>
      <c r="S419" s="35"/>
      <c r="T419" s="35"/>
      <c r="U419" s="35"/>
      <c r="V419" s="35"/>
      <c r="W419" s="35"/>
      <c r="X419" s="35"/>
      <c r="Y419" s="35"/>
      <c r="Z419" s="35"/>
    </row>
    <row r="420" ht="14.25" customHeight="1">
      <c r="A420" s="83"/>
      <c r="B420" s="84"/>
      <c r="C420" s="108"/>
      <c r="D420" s="102"/>
      <c r="E420" s="117"/>
      <c r="F420" s="250"/>
      <c r="G420" s="88"/>
      <c r="H420" s="36"/>
      <c r="I420" s="37"/>
      <c r="J420" s="38"/>
      <c r="K420" s="39"/>
      <c r="L420" s="38"/>
      <c r="M420" s="39"/>
      <c r="N420" s="40"/>
      <c r="O420" s="34"/>
      <c r="P420" s="35"/>
      <c r="Q420" s="35"/>
      <c r="R420" s="35"/>
      <c r="S420" s="35"/>
      <c r="T420" s="35"/>
      <c r="U420" s="35"/>
      <c r="V420" s="35"/>
      <c r="W420" s="35"/>
      <c r="X420" s="35"/>
      <c r="Y420" s="35"/>
      <c r="Z420" s="35"/>
    </row>
    <row r="421" ht="14.25" customHeight="1">
      <c r="A421" s="83"/>
      <c r="B421" s="84"/>
      <c r="C421" s="108"/>
      <c r="D421" s="102"/>
      <c r="E421" s="117"/>
      <c r="F421" s="250"/>
      <c r="G421" s="88"/>
      <c r="H421" s="36"/>
      <c r="I421" s="37"/>
      <c r="J421" s="38"/>
      <c r="K421" s="39"/>
      <c r="L421" s="38"/>
      <c r="M421" s="39"/>
      <c r="N421" s="40"/>
      <c r="O421" s="34"/>
      <c r="P421" s="35"/>
      <c r="Q421" s="35"/>
      <c r="R421" s="35"/>
      <c r="S421" s="35"/>
      <c r="T421" s="35"/>
      <c r="U421" s="35"/>
      <c r="V421" s="35"/>
      <c r="W421" s="35"/>
      <c r="X421" s="35"/>
      <c r="Y421" s="35"/>
      <c r="Z421" s="35"/>
    </row>
    <row r="422" ht="14.25" customHeight="1">
      <c r="A422" s="83"/>
      <c r="B422" s="84"/>
      <c r="C422" s="108"/>
      <c r="D422" s="102"/>
      <c r="E422" s="117"/>
      <c r="F422" s="250"/>
      <c r="G422" s="88"/>
      <c r="H422" s="36"/>
      <c r="I422" s="37"/>
      <c r="J422" s="38"/>
      <c r="K422" s="39"/>
      <c r="L422" s="38"/>
      <c r="M422" s="39"/>
      <c r="N422" s="40"/>
      <c r="O422" s="34"/>
      <c r="P422" s="35"/>
      <c r="Q422" s="35"/>
      <c r="R422" s="35"/>
      <c r="S422" s="35"/>
      <c r="T422" s="35"/>
      <c r="U422" s="35"/>
      <c r="V422" s="35"/>
      <c r="W422" s="35"/>
      <c r="X422" s="35"/>
      <c r="Y422" s="35"/>
      <c r="Z422" s="35"/>
    </row>
    <row r="423" ht="14.25" customHeight="1">
      <c r="A423" s="83"/>
      <c r="B423" s="84"/>
      <c r="C423" s="108"/>
      <c r="D423" s="102"/>
      <c r="E423" s="117"/>
      <c r="F423" s="250"/>
      <c r="G423" s="88"/>
      <c r="H423" s="36"/>
      <c r="I423" s="37"/>
      <c r="J423" s="38"/>
      <c r="K423" s="39"/>
      <c r="L423" s="38"/>
      <c r="M423" s="39"/>
      <c r="N423" s="40"/>
      <c r="O423" s="34"/>
      <c r="P423" s="35"/>
      <c r="Q423" s="35"/>
      <c r="R423" s="35"/>
      <c r="S423" s="35"/>
      <c r="T423" s="35"/>
      <c r="U423" s="35"/>
      <c r="V423" s="35"/>
      <c r="W423" s="35"/>
      <c r="X423" s="35"/>
      <c r="Y423" s="35"/>
      <c r="Z423" s="35"/>
    </row>
    <row r="424" ht="14.25" customHeight="1">
      <c r="A424" s="83"/>
      <c r="B424" s="84"/>
      <c r="C424" s="108"/>
      <c r="D424" s="102"/>
      <c r="E424" s="117"/>
      <c r="F424" s="250"/>
      <c r="G424" s="88"/>
      <c r="H424" s="36"/>
      <c r="I424" s="37"/>
      <c r="J424" s="38"/>
      <c r="K424" s="39"/>
      <c r="L424" s="38"/>
      <c r="M424" s="39"/>
      <c r="N424" s="40"/>
      <c r="O424" s="34"/>
      <c r="P424" s="35"/>
      <c r="Q424" s="35"/>
      <c r="R424" s="35"/>
      <c r="S424" s="35"/>
      <c r="T424" s="35"/>
      <c r="U424" s="35"/>
      <c r="V424" s="35"/>
      <c r="W424" s="35"/>
      <c r="X424" s="35"/>
      <c r="Y424" s="35"/>
      <c r="Z424" s="35"/>
    </row>
    <row r="425" ht="14.25" customHeight="1">
      <c r="A425" s="83"/>
      <c r="B425" s="84"/>
      <c r="C425" s="108"/>
      <c r="D425" s="102"/>
      <c r="E425" s="117"/>
      <c r="F425" s="250"/>
      <c r="G425" s="88"/>
      <c r="H425" s="36"/>
      <c r="I425" s="37"/>
      <c r="J425" s="38"/>
      <c r="K425" s="39"/>
      <c r="L425" s="38"/>
      <c r="M425" s="39"/>
      <c r="N425" s="40"/>
      <c r="O425" s="34"/>
      <c r="P425" s="35"/>
      <c r="Q425" s="35"/>
      <c r="R425" s="35"/>
      <c r="S425" s="35"/>
      <c r="T425" s="35"/>
      <c r="U425" s="35"/>
      <c r="V425" s="35"/>
      <c r="W425" s="35"/>
      <c r="X425" s="35"/>
      <c r="Y425" s="35"/>
      <c r="Z425" s="35"/>
    </row>
    <row r="426" ht="14.25" customHeight="1">
      <c r="A426" s="83"/>
      <c r="B426" s="84"/>
      <c r="C426" s="108"/>
      <c r="D426" s="102"/>
      <c r="E426" s="117"/>
      <c r="F426" s="250"/>
      <c r="G426" s="88"/>
      <c r="H426" s="36"/>
      <c r="I426" s="37"/>
      <c r="J426" s="38"/>
      <c r="K426" s="39"/>
      <c r="L426" s="38"/>
      <c r="M426" s="39"/>
      <c r="N426" s="40"/>
      <c r="O426" s="34"/>
      <c r="P426" s="35"/>
      <c r="Q426" s="35"/>
      <c r="R426" s="35"/>
      <c r="S426" s="35"/>
      <c r="T426" s="35"/>
      <c r="U426" s="35"/>
      <c r="V426" s="35"/>
      <c r="W426" s="35"/>
      <c r="X426" s="35"/>
      <c r="Y426" s="35"/>
      <c r="Z426" s="35"/>
    </row>
    <row r="427" ht="14.25" customHeight="1">
      <c r="A427" s="83"/>
      <c r="B427" s="84"/>
      <c r="C427" s="108"/>
      <c r="D427" s="102"/>
      <c r="E427" s="117"/>
      <c r="F427" s="250"/>
      <c r="G427" s="88"/>
      <c r="H427" s="36"/>
      <c r="I427" s="37"/>
      <c r="J427" s="38"/>
      <c r="K427" s="39"/>
      <c r="L427" s="38"/>
      <c r="M427" s="39"/>
      <c r="N427" s="40"/>
      <c r="O427" s="34"/>
      <c r="P427" s="35"/>
      <c r="Q427" s="35"/>
      <c r="R427" s="35"/>
      <c r="S427" s="35"/>
      <c r="T427" s="35"/>
      <c r="U427" s="35"/>
      <c r="V427" s="35"/>
      <c r="W427" s="35"/>
      <c r="X427" s="35"/>
      <c r="Y427" s="35"/>
      <c r="Z427" s="35"/>
    </row>
    <row r="428" ht="14.25" customHeight="1">
      <c r="A428" s="83"/>
      <c r="B428" s="84"/>
      <c r="C428" s="108"/>
      <c r="D428" s="102"/>
      <c r="E428" s="117"/>
      <c r="F428" s="250"/>
      <c r="G428" s="88"/>
      <c r="H428" s="36"/>
      <c r="I428" s="37"/>
      <c r="J428" s="38"/>
      <c r="K428" s="39"/>
      <c r="L428" s="38"/>
      <c r="M428" s="39"/>
      <c r="N428" s="40"/>
      <c r="O428" s="34"/>
      <c r="P428" s="35"/>
      <c r="Q428" s="35"/>
      <c r="R428" s="35"/>
      <c r="S428" s="35"/>
      <c r="T428" s="35"/>
      <c r="U428" s="35"/>
      <c r="V428" s="35"/>
      <c r="W428" s="35"/>
      <c r="X428" s="35"/>
      <c r="Y428" s="35"/>
      <c r="Z428" s="35"/>
    </row>
    <row r="429" ht="14.25" customHeight="1">
      <c r="A429" s="83"/>
      <c r="B429" s="84"/>
      <c r="C429" s="108"/>
      <c r="D429" s="102"/>
      <c r="E429" s="117"/>
      <c r="F429" s="250"/>
      <c r="G429" s="88"/>
      <c r="H429" s="36"/>
      <c r="I429" s="37"/>
      <c r="J429" s="38"/>
      <c r="K429" s="39"/>
      <c r="L429" s="38"/>
      <c r="M429" s="39"/>
      <c r="N429" s="40"/>
      <c r="O429" s="34"/>
      <c r="P429" s="35"/>
      <c r="Q429" s="35"/>
      <c r="R429" s="35"/>
      <c r="S429" s="35"/>
      <c r="T429" s="35"/>
      <c r="U429" s="35"/>
      <c r="V429" s="35"/>
      <c r="W429" s="35"/>
      <c r="X429" s="35"/>
      <c r="Y429" s="35"/>
      <c r="Z429" s="35"/>
    </row>
    <row r="430" ht="14.25" customHeight="1">
      <c r="A430" s="83"/>
      <c r="B430" s="84"/>
      <c r="C430" s="108"/>
      <c r="D430" s="102"/>
      <c r="E430" s="117"/>
      <c r="F430" s="250"/>
      <c r="G430" s="88"/>
      <c r="H430" s="36"/>
      <c r="I430" s="37"/>
      <c r="J430" s="38"/>
      <c r="K430" s="39"/>
      <c r="L430" s="38"/>
      <c r="M430" s="39"/>
      <c r="N430" s="40"/>
      <c r="O430" s="34"/>
      <c r="P430" s="35"/>
      <c r="Q430" s="35"/>
      <c r="R430" s="35"/>
      <c r="S430" s="35"/>
      <c r="T430" s="35"/>
      <c r="U430" s="35"/>
      <c r="V430" s="35"/>
      <c r="W430" s="35"/>
      <c r="X430" s="35"/>
      <c r="Y430" s="35"/>
      <c r="Z430" s="35"/>
    </row>
    <row r="431" ht="14.25" customHeight="1">
      <c r="A431" s="83"/>
      <c r="B431" s="84"/>
      <c r="C431" s="108"/>
      <c r="D431" s="102"/>
      <c r="E431" s="117"/>
      <c r="F431" s="250"/>
      <c r="G431" s="88"/>
      <c r="H431" s="36"/>
      <c r="I431" s="37"/>
      <c r="J431" s="38"/>
      <c r="K431" s="39"/>
      <c r="L431" s="38"/>
      <c r="M431" s="39"/>
      <c r="N431" s="40"/>
      <c r="O431" s="34"/>
      <c r="P431" s="35"/>
      <c r="Q431" s="35"/>
      <c r="R431" s="35"/>
      <c r="S431" s="35"/>
      <c r="T431" s="35"/>
      <c r="U431" s="35"/>
      <c r="V431" s="35"/>
      <c r="W431" s="35"/>
      <c r="X431" s="35"/>
      <c r="Y431" s="35"/>
      <c r="Z431" s="35"/>
    </row>
    <row r="432" ht="14.25" customHeight="1">
      <c r="A432" s="83"/>
      <c r="B432" s="84"/>
      <c r="C432" s="108"/>
      <c r="D432" s="102"/>
      <c r="E432" s="117"/>
      <c r="F432" s="250"/>
      <c r="G432" s="88"/>
      <c r="H432" s="36"/>
      <c r="I432" s="37"/>
      <c r="J432" s="38"/>
      <c r="K432" s="39"/>
      <c r="L432" s="38"/>
      <c r="M432" s="39"/>
      <c r="N432" s="40"/>
      <c r="O432" s="34"/>
      <c r="P432" s="35"/>
      <c r="Q432" s="35"/>
      <c r="R432" s="35"/>
      <c r="S432" s="35"/>
      <c r="T432" s="35"/>
      <c r="U432" s="35"/>
      <c r="V432" s="35"/>
      <c r="W432" s="35"/>
      <c r="X432" s="35"/>
      <c r="Y432" s="35"/>
      <c r="Z432" s="35"/>
    </row>
    <row r="433" ht="14.25" customHeight="1">
      <c r="A433" s="83"/>
      <c r="B433" s="84"/>
      <c r="C433" s="108"/>
      <c r="D433" s="102"/>
      <c r="E433" s="117"/>
      <c r="F433" s="250"/>
      <c r="G433" s="88"/>
      <c r="H433" s="36"/>
      <c r="I433" s="37"/>
      <c r="J433" s="38"/>
      <c r="K433" s="39"/>
      <c r="L433" s="38"/>
      <c r="M433" s="39"/>
      <c r="N433" s="40"/>
      <c r="O433" s="34"/>
      <c r="P433" s="35"/>
      <c r="Q433" s="35"/>
      <c r="R433" s="35"/>
      <c r="S433" s="35"/>
      <c r="T433" s="35"/>
      <c r="U433" s="35"/>
      <c r="V433" s="35"/>
      <c r="W433" s="35"/>
      <c r="X433" s="35"/>
      <c r="Y433" s="35"/>
      <c r="Z433" s="35"/>
    </row>
    <row r="434" ht="14.25" customHeight="1">
      <c r="A434" s="83"/>
      <c r="B434" s="84"/>
      <c r="C434" s="108"/>
      <c r="D434" s="102"/>
      <c r="E434" s="117"/>
      <c r="F434" s="250"/>
      <c r="G434" s="88"/>
      <c r="H434" s="36"/>
      <c r="I434" s="37"/>
      <c r="J434" s="38"/>
      <c r="K434" s="39"/>
      <c r="L434" s="38"/>
      <c r="M434" s="39"/>
      <c r="N434" s="40"/>
      <c r="O434" s="34"/>
      <c r="P434" s="35"/>
      <c r="Q434" s="35"/>
      <c r="R434" s="35"/>
      <c r="S434" s="35"/>
      <c r="T434" s="35"/>
      <c r="U434" s="35"/>
      <c r="V434" s="35"/>
      <c r="W434" s="35"/>
      <c r="X434" s="35"/>
      <c r="Y434" s="35"/>
      <c r="Z434" s="35"/>
    </row>
    <row r="435" ht="14.25" customHeight="1">
      <c r="A435" s="83"/>
      <c r="B435" s="84"/>
      <c r="C435" s="108"/>
      <c r="D435" s="102"/>
      <c r="E435" s="117"/>
      <c r="F435" s="250"/>
      <c r="G435" s="88"/>
      <c r="H435" s="36"/>
      <c r="I435" s="37"/>
      <c r="J435" s="38"/>
      <c r="K435" s="39"/>
      <c r="L435" s="38"/>
      <c r="M435" s="39"/>
      <c r="N435" s="40"/>
      <c r="O435" s="34"/>
      <c r="P435" s="35"/>
      <c r="Q435" s="35"/>
      <c r="R435" s="35"/>
      <c r="S435" s="35"/>
      <c r="T435" s="35"/>
      <c r="U435" s="35"/>
      <c r="V435" s="35"/>
      <c r="W435" s="35"/>
      <c r="X435" s="35"/>
      <c r="Y435" s="35"/>
      <c r="Z435" s="35"/>
    </row>
    <row r="436" ht="14.25" customHeight="1">
      <c r="A436" s="83"/>
      <c r="B436" s="84"/>
      <c r="C436" s="108"/>
      <c r="D436" s="102"/>
      <c r="E436" s="117"/>
      <c r="F436" s="250"/>
      <c r="G436" s="88"/>
      <c r="H436" s="36"/>
      <c r="I436" s="37"/>
      <c r="J436" s="38"/>
      <c r="K436" s="39"/>
      <c r="L436" s="38"/>
      <c r="M436" s="39"/>
      <c r="N436" s="40"/>
      <c r="O436" s="34"/>
      <c r="P436" s="35"/>
      <c r="Q436" s="35"/>
      <c r="R436" s="35"/>
      <c r="S436" s="35"/>
      <c r="T436" s="35"/>
      <c r="U436" s="35"/>
      <c r="V436" s="35"/>
      <c r="W436" s="35"/>
      <c r="X436" s="35"/>
      <c r="Y436" s="35"/>
      <c r="Z436" s="35"/>
    </row>
    <row r="437" ht="14.25" customHeight="1">
      <c r="A437" s="83"/>
      <c r="B437" s="84"/>
      <c r="C437" s="108"/>
      <c r="D437" s="102"/>
      <c r="E437" s="117"/>
      <c r="F437" s="250"/>
      <c r="G437" s="88"/>
      <c r="H437" s="36"/>
      <c r="I437" s="37"/>
      <c r="J437" s="38"/>
      <c r="K437" s="39"/>
      <c r="L437" s="38"/>
      <c r="M437" s="39"/>
      <c r="N437" s="40"/>
      <c r="O437" s="34"/>
      <c r="P437" s="35"/>
      <c r="Q437" s="35"/>
      <c r="R437" s="35"/>
      <c r="S437" s="35"/>
      <c r="T437" s="35"/>
      <c r="U437" s="35"/>
      <c r="V437" s="35"/>
      <c r="W437" s="35"/>
      <c r="X437" s="35"/>
      <c r="Y437" s="35"/>
      <c r="Z437" s="35"/>
    </row>
    <row r="438" ht="14.25" customHeight="1">
      <c r="A438" s="83"/>
      <c r="B438" s="84"/>
      <c r="C438" s="108"/>
      <c r="D438" s="102"/>
      <c r="E438" s="117"/>
      <c r="F438" s="250"/>
      <c r="G438" s="88"/>
      <c r="H438" s="36"/>
      <c r="I438" s="37"/>
      <c r="J438" s="38"/>
      <c r="K438" s="39"/>
      <c r="L438" s="38"/>
      <c r="M438" s="39"/>
      <c r="N438" s="40"/>
      <c r="O438" s="34"/>
      <c r="P438" s="35"/>
      <c r="Q438" s="35"/>
      <c r="R438" s="35"/>
      <c r="S438" s="35"/>
      <c r="T438" s="35"/>
      <c r="U438" s="35"/>
      <c r="V438" s="35"/>
      <c r="W438" s="35"/>
      <c r="X438" s="35"/>
      <c r="Y438" s="35"/>
      <c r="Z438" s="35"/>
    </row>
    <row r="439" ht="14.25" customHeight="1">
      <c r="A439" s="83"/>
      <c r="B439" s="84"/>
      <c r="C439" s="108"/>
      <c r="D439" s="102"/>
      <c r="E439" s="117"/>
      <c r="F439" s="250"/>
      <c r="G439" s="88"/>
      <c r="H439" s="36"/>
      <c r="I439" s="37"/>
      <c r="J439" s="38"/>
      <c r="K439" s="39"/>
      <c r="L439" s="38"/>
      <c r="M439" s="39"/>
      <c r="N439" s="40"/>
      <c r="O439" s="34"/>
      <c r="P439" s="35"/>
      <c r="Q439" s="35"/>
      <c r="R439" s="35"/>
      <c r="S439" s="35"/>
      <c r="T439" s="35"/>
      <c r="U439" s="35"/>
      <c r="V439" s="35"/>
      <c r="W439" s="35"/>
      <c r="X439" s="35"/>
      <c r="Y439" s="35"/>
      <c r="Z439" s="35"/>
    </row>
    <row r="440" ht="14.25" customHeight="1">
      <c r="A440" s="83"/>
      <c r="B440" s="84"/>
      <c r="C440" s="108"/>
      <c r="D440" s="102"/>
      <c r="E440" s="117"/>
      <c r="F440" s="250"/>
      <c r="G440" s="88"/>
      <c r="H440" s="36"/>
      <c r="I440" s="37"/>
      <c r="J440" s="38"/>
      <c r="K440" s="39"/>
      <c r="L440" s="38"/>
      <c r="M440" s="39"/>
      <c r="N440" s="40"/>
      <c r="O440" s="34"/>
      <c r="P440" s="35"/>
      <c r="Q440" s="35"/>
      <c r="R440" s="35"/>
      <c r="S440" s="35"/>
      <c r="T440" s="35"/>
      <c r="U440" s="35"/>
      <c r="V440" s="35"/>
      <c r="W440" s="35"/>
      <c r="X440" s="35"/>
      <c r="Y440" s="35"/>
      <c r="Z440" s="35"/>
    </row>
    <row r="441" ht="14.25" customHeight="1">
      <c r="A441" s="83"/>
      <c r="B441" s="84"/>
      <c r="C441" s="108"/>
      <c r="D441" s="102"/>
      <c r="E441" s="117"/>
      <c r="F441" s="250"/>
      <c r="G441" s="88"/>
      <c r="H441" s="36"/>
      <c r="I441" s="37"/>
      <c r="J441" s="38"/>
      <c r="K441" s="39"/>
      <c r="L441" s="38"/>
      <c r="M441" s="39"/>
      <c r="N441" s="40"/>
      <c r="O441" s="34"/>
      <c r="P441" s="35"/>
      <c r="Q441" s="35"/>
      <c r="R441" s="35"/>
      <c r="S441" s="35"/>
      <c r="T441" s="35"/>
      <c r="U441" s="35"/>
      <c r="V441" s="35"/>
      <c r="W441" s="35"/>
      <c r="X441" s="35"/>
      <c r="Y441" s="35"/>
      <c r="Z441" s="35"/>
    </row>
    <row r="442" ht="14.25" customHeight="1">
      <c r="A442" s="83"/>
      <c r="B442" s="84"/>
      <c r="C442" s="108"/>
      <c r="D442" s="102"/>
      <c r="E442" s="117"/>
      <c r="F442" s="250"/>
      <c r="G442" s="88"/>
      <c r="H442" s="36"/>
      <c r="I442" s="37"/>
      <c r="J442" s="38"/>
      <c r="K442" s="39"/>
      <c r="L442" s="38"/>
      <c r="M442" s="39"/>
      <c r="N442" s="40"/>
      <c r="O442" s="34"/>
      <c r="P442" s="35"/>
      <c r="Q442" s="35"/>
      <c r="R442" s="35"/>
      <c r="S442" s="35"/>
      <c r="T442" s="35"/>
      <c r="U442" s="35"/>
      <c r="V442" s="35"/>
      <c r="W442" s="35"/>
      <c r="X442" s="35"/>
      <c r="Y442" s="35"/>
      <c r="Z442" s="35"/>
    </row>
    <row r="443" ht="14.25" customHeight="1">
      <c r="A443" s="83"/>
      <c r="B443" s="84"/>
      <c r="C443" s="108"/>
      <c r="D443" s="102"/>
      <c r="E443" s="117"/>
      <c r="F443" s="250"/>
      <c r="G443" s="88"/>
      <c r="H443" s="36"/>
      <c r="I443" s="37"/>
      <c r="J443" s="38"/>
      <c r="K443" s="39"/>
      <c r="L443" s="38"/>
      <c r="M443" s="39"/>
      <c r="N443" s="40"/>
      <c r="O443" s="34"/>
      <c r="P443" s="35"/>
      <c r="Q443" s="35"/>
      <c r="R443" s="35"/>
      <c r="S443" s="35"/>
      <c r="T443" s="35"/>
      <c r="U443" s="35"/>
      <c r="V443" s="35"/>
      <c r="W443" s="35"/>
      <c r="X443" s="35"/>
      <c r="Y443" s="35"/>
      <c r="Z443" s="35"/>
    </row>
    <row r="444" ht="14.25" customHeight="1">
      <c r="A444" s="83"/>
      <c r="B444" s="84"/>
      <c r="C444" s="108"/>
      <c r="D444" s="102"/>
      <c r="E444" s="117"/>
      <c r="F444" s="250"/>
      <c r="G444" s="88"/>
      <c r="H444" s="36"/>
      <c r="I444" s="37"/>
      <c r="J444" s="38"/>
      <c r="K444" s="39"/>
      <c r="L444" s="38"/>
      <c r="M444" s="39"/>
      <c r="N444" s="40"/>
      <c r="O444" s="34"/>
      <c r="P444" s="35"/>
      <c r="Q444" s="35"/>
      <c r="R444" s="35"/>
      <c r="S444" s="35"/>
      <c r="T444" s="35"/>
      <c r="U444" s="35"/>
      <c r="V444" s="35"/>
      <c r="W444" s="35"/>
      <c r="X444" s="35"/>
      <c r="Y444" s="35"/>
      <c r="Z444" s="35"/>
    </row>
    <row r="445" ht="14.25" customHeight="1">
      <c r="A445" s="83"/>
      <c r="B445" s="84"/>
      <c r="C445" s="108"/>
      <c r="D445" s="102"/>
      <c r="E445" s="117"/>
      <c r="F445" s="250"/>
      <c r="G445" s="88"/>
      <c r="H445" s="36"/>
      <c r="I445" s="37"/>
      <c r="J445" s="38"/>
      <c r="K445" s="39"/>
      <c r="L445" s="38"/>
      <c r="M445" s="39"/>
      <c r="N445" s="40"/>
      <c r="O445" s="34"/>
      <c r="P445" s="35"/>
      <c r="Q445" s="35"/>
      <c r="R445" s="35"/>
      <c r="S445" s="35"/>
      <c r="T445" s="35"/>
      <c r="U445" s="35"/>
      <c r="V445" s="35"/>
      <c r="W445" s="35"/>
      <c r="X445" s="35"/>
      <c r="Y445" s="35"/>
      <c r="Z445" s="35"/>
    </row>
    <row r="446" ht="14.25" customHeight="1">
      <c r="A446" s="83"/>
      <c r="B446" s="84"/>
      <c r="C446" s="108"/>
      <c r="D446" s="102"/>
      <c r="E446" s="117"/>
      <c r="F446" s="250"/>
      <c r="G446" s="88"/>
      <c r="H446" s="36"/>
      <c r="I446" s="37"/>
      <c r="J446" s="38"/>
      <c r="K446" s="39"/>
      <c r="L446" s="38"/>
      <c r="M446" s="39"/>
      <c r="N446" s="40"/>
      <c r="O446" s="34"/>
      <c r="P446" s="35"/>
      <c r="Q446" s="35"/>
      <c r="R446" s="35"/>
      <c r="S446" s="35"/>
      <c r="T446" s="35"/>
      <c r="U446" s="35"/>
      <c r="V446" s="35"/>
      <c r="W446" s="35"/>
      <c r="X446" s="35"/>
      <c r="Y446" s="35"/>
      <c r="Z446" s="35"/>
    </row>
    <row r="447" ht="14.25" customHeight="1">
      <c r="A447" s="83"/>
      <c r="B447" s="84"/>
      <c r="C447" s="108"/>
      <c r="D447" s="102"/>
      <c r="E447" s="117"/>
      <c r="F447" s="250"/>
      <c r="G447" s="88"/>
      <c r="H447" s="36"/>
      <c r="I447" s="37"/>
      <c r="J447" s="38"/>
      <c r="K447" s="39"/>
      <c r="L447" s="38"/>
      <c r="M447" s="39"/>
      <c r="N447" s="40"/>
      <c r="O447" s="34"/>
      <c r="P447" s="35"/>
      <c r="Q447" s="35"/>
      <c r="R447" s="35"/>
      <c r="S447" s="35"/>
      <c r="T447" s="35"/>
      <c r="U447" s="35"/>
      <c r="V447" s="35"/>
      <c r="W447" s="35"/>
      <c r="X447" s="35"/>
      <c r="Y447" s="35"/>
      <c r="Z447" s="35"/>
    </row>
    <row r="448" ht="14.25" customHeight="1">
      <c r="A448" s="83"/>
      <c r="B448" s="84"/>
      <c r="C448" s="108"/>
      <c r="D448" s="102"/>
      <c r="E448" s="117"/>
      <c r="F448" s="250"/>
      <c r="G448" s="88"/>
      <c r="H448" s="36"/>
      <c r="I448" s="37"/>
      <c r="J448" s="38"/>
      <c r="K448" s="39"/>
      <c r="L448" s="38"/>
      <c r="M448" s="39"/>
      <c r="N448" s="40"/>
      <c r="O448" s="34"/>
      <c r="P448" s="35"/>
      <c r="Q448" s="35"/>
      <c r="R448" s="35"/>
      <c r="S448" s="35"/>
      <c r="T448" s="35"/>
      <c r="U448" s="35"/>
      <c r="V448" s="35"/>
      <c r="W448" s="35"/>
      <c r="X448" s="35"/>
      <c r="Y448" s="35"/>
      <c r="Z448" s="35"/>
    </row>
    <row r="449" ht="14.25" customHeight="1">
      <c r="A449" s="83"/>
      <c r="B449" s="84"/>
      <c r="C449" s="108"/>
      <c r="D449" s="102"/>
      <c r="E449" s="117"/>
      <c r="F449" s="250"/>
      <c r="G449" s="88"/>
      <c r="H449" s="36"/>
      <c r="I449" s="37"/>
      <c r="J449" s="38"/>
      <c r="K449" s="39"/>
      <c r="L449" s="38"/>
      <c r="M449" s="39"/>
      <c r="N449" s="40"/>
      <c r="O449" s="34"/>
      <c r="P449" s="35"/>
      <c r="Q449" s="35"/>
      <c r="R449" s="35"/>
      <c r="S449" s="35"/>
      <c r="T449" s="35"/>
      <c r="U449" s="35"/>
      <c r="V449" s="35"/>
      <c r="W449" s="35"/>
      <c r="X449" s="35"/>
      <c r="Y449" s="35"/>
      <c r="Z449" s="35"/>
    </row>
    <row r="450" ht="14.25" customHeight="1">
      <c r="A450" s="83"/>
      <c r="B450" s="84"/>
      <c r="C450" s="108"/>
      <c r="D450" s="102"/>
      <c r="E450" s="117"/>
      <c r="F450" s="250"/>
      <c r="G450" s="88"/>
      <c r="H450" s="36"/>
      <c r="I450" s="37"/>
      <c r="J450" s="38"/>
      <c r="K450" s="39"/>
      <c r="L450" s="38"/>
      <c r="M450" s="39"/>
      <c r="N450" s="40"/>
      <c r="O450" s="34"/>
      <c r="P450" s="35"/>
      <c r="Q450" s="35"/>
      <c r="R450" s="35"/>
      <c r="S450" s="35"/>
      <c r="T450" s="35"/>
      <c r="U450" s="35"/>
      <c r="V450" s="35"/>
      <c r="W450" s="35"/>
      <c r="X450" s="35"/>
      <c r="Y450" s="35"/>
      <c r="Z450" s="35"/>
    </row>
    <row r="451" ht="14.25" customHeight="1">
      <c r="A451" s="83"/>
      <c r="B451" s="84"/>
      <c r="C451" s="108"/>
      <c r="D451" s="102"/>
      <c r="E451" s="117"/>
      <c r="F451" s="250"/>
      <c r="G451" s="88"/>
      <c r="H451" s="36"/>
      <c r="I451" s="37"/>
      <c r="J451" s="38"/>
      <c r="K451" s="39"/>
      <c r="L451" s="38"/>
      <c r="M451" s="39"/>
      <c r="N451" s="40"/>
      <c r="O451" s="34"/>
      <c r="P451" s="35"/>
      <c r="Q451" s="35"/>
      <c r="R451" s="35"/>
      <c r="S451" s="35"/>
      <c r="T451" s="35"/>
      <c r="U451" s="35"/>
      <c r="V451" s="35"/>
      <c r="W451" s="35"/>
      <c r="X451" s="35"/>
      <c r="Y451" s="35"/>
      <c r="Z451" s="35"/>
    </row>
    <row r="452" ht="14.25" customHeight="1">
      <c r="A452" s="83"/>
      <c r="B452" s="84"/>
      <c r="C452" s="108"/>
      <c r="D452" s="102"/>
      <c r="E452" s="117"/>
      <c r="F452" s="250"/>
      <c r="G452" s="88"/>
      <c r="H452" s="36"/>
      <c r="I452" s="37"/>
      <c r="J452" s="38"/>
      <c r="K452" s="39"/>
      <c r="L452" s="38"/>
      <c r="M452" s="39"/>
      <c r="N452" s="40"/>
      <c r="O452" s="34"/>
      <c r="P452" s="35"/>
      <c r="Q452" s="35"/>
      <c r="R452" s="35"/>
      <c r="S452" s="35"/>
      <c r="T452" s="35"/>
      <c r="U452" s="35"/>
      <c r="V452" s="35"/>
      <c r="W452" s="35"/>
      <c r="X452" s="35"/>
      <c r="Y452" s="35"/>
      <c r="Z452" s="35"/>
    </row>
    <row r="453" ht="14.25" customHeight="1">
      <c r="A453" s="83"/>
      <c r="B453" s="84"/>
      <c r="C453" s="108"/>
      <c r="D453" s="102"/>
      <c r="E453" s="117"/>
      <c r="F453" s="250"/>
      <c r="G453" s="88"/>
      <c r="H453" s="36"/>
      <c r="I453" s="37"/>
      <c r="J453" s="38"/>
      <c r="K453" s="39"/>
      <c r="L453" s="38"/>
      <c r="M453" s="39"/>
      <c r="N453" s="40"/>
      <c r="O453" s="34"/>
      <c r="P453" s="35"/>
      <c r="Q453" s="35"/>
      <c r="R453" s="35"/>
      <c r="S453" s="35"/>
      <c r="T453" s="35"/>
      <c r="U453" s="35"/>
      <c r="V453" s="35"/>
      <c r="W453" s="35"/>
      <c r="X453" s="35"/>
      <c r="Y453" s="35"/>
      <c r="Z453" s="35"/>
    </row>
    <row r="454" ht="14.25" customHeight="1">
      <c r="A454" s="83"/>
      <c r="B454" s="84"/>
      <c r="C454" s="108"/>
      <c r="D454" s="102"/>
      <c r="E454" s="117"/>
      <c r="F454" s="250"/>
      <c r="G454" s="88"/>
      <c r="H454" s="36"/>
      <c r="I454" s="37"/>
      <c r="J454" s="38"/>
      <c r="K454" s="39"/>
      <c r="L454" s="38"/>
      <c r="M454" s="39"/>
      <c r="N454" s="40"/>
      <c r="O454" s="34"/>
      <c r="P454" s="35"/>
      <c r="Q454" s="35"/>
      <c r="R454" s="35"/>
      <c r="S454" s="35"/>
      <c r="T454" s="35"/>
      <c r="U454" s="35"/>
      <c r="V454" s="35"/>
      <c r="W454" s="35"/>
      <c r="X454" s="35"/>
      <c r="Y454" s="35"/>
      <c r="Z454" s="35"/>
    </row>
    <row r="455" ht="14.25" customHeight="1">
      <c r="A455" s="83"/>
      <c r="B455" s="84"/>
      <c r="C455" s="108"/>
      <c r="D455" s="102"/>
      <c r="E455" s="117"/>
      <c r="F455" s="250"/>
      <c r="G455" s="88"/>
      <c r="H455" s="36"/>
      <c r="I455" s="37"/>
      <c r="J455" s="38"/>
      <c r="K455" s="39"/>
      <c r="L455" s="38"/>
      <c r="M455" s="39"/>
      <c r="N455" s="40"/>
      <c r="O455" s="34"/>
      <c r="P455" s="35"/>
      <c r="Q455" s="35"/>
      <c r="R455" s="35"/>
      <c r="S455" s="35"/>
      <c r="T455" s="35"/>
      <c r="U455" s="35"/>
      <c r="V455" s="35"/>
      <c r="W455" s="35"/>
      <c r="X455" s="35"/>
      <c r="Y455" s="35"/>
      <c r="Z455" s="35"/>
    </row>
    <row r="456" ht="14.25" customHeight="1">
      <c r="A456" s="83"/>
      <c r="B456" s="84"/>
      <c r="C456" s="108"/>
      <c r="D456" s="102"/>
      <c r="E456" s="117"/>
      <c r="F456" s="250"/>
      <c r="G456" s="88"/>
      <c r="H456" s="36"/>
      <c r="I456" s="37"/>
      <c r="J456" s="38"/>
      <c r="K456" s="39"/>
      <c r="L456" s="38"/>
      <c r="M456" s="39"/>
      <c r="N456" s="40"/>
      <c r="O456" s="34"/>
      <c r="P456" s="35"/>
      <c r="Q456" s="35"/>
      <c r="R456" s="35"/>
      <c r="S456" s="35"/>
      <c r="T456" s="35"/>
      <c r="U456" s="35"/>
      <c r="V456" s="35"/>
      <c r="W456" s="35"/>
      <c r="X456" s="35"/>
      <c r="Y456" s="35"/>
      <c r="Z456" s="35"/>
    </row>
    <row r="457" ht="14.25" customHeight="1">
      <c r="A457" s="83"/>
      <c r="B457" s="84"/>
      <c r="C457" s="108"/>
      <c r="D457" s="102"/>
      <c r="E457" s="117"/>
      <c r="F457" s="250"/>
      <c r="G457" s="88"/>
      <c r="H457" s="36"/>
      <c r="I457" s="37"/>
      <c r="J457" s="38"/>
      <c r="K457" s="39"/>
      <c r="L457" s="38"/>
      <c r="M457" s="39"/>
      <c r="N457" s="40"/>
      <c r="O457" s="34"/>
      <c r="P457" s="35"/>
      <c r="Q457" s="35"/>
      <c r="R457" s="35"/>
      <c r="S457" s="35"/>
      <c r="T457" s="35"/>
      <c r="U457" s="35"/>
      <c r="V457" s="35"/>
      <c r="W457" s="35"/>
      <c r="X457" s="35"/>
      <c r="Y457" s="35"/>
      <c r="Z457" s="35"/>
    </row>
    <row r="458" ht="14.25" customHeight="1">
      <c r="A458" s="83"/>
      <c r="B458" s="84"/>
      <c r="C458" s="108"/>
      <c r="D458" s="102"/>
      <c r="E458" s="117"/>
      <c r="F458" s="250"/>
      <c r="G458" s="88"/>
      <c r="H458" s="36"/>
      <c r="I458" s="37"/>
      <c r="J458" s="38"/>
      <c r="K458" s="39"/>
      <c r="L458" s="38"/>
      <c r="M458" s="39"/>
      <c r="N458" s="40"/>
      <c r="O458" s="34"/>
      <c r="P458" s="35"/>
      <c r="Q458" s="35"/>
      <c r="R458" s="35"/>
      <c r="S458" s="35"/>
      <c r="T458" s="35"/>
      <c r="U458" s="35"/>
      <c r="V458" s="35"/>
      <c r="W458" s="35"/>
      <c r="X458" s="35"/>
      <c r="Y458" s="35"/>
      <c r="Z458" s="35"/>
    </row>
    <row r="459" ht="14.25" customHeight="1">
      <c r="A459" s="83"/>
      <c r="B459" s="84"/>
      <c r="C459" s="108"/>
      <c r="D459" s="102"/>
      <c r="E459" s="117"/>
      <c r="F459" s="250"/>
      <c r="G459" s="88"/>
      <c r="H459" s="36"/>
      <c r="I459" s="37"/>
      <c r="J459" s="38"/>
      <c r="K459" s="39"/>
      <c r="L459" s="38"/>
      <c r="M459" s="39"/>
      <c r="N459" s="40"/>
      <c r="O459" s="34"/>
      <c r="P459" s="35"/>
      <c r="Q459" s="35"/>
      <c r="R459" s="35"/>
      <c r="S459" s="35"/>
      <c r="T459" s="35"/>
      <c r="U459" s="35"/>
      <c r="V459" s="35"/>
      <c r="W459" s="35"/>
      <c r="X459" s="35"/>
      <c r="Y459" s="35"/>
      <c r="Z459" s="35"/>
    </row>
    <row r="460" ht="14.25" customHeight="1">
      <c r="A460" s="83"/>
      <c r="B460" s="84"/>
      <c r="C460" s="108"/>
      <c r="D460" s="102"/>
      <c r="E460" s="117"/>
      <c r="F460" s="250"/>
      <c r="G460" s="88"/>
      <c r="H460" s="36"/>
      <c r="I460" s="37"/>
      <c r="J460" s="38"/>
      <c r="K460" s="39"/>
      <c r="L460" s="38"/>
      <c r="M460" s="39"/>
      <c r="N460" s="40"/>
      <c r="O460" s="34"/>
      <c r="P460" s="35"/>
      <c r="Q460" s="35"/>
      <c r="R460" s="35"/>
      <c r="S460" s="35"/>
      <c r="T460" s="35"/>
      <c r="U460" s="35"/>
      <c r="V460" s="35"/>
      <c r="W460" s="35"/>
      <c r="X460" s="35"/>
      <c r="Y460" s="35"/>
      <c r="Z460" s="35"/>
    </row>
    <row r="461" ht="14.25" customHeight="1">
      <c r="A461" s="83"/>
      <c r="B461" s="84"/>
      <c r="C461" s="108"/>
      <c r="D461" s="102"/>
      <c r="E461" s="117"/>
      <c r="F461" s="250"/>
      <c r="G461" s="88"/>
      <c r="H461" s="36"/>
      <c r="I461" s="37"/>
      <c r="J461" s="38"/>
      <c r="K461" s="39"/>
      <c r="L461" s="38"/>
      <c r="M461" s="39"/>
      <c r="N461" s="40"/>
      <c r="O461" s="34"/>
      <c r="P461" s="35"/>
      <c r="Q461" s="35"/>
      <c r="R461" s="35"/>
      <c r="S461" s="35"/>
      <c r="T461" s="35"/>
      <c r="U461" s="35"/>
      <c r="V461" s="35"/>
      <c r="W461" s="35"/>
      <c r="X461" s="35"/>
      <c r="Y461" s="35"/>
      <c r="Z461" s="35"/>
    </row>
    <row r="462" ht="14.25" customHeight="1">
      <c r="A462" s="83"/>
      <c r="B462" s="84"/>
      <c r="C462" s="108"/>
      <c r="D462" s="102"/>
      <c r="E462" s="117"/>
      <c r="F462" s="250"/>
      <c r="G462" s="88"/>
      <c r="H462" s="36"/>
      <c r="I462" s="37"/>
      <c r="J462" s="38"/>
      <c r="K462" s="39"/>
      <c r="L462" s="38"/>
      <c r="M462" s="39"/>
      <c r="N462" s="40"/>
      <c r="O462" s="34"/>
      <c r="P462" s="35"/>
      <c r="Q462" s="35"/>
      <c r="R462" s="35"/>
      <c r="S462" s="35"/>
      <c r="T462" s="35"/>
      <c r="U462" s="35"/>
      <c r="V462" s="35"/>
      <c r="W462" s="35"/>
      <c r="X462" s="35"/>
      <c r="Y462" s="35"/>
      <c r="Z462" s="35"/>
    </row>
    <row r="463" ht="14.25" customHeight="1">
      <c r="A463" s="83"/>
      <c r="B463" s="84"/>
      <c r="C463" s="108"/>
      <c r="D463" s="102"/>
      <c r="E463" s="117"/>
      <c r="F463" s="250"/>
      <c r="G463" s="88"/>
      <c r="H463" s="36"/>
      <c r="I463" s="37"/>
      <c r="J463" s="38"/>
      <c r="K463" s="39"/>
      <c r="L463" s="38"/>
      <c r="M463" s="39"/>
      <c r="N463" s="40"/>
      <c r="O463" s="34"/>
      <c r="P463" s="35"/>
      <c r="Q463" s="35"/>
      <c r="R463" s="35"/>
      <c r="S463" s="35"/>
      <c r="T463" s="35"/>
      <c r="U463" s="35"/>
      <c r="V463" s="35"/>
      <c r="W463" s="35"/>
      <c r="X463" s="35"/>
      <c r="Y463" s="35"/>
      <c r="Z463" s="35"/>
    </row>
    <row r="464" ht="14.25" customHeight="1">
      <c r="A464" s="83"/>
      <c r="B464" s="84"/>
      <c r="C464" s="108"/>
      <c r="D464" s="102"/>
      <c r="E464" s="117"/>
      <c r="F464" s="250"/>
      <c r="G464" s="88"/>
      <c r="H464" s="36"/>
      <c r="I464" s="37"/>
      <c r="J464" s="38"/>
      <c r="K464" s="39"/>
      <c r="L464" s="38"/>
      <c r="M464" s="39"/>
      <c r="N464" s="40"/>
      <c r="O464" s="34"/>
      <c r="P464" s="35"/>
      <c r="Q464" s="35"/>
      <c r="R464" s="35"/>
      <c r="S464" s="35"/>
      <c r="T464" s="35"/>
      <c r="U464" s="35"/>
      <c r="V464" s="35"/>
      <c r="W464" s="35"/>
      <c r="X464" s="35"/>
      <c r="Y464" s="35"/>
      <c r="Z464" s="35"/>
    </row>
    <row r="465" ht="14.25" customHeight="1">
      <c r="A465" s="83"/>
      <c r="B465" s="84"/>
      <c r="C465" s="108"/>
      <c r="D465" s="102"/>
      <c r="E465" s="117"/>
      <c r="F465" s="250"/>
      <c r="G465" s="88"/>
      <c r="H465" s="36"/>
      <c r="I465" s="37"/>
      <c r="J465" s="38"/>
      <c r="K465" s="39"/>
      <c r="L465" s="38"/>
      <c r="M465" s="39"/>
      <c r="N465" s="40"/>
      <c r="O465" s="34"/>
      <c r="P465" s="35"/>
      <c r="Q465" s="35"/>
      <c r="R465" s="35"/>
      <c r="S465" s="35"/>
      <c r="T465" s="35"/>
      <c r="U465" s="35"/>
      <c r="V465" s="35"/>
      <c r="W465" s="35"/>
      <c r="X465" s="35"/>
      <c r="Y465" s="35"/>
      <c r="Z465" s="35"/>
    </row>
    <row r="466" ht="14.25" customHeight="1">
      <c r="A466" s="83"/>
      <c r="B466" s="84"/>
      <c r="C466" s="108"/>
      <c r="D466" s="102"/>
      <c r="E466" s="117"/>
      <c r="F466" s="250"/>
      <c r="G466" s="88"/>
      <c r="H466" s="36"/>
      <c r="I466" s="37"/>
      <c r="J466" s="38"/>
      <c r="K466" s="39"/>
      <c r="L466" s="38"/>
      <c r="M466" s="39"/>
      <c r="N466" s="40"/>
      <c r="O466" s="34"/>
      <c r="P466" s="35"/>
      <c r="Q466" s="35"/>
      <c r="R466" s="35"/>
      <c r="S466" s="35"/>
      <c r="T466" s="35"/>
      <c r="U466" s="35"/>
      <c r="V466" s="35"/>
      <c r="W466" s="35"/>
      <c r="X466" s="35"/>
      <c r="Y466" s="35"/>
      <c r="Z466" s="35"/>
    </row>
    <row r="467" ht="14.25" customHeight="1">
      <c r="A467" s="83"/>
      <c r="B467" s="84"/>
      <c r="C467" s="108"/>
      <c r="D467" s="102"/>
      <c r="E467" s="117"/>
      <c r="F467" s="250"/>
      <c r="G467" s="88"/>
      <c r="H467" s="36"/>
      <c r="I467" s="37"/>
      <c r="J467" s="38"/>
      <c r="K467" s="39"/>
      <c r="L467" s="38"/>
      <c r="M467" s="39"/>
      <c r="N467" s="40"/>
      <c r="O467" s="34"/>
      <c r="P467" s="35"/>
      <c r="Q467" s="35"/>
      <c r="R467" s="35"/>
      <c r="S467" s="35"/>
      <c r="T467" s="35"/>
      <c r="U467" s="35"/>
      <c r="V467" s="35"/>
      <c r="W467" s="35"/>
      <c r="X467" s="35"/>
      <c r="Y467" s="35"/>
      <c r="Z467" s="35"/>
    </row>
    <row r="468" ht="14.25" customHeight="1">
      <c r="A468" s="83"/>
      <c r="B468" s="84"/>
      <c r="C468" s="108"/>
      <c r="D468" s="102"/>
      <c r="E468" s="117"/>
      <c r="F468" s="250"/>
      <c r="G468" s="88"/>
      <c r="H468" s="36"/>
      <c r="I468" s="37"/>
      <c r="J468" s="38"/>
      <c r="K468" s="39"/>
      <c r="L468" s="38"/>
      <c r="M468" s="39"/>
      <c r="N468" s="40"/>
      <c r="O468" s="34"/>
      <c r="P468" s="35"/>
      <c r="Q468" s="35"/>
      <c r="R468" s="35"/>
      <c r="S468" s="35"/>
      <c r="T468" s="35"/>
      <c r="U468" s="35"/>
      <c r="V468" s="35"/>
      <c r="W468" s="35"/>
      <c r="X468" s="35"/>
      <c r="Y468" s="35"/>
      <c r="Z468" s="35"/>
    </row>
    <row r="469" ht="14.25" customHeight="1">
      <c r="A469" s="83"/>
      <c r="B469" s="84"/>
      <c r="C469" s="108"/>
      <c r="D469" s="102"/>
      <c r="E469" s="117"/>
      <c r="F469" s="250"/>
      <c r="G469" s="88"/>
      <c r="H469" s="36"/>
      <c r="I469" s="37"/>
      <c r="J469" s="38"/>
      <c r="K469" s="39"/>
      <c r="L469" s="38"/>
      <c r="M469" s="39"/>
      <c r="N469" s="40"/>
      <c r="O469" s="34"/>
      <c r="P469" s="35"/>
      <c r="Q469" s="35"/>
      <c r="R469" s="35"/>
      <c r="S469" s="35"/>
      <c r="T469" s="35"/>
      <c r="U469" s="35"/>
      <c r="V469" s="35"/>
      <c r="W469" s="35"/>
      <c r="X469" s="35"/>
      <c r="Y469" s="35"/>
      <c r="Z469" s="35"/>
    </row>
    <row r="470" ht="14.25" customHeight="1">
      <c r="A470" s="83"/>
      <c r="B470" s="84"/>
      <c r="C470" s="108"/>
      <c r="D470" s="102"/>
      <c r="E470" s="117"/>
      <c r="F470" s="250"/>
      <c r="G470" s="88"/>
      <c r="H470" s="36"/>
      <c r="I470" s="37"/>
      <c r="J470" s="38"/>
      <c r="K470" s="39"/>
      <c r="L470" s="38"/>
      <c r="M470" s="39"/>
      <c r="N470" s="40"/>
      <c r="O470" s="34"/>
      <c r="P470" s="35"/>
      <c r="Q470" s="35"/>
      <c r="R470" s="35"/>
      <c r="S470" s="35"/>
      <c r="T470" s="35"/>
      <c r="U470" s="35"/>
      <c r="V470" s="35"/>
      <c r="W470" s="35"/>
      <c r="X470" s="35"/>
      <c r="Y470" s="35"/>
      <c r="Z470" s="35"/>
    </row>
    <row r="471" ht="14.25" customHeight="1">
      <c r="A471" s="83"/>
      <c r="B471" s="84"/>
      <c r="C471" s="108"/>
      <c r="D471" s="102"/>
      <c r="E471" s="117"/>
      <c r="F471" s="250"/>
      <c r="G471" s="88"/>
      <c r="H471" s="36"/>
      <c r="I471" s="37"/>
      <c r="J471" s="38"/>
      <c r="K471" s="39"/>
      <c r="L471" s="38"/>
      <c r="M471" s="39"/>
      <c r="N471" s="40"/>
      <c r="O471" s="34"/>
      <c r="P471" s="35"/>
      <c r="Q471" s="35"/>
      <c r="R471" s="35"/>
      <c r="S471" s="35"/>
      <c r="T471" s="35"/>
      <c r="U471" s="35"/>
      <c r="V471" s="35"/>
      <c r="W471" s="35"/>
      <c r="X471" s="35"/>
      <c r="Y471" s="35"/>
      <c r="Z471" s="35"/>
    </row>
    <row r="472" ht="14.25" customHeight="1">
      <c r="A472" s="83"/>
      <c r="B472" s="84"/>
      <c r="C472" s="108"/>
      <c r="D472" s="102"/>
      <c r="E472" s="117"/>
      <c r="F472" s="250"/>
      <c r="G472" s="88"/>
      <c r="H472" s="36"/>
      <c r="I472" s="37"/>
      <c r="J472" s="38"/>
      <c r="K472" s="39"/>
      <c r="L472" s="38"/>
      <c r="M472" s="39"/>
      <c r="N472" s="40"/>
      <c r="O472" s="34"/>
      <c r="P472" s="35"/>
      <c r="Q472" s="35"/>
      <c r="R472" s="35"/>
      <c r="S472" s="35"/>
      <c r="T472" s="35"/>
      <c r="U472" s="35"/>
      <c r="V472" s="35"/>
      <c r="W472" s="35"/>
      <c r="X472" s="35"/>
      <c r="Y472" s="35"/>
      <c r="Z472" s="35"/>
    </row>
    <row r="473" ht="14.25" customHeight="1">
      <c r="A473" s="83"/>
      <c r="B473" s="84"/>
      <c r="C473" s="108"/>
      <c r="D473" s="102"/>
      <c r="E473" s="117"/>
      <c r="F473" s="250"/>
      <c r="G473" s="88"/>
      <c r="H473" s="36"/>
      <c r="I473" s="37"/>
      <c r="J473" s="38"/>
      <c r="K473" s="39"/>
      <c r="L473" s="38"/>
      <c r="M473" s="39"/>
      <c r="N473" s="40"/>
      <c r="O473" s="34"/>
      <c r="P473" s="35"/>
      <c r="Q473" s="35"/>
      <c r="R473" s="35"/>
      <c r="S473" s="35"/>
      <c r="T473" s="35"/>
      <c r="U473" s="35"/>
      <c r="V473" s="35"/>
      <c r="W473" s="35"/>
      <c r="X473" s="35"/>
      <c r="Y473" s="35"/>
      <c r="Z473" s="35"/>
    </row>
    <row r="474" ht="14.25" customHeight="1">
      <c r="A474" s="83"/>
      <c r="B474" s="84"/>
      <c r="C474" s="108"/>
      <c r="D474" s="102"/>
      <c r="E474" s="117"/>
      <c r="F474" s="250"/>
      <c r="G474" s="88"/>
      <c r="H474" s="36"/>
      <c r="I474" s="37"/>
      <c r="J474" s="38"/>
      <c r="K474" s="39"/>
      <c r="L474" s="38"/>
      <c r="M474" s="39"/>
      <c r="N474" s="40"/>
      <c r="O474" s="34"/>
      <c r="P474" s="35"/>
      <c r="Q474" s="35"/>
      <c r="R474" s="35"/>
      <c r="S474" s="35"/>
      <c r="T474" s="35"/>
      <c r="U474" s="35"/>
      <c r="V474" s="35"/>
      <c r="W474" s="35"/>
      <c r="X474" s="35"/>
      <c r="Y474" s="35"/>
      <c r="Z474" s="35"/>
    </row>
    <row r="475" ht="14.25" customHeight="1">
      <c r="A475" s="83"/>
      <c r="B475" s="84"/>
      <c r="C475" s="108"/>
      <c r="D475" s="102"/>
      <c r="E475" s="117"/>
      <c r="F475" s="250"/>
      <c r="G475" s="88"/>
      <c r="H475" s="36"/>
      <c r="I475" s="37"/>
      <c r="J475" s="38"/>
      <c r="K475" s="39"/>
      <c r="L475" s="38"/>
      <c r="M475" s="39"/>
      <c r="N475" s="40"/>
      <c r="O475" s="34"/>
      <c r="P475" s="35"/>
      <c r="Q475" s="35"/>
      <c r="R475" s="35"/>
      <c r="S475" s="35"/>
      <c r="T475" s="35"/>
      <c r="U475" s="35"/>
      <c r="V475" s="35"/>
      <c r="W475" s="35"/>
      <c r="X475" s="35"/>
      <c r="Y475" s="35"/>
      <c r="Z475" s="35"/>
    </row>
    <row r="476" ht="14.25" customHeight="1">
      <c r="A476" s="83"/>
      <c r="B476" s="84"/>
      <c r="C476" s="108"/>
      <c r="D476" s="102"/>
      <c r="E476" s="117"/>
      <c r="F476" s="250"/>
      <c r="G476" s="88"/>
      <c r="H476" s="36"/>
      <c r="I476" s="37"/>
      <c r="J476" s="38"/>
      <c r="K476" s="39"/>
      <c r="L476" s="38"/>
      <c r="M476" s="39"/>
      <c r="N476" s="40"/>
      <c r="O476" s="34"/>
      <c r="P476" s="35"/>
      <c r="Q476" s="35"/>
      <c r="R476" s="35"/>
      <c r="S476" s="35"/>
      <c r="T476" s="35"/>
      <c r="U476" s="35"/>
      <c r="V476" s="35"/>
      <c r="W476" s="35"/>
      <c r="X476" s="35"/>
      <c r="Y476" s="35"/>
      <c r="Z476" s="35"/>
    </row>
    <row r="477" ht="14.25" customHeight="1">
      <c r="A477" s="83"/>
      <c r="B477" s="84"/>
      <c r="C477" s="108"/>
      <c r="D477" s="102"/>
      <c r="E477" s="117"/>
      <c r="F477" s="250"/>
      <c r="G477" s="88"/>
      <c r="H477" s="36"/>
      <c r="I477" s="37"/>
      <c r="J477" s="38"/>
      <c r="K477" s="39"/>
      <c r="L477" s="38"/>
      <c r="M477" s="39"/>
      <c r="N477" s="40"/>
      <c r="O477" s="34"/>
      <c r="P477" s="35"/>
      <c r="Q477" s="35"/>
      <c r="R477" s="35"/>
      <c r="S477" s="35"/>
      <c r="T477" s="35"/>
      <c r="U477" s="35"/>
      <c r="V477" s="35"/>
      <c r="W477" s="35"/>
      <c r="X477" s="35"/>
      <c r="Y477" s="35"/>
      <c r="Z477" s="35"/>
    </row>
    <row r="478" ht="14.25" customHeight="1">
      <c r="A478" s="83"/>
      <c r="B478" s="84"/>
      <c r="C478" s="108"/>
      <c r="D478" s="102"/>
      <c r="E478" s="117"/>
      <c r="F478" s="250"/>
      <c r="G478" s="88"/>
      <c r="H478" s="36"/>
      <c r="I478" s="37"/>
      <c r="J478" s="38"/>
      <c r="K478" s="39"/>
      <c r="L478" s="38"/>
      <c r="M478" s="39"/>
      <c r="N478" s="40"/>
      <c r="O478" s="34"/>
      <c r="P478" s="35"/>
      <c r="Q478" s="35"/>
      <c r="R478" s="35"/>
      <c r="S478" s="35"/>
      <c r="T478" s="35"/>
      <c r="U478" s="35"/>
      <c r="V478" s="35"/>
      <c r="W478" s="35"/>
      <c r="X478" s="35"/>
      <c r="Y478" s="35"/>
      <c r="Z478" s="35"/>
    </row>
    <row r="479" ht="14.25" customHeight="1">
      <c r="A479" s="83"/>
      <c r="B479" s="84"/>
      <c r="C479" s="108"/>
      <c r="D479" s="102"/>
      <c r="E479" s="117"/>
      <c r="F479" s="250"/>
      <c r="G479" s="88"/>
      <c r="H479" s="36"/>
      <c r="I479" s="37"/>
      <c r="J479" s="38"/>
      <c r="K479" s="39"/>
      <c r="L479" s="38"/>
      <c r="M479" s="39"/>
      <c r="N479" s="40"/>
      <c r="O479" s="34"/>
      <c r="P479" s="35"/>
      <c r="Q479" s="35"/>
      <c r="R479" s="35"/>
      <c r="S479" s="35"/>
      <c r="T479" s="35"/>
      <c r="U479" s="35"/>
      <c r="V479" s="35"/>
      <c r="W479" s="35"/>
      <c r="X479" s="35"/>
      <c r="Y479" s="35"/>
      <c r="Z479" s="35"/>
    </row>
    <row r="480" ht="14.25" customHeight="1">
      <c r="A480" s="83"/>
      <c r="B480" s="84"/>
      <c r="C480" s="108"/>
      <c r="D480" s="102"/>
      <c r="E480" s="117"/>
      <c r="F480" s="250"/>
      <c r="G480" s="88"/>
      <c r="H480" s="36"/>
      <c r="I480" s="37"/>
      <c r="J480" s="38"/>
      <c r="K480" s="39"/>
      <c r="L480" s="38"/>
      <c r="M480" s="39"/>
      <c r="N480" s="40"/>
      <c r="O480" s="34"/>
      <c r="P480" s="35"/>
      <c r="Q480" s="35"/>
      <c r="R480" s="35"/>
      <c r="S480" s="35"/>
      <c r="T480" s="35"/>
      <c r="U480" s="35"/>
      <c r="V480" s="35"/>
      <c r="W480" s="35"/>
      <c r="X480" s="35"/>
      <c r="Y480" s="35"/>
      <c r="Z480" s="35"/>
    </row>
    <row r="481" ht="14.25" customHeight="1">
      <c r="A481" s="83"/>
      <c r="B481" s="84"/>
      <c r="C481" s="108"/>
      <c r="D481" s="102"/>
      <c r="E481" s="117"/>
      <c r="F481" s="250"/>
      <c r="G481" s="88"/>
      <c r="H481" s="36"/>
      <c r="I481" s="37"/>
      <c r="J481" s="38"/>
      <c r="K481" s="39"/>
      <c r="L481" s="38"/>
      <c r="M481" s="39"/>
      <c r="N481" s="40"/>
      <c r="O481" s="34"/>
      <c r="P481" s="35"/>
      <c r="Q481" s="35"/>
      <c r="R481" s="35"/>
      <c r="S481" s="35"/>
      <c r="T481" s="35"/>
      <c r="U481" s="35"/>
      <c r="V481" s="35"/>
      <c r="W481" s="35"/>
      <c r="X481" s="35"/>
      <c r="Y481" s="35"/>
      <c r="Z481" s="35"/>
    </row>
    <row r="482" ht="14.25" customHeight="1">
      <c r="A482" s="83"/>
      <c r="B482" s="84"/>
      <c r="C482" s="108"/>
      <c r="D482" s="102"/>
      <c r="E482" s="117"/>
      <c r="F482" s="250"/>
      <c r="G482" s="88"/>
      <c r="H482" s="36"/>
      <c r="I482" s="37"/>
      <c r="J482" s="38"/>
      <c r="K482" s="39"/>
      <c r="L482" s="38"/>
      <c r="M482" s="39"/>
      <c r="N482" s="40"/>
      <c r="O482" s="34"/>
      <c r="P482" s="35"/>
      <c r="Q482" s="35"/>
      <c r="R482" s="35"/>
      <c r="S482" s="35"/>
      <c r="T482" s="35"/>
      <c r="U482" s="35"/>
      <c r="V482" s="35"/>
      <c r="W482" s="35"/>
      <c r="X482" s="35"/>
      <c r="Y482" s="35"/>
      <c r="Z482" s="35"/>
    </row>
    <row r="483" ht="14.25" customHeight="1">
      <c r="A483" s="83"/>
      <c r="B483" s="84"/>
      <c r="C483" s="108"/>
      <c r="D483" s="102"/>
      <c r="E483" s="117"/>
      <c r="F483" s="250"/>
      <c r="G483" s="88"/>
      <c r="H483" s="36"/>
      <c r="I483" s="37"/>
      <c r="J483" s="38"/>
      <c r="K483" s="39"/>
      <c r="L483" s="38"/>
      <c r="M483" s="39"/>
      <c r="N483" s="40"/>
      <c r="O483" s="34"/>
      <c r="P483" s="35"/>
      <c r="Q483" s="35"/>
      <c r="R483" s="35"/>
      <c r="S483" s="35"/>
      <c r="T483" s="35"/>
      <c r="U483" s="35"/>
      <c r="V483" s="35"/>
      <c r="W483" s="35"/>
      <c r="X483" s="35"/>
      <c r="Y483" s="35"/>
      <c r="Z483" s="35"/>
    </row>
    <row r="484" ht="14.25" customHeight="1">
      <c r="A484" s="83"/>
      <c r="B484" s="84"/>
      <c r="C484" s="108"/>
      <c r="D484" s="102"/>
      <c r="E484" s="117"/>
      <c r="F484" s="250"/>
      <c r="G484" s="88"/>
      <c r="H484" s="36"/>
      <c r="I484" s="37"/>
      <c r="J484" s="38"/>
      <c r="K484" s="39"/>
      <c r="L484" s="38"/>
      <c r="M484" s="39"/>
      <c r="N484" s="40"/>
      <c r="O484" s="34"/>
      <c r="P484" s="35"/>
      <c r="Q484" s="35"/>
      <c r="R484" s="35"/>
      <c r="S484" s="35"/>
      <c r="T484" s="35"/>
      <c r="U484" s="35"/>
      <c r="V484" s="35"/>
      <c r="W484" s="35"/>
      <c r="X484" s="35"/>
      <c r="Y484" s="35"/>
      <c r="Z484" s="35"/>
    </row>
    <row r="485" ht="14.25" customHeight="1">
      <c r="A485" s="83"/>
      <c r="B485" s="84"/>
      <c r="C485" s="108"/>
      <c r="D485" s="102"/>
      <c r="E485" s="117"/>
      <c r="F485" s="250"/>
      <c r="G485" s="88"/>
      <c r="H485" s="36"/>
      <c r="I485" s="37"/>
      <c r="J485" s="38"/>
      <c r="K485" s="39"/>
      <c r="L485" s="38"/>
      <c r="M485" s="39"/>
      <c r="N485" s="40"/>
      <c r="O485" s="34"/>
      <c r="P485" s="35"/>
      <c r="Q485" s="35"/>
      <c r="R485" s="35"/>
      <c r="S485" s="35"/>
      <c r="T485" s="35"/>
      <c r="U485" s="35"/>
      <c r="V485" s="35"/>
      <c r="W485" s="35"/>
      <c r="X485" s="35"/>
      <c r="Y485" s="35"/>
      <c r="Z485" s="35"/>
    </row>
    <row r="486" ht="14.25" customHeight="1">
      <c r="A486" s="83"/>
      <c r="B486" s="84"/>
      <c r="C486" s="108"/>
      <c r="D486" s="102"/>
      <c r="E486" s="117"/>
      <c r="F486" s="250"/>
      <c r="G486" s="88"/>
      <c r="H486" s="36"/>
      <c r="I486" s="37"/>
      <c r="J486" s="38"/>
      <c r="K486" s="39"/>
      <c r="L486" s="38"/>
      <c r="M486" s="39"/>
      <c r="N486" s="40"/>
      <c r="O486" s="34"/>
      <c r="P486" s="35"/>
      <c r="Q486" s="35"/>
      <c r="R486" s="35"/>
      <c r="S486" s="35"/>
      <c r="T486" s="35"/>
      <c r="U486" s="35"/>
      <c r="V486" s="35"/>
      <c r="W486" s="35"/>
      <c r="X486" s="35"/>
      <c r="Y486" s="35"/>
      <c r="Z486" s="35"/>
    </row>
    <row r="487" ht="14.25" customHeight="1">
      <c r="A487" s="83"/>
      <c r="B487" s="84"/>
      <c r="C487" s="108"/>
      <c r="D487" s="102"/>
      <c r="E487" s="117"/>
      <c r="F487" s="250"/>
      <c r="G487" s="88"/>
      <c r="H487" s="36"/>
      <c r="I487" s="37"/>
      <c r="J487" s="38"/>
      <c r="K487" s="39"/>
      <c r="L487" s="38"/>
      <c r="M487" s="39"/>
      <c r="N487" s="40"/>
      <c r="O487" s="34"/>
      <c r="P487" s="35"/>
      <c r="Q487" s="35"/>
      <c r="R487" s="35"/>
      <c r="S487" s="35"/>
      <c r="T487" s="35"/>
      <c r="U487" s="35"/>
      <c r="V487" s="35"/>
      <c r="W487" s="35"/>
      <c r="X487" s="35"/>
      <c r="Y487" s="35"/>
      <c r="Z487" s="35"/>
    </row>
    <row r="488" ht="14.25" customHeight="1">
      <c r="A488" s="83"/>
      <c r="B488" s="84"/>
      <c r="C488" s="108"/>
      <c r="D488" s="102"/>
      <c r="E488" s="117"/>
      <c r="F488" s="250"/>
      <c r="G488" s="88"/>
      <c r="H488" s="36"/>
      <c r="I488" s="37"/>
      <c r="J488" s="38"/>
      <c r="K488" s="39"/>
      <c r="L488" s="38"/>
      <c r="M488" s="39"/>
      <c r="N488" s="40"/>
      <c r="O488" s="34"/>
      <c r="P488" s="35"/>
      <c r="Q488" s="35"/>
      <c r="R488" s="35"/>
      <c r="S488" s="35"/>
      <c r="T488" s="35"/>
      <c r="U488" s="35"/>
      <c r="V488" s="35"/>
      <c r="W488" s="35"/>
      <c r="X488" s="35"/>
      <c r="Y488" s="35"/>
      <c r="Z488" s="35"/>
    </row>
    <row r="489" ht="14.25" customHeight="1">
      <c r="A489" s="83"/>
      <c r="B489" s="84"/>
      <c r="C489" s="108"/>
      <c r="D489" s="102"/>
      <c r="E489" s="117"/>
      <c r="F489" s="250"/>
      <c r="G489" s="88"/>
      <c r="H489" s="36"/>
      <c r="I489" s="37"/>
      <c r="J489" s="38"/>
      <c r="K489" s="39"/>
      <c r="L489" s="38"/>
      <c r="M489" s="39"/>
      <c r="N489" s="40"/>
      <c r="O489" s="34"/>
      <c r="P489" s="35"/>
      <c r="Q489" s="35"/>
      <c r="R489" s="35"/>
      <c r="S489" s="35"/>
      <c r="T489" s="35"/>
      <c r="U489" s="35"/>
      <c r="V489" s="35"/>
      <c r="W489" s="35"/>
      <c r="X489" s="35"/>
      <c r="Y489" s="35"/>
      <c r="Z489" s="35"/>
    </row>
    <row r="490" ht="14.25" customHeight="1">
      <c r="A490" s="83"/>
      <c r="B490" s="84"/>
      <c r="C490" s="108"/>
      <c r="D490" s="102"/>
      <c r="E490" s="117"/>
      <c r="F490" s="250"/>
      <c r="G490" s="88"/>
      <c r="H490" s="36"/>
      <c r="I490" s="37"/>
      <c r="J490" s="38"/>
      <c r="K490" s="39"/>
      <c r="L490" s="38"/>
      <c r="M490" s="39"/>
      <c r="N490" s="40"/>
      <c r="O490" s="34"/>
      <c r="P490" s="35"/>
      <c r="Q490" s="35"/>
      <c r="R490" s="35"/>
      <c r="S490" s="35"/>
      <c r="T490" s="35"/>
      <c r="U490" s="35"/>
      <c r="V490" s="35"/>
      <c r="W490" s="35"/>
      <c r="X490" s="35"/>
      <c r="Y490" s="35"/>
      <c r="Z490" s="35"/>
    </row>
    <row r="491" ht="14.25" customHeight="1">
      <c r="A491" s="83"/>
      <c r="B491" s="84"/>
      <c r="C491" s="108"/>
      <c r="D491" s="102"/>
      <c r="E491" s="117"/>
      <c r="F491" s="250"/>
      <c r="G491" s="88"/>
      <c r="H491" s="36"/>
      <c r="I491" s="37"/>
      <c r="J491" s="38"/>
      <c r="K491" s="39"/>
      <c r="L491" s="38"/>
      <c r="M491" s="39"/>
      <c r="N491" s="40"/>
      <c r="O491" s="34"/>
      <c r="P491" s="35"/>
      <c r="Q491" s="35"/>
      <c r="R491" s="35"/>
      <c r="S491" s="35"/>
      <c r="T491" s="35"/>
      <c r="U491" s="35"/>
      <c r="V491" s="35"/>
      <c r="W491" s="35"/>
      <c r="X491" s="35"/>
      <c r="Y491" s="35"/>
      <c r="Z491" s="35"/>
    </row>
    <row r="492" ht="14.25" customHeight="1">
      <c r="A492" s="83"/>
      <c r="B492" s="84"/>
      <c r="C492" s="108"/>
      <c r="D492" s="102"/>
      <c r="E492" s="117"/>
      <c r="F492" s="250"/>
      <c r="G492" s="88"/>
      <c r="H492" s="36"/>
      <c r="I492" s="37"/>
      <c r="J492" s="38"/>
      <c r="K492" s="39"/>
      <c r="L492" s="38"/>
      <c r="M492" s="39"/>
      <c r="N492" s="40"/>
      <c r="O492" s="34"/>
      <c r="P492" s="35"/>
      <c r="Q492" s="35"/>
      <c r="R492" s="35"/>
      <c r="S492" s="35"/>
      <c r="T492" s="35"/>
      <c r="U492" s="35"/>
      <c r="V492" s="35"/>
      <c r="W492" s="35"/>
      <c r="X492" s="35"/>
      <c r="Y492" s="35"/>
      <c r="Z492" s="35"/>
    </row>
    <row r="493" ht="14.25" customHeight="1">
      <c r="A493" s="83"/>
      <c r="B493" s="84"/>
      <c r="C493" s="108"/>
      <c r="D493" s="102"/>
      <c r="E493" s="117"/>
      <c r="F493" s="250"/>
      <c r="G493" s="88"/>
      <c r="H493" s="36"/>
      <c r="I493" s="37"/>
      <c r="J493" s="38"/>
      <c r="K493" s="39"/>
      <c r="L493" s="38"/>
      <c r="M493" s="39"/>
      <c r="N493" s="40"/>
      <c r="O493" s="34"/>
      <c r="P493" s="35"/>
      <c r="Q493" s="35"/>
      <c r="R493" s="35"/>
      <c r="S493" s="35"/>
      <c r="T493" s="35"/>
      <c r="U493" s="35"/>
      <c r="V493" s="35"/>
      <c r="W493" s="35"/>
      <c r="X493" s="35"/>
      <c r="Y493" s="35"/>
      <c r="Z493" s="35"/>
    </row>
    <row r="494" ht="14.25" customHeight="1">
      <c r="A494" s="83"/>
      <c r="B494" s="84"/>
      <c r="C494" s="108"/>
      <c r="D494" s="102"/>
      <c r="E494" s="117"/>
      <c r="F494" s="250"/>
      <c r="G494" s="88"/>
      <c r="H494" s="36"/>
      <c r="I494" s="37"/>
      <c r="J494" s="38"/>
      <c r="K494" s="39"/>
      <c r="L494" s="38"/>
      <c r="M494" s="39"/>
      <c r="N494" s="40"/>
      <c r="O494" s="34"/>
      <c r="P494" s="35"/>
      <c r="Q494" s="35"/>
      <c r="R494" s="35"/>
      <c r="S494" s="35"/>
      <c r="T494" s="35"/>
      <c r="U494" s="35"/>
      <c r="V494" s="35"/>
      <c r="W494" s="35"/>
      <c r="X494" s="35"/>
      <c r="Y494" s="35"/>
      <c r="Z494" s="35"/>
    </row>
    <row r="495" ht="14.25" customHeight="1">
      <c r="A495" s="83"/>
      <c r="B495" s="84"/>
      <c r="C495" s="108"/>
      <c r="D495" s="102"/>
      <c r="E495" s="117"/>
      <c r="F495" s="250"/>
      <c r="G495" s="88"/>
      <c r="H495" s="36"/>
      <c r="I495" s="37"/>
      <c r="J495" s="38"/>
      <c r="K495" s="39"/>
      <c r="L495" s="38"/>
      <c r="M495" s="39"/>
      <c r="N495" s="40"/>
      <c r="O495" s="34"/>
      <c r="P495" s="35"/>
      <c r="Q495" s="35"/>
      <c r="R495" s="35"/>
      <c r="S495" s="35"/>
      <c r="T495" s="35"/>
      <c r="U495" s="35"/>
      <c r="V495" s="35"/>
      <c r="W495" s="35"/>
      <c r="X495" s="35"/>
      <c r="Y495" s="35"/>
      <c r="Z495" s="35"/>
    </row>
    <row r="496" ht="14.25" customHeight="1">
      <c r="A496" s="83"/>
      <c r="B496" s="84"/>
      <c r="C496" s="108"/>
      <c r="D496" s="102"/>
      <c r="E496" s="117"/>
      <c r="F496" s="250"/>
      <c r="G496" s="88"/>
      <c r="H496" s="36"/>
      <c r="I496" s="37"/>
      <c r="J496" s="38"/>
      <c r="K496" s="39"/>
      <c r="L496" s="38"/>
      <c r="M496" s="39"/>
      <c r="N496" s="40"/>
      <c r="O496" s="34"/>
      <c r="P496" s="35"/>
      <c r="Q496" s="35"/>
      <c r="R496" s="35"/>
      <c r="S496" s="35"/>
      <c r="T496" s="35"/>
      <c r="U496" s="35"/>
      <c r="V496" s="35"/>
      <c r="W496" s="35"/>
      <c r="X496" s="35"/>
      <c r="Y496" s="35"/>
      <c r="Z496" s="35"/>
    </row>
    <row r="497" ht="14.25" customHeight="1">
      <c r="A497" s="83"/>
      <c r="B497" s="84"/>
      <c r="C497" s="108"/>
      <c r="D497" s="102"/>
      <c r="E497" s="117"/>
      <c r="F497" s="250"/>
      <c r="G497" s="88"/>
      <c r="H497" s="36"/>
      <c r="I497" s="37"/>
      <c r="J497" s="38"/>
      <c r="K497" s="39"/>
      <c r="L497" s="38"/>
      <c r="M497" s="39"/>
      <c r="N497" s="40"/>
      <c r="O497" s="34"/>
      <c r="P497" s="35"/>
      <c r="Q497" s="35"/>
      <c r="R497" s="35"/>
      <c r="S497" s="35"/>
      <c r="T497" s="35"/>
      <c r="U497" s="35"/>
      <c r="V497" s="35"/>
      <c r="W497" s="35"/>
      <c r="X497" s="35"/>
      <c r="Y497" s="35"/>
      <c r="Z497" s="35"/>
    </row>
    <row r="498" ht="14.25" customHeight="1">
      <c r="A498" s="83"/>
      <c r="B498" s="84"/>
      <c r="C498" s="108"/>
      <c r="D498" s="102"/>
      <c r="E498" s="117"/>
      <c r="F498" s="250"/>
      <c r="G498" s="88"/>
      <c r="H498" s="36"/>
      <c r="I498" s="37"/>
      <c r="J498" s="38"/>
      <c r="K498" s="39"/>
      <c r="L498" s="38"/>
      <c r="M498" s="39"/>
      <c r="N498" s="40"/>
      <c r="O498" s="34"/>
      <c r="P498" s="35"/>
      <c r="Q498" s="35"/>
      <c r="R498" s="35"/>
      <c r="S498" s="35"/>
      <c r="T498" s="35"/>
      <c r="U498" s="35"/>
      <c r="V498" s="35"/>
      <c r="W498" s="35"/>
      <c r="X498" s="35"/>
      <c r="Y498" s="35"/>
      <c r="Z498" s="35"/>
    </row>
    <row r="499" ht="14.25" customHeight="1">
      <c r="A499" s="83"/>
      <c r="B499" s="84"/>
      <c r="C499" s="108"/>
      <c r="D499" s="102"/>
      <c r="E499" s="117"/>
      <c r="F499" s="250"/>
      <c r="G499" s="88"/>
      <c r="H499" s="36"/>
      <c r="I499" s="37"/>
      <c r="J499" s="38"/>
      <c r="K499" s="39"/>
      <c r="L499" s="38"/>
      <c r="M499" s="39"/>
      <c r="N499" s="40"/>
      <c r="O499" s="34"/>
      <c r="P499" s="35"/>
      <c r="Q499" s="35"/>
      <c r="R499" s="35"/>
      <c r="S499" s="35"/>
      <c r="T499" s="35"/>
      <c r="U499" s="35"/>
      <c r="V499" s="35"/>
      <c r="W499" s="35"/>
      <c r="X499" s="35"/>
      <c r="Y499" s="35"/>
      <c r="Z499" s="35"/>
    </row>
    <row r="500" ht="14.25" customHeight="1">
      <c r="A500" s="83"/>
      <c r="B500" s="84"/>
      <c r="C500" s="108"/>
      <c r="D500" s="102"/>
      <c r="E500" s="117"/>
      <c r="F500" s="250"/>
      <c r="G500" s="88"/>
      <c r="H500" s="36"/>
      <c r="I500" s="37"/>
      <c r="J500" s="38"/>
      <c r="K500" s="39"/>
      <c r="L500" s="38"/>
      <c r="M500" s="39"/>
      <c r="N500" s="40"/>
      <c r="O500" s="34"/>
      <c r="P500" s="35"/>
      <c r="Q500" s="35"/>
      <c r="R500" s="35"/>
      <c r="S500" s="35"/>
      <c r="T500" s="35"/>
      <c r="U500" s="35"/>
      <c r="V500" s="35"/>
      <c r="W500" s="35"/>
      <c r="X500" s="35"/>
      <c r="Y500" s="35"/>
      <c r="Z500" s="35"/>
    </row>
    <row r="501" ht="14.25" customHeight="1">
      <c r="A501" s="83"/>
      <c r="B501" s="84"/>
      <c r="C501" s="108"/>
      <c r="D501" s="102"/>
      <c r="E501" s="117"/>
      <c r="F501" s="250"/>
      <c r="G501" s="88"/>
      <c r="H501" s="36"/>
      <c r="I501" s="37"/>
      <c r="J501" s="38"/>
      <c r="K501" s="39"/>
      <c r="L501" s="38"/>
      <c r="M501" s="39"/>
      <c r="N501" s="40"/>
      <c r="O501" s="34"/>
      <c r="P501" s="35"/>
      <c r="Q501" s="35"/>
      <c r="R501" s="35"/>
      <c r="S501" s="35"/>
      <c r="T501" s="35"/>
      <c r="U501" s="35"/>
      <c r="V501" s="35"/>
      <c r="W501" s="35"/>
      <c r="X501" s="35"/>
      <c r="Y501" s="35"/>
      <c r="Z501" s="35"/>
    </row>
    <row r="502" ht="14.25" customHeight="1">
      <c r="A502" s="83"/>
      <c r="B502" s="84"/>
      <c r="C502" s="108"/>
      <c r="D502" s="102"/>
      <c r="E502" s="117"/>
      <c r="F502" s="250"/>
      <c r="G502" s="88"/>
      <c r="H502" s="36"/>
      <c r="I502" s="37"/>
      <c r="J502" s="38"/>
      <c r="K502" s="39"/>
      <c r="L502" s="38"/>
      <c r="M502" s="39"/>
      <c r="N502" s="40"/>
      <c r="O502" s="34"/>
      <c r="P502" s="35"/>
      <c r="Q502" s="35"/>
      <c r="R502" s="35"/>
      <c r="S502" s="35"/>
      <c r="T502" s="35"/>
      <c r="U502" s="35"/>
      <c r="V502" s="35"/>
      <c r="W502" s="35"/>
      <c r="X502" s="35"/>
      <c r="Y502" s="35"/>
      <c r="Z502" s="35"/>
    </row>
    <row r="503" ht="14.25" customHeight="1">
      <c r="A503" s="83"/>
      <c r="B503" s="84"/>
      <c r="C503" s="108"/>
      <c r="D503" s="102"/>
      <c r="E503" s="117"/>
      <c r="F503" s="250"/>
      <c r="G503" s="88"/>
      <c r="H503" s="36"/>
      <c r="I503" s="37"/>
      <c r="J503" s="38"/>
      <c r="K503" s="39"/>
      <c r="L503" s="38"/>
      <c r="M503" s="39"/>
      <c r="N503" s="40"/>
      <c r="O503" s="34"/>
      <c r="P503" s="35"/>
      <c r="Q503" s="35"/>
      <c r="R503" s="35"/>
      <c r="S503" s="35"/>
      <c r="T503" s="35"/>
      <c r="U503" s="35"/>
      <c r="V503" s="35"/>
      <c r="W503" s="35"/>
      <c r="X503" s="35"/>
      <c r="Y503" s="35"/>
      <c r="Z503" s="35"/>
    </row>
    <row r="504" ht="14.25" customHeight="1">
      <c r="A504" s="83"/>
      <c r="B504" s="84"/>
      <c r="C504" s="108"/>
      <c r="D504" s="102"/>
      <c r="E504" s="117"/>
      <c r="F504" s="250"/>
      <c r="G504" s="88"/>
      <c r="H504" s="36"/>
      <c r="I504" s="37"/>
      <c r="J504" s="38"/>
      <c r="K504" s="39"/>
      <c r="L504" s="38"/>
      <c r="M504" s="39"/>
      <c r="N504" s="40"/>
      <c r="O504" s="34"/>
      <c r="P504" s="35"/>
      <c r="Q504" s="35"/>
      <c r="R504" s="35"/>
      <c r="S504" s="35"/>
      <c r="T504" s="35"/>
      <c r="U504" s="35"/>
      <c r="V504" s="35"/>
      <c r="W504" s="35"/>
      <c r="X504" s="35"/>
      <c r="Y504" s="35"/>
      <c r="Z504" s="35"/>
    </row>
    <row r="505" ht="14.25" customHeight="1">
      <c r="A505" s="83"/>
      <c r="B505" s="84"/>
      <c r="C505" s="108"/>
      <c r="D505" s="102"/>
      <c r="E505" s="117"/>
      <c r="F505" s="250"/>
      <c r="G505" s="88"/>
      <c r="H505" s="36"/>
      <c r="I505" s="37"/>
      <c r="J505" s="38"/>
      <c r="K505" s="39"/>
      <c r="L505" s="38"/>
      <c r="M505" s="39"/>
      <c r="N505" s="40"/>
      <c r="O505" s="34"/>
      <c r="P505" s="35"/>
      <c r="Q505" s="35"/>
      <c r="R505" s="35"/>
      <c r="S505" s="35"/>
      <c r="T505" s="35"/>
      <c r="U505" s="35"/>
      <c r="V505" s="35"/>
      <c r="W505" s="35"/>
      <c r="X505" s="35"/>
      <c r="Y505" s="35"/>
      <c r="Z505" s="35"/>
    </row>
    <row r="506" ht="14.25" customHeight="1">
      <c r="A506" s="83"/>
      <c r="B506" s="84"/>
      <c r="C506" s="108"/>
      <c r="D506" s="102"/>
      <c r="E506" s="117"/>
      <c r="F506" s="250"/>
      <c r="G506" s="88"/>
      <c r="H506" s="36"/>
      <c r="I506" s="37"/>
      <c r="J506" s="38"/>
      <c r="K506" s="39"/>
      <c r="L506" s="38"/>
      <c r="M506" s="39"/>
      <c r="N506" s="40"/>
      <c r="O506" s="34"/>
      <c r="P506" s="35"/>
      <c r="Q506" s="35"/>
      <c r="R506" s="35"/>
      <c r="S506" s="35"/>
      <c r="T506" s="35"/>
      <c r="U506" s="35"/>
      <c r="V506" s="35"/>
      <c r="W506" s="35"/>
      <c r="X506" s="35"/>
      <c r="Y506" s="35"/>
      <c r="Z506" s="35"/>
    </row>
    <row r="507" ht="14.25" customHeight="1">
      <c r="A507" s="83"/>
      <c r="B507" s="84"/>
      <c r="C507" s="108"/>
      <c r="D507" s="102"/>
      <c r="E507" s="117"/>
      <c r="F507" s="250"/>
      <c r="G507" s="88"/>
      <c r="H507" s="36"/>
      <c r="I507" s="37"/>
      <c r="J507" s="38"/>
      <c r="K507" s="39"/>
      <c r="L507" s="38"/>
      <c r="M507" s="39"/>
      <c r="N507" s="40"/>
      <c r="O507" s="34"/>
      <c r="P507" s="35"/>
      <c r="Q507" s="35"/>
      <c r="R507" s="35"/>
      <c r="S507" s="35"/>
      <c r="T507" s="35"/>
      <c r="U507" s="35"/>
      <c r="V507" s="35"/>
      <c r="W507" s="35"/>
      <c r="X507" s="35"/>
      <c r="Y507" s="35"/>
      <c r="Z507" s="35"/>
    </row>
    <row r="508" ht="14.25" customHeight="1">
      <c r="A508" s="83"/>
      <c r="B508" s="84"/>
      <c r="C508" s="108"/>
      <c r="D508" s="102"/>
      <c r="E508" s="117"/>
      <c r="F508" s="250"/>
      <c r="G508" s="88"/>
      <c r="H508" s="36"/>
      <c r="I508" s="37"/>
      <c r="J508" s="38"/>
      <c r="K508" s="39"/>
      <c r="L508" s="38"/>
      <c r="M508" s="39"/>
      <c r="N508" s="40"/>
      <c r="O508" s="34"/>
      <c r="P508" s="35"/>
      <c r="Q508" s="35"/>
      <c r="R508" s="35"/>
      <c r="S508" s="35"/>
      <c r="T508" s="35"/>
      <c r="U508" s="35"/>
      <c r="V508" s="35"/>
      <c r="W508" s="35"/>
      <c r="X508" s="35"/>
      <c r="Y508" s="35"/>
      <c r="Z508" s="35"/>
    </row>
    <row r="509" ht="14.25" customHeight="1">
      <c r="A509" s="83"/>
      <c r="B509" s="84"/>
      <c r="C509" s="108"/>
      <c r="D509" s="102"/>
      <c r="E509" s="117"/>
      <c r="F509" s="250"/>
      <c r="G509" s="88"/>
      <c r="H509" s="36"/>
      <c r="I509" s="37"/>
      <c r="J509" s="38"/>
      <c r="K509" s="39"/>
      <c r="L509" s="38"/>
      <c r="M509" s="39"/>
      <c r="N509" s="40"/>
      <c r="O509" s="34"/>
      <c r="P509" s="35"/>
      <c r="Q509" s="35"/>
      <c r="R509" s="35"/>
      <c r="S509" s="35"/>
      <c r="T509" s="35"/>
      <c r="U509" s="35"/>
      <c r="V509" s="35"/>
      <c r="W509" s="35"/>
      <c r="X509" s="35"/>
      <c r="Y509" s="35"/>
      <c r="Z509" s="35"/>
    </row>
    <row r="510" ht="14.25" customHeight="1">
      <c r="A510" s="83"/>
      <c r="B510" s="84"/>
      <c r="C510" s="108"/>
      <c r="D510" s="102"/>
      <c r="E510" s="117"/>
      <c r="F510" s="250"/>
      <c r="G510" s="88"/>
      <c r="H510" s="36"/>
      <c r="I510" s="37"/>
      <c r="J510" s="38"/>
      <c r="K510" s="39"/>
      <c r="L510" s="38"/>
      <c r="M510" s="39"/>
      <c r="N510" s="40"/>
      <c r="O510" s="34"/>
      <c r="P510" s="35"/>
      <c r="Q510" s="35"/>
      <c r="R510" s="35"/>
      <c r="S510" s="35"/>
      <c r="T510" s="35"/>
      <c r="U510" s="35"/>
      <c r="V510" s="35"/>
      <c r="W510" s="35"/>
      <c r="X510" s="35"/>
      <c r="Y510" s="35"/>
      <c r="Z510" s="35"/>
    </row>
    <row r="511" ht="14.25" customHeight="1">
      <c r="A511" s="83"/>
      <c r="B511" s="84"/>
      <c r="C511" s="108"/>
      <c r="D511" s="102"/>
      <c r="E511" s="117"/>
      <c r="F511" s="250"/>
      <c r="G511" s="88"/>
      <c r="H511" s="36"/>
      <c r="I511" s="37"/>
      <c r="J511" s="38"/>
      <c r="K511" s="39"/>
      <c r="L511" s="38"/>
      <c r="M511" s="39"/>
      <c r="N511" s="40"/>
      <c r="O511" s="34"/>
      <c r="P511" s="35"/>
      <c r="Q511" s="35"/>
      <c r="R511" s="35"/>
      <c r="S511" s="35"/>
      <c r="T511" s="35"/>
      <c r="U511" s="35"/>
      <c r="V511" s="35"/>
      <c r="W511" s="35"/>
      <c r="X511" s="35"/>
      <c r="Y511" s="35"/>
      <c r="Z511" s="35"/>
    </row>
    <row r="512" ht="14.25" customHeight="1">
      <c r="A512" s="83"/>
      <c r="B512" s="84"/>
      <c r="C512" s="108"/>
      <c r="D512" s="102"/>
      <c r="E512" s="117"/>
      <c r="F512" s="250"/>
      <c r="G512" s="88"/>
      <c r="H512" s="36"/>
      <c r="I512" s="37"/>
      <c r="J512" s="38"/>
      <c r="K512" s="39"/>
      <c r="L512" s="38"/>
      <c r="M512" s="39"/>
      <c r="N512" s="40"/>
      <c r="O512" s="34"/>
      <c r="P512" s="35"/>
      <c r="Q512" s="35"/>
      <c r="R512" s="35"/>
      <c r="S512" s="35"/>
      <c r="T512" s="35"/>
      <c r="U512" s="35"/>
      <c r="V512" s="35"/>
      <c r="W512" s="35"/>
      <c r="X512" s="35"/>
      <c r="Y512" s="35"/>
      <c r="Z512" s="35"/>
    </row>
    <row r="513" ht="14.25" customHeight="1">
      <c r="A513" s="83"/>
      <c r="B513" s="84"/>
      <c r="C513" s="108"/>
      <c r="D513" s="102"/>
      <c r="E513" s="117"/>
      <c r="F513" s="250"/>
      <c r="G513" s="88"/>
      <c r="H513" s="36"/>
      <c r="I513" s="37"/>
      <c r="J513" s="38"/>
      <c r="K513" s="39"/>
      <c r="L513" s="38"/>
      <c r="M513" s="39"/>
      <c r="N513" s="40"/>
      <c r="O513" s="34"/>
      <c r="P513" s="35"/>
      <c r="Q513" s="35"/>
      <c r="R513" s="35"/>
      <c r="S513" s="35"/>
      <c r="T513" s="35"/>
      <c r="U513" s="35"/>
      <c r="V513" s="35"/>
      <c r="W513" s="35"/>
      <c r="X513" s="35"/>
      <c r="Y513" s="35"/>
      <c r="Z513" s="35"/>
    </row>
    <row r="514" ht="14.25" customHeight="1">
      <c r="A514" s="83"/>
      <c r="B514" s="84"/>
      <c r="C514" s="108"/>
      <c r="D514" s="102"/>
      <c r="E514" s="117"/>
      <c r="F514" s="250"/>
      <c r="G514" s="88"/>
      <c r="H514" s="36"/>
      <c r="I514" s="37"/>
      <c r="J514" s="38"/>
      <c r="K514" s="39"/>
      <c r="L514" s="38"/>
      <c r="M514" s="39"/>
      <c r="N514" s="40"/>
      <c r="O514" s="34"/>
      <c r="P514" s="35"/>
      <c r="Q514" s="35"/>
      <c r="R514" s="35"/>
      <c r="S514" s="35"/>
      <c r="T514" s="35"/>
      <c r="U514" s="35"/>
      <c r="V514" s="35"/>
      <c r="W514" s="35"/>
      <c r="X514" s="35"/>
      <c r="Y514" s="35"/>
      <c r="Z514" s="35"/>
    </row>
    <row r="515" ht="14.25" customHeight="1">
      <c r="A515" s="83"/>
      <c r="B515" s="84"/>
      <c r="C515" s="108"/>
      <c r="D515" s="102"/>
      <c r="E515" s="117"/>
      <c r="F515" s="250"/>
      <c r="G515" s="88"/>
      <c r="H515" s="36"/>
      <c r="I515" s="37"/>
      <c r="J515" s="38"/>
      <c r="K515" s="39"/>
      <c r="L515" s="38"/>
      <c r="M515" s="39"/>
      <c r="N515" s="40"/>
      <c r="O515" s="34"/>
      <c r="P515" s="35"/>
      <c r="Q515" s="35"/>
      <c r="R515" s="35"/>
      <c r="S515" s="35"/>
      <c r="T515" s="35"/>
      <c r="U515" s="35"/>
      <c r="V515" s="35"/>
      <c r="W515" s="35"/>
      <c r="X515" s="35"/>
      <c r="Y515" s="35"/>
      <c r="Z515" s="35"/>
    </row>
    <row r="516" ht="14.25" customHeight="1">
      <c r="A516" s="83"/>
      <c r="B516" s="84"/>
      <c r="C516" s="108"/>
      <c r="D516" s="102"/>
      <c r="E516" s="117"/>
      <c r="F516" s="250"/>
      <c r="G516" s="88"/>
      <c r="H516" s="36"/>
      <c r="I516" s="37"/>
      <c r="J516" s="38"/>
      <c r="K516" s="39"/>
      <c r="L516" s="38"/>
      <c r="M516" s="39"/>
      <c r="N516" s="40"/>
      <c r="O516" s="34"/>
      <c r="P516" s="35"/>
      <c r="Q516" s="35"/>
      <c r="R516" s="35"/>
      <c r="S516" s="35"/>
      <c r="T516" s="35"/>
      <c r="U516" s="35"/>
      <c r="V516" s="35"/>
      <c r="W516" s="35"/>
      <c r="X516" s="35"/>
      <c r="Y516" s="35"/>
      <c r="Z516" s="35"/>
    </row>
    <row r="517" ht="14.25" customHeight="1">
      <c r="A517" s="83"/>
      <c r="B517" s="84"/>
      <c r="C517" s="108"/>
      <c r="D517" s="102"/>
      <c r="E517" s="117"/>
      <c r="F517" s="250"/>
      <c r="G517" s="88"/>
      <c r="H517" s="36"/>
      <c r="I517" s="37"/>
      <c r="J517" s="38"/>
      <c r="K517" s="39"/>
      <c r="L517" s="38"/>
      <c r="M517" s="39"/>
      <c r="N517" s="40"/>
      <c r="O517" s="34"/>
      <c r="P517" s="35"/>
      <c r="Q517" s="35"/>
      <c r="R517" s="35"/>
      <c r="S517" s="35"/>
      <c r="T517" s="35"/>
      <c r="U517" s="35"/>
      <c r="V517" s="35"/>
      <c r="W517" s="35"/>
      <c r="X517" s="35"/>
      <c r="Y517" s="35"/>
      <c r="Z517" s="35"/>
    </row>
    <row r="518" ht="14.25" customHeight="1">
      <c r="A518" s="83"/>
      <c r="B518" s="84"/>
      <c r="C518" s="108"/>
      <c r="D518" s="102"/>
      <c r="E518" s="117"/>
      <c r="F518" s="250"/>
      <c r="G518" s="88"/>
      <c r="H518" s="36"/>
      <c r="I518" s="37"/>
      <c r="J518" s="38"/>
      <c r="K518" s="39"/>
      <c r="L518" s="38"/>
      <c r="M518" s="39"/>
      <c r="N518" s="40"/>
      <c r="O518" s="34"/>
      <c r="P518" s="35"/>
      <c r="Q518" s="35"/>
      <c r="R518" s="35"/>
      <c r="S518" s="35"/>
      <c r="T518" s="35"/>
      <c r="U518" s="35"/>
      <c r="V518" s="35"/>
      <c r="W518" s="35"/>
      <c r="X518" s="35"/>
      <c r="Y518" s="35"/>
      <c r="Z518" s="35"/>
    </row>
    <row r="519" ht="14.25" customHeight="1">
      <c r="A519" s="83"/>
      <c r="B519" s="84"/>
      <c r="C519" s="108"/>
      <c r="D519" s="102"/>
      <c r="E519" s="117"/>
      <c r="F519" s="250"/>
      <c r="G519" s="88"/>
      <c r="H519" s="36"/>
      <c r="I519" s="37"/>
      <c r="J519" s="38"/>
      <c r="K519" s="39"/>
      <c r="L519" s="38"/>
      <c r="M519" s="39"/>
      <c r="N519" s="40"/>
      <c r="O519" s="34"/>
      <c r="P519" s="35"/>
      <c r="Q519" s="35"/>
      <c r="R519" s="35"/>
      <c r="S519" s="35"/>
      <c r="T519" s="35"/>
      <c r="U519" s="35"/>
      <c r="V519" s="35"/>
      <c r="W519" s="35"/>
      <c r="X519" s="35"/>
      <c r="Y519" s="35"/>
      <c r="Z519" s="35"/>
    </row>
    <row r="520" ht="14.25" customHeight="1">
      <c r="A520" s="83"/>
      <c r="B520" s="84"/>
      <c r="C520" s="108"/>
      <c r="D520" s="102"/>
      <c r="E520" s="117"/>
      <c r="F520" s="250"/>
      <c r="G520" s="88"/>
      <c r="H520" s="36"/>
      <c r="I520" s="37"/>
      <c r="J520" s="38"/>
      <c r="K520" s="39"/>
      <c r="L520" s="38"/>
      <c r="M520" s="39"/>
      <c r="N520" s="40"/>
      <c r="O520" s="34"/>
      <c r="P520" s="35"/>
      <c r="Q520" s="35"/>
      <c r="R520" s="35"/>
      <c r="S520" s="35"/>
      <c r="T520" s="35"/>
      <c r="U520" s="35"/>
      <c r="V520" s="35"/>
      <c r="W520" s="35"/>
      <c r="X520" s="35"/>
      <c r="Y520" s="35"/>
      <c r="Z520" s="35"/>
    </row>
    <row r="521" ht="14.25" customHeight="1">
      <c r="A521" s="83"/>
      <c r="B521" s="84"/>
      <c r="C521" s="108"/>
      <c r="D521" s="102"/>
      <c r="E521" s="117"/>
      <c r="F521" s="250"/>
      <c r="G521" s="88"/>
      <c r="H521" s="36"/>
      <c r="I521" s="37"/>
      <c r="J521" s="38"/>
      <c r="K521" s="39"/>
      <c r="L521" s="38"/>
      <c r="M521" s="39"/>
      <c r="N521" s="40"/>
      <c r="O521" s="34"/>
      <c r="P521" s="35"/>
      <c r="Q521" s="35"/>
      <c r="R521" s="35"/>
      <c r="S521" s="35"/>
      <c r="T521" s="35"/>
      <c r="U521" s="35"/>
      <c r="V521" s="35"/>
      <c r="W521" s="35"/>
      <c r="X521" s="35"/>
      <c r="Y521" s="35"/>
      <c r="Z521" s="35"/>
    </row>
    <row r="522" ht="14.25" customHeight="1">
      <c r="A522" s="83"/>
      <c r="B522" s="84"/>
      <c r="C522" s="108"/>
      <c r="D522" s="102"/>
      <c r="E522" s="117"/>
      <c r="F522" s="250"/>
      <c r="G522" s="88"/>
      <c r="H522" s="36"/>
      <c r="I522" s="37"/>
      <c r="J522" s="38"/>
      <c r="K522" s="39"/>
      <c r="L522" s="38"/>
      <c r="M522" s="39"/>
      <c r="N522" s="40"/>
      <c r="O522" s="34"/>
      <c r="P522" s="35"/>
      <c r="Q522" s="35"/>
      <c r="R522" s="35"/>
      <c r="S522" s="35"/>
      <c r="T522" s="35"/>
      <c r="U522" s="35"/>
      <c r="V522" s="35"/>
      <c r="W522" s="35"/>
      <c r="X522" s="35"/>
      <c r="Y522" s="35"/>
      <c r="Z522" s="35"/>
    </row>
    <row r="523" ht="14.25" customHeight="1">
      <c r="A523" s="83"/>
      <c r="B523" s="84"/>
      <c r="C523" s="108"/>
      <c r="D523" s="102"/>
      <c r="E523" s="117"/>
      <c r="F523" s="250"/>
      <c r="G523" s="88"/>
      <c r="H523" s="36"/>
      <c r="I523" s="37"/>
      <c r="J523" s="38"/>
      <c r="K523" s="39"/>
      <c r="L523" s="38"/>
      <c r="M523" s="39"/>
      <c r="N523" s="40"/>
      <c r="O523" s="34"/>
      <c r="P523" s="35"/>
      <c r="Q523" s="35"/>
      <c r="R523" s="35"/>
      <c r="S523" s="35"/>
      <c r="T523" s="35"/>
      <c r="U523" s="35"/>
      <c r="V523" s="35"/>
      <c r="W523" s="35"/>
      <c r="X523" s="35"/>
      <c r="Y523" s="35"/>
      <c r="Z523" s="35"/>
    </row>
    <row r="524" ht="14.25" customHeight="1">
      <c r="A524" s="83"/>
      <c r="B524" s="84"/>
      <c r="C524" s="108"/>
      <c r="D524" s="102"/>
      <c r="E524" s="117"/>
      <c r="F524" s="250"/>
      <c r="G524" s="88"/>
      <c r="H524" s="36"/>
      <c r="I524" s="37"/>
      <c r="J524" s="38"/>
      <c r="K524" s="39"/>
      <c r="L524" s="38"/>
      <c r="M524" s="39"/>
      <c r="N524" s="40"/>
      <c r="O524" s="34"/>
      <c r="P524" s="35"/>
      <c r="Q524" s="35"/>
      <c r="R524" s="35"/>
      <c r="S524" s="35"/>
      <c r="T524" s="35"/>
      <c r="U524" s="35"/>
      <c r="V524" s="35"/>
      <c r="W524" s="35"/>
      <c r="X524" s="35"/>
      <c r="Y524" s="35"/>
      <c r="Z524" s="35"/>
    </row>
    <row r="525" ht="14.25" customHeight="1">
      <c r="A525" s="83"/>
      <c r="B525" s="84"/>
      <c r="C525" s="108"/>
      <c r="D525" s="102"/>
      <c r="E525" s="117"/>
      <c r="F525" s="250"/>
      <c r="G525" s="88"/>
      <c r="H525" s="36"/>
      <c r="I525" s="37"/>
      <c r="J525" s="38"/>
      <c r="K525" s="39"/>
      <c r="L525" s="38"/>
      <c r="M525" s="39"/>
      <c r="N525" s="40"/>
      <c r="O525" s="34"/>
      <c r="P525" s="35"/>
      <c r="Q525" s="35"/>
      <c r="R525" s="35"/>
      <c r="S525" s="35"/>
      <c r="T525" s="35"/>
      <c r="U525" s="35"/>
      <c r="V525" s="35"/>
      <c r="W525" s="35"/>
      <c r="X525" s="35"/>
      <c r="Y525" s="35"/>
      <c r="Z525" s="35"/>
    </row>
    <row r="526" ht="14.25" customHeight="1">
      <c r="A526" s="83"/>
      <c r="B526" s="84"/>
      <c r="C526" s="108"/>
      <c r="D526" s="102"/>
      <c r="E526" s="117"/>
      <c r="F526" s="250"/>
      <c r="G526" s="88"/>
      <c r="H526" s="36"/>
      <c r="I526" s="37"/>
      <c r="J526" s="38"/>
      <c r="K526" s="39"/>
      <c r="L526" s="38"/>
      <c r="M526" s="39"/>
      <c r="N526" s="40"/>
      <c r="O526" s="34"/>
      <c r="P526" s="35"/>
      <c r="Q526" s="35"/>
      <c r="R526" s="35"/>
      <c r="S526" s="35"/>
      <c r="T526" s="35"/>
      <c r="U526" s="35"/>
      <c r="V526" s="35"/>
      <c r="W526" s="35"/>
      <c r="X526" s="35"/>
      <c r="Y526" s="35"/>
      <c r="Z526" s="35"/>
    </row>
    <row r="527" ht="14.25" customHeight="1">
      <c r="A527" s="83"/>
      <c r="B527" s="84"/>
      <c r="C527" s="108"/>
      <c r="D527" s="102"/>
      <c r="E527" s="117"/>
      <c r="F527" s="250"/>
      <c r="G527" s="88"/>
      <c r="H527" s="36"/>
      <c r="I527" s="37"/>
      <c r="J527" s="38"/>
      <c r="K527" s="39"/>
      <c r="L527" s="38"/>
      <c r="M527" s="39"/>
      <c r="N527" s="40"/>
      <c r="O527" s="34"/>
      <c r="P527" s="35"/>
      <c r="Q527" s="35"/>
      <c r="R527" s="35"/>
      <c r="S527" s="35"/>
      <c r="T527" s="35"/>
      <c r="U527" s="35"/>
      <c r="V527" s="35"/>
      <c r="W527" s="35"/>
      <c r="X527" s="35"/>
      <c r="Y527" s="35"/>
      <c r="Z527" s="35"/>
    </row>
    <row r="528" ht="14.25" customHeight="1">
      <c r="A528" s="83"/>
      <c r="B528" s="84"/>
      <c r="C528" s="108"/>
      <c r="D528" s="102"/>
      <c r="E528" s="117"/>
      <c r="F528" s="250"/>
      <c r="G528" s="88"/>
      <c r="H528" s="36"/>
      <c r="I528" s="37"/>
      <c r="J528" s="38"/>
      <c r="K528" s="39"/>
      <c r="L528" s="38"/>
      <c r="M528" s="39"/>
      <c r="N528" s="40"/>
      <c r="O528" s="34"/>
      <c r="P528" s="35"/>
      <c r="Q528" s="35"/>
      <c r="R528" s="35"/>
      <c r="S528" s="35"/>
      <c r="T528" s="35"/>
      <c r="U528" s="35"/>
      <c r="V528" s="35"/>
      <c r="W528" s="35"/>
      <c r="X528" s="35"/>
      <c r="Y528" s="35"/>
      <c r="Z528" s="35"/>
    </row>
    <row r="529" ht="14.25" customHeight="1">
      <c r="A529" s="83"/>
      <c r="B529" s="84"/>
      <c r="C529" s="108"/>
      <c r="D529" s="102"/>
      <c r="E529" s="117"/>
      <c r="F529" s="250"/>
      <c r="G529" s="88"/>
      <c r="H529" s="36"/>
      <c r="I529" s="37"/>
      <c r="J529" s="38"/>
      <c r="K529" s="39"/>
      <c r="L529" s="38"/>
      <c r="M529" s="39"/>
      <c r="N529" s="40"/>
      <c r="O529" s="34"/>
      <c r="P529" s="35"/>
      <c r="Q529" s="35"/>
      <c r="R529" s="35"/>
      <c r="S529" s="35"/>
      <c r="T529" s="35"/>
      <c r="U529" s="35"/>
      <c r="V529" s="35"/>
      <c r="W529" s="35"/>
      <c r="X529" s="35"/>
      <c r="Y529" s="35"/>
      <c r="Z529" s="35"/>
    </row>
    <row r="530" ht="14.25" customHeight="1">
      <c r="A530" s="136"/>
      <c r="B530" s="137"/>
      <c r="C530" s="251"/>
      <c r="D530" s="452"/>
      <c r="E530" s="136"/>
      <c r="F530" s="253"/>
      <c r="G530" s="140"/>
      <c r="H530" s="141"/>
      <c r="I530" s="141"/>
      <c r="J530" s="142"/>
      <c r="K530" s="142"/>
      <c r="L530" s="142"/>
      <c r="M530" s="142"/>
      <c r="N530" s="136"/>
      <c r="O530" s="34"/>
      <c r="P530" s="35"/>
      <c r="Q530" s="35"/>
      <c r="R530" s="35"/>
      <c r="S530" s="35"/>
      <c r="T530" s="35"/>
      <c r="U530" s="35"/>
      <c r="V530" s="35"/>
      <c r="W530" s="35"/>
      <c r="X530" s="35"/>
      <c r="Y530" s="35"/>
      <c r="Z530" s="35"/>
    </row>
    <row r="531" ht="14.25" customHeight="1">
      <c r="A531" s="136"/>
      <c r="B531" s="137"/>
      <c r="C531" s="251"/>
      <c r="D531" s="452"/>
      <c r="E531" s="136"/>
      <c r="F531" s="253"/>
      <c r="G531" s="140"/>
      <c r="H531" s="141"/>
      <c r="I531" s="141"/>
      <c r="J531" s="142"/>
      <c r="K531" s="142"/>
      <c r="L531" s="142"/>
      <c r="M531" s="142"/>
      <c r="N531" s="136"/>
      <c r="O531" s="34"/>
      <c r="P531" s="35"/>
      <c r="Q531" s="35"/>
      <c r="R531" s="35"/>
      <c r="S531" s="35"/>
      <c r="T531" s="35"/>
      <c r="U531" s="35"/>
      <c r="V531" s="35"/>
      <c r="W531" s="35"/>
      <c r="X531" s="35"/>
      <c r="Y531" s="35"/>
      <c r="Z531" s="35"/>
    </row>
    <row r="532" ht="14.25" customHeight="1">
      <c r="A532" s="136"/>
      <c r="B532" s="137"/>
      <c r="C532" s="251"/>
      <c r="D532" s="452"/>
      <c r="E532" s="136"/>
      <c r="F532" s="253"/>
      <c r="G532" s="140"/>
      <c r="H532" s="141"/>
      <c r="I532" s="141"/>
      <c r="J532" s="142"/>
      <c r="K532" s="142"/>
      <c r="L532" s="142"/>
      <c r="M532" s="142"/>
      <c r="N532" s="136"/>
      <c r="O532" s="34"/>
      <c r="P532" s="35"/>
      <c r="Q532" s="35"/>
      <c r="R532" s="35"/>
      <c r="S532" s="35"/>
      <c r="T532" s="35"/>
      <c r="U532" s="35"/>
      <c r="V532" s="35"/>
      <c r="W532" s="35"/>
      <c r="X532" s="35"/>
      <c r="Y532" s="35"/>
      <c r="Z532" s="35"/>
    </row>
    <row r="533" ht="14.25" customHeight="1">
      <c r="A533" s="136"/>
      <c r="B533" s="137"/>
      <c r="C533" s="251"/>
      <c r="D533" s="452"/>
      <c r="E533" s="136"/>
      <c r="F533" s="253"/>
      <c r="G533" s="140"/>
      <c r="H533" s="141"/>
      <c r="I533" s="141"/>
      <c r="J533" s="142"/>
      <c r="K533" s="142"/>
      <c r="L533" s="142"/>
      <c r="M533" s="142"/>
      <c r="N533" s="136"/>
      <c r="O533" s="34"/>
      <c r="P533" s="35"/>
      <c r="Q533" s="35"/>
      <c r="R533" s="35"/>
      <c r="S533" s="35"/>
      <c r="T533" s="35"/>
      <c r="U533" s="35"/>
      <c r="V533" s="35"/>
      <c r="W533" s="35"/>
      <c r="X533" s="35"/>
      <c r="Y533" s="35"/>
      <c r="Z533" s="35"/>
    </row>
    <row r="534" ht="14.25" customHeight="1">
      <c r="A534" s="136"/>
      <c r="B534" s="137"/>
      <c r="C534" s="251"/>
      <c r="D534" s="452"/>
      <c r="E534" s="136"/>
      <c r="F534" s="253"/>
      <c r="G534" s="140"/>
      <c r="H534" s="141"/>
      <c r="I534" s="141"/>
      <c r="J534" s="142"/>
      <c r="K534" s="142"/>
      <c r="L534" s="142"/>
      <c r="M534" s="142"/>
      <c r="N534" s="136"/>
      <c r="O534" s="34"/>
      <c r="P534" s="35"/>
      <c r="Q534" s="35"/>
      <c r="R534" s="35"/>
      <c r="S534" s="35"/>
      <c r="T534" s="35"/>
      <c r="U534" s="35"/>
      <c r="V534" s="35"/>
      <c r="W534" s="35"/>
      <c r="X534" s="35"/>
      <c r="Y534" s="35"/>
      <c r="Z534" s="35"/>
    </row>
    <row r="535" ht="14.25" customHeight="1">
      <c r="A535" s="136"/>
      <c r="B535" s="137"/>
      <c r="C535" s="251"/>
      <c r="D535" s="452"/>
      <c r="E535" s="136"/>
      <c r="F535" s="253"/>
      <c r="G535" s="140"/>
      <c r="H535" s="141"/>
      <c r="I535" s="141"/>
      <c r="J535" s="142"/>
      <c r="K535" s="142"/>
      <c r="L535" s="142"/>
      <c r="M535" s="142"/>
      <c r="N535" s="136"/>
      <c r="O535" s="34"/>
      <c r="P535" s="35"/>
      <c r="Q535" s="35"/>
      <c r="R535" s="35"/>
      <c r="S535" s="35"/>
      <c r="T535" s="35"/>
      <c r="U535" s="35"/>
      <c r="V535" s="35"/>
      <c r="W535" s="35"/>
      <c r="X535" s="35"/>
      <c r="Y535" s="35"/>
      <c r="Z535" s="35"/>
    </row>
    <row r="536" ht="14.25" customHeight="1">
      <c r="A536" s="136"/>
      <c r="B536" s="137"/>
      <c r="C536" s="251"/>
      <c r="D536" s="452"/>
      <c r="E536" s="136"/>
      <c r="F536" s="253"/>
      <c r="G536" s="140"/>
      <c r="H536" s="141"/>
      <c r="I536" s="141"/>
      <c r="J536" s="142"/>
      <c r="K536" s="142"/>
      <c r="L536" s="142"/>
      <c r="M536" s="142"/>
      <c r="N536" s="136"/>
      <c r="O536" s="34"/>
      <c r="P536" s="35"/>
      <c r="Q536" s="35"/>
      <c r="R536" s="35"/>
      <c r="S536" s="35"/>
      <c r="T536" s="35"/>
      <c r="U536" s="35"/>
      <c r="V536" s="35"/>
      <c r="W536" s="35"/>
      <c r="X536" s="35"/>
      <c r="Y536" s="35"/>
      <c r="Z536" s="35"/>
    </row>
    <row r="537" ht="14.25" customHeight="1">
      <c r="A537" s="136"/>
      <c r="B537" s="137"/>
      <c r="C537" s="251"/>
      <c r="D537" s="452"/>
      <c r="E537" s="136"/>
      <c r="F537" s="253"/>
      <c r="G537" s="140"/>
      <c r="H537" s="141"/>
      <c r="I537" s="141"/>
      <c r="J537" s="142"/>
      <c r="K537" s="142"/>
      <c r="L537" s="142"/>
      <c r="M537" s="142"/>
      <c r="N537" s="136"/>
      <c r="O537" s="34"/>
      <c r="P537" s="35"/>
      <c r="Q537" s="35"/>
      <c r="R537" s="35"/>
      <c r="S537" s="35"/>
      <c r="T537" s="35"/>
      <c r="U537" s="35"/>
      <c r="V537" s="35"/>
      <c r="W537" s="35"/>
      <c r="X537" s="35"/>
      <c r="Y537" s="35"/>
      <c r="Z537" s="35"/>
    </row>
    <row r="538" ht="14.25" customHeight="1">
      <c r="A538" s="136"/>
      <c r="B538" s="137"/>
      <c r="C538" s="251"/>
      <c r="D538" s="452"/>
      <c r="E538" s="136"/>
      <c r="F538" s="253"/>
      <c r="G538" s="140"/>
      <c r="H538" s="141"/>
      <c r="I538" s="141"/>
      <c r="J538" s="142"/>
      <c r="K538" s="142"/>
      <c r="L538" s="142"/>
      <c r="M538" s="142"/>
      <c r="N538" s="136"/>
      <c r="O538" s="34"/>
      <c r="P538" s="35"/>
      <c r="Q538" s="35"/>
      <c r="R538" s="35"/>
      <c r="S538" s="35"/>
      <c r="T538" s="35"/>
      <c r="U538" s="35"/>
      <c r="V538" s="35"/>
      <c r="W538" s="35"/>
      <c r="X538" s="35"/>
      <c r="Y538" s="35"/>
      <c r="Z538" s="35"/>
    </row>
    <row r="539" ht="14.25" customHeight="1">
      <c r="A539" s="136"/>
      <c r="B539" s="137"/>
      <c r="C539" s="251"/>
      <c r="D539" s="452"/>
      <c r="E539" s="136"/>
      <c r="F539" s="253"/>
      <c r="G539" s="140"/>
      <c r="H539" s="141"/>
      <c r="I539" s="141"/>
      <c r="J539" s="142"/>
      <c r="K539" s="142"/>
      <c r="L539" s="142"/>
      <c r="M539" s="142"/>
      <c r="N539" s="136"/>
      <c r="O539" s="34"/>
      <c r="P539" s="35"/>
      <c r="Q539" s="35"/>
      <c r="R539" s="35"/>
      <c r="S539" s="35"/>
      <c r="T539" s="35"/>
      <c r="U539" s="35"/>
      <c r="V539" s="35"/>
      <c r="W539" s="35"/>
      <c r="X539" s="35"/>
      <c r="Y539" s="35"/>
      <c r="Z539" s="35"/>
    </row>
    <row r="540" ht="14.25" customHeight="1">
      <c r="A540" s="136"/>
      <c r="B540" s="137"/>
      <c r="C540" s="251"/>
      <c r="D540" s="452"/>
      <c r="E540" s="136"/>
      <c r="F540" s="253"/>
      <c r="G540" s="140"/>
      <c r="H540" s="141"/>
      <c r="I540" s="141"/>
      <c r="J540" s="142"/>
      <c r="K540" s="142"/>
      <c r="L540" s="142"/>
      <c r="M540" s="142"/>
      <c r="N540" s="136"/>
      <c r="O540" s="34"/>
      <c r="P540" s="35"/>
      <c r="Q540" s="35"/>
      <c r="R540" s="35"/>
      <c r="S540" s="35"/>
      <c r="T540" s="35"/>
      <c r="U540" s="35"/>
      <c r="V540" s="35"/>
      <c r="W540" s="35"/>
      <c r="X540" s="35"/>
      <c r="Y540" s="35"/>
      <c r="Z540" s="35"/>
    </row>
    <row r="541" ht="14.25" customHeight="1">
      <c r="A541" s="136"/>
      <c r="B541" s="137"/>
      <c r="C541" s="251"/>
      <c r="D541" s="452"/>
      <c r="E541" s="136"/>
      <c r="F541" s="253"/>
      <c r="G541" s="140"/>
      <c r="H541" s="141"/>
      <c r="I541" s="141"/>
      <c r="J541" s="142"/>
      <c r="K541" s="142"/>
      <c r="L541" s="142"/>
      <c r="M541" s="142"/>
      <c r="N541" s="136"/>
      <c r="O541" s="34"/>
      <c r="P541" s="35"/>
      <c r="Q541" s="35"/>
      <c r="R541" s="35"/>
      <c r="S541" s="35"/>
      <c r="T541" s="35"/>
      <c r="U541" s="35"/>
      <c r="V541" s="35"/>
      <c r="W541" s="35"/>
      <c r="X541" s="35"/>
      <c r="Y541" s="35"/>
      <c r="Z541" s="35"/>
    </row>
    <row r="542" ht="14.25" customHeight="1">
      <c r="A542" s="136"/>
      <c r="B542" s="137"/>
      <c r="C542" s="251"/>
      <c r="D542" s="452"/>
      <c r="E542" s="136"/>
      <c r="F542" s="253"/>
      <c r="G542" s="140"/>
      <c r="H542" s="141"/>
      <c r="I542" s="141"/>
      <c r="J542" s="142"/>
      <c r="K542" s="142"/>
      <c r="L542" s="142"/>
      <c r="M542" s="142"/>
      <c r="N542" s="136"/>
      <c r="O542" s="34"/>
      <c r="P542" s="35"/>
      <c r="Q542" s="35"/>
      <c r="R542" s="35"/>
      <c r="S542" s="35"/>
      <c r="T542" s="35"/>
      <c r="U542" s="35"/>
      <c r="V542" s="35"/>
      <c r="W542" s="35"/>
      <c r="X542" s="35"/>
      <c r="Y542" s="35"/>
      <c r="Z542" s="35"/>
    </row>
    <row r="543" ht="14.25" customHeight="1">
      <c r="A543" s="136"/>
      <c r="B543" s="137"/>
      <c r="C543" s="251"/>
      <c r="D543" s="452"/>
      <c r="E543" s="136"/>
      <c r="F543" s="253"/>
      <c r="G543" s="140"/>
      <c r="H543" s="141"/>
      <c r="I543" s="141"/>
      <c r="J543" s="142"/>
      <c r="K543" s="142"/>
      <c r="L543" s="142"/>
      <c r="M543" s="142"/>
      <c r="N543" s="136"/>
      <c r="O543" s="34"/>
      <c r="P543" s="35"/>
      <c r="Q543" s="35"/>
      <c r="R543" s="35"/>
      <c r="S543" s="35"/>
      <c r="T543" s="35"/>
      <c r="U543" s="35"/>
      <c r="V543" s="35"/>
      <c r="W543" s="35"/>
      <c r="X543" s="35"/>
      <c r="Y543" s="35"/>
      <c r="Z543" s="35"/>
    </row>
    <row r="544" ht="14.25" customHeight="1">
      <c r="A544" s="136"/>
      <c r="B544" s="137"/>
      <c r="C544" s="251"/>
      <c r="D544" s="452"/>
      <c r="E544" s="136"/>
      <c r="F544" s="253"/>
      <c r="G544" s="140"/>
      <c r="H544" s="141"/>
      <c r="I544" s="141"/>
      <c r="J544" s="142"/>
      <c r="K544" s="142"/>
      <c r="L544" s="142"/>
      <c r="M544" s="142"/>
      <c r="N544" s="136"/>
      <c r="O544" s="34"/>
      <c r="P544" s="35"/>
      <c r="Q544" s="35"/>
      <c r="R544" s="35"/>
      <c r="S544" s="35"/>
      <c r="T544" s="35"/>
      <c r="U544" s="35"/>
      <c r="V544" s="35"/>
      <c r="W544" s="35"/>
      <c r="X544" s="35"/>
      <c r="Y544" s="35"/>
      <c r="Z544" s="35"/>
    </row>
    <row r="545" ht="14.25" customHeight="1">
      <c r="A545" s="136"/>
      <c r="B545" s="137"/>
      <c r="C545" s="251"/>
      <c r="D545" s="452"/>
      <c r="E545" s="136"/>
      <c r="F545" s="253"/>
      <c r="G545" s="140"/>
      <c r="H545" s="141"/>
      <c r="I545" s="141"/>
      <c r="J545" s="142"/>
      <c r="K545" s="142"/>
      <c r="L545" s="142"/>
      <c r="M545" s="142"/>
      <c r="N545" s="136"/>
      <c r="O545" s="34"/>
      <c r="P545" s="35"/>
      <c r="Q545" s="35"/>
      <c r="R545" s="35"/>
      <c r="S545" s="35"/>
      <c r="T545" s="35"/>
      <c r="U545" s="35"/>
      <c r="V545" s="35"/>
      <c r="W545" s="35"/>
      <c r="X545" s="35"/>
      <c r="Y545" s="35"/>
      <c r="Z545" s="35"/>
    </row>
    <row r="546" ht="14.25" customHeight="1">
      <c r="A546" s="136"/>
      <c r="B546" s="137"/>
      <c r="C546" s="251"/>
      <c r="D546" s="452"/>
      <c r="E546" s="136"/>
      <c r="F546" s="253"/>
      <c r="G546" s="140"/>
      <c r="H546" s="141"/>
      <c r="I546" s="141"/>
      <c r="J546" s="142"/>
      <c r="K546" s="142"/>
      <c r="L546" s="142"/>
      <c r="M546" s="142"/>
      <c r="N546" s="136"/>
      <c r="O546" s="34"/>
      <c r="P546" s="35"/>
      <c r="Q546" s="35"/>
      <c r="R546" s="35"/>
      <c r="S546" s="35"/>
      <c r="T546" s="35"/>
      <c r="U546" s="35"/>
      <c r="V546" s="35"/>
      <c r="W546" s="35"/>
      <c r="X546" s="35"/>
      <c r="Y546" s="35"/>
      <c r="Z546" s="35"/>
    </row>
    <row r="547" ht="14.25" customHeight="1">
      <c r="A547" s="136"/>
      <c r="B547" s="137"/>
      <c r="C547" s="251"/>
      <c r="D547" s="452"/>
      <c r="E547" s="136"/>
      <c r="F547" s="253"/>
      <c r="G547" s="140"/>
      <c r="H547" s="141"/>
      <c r="I547" s="141"/>
      <c r="J547" s="142"/>
      <c r="K547" s="142"/>
      <c r="L547" s="142"/>
      <c r="M547" s="142"/>
      <c r="N547" s="136"/>
      <c r="O547" s="34"/>
      <c r="P547" s="35"/>
      <c r="Q547" s="35"/>
      <c r="R547" s="35"/>
      <c r="S547" s="35"/>
      <c r="T547" s="35"/>
      <c r="U547" s="35"/>
      <c r="V547" s="35"/>
      <c r="W547" s="35"/>
      <c r="X547" s="35"/>
      <c r="Y547" s="35"/>
      <c r="Z547" s="35"/>
    </row>
    <row r="548" ht="14.25" customHeight="1">
      <c r="A548" s="136"/>
      <c r="B548" s="137"/>
      <c r="C548" s="251"/>
      <c r="D548" s="452"/>
      <c r="E548" s="136"/>
      <c r="F548" s="253"/>
      <c r="G548" s="140"/>
      <c r="H548" s="141"/>
      <c r="I548" s="141"/>
      <c r="J548" s="142"/>
      <c r="K548" s="142"/>
      <c r="L548" s="142"/>
      <c r="M548" s="142"/>
      <c r="N548" s="136"/>
      <c r="O548" s="34"/>
      <c r="P548" s="35"/>
      <c r="Q548" s="35"/>
      <c r="R548" s="35"/>
      <c r="S548" s="35"/>
      <c r="T548" s="35"/>
      <c r="U548" s="35"/>
      <c r="V548" s="35"/>
      <c r="W548" s="35"/>
      <c r="X548" s="35"/>
      <c r="Y548" s="35"/>
      <c r="Z548" s="35"/>
    </row>
    <row r="549" ht="14.25" customHeight="1">
      <c r="A549" s="136"/>
      <c r="B549" s="137"/>
      <c r="C549" s="251"/>
      <c r="D549" s="452"/>
      <c r="E549" s="136"/>
      <c r="F549" s="253"/>
      <c r="G549" s="140"/>
      <c r="H549" s="141"/>
      <c r="I549" s="141"/>
      <c r="J549" s="142"/>
      <c r="K549" s="142"/>
      <c r="L549" s="142"/>
      <c r="M549" s="142"/>
      <c r="N549" s="136"/>
      <c r="O549" s="34"/>
      <c r="P549" s="35"/>
      <c r="Q549" s="35"/>
      <c r="R549" s="35"/>
      <c r="S549" s="35"/>
      <c r="T549" s="35"/>
      <c r="U549" s="35"/>
      <c r="V549" s="35"/>
      <c r="W549" s="35"/>
      <c r="X549" s="35"/>
      <c r="Y549" s="35"/>
      <c r="Z549" s="35"/>
    </row>
    <row r="550" ht="14.25" customHeight="1">
      <c r="A550" s="136"/>
      <c r="B550" s="137"/>
      <c r="C550" s="251"/>
      <c r="D550" s="452"/>
      <c r="E550" s="136"/>
      <c r="F550" s="253"/>
      <c r="G550" s="140"/>
      <c r="H550" s="141"/>
      <c r="I550" s="141"/>
      <c r="J550" s="142"/>
      <c r="K550" s="142"/>
      <c r="L550" s="142"/>
      <c r="M550" s="142"/>
      <c r="N550" s="136"/>
      <c r="O550" s="34"/>
      <c r="P550" s="35"/>
      <c r="Q550" s="35"/>
      <c r="R550" s="35"/>
      <c r="S550" s="35"/>
      <c r="T550" s="35"/>
      <c r="U550" s="35"/>
      <c r="V550" s="35"/>
      <c r="W550" s="35"/>
      <c r="X550" s="35"/>
      <c r="Y550" s="35"/>
      <c r="Z550" s="35"/>
    </row>
    <row r="551" ht="14.25" customHeight="1">
      <c r="A551" s="136"/>
      <c r="B551" s="137"/>
      <c r="C551" s="251"/>
      <c r="D551" s="452"/>
      <c r="E551" s="136"/>
      <c r="F551" s="253"/>
      <c r="G551" s="140"/>
      <c r="H551" s="141"/>
      <c r="I551" s="141"/>
      <c r="J551" s="142"/>
      <c r="K551" s="142"/>
      <c r="L551" s="142"/>
      <c r="M551" s="142"/>
      <c r="N551" s="136"/>
      <c r="O551" s="34"/>
      <c r="P551" s="35"/>
      <c r="Q551" s="35"/>
      <c r="R551" s="35"/>
      <c r="S551" s="35"/>
      <c r="T551" s="35"/>
      <c r="U551" s="35"/>
      <c r="V551" s="35"/>
      <c r="W551" s="35"/>
      <c r="X551" s="35"/>
      <c r="Y551" s="35"/>
      <c r="Z551" s="35"/>
    </row>
    <row r="552" ht="14.25" customHeight="1">
      <c r="A552" s="136"/>
      <c r="B552" s="137"/>
      <c r="C552" s="251"/>
      <c r="D552" s="452"/>
      <c r="E552" s="136"/>
      <c r="F552" s="253"/>
      <c r="G552" s="140"/>
      <c r="H552" s="141"/>
      <c r="I552" s="141"/>
      <c r="J552" s="142"/>
      <c r="K552" s="142"/>
      <c r="L552" s="142"/>
      <c r="M552" s="142"/>
      <c r="N552" s="136"/>
      <c r="O552" s="34"/>
      <c r="P552" s="35"/>
      <c r="Q552" s="35"/>
      <c r="R552" s="35"/>
      <c r="S552" s="35"/>
      <c r="T552" s="35"/>
      <c r="U552" s="35"/>
      <c r="V552" s="35"/>
      <c r="W552" s="35"/>
      <c r="X552" s="35"/>
      <c r="Y552" s="35"/>
      <c r="Z552" s="35"/>
    </row>
    <row r="553" ht="14.25" customHeight="1">
      <c r="A553" s="136"/>
      <c r="B553" s="137"/>
      <c r="C553" s="251"/>
      <c r="D553" s="452"/>
      <c r="E553" s="136"/>
      <c r="F553" s="253"/>
      <c r="G553" s="140"/>
      <c r="H553" s="141"/>
      <c r="I553" s="141"/>
      <c r="J553" s="142"/>
      <c r="K553" s="142"/>
      <c r="L553" s="142"/>
      <c r="M553" s="142"/>
      <c r="N553" s="136"/>
      <c r="O553" s="34"/>
      <c r="P553" s="35"/>
      <c r="Q553" s="35"/>
      <c r="R553" s="35"/>
      <c r="S553" s="35"/>
      <c r="T553" s="35"/>
      <c r="U553" s="35"/>
      <c r="V553" s="35"/>
      <c r="W553" s="35"/>
      <c r="X553" s="35"/>
      <c r="Y553" s="35"/>
      <c r="Z553" s="35"/>
    </row>
    <row r="554" ht="14.25" customHeight="1">
      <c r="A554" s="136"/>
      <c r="B554" s="137"/>
      <c r="C554" s="251"/>
      <c r="D554" s="452"/>
      <c r="E554" s="136"/>
      <c r="F554" s="253"/>
      <c r="G554" s="140"/>
      <c r="H554" s="141"/>
      <c r="I554" s="141"/>
      <c r="J554" s="142"/>
      <c r="K554" s="142"/>
      <c r="L554" s="142"/>
      <c r="M554" s="142"/>
      <c r="N554" s="136"/>
      <c r="O554" s="34"/>
      <c r="P554" s="35"/>
      <c r="Q554" s="35"/>
      <c r="R554" s="35"/>
      <c r="S554" s="35"/>
      <c r="T554" s="35"/>
      <c r="U554" s="35"/>
      <c r="V554" s="35"/>
      <c r="W554" s="35"/>
      <c r="X554" s="35"/>
      <c r="Y554" s="35"/>
      <c r="Z554" s="35"/>
    </row>
    <row r="555" ht="14.25" customHeight="1">
      <c r="A555" s="136"/>
      <c r="B555" s="137"/>
      <c r="C555" s="251"/>
      <c r="D555" s="452"/>
      <c r="E555" s="136"/>
      <c r="F555" s="253"/>
      <c r="G555" s="140"/>
      <c r="H555" s="141"/>
      <c r="I555" s="141"/>
      <c r="J555" s="142"/>
      <c r="K555" s="142"/>
      <c r="L555" s="142"/>
      <c r="M555" s="142"/>
      <c r="N555" s="136"/>
      <c r="O555" s="34"/>
      <c r="P555" s="35"/>
      <c r="Q555" s="35"/>
      <c r="R555" s="35"/>
      <c r="S555" s="35"/>
      <c r="T555" s="35"/>
      <c r="U555" s="35"/>
      <c r="V555" s="35"/>
      <c r="W555" s="35"/>
      <c r="X555" s="35"/>
      <c r="Y555" s="35"/>
      <c r="Z555" s="35"/>
    </row>
    <row r="556" ht="14.25" customHeight="1">
      <c r="A556" s="136"/>
      <c r="B556" s="137"/>
      <c r="C556" s="251"/>
      <c r="D556" s="452"/>
      <c r="E556" s="136"/>
      <c r="F556" s="253"/>
      <c r="G556" s="140"/>
      <c r="H556" s="141"/>
      <c r="I556" s="141"/>
      <c r="J556" s="142"/>
      <c r="K556" s="142"/>
      <c r="L556" s="142"/>
      <c r="M556" s="142"/>
      <c r="N556" s="136"/>
      <c r="O556" s="34"/>
      <c r="P556" s="35"/>
      <c r="Q556" s="35"/>
      <c r="R556" s="35"/>
      <c r="S556" s="35"/>
      <c r="T556" s="35"/>
      <c r="U556" s="35"/>
      <c r="V556" s="35"/>
      <c r="W556" s="35"/>
      <c r="X556" s="35"/>
      <c r="Y556" s="35"/>
      <c r="Z556" s="35"/>
    </row>
    <row r="557" ht="14.25" customHeight="1">
      <c r="A557" s="136"/>
      <c r="B557" s="137"/>
      <c r="C557" s="251"/>
      <c r="D557" s="452"/>
      <c r="E557" s="136"/>
      <c r="F557" s="253"/>
      <c r="G557" s="140"/>
      <c r="H557" s="141"/>
      <c r="I557" s="141"/>
      <c r="J557" s="142"/>
      <c r="K557" s="142"/>
      <c r="L557" s="142"/>
      <c r="M557" s="142"/>
      <c r="N557" s="136"/>
      <c r="O557" s="34"/>
      <c r="P557" s="35"/>
      <c r="Q557" s="35"/>
      <c r="R557" s="35"/>
      <c r="S557" s="35"/>
      <c r="T557" s="35"/>
      <c r="U557" s="35"/>
      <c r="V557" s="35"/>
      <c r="W557" s="35"/>
      <c r="X557" s="35"/>
      <c r="Y557" s="35"/>
      <c r="Z557" s="35"/>
    </row>
    <row r="558" ht="14.25" customHeight="1">
      <c r="A558" s="136"/>
      <c r="B558" s="137"/>
      <c r="C558" s="251"/>
      <c r="D558" s="452"/>
      <c r="E558" s="136"/>
      <c r="F558" s="253"/>
      <c r="G558" s="140"/>
      <c r="H558" s="141"/>
      <c r="I558" s="141"/>
      <c r="J558" s="142"/>
      <c r="K558" s="142"/>
      <c r="L558" s="142"/>
      <c r="M558" s="142"/>
      <c r="N558" s="136"/>
      <c r="O558" s="34"/>
      <c r="P558" s="35"/>
      <c r="Q558" s="35"/>
      <c r="R558" s="35"/>
      <c r="S558" s="35"/>
      <c r="T558" s="35"/>
      <c r="U558" s="35"/>
      <c r="V558" s="35"/>
      <c r="W558" s="35"/>
      <c r="X558" s="35"/>
      <c r="Y558" s="35"/>
      <c r="Z558" s="35"/>
    </row>
    <row r="559" ht="14.25" customHeight="1">
      <c r="A559" s="136"/>
      <c r="B559" s="137"/>
      <c r="C559" s="251"/>
      <c r="D559" s="452"/>
      <c r="E559" s="136"/>
      <c r="F559" s="253"/>
      <c r="G559" s="140"/>
      <c r="H559" s="141"/>
      <c r="I559" s="141"/>
      <c r="J559" s="142"/>
      <c r="K559" s="142"/>
      <c r="L559" s="142"/>
      <c r="M559" s="142"/>
      <c r="N559" s="136"/>
      <c r="O559" s="34"/>
      <c r="P559" s="35"/>
      <c r="Q559" s="35"/>
      <c r="R559" s="35"/>
      <c r="S559" s="35"/>
      <c r="T559" s="35"/>
      <c r="U559" s="35"/>
      <c r="V559" s="35"/>
      <c r="W559" s="35"/>
      <c r="X559" s="35"/>
      <c r="Y559" s="35"/>
      <c r="Z559" s="35"/>
    </row>
    <row r="560" ht="14.25" customHeight="1">
      <c r="A560" s="136"/>
      <c r="B560" s="137"/>
      <c r="C560" s="251"/>
      <c r="D560" s="452"/>
      <c r="E560" s="136"/>
      <c r="F560" s="253"/>
      <c r="G560" s="140"/>
      <c r="H560" s="141"/>
      <c r="I560" s="141"/>
      <c r="J560" s="142"/>
      <c r="K560" s="142"/>
      <c r="L560" s="142"/>
      <c r="M560" s="142"/>
      <c r="N560" s="136"/>
      <c r="O560" s="34"/>
      <c r="P560" s="35"/>
      <c r="Q560" s="35"/>
      <c r="R560" s="35"/>
      <c r="S560" s="35"/>
      <c r="T560" s="35"/>
      <c r="U560" s="35"/>
      <c r="V560" s="35"/>
      <c r="W560" s="35"/>
      <c r="X560" s="35"/>
      <c r="Y560" s="35"/>
      <c r="Z560" s="35"/>
    </row>
    <row r="561" ht="14.25" customHeight="1">
      <c r="A561" s="136"/>
      <c r="B561" s="137"/>
      <c r="C561" s="251"/>
      <c r="D561" s="452"/>
      <c r="E561" s="136"/>
      <c r="F561" s="253"/>
      <c r="G561" s="140"/>
      <c r="H561" s="141"/>
      <c r="I561" s="141"/>
      <c r="J561" s="142"/>
      <c r="K561" s="142"/>
      <c r="L561" s="142"/>
      <c r="M561" s="142"/>
      <c r="N561" s="136"/>
      <c r="O561" s="34"/>
      <c r="P561" s="35"/>
      <c r="Q561" s="35"/>
      <c r="R561" s="35"/>
      <c r="S561" s="35"/>
      <c r="T561" s="35"/>
      <c r="U561" s="35"/>
      <c r="V561" s="35"/>
      <c r="W561" s="35"/>
      <c r="X561" s="35"/>
      <c r="Y561" s="35"/>
      <c r="Z561" s="35"/>
    </row>
    <row r="562" ht="14.25" customHeight="1">
      <c r="A562" s="136"/>
      <c r="B562" s="137"/>
      <c r="C562" s="251"/>
      <c r="D562" s="452"/>
      <c r="E562" s="136"/>
      <c r="F562" s="253"/>
      <c r="G562" s="140"/>
      <c r="H562" s="141"/>
      <c r="I562" s="141"/>
      <c r="J562" s="142"/>
      <c r="K562" s="142"/>
      <c r="L562" s="142"/>
      <c r="M562" s="142"/>
      <c r="N562" s="136"/>
      <c r="O562" s="34"/>
      <c r="P562" s="35"/>
      <c r="Q562" s="35"/>
      <c r="R562" s="35"/>
      <c r="S562" s="35"/>
      <c r="T562" s="35"/>
      <c r="U562" s="35"/>
      <c r="V562" s="35"/>
      <c r="W562" s="35"/>
      <c r="X562" s="35"/>
      <c r="Y562" s="35"/>
      <c r="Z562" s="35"/>
    </row>
    <row r="563" ht="14.25" customHeight="1">
      <c r="A563" s="136"/>
      <c r="B563" s="137"/>
      <c r="C563" s="251"/>
      <c r="D563" s="452"/>
      <c r="E563" s="136"/>
      <c r="F563" s="253"/>
      <c r="G563" s="140"/>
      <c r="H563" s="141"/>
      <c r="I563" s="141"/>
      <c r="J563" s="142"/>
      <c r="K563" s="142"/>
      <c r="L563" s="142"/>
      <c r="M563" s="142"/>
      <c r="N563" s="136"/>
      <c r="O563" s="34"/>
      <c r="P563" s="35"/>
      <c r="Q563" s="35"/>
      <c r="R563" s="35"/>
      <c r="S563" s="35"/>
      <c r="T563" s="35"/>
      <c r="U563" s="35"/>
      <c r="V563" s="35"/>
      <c r="W563" s="35"/>
      <c r="X563" s="35"/>
      <c r="Y563" s="35"/>
      <c r="Z563" s="35"/>
    </row>
    <row r="564" ht="14.25" customHeight="1">
      <c r="A564" s="136"/>
      <c r="B564" s="137"/>
      <c r="C564" s="251"/>
      <c r="D564" s="452"/>
      <c r="E564" s="136"/>
      <c r="F564" s="253"/>
      <c r="G564" s="140"/>
      <c r="H564" s="141"/>
      <c r="I564" s="141"/>
      <c r="J564" s="142"/>
      <c r="K564" s="142"/>
      <c r="L564" s="142"/>
      <c r="M564" s="142"/>
      <c r="N564" s="136"/>
      <c r="O564" s="34"/>
      <c r="P564" s="35"/>
      <c r="Q564" s="35"/>
      <c r="R564" s="35"/>
      <c r="S564" s="35"/>
      <c r="T564" s="35"/>
      <c r="U564" s="35"/>
      <c r="V564" s="35"/>
      <c r="W564" s="35"/>
      <c r="X564" s="35"/>
      <c r="Y564" s="35"/>
      <c r="Z564" s="35"/>
    </row>
    <row r="565" ht="14.25" customHeight="1">
      <c r="A565" s="136"/>
      <c r="B565" s="137"/>
      <c r="C565" s="251"/>
      <c r="D565" s="452"/>
      <c r="E565" s="136"/>
      <c r="F565" s="253"/>
      <c r="G565" s="140"/>
      <c r="H565" s="141"/>
      <c r="I565" s="141"/>
      <c r="J565" s="142"/>
      <c r="K565" s="142"/>
      <c r="L565" s="142"/>
      <c r="M565" s="142"/>
      <c r="N565" s="136"/>
      <c r="O565" s="34"/>
      <c r="P565" s="35"/>
      <c r="Q565" s="35"/>
      <c r="R565" s="35"/>
      <c r="S565" s="35"/>
      <c r="T565" s="35"/>
      <c r="U565" s="35"/>
      <c r="V565" s="35"/>
      <c r="W565" s="35"/>
      <c r="X565" s="35"/>
      <c r="Y565" s="35"/>
      <c r="Z565" s="35"/>
    </row>
    <row r="566" ht="14.25" customHeight="1">
      <c r="A566" s="136"/>
      <c r="B566" s="137"/>
      <c r="C566" s="251"/>
      <c r="D566" s="452"/>
      <c r="E566" s="136"/>
      <c r="F566" s="253"/>
      <c r="G566" s="140"/>
      <c r="H566" s="141"/>
      <c r="I566" s="141"/>
      <c r="J566" s="142"/>
      <c r="K566" s="142"/>
      <c r="L566" s="142"/>
      <c r="M566" s="142"/>
      <c r="N566" s="136"/>
      <c r="O566" s="34"/>
      <c r="P566" s="35"/>
      <c r="Q566" s="35"/>
      <c r="R566" s="35"/>
      <c r="S566" s="35"/>
      <c r="T566" s="35"/>
      <c r="U566" s="35"/>
      <c r="V566" s="35"/>
      <c r="W566" s="35"/>
      <c r="X566" s="35"/>
      <c r="Y566" s="35"/>
      <c r="Z566" s="35"/>
    </row>
    <row r="567" ht="14.25" customHeight="1">
      <c r="A567" s="136"/>
      <c r="B567" s="137"/>
      <c r="C567" s="251"/>
      <c r="D567" s="452"/>
      <c r="E567" s="136"/>
      <c r="F567" s="253"/>
      <c r="G567" s="140"/>
      <c r="H567" s="141"/>
      <c r="I567" s="141"/>
      <c r="J567" s="142"/>
      <c r="K567" s="142"/>
      <c r="L567" s="142"/>
      <c r="M567" s="142"/>
      <c r="N567" s="136"/>
      <c r="O567" s="34"/>
      <c r="P567" s="35"/>
      <c r="Q567" s="35"/>
      <c r="R567" s="35"/>
      <c r="S567" s="35"/>
      <c r="T567" s="35"/>
      <c r="U567" s="35"/>
      <c r="V567" s="35"/>
      <c r="W567" s="35"/>
      <c r="X567" s="35"/>
      <c r="Y567" s="35"/>
      <c r="Z567" s="35"/>
    </row>
    <row r="568" ht="14.25" customHeight="1">
      <c r="A568" s="136"/>
      <c r="B568" s="137"/>
      <c r="C568" s="251"/>
      <c r="D568" s="452"/>
      <c r="E568" s="136"/>
      <c r="F568" s="253"/>
      <c r="G568" s="140"/>
      <c r="H568" s="141"/>
      <c r="I568" s="141"/>
      <c r="J568" s="142"/>
      <c r="K568" s="142"/>
      <c r="L568" s="142"/>
      <c r="M568" s="142"/>
      <c r="N568" s="136"/>
      <c r="O568" s="34"/>
      <c r="P568" s="35"/>
      <c r="Q568" s="35"/>
      <c r="R568" s="35"/>
      <c r="S568" s="35"/>
      <c r="T568" s="35"/>
      <c r="U568" s="35"/>
      <c r="V568" s="35"/>
      <c r="W568" s="35"/>
      <c r="X568" s="35"/>
      <c r="Y568" s="35"/>
      <c r="Z568" s="35"/>
    </row>
    <row r="569" ht="14.25" customHeight="1">
      <c r="A569" s="136"/>
      <c r="B569" s="137"/>
      <c r="C569" s="251"/>
      <c r="D569" s="452"/>
      <c r="E569" s="136"/>
      <c r="F569" s="253"/>
      <c r="G569" s="140"/>
      <c r="H569" s="141"/>
      <c r="I569" s="141"/>
      <c r="J569" s="142"/>
      <c r="K569" s="142"/>
      <c r="L569" s="142"/>
      <c r="M569" s="142"/>
      <c r="N569" s="136"/>
      <c r="O569" s="34"/>
      <c r="P569" s="35"/>
      <c r="Q569" s="35"/>
      <c r="R569" s="35"/>
      <c r="S569" s="35"/>
      <c r="T569" s="35"/>
      <c r="U569" s="35"/>
      <c r="V569" s="35"/>
      <c r="W569" s="35"/>
      <c r="X569" s="35"/>
      <c r="Y569" s="35"/>
      <c r="Z569" s="35"/>
    </row>
    <row r="570" ht="14.25" customHeight="1">
      <c r="A570" s="136"/>
      <c r="B570" s="137"/>
      <c r="C570" s="251"/>
      <c r="D570" s="452"/>
      <c r="E570" s="136"/>
      <c r="F570" s="253"/>
      <c r="G570" s="140"/>
      <c r="H570" s="141"/>
      <c r="I570" s="141"/>
      <c r="J570" s="142"/>
      <c r="K570" s="142"/>
      <c r="L570" s="142"/>
      <c r="M570" s="142"/>
      <c r="N570" s="136"/>
      <c r="O570" s="34"/>
      <c r="P570" s="35"/>
      <c r="Q570" s="35"/>
      <c r="R570" s="35"/>
      <c r="S570" s="35"/>
      <c r="T570" s="35"/>
      <c r="U570" s="35"/>
      <c r="V570" s="35"/>
      <c r="W570" s="35"/>
      <c r="X570" s="35"/>
      <c r="Y570" s="35"/>
      <c r="Z570" s="35"/>
    </row>
    <row r="571" ht="14.25" customHeight="1">
      <c r="A571" s="136"/>
      <c r="B571" s="137"/>
      <c r="C571" s="251"/>
      <c r="D571" s="452"/>
      <c r="E571" s="136"/>
      <c r="F571" s="253"/>
      <c r="G571" s="140"/>
      <c r="H571" s="141"/>
      <c r="I571" s="141"/>
      <c r="J571" s="142"/>
      <c r="K571" s="142"/>
      <c r="L571" s="142"/>
      <c r="M571" s="142"/>
      <c r="N571" s="136"/>
      <c r="O571" s="34"/>
      <c r="P571" s="35"/>
      <c r="Q571" s="35"/>
      <c r="R571" s="35"/>
      <c r="S571" s="35"/>
      <c r="T571" s="35"/>
      <c r="U571" s="35"/>
      <c r="V571" s="35"/>
      <c r="W571" s="35"/>
      <c r="X571" s="35"/>
      <c r="Y571" s="35"/>
      <c r="Z571" s="35"/>
    </row>
    <row r="572" ht="14.25" customHeight="1">
      <c r="A572" s="136"/>
      <c r="B572" s="137"/>
      <c r="C572" s="251"/>
      <c r="D572" s="452"/>
      <c r="E572" s="136"/>
      <c r="F572" s="253"/>
      <c r="G572" s="140"/>
      <c r="H572" s="141"/>
      <c r="I572" s="141"/>
      <c r="J572" s="142"/>
      <c r="K572" s="142"/>
      <c r="L572" s="142"/>
      <c r="M572" s="142"/>
      <c r="N572" s="136"/>
      <c r="O572" s="34"/>
      <c r="P572" s="35"/>
      <c r="Q572" s="35"/>
      <c r="R572" s="35"/>
      <c r="S572" s="35"/>
      <c r="T572" s="35"/>
      <c r="U572" s="35"/>
      <c r="V572" s="35"/>
      <c r="W572" s="35"/>
      <c r="X572" s="35"/>
      <c r="Y572" s="35"/>
      <c r="Z572" s="35"/>
    </row>
    <row r="573" ht="14.25" customHeight="1">
      <c r="A573" s="136"/>
      <c r="B573" s="137"/>
      <c r="C573" s="251"/>
      <c r="D573" s="452"/>
      <c r="E573" s="136"/>
      <c r="F573" s="253"/>
      <c r="G573" s="140"/>
      <c r="H573" s="141"/>
      <c r="I573" s="141"/>
      <c r="J573" s="142"/>
      <c r="K573" s="142"/>
      <c r="L573" s="142"/>
      <c r="M573" s="142"/>
      <c r="N573" s="136"/>
      <c r="O573" s="34"/>
      <c r="P573" s="35"/>
      <c r="Q573" s="35"/>
      <c r="R573" s="35"/>
      <c r="S573" s="35"/>
      <c r="T573" s="35"/>
      <c r="U573" s="35"/>
      <c r="V573" s="35"/>
      <c r="W573" s="35"/>
      <c r="X573" s="35"/>
      <c r="Y573" s="35"/>
      <c r="Z573" s="35"/>
    </row>
    <row r="574" ht="14.25" customHeight="1">
      <c r="A574" s="136"/>
      <c r="B574" s="137"/>
      <c r="C574" s="251"/>
      <c r="D574" s="452"/>
      <c r="E574" s="136"/>
      <c r="F574" s="253"/>
      <c r="G574" s="140"/>
      <c r="H574" s="141"/>
      <c r="I574" s="141"/>
      <c r="J574" s="142"/>
      <c r="K574" s="142"/>
      <c r="L574" s="142"/>
      <c r="M574" s="142"/>
      <c r="N574" s="136"/>
      <c r="O574" s="34"/>
      <c r="P574" s="35"/>
      <c r="Q574" s="35"/>
      <c r="R574" s="35"/>
      <c r="S574" s="35"/>
      <c r="T574" s="35"/>
      <c r="U574" s="35"/>
      <c r="V574" s="35"/>
      <c r="W574" s="35"/>
      <c r="X574" s="35"/>
      <c r="Y574" s="35"/>
      <c r="Z574" s="35"/>
    </row>
    <row r="575" ht="14.25" customHeight="1">
      <c r="A575" s="136"/>
      <c r="B575" s="137"/>
      <c r="C575" s="251"/>
      <c r="D575" s="452"/>
      <c r="E575" s="136"/>
      <c r="F575" s="253"/>
      <c r="G575" s="140"/>
      <c r="H575" s="141"/>
      <c r="I575" s="141"/>
      <c r="J575" s="142"/>
      <c r="K575" s="142"/>
      <c r="L575" s="142"/>
      <c r="M575" s="142"/>
      <c r="N575" s="136"/>
      <c r="O575" s="34"/>
      <c r="P575" s="35"/>
      <c r="Q575" s="35"/>
      <c r="R575" s="35"/>
      <c r="S575" s="35"/>
      <c r="T575" s="35"/>
      <c r="U575" s="35"/>
      <c r="V575" s="35"/>
      <c r="W575" s="35"/>
      <c r="X575" s="35"/>
      <c r="Y575" s="35"/>
      <c r="Z575" s="35"/>
    </row>
    <row r="576" ht="14.25" customHeight="1">
      <c r="A576" s="136"/>
      <c r="B576" s="137"/>
      <c r="C576" s="251"/>
      <c r="D576" s="452"/>
      <c r="E576" s="136"/>
      <c r="F576" s="253"/>
      <c r="G576" s="140"/>
      <c r="H576" s="141"/>
      <c r="I576" s="141"/>
      <c r="J576" s="142"/>
      <c r="K576" s="142"/>
      <c r="L576" s="142"/>
      <c r="M576" s="142"/>
      <c r="N576" s="136"/>
      <c r="O576" s="34"/>
      <c r="P576" s="35"/>
      <c r="Q576" s="35"/>
      <c r="R576" s="35"/>
      <c r="S576" s="35"/>
      <c r="T576" s="35"/>
      <c r="U576" s="35"/>
      <c r="V576" s="35"/>
      <c r="W576" s="35"/>
      <c r="X576" s="35"/>
      <c r="Y576" s="35"/>
      <c r="Z576" s="35"/>
    </row>
    <row r="577" ht="14.25" customHeight="1">
      <c r="A577" s="136"/>
      <c r="B577" s="137"/>
      <c r="C577" s="251"/>
      <c r="D577" s="452"/>
      <c r="E577" s="136"/>
      <c r="F577" s="253"/>
      <c r="G577" s="140"/>
      <c r="H577" s="141"/>
      <c r="I577" s="141"/>
      <c r="J577" s="142"/>
      <c r="K577" s="142"/>
      <c r="L577" s="142"/>
      <c r="M577" s="142"/>
      <c r="N577" s="136"/>
      <c r="O577" s="34"/>
      <c r="P577" s="35"/>
      <c r="Q577" s="35"/>
      <c r="R577" s="35"/>
      <c r="S577" s="35"/>
      <c r="T577" s="35"/>
      <c r="U577" s="35"/>
      <c r="V577" s="35"/>
      <c r="W577" s="35"/>
      <c r="X577" s="35"/>
      <c r="Y577" s="35"/>
      <c r="Z577" s="35"/>
    </row>
    <row r="578" ht="14.25" customHeight="1">
      <c r="A578" s="136"/>
      <c r="B578" s="137"/>
      <c r="C578" s="251"/>
      <c r="D578" s="452"/>
      <c r="E578" s="136"/>
      <c r="F578" s="253"/>
      <c r="G578" s="140"/>
      <c r="H578" s="141"/>
      <c r="I578" s="141"/>
      <c r="J578" s="142"/>
      <c r="K578" s="142"/>
      <c r="L578" s="142"/>
      <c r="M578" s="142"/>
      <c r="N578" s="136"/>
      <c r="O578" s="34"/>
      <c r="P578" s="35"/>
      <c r="Q578" s="35"/>
      <c r="R578" s="35"/>
      <c r="S578" s="35"/>
      <c r="T578" s="35"/>
      <c r="U578" s="35"/>
      <c r="V578" s="35"/>
      <c r="W578" s="35"/>
      <c r="X578" s="35"/>
      <c r="Y578" s="35"/>
      <c r="Z578" s="35"/>
    </row>
    <row r="579" ht="14.25" customHeight="1">
      <c r="A579" s="136"/>
      <c r="B579" s="137"/>
      <c r="C579" s="251"/>
      <c r="D579" s="452"/>
      <c r="E579" s="136"/>
      <c r="F579" s="253"/>
      <c r="G579" s="140"/>
      <c r="H579" s="141"/>
      <c r="I579" s="141"/>
      <c r="J579" s="142"/>
      <c r="K579" s="142"/>
      <c r="L579" s="142"/>
      <c r="M579" s="142"/>
      <c r="N579" s="136"/>
      <c r="O579" s="34"/>
      <c r="P579" s="35"/>
      <c r="Q579" s="35"/>
      <c r="R579" s="35"/>
      <c r="S579" s="35"/>
      <c r="T579" s="35"/>
      <c r="U579" s="35"/>
      <c r="V579" s="35"/>
      <c r="W579" s="35"/>
      <c r="X579" s="35"/>
      <c r="Y579" s="35"/>
      <c r="Z579" s="35"/>
    </row>
    <row r="580" ht="14.25" customHeight="1">
      <c r="A580" s="136"/>
      <c r="B580" s="137"/>
      <c r="C580" s="251"/>
      <c r="D580" s="452"/>
      <c r="E580" s="136"/>
      <c r="F580" s="253"/>
      <c r="G580" s="140"/>
      <c r="H580" s="141"/>
      <c r="I580" s="141"/>
      <c r="J580" s="142"/>
      <c r="K580" s="142"/>
      <c r="L580" s="142"/>
      <c r="M580" s="142"/>
      <c r="N580" s="136"/>
      <c r="O580" s="34"/>
      <c r="P580" s="35"/>
      <c r="Q580" s="35"/>
      <c r="R580" s="35"/>
      <c r="S580" s="35"/>
      <c r="T580" s="35"/>
      <c r="U580" s="35"/>
      <c r="V580" s="35"/>
      <c r="W580" s="35"/>
      <c r="X580" s="35"/>
      <c r="Y580" s="35"/>
      <c r="Z580" s="35"/>
    </row>
    <row r="581" ht="14.25" customHeight="1">
      <c r="A581" s="136"/>
      <c r="B581" s="137"/>
      <c r="C581" s="251"/>
      <c r="D581" s="452"/>
      <c r="E581" s="136"/>
      <c r="F581" s="253"/>
      <c r="G581" s="140"/>
      <c r="H581" s="141"/>
      <c r="I581" s="141"/>
      <c r="J581" s="142"/>
      <c r="K581" s="142"/>
      <c r="L581" s="142"/>
      <c r="M581" s="142"/>
      <c r="N581" s="136"/>
      <c r="O581" s="34"/>
      <c r="P581" s="35"/>
      <c r="Q581" s="35"/>
      <c r="R581" s="35"/>
      <c r="S581" s="35"/>
      <c r="T581" s="35"/>
      <c r="U581" s="35"/>
      <c r="V581" s="35"/>
      <c r="W581" s="35"/>
      <c r="X581" s="35"/>
      <c r="Y581" s="35"/>
      <c r="Z581" s="35"/>
    </row>
    <row r="582" ht="14.25" customHeight="1">
      <c r="A582" s="136"/>
      <c r="B582" s="137"/>
      <c r="C582" s="251"/>
      <c r="D582" s="452"/>
      <c r="E582" s="136"/>
      <c r="F582" s="253"/>
      <c r="G582" s="140"/>
      <c r="H582" s="141"/>
      <c r="I582" s="141"/>
      <c r="J582" s="142"/>
      <c r="K582" s="142"/>
      <c r="L582" s="142"/>
      <c r="M582" s="142"/>
      <c r="N582" s="136"/>
      <c r="O582" s="34"/>
      <c r="P582" s="35"/>
      <c r="Q582" s="35"/>
      <c r="R582" s="35"/>
      <c r="S582" s="35"/>
      <c r="T582" s="35"/>
      <c r="U582" s="35"/>
      <c r="V582" s="35"/>
      <c r="W582" s="35"/>
      <c r="X582" s="35"/>
      <c r="Y582" s="35"/>
      <c r="Z582" s="35"/>
    </row>
    <row r="583" ht="14.25" customHeight="1">
      <c r="A583" s="136"/>
      <c r="B583" s="137"/>
      <c r="C583" s="251"/>
      <c r="D583" s="452"/>
      <c r="E583" s="136"/>
      <c r="F583" s="253"/>
      <c r="G583" s="140"/>
      <c r="H583" s="141"/>
      <c r="I583" s="141"/>
      <c r="J583" s="142"/>
      <c r="K583" s="142"/>
      <c r="L583" s="142"/>
      <c r="M583" s="142"/>
      <c r="N583" s="136"/>
      <c r="O583" s="34"/>
      <c r="P583" s="35"/>
      <c r="Q583" s="35"/>
      <c r="R583" s="35"/>
      <c r="S583" s="35"/>
      <c r="T583" s="35"/>
      <c r="U583" s="35"/>
      <c r="V583" s="35"/>
      <c r="W583" s="35"/>
      <c r="X583" s="35"/>
      <c r="Y583" s="35"/>
      <c r="Z583" s="35"/>
    </row>
    <row r="584" ht="14.25" customHeight="1">
      <c r="A584" s="136"/>
      <c r="B584" s="137"/>
      <c r="C584" s="251"/>
      <c r="D584" s="452"/>
      <c r="E584" s="136"/>
      <c r="F584" s="253"/>
      <c r="G584" s="140"/>
      <c r="H584" s="141"/>
      <c r="I584" s="141"/>
      <c r="J584" s="142"/>
      <c r="K584" s="142"/>
      <c r="L584" s="142"/>
      <c r="M584" s="142"/>
      <c r="N584" s="136"/>
      <c r="O584" s="34"/>
      <c r="P584" s="35"/>
      <c r="Q584" s="35"/>
      <c r="R584" s="35"/>
      <c r="S584" s="35"/>
      <c r="T584" s="35"/>
      <c r="U584" s="35"/>
      <c r="V584" s="35"/>
      <c r="W584" s="35"/>
      <c r="X584" s="35"/>
      <c r="Y584" s="35"/>
      <c r="Z584" s="35"/>
    </row>
    <row r="585" ht="14.25" customHeight="1">
      <c r="A585" s="136"/>
      <c r="B585" s="137"/>
      <c r="C585" s="251"/>
      <c r="D585" s="452"/>
      <c r="E585" s="136"/>
      <c r="F585" s="253"/>
      <c r="G585" s="140"/>
      <c r="H585" s="141"/>
      <c r="I585" s="141"/>
      <c r="J585" s="142"/>
      <c r="K585" s="142"/>
      <c r="L585" s="142"/>
      <c r="M585" s="142"/>
      <c r="N585" s="136"/>
      <c r="O585" s="34"/>
      <c r="P585" s="35"/>
      <c r="Q585" s="35"/>
      <c r="R585" s="35"/>
      <c r="S585" s="35"/>
      <c r="T585" s="35"/>
      <c r="U585" s="35"/>
      <c r="V585" s="35"/>
      <c r="W585" s="35"/>
      <c r="X585" s="35"/>
      <c r="Y585" s="35"/>
      <c r="Z585" s="35"/>
    </row>
    <row r="586" ht="14.25" customHeight="1">
      <c r="A586" s="136"/>
      <c r="B586" s="137"/>
      <c r="C586" s="251"/>
      <c r="D586" s="452"/>
      <c r="E586" s="136"/>
      <c r="F586" s="253"/>
      <c r="G586" s="140"/>
      <c r="H586" s="141"/>
      <c r="I586" s="141"/>
      <c r="J586" s="142"/>
      <c r="K586" s="142"/>
      <c r="L586" s="142"/>
      <c r="M586" s="142"/>
      <c r="N586" s="136"/>
      <c r="O586" s="34"/>
      <c r="P586" s="35"/>
      <c r="Q586" s="35"/>
      <c r="R586" s="35"/>
      <c r="S586" s="35"/>
      <c r="T586" s="35"/>
      <c r="U586" s="35"/>
      <c r="V586" s="35"/>
      <c r="W586" s="35"/>
      <c r="X586" s="35"/>
      <c r="Y586" s="35"/>
      <c r="Z586" s="35"/>
    </row>
    <row r="587" ht="14.25" customHeight="1">
      <c r="A587" s="136"/>
      <c r="B587" s="137"/>
      <c r="C587" s="251"/>
      <c r="D587" s="452"/>
      <c r="E587" s="136"/>
      <c r="F587" s="253"/>
      <c r="G587" s="140"/>
      <c r="H587" s="141"/>
      <c r="I587" s="141"/>
      <c r="J587" s="142"/>
      <c r="K587" s="142"/>
      <c r="L587" s="142"/>
      <c r="M587" s="142"/>
      <c r="N587" s="136"/>
      <c r="O587" s="34"/>
      <c r="P587" s="35"/>
      <c r="Q587" s="35"/>
      <c r="R587" s="35"/>
      <c r="S587" s="35"/>
      <c r="T587" s="35"/>
      <c r="U587" s="35"/>
      <c r="V587" s="35"/>
      <c r="W587" s="35"/>
      <c r="X587" s="35"/>
      <c r="Y587" s="35"/>
      <c r="Z587" s="35"/>
    </row>
    <row r="588" ht="14.25" customHeight="1">
      <c r="A588" s="136"/>
      <c r="B588" s="137"/>
      <c r="C588" s="251"/>
      <c r="D588" s="452"/>
      <c r="E588" s="136"/>
      <c r="F588" s="253"/>
      <c r="G588" s="140"/>
      <c r="H588" s="141"/>
      <c r="I588" s="141"/>
      <c r="J588" s="142"/>
      <c r="K588" s="142"/>
      <c r="L588" s="142"/>
      <c r="M588" s="142"/>
      <c r="N588" s="136"/>
      <c r="O588" s="34"/>
      <c r="P588" s="35"/>
      <c r="Q588" s="35"/>
      <c r="R588" s="35"/>
      <c r="S588" s="35"/>
      <c r="T588" s="35"/>
      <c r="U588" s="35"/>
      <c r="V588" s="35"/>
      <c r="W588" s="35"/>
      <c r="X588" s="35"/>
      <c r="Y588" s="35"/>
      <c r="Z588" s="35"/>
    </row>
    <row r="589" ht="14.25" customHeight="1">
      <c r="A589" s="136"/>
      <c r="B589" s="137"/>
      <c r="C589" s="251"/>
      <c r="D589" s="452"/>
      <c r="E589" s="136"/>
      <c r="F589" s="253"/>
      <c r="G589" s="140"/>
      <c r="H589" s="141"/>
      <c r="I589" s="141"/>
      <c r="J589" s="142"/>
      <c r="K589" s="142"/>
      <c r="L589" s="142"/>
      <c r="M589" s="142"/>
      <c r="N589" s="136"/>
      <c r="O589" s="34"/>
      <c r="P589" s="35"/>
      <c r="Q589" s="35"/>
      <c r="R589" s="35"/>
      <c r="S589" s="35"/>
      <c r="T589" s="35"/>
      <c r="U589" s="35"/>
      <c r="V589" s="35"/>
      <c r="W589" s="35"/>
      <c r="X589" s="35"/>
      <c r="Y589" s="35"/>
      <c r="Z589" s="35"/>
    </row>
    <row r="590" ht="14.25" customHeight="1">
      <c r="A590" s="136"/>
      <c r="B590" s="137"/>
      <c r="C590" s="251"/>
      <c r="D590" s="452"/>
      <c r="E590" s="136"/>
      <c r="F590" s="253"/>
      <c r="G590" s="140"/>
      <c r="H590" s="141"/>
      <c r="I590" s="141"/>
      <c r="J590" s="142"/>
      <c r="K590" s="142"/>
      <c r="L590" s="142"/>
      <c r="M590" s="142"/>
      <c r="N590" s="136"/>
      <c r="O590" s="34"/>
      <c r="P590" s="35"/>
      <c r="Q590" s="35"/>
      <c r="R590" s="35"/>
      <c r="S590" s="35"/>
      <c r="T590" s="35"/>
      <c r="U590" s="35"/>
      <c r="V590" s="35"/>
      <c r="W590" s="35"/>
      <c r="X590" s="35"/>
      <c r="Y590" s="35"/>
      <c r="Z590" s="35"/>
    </row>
    <row r="591" ht="14.25" customHeight="1">
      <c r="A591" s="136"/>
      <c r="B591" s="137"/>
      <c r="C591" s="251"/>
      <c r="D591" s="452"/>
      <c r="E591" s="136"/>
      <c r="F591" s="253"/>
      <c r="G591" s="140"/>
      <c r="H591" s="141"/>
      <c r="I591" s="141"/>
      <c r="J591" s="142"/>
      <c r="K591" s="142"/>
      <c r="L591" s="142"/>
      <c r="M591" s="142"/>
      <c r="N591" s="136"/>
      <c r="O591" s="34"/>
      <c r="P591" s="35"/>
      <c r="Q591" s="35"/>
      <c r="R591" s="35"/>
      <c r="S591" s="35"/>
      <c r="T591" s="35"/>
      <c r="U591" s="35"/>
      <c r="V591" s="35"/>
      <c r="W591" s="35"/>
      <c r="X591" s="35"/>
      <c r="Y591" s="35"/>
      <c r="Z591" s="35"/>
    </row>
    <row r="592" ht="14.25" customHeight="1">
      <c r="A592" s="136"/>
      <c r="B592" s="137"/>
      <c r="C592" s="251"/>
      <c r="D592" s="452"/>
      <c r="E592" s="136"/>
      <c r="F592" s="253"/>
      <c r="G592" s="140"/>
      <c r="H592" s="141"/>
      <c r="I592" s="141"/>
      <c r="J592" s="142"/>
      <c r="K592" s="142"/>
      <c r="L592" s="142"/>
      <c r="M592" s="142"/>
      <c r="N592" s="136"/>
      <c r="O592" s="34"/>
      <c r="P592" s="35"/>
      <c r="Q592" s="35"/>
      <c r="R592" s="35"/>
      <c r="S592" s="35"/>
      <c r="T592" s="35"/>
      <c r="U592" s="35"/>
      <c r="V592" s="35"/>
      <c r="W592" s="35"/>
      <c r="X592" s="35"/>
      <c r="Y592" s="35"/>
      <c r="Z592" s="35"/>
    </row>
    <row r="593" ht="14.25" customHeight="1">
      <c r="A593" s="136"/>
      <c r="B593" s="137"/>
      <c r="C593" s="251"/>
      <c r="D593" s="452"/>
      <c r="E593" s="136"/>
      <c r="F593" s="253"/>
      <c r="G593" s="140"/>
      <c r="H593" s="141"/>
      <c r="I593" s="141"/>
      <c r="J593" s="142"/>
      <c r="K593" s="142"/>
      <c r="L593" s="142"/>
      <c r="M593" s="142"/>
      <c r="N593" s="136"/>
      <c r="O593" s="34"/>
      <c r="P593" s="35"/>
      <c r="Q593" s="35"/>
      <c r="R593" s="35"/>
      <c r="S593" s="35"/>
      <c r="T593" s="35"/>
      <c r="U593" s="35"/>
      <c r="V593" s="35"/>
      <c r="W593" s="35"/>
      <c r="X593" s="35"/>
      <c r="Y593" s="35"/>
      <c r="Z593" s="35"/>
    </row>
    <row r="594" ht="14.25" customHeight="1">
      <c r="A594" s="136"/>
      <c r="B594" s="137"/>
      <c r="C594" s="251"/>
      <c r="D594" s="452"/>
      <c r="E594" s="136"/>
      <c r="F594" s="253"/>
      <c r="G594" s="140"/>
      <c r="H594" s="141"/>
      <c r="I594" s="141"/>
      <c r="J594" s="142"/>
      <c r="K594" s="142"/>
      <c r="L594" s="142"/>
      <c r="M594" s="142"/>
      <c r="N594" s="136"/>
      <c r="O594" s="34"/>
      <c r="P594" s="35"/>
      <c r="Q594" s="35"/>
      <c r="R594" s="35"/>
      <c r="S594" s="35"/>
      <c r="T594" s="35"/>
      <c r="U594" s="35"/>
      <c r="V594" s="35"/>
      <c r="W594" s="35"/>
      <c r="X594" s="35"/>
      <c r="Y594" s="35"/>
      <c r="Z594" s="35"/>
    </row>
    <row r="595" ht="14.25" customHeight="1">
      <c r="A595" s="136"/>
      <c r="B595" s="137"/>
      <c r="C595" s="251"/>
      <c r="D595" s="452"/>
      <c r="E595" s="136"/>
      <c r="F595" s="253"/>
      <c r="G595" s="140"/>
      <c r="H595" s="141"/>
      <c r="I595" s="141"/>
      <c r="J595" s="142"/>
      <c r="K595" s="142"/>
      <c r="L595" s="142"/>
      <c r="M595" s="142"/>
      <c r="N595" s="136"/>
      <c r="O595" s="34"/>
      <c r="P595" s="35"/>
      <c r="Q595" s="35"/>
      <c r="R595" s="35"/>
      <c r="S595" s="35"/>
      <c r="T595" s="35"/>
      <c r="U595" s="35"/>
      <c r="V595" s="35"/>
      <c r="W595" s="35"/>
      <c r="X595" s="35"/>
      <c r="Y595" s="35"/>
      <c r="Z595" s="35"/>
    </row>
    <row r="596" ht="14.25" customHeight="1">
      <c r="A596" s="136"/>
      <c r="B596" s="137"/>
      <c r="C596" s="251"/>
      <c r="D596" s="452"/>
      <c r="E596" s="136"/>
      <c r="F596" s="253"/>
      <c r="G596" s="140"/>
      <c r="H596" s="141"/>
      <c r="I596" s="141"/>
      <c r="J596" s="142"/>
      <c r="K596" s="142"/>
      <c r="L596" s="142"/>
      <c r="M596" s="142"/>
      <c r="N596" s="136"/>
      <c r="O596" s="34"/>
      <c r="P596" s="35"/>
      <c r="Q596" s="35"/>
      <c r="R596" s="35"/>
      <c r="S596" s="35"/>
      <c r="T596" s="35"/>
      <c r="U596" s="35"/>
      <c r="V596" s="35"/>
      <c r="W596" s="35"/>
      <c r="X596" s="35"/>
      <c r="Y596" s="35"/>
      <c r="Z596" s="35"/>
    </row>
    <row r="597" ht="14.25" customHeight="1">
      <c r="A597" s="136"/>
      <c r="B597" s="137"/>
      <c r="C597" s="251"/>
      <c r="D597" s="452"/>
      <c r="E597" s="136"/>
      <c r="F597" s="253"/>
      <c r="G597" s="140"/>
      <c r="H597" s="141"/>
      <c r="I597" s="141"/>
      <c r="J597" s="142"/>
      <c r="K597" s="142"/>
      <c r="L597" s="142"/>
      <c r="M597" s="142"/>
      <c r="N597" s="136"/>
      <c r="O597" s="34"/>
      <c r="P597" s="35"/>
      <c r="Q597" s="35"/>
      <c r="R597" s="35"/>
      <c r="S597" s="35"/>
      <c r="T597" s="35"/>
      <c r="U597" s="35"/>
      <c r="V597" s="35"/>
      <c r="W597" s="35"/>
      <c r="X597" s="35"/>
      <c r="Y597" s="35"/>
      <c r="Z597" s="35"/>
    </row>
    <row r="598" ht="14.25" customHeight="1">
      <c r="A598" s="136"/>
      <c r="B598" s="137"/>
      <c r="C598" s="251"/>
      <c r="D598" s="452"/>
      <c r="E598" s="136"/>
      <c r="F598" s="253"/>
      <c r="G598" s="140"/>
      <c r="H598" s="141"/>
      <c r="I598" s="141"/>
      <c r="J598" s="142"/>
      <c r="K598" s="142"/>
      <c r="L598" s="142"/>
      <c r="M598" s="142"/>
      <c r="N598" s="136"/>
      <c r="O598" s="34"/>
      <c r="P598" s="35"/>
      <c r="Q598" s="35"/>
      <c r="R598" s="35"/>
      <c r="S598" s="35"/>
      <c r="T598" s="35"/>
      <c r="U598" s="35"/>
      <c r="V598" s="35"/>
      <c r="W598" s="35"/>
      <c r="X598" s="35"/>
      <c r="Y598" s="35"/>
      <c r="Z598" s="35"/>
    </row>
    <row r="599" ht="14.25" customHeight="1">
      <c r="A599" s="136"/>
      <c r="B599" s="137"/>
      <c r="C599" s="251"/>
      <c r="D599" s="452"/>
      <c r="E599" s="136"/>
      <c r="F599" s="253"/>
      <c r="G599" s="140"/>
      <c r="H599" s="141"/>
      <c r="I599" s="141"/>
      <c r="J599" s="142"/>
      <c r="K599" s="142"/>
      <c r="L599" s="142"/>
      <c r="M599" s="142"/>
      <c r="N599" s="136"/>
      <c r="O599" s="34"/>
      <c r="P599" s="35"/>
      <c r="Q599" s="35"/>
      <c r="R599" s="35"/>
      <c r="S599" s="35"/>
      <c r="T599" s="35"/>
      <c r="U599" s="35"/>
      <c r="V599" s="35"/>
      <c r="W599" s="35"/>
      <c r="X599" s="35"/>
      <c r="Y599" s="35"/>
      <c r="Z599" s="35"/>
    </row>
    <row r="600" ht="14.25" customHeight="1">
      <c r="A600" s="136"/>
      <c r="B600" s="137"/>
      <c r="C600" s="251"/>
      <c r="D600" s="452"/>
      <c r="E600" s="136"/>
      <c r="F600" s="253"/>
      <c r="G600" s="140"/>
      <c r="H600" s="141"/>
      <c r="I600" s="141"/>
      <c r="J600" s="142"/>
      <c r="K600" s="142"/>
      <c r="L600" s="142"/>
      <c r="M600" s="142"/>
      <c r="N600" s="136"/>
      <c r="O600" s="34"/>
      <c r="P600" s="35"/>
      <c r="Q600" s="35"/>
      <c r="R600" s="35"/>
      <c r="S600" s="35"/>
      <c r="T600" s="35"/>
      <c r="U600" s="35"/>
      <c r="V600" s="35"/>
      <c r="W600" s="35"/>
      <c r="X600" s="35"/>
      <c r="Y600" s="35"/>
      <c r="Z600" s="35"/>
    </row>
    <row r="601" ht="14.25" customHeight="1">
      <c r="A601" s="136"/>
      <c r="B601" s="137"/>
      <c r="C601" s="251"/>
      <c r="D601" s="452"/>
      <c r="E601" s="136"/>
      <c r="F601" s="253"/>
      <c r="G601" s="140"/>
      <c r="H601" s="141"/>
      <c r="I601" s="141"/>
      <c r="J601" s="142"/>
      <c r="K601" s="142"/>
      <c r="L601" s="142"/>
      <c r="M601" s="142"/>
      <c r="N601" s="136"/>
      <c r="O601" s="34"/>
      <c r="P601" s="35"/>
      <c r="Q601" s="35"/>
      <c r="R601" s="35"/>
      <c r="S601" s="35"/>
      <c r="T601" s="35"/>
      <c r="U601" s="35"/>
      <c r="V601" s="35"/>
      <c r="W601" s="35"/>
      <c r="X601" s="35"/>
      <c r="Y601" s="35"/>
      <c r="Z601" s="35"/>
    </row>
    <row r="602" ht="14.25" customHeight="1">
      <c r="A602" s="136"/>
      <c r="B602" s="137"/>
      <c r="C602" s="251"/>
      <c r="D602" s="452"/>
      <c r="E602" s="136"/>
      <c r="F602" s="253"/>
      <c r="G602" s="140"/>
      <c r="H602" s="141"/>
      <c r="I602" s="141"/>
      <c r="J602" s="142"/>
      <c r="K602" s="142"/>
      <c r="L602" s="142"/>
      <c r="M602" s="142"/>
      <c r="N602" s="136"/>
      <c r="O602" s="34"/>
      <c r="P602" s="35"/>
      <c r="Q602" s="35"/>
      <c r="R602" s="35"/>
      <c r="S602" s="35"/>
      <c r="T602" s="35"/>
      <c r="U602" s="35"/>
      <c r="V602" s="35"/>
      <c r="W602" s="35"/>
      <c r="X602" s="35"/>
      <c r="Y602" s="35"/>
      <c r="Z602" s="35"/>
    </row>
    <row r="603" ht="14.25" customHeight="1">
      <c r="A603" s="136"/>
      <c r="B603" s="137"/>
      <c r="C603" s="251"/>
      <c r="D603" s="452"/>
      <c r="E603" s="136"/>
      <c r="F603" s="253"/>
      <c r="G603" s="140"/>
      <c r="H603" s="141"/>
      <c r="I603" s="141"/>
      <c r="J603" s="142"/>
      <c r="K603" s="142"/>
      <c r="L603" s="142"/>
      <c r="M603" s="142"/>
      <c r="N603" s="136"/>
      <c r="O603" s="34"/>
      <c r="P603" s="35"/>
      <c r="Q603" s="35"/>
      <c r="R603" s="35"/>
      <c r="S603" s="35"/>
      <c r="T603" s="35"/>
      <c r="U603" s="35"/>
      <c r="V603" s="35"/>
      <c r="W603" s="35"/>
      <c r="X603" s="35"/>
      <c r="Y603" s="35"/>
      <c r="Z603" s="35"/>
    </row>
    <row r="604" ht="14.25" customHeight="1">
      <c r="A604" s="136"/>
      <c r="B604" s="137"/>
      <c r="C604" s="251"/>
      <c r="D604" s="452"/>
      <c r="E604" s="136"/>
      <c r="F604" s="253"/>
      <c r="G604" s="140"/>
      <c r="H604" s="141"/>
      <c r="I604" s="141"/>
      <c r="J604" s="142"/>
      <c r="K604" s="142"/>
      <c r="L604" s="142"/>
      <c r="M604" s="142"/>
      <c r="N604" s="136"/>
      <c r="O604" s="34"/>
      <c r="P604" s="35"/>
      <c r="Q604" s="35"/>
      <c r="R604" s="35"/>
      <c r="S604" s="35"/>
      <c r="T604" s="35"/>
      <c r="U604" s="35"/>
      <c r="V604" s="35"/>
      <c r="W604" s="35"/>
      <c r="X604" s="35"/>
      <c r="Y604" s="35"/>
      <c r="Z604" s="35"/>
    </row>
    <row r="605" ht="14.25" customHeight="1">
      <c r="A605" s="136"/>
      <c r="B605" s="137"/>
      <c r="C605" s="251"/>
      <c r="D605" s="452"/>
      <c r="E605" s="136"/>
      <c r="F605" s="253"/>
      <c r="G605" s="140"/>
      <c r="H605" s="141"/>
      <c r="I605" s="141"/>
      <c r="J605" s="142"/>
      <c r="K605" s="142"/>
      <c r="L605" s="142"/>
      <c r="M605" s="142"/>
      <c r="N605" s="136"/>
      <c r="O605" s="34"/>
      <c r="P605" s="35"/>
      <c r="Q605" s="35"/>
      <c r="R605" s="35"/>
      <c r="S605" s="35"/>
      <c r="T605" s="35"/>
      <c r="U605" s="35"/>
      <c r="V605" s="35"/>
      <c r="W605" s="35"/>
      <c r="X605" s="35"/>
      <c r="Y605" s="35"/>
      <c r="Z605" s="35"/>
    </row>
    <row r="606" ht="14.25" customHeight="1">
      <c r="A606" s="136"/>
      <c r="B606" s="137"/>
      <c r="C606" s="251"/>
      <c r="D606" s="452"/>
      <c r="E606" s="136"/>
      <c r="F606" s="253"/>
      <c r="G606" s="140"/>
      <c r="H606" s="141"/>
      <c r="I606" s="141"/>
      <c r="J606" s="142"/>
      <c r="K606" s="142"/>
      <c r="L606" s="142"/>
      <c r="M606" s="142"/>
      <c r="N606" s="136"/>
      <c r="O606" s="34"/>
      <c r="P606" s="35"/>
      <c r="Q606" s="35"/>
      <c r="R606" s="35"/>
      <c r="S606" s="35"/>
      <c r="T606" s="35"/>
      <c r="U606" s="35"/>
      <c r="V606" s="35"/>
      <c r="W606" s="35"/>
      <c r="X606" s="35"/>
      <c r="Y606" s="35"/>
      <c r="Z606" s="35"/>
    </row>
    <row r="607" ht="14.25" customHeight="1">
      <c r="A607" s="136"/>
      <c r="B607" s="137"/>
      <c r="C607" s="251"/>
      <c r="D607" s="452"/>
      <c r="E607" s="136"/>
      <c r="F607" s="253"/>
      <c r="G607" s="140"/>
      <c r="H607" s="141"/>
      <c r="I607" s="141"/>
      <c r="J607" s="142"/>
      <c r="K607" s="142"/>
      <c r="L607" s="142"/>
      <c r="M607" s="142"/>
      <c r="N607" s="136"/>
      <c r="O607" s="34"/>
      <c r="P607" s="35"/>
      <c r="Q607" s="35"/>
      <c r="R607" s="35"/>
      <c r="S607" s="35"/>
      <c r="T607" s="35"/>
      <c r="U607" s="35"/>
      <c r="V607" s="35"/>
      <c r="W607" s="35"/>
      <c r="X607" s="35"/>
      <c r="Y607" s="35"/>
      <c r="Z607" s="35"/>
    </row>
    <row r="608" ht="14.25" customHeight="1">
      <c r="A608" s="136"/>
      <c r="B608" s="137"/>
      <c r="C608" s="251"/>
      <c r="D608" s="452"/>
      <c r="E608" s="136"/>
      <c r="F608" s="253"/>
      <c r="G608" s="140"/>
      <c r="H608" s="141"/>
      <c r="I608" s="141"/>
      <c r="J608" s="142"/>
      <c r="K608" s="142"/>
      <c r="L608" s="142"/>
      <c r="M608" s="142"/>
      <c r="N608" s="136"/>
      <c r="O608" s="34"/>
      <c r="P608" s="35"/>
      <c r="Q608" s="35"/>
      <c r="R608" s="35"/>
      <c r="S608" s="35"/>
      <c r="T608" s="35"/>
      <c r="U608" s="35"/>
      <c r="V608" s="35"/>
      <c r="W608" s="35"/>
      <c r="X608" s="35"/>
      <c r="Y608" s="35"/>
      <c r="Z608" s="35"/>
    </row>
    <row r="609" ht="14.25" customHeight="1">
      <c r="A609" s="136"/>
      <c r="B609" s="137"/>
      <c r="C609" s="251"/>
      <c r="D609" s="452"/>
      <c r="E609" s="136"/>
      <c r="F609" s="253"/>
      <c r="G609" s="140"/>
      <c r="H609" s="141"/>
      <c r="I609" s="141"/>
      <c r="J609" s="142"/>
      <c r="K609" s="142"/>
      <c r="L609" s="142"/>
      <c r="M609" s="142"/>
      <c r="N609" s="136"/>
      <c r="O609" s="34"/>
      <c r="P609" s="35"/>
      <c r="Q609" s="35"/>
      <c r="R609" s="35"/>
      <c r="S609" s="35"/>
      <c r="T609" s="35"/>
      <c r="U609" s="35"/>
      <c r="V609" s="35"/>
      <c r="W609" s="35"/>
      <c r="X609" s="35"/>
      <c r="Y609" s="35"/>
      <c r="Z609" s="35"/>
    </row>
    <row r="610" ht="14.25" customHeight="1">
      <c r="A610" s="136"/>
      <c r="B610" s="137"/>
      <c r="C610" s="251"/>
      <c r="D610" s="452"/>
      <c r="E610" s="136"/>
      <c r="F610" s="253"/>
      <c r="G610" s="140"/>
      <c r="H610" s="141"/>
      <c r="I610" s="141"/>
      <c r="J610" s="142"/>
      <c r="K610" s="142"/>
      <c r="L610" s="142"/>
      <c r="M610" s="142"/>
      <c r="N610" s="136"/>
      <c r="O610" s="34"/>
      <c r="P610" s="35"/>
      <c r="Q610" s="35"/>
      <c r="R610" s="35"/>
      <c r="S610" s="35"/>
      <c r="T610" s="35"/>
      <c r="U610" s="35"/>
      <c r="V610" s="35"/>
      <c r="W610" s="35"/>
      <c r="X610" s="35"/>
      <c r="Y610" s="35"/>
      <c r="Z610" s="35"/>
    </row>
    <row r="611" ht="14.25" customHeight="1">
      <c r="A611" s="136"/>
      <c r="B611" s="137"/>
      <c r="C611" s="251"/>
      <c r="D611" s="452"/>
      <c r="E611" s="136"/>
      <c r="F611" s="253"/>
      <c r="G611" s="140"/>
      <c r="H611" s="141"/>
      <c r="I611" s="141"/>
      <c r="J611" s="142"/>
      <c r="K611" s="142"/>
      <c r="L611" s="142"/>
      <c r="M611" s="142"/>
      <c r="N611" s="136"/>
      <c r="O611" s="34"/>
      <c r="P611" s="35"/>
      <c r="Q611" s="35"/>
      <c r="R611" s="35"/>
      <c r="S611" s="35"/>
      <c r="T611" s="35"/>
      <c r="U611" s="35"/>
      <c r="V611" s="35"/>
      <c r="W611" s="35"/>
      <c r="X611" s="35"/>
      <c r="Y611" s="35"/>
      <c r="Z611" s="35"/>
    </row>
    <row r="612" ht="14.25" customHeight="1">
      <c r="A612" s="136"/>
      <c r="B612" s="137"/>
      <c r="C612" s="251"/>
      <c r="D612" s="452"/>
      <c r="E612" s="136"/>
      <c r="F612" s="253"/>
      <c r="G612" s="140"/>
      <c r="H612" s="141"/>
      <c r="I612" s="141"/>
      <c r="J612" s="142"/>
      <c r="K612" s="142"/>
      <c r="L612" s="142"/>
      <c r="M612" s="142"/>
      <c r="N612" s="136"/>
      <c r="O612" s="34"/>
      <c r="P612" s="35"/>
      <c r="Q612" s="35"/>
      <c r="R612" s="35"/>
      <c r="S612" s="35"/>
      <c r="T612" s="35"/>
      <c r="U612" s="35"/>
      <c r="V612" s="35"/>
      <c r="W612" s="35"/>
      <c r="X612" s="35"/>
      <c r="Y612" s="35"/>
      <c r="Z612" s="35"/>
    </row>
    <row r="613" ht="14.25" customHeight="1">
      <c r="A613" s="136"/>
      <c r="B613" s="137"/>
      <c r="C613" s="251"/>
      <c r="D613" s="452"/>
      <c r="E613" s="136"/>
      <c r="F613" s="253"/>
      <c r="G613" s="140"/>
      <c r="H613" s="141"/>
      <c r="I613" s="141"/>
      <c r="J613" s="142"/>
      <c r="K613" s="142"/>
      <c r="L613" s="142"/>
      <c r="M613" s="142"/>
      <c r="N613" s="136"/>
      <c r="O613" s="34"/>
      <c r="P613" s="35"/>
      <c r="Q613" s="35"/>
      <c r="R613" s="35"/>
      <c r="S613" s="35"/>
      <c r="T613" s="35"/>
      <c r="U613" s="35"/>
      <c r="V613" s="35"/>
      <c r="W613" s="35"/>
      <c r="X613" s="35"/>
      <c r="Y613" s="35"/>
      <c r="Z613" s="35"/>
    </row>
    <row r="614" ht="14.25" customHeight="1">
      <c r="A614" s="136"/>
      <c r="B614" s="137"/>
      <c r="C614" s="251"/>
      <c r="D614" s="452"/>
      <c r="E614" s="136"/>
      <c r="F614" s="253"/>
      <c r="G614" s="140"/>
      <c r="H614" s="141"/>
      <c r="I614" s="141"/>
      <c r="J614" s="142"/>
      <c r="K614" s="142"/>
      <c r="L614" s="142"/>
      <c r="M614" s="142"/>
      <c r="N614" s="136"/>
      <c r="O614" s="34"/>
      <c r="P614" s="35"/>
      <c r="Q614" s="35"/>
      <c r="R614" s="35"/>
      <c r="S614" s="35"/>
      <c r="T614" s="35"/>
      <c r="U614" s="35"/>
      <c r="V614" s="35"/>
      <c r="W614" s="35"/>
      <c r="X614" s="35"/>
      <c r="Y614" s="35"/>
      <c r="Z614" s="35"/>
    </row>
    <row r="615" ht="14.25" customHeight="1">
      <c r="A615" s="136"/>
      <c r="B615" s="137"/>
      <c r="C615" s="251"/>
      <c r="D615" s="452"/>
      <c r="E615" s="136"/>
      <c r="F615" s="253"/>
      <c r="G615" s="140"/>
      <c r="H615" s="141"/>
      <c r="I615" s="141"/>
      <c r="J615" s="142"/>
      <c r="K615" s="142"/>
      <c r="L615" s="142"/>
      <c r="M615" s="142"/>
      <c r="N615" s="136"/>
      <c r="O615" s="34"/>
      <c r="P615" s="35"/>
      <c r="Q615" s="35"/>
      <c r="R615" s="35"/>
      <c r="S615" s="35"/>
      <c r="T615" s="35"/>
      <c r="U615" s="35"/>
      <c r="V615" s="35"/>
      <c r="W615" s="35"/>
      <c r="X615" s="35"/>
      <c r="Y615" s="35"/>
      <c r="Z615" s="35"/>
    </row>
    <row r="616" ht="14.25" customHeight="1">
      <c r="A616" s="136"/>
      <c r="B616" s="137"/>
      <c r="C616" s="251"/>
      <c r="D616" s="452"/>
      <c r="E616" s="136"/>
      <c r="F616" s="253"/>
      <c r="G616" s="140"/>
      <c r="H616" s="141"/>
      <c r="I616" s="141"/>
      <c r="J616" s="142"/>
      <c r="K616" s="142"/>
      <c r="L616" s="142"/>
      <c r="M616" s="142"/>
      <c r="N616" s="136"/>
      <c r="O616" s="34"/>
      <c r="P616" s="35"/>
      <c r="Q616" s="35"/>
      <c r="R616" s="35"/>
      <c r="S616" s="35"/>
      <c r="T616" s="35"/>
      <c r="U616" s="35"/>
      <c r="V616" s="35"/>
      <c r="W616" s="35"/>
      <c r="X616" s="35"/>
      <c r="Y616" s="35"/>
      <c r="Z616" s="35"/>
    </row>
    <row r="617" ht="14.25" customHeight="1">
      <c r="A617" s="136"/>
      <c r="B617" s="137"/>
      <c r="C617" s="251"/>
      <c r="D617" s="452"/>
      <c r="E617" s="136"/>
      <c r="F617" s="253"/>
      <c r="G617" s="140"/>
      <c r="H617" s="141"/>
      <c r="I617" s="141"/>
      <c r="J617" s="142"/>
      <c r="K617" s="142"/>
      <c r="L617" s="142"/>
      <c r="M617" s="142"/>
      <c r="N617" s="136"/>
      <c r="O617" s="34"/>
      <c r="P617" s="35"/>
      <c r="Q617" s="35"/>
      <c r="R617" s="35"/>
      <c r="S617" s="35"/>
      <c r="T617" s="35"/>
      <c r="U617" s="35"/>
      <c r="V617" s="35"/>
      <c r="W617" s="35"/>
      <c r="X617" s="35"/>
      <c r="Y617" s="35"/>
      <c r="Z617" s="35"/>
    </row>
    <row r="618" ht="14.25" customHeight="1">
      <c r="A618" s="136"/>
      <c r="B618" s="137"/>
      <c r="C618" s="251"/>
      <c r="D618" s="452"/>
      <c r="E618" s="136"/>
      <c r="F618" s="253"/>
      <c r="G618" s="140"/>
      <c r="H618" s="141"/>
      <c r="I618" s="141"/>
      <c r="J618" s="142"/>
      <c r="K618" s="142"/>
      <c r="L618" s="142"/>
      <c r="M618" s="142"/>
      <c r="N618" s="136"/>
      <c r="O618" s="34"/>
      <c r="P618" s="35"/>
      <c r="Q618" s="35"/>
      <c r="R618" s="35"/>
      <c r="S618" s="35"/>
      <c r="T618" s="35"/>
      <c r="U618" s="35"/>
      <c r="V618" s="35"/>
      <c r="W618" s="35"/>
      <c r="X618" s="35"/>
      <c r="Y618" s="35"/>
      <c r="Z618" s="35"/>
    </row>
    <row r="619" ht="14.25" customHeight="1">
      <c r="A619" s="136"/>
      <c r="B619" s="137"/>
      <c r="C619" s="251"/>
      <c r="D619" s="452"/>
      <c r="E619" s="136"/>
      <c r="F619" s="253"/>
      <c r="G619" s="140"/>
      <c r="H619" s="141"/>
      <c r="I619" s="141"/>
      <c r="J619" s="142"/>
      <c r="K619" s="142"/>
      <c r="L619" s="142"/>
      <c r="M619" s="142"/>
      <c r="N619" s="136"/>
      <c r="O619" s="34"/>
      <c r="P619" s="35"/>
      <c r="Q619" s="35"/>
      <c r="R619" s="35"/>
      <c r="S619" s="35"/>
      <c r="T619" s="35"/>
      <c r="U619" s="35"/>
      <c r="V619" s="35"/>
      <c r="W619" s="35"/>
      <c r="X619" s="35"/>
      <c r="Y619" s="35"/>
      <c r="Z619" s="35"/>
    </row>
    <row r="620" ht="14.25" customHeight="1">
      <c r="A620" s="136"/>
      <c r="B620" s="137"/>
      <c r="C620" s="251"/>
      <c r="D620" s="452"/>
      <c r="E620" s="136"/>
      <c r="F620" s="253"/>
      <c r="G620" s="140"/>
      <c r="H620" s="141"/>
      <c r="I620" s="141"/>
      <c r="J620" s="142"/>
      <c r="K620" s="142"/>
      <c r="L620" s="142"/>
      <c r="M620" s="142"/>
      <c r="N620" s="136"/>
      <c r="O620" s="34"/>
      <c r="P620" s="35"/>
      <c r="Q620" s="35"/>
      <c r="R620" s="35"/>
      <c r="S620" s="35"/>
      <c r="T620" s="35"/>
      <c r="U620" s="35"/>
      <c r="V620" s="35"/>
      <c r="W620" s="35"/>
      <c r="X620" s="35"/>
      <c r="Y620" s="35"/>
      <c r="Z620" s="35"/>
    </row>
    <row r="621" ht="14.25" customHeight="1">
      <c r="A621" s="136"/>
      <c r="B621" s="137"/>
      <c r="C621" s="251"/>
      <c r="D621" s="452"/>
      <c r="E621" s="136"/>
      <c r="F621" s="253"/>
      <c r="G621" s="140"/>
      <c r="H621" s="141"/>
      <c r="I621" s="141"/>
      <c r="J621" s="142"/>
      <c r="K621" s="142"/>
      <c r="L621" s="142"/>
      <c r="M621" s="142"/>
      <c r="N621" s="136"/>
      <c r="O621" s="34"/>
      <c r="P621" s="35"/>
      <c r="Q621" s="35"/>
      <c r="R621" s="35"/>
      <c r="S621" s="35"/>
      <c r="T621" s="35"/>
      <c r="U621" s="35"/>
      <c r="V621" s="35"/>
      <c r="W621" s="35"/>
      <c r="X621" s="35"/>
      <c r="Y621" s="35"/>
      <c r="Z621" s="35"/>
    </row>
    <row r="622" ht="14.25" customHeight="1">
      <c r="A622" s="136"/>
      <c r="B622" s="137"/>
      <c r="C622" s="251"/>
      <c r="D622" s="452"/>
      <c r="E622" s="136"/>
      <c r="F622" s="253"/>
      <c r="G622" s="140"/>
      <c r="H622" s="141"/>
      <c r="I622" s="141"/>
      <c r="J622" s="142"/>
      <c r="K622" s="142"/>
      <c r="L622" s="142"/>
      <c r="M622" s="142"/>
      <c r="N622" s="136"/>
      <c r="O622" s="34"/>
      <c r="P622" s="35"/>
      <c r="Q622" s="35"/>
      <c r="R622" s="35"/>
      <c r="S622" s="35"/>
      <c r="T622" s="35"/>
      <c r="U622" s="35"/>
      <c r="V622" s="35"/>
      <c r="W622" s="35"/>
      <c r="X622" s="35"/>
      <c r="Y622" s="35"/>
      <c r="Z622" s="35"/>
    </row>
    <row r="623" ht="14.25" customHeight="1">
      <c r="A623" s="136"/>
      <c r="B623" s="137"/>
      <c r="C623" s="251"/>
      <c r="D623" s="452"/>
      <c r="E623" s="136"/>
      <c r="F623" s="253"/>
      <c r="G623" s="140"/>
      <c r="H623" s="141"/>
      <c r="I623" s="141"/>
      <c r="J623" s="142"/>
      <c r="K623" s="142"/>
      <c r="L623" s="142"/>
      <c r="M623" s="142"/>
      <c r="N623" s="136"/>
      <c r="O623" s="34"/>
      <c r="P623" s="35"/>
      <c r="Q623" s="35"/>
      <c r="R623" s="35"/>
      <c r="S623" s="35"/>
      <c r="T623" s="35"/>
      <c r="U623" s="35"/>
      <c r="V623" s="35"/>
      <c r="W623" s="35"/>
      <c r="X623" s="35"/>
      <c r="Y623" s="35"/>
      <c r="Z623" s="35"/>
    </row>
    <row r="624" ht="14.25" customHeight="1">
      <c r="A624" s="136"/>
      <c r="B624" s="137"/>
      <c r="C624" s="251"/>
      <c r="D624" s="452"/>
      <c r="E624" s="136"/>
      <c r="F624" s="253"/>
      <c r="G624" s="140"/>
      <c r="H624" s="141"/>
      <c r="I624" s="141"/>
      <c r="J624" s="142"/>
      <c r="K624" s="142"/>
      <c r="L624" s="142"/>
      <c r="M624" s="142"/>
      <c r="N624" s="136"/>
      <c r="O624" s="34"/>
      <c r="P624" s="35"/>
      <c r="Q624" s="35"/>
      <c r="R624" s="35"/>
      <c r="S624" s="35"/>
      <c r="T624" s="35"/>
      <c r="U624" s="35"/>
      <c r="V624" s="35"/>
      <c r="W624" s="35"/>
      <c r="X624" s="35"/>
      <c r="Y624" s="35"/>
      <c r="Z624" s="35"/>
    </row>
    <row r="625" ht="14.25" customHeight="1">
      <c r="A625" s="136"/>
      <c r="B625" s="137"/>
      <c r="C625" s="251"/>
      <c r="D625" s="452"/>
      <c r="E625" s="136"/>
      <c r="F625" s="253"/>
      <c r="G625" s="140"/>
      <c r="H625" s="141"/>
      <c r="I625" s="141"/>
      <c r="J625" s="142"/>
      <c r="K625" s="142"/>
      <c r="L625" s="142"/>
      <c r="M625" s="142"/>
      <c r="N625" s="136"/>
      <c r="O625" s="34"/>
      <c r="P625" s="35"/>
      <c r="Q625" s="35"/>
      <c r="R625" s="35"/>
      <c r="S625" s="35"/>
      <c r="T625" s="35"/>
      <c r="U625" s="35"/>
      <c r="V625" s="35"/>
      <c r="W625" s="35"/>
      <c r="X625" s="35"/>
      <c r="Y625" s="35"/>
      <c r="Z625" s="35"/>
    </row>
    <row r="626" ht="14.25" customHeight="1">
      <c r="A626" s="136"/>
      <c r="B626" s="137"/>
      <c r="C626" s="251"/>
      <c r="D626" s="452"/>
      <c r="E626" s="136"/>
      <c r="F626" s="253"/>
      <c r="G626" s="140"/>
      <c r="H626" s="141"/>
      <c r="I626" s="141"/>
      <c r="J626" s="142"/>
      <c r="K626" s="142"/>
      <c r="L626" s="142"/>
      <c r="M626" s="142"/>
      <c r="N626" s="136"/>
      <c r="O626" s="34"/>
      <c r="P626" s="35"/>
      <c r="Q626" s="35"/>
      <c r="R626" s="35"/>
      <c r="S626" s="35"/>
      <c r="T626" s="35"/>
      <c r="U626" s="35"/>
      <c r="V626" s="35"/>
      <c r="W626" s="35"/>
      <c r="X626" s="35"/>
      <c r="Y626" s="35"/>
      <c r="Z626" s="35"/>
    </row>
    <row r="627" ht="14.25" customHeight="1">
      <c r="A627" s="136"/>
      <c r="B627" s="137"/>
      <c r="C627" s="251"/>
      <c r="D627" s="452"/>
      <c r="E627" s="136"/>
      <c r="F627" s="253"/>
      <c r="G627" s="140"/>
      <c r="H627" s="141"/>
      <c r="I627" s="141"/>
      <c r="J627" s="142"/>
      <c r="K627" s="142"/>
      <c r="L627" s="142"/>
      <c r="M627" s="142"/>
      <c r="N627" s="136"/>
      <c r="O627" s="34"/>
      <c r="P627" s="35"/>
      <c r="Q627" s="35"/>
      <c r="R627" s="35"/>
      <c r="S627" s="35"/>
      <c r="T627" s="35"/>
      <c r="U627" s="35"/>
      <c r="V627" s="35"/>
      <c r="W627" s="35"/>
      <c r="X627" s="35"/>
      <c r="Y627" s="35"/>
      <c r="Z627" s="35"/>
    </row>
    <row r="628" ht="14.25" customHeight="1">
      <c r="A628" s="136"/>
      <c r="B628" s="137"/>
      <c r="C628" s="251"/>
      <c r="D628" s="452"/>
      <c r="E628" s="136"/>
      <c r="F628" s="253"/>
      <c r="G628" s="140"/>
      <c r="H628" s="141"/>
      <c r="I628" s="141"/>
      <c r="J628" s="142"/>
      <c r="K628" s="142"/>
      <c r="L628" s="142"/>
      <c r="M628" s="142"/>
      <c r="N628" s="136"/>
      <c r="O628" s="34"/>
      <c r="P628" s="35"/>
      <c r="Q628" s="35"/>
      <c r="R628" s="35"/>
      <c r="S628" s="35"/>
      <c r="T628" s="35"/>
      <c r="U628" s="35"/>
      <c r="V628" s="35"/>
      <c r="W628" s="35"/>
      <c r="X628" s="35"/>
      <c r="Y628" s="35"/>
      <c r="Z628" s="35"/>
    </row>
    <row r="629" ht="14.25" customHeight="1">
      <c r="A629" s="136"/>
      <c r="B629" s="137"/>
      <c r="C629" s="251"/>
      <c r="D629" s="452"/>
      <c r="E629" s="136"/>
      <c r="F629" s="253"/>
      <c r="G629" s="140"/>
      <c r="H629" s="141"/>
      <c r="I629" s="141"/>
      <c r="J629" s="142"/>
      <c r="K629" s="142"/>
      <c r="L629" s="142"/>
      <c r="M629" s="142"/>
      <c r="N629" s="136"/>
      <c r="O629" s="34"/>
      <c r="P629" s="35"/>
      <c r="Q629" s="35"/>
      <c r="R629" s="35"/>
      <c r="S629" s="35"/>
      <c r="T629" s="35"/>
      <c r="U629" s="35"/>
      <c r="V629" s="35"/>
      <c r="W629" s="35"/>
      <c r="X629" s="35"/>
      <c r="Y629" s="35"/>
      <c r="Z629" s="35"/>
    </row>
    <row r="630" ht="14.25" customHeight="1">
      <c r="A630" s="136"/>
      <c r="B630" s="137"/>
      <c r="C630" s="251"/>
      <c r="D630" s="452"/>
      <c r="E630" s="136"/>
      <c r="F630" s="253"/>
      <c r="G630" s="140"/>
      <c r="H630" s="141"/>
      <c r="I630" s="141"/>
      <c r="J630" s="142"/>
      <c r="K630" s="142"/>
      <c r="L630" s="142"/>
      <c r="M630" s="142"/>
      <c r="N630" s="136"/>
      <c r="O630" s="34"/>
      <c r="P630" s="35"/>
      <c r="Q630" s="35"/>
      <c r="R630" s="35"/>
      <c r="S630" s="35"/>
      <c r="T630" s="35"/>
      <c r="U630" s="35"/>
      <c r="V630" s="35"/>
      <c r="W630" s="35"/>
      <c r="X630" s="35"/>
      <c r="Y630" s="35"/>
      <c r="Z630" s="35"/>
    </row>
    <row r="631" ht="14.25" customHeight="1">
      <c r="A631" s="136"/>
      <c r="B631" s="137"/>
      <c r="C631" s="251"/>
      <c r="D631" s="452"/>
      <c r="E631" s="136"/>
      <c r="F631" s="253"/>
      <c r="G631" s="140"/>
      <c r="H631" s="141"/>
      <c r="I631" s="141"/>
      <c r="J631" s="142"/>
      <c r="K631" s="142"/>
      <c r="L631" s="142"/>
      <c r="M631" s="142"/>
      <c r="N631" s="136"/>
      <c r="O631" s="34"/>
      <c r="P631" s="35"/>
      <c r="Q631" s="35"/>
      <c r="R631" s="35"/>
      <c r="S631" s="35"/>
      <c r="T631" s="35"/>
      <c r="U631" s="35"/>
      <c r="V631" s="35"/>
      <c r="W631" s="35"/>
      <c r="X631" s="35"/>
      <c r="Y631" s="35"/>
      <c r="Z631" s="35"/>
    </row>
    <row r="632" ht="14.25" customHeight="1">
      <c r="A632" s="136"/>
      <c r="B632" s="137"/>
      <c r="C632" s="251"/>
      <c r="D632" s="452"/>
      <c r="E632" s="136"/>
      <c r="F632" s="253"/>
      <c r="G632" s="140"/>
      <c r="H632" s="141"/>
      <c r="I632" s="141"/>
      <c r="J632" s="142"/>
      <c r="K632" s="142"/>
      <c r="L632" s="142"/>
      <c r="M632" s="142"/>
      <c r="N632" s="136"/>
      <c r="O632" s="34"/>
      <c r="P632" s="35"/>
      <c r="Q632" s="35"/>
      <c r="R632" s="35"/>
      <c r="S632" s="35"/>
      <c r="T632" s="35"/>
      <c r="U632" s="35"/>
      <c r="V632" s="35"/>
      <c r="W632" s="35"/>
      <c r="X632" s="35"/>
      <c r="Y632" s="35"/>
      <c r="Z632" s="35"/>
    </row>
    <row r="633" ht="14.25" customHeight="1">
      <c r="A633" s="136"/>
      <c r="B633" s="137"/>
      <c r="C633" s="251"/>
      <c r="D633" s="452"/>
      <c r="E633" s="136"/>
      <c r="F633" s="253"/>
      <c r="G633" s="140"/>
      <c r="H633" s="141"/>
      <c r="I633" s="141"/>
      <c r="J633" s="142"/>
      <c r="K633" s="142"/>
      <c r="L633" s="142"/>
      <c r="M633" s="142"/>
      <c r="N633" s="136"/>
      <c r="O633" s="34"/>
      <c r="P633" s="35"/>
      <c r="Q633" s="35"/>
      <c r="R633" s="35"/>
      <c r="S633" s="35"/>
      <c r="T633" s="35"/>
      <c r="U633" s="35"/>
      <c r="V633" s="35"/>
      <c r="W633" s="35"/>
      <c r="X633" s="35"/>
      <c r="Y633" s="35"/>
      <c r="Z633" s="35"/>
    </row>
    <row r="634" ht="14.25" customHeight="1">
      <c r="A634" s="136"/>
      <c r="B634" s="137"/>
      <c r="C634" s="251"/>
      <c r="D634" s="452"/>
      <c r="E634" s="136"/>
      <c r="F634" s="253"/>
      <c r="G634" s="140"/>
      <c r="H634" s="141"/>
      <c r="I634" s="141"/>
      <c r="J634" s="142"/>
      <c r="K634" s="142"/>
      <c r="L634" s="142"/>
      <c r="M634" s="142"/>
      <c r="N634" s="136"/>
      <c r="O634" s="34"/>
      <c r="P634" s="35"/>
      <c r="Q634" s="35"/>
      <c r="R634" s="35"/>
      <c r="S634" s="35"/>
      <c r="T634" s="35"/>
      <c r="U634" s="35"/>
      <c r="V634" s="35"/>
      <c r="W634" s="35"/>
      <c r="X634" s="35"/>
      <c r="Y634" s="35"/>
      <c r="Z634" s="35"/>
    </row>
    <row r="635" ht="14.25" customHeight="1">
      <c r="A635" s="136"/>
      <c r="B635" s="137"/>
      <c r="C635" s="251"/>
      <c r="D635" s="452"/>
      <c r="E635" s="136"/>
      <c r="F635" s="253"/>
      <c r="G635" s="140"/>
      <c r="H635" s="141"/>
      <c r="I635" s="141"/>
      <c r="J635" s="142"/>
      <c r="K635" s="142"/>
      <c r="L635" s="142"/>
      <c r="M635" s="142"/>
      <c r="N635" s="136"/>
      <c r="O635" s="34"/>
      <c r="P635" s="35"/>
      <c r="Q635" s="35"/>
      <c r="R635" s="35"/>
      <c r="S635" s="35"/>
      <c r="T635" s="35"/>
      <c r="U635" s="35"/>
      <c r="V635" s="35"/>
      <c r="W635" s="35"/>
      <c r="X635" s="35"/>
      <c r="Y635" s="35"/>
      <c r="Z635" s="35"/>
    </row>
    <row r="636" ht="14.25" customHeight="1">
      <c r="A636" s="136"/>
      <c r="B636" s="137"/>
      <c r="C636" s="251"/>
      <c r="D636" s="452"/>
      <c r="E636" s="136"/>
      <c r="F636" s="253"/>
      <c r="G636" s="140"/>
      <c r="H636" s="141"/>
      <c r="I636" s="141"/>
      <c r="J636" s="142"/>
      <c r="K636" s="142"/>
      <c r="L636" s="142"/>
      <c r="M636" s="142"/>
      <c r="N636" s="136"/>
      <c r="O636" s="34"/>
      <c r="P636" s="35"/>
      <c r="Q636" s="35"/>
      <c r="R636" s="35"/>
      <c r="S636" s="35"/>
      <c r="T636" s="35"/>
      <c r="U636" s="35"/>
      <c r="V636" s="35"/>
      <c r="W636" s="35"/>
      <c r="X636" s="35"/>
      <c r="Y636" s="35"/>
      <c r="Z636" s="35"/>
    </row>
    <row r="637" ht="14.25" customHeight="1">
      <c r="A637" s="136"/>
      <c r="B637" s="137"/>
      <c r="C637" s="251"/>
      <c r="D637" s="452"/>
      <c r="E637" s="136"/>
      <c r="F637" s="253"/>
      <c r="G637" s="140"/>
      <c r="H637" s="141"/>
      <c r="I637" s="141"/>
      <c r="J637" s="142"/>
      <c r="K637" s="142"/>
      <c r="L637" s="142"/>
      <c r="M637" s="142"/>
      <c r="N637" s="136"/>
      <c r="O637" s="34"/>
      <c r="P637" s="35"/>
      <c r="Q637" s="35"/>
      <c r="R637" s="35"/>
      <c r="S637" s="35"/>
      <c r="T637" s="35"/>
      <c r="U637" s="35"/>
      <c r="V637" s="35"/>
      <c r="W637" s="35"/>
      <c r="X637" s="35"/>
      <c r="Y637" s="35"/>
      <c r="Z637" s="35"/>
    </row>
    <row r="638" ht="14.25" customHeight="1">
      <c r="A638" s="136"/>
      <c r="B638" s="137"/>
      <c r="C638" s="251"/>
      <c r="D638" s="452"/>
      <c r="E638" s="136"/>
      <c r="F638" s="253"/>
      <c r="G638" s="140"/>
      <c r="H638" s="141"/>
      <c r="I638" s="141"/>
      <c r="J638" s="142"/>
      <c r="K638" s="142"/>
      <c r="L638" s="142"/>
      <c r="M638" s="142"/>
      <c r="N638" s="136"/>
      <c r="O638" s="34"/>
      <c r="P638" s="35"/>
      <c r="Q638" s="35"/>
      <c r="R638" s="35"/>
      <c r="S638" s="35"/>
      <c r="T638" s="35"/>
      <c r="U638" s="35"/>
      <c r="V638" s="35"/>
      <c r="W638" s="35"/>
      <c r="X638" s="35"/>
      <c r="Y638" s="35"/>
      <c r="Z638" s="35"/>
    </row>
    <row r="639" ht="14.25" customHeight="1">
      <c r="A639" s="136"/>
      <c r="B639" s="137"/>
      <c r="C639" s="251"/>
      <c r="D639" s="452"/>
      <c r="E639" s="136"/>
      <c r="F639" s="253"/>
      <c r="G639" s="140"/>
      <c r="H639" s="141"/>
      <c r="I639" s="141"/>
      <c r="J639" s="142"/>
      <c r="K639" s="142"/>
      <c r="L639" s="142"/>
      <c r="M639" s="142"/>
      <c r="N639" s="136"/>
      <c r="O639" s="34"/>
      <c r="P639" s="35"/>
      <c r="Q639" s="35"/>
      <c r="R639" s="35"/>
      <c r="S639" s="35"/>
      <c r="T639" s="35"/>
      <c r="U639" s="35"/>
      <c r="V639" s="35"/>
      <c r="W639" s="35"/>
      <c r="X639" s="35"/>
      <c r="Y639" s="35"/>
      <c r="Z639" s="35"/>
    </row>
    <row r="640" ht="14.25" customHeight="1">
      <c r="A640" s="136"/>
      <c r="B640" s="137"/>
      <c r="C640" s="251"/>
      <c r="D640" s="452"/>
      <c r="E640" s="136"/>
      <c r="F640" s="253"/>
      <c r="G640" s="140"/>
      <c r="H640" s="141"/>
      <c r="I640" s="141"/>
      <c r="J640" s="142"/>
      <c r="K640" s="142"/>
      <c r="L640" s="142"/>
      <c r="M640" s="142"/>
      <c r="N640" s="136"/>
      <c r="O640" s="34"/>
      <c r="P640" s="35"/>
      <c r="Q640" s="35"/>
      <c r="R640" s="35"/>
      <c r="S640" s="35"/>
      <c r="T640" s="35"/>
      <c r="U640" s="35"/>
      <c r="V640" s="35"/>
      <c r="W640" s="35"/>
      <c r="X640" s="35"/>
      <c r="Y640" s="35"/>
      <c r="Z640" s="35"/>
    </row>
    <row r="641" ht="14.25" customHeight="1">
      <c r="A641" s="136"/>
      <c r="B641" s="137"/>
      <c r="C641" s="251"/>
      <c r="D641" s="452"/>
      <c r="E641" s="136"/>
      <c r="F641" s="253"/>
      <c r="G641" s="140"/>
      <c r="H641" s="141"/>
      <c r="I641" s="141"/>
      <c r="J641" s="142"/>
      <c r="K641" s="142"/>
      <c r="L641" s="142"/>
      <c r="M641" s="142"/>
      <c r="N641" s="136"/>
      <c r="O641" s="34"/>
      <c r="P641" s="35"/>
      <c r="Q641" s="35"/>
      <c r="R641" s="35"/>
      <c r="S641" s="35"/>
      <c r="T641" s="35"/>
      <c r="U641" s="35"/>
      <c r="V641" s="35"/>
      <c r="W641" s="35"/>
      <c r="X641" s="35"/>
      <c r="Y641" s="35"/>
      <c r="Z641" s="35"/>
    </row>
    <row r="642" ht="14.25" customHeight="1">
      <c r="A642" s="136"/>
      <c r="B642" s="137"/>
      <c r="C642" s="251"/>
      <c r="D642" s="452"/>
      <c r="E642" s="136"/>
      <c r="F642" s="253"/>
      <c r="G642" s="140"/>
      <c r="H642" s="141"/>
      <c r="I642" s="141"/>
      <c r="J642" s="142"/>
      <c r="K642" s="142"/>
      <c r="L642" s="142"/>
      <c r="M642" s="142"/>
      <c r="N642" s="136"/>
      <c r="O642" s="34"/>
      <c r="P642" s="35"/>
      <c r="Q642" s="35"/>
      <c r="R642" s="35"/>
      <c r="S642" s="35"/>
      <c r="T642" s="35"/>
      <c r="U642" s="35"/>
      <c r="V642" s="35"/>
      <c r="W642" s="35"/>
      <c r="X642" s="35"/>
      <c r="Y642" s="35"/>
      <c r="Z642" s="35"/>
    </row>
    <row r="643" ht="14.25" customHeight="1">
      <c r="A643" s="136"/>
      <c r="B643" s="137"/>
      <c r="C643" s="251"/>
      <c r="D643" s="452"/>
      <c r="E643" s="136"/>
      <c r="F643" s="253"/>
      <c r="G643" s="140"/>
      <c r="H643" s="141"/>
      <c r="I643" s="141"/>
      <c r="J643" s="142"/>
      <c r="K643" s="142"/>
      <c r="L643" s="142"/>
      <c r="M643" s="142"/>
      <c r="N643" s="136"/>
      <c r="O643" s="34"/>
      <c r="P643" s="35"/>
      <c r="Q643" s="35"/>
      <c r="R643" s="35"/>
      <c r="S643" s="35"/>
      <c r="T643" s="35"/>
      <c r="U643" s="35"/>
      <c r="V643" s="35"/>
      <c r="W643" s="35"/>
      <c r="X643" s="35"/>
      <c r="Y643" s="35"/>
      <c r="Z643" s="35"/>
    </row>
    <row r="644" ht="14.25" customHeight="1">
      <c r="A644" s="136"/>
      <c r="B644" s="137"/>
      <c r="C644" s="251"/>
      <c r="D644" s="452"/>
      <c r="E644" s="136"/>
      <c r="F644" s="253"/>
      <c r="G644" s="140"/>
      <c r="H644" s="141"/>
      <c r="I644" s="141"/>
      <c r="J644" s="142"/>
      <c r="K644" s="142"/>
      <c r="L644" s="142"/>
      <c r="M644" s="142"/>
      <c r="N644" s="136"/>
      <c r="O644" s="34"/>
      <c r="P644" s="35"/>
      <c r="Q644" s="35"/>
      <c r="R644" s="35"/>
      <c r="S644" s="35"/>
      <c r="T644" s="35"/>
      <c r="U644" s="35"/>
      <c r="V644" s="35"/>
      <c r="W644" s="35"/>
      <c r="X644" s="35"/>
      <c r="Y644" s="35"/>
      <c r="Z644" s="35"/>
    </row>
    <row r="645" ht="14.25" customHeight="1">
      <c r="A645" s="136"/>
      <c r="B645" s="137"/>
      <c r="C645" s="251"/>
      <c r="D645" s="452"/>
      <c r="E645" s="136"/>
      <c r="F645" s="253"/>
      <c r="G645" s="140"/>
      <c r="H645" s="141"/>
      <c r="I645" s="141"/>
      <c r="J645" s="142"/>
      <c r="K645" s="142"/>
      <c r="L645" s="142"/>
      <c r="M645" s="142"/>
      <c r="N645" s="136"/>
      <c r="O645" s="34"/>
      <c r="P645" s="35"/>
      <c r="Q645" s="35"/>
      <c r="R645" s="35"/>
      <c r="S645" s="35"/>
      <c r="T645" s="35"/>
      <c r="U645" s="35"/>
      <c r="V645" s="35"/>
      <c r="W645" s="35"/>
      <c r="X645" s="35"/>
      <c r="Y645" s="35"/>
      <c r="Z645" s="35"/>
    </row>
    <row r="646" ht="14.25" customHeight="1">
      <c r="A646" s="136"/>
      <c r="B646" s="137"/>
      <c r="C646" s="251"/>
      <c r="D646" s="452"/>
      <c r="E646" s="136"/>
      <c r="F646" s="253"/>
      <c r="G646" s="140"/>
      <c r="H646" s="141"/>
      <c r="I646" s="141"/>
      <c r="J646" s="142"/>
      <c r="K646" s="142"/>
      <c r="L646" s="142"/>
      <c r="M646" s="142"/>
      <c r="N646" s="136"/>
      <c r="O646" s="34"/>
      <c r="P646" s="35"/>
      <c r="Q646" s="35"/>
      <c r="R646" s="35"/>
      <c r="S646" s="35"/>
      <c r="T646" s="35"/>
      <c r="U646" s="35"/>
      <c r="V646" s="35"/>
      <c r="W646" s="35"/>
      <c r="X646" s="35"/>
      <c r="Y646" s="35"/>
      <c r="Z646" s="35"/>
    </row>
    <row r="647" ht="14.25" customHeight="1">
      <c r="A647" s="136"/>
      <c r="B647" s="137"/>
      <c r="C647" s="251"/>
      <c r="D647" s="452"/>
      <c r="E647" s="136"/>
      <c r="F647" s="253"/>
      <c r="G647" s="140"/>
      <c r="H647" s="141"/>
      <c r="I647" s="141"/>
      <c r="J647" s="142"/>
      <c r="K647" s="142"/>
      <c r="L647" s="142"/>
      <c r="M647" s="142"/>
      <c r="N647" s="136"/>
      <c r="O647" s="34"/>
      <c r="P647" s="35"/>
      <c r="Q647" s="35"/>
      <c r="R647" s="35"/>
      <c r="S647" s="35"/>
      <c r="T647" s="35"/>
      <c r="U647" s="35"/>
      <c r="V647" s="35"/>
      <c r="W647" s="35"/>
      <c r="X647" s="35"/>
      <c r="Y647" s="35"/>
      <c r="Z647" s="35"/>
    </row>
    <row r="648" ht="14.25" customHeight="1">
      <c r="A648" s="136"/>
      <c r="B648" s="137"/>
      <c r="C648" s="251"/>
      <c r="D648" s="452"/>
      <c r="E648" s="136"/>
      <c r="F648" s="253"/>
      <c r="G648" s="140"/>
      <c r="H648" s="141"/>
      <c r="I648" s="141"/>
      <c r="J648" s="142"/>
      <c r="K648" s="142"/>
      <c r="L648" s="142"/>
      <c r="M648" s="142"/>
      <c r="N648" s="136"/>
      <c r="O648" s="34"/>
      <c r="P648" s="35"/>
      <c r="Q648" s="35"/>
      <c r="R648" s="35"/>
      <c r="S648" s="35"/>
      <c r="T648" s="35"/>
      <c r="U648" s="35"/>
      <c r="V648" s="35"/>
      <c r="W648" s="35"/>
      <c r="X648" s="35"/>
      <c r="Y648" s="35"/>
      <c r="Z648" s="35"/>
    </row>
    <row r="649" ht="14.25" customHeight="1">
      <c r="A649" s="136"/>
      <c r="B649" s="137"/>
      <c r="C649" s="251"/>
      <c r="D649" s="452"/>
      <c r="E649" s="136"/>
      <c r="F649" s="253"/>
      <c r="G649" s="140"/>
      <c r="H649" s="141"/>
      <c r="I649" s="141"/>
      <c r="J649" s="142"/>
      <c r="K649" s="142"/>
      <c r="L649" s="142"/>
      <c r="M649" s="142"/>
      <c r="N649" s="136"/>
      <c r="O649" s="34"/>
      <c r="P649" s="35"/>
      <c r="Q649" s="35"/>
      <c r="R649" s="35"/>
      <c r="S649" s="35"/>
      <c r="T649" s="35"/>
      <c r="U649" s="35"/>
      <c r="V649" s="35"/>
      <c r="W649" s="35"/>
      <c r="X649" s="35"/>
      <c r="Y649" s="35"/>
      <c r="Z649" s="35"/>
    </row>
    <row r="650" ht="14.25" customHeight="1">
      <c r="A650" s="136"/>
      <c r="B650" s="137"/>
      <c r="C650" s="251"/>
      <c r="D650" s="452"/>
      <c r="E650" s="136"/>
      <c r="F650" s="253"/>
      <c r="G650" s="140"/>
      <c r="H650" s="141"/>
      <c r="I650" s="141"/>
      <c r="J650" s="142"/>
      <c r="K650" s="142"/>
      <c r="L650" s="142"/>
      <c r="M650" s="142"/>
      <c r="N650" s="136"/>
      <c r="O650" s="34"/>
      <c r="P650" s="35"/>
      <c r="Q650" s="35"/>
      <c r="R650" s="35"/>
      <c r="S650" s="35"/>
      <c r="T650" s="35"/>
      <c r="U650" s="35"/>
      <c r="V650" s="35"/>
      <c r="W650" s="35"/>
      <c r="X650" s="35"/>
      <c r="Y650" s="35"/>
      <c r="Z650" s="35"/>
    </row>
    <row r="651" ht="14.25" customHeight="1">
      <c r="A651" s="136"/>
      <c r="B651" s="137"/>
      <c r="C651" s="251"/>
      <c r="D651" s="452"/>
      <c r="E651" s="136"/>
      <c r="F651" s="253"/>
      <c r="G651" s="140"/>
      <c r="H651" s="141"/>
      <c r="I651" s="141"/>
      <c r="J651" s="142"/>
      <c r="K651" s="142"/>
      <c r="L651" s="142"/>
      <c r="M651" s="142"/>
      <c r="N651" s="136"/>
      <c r="O651" s="34"/>
      <c r="P651" s="35"/>
      <c r="Q651" s="35"/>
      <c r="R651" s="35"/>
      <c r="S651" s="35"/>
      <c r="T651" s="35"/>
      <c r="U651" s="35"/>
      <c r="V651" s="35"/>
      <c r="W651" s="35"/>
      <c r="X651" s="35"/>
      <c r="Y651" s="35"/>
      <c r="Z651" s="35"/>
    </row>
    <row r="652" ht="14.25" customHeight="1">
      <c r="A652" s="136"/>
      <c r="B652" s="137"/>
      <c r="C652" s="251"/>
      <c r="D652" s="452"/>
      <c r="E652" s="136"/>
      <c r="F652" s="253"/>
      <c r="G652" s="140"/>
      <c r="H652" s="141"/>
      <c r="I652" s="141"/>
      <c r="J652" s="142"/>
      <c r="K652" s="142"/>
      <c r="L652" s="142"/>
      <c r="M652" s="142"/>
      <c r="N652" s="136"/>
      <c r="O652" s="34"/>
      <c r="P652" s="35"/>
      <c r="Q652" s="35"/>
      <c r="R652" s="35"/>
      <c r="S652" s="35"/>
      <c r="T652" s="35"/>
      <c r="U652" s="35"/>
      <c r="V652" s="35"/>
      <c r="W652" s="35"/>
      <c r="X652" s="35"/>
      <c r="Y652" s="35"/>
      <c r="Z652" s="35"/>
    </row>
    <row r="653" ht="14.25" customHeight="1">
      <c r="A653" s="136"/>
      <c r="B653" s="137"/>
      <c r="C653" s="251"/>
      <c r="D653" s="452"/>
      <c r="E653" s="136"/>
      <c r="F653" s="253"/>
      <c r="G653" s="140"/>
      <c r="H653" s="141"/>
      <c r="I653" s="141"/>
      <c r="J653" s="142"/>
      <c r="K653" s="142"/>
      <c r="L653" s="142"/>
      <c r="M653" s="142"/>
      <c r="N653" s="136"/>
      <c r="O653" s="34"/>
      <c r="P653" s="35"/>
      <c r="Q653" s="35"/>
      <c r="R653" s="35"/>
      <c r="S653" s="35"/>
      <c r="T653" s="35"/>
      <c r="U653" s="35"/>
      <c r="V653" s="35"/>
      <c r="W653" s="35"/>
      <c r="X653" s="35"/>
      <c r="Y653" s="35"/>
      <c r="Z653" s="35"/>
    </row>
    <row r="654" ht="14.25" customHeight="1">
      <c r="A654" s="136"/>
      <c r="B654" s="137"/>
      <c r="C654" s="251"/>
      <c r="D654" s="452"/>
      <c r="E654" s="136"/>
      <c r="F654" s="253"/>
      <c r="G654" s="140"/>
      <c r="H654" s="141"/>
      <c r="I654" s="141"/>
      <c r="J654" s="142"/>
      <c r="K654" s="142"/>
      <c r="L654" s="142"/>
      <c r="M654" s="142"/>
      <c r="N654" s="136"/>
      <c r="O654" s="34"/>
      <c r="P654" s="35"/>
      <c r="Q654" s="35"/>
      <c r="R654" s="35"/>
      <c r="S654" s="35"/>
      <c r="T654" s="35"/>
      <c r="U654" s="35"/>
      <c r="V654" s="35"/>
      <c r="W654" s="35"/>
      <c r="X654" s="35"/>
      <c r="Y654" s="35"/>
      <c r="Z654" s="35"/>
    </row>
    <row r="655" ht="14.25" customHeight="1">
      <c r="A655" s="136"/>
      <c r="B655" s="137"/>
      <c r="C655" s="251"/>
      <c r="D655" s="452"/>
      <c r="E655" s="136"/>
      <c r="F655" s="253"/>
      <c r="G655" s="140"/>
      <c r="H655" s="141"/>
      <c r="I655" s="141"/>
      <c r="J655" s="142"/>
      <c r="K655" s="142"/>
      <c r="L655" s="142"/>
      <c r="M655" s="142"/>
      <c r="N655" s="136"/>
      <c r="O655" s="34"/>
      <c r="P655" s="35"/>
      <c r="Q655" s="35"/>
      <c r="R655" s="35"/>
      <c r="S655" s="35"/>
      <c r="T655" s="35"/>
      <c r="U655" s="35"/>
      <c r="V655" s="35"/>
      <c r="W655" s="35"/>
      <c r="X655" s="35"/>
      <c r="Y655" s="35"/>
      <c r="Z655" s="35"/>
    </row>
    <row r="656" ht="14.25" customHeight="1">
      <c r="A656" s="136"/>
      <c r="B656" s="137"/>
      <c r="C656" s="251"/>
      <c r="D656" s="452"/>
      <c r="E656" s="136"/>
      <c r="F656" s="253"/>
      <c r="G656" s="140"/>
      <c r="H656" s="141"/>
      <c r="I656" s="141"/>
      <c r="J656" s="142"/>
      <c r="K656" s="142"/>
      <c r="L656" s="142"/>
      <c r="M656" s="142"/>
      <c r="N656" s="136"/>
      <c r="O656" s="34"/>
      <c r="P656" s="35"/>
      <c r="Q656" s="35"/>
      <c r="R656" s="35"/>
      <c r="S656" s="35"/>
      <c r="T656" s="35"/>
      <c r="U656" s="35"/>
      <c r="V656" s="35"/>
      <c r="W656" s="35"/>
      <c r="X656" s="35"/>
      <c r="Y656" s="35"/>
      <c r="Z656" s="35"/>
    </row>
    <row r="657" ht="14.25" customHeight="1">
      <c r="A657" s="136"/>
      <c r="B657" s="137"/>
      <c r="C657" s="251"/>
      <c r="D657" s="452"/>
      <c r="E657" s="136"/>
      <c r="F657" s="253"/>
      <c r="G657" s="140"/>
      <c r="H657" s="141"/>
      <c r="I657" s="141"/>
      <c r="J657" s="142"/>
      <c r="K657" s="142"/>
      <c r="L657" s="142"/>
      <c r="M657" s="142"/>
      <c r="N657" s="136"/>
      <c r="O657" s="34"/>
      <c r="P657" s="35"/>
      <c r="Q657" s="35"/>
      <c r="R657" s="35"/>
      <c r="S657" s="35"/>
      <c r="T657" s="35"/>
      <c r="U657" s="35"/>
      <c r="V657" s="35"/>
      <c r="W657" s="35"/>
      <c r="X657" s="35"/>
      <c r="Y657" s="35"/>
      <c r="Z657" s="35"/>
    </row>
    <row r="658" ht="14.25" customHeight="1">
      <c r="A658" s="136"/>
      <c r="B658" s="137"/>
      <c r="C658" s="251"/>
      <c r="D658" s="452"/>
      <c r="E658" s="136"/>
      <c r="F658" s="253"/>
      <c r="G658" s="140"/>
      <c r="H658" s="141"/>
      <c r="I658" s="141"/>
      <c r="J658" s="142"/>
      <c r="K658" s="142"/>
      <c r="L658" s="142"/>
      <c r="M658" s="142"/>
      <c r="N658" s="136"/>
      <c r="O658" s="34"/>
      <c r="P658" s="35"/>
      <c r="Q658" s="35"/>
      <c r="R658" s="35"/>
      <c r="S658" s="35"/>
      <c r="T658" s="35"/>
      <c r="U658" s="35"/>
      <c r="V658" s="35"/>
      <c r="W658" s="35"/>
      <c r="X658" s="35"/>
      <c r="Y658" s="35"/>
      <c r="Z658" s="35"/>
    </row>
    <row r="659" ht="14.25" customHeight="1">
      <c r="A659" s="136"/>
      <c r="B659" s="137"/>
      <c r="C659" s="251"/>
      <c r="D659" s="452"/>
      <c r="E659" s="136"/>
      <c r="F659" s="253"/>
      <c r="G659" s="140"/>
      <c r="H659" s="141"/>
      <c r="I659" s="141"/>
      <c r="J659" s="142"/>
      <c r="K659" s="142"/>
      <c r="L659" s="142"/>
      <c r="M659" s="142"/>
      <c r="N659" s="136"/>
      <c r="O659" s="34"/>
      <c r="P659" s="35"/>
      <c r="Q659" s="35"/>
      <c r="R659" s="35"/>
      <c r="S659" s="35"/>
      <c r="T659" s="35"/>
      <c r="U659" s="35"/>
      <c r="V659" s="35"/>
      <c r="W659" s="35"/>
      <c r="X659" s="35"/>
      <c r="Y659" s="35"/>
      <c r="Z659" s="35"/>
    </row>
    <row r="660" ht="14.25" customHeight="1">
      <c r="A660" s="136"/>
      <c r="B660" s="137"/>
      <c r="C660" s="251"/>
      <c r="D660" s="452"/>
      <c r="E660" s="136"/>
      <c r="F660" s="253"/>
      <c r="G660" s="140"/>
      <c r="H660" s="141"/>
      <c r="I660" s="141"/>
      <c r="J660" s="142"/>
      <c r="K660" s="142"/>
      <c r="L660" s="142"/>
      <c r="M660" s="142"/>
      <c r="N660" s="136"/>
      <c r="O660" s="34"/>
      <c r="P660" s="35"/>
      <c r="Q660" s="35"/>
      <c r="R660" s="35"/>
      <c r="S660" s="35"/>
      <c r="T660" s="35"/>
      <c r="U660" s="35"/>
      <c r="V660" s="35"/>
      <c r="W660" s="35"/>
      <c r="X660" s="35"/>
      <c r="Y660" s="35"/>
      <c r="Z660" s="35"/>
    </row>
    <row r="661" ht="14.25" customHeight="1">
      <c r="A661" s="136"/>
      <c r="B661" s="137"/>
      <c r="C661" s="251"/>
      <c r="D661" s="452"/>
      <c r="E661" s="136"/>
      <c r="F661" s="253"/>
      <c r="G661" s="140"/>
      <c r="H661" s="141"/>
      <c r="I661" s="141"/>
      <c r="J661" s="142"/>
      <c r="K661" s="142"/>
      <c r="L661" s="142"/>
      <c r="M661" s="142"/>
      <c r="N661" s="136"/>
      <c r="O661" s="34"/>
      <c r="P661" s="35"/>
      <c r="Q661" s="35"/>
      <c r="R661" s="35"/>
      <c r="S661" s="35"/>
      <c r="T661" s="35"/>
      <c r="U661" s="35"/>
      <c r="V661" s="35"/>
      <c r="W661" s="35"/>
      <c r="X661" s="35"/>
      <c r="Y661" s="35"/>
      <c r="Z661" s="35"/>
    </row>
    <row r="662" ht="14.25" customHeight="1">
      <c r="A662" s="136"/>
      <c r="B662" s="137"/>
      <c r="C662" s="251"/>
      <c r="D662" s="452"/>
      <c r="E662" s="136"/>
      <c r="F662" s="253"/>
      <c r="G662" s="140"/>
      <c r="H662" s="141"/>
      <c r="I662" s="141"/>
      <c r="J662" s="142"/>
      <c r="K662" s="142"/>
      <c r="L662" s="142"/>
      <c r="M662" s="142"/>
      <c r="N662" s="136"/>
      <c r="O662" s="34"/>
      <c r="P662" s="35"/>
      <c r="Q662" s="35"/>
      <c r="R662" s="35"/>
      <c r="S662" s="35"/>
      <c r="T662" s="35"/>
      <c r="U662" s="35"/>
      <c r="V662" s="35"/>
      <c r="W662" s="35"/>
      <c r="X662" s="35"/>
      <c r="Y662" s="35"/>
      <c r="Z662" s="35"/>
    </row>
    <row r="663" ht="14.25" customHeight="1">
      <c r="A663" s="136"/>
      <c r="B663" s="137"/>
      <c r="C663" s="251"/>
      <c r="D663" s="452"/>
      <c r="E663" s="136"/>
      <c r="F663" s="253"/>
      <c r="G663" s="140"/>
      <c r="H663" s="141"/>
      <c r="I663" s="141"/>
      <c r="J663" s="142"/>
      <c r="K663" s="142"/>
      <c r="L663" s="142"/>
      <c r="M663" s="142"/>
      <c r="N663" s="136"/>
      <c r="O663" s="34"/>
      <c r="P663" s="35"/>
      <c r="Q663" s="35"/>
      <c r="R663" s="35"/>
      <c r="S663" s="35"/>
      <c r="T663" s="35"/>
      <c r="U663" s="35"/>
      <c r="V663" s="35"/>
      <c r="W663" s="35"/>
      <c r="X663" s="35"/>
      <c r="Y663" s="35"/>
      <c r="Z663" s="35"/>
    </row>
    <row r="664" ht="14.25" customHeight="1">
      <c r="A664" s="136"/>
      <c r="B664" s="137"/>
      <c r="C664" s="251"/>
      <c r="D664" s="452"/>
      <c r="E664" s="136"/>
      <c r="F664" s="253"/>
      <c r="G664" s="140"/>
      <c r="H664" s="141"/>
      <c r="I664" s="141"/>
      <c r="J664" s="142"/>
      <c r="K664" s="142"/>
      <c r="L664" s="142"/>
      <c r="M664" s="142"/>
      <c r="N664" s="136"/>
      <c r="O664" s="34"/>
      <c r="P664" s="35"/>
      <c r="Q664" s="35"/>
      <c r="R664" s="35"/>
      <c r="S664" s="35"/>
      <c r="T664" s="35"/>
      <c r="U664" s="35"/>
      <c r="V664" s="35"/>
      <c r="W664" s="35"/>
      <c r="X664" s="35"/>
      <c r="Y664" s="35"/>
      <c r="Z664" s="35"/>
    </row>
    <row r="665" ht="14.25" customHeight="1">
      <c r="A665" s="136"/>
      <c r="B665" s="137"/>
      <c r="C665" s="251"/>
      <c r="D665" s="452"/>
      <c r="E665" s="136"/>
      <c r="F665" s="253"/>
      <c r="G665" s="140"/>
      <c r="H665" s="141"/>
      <c r="I665" s="141"/>
      <c r="J665" s="142"/>
      <c r="K665" s="142"/>
      <c r="L665" s="142"/>
      <c r="M665" s="142"/>
      <c r="N665" s="136"/>
      <c r="O665" s="34"/>
      <c r="P665" s="35"/>
      <c r="Q665" s="35"/>
      <c r="R665" s="35"/>
      <c r="S665" s="35"/>
      <c r="T665" s="35"/>
      <c r="U665" s="35"/>
      <c r="V665" s="35"/>
      <c r="W665" s="35"/>
      <c r="X665" s="35"/>
      <c r="Y665" s="35"/>
      <c r="Z665" s="35"/>
    </row>
    <row r="666" ht="14.25" customHeight="1">
      <c r="A666" s="136"/>
      <c r="B666" s="137"/>
      <c r="C666" s="251"/>
      <c r="D666" s="452"/>
      <c r="E666" s="136"/>
      <c r="F666" s="253"/>
      <c r="G666" s="140"/>
      <c r="H666" s="141"/>
      <c r="I666" s="141"/>
      <c r="J666" s="142"/>
      <c r="K666" s="142"/>
      <c r="L666" s="142"/>
      <c r="M666" s="142"/>
      <c r="N666" s="136"/>
      <c r="O666" s="34"/>
      <c r="P666" s="35"/>
      <c r="Q666" s="35"/>
      <c r="R666" s="35"/>
      <c r="S666" s="35"/>
      <c r="T666" s="35"/>
      <c r="U666" s="35"/>
      <c r="V666" s="35"/>
      <c r="W666" s="35"/>
      <c r="X666" s="35"/>
      <c r="Y666" s="35"/>
      <c r="Z666" s="35"/>
    </row>
    <row r="667" ht="14.25" customHeight="1">
      <c r="A667" s="136"/>
      <c r="B667" s="137"/>
      <c r="C667" s="251"/>
      <c r="D667" s="452"/>
      <c r="E667" s="136"/>
      <c r="F667" s="253"/>
      <c r="G667" s="140"/>
      <c r="H667" s="141"/>
      <c r="I667" s="141"/>
      <c r="J667" s="142"/>
      <c r="K667" s="142"/>
      <c r="L667" s="142"/>
      <c r="M667" s="142"/>
      <c r="N667" s="136"/>
      <c r="O667" s="34"/>
      <c r="P667" s="35"/>
      <c r="Q667" s="35"/>
      <c r="R667" s="35"/>
      <c r="S667" s="35"/>
      <c r="T667" s="35"/>
      <c r="U667" s="35"/>
      <c r="V667" s="35"/>
      <c r="W667" s="35"/>
      <c r="X667" s="35"/>
      <c r="Y667" s="35"/>
      <c r="Z667" s="35"/>
    </row>
    <row r="668" ht="14.25" customHeight="1">
      <c r="A668" s="136"/>
      <c r="B668" s="137"/>
      <c r="C668" s="251"/>
      <c r="D668" s="452"/>
      <c r="E668" s="136"/>
      <c r="F668" s="253"/>
      <c r="G668" s="140"/>
      <c r="H668" s="141"/>
      <c r="I668" s="141"/>
      <c r="J668" s="142"/>
      <c r="K668" s="142"/>
      <c r="L668" s="142"/>
      <c r="M668" s="142"/>
      <c r="N668" s="136"/>
      <c r="O668" s="34"/>
      <c r="P668" s="35"/>
      <c r="Q668" s="35"/>
      <c r="R668" s="35"/>
      <c r="S668" s="35"/>
      <c r="T668" s="35"/>
      <c r="U668" s="35"/>
      <c r="V668" s="35"/>
      <c r="W668" s="35"/>
      <c r="X668" s="35"/>
      <c r="Y668" s="35"/>
      <c r="Z668" s="35"/>
    </row>
    <row r="669" ht="14.25" customHeight="1">
      <c r="A669" s="136"/>
      <c r="B669" s="137"/>
      <c r="C669" s="251"/>
      <c r="D669" s="452"/>
      <c r="E669" s="136"/>
      <c r="F669" s="253"/>
      <c r="G669" s="140"/>
      <c r="H669" s="141"/>
      <c r="I669" s="141"/>
      <c r="J669" s="142"/>
      <c r="K669" s="142"/>
      <c r="L669" s="142"/>
      <c r="M669" s="142"/>
      <c r="N669" s="136"/>
      <c r="O669" s="34"/>
      <c r="P669" s="35"/>
      <c r="Q669" s="35"/>
      <c r="R669" s="35"/>
      <c r="S669" s="35"/>
      <c r="T669" s="35"/>
      <c r="U669" s="35"/>
      <c r="V669" s="35"/>
      <c r="W669" s="35"/>
      <c r="X669" s="35"/>
      <c r="Y669" s="35"/>
      <c r="Z669" s="35"/>
    </row>
    <row r="670" ht="14.25" customHeight="1">
      <c r="A670" s="136"/>
      <c r="B670" s="137"/>
      <c r="C670" s="251"/>
      <c r="D670" s="452"/>
      <c r="E670" s="136"/>
      <c r="F670" s="253"/>
      <c r="G670" s="140"/>
      <c r="H670" s="141"/>
      <c r="I670" s="141"/>
      <c r="J670" s="142"/>
      <c r="K670" s="142"/>
      <c r="L670" s="142"/>
      <c r="M670" s="142"/>
      <c r="N670" s="136"/>
      <c r="O670" s="34"/>
      <c r="P670" s="35"/>
      <c r="Q670" s="35"/>
      <c r="R670" s="35"/>
      <c r="S670" s="35"/>
      <c r="T670" s="35"/>
      <c r="U670" s="35"/>
      <c r="V670" s="35"/>
      <c r="W670" s="35"/>
      <c r="X670" s="35"/>
      <c r="Y670" s="35"/>
      <c r="Z670" s="35"/>
    </row>
    <row r="671" ht="14.25" customHeight="1">
      <c r="A671" s="136"/>
      <c r="B671" s="137"/>
      <c r="C671" s="251"/>
      <c r="D671" s="452"/>
      <c r="E671" s="136"/>
      <c r="F671" s="253"/>
      <c r="G671" s="140"/>
      <c r="H671" s="141"/>
      <c r="I671" s="141"/>
      <c r="J671" s="142"/>
      <c r="K671" s="142"/>
      <c r="L671" s="142"/>
      <c r="M671" s="142"/>
      <c r="N671" s="136"/>
      <c r="O671" s="34"/>
      <c r="P671" s="35"/>
      <c r="Q671" s="35"/>
      <c r="R671" s="35"/>
      <c r="S671" s="35"/>
      <c r="T671" s="35"/>
      <c r="U671" s="35"/>
      <c r="V671" s="35"/>
      <c r="W671" s="35"/>
      <c r="X671" s="35"/>
      <c r="Y671" s="35"/>
      <c r="Z671" s="35"/>
    </row>
    <row r="672" ht="14.25" customHeight="1">
      <c r="A672" s="136"/>
      <c r="B672" s="137"/>
      <c r="C672" s="251"/>
      <c r="D672" s="452"/>
      <c r="E672" s="136"/>
      <c r="F672" s="253"/>
      <c r="G672" s="140"/>
      <c r="H672" s="141"/>
      <c r="I672" s="141"/>
      <c r="J672" s="142"/>
      <c r="K672" s="142"/>
      <c r="L672" s="142"/>
      <c r="M672" s="142"/>
      <c r="N672" s="136"/>
      <c r="O672" s="34"/>
      <c r="P672" s="35"/>
      <c r="Q672" s="35"/>
      <c r="R672" s="35"/>
      <c r="S672" s="35"/>
      <c r="T672" s="35"/>
      <c r="U672" s="35"/>
      <c r="V672" s="35"/>
      <c r="W672" s="35"/>
      <c r="X672" s="35"/>
      <c r="Y672" s="35"/>
      <c r="Z672" s="35"/>
    </row>
    <row r="673" ht="14.25" customHeight="1">
      <c r="A673" s="136"/>
      <c r="B673" s="137"/>
      <c r="C673" s="251"/>
      <c r="D673" s="452"/>
      <c r="E673" s="136"/>
      <c r="F673" s="253"/>
      <c r="G673" s="140"/>
      <c r="H673" s="141"/>
      <c r="I673" s="141"/>
      <c r="J673" s="142"/>
      <c r="K673" s="142"/>
      <c r="L673" s="142"/>
      <c r="M673" s="142"/>
      <c r="N673" s="136"/>
      <c r="O673" s="34"/>
      <c r="P673" s="35"/>
      <c r="Q673" s="35"/>
      <c r="R673" s="35"/>
      <c r="S673" s="35"/>
      <c r="T673" s="35"/>
      <c r="U673" s="35"/>
      <c r="V673" s="35"/>
      <c r="W673" s="35"/>
      <c r="X673" s="35"/>
      <c r="Y673" s="35"/>
      <c r="Z673" s="35"/>
    </row>
    <row r="674" ht="14.25" customHeight="1">
      <c r="A674" s="136"/>
      <c r="B674" s="137"/>
      <c r="C674" s="251"/>
      <c r="D674" s="452"/>
      <c r="E674" s="136"/>
      <c r="F674" s="253"/>
      <c r="G674" s="140"/>
      <c r="H674" s="141"/>
      <c r="I674" s="141"/>
      <c r="J674" s="142"/>
      <c r="K674" s="142"/>
      <c r="L674" s="142"/>
      <c r="M674" s="142"/>
      <c r="N674" s="136"/>
      <c r="O674" s="34"/>
      <c r="P674" s="35"/>
      <c r="Q674" s="35"/>
      <c r="R674" s="35"/>
      <c r="S674" s="35"/>
      <c r="T674" s="35"/>
      <c r="U674" s="35"/>
      <c r="V674" s="35"/>
      <c r="W674" s="35"/>
      <c r="X674" s="35"/>
      <c r="Y674" s="35"/>
      <c r="Z674" s="35"/>
    </row>
    <row r="675" ht="14.25" customHeight="1">
      <c r="A675" s="136"/>
      <c r="B675" s="137"/>
      <c r="C675" s="251"/>
      <c r="D675" s="452"/>
      <c r="E675" s="136"/>
      <c r="F675" s="253"/>
      <c r="G675" s="140"/>
      <c r="H675" s="141"/>
      <c r="I675" s="141"/>
      <c r="J675" s="142"/>
      <c r="K675" s="142"/>
      <c r="L675" s="142"/>
      <c r="M675" s="142"/>
      <c r="N675" s="136"/>
      <c r="O675" s="34"/>
      <c r="P675" s="35"/>
      <c r="Q675" s="35"/>
      <c r="R675" s="35"/>
      <c r="S675" s="35"/>
      <c r="T675" s="35"/>
      <c r="U675" s="35"/>
      <c r="V675" s="35"/>
      <c r="W675" s="35"/>
      <c r="X675" s="35"/>
      <c r="Y675" s="35"/>
      <c r="Z675" s="35"/>
    </row>
    <row r="676" ht="14.25" customHeight="1">
      <c r="A676" s="136"/>
      <c r="B676" s="137"/>
      <c r="C676" s="251"/>
      <c r="D676" s="452"/>
      <c r="E676" s="136"/>
      <c r="F676" s="253"/>
      <c r="G676" s="140"/>
      <c r="H676" s="141"/>
      <c r="I676" s="141"/>
      <c r="J676" s="142"/>
      <c r="K676" s="142"/>
      <c r="L676" s="142"/>
      <c r="M676" s="142"/>
      <c r="N676" s="136"/>
      <c r="O676" s="34"/>
      <c r="P676" s="35"/>
      <c r="Q676" s="35"/>
      <c r="R676" s="35"/>
      <c r="S676" s="35"/>
      <c r="T676" s="35"/>
      <c r="U676" s="35"/>
      <c r="V676" s="35"/>
      <c r="W676" s="35"/>
      <c r="X676" s="35"/>
      <c r="Y676" s="35"/>
      <c r="Z676" s="35"/>
    </row>
    <row r="677" ht="14.25" customHeight="1">
      <c r="A677" s="136"/>
      <c r="B677" s="137"/>
      <c r="C677" s="251"/>
      <c r="D677" s="452"/>
      <c r="E677" s="136"/>
      <c r="F677" s="253"/>
      <c r="G677" s="140"/>
      <c r="H677" s="141"/>
      <c r="I677" s="141"/>
      <c r="J677" s="142"/>
      <c r="K677" s="142"/>
      <c r="L677" s="142"/>
      <c r="M677" s="142"/>
      <c r="N677" s="136"/>
      <c r="O677" s="34"/>
      <c r="P677" s="35"/>
      <c r="Q677" s="35"/>
      <c r="R677" s="35"/>
      <c r="S677" s="35"/>
      <c r="T677" s="35"/>
      <c r="U677" s="35"/>
      <c r="V677" s="35"/>
      <c r="W677" s="35"/>
      <c r="X677" s="35"/>
      <c r="Y677" s="35"/>
      <c r="Z677" s="35"/>
    </row>
    <row r="678" ht="14.25" customHeight="1">
      <c r="A678" s="136"/>
      <c r="B678" s="137"/>
      <c r="C678" s="251"/>
      <c r="D678" s="452"/>
      <c r="E678" s="136"/>
      <c r="F678" s="253"/>
      <c r="G678" s="140"/>
      <c r="H678" s="141"/>
      <c r="I678" s="141"/>
      <c r="J678" s="142"/>
      <c r="K678" s="142"/>
      <c r="L678" s="142"/>
      <c r="M678" s="142"/>
      <c r="N678" s="136"/>
      <c r="O678" s="34"/>
      <c r="P678" s="35"/>
      <c r="Q678" s="35"/>
      <c r="R678" s="35"/>
      <c r="S678" s="35"/>
      <c r="T678" s="35"/>
      <c r="U678" s="35"/>
      <c r="V678" s="35"/>
      <c r="W678" s="35"/>
      <c r="X678" s="35"/>
      <c r="Y678" s="35"/>
      <c r="Z678" s="35"/>
    </row>
    <row r="679" ht="14.25" customHeight="1">
      <c r="A679" s="136"/>
      <c r="B679" s="137"/>
      <c r="C679" s="251"/>
      <c r="D679" s="452"/>
      <c r="E679" s="136"/>
      <c r="F679" s="253"/>
      <c r="G679" s="140"/>
      <c r="H679" s="141"/>
      <c r="I679" s="141"/>
      <c r="J679" s="142"/>
      <c r="K679" s="142"/>
      <c r="L679" s="142"/>
      <c r="M679" s="142"/>
      <c r="N679" s="136"/>
      <c r="O679" s="34"/>
      <c r="P679" s="35"/>
      <c r="Q679" s="35"/>
      <c r="R679" s="35"/>
      <c r="S679" s="35"/>
      <c r="T679" s="35"/>
      <c r="U679" s="35"/>
      <c r="V679" s="35"/>
      <c r="W679" s="35"/>
      <c r="X679" s="35"/>
      <c r="Y679" s="35"/>
      <c r="Z679" s="35"/>
    </row>
    <row r="680" ht="14.25" customHeight="1">
      <c r="A680" s="136"/>
      <c r="B680" s="137"/>
      <c r="C680" s="251"/>
      <c r="D680" s="452"/>
      <c r="E680" s="136"/>
      <c r="F680" s="253"/>
      <c r="G680" s="140"/>
      <c r="H680" s="141"/>
      <c r="I680" s="141"/>
      <c r="J680" s="142"/>
      <c r="K680" s="142"/>
      <c r="L680" s="142"/>
      <c r="M680" s="142"/>
      <c r="N680" s="136"/>
      <c r="O680" s="34"/>
      <c r="P680" s="35"/>
      <c r="Q680" s="35"/>
      <c r="R680" s="35"/>
      <c r="S680" s="35"/>
      <c r="T680" s="35"/>
      <c r="U680" s="35"/>
      <c r="V680" s="35"/>
      <c r="W680" s="35"/>
      <c r="X680" s="35"/>
      <c r="Y680" s="35"/>
      <c r="Z680" s="35"/>
    </row>
    <row r="681" ht="14.25" customHeight="1">
      <c r="A681" s="136"/>
      <c r="B681" s="137"/>
      <c r="C681" s="251"/>
      <c r="D681" s="452"/>
      <c r="E681" s="136"/>
      <c r="F681" s="253"/>
      <c r="G681" s="140"/>
      <c r="H681" s="141"/>
      <c r="I681" s="141"/>
      <c r="J681" s="142"/>
      <c r="K681" s="142"/>
      <c r="L681" s="142"/>
      <c r="M681" s="142"/>
      <c r="N681" s="136"/>
      <c r="O681" s="34"/>
      <c r="P681" s="35"/>
      <c r="Q681" s="35"/>
      <c r="R681" s="35"/>
      <c r="S681" s="35"/>
      <c r="T681" s="35"/>
      <c r="U681" s="35"/>
      <c r="V681" s="35"/>
      <c r="W681" s="35"/>
      <c r="X681" s="35"/>
      <c r="Y681" s="35"/>
      <c r="Z681" s="35"/>
    </row>
    <row r="682" ht="14.25" customHeight="1">
      <c r="A682" s="136"/>
      <c r="B682" s="137"/>
      <c r="C682" s="251"/>
      <c r="D682" s="452"/>
      <c r="E682" s="136"/>
      <c r="F682" s="253"/>
      <c r="G682" s="140"/>
      <c r="H682" s="141"/>
      <c r="I682" s="141"/>
      <c r="J682" s="142"/>
      <c r="K682" s="142"/>
      <c r="L682" s="142"/>
      <c r="M682" s="142"/>
      <c r="N682" s="136"/>
      <c r="O682" s="34"/>
      <c r="P682" s="35"/>
      <c r="Q682" s="35"/>
      <c r="R682" s="35"/>
      <c r="S682" s="35"/>
      <c r="T682" s="35"/>
      <c r="U682" s="35"/>
      <c r="V682" s="35"/>
      <c r="W682" s="35"/>
      <c r="X682" s="35"/>
      <c r="Y682" s="35"/>
      <c r="Z682" s="35"/>
    </row>
    <row r="683" ht="14.25" customHeight="1">
      <c r="A683" s="136"/>
      <c r="B683" s="137"/>
      <c r="C683" s="251"/>
      <c r="D683" s="452"/>
      <c r="E683" s="136"/>
      <c r="F683" s="253"/>
      <c r="G683" s="140"/>
      <c r="H683" s="141"/>
      <c r="I683" s="141"/>
      <c r="J683" s="142"/>
      <c r="K683" s="142"/>
      <c r="L683" s="142"/>
      <c r="M683" s="142"/>
      <c r="N683" s="136"/>
      <c r="O683" s="34"/>
      <c r="P683" s="35"/>
      <c r="Q683" s="35"/>
      <c r="R683" s="35"/>
      <c r="S683" s="35"/>
      <c r="T683" s="35"/>
      <c r="U683" s="35"/>
      <c r="V683" s="35"/>
      <c r="W683" s="35"/>
      <c r="X683" s="35"/>
      <c r="Y683" s="35"/>
      <c r="Z683" s="35"/>
    </row>
    <row r="684" ht="14.25" customHeight="1">
      <c r="A684" s="136"/>
      <c r="B684" s="137"/>
      <c r="C684" s="251"/>
      <c r="D684" s="452"/>
      <c r="E684" s="136"/>
      <c r="F684" s="253"/>
      <c r="G684" s="140"/>
      <c r="H684" s="141"/>
      <c r="I684" s="141"/>
      <c r="J684" s="142"/>
      <c r="K684" s="142"/>
      <c r="L684" s="142"/>
      <c r="M684" s="142"/>
      <c r="N684" s="136"/>
      <c r="O684" s="34"/>
      <c r="P684" s="35"/>
      <c r="Q684" s="35"/>
      <c r="R684" s="35"/>
      <c r="S684" s="35"/>
      <c r="T684" s="35"/>
      <c r="U684" s="35"/>
      <c r="V684" s="35"/>
      <c r="W684" s="35"/>
      <c r="X684" s="35"/>
      <c r="Y684" s="35"/>
      <c r="Z684" s="35"/>
    </row>
    <row r="685" ht="14.25" customHeight="1">
      <c r="A685" s="136"/>
      <c r="B685" s="137"/>
      <c r="C685" s="251"/>
      <c r="D685" s="452"/>
      <c r="E685" s="136"/>
      <c r="F685" s="253"/>
      <c r="G685" s="140"/>
      <c r="H685" s="141"/>
      <c r="I685" s="141"/>
      <c r="J685" s="142"/>
      <c r="K685" s="142"/>
      <c r="L685" s="142"/>
      <c r="M685" s="142"/>
      <c r="N685" s="136"/>
      <c r="O685" s="34"/>
      <c r="P685" s="35"/>
      <c r="Q685" s="35"/>
      <c r="R685" s="35"/>
      <c r="S685" s="35"/>
      <c r="T685" s="35"/>
      <c r="U685" s="35"/>
      <c r="V685" s="35"/>
      <c r="W685" s="35"/>
      <c r="X685" s="35"/>
      <c r="Y685" s="35"/>
      <c r="Z685" s="35"/>
    </row>
    <row r="686" ht="14.25" customHeight="1">
      <c r="A686" s="136"/>
      <c r="B686" s="137"/>
      <c r="C686" s="251"/>
      <c r="D686" s="452"/>
      <c r="E686" s="136"/>
      <c r="F686" s="253"/>
      <c r="G686" s="140"/>
      <c r="H686" s="141"/>
      <c r="I686" s="141"/>
      <c r="J686" s="142"/>
      <c r="K686" s="142"/>
      <c r="L686" s="142"/>
      <c r="M686" s="142"/>
      <c r="N686" s="136"/>
      <c r="O686" s="34"/>
      <c r="P686" s="35"/>
      <c r="Q686" s="35"/>
      <c r="R686" s="35"/>
      <c r="S686" s="35"/>
      <c r="T686" s="35"/>
      <c r="U686" s="35"/>
      <c r="V686" s="35"/>
      <c r="W686" s="35"/>
      <c r="X686" s="35"/>
      <c r="Y686" s="35"/>
      <c r="Z686" s="35"/>
    </row>
    <row r="687" ht="14.25" customHeight="1">
      <c r="A687" s="136"/>
      <c r="B687" s="137"/>
      <c r="C687" s="251"/>
      <c r="D687" s="452"/>
      <c r="E687" s="136"/>
      <c r="F687" s="253"/>
      <c r="G687" s="140"/>
      <c r="H687" s="141"/>
      <c r="I687" s="141"/>
      <c r="J687" s="142"/>
      <c r="K687" s="142"/>
      <c r="L687" s="142"/>
      <c r="M687" s="142"/>
      <c r="N687" s="136"/>
      <c r="O687" s="34"/>
      <c r="P687" s="35"/>
      <c r="Q687" s="35"/>
      <c r="R687" s="35"/>
      <c r="S687" s="35"/>
      <c r="T687" s="35"/>
      <c r="U687" s="35"/>
      <c r="V687" s="35"/>
      <c r="W687" s="35"/>
      <c r="X687" s="35"/>
      <c r="Y687" s="35"/>
      <c r="Z687" s="35"/>
    </row>
    <row r="688" ht="14.25" customHeight="1">
      <c r="A688" s="136"/>
      <c r="B688" s="137"/>
      <c r="C688" s="251"/>
      <c r="D688" s="452"/>
      <c r="E688" s="136"/>
      <c r="F688" s="253"/>
      <c r="G688" s="140"/>
      <c r="H688" s="141"/>
      <c r="I688" s="141"/>
      <c r="J688" s="142"/>
      <c r="K688" s="142"/>
      <c r="L688" s="142"/>
      <c r="M688" s="142"/>
      <c r="N688" s="136"/>
      <c r="O688" s="34"/>
      <c r="P688" s="35"/>
      <c r="Q688" s="35"/>
      <c r="R688" s="35"/>
      <c r="S688" s="35"/>
      <c r="T688" s="35"/>
      <c r="U688" s="35"/>
      <c r="V688" s="35"/>
      <c r="W688" s="35"/>
      <c r="X688" s="35"/>
      <c r="Y688" s="35"/>
      <c r="Z688" s="35"/>
    </row>
    <row r="689" ht="14.25" customHeight="1">
      <c r="A689" s="136"/>
      <c r="B689" s="137"/>
      <c r="C689" s="251"/>
      <c r="D689" s="452"/>
      <c r="E689" s="136"/>
      <c r="F689" s="253"/>
      <c r="G689" s="140"/>
      <c r="H689" s="141"/>
      <c r="I689" s="141"/>
      <c r="J689" s="142"/>
      <c r="K689" s="142"/>
      <c r="L689" s="142"/>
      <c r="M689" s="142"/>
      <c r="N689" s="136"/>
      <c r="O689" s="34"/>
      <c r="P689" s="35"/>
      <c r="Q689" s="35"/>
      <c r="R689" s="35"/>
      <c r="S689" s="35"/>
      <c r="T689" s="35"/>
      <c r="U689" s="35"/>
      <c r="V689" s="35"/>
      <c r="W689" s="35"/>
      <c r="X689" s="35"/>
      <c r="Y689" s="35"/>
      <c r="Z689" s="35"/>
    </row>
    <row r="690" ht="14.25" customHeight="1">
      <c r="A690" s="136"/>
      <c r="B690" s="137"/>
      <c r="C690" s="251"/>
      <c r="D690" s="452"/>
      <c r="E690" s="136"/>
      <c r="F690" s="253"/>
      <c r="G690" s="140"/>
      <c r="H690" s="141"/>
      <c r="I690" s="141"/>
      <c r="J690" s="142"/>
      <c r="K690" s="142"/>
      <c r="L690" s="142"/>
      <c r="M690" s="142"/>
      <c r="N690" s="136"/>
      <c r="O690" s="34"/>
      <c r="P690" s="35"/>
      <c r="Q690" s="35"/>
      <c r="R690" s="35"/>
      <c r="S690" s="35"/>
      <c r="T690" s="35"/>
      <c r="U690" s="35"/>
      <c r="V690" s="35"/>
      <c r="W690" s="35"/>
      <c r="X690" s="35"/>
      <c r="Y690" s="35"/>
      <c r="Z690" s="35"/>
    </row>
    <row r="691" ht="14.25" customHeight="1">
      <c r="A691" s="136"/>
      <c r="B691" s="137"/>
      <c r="C691" s="251"/>
      <c r="D691" s="452"/>
      <c r="E691" s="136"/>
      <c r="F691" s="253"/>
      <c r="G691" s="140"/>
      <c r="H691" s="141"/>
      <c r="I691" s="141"/>
      <c r="J691" s="142"/>
      <c r="K691" s="142"/>
      <c r="L691" s="142"/>
      <c r="M691" s="142"/>
      <c r="N691" s="136"/>
      <c r="O691" s="34"/>
      <c r="P691" s="35"/>
      <c r="Q691" s="35"/>
      <c r="R691" s="35"/>
      <c r="S691" s="35"/>
      <c r="T691" s="35"/>
      <c r="U691" s="35"/>
      <c r="V691" s="35"/>
      <c r="W691" s="35"/>
      <c r="X691" s="35"/>
      <c r="Y691" s="35"/>
      <c r="Z691" s="35"/>
    </row>
    <row r="692" ht="14.25" customHeight="1">
      <c r="A692" s="136"/>
      <c r="B692" s="137"/>
      <c r="C692" s="251"/>
      <c r="D692" s="452"/>
      <c r="E692" s="136"/>
      <c r="F692" s="253"/>
      <c r="G692" s="140"/>
      <c r="H692" s="141"/>
      <c r="I692" s="141"/>
      <c r="J692" s="142"/>
      <c r="K692" s="142"/>
      <c r="L692" s="142"/>
      <c r="M692" s="142"/>
      <c r="N692" s="136"/>
      <c r="O692" s="34"/>
      <c r="P692" s="35"/>
      <c r="Q692" s="35"/>
      <c r="R692" s="35"/>
      <c r="S692" s="35"/>
      <c r="T692" s="35"/>
      <c r="U692" s="35"/>
      <c r="V692" s="35"/>
      <c r="W692" s="35"/>
      <c r="X692" s="35"/>
      <c r="Y692" s="35"/>
      <c r="Z692" s="35"/>
    </row>
    <row r="693" ht="14.25" customHeight="1">
      <c r="A693" s="136"/>
      <c r="B693" s="137"/>
      <c r="C693" s="251"/>
      <c r="D693" s="452"/>
      <c r="E693" s="136"/>
      <c r="F693" s="253"/>
      <c r="G693" s="140"/>
      <c r="H693" s="141"/>
      <c r="I693" s="141"/>
      <c r="J693" s="142"/>
      <c r="K693" s="142"/>
      <c r="L693" s="142"/>
      <c r="M693" s="142"/>
      <c r="N693" s="136"/>
      <c r="O693" s="34"/>
      <c r="P693" s="35"/>
      <c r="Q693" s="35"/>
      <c r="R693" s="35"/>
      <c r="S693" s="35"/>
      <c r="T693" s="35"/>
      <c r="U693" s="35"/>
      <c r="V693" s="35"/>
      <c r="W693" s="35"/>
      <c r="X693" s="35"/>
      <c r="Y693" s="35"/>
      <c r="Z693" s="35"/>
    </row>
    <row r="694" ht="14.25" customHeight="1">
      <c r="A694" s="136"/>
      <c r="B694" s="137"/>
      <c r="C694" s="251"/>
      <c r="D694" s="452"/>
      <c r="E694" s="136"/>
      <c r="F694" s="253"/>
      <c r="G694" s="140"/>
      <c r="H694" s="141"/>
      <c r="I694" s="141"/>
      <c r="J694" s="142"/>
      <c r="K694" s="142"/>
      <c r="L694" s="142"/>
      <c r="M694" s="142"/>
      <c r="N694" s="136"/>
      <c r="O694" s="34"/>
      <c r="P694" s="35"/>
      <c r="Q694" s="35"/>
      <c r="R694" s="35"/>
      <c r="S694" s="35"/>
      <c r="T694" s="35"/>
      <c r="U694" s="35"/>
      <c r="V694" s="35"/>
      <c r="W694" s="35"/>
      <c r="X694" s="35"/>
      <c r="Y694" s="35"/>
      <c r="Z694" s="35"/>
    </row>
    <row r="695" ht="14.25" customHeight="1">
      <c r="A695" s="136"/>
      <c r="B695" s="137"/>
      <c r="C695" s="251"/>
      <c r="D695" s="452"/>
      <c r="E695" s="136"/>
      <c r="F695" s="253"/>
      <c r="G695" s="140"/>
      <c r="H695" s="141"/>
      <c r="I695" s="141"/>
      <c r="J695" s="142"/>
      <c r="K695" s="142"/>
      <c r="L695" s="142"/>
      <c r="M695" s="142"/>
      <c r="N695" s="136"/>
      <c r="O695" s="34"/>
      <c r="P695" s="35"/>
      <c r="Q695" s="35"/>
      <c r="R695" s="35"/>
      <c r="S695" s="35"/>
      <c r="T695" s="35"/>
      <c r="U695" s="35"/>
      <c r="V695" s="35"/>
      <c r="W695" s="35"/>
      <c r="X695" s="35"/>
      <c r="Y695" s="35"/>
      <c r="Z695" s="35"/>
    </row>
    <row r="696" ht="14.25" customHeight="1">
      <c r="A696" s="136"/>
      <c r="B696" s="137"/>
      <c r="C696" s="251"/>
      <c r="D696" s="452"/>
      <c r="E696" s="136"/>
      <c r="F696" s="253"/>
      <c r="G696" s="140"/>
      <c r="H696" s="141"/>
      <c r="I696" s="141"/>
      <c r="J696" s="142"/>
      <c r="K696" s="142"/>
      <c r="L696" s="142"/>
      <c r="M696" s="142"/>
      <c r="N696" s="136"/>
      <c r="O696" s="34"/>
      <c r="P696" s="35"/>
      <c r="Q696" s="35"/>
      <c r="R696" s="35"/>
      <c r="S696" s="35"/>
      <c r="T696" s="35"/>
      <c r="U696" s="35"/>
      <c r="V696" s="35"/>
      <c r="W696" s="35"/>
      <c r="X696" s="35"/>
      <c r="Y696" s="35"/>
      <c r="Z696" s="35"/>
    </row>
    <row r="697" ht="14.25" customHeight="1">
      <c r="A697" s="136"/>
      <c r="B697" s="137"/>
      <c r="C697" s="251"/>
      <c r="D697" s="452"/>
      <c r="E697" s="136"/>
      <c r="F697" s="253"/>
      <c r="G697" s="140"/>
      <c r="H697" s="141"/>
      <c r="I697" s="141"/>
      <c r="J697" s="142"/>
      <c r="K697" s="142"/>
      <c r="L697" s="142"/>
      <c r="M697" s="142"/>
      <c r="N697" s="136"/>
      <c r="O697" s="34"/>
      <c r="P697" s="35"/>
      <c r="Q697" s="35"/>
      <c r="R697" s="35"/>
      <c r="S697" s="35"/>
      <c r="T697" s="35"/>
      <c r="U697" s="35"/>
      <c r="V697" s="35"/>
      <c r="W697" s="35"/>
      <c r="X697" s="35"/>
      <c r="Y697" s="35"/>
      <c r="Z697" s="35"/>
    </row>
    <row r="698" ht="14.25" customHeight="1">
      <c r="A698" s="136"/>
      <c r="B698" s="137"/>
      <c r="C698" s="251"/>
      <c r="D698" s="452"/>
      <c r="E698" s="136"/>
      <c r="F698" s="253"/>
      <c r="G698" s="140"/>
      <c r="H698" s="141"/>
      <c r="I698" s="141"/>
      <c r="J698" s="142"/>
      <c r="K698" s="142"/>
      <c r="L698" s="142"/>
      <c r="M698" s="142"/>
      <c r="N698" s="136"/>
      <c r="O698" s="34"/>
      <c r="P698" s="35"/>
      <c r="Q698" s="35"/>
      <c r="R698" s="35"/>
      <c r="S698" s="35"/>
      <c r="T698" s="35"/>
      <c r="U698" s="35"/>
      <c r="V698" s="35"/>
      <c r="W698" s="35"/>
      <c r="X698" s="35"/>
      <c r="Y698" s="35"/>
      <c r="Z698" s="35"/>
    </row>
    <row r="699" ht="14.25" customHeight="1">
      <c r="A699" s="136"/>
      <c r="B699" s="137"/>
      <c r="C699" s="251"/>
      <c r="D699" s="452"/>
      <c r="E699" s="136"/>
      <c r="F699" s="253"/>
      <c r="G699" s="140"/>
      <c r="H699" s="141"/>
      <c r="I699" s="141"/>
      <c r="J699" s="142"/>
      <c r="K699" s="142"/>
      <c r="L699" s="142"/>
      <c r="M699" s="142"/>
      <c r="N699" s="136"/>
      <c r="O699" s="34"/>
      <c r="P699" s="35"/>
      <c r="Q699" s="35"/>
      <c r="R699" s="35"/>
      <c r="S699" s="35"/>
      <c r="T699" s="35"/>
      <c r="U699" s="35"/>
      <c r="V699" s="35"/>
      <c r="W699" s="35"/>
      <c r="X699" s="35"/>
      <c r="Y699" s="35"/>
      <c r="Z699" s="35"/>
    </row>
    <row r="700" ht="14.25" customHeight="1">
      <c r="A700" s="136"/>
      <c r="B700" s="137"/>
      <c r="C700" s="251"/>
      <c r="D700" s="452"/>
      <c r="E700" s="136"/>
      <c r="F700" s="253"/>
      <c r="G700" s="140"/>
      <c r="H700" s="141"/>
      <c r="I700" s="141"/>
      <c r="J700" s="142"/>
      <c r="K700" s="142"/>
      <c r="L700" s="142"/>
      <c r="M700" s="142"/>
      <c r="N700" s="136"/>
      <c r="O700" s="34"/>
      <c r="P700" s="35"/>
      <c r="Q700" s="35"/>
      <c r="R700" s="35"/>
      <c r="S700" s="35"/>
      <c r="T700" s="35"/>
      <c r="U700" s="35"/>
      <c r="V700" s="35"/>
      <c r="W700" s="35"/>
      <c r="X700" s="35"/>
      <c r="Y700" s="35"/>
      <c r="Z700" s="35"/>
    </row>
    <row r="701" ht="14.25" customHeight="1">
      <c r="A701" s="136"/>
      <c r="B701" s="137"/>
      <c r="C701" s="251"/>
      <c r="D701" s="452"/>
      <c r="E701" s="136"/>
      <c r="F701" s="253"/>
      <c r="G701" s="140"/>
      <c r="H701" s="141"/>
      <c r="I701" s="141"/>
      <c r="J701" s="142"/>
      <c r="K701" s="142"/>
      <c r="L701" s="142"/>
      <c r="M701" s="142"/>
      <c r="N701" s="136"/>
      <c r="O701" s="34"/>
      <c r="P701" s="35"/>
      <c r="Q701" s="35"/>
      <c r="R701" s="35"/>
      <c r="S701" s="35"/>
      <c r="T701" s="35"/>
      <c r="U701" s="35"/>
      <c r="V701" s="35"/>
      <c r="W701" s="35"/>
      <c r="X701" s="35"/>
      <c r="Y701" s="35"/>
      <c r="Z701" s="35"/>
    </row>
    <row r="702" ht="14.25" customHeight="1">
      <c r="A702" s="136"/>
      <c r="B702" s="137"/>
      <c r="C702" s="251"/>
      <c r="D702" s="452"/>
      <c r="E702" s="136"/>
      <c r="F702" s="253"/>
      <c r="G702" s="140"/>
      <c r="H702" s="141"/>
      <c r="I702" s="141"/>
      <c r="J702" s="142"/>
      <c r="K702" s="142"/>
      <c r="L702" s="142"/>
      <c r="M702" s="142"/>
      <c r="N702" s="136"/>
      <c r="O702" s="34"/>
      <c r="P702" s="35"/>
      <c r="Q702" s="35"/>
      <c r="R702" s="35"/>
      <c r="S702" s="35"/>
      <c r="T702" s="35"/>
      <c r="U702" s="35"/>
      <c r="V702" s="35"/>
      <c r="W702" s="35"/>
      <c r="X702" s="35"/>
      <c r="Y702" s="35"/>
      <c r="Z702" s="35"/>
    </row>
    <row r="703" ht="14.25" customHeight="1">
      <c r="A703" s="136"/>
      <c r="B703" s="137"/>
      <c r="C703" s="251"/>
      <c r="D703" s="452"/>
      <c r="E703" s="136"/>
      <c r="F703" s="253"/>
      <c r="G703" s="140"/>
      <c r="H703" s="141"/>
      <c r="I703" s="141"/>
      <c r="J703" s="142"/>
      <c r="K703" s="142"/>
      <c r="L703" s="142"/>
      <c r="M703" s="142"/>
      <c r="N703" s="136"/>
      <c r="O703" s="34"/>
      <c r="P703" s="35"/>
      <c r="Q703" s="35"/>
      <c r="R703" s="35"/>
      <c r="S703" s="35"/>
      <c r="T703" s="35"/>
      <c r="U703" s="35"/>
      <c r="V703" s="35"/>
      <c r="W703" s="35"/>
      <c r="X703" s="35"/>
      <c r="Y703" s="35"/>
      <c r="Z703" s="35"/>
    </row>
    <row r="704" ht="14.25" customHeight="1">
      <c r="A704" s="136"/>
      <c r="B704" s="137"/>
      <c r="C704" s="251"/>
      <c r="D704" s="452"/>
      <c r="E704" s="136"/>
      <c r="F704" s="253"/>
      <c r="G704" s="140"/>
      <c r="H704" s="141"/>
      <c r="I704" s="141"/>
      <c r="J704" s="142"/>
      <c r="K704" s="142"/>
      <c r="L704" s="142"/>
      <c r="M704" s="142"/>
      <c r="N704" s="136"/>
      <c r="O704" s="34"/>
      <c r="P704" s="35"/>
      <c r="Q704" s="35"/>
      <c r="R704" s="35"/>
      <c r="S704" s="35"/>
      <c r="T704" s="35"/>
      <c r="U704" s="35"/>
      <c r="V704" s="35"/>
      <c r="W704" s="35"/>
      <c r="X704" s="35"/>
      <c r="Y704" s="35"/>
      <c r="Z704" s="35"/>
    </row>
    <row r="705" ht="14.25" customHeight="1">
      <c r="A705" s="136"/>
      <c r="B705" s="137"/>
      <c r="C705" s="251"/>
      <c r="D705" s="452"/>
      <c r="E705" s="136"/>
      <c r="F705" s="253"/>
      <c r="G705" s="140"/>
      <c r="H705" s="141"/>
      <c r="I705" s="141"/>
      <c r="J705" s="142"/>
      <c r="K705" s="142"/>
      <c r="L705" s="142"/>
      <c r="M705" s="142"/>
      <c r="N705" s="136"/>
      <c r="O705" s="34"/>
      <c r="P705" s="35"/>
      <c r="Q705" s="35"/>
      <c r="R705" s="35"/>
      <c r="S705" s="35"/>
      <c r="T705" s="35"/>
      <c r="U705" s="35"/>
      <c r="V705" s="35"/>
      <c r="W705" s="35"/>
      <c r="X705" s="35"/>
      <c r="Y705" s="35"/>
      <c r="Z705" s="35"/>
    </row>
    <row r="706" ht="14.25" customHeight="1">
      <c r="A706" s="136"/>
      <c r="B706" s="137"/>
      <c r="C706" s="251"/>
      <c r="D706" s="452"/>
      <c r="E706" s="136"/>
      <c r="F706" s="253"/>
      <c r="G706" s="140"/>
      <c r="H706" s="141"/>
      <c r="I706" s="141"/>
      <c r="J706" s="142"/>
      <c r="K706" s="142"/>
      <c r="L706" s="142"/>
      <c r="M706" s="142"/>
      <c r="N706" s="136"/>
      <c r="O706" s="34"/>
      <c r="P706" s="35"/>
      <c r="Q706" s="35"/>
      <c r="R706" s="35"/>
      <c r="S706" s="35"/>
      <c r="T706" s="35"/>
      <c r="U706" s="35"/>
      <c r="V706" s="35"/>
      <c r="W706" s="35"/>
      <c r="X706" s="35"/>
      <c r="Y706" s="35"/>
      <c r="Z706" s="35"/>
    </row>
    <row r="707" ht="14.25" customHeight="1">
      <c r="A707" s="136"/>
      <c r="B707" s="137"/>
      <c r="C707" s="251"/>
      <c r="D707" s="452"/>
      <c r="E707" s="136"/>
      <c r="F707" s="253"/>
      <c r="G707" s="140"/>
      <c r="H707" s="141"/>
      <c r="I707" s="141"/>
      <c r="J707" s="142"/>
      <c r="K707" s="142"/>
      <c r="L707" s="142"/>
      <c r="M707" s="142"/>
      <c r="N707" s="136"/>
      <c r="O707" s="34"/>
      <c r="P707" s="35"/>
      <c r="Q707" s="35"/>
      <c r="R707" s="35"/>
      <c r="S707" s="35"/>
      <c r="T707" s="35"/>
      <c r="U707" s="35"/>
      <c r="V707" s="35"/>
      <c r="W707" s="35"/>
      <c r="X707" s="35"/>
      <c r="Y707" s="35"/>
      <c r="Z707" s="35"/>
    </row>
    <row r="708" ht="14.25" customHeight="1">
      <c r="A708" s="136"/>
      <c r="B708" s="137"/>
      <c r="C708" s="251"/>
      <c r="D708" s="452"/>
      <c r="E708" s="136"/>
      <c r="F708" s="253"/>
      <c r="G708" s="140"/>
      <c r="H708" s="141"/>
      <c r="I708" s="141"/>
      <c r="J708" s="142"/>
      <c r="K708" s="142"/>
      <c r="L708" s="142"/>
      <c r="M708" s="142"/>
      <c r="N708" s="136"/>
      <c r="O708" s="34"/>
      <c r="P708" s="35"/>
      <c r="Q708" s="35"/>
      <c r="R708" s="35"/>
      <c r="S708" s="35"/>
      <c r="T708" s="35"/>
      <c r="U708" s="35"/>
      <c r="V708" s="35"/>
      <c r="W708" s="35"/>
      <c r="X708" s="35"/>
      <c r="Y708" s="35"/>
      <c r="Z708" s="35"/>
    </row>
    <row r="709" ht="14.25" customHeight="1">
      <c r="A709" s="136"/>
      <c r="B709" s="137"/>
      <c r="C709" s="251"/>
      <c r="D709" s="452"/>
      <c r="E709" s="136"/>
      <c r="F709" s="253"/>
      <c r="G709" s="140"/>
      <c r="H709" s="141"/>
      <c r="I709" s="141"/>
      <c r="J709" s="142"/>
      <c r="K709" s="142"/>
      <c r="L709" s="142"/>
      <c r="M709" s="142"/>
      <c r="N709" s="136"/>
      <c r="O709" s="34"/>
      <c r="P709" s="35"/>
      <c r="Q709" s="35"/>
      <c r="R709" s="35"/>
      <c r="S709" s="35"/>
      <c r="T709" s="35"/>
      <c r="U709" s="35"/>
      <c r="V709" s="35"/>
      <c r="W709" s="35"/>
      <c r="X709" s="35"/>
      <c r="Y709" s="35"/>
      <c r="Z709" s="35"/>
    </row>
    <row r="710" ht="14.25" customHeight="1">
      <c r="A710" s="136"/>
      <c r="B710" s="137"/>
      <c r="C710" s="251"/>
      <c r="D710" s="452"/>
      <c r="E710" s="136"/>
      <c r="F710" s="253"/>
      <c r="G710" s="140"/>
      <c r="H710" s="141"/>
      <c r="I710" s="141"/>
      <c r="J710" s="142"/>
      <c r="K710" s="142"/>
      <c r="L710" s="142"/>
      <c r="M710" s="142"/>
      <c r="N710" s="136"/>
      <c r="O710" s="34"/>
      <c r="P710" s="35"/>
      <c r="Q710" s="35"/>
      <c r="R710" s="35"/>
      <c r="S710" s="35"/>
      <c r="T710" s="35"/>
      <c r="U710" s="35"/>
      <c r="V710" s="35"/>
      <c r="W710" s="35"/>
      <c r="X710" s="35"/>
      <c r="Y710" s="35"/>
      <c r="Z710" s="35"/>
    </row>
    <row r="711" ht="14.25" customHeight="1">
      <c r="A711" s="136"/>
      <c r="B711" s="137"/>
      <c r="C711" s="251"/>
      <c r="D711" s="452"/>
      <c r="E711" s="136"/>
      <c r="F711" s="253"/>
      <c r="G711" s="140"/>
      <c r="H711" s="141"/>
      <c r="I711" s="141"/>
      <c r="J711" s="142"/>
      <c r="K711" s="142"/>
      <c r="L711" s="142"/>
      <c r="M711" s="142"/>
      <c r="N711" s="136"/>
      <c r="O711" s="34"/>
      <c r="P711" s="35"/>
      <c r="Q711" s="35"/>
      <c r="R711" s="35"/>
      <c r="S711" s="35"/>
      <c r="T711" s="35"/>
      <c r="U711" s="35"/>
      <c r="V711" s="35"/>
      <c r="W711" s="35"/>
      <c r="X711" s="35"/>
      <c r="Y711" s="35"/>
      <c r="Z711" s="35"/>
    </row>
    <row r="712" ht="14.25" customHeight="1">
      <c r="A712" s="136"/>
      <c r="B712" s="137"/>
      <c r="C712" s="251"/>
      <c r="D712" s="452"/>
      <c r="E712" s="136"/>
      <c r="F712" s="253"/>
      <c r="G712" s="140"/>
      <c r="H712" s="141"/>
      <c r="I712" s="141"/>
      <c r="J712" s="142"/>
      <c r="K712" s="142"/>
      <c r="L712" s="142"/>
      <c r="M712" s="142"/>
      <c r="N712" s="136"/>
      <c r="O712" s="34"/>
      <c r="P712" s="35"/>
      <c r="Q712" s="35"/>
      <c r="R712" s="35"/>
      <c r="S712" s="35"/>
      <c r="T712" s="35"/>
      <c r="U712" s="35"/>
      <c r="V712" s="35"/>
      <c r="W712" s="35"/>
      <c r="X712" s="35"/>
      <c r="Y712" s="35"/>
      <c r="Z712" s="35"/>
    </row>
    <row r="713" ht="14.25" customHeight="1">
      <c r="A713" s="136"/>
      <c r="B713" s="137"/>
      <c r="C713" s="251"/>
      <c r="D713" s="452"/>
      <c r="E713" s="136"/>
      <c r="F713" s="253"/>
      <c r="G713" s="140"/>
      <c r="H713" s="141"/>
      <c r="I713" s="141"/>
      <c r="J713" s="142"/>
      <c r="K713" s="142"/>
      <c r="L713" s="142"/>
      <c r="M713" s="142"/>
      <c r="N713" s="136"/>
      <c r="O713" s="34"/>
      <c r="P713" s="35"/>
      <c r="Q713" s="35"/>
      <c r="R713" s="35"/>
      <c r="S713" s="35"/>
      <c r="T713" s="35"/>
      <c r="U713" s="35"/>
      <c r="V713" s="35"/>
      <c r="W713" s="35"/>
      <c r="X713" s="35"/>
      <c r="Y713" s="35"/>
      <c r="Z713" s="35"/>
    </row>
    <row r="714" ht="14.25" customHeight="1">
      <c r="A714" s="136"/>
      <c r="B714" s="137"/>
      <c r="C714" s="251"/>
      <c r="D714" s="452"/>
      <c r="E714" s="136"/>
      <c r="F714" s="253"/>
      <c r="G714" s="140"/>
      <c r="H714" s="141"/>
      <c r="I714" s="141"/>
      <c r="J714" s="142"/>
      <c r="K714" s="142"/>
      <c r="L714" s="142"/>
      <c r="M714" s="142"/>
      <c r="N714" s="136"/>
      <c r="O714" s="34"/>
      <c r="P714" s="35"/>
      <c r="Q714" s="35"/>
      <c r="R714" s="35"/>
      <c r="S714" s="35"/>
      <c r="T714" s="35"/>
      <c r="U714" s="35"/>
      <c r="V714" s="35"/>
      <c r="W714" s="35"/>
      <c r="X714" s="35"/>
      <c r="Y714" s="35"/>
      <c r="Z714" s="35"/>
    </row>
    <row r="715" ht="14.25" customHeight="1">
      <c r="A715" s="136"/>
      <c r="B715" s="137"/>
      <c r="C715" s="251"/>
      <c r="D715" s="452"/>
      <c r="E715" s="136"/>
      <c r="F715" s="253"/>
      <c r="G715" s="140"/>
      <c r="H715" s="141"/>
      <c r="I715" s="141"/>
      <c r="J715" s="142"/>
      <c r="K715" s="142"/>
      <c r="L715" s="142"/>
      <c r="M715" s="142"/>
      <c r="N715" s="136"/>
      <c r="O715" s="34"/>
      <c r="P715" s="35"/>
      <c r="Q715" s="35"/>
      <c r="R715" s="35"/>
      <c r="S715" s="35"/>
      <c r="T715" s="35"/>
      <c r="U715" s="35"/>
      <c r="V715" s="35"/>
      <c r="W715" s="35"/>
      <c r="X715" s="35"/>
      <c r="Y715" s="35"/>
      <c r="Z715" s="35"/>
    </row>
    <row r="716" ht="14.25" customHeight="1">
      <c r="A716" s="136"/>
      <c r="B716" s="137"/>
      <c r="C716" s="251"/>
      <c r="D716" s="452"/>
      <c r="E716" s="136"/>
      <c r="F716" s="253"/>
      <c r="G716" s="140"/>
      <c r="H716" s="141"/>
      <c r="I716" s="141"/>
      <c r="J716" s="142"/>
      <c r="K716" s="142"/>
      <c r="L716" s="142"/>
      <c r="M716" s="142"/>
      <c r="N716" s="136"/>
      <c r="O716" s="34"/>
      <c r="P716" s="35"/>
      <c r="Q716" s="35"/>
      <c r="R716" s="35"/>
      <c r="S716" s="35"/>
      <c r="T716" s="35"/>
      <c r="U716" s="35"/>
      <c r="V716" s="35"/>
      <c r="W716" s="35"/>
      <c r="X716" s="35"/>
      <c r="Y716" s="35"/>
      <c r="Z716" s="35"/>
    </row>
    <row r="717" ht="14.25" customHeight="1">
      <c r="A717" s="136"/>
      <c r="B717" s="137"/>
      <c r="C717" s="251"/>
      <c r="D717" s="452"/>
      <c r="E717" s="136"/>
      <c r="F717" s="253"/>
      <c r="G717" s="140"/>
      <c r="H717" s="141"/>
      <c r="I717" s="141"/>
      <c r="J717" s="142"/>
      <c r="K717" s="142"/>
      <c r="L717" s="142"/>
      <c r="M717" s="142"/>
      <c r="N717" s="136"/>
      <c r="O717" s="34"/>
      <c r="P717" s="35"/>
      <c r="Q717" s="35"/>
      <c r="R717" s="35"/>
      <c r="S717" s="35"/>
      <c r="T717" s="35"/>
      <c r="U717" s="35"/>
      <c r="V717" s="35"/>
      <c r="W717" s="35"/>
      <c r="X717" s="35"/>
      <c r="Y717" s="35"/>
      <c r="Z717" s="35"/>
    </row>
    <row r="718" ht="14.25" customHeight="1">
      <c r="A718" s="136"/>
      <c r="B718" s="137"/>
      <c r="C718" s="251"/>
      <c r="D718" s="452"/>
      <c r="E718" s="136"/>
      <c r="F718" s="253"/>
      <c r="G718" s="140"/>
      <c r="H718" s="141"/>
      <c r="I718" s="141"/>
      <c r="J718" s="142"/>
      <c r="K718" s="142"/>
      <c r="L718" s="142"/>
      <c r="M718" s="142"/>
      <c r="N718" s="136"/>
      <c r="O718" s="34"/>
      <c r="P718" s="35"/>
      <c r="Q718" s="35"/>
      <c r="R718" s="35"/>
      <c r="S718" s="35"/>
      <c r="T718" s="35"/>
      <c r="U718" s="35"/>
      <c r="V718" s="35"/>
      <c r="W718" s="35"/>
      <c r="X718" s="35"/>
      <c r="Y718" s="35"/>
      <c r="Z718" s="35"/>
    </row>
    <row r="719" ht="14.25" customHeight="1">
      <c r="A719" s="136"/>
      <c r="B719" s="137"/>
      <c r="C719" s="251"/>
      <c r="D719" s="452"/>
      <c r="E719" s="136"/>
      <c r="F719" s="253"/>
      <c r="G719" s="140"/>
      <c r="H719" s="141"/>
      <c r="I719" s="141"/>
      <c r="J719" s="142"/>
      <c r="K719" s="142"/>
      <c r="L719" s="142"/>
      <c r="M719" s="142"/>
      <c r="N719" s="136"/>
      <c r="O719" s="34"/>
      <c r="P719" s="35"/>
      <c r="Q719" s="35"/>
      <c r="R719" s="35"/>
      <c r="S719" s="35"/>
      <c r="T719" s="35"/>
      <c r="U719" s="35"/>
      <c r="V719" s="35"/>
      <c r="W719" s="35"/>
      <c r="X719" s="35"/>
      <c r="Y719" s="35"/>
      <c r="Z719" s="35"/>
    </row>
    <row r="720" ht="14.25" customHeight="1">
      <c r="A720" s="136"/>
      <c r="B720" s="137"/>
      <c r="C720" s="251"/>
      <c r="D720" s="452"/>
      <c r="E720" s="136"/>
      <c r="F720" s="253"/>
      <c r="G720" s="140"/>
      <c r="H720" s="141"/>
      <c r="I720" s="141"/>
      <c r="J720" s="142"/>
      <c r="K720" s="142"/>
      <c r="L720" s="142"/>
      <c r="M720" s="142"/>
      <c r="N720" s="136"/>
      <c r="O720" s="34"/>
      <c r="P720" s="35"/>
      <c r="Q720" s="35"/>
      <c r="R720" s="35"/>
      <c r="S720" s="35"/>
      <c r="T720" s="35"/>
      <c r="U720" s="35"/>
      <c r="V720" s="35"/>
      <c r="W720" s="35"/>
      <c r="X720" s="35"/>
      <c r="Y720" s="35"/>
      <c r="Z720" s="35"/>
    </row>
    <row r="721" ht="14.25" customHeight="1">
      <c r="A721" s="136"/>
      <c r="B721" s="137"/>
      <c r="C721" s="251"/>
      <c r="D721" s="452"/>
      <c r="E721" s="136"/>
      <c r="F721" s="253"/>
      <c r="G721" s="140"/>
      <c r="H721" s="141"/>
      <c r="I721" s="141"/>
      <c r="J721" s="142"/>
      <c r="K721" s="142"/>
      <c r="L721" s="142"/>
      <c r="M721" s="142"/>
      <c r="N721" s="136"/>
      <c r="O721" s="34"/>
      <c r="P721" s="35"/>
      <c r="Q721" s="35"/>
      <c r="R721" s="35"/>
      <c r="S721" s="35"/>
      <c r="T721" s="35"/>
      <c r="U721" s="35"/>
      <c r="V721" s="35"/>
      <c r="W721" s="35"/>
      <c r="X721" s="35"/>
      <c r="Y721" s="35"/>
      <c r="Z721" s="35"/>
    </row>
    <row r="722" ht="14.25" customHeight="1">
      <c r="A722" s="136"/>
      <c r="B722" s="137"/>
      <c r="C722" s="251"/>
      <c r="D722" s="452"/>
      <c r="E722" s="136"/>
      <c r="F722" s="253"/>
      <c r="G722" s="140"/>
      <c r="H722" s="141"/>
      <c r="I722" s="141"/>
      <c r="J722" s="142"/>
      <c r="K722" s="142"/>
      <c r="L722" s="142"/>
      <c r="M722" s="142"/>
      <c r="N722" s="136"/>
      <c r="O722" s="34"/>
      <c r="P722" s="35"/>
      <c r="Q722" s="35"/>
      <c r="R722" s="35"/>
      <c r="S722" s="35"/>
      <c r="T722" s="35"/>
      <c r="U722" s="35"/>
      <c r="V722" s="35"/>
      <c r="W722" s="35"/>
      <c r="X722" s="35"/>
      <c r="Y722" s="35"/>
      <c r="Z722" s="35"/>
    </row>
    <row r="723" ht="14.25" customHeight="1">
      <c r="A723" s="136"/>
      <c r="B723" s="137"/>
      <c r="C723" s="251"/>
      <c r="D723" s="452"/>
      <c r="E723" s="136"/>
      <c r="F723" s="253"/>
      <c r="G723" s="140"/>
      <c r="H723" s="141"/>
      <c r="I723" s="141"/>
      <c r="J723" s="142"/>
      <c r="K723" s="142"/>
      <c r="L723" s="142"/>
      <c r="M723" s="142"/>
      <c r="N723" s="136"/>
      <c r="O723" s="34"/>
      <c r="P723" s="35"/>
      <c r="Q723" s="35"/>
      <c r="R723" s="35"/>
      <c r="S723" s="35"/>
      <c r="T723" s="35"/>
      <c r="U723" s="35"/>
      <c r="V723" s="35"/>
      <c r="W723" s="35"/>
      <c r="X723" s="35"/>
      <c r="Y723" s="35"/>
      <c r="Z723" s="35"/>
    </row>
    <row r="724" ht="14.25" customHeight="1">
      <c r="A724" s="136"/>
      <c r="B724" s="137"/>
      <c r="C724" s="251"/>
      <c r="D724" s="452"/>
      <c r="E724" s="136"/>
      <c r="F724" s="253"/>
      <c r="G724" s="140"/>
      <c r="H724" s="141"/>
      <c r="I724" s="141"/>
      <c r="J724" s="142"/>
      <c r="K724" s="142"/>
      <c r="L724" s="142"/>
      <c r="M724" s="142"/>
      <c r="N724" s="136"/>
      <c r="O724" s="34"/>
      <c r="P724" s="35"/>
      <c r="Q724" s="35"/>
      <c r="R724" s="35"/>
      <c r="S724" s="35"/>
      <c r="T724" s="35"/>
      <c r="U724" s="35"/>
      <c r="V724" s="35"/>
      <c r="W724" s="35"/>
      <c r="X724" s="35"/>
      <c r="Y724" s="35"/>
      <c r="Z724" s="35"/>
    </row>
    <row r="725" ht="14.25" customHeight="1">
      <c r="A725" s="136"/>
      <c r="B725" s="137"/>
      <c r="C725" s="251"/>
      <c r="D725" s="452"/>
      <c r="E725" s="136"/>
      <c r="F725" s="253"/>
      <c r="G725" s="140"/>
      <c r="H725" s="141"/>
      <c r="I725" s="141"/>
      <c r="J725" s="142"/>
      <c r="K725" s="142"/>
      <c r="L725" s="142"/>
      <c r="M725" s="142"/>
      <c r="N725" s="136"/>
      <c r="O725" s="34"/>
      <c r="P725" s="35"/>
      <c r="Q725" s="35"/>
      <c r="R725" s="35"/>
      <c r="S725" s="35"/>
      <c r="T725" s="35"/>
      <c r="U725" s="35"/>
      <c r="V725" s="35"/>
      <c r="W725" s="35"/>
      <c r="X725" s="35"/>
      <c r="Y725" s="35"/>
      <c r="Z725" s="35"/>
    </row>
    <row r="726" ht="14.25" customHeight="1">
      <c r="A726" s="136"/>
      <c r="B726" s="137"/>
      <c r="C726" s="251"/>
      <c r="D726" s="452"/>
      <c r="E726" s="136"/>
      <c r="F726" s="253"/>
      <c r="G726" s="140"/>
      <c r="H726" s="141"/>
      <c r="I726" s="141"/>
      <c r="J726" s="142"/>
      <c r="K726" s="142"/>
      <c r="L726" s="142"/>
      <c r="M726" s="142"/>
      <c r="N726" s="136"/>
      <c r="O726" s="34"/>
      <c r="P726" s="35"/>
      <c r="Q726" s="35"/>
      <c r="R726" s="35"/>
      <c r="S726" s="35"/>
      <c r="T726" s="35"/>
      <c r="U726" s="35"/>
      <c r="V726" s="35"/>
      <c r="W726" s="35"/>
      <c r="X726" s="35"/>
      <c r="Y726" s="35"/>
      <c r="Z726" s="35"/>
    </row>
    <row r="727" ht="14.25" customHeight="1">
      <c r="A727" s="136"/>
      <c r="B727" s="137"/>
      <c r="C727" s="251"/>
      <c r="D727" s="452"/>
      <c r="E727" s="136"/>
      <c r="F727" s="253"/>
      <c r="G727" s="140"/>
      <c r="H727" s="141"/>
      <c r="I727" s="141"/>
      <c r="J727" s="142"/>
      <c r="K727" s="142"/>
      <c r="L727" s="142"/>
      <c r="M727" s="142"/>
      <c r="N727" s="136"/>
      <c r="O727" s="34"/>
      <c r="P727" s="35"/>
      <c r="Q727" s="35"/>
      <c r="R727" s="35"/>
      <c r="S727" s="35"/>
      <c r="T727" s="35"/>
      <c r="U727" s="35"/>
      <c r="V727" s="35"/>
      <c r="W727" s="35"/>
      <c r="X727" s="35"/>
      <c r="Y727" s="35"/>
      <c r="Z727" s="35"/>
    </row>
    <row r="728" ht="14.25" customHeight="1">
      <c r="A728" s="136"/>
      <c r="B728" s="137"/>
      <c r="C728" s="251"/>
      <c r="D728" s="452"/>
      <c r="E728" s="136"/>
      <c r="F728" s="253"/>
      <c r="G728" s="140"/>
      <c r="H728" s="141"/>
      <c r="I728" s="141"/>
      <c r="J728" s="142"/>
      <c r="K728" s="142"/>
      <c r="L728" s="142"/>
      <c r="M728" s="142"/>
      <c r="N728" s="136"/>
      <c r="O728" s="34"/>
      <c r="P728" s="35"/>
      <c r="Q728" s="35"/>
      <c r="R728" s="35"/>
      <c r="S728" s="35"/>
      <c r="T728" s="35"/>
      <c r="U728" s="35"/>
      <c r="V728" s="35"/>
      <c r="W728" s="35"/>
      <c r="X728" s="35"/>
      <c r="Y728" s="35"/>
      <c r="Z728" s="35"/>
    </row>
    <row r="729" ht="14.25" customHeight="1">
      <c r="A729" s="136"/>
      <c r="B729" s="137"/>
      <c r="C729" s="251"/>
      <c r="D729" s="452"/>
      <c r="E729" s="136"/>
      <c r="F729" s="253"/>
      <c r="G729" s="140"/>
      <c r="H729" s="141"/>
      <c r="I729" s="141"/>
      <c r="J729" s="142"/>
      <c r="K729" s="142"/>
      <c r="L729" s="142"/>
      <c r="M729" s="142"/>
      <c r="N729" s="136"/>
      <c r="O729" s="34"/>
      <c r="P729" s="35"/>
      <c r="Q729" s="35"/>
      <c r="R729" s="35"/>
      <c r="S729" s="35"/>
      <c r="T729" s="35"/>
      <c r="U729" s="35"/>
      <c r="V729" s="35"/>
      <c r="W729" s="35"/>
      <c r="X729" s="35"/>
      <c r="Y729" s="35"/>
      <c r="Z729" s="35"/>
    </row>
    <row r="730" ht="14.25" customHeight="1">
      <c r="A730" s="136"/>
      <c r="B730" s="137"/>
      <c r="C730" s="251"/>
      <c r="D730" s="452"/>
      <c r="E730" s="136"/>
      <c r="F730" s="253"/>
      <c r="G730" s="140"/>
      <c r="H730" s="141"/>
      <c r="I730" s="141"/>
      <c r="J730" s="142"/>
      <c r="K730" s="142"/>
      <c r="L730" s="142"/>
      <c r="M730" s="142"/>
      <c r="N730" s="136"/>
      <c r="O730" s="34"/>
      <c r="P730" s="35"/>
      <c r="Q730" s="35"/>
      <c r="R730" s="35"/>
      <c r="S730" s="35"/>
      <c r="T730" s="35"/>
      <c r="U730" s="35"/>
      <c r="V730" s="35"/>
      <c r="W730" s="35"/>
      <c r="X730" s="35"/>
      <c r="Y730" s="35"/>
      <c r="Z730" s="35"/>
    </row>
    <row r="731" ht="14.25" customHeight="1">
      <c r="A731" s="136"/>
      <c r="B731" s="137"/>
      <c r="C731" s="251"/>
      <c r="D731" s="452"/>
      <c r="E731" s="136"/>
      <c r="F731" s="253"/>
      <c r="G731" s="140"/>
      <c r="H731" s="141"/>
      <c r="I731" s="141"/>
      <c r="J731" s="142"/>
      <c r="K731" s="142"/>
      <c r="L731" s="142"/>
      <c r="M731" s="142"/>
      <c r="N731" s="136"/>
      <c r="O731" s="34"/>
      <c r="P731" s="35"/>
      <c r="Q731" s="35"/>
      <c r="R731" s="35"/>
      <c r="S731" s="35"/>
      <c r="T731" s="35"/>
      <c r="U731" s="35"/>
      <c r="V731" s="35"/>
      <c r="W731" s="35"/>
      <c r="X731" s="35"/>
      <c r="Y731" s="35"/>
      <c r="Z731" s="35"/>
    </row>
    <row r="732" ht="14.25" customHeight="1">
      <c r="A732" s="136"/>
      <c r="B732" s="137"/>
      <c r="C732" s="251"/>
      <c r="D732" s="452"/>
      <c r="E732" s="136"/>
      <c r="F732" s="253"/>
      <c r="G732" s="140"/>
      <c r="H732" s="141"/>
      <c r="I732" s="141"/>
      <c r="J732" s="142"/>
      <c r="K732" s="142"/>
      <c r="L732" s="142"/>
      <c r="M732" s="142"/>
      <c r="N732" s="136"/>
      <c r="O732" s="34"/>
      <c r="P732" s="35"/>
      <c r="Q732" s="35"/>
      <c r="R732" s="35"/>
      <c r="S732" s="35"/>
      <c r="T732" s="35"/>
      <c r="U732" s="35"/>
      <c r="V732" s="35"/>
      <c r="W732" s="35"/>
      <c r="X732" s="35"/>
      <c r="Y732" s="35"/>
      <c r="Z732" s="35"/>
    </row>
    <row r="733" ht="14.25" customHeight="1">
      <c r="A733" s="136"/>
      <c r="B733" s="137"/>
      <c r="C733" s="251"/>
      <c r="D733" s="452"/>
      <c r="E733" s="136"/>
      <c r="F733" s="253"/>
      <c r="G733" s="140"/>
      <c r="H733" s="141"/>
      <c r="I733" s="141"/>
      <c r="J733" s="142"/>
      <c r="K733" s="142"/>
      <c r="L733" s="142"/>
      <c r="M733" s="142"/>
      <c r="N733" s="136"/>
      <c r="O733" s="34"/>
      <c r="P733" s="35"/>
      <c r="Q733" s="35"/>
      <c r="R733" s="35"/>
      <c r="S733" s="35"/>
      <c r="T733" s="35"/>
      <c r="U733" s="35"/>
      <c r="V733" s="35"/>
      <c r="W733" s="35"/>
      <c r="X733" s="35"/>
      <c r="Y733" s="35"/>
      <c r="Z733" s="35"/>
    </row>
    <row r="734" ht="14.25" customHeight="1">
      <c r="A734" s="136"/>
      <c r="B734" s="137"/>
      <c r="C734" s="251"/>
      <c r="D734" s="452"/>
      <c r="E734" s="136"/>
      <c r="F734" s="253"/>
      <c r="G734" s="140"/>
      <c r="H734" s="141"/>
      <c r="I734" s="141"/>
      <c r="J734" s="142"/>
      <c r="K734" s="142"/>
      <c r="L734" s="142"/>
      <c r="M734" s="142"/>
      <c r="N734" s="136"/>
      <c r="O734" s="34"/>
      <c r="P734" s="35"/>
      <c r="Q734" s="35"/>
      <c r="R734" s="35"/>
      <c r="S734" s="35"/>
      <c r="T734" s="35"/>
      <c r="U734" s="35"/>
      <c r="V734" s="35"/>
      <c r="W734" s="35"/>
      <c r="X734" s="35"/>
      <c r="Y734" s="35"/>
      <c r="Z734" s="35"/>
    </row>
    <row r="735" ht="14.25" customHeight="1">
      <c r="A735" s="136"/>
      <c r="B735" s="137"/>
      <c r="C735" s="251"/>
      <c r="D735" s="452"/>
      <c r="E735" s="136"/>
      <c r="F735" s="253"/>
      <c r="G735" s="140"/>
      <c r="H735" s="141"/>
      <c r="I735" s="141"/>
      <c r="J735" s="142"/>
      <c r="K735" s="142"/>
      <c r="L735" s="142"/>
      <c r="M735" s="142"/>
      <c r="N735" s="136"/>
      <c r="O735" s="34"/>
      <c r="P735" s="35"/>
      <c r="Q735" s="35"/>
      <c r="R735" s="35"/>
      <c r="S735" s="35"/>
      <c r="T735" s="35"/>
      <c r="U735" s="35"/>
      <c r="V735" s="35"/>
      <c r="W735" s="35"/>
      <c r="X735" s="35"/>
      <c r="Y735" s="35"/>
      <c r="Z735" s="35"/>
    </row>
    <row r="736" ht="14.25" customHeight="1">
      <c r="A736" s="136"/>
      <c r="B736" s="137"/>
      <c r="C736" s="251"/>
      <c r="D736" s="452"/>
      <c r="E736" s="136"/>
      <c r="F736" s="253"/>
      <c r="G736" s="140"/>
      <c r="H736" s="141"/>
      <c r="I736" s="141"/>
      <c r="J736" s="142"/>
      <c r="K736" s="142"/>
      <c r="L736" s="142"/>
      <c r="M736" s="142"/>
      <c r="N736" s="136"/>
      <c r="O736" s="34"/>
      <c r="P736" s="35"/>
      <c r="Q736" s="35"/>
      <c r="R736" s="35"/>
      <c r="S736" s="35"/>
      <c r="T736" s="35"/>
      <c r="U736" s="35"/>
      <c r="V736" s="35"/>
      <c r="W736" s="35"/>
      <c r="X736" s="35"/>
      <c r="Y736" s="35"/>
      <c r="Z736" s="35"/>
    </row>
    <row r="737" ht="14.25" customHeight="1">
      <c r="A737" s="136"/>
      <c r="B737" s="137"/>
      <c r="C737" s="251"/>
      <c r="D737" s="452"/>
      <c r="E737" s="136"/>
      <c r="F737" s="253"/>
      <c r="G737" s="140"/>
      <c r="H737" s="141"/>
      <c r="I737" s="141"/>
      <c r="J737" s="142"/>
      <c r="K737" s="142"/>
      <c r="L737" s="142"/>
      <c r="M737" s="142"/>
      <c r="N737" s="136"/>
      <c r="O737" s="34"/>
      <c r="P737" s="35"/>
      <c r="Q737" s="35"/>
      <c r="R737" s="35"/>
      <c r="S737" s="35"/>
      <c r="T737" s="35"/>
      <c r="U737" s="35"/>
      <c r="V737" s="35"/>
      <c r="W737" s="35"/>
      <c r="X737" s="35"/>
      <c r="Y737" s="35"/>
      <c r="Z737" s="35"/>
    </row>
    <row r="738" ht="14.25" customHeight="1">
      <c r="A738" s="136"/>
      <c r="B738" s="137"/>
      <c r="C738" s="251"/>
      <c r="D738" s="452"/>
      <c r="E738" s="136"/>
      <c r="F738" s="253"/>
      <c r="G738" s="140"/>
      <c r="H738" s="141"/>
      <c r="I738" s="141"/>
      <c r="J738" s="142"/>
      <c r="K738" s="142"/>
      <c r="L738" s="142"/>
      <c r="M738" s="142"/>
      <c r="N738" s="136"/>
      <c r="O738" s="34"/>
      <c r="P738" s="35"/>
      <c r="Q738" s="35"/>
      <c r="R738" s="35"/>
      <c r="S738" s="35"/>
      <c r="T738" s="35"/>
      <c r="U738" s="35"/>
      <c r="V738" s="35"/>
      <c r="W738" s="35"/>
      <c r="X738" s="35"/>
      <c r="Y738" s="35"/>
      <c r="Z738" s="35"/>
    </row>
    <row r="739" ht="14.25" customHeight="1">
      <c r="A739" s="136"/>
      <c r="B739" s="137"/>
      <c r="C739" s="251"/>
      <c r="D739" s="452"/>
      <c r="E739" s="136"/>
      <c r="F739" s="253"/>
      <c r="G739" s="140"/>
      <c r="H739" s="141"/>
      <c r="I739" s="141"/>
      <c r="J739" s="142"/>
      <c r="K739" s="142"/>
      <c r="L739" s="142"/>
      <c r="M739" s="142"/>
      <c r="N739" s="136"/>
      <c r="O739" s="34"/>
      <c r="P739" s="35"/>
      <c r="Q739" s="35"/>
      <c r="R739" s="35"/>
      <c r="S739" s="35"/>
      <c r="T739" s="35"/>
      <c r="U739" s="35"/>
      <c r="V739" s="35"/>
      <c r="W739" s="35"/>
      <c r="X739" s="35"/>
      <c r="Y739" s="35"/>
      <c r="Z739" s="35"/>
    </row>
    <row r="740" ht="14.25" customHeight="1">
      <c r="A740" s="136"/>
      <c r="B740" s="137"/>
      <c r="C740" s="251"/>
      <c r="D740" s="452"/>
      <c r="E740" s="136"/>
      <c r="F740" s="253"/>
      <c r="G740" s="140"/>
      <c r="H740" s="141"/>
      <c r="I740" s="141"/>
      <c r="J740" s="142"/>
      <c r="K740" s="142"/>
      <c r="L740" s="142"/>
      <c r="M740" s="142"/>
      <c r="N740" s="136"/>
      <c r="O740" s="34"/>
      <c r="P740" s="35"/>
      <c r="Q740" s="35"/>
      <c r="R740" s="35"/>
      <c r="S740" s="35"/>
      <c r="T740" s="35"/>
      <c r="U740" s="35"/>
      <c r="V740" s="35"/>
      <c r="W740" s="35"/>
      <c r="X740" s="35"/>
      <c r="Y740" s="35"/>
      <c r="Z740" s="35"/>
    </row>
    <row r="741" ht="14.25" customHeight="1">
      <c r="A741" s="136"/>
      <c r="B741" s="137"/>
      <c r="C741" s="251"/>
      <c r="D741" s="452"/>
      <c r="E741" s="136"/>
      <c r="F741" s="253"/>
      <c r="G741" s="140"/>
      <c r="H741" s="141"/>
      <c r="I741" s="141"/>
      <c r="J741" s="142"/>
      <c r="K741" s="142"/>
      <c r="L741" s="142"/>
      <c r="M741" s="142"/>
      <c r="N741" s="136"/>
      <c r="O741" s="34"/>
      <c r="P741" s="35"/>
      <c r="Q741" s="35"/>
      <c r="R741" s="35"/>
      <c r="S741" s="35"/>
      <c r="T741" s="35"/>
      <c r="U741" s="35"/>
      <c r="V741" s="35"/>
      <c r="W741" s="35"/>
      <c r="X741" s="35"/>
      <c r="Y741" s="35"/>
      <c r="Z741" s="35"/>
    </row>
    <row r="742" ht="14.25" customHeight="1">
      <c r="A742" s="136"/>
      <c r="B742" s="137"/>
      <c r="C742" s="251"/>
      <c r="D742" s="452"/>
      <c r="E742" s="136"/>
      <c r="F742" s="253"/>
      <c r="G742" s="140"/>
      <c r="H742" s="141"/>
      <c r="I742" s="141"/>
      <c r="J742" s="142"/>
      <c r="K742" s="142"/>
      <c r="L742" s="142"/>
      <c r="M742" s="142"/>
      <c r="N742" s="136"/>
      <c r="O742" s="34"/>
      <c r="P742" s="35"/>
      <c r="Q742" s="35"/>
      <c r="R742" s="35"/>
      <c r="S742" s="35"/>
      <c r="T742" s="35"/>
      <c r="U742" s="35"/>
      <c r="V742" s="35"/>
      <c r="W742" s="35"/>
      <c r="X742" s="35"/>
      <c r="Y742" s="35"/>
      <c r="Z742" s="35"/>
    </row>
    <row r="743" ht="14.25" customHeight="1">
      <c r="A743" s="136"/>
      <c r="B743" s="137"/>
      <c r="C743" s="251"/>
      <c r="D743" s="452"/>
      <c r="E743" s="136"/>
      <c r="F743" s="253"/>
      <c r="G743" s="140"/>
      <c r="H743" s="141"/>
      <c r="I743" s="141"/>
      <c r="J743" s="142"/>
      <c r="K743" s="142"/>
      <c r="L743" s="142"/>
      <c r="M743" s="142"/>
      <c r="N743" s="136"/>
      <c r="O743" s="34"/>
      <c r="P743" s="35"/>
      <c r="Q743" s="35"/>
      <c r="R743" s="35"/>
      <c r="S743" s="35"/>
      <c r="T743" s="35"/>
      <c r="U743" s="35"/>
      <c r="V743" s="35"/>
      <c r="W743" s="35"/>
      <c r="X743" s="35"/>
      <c r="Y743" s="35"/>
      <c r="Z743" s="35"/>
    </row>
    <row r="744" ht="14.25" customHeight="1">
      <c r="A744" s="136"/>
      <c r="B744" s="137"/>
      <c r="C744" s="251"/>
      <c r="D744" s="452"/>
      <c r="E744" s="136"/>
      <c r="F744" s="253"/>
      <c r="G744" s="140"/>
      <c r="H744" s="141"/>
      <c r="I744" s="141"/>
      <c r="J744" s="142"/>
      <c r="K744" s="142"/>
      <c r="L744" s="142"/>
      <c r="M744" s="142"/>
      <c r="N744" s="136"/>
      <c r="O744" s="34"/>
      <c r="P744" s="35"/>
      <c r="Q744" s="35"/>
      <c r="R744" s="35"/>
      <c r="S744" s="35"/>
      <c r="T744" s="35"/>
      <c r="U744" s="35"/>
      <c r="V744" s="35"/>
      <c r="W744" s="35"/>
      <c r="X744" s="35"/>
      <c r="Y744" s="35"/>
      <c r="Z744" s="35"/>
    </row>
    <row r="745" ht="14.25" customHeight="1">
      <c r="A745" s="136"/>
      <c r="B745" s="137"/>
      <c r="C745" s="251"/>
      <c r="D745" s="452"/>
      <c r="E745" s="136"/>
      <c r="F745" s="253"/>
      <c r="G745" s="140"/>
      <c r="H745" s="141"/>
      <c r="I745" s="141"/>
      <c r="J745" s="142"/>
      <c r="K745" s="142"/>
      <c r="L745" s="142"/>
      <c r="M745" s="142"/>
      <c r="N745" s="136"/>
      <c r="O745" s="34"/>
      <c r="P745" s="35"/>
      <c r="Q745" s="35"/>
      <c r="R745" s="35"/>
      <c r="S745" s="35"/>
      <c r="T745" s="35"/>
      <c r="U745" s="35"/>
      <c r="V745" s="35"/>
      <c r="W745" s="35"/>
      <c r="X745" s="35"/>
      <c r="Y745" s="35"/>
      <c r="Z745" s="35"/>
    </row>
    <row r="746" ht="14.25" customHeight="1">
      <c r="A746" s="136"/>
      <c r="B746" s="137"/>
      <c r="C746" s="251"/>
      <c r="D746" s="452"/>
      <c r="E746" s="136"/>
      <c r="F746" s="253"/>
      <c r="G746" s="140"/>
      <c r="H746" s="141"/>
      <c r="I746" s="141"/>
      <c r="J746" s="142"/>
      <c r="K746" s="142"/>
      <c r="L746" s="142"/>
      <c r="M746" s="142"/>
      <c r="N746" s="136"/>
      <c r="O746" s="34"/>
      <c r="P746" s="35"/>
      <c r="Q746" s="35"/>
      <c r="R746" s="35"/>
      <c r="S746" s="35"/>
      <c r="T746" s="35"/>
      <c r="U746" s="35"/>
      <c r="V746" s="35"/>
      <c r="W746" s="35"/>
      <c r="X746" s="35"/>
      <c r="Y746" s="35"/>
      <c r="Z746" s="35"/>
    </row>
    <row r="747" ht="14.25" customHeight="1">
      <c r="A747" s="136"/>
      <c r="B747" s="137"/>
      <c r="C747" s="251"/>
      <c r="D747" s="452"/>
      <c r="E747" s="136"/>
      <c r="F747" s="253"/>
      <c r="G747" s="140"/>
      <c r="H747" s="141"/>
      <c r="I747" s="141"/>
      <c r="J747" s="142"/>
      <c r="K747" s="142"/>
      <c r="L747" s="142"/>
      <c r="M747" s="142"/>
      <c r="N747" s="136"/>
      <c r="O747" s="34"/>
      <c r="P747" s="35"/>
      <c r="Q747" s="35"/>
      <c r="R747" s="35"/>
      <c r="S747" s="35"/>
      <c r="T747" s="35"/>
      <c r="U747" s="35"/>
      <c r="V747" s="35"/>
      <c r="W747" s="35"/>
      <c r="X747" s="35"/>
      <c r="Y747" s="35"/>
      <c r="Z747" s="35"/>
    </row>
    <row r="748" ht="14.25" customHeight="1">
      <c r="A748" s="136"/>
      <c r="B748" s="137"/>
      <c r="C748" s="251"/>
      <c r="D748" s="452"/>
      <c r="E748" s="136"/>
      <c r="F748" s="253"/>
      <c r="G748" s="140"/>
      <c r="H748" s="141"/>
      <c r="I748" s="141"/>
      <c r="J748" s="142"/>
      <c r="K748" s="142"/>
      <c r="L748" s="142"/>
      <c r="M748" s="142"/>
      <c r="N748" s="136"/>
      <c r="O748" s="34"/>
      <c r="P748" s="35"/>
      <c r="Q748" s="35"/>
      <c r="R748" s="35"/>
      <c r="S748" s="35"/>
      <c r="T748" s="35"/>
      <c r="U748" s="35"/>
      <c r="V748" s="35"/>
      <c r="W748" s="35"/>
      <c r="X748" s="35"/>
      <c r="Y748" s="35"/>
      <c r="Z748" s="35"/>
    </row>
    <row r="749" ht="14.25" customHeight="1">
      <c r="A749" s="136"/>
      <c r="B749" s="137"/>
      <c r="C749" s="251"/>
      <c r="D749" s="452"/>
      <c r="E749" s="136"/>
      <c r="F749" s="253"/>
      <c r="G749" s="140"/>
      <c r="H749" s="141"/>
      <c r="I749" s="141"/>
      <c r="J749" s="142"/>
      <c r="K749" s="142"/>
      <c r="L749" s="142"/>
      <c r="M749" s="142"/>
      <c r="N749" s="136"/>
      <c r="O749" s="34"/>
      <c r="P749" s="35"/>
      <c r="Q749" s="35"/>
      <c r="R749" s="35"/>
      <c r="S749" s="35"/>
      <c r="T749" s="35"/>
      <c r="U749" s="35"/>
      <c r="V749" s="35"/>
      <c r="W749" s="35"/>
      <c r="X749" s="35"/>
      <c r="Y749" s="35"/>
      <c r="Z749" s="35"/>
    </row>
    <row r="750" ht="14.25" customHeight="1">
      <c r="A750" s="136"/>
      <c r="B750" s="137"/>
      <c r="C750" s="251"/>
      <c r="D750" s="452"/>
      <c r="E750" s="136"/>
      <c r="F750" s="253"/>
      <c r="G750" s="140"/>
      <c r="H750" s="141"/>
      <c r="I750" s="141"/>
      <c r="J750" s="142"/>
      <c r="K750" s="142"/>
      <c r="L750" s="142"/>
      <c r="M750" s="142"/>
      <c r="N750" s="136"/>
      <c r="O750" s="34"/>
      <c r="P750" s="35"/>
      <c r="Q750" s="35"/>
      <c r="R750" s="35"/>
      <c r="S750" s="35"/>
      <c r="T750" s="35"/>
      <c r="U750" s="35"/>
      <c r="V750" s="35"/>
      <c r="W750" s="35"/>
      <c r="X750" s="35"/>
      <c r="Y750" s="35"/>
      <c r="Z750" s="35"/>
    </row>
    <row r="751" ht="14.25" customHeight="1">
      <c r="A751" s="136"/>
      <c r="B751" s="137"/>
      <c r="C751" s="251"/>
      <c r="D751" s="452"/>
      <c r="E751" s="136"/>
      <c r="F751" s="253"/>
      <c r="G751" s="140"/>
      <c r="H751" s="141"/>
      <c r="I751" s="141"/>
      <c r="J751" s="142"/>
      <c r="K751" s="142"/>
      <c r="L751" s="142"/>
      <c r="M751" s="142"/>
      <c r="N751" s="136"/>
      <c r="O751" s="34"/>
      <c r="P751" s="35"/>
      <c r="Q751" s="35"/>
      <c r="R751" s="35"/>
      <c r="S751" s="35"/>
      <c r="T751" s="35"/>
      <c r="U751" s="35"/>
      <c r="V751" s="35"/>
      <c r="W751" s="35"/>
      <c r="X751" s="35"/>
      <c r="Y751" s="35"/>
      <c r="Z751" s="35"/>
    </row>
    <row r="752" ht="14.25" customHeight="1">
      <c r="A752" s="136"/>
      <c r="B752" s="137"/>
      <c r="C752" s="251"/>
      <c r="D752" s="452"/>
      <c r="E752" s="136"/>
      <c r="F752" s="253"/>
      <c r="G752" s="140"/>
      <c r="H752" s="141"/>
      <c r="I752" s="141"/>
      <c r="J752" s="142"/>
      <c r="K752" s="142"/>
      <c r="L752" s="142"/>
      <c r="M752" s="142"/>
      <c r="N752" s="136"/>
      <c r="O752" s="34"/>
      <c r="P752" s="35"/>
      <c r="Q752" s="35"/>
      <c r="R752" s="35"/>
      <c r="S752" s="35"/>
      <c r="T752" s="35"/>
      <c r="U752" s="35"/>
      <c r="V752" s="35"/>
      <c r="W752" s="35"/>
      <c r="X752" s="35"/>
      <c r="Y752" s="35"/>
      <c r="Z752" s="35"/>
    </row>
    <row r="753" ht="14.25" customHeight="1">
      <c r="A753" s="136"/>
      <c r="B753" s="137"/>
      <c r="C753" s="251"/>
      <c r="D753" s="452"/>
      <c r="E753" s="136"/>
      <c r="F753" s="253"/>
      <c r="G753" s="140"/>
      <c r="H753" s="141"/>
      <c r="I753" s="141"/>
      <c r="J753" s="142"/>
      <c r="K753" s="142"/>
      <c r="L753" s="142"/>
      <c r="M753" s="142"/>
      <c r="N753" s="136"/>
      <c r="O753" s="34"/>
      <c r="P753" s="35"/>
      <c r="Q753" s="35"/>
      <c r="R753" s="35"/>
      <c r="S753" s="35"/>
      <c r="T753" s="35"/>
      <c r="U753" s="35"/>
      <c r="V753" s="35"/>
      <c r="W753" s="35"/>
      <c r="X753" s="35"/>
      <c r="Y753" s="35"/>
      <c r="Z753" s="35"/>
    </row>
    <row r="754" ht="14.25" customHeight="1">
      <c r="A754" s="136"/>
      <c r="B754" s="137"/>
      <c r="C754" s="251"/>
      <c r="D754" s="452"/>
      <c r="E754" s="136"/>
      <c r="F754" s="253"/>
      <c r="G754" s="140"/>
      <c r="H754" s="141"/>
      <c r="I754" s="141"/>
      <c r="J754" s="142"/>
      <c r="K754" s="142"/>
      <c r="L754" s="142"/>
      <c r="M754" s="142"/>
      <c r="N754" s="136"/>
      <c r="O754" s="34"/>
      <c r="P754" s="35"/>
      <c r="Q754" s="35"/>
      <c r="R754" s="35"/>
      <c r="S754" s="35"/>
      <c r="T754" s="35"/>
      <c r="U754" s="35"/>
      <c r="V754" s="35"/>
      <c r="W754" s="35"/>
      <c r="X754" s="35"/>
      <c r="Y754" s="35"/>
      <c r="Z754" s="35"/>
    </row>
    <row r="755" ht="14.25" customHeight="1">
      <c r="A755" s="136"/>
      <c r="B755" s="137"/>
      <c r="C755" s="251"/>
      <c r="D755" s="452"/>
      <c r="E755" s="136"/>
      <c r="F755" s="253"/>
      <c r="G755" s="140"/>
      <c r="H755" s="141"/>
      <c r="I755" s="141"/>
      <c r="J755" s="142"/>
      <c r="K755" s="142"/>
      <c r="L755" s="142"/>
      <c r="M755" s="142"/>
      <c r="N755" s="136"/>
      <c r="O755" s="34"/>
      <c r="P755" s="35"/>
      <c r="Q755" s="35"/>
      <c r="R755" s="35"/>
      <c r="S755" s="35"/>
      <c r="T755" s="35"/>
      <c r="U755" s="35"/>
      <c r="V755" s="35"/>
      <c r="W755" s="35"/>
      <c r="X755" s="35"/>
      <c r="Y755" s="35"/>
      <c r="Z755" s="35"/>
    </row>
    <row r="756" ht="14.25" customHeight="1">
      <c r="A756" s="136"/>
      <c r="B756" s="137"/>
      <c r="C756" s="251"/>
      <c r="D756" s="452"/>
      <c r="E756" s="136"/>
      <c r="F756" s="253"/>
      <c r="G756" s="140"/>
      <c r="H756" s="141"/>
      <c r="I756" s="141"/>
      <c r="J756" s="142"/>
      <c r="K756" s="142"/>
      <c r="L756" s="142"/>
      <c r="M756" s="142"/>
      <c r="N756" s="136"/>
      <c r="O756" s="34"/>
      <c r="P756" s="35"/>
      <c r="Q756" s="35"/>
      <c r="R756" s="35"/>
      <c r="S756" s="35"/>
      <c r="T756" s="35"/>
      <c r="U756" s="35"/>
      <c r="V756" s="35"/>
      <c r="W756" s="35"/>
      <c r="X756" s="35"/>
      <c r="Y756" s="35"/>
      <c r="Z756" s="35"/>
    </row>
    <row r="757" ht="14.25" customHeight="1">
      <c r="A757" s="136"/>
      <c r="B757" s="137"/>
      <c r="C757" s="251"/>
      <c r="D757" s="452"/>
      <c r="E757" s="136"/>
      <c r="F757" s="253"/>
      <c r="G757" s="140"/>
      <c r="H757" s="141"/>
      <c r="I757" s="141"/>
      <c r="J757" s="142"/>
      <c r="K757" s="142"/>
      <c r="L757" s="142"/>
      <c r="M757" s="142"/>
      <c r="N757" s="136"/>
      <c r="O757" s="34"/>
      <c r="P757" s="35"/>
      <c r="Q757" s="35"/>
      <c r="R757" s="35"/>
      <c r="S757" s="35"/>
      <c r="T757" s="35"/>
      <c r="U757" s="35"/>
      <c r="V757" s="35"/>
      <c r="W757" s="35"/>
      <c r="X757" s="35"/>
      <c r="Y757" s="35"/>
      <c r="Z757" s="35"/>
    </row>
    <row r="758" ht="14.25" customHeight="1">
      <c r="A758" s="136"/>
      <c r="B758" s="137"/>
      <c r="C758" s="251"/>
      <c r="D758" s="452"/>
      <c r="E758" s="136"/>
      <c r="F758" s="253"/>
      <c r="G758" s="140"/>
      <c r="H758" s="141"/>
      <c r="I758" s="141"/>
      <c r="J758" s="142"/>
      <c r="K758" s="142"/>
      <c r="L758" s="142"/>
      <c r="M758" s="142"/>
      <c r="N758" s="136"/>
      <c r="O758" s="34"/>
      <c r="P758" s="35"/>
      <c r="Q758" s="35"/>
      <c r="R758" s="35"/>
      <c r="S758" s="35"/>
      <c r="T758" s="35"/>
      <c r="U758" s="35"/>
      <c r="V758" s="35"/>
      <c r="W758" s="35"/>
      <c r="X758" s="35"/>
      <c r="Y758" s="35"/>
      <c r="Z758" s="35"/>
    </row>
    <row r="759" ht="14.25" customHeight="1">
      <c r="A759" s="136"/>
      <c r="B759" s="137"/>
      <c r="C759" s="251"/>
      <c r="D759" s="452"/>
      <c r="E759" s="136"/>
      <c r="F759" s="253"/>
      <c r="G759" s="140"/>
      <c r="H759" s="141"/>
      <c r="I759" s="141"/>
      <c r="J759" s="142"/>
      <c r="K759" s="142"/>
      <c r="L759" s="142"/>
      <c r="M759" s="142"/>
      <c r="N759" s="136"/>
      <c r="O759" s="34"/>
      <c r="P759" s="35"/>
      <c r="Q759" s="35"/>
      <c r="R759" s="35"/>
      <c r="S759" s="35"/>
      <c r="T759" s="35"/>
      <c r="U759" s="35"/>
      <c r="V759" s="35"/>
      <c r="W759" s="35"/>
      <c r="X759" s="35"/>
      <c r="Y759" s="35"/>
      <c r="Z759" s="35"/>
    </row>
    <row r="760" ht="14.25" customHeight="1">
      <c r="A760" s="136"/>
      <c r="B760" s="137"/>
      <c r="C760" s="251"/>
      <c r="D760" s="452"/>
      <c r="E760" s="136"/>
      <c r="F760" s="253"/>
      <c r="G760" s="140"/>
      <c r="H760" s="141"/>
      <c r="I760" s="141"/>
      <c r="J760" s="142"/>
      <c r="K760" s="142"/>
      <c r="L760" s="142"/>
      <c r="M760" s="142"/>
      <c r="N760" s="136"/>
      <c r="O760" s="34"/>
      <c r="P760" s="35"/>
      <c r="Q760" s="35"/>
      <c r="R760" s="35"/>
      <c r="S760" s="35"/>
      <c r="T760" s="35"/>
      <c r="U760" s="35"/>
      <c r="V760" s="35"/>
      <c r="W760" s="35"/>
      <c r="X760" s="35"/>
      <c r="Y760" s="35"/>
      <c r="Z760" s="35"/>
    </row>
    <row r="761" ht="14.25" customHeight="1">
      <c r="A761" s="136"/>
      <c r="B761" s="137"/>
      <c r="C761" s="251"/>
      <c r="D761" s="452"/>
      <c r="E761" s="136"/>
      <c r="F761" s="253"/>
      <c r="G761" s="140"/>
      <c r="H761" s="141"/>
      <c r="I761" s="141"/>
      <c r="J761" s="142"/>
      <c r="K761" s="142"/>
      <c r="L761" s="142"/>
      <c r="M761" s="142"/>
      <c r="N761" s="136"/>
      <c r="O761" s="34"/>
      <c r="P761" s="35"/>
      <c r="Q761" s="35"/>
      <c r="R761" s="35"/>
      <c r="S761" s="35"/>
      <c r="T761" s="35"/>
      <c r="U761" s="35"/>
      <c r="V761" s="35"/>
      <c r="W761" s="35"/>
      <c r="X761" s="35"/>
      <c r="Y761" s="35"/>
      <c r="Z761" s="35"/>
    </row>
    <row r="762" ht="14.25" customHeight="1">
      <c r="A762" s="136"/>
      <c r="B762" s="137"/>
      <c r="C762" s="251"/>
      <c r="D762" s="452"/>
      <c r="E762" s="136"/>
      <c r="F762" s="253"/>
      <c r="G762" s="140"/>
      <c r="H762" s="141"/>
      <c r="I762" s="141"/>
      <c r="J762" s="142"/>
      <c r="K762" s="142"/>
      <c r="L762" s="142"/>
      <c r="M762" s="142"/>
      <c r="N762" s="136"/>
      <c r="O762" s="34"/>
      <c r="P762" s="35"/>
      <c r="Q762" s="35"/>
      <c r="R762" s="35"/>
      <c r="S762" s="35"/>
      <c r="T762" s="35"/>
      <c r="U762" s="35"/>
      <c r="V762" s="35"/>
      <c r="W762" s="35"/>
      <c r="X762" s="35"/>
      <c r="Y762" s="35"/>
      <c r="Z762" s="35"/>
    </row>
    <row r="763" ht="14.25" customHeight="1">
      <c r="A763" s="136"/>
      <c r="B763" s="137"/>
      <c r="C763" s="251"/>
      <c r="D763" s="452"/>
      <c r="E763" s="136"/>
      <c r="F763" s="253"/>
      <c r="G763" s="140"/>
      <c r="H763" s="141"/>
      <c r="I763" s="141"/>
      <c r="J763" s="142"/>
      <c r="K763" s="142"/>
      <c r="L763" s="142"/>
      <c r="M763" s="142"/>
      <c r="N763" s="136"/>
      <c r="O763" s="34"/>
      <c r="P763" s="35"/>
      <c r="Q763" s="35"/>
      <c r="R763" s="35"/>
      <c r="S763" s="35"/>
      <c r="T763" s="35"/>
      <c r="U763" s="35"/>
      <c r="V763" s="35"/>
      <c r="W763" s="35"/>
      <c r="X763" s="35"/>
      <c r="Y763" s="35"/>
      <c r="Z763" s="35"/>
    </row>
    <row r="764" ht="14.25" customHeight="1">
      <c r="A764" s="136"/>
      <c r="B764" s="137"/>
      <c r="C764" s="251"/>
      <c r="D764" s="452"/>
      <c r="E764" s="136"/>
      <c r="F764" s="253"/>
      <c r="G764" s="140"/>
      <c r="H764" s="141"/>
      <c r="I764" s="141"/>
      <c r="J764" s="142"/>
      <c r="K764" s="142"/>
      <c r="L764" s="142"/>
      <c r="M764" s="142"/>
      <c r="N764" s="136"/>
      <c r="O764" s="34"/>
      <c r="P764" s="35"/>
      <c r="Q764" s="35"/>
      <c r="R764" s="35"/>
      <c r="S764" s="35"/>
      <c r="T764" s="35"/>
      <c r="U764" s="35"/>
      <c r="V764" s="35"/>
      <c r="W764" s="35"/>
      <c r="X764" s="35"/>
      <c r="Y764" s="35"/>
      <c r="Z764" s="35"/>
    </row>
    <row r="765" ht="14.25" customHeight="1">
      <c r="A765" s="136"/>
      <c r="B765" s="137"/>
      <c r="C765" s="251"/>
      <c r="D765" s="452"/>
      <c r="E765" s="136"/>
      <c r="F765" s="253"/>
      <c r="G765" s="140"/>
      <c r="H765" s="141"/>
      <c r="I765" s="141"/>
      <c r="J765" s="142"/>
      <c r="K765" s="142"/>
      <c r="L765" s="142"/>
      <c r="M765" s="142"/>
      <c r="N765" s="136"/>
      <c r="O765" s="34"/>
      <c r="P765" s="35"/>
      <c r="Q765" s="35"/>
      <c r="R765" s="35"/>
      <c r="S765" s="35"/>
      <c r="T765" s="35"/>
      <c r="U765" s="35"/>
      <c r="V765" s="35"/>
      <c r="W765" s="35"/>
      <c r="X765" s="35"/>
      <c r="Y765" s="35"/>
      <c r="Z765" s="35"/>
    </row>
    <row r="766" ht="14.25" customHeight="1">
      <c r="A766" s="136"/>
      <c r="B766" s="137"/>
      <c r="C766" s="251"/>
      <c r="D766" s="452"/>
      <c r="E766" s="136"/>
      <c r="F766" s="253"/>
      <c r="G766" s="140"/>
      <c r="H766" s="141"/>
      <c r="I766" s="141"/>
      <c r="J766" s="142"/>
      <c r="K766" s="142"/>
      <c r="L766" s="142"/>
      <c r="M766" s="142"/>
      <c r="N766" s="136"/>
      <c r="O766" s="34"/>
      <c r="P766" s="35"/>
      <c r="Q766" s="35"/>
      <c r="R766" s="35"/>
      <c r="S766" s="35"/>
      <c r="T766" s="35"/>
      <c r="U766" s="35"/>
      <c r="V766" s="35"/>
      <c r="W766" s="35"/>
      <c r="X766" s="35"/>
      <c r="Y766" s="35"/>
      <c r="Z766" s="35"/>
    </row>
    <row r="767" ht="14.25" customHeight="1">
      <c r="A767" s="136"/>
      <c r="B767" s="137"/>
      <c r="C767" s="251"/>
      <c r="D767" s="452"/>
      <c r="E767" s="136"/>
      <c r="F767" s="253"/>
      <c r="G767" s="140"/>
      <c r="H767" s="141"/>
      <c r="I767" s="141"/>
      <c r="J767" s="142"/>
      <c r="K767" s="142"/>
      <c r="L767" s="142"/>
      <c r="M767" s="142"/>
      <c r="N767" s="136"/>
      <c r="O767" s="34"/>
      <c r="P767" s="35"/>
      <c r="Q767" s="35"/>
      <c r="R767" s="35"/>
      <c r="S767" s="35"/>
      <c r="T767" s="35"/>
      <c r="U767" s="35"/>
      <c r="V767" s="35"/>
      <c r="W767" s="35"/>
      <c r="X767" s="35"/>
      <c r="Y767" s="35"/>
      <c r="Z767" s="35"/>
    </row>
    <row r="768" ht="14.25" customHeight="1">
      <c r="A768" s="136"/>
      <c r="B768" s="137"/>
      <c r="C768" s="251"/>
      <c r="D768" s="452"/>
      <c r="E768" s="136"/>
      <c r="F768" s="253"/>
      <c r="G768" s="140"/>
      <c r="H768" s="141"/>
      <c r="I768" s="141"/>
      <c r="J768" s="142"/>
      <c r="K768" s="142"/>
      <c r="L768" s="142"/>
      <c r="M768" s="142"/>
      <c r="N768" s="136"/>
      <c r="O768" s="34"/>
      <c r="P768" s="35"/>
      <c r="Q768" s="35"/>
      <c r="R768" s="35"/>
      <c r="S768" s="35"/>
      <c r="T768" s="35"/>
      <c r="U768" s="35"/>
      <c r="V768" s="35"/>
      <c r="W768" s="35"/>
      <c r="X768" s="35"/>
      <c r="Y768" s="35"/>
      <c r="Z768" s="35"/>
    </row>
    <row r="769" ht="14.25" customHeight="1">
      <c r="A769" s="136"/>
      <c r="B769" s="137"/>
      <c r="C769" s="251"/>
      <c r="D769" s="452"/>
      <c r="E769" s="136"/>
      <c r="F769" s="253"/>
      <c r="G769" s="140"/>
      <c r="H769" s="141"/>
      <c r="I769" s="141"/>
      <c r="J769" s="142"/>
      <c r="K769" s="142"/>
      <c r="L769" s="142"/>
      <c r="M769" s="142"/>
      <c r="N769" s="136"/>
      <c r="O769" s="34"/>
      <c r="P769" s="35"/>
      <c r="Q769" s="35"/>
      <c r="R769" s="35"/>
      <c r="S769" s="35"/>
      <c r="T769" s="35"/>
      <c r="U769" s="35"/>
      <c r="V769" s="35"/>
      <c r="W769" s="35"/>
      <c r="X769" s="35"/>
      <c r="Y769" s="35"/>
      <c r="Z769" s="35"/>
    </row>
    <row r="770" ht="14.25" customHeight="1">
      <c r="A770" s="136"/>
      <c r="B770" s="137"/>
      <c r="C770" s="251"/>
      <c r="D770" s="452"/>
      <c r="E770" s="136"/>
      <c r="F770" s="253"/>
      <c r="G770" s="140"/>
      <c r="H770" s="141"/>
      <c r="I770" s="141"/>
      <c r="J770" s="142"/>
      <c r="K770" s="142"/>
      <c r="L770" s="142"/>
      <c r="M770" s="142"/>
      <c r="N770" s="136"/>
      <c r="O770" s="34"/>
      <c r="P770" s="35"/>
      <c r="Q770" s="35"/>
      <c r="R770" s="35"/>
      <c r="S770" s="35"/>
      <c r="T770" s="35"/>
      <c r="U770" s="35"/>
      <c r="V770" s="35"/>
      <c r="W770" s="35"/>
      <c r="X770" s="35"/>
      <c r="Y770" s="35"/>
      <c r="Z770" s="35"/>
    </row>
    <row r="771" ht="14.25" customHeight="1">
      <c r="A771" s="136"/>
      <c r="B771" s="137"/>
      <c r="C771" s="251"/>
      <c r="D771" s="452"/>
      <c r="E771" s="136"/>
      <c r="F771" s="253"/>
      <c r="G771" s="140"/>
      <c r="H771" s="141"/>
      <c r="I771" s="141"/>
      <c r="J771" s="142"/>
      <c r="K771" s="142"/>
      <c r="L771" s="142"/>
      <c r="M771" s="142"/>
      <c r="N771" s="136"/>
      <c r="O771" s="34"/>
      <c r="P771" s="35"/>
      <c r="Q771" s="35"/>
      <c r="R771" s="35"/>
      <c r="S771" s="35"/>
      <c r="T771" s="35"/>
      <c r="U771" s="35"/>
      <c r="V771" s="35"/>
      <c r="W771" s="35"/>
      <c r="X771" s="35"/>
      <c r="Y771" s="35"/>
      <c r="Z771" s="35"/>
    </row>
    <row r="772" ht="14.25" customHeight="1">
      <c r="A772" s="136"/>
      <c r="B772" s="137"/>
      <c r="C772" s="251"/>
      <c r="D772" s="452"/>
      <c r="E772" s="136"/>
      <c r="F772" s="253"/>
      <c r="G772" s="140"/>
      <c r="H772" s="141"/>
      <c r="I772" s="141"/>
      <c r="J772" s="142"/>
      <c r="K772" s="142"/>
      <c r="L772" s="142"/>
      <c r="M772" s="142"/>
      <c r="N772" s="136"/>
      <c r="O772" s="34"/>
      <c r="P772" s="35"/>
      <c r="Q772" s="35"/>
      <c r="R772" s="35"/>
      <c r="S772" s="35"/>
      <c r="T772" s="35"/>
      <c r="U772" s="35"/>
      <c r="V772" s="35"/>
      <c r="W772" s="35"/>
      <c r="X772" s="35"/>
      <c r="Y772" s="35"/>
      <c r="Z772" s="35"/>
    </row>
    <row r="773" ht="14.25" customHeight="1">
      <c r="A773" s="136"/>
      <c r="B773" s="137"/>
      <c r="C773" s="251"/>
      <c r="D773" s="452"/>
      <c r="E773" s="136"/>
      <c r="F773" s="253"/>
      <c r="G773" s="140"/>
      <c r="H773" s="141"/>
      <c r="I773" s="141"/>
      <c r="J773" s="142"/>
      <c r="K773" s="142"/>
      <c r="L773" s="142"/>
      <c r="M773" s="142"/>
      <c r="N773" s="136"/>
      <c r="O773" s="34"/>
      <c r="P773" s="35"/>
      <c r="Q773" s="35"/>
      <c r="R773" s="35"/>
      <c r="S773" s="35"/>
      <c r="T773" s="35"/>
      <c r="U773" s="35"/>
      <c r="V773" s="35"/>
      <c r="W773" s="35"/>
      <c r="X773" s="35"/>
      <c r="Y773" s="35"/>
      <c r="Z773" s="35"/>
    </row>
    <row r="774" ht="14.25" customHeight="1">
      <c r="A774" s="136"/>
      <c r="B774" s="137"/>
      <c r="C774" s="251"/>
      <c r="D774" s="452"/>
      <c r="E774" s="136"/>
      <c r="F774" s="253"/>
      <c r="G774" s="140"/>
      <c r="H774" s="141"/>
      <c r="I774" s="141"/>
      <c r="J774" s="142"/>
      <c r="K774" s="142"/>
      <c r="L774" s="142"/>
      <c r="M774" s="142"/>
      <c r="N774" s="136"/>
      <c r="O774" s="34"/>
      <c r="P774" s="35"/>
      <c r="Q774" s="35"/>
      <c r="R774" s="35"/>
      <c r="S774" s="35"/>
      <c r="T774" s="35"/>
      <c r="U774" s="35"/>
      <c r="V774" s="35"/>
      <c r="W774" s="35"/>
      <c r="X774" s="35"/>
      <c r="Y774" s="35"/>
      <c r="Z774" s="35"/>
    </row>
    <row r="775" ht="14.25" customHeight="1">
      <c r="A775" s="136"/>
      <c r="B775" s="137"/>
      <c r="C775" s="251"/>
      <c r="D775" s="452"/>
      <c r="E775" s="136"/>
      <c r="F775" s="253"/>
      <c r="G775" s="140"/>
      <c r="H775" s="141"/>
      <c r="I775" s="141"/>
      <c r="J775" s="142"/>
      <c r="K775" s="142"/>
      <c r="L775" s="142"/>
      <c r="M775" s="142"/>
      <c r="N775" s="136"/>
      <c r="O775" s="34"/>
      <c r="P775" s="35"/>
      <c r="Q775" s="35"/>
      <c r="R775" s="35"/>
      <c r="S775" s="35"/>
      <c r="T775" s="35"/>
      <c r="U775" s="35"/>
      <c r="V775" s="35"/>
      <c r="W775" s="35"/>
      <c r="X775" s="35"/>
      <c r="Y775" s="35"/>
      <c r="Z775" s="35"/>
    </row>
    <row r="776" ht="14.25" customHeight="1">
      <c r="A776" s="136"/>
      <c r="B776" s="137"/>
      <c r="C776" s="251"/>
      <c r="D776" s="452"/>
      <c r="E776" s="136"/>
      <c r="F776" s="253"/>
      <c r="G776" s="140"/>
      <c r="H776" s="141"/>
      <c r="I776" s="141"/>
      <c r="J776" s="142"/>
      <c r="K776" s="142"/>
      <c r="L776" s="142"/>
      <c r="M776" s="142"/>
      <c r="N776" s="136"/>
      <c r="O776" s="34"/>
      <c r="P776" s="35"/>
      <c r="Q776" s="35"/>
      <c r="R776" s="35"/>
      <c r="S776" s="35"/>
      <c r="T776" s="35"/>
      <c r="U776" s="35"/>
      <c r="V776" s="35"/>
      <c r="W776" s="35"/>
      <c r="X776" s="35"/>
      <c r="Y776" s="35"/>
      <c r="Z776" s="35"/>
    </row>
    <row r="777" ht="14.25" customHeight="1">
      <c r="A777" s="136"/>
      <c r="B777" s="137"/>
      <c r="C777" s="251"/>
      <c r="D777" s="452"/>
      <c r="E777" s="136"/>
      <c r="F777" s="253"/>
      <c r="G777" s="140"/>
      <c r="H777" s="141"/>
      <c r="I777" s="141"/>
      <c r="J777" s="142"/>
      <c r="K777" s="142"/>
      <c r="L777" s="142"/>
      <c r="M777" s="142"/>
      <c r="N777" s="136"/>
      <c r="O777" s="34"/>
      <c r="P777" s="35"/>
      <c r="Q777" s="35"/>
      <c r="R777" s="35"/>
      <c r="S777" s="35"/>
      <c r="T777" s="35"/>
      <c r="U777" s="35"/>
      <c r="V777" s="35"/>
      <c r="W777" s="35"/>
      <c r="X777" s="35"/>
      <c r="Y777" s="35"/>
      <c r="Z777" s="35"/>
    </row>
    <row r="778" ht="14.25" customHeight="1">
      <c r="A778" s="136"/>
      <c r="B778" s="137"/>
      <c r="C778" s="251"/>
      <c r="D778" s="452"/>
      <c r="E778" s="136"/>
      <c r="F778" s="253"/>
      <c r="G778" s="140"/>
      <c r="H778" s="141"/>
      <c r="I778" s="141"/>
      <c r="J778" s="142"/>
      <c r="K778" s="142"/>
      <c r="L778" s="142"/>
      <c r="M778" s="142"/>
      <c r="N778" s="136"/>
      <c r="O778" s="34"/>
      <c r="P778" s="35"/>
      <c r="Q778" s="35"/>
      <c r="R778" s="35"/>
      <c r="S778" s="35"/>
      <c r="T778" s="35"/>
      <c r="U778" s="35"/>
      <c r="V778" s="35"/>
      <c r="W778" s="35"/>
      <c r="X778" s="35"/>
      <c r="Y778" s="35"/>
      <c r="Z778" s="35"/>
    </row>
    <row r="779" ht="14.25" customHeight="1">
      <c r="A779" s="136"/>
      <c r="B779" s="137"/>
      <c r="C779" s="251"/>
      <c r="D779" s="452"/>
      <c r="E779" s="136"/>
      <c r="F779" s="253"/>
      <c r="G779" s="140"/>
      <c r="H779" s="141"/>
      <c r="I779" s="141"/>
      <c r="J779" s="142"/>
      <c r="K779" s="142"/>
      <c r="L779" s="142"/>
      <c r="M779" s="142"/>
      <c r="N779" s="136"/>
      <c r="O779" s="34"/>
      <c r="P779" s="35"/>
      <c r="Q779" s="35"/>
      <c r="R779" s="35"/>
      <c r="S779" s="35"/>
      <c r="T779" s="35"/>
      <c r="U779" s="35"/>
      <c r="V779" s="35"/>
      <c r="W779" s="35"/>
      <c r="X779" s="35"/>
      <c r="Y779" s="35"/>
      <c r="Z779" s="35"/>
    </row>
    <row r="780" ht="14.25" customHeight="1">
      <c r="A780" s="136"/>
      <c r="B780" s="137"/>
      <c r="C780" s="251"/>
      <c r="D780" s="452"/>
      <c r="E780" s="136"/>
      <c r="F780" s="253"/>
      <c r="G780" s="140"/>
      <c r="H780" s="141"/>
      <c r="I780" s="141"/>
      <c r="J780" s="142"/>
      <c r="K780" s="142"/>
      <c r="L780" s="142"/>
      <c r="M780" s="142"/>
      <c r="N780" s="136"/>
      <c r="O780" s="34"/>
      <c r="P780" s="35"/>
      <c r="Q780" s="35"/>
      <c r="R780" s="35"/>
      <c r="S780" s="35"/>
      <c r="T780" s="35"/>
      <c r="U780" s="35"/>
      <c r="V780" s="35"/>
      <c r="W780" s="35"/>
      <c r="X780" s="35"/>
      <c r="Y780" s="35"/>
      <c r="Z780" s="35"/>
    </row>
    <row r="781" ht="14.25" customHeight="1">
      <c r="A781" s="136"/>
      <c r="B781" s="137"/>
      <c r="C781" s="251"/>
      <c r="D781" s="452"/>
      <c r="E781" s="136"/>
      <c r="F781" s="253"/>
      <c r="G781" s="140"/>
      <c r="H781" s="141"/>
      <c r="I781" s="141"/>
      <c r="J781" s="142"/>
      <c r="K781" s="142"/>
      <c r="L781" s="142"/>
      <c r="M781" s="142"/>
      <c r="N781" s="136"/>
      <c r="O781" s="34"/>
      <c r="P781" s="35"/>
      <c r="Q781" s="35"/>
      <c r="R781" s="35"/>
      <c r="S781" s="35"/>
      <c r="T781" s="35"/>
      <c r="U781" s="35"/>
      <c r="V781" s="35"/>
      <c r="W781" s="35"/>
      <c r="X781" s="35"/>
      <c r="Y781" s="35"/>
      <c r="Z781" s="35"/>
    </row>
    <row r="782" ht="14.25" customHeight="1">
      <c r="A782" s="136"/>
      <c r="B782" s="137"/>
      <c r="C782" s="251"/>
      <c r="D782" s="452"/>
      <c r="E782" s="136"/>
      <c r="F782" s="253"/>
      <c r="G782" s="140"/>
      <c r="H782" s="141"/>
      <c r="I782" s="141"/>
      <c r="J782" s="142"/>
      <c r="K782" s="142"/>
      <c r="L782" s="142"/>
      <c r="M782" s="142"/>
      <c r="N782" s="136"/>
      <c r="O782" s="34"/>
      <c r="P782" s="35"/>
      <c r="Q782" s="35"/>
      <c r="R782" s="35"/>
      <c r="S782" s="35"/>
      <c r="T782" s="35"/>
      <c r="U782" s="35"/>
      <c r="V782" s="35"/>
      <c r="W782" s="35"/>
      <c r="X782" s="35"/>
      <c r="Y782" s="35"/>
      <c r="Z782" s="35"/>
    </row>
    <row r="783" ht="14.25" customHeight="1">
      <c r="A783" s="136"/>
      <c r="B783" s="137"/>
      <c r="C783" s="251"/>
      <c r="D783" s="452"/>
      <c r="E783" s="136"/>
      <c r="F783" s="253"/>
      <c r="G783" s="140"/>
      <c r="H783" s="141"/>
      <c r="I783" s="141"/>
      <c r="J783" s="142"/>
      <c r="K783" s="142"/>
      <c r="L783" s="142"/>
      <c r="M783" s="142"/>
      <c r="N783" s="136"/>
      <c r="O783" s="34"/>
      <c r="P783" s="35"/>
      <c r="Q783" s="35"/>
      <c r="R783" s="35"/>
      <c r="S783" s="35"/>
      <c r="T783" s="35"/>
      <c r="U783" s="35"/>
      <c r="V783" s="35"/>
      <c r="W783" s="35"/>
      <c r="X783" s="35"/>
      <c r="Y783" s="35"/>
      <c r="Z783" s="35"/>
    </row>
    <row r="784" ht="14.25" customHeight="1">
      <c r="A784" s="136"/>
      <c r="B784" s="137"/>
      <c r="C784" s="251"/>
      <c r="D784" s="452"/>
      <c r="E784" s="136"/>
      <c r="F784" s="253"/>
      <c r="G784" s="140"/>
      <c r="H784" s="141"/>
      <c r="I784" s="141"/>
      <c r="J784" s="142"/>
      <c r="K784" s="142"/>
      <c r="L784" s="142"/>
      <c r="M784" s="142"/>
      <c r="N784" s="136"/>
      <c r="O784" s="34"/>
      <c r="P784" s="35"/>
      <c r="Q784" s="35"/>
      <c r="R784" s="35"/>
      <c r="S784" s="35"/>
      <c r="T784" s="35"/>
      <c r="U784" s="35"/>
      <c r="V784" s="35"/>
      <c r="W784" s="35"/>
      <c r="X784" s="35"/>
      <c r="Y784" s="35"/>
      <c r="Z784" s="35"/>
    </row>
    <row r="785" ht="14.25" customHeight="1">
      <c r="A785" s="136"/>
      <c r="B785" s="137"/>
      <c r="C785" s="251"/>
      <c r="D785" s="452"/>
      <c r="E785" s="136"/>
      <c r="F785" s="253"/>
      <c r="G785" s="140"/>
      <c r="H785" s="141"/>
      <c r="I785" s="141"/>
      <c r="J785" s="142"/>
      <c r="K785" s="142"/>
      <c r="L785" s="142"/>
      <c r="M785" s="142"/>
      <c r="N785" s="136"/>
      <c r="O785" s="34"/>
      <c r="P785" s="35"/>
      <c r="Q785" s="35"/>
      <c r="R785" s="35"/>
      <c r="S785" s="35"/>
      <c r="T785" s="35"/>
      <c r="U785" s="35"/>
      <c r="V785" s="35"/>
      <c r="W785" s="35"/>
      <c r="X785" s="35"/>
      <c r="Y785" s="35"/>
      <c r="Z785" s="35"/>
    </row>
    <row r="786" ht="14.25" customHeight="1">
      <c r="A786" s="136"/>
      <c r="B786" s="137"/>
      <c r="C786" s="251"/>
      <c r="D786" s="452"/>
      <c r="E786" s="136"/>
      <c r="F786" s="253"/>
      <c r="G786" s="140"/>
      <c r="H786" s="141"/>
      <c r="I786" s="141"/>
      <c r="J786" s="142"/>
      <c r="K786" s="142"/>
      <c r="L786" s="142"/>
      <c r="M786" s="142"/>
      <c r="N786" s="136"/>
      <c r="O786" s="34"/>
      <c r="P786" s="35"/>
      <c r="Q786" s="35"/>
      <c r="R786" s="35"/>
      <c r="S786" s="35"/>
      <c r="T786" s="35"/>
      <c r="U786" s="35"/>
      <c r="V786" s="35"/>
      <c r="W786" s="35"/>
      <c r="X786" s="35"/>
      <c r="Y786" s="35"/>
      <c r="Z786" s="35"/>
    </row>
    <row r="787" ht="14.25" customHeight="1">
      <c r="A787" s="136"/>
      <c r="B787" s="137"/>
      <c r="C787" s="251"/>
      <c r="D787" s="452"/>
      <c r="E787" s="136"/>
      <c r="F787" s="253"/>
      <c r="G787" s="140"/>
      <c r="H787" s="141"/>
      <c r="I787" s="141"/>
      <c r="J787" s="142"/>
      <c r="K787" s="142"/>
      <c r="L787" s="142"/>
      <c r="M787" s="142"/>
      <c r="N787" s="136"/>
      <c r="O787" s="34"/>
      <c r="P787" s="35"/>
      <c r="Q787" s="35"/>
      <c r="R787" s="35"/>
      <c r="S787" s="35"/>
      <c r="T787" s="35"/>
      <c r="U787" s="35"/>
      <c r="V787" s="35"/>
      <c r="W787" s="35"/>
      <c r="X787" s="35"/>
      <c r="Y787" s="35"/>
      <c r="Z787" s="35"/>
    </row>
    <row r="788" ht="14.25" customHeight="1">
      <c r="A788" s="136"/>
      <c r="B788" s="137"/>
      <c r="C788" s="251"/>
      <c r="D788" s="452"/>
      <c r="E788" s="136"/>
      <c r="F788" s="253"/>
      <c r="G788" s="140"/>
      <c r="H788" s="141"/>
      <c r="I788" s="141"/>
      <c r="J788" s="142"/>
      <c r="K788" s="142"/>
      <c r="L788" s="142"/>
      <c r="M788" s="142"/>
      <c r="N788" s="136"/>
      <c r="O788" s="34"/>
      <c r="P788" s="35"/>
      <c r="Q788" s="35"/>
      <c r="R788" s="35"/>
      <c r="S788" s="35"/>
      <c r="T788" s="35"/>
      <c r="U788" s="35"/>
      <c r="V788" s="35"/>
      <c r="W788" s="35"/>
      <c r="X788" s="35"/>
      <c r="Y788" s="35"/>
      <c r="Z788" s="35"/>
    </row>
    <row r="789" ht="14.25" customHeight="1">
      <c r="A789" s="136"/>
      <c r="B789" s="137"/>
      <c r="C789" s="251"/>
      <c r="D789" s="452"/>
      <c r="E789" s="136"/>
      <c r="F789" s="253"/>
      <c r="G789" s="140"/>
      <c r="H789" s="141"/>
      <c r="I789" s="141"/>
      <c r="J789" s="142"/>
      <c r="K789" s="142"/>
      <c r="L789" s="142"/>
      <c r="M789" s="142"/>
      <c r="N789" s="136"/>
      <c r="O789" s="34"/>
      <c r="P789" s="35"/>
      <c r="Q789" s="35"/>
      <c r="R789" s="35"/>
      <c r="S789" s="35"/>
      <c r="T789" s="35"/>
      <c r="U789" s="35"/>
      <c r="V789" s="35"/>
      <c r="W789" s="35"/>
      <c r="X789" s="35"/>
      <c r="Y789" s="35"/>
      <c r="Z789" s="35"/>
    </row>
    <row r="790" ht="14.25" customHeight="1">
      <c r="A790" s="136"/>
      <c r="B790" s="137"/>
      <c r="C790" s="251"/>
      <c r="D790" s="452"/>
      <c r="E790" s="136"/>
      <c r="F790" s="253"/>
      <c r="G790" s="140"/>
      <c r="H790" s="141"/>
      <c r="I790" s="141"/>
      <c r="J790" s="142"/>
      <c r="K790" s="142"/>
      <c r="L790" s="142"/>
      <c r="M790" s="142"/>
      <c r="N790" s="136"/>
      <c r="O790" s="34"/>
      <c r="P790" s="35"/>
      <c r="Q790" s="35"/>
      <c r="R790" s="35"/>
      <c r="S790" s="35"/>
      <c r="T790" s="35"/>
      <c r="U790" s="35"/>
      <c r="V790" s="35"/>
      <c r="W790" s="35"/>
      <c r="X790" s="35"/>
      <c r="Y790" s="35"/>
      <c r="Z790" s="35"/>
    </row>
    <row r="791" ht="14.25" customHeight="1">
      <c r="A791" s="136"/>
      <c r="B791" s="137"/>
      <c r="C791" s="251"/>
      <c r="D791" s="452"/>
      <c r="E791" s="136"/>
      <c r="F791" s="253"/>
      <c r="G791" s="140"/>
      <c r="H791" s="141"/>
      <c r="I791" s="141"/>
      <c r="J791" s="142"/>
      <c r="K791" s="142"/>
      <c r="L791" s="142"/>
      <c r="M791" s="142"/>
      <c r="N791" s="136"/>
      <c r="O791" s="34"/>
      <c r="P791" s="35"/>
      <c r="Q791" s="35"/>
      <c r="R791" s="35"/>
      <c r="S791" s="35"/>
      <c r="T791" s="35"/>
      <c r="U791" s="35"/>
      <c r="V791" s="35"/>
      <c r="W791" s="35"/>
      <c r="X791" s="35"/>
      <c r="Y791" s="35"/>
      <c r="Z791" s="35"/>
    </row>
    <row r="792" ht="14.25" customHeight="1">
      <c r="A792" s="136"/>
      <c r="B792" s="137"/>
      <c r="C792" s="251"/>
      <c r="D792" s="452"/>
      <c r="E792" s="136"/>
      <c r="F792" s="253"/>
      <c r="G792" s="140"/>
      <c r="H792" s="141"/>
      <c r="I792" s="141"/>
      <c r="J792" s="142"/>
      <c r="K792" s="142"/>
      <c r="L792" s="142"/>
      <c r="M792" s="142"/>
      <c r="N792" s="136"/>
      <c r="O792" s="34"/>
      <c r="P792" s="35"/>
      <c r="Q792" s="35"/>
      <c r="R792" s="35"/>
      <c r="S792" s="35"/>
      <c r="T792" s="35"/>
      <c r="U792" s="35"/>
      <c r="V792" s="35"/>
      <c r="W792" s="35"/>
      <c r="X792" s="35"/>
      <c r="Y792" s="35"/>
      <c r="Z792" s="35"/>
    </row>
    <row r="793" ht="14.25" customHeight="1">
      <c r="A793" s="136"/>
      <c r="B793" s="137"/>
      <c r="C793" s="251"/>
      <c r="D793" s="452"/>
      <c r="E793" s="136"/>
      <c r="F793" s="253"/>
      <c r="G793" s="140"/>
      <c r="H793" s="141"/>
      <c r="I793" s="141"/>
      <c r="J793" s="142"/>
      <c r="K793" s="142"/>
      <c r="L793" s="142"/>
      <c r="M793" s="142"/>
      <c r="N793" s="136"/>
      <c r="O793" s="34"/>
      <c r="P793" s="35"/>
      <c r="Q793" s="35"/>
      <c r="R793" s="35"/>
      <c r="S793" s="35"/>
      <c r="T793" s="35"/>
      <c r="U793" s="35"/>
      <c r="V793" s="35"/>
      <c r="W793" s="35"/>
      <c r="X793" s="35"/>
      <c r="Y793" s="35"/>
      <c r="Z793" s="35"/>
    </row>
    <row r="794" ht="14.25" customHeight="1">
      <c r="A794" s="136"/>
      <c r="B794" s="137"/>
      <c r="C794" s="251"/>
      <c r="D794" s="452"/>
      <c r="E794" s="136"/>
      <c r="F794" s="253"/>
      <c r="G794" s="140"/>
      <c r="H794" s="141"/>
      <c r="I794" s="141"/>
      <c r="J794" s="142"/>
      <c r="K794" s="142"/>
      <c r="L794" s="142"/>
      <c r="M794" s="142"/>
      <c r="N794" s="136"/>
      <c r="O794" s="34"/>
      <c r="P794" s="35"/>
      <c r="Q794" s="35"/>
      <c r="R794" s="35"/>
      <c r="S794" s="35"/>
      <c r="T794" s="35"/>
      <c r="U794" s="35"/>
      <c r="V794" s="35"/>
      <c r="W794" s="35"/>
      <c r="X794" s="35"/>
      <c r="Y794" s="35"/>
      <c r="Z794" s="35"/>
    </row>
    <row r="795" ht="14.25" customHeight="1">
      <c r="A795" s="136"/>
      <c r="B795" s="137"/>
      <c r="C795" s="251"/>
      <c r="D795" s="452"/>
      <c r="E795" s="136"/>
      <c r="F795" s="253"/>
      <c r="G795" s="140"/>
      <c r="H795" s="141"/>
      <c r="I795" s="141"/>
      <c r="J795" s="142"/>
      <c r="K795" s="142"/>
      <c r="L795" s="142"/>
      <c r="M795" s="142"/>
      <c r="N795" s="136"/>
      <c r="O795" s="34"/>
      <c r="P795" s="35"/>
      <c r="Q795" s="35"/>
      <c r="R795" s="35"/>
      <c r="S795" s="35"/>
      <c r="T795" s="35"/>
      <c r="U795" s="35"/>
      <c r="V795" s="35"/>
      <c r="W795" s="35"/>
      <c r="X795" s="35"/>
      <c r="Y795" s="35"/>
      <c r="Z795" s="35"/>
    </row>
    <row r="796" ht="14.25" customHeight="1">
      <c r="A796" s="136"/>
      <c r="B796" s="137"/>
      <c r="C796" s="251"/>
      <c r="D796" s="452"/>
      <c r="E796" s="136"/>
      <c r="F796" s="253"/>
      <c r="G796" s="140"/>
      <c r="H796" s="141"/>
      <c r="I796" s="141"/>
      <c r="J796" s="142"/>
      <c r="K796" s="142"/>
      <c r="L796" s="142"/>
      <c r="M796" s="142"/>
      <c r="N796" s="136"/>
      <c r="O796" s="34"/>
      <c r="P796" s="35"/>
      <c r="Q796" s="35"/>
      <c r="R796" s="35"/>
      <c r="S796" s="35"/>
      <c r="T796" s="35"/>
      <c r="U796" s="35"/>
      <c r="V796" s="35"/>
      <c r="W796" s="35"/>
      <c r="X796" s="35"/>
      <c r="Y796" s="35"/>
      <c r="Z796" s="35"/>
    </row>
    <row r="797" ht="14.25" customHeight="1">
      <c r="A797" s="136"/>
      <c r="B797" s="137"/>
      <c r="C797" s="251"/>
      <c r="D797" s="452"/>
      <c r="E797" s="136"/>
      <c r="F797" s="253"/>
      <c r="G797" s="140"/>
      <c r="H797" s="141"/>
      <c r="I797" s="141"/>
      <c r="J797" s="142"/>
      <c r="K797" s="142"/>
      <c r="L797" s="142"/>
      <c r="M797" s="142"/>
      <c r="N797" s="136"/>
      <c r="O797" s="34"/>
      <c r="P797" s="35"/>
      <c r="Q797" s="35"/>
      <c r="R797" s="35"/>
      <c r="S797" s="35"/>
      <c r="T797" s="35"/>
      <c r="U797" s="35"/>
      <c r="V797" s="35"/>
      <c r="W797" s="35"/>
      <c r="X797" s="35"/>
      <c r="Y797" s="35"/>
      <c r="Z797" s="35"/>
    </row>
    <row r="798" ht="14.25" customHeight="1">
      <c r="A798" s="136"/>
      <c r="B798" s="137"/>
      <c r="C798" s="251"/>
      <c r="D798" s="452"/>
      <c r="E798" s="136"/>
      <c r="F798" s="253"/>
      <c r="G798" s="140"/>
      <c r="H798" s="141"/>
      <c r="I798" s="141"/>
      <c r="J798" s="142"/>
      <c r="K798" s="142"/>
      <c r="L798" s="142"/>
      <c r="M798" s="142"/>
      <c r="N798" s="136"/>
      <c r="O798" s="34"/>
      <c r="P798" s="35"/>
      <c r="Q798" s="35"/>
      <c r="R798" s="35"/>
      <c r="S798" s="35"/>
      <c r="T798" s="35"/>
      <c r="U798" s="35"/>
      <c r="V798" s="35"/>
      <c r="W798" s="35"/>
      <c r="X798" s="35"/>
      <c r="Y798" s="35"/>
      <c r="Z798" s="35"/>
    </row>
    <row r="799" ht="14.25" customHeight="1">
      <c r="A799" s="136"/>
      <c r="B799" s="137"/>
      <c r="C799" s="251"/>
      <c r="D799" s="452"/>
      <c r="E799" s="136"/>
      <c r="F799" s="253"/>
      <c r="G799" s="140"/>
      <c r="H799" s="141"/>
      <c r="I799" s="141"/>
      <c r="J799" s="142"/>
      <c r="K799" s="142"/>
      <c r="L799" s="142"/>
      <c r="M799" s="142"/>
      <c r="N799" s="136"/>
      <c r="O799" s="34"/>
      <c r="P799" s="35"/>
      <c r="Q799" s="35"/>
      <c r="R799" s="35"/>
      <c r="S799" s="35"/>
      <c r="T799" s="35"/>
      <c r="U799" s="35"/>
      <c r="V799" s="35"/>
      <c r="W799" s="35"/>
      <c r="X799" s="35"/>
      <c r="Y799" s="35"/>
      <c r="Z799" s="35"/>
    </row>
    <row r="800" ht="14.25" customHeight="1">
      <c r="A800" s="136"/>
      <c r="B800" s="137"/>
      <c r="C800" s="251"/>
      <c r="D800" s="452"/>
      <c r="E800" s="136"/>
      <c r="F800" s="253"/>
      <c r="G800" s="140"/>
      <c r="H800" s="141"/>
      <c r="I800" s="141"/>
      <c r="J800" s="142"/>
      <c r="K800" s="142"/>
      <c r="L800" s="142"/>
      <c r="M800" s="142"/>
      <c r="N800" s="136"/>
      <c r="O800" s="34"/>
      <c r="P800" s="35"/>
      <c r="Q800" s="35"/>
      <c r="R800" s="35"/>
      <c r="S800" s="35"/>
      <c r="T800" s="35"/>
      <c r="U800" s="35"/>
      <c r="V800" s="35"/>
      <c r="W800" s="35"/>
      <c r="X800" s="35"/>
      <c r="Y800" s="35"/>
      <c r="Z800" s="35"/>
    </row>
    <row r="801" ht="14.25" customHeight="1">
      <c r="A801" s="136"/>
      <c r="B801" s="137"/>
      <c r="C801" s="251"/>
      <c r="D801" s="452"/>
      <c r="E801" s="136"/>
      <c r="F801" s="253"/>
      <c r="G801" s="140"/>
      <c r="H801" s="141"/>
      <c r="I801" s="141"/>
      <c r="J801" s="142"/>
      <c r="K801" s="142"/>
      <c r="L801" s="142"/>
      <c r="M801" s="142"/>
      <c r="N801" s="136"/>
      <c r="O801" s="34"/>
      <c r="P801" s="35"/>
      <c r="Q801" s="35"/>
      <c r="R801" s="35"/>
      <c r="S801" s="35"/>
      <c r="T801" s="35"/>
      <c r="U801" s="35"/>
      <c r="V801" s="35"/>
      <c r="W801" s="35"/>
      <c r="X801" s="35"/>
      <c r="Y801" s="35"/>
      <c r="Z801" s="35"/>
    </row>
    <row r="802" ht="14.25" customHeight="1">
      <c r="A802" s="136"/>
      <c r="B802" s="137"/>
      <c r="C802" s="251"/>
      <c r="D802" s="452"/>
      <c r="E802" s="136"/>
      <c r="F802" s="253"/>
      <c r="G802" s="140"/>
      <c r="H802" s="141"/>
      <c r="I802" s="141"/>
      <c r="J802" s="142"/>
      <c r="K802" s="142"/>
      <c r="L802" s="142"/>
      <c r="M802" s="142"/>
      <c r="N802" s="136"/>
      <c r="O802" s="34"/>
      <c r="P802" s="35"/>
      <c r="Q802" s="35"/>
      <c r="R802" s="35"/>
      <c r="S802" s="35"/>
      <c r="T802" s="35"/>
      <c r="U802" s="35"/>
      <c r="V802" s="35"/>
      <c r="W802" s="35"/>
      <c r="X802" s="35"/>
      <c r="Y802" s="35"/>
      <c r="Z802" s="35"/>
    </row>
    <row r="803" ht="14.25" customHeight="1">
      <c r="A803" s="136"/>
      <c r="B803" s="137"/>
      <c r="C803" s="251"/>
      <c r="D803" s="452"/>
      <c r="E803" s="136"/>
      <c r="F803" s="253"/>
      <c r="G803" s="140"/>
      <c r="H803" s="141"/>
      <c r="I803" s="141"/>
      <c r="J803" s="142"/>
      <c r="K803" s="142"/>
      <c r="L803" s="142"/>
      <c r="M803" s="142"/>
      <c r="N803" s="136"/>
      <c r="O803" s="34"/>
      <c r="P803" s="35"/>
      <c r="Q803" s="35"/>
      <c r="R803" s="35"/>
      <c r="S803" s="35"/>
      <c r="T803" s="35"/>
      <c r="U803" s="35"/>
      <c r="V803" s="35"/>
      <c r="W803" s="35"/>
      <c r="X803" s="35"/>
      <c r="Y803" s="35"/>
      <c r="Z803" s="35"/>
    </row>
    <row r="804" ht="14.25" customHeight="1">
      <c r="A804" s="136"/>
      <c r="B804" s="137"/>
      <c r="C804" s="251"/>
      <c r="D804" s="452"/>
      <c r="E804" s="136"/>
      <c r="F804" s="253"/>
      <c r="G804" s="140"/>
      <c r="H804" s="141"/>
      <c r="I804" s="141"/>
      <c r="J804" s="142"/>
      <c r="K804" s="142"/>
      <c r="L804" s="142"/>
      <c r="M804" s="142"/>
      <c r="N804" s="136"/>
      <c r="O804" s="34"/>
      <c r="P804" s="35"/>
      <c r="Q804" s="35"/>
      <c r="R804" s="35"/>
      <c r="S804" s="35"/>
      <c r="T804" s="35"/>
      <c r="U804" s="35"/>
      <c r="V804" s="35"/>
      <c r="W804" s="35"/>
      <c r="X804" s="35"/>
      <c r="Y804" s="35"/>
      <c r="Z804" s="35"/>
    </row>
    <row r="805" ht="14.25" customHeight="1">
      <c r="A805" s="136"/>
      <c r="B805" s="137"/>
      <c r="C805" s="251"/>
      <c r="D805" s="452"/>
      <c r="E805" s="136"/>
      <c r="F805" s="253"/>
      <c r="G805" s="140"/>
      <c r="H805" s="141"/>
      <c r="I805" s="141"/>
      <c r="J805" s="142"/>
      <c r="K805" s="142"/>
      <c r="L805" s="142"/>
      <c r="M805" s="142"/>
      <c r="N805" s="136"/>
      <c r="O805" s="34"/>
      <c r="P805" s="35"/>
      <c r="Q805" s="35"/>
      <c r="R805" s="35"/>
      <c r="S805" s="35"/>
      <c r="T805" s="35"/>
      <c r="U805" s="35"/>
      <c r="V805" s="35"/>
      <c r="W805" s="35"/>
      <c r="X805" s="35"/>
      <c r="Y805" s="35"/>
      <c r="Z805" s="35"/>
    </row>
    <row r="806" ht="14.25" customHeight="1">
      <c r="A806" s="136"/>
      <c r="B806" s="137"/>
      <c r="C806" s="251"/>
      <c r="D806" s="452"/>
      <c r="E806" s="136"/>
      <c r="F806" s="253"/>
      <c r="G806" s="140"/>
      <c r="H806" s="141"/>
      <c r="I806" s="141"/>
      <c r="J806" s="142"/>
      <c r="K806" s="142"/>
      <c r="L806" s="142"/>
      <c r="M806" s="142"/>
      <c r="N806" s="136"/>
      <c r="O806" s="34"/>
      <c r="P806" s="35"/>
      <c r="Q806" s="35"/>
      <c r="R806" s="35"/>
      <c r="S806" s="35"/>
      <c r="T806" s="35"/>
      <c r="U806" s="35"/>
      <c r="V806" s="35"/>
      <c r="W806" s="35"/>
      <c r="X806" s="35"/>
      <c r="Y806" s="35"/>
      <c r="Z806" s="35"/>
    </row>
    <row r="807" ht="14.25" customHeight="1">
      <c r="A807" s="136"/>
      <c r="B807" s="137"/>
      <c r="C807" s="251"/>
      <c r="D807" s="452"/>
      <c r="E807" s="136"/>
      <c r="F807" s="253"/>
      <c r="G807" s="140"/>
      <c r="H807" s="141"/>
      <c r="I807" s="141"/>
      <c r="J807" s="142"/>
      <c r="K807" s="142"/>
      <c r="L807" s="142"/>
      <c r="M807" s="142"/>
      <c r="N807" s="136"/>
      <c r="O807" s="34"/>
      <c r="P807" s="35"/>
      <c r="Q807" s="35"/>
      <c r="R807" s="35"/>
      <c r="S807" s="35"/>
      <c r="T807" s="35"/>
      <c r="U807" s="35"/>
      <c r="V807" s="35"/>
      <c r="W807" s="35"/>
      <c r="X807" s="35"/>
      <c r="Y807" s="35"/>
      <c r="Z807" s="35"/>
    </row>
    <row r="808" ht="14.25" customHeight="1">
      <c r="A808" s="136"/>
      <c r="B808" s="137"/>
      <c r="C808" s="251"/>
      <c r="D808" s="452"/>
      <c r="E808" s="136"/>
      <c r="F808" s="253"/>
      <c r="G808" s="140"/>
      <c r="H808" s="141"/>
      <c r="I808" s="141"/>
      <c r="J808" s="142"/>
      <c r="K808" s="142"/>
      <c r="L808" s="142"/>
      <c r="M808" s="142"/>
      <c r="N808" s="136"/>
      <c r="O808" s="34"/>
      <c r="P808" s="35"/>
      <c r="Q808" s="35"/>
      <c r="R808" s="35"/>
      <c r="S808" s="35"/>
      <c r="T808" s="35"/>
      <c r="U808" s="35"/>
      <c r="V808" s="35"/>
      <c r="W808" s="35"/>
      <c r="X808" s="35"/>
      <c r="Y808" s="35"/>
      <c r="Z808" s="35"/>
    </row>
    <row r="809" ht="14.25" customHeight="1">
      <c r="A809" s="136"/>
      <c r="B809" s="137"/>
      <c r="C809" s="251"/>
      <c r="D809" s="452"/>
      <c r="E809" s="136"/>
      <c r="F809" s="253"/>
      <c r="G809" s="140"/>
      <c r="H809" s="141"/>
      <c r="I809" s="141"/>
      <c r="J809" s="142"/>
      <c r="K809" s="142"/>
      <c r="L809" s="142"/>
      <c r="M809" s="142"/>
      <c r="N809" s="136"/>
      <c r="O809" s="34"/>
      <c r="P809" s="35"/>
      <c r="Q809" s="35"/>
      <c r="R809" s="35"/>
      <c r="S809" s="35"/>
      <c r="T809" s="35"/>
      <c r="U809" s="35"/>
      <c r="V809" s="35"/>
      <c r="W809" s="35"/>
      <c r="X809" s="35"/>
      <c r="Y809" s="35"/>
      <c r="Z809" s="35"/>
    </row>
    <row r="810" ht="14.25" customHeight="1">
      <c r="A810" s="136"/>
      <c r="B810" s="137"/>
      <c r="C810" s="251"/>
      <c r="D810" s="452"/>
      <c r="E810" s="136"/>
      <c r="F810" s="253"/>
      <c r="G810" s="140"/>
      <c r="H810" s="141"/>
      <c r="I810" s="141"/>
      <c r="J810" s="142"/>
      <c r="K810" s="142"/>
      <c r="L810" s="142"/>
      <c r="M810" s="142"/>
      <c r="N810" s="136"/>
      <c r="O810" s="34"/>
      <c r="P810" s="35"/>
      <c r="Q810" s="35"/>
      <c r="R810" s="35"/>
      <c r="S810" s="35"/>
      <c r="T810" s="35"/>
      <c r="U810" s="35"/>
      <c r="V810" s="35"/>
      <c r="W810" s="35"/>
      <c r="X810" s="35"/>
      <c r="Y810" s="35"/>
      <c r="Z810" s="35"/>
    </row>
    <row r="811" ht="14.25" customHeight="1">
      <c r="A811" s="136"/>
      <c r="B811" s="137"/>
      <c r="C811" s="251"/>
      <c r="D811" s="452"/>
      <c r="E811" s="136"/>
      <c r="F811" s="253"/>
      <c r="G811" s="140"/>
      <c r="H811" s="141"/>
      <c r="I811" s="141"/>
      <c r="J811" s="142"/>
      <c r="K811" s="142"/>
      <c r="L811" s="142"/>
      <c r="M811" s="142"/>
      <c r="N811" s="136"/>
      <c r="O811" s="34"/>
      <c r="P811" s="35"/>
      <c r="Q811" s="35"/>
      <c r="R811" s="35"/>
      <c r="S811" s="35"/>
      <c r="T811" s="35"/>
      <c r="U811" s="35"/>
      <c r="V811" s="35"/>
      <c r="W811" s="35"/>
      <c r="X811" s="35"/>
      <c r="Y811" s="35"/>
      <c r="Z811" s="35"/>
    </row>
    <row r="812" ht="14.25" customHeight="1">
      <c r="A812" s="136"/>
      <c r="B812" s="137"/>
      <c r="C812" s="251"/>
      <c r="D812" s="452"/>
      <c r="E812" s="136"/>
      <c r="F812" s="253"/>
      <c r="G812" s="140"/>
      <c r="H812" s="141"/>
      <c r="I812" s="141"/>
      <c r="J812" s="142"/>
      <c r="K812" s="142"/>
      <c r="L812" s="142"/>
      <c r="M812" s="142"/>
      <c r="N812" s="136"/>
      <c r="O812" s="34"/>
      <c r="P812" s="35"/>
      <c r="Q812" s="35"/>
      <c r="R812" s="35"/>
      <c r="S812" s="35"/>
      <c r="T812" s="35"/>
      <c r="U812" s="35"/>
      <c r="V812" s="35"/>
      <c r="W812" s="35"/>
      <c r="X812" s="35"/>
      <c r="Y812" s="35"/>
      <c r="Z812" s="35"/>
    </row>
    <row r="813" ht="14.25" customHeight="1">
      <c r="A813" s="136"/>
      <c r="B813" s="137"/>
      <c r="C813" s="251"/>
      <c r="D813" s="452"/>
      <c r="E813" s="136"/>
      <c r="F813" s="253"/>
      <c r="G813" s="140"/>
      <c r="H813" s="141"/>
      <c r="I813" s="141"/>
      <c r="J813" s="142"/>
      <c r="K813" s="142"/>
      <c r="L813" s="142"/>
      <c r="M813" s="142"/>
      <c r="N813" s="136"/>
      <c r="O813" s="34"/>
      <c r="P813" s="35"/>
      <c r="Q813" s="35"/>
      <c r="R813" s="35"/>
      <c r="S813" s="35"/>
      <c r="T813" s="35"/>
      <c r="U813" s="35"/>
      <c r="V813" s="35"/>
      <c r="W813" s="35"/>
      <c r="X813" s="35"/>
      <c r="Y813" s="35"/>
      <c r="Z813" s="35"/>
    </row>
    <row r="814" ht="14.25" customHeight="1">
      <c r="A814" s="136"/>
      <c r="B814" s="137"/>
      <c r="C814" s="251"/>
      <c r="D814" s="452"/>
      <c r="E814" s="136"/>
      <c r="F814" s="253"/>
      <c r="G814" s="140"/>
      <c r="H814" s="141"/>
      <c r="I814" s="141"/>
      <c r="J814" s="142"/>
      <c r="K814" s="142"/>
      <c r="L814" s="142"/>
      <c r="M814" s="142"/>
      <c r="N814" s="136"/>
      <c r="O814" s="34"/>
      <c r="P814" s="35"/>
      <c r="Q814" s="35"/>
      <c r="R814" s="35"/>
      <c r="S814" s="35"/>
      <c r="T814" s="35"/>
      <c r="U814" s="35"/>
      <c r="V814" s="35"/>
      <c r="W814" s="35"/>
      <c r="X814" s="35"/>
      <c r="Y814" s="35"/>
      <c r="Z814" s="35"/>
    </row>
    <row r="815" ht="14.25" customHeight="1">
      <c r="A815" s="136"/>
      <c r="B815" s="137"/>
      <c r="C815" s="251"/>
      <c r="D815" s="452"/>
      <c r="E815" s="136"/>
      <c r="F815" s="253"/>
      <c r="G815" s="140"/>
      <c r="H815" s="141"/>
      <c r="I815" s="141"/>
      <c r="J815" s="142"/>
      <c r="K815" s="142"/>
      <c r="L815" s="142"/>
      <c r="M815" s="142"/>
      <c r="N815" s="136"/>
      <c r="O815" s="34"/>
      <c r="P815" s="35"/>
      <c r="Q815" s="35"/>
      <c r="R815" s="35"/>
      <c r="S815" s="35"/>
      <c r="T815" s="35"/>
      <c r="U815" s="35"/>
      <c r="V815" s="35"/>
      <c r="W815" s="35"/>
      <c r="X815" s="35"/>
      <c r="Y815" s="35"/>
      <c r="Z815" s="35"/>
    </row>
    <row r="816" ht="14.25" customHeight="1">
      <c r="A816" s="136"/>
      <c r="B816" s="137"/>
      <c r="C816" s="251"/>
      <c r="D816" s="452"/>
      <c r="E816" s="136"/>
      <c r="F816" s="253"/>
      <c r="G816" s="140"/>
      <c r="H816" s="141"/>
      <c r="I816" s="141"/>
      <c r="J816" s="142"/>
      <c r="K816" s="142"/>
      <c r="L816" s="142"/>
      <c r="M816" s="142"/>
      <c r="N816" s="136"/>
      <c r="O816" s="34"/>
      <c r="P816" s="35"/>
      <c r="Q816" s="35"/>
      <c r="R816" s="35"/>
      <c r="S816" s="35"/>
      <c r="T816" s="35"/>
      <c r="U816" s="35"/>
      <c r="V816" s="35"/>
      <c r="W816" s="35"/>
      <c r="X816" s="35"/>
      <c r="Y816" s="35"/>
      <c r="Z816" s="35"/>
    </row>
    <row r="817" ht="14.25" customHeight="1">
      <c r="A817" s="136"/>
      <c r="B817" s="137"/>
      <c r="C817" s="251"/>
      <c r="D817" s="452"/>
      <c r="E817" s="136"/>
      <c r="F817" s="253"/>
      <c r="G817" s="140"/>
      <c r="H817" s="141"/>
      <c r="I817" s="141"/>
      <c r="J817" s="142"/>
      <c r="K817" s="142"/>
      <c r="L817" s="142"/>
      <c r="M817" s="142"/>
      <c r="N817" s="136"/>
      <c r="O817" s="34"/>
      <c r="P817" s="35"/>
      <c r="Q817" s="35"/>
      <c r="R817" s="35"/>
      <c r="S817" s="35"/>
      <c r="T817" s="35"/>
      <c r="U817" s="35"/>
      <c r="V817" s="35"/>
      <c r="W817" s="35"/>
      <c r="X817" s="35"/>
      <c r="Y817" s="35"/>
      <c r="Z817" s="35"/>
    </row>
    <row r="818" ht="14.25" customHeight="1">
      <c r="A818" s="136"/>
      <c r="B818" s="137"/>
      <c r="C818" s="251"/>
      <c r="D818" s="452"/>
      <c r="E818" s="136"/>
      <c r="F818" s="253"/>
      <c r="G818" s="140"/>
      <c r="H818" s="141"/>
      <c r="I818" s="141"/>
      <c r="J818" s="142"/>
      <c r="K818" s="142"/>
      <c r="L818" s="142"/>
      <c r="M818" s="142"/>
      <c r="N818" s="136"/>
      <c r="O818" s="34"/>
      <c r="P818" s="35"/>
      <c r="Q818" s="35"/>
      <c r="R818" s="35"/>
      <c r="S818" s="35"/>
      <c r="T818" s="35"/>
      <c r="U818" s="35"/>
      <c r="V818" s="35"/>
      <c r="W818" s="35"/>
      <c r="X818" s="35"/>
      <c r="Y818" s="35"/>
      <c r="Z818" s="35"/>
    </row>
    <row r="819" ht="14.25" customHeight="1">
      <c r="A819" s="136"/>
      <c r="B819" s="137"/>
      <c r="C819" s="251"/>
      <c r="D819" s="452"/>
      <c r="E819" s="136"/>
      <c r="F819" s="253"/>
      <c r="G819" s="140"/>
      <c r="H819" s="141"/>
      <c r="I819" s="141"/>
      <c r="J819" s="142"/>
      <c r="K819" s="142"/>
      <c r="L819" s="142"/>
      <c r="M819" s="142"/>
      <c r="N819" s="136"/>
      <c r="O819" s="34"/>
      <c r="P819" s="35"/>
      <c r="Q819" s="35"/>
      <c r="R819" s="35"/>
      <c r="S819" s="35"/>
      <c r="T819" s="35"/>
      <c r="U819" s="35"/>
      <c r="V819" s="35"/>
      <c r="W819" s="35"/>
      <c r="X819" s="35"/>
      <c r="Y819" s="35"/>
      <c r="Z819" s="35"/>
    </row>
    <row r="820" ht="14.25" customHeight="1">
      <c r="A820" s="136"/>
      <c r="B820" s="137"/>
      <c r="C820" s="251"/>
      <c r="D820" s="452"/>
      <c r="E820" s="136"/>
      <c r="F820" s="253"/>
      <c r="G820" s="140"/>
      <c r="H820" s="141"/>
      <c r="I820" s="141"/>
      <c r="J820" s="142"/>
      <c r="K820" s="142"/>
      <c r="L820" s="142"/>
      <c r="M820" s="142"/>
      <c r="N820" s="136"/>
      <c r="O820" s="34"/>
      <c r="P820" s="35"/>
      <c r="Q820" s="35"/>
      <c r="R820" s="35"/>
      <c r="S820" s="35"/>
      <c r="T820" s="35"/>
      <c r="U820" s="35"/>
      <c r="V820" s="35"/>
      <c r="W820" s="35"/>
      <c r="X820" s="35"/>
      <c r="Y820" s="35"/>
      <c r="Z820" s="35"/>
    </row>
    <row r="821" ht="14.25" customHeight="1">
      <c r="A821" s="136"/>
      <c r="B821" s="137"/>
      <c r="C821" s="251"/>
      <c r="D821" s="452"/>
      <c r="E821" s="136"/>
      <c r="F821" s="253"/>
      <c r="G821" s="140"/>
      <c r="H821" s="141"/>
      <c r="I821" s="141"/>
      <c r="J821" s="142"/>
      <c r="K821" s="142"/>
      <c r="L821" s="142"/>
      <c r="M821" s="142"/>
      <c r="N821" s="136"/>
      <c r="O821" s="34"/>
      <c r="P821" s="35"/>
      <c r="Q821" s="35"/>
      <c r="R821" s="35"/>
      <c r="S821" s="35"/>
      <c r="T821" s="35"/>
      <c r="U821" s="35"/>
      <c r="V821" s="35"/>
      <c r="W821" s="35"/>
      <c r="X821" s="35"/>
      <c r="Y821" s="35"/>
      <c r="Z821" s="35"/>
    </row>
    <row r="822" ht="14.25" customHeight="1">
      <c r="A822" s="136"/>
      <c r="B822" s="137"/>
      <c r="C822" s="251"/>
      <c r="D822" s="452"/>
      <c r="E822" s="136"/>
      <c r="F822" s="253"/>
      <c r="G822" s="140"/>
      <c r="H822" s="141"/>
      <c r="I822" s="141"/>
      <c r="J822" s="142"/>
      <c r="K822" s="142"/>
      <c r="L822" s="142"/>
      <c r="M822" s="142"/>
      <c r="N822" s="136"/>
      <c r="O822" s="34"/>
      <c r="P822" s="35"/>
      <c r="Q822" s="35"/>
      <c r="R822" s="35"/>
      <c r="S822" s="35"/>
      <c r="T822" s="35"/>
      <c r="U822" s="35"/>
      <c r="V822" s="35"/>
      <c r="W822" s="35"/>
      <c r="X822" s="35"/>
      <c r="Y822" s="35"/>
      <c r="Z822" s="35"/>
    </row>
    <row r="823" ht="14.25" customHeight="1">
      <c r="A823" s="136"/>
      <c r="B823" s="137"/>
      <c r="C823" s="251"/>
      <c r="D823" s="452"/>
      <c r="E823" s="136"/>
      <c r="F823" s="253"/>
      <c r="G823" s="140"/>
      <c r="H823" s="141"/>
      <c r="I823" s="141"/>
      <c r="J823" s="142"/>
      <c r="K823" s="142"/>
      <c r="L823" s="142"/>
      <c r="M823" s="142"/>
      <c r="N823" s="136"/>
      <c r="O823" s="34"/>
      <c r="P823" s="35"/>
      <c r="Q823" s="35"/>
      <c r="R823" s="35"/>
      <c r="S823" s="35"/>
      <c r="T823" s="35"/>
      <c r="U823" s="35"/>
      <c r="V823" s="35"/>
      <c r="W823" s="35"/>
      <c r="X823" s="35"/>
      <c r="Y823" s="35"/>
      <c r="Z823" s="35"/>
    </row>
    <row r="824" ht="14.25" customHeight="1">
      <c r="A824" s="136"/>
      <c r="B824" s="137"/>
      <c r="C824" s="251"/>
      <c r="D824" s="452"/>
      <c r="E824" s="136"/>
      <c r="F824" s="253"/>
      <c r="G824" s="140"/>
      <c r="H824" s="141"/>
      <c r="I824" s="141"/>
      <c r="J824" s="142"/>
      <c r="K824" s="142"/>
      <c r="L824" s="142"/>
      <c r="M824" s="142"/>
      <c r="N824" s="136"/>
      <c r="O824" s="34"/>
      <c r="P824" s="35"/>
      <c r="Q824" s="35"/>
      <c r="R824" s="35"/>
      <c r="S824" s="35"/>
      <c r="T824" s="35"/>
      <c r="U824" s="35"/>
      <c r="V824" s="35"/>
      <c r="W824" s="35"/>
      <c r="X824" s="35"/>
      <c r="Y824" s="35"/>
      <c r="Z824" s="35"/>
    </row>
    <row r="825" ht="14.25" customHeight="1">
      <c r="A825" s="136"/>
      <c r="B825" s="137"/>
      <c r="C825" s="251"/>
      <c r="D825" s="452"/>
      <c r="E825" s="136"/>
      <c r="F825" s="253"/>
      <c r="G825" s="140"/>
      <c r="H825" s="141"/>
      <c r="I825" s="141"/>
      <c r="J825" s="142"/>
      <c r="K825" s="142"/>
      <c r="L825" s="142"/>
      <c r="M825" s="142"/>
      <c r="N825" s="136"/>
      <c r="O825" s="34"/>
      <c r="P825" s="35"/>
      <c r="Q825" s="35"/>
      <c r="R825" s="35"/>
      <c r="S825" s="35"/>
      <c r="T825" s="35"/>
      <c r="U825" s="35"/>
      <c r="V825" s="35"/>
      <c r="W825" s="35"/>
      <c r="X825" s="35"/>
      <c r="Y825" s="35"/>
      <c r="Z825" s="35"/>
    </row>
    <row r="826" ht="14.25" customHeight="1">
      <c r="A826" s="136"/>
      <c r="B826" s="137"/>
      <c r="C826" s="251"/>
      <c r="D826" s="452"/>
      <c r="E826" s="136"/>
      <c r="F826" s="253"/>
      <c r="G826" s="140"/>
      <c r="H826" s="141"/>
      <c r="I826" s="141"/>
      <c r="J826" s="142"/>
      <c r="K826" s="142"/>
      <c r="L826" s="142"/>
      <c r="M826" s="142"/>
      <c r="N826" s="136"/>
      <c r="O826" s="34"/>
      <c r="P826" s="35"/>
      <c r="Q826" s="35"/>
      <c r="R826" s="35"/>
      <c r="S826" s="35"/>
      <c r="T826" s="35"/>
      <c r="U826" s="35"/>
      <c r="V826" s="35"/>
      <c r="W826" s="35"/>
      <c r="X826" s="35"/>
      <c r="Y826" s="35"/>
      <c r="Z826" s="35"/>
    </row>
    <row r="827" ht="14.25" customHeight="1">
      <c r="A827" s="136"/>
      <c r="B827" s="137"/>
      <c r="C827" s="251"/>
      <c r="D827" s="452"/>
      <c r="E827" s="136"/>
      <c r="F827" s="253"/>
      <c r="G827" s="140"/>
      <c r="H827" s="141"/>
      <c r="I827" s="141"/>
      <c r="J827" s="142"/>
      <c r="K827" s="142"/>
      <c r="L827" s="142"/>
      <c r="M827" s="142"/>
      <c r="N827" s="136"/>
      <c r="O827" s="34"/>
      <c r="P827" s="35"/>
      <c r="Q827" s="35"/>
      <c r="R827" s="35"/>
      <c r="S827" s="35"/>
      <c r="T827" s="35"/>
      <c r="U827" s="35"/>
      <c r="V827" s="35"/>
      <c r="W827" s="35"/>
      <c r="X827" s="35"/>
      <c r="Y827" s="35"/>
      <c r="Z827" s="35"/>
    </row>
    <row r="828" ht="14.25" customHeight="1">
      <c r="A828" s="136"/>
      <c r="B828" s="137"/>
      <c r="C828" s="251"/>
      <c r="D828" s="452"/>
      <c r="E828" s="136"/>
      <c r="F828" s="253"/>
      <c r="G828" s="140"/>
      <c r="H828" s="141"/>
      <c r="I828" s="141"/>
      <c r="J828" s="142"/>
      <c r="K828" s="142"/>
      <c r="L828" s="142"/>
      <c r="M828" s="142"/>
      <c r="N828" s="136"/>
      <c r="O828" s="34"/>
      <c r="P828" s="35"/>
      <c r="Q828" s="35"/>
      <c r="R828" s="35"/>
      <c r="S828" s="35"/>
      <c r="T828" s="35"/>
      <c r="U828" s="35"/>
      <c r="V828" s="35"/>
      <c r="W828" s="35"/>
      <c r="X828" s="35"/>
      <c r="Y828" s="35"/>
      <c r="Z828" s="35"/>
    </row>
    <row r="829" ht="14.25" customHeight="1">
      <c r="A829" s="136"/>
      <c r="B829" s="137"/>
      <c r="C829" s="251"/>
      <c r="D829" s="452"/>
      <c r="E829" s="136"/>
      <c r="F829" s="253"/>
      <c r="G829" s="140"/>
      <c r="H829" s="141"/>
      <c r="I829" s="141"/>
      <c r="J829" s="142"/>
      <c r="K829" s="142"/>
      <c r="L829" s="142"/>
      <c r="M829" s="142"/>
      <c r="N829" s="136"/>
      <c r="O829" s="34"/>
      <c r="P829" s="35"/>
      <c r="Q829" s="35"/>
      <c r="R829" s="35"/>
      <c r="S829" s="35"/>
      <c r="T829" s="35"/>
      <c r="U829" s="35"/>
      <c r="V829" s="35"/>
      <c r="W829" s="35"/>
      <c r="X829" s="35"/>
      <c r="Y829" s="35"/>
      <c r="Z829" s="35"/>
    </row>
    <row r="830" ht="14.25" customHeight="1">
      <c r="A830" s="136"/>
      <c r="B830" s="137"/>
      <c r="C830" s="251"/>
      <c r="D830" s="452"/>
      <c r="E830" s="136"/>
      <c r="F830" s="253"/>
      <c r="G830" s="140"/>
      <c r="H830" s="141"/>
      <c r="I830" s="141"/>
      <c r="J830" s="142"/>
      <c r="K830" s="142"/>
      <c r="L830" s="142"/>
      <c r="M830" s="142"/>
      <c r="N830" s="136"/>
      <c r="O830" s="34"/>
      <c r="P830" s="35"/>
      <c r="Q830" s="35"/>
      <c r="R830" s="35"/>
      <c r="S830" s="35"/>
      <c r="T830" s="35"/>
      <c r="U830" s="35"/>
      <c r="V830" s="35"/>
      <c r="W830" s="35"/>
      <c r="X830" s="35"/>
      <c r="Y830" s="35"/>
      <c r="Z830" s="35"/>
    </row>
    <row r="831" ht="14.25" customHeight="1">
      <c r="A831" s="136"/>
      <c r="B831" s="137"/>
      <c r="C831" s="251"/>
      <c r="D831" s="452"/>
      <c r="E831" s="136"/>
      <c r="F831" s="253"/>
      <c r="G831" s="140"/>
      <c r="H831" s="141"/>
      <c r="I831" s="141"/>
      <c r="J831" s="142"/>
      <c r="K831" s="142"/>
      <c r="L831" s="142"/>
      <c r="M831" s="142"/>
      <c r="N831" s="136"/>
      <c r="O831" s="34"/>
      <c r="P831" s="35"/>
      <c r="Q831" s="35"/>
      <c r="R831" s="35"/>
      <c r="S831" s="35"/>
      <c r="T831" s="35"/>
      <c r="U831" s="35"/>
      <c r="V831" s="35"/>
      <c r="W831" s="35"/>
      <c r="X831" s="35"/>
      <c r="Y831" s="35"/>
      <c r="Z831" s="35"/>
    </row>
    <row r="832" ht="14.25" customHeight="1">
      <c r="A832" s="136"/>
      <c r="B832" s="137"/>
      <c r="C832" s="251"/>
      <c r="D832" s="452"/>
      <c r="E832" s="136"/>
      <c r="F832" s="253"/>
      <c r="G832" s="140"/>
      <c r="H832" s="141"/>
      <c r="I832" s="141"/>
      <c r="J832" s="142"/>
      <c r="K832" s="142"/>
      <c r="L832" s="142"/>
      <c r="M832" s="142"/>
      <c r="N832" s="136"/>
      <c r="O832" s="34"/>
      <c r="P832" s="35"/>
      <c r="Q832" s="35"/>
      <c r="R832" s="35"/>
      <c r="S832" s="35"/>
      <c r="T832" s="35"/>
      <c r="U832" s="35"/>
      <c r="V832" s="35"/>
      <c r="W832" s="35"/>
      <c r="X832" s="35"/>
      <c r="Y832" s="35"/>
      <c r="Z832" s="35"/>
    </row>
    <row r="833" ht="14.25" customHeight="1">
      <c r="A833" s="136"/>
      <c r="B833" s="137"/>
      <c r="C833" s="251"/>
      <c r="D833" s="452"/>
      <c r="E833" s="136"/>
      <c r="F833" s="253"/>
      <c r="G833" s="140"/>
      <c r="H833" s="141"/>
      <c r="I833" s="141"/>
      <c r="J833" s="142"/>
      <c r="K833" s="142"/>
      <c r="L833" s="142"/>
      <c r="M833" s="142"/>
      <c r="N833" s="136"/>
      <c r="O833" s="34"/>
      <c r="P833" s="35"/>
      <c r="Q833" s="35"/>
      <c r="R833" s="35"/>
      <c r="S833" s="35"/>
      <c r="T833" s="35"/>
      <c r="U833" s="35"/>
      <c r="V833" s="35"/>
      <c r="W833" s="35"/>
      <c r="X833" s="35"/>
      <c r="Y833" s="35"/>
      <c r="Z833" s="35"/>
    </row>
    <row r="834" ht="14.25" customHeight="1">
      <c r="A834" s="136"/>
      <c r="B834" s="137"/>
      <c r="C834" s="251"/>
      <c r="D834" s="452"/>
      <c r="E834" s="136"/>
      <c r="F834" s="253"/>
      <c r="G834" s="140"/>
      <c r="H834" s="141"/>
      <c r="I834" s="141"/>
      <c r="J834" s="142"/>
      <c r="K834" s="142"/>
      <c r="L834" s="142"/>
      <c r="M834" s="142"/>
      <c r="N834" s="136"/>
      <c r="O834" s="34"/>
      <c r="P834" s="35"/>
      <c r="Q834" s="35"/>
      <c r="R834" s="35"/>
      <c r="S834" s="35"/>
      <c r="T834" s="35"/>
      <c r="U834" s="35"/>
      <c r="V834" s="35"/>
      <c r="W834" s="35"/>
      <c r="X834" s="35"/>
      <c r="Y834" s="35"/>
      <c r="Z834" s="35"/>
    </row>
    <row r="835" ht="14.25" customHeight="1">
      <c r="A835" s="136"/>
      <c r="B835" s="137"/>
      <c r="C835" s="251"/>
      <c r="D835" s="452"/>
      <c r="E835" s="136"/>
      <c r="F835" s="253"/>
      <c r="G835" s="140"/>
      <c r="H835" s="141"/>
      <c r="I835" s="141"/>
      <c r="J835" s="142"/>
      <c r="K835" s="142"/>
      <c r="L835" s="142"/>
      <c r="M835" s="142"/>
      <c r="N835" s="136"/>
      <c r="O835" s="34"/>
      <c r="P835" s="35"/>
      <c r="Q835" s="35"/>
      <c r="R835" s="35"/>
      <c r="S835" s="35"/>
      <c r="T835" s="35"/>
      <c r="U835" s="35"/>
      <c r="V835" s="35"/>
      <c r="W835" s="35"/>
      <c r="X835" s="35"/>
      <c r="Y835" s="35"/>
      <c r="Z835" s="35"/>
    </row>
    <row r="836" ht="14.25" customHeight="1">
      <c r="A836" s="136"/>
      <c r="B836" s="137"/>
      <c r="C836" s="251"/>
      <c r="D836" s="452"/>
      <c r="E836" s="136"/>
      <c r="F836" s="253"/>
      <c r="G836" s="140"/>
      <c r="H836" s="141"/>
      <c r="I836" s="141"/>
      <c r="J836" s="142"/>
      <c r="K836" s="142"/>
      <c r="L836" s="142"/>
      <c r="M836" s="142"/>
      <c r="N836" s="136"/>
      <c r="O836" s="34"/>
      <c r="P836" s="35"/>
      <c r="Q836" s="35"/>
      <c r="R836" s="35"/>
      <c r="S836" s="35"/>
      <c r="T836" s="35"/>
      <c r="U836" s="35"/>
      <c r="V836" s="35"/>
      <c r="W836" s="35"/>
      <c r="X836" s="35"/>
      <c r="Y836" s="35"/>
      <c r="Z836" s="35"/>
    </row>
    <row r="837" ht="14.25" customHeight="1">
      <c r="A837" s="136"/>
      <c r="B837" s="137"/>
      <c r="C837" s="251"/>
      <c r="D837" s="452"/>
      <c r="E837" s="136"/>
      <c r="F837" s="253"/>
      <c r="G837" s="140"/>
      <c r="H837" s="141"/>
      <c r="I837" s="141"/>
      <c r="J837" s="142"/>
      <c r="K837" s="142"/>
      <c r="L837" s="142"/>
      <c r="M837" s="142"/>
      <c r="N837" s="136"/>
      <c r="O837" s="34"/>
      <c r="P837" s="35"/>
      <c r="Q837" s="35"/>
      <c r="R837" s="35"/>
      <c r="S837" s="35"/>
      <c r="T837" s="35"/>
      <c r="U837" s="35"/>
      <c r="V837" s="35"/>
      <c r="W837" s="35"/>
      <c r="X837" s="35"/>
      <c r="Y837" s="35"/>
      <c r="Z837" s="35"/>
    </row>
    <row r="838" ht="14.25" customHeight="1">
      <c r="A838" s="136"/>
      <c r="B838" s="137"/>
      <c r="C838" s="251"/>
      <c r="D838" s="452"/>
      <c r="E838" s="136"/>
      <c r="F838" s="253"/>
      <c r="G838" s="140"/>
      <c r="H838" s="141"/>
      <c r="I838" s="141"/>
      <c r="J838" s="142"/>
      <c r="K838" s="142"/>
      <c r="L838" s="142"/>
      <c r="M838" s="142"/>
      <c r="N838" s="136"/>
      <c r="O838" s="34"/>
      <c r="P838" s="35"/>
      <c r="Q838" s="35"/>
      <c r="R838" s="35"/>
      <c r="S838" s="35"/>
      <c r="T838" s="35"/>
      <c r="U838" s="35"/>
      <c r="V838" s="35"/>
      <c r="W838" s="35"/>
      <c r="X838" s="35"/>
      <c r="Y838" s="35"/>
      <c r="Z838" s="35"/>
    </row>
    <row r="839" ht="14.25" customHeight="1">
      <c r="A839" s="136"/>
      <c r="B839" s="137"/>
      <c r="C839" s="251"/>
      <c r="D839" s="452"/>
      <c r="E839" s="136"/>
      <c r="F839" s="253"/>
      <c r="G839" s="140"/>
      <c r="H839" s="141"/>
      <c r="I839" s="141"/>
      <c r="J839" s="142"/>
      <c r="K839" s="142"/>
      <c r="L839" s="142"/>
      <c r="M839" s="142"/>
      <c r="N839" s="136"/>
      <c r="O839" s="34"/>
      <c r="P839" s="35"/>
      <c r="Q839" s="35"/>
      <c r="R839" s="35"/>
      <c r="S839" s="35"/>
      <c r="T839" s="35"/>
      <c r="U839" s="35"/>
      <c r="V839" s="35"/>
      <c r="W839" s="35"/>
      <c r="X839" s="35"/>
      <c r="Y839" s="35"/>
      <c r="Z839" s="35"/>
    </row>
    <row r="840" ht="14.25" customHeight="1">
      <c r="A840" s="136"/>
      <c r="B840" s="137"/>
      <c r="C840" s="251"/>
      <c r="D840" s="452"/>
      <c r="E840" s="136"/>
      <c r="F840" s="253"/>
      <c r="G840" s="140"/>
      <c r="H840" s="141"/>
      <c r="I840" s="141"/>
      <c r="J840" s="142"/>
      <c r="K840" s="142"/>
      <c r="L840" s="142"/>
      <c r="M840" s="142"/>
      <c r="N840" s="136"/>
      <c r="O840" s="34"/>
      <c r="P840" s="35"/>
      <c r="Q840" s="35"/>
      <c r="R840" s="35"/>
      <c r="S840" s="35"/>
      <c r="T840" s="35"/>
      <c r="U840" s="35"/>
      <c r="V840" s="35"/>
      <c r="W840" s="35"/>
      <c r="X840" s="35"/>
      <c r="Y840" s="35"/>
      <c r="Z840" s="35"/>
    </row>
    <row r="841" ht="14.25" customHeight="1">
      <c r="A841" s="136"/>
      <c r="B841" s="137"/>
      <c r="C841" s="251"/>
      <c r="D841" s="452"/>
      <c r="E841" s="136"/>
      <c r="F841" s="253"/>
      <c r="G841" s="140"/>
      <c r="H841" s="141"/>
      <c r="I841" s="141"/>
      <c r="J841" s="142"/>
      <c r="K841" s="142"/>
      <c r="L841" s="142"/>
      <c r="M841" s="142"/>
      <c r="N841" s="136"/>
      <c r="O841" s="34"/>
      <c r="P841" s="35"/>
      <c r="Q841" s="35"/>
      <c r="R841" s="35"/>
      <c r="S841" s="35"/>
      <c r="T841" s="35"/>
      <c r="U841" s="35"/>
      <c r="V841" s="35"/>
      <c r="W841" s="35"/>
      <c r="X841" s="35"/>
      <c r="Y841" s="35"/>
      <c r="Z841" s="35"/>
    </row>
    <row r="842" ht="14.25" customHeight="1">
      <c r="A842" s="136"/>
      <c r="B842" s="137"/>
      <c r="C842" s="251"/>
      <c r="D842" s="452"/>
      <c r="E842" s="136"/>
      <c r="F842" s="253"/>
      <c r="G842" s="140"/>
      <c r="H842" s="141"/>
      <c r="I842" s="141"/>
      <c r="J842" s="142"/>
      <c r="K842" s="142"/>
      <c r="L842" s="142"/>
      <c r="M842" s="142"/>
      <c r="N842" s="136"/>
      <c r="O842" s="34"/>
      <c r="P842" s="35"/>
      <c r="Q842" s="35"/>
      <c r="R842" s="35"/>
      <c r="S842" s="35"/>
      <c r="T842" s="35"/>
      <c r="U842" s="35"/>
      <c r="V842" s="35"/>
      <c r="W842" s="35"/>
      <c r="X842" s="35"/>
      <c r="Y842" s="35"/>
      <c r="Z842" s="35"/>
    </row>
    <row r="843" ht="14.25" customHeight="1">
      <c r="A843" s="136"/>
      <c r="B843" s="137"/>
      <c r="C843" s="251"/>
      <c r="D843" s="452"/>
      <c r="E843" s="136"/>
      <c r="F843" s="253"/>
      <c r="G843" s="140"/>
      <c r="H843" s="141"/>
      <c r="I843" s="141"/>
      <c r="J843" s="142"/>
      <c r="K843" s="142"/>
      <c r="L843" s="142"/>
      <c r="M843" s="142"/>
      <c r="N843" s="136"/>
      <c r="O843" s="34"/>
      <c r="P843" s="35"/>
      <c r="Q843" s="35"/>
      <c r="R843" s="35"/>
      <c r="S843" s="35"/>
      <c r="T843" s="35"/>
      <c r="U843" s="35"/>
      <c r="V843" s="35"/>
      <c r="W843" s="35"/>
      <c r="X843" s="35"/>
      <c r="Y843" s="35"/>
      <c r="Z843" s="35"/>
    </row>
    <row r="844" ht="14.25" customHeight="1">
      <c r="A844" s="136"/>
      <c r="B844" s="137"/>
      <c r="C844" s="251"/>
      <c r="D844" s="452"/>
      <c r="E844" s="136"/>
      <c r="F844" s="253"/>
      <c r="G844" s="140"/>
      <c r="H844" s="141"/>
      <c r="I844" s="141"/>
      <c r="J844" s="142"/>
      <c r="K844" s="142"/>
      <c r="L844" s="142"/>
      <c r="M844" s="142"/>
      <c r="N844" s="136"/>
      <c r="O844" s="34"/>
      <c r="P844" s="35"/>
      <c r="Q844" s="35"/>
      <c r="R844" s="35"/>
      <c r="S844" s="35"/>
      <c r="T844" s="35"/>
      <c r="U844" s="35"/>
      <c r="V844" s="35"/>
      <c r="W844" s="35"/>
      <c r="X844" s="35"/>
      <c r="Y844" s="35"/>
      <c r="Z844" s="35"/>
    </row>
    <row r="845" ht="14.25" customHeight="1">
      <c r="A845" s="136"/>
      <c r="B845" s="137"/>
      <c r="C845" s="251"/>
      <c r="D845" s="452"/>
      <c r="E845" s="136"/>
      <c r="F845" s="253"/>
      <c r="G845" s="140"/>
      <c r="H845" s="141"/>
      <c r="I845" s="141"/>
      <c r="J845" s="142"/>
      <c r="K845" s="142"/>
      <c r="L845" s="142"/>
      <c r="M845" s="142"/>
      <c r="N845" s="136"/>
      <c r="O845" s="34"/>
      <c r="P845" s="35"/>
      <c r="Q845" s="35"/>
      <c r="R845" s="35"/>
      <c r="S845" s="35"/>
      <c r="T845" s="35"/>
      <c r="U845" s="35"/>
      <c r="V845" s="35"/>
      <c r="W845" s="35"/>
      <c r="X845" s="35"/>
      <c r="Y845" s="35"/>
      <c r="Z845" s="35"/>
    </row>
    <row r="846" ht="14.25" customHeight="1">
      <c r="A846" s="136"/>
      <c r="B846" s="137"/>
      <c r="C846" s="251"/>
      <c r="D846" s="452"/>
      <c r="E846" s="136"/>
      <c r="F846" s="253"/>
      <c r="G846" s="140"/>
      <c r="H846" s="141"/>
      <c r="I846" s="141"/>
      <c r="J846" s="142"/>
      <c r="K846" s="142"/>
      <c r="L846" s="142"/>
      <c r="M846" s="142"/>
      <c r="N846" s="136"/>
      <c r="O846" s="34"/>
      <c r="P846" s="35"/>
      <c r="Q846" s="35"/>
      <c r="R846" s="35"/>
      <c r="S846" s="35"/>
      <c r="T846" s="35"/>
      <c r="U846" s="35"/>
      <c r="V846" s="35"/>
      <c r="W846" s="35"/>
      <c r="X846" s="35"/>
      <c r="Y846" s="35"/>
      <c r="Z846" s="35"/>
    </row>
    <row r="847" ht="14.25" customHeight="1">
      <c r="A847" s="136"/>
      <c r="B847" s="137"/>
      <c r="C847" s="251"/>
      <c r="D847" s="452"/>
      <c r="E847" s="136"/>
      <c r="F847" s="253"/>
      <c r="G847" s="140"/>
      <c r="H847" s="141"/>
      <c r="I847" s="141"/>
      <c r="J847" s="142"/>
      <c r="K847" s="142"/>
      <c r="L847" s="142"/>
      <c r="M847" s="142"/>
      <c r="N847" s="136"/>
      <c r="O847" s="34"/>
      <c r="P847" s="35"/>
      <c r="Q847" s="35"/>
      <c r="R847" s="35"/>
      <c r="S847" s="35"/>
      <c r="T847" s="35"/>
      <c r="U847" s="35"/>
      <c r="V847" s="35"/>
      <c r="W847" s="35"/>
      <c r="X847" s="35"/>
      <c r="Y847" s="35"/>
      <c r="Z847" s="35"/>
    </row>
    <row r="848" ht="14.25" customHeight="1">
      <c r="A848" s="136"/>
      <c r="B848" s="137"/>
      <c r="C848" s="251"/>
      <c r="D848" s="452"/>
      <c r="E848" s="136"/>
      <c r="F848" s="253"/>
      <c r="G848" s="140"/>
      <c r="H848" s="141"/>
      <c r="I848" s="141"/>
      <c r="J848" s="142"/>
      <c r="K848" s="142"/>
      <c r="L848" s="142"/>
      <c r="M848" s="142"/>
      <c r="N848" s="136"/>
      <c r="O848" s="34"/>
      <c r="P848" s="35"/>
      <c r="Q848" s="35"/>
      <c r="R848" s="35"/>
      <c r="S848" s="35"/>
      <c r="T848" s="35"/>
      <c r="U848" s="35"/>
      <c r="V848" s="35"/>
      <c r="W848" s="35"/>
      <c r="X848" s="35"/>
      <c r="Y848" s="35"/>
      <c r="Z848" s="35"/>
    </row>
    <row r="849" ht="14.25" customHeight="1">
      <c r="A849" s="136"/>
      <c r="B849" s="137"/>
      <c r="C849" s="251"/>
      <c r="D849" s="452"/>
      <c r="E849" s="136"/>
      <c r="F849" s="253"/>
      <c r="G849" s="140"/>
      <c r="H849" s="141"/>
      <c r="I849" s="141"/>
      <c r="J849" s="142"/>
      <c r="K849" s="142"/>
      <c r="L849" s="142"/>
      <c r="M849" s="142"/>
      <c r="N849" s="136"/>
      <c r="O849" s="34"/>
      <c r="P849" s="35"/>
      <c r="Q849" s="35"/>
      <c r="R849" s="35"/>
      <c r="S849" s="35"/>
      <c r="T849" s="35"/>
      <c r="U849" s="35"/>
      <c r="V849" s="35"/>
      <c r="W849" s="35"/>
      <c r="X849" s="35"/>
      <c r="Y849" s="35"/>
      <c r="Z849" s="35"/>
    </row>
    <row r="850" ht="14.25" customHeight="1">
      <c r="A850" s="136"/>
      <c r="B850" s="137"/>
      <c r="C850" s="251"/>
      <c r="D850" s="452"/>
      <c r="E850" s="136"/>
      <c r="F850" s="253"/>
      <c r="G850" s="140"/>
      <c r="H850" s="141"/>
      <c r="I850" s="141"/>
      <c r="J850" s="142"/>
      <c r="K850" s="142"/>
      <c r="L850" s="142"/>
      <c r="M850" s="142"/>
      <c r="N850" s="136"/>
      <c r="O850" s="34"/>
      <c r="P850" s="35"/>
      <c r="Q850" s="35"/>
      <c r="R850" s="35"/>
      <c r="S850" s="35"/>
      <c r="T850" s="35"/>
      <c r="U850" s="35"/>
      <c r="V850" s="35"/>
      <c r="W850" s="35"/>
      <c r="X850" s="35"/>
      <c r="Y850" s="35"/>
      <c r="Z850" s="35"/>
    </row>
    <row r="851" ht="14.25" customHeight="1">
      <c r="A851" s="136"/>
      <c r="B851" s="137"/>
      <c r="C851" s="251"/>
      <c r="D851" s="452"/>
      <c r="E851" s="136"/>
      <c r="F851" s="253"/>
      <c r="G851" s="140"/>
      <c r="H851" s="141"/>
      <c r="I851" s="141"/>
      <c r="J851" s="142"/>
      <c r="K851" s="142"/>
      <c r="L851" s="142"/>
      <c r="M851" s="142"/>
      <c r="N851" s="136"/>
      <c r="O851" s="34"/>
      <c r="P851" s="35"/>
      <c r="Q851" s="35"/>
      <c r="R851" s="35"/>
      <c r="S851" s="35"/>
      <c r="T851" s="35"/>
      <c r="U851" s="35"/>
      <c r="V851" s="35"/>
      <c r="W851" s="35"/>
      <c r="X851" s="35"/>
      <c r="Y851" s="35"/>
      <c r="Z851" s="35"/>
    </row>
    <row r="852" ht="14.25" customHeight="1">
      <c r="A852" s="136"/>
      <c r="B852" s="137"/>
      <c r="C852" s="251"/>
      <c r="D852" s="452"/>
      <c r="E852" s="136"/>
      <c r="F852" s="253"/>
      <c r="G852" s="140"/>
      <c r="H852" s="141"/>
      <c r="I852" s="141"/>
      <c r="J852" s="142"/>
      <c r="K852" s="142"/>
      <c r="L852" s="142"/>
      <c r="M852" s="142"/>
      <c r="N852" s="136"/>
      <c r="O852" s="34"/>
      <c r="P852" s="35"/>
      <c r="Q852" s="35"/>
      <c r="R852" s="35"/>
      <c r="S852" s="35"/>
      <c r="T852" s="35"/>
      <c r="U852" s="35"/>
      <c r="V852" s="35"/>
      <c r="W852" s="35"/>
      <c r="X852" s="35"/>
      <c r="Y852" s="35"/>
      <c r="Z852" s="35"/>
    </row>
    <row r="853" ht="14.25" customHeight="1">
      <c r="A853" s="136"/>
      <c r="B853" s="137"/>
      <c r="C853" s="251"/>
      <c r="D853" s="452"/>
      <c r="E853" s="136"/>
      <c r="F853" s="253"/>
      <c r="G853" s="140"/>
      <c r="H853" s="141"/>
      <c r="I853" s="141"/>
      <c r="J853" s="142"/>
      <c r="K853" s="142"/>
      <c r="L853" s="142"/>
      <c r="M853" s="142"/>
      <c r="N853" s="136"/>
      <c r="O853" s="34"/>
      <c r="P853" s="35"/>
      <c r="Q853" s="35"/>
      <c r="R853" s="35"/>
      <c r="S853" s="35"/>
      <c r="T853" s="35"/>
      <c r="U853" s="35"/>
      <c r="V853" s="35"/>
      <c r="W853" s="35"/>
      <c r="X853" s="35"/>
      <c r="Y853" s="35"/>
      <c r="Z853" s="35"/>
    </row>
    <row r="854" ht="14.25" customHeight="1">
      <c r="A854" s="136"/>
      <c r="B854" s="137"/>
      <c r="C854" s="251"/>
      <c r="D854" s="452"/>
      <c r="E854" s="136"/>
      <c r="F854" s="253"/>
      <c r="G854" s="140"/>
      <c r="H854" s="141"/>
      <c r="I854" s="141"/>
      <c r="J854" s="142"/>
      <c r="K854" s="142"/>
      <c r="L854" s="142"/>
      <c r="M854" s="142"/>
      <c r="N854" s="136"/>
      <c r="O854" s="34"/>
      <c r="P854" s="35"/>
      <c r="Q854" s="35"/>
      <c r="R854" s="35"/>
      <c r="S854" s="35"/>
      <c r="T854" s="35"/>
      <c r="U854" s="35"/>
      <c r="V854" s="35"/>
      <c r="W854" s="35"/>
      <c r="X854" s="35"/>
      <c r="Y854" s="35"/>
      <c r="Z854" s="35"/>
    </row>
    <row r="855" ht="14.25" customHeight="1">
      <c r="A855" s="136"/>
      <c r="B855" s="137"/>
      <c r="C855" s="251"/>
      <c r="D855" s="452"/>
      <c r="E855" s="136"/>
      <c r="F855" s="253"/>
      <c r="G855" s="140"/>
      <c r="H855" s="141"/>
      <c r="I855" s="141"/>
      <c r="J855" s="142"/>
      <c r="K855" s="142"/>
      <c r="L855" s="142"/>
      <c r="M855" s="142"/>
      <c r="N855" s="136"/>
      <c r="O855" s="34"/>
      <c r="P855" s="35"/>
      <c r="Q855" s="35"/>
      <c r="R855" s="35"/>
      <c r="S855" s="35"/>
      <c r="T855" s="35"/>
      <c r="U855" s="35"/>
      <c r="V855" s="35"/>
      <c r="W855" s="35"/>
      <c r="X855" s="35"/>
      <c r="Y855" s="35"/>
      <c r="Z855" s="35"/>
    </row>
    <row r="856" ht="14.25" customHeight="1">
      <c r="A856" s="136"/>
      <c r="B856" s="137"/>
      <c r="C856" s="251"/>
      <c r="D856" s="452"/>
      <c r="E856" s="136"/>
      <c r="F856" s="253"/>
      <c r="G856" s="140"/>
      <c r="H856" s="141"/>
      <c r="I856" s="141"/>
      <c r="J856" s="142"/>
      <c r="K856" s="142"/>
      <c r="L856" s="142"/>
      <c r="M856" s="142"/>
      <c r="N856" s="136"/>
      <c r="O856" s="34"/>
      <c r="P856" s="35"/>
      <c r="Q856" s="35"/>
      <c r="R856" s="35"/>
      <c r="S856" s="35"/>
      <c r="T856" s="35"/>
      <c r="U856" s="35"/>
      <c r="V856" s="35"/>
      <c r="W856" s="35"/>
      <c r="X856" s="35"/>
      <c r="Y856" s="35"/>
      <c r="Z856" s="35"/>
    </row>
    <row r="857" ht="14.25" customHeight="1">
      <c r="A857" s="136"/>
      <c r="B857" s="137"/>
      <c r="C857" s="251"/>
      <c r="D857" s="452"/>
      <c r="E857" s="136"/>
      <c r="F857" s="253"/>
      <c r="G857" s="140"/>
      <c r="H857" s="141"/>
      <c r="I857" s="141"/>
      <c r="J857" s="142"/>
      <c r="K857" s="142"/>
      <c r="L857" s="142"/>
      <c r="M857" s="142"/>
      <c r="N857" s="136"/>
      <c r="O857" s="34"/>
      <c r="P857" s="35"/>
      <c r="Q857" s="35"/>
      <c r="R857" s="35"/>
      <c r="S857" s="35"/>
      <c r="T857" s="35"/>
      <c r="U857" s="35"/>
      <c r="V857" s="35"/>
      <c r="W857" s="35"/>
      <c r="X857" s="35"/>
      <c r="Y857" s="35"/>
      <c r="Z857" s="35"/>
    </row>
    <row r="858" ht="14.25" customHeight="1">
      <c r="A858" s="136"/>
      <c r="B858" s="137"/>
      <c r="C858" s="251"/>
      <c r="D858" s="452"/>
      <c r="E858" s="136"/>
      <c r="F858" s="253"/>
      <c r="G858" s="140"/>
      <c r="H858" s="141"/>
      <c r="I858" s="141"/>
      <c r="J858" s="142"/>
      <c r="K858" s="142"/>
      <c r="L858" s="142"/>
      <c r="M858" s="142"/>
      <c r="N858" s="136"/>
      <c r="O858" s="34"/>
      <c r="P858" s="35"/>
      <c r="Q858" s="35"/>
      <c r="R858" s="35"/>
      <c r="S858" s="35"/>
      <c r="T858" s="35"/>
      <c r="U858" s="35"/>
      <c r="V858" s="35"/>
      <c r="W858" s="35"/>
      <c r="X858" s="35"/>
      <c r="Y858" s="35"/>
      <c r="Z858" s="35"/>
    </row>
    <row r="859" ht="14.25" customHeight="1">
      <c r="A859" s="136"/>
      <c r="B859" s="137"/>
      <c r="C859" s="251"/>
      <c r="D859" s="452"/>
      <c r="E859" s="136"/>
      <c r="F859" s="253"/>
      <c r="G859" s="140"/>
      <c r="H859" s="141"/>
      <c r="I859" s="141"/>
      <c r="J859" s="142"/>
      <c r="K859" s="142"/>
      <c r="L859" s="142"/>
      <c r="M859" s="142"/>
      <c r="N859" s="136"/>
      <c r="O859" s="34"/>
      <c r="P859" s="35"/>
      <c r="Q859" s="35"/>
      <c r="R859" s="35"/>
      <c r="S859" s="35"/>
      <c r="T859" s="35"/>
      <c r="U859" s="35"/>
      <c r="V859" s="35"/>
      <c r="W859" s="35"/>
      <c r="X859" s="35"/>
      <c r="Y859" s="35"/>
      <c r="Z859" s="35"/>
    </row>
    <row r="860" ht="14.25" customHeight="1">
      <c r="A860" s="136"/>
      <c r="B860" s="137"/>
      <c r="C860" s="251"/>
      <c r="D860" s="452"/>
      <c r="E860" s="136"/>
      <c r="F860" s="253"/>
      <c r="G860" s="140"/>
      <c r="H860" s="141"/>
      <c r="I860" s="141"/>
      <c r="J860" s="142"/>
      <c r="K860" s="142"/>
      <c r="L860" s="142"/>
      <c r="M860" s="142"/>
      <c r="N860" s="136"/>
      <c r="O860" s="34"/>
      <c r="P860" s="35"/>
      <c r="Q860" s="35"/>
      <c r="R860" s="35"/>
      <c r="S860" s="35"/>
      <c r="T860" s="35"/>
      <c r="U860" s="35"/>
      <c r="V860" s="35"/>
      <c r="W860" s="35"/>
      <c r="X860" s="35"/>
      <c r="Y860" s="35"/>
      <c r="Z860" s="35"/>
    </row>
    <row r="861" ht="14.25" customHeight="1">
      <c r="A861" s="136"/>
      <c r="B861" s="137"/>
      <c r="C861" s="251"/>
      <c r="D861" s="452"/>
      <c r="E861" s="136"/>
      <c r="F861" s="253"/>
      <c r="G861" s="140"/>
      <c r="H861" s="141"/>
      <c r="I861" s="141"/>
      <c r="J861" s="142"/>
      <c r="K861" s="142"/>
      <c r="L861" s="142"/>
      <c r="M861" s="142"/>
      <c r="N861" s="136"/>
      <c r="O861" s="34"/>
      <c r="P861" s="35"/>
      <c r="Q861" s="35"/>
      <c r="R861" s="35"/>
      <c r="S861" s="35"/>
      <c r="T861" s="35"/>
      <c r="U861" s="35"/>
      <c r="V861" s="35"/>
      <c r="W861" s="35"/>
      <c r="X861" s="35"/>
      <c r="Y861" s="35"/>
      <c r="Z861" s="35"/>
    </row>
    <row r="862" ht="14.25" customHeight="1">
      <c r="A862" s="136"/>
      <c r="B862" s="137"/>
      <c r="C862" s="251"/>
      <c r="D862" s="452"/>
      <c r="E862" s="136"/>
      <c r="F862" s="253"/>
      <c r="G862" s="140"/>
      <c r="H862" s="141"/>
      <c r="I862" s="141"/>
      <c r="J862" s="142"/>
      <c r="K862" s="142"/>
      <c r="L862" s="142"/>
      <c r="M862" s="142"/>
      <c r="N862" s="136"/>
      <c r="O862" s="34"/>
      <c r="P862" s="35"/>
      <c r="Q862" s="35"/>
      <c r="R862" s="35"/>
      <c r="S862" s="35"/>
      <c r="T862" s="35"/>
      <c r="U862" s="35"/>
      <c r="V862" s="35"/>
      <c r="W862" s="35"/>
      <c r="X862" s="35"/>
      <c r="Y862" s="35"/>
      <c r="Z862" s="35"/>
    </row>
    <row r="863" ht="14.25" customHeight="1">
      <c r="A863" s="136"/>
      <c r="B863" s="137"/>
      <c r="C863" s="251"/>
      <c r="D863" s="452"/>
      <c r="E863" s="136"/>
      <c r="F863" s="253"/>
      <c r="G863" s="140"/>
      <c r="H863" s="141"/>
      <c r="I863" s="141"/>
      <c r="J863" s="142"/>
      <c r="K863" s="142"/>
      <c r="L863" s="142"/>
      <c r="M863" s="142"/>
      <c r="N863" s="136"/>
      <c r="O863" s="34"/>
      <c r="P863" s="35"/>
      <c r="Q863" s="35"/>
      <c r="R863" s="35"/>
      <c r="S863" s="35"/>
      <c r="T863" s="35"/>
      <c r="U863" s="35"/>
      <c r="V863" s="35"/>
      <c r="W863" s="35"/>
      <c r="X863" s="35"/>
      <c r="Y863" s="35"/>
      <c r="Z863" s="35"/>
    </row>
    <row r="864" ht="14.25" customHeight="1">
      <c r="A864" s="136"/>
      <c r="B864" s="137"/>
      <c r="C864" s="251"/>
      <c r="D864" s="452"/>
      <c r="E864" s="136"/>
      <c r="F864" s="253"/>
      <c r="G864" s="140"/>
      <c r="H864" s="141"/>
      <c r="I864" s="141"/>
      <c r="J864" s="142"/>
      <c r="K864" s="142"/>
      <c r="L864" s="142"/>
      <c r="M864" s="142"/>
      <c r="N864" s="136"/>
      <c r="O864" s="34"/>
      <c r="P864" s="35"/>
      <c r="Q864" s="35"/>
      <c r="R864" s="35"/>
      <c r="S864" s="35"/>
      <c r="T864" s="35"/>
      <c r="U864" s="35"/>
      <c r="V864" s="35"/>
      <c r="W864" s="35"/>
      <c r="X864" s="35"/>
      <c r="Y864" s="35"/>
      <c r="Z864" s="35"/>
    </row>
    <row r="865" ht="14.25" customHeight="1">
      <c r="A865" s="136"/>
      <c r="B865" s="137"/>
      <c r="C865" s="251"/>
      <c r="D865" s="452"/>
      <c r="E865" s="136"/>
      <c r="F865" s="253"/>
      <c r="G865" s="140"/>
      <c r="H865" s="141"/>
      <c r="I865" s="141"/>
      <c r="J865" s="142"/>
      <c r="K865" s="142"/>
      <c r="L865" s="142"/>
      <c r="M865" s="142"/>
      <c r="N865" s="136"/>
      <c r="O865" s="34"/>
      <c r="P865" s="35"/>
      <c r="Q865" s="35"/>
      <c r="R865" s="35"/>
      <c r="S865" s="35"/>
      <c r="T865" s="35"/>
      <c r="U865" s="35"/>
      <c r="V865" s="35"/>
      <c r="W865" s="35"/>
      <c r="X865" s="35"/>
      <c r="Y865" s="35"/>
      <c r="Z865" s="35"/>
    </row>
    <row r="866" ht="14.25" customHeight="1">
      <c r="A866" s="136"/>
      <c r="B866" s="137"/>
      <c r="C866" s="251"/>
      <c r="D866" s="452"/>
      <c r="E866" s="136"/>
      <c r="F866" s="253"/>
      <c r="G866" s="140"/>
      <c r="H866" s="141"/>
      <c r="I866" s="141"/>
      <c r="J866" s="142"/>
      <c r="K866" s="142"/>
      <c r="L866" s="142"/>
      <c r="M866" s="142"/>
      <c r="N866" s="136"/>
      <c r="O866" s="34"/>
      <c r="P866" s="35"/>
      <c r="Q866" s="35"/>
      <c r="R866" s="35"/>
      <c r="S866" s="35"/>
      <c r="T866" s="35"/>
      <c r="U866" s="35"/>
      <c r="V866" s="35"/>
      <c r="W866" s="35"/>
      <c r="X866" s="35"/>
      <c r="Y866" s="35"/>
      <c r="Z866" s="35"/>
    </row>
    <row r="867" ht="14.25" customHeight="1">
      <c r="A867" s="136"/>
      <c r="B867" s="137"/>
      <c r="C867" s="251"/>
      <c r="D867" s="452"/>
      <c r="E867" s="136"/>
      <c r="F867" s="253"/>
      <c r="G867" s="140"/>
      <c r="H867" s="141"/>
      <c r="I867" s="141"/>
      <c r="J867" s="142"/>
      <c r="K867" s="142"/>
      <c r="L867" s="142"/>
      <c r="M867" s="142"/>
      <c r="N867" s="136"/>
      <c r="O867" s="34"/>
      <c r="P867" s="35"/>
      <c r="Q867" s="35"/>
      <c r="R867" s="35"/>
      <c r="S867" s="35"/>
      <c r="T867" s="35"/>
      <c r="U867" s="35"/>
      <c r="V867" s="35"/>
      <c r="W867" s="35"/>
      <c r="X867" s="35"/>
      <c r="Y867" s="35"/>
      <c r="Z867" s="35"/>
    </row>
    <row r="868" ht="14.25" customHeight="1">
      <c r="A868" s="136"/>
      <c r="B868" s="137"/>
      <c r="C868" s="251"/>
      <c r="D868" s="452"/>
      <c r="E868" s="136"/>
      <c r="F868" s="253"/>
      <c r="G868" s="140"/>
      <c r="H868" s="141"/>
      <c r="I868" s="141"/>
      <c r="J868" s="142"/>
      <c r="K868" s="142"/>
      <c r="L868" s="142"/>
      <c r="M868" s="142"/>
      <c r="N868" s="136"/>
      <c r="O868" s="34"/>
      <c r="P868" s="35"/>
      <c r="Q868" s="35"/>
      <c r="R868" s="35"/>
      <c r="S868" s="35"/>
      <c r="T868" s="35"/>
      <c r="U868" s="35"/>
      <c r="V868" s="35"/>
      <c r="W868" s="35"/>
      <c r="X868" s="35"/>
      <c r="Y868" s="35"/>
      <c r="Z868" s="35"/>
    </row>
    <row r="869" ht="14.25" customHeight="1">
      <c r="A869" s="136"/>
      <c r="B869" s="137"/>
      <c r="C869" s="251"/>
      <c r="D869" s="452"/>
      <c r="E869" s="136"/>
      <c r="F869" s="253"/>
      <c r="G869" s="140"/>
      <c r="H869" s="141"/>
      <c r="I869" s="141"/>
      <c r="J869" s="142"/>
      <c r="K869" s="142"/>
      <c r="L869" s="142"/>
      <c r="M869" s="142"/>
      <c r="N869" s="136"/>
      <c r="O869" s="34"/>
      <c r="P869" s="35"/>
      <c r="Q869" s="35"/>
      <c r="R869" s="35"/>
      <c r="S869" s="35"/>
      <c r="T869" s="35"/>
      <c r="U869" s="35"/>
      <c r="V869" s="35"/>
      <c r="W869" s="35"/>
      <c r="X869" s="35"/>
      <c r="Y869" s="35"/>
      <c r="Z869" s="35"/>
    </row>
    <row r="870" ht="14.25" customHeight="1">
      <c r="A870" s="136"/>
      <c r="B870" s="137"/>
      <c r="C870" s="251"/>
      <c r="D870" s="452"/>
      <c r="E870" s="136"/>
      <c r="F870" s="253"/>
      <c r="G870" s="140"/>
      <c r="H870" s="141"/>
      <c r="I870" s="141"/>
      <c r="J870" s="142"/>
      <c r="K870" s="142"/>
      <c r="L870" s="142"/>
      <c r="M870" s="142"/>
      <c r="N870" s="136"/>
      <c r="O870" s="34"/>
      <c r="P870" s="35"/>
      <c r="Q870" s="35"/>
      <c r="R870" s="35"/>
      <c r="S870" s="35"/>
      <c r="T870" s="35"/>
      <c r="U870" s="35"/>
      <c r="V870" s="35"/>
      <c r="W870" s="35"/>
      <c r="X870" s="35"/>
      <c r="Y870" s="35"/>
      <c r="Z870" s="35"/>
    </row>
    <row r="871" ht="14.25" customHeight="1">
      <c r="A871" s="136"/>
      <c r="B871" s="137"/>
      <c r="C871" s="251"/>
      <c r="D871" s="452"/>
      <c r="E871" s="136"/>
      <c r="F871" s="253"/>
      <c r="G871" s="140"/>
      <c r="H871" s="141"/>
      <c r="I871" s="141"/>
      <c r="J871" s="142"/>
      <c r="K871" s="142"/>
      <c r="L871" s="142"/>
      <c r="M871" s="142"/>
      <c r="N871" s="136"/>
      <c r="O871" s="34"/>
      <c r="P871" s="35"/>
      <c r="Q871" s="35"/>
      <c r="R871" s="35"/>
      <c r="S871" s="35"/>
      <c r="T871" s="35"/>
      <c r="U871" s="35"/>
      <c r="V871" s="35"/>
      <c r="W871" s="35"/>
      <c r="X871" s="35"/>
      <c r="Y871" s="35"/>
      <c r="Z871" s="35"/>
    </row>
    <row r="872" ht="14.25" customHeight="1">
      <c r="A872" s="136"/>
      <c r="B872" s="137"/>
      <c r="C872" s="251"/>
      <c r="D872" s="452"/>
      <c r="E872" s="136"/>
      <c r="F872" s="253"/>
      <c r="G872" s="140"/>
      <c r="H872" s="141"/>
      <c r="I872" s="141"/>
      <c r="J872" s="142"/>
      <c r="K872" s="142"/>
      <c r="L872" s="142"/>
      <c r="M872" s="142"/>
      <c r="N872" s="136"/>
      <c r="O872" s="34"/>
      <c r="P872" s="35"/>
      <c r="Q872" s="35"/>
      <c r="R872" s="35"/>
      <c r="S872" s="35"/>
      <c r="T872" s="35"/>
      <c r="U872" s="35"/>
      <c r="V872" s="35"/>
      <c r="W872" s="35"/>
      <c r="X872" s="35"/>
      <c r="Y872" s="35"/>
      <c r="Z872" s="35"/>
    </row>
    <row r="873" ht="14.25" customHeight="1">
      <c r="A873" s="136"/>
      <c r="B873" s="137"/>
      <c r="C873" s="251"/>
      <c r="D873" s="452"/>
      <c r="E873" s="136"/>
      <c r="F873" s="253"/>
      <c r="G873" s="140"/>
      <c r="H873" s="141"/>
      <c r="I873" s="141"/>
      <c r="J873" s="142"/>
      <c r="K873" s="142"/>
      <c r="L873" s="142"/>
      <c r="M873" s="142"/>
      <c r="N873" s="136"/>
      <c r="O873" s="34"/>
      <c r="P873" s="35"/>
      <c r="Q873" s="35"/>
      <c r="R873" s="35"/>
      <c r="S873" s="35"/>
      <c r="T873" s="35"/>
      <c r="U873" s="35"/>
      <c r="V873" s="35"/>
      <c r="W873" s="35"/>
      <c r="X873" s="35"/>
      <c r="Y873" s="35"/>
      <c r="Z873" s="35"/>
    </row>
    <row r="874" ht="14.25" customHeight="1">
      <c r="A874" s="136"/>
      <c r="B874" s="137"/>
      <c r="C874" s="251"/>
      <c r="D874" s="452"/>
      <c r="E874" s="136"/>
      <c r="F874" s="253"/>
      <c r="G874" s="140"/>
      <c r="H874" s="141"/>
      <c r="I874" s="141"/>
      <c r="J874" s="142"/>
      <c r="K874" s="142"/>
      <c r="L874" s="142"/>
      <c r="M874" s="142"/>
      <c r="N874" s="136"/>
      <c r="O874" s="34"/>
      <c r="P874" s="35"/>
      <c r="Q874" s="35"/>
      <c r="R874" s="35"/>
      <c r="S874" s="35"/>
      <c r="T874" s="35"/>
      <c r="U874" s="35"/>
      <c r="V874" s="35"/>
      <c r="W874" s="35"/>
      <c r="X874" s="35"/>
      <c r="Y874" s="35"/>
      <c r="Z874" s="35"/>
    </row>
    <row r="875" ht="14.25" customHeight="1">
      <c r="A875" s="136"/>
      <c r="B875" s="137"/>
      <c r="C875" s="251"/>
      <c r="D875" s="452"/>
      <c r="E875" s="136"/>
      <c r="F875" s="253"/>
      <c r="G875" s="140"/>
      <c r="H875" s="141"/>
      <c r="I875" s="141"/>
      <c r="J875" s="142"/>
      <c r="K875" s="142"/>
      <c r="L875" s="142"/>
      <c r="M875" s="142"/>
      <c r="N875" s="136"/>
      <c r="O875" s="34"/>
      <c r="P875" s="35"/>
      <c r="Q875" s="35"/>
      <c r="R875" s="35"/>
      <c r="S875" s="35"/>
      <c r="T875" s="35"/>
      <c r="U875" s="35"/>
      <c r="V875" s="35"/>
      <c r="W875" s="35"/>
      <c r="X875" s="35"/>
      <c r="Y875" s="35"/>
      <c r="Z875" s="35"/>
    </row>
    <row r="876" ht="14.25" customHeight="1">
      <c r="A876" s="136"/>
      <c r="B876" s="137"/>
      <c r="C876" s="251"/>
      <c r="D876" s="452"/>
      <c r="E876" s="136"/>
      <c r="F876" s="253"/>
      <c r="G876" s="140"/>
      <c r="H876" s="141"/>
      <c r="I876" s="141"/>
      <c r="J876" s="142"/>
      <c r="K876" s="142"/>
      <c r="L876" s="142"/>
      <c r="M876" s="142"/>
      <c r="N876" s="136"/>
      <c r="O876" s="34"/>
      <c r="P876" s="35"/>
      <c r="Q876" s="35"/>
      <c r="R876" s="35"/>
      <c r="S876" s="35"/>
      <c r="T876" s="35"/>
      <c r="U876" s="35"/>
      <c r="V876" s="35"/>
      <c r="W876" s="35"/>
      <c r="X876" s="35"/>
      <c r="Y876" s="35"/>
      <c r="Z876" s="35"/>
    </row>
    <row r="877" ht="14.25" customHeight="1">
      <c r="A877" s="136"/>
      <c r="B877" s="137"/>
      <c r="C877" s="251"/>
      <c r="D877" s="452"/>
      <c r="E877" s="136"/>
      <c r="F877" s="253"/>
      <c r="G877" s="140"/>
      <c r="H877" s="141"/>
      <c r="I877" s="141"/>
      <c r="J877" s="142"/>
      <c r="K877" s="142"/>
      <c r="L877" s="142"/>
      <c r="M877" s="142"/>
      <c r="N877" s="136"/>
      <c r="O877" s="34"/>
      <c r="P877" s="35"/>
      <c r="Q877" s="35"/>
      <c r="R877" s="35"/>
      <c r="S877" s="35"/>
      <c r="T877" s="35"/>
      <c r="U877" s="35"/>
      <c r="V877" s="35"/>
      <c r="W877" s="35"/>
      <c r="X877" s="35"/>
      <c r="Y877" s="35"/>
      <c r="Z877" s="35"/>
    </row>
    <row r="878" ht="14.25" customHeight="1">
      <c r="A878" s="136"/>
      <c r="B878" s="137"/>
      <c r="C878" s="251"/>
      <c r="D878" s="452"/>
      <c r="E878" s="136"/>
      <c r="F878" s="253"/>
      <c r="G878" s="140"/>
      <c r="H878" s="141"/>
      <c r="I878" s="141"/>
      <c r="J878" s="142"/>
      <c r="K878" s="142"/>
      <c r="L878" s="142"/>
      <c r="M878" s="142"/>
      <c r="N878" s="136"/>
      <c r="O878" s="34"/>
      <c r="P878" s="35"/>
      <c r="Q878" s="35"/>
      <c r="R878" s="35"/>
      <c r="S878" s="35"/>
      <c r="T878" s="35"/>
      <c r="U878" s="35"/>
      <c r="V878" s="35"/>
      <c r="W878" s="35"/>
      <c r="X878" s="35"/>
      <c r="Y878" s="35"/>
      <c r="Z878" s="35"/>
    </row>
    <row r="879" ht="14.25" customHeight="1">
      <c r="A879" s="136"/>
      <c r="B879" s="137"/>
      <c r="C879" s="251"/>
      <c r="D879" s="452"/>
      <c r="E879" s="136"/>
      <c r="F879" s="253"/>
      <c r="G879" s="140"/>
      <c r="H879" s="141"/>
      <c r="I879" s="141"/>
      <c r="J879" s="142"/>
      <c r="K879" s="142"/>
      <c r="L879" s="142"/>
      <c r="M879" s="142"/>
      <c r="N879" s="136"/>
      <c r="O879" s="34"/>
      <c r="P879" s="35"/>
      <c r="Q879" s="35"/>
      <c r="R879" s="35"/>
      <c r="S879" s="35"/>
      <c r="T879" s="35"/>
      <c r="U879" s="35"/>
      <c r="V879" s="35"/>
      <c r="W879" s="35"/>
      <c r="X879" s="35"/>
      <c r="Y879" s="35"/>
      <c r="Z879" s="35"/>
    </row>
    <row r="880" ht="14.25" customHeight="1">
      <c r="A880" s="136"/>
      <c r="B880" s="137"/>
      <c r="C880" s="251"/>
      <c r="D880" s="452"/>
      <c r="E880" s="136"/>
      <c r="F880" s="253"/>
      <c r="G880" s="140"/>
      <c r="H880" s="141"/>
      <c r="I880" s="141"/>
      <c r="J880" s="142"/>
      <c r="K880" s="142"/>
      <c r="L880" s="142"/>
      <c r="M880" s="142"/>
      <c r="N880" s="136"/>
      <c r="O880" s="34"/>
      <c r="P880" s="35"/>
      <c r="Q880" s="35"/>
      <c r="R880" s="35"/>
      <c r="S880" s="35"/>
      <c r="T880" s="35"/>
      <c r="U880" s="35"/>
      <c r="V880" s="35"/>
      <c r="W880" s="35"/>
      <c r="X880" s="35"/>
      <c r="Y880" s="35"/>
      <c r="Z880" s="35"/>
    </row>
    <row r="881" ht="14.25" customHeight="1">
      <c r="A881" s="136"/>
      <c r="B881" s="137"/>
      <c r="C881" s="251"/>
      <c r="D881" s="452"/>
      <c r="E881" s="136"/>
      <c r="F881" s="253"/>
      <c r="G881" s="140"/>
      <c r="H881" s="141"/>
      <c r="I881" s="141"/>
      <c r="J881" s="142"/>
      <c r="K881" s="142"/>
      <c r="L881" s="142"/>
      <c r="M881" s="142"/>
      <c r="N881" s="136"/>
      <c r="O881" s="34"/>
      <c r="P881" s="35"/>
      <c r="Q881" s="35"/>
      <c r="R881" s="35"/>
      <c r="S881" s="35"/>
      <c r="T881" s="35"/>
      <c r="U881" s="35"/>
      <c r="V881" s="35"/>
      <c r="W881" s="35"/>
      <c r="X881" s="35"/>
      <c r="Y881" s="35"/>
      <c r="Z881" s="35"/>
    </row>
    <row r="882" ht="14.25" customHeight="1">
      <c r="A882" s="136"/>
      <c r="B882" s="137"/>
      <c r="C882" s="251"/>
      <c r="D882" s="452"/>
      <c r="E882" s="136"/>
      <c r="F882" s="253"/>
      <c r="G882" s="140"/>
      <c r="H882" s="141"/>
      <c r="I882" s="141"/>
      <c r="J882" s="142"/>
      <c r="K882" s="142"/>
      <c r="L882" s="142"/>
      <c r="M882" s="142"/>
      <c r="N882" s="136"/>
      <c r="O882" s="34"/>
      <c r="P882" s="35"/>
      <c r="Q882" s="35"/>
      <c r="R882" s="35"/>
      <c r="S882" s="35"/>
      <c r="T882" s="35"/>
      <c r="U882" s="35"/>
      <c r="V882" s="35"/>
      <c r="W882" s="35"/>
      <c r="X882" s="35"/>
      <c r="Y882" s="35"/>
      <c r="Z882" s="35"/>
    </row>
    <row r="883" ht="14.25" customHeight="1">
      <c r="A883" s="136"/>
      <c r="B883" s="137"/>
      <c r="C883" s="251"/>
      <c r="D883" s="452"/>
      <c r="E883" s="136"/>
      <c r="F883" s="253"/>
      <c r="G883" s="140"/>
      <c r="H883" s="141"/>
      <c r="I883" s="141"/>
      <c r="J883" s="142"/>
      <c r="K883" s="142"/>
      <c r="L883" s="142"/>
      <c r="M883" s="142"/>
      <c r="N883" s="136"/>
      <c r="O883" s="34"/>
      <c r="P883" s="35"/>
      <c r="Q883" s="35"/>
      <c r="R883" s="35"/>
      <c r="S883" s="35"/>
      <c r="T883" s="35"/>
      <c r="U883" s="35"/>
      <c r="V883" s="35"/>
      <c r="W883" s="35"/>
      <c r="X883" s="35"/>
      <c r="Y883" s="35"/>
      <c r="Z883" s="35"/>
    </row>
    <row r="884" ht="14.25" customHeight="1">
      <c r="A884" s="136"/>
      <c r="B884" s="137"/>
      <c r="C884" s="251"/>
      <c r="D884" s="452"/>
      <c r="E884" s="136"/>
      <c r="F884" s="253"/>
      <c r="G884" s="140"/>
      <c r="H884" s="141"/>
      <c r="I884" s="141"/>
      <c r="J884" s="142"/>
      <c r="K884" s="142"/>
      <c r="L884" s="142"/>
      <c r="M884" s="142"/>
      <c r="N884" s="136"/>
      <c r="O884" s="34"/>
      <c r="P884" s="35"/>
      <c r="Q884" s="35"/>
      <c r="R884" s="35"/>
      <c r="S884" s="35"/>
      <c r="T884" s="35"/>
      <c r="U884" s="35"/>
      <c r="V884" s="35"/>
      <c r="W884" s="35"/>
      <c r="X884" s="35"/>
      <c r="Y884" s="35"/>
      <c r="Z884" s="35"/>
    </row>
    <row r="885" ht="14.25" customHeight="1">
      <c r="A885" s="136"/>
      <c r="B885" s="137"/>
      <c r="C885" s="251"/>
      <c r="D885" s="452"/>
      <c r="E885" s="136"/>
      <c r="F885" s="253"/>
      <c r="G885" s="140"/>
      <c r="H885" s="141"/>
      <c r="I885" s="141"/>
      <c r="J885" s="142"/>
      <c r="K885" s="142"/>
      <c r="L885" s="142"/>
      <c r="M885" s="142"/>
      <c r="N885" s="136"/>
      <c r="O885" s="34"/>
      <c r="P885" s="35"/>
      <c r="Q885" s="35"/>
      <c r="R885" s="35"/>
      <c r="S885" s="35"/>
      <c r="T885" s="35"/>
      <c r="U885" s="35"/>
      <c r="V885" s="35"/>
      <c r="W885" s="35"/>
      <c r="X885" s="35"/>
      <c r="Y885" s="35"/>
      <c r="Z885" s="35"/>
    </row>
    <row r="886" ht="14.25" customHeight="1">
      <c r="A886" s="136"/>
      <c r="B886" s="137"/>
      <c r="C886" s="251"/>
      <c r="D886" s="452"/>
      <c r="E886" s="136"/>
      <c r="F886" s="253"/>
      <c r="G886" s="140"/>
      <c r="H886" s="141"/>
      <c r="I886" s="141"/>
      <c r="J886" s="142"/>
      <c r="K886" s="142"/>
      <c r="L886" s="142"/>
      <c r="M886" s="142"/>
      <c r="N886" s="136"/>
      <c r="O886" s="34"/>
      <c r="P886" s="35"/>
      <c r="Q886" s="35"/>
      <c r="R886" s="35"/>
      <c r="S886" s="35"/>
      <c r="T886" s="35"/>
      <c r="U886" s="35"/>
      <c r="V886" s="35"/>
      <c r="W886" s="35"/>
      <c r="X886" s="35"/>
      <c r="Y886" s="35"/>
      <c r="Z886" s="35"/>
    </row>
    <row r="887" ht="14.25" customHeight="1">
      <c r="A887" s="136"/>
      <c r="B887" s="137"/>
      <c r="C887" s="251"/>
      <c r="D887" s="452"/>
      <c r="E887" s="136"/>
      <c r="F887" s="253"/>
      <c r="G887" s="140"/>
      <c r="H887" s="141"/>
      <c r="I887" s="141"/>
      <c r="J887" s="142"/>
      <c r="K887" s="142"/>
      <c r="L887" s="142"/>
      <c r="M887" s="142"/>
      <c r="N887" s="136"/>
      <c r="O887" s="34"/>
      <c r="P887" s="35"/>
      <c r="Q887" s="35"/>
      <c r="R887" s="35"/>
      <c r="S887" s="35"/>
      <c r="T887" s="35"/>
      <c r="U887" s="35"/>
      <c r="V887" s="35"/>
      <c r="W887" s="35"/>
      <c r="X887" s="35"/>
      <c r="Y887" s="35"/>
      <c r="Z887" s="35"/>
    </row>
    <row r="888" ht="14.25" customHeight="1">
      <c r="A888" s="136"/>
      <c r="B888" s="137"/>
      <c r="C888" s="251"/>
      <c r="D888" s="452"/>
      <c r="E888" s="136"/>
      <c r="F888" s="253"/>
      <c r="G888" s="140"/>
      <c r="H888" s="141"/>
      <c r="I888" s="141"/>
      <c r="J888" s="142"/>
      <c r="K888" s="142"/>
      <c r="L888" s="142"/>
      <c r="M888" s="142"/>
      <c r="N888" s="136"/>
      <c r="O888" s="34"/>
      <c r="P888" s="35"/>
      <c r="Q888" s="35"/>
      <c r="R888" s="35"/>
      <c r="S888" s="35"/>
      <c r="T888" s="35"/>
      <c r="U888" s="35"/>
      <c r="V888" s="35"/>
      <c r="W888" s="35"/>
      <c r="X888" s="35"/>
      <c r="Y888" s="35"/>
      <c r="Z888" s="35"/>
    </row>
    <row r="889" ht="14.25" customHeight="1">
      <c r="A889" s="136"/>
      <c r="B889" s="137"/>
      <c r="C889" s="251"/>
      <c r="D889" s="452"/>
      <c r="E889" s="136"/>
      <c r="F889" s="253"/>
      <c r="G889" s="140"/>
      <c r="H889" s="141"/>
      <c r="I889" s="141"/>
      <c r="J889" s="142"/>
      <c r="K889" s="142"/>
      <c r="L889" s="142"/>
      <c r="M889" s="142"/>
      <c r="N889" s="136"/>
      <c r="O889" s="34"/>
      <c r="P889" s="35"/>
      <c r="Q889" s="35"/>
      <c r="R889" s="35"/>
      <c r="S889" s="35"/>
      <c r="T889" s="35"/>
      <c r="U889" s="35"/>
      <c r="V889" s="35"/>
      <c r="W889" s="35"/>
      <c r="X889" s="35"/>
      <c r="Y889" s="35"/>
      <c r="Z889" s="35"/>
    </row>
    <row r="890" ht="14.25" customHeight="1">
      <c r="A890" s="136"/>
      <c r="B890" s="137"/>
      <c r="C890" s="251"/>
      <c r="D890" s="452"/>
      <c r="E890" s="136"/>
      <c r="F890" s="253"/>
      <c r="G890" s="140"/>
      <c r="H890" s="141"/>
      <c r="I890" s="141"/>
      <c r="J890" s="142"/>
      <c r="K890" s="142"/>
      <c r="L890" s="142"/>
      <c r="M890" s="142"/>
      <c r="N890" s="136"/>
      <c r="O890" s="34"/>
      <c r="P890" s="35"/>
      <c r="Q890" s="35"/>
      <c r="R890" s="35"/>
      <c r="S890" s="35"/>
      <c r="T890" s="35"/>
      <c r="U890" s="35"/>
      <c r="V890" s="35"/>
      <c r="W890" s="35"/>
      <c r="X890" s="35"/>
      <c r="Y890" s="35"/>
      <c r="Z890" s="35"/>
    </row>
    <row r="891" ht="14.25" customHeight="1">
      <c r="A891" s="136"/>
      <c r="B891" s="137"/>
      <c r="C891" s="251"/>
      <c r="D891" s="452"/>
      <c r="E891" s="136"/>
      <c r="F891" s="253"/>
      <c r="G891" s="140"/>
      <c r="H891" s="141"/>
      <c r="I891" s="141"/>
      <c r="J891" s="142"/>
      <c r="K891" s="142"/>
      <c r="L891" s="142"/>
      <c r="M891" s="142"/>
      <c r="N891" s="136"/>
      <c r="O891" s="34"/>
      <c r="P891" s="35"/>
      <c r="Q891" s="35"/>
      <c r="R891" s="35"/>
      <c r="S891" s="35"/>
      <c r="T891" s="35"/>
      <c r="U891" s="35"/>
      <c r="V891" s="35"/>
      <c r="W891" s="35"/>
      <c r="X891" s="35"/>
      <c r="Y891" s="35"/>
      <c r="Z891" s="35"/>
    </row>
    <row r="892" ht="14.25" customHeight="1">
      <c r="A892" s="136"/>
      <c r="B892" s="137"/>
      <c r="C892" s="251"/>
      <c r="D892" s="452"/>
      <c r="E892" s="136"/>
      <c r="F892" s="253"/>
      <c r="G892" s="140"/>
      <c r="H892" s="141"/>
      <c r="I892" s="141"/>
      <c r="J892" s="142"/>
      <c r="K892" s="142"/>
      <c r="L892" s="142"/>
      <c r="M892" s="142"/>
      <c r="N892" s="136"/>
      <c r="O892" s="34"/>
      <c r="P892" s="35"/>
      <c r="Q892" s="35"/>
      <c r="R892" s="35"/>
      <c r="S892" s="35"/>
      <c r="T892" s="35"/>
      <c r="U892" s="35"/>
      <c r="V892" s="35"/>
      <c r="W892" s="35"/>
      <c r="X892" s="35"/>
      <c r="Y892" s="35"/>
      <c r="Z892" s="35"/>
    </row>
    <row r="893" ht="14.25" customHeight="1">
      <c r="A893" s="136"/>
      <c r="B893" s="137"/>
      <c r="C893" s="251"/>
      <c r="D893" s="452"/>
      <c r="E893" s="136"/>
      <c r="F893" s="253"/>
      <c r="G893" s="140"/>
      <c r="H893" s="141"/>
      <c r="I893" s="141"/>
      <c r="J893" s="142"/>
      <c r="K893" s="142"/>
      <c r="L893" s="142"/>
      <c r="M893" s="142"/>
      <c r="N893" s="136"/>
      <c r="O893" s="34"/>
      <c r="P893" s="35"/>
      <c r="Q893" s="35"/>
      <c r="R893" s="35"/>
      <c r="S893" s="35"/>
      <c r="T893" s="35"/>
      <c r="U893" s="35"/>
      <c r="V893" s="35"/>
      <c r="W893" s="35"/>
      <c r="X893" s="35"/>
      <c r="Y893" s="35"/>
      <c r="Z893" s="35"/>
    </row>
    <row r="894" ht="14.25" customHeight="1">
      <c r="A894" s="136"/>
      <c r="B894" s="137"/>
      <c r="C894" s="251"/>
      <c r="D894" s="452"/>
      <c r="E894" s="136"/>
      <c r="F894" s="253"/>
      <c r="G894" s="140"/>
      <c r="H894" s="141"/>
      <c r="I894" s="141"/>
      <c r="J894" s="142"/>
      <c r="K894" s="142"/>
      <c r="L894" s="142"/>
      <c r="M894" s="142"/>
      <c r="N894" s="136"/>
      <c r="O894" s="34"/>
      <c r="P894" s="35"/>
      <c r="Q894" s="35"/>
      <c r="R894" s="35"/>
      <c r="S894" s="35"/>
      <c r="T894" s="35"/>
      <c r="U894" s="35"/>
      <c r="V894" s="35"/>
      <c r="W894" s="35"/>
      <c r="X894" s="35"/>
      <c r="Y894" s="35"/>
      <c r="Z894" s="35"/>
    </row>
    <row r="895" ht="14.25" customHeight="1">
      <c r="A895" s="136"/>
      <c r="B895" s="137"/>
      <c r="C895" s="251"/>
      <c r="D895" s="452"/>
      <c r="E895" s="136"/>
      <c r="F895" s="253"/>
      <c r="G895" s="140"/>
      <c r="H895" s="141"/>
      <c r="I895" s="141"/>
      <c r="J895" s="142"/>
      <c r="K895" s="142"/>
      <c r="L895" s="142"/>
      <c r="M895" s="142"/>
      <c r="N895" s="136"/>
      <c r="O895" s="34"/>
      <c r="P895" s="35"/>
      <c r="Q895" s="35"/>
      <c r="R895" s="35"/>
      <c r="S895" s="35"/>
      <c r="T895" s="35"/>
      <c r="U895" s="35"/>
      <c r="V895" s="35"/>
      <c r="W895" s="35"/>
      <c r="X895" s="35"/>
      <c r="Y895" s="35"/>
      <c r="Z895" s="35"/>
    </row>
    <row r="896" ht="14.25" customHeight="1">
      <c r="A896" s="136"/>
      <c r="B896" s="137"/>
      <c r="C896" s="251"/>
      <c r="D896" s="452"/>
      <c r="E896" s="136"/>
      <c r="F896" s="253"/>
      <c r="G896" s="140"/>
      <c r="H896" s="141"/>
      <c r="I896" s="141"/>
      <c r="J896" s="142"/>
      <c r="K896" s="142"/>
      <c r="L896" s="142"/>
      <c r="M896" s="142"/>
      <c r="N896" s="136"/>
      <c r="O896" s="34"/>
      <c r="P896" s="35"/>
      <c r="Q896" s="35"/>
      <c r="R896" s="35"/>
      <c r="S896" s="35"/>
      <c r="T896" s="35"/>
      <c r="U896" s="35"/>
      <c r="V896" s="35"/>
      <c r="W896" s="35"/>
      <c r="X896" s="35"/>
      <c r="Y896" s="35"/>
      <c r="Z896" s="35"/>
    </row>
    <row r="897" ht="14.25" customHeight="1">
      <c r="A897" s="136"/>
      <c r="B897" s="137"/>
      <c r="C897" s="251"/>
      <c r="D897" s="452"/>
      <c r="E897" s="136"/>
      <c r="F897" s="253"/>
      <c r="G897" s="140"/>
      <c r="H897" s="141"/>
      <c r="I897" s="141"/>
      <c r="J897" s="142"/>
      <c r="K897" s="142"/>
      <c r="L897" s="142"/>
      <c r="M897" s="142"/>
      <c r="N897" s="136"/>
      <c r="O897" s="34"/>
      <c r="P897" s="35"/>
      <c r="Q897" s="35"/>
      <c r="R897" s="35"/>
      <c r="S897" s="35"/>
      <c r="T897" s="35"/>
      <c r="U897" s="35"/>
      <c r="V897" s="35"/>
      <c r="W897" s="35"/>
      <c r="X897" s="35"/>
      <c r="Y897" s="35"/>
      <c r="Z897" s="35"/>
    </row>
    <row r="898" ht="14.25" customHeight="1">
      <c r="A898" s="136"/>
      <c r="B898" s="137"/>
      <c r="C898" s="251"/>
      <c r="D898" s="452"/>
      <c r="E898" s="136"/>
      <c r="F898" s="253"/>
      <c r="G898" s="140"/>
      <c r="H898" s="141"/>
      <c r="I898" s="141"/>
      <c r="J898" s="142"/>
      <c r="K898" s="142"/>
      <c r="L898" s="142"/>
      <c r="M898" s="142"/>
      <c r="N898" s="136"/>
      <c r="O898" s="34"/>
      <c r="P898" s="35"/>
      <c r="Q898" s="35"/>
      <c r="R898" s="35"/>
      <c r="S898" s="35"/>
      <c r="T898" s="35"/>
      <c r="U898" s="35"/>
      <c r="V898" s="35"/>
      <c r="W898" s="35"/>
      <c r="X898" s="35"/>
      <c r="Y898" s="35"/>
      <c r="Z898" s="35"/>
    </row>
    <row r="899" ht="14.25" customHeight="1">
      <c r="A899" s="136"/>
      <c r="B899" s="137"/>
      <c r="C899" s="251"/>
      <c r="D899" s="452"/>
      <c r="E899" s="136"/>
      <c r="F899" s="253"/>
      <c r="G899" s="140"/>
      <c r="H899" s="141"/>
      <c r="I899" s="141"/>
      <c r="J899" s="142"/>
      <c r="K899" s="142"/>
      <c r="L899" s="142"/>
      <c r="M899" s="142"/>
      <c r="N899" s="136"/>
      <c r="O899" s="34"/>
      <c r="P899" s="35"/>
      <c r="Q899" s="35"/>
      <c r="R899" s="35"/>
      <c r="S899" s="35"/>
      <c r="T899" s="35"/>
      <c r="U899" s="35"/>
      <c r="V899" s="35"/>
      <c r="W899" s="35"/>
      <c r="X899" s="35"/>
      <c r="Y899" s="35"/>
      <c r="Z899" s="35"/>
    </row>
    <row r="900" ht="14.25" customHeight="1">
      <c r="A900" s="136"/>
      <c r="B900" s="137"/>
      <c r="C900" s="251"/>
      <c r="D900" s="452"/>
      <c r="E900" s="136"/>
      <c r="F900" s="253"/>
      <c r="G900" s="140"/>
      <c r="H900" s="141"/>
      <c r="I900" s="141"/>
      <c r="J900" s="142"/>
      <c r="K900" s="142"/>
      <c r="L900" s="142"/>
      <c r="M900" s="142"/>
      <c r="N900" s="136"/>
      <c r="O900" s="34"/>
      <c r="P900" s="35"/>
      <c r="Q900" s="35"/>
      <c r="R900" s="35"/>
      <c r="S900" s="35"/>
      <c r="T900" s="35"/>
      <c r="U900" s="35"/>
      <c r="V900" s="35"/>
      <c r="W900" s="35"/>
      <c r="X900" s="35"/>
      <c r="Y900" s="35"/>
      <c r="Z900" s="35"/>
    </row>
    <row r="901" ht="14.25" customHeight="1">
      <c r="A901" s="136"/>
      <c r="B901" s="137"/>
      <c r="C901" s="251"/>
      <c r="D901" s="452"/>
      <c r="E901" s="136"/>
      <c r="F901" s="253"/>
      <c r="G901" s="140"/>
      <c r="H901" s="141"/>
      <c r="I901" s="141"/>
      <c r="J901" s="142"/>
      <c r="K901" s="142"/>
      <c r="L901" s="142"/>
      <c r="M901" s="142"/>
      <c r="N901" s="136"/>
      <c r="O901" s="34"/>
      <c r="P901" s="35"/>
      <c r="Q901" s="35"/>
      <c r="R901" s="35"/>
      <c r="S901" s="35"/>
      <c r="T901" s="35"/>
      <c r="U901" s="35"/>
      <c r="V901" s="35"/>
      <c r="W901" s="35"/>
      <c r="X901" s="35"/>
      <c r="Y901" s="35"/>
      <c r="Z901" s="35"/>
    </row>
    <row r="902" ht="14.25" customHeight="1">
      <c r="A902" s="136"/>
      <c r="B902" s="137"/>
      <c r="C902" s="251"/>
      <c r="D902" s="452"/>
      <c r="E902" s="136"/>
      <c r="F902" s="253"/>
      <c r="G902" s="140"/>
      <c r="H902" s="141"/>
      <c r="I902" s="141"/>
      <c r="J902" s="142"/>
      <c r="K902" s="142"/>
      <c r="L902" s="142"/>
      <c r="M902" s="142"/>
      <c r="N902" s="136"/>
      <c r="O902" s="34"/>
      <c r="P902" s="35"/>
      <c r="Q902" s="35"/>
      <c r="R902" s="35"/>
      <c r="S902" s="35"/>
      <c r="T902" s="35"/>
      <c r="U902" s="35"/>
      <c r="V902" s="35"/>
      <c r="W902" s="35"/>
      <c r="X902" s="35"/>
      <c r="Y902" s="35"/>
      <c r="Z902" s="35"/>
    </row>
    <row r="903" ht="14.25" customHeight="1">
      <c r="A903" s="136"/>
      <c r="B903" s="137"/>
      <c r="C903" s="251"/>
      <c r="D903" s="452"/>
      <c r="E903" s="136"/>
      <c r="F903" s="253"/>
      <c r="G903" s="140"/>
      <c r="H903" s="141"/>
      <c r="I903" s="141"/>
      <c r="J903" s="142"/>
      <c r="K903" s="142"/>
      <c r="L903" s="142"/>
      <c r="M903" s="142"/>
      <c r="N903" s="136"/>
      <c r="O903" s="34"/>
      <c r="P903" s="35"/>
      <c r="Q903" s="35"/>
      <c r="R903" s="35"/>
      <c r="S903" s="35"/>
      <c r="T903" s="35"/>
      <c r="U903" s="35"/>
      <c r="V903" s="35"/>
      <c r="W903" s="35"/>
      <c r="X903" s="35"/>
      <c r="Y903" s="35"/>
      <c r="Z903" s="35"/>
    </row>
    <row r="904" ht="14.25" customHeight="1">
      <c r="A904" s="136"/>
      <c r="B904" s="137"/>
      <c r="C904" s="251"/>
      <c r="D904" s="452"/>
      <c r="E904" s="136"/>
      <c r="F904" s="253"/>
      <c r="G904" s="140"/>
      <c r="H904" s="141"/>
      <c r="I904" s="141"/>
      <c r="J904" s="142"/>
      <c r="K904" s="142"/>
      <c r="L904" s="142"/>
      <c r="M904" s="142"/>
      <c r="N904" s="136"/>
      <c r="O904" s="34"/>
      <c r="P904" s="35"/>
      <c r="Q904" s="35"/>
      <c r="R904" s="35"/>
      <c r="S904" s="35"/>
      <c r="T904" s="35"/>
      <c r="U904" s="35"/>
      <c r="V904" s="35"/>
      <c r="W904" s="35"/>
      <c r="X904" s="35"/>
      <c r="Y904" s="35"/>
      <c r="Z904" s="35"/>
    </row>
    <row r="905" ht="14.25" customHeight="1">
      <c r="A905" s="136"/>
      <c r="B905" s="137"/>
      <c r="C905" s="251"/>
      <c r="D905" s="452"/>
      <c r="E905" s="136"/>
      <c r="F905" s="253"/>
      <c r="G905" s="140"/>
      <c r="H905" s="141"/>
      <c r="I905" s="141"/>
      <c r="J905" s="142"/>
      <c r="K905" s="142"/>
      <c r="L905" s="142"/>
      <c r="M905" s="142"/>
      <c r="N905" s="136"/>
      <c r="O905" s="34"/>
      <c r="P905" s="35"/>
      <c r="Q905" s="35"/>
      <c r="R905" s="35"/>
      <c r="S905" s="35"/>
      <c r="T905" s="35"/>
      <c r="U905" s="35"/>
      <c r="V905" s="35"/>
      <c r="W905" s="35"/>
      <c r="X905" s="35"/>
      <c r="Y905" s="35"/>
      <c r="Z905" s="35"/>
    </row>
    <row r="906" ht="14.25" customHeight="1">
      <c r="A906" s="136"/>
      <c r="B906" s="137"/>
      <c r="C906" s="251"/>
      <c r="D906" s="452"/>
      <c r="E906" s="136"/>
      <c r="F906" s="253"/>
      <c r="G906" s="140"/>
      <c r="H906" s="141"/>
      <c r="I906" s="141"/>
      <c r="J906" s="142"/>
      <c r="K906" s="142"/>
      <c r="L906" s="142"/>
      <c r="M906" s="142"/>
      <c r="N906" s="136"/>
      <c r="O906" s="34"/>
      <c r="P906" s="35"/>
      <c r="Q906" s="35"/>
      <c r="R906" s="35"/>
      <c r="S906" s="35"/>
      <c r="T906" s="35"/>
      <c r="U906" s="35"/>
      <c r="V906" s="35"/>
      <c r="W906" s="35"/>
      <c r="X906" s="35"/>
      <c r="Y906" s="35"/>
      <c r="Z906" s="35"/>
    </row>
    <row r="907" ht="14.25" customHeight="1">
      <c r="A907" s="136"/>
      <c r="B907" s="137"/>
      <c r="C907" s="251"/>
      <c r="D907" s="452"/>
      <c r="E907" s="136"/>
      <c r="F907" s="253"/>
      <c r="G907" s="140"/>
      <c r="H907" s="141"/>
      <c r="I907" s="141"/>
      <c r="J907" s="142"/>
      <c r="K907" s="142"/>
      <c r="L907" s="142"/>
      <c r="M907" s="142"/>
      <c r="N907" s="136"/>
      <c r="O907" s="34"/>
      <c r="P907" s="35"/>
      <c r="Q907" s="35"/>
      <c r="R907" s="35"/>
      <c r="S907" s="35"/>
      <c r="T907" s="35"/>
      <c r="U907" s="35"/>
      <c r="V907" s="35"/>
      <c r="W907" s="35"/>
      <c r="X907" s="35"/>
      <c r="Y907" s="35"/>
      <c r="Z907" s="35"/>
    </row>
    <row r="908" ht="14.25" customHeight="1">
      <c r="A908" s="136"/>
      <c r="B908" s="137"/>
      <c r="C908" s="251"/>
      <c r="D908" s="452"/>
      <c r="E908" s="136"/>
      <c r="F908" s="253"/>
      <c r="G908" s="140"/>
      <c r="H908" s="141"/>
      <c r="I908" s="141"/>
      <c r="J908" s="142"/>
      <c r="K908" s="142"/>
      <c r="L908" s="142"/>
      <c r="M908" s="142"/>
      <c r="N908" s="136"/>
      <c r="O908" s="34"/>
      <c r="P908" s="35"/>
      <c r="Q908" s="35"/>
      <c r="R908" s="35"/>
      <c r="S908" s="35"/>
      <c r="T908" s="35"/>
      <c r="U908" s="35"/>
      <c r="V908" s="35"/>
      <c r="W908" s="35"/>
      <c r="X908" s="35"/>
      <c r="Y908" s="35"/>
      <c r="Z908" s="35"/>
    </row>
    <row r="909" ht="14.25" customHeight="1">
      <c r="A909" s="136"/>
      <c r="B909" s="137"/>
      <c r="C909" s="251"/>
      <c r="D909" s="452"/>
      <c r="E909" s="136"/>
      <c r="F909" s="253"/>
      <c r="G909" s="140"/>
      <c r="H909" s="141"/>
      <c r="I909" s="141"/>
      <c r="J909" s="142"/>
      <c r="K909" s="142"/>
      <c r="L909" s="142"/>
      <c r="M909" s="142"/>
      <c r="N909" s="136"/>
      <c r="O909" s="34"/>
      <c r="P909" s="35"/>
      <c r="Q909" s="35"/>
      <c r="R909" s="35"/>
      <c r="S909" s="35"/>
      <c r="T909" s="35"/>
      <c r="U909" s="35"/>
      <c r="V909" s="35"/>
      <c r="W909" s="35"/>
      <c r="X909" s="35"/>
      <c r="Y909" s="35"/>
      <c r="Z909" s="35"/>
    </row>
    <row r="910" ht="14.25" customHeight="1">
      <c r="A910" s="136"/>
      <c r="B910" s="137"/>
      <c r="C910" s="251"/>
      <c r="D910" s="452"/>
      <c r="E910" s="136"/>
      <c r="F910" s="253"/>
      <c r="G910" s="140"/>
      <c r="H910" s="141"/>
      <c r="I910" s="141"/>
      <c r="J910" s="142"/>
      <c r="K910" s="142"/>
      <c r="L910" s="142"/>
      <c r="M910" s="142"/>
      <c r="N910" s="136"/>
      <c r="O910" s="34"/>
      <c r="P910" s="35"/>
      <c r="Q910" s="35"/>
      <c r="R910" s="35"/>
      <c r="S910" s="35"/>
      <c r="T910" s="35"/>
      <c r="U910" s="35"/>
      <c r="V910" s="35"/>
      <c r="W910" s="35"/>
      <c r="X910" s="35"/>
      <c r="Y910" s="35"/>
      <c r="Z910" s="35"/>
    </row>
    <row r="911" ht="14.25" customHeight="1">
      <c r="A911" s="136"/>
      <c r="B911" s="137"/>
      <c r="C911" s="251"/>
      <c r="D911" s="452"/>
      <c r="E911" s="136"/>
      <c r="F911" s="253"/>
      <c r="G911" s="140"/>
      <c r="H911" s="141"/>
      <c r="I911" s="141"/>
      <c r="J911" s="142"/>
      <c r="K911" s="142"/>
      <c r="L911" s="142"/>
      <c r="M911" s="142"/>
      <c r="N911" s="136"/>
      <c r="O911" s="34"/>
      <c r="P911" s="35"/>
      <c r="Q911" s="35"/>
      <c r="R911" s="35"/>
      <c r="S911" s="35"/>
      <c r="T911" s="35"/>
      <c r="U911" s="35"/>
      <c r="V911" s="35"/>
      <c r="W911" s="35"/>
      <c r="X911" s="35"/>
      <c r="Y911" s="35"/>
      <c r="Z911" s="35"/>
    </row>
    <row r="912" ht="14.25" customHeight="1">
      <c r="A912" s="136"/>
      <c r="B912" s="137"/>
      <c r="C912" s="251"/>
      <c r="D912" s="452"/>
      <c r="E912" s="136"/>
      <c r="F912" s="253"/>
      <c r="G912" s="140"/>
      <c r="H912" s="141"/>
      <c r="I912" s="141"/>
      <c r="J912" s="142"/>
      <c r="K912" s="142"/>
      <c r="L912" s="142"/>
      <c r="M912" s="142"/>
      <c r="N912" s="136"/>
      <c r="O912" s="34"/>
      <c r="P912" s="35"/>
      <c r="Q912" s="35"/>
      <c r="R912" s="35"/>
      <c r="S912" s="35"/>
      <c r="T912" s="35"/>
      <c r="U912" s="35"/>
      <c r="V912" s="35"/>
      <c r="W912" s="35"/>
      <c r="X912" s="35"/>
      <c r="Y912" s="35"/>
      <c r="Z912" s="35"/>
    </row>
    <row r="913" ht="14.25" customHeight="1">
      <c r="A913" s="136"/>
      <c r="B913" s="137"/>
      <c r="C913" s="251"/>
      <c r="D913" s="452"/>
      <c r="E913" s="136"/>
      <c r="F913" s="253"/>
      <c r="G913" s="140"/>
      <c r="H913" s="141"/>
      <c r="I913" s="141"/>
      <c r="J913" s="142"/>
      <c r="K913" s="142"/>
      <c r="L913" s="142"/>
      <c r="M913" s="142"/>
      <c r="N913" s="136"/>
      <c r="O913" s="34"/>
      <c r="P913" s="35"/>
      <c r="Q913" s="35"/>
      <c r="R913" s="35"/>
      <c r="S913" s="35"/>
      <c r="T913" s="35"/>
      <c r="U913" s="35"/>
      <c r="V913" s="35"/>
      <c r="W913" s="35"/>
      <c r="X913" s="35"/>
      <c r="Y913" s="35"/>
      <c r="Z913" s="35"/>
    </row>
    <row r="914" ht="14.25" customHeight="1">
      <c r="A914" s="136"/>
      <c r="B914" s="137"/>
      <c r="C914" s="251"/>
      <c r="D914" s="452"/>
      <c r="E914" s="136"/>
      <c r="F914" s="253"/>
      <c r="G914" s="140"/>
      <c r="H914" s="141"/>
      <c r="I914" s="141"/>
      <c r="J914" s="142"/>
      <c r="K914" s="142"/>
      <c r="L914" s="142"/>
      <c r="M914" s="142"/>
      <c r="N914" s="136"/>
      <c r="O914" s="34"/>
      <c r="P914" s="35"/>
      <c r="Q914" s="35"/>
      <c r="R914" s="35"/>
      <c r="S914" s="35"/>
      <c r="T914" s="35"/>
      <c r="U914" s="35"/>
      <c r="V914" s="35"/>
      <c r="W914" s="35"/>
      <c r="X914" s="35"/>
      <c r="Y914" s="35"/>
      <c r="Z914" s="35"/>
    </row>
    <row r="915" ht="14.25" customHeight="1">
      <c r="A915" s="136"/>
      <c r="B915" s="137"/>
      <c r="C915" s="251"/>
      <c r="D915" s="452"/>
      <c r="E915" s="136"/>
      <c r="F915" s="253"/>
      <c r="G915" s="140"/>
      <c r="H915" s="141"/>
      <c r="I915" s="141"/>
      <c r="J915" s="142"/>
      <c r="K915" s="142"/>
      <c r="L915" s="142"/>
      <c r="M915" s="142"/>
      <c r="N915" s="136"/>
      <c r="O915" s="34"/>
      <c r="P915" s="35"/>
      <c r="Q915" s="35"/>
      <c r="R915" s="35"/>
      <c r="S915" s="35"/>
      <c r="T915" s="35"/>
      <c r="U915" s="35"/>
      <c r="V915" s="35"/>
      <c r="W915" s="35"/>
      <c r="X915" s="35"/>
      <c r="Y915" s="35"/>
      <c r="Z915" s="35"/>
    </row>
    <row r="916" ht="14.25" customHeight="1">
      <c r="A916" s="136"/>
      <c r="B916" s="137"/>
      <c r="C916" s="251"/>
      <c r="D916" s="452"/>
      <c r="E916" s="136"/>
      <c r="F916" s="253"/>
      <c r="G916" s="140"/>
      <c r="H916" s="141"/>
      <c r="I916" s="141"/>
      <c r="J916" s="142"/>
      <c r="K916" s="142"/>
      <c r="L916" s="142"/>
      <c r="M916" s="142"/>
      <c r="N916" s="136"/>
      <c r="O916" s="34"/>
      <c r="P916" s="35"/>
      <c r="Q916" s="35"/>
      <c r="R916" s="35"/>
      <c r="S916" s="35"/>
      <c r="T916" s="35"/>
      <c r="U916" s="35"/>
      <c r="V916" s="35"/>
      <c r="W916" s="35"/>
      <c r="X916" s="35"/>
      <c r="Y916" s="35"/>
      <c r="Z916" s="35"/>
    </row>
    <row r="917" ht="14.25" customHeight="1">
      <c r="A917" s="136"/>
      <c r="B917" s="137"/>
      <c r="C917" s="251"/>
      <c r="D917" s="452"/>
      <c r="E917" s="136"/>
      <c r="F917" s="253"/>
      <c r="G917" s="140"/>
      <c r="H917" s="141"/>
      <c r="I917" s="141"/>
      <c r="J917" s="142"/>
      <c r="K917" s="142"/>
      <c r="L917" s="142"/>
      <c r="M917" s="142"/>
      <c r="N917" s="136"/>
      <c r="O917" s="34"/>
      <c r="P917" s="35"/>
      <c r="Q917" s="35"/>
      <c r="R917" s="35"/>
      <c r="S917" s="35"/>
      <c r="T917" s="35"/>
      <c r="U917" s="35"/>
      <c r="V917" s="35"/>
      <c r="W917" s="35"/>
      <c r="X917" s="35"/>
      <c r="Y917" s="35"/>
      <c r="Z917" s="35"/>
    </row>
    <row r="918" ht="14.25" customHeight="1">
      <c r="A918" s="136"/>
      <c r="B918" s="137"/>
      <c r="C918" s="251"/>
      <c r="D918" s="452"/>
      <c r="E918" s="136"/>
      <c r="F918" s="253"/>
      <c r="G918" s="140"/>
      <c r="H918" s="141"/>
      <c r="I918" s="141"/>
      <c r="J918" s="142"/>
      <c r="K918" s="142"/>
      <c r="L918" s="142"/>
      <c r="M918" s="142"/>
      <c r="N918" s="136"/>
      <c r="O918" s="34"/>
      <c r="P918" s="35"/>
      <c r="Q918" s="35"/>
      <c r="R918" s="35"/>
      <c r="S918" s="35"/>
      <c r="T918" s="35"/>
      <c r="U918" s="35"/>
      <c r="V918" s="35"/>
      <c r="W918" s="35"/>
      <c r="X918" s="35"/>
      <c r="Y918" s="35"/>
      <c r="Z918" s="35"/>
    </row>
    <row r="919" ht="14.25" customHeight="1">
      <c r="A919" s="136"/>
      <c r="B919" s="137"/>
      <c r="C919" s="251"/>
      <c r="D919" s="452"/>
      <c r="E919" s="136"/>
      <c r="F919" s="253"/>
      <c r="G919" s="140"/>
      <c r="H919" s="141"/>
      <c r="I919" s="141"/>
      <c r="J919" s="142"/>
      <c r="K919" s="142"/>
      <c r="L919" s="142"/>
      <c r="M919" s="142"/>
      <c r="N919" s="136"/>
      <c r="O919" s="34"/>
      <c r="P919" s="35"/>
      <c r="Q919" s="35"/>
      <c r="R919" s="35"/>
      <c r="S919" s="35"/>
      <c r="T919" s="35"/>
      <c r="U919" s="35"/>
      <c r="V919" s="35"/>
      <c r="W919" s="35"/>
      <c r="X919" s="35"/>
      <c r="Y919" s="35"/>
      <c r="Z919" s="35"/>
    </row>
    <row r="920" ht="14.25" customHeight="1">
      <c r="A920" s="136"/>
      <c r="B920" s="137"/>
      <c r="C920" s="251"/>
      <c r="D920" s="452"/>
      <c r="E920" s="136"/>
      <c r="F920" s="253"/>
      <c r="G920" s="140"/>
      <c r="H920" s="141"/>
      <c r="I920" s="141"/>
      <c r="J920" s="142"/>
      <c r="K920" s="142"/>
      <c r="L920" s="142"/>
      <c r="M920" s="142"/>
      <c r="N920" s="136"/>
      <c r="O920" s="34"/>
      <c r="P920" s="35"/>
      <c r="Q920" s="35"/>
      <c r="R920" s="35"/>
      <c r="S920" s="35"/>
      <c r="T920" s="35"/>
      <c r="U920" s="35"/>
      <c r="V920" s="35"/>
      <c r="W920" s="35"/>
      <c r="X920" s="35"/>
      <c r="Y920" s="35"/>
      <c r="Z920" s="35"/>
    </row>
    <row r="921" ht="14.25" customHeight="1">
      <c r="A921" s="136"/>
      <c r="B921" s="137"/>
      <c r="C921" s="251"/>
      <c r="D921" s="452"/>
      <c r="E921" s="136"/>
      <c r="F921" s="253"/>
      <c r="G921" s="140"/>
      <c r="H921" s="141"/>
      <c r="I921" s="141"/>
      <c r="J921" s="142"/>
      <c r="K921" s="142"/>
      <c r="L921" s="142"/>
      <c r="M921" s="142"/>
      <c r="N921" s="136"/>
      <c r="O921" s="34"/>
      <c r="P921" s="35"/>
      <c r="Q921" s="35"/>
      <c r="R921" s="35"/>
      <c r="S921" s="35"/>
      <c r="T921" s="35"/>
      <c r="U921" s="35"/>
      <c r="V921" s="35"/>
      <c r="W921" s="35"/>
      <c r="X921" s="35"/>
      <c r="Y921" s="35"/>
      <c r="Z921" s="35"/>
    </row>
    <row r="922" ht="14.25" customHeight="1">
      <c r="A922" s="136"/>
      <c r="B922" s="137"/>
      <c r="C922" s="251"/>
      <c r="D922" s="452"/>
      <c r="E922" s="136"/>
      <c r="F922" s="253"/>
      <c r="G922" s="140"/>
      <c r="H922" s="141"/>
      <c r="I922" s="141"/>
      <c r="J922" s="142"/>
      <c r="K922" s="142"/>
      <c r="L922" s="142"/>
      <c r="M922" s="142"/>
      <c r="N922" s="136"/>
      <c r="O922" s="34"/>
      <c r="P922" s="35"/>
      <c r="Q922" s="35"/>
      <c r="R922" s="35"/>
      <c r="S922" s="35"/>
      <c r="T922" s="35"/>
      <c r="U922" s="35"/>
      <c r="V922" s="35"/>
      <c r="W922" s="35"/>
      <c r="X922" s="35"/>
      <c r="Y922" s="35"/>
      <c r="Z922" s="35"/>
    </row>
    <row r="923" ht="14.25" customHeight="1">
      <c r="A923" s="136"/>
      <c r="B923" s="137"/>
      <c r="C923" s="251"/>
      <c r="D923" s="452"/>
      <c r="E923" s="136"/>
      <c r="F923" s="253"/>
      <c r="G923" s="140"/>
      <c r="H923" s="141"/>
      <c r="I923" s="141"/>
      <c r="J923" s="142"/>
      <c r="K923" s="142"/>
      <c r="L923" s="142"/>
      <c r="M923" s="142"/>
      <c r="N923" s="136"/>
      <c r="O923" s="34"/>
      <c r="P923" s="35"/>
      <c r="Q923" s="35"/>
      <c r="R923" s="35"/>
      <c r="S923" s="35"/>
      <c r="T923" s="35"/>
      <c r="U923" s="35"/>
      <c r="V923" s="35"/>
      <c r="W923" s="35"/>
      <c r="X923" s="35"/>
      <c r="Y923" s="35"/>
      <c r="Z923" s="35"/>
    </row>
    <row r="924" ht="14.25" customHeight="1">
      <c r="A924" s="136"/>
      <c r="B924" s="137"/>
      <c r="C924" s="251"/>
      <c r="D924" s="452"/>
      <c r="E924" s="136"/>
      <c r="F924" s="253"/>
      <c r="G924" s="140"/>
      <c r="H924" s="141"/>
      <c r="I924" s="141"/>
      <c r="J924" s="142"/>
      <c r="K924" s="142"/>
      <c r="L924" s="142"/>
      <c r="M924" s="142"/>
      <c r="N924" s="136"/>
      <c r="O924" s="34"/>
      <c r="P924" s="35"/>
      <c r="Q924" s="35"/>
      <c r="R924" s="35"/>
      <c r="S924" s="35"/>
      <c r="T924" s="35"/>
      <c r="U924" s="35"/>
      <c r="V924" s="35"/>
      <c r="W924" s="35"/>
      <c r="X924" s="35"/>
      <c r="Y924" s="35"/>
      <c r="Z924" s="35"/>
    </row>
    <row r="925" ht="14.25" customHeight="1">
      <c r="A925" s="136"/>
      <c r="B925" s="137"/>
      <c r="C925" s="251"/>
      <c r="D925" s="452"/>
      <c r="E925" s="136"/>
      <c r="F925" s="253"/>
      <c r="G925" s="140"/>
      <c r="H925" s="141"/>
      <c r="I925" s="141"/>
      <c r="J925" s="142"/>
      <c r="K925" s="142"/>
      <c r="L925" s="142"/>
      <c r="M925" s="142"/>
      <c r="N925" s="136"/>
      <c r="O925" s="34"/>
      <c r="P925" s="35"/>
      <c r="Q925" s="35"/>
      <c r="R925" s="35"/>
      <c r="S925" s="35"/>
      <c r="T925" s="35"/>
      <c r="U925" s="35"/>
      <c r="V925" s="35"/>
      <c r="W925" s="35"/>
      <c r="X925" s="35"/>
      <c r="Y925" s="35"/>
      <c r="Z925" s="35"/>
    </row>
    <row r="926" ht="14.25" customHeight="1">
      <c r="A926" s="136"/>
      <c r="B926" s="137"/>
      <c r="C926" s="251"/>
      <c r="D926" s="452"/>
      <c r="E926" s="136"/>
      <c r="F926" s="253"/>
      <c r="G926" s="140"/>
      <c r="H926" s="141"/>
      <c r="I926" s="141"/>
      <c r="J926" s="142"/>
      <c r="K926" s="142"/>
      <c r="L926" s="142"/>
      <c r="M926" s="142"/>
      <c r="N926" s="136"/>
      <c r="O926" s="34"/>
      <c r="P926" s="35"/>
      <c r="Q926" s="35"/>
      <c r="R926" s="35"/>
      <c r="S926" s="35"/>
      <c r="T926" s="35"/>
      <c r="U926" s="35"/>
      <c r="V926" s="35"/>
      <c r="W926" s="35"/>
      <c r="X926" s="35"/>
      <c r="Y926" s="35"/>
      <c r="Z926" s="35"/>
    </row>
    <row r="927" ht="14.25" customHeight="1">
      <c r="A927" s="136"/>
      <c r="B927" s="137"/>
      <c r="C927" s="251"/>
      <c r="D927" s="452"/>
      <c r="E927" s="136"/>
      <c r="F927" s="253"/>
      <c r="G927" s="140"/>
      <c r="H927" s="141"/>
      <c r="I927" s="141"/>
      <c r="J927" s="142"/>
      <c r="K927" s="142"/>
      <c r="L927" s="142"/>
      <c r="M927" s="142"/>
      <c r="N927" s="136"/>
      <c r="O927" s="34"/>
      <c r="P927" s="35"/>
      <c r="Q927" s="35"/>
      <c r="R927" s="35"/>
      <c r="S927" s="35"/>
      <c r="T927" s="35"/>
      <c r="U927" s="35"/>
      <c r="V927" s="35"/>
      <c r="W927" s="35"/>
      <c r="X927" s="35"/>
      <c r="Y927" s="35"/>
      <c r="Z927" s="35"/>
    </row>
    <row r="928" ht="14.25" customHeight="1">
      <c r="A928" s="136"/>
      <c r="B928" s="137"/>
      <c r="C928" s="251"/>
      <c r="D928" s="452"/>
      <c r="E928" s="136"/>
      <c r="F928" s="253"/>
      <c r="G928" s="140"/>
      <c r="H928" s="141"/>
      <c r="I928" s="141"/>
      <c r="J928" s="142"/>
      <c r="K928" s="142"/>
      <c r="L928" s="142"/>
      <c r="M928" s="142"/>
      <c r="N928" s="136"/>
      <c r="O928" s="34"/>
      <c r="P928" s="35"/>
      <c r="Q928" s="35"/>
      <c r="R928" s="35"/>
      <c r="S928" s="35"/>
      <c r="T928" s="35"/>
      <c r="U928" s="35"/>
      <c r="V928" s="35"/>
      <c r="W928" s="35"/>
      <c r="X928" s="35"/>
      <c r="Y928" s="35"/>
      <c r="Z928" s="35"/>
    </row>
    <row r="929" ht="14.25" customHeight="1">
      <c r="A929" s="136"/>
      <c r="B929" s="137"/>
      <c r="C929" s="251"/>
      <c r="D929" s="452"/>
      <c r="E929" s="136"/>
      <c r="F929" s="253"/>
      <c r="G929" s="140"/>
      <c r="H929" s="141"/>
      <c r="I929" s="141"/>
      <c r="J929" s="142"/>
      <c r="K929" s="142"/>
      <c r="L929" s="142"/>
      <c r="M929" s="142"/>
      <c r="N929" s="136"/>
      <c r="O929" s="34"/>
      <c r="P929" s="35"/>
      <c r="Q929" s="35"/>
      <c r="R929" s="35"/>
      <c r="S929" s="35"/>
      <c r="T929" s="35"/>
      <c r="U929" s="35"/>
      <c r="V929" s="35"/>
      <c r="W929" s="35"/>
      <c r="X929" s="35"/>
      <c r="Y929" s="35"/>
      <c r="Z929" s="35"/>
    </row>
    <row r="930" ht="14.25" customHeight="1">
      <c r="A930" s="136"/>
      <c r="B930" s="137"/>
      <c r="C930" s="251"/>
      <c r="D930" s="452"/>
      <c r="E930" s="136"/>
      <c r="F930" s="253"/>
      <c r="G930" s="140"/>
      <c r="H930" s="141"/>
      <c r="I930" s="141"/>
      <c r="J930" s="142"/>
      <c r="K930" s="142"/>
      <c r="L930" s="142"/>
      <c r="M930" s="142"/>
      <c r="N930" s="136"/>
      <c r="O930" s="34"/>
      <c r="P930" s="35"/>
      <c r="Q930" s="35"/>
      <c r="R930" s="35"/>
      <c r="S930" s="35"/>
      <c r="T930" s="35"/>
      <c r="U930" s="35"/>
      <c r="V930" s="35"/>
      <c r="W930" s="35"/>
      <c r="X930" s="35"/>
      <c r="Y930" s="35"/>
      <c r="Z930" s="35"/>
    </row>
    <row r="931" ht="14.25" customHeight="1">
      <c r="A931" s="136"/>
      <c r="B931" s="137"/>
      <c r="C931" s="251"/>
      <c r="D931" s="452"/>
      <c r="E931" s="136"/>
      <c r="F931" s="253"/>
      <c r="G931" s="140"/>
      <c r="H931" s="141"/>
      <c r="I931" s="141"/>
      <c r="J931" s="142"/>
      <c r="K931" s="142"/>
      <c r="L931" s="142"/>
      <c r="M931" s="142"/>
      <c r="N931" s="136"/>
      <c r="O931" s="34"/>
      <c r="P931" s="35"/>
      <c r="Q931" s="35"/>
      <c r="R931" s="35"/>
      <c r="S931" s="35"/>
      <c r="T931" s="35"/>
      <c r="U931" s="35"/>
      <c r="V931" s="35"/>
      <c r="W931" s="35"/>
      <c r="X931" s="35"/>
      <c r="Y931" s="35"/>
      <c r="Z931" s="35"/>
    </row>
    <row r="932" ht="14.25" customHeight="1">
      <c r="A932" s="136"/>
      <c r="B932" s="137"/>
      <c r="C932" s="251"/>
      <c r="D932" s="452"/>
      <c r="E932" s="136"/>
      <c r="F932" s="253"/>
      <c r="G932" s="140"/>
      <c r="H932" s="141"/>
      <c r="I932" s="141"/>
      <c r="J932" s="142"/>
      <c r="K932" s="142"/>
      <c r="L932" s="142"/>
      <c r="M932" s="142"/>
      <c r="N932" s="136"/>
      <c r="O932" s="34"/>
      <c r="P932" s="35"/>
      <c r="Q932" s="35"/>
      <c r="R932" s="35"/>
      <c r="S932" s="35"/>
      <c r="T932" s="35"/>
      <c r="U932" s="35"/>
      <c r="V932" s="35"/>
      <c r="W932" s="35"/>
      <c r="X932" s="35"/>
      <c r="Y932" s="35"/>
      <c r="Z932" s="35"/>
    </row>
    <row r="933" ht="14.25" customHeight="1">
      <c r="A933" s="136"/>
      <c r="B933" s="137"/>
      <c r="C933" s="251"/>
      <c r="D933" s="452"/>
      <c r="E933" s="136"/>
      <c r="F933" s="253"/>
      <c r="G933" s="140"/>
      <c r="H933" s="141"/>
      <c r="I933" s="141"/>
      <c r="J933" s="142"/>
      <c r="K933" s="142"/>
      <c r="L933" s="142"/>
      <c r="M933" s="142"/>
      <c r="N933" s="136"/>
      <c r="O933" s="34"/>
      <c r="P933" s="35"/>
      <c r="Q933" s="35"/>
      <c r="R933" s="35"/>
      <c r="S933" s="35"/>
      <c r="T933" s="35"/>
      <c r="U933" s="35"/>
      <c r="V933" s="35"/>
      <c r="W933" s="35"/>
      <c r="X933" s="35"/>
      <c r="Y933" s="35"/>
      <c r="Z933" s="35"/>
    </row>
    <row r="934" ht="14.25" customHeight="1">
      <c r="A934" s="136"/>
      <c r="B934" s="137"/>
      <c r="C934" s="251"/>
      <c r="D934" s="452"/>
      <c r="E934" s="136"/>
      <c r="F934" s="253"/>
      <c r="G934" s="140"/>
      <c r="H934" s="141"/>
      <c r="I934" s="141"/>
      <c r="J934" s="142"/>
      <c r="K934" s="142"/>
      <c r="L934" s="142"/>
      <c r="M934" s="142"/>
      <c r="N934" s="136"/>
      <c r="O934" s="34"/>
      <c r="P934" s="35"/>
      <c r="Q934" s="35"/>
      <c r="R934" s="35"/>
      <c r="S934" s="35"/>
      <c r="T934" s="35"/>
      <c r="U934" s="35"/>
      <c r="V934" s="35"/>
      <c r="W934" s="35"/>
      <c r="X934" s="35"/>
      <c r="Y934" s="35"/>
      <c r="Z934" s="35"/>
    </row>
    <row r="935" ht="14.25" customHeight="1">
      <c r="A935" s="136"/>
      <c r="B935" s="137"/>
      <c r="C935" s="251"/>
      <c r="D935" s="452"/>
      <c r="E935" s="136"/>
      <c r="F935" s="253"/>
      <c r="G935" s="140"/>
      <c r="H935" s="141"/>
      <c r="I935" s="141"/>
      <c r="J935" s="142"/>
      <c r="K935" s="142"/>
      <c r="L935" s="142"/>
      <c r="M935" s="142"/>
      <c r="N935" s="136"/>
      <c r="O935" s="34"/>
      <c r="P935" s="35"/>
      <c r="Q935" s="35"/>
      <c r="R935" s="35"/>
      <c r="S935" s="35"/>
      <c r="T935" s="35"/>
      <c r="U935" s="35"/>
      <c r="V935" s="35"/>
      <c r="W935" s="35"/>
      <c r="X935" s="35"/>
      <c r="Y935" s="35"/>
      <c r="Z935" s="35"/>
    </row>
    <row r="936" ht="14.25" customHeight="1">
      <c r="A936" s="136"/>
      <c r="B936" s="137"/>
      <c r="C936" s="251"/>
      <c r="D936" s="452"/>
      <c r="E936" s="136"/>
      <c r="F936" s="253"/>
      <c r="G936" s="140"/>
      <c r="H936" s="141"/>
      <c r="I936" s="141"/>
      <c r="J936" s="142"/>
      <c r="K936" s="142"/>
      <c r="L936" s="142"/>
      <c r="M936" s="142"/>
      <c r="N936" s="136"/>
      <c r="O936" s="34"/>
      <c r="P936" s="35"/>
      <c r="Q936" s="35"/>
      <c r="R936" s="35"/>
      <c r="S936" s="35"/>
      <c r="T936" s="35"/>
      <c r="U936" s="35"/>
      <c r="V936" s="35"/>
      <c r="W936" s="35"/>
      <c r="X936" s="35"/>
      <c r="Y936" s="35"/>
      <c r="Z936" s="35"/>
    </row>
    <row r="937" ht="14.25" customHeight="1">
      <c r="A937" s="136"/>
      <c r="B937" s="137"/>
      <c r="C937" s="251"/>
      <c r="D937" s="452"/>
      <c r="E937" s="136"/>
      <c r="F937" s="253"/>
      <c r="G937" s="140"/>
      <c r="H937" s="141"/>
      <c r="I937" s="141"/>
      <c r="J937" s="142"/>
      <c r="K937" s="142"/>
      <c r="L937" s="142"/>
      <c r="M937" s="142"/>
      <c r="N937" s="136"/>
      <c r="O937" s="34"/>
      <c r="P937" s="35"/>
      <c r="Q937" s="35"/>
      <c r="R937" s="35"/>
      <c r="S937" s="35"/>
      <c r="T937" s="35"/>
      <c r="U937" s="35"/>
      <c r="V937" s="35"/>
      <c r="W937" s="35"/>
      <c r="X937" s="35"/>
      <c r="Y937" s="35"/>
      <c r="Z937" s="35"/>
    </row>
    <row r="938" ht="14.25" customHeight="1">
      <c r="A938" s="136"/>
      <c r="B938" s="137"/>
      <c r="C938" s="251"/>
      <c r="D938" s="452"/>
      <c r="E938" s="136"/>
      <c r="F938" s="253"/>
      <c r="G938" s="140"/>
      <c r="H938" s="141"/>
      <c r="I938" s="141"/>
      <c r="J938" s="142"/>
      <c r="K938" s="142"/>
      <c r="L938" s="142"/>
      <c r="M938" s="142"/>
      <c r="N938" s="136"/>
      <c r="O938" s="34"/>
      <c r="P938" s="35"/>
      <c r="Q938" s="35"/>
      <c r="R938" s="35"/>
      <c r="S938" s="35"/>
      <c r="T938" s="35"/>
      <c r="U938" s="35"/>
      <c r="V938" s="35"/>
      <c r="W938" s="35"/>
      <c r="X938" s="35"/>
      <c r="Y938" s="35"/>
      <c r="Z938" s="35"/>
    </row>
    <row r="939" ht="14.25" customHeight="1">
      <c r="A939" s="136"/>
      <c r="B939" s="137"/>
      <c r="C939" s="251"/>
      <c r="D939" s="452"/>
      <c r="E939" s="136"/>
      <c r="F939" s="253"/>
      <c r="G939" s="140"/>
      <c r="H939" s="141"/>
      <c r="I939" s="141"/>
      <c r="J939" s="142"/>
      <c r="K939" s="142"/>
      <c r="L939" s="142"/>
      <c r="M939" s="142"/>
      <c r="N939" s="136"/>
      <c r="O939" s="34"/>
      <c r="P939" s="35"/>
      <c r="Q939" s="35"/>
      <c r="R939" s="35"/>
      <c r="S939" s="35"/>
      <c r="T939" s="35"/>
      <c r="U939" s="35"/>
      <c r="V939" s="35"/>
      <c r="W939" s="35"/>
      <c r="X939" s="35"/>
      <c r="Y939" s="35"/>
      <c r="Z939" s="35"/>
    </row>
    <row r="940" ht="14.25" customHeight="1">
      <c r="A940" s="136"/>
      <c r="B940" s="137"/>
      <c r="C940" s="251"/>
      <c r="D940" s="452"/>
      <c r="E940" s="136"/>
      <c r="F940" s="253"/>
      <c r="G940" s="140"/>
      <c r="H940" s="141"/>
      <c r="I940" s="141"/>
      <c r="J940" s="142"/>
      <c r="K940" s="142"/>
      <c r="L940" s="142"/>
      <c r="M940" s="142"/>
      <c r="N940" s="136"/>
      <c r="O940" s="34"/>
      <c r="P940" s="35"/>
      <c r="Q940" s="35"/>
      <c r="R940" s="35"/>
      <c r="S940" s="35"/>
      <c r="T940" s="35"/>
      <c r="U940" s="35"/>
      <c r="V940" s="35"/>
      <c r="W940" s="35"/>
      <c r="X940" s="35"/>
      <c r="Y940" s="35"/>
      <c r="Z940" s="35"/>
    </row>
    <row r="941" ht="14.25" customHeight="1">
      <c r="A941" s="136"/>
      <c r="B941" s="137"/>
      <c r="C941" s="251"/>
      <c r="D941" s="452"/>
      <c r="E941" s="136"/>
      <c r="F941" s="253"/>
      <c r="G941" s="140"/>
      <c r="H941" s="141"/>
      <c r="I941" s="141"/>
      <c r="J941" s="142"/>
      <c r="K941" s="142"/>
      <c r="L941" s="142"/>
      <c r="M941" s="142"/>
      <c r="N941" s="136"/>
      <c r="O941" s="34"/>
      <c r="P941" s="35"/>
      <c r="Q941" s="35"/>
      <c r="R941" s="35"/>
      <c r="S941" s="35"/>
      <c r="T941" s="35"/>
      <c r="U941" s="35"/>
      <c r="V941" s="35"/>
      <c r="W941" s="35"/>
      <c r="X941" s="35"/>
      <c r="Y941" s="35"/>
      <c r="Z941" s="35"/>
    </row>
    <row r="942" ht="14.25" customHeight="1">
      <c r="A942" s="136"/>
      <c r="B942" s="137"/>
      <c r="C942" s="251"/>
      <c r="D942" s="452"/>
      <c r="E942" s="136"/>
      <c r="F942" s="253"/>
      <c r="G942" s="140"/>
      <c r="H942" s="141"/>
      <c r="I942" s="141"/>
      <c r="J942" s="142"/>
      <c r="K942" s="142"/>
      <c r="L942" s="142"/>
      <c r="M942" s="142"/>
      <c r="N942" s="136"/>
      <c r="O942" s="34"/>
      <c r="P942" s="35"/>
      <c r="Q942" s="35"/>
      <c r="R942" s="35"/>
      <c r="S942" s="35"/>
      <c r="T942" s="35"/>
      <c r="U942" s="35"/>
      <c r="V942" s="35"/>
      <c r="W942" s="35"/>
      <c r="X942" s="35"/>
      <c r="Y942" s="35"/>
      <c r="Z942" s="35"/>
    </row>
    <row r="943" ht="14.25" customHeight="1">
      <c r="A943" s="136"/>
      <c r="B943" s="137"/>
      <c r="C943" s="251"/>
      <c r="D943" s="452"/>
      <c r="E943" s="136"/>
      <c r="F943" s="253"/>
      <c r="G943" s="140"/>
      <c r="H943" s="141"/>
      <c r="I943" s="141"/>
      <c r="J943" s="142"/>
      <c r="K943" s="142"/>
      <c r="L943" s="142"/>
      <c r="M943" s="142"/>
      <c r="N943" s="136"/>
      <c r="O943" s="34"/>
      <c r="P943" s="35"/>
      <c r="Q943" s="35"/>
      <c r="R943" s="35"/>
      <c r="S943" s="35"/>
      <c r="T943" s="35"/>
      <c r="U943" s="35"/>
      <c r="V943" s="35"/>
      <c r="W943" s="35"/>
      <c r="X943" s="35"/>
      <c r="Y943" s="35"/>
      <c r="Z943" s="35"/>
    </row>
    <row r="944" ht="14.25" customHeight="1">
      <c r="A944" s="136"/>
      <c r="B944" s="137"/>
      <c r="C944" s="251"/>
      <c r="D944" s="452"/>
      <c r="E944" s="136"/>
      <c r="F944" s="253"/>
      <c r="G944" s="140"/>
      <c r="H944" s="141"/>
      <c r="I944" s="141"/>
      <c r="J944" s="142"/>
      <c r="K944" s="142"/>
      <c r="L944" s="142"/>
      <c r="M944" s="142"/>
      <c r="N944" s="136"/>
      <c r="O944" s="34"/>
      <c r="P944" s="35"/>
      <c r="Q944" s="35"/>
      <c r="R944" s="35"/>
      <c r="S944" s="35"/>
      <c r="T944" s="35"/>
      <c r="U944" s="35"/>
      <c r="V944" s="35"/>
      <c r="W944" s="35"/>
      <c r="X944" s="35"/>
      <c r="Y944" s="35"/>
      <c r="Z944" s="35"/>
    </row>
    <row r="945" ht="14.25" customHeight="1">
      <c r="A945" s="136"/>
      <c r="B945" s="137"/>
      <c r="C945" s="251"/>
      <c r="D945" s="452"/>
      <c r="E945" s="136"/>
      <c r="F945" s="253"/>
      <c r="G945" s="140"/>
      <c r="H945" s="141"/>
      <c r="I945" s="141"/>
      <c r="J945" s="142"/>
      <c r="K945" s="142"/>
      <c r="L945" s="142"/>
      <c r="M945" s="142"/>
      <c r="N945" s="136"/>
      <c r="O945" s="34"/>
      <c r="P945" s="35"/>
      <c r="Q945" s="35"/>
      <c r="R945" s="35"/>
      <c r="S945" s="35"/>
      <c r="T945" s="35"/>
      <c r="U945" s="35"/>
      <c r="V945" s="35"/>
      <c r="W945" s="35"/>
      <c r="X945" s="35"/>
      <c r="Y945" s="35"/>
      <c r="Z945" s="35"/>
    </row>
    <row r="946" ht="14.25" customHeight="1">
      <c r="A946" s="136"/>
      <c r="B946" s="137"/>
      <c r="C946" s="251"/>
      <c r="D946" s="452"/>
      <c r="E946" s="136"/>
      <c r="F946" s="253"/>
      <c r="G946" s="140"/>
      <c r="H946" s="141"/>
      <c r="I946" s="141"/>
      <c r="J946" s="142"/>
      <c r="K946" s="142"/>
      <c r="L946" s="142"/>
      <c r="M946" s="142"/>
      <c r="N946" s="136"/>
      <c r="O946" s="34"/>
      <c r="P946" s="35"/>
      <c r="Q946" s="35"/>
      <c r="R946" s="35"/>
      <c r="S946" s="35"/>
      <c r="T946" s="35"/>
      <c r="U946" s="35"/>
      <c r="V946" s="35"/>
      <c r="W946" s="35"/>
      <c r="X946" s="35"/>
      <c r="Y946" s="35"/>
      <c r="Z946" s="35"/>
    </row>
    <row r="947" ht="14.25" customHeight="1">
      <c r="A947" s="136"/>
      <c r="B947" s="137"/>
      <c r="C947" s="251"/>
      <c r="D947" s="452"/>
      <c r="E947" s="136"/>
      <c r="F947" s="253"/>
      <c r="G947" s="140"/>
      <c r="H947" s="141"/>
      <c r="I947" s="141"/>
      <c r="J947" s="142"/>
      <c r="K947" s="142"/>
      <c r="L947" s="142"/>
      <c r="M947" s="142"/>
      <c r="N947" s="136"/>
      <c r="O947" s="34"/>
      <c r="P947" s="35"/>
      <c r="Q947" s="35"/>
      <c r="R947" s="35"/>
      <c r="S947" s="35"/>
      <c r="T947" s="35"/>
      <c r="U947" s="35"/>
      <c r="V947" s="35"/>
      <c r="W947" s="35"/>
      <c r="X947" s="35"/>
      <c r="Y947" s="35"/>
      <c r="Z947" s="35"/>
    </row>
    <row r="948" ht="14.25" customHeight="1">
      <c r="A948" s="136"/>
      <c r="B948" s="137"/>
      <c r="C948" s="251"/>
      <c r="D948" s="452"/>
      <c r="E948" s="136"/>
      <c r="F948" s="253"/>
      <c r="G948" s="140"/>
      <c r="H948" s="141"/>
      <c r="I948" s="141"/>
      <c r="J948" s="142"/>
      <c r="K948" s="142"/>
      <c r="L948" s="142"/>
      <c r="M948" s="142"/>
      <c r="N948" s="136"/>
      <c r="O948" s="34"/>
      <c r="P948" s="35"/>
      <c r="Q948" s="35"/>
      <c r="R948" s="35"/>
      <c r="S948" s="35"/>
      <c r="T948" s="35"/>
      <c r="U948" s="35"/>
      <c r="V948" s="35"/>
      <c r="W948" s="35"/>
      <c r="X948" s="35"/>
      <c r="Y948" s="35"/>
      <c r="Z948" s="35"/>
    </row>
    <row r="949" ht="14.25" customHeight="1">
      <c r="A949" s="136"/>
      <c r="B949" s="137"/>
      <c r="C949" s="251"/>
      <c r="D949" s="452"/>
      <c r="E949" s="136"/>
      <c r="F949" s="253"/>
      <c r="G949" s="140"/>
      <c r="H949" s="141"/>
      <c r="I949" s="141"/>
      <c r="J949" s="142"/>
      <c r="K949" s="142"/>
      <c r="L949" s="142"/>
      <c r="M949" s="142"/>
      <c r="N949" s="136"/>
      <c r="O949" s="34"/>
      <c r="P949" s="35"/>
      <c r="Q949" s="35"/>
      <c r="R949" s="35"/>
      <c r="S949" s="35"/>
      <c r="T949" s="35"/>
      <c r="U949" s="35"/>
      <c r="V949" s="35"/>
      <c r="W949" s="35"/>
      <c r="X949" s="35"/>
      <c r="Y949" s="35"/>
      <c r="Z949" s="35"/>
    </row>
    <row r="950" ht="14.25" customHeight="1">
      <c r="A950" s="136"/>
      <c r="B950" s="137"/>
      <c r="C950" s="251"/>
      <c r="D950" s="452"/>
      <c r="E950" s="136"/>
      <c r="F950" s="253"/>
      <c r="G950" s="140"/>
      <c r="H950" s="141"/>
      <c r="I950" s="141"/>
      <c r="J950" s="142"/>
      <c r="K950" s="142"/>
      <c r="L950" s="142"/>
      <c r="M950" s="142"/>
      <c r="N950" s="136"/>
      <c r="O950" s="34"/>
      <c r="P950" s="35"/>
      <c r="Q950" s="35"/>
      <c r="R950" s="35"/>
      <c r="S950" s="35"/>
      <c r="T950" s="35"/>
      <c r="U950" s="35"/>
      <c r="V950" s="35"/>
      <c r="W950" s="35"/>
      <c r="X950" s="35"/>
      <c r="Y950" s="35"/>
      <c r="Z950" s="35"/>
    </row>
    <row r="951" ht="14.25" customHeight="1">
      <c r="A951" s="136"/>
      <c r="B951" s="137"/>
      <c r="C951" s="251"/>
      <c r="D951" s="452"/>
      <c r="E951" s="136"/>
      <c r="F951" s="253"/>
      <c r="G951" s="140"/>
      <c r="H951" s="141"/>
      <c r="I951" s="141"/>
      <c r="J951" s="142"/>
      <c r="K951" s="142"/>
      <c r="L951" s="142"/>
      <c r="M951" s="142"/>
      <c r="N951" s="136"/>
      <c r="O951" s="34"/>
      <c r="P951" s="35"/>
      <c r="Q951" s="35"/>
      <c r="R951" s="35"/>
      <c r="S951" s="35"/>
      <c r="T951" s="35"/>
      <c r="U951" s="35"/>
      <c r="V951" s="35"/>
      <c r="W951" s="35"/>
      <c r="X951" s="35"/>
      <c r="Y951" s="35"/>
      <c r="Z951" s="35"/>
    </row>
    <row r="952" ht="14.25" customHeight="1">
      <c r="A952" s="136"/>
      <c r="B952" s="137"/>
      <c r="C952" s="251"/>
      <c r="D952" s="452"/>
      <c r="E952" s="136"/>
      <c r="F952" s="253"/>
      <c r="G952" s="140"/>
      <c r="H952" s="141"/>
      <c r="I952" s="141"/>
      <c r="J952" s="142"/>
      <c r="K952" s="142"/>
      <c r="L952" s="142"/>
      <c r="M952" s="142"/>
      <c r="N952" s="136"/>
      <c r="O952" s="34"/>
      <c r="P952" s="35"/>
      <c r="Q952" s="35"/>
      <c r="R952" s="35"/>
      <c r="S952" s="35"/>
      <c r="T952" s="35"/>
      <c r="U952" s="35"/>
      <c r="V952" s="35"/>
      <c r="W952" s="35"/>
      <c r="X952" s="35"/>
      <c r="Y952" s="35"/>
      <c r="Z952" s="35"/>
    </row>
    <row r="953" ht="14.25" customHeight="1">
      <c r="A953" s="136"/>
      <c r="B953" s="137"/>
      <c r="C953" s="251"/>
      <c r="D953" s="452"/>
      <c r="E953" s="136"/>
      <c r="F953" s="253"/>
      <c r="G953" s="140"/>
      <c r="H953" s="141"/>
      <c r="I953" s="141"/>
      <c r="J953" s="142"/>
      <c r="K953" s="142"/>
      <c r="L953" s="142"/>
      <c r="M953" s="142"/>
      <c r="N953" s="136"/>
      <c r="O953" s="34"/>
      <c r="P953" s="35"/>
      <c r="Q953" s="35"/>
      <c r="R953" s="35"/>
      <c r="S953" s="35"/>
      <c r="T953" s="35"/>
      <c r="U953" s="35"/>
      <c r="V953" s="35"/>
      <c r="W953" s="35"/>
      <c r="X953" s="35"/>
      <c r="Y953" s="35"/>
      <c r="Z953" s="35"/>
    </row>
    <row r="954" ht="14.25" customHeight="1">
      <c r="A954" s="136"/>
      <c r="B954" s="137"/>
      <c r="C954" s="251"/>
      <c r="D954" s="452"/>
      <c r="E954" s="136"/>
      <c r="F954" s="253"/>
      <c r="G954" s="140"/>
      <c r="H954" s="141"/>
      <c r="I954" s="141"/>
      <c r="J954" s="142"/>
      <c r="K954" s="142"/>
      <c r="L954" s="142"/>
      <c r="M954" s="142"/>
      <c r="N954" s="136"/>
      <c r="O954" s="34"/>
      <c r="P954" s="35"/>
      <c r="Q954" s="35"/>
      <c r="R954" s="35"/>
      <c r="S954" s="35"/>
      <c r="T954" s="35"/>
      <c r="U954" s="35"/>
      <c r="V954" s="35"/>
      <c r="W954" s="35"/>
      <c r="X954" s="35"/>
      <c r="Y954" s="35"/>
      <c r="Z954" s="35"/>
    </row>
    <row r="955" ht="14.25" customHeight="1">
      <c r="A955" s="136"/>
      <c r="B955" s="137"/>
      <c r="C955" s="251"/>
      <c r="D955" s="452"/>
      <c r="E955" s="136"/>
      <c r="F955" s="253"/>
      <c r="G955" s="140"/>
      <c r="H955" s="141"/>
      <c r="I955" s="141"/>
      <c r="J955" s="142"/>
      <c r="K955" s="142"/>
      <c r="L955" s="142"/>
      <c r="M955" s="142"/>
      <c r="N955" s="136"/>
      <c r="O955" s="34"/>
      <c r="P955" s="35"/>
      <c r="Q955" s="35"/>
      <c r="R955" s="35"/>
      <c r="S955" s="35"/>
      <c r="T955" s="35"/>
      <c r="U955" s="35"/>
      <c r="V955" s="35"/>
      <c r="W955" s="35"/>
      <c r="X955" s="35"/>
      <c r="Y955" s="35"/>
      <c r="Z955" s="35"/>
    </row>
    <row r="956" ht="14.25" customHeight="1">
      <c r="A956" s="136"/>
      <c r="B956" s="137"/>
      <c r="C956" s="251"/>
      <c r="D956" s="452"/>
      <c r="E956" s="136"/>
      <c r="F956" s="253"/>
      <c r="G956" s="140"/>
      <c r="H956" s="141"/>
      <c r="I956" s="141"/>
      <c r="J956" s="142"/>
      <c r="K956" s="142"/>
      <c r="L956" s="142"/>
      <c r="M956" s="142"/>
      <c r="N956" s="136"/>
      <c r="O956" s="34"/>
      <c r="P956" s="35"/>
      <c r="Q956" s="35"/>
      <c r="R956" s="35"/>
      <c r="S956" s="35"/>
      <c r="T956" s="35"/>
      <c r="U956" s="35"/>
      <c r="V956" s="35"/>
      <c r="W956" s="35"/>
      <c r="X956" s="35"/>
      <c r="Y956" s="35"/>
      <c r="Z956" s="35"/>
    </row>
    <row r="957" ht="14.25" customHeight="1">
      <c r="A957" s="136"/>
      <c r="B957" s="137"/>
      <c r="C957" s="251"/>
      <c r="D957" s="452"/>
      <c r="E957" s="136"/>
      <c r="F957" s="253"/>
      <c r="G957" s="140"/>
      <c r="H957" s="141"/>
      <c r="I957" s="141"/>
      <c r="J957" s="142"/>
      <c r="K957" s="142"/>
      <c r="L957" s="142"/>
      <c r="M957" s="142"/>
      <c r="N957" s="136"/>
      <c r="O957" s="34"/>
      <c r="P957" s="35"/>
      <c r="Q957" s="35"/>
      <c r="R957" s="35"/>
      <c r="S957" s="35"/>
      <c r="T957" s="35"/>
      <c r="U957" s="35"/>
      <c r="V957" s="35"/>
      <c r="W957" s="35"/>
      <c r="X957" s="35"/>
      <c r="Y957" s="35"/>
      <c r="Z957" s="35"/>
    </row>
    <row r="958" ht="14.25" customHeight="1">
      <c r="A958" s="136"/>
      <c r="B958" s="137"/>
      <c r="C958" s="251"/>
      <c r="D958" s="452"/>
      <c r="E958" s="136"/>
      <c r="F958" s="253"/>
      <c r="G958" s="140"/>
      <c r="H958" s="141"/>
      <c r="I958" s="141"/>
      <c r="J958" s="142"/>
      <c r="K958" s="142"/>
      <c r="L958" s="142"/>
      <c r="M958" s="142"/>
      <c r="N958" s="136"/>
      <c r="O958" s="34"/>
      <c r="P958" s="35"/>
      <c r="Q958" s="35"/>
      <c r="R958" s="35"/>
      <c r="S958" s="35"/>
      <c r="T958" s="35"/>
      <c r="U958" s="35"/>
      <c r="V958" s="35"/>
      <c r="W958" s="35"/>
      <c r="X958" s="35"/>
      <c r="Y958" s="35"/>
      <c r="Z958" s="35"/>
    </row>
    <row r="959" ht="14.25" customHeight="1">
      <c r="A959" s="136"/>
      <c r="B959" s="137"/>
      <c r="C959" s="251"/>
      <c r="D959" s="452"/>
      <c r="E959" s="136"/>
      <c r="F959" s="253"/>
      <c r="G959" s="140"/>
      <c r="H959" s="141"/>
      <c r="I959" s="141"/>
      <c r="J959" s="142"/>
      <c r="K959" s="142"/>
      <c r="L959" s="142"/>
      <c r="M959" s="142"/>
      <c r="N959" s="136"/>
      <c r="O959" s="34"/>
      <c r="P959" s="35"/>
      <c r="Q959" s="35"/>
      <c r="R959" s="35"/>
      <c r="S959" s="35"/>
      <c r="T959" s="35"/>
      <c r="U959" s="35"/>
      <c r="V959" s="35"/>
      <c r="W959" s="35"/>
      <c r="X959" s="35"/>
      <c r="Y959" s="35"/>
      <c r="Z959" s="35"/>
    </row>
    <row r="960" ht="14.25" customHeight="1">
      <c r="A960" s="136"/>
      <c r="B960" s="137"/>
      <c r="C960" s="251"/>
      <c r="D960" s="452"/>
      <c r="E960" s="136"/>
      <c r="F960" s="253"/>
      <c r="G960" s="140"/>
      <c r="H960" s="141"/>
      <c r="I960" s="141"/>
      <c r="J960" s="142"/>
      <c r="K960" s="142"/>
      <c r="L960" s="142"/>
      <c r="M960" s="142"/>
      <c r="N960" s="136"/>
      <c r="O960" s="34"/>
      <c r="P960" s="35"/>
      <c r="Q960" s="35"/>
      <c r="R960" s="35"/>
      <c r="S960" s="35"/>
      <c r="T960" s="35"/>
      <c r="U960" s="35"/>
      <c r="V960" s="35"/>
      <c r="W960" s="35"/>
      <c r="X960" s="35"/>
      <c r="Y960" s="35"/>
      <c r="Z960" s="35"/>
    </row>
    <row r="961" ht="14.25" customHeight="1">
      <c r="A961" s="136"/>
      <c r="B961" s="137"/>
      <c r="C961" s="251"/>
      <c r="D961" s="452"/>
      <c r="E961" s="136"/>
      <c r="F961" s="253"/>
      <c r="G961" s="140"/>
      <c r="H961" s="141"/>
      <c r="I961" s="141"/>
      <c r="J961" s="142"/>
      <c r="K961" s="142"/>
      <c r="L961" s="142"/>
      <c r="M961" s="142"/>
      <c r="N961" s="136"/>
      <c r="O961" s="34"/>
      <c r="P961" s="35"/>
      <c r="Q961" s="35"/>
      <c r="R961" s="35"/>
      <c r="S961" s="35"/>
      <c r="T961" s="35"/>
      <c r="U961" s="35"/>
      <c r="V961" s="35"/>
      <c r="W961" s="35"/>
      <c r="X961" s="35"/>
      <c r="Y961" s="35"/>
      <c r="Z961" s="35"/>
    </row>
    <row r="962" ht="14.25" customHeight="1">
      <c r="A962" s="136"/>
      <c r="B962" s="137"/>
      <c r="C962" s="251"/>
      <c r="D962" s="452"/>
      <c r="E962" s="136"/>
      <c r="F962" s="253"/>
      <c r="G962" s="140"/>
      <c r="H962" s="141"/>
      <c r="I962" s="141"/>
      <c r="J962" s="142"/>
      <c r="K962" s="142"/>
      <c r="L962" s="142"/>
      <c r="M962" s="142"/>
      <c r="N962" s="136"/>
      <c r="O962" s="34"/>
      <c r="P962" s="35"/>
      <c r="Q962" s="35"/>
      <c r="R962" s="35"/>
      <c r="S962" s="35"/>
      <c r="T962" s="35"/>
      <c r="U962" s="35"/>
      <c r="V962" s="35"/>
      <c r="W962" s="35"/>
      <c r="X962" s="35"/>
      <c r="Y962" s="35"/>
      <c r="Z962" s="35"/>
    </row>
    <row r="963" ht="14.25" customHeight="1">
      <c r="A963" s="136"/>
      <c r="B963" s="137"/>
      <c r="C963" s="251"/>
      <c r="D963" s="452"/>
      <c r="E963" s="136"/>
      <c r="F963" s="253"/>
      <c r="G963" s="140"/>
      <c r="H963" s="141"/>
      <c r="I963" s="141"/>
      <c r="J963" s="142"/>
      <c r="K963" s="142"/>
      <c r="L963" s="142"/>
      <c r="M963" s="142"/>
      <c r="N963" s="136"/>
      <c r="O963" s="34"/>
      <c r="P963" s="35"/>
      <c r="Q963" s="35"/>
      <c r="R963" s="35"/>
      <c r="S963" s="35"/>
      <c r="T963" s="35"/>
      <c r="U963" s="35"/>
      <c r="V963" s="35"/>
      <c r="W963" s="35"/>
      <c r="X963" s="35"/>
      <c r="Y963" s="35"/>
      <c r="Z963" s="35"/>
    </row>
    <row r="964" ht="14.25" customHeight="1">
      <c r="A964" s="136"/>
      <c r="B964" s="137"/>
      <c r="C964" s="251"/>
      <c r="D964" s="452"/>
      <c r="E964" s="136"/>
      <c r="F964" s="253"/>
      <c r="G964" s="140"/>
      <c r="H964" s="141"/>
      <c r="I964" s="141"/>
      <c r="J964" s="142"/>
      <c r="K964" s="142"/>
      <c r="L964" s="142"/>
      <c r="M964" s="142"/>
      <c r="N964" s="136"/>
      <c r="O964" s="34"/>
      <c r="P964" s="35"/>
      <c r="Q964" s="35"/>
      <c r="R964" s="35"/>
      <c r="S964" s="35"/>
      <c r="T964" s="35"/>
      <c r="U964" s="35"/>
      <c r="V964" s="35"/>
      <c r="W964" s="35"/>
      <c r="X964" s="35"/>
      <c r="Y964" s="35"/>
      <c r="Z964" s="35"/>
    </row>
    <row r="965" ht="14.25" customHeight="1">
      <c r="A965" s="136"/>
      <c r="B965" s="137"/>
      <c r="C965" s="251"/>
      <c r="D965" s="452"/>
      <c r="E965" s="136"/>
      <c r="F965" s="253"/>
      <c r="G965" s="140"/>
      <c r="H965" s="141"/>
      <c r="I965" s="141"/>
      <c r="J965" s="142"/>
      <c r="K965" s="142"/>
      <c r="L965" s="142"/>
      <c r="M965" s="142"/>
      <c r="N965" s="136"/>
      <c r="O965" s="34"/>
      <c r="P965" s="35"/>
      <c r="Q965" s="35"/>
      <c r="R965" s="35"/>
      <c r="S965" s="35"/>
      <c r="T965" s="35"/>
      <c r="U965" s="35"/>
      <c r="V965" s="35"/>
      <c r="W965" s="35"/>
      <c r="X965" s="35"/>
      <c r="Y965" s="35"/>
      <c r="Z965" s="35"/>
    </row>
    <row r="966" ht="14.25" customHeight="1">
      <c r="A966" s="136"/>
      <c r="B966" s="137"/>
      <c r="C966" s="251"/>
      <c r="D966" s="452"/>
      <c r="E966" s="136"/>
      <c r="F966" s="253"/>
      <c r="G966" s="140"/>
      <c r="H966" s="141"/>
      <c r="I966" s="141"/>
      <c r="J966" s="142"/>
      <c r="K966" s="142"/>
      <c r="L966" s="142"/>
      <c r="M966" s="142"/>
      <c r="N966" s="136"/>
      <c r="O966" s="34"/>
      <c r="P966" s="35"/>
      <c r="Q966" s="35"/>
      <c r="R966" s="35"/>
      <c r="S966" s="35"/>
      <c r="T966" s="35"/>
      <c r="U966" s="35"/>
      <c r="V966" s="35"/>
      <c r="W966" s="35"/>
      <c r="X966" s="35"/>
      <c r="Y966" s="35"/>
      <c r="Z966" s="35"/>
    </row>
    <row r="967" ht="14.25" customHeight="1">
      <c r="A967" s="136"/>
      <c r="B967" s="137"/>
      <c r="C967" s="251"/>
      <c r="D967" s="452"/>
      <c r="E967" s="136"/>
      <c r="F967" s="253"/>
      <c r="G967" s="140"/>
      <c r="H967" s="141"/>
      <c r="I967" s="141"/>
      <c r="J967" s="142"/>
      <c r="K967" s="142"/>
      <c r="L967" s="142"/>
      <c r="M967" s="142"/>
      <c r="N967" s="136"/>
      <c r="O967" s="34"/>
      <c r="P967" s="35"/>
      <c r="Q967" s="35"/>
      <c r="R967" s="35"/>
      <c r="S967" s="35"/>
      <c r="T967" s="35"/>
      <c r="U967" s="35"/>
      <c r="V967" s="35"/>
      <c r="W967" s="35"/>
      <c r="X967" s="35"/>
      <c r="Y967" s="35"/>
      <c r="Z967" s="35"/>
    </row>
    <row r="968" ht="14.25" customHeight="1">
      <c r="A968" s="136"/>
      <c r="B968" s="137"/>
      <c r="C968" s="251"/>
      <c r="D968" s="452"/>
      <c r="E968" s="136"/>
      <c r="F968" s="253"/>
      <c r="G968" s="140"/>
      <c r="H968" s="141"/>
      <c r="I968" s="141"/>
      <c r="J968" s="142"/>
      <c r="K968" s="142"/>
      <c r="L968" s="142"/>
      <c r="M968" s="142"/>
      <c r="N968" s="136"/>
      <c r="O968" s="34"/>
      <c r="P968" s="35"/>
      <c r="Q968" s="35"/>
      <c r="R968" s="35"/>
      <c r="S968" s="35"/>
      <c r="T968" s="35"/>
      <c r="U968" s="35"/>
      <c r="V968" s="35"/>
      <c r="W968" s="35"/>
      <c r="X968" s="35"/>
      <c r="Y968" s="35"/>
      <c r="Z968" s="35"/>
    </row>
    <row r="969" ht="14.25" customHeight="1">
      <c r="A969" s="136"/>
      <c r="B969" s="137"/>
      <c r="C969" s="251"/>
      <c r="D969" s="452"/>
      <c r="E969" s="136"/>
      <c r="F969" s="253"/>
      <c r="G969" s="140"/>
      <c r="H969" s="141"/>
      <c r="I969" s="141"/>
      <c r="J969" s="142"/>
      <c r="K969" s="142"/>
      <c r="L969" s="142"/>
      <c r="M969" s="142"/>
      <c r="N969" s="136"/>
      <c r="O969" s="34"/>
      <c r="P969" s="35"/>
      <c r="Q969" s="35"/>
      <c r="R969" s="35"/>
      <c r="S969" s="35"/>
      <c r="T969" s="35"/>
      <c r="U969" s="35"/>
      <c r="V969" s="35"/>
      <c r="W969" s="35"/>
      <c r="X969" s="35"/>
      <c r="Y969" s="35"/>
      <c r="Z969" s="35"/>
    </row>
    <row r="970" ht="14.25" customHeight="1">
      <c r="A970" s="136"/>
      <c r="B970" s="137"/>
      <c r="C970" s="251"/>
      <c r="D970" s="452"/>
      <c r="E970" s="136"/>
      <c r="F970" s="253"/>
      <c r="G970" s="140"/>
      <c r="H970" s="141"/>
      <c r="I970" s="141"/>
      <c r="J970" s="142"/>
      <c r="K970" s="142"/>
      <c r="L970" s="142"/>
      <c r="M970" s="142"/>
      <c r="N970" s="136"/>
      <c r="O970" s="34"/>
      <c r="P970" s="35"/>
      <c r="Q970" s="35"/>
      <c r="R970" s="35"/>
      <c r="S970" s="35"/>
      <c r="T970" s="35"/>
      <c r="U970" s="35"/>
      <c r="V970" s="35"/>
      <c r="W970" s="35"/>
      <c r="X970" s="35"/>
      <c r="Y970" s="35"/>
      <c r="Z970" s="35"/>
    </row>
    <row r="971" ht="14.25" customHeight="1">
      <c r="A971" s="136"/>
      <c r="B971" s="137"/>
      <c r="C971" s="251"/>
      <c r="D971" s="452"/>
      <c r="E971" s="136"/>
      <c r="F971" s="253"/>
      <c r="G971" s="140"/>
      <c r="H971" s="141"/>
      <c r="I971" s="141"/>
      <c r="J971" s="142"/>
      <c r="K971" s="142"/>
      <c r="L971" s="142"/>
      <c r="M971" s="142"/>
      <c r="N971" s="136"/>
      <c r="O971" s="34"/>
      <c r="P971" s="35"/>
      <c r="Q971" s="35"/>
      <c r="R971" s="35"/>
      <c r="S971" s="35"/>
      <c r="T971" s="35"/>
      <c r="U971" s="35"/>
      <c r="V971" s="35"/>
      <c r="W971" s="35"/>
      <c r="X971" s="35"/>
      <c r="Y971" s="35"/>
      <c r="Z971" s="35"/>
    </row>
    <row r="972" ht="14.25" customHeight="1">
      <c r="A972" s="136"/>
      <c r="B972" s="137"/>
      <c r="C972" s="251"/>
      <c r="D972" s="452"/>
      <c r="E972" s="136"/>
      <c r="F972" s="253"/>
      <c r="G972" s="140"/>
      <c r="H972" s="141"/>
      <c r="I972" s="141"/>
      <c r="J972" s="142"/>
      <c r="K972" s="142"/>
      <c r="L972" s="142"/>
      <c r="M972" s="142"/>
      <c r="N972" s="136"/>
      <c r="O972" s="34"/>
      <c r="P972" s="35"/>
      <c r="Q972" s="35"/>
      <c r="R972" s="35"/>
      <c r="S972" s="35"/>
      <c r="T972" s="35"/>
      <c r="U972" s="35"/>
      <c r="V972" s="35"/>
      <c r="W972" s="35"/>
      <c r="X972" s="35"/>
      <c r="Y972" s="35"/>
      <c r="Z972" s="35"/>
    </row>
    <row r="973" ht="14.25" customHeight="1">
      <c r="A973" s="136"/>
      <c r="B973" s="137"/>
      <c r="C973" s="251"/>
      <c r="D973" s="452"/>
      <c r="E973" s="136"/>
      <c r="F973" s="253"/>
      <c r="G973" s="140"/>
      <c r="H973" s="141"/>
      <c r="I973" s="141"/>
      <c r="J973" s="142"/>
      <c r="K973" s="142"/>
      <c r="L973" s="142"/>
      <c r="M973" s="142"/>
      <c r="N973" s="136"/>
      <c r="O973" s="34"/>
      <c r="P973" s="35"/>
      <c r="Q973" s="35"/>
      <c r="R973" s="35"/>
      <c r="S973" s="35"/>
      <c r="T973" s="35"/>
      <c r="U973" s="35"/>
      <c r="V973" s="35"/>
      <c r="W973" s="35"/>
      <c r="X973" s="35"/>
      <c r="Y973" s="35"/>
      <c r="Z973" s="35"/>
    </row>
    <row r="974" ht="14.25" customHeight="1">
      <c r="A974" s="136"/>
      <c r="B974" s="137"/>
      <c r="C974" s="251"/>
      <c r="D974" s="452"/>
      <c r="E974" s="136"/>
      <c r="F974" s="253"/>
      <c r="G974" s="140"/>
      <c r="H974" s="141"/>
      <c r="I974" s="141"/>
      <c r="J974" s="142"/>
      <c r="K974" s="142"/>
      <c r="L974" s="142"/>
      <c r="M974" s="142"/>
      <c r="N974" s="136"/>
      <c r="O974" s="34"/>
      <c r="P974" s="35"/>
      <c r="Q974" s="35"/>
      <c r="R974" s="35"/>
      <c r="S974" s="35"/>
      <c r="T974" s="35"/>
      <c r="U974" s="35"/>
      <c r="V974" s="35"/>
      <c r="W974" s="35"/>
      <c r="X974" s="35"/>
      <c r="Y974" s="35"/>
      <c r="Z974" s="35"/>
    </row>
    <row r="975" ht="14.25" customHeight="1">
      <c r="A975" s="136"/>
      <c r="B975" s="137"/>
      <c r="C975" s="251"/>
      <c r="D975" s="452"/>
      <c r="E975" s="136"/>
      <c r="F975" s="253"/>
      <c r="G975" s="140"/>
      <c r="H975" s="141"/>
      <c r="I975" s="141"/>
      <c r="J975" s="142"/>
      <c r="K975" s="142"/>
      <c r="L975" s="142"/>
      <c r="M975" s="142"/>
      <c r="N975" s="136"/>
      <c r="O975" s="34"/>
      <c r="P975" s="35"/>
      <c r="Q975" s="35"/>
      <c r="R975" s="35"/>
      <c r="S975" s="35"/>
      <c r="T975" s="35"/>
      <c r="U975" s="35"/>
      <c r="V975" s="35"/>
      <c r="W975" s="35"/>
      <c r="X975" s="35"/>
      <c r="Y975" s="35"/>
      <c r="Z975" s="35"/>
    </row>
    <row r="976" ht="14.25" customHeight="1">
      <c r="A976" s="136"/>
      <c r="B976" s="137"/>
      <c r="C976" s="251"/>
      <c r="D976" s="452"/>
      <c r="E976" s="136"/>
      <c r="F976" s="253"/>
      <c r="G976" s="140"/>
      <c r="H976" s="141"/>
      <c r="I976" s="141"/>
      <c r="J976" s="142"/>
      <c r="K976" s="142"/>
      <c r="L976" s="142"/>
      <c r="M976" s="142"/>
      <c r="N976" s="136"/>
      <c r="O976" s="34"/>
      <c r="P976" s="35"/>
      <c r="Q976" s="35"/>
      <c r="R976" s="35"/>
      <c r="S976" s="35"/>
      <c r="T976" s="35"/>
      <c r="U976" s="35"/>
      <c r="V976" s="35"/>
      <c r="W976" s="35"/>
      <c r="X976" s="35"/>
      <c r="Y976" s="35"/>
      <c r="Z976" s="35"/>
    </row>
    <row r="977" ht="14.25" customHeight="1">
      <c r="A977" s="136"/>
      <c r="B977" s="137"/>
      <c r="C977" s="251"/>
      <c r="D977" s="452"/>
      <c r="E977" s="136"/>
      <c r="F977" s="253"/>
      <c r="G977" s="140"/>
      <c r="H977" s="141"/>
      <c r="I977" s="141"/>
      <c r="J977" s="142"/>
      <c r="K977" s="142"/>
      <c r="L977" s="142"/>
      <c r="M977" s="142"/>
      <c r="N977" s="136"/>
      <c r="O977" s="34"/>
      <c r="P977" s="35"/>
      <c r="Q977" s="35"/>
      <c r="R977" s="35"/>
      <c r="S977" s="35"/>
      <c r="T977" s="35"/>
      <c r="U977" s="35"/>
      <c r="V977" s="35"/>
      <c r="W977" s="35"/>
      <c r="X977" s="35"/>
      <c r="Y977" s="35"/>
      <c r="Z977" s="35"/>
    </row>
    <row r="978" ht="14.25" customHeight="1">
      <c r="A978" s="136"/>
      <c r="B978" s="137"/>
      <c r="C978" s="251"/>
      <c r="D978" s="452"/>
      <c r="E978" s="136"/>
      <c r="F978" s="253"/>
      <c r="G978" s="140"/>
      <c r="H978" s="141"/>
      <c r="I978" s="141"/>
      <c r="J978" s="142"/>
      <c r="K978" s="142"/>
      <c r="L978" s="142"/>
      <c r="M978" s="142"/>
      <c r="N978" s="136"/>
      <c r="O978" s="34"/>
      <c r="P978" s="35"/>
      <c r="Q978" s="35"/>
      <c r="R978" s="35"/>
      <c r="S978" s="35"/>
      <c r="T978" s="35"/>
      <c r="U978" s="35"/>
      <c r="V978" s="35"/>
      <c r="W978" s="35"/>
      <c r="X978" s="35"/>
      <c r="Y978" s="35"/>
      <c r="Z978" s="35"/>
    </row>
    <row r="979" ht="14.25" customHeight="1">
      <c r="A979" s="136"/>
      <c r="B979" s="137"/>
      <c r="C979" s="251"/>
      <c r="D979" s="452"/>
      <c r="E979" s="136"/>
      <c r="F979" s="253"/>
      <c r="G979" s="140"/>
      <c r="H979" s="141"/>
      <c r="I979" s="141"/>
      <c r="J979" s="142"/>
      <c r="K979" s="142"/>
      <c r="L979" s="142"/>
      <c r="M979" s="142"/>
      <c r="N979" s="136"/>
      <c r="O979" s="34"/>
      <c r="P979" s="35"/>
      <c r="Q979" s="35"/>
      <c r="R979" s="35"/>
      <c r="S979" s="35"/>
      <c r="T979" s="35"/>
      <c r="U979" s="35"/>
      <c r="V979" s="35"/>
      <c r="W979" s="35"/>
      <c r="X979" s="35"/>
      <c r="Y979" s="35"/>
      <c r="Z979" s="35"/>
    </row>
    <row r="980" ht="14.25" customHeight="1">
      <c r="A980" s="136"/>
      <c r="B980" s="137"/>
      <c r="C980" s="251"/>
      <c r="D980" s="452"/>
      <c r="E980" s="136"/>
      <c r="F980" s="253"/>
      <c r="G980" s="140"/>
      <c r="H980" s="141"/>
      <c r="I980" s="141"/>
      <c r="J980" s="142"/>
      <c r="K980" s="142"/>
      <c r="L980" s="142"/>
      <c r="M980" s="142"/>
      <c r="N980" s="136"/>
      <c r="O980" s="34"/>
      <c r="P980" s="35"/>
      <c r="Q980" s="35"/>
      <c r="R980" s="35"/>
      <c r="S980" s="35"/>
      <c r="T980" s="35"/>
      <c r="U980" s="35"/>
      <c r="V980" s="35"/>
      <c r="W980" s="35"/>
      <c r="X980" s="35"/>
      <c r="Y980" s="35"/>
      <c r="Z980" s="35"/>
    </row>
    <row r="981" ht="14.25" customHeight="1">
      <c r="A981" s="136"/>
      <c r="B981" s="137"/>
      <c r="C981" s="251"/>
      <c r="D981" s="452"/>
      <c r="E981" s="136"/>
      <c r="F981" s="253"/>
      <c r="G981" s="140"/>
      <c r="H981" s="141"/>
      <c r="I981" s="141"/>
      <c r="J981" s="142"/>
      <c r="K981" s="142"/>
      <c r="L981" s="142"/>
      <c r="M981" s="142"/>
      <c r="N981" s="136"/>
      <c r="O981" s="34"/>
      <c r="P981" s="35"/>
      <c r="Q981" s="35"/>
      <c r="R981" s="35"/>
      <c r="S981" s="35"/>
      <c r="T981" s="35"/>
      <c r="U981" s="35"/>
      <c r="V981" s="35"/>
      <c r="W981" s="35"/>
      <c r="X981" s="35"/>
      <c r="Y981" s="35"/>
      <c r="Z981" s="35"/>
    </row>
    <row r="982" ht="14.25" customHeight="1">
      <c r="A982" s="136"/>
      <c r="B982" s="137"/>
      <c r="C982" s="251"/>
      <c r="D982" s="452"/>
      <c r="E982" s="136"/>
      <c r="F982" s="253"/>
      <c r="G982" s="140"/>
      <c r="H982" s="141"/>
      <c r="I982" s="141"/>
      <c r="J982" s="142"/>
      <c r="K982" s="142"/>
      <c r="L982" s="142"/>
      <c r="M982" s="142"/>
      <c r="N982" s="136"/>
      <c r="O982" s="34"/>
      <c r="P982" s="35"/>
      <c r="Q982" s="35"/>
      <c r="R982" s="35"/>
      <c r="S982" s="35"/>
      <c r="T982" s="35"/>
      <c r="U982" s="35"/>
      <c r="V982" s="35"/>
      <c r="W982" s="35"/>
      <c r="X982" s="35"/>
      <c r="Y982" s="35"/>
      <c r="Z982" s="35"/>
    </row>
    <row r="983" ht="14.25" customHeight="1">
      <c r="A983" s="136"/>
      <c r="B983" s="137"/>
      <c r="C983" s="251"/>
      <c r="D983" s="452"/>
      <c r="E983" s="136"/>
      <c r="F983" s="253"/>
      <c r="G983" s="140"/>
      <c r="H983" s="141"/>
      <c r="I983" s="141"/>
      <c r="J983" s="142"/>
      <c r="K983" s="142"/>
      <c r="L983" s="142"/>
      <c r="M983" s="142"/>
      <c r="N983" s="136"/>
      <c r="O983" s="34"/>
      <c r="P983" s="35"/>
      <c r="Q983" s="35"/>
      <c r="R983" s="35"/>
      <c r="S983" s="35"/>
      <c r="T983" s="35"/>
      <c r="U983" s="35"/>
      <c r="V983" s="35"/>
      <c r="W983" s="35"/>
      <c r="X983" s="35"/>
      <c r="Y983" s="35"/>
      <c r="Z983" s="35"/>
    </row>
    <row r="984" ht="14.25" customHeight="1">
      <c r="A984" s="136"/>
      <c r="B984" s="137"/>
      <c r="C984" s="251"/>
      <c r="D984" s="452"/>
      <c r="E984" s="136"/>
      <c r="F984" s="253"/>
      <c r="G984" s="140"/>
      <c r="H984" s="141"/>
      <c r="I984" s="141"/>
      <c r="J984" s="142"/>
      <c r="K984" s="142"/>
      <c r="L984" s="142"/>
      <c r="M984" s="142"/>
      <c r="N984" s="136"/>
      <c r="O984" s="34"/>
      <c r="P984" s="35"/>
      <c r="Q984" s="35"/>
      <c r="R984" s="35"/>
      <c r="S984" s="35"/>
      <c r="T984" s="35"/>
      <c r="U984" s="35"/>
      <c r="V984" s="35"/>
      <c r="W984" s="35"/>
      <c r="X984" s="35"/>
      <c r="Y984" s="35"/>
      <c r="Z984" s="35"/>
    </row>
    <row r="985" ht="14.25" customHeight="1">
      <c r="A985" s="136"/>
      <c r="B985" s="137"/>
      <c r="C985" s="251"/>
      <c r="D985" s="452"/>
      <c r="E985" s="136"/>
      <c r="F985" s="253"/>
      <c r="G985" s="140"/>
      <c r="H985" s="141"/>
      <c r="I985" s="141"/>
      <c r="J985" s="142"/>
      <c r="K985" s="142"/>
      <c r="L985" s="142"/>
      <c r="M985" s="142"/>
      <c r="N985" s="136"/>
      <c r="O985" s="34"/>
      <c r="P985" s="35"/>
      <c r="Q985" s="35"/>
      <c r="R985" s="35"/>
      <c r="S985" s="35"/>
      <c r="T985" s="35"/>
      <c r="U985" s="35"/>
      <c r="V985" s="35"/>
      <c r="W985" s="35"/>
      <c r="X985" s="35"/>
      <c r="Y985" s="35"/>
      <c r="Z985" s="35"/>
    </row>
    <row r="986" ht="14.25" customHeight="1">
      <c r="A986" s="136"/>
      <c r="B986" s="137"/>
      <c r="C986" s="251"/>
      <c r="D986" s="452"/>
      <c r="E986" s="136"/>
      <c r="F986" s="253"/>
      <c r="G986" s="140"/>
      <c r="H986" s="141"/>
      <c r="I986" s="141"/>
      <c r="J986" s="142"/>
      <c r="K986" s="142"/>
      <c r="L986" s="142"/>
      <c r="M986" s="142"/>
      <c r="N986" s="136"/>
      <c r="O986" s="34"/>
      <c r="P986" s="35"/>
      <c r="Q986" s="35"/>
      <c r="R986" s="35"/>
      <c r="S986" s="35"/>
      <c r="T986" s="35"/>
      <c r="U986" s="35"/>
      <c r="V986" s="35"/>
      <c r="W986" s="35"/>
      <c r="X986" s="35"/>
      <c r="Y986" s="35"/>
      <c r="Z986" s="35"/>
    </row>
    <row r="987" ht="14.25" customHeight="1">
      <c r="A987" s="136"/>
      <c r="B987" s="137"/>
      <c r="C987" s="251"/>
      <c r="D987" s="452"/>
      <c r="E987" s="136"/>
      <c r="F987" s="253"/>
      <c r="G987" s="140"/>
      <c r="H987" s="141"/>
      <c r="I987" s="141"/>
      <c r="J987" s="142"/>
      <c r="K987" s="142"/>
      <c r="L987" s="142"/>
      <c r="M987" s="142"/>
      <c r="N987" s="136"/>
      <c r="O987" s="34"/>
      <c r="P987" s="35"/>
      <c r="Q987" s="35"/>
      <c r="R987" s="35"/>
      <c r="S987" s="35"/>
      <c r="T987" s="35"/>
      <c r="U987" s="35"/>
      <c r="V987" s="35"/>
      <c r="W987" s="35"/>
      <c r="X987" s="35"/>
      <c r="Y987" s="35"/>
      <c r="Z987" s="35"/>
    </row>
    <row r="988" ht="14.25" customHeight="1">
      <c r="A988" s="136"/>
      <c r="B988" s="137"/>
      <c r="C988" s="251"/>
      <c r="D988" s="452"/>
      <c r="E988" s="136"/>
      <c r="F988" s="253"/>
      <c r="G988" s="140"/>
      <c r="H988" s="141"/>
      <c r="I988" s="141"/>
      <c r="J988" s="142"/>
      <c r="K988" s="142"/>
      <c r="L988" s="142"/>
      <c r="M988" s="142"/>
      <c r="N988" s="136"/>
      <c r="O988" s="34"/>
      <c r="P988" s="35"/>
      <c r="Q988" s="35"/>
      <c r="R988" s="35"/>
      <c r="S988" s="35"/>
      <c r="T988" s="35"/>
      <c r="U988" s="35"/>
      <c r="V988" s="35"/>
      <c r="W988" s="35"/>
      <c r="X988" s="35"/>
      <c r="Y988" s="35"/>
      <c r="Z988" s="35"/>
    </row>
    <row r="989" ht="14.25" customHeight="1">
      <c r="A989" s="136"/>
      <c r="B989" s="137"/>
      <c r="C989" s="251"/>
      <c r="D989" s="452"/>
      <c r="E989" s="136"/>
      <c r="F989" s="253"/>
      <c r="G989" s="140"/>
      <c r="H989" s="141"/>
      <c r="I989" s="141"/>
      <c r="J989" s="142"/>
      <c r="K989" s="142"/>
      <c r="L989" s="142"/>
      <c r="M989" s="142"/>
      <c r="N989" s="136"/>
      <c r="O989" s="34"/>
      <c r="P989" s="35"/>
      <c r="Q989" s="35"/>
      <c r="R989" s="35"/>
      <c r="S989" s="35"/>
      <c r="T989" s="35"/>
      <c r="U989" s="35"/>
      <c r="V989" s="35"/>
      <c r="W989" s="35"/>
      <c r="X989" s="35"/>
      <c r="Y989" s="35"/>
      <c r="Z989" s="35"/>
    </row>
    <row r="990" ht="14.25" customHeight="1">
      <c r="A990" s="136"/>
      <c r="B990" s="137"/>
      <c r="C990" s="251"/>
      <c r="D990" s="452"/>
      <c r="E990" s="136"/>
      <c r="F990" s="253"/>
      <c r="G990" s="140"/>
      <c r="H990" s="141"/>
      <c r="I990" s="141"/>
      <c r="J990" s="142"/>
      <c r="K990" s="142"/>
      <c r="L990" s="142"/>
      <c r="M990" s="142"/>
      <c r="N990" s="136"/>
      <c r="O990" s="34"/>
      <c r="P990" s="35"/>
      <c r="Q990" s="35"/>
      <c r="R990" s="35"/>
      <c r="S990" s="35"/>
      <c r="T990" s="35"/>
      <c r="U990" s="35"/>
      <c r="V990" s="35"/>
      <c r="W990" s="35"/>
      <c r="X990" s="35"/>
      <c r="Y990" s="35"/>
      <c r="Z990" s="35"/>
    </row>
    <row r="991" ht="14.25" customHeight="1">
      <c r="A991" s="136"/>
      <c r="B991" s="137"/>
      <c r="C991" s="251"/>
      <c r="D991" s="452"/>
      <c r="E991" s="136"/>
      <c r="F991" s="253"/>
      <c r="G991" s="140"/>
      <c r="H991" s="141"/>
      <c r="I991" s="141"/>
      <c r="J991" s="142"/>
      <c r="K991" s="142"/>
      <c r="L991" s="142"/>
      <c r="M991" s="142"/>
      <c r="N991" s="136"/>
      <c r="O991" s="34"/>
      <c r="P991" s="35"/>
      <c r="Q991" s="35"/>
      <c r="R991" s="35"/>
      <c r="S991" s="35"/>
      <c r="T991" s="35"/>
      <c r="U991" s="35"/>
      <c r="V991" s="35"/>
      <c r="W991" s="35"/>
      <c r="X991" s="35"/>
      <c r="Y991" s="35"/>
      <c r="Z991" s="35"/>
    </row>
    <row r="992" ht="14.25" customHeight="1">
      <c r="A992" s="136"/>
      <c r="B992" s="137"/>
      <c r="C992" s="251"/>
      <c r="D992" s="452"/>
      <c r="E992" s="136"/>
      <c r="F992" s="253"/>
      <c r="G992" s="140"/>
      <c r="H992" s="141"/>
      <c r="I992" s="141"/>
      <c r="J992" s="142"/>
      <c r="K992" s="142"/>
      <c r="L992" s="142"/>
      <c r="M992" s="142"/>
      <c r="N992" s="136"/>
      <c r="O992" s="34"/>
      <c r="P992" s="35"/>
      <c r="Q992" s="35"/>
      <c r="R992" s="35"/>
      <c r="S992" s="35"/>
      <c r="T992" s="35"/>
      <c r="U992" s="35"/>
      <c r="V992" s="35"/>
      <c r="W992" s="35"/>
      <c r="X992" s="35"/>
      <c r="Y992" s="35"/>
      <c r="Z992" s="35"/>
    </row>
    <row r="993" ht="14.25" customHeight="1">
      <c r="A993" s="136"/>
      <c r="B993" s="137"/>
      <c r="C993" s="251"/>
      <c r="D993" s="452"/>
      <c r="E993" s="136"/>
      <c r="F993" s="253"/>
      <c r="G993" s="140"/>
      <c r="H993" s="141"/>
      <c r="I993" s="141"/>
      <c r="J993" s="142"/>
      <c r="K993" s="142"/>
      <c r="L993" s="142"/>
      <c r="M993" s="142"/>
      <c r="N993" s="136"/>
      <c r="O993" s="34"/>
      <c r="P993" s="35"/>
      <c r="Q993" s="35"/>
      <c r="R993" s="35"/>
      <c r="S993" s="35"/>
      <c r="T993" s="35"/>
      <c r="U993" s="35"/>
      <c r="V993" s="35"/>
      <c r="W993" s="35"/>
      <c r="X993" s="35"/>
      <c r="Y993" s="35"/>
      <c r="Z993" s="35"/>
    </row>
    <row r="994" ht="14.25" customHeight="1">
      <c r="A994" s="136"/>
      <c r="B994" s="137"/>
      <c r="C994" s="251"/>
      <c r="D994" s="452"/>
      <c r="E994" s="136"/>
      <c r="F994" s="253"/>
      <c r="G994" s="140"/>
      <c r="H994" s="141"/>
      <c r="I994" s="141"/>
      <c r="J994" s="142"/>
      <c r="K994" s="142"/>
      <c r="L994" s="142"/>
      <c r="M994" s="142"/>
      <c r="N994" s="136"/>
      <c r="O994" s="34"/>
      <c r="P994" s="35"/>
      <c r="Q994" s="35"/>
      <c r="R994" s="35"/>
      <c r="S994" s="35"/>
      <c r="T994" s="35"/>
      <c r="U994" s="35"/>
      <c r="V994" s="35"/>
      <c r="W994" s="35"/>
      <c r="X994" s="35"/>
      <c r="Y994" s="35"/>
      <c r="Z994" s="35"/>
    </row>
    <row r="995" ht="14.25" customHeight="1">
      <c r="A995" s="136"/>
      <c r="B995" s="137"/>
      <c r="C995" s="251"/>
      <c r="D995" s="452"/>
      <c r="E995" s="136"/>
      <c r="F995" s="253"/>
      <c r="G995" s="140"/>
      <c r="H995" s="141"/>
      <c r="I995" s="141"/>
      <c r="J995" s="142"/>
      <c r="K995" s="142"/>
      <c r="L995" s="142"/>
      <c r="M995" s="142"/>
      <c r="N995" s="136"/>
      <c r="O995" s="34"/>
      <c r="P995" s="35"/>
      <c r="Q995" s="35"/>
      <c r="R995" s="35"/>
      <c r="S995" s="35"/>
      <c r="T995" s="35"/>
      <c r="U995" s="35"/>
      <c r="V995" s="35"/>
      <c r="W995" s="35"/>
      <c r="X995" s="35"/>
      <c r="Y995" s="35"/>
      <c r="Z995" s="35"/>
    </row>
    <row r="996" ht="14.25" customHeight="1">
      <c r="A996" s="136"/>
      <c r="B996" s="137"/>
      <c r="C996" s="251"/>
      <c r="D996" s="452"/>
      <c r="E996" s="136"/>
      <c r="F996" s="253"/>
      <c r="G996" s="140"/>
      <c r="H996" s="141"/>
      <c r="I996" s="141"/>
      <c r="J996" s="142"/>
      <c r="K996" s="142"/>
      <c r="L996" s="142"/>
      <c r="M996" s="142"/>
      <c r="N996" s="136"/>
      <c r="O996" s="34"/>
      <c r="P996" s="35"/>
      <c r="Q996" s="35"/>
      <c r="R996" s="35"/>
      <c r="S996" s="35"/>
      <c r="T996" s="35"/>
      <c r="U996" s="35"/>
      <c r="V996" s="35"/>
      <c r="W996" s="35"/>
      <c r="X996" s="35"/>
      <c r="Y996" s="35"/>
      <c r="Z996" s="35"/>
    </row>
    <row r="997" ht="14.25" customHeight="1">
      <c r="A997" s="136"/>
      <c r="B997" s="137"/>
      <c r="C997" s="251"/>
      <c r="D997" s="452"/>
      <c r="E997" s="136"/>
      <c r="F997" s="253"/>
      <c r="G997" s="140"/>
      <c r="H997" s="141"/>
      <c r="I997" s="141"/>
      <c r="J997" s="142"/>
      <c r="K997" s="142"/>
      <c r="L997" s="142"/>
      <c r="M997" s="142"/>
      <c r="N997" s="136"/>
      <c r="O997" s="34"/>
      <c r="P997" s="35"/>
      <c r="Q997" s="35"/>
      <c r="R997" s="35"/>
      <c r="S997" s="35"/>
      <c r="T997" s="35"/>
      <c r="U997" s="35"/>
      <c r="V997" s="35"/>
      <c r="W997" s="35"/>
      <c r="X997" s="35"/>
      <c r="Y997" s="35"/>
      <c r="Z997" s="35"/>
    </row>
    <row r="998" ht="14.25" customHeight="1">
      <c r="A998" s="136"/>
      <c r="B998" s="137"/>
      <c r="C998" s="251"/>
      <c r="D998" s="452"/>
      <c r="E998" s="136"/>
      <c r="F998" s="253"/>
      <c r="G998" s="140"/>
      <c r="H998" s="141"/>
      <c r="I998" s="141"/>
      <c r="J998" s="142"/>
      <c r="K998" s="142"/>
      <c r="L998" s="142"/>
      <c r="M998" s="142"/>
      <c r="N998" s="136"/>
      <c r="O998" s="34"/>
      <c r="P998" s="35"/>
      <c r="Q998" s="35"/>
      <c r="R998" s="35"/>
      <c r="S998" s="35"/>
      <c r="T998" s="35"/>
      <c r="U998" s="35"/>
      <c r="V998" s="35"/>
      <c r="W998" s="35"/>
      <c r="X998" s="35"/>
      <c r="Y998" s="35"/>
      <c r="Z998" s="35"/>
    </row>
    <row r="999" ht="14.25" customHeight="1">
      <c r="A999" s="136"/>
      <c r="B999" s="137"/>
      <c r="C999" s="251"/>
      <c r="D999" s="452"/>
      <c r="E999" s="136"/>
      <c r="F999" s="253"/>
      <c r="G999" s="140"/>
      <c r="H999" s="141"/>
      <c r="I999" s="141"/>
      <c r="J999" s="142"/>
      <c r="K999" s="142"/>
      <c r="L999" s="142"/>
      <c r="M999" s="142"/>
      <c r="N999" s="136"/>
      <c r="O999" s="34"/>
      <c r="P999" s="35"/>
      <c r="Q999" s="35"/>
      <c r="R999" s="35"/>
      <c r="S999" s="35"/>
      <c r="T999" s="35"/>
      <c r="U999" s="35"/>
      <c r="V999" s="35"/>
      <c r="W999" s="35"/>
      <c r="X999" s="35"/>
      <c r="Y999" s="35"/>
      <c r="Z999" s="35"/>
    </row>
    <row r="1000" ht="14.25" customHeight="1">
      <c r="A1000" s="136"/>
      <c r="B1000" s="137"/>
      <c r="C1000" s="251"/>
      <c r="D1000" s="452"/>
      <c r="E1000" s="136"/>
      <c r="F1000" s="253"/>
      <c r="G1000" s="140"/>
      <c r="H1000" s="141"/>
      <c r="I1000" s="141"/>
      <c r="J1000" s="142"/>
      <c r="K1000" s="142"/>
      <c r="L1000" s="142"/>
      <c r="M1000" s="142"/>
      <c r="N1000" s="136"/>
      <c r="O1000" s="34"/>
      <c r="P1000" s="35"/>
      <c r="Q1000" s="35"/>
      <c r="R1000" s="35"/>
      <c r="S1000" s="35"/>
      <c r="T1000" s="35"/>
      <c r="U1000" s="35"/>
      <c r="V1000" s="35"/>
      <c r="W1000" s="35"/>
      <c r="X1000" s="35"/>
      <c r="Y1000" s="35"/>
      <c r="Z1000" s="35"/>
    </row>
  </sheetData>
  <mergeCells count="10">
    <mergeCell ref="H1:I1"/>
    <mergeCell ref="J1:K1"/>
    <mergeCell ref="L1:M1"/>
    <mergeCell ref="A1:A2"/>
    <mergeCell ref="B1:B2"/>
    <mergeCell ref="C1:C2"/>
    <mergeCell ref="D1:D2"/>
    <mergeCell ref="E1:E2"/>
    <mergeCell ref="F1:F2"/>
    <mergeCell ref="G1:G2"/>
  </mergeCells>
  <dataValidations>
    <dataValidation type="custom" allowBlank="1" showErrorMessage="1" sqref="C3:C45 C47:C70">
      <formula1>LTE(LEN(C3),(22))</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30.86"/>
    <col customWidth="1" min="5" max="5" width="21.86"/>
    <col customWidth="1" min="6" max="7" width="16.71"/>
    <col customWidth="1" min="8" max="8" width="11.14"/>
    <col customWidth="1" min="9" max="14" width="13.0"/>
    <col customWidth="1" min="15" max="15" width="29.14"/>
    <col customWidth="1" min="16" max="16" width="13.57"/>
    <col customWidth="1" min="17" max="17" width="15.14"/>
    <col customWidth="1" min="18" max="18" width="43.0"/>
    <col customWidth="1" min="19" max="26" width="9.86"/>
  </cols>
  <sheetData>
    <row r="1" ht="14.25" customHeight="1">
      <c r="A1" s="1" t="s">
        <v>1740</v>
      </c>
      <c r="B1" s="217" t="s">
        <v>555</v>
      </c>
      <c r="C1" s="2" t="s">
        <v>2</v>
      </c>
      <c r="D1" s="2" t="s">
        <v>3</v>
      </c>
      <c r="E1" s="2" t="s">
        <v>4</v>
      </c>
      <c r="F1" s="218" t="s">
        <v>3086</v>
      </c>
      <c r="G1" s="218" t="s">
        <v>3067</v>
      </c>
      <c r="H1" s="498" t="s">
        <v>7</v>
      </c>
      <c r="I1" s="5" t="s">
        <v>8</v>
      </c>
      <c r="J1" s="6"/>
      <c r="K1" s="7" t="s">
        <v>9</v>
      </c>
      <c r="L1" s="6"/>
      <c r="M1" s="8" t="s">
        <v>10</v>
      </c>
      <c r="N1" s="6"/>
      <c r="O1" s="219" t="s">
        <v>11</v>
      </c>
      <c r="P1" s="10"/>
      <c r="Q1" s="11"/>
      <c r="R1" s="11"/>
      <c r="S1" s="11"/>
      <c r="T1" s="11"/>
      <c r="U1" s="11"/>
      <c r="V1" s="11"/>
      <c r="W1" s="11"/>
      <c r="X1" s="11"/>
      <c r="Y1" s="11"/>
      <c r="Z1" s="11"/>
    </row>
    <row r="2" ht="31.5" customHeight="1">
      <c r="A2" s="12"/>
      <c r="B2" s="12"/>
      <c r="C2" s="13"/>
      <c r="D2" s="13"/>
      <c r="E2" s="13"/>
      <c r="F2" s="13"/>
      <c r="G2" s="13"/>
      <c r="H2" s="14"/>
      <c r="I2" s="15" t="s">
        <v>3087</v>
      </c>
      <c r="J2" s="16" t="s">
        <v>3088</v>
      </c>
      <c r="K2" s="17" t="s">
        <v>3089</v>
      </c>
      <c r="L2" s="18" t="s">
        <v>3090</v>
      </c>
      <c r="M2" s="19" t="s">
        <v>3091</v>
      </c>
      <c r="N2" s="20" t="s">
        <v>3092</v>
      </c>
      <c r="O2" s="220" t="s">
        <v>3093</v>
      </c>
      <c r="P2" s="10"/>
      <c r="Q2" s="11"/>
      <c r="R2" s="11"/>
      <c r="S2" s="11"/>
      <c r="T2" s="11"/>
      <c r="U2" s="11"/>
      <c r="V2" s="11"/>
      <c r="W2" s="11"/>
      <c r="X2" s="11"/>
      <c r="Y2" s="11"/>
      <c r="Z2" s="11"/>
    </row>
    <row r="3" ht="14.25" customHeight="1">
      <c r="A3" s="221"/>
      <c r="B3" s="222" t="s">
        <v>1788</v>
      </c>
      <c r="C3" s="102" t="s">
        <v>3094</v>
      </c>
      <c r="D3" s="223" t="s">
        <v>3095</v>
      </c>
      <c r="E3" s="224"/>
      <c r="F3" s="225">
        <v>44160.0</v>
      </c>
      <c r="G3" s="225">
        <v>25500.0</v>
      </c>
      <c r="H3" s="523">
        <v>44469.0</v>
      </c>
      <c r="I3" s="29">
        <f t="shared" ref="I3:I329" si="1">G3*0.5+G3</f>
        <v>38250</v>
      </c>
      <c r="J3" s="30">
        <f t="shared" ref="J3:J329" si="2">G3*0.3+G3</f>
        <v>33150</v>
      </c>
      <c r="K3" s="31">
        <f t="shared" ref="K3:K329" si="3">G3*0.3+G3</f>
        <v>33150</v>
      </c>
      <c r="L3" s="32">
        <f t="shared" ref="L3:L329" si="4">G3*0.2+G3</f>
        <v>30600</v>
      </c>
      <c r="M3" s="31">
        <f t="shared" ref="M3:M329" si="5">G3*0.15+G3</f>
        <v>29325</v>
      </c>
      <c r="N3" s="32">
        <f t="shared" ref="N3:N329" si="6">G3*0.1+G3</f>
        <v>28050</v>
      </c>
      <c r="O3" s="40"/>
      <c r="P3" s="34"/>
      <c r="Q3" s="35"/>
      <c r="R3" s="35"/>
      <c r="S3" s="35"/>
      <c r="T3" s="35"/>
      <c r="U3" s="35"/>
      <c r="V3" s="35"/>
      <c r="W3" s="35"/>
      <c r="X3" s="35"/>
      <c r="Y3" s="35"/>
      <c r="Z3" s="35"/>
    </row>
    <row r="4" ht="14.25" customHeight="1">
      <c r="A4" s="221"/>
      <c r="B4" s="222"/>
      <c r="C4" s="102" t="s">
        <v>3096</v>
      </c>
      <c r="D4" s="508" t="s">
        <v>3097</v>
      </c>
      <c r="E4" s="85"/>
      <c r="F4" s="225">
        <v>17317.65</v>
      </c>
      <c r="G4" s="225">
        <v>7500.0</v>
      </c>
      <c r="H4" s="523">
        <v>44469.0</v>
      </c>
      <c r="I4" s="36">
        <f t="shared" si="1"/>
        <v>11250</v>
      </c>
      <c r="J4" s="37">
        <f t="shared" si="2"/>
        <v>9750</v>
      </c>
      <c r="K4" s="38">
        <f t="shared" si="3"/>
        <v>9750</v>
      </c>
      <c r="L4" s="39">
        <f t="shared" si="4"/>
        <v>9000</v>
      </c>
      <c r="M4" s="38">
        <f t="shared" si="5"/>
        <v>8625</v>
      </c>
      <c r="N4" s="39">
        <f t="shared" si="6"/>
        <v>8250</v>
      </c>
      <c r="O4" s="40"/>
      <c r="P4" s="34"/>
      <c r="Q4" s="35"/>
      <c r="R4" s="35"/>
      <c r="S4" s="35"/>
      <c r="T4" s="35"/>
      <c r="U4" s="35"/>
      <c r="V4" s="35"/>
      <c r="W4" s="35"/>
      <c r="X4" s="35"/>
      <c r="Y4" s="35"/>
      <c r="Z4" s="35"/>
    </row>
    <row r="5" ht="14.25" customHeight="1">
      <c r="A5" s="221"/>
      <c r="B5" s="222"/>
      <c r="C5" s="227" t="s">
        <v>3098</v>
      </c>
      <c r="D5" s="223" t="s">
        <v>3099</v>
      </c>
      <c r="E5" s="85"/>
      <c r="F5" s="225">
        <v>17317.65</v>
      </c>
      <c r="G5" s="225">
        <v>7500.0</v>
      </c>
      <c r="H5" s="523">
        <v>44469.0</v>
      </c>
      <c r="I5" s="36">
        <f t="shared" si="1"/>
        <v>11250</v>
      </c>
      <c r="J5" s="37">
        <f t="shared" si="2"/>
        <v>9750</v>
      </c>
      <c r="K5" s="38">
        <f t="shared" si="3"/>
        <v>9750</v>
      </c>
      <c r="L5" s="39">
        <f t="shared" si="4"/>
        <v>9000</v>
      </c>
      <c r="M5" s="38">
        <f t="shared" si="5"/>
        <v>8625</v>
      </c>
      <c r="N5" s="39">
        <f t="shared" si="6"/>
        <v>8250</v>
      </c>
      <c r="O5" s="40"/>
      <c r="P5" s="34"/>
      <c r="Q5" s="35"/>
      <c r="R5" s="35"/>
      <c r="S5" s="35"/>
      <c r="T5" s="35"/>
      <c r="U5" s="35"/>
      <c r="V5" s="35"/>
      <c r="W5" s="35"/>
      <c r="X5" s="35"/>
      <c r="Y5" s="35"/>
      <c r="Z5" s="35"/>
    </row>
    <row r="6" ht="14.25" customHeight="1">
      <c r="A6" s="221"/>
      <c r="B6" s="117" t="s">
        <v>3100</v>
      </c>
      <c r="C6" s="117" t="s">
        <v>3101</v>
      </c>
      <c r="D6" s="223" t="s">
        <v>3102</v>
      </c>
      <c r="E6" s="85"/>
      <c r="F6" s="225"/>
      <c r="G6" s="225">
        <v>7000.0</v>
      </c>
      <c r="H6" s="523">
        <v>44442.0</v>
      </c>
      <c r="I6" s="36">
        <f t="shared" si="1"/>
        <v>10500</v>
      </c>
      <c r="J6" s="37">
        <f t="shared" si="2"/>
        <v>9100</v>
      </c>
      <c r="K6" s="38">
        <f t="shared" si="3"/>
        <v>9100</v>
      </c>
      <c r="L6" s="39">
        <f t="shared" si="4"/>
        <v>8400</v>
      </c>
      <c r="M6" s="38">
        <f t="shared" si="5"/>
        <v>8050</v>
      </c>
      <c r="N6" s="39">
        <f t="shared" si="6"/>
        <v>7700</v>
      </c>
      <c r="O6" s="40"/>
      <c r="P6" s="34"/>
      <c r="Q6" s="35"/>
      <c r="R6" s="35"/>
      <c r="S6" s="35"/>
      <c r="T6" s="35"/>
      <c r="U6" s="35"/>
      <c r="V6" s="35"/>
      <c r="W6" s="35"/>
      <c r="X6" s="35"/>
      <c r="Y6" s="35"/>
      <c r="Z6" s="35"/>
    </row>
    <row r="7" ht="14.25" customHeight="1">
      <c r="A7" s="221"/>
      <c r="B7" s="117" t="s">
        <v>3100</v>
      </c>
      <c r="C7" s="117" t="s">
        <v>3103</v>
      </c>
      <c r="D7" s="212" t="s">
        <v>3104</v>
      </c>
      <c r="E7" s="213"/>
      <c r="F7" s="214"/>
      <c r="G7" s="214">
        <v>14200.0</v>
      </c>
      <c r="H7" s="523">
        <v>44442.0</v>
      </c>
      <c r="I7" s="36">
        <f t="shared" si="1"/>
        <v>21300</v>
      </c>
      <c r="J7" s="37">
        <f t="shared" si="2"/>
        <v>18460</v>
      </c>
      <c r="K7" s="38">
        <f t="shared" si="3"/>
        <v>18460</v>
      </c>
      <c r="L7" s="39">
        <f t="shared" si="4"/>
        <v>17040</v>
      </c>
      <c r="M7" s="38">
        <f t="shared" si="5"/>
        <v>16330</v>
      </c>
      <c r="N7" s="39">
        <f t="shared" si="6"/>
        <v>15620</v>
      </c>
      <c r="O7" s="40"/>
      <c r="P7" s="34"/>
      <c r="Q7" s="35"/>
      <c r="R7" s="35"/>
      <c r="S7" s="35"/>
      <c r="T7" s="35"/>
      <c r="U7" s="35"/>
      <c r="V7" s="35"/>
      <c r="W7" s="35"/>
      <c r="X7" s="35"/>
      <c r="Y7" s="35"/>
      <c r="Z7" s="35"/>
    </row>
    <row r="8" ht="14.25" customHeight="1">
      <c r="A8" s="221"/>
      <c r="B8" s="222" t="s">
        <v>3105</v>
      </c>
      <c r="C8" s="211" t="s">
        <v>3106</v>
      </c>
      <c r="D8" s="212" t="s">
        <v>3105</v>
      </c>
      <c r="E8" s="213"/>
      <c r="F8" s="214"/>
      <c r="G8" s="214">
        <v>22500.0</v>
      </c>
      <c r="H8" s="230">
        <v>44481.0</v>
      </c>
      <c r="I8" s="36">
        <f t="shared" si="1"/>
        <v>33750</v>
      </c>
      <c r="J8" s="37">
        <f t="shared" si="2"/>
        <v>29250</v>
      </c>
      <c r="K8" s="38">
        <f t="shared" si="3"/>
        <v>29250</v>
      </c>
      <c r="L8" s="39">
        <f t="shared" si="4"/>
        <v>27000</v>
      </c>
      <c r="M8" s="38">
        <f t="shared" si="5"/>
        <v>25875</v>
      </c>
      <c r="N8" s="39">
        <f t="shared" si="6"/>
        <v>24750</v>
      </c>
      <c r="O8" s="40"/>
      <c r="P8" s="34"/>
      <c r="Q8" s="35"/>
      <c r="R8" s="35"/>
      <c r="S8" s="35"/>
      <c r="T8" s="35"/>
      <c r="U8" s="35"/>
      <c r="V8" s="35"/>
      <c r="W8" s="35"/>
      <c r="X8" s="35"/>
      <c r="Y8" s="35"/>
      <c r="Z8" s="35"/>
    </row>
    <row r="9" ht="14.25" customHeight="1">
      <c r="A9" s="221"/>
      <c r="B9" s="222"/>
      <c r="C9" s="529" t="s">
        <v>3107</v>
      </c>
      <c r="D9" s="530" t="s">
        <v>3108</v>
      </c>
      <c r="E9" s="213"/>
      <c r="F9" s="214"/>
      <c r="G9" s="214">
        <v>10000.0</v>
      </c>
      <c r="H9" s="230">
        <v>44567.0</v>
      </c>
      <c r="I9" s="36">
        <f t="shared" si="1"/>
        <v>15000</v>
      </c>
      <c r="J9" s="37">
        <f t="shared" si="2"/>
        <v>13000</v>
      </c>
      <c r="K9" s="38">
        <f t="shared" si="3"/>
        <v>13000</v>
      </c>
      <c r="L9" s="39">
        <f t="shared" si="4"/>
        <v>12000</v>
      </c>
      <c r="M9" s="38">
        <f t="shared" si="5"/>
        <v>11500</v>
      </c>
      <c r="N9" s="39">
        <f t="shared" si="6"/>
        <v>11000</v>
      </c>
      <c r="O9" s="40"/>
      <c r="P9" s="34"/>
      <c r="Q9" s="35"/>
      <c r="R9" s="35"/>
      <c r="S9" s="35"/>
      <c r="T9" s="35"/>
      <c r="U9" s="35"/>
      <c r="V9" s="35"/>
      <c r="W9" s="35"/>
      <c r="X9" s="35"/>
      <c r="Y9" s="35"/>
      <c r="Z9" s="35"/>
    </row>
    <row r="10" ht="14.25" customHeight="1">
      <c r="A10" s="221"/>
      <c r="B10" s="222"/>
      <c r="C10" s="529" t="s">
        <v>3103</v>
      </c>
      <c r="D10" s="530" t="s">
        <v>3109</v>
      </c>
      <c r="E10" s="213"/>
      <c r="F10" s="214"/>
      <c r="G10" s="214">
        <v>16800.0</v>
      </c>
      <c r="H10" s="230">
        <v>44567.0</v>
      </c>
      <c r="I10" s="36">
        <f t="shared" si="1"/>
        <v>25200</v>
      </c>
      <c r="J10" s="37">
        <f t="shared" si="2"/>
        <v>21840</v>
      </c>
      <c r="K10" s="38">
        <f t="shared" si="3"/>
        <v>21840</v>
      </c>
      <c r="L10" s="39">
        <f t="shared" si="4"/>
        <v>20160</v>
      </c>
      <c r="M10" s="38">
        <f t="shared" si="5"/>
        <v>19320</v>
      </c>
      <c r="N10" s="39">
        <f t="shared" si="6"/>
        <v>18480</v>
      </c>
      <c r="O10" s="40"/>
      <c r="P10" s="34"/>
      <c r="Q10" s="35"/>
      <c r="R10" s="35"/>
      <c r="S10" s="35"/>
      <c r="T10" s="35"/>
      <c r="U10" s="35"/>
      <c r="V10" s="35"/>
      <c r="W10" s="35"/>
      <c r="X10" s="35"/>
      <c r="Y10" s="35"/>
      <c r="Z10" s="35"/>
    </row>
    <row r="11" ht="14.25" customHeight="1">
      <c r="A11" s="221"/>
      <c r="B11" s="222"/>
      <c r="C11" s="529" t="s">
        <v>3110</v>
      </c>
      <c r="D11" s="530" t="s">
        <v>3111</v>
      </c>
      <c r="E11" s="213"/>
      <c r="F11" s="214"/>
      <c r="G11" s="214">
        <v>12000.0</v>
      </c>
      <c r="H11" s="230">
        <v>44567.0</v>
      </c>
      <c r="I11" s="36">
        <f t="shared" si="1"/>
        <v>18000</v>
      </c>
      <c r="J11" s="37">
        <f t="shared" si="2"/>
        <v>15600</v>
      </c>
      <c r="K11" s="38">
        <f t="shared" si="3"/>
        <v>15600</v>
      </c>
      <c r="L11" s="39">
        <f t="shared" si="4"/>
        <v>14400</v>
      </c>
      <c r="M11" s="38">
        <f t="shared" si="5"/>
        <v>13800</v>
      </c>
      <c r="N11" s="39">
        <f t="shared" si="6"/>
        <v>13200</v>
      </c>
      <c r="O11" s="40"/>
      <c r="P11" s="34"/>
      <c r="Q11" s="35"/>
      <c r="R11" s="35"/>
      <c r="S11" s="35"/>
      <c r="T11" s="35"/>
      <c r="U11" s="35"/>
      <c r="V11" s="35"/>
      <c r="W11" s="35"/>
      <c r="X11" s="35"/>
      <c r="Y11" s="35"/>
      <c r="Z11" s="35"/>
    </row>
    <row r="12" ht="14.25" customHeight="1">
      <c r="A12" s="221"/>
      <c r="B12" s="222"/>
      <c r="C12" s="529" t="s">
        <v>3112</v>
      </c>
      <c r="D12" s="530" t="s">
        <v>3113</v>
      </c>
      <c r="E12" s="213"/>
      <c r="F12" s="214"/>
      <c r="G12" s="214">
        <v>20000.0</v>
      </c>
      <c r="H12" s="230">
        <v>44567.0</v>
      </c>
      <c r="I12" s="36">
        <f t="shared" si="1"/>
        <v>30000</v>
      </c>
      <c r="J12" s="37">
        <f t="shared" si="2"/>
        <v>26000</v>
      </c>
      <c r="K12" s="38">
        <f t="shared" si="3"/>
        <v>26000</v>
      </c>
      <c r="L12" s="39">
        <f t="shared" si="4"/>
        <v>24000</v>
      </c>
      <c r="M12" s="38">
        <f t="shared" si="5"/>
        <v>23000</v>
      </c>
      <c r="N12" s="39">
        <f t="shared" si="6"/>
        <v>22000</v>
      </c>
      <c r="O12" s="40"/>
      <c r="P12" s="34"/>
      <c r="Q12" s="35"/>
      <c r="R12" s="35"/>
      <c r="S12" s="35"/>
      <c r="T12" s="35"/>
      <c r="U12" s="35"/>
      <c r="V12" s="35"/>
      <c r="W12" s="35"/>
      <c r="X12" s="35"/>
      <c r="Y12" s="35"/>
      <c r="Z12" s="35"/>
    </row>
    <row r="13" ht="14.25" customHeight="1">
      <c r="A13" s="221"/>
      <c r="B13" s="222"/>
      <c r="C13" s="531" t="s">
        <v>3114</v>
      </c>
      <c r="D13" s="532" t="s">
        <v>3115</v>
      </c>
      <c r="E13" s="213"/>
      <c r="F13" s="214"/>
      <c r="G13" s="214">
        <v>2900.0</v>
      </c>
      <c r="H13" s="230">
        <v>44567.0</v>
      </c>
      <c r="I13" s="36">
        <f t="shared" si="1"/>
        <v>4350</v>
      </c>
      <c r="J13" s="37">
        <f t="shared" si="2"/>
        <v>3770</v>
      </c>
      <c r="K13" s="38">
        <f t="shared" si="3"/>
        <v>3770</v>
      </c>
      <c r="L13" s="39">
        <f t="shared" si="4"/>
        <v>3480</v>
      </c>
      <c r="M13" s="38">
        <f t="shared" si="5"/>
        <v>3335</v>
      </c>
      <c r="N13" s="39">
        <f t="shared" si="6"/>
        <v>3190</v>
      </c>
      <c r="O13" s="40"/>
      <c r="P13" s="34"/>
      <c r="Q13" s="35"/>
      <c r="R13" s="35"/>
      <c r="S13" s="35"/>
      <c r="T13" s="35"/>
      <c r="U13" s="35"/>
      <c r="V13" s="35"/>
      <c r="W13" s="35"/>
      <c r="X13" s="35"/>
      <c r="Y13" s="35"/>
      <c r="Z13" s="35"/>
    </row>
    <row r="14" ht="14.25" customHeight="1">
      <c r="A14" s="221"/>
      <c r="B14" s="222"/>
      <c r="C14" s="533" t="s">
        <v>3116</v>
      </c>
      <c r="D14" s="212" t="s">
        <v>3117</v>
      </c>
      <c r="E14" s="213"/>
      <c r="F14" s="214"/>
      <c r="G14" s="214">
        <v>42000.0</v>
      </c>
      <c r="H14" s="230">
        <v>44567.0</v>
      </c>
      <c r="I14" s="36">
        <f t="shared" si="1"/>
        <v>63000</v>
      </c>
      <c r="J14" s="37">
        <f t="shared" si="2"/>
        <v>54600</v>
      </c>
      <c r="K14" s="38">
        <f t="shared" si="3"/>
        <v>54600</v>
      </c>
      <c r="L14" s="39">
        <f t="shared" si="4"/>
        <v>50400</v>
      </c>
      <c r="M14" s="38">
        <f t="shared" si="5"/>
        <v>48300</v>
      </c>
      <c r="N14" s="39">
        <f t="shared" si="6"/>
        <v>46200</v>
      </c>
      <c r="O14" s="40"/>
      <c r="P14" s="34"/>
      <c r="Q14" s="35"/>
      <c r="R14" s="35"/>
      <c r="S14" s="35"/>
      <c r="T14" s="35"/>
      <c r="U14" s="35"/>
      <c r="V14" s="35"/>
      <c r="W14" s="35"/>
      <c r="X14" s="35"/>
      <c r="Y14" s="35"/>
      <c r="Z14" s="35"/>
    </row>
    <row r="15" ht="14.25" customHeight="1">
      <c r="A15" s="221"/>
      <c r="B15" s="222"/>
      <c r="C15" s="533" t="s">
        <v>3118</v>
      </c>
      <c r="D15" s="212" t="s">
        <v>3119</v>
      </c>
      <c r="E15" s="213"/>
      <c r="F15" s="214"/>
      <c r="G15" s="214">
        <v>72500.0</v>
      </c>
      <c r="H15" s="230">
        <v>44567.0</v>
      </c>
      <c r="I15" s="36">
        <f t="shared" si="1"/>
        <v>108750</v>
      </c>
      <c r="J15" s="37">
        <f t="shared" si="2"/>
        <v>94250</v>
      </c>
      <c r="K15" s="38">
        <f t="shared" si="3"/>
        <v>94250</v>
      </c>
      <c r="L15" s="39">
        <f t="shared" si="4"/>
        <v>87000</v>
      </c>
      <c r="M15" s="38">
        <f t="shared" si="5"/>
        <v>83375</v>
      </c>
      <c r="N15" s="39">
        <f t="shared" si="6"/>
        <v>79750</v>
      </c>
      <c r="O15" s="40"/>
      <c r="P15" s="34"/>
      <c r="Q15" s="35"/>
      <c r="R15" s="35"/>
      <c r="S15" s="35"/>
      <c r="T15" s="35"/>
      <c r="U15" s="35"/>
      <c r="V15" s="35"/>
      <c r="W15" s="35"/>
      <c r="X15" s="35"/>
      <c r="Y15" s="35"/>
      <c r="Z15" s="35"/>
    </row>
    <row r="16" ht="14.25" customHeight="1">
      <c r="A16" s="221"/>
      <c r="B16" s="222"/>
      <c r="C16" s="211"/>
      <c r="D16" s="212"/>
      <c r="E16" s="213"/>
      <c r="F16" s="214"/>
      <c r="G16" s="214"/>
      <c r="H16" s="230"/>
      <c r="I16" s="36">
        <f t="shared" si="1"/>
        <v>0</v>
      </c>
      <c r="J16" s="37">
        <f t="shared" si="2"/>
        <v>0</v>
      </c>
      <c r="K16" s="38">
        <f t="shared" si="3"/>
        <v>0</v>
      </c>
      <c r="L16" s="39">
        <f t="shared" si="4"/>
        <v>0</v>
      </c>
      <c r="M16" s="38">
        <f t="shared" si="5"/>
        <v>0</v>
      </c>
      <c r="N16" s="39">
        <f t="shared" si="6"/>
        <v>0</v>
      </c>
      <c r="O16" s="40"/>
      <c r="P16" s="34"/>
      <c r="Q16" s="35"/>
      <c r="R16" s="35"/>
      <c r="S16" s="35"/>
      <c r="T16" s="35"/>
      <c r="U16" s="35"/>
      <c r="V16" s="35"/>
      <c r="W16" s="35"/>
      <c r="X16" s="35"/>
      <c r="Y16" s="35"/>
      <c r="Z16" s="35"/>
    </row>
    <row r="17" ht="14.25" customHeight="1">
      <c r="A17" s="221"/>
      <c r="B17" s="231"/>
      <c r="C17" s="211"/>
      <c r="D17" s="212"/>
      <c r="E17" s="213"/>
      <c r="F17" s="214"/>
      <c r="G17" s="214"/>
      <c r="H17" s="534"/>
      <c r="I17" s="36">
        <f t="shared" si="1"/>
        <v>0</v>
      </c>
      <c r="J17" s="37">
        <f t="shared" si="2"/>
        <v>0</v>
      </c>
      <c r="K17" s="38">
        <f t="shared" si="3"/>
        <v>0</v>
      </c>
      <c r="L17" s="39">
        <f t="shared" si="4"/>
        <v>0</v>
      </c>
      <c r="M17" s="38">
        <f t="shared" si="5"/>
        <v>0</v>
      </c>
      <c r="N17" s="39">
        <f t="shared" si="6"/>
        <v>0</v>
      </c>
      <c r="O17" s="40"/>
      <c r="P17" s="34"/>
      <c r="Q17" s="35"/>
      <c r="R17" s="35"/>
      <c r="S17" s="35"/>
      <c r="T17" s="35"/>
      <c r="U17" s="35"/>
      <c r="V17" s="35"/>
      <c r="W17" s="35"/>
      <c r="X17" s="35"/>
      <c r="Y17" s="35"/>
      <c r="Z17" s="35"/>
    </row>
    <row r="18" ht="14.25" customHeight="1">
      <c r="A18" s="221"/>
      <c r="B18" s="231"/>
      <c r="C18" s="211"/>
      <c r="D18" s="212"/>
      <c r="E18" s="213"/>
      <c r="F18" s="214"/>
      <c r="G18" s="214"/>
      <c r="H18" s="230"/>
      <c r="I18" s="36">
        <f t="shared" si="1"/>
        <v>0</v>
      </c>
      <c r="J18" s="37">
        <f t="shared" si="2"/>
        <v>0</v>
      </c>
      <c r="K18" s="38">
        <f t="shared" si="3"/>
        <v>0</v>
      </c>
      <c r="L18" s="39">
        <f t="shared" si="4"/>
        <v>0</v>
      </c>
      <c r="M18" s="38">
        <f t="shared" si="5"/>
        <v>0</v>
      </c>
      <c r="N18" s="39">
        <f t="shared" si="6"/>
        <v>0</v>
      </c>
      <c r="O18" s="40"/>
      <c r="P18" s="34"/>
      <c r="Q18" s="35"/>
      <c r="R18" s="35"/>
      <c r="S18" s="35"/>
      <c r="T18" s="35"/>
      <c r="U18" s="35"/>
      <c r="V18" s="35"/>
      <c r="W18" s="35"/>
      <c r="X18" s="35"/>
      <c r="Y18" s="35"/>
      <c r="Z18" s="35"/>
    </row>
    <row r="19" ht="14.25" customHeight="1">
      <c r="A19" s="221"/>
      <c r="B19" s="231"/>
      <c r="C19" s="211"/>
      <c r="D19" s="212"/>
      <c r="E19" s="213"/>
      <c r="F19" s="214"/>
      <c r="G19" s="214"/>
      <c r="H19" s="230"/>
      <c r="I19" s="36">
        <f t="shared" si="1"/>
        <v>0</v>
      </c>
      <c r="J19" s="37">
        <f t="shared" si="2"/>
        <v>0</v>
      </c>
      <c r="K19" s="38">
        <f t="shared" si="3"/>
        <v>0</v>
      </c>
      <c r="L19" s="39">
        <f t="shared" si="4"/>
        <v>0</v>
      </c>
      <c r="M19" s="38">
        <f t="shared" si="5"/>
        <v>0</v>
      </c>
      <c r="N19" s="39">
        <f t="shared" si="6"/>
        <v>0</v>
      </c>
      <c r="O19" s="40"/>
      <c r="P19" s="34"/>
      <c r="Q19" s="35"/>
      <c r="R19" s="35"/>
      <c r="S19" s="35"/>
      <c r="T19" s="35"/>
      <c r="U19" s="35"/>
      <c r="V19" s="35"/>
      <c r="W19" s="35"/>
      <c r="X19" s="35"/>
      <c r="Y19" s="35"/>
      <c r="Z19" s="35"/>
    </row>
    <row r="20" ht="14.25" customHeight="1">
      <c r="A20" s="221"/>
      <c r="B20" s="231"/>
      <c r="C20" s="211"/>
      <c r="D20" s="212"/>
      <c r="E20" s="213"/>
      <c r="F20" s="214"/>
      <c r="G20" s="214"/>
      <c r="H20" s="230"/>
      <c r="I20" s="36">
        <f t="shared" si="1"/>
        <v>0</v>
      </c>
      <c r="J20" s="37">
        <f t="shared" si="2"/>
        <v>0</v>
      </c>
      <c r="K20" s="38">
        <f t="shared" si="3"/>
        <v>0</v>
      </c>
      <c r="L20" s="39">
        <f t="shared" si="4"/>
        <v>0</v>
      </c>
      <c r="M20" s="38">
        <f t="shared" si="5"/>
        <v>0</v>
      </c>
      <c r="N20" s="39">
        <f t="shared" si="6"/>
        <v>0</v>
      </c>
      <c r="O20" s="40"/>
      <c r="P20" s="34"/>
      <c r="Q20" s="35"/>
      <c r="R20" s="35"/>
      <c r="S20" s="35"/>
      <c r="T20" s="35"/>
      <c r="U20" s="35"/>
      <c r="V20" s="35"/>
      <c r="W20" s="35"/>
      <c r="X20" s="35"/>
      <c r="Y20" s="35"/>
      <c r="Z20" s="35"/>
    </row>
    <row r="21" ht="14.25" customHeight="1">
      <c r="A21" s="221"/>
      <c r="B21" s="231"/>
      <c r="C21" s="211"/>
      <c r="D21" s="212"/>
      <c r="E21" s="213"/>
      <c r="F21" s="214"/>
      <c r="G21" s="214"/>
      <c r="H21" s="230"/>
      <c r="I21" s="36">
        <f t="shared" si="1"/>
        <v>0</v>
      </c>
      <c r="J21" s="37">
        <f t="shared" si="2"/>
        <v>0</v>
      </c>
      <c r="K21" s="38">
        <f t="shared" si="3"/>
        <v>0</v>
      </c>
      <c r="L21" s="39">
        <f t="shared" si="4"/>
        <v>0</v>
      </c>
      <c r="M21" s="38">
        <f t="shared" si="5"/>
        <v>0</v>
      </c>
      <c r="N21" s="39">
        <f t="shared" si="6"/>
        <v>0</v>
      </c>
      <c r="O21" s="40"/>
      <c r="P21" s="34"/>
      <c r="Q21" s="35"/>
      <c r="R21" s="35"/>
      <c r="S21" s="35"/>
      <c r="T21" s="35"/>
      <c r="U21" s="35"/>
      <c r="V21" s="35"/>
      <c r="W21" s="35"/>
      <c r="X21" s="35"/>
      <c r="Y21" s="35"/>
      <c r="Z21" s="35"/>
    </row>
    <row r="22" ht="14.25" customHeight="1">
      <c r="A22" s="221"/>
      <c r="B22" s="231"/>
      <c r="C22" s="211"/>
      <c r="D22" s="212"/>
      <c r="E22" s="213"/>
      <c r="F22" s="214"/>
      <c r="G22" s="214"/>
      <c r="H22" s="230"/>
      <c r="I22" s="36">
        <f t="shared" si="1"/>
        <v>0</v>
      </c>
      <c r="J22" s="37">
        <f t="shared" si="2"/>
        <v>0</v>
      </c>
      <c r="K22" s="38">
        <f t="shared" si="3"/>
        <v>0</v>
      </c>
      <c r="L22" s="39">
        <f t="shared" si="4"/>
        <v>0</v>
      </c>
      <c r="M22" s="38">
        <f t="shared" si="5"/>
        <v>0</v>
      </c>
      <c r="N22" s="39">
        <f t="shared" si="6"/>
        <v>0</v>
      </c>
      <c r="O22" s="40"/>
      <c r="P22" s="34"/>
      <c r="Q22" s="35"/>
      <c r="R22" s="35"/>
      <c r="S22" s="35"/>
      <c r="T22" s="35"/>
      <c r="U22" s="35"/>
      <c r="V22" s="35"/>
      <c r="W22" s="35"/>
      <c r="X22" s="35"/>
      <c r="Y22" s="35"/>
      <c r="Z22" s="35"/>
    </row>
    <row r="23" ht="14.25" customHeight="1">
      <c r="A23" s="221"/>
      <c r="B23" s="231"/>
      <c r="C23" s="211"/>
      <c r="D23" s="212"/>
      <c r="E23" s="213"/>
      <c r="F23" s="214"/>
      <c r="G23" s="214"/>
      <c r="H23" s="230"/>
      <c r="I23" s="36">
        <f t="shared" si="1"/>
        <v>0</v>
      </c>
      <c r="J23" s="37">
        <f t="shared" si="2"/>
        <v>0</v>
      </c>
      <c r="K23" s="38">
        <f t="shared" si="3"/>
        <v>0</v>
      </c>
      <c r="L23" s="39">
        <f t="shared" si="4"/>
        <v>0</v>
      </c>
      <c r="M23" s="38">
        <f t="shared" si="5"/>
        <v>0</v>
      </c>
      <c r="N23" s="39">
        <f t="shared" si="6"/>
        <v>0</v>
      </c>
      <c r="O23" s="40"/>
      <c r="P23" s="34"/>
      <c r="Q23" s="35"/>
      <c r="R23" s="35"/>
      <c r="S23" s="35"/>
      <c r="T23" s="35"/>
      <c r="U23" s="35"/>
      <c r="V23" s="35"/>
      <c r="W23" s="35"/>
      <c r="X23" s="35"/>
      <c r="Y23" s="35"/>
      <c r="Z23" s="35"/>
    </row>
    <row r="24" ht="14.25" customHeight="1">
      <c r="A24" s="221"/>
      <c r="B24" s="231"/>
      <c r="C24" s="211"/>
      <c r="D24" s="212"/>
      <c r="E24" s="213"/>
      <c r="F24" s="214"/>
      <c r="G24" s="214"/>
      <c r="H24" s="230"/>
      <c r="I24" s="36">
        <f t="shared" si="1"/>
        <v>0</v>
      </c>
      <c r="J24" s="37">
        <f t="shared" si="2"/>
        <v>0</v>
      </c>
      <c r="K24" s="38">
        <f t="shared" si="3"/>
        <v>0</v>
      </c>
      <c r="L24" s="39">
        <f t="shared" si="4"/>
        <v>0</v>
      </c>
      <c r="M24" s="38">
        <f t="shared" si="5"/>
        <v>0</v>
      </c>
      <c r="N24" s="39">
        <f t="shared" si="6"/>
        <v>0</v>
      </c>
      <c r="O24" s="40"/>
      <c r="P24" s="34"/>
      <c r="Q24" s="35"/>
      <c r="R24" s="35"/>
      <c r="S24" s="35"/>
      <c r="T24" s="35"/>
      <c r="U24" s="35"/>
      <c r="V24" s="35"/>
      <c r="W24" s="35"/>
      <c r="X24" s="35"/>
      <c r="Y24" s="35"/>
      <c r="Z24" s="35"/>
    </row>
    <row r="25" ht="14.25" customHeight="1">
      <c r="A25" s="221"/>
      <c r="B25" s="231"/>
      <c r="C25" s="211"/>
      <c r="D25" s="212"/>
      <c r="E25" s="213"/>
      <c r="F25" s="214"/>
      <c r="G25" s="214"/>
      <c r="H25" s="230"/>
      <c r="I25" s="36">
        <f t="shared" si="1"/>
        <v>0</v>
      </c>
      <c r="J25" s="37">
        <f t="shared" si="2"/>
        <v>0</v>
      </c>
      <c r="K25" s="38">
        <f t="shared" si="3"/>
        <v>0</v>
      </c>
      <c r="L25" s="39">
        <f t="shared" si="4"/>
        <v>0</v>
      </c>
      <c r="M25" s="38">
        <f t="shared" si="5"/>
        <v>0</v>
      </c>
      <c r="N25" s="39">
        <f t="shared" si="6"/>
        <v>0</v>
      </c>
      <c r="O25" s="40"/>
      <c r="P25" s="34"/>
      <c r="Q25" s="35"/>
      <c r="R25" s="35"/>
      <c r="S25" s="35"/>
      <c r="T25" s="35"/>
      <c r="U25" s="35"/>
      <c r="V25" s="35"/>
      <c r="W25" s="35"/>
      <c r="X25" s="35"/>
      <c r="Y25" s="35"/>
      <c r="Z25" s="35"/>
    </row>
    <row r="26" ht="14.25" customHeight="1">
      <c r="A26" s="221"/>
      <c r="B26" s="231"/>
      <c r="C26" s="211"/>
      <c r="D26" s="212"/>
      <c r="E26" s="213"/>
      <c r="F26" s="214"/>
      <c r="G26" s="214"/>
      <c r="H26" s="230"/>
      <c r="I26" s="36">
        <f t="shared" si="1"/>
        <v>0</v>
      </c>
      <c r="J26" s="37">
        <f t="shared" si="2"/>
        <v>0</v>
      </c>
      <c r="K26" s="38">
        <f t="shared" si="3"/>
        <v>0</v>
      </c>
      <c r="L26" s="39">
        <f t="shared" si="4"/>
        <v>0</v>
      </c>
      <c r="M26" s="38">
        <f t="shared" si="5"/>
        <v>0</v>
      </c>
      <c r="N26" s="39">
        <f t="shared" si="6"/>
        <v>0</v>
      </c>
      <c r="O26" s="40"/>
      <c r="P26" s="34"/>
      <c r="Q26" s="35"/>
      <c r="R26" s="35"/>
      <c r="S26" s="35"/>
      <c r="T26" s="35"/>
      <c r="U26" s="35"/>
      <c r="V26" s="35"/>
      <c r="W26" s="35"/>
      <c r="X26" s="35"/>
      <c r="Y26" s="35"/>
      <c r="Z26" s="35"/>
    </row>
    <row r="27" ht="14.25" customHeight="1">
      <c r="A27" s="221"/>
      <c r="B27" s="231"/>
      <c r="C27" s="211"/>
      <c r="D27" s="212"/>
      <c r="E27" s="213"/>
      <c r="F27" s="214"/>
      <c r="G27" s="214"/>
      <c r="H27" s="230"/>
      <c r="I27" s="36">
        <f t="shared" si="1"/>
        <v>0</v>
      </c>
      <c r="J27" s="37">
        <f t="shared" si="2"/>
        <v>0</v>
      </c>
      <c r="K27" s="38">
        <f t="shared" si="3"/>
        <v>0</v>
      </c>
      <c r="L27" s="39">
        <f t="shared" si="4"/>
        <v>0</v>
      </c>
      <c r="M27" s="38">
        <f t="shared" si="5"/>
        <v>0</v>
      </c>
      <c r="N27" s="39">
        <f t="shared" si="6"/>
        <v>0</v>
      </c>
      <c r="O27" s="40"/>
      <c r="P27" s="34"/>
      <c r="Q27" s="35"/>
      <c r="R27" s="35"/>
      <c r="S27" s="35"/>
      <c r="T27" s="35"/>
      <c r="U27" s="35"/>
      <c r="V27" s="35"/>
      <c r="W27" s="35"/>
      <c r="X27" s="35"/>
      <c r="Y27" s="35"/>
      <c r="Z27" s="35"/>
    </row>
    <row r="28" ht="14.25" customHeight="1">
      <c r="A28" s="221"/>
      <c r="B28" s="231"/>
      <c r="C28" s="211"/>
      <c r="D28" s="212"/>
      <c r="E28" s="213"/>
      <c r="F28" s="214"/>
      <c r="G28" s="214"/>
      <c r="H28" s="230"/>
      <c r="I28" s="36">
        <f t="shared" si="1"/>
        <v>0</v>
      </c>
      <c r="J28" s="37">
        <f t="shared" si="2"/>
        <v>0</v>
      </c>
      <c r="K28" s="38">
        <f t="shared" si="3"/>
        <v>0</v>
      </c>
      <c r="L28" s="39">
        <f t="shared" si="4"/>
        <v>0</v>
      </c>
      <c r="M28" s="38">
        <f t="shared" si="5"/>
        <v>0</v>
      </c>
      <c r="N28" s="39">
        <f t="shared" si="6"/>
        <v>0</v>
      </c>
      <c r="O28" s="40"/>
      <c r="P28" s="34"/>
      <c r="Q28" s="35"/>
      <c r="R28" s="35"/>
      <c r="S28" s="35"/>
      <c r="T28" s="35"/>
      <c r="U28" s="35"/>
      <c r="V28" s="35"/>
      <c r="W28" s="35"/>
      <c r="X28" s="35"/>
      <c r="Y28" s="35"/>
      <c r="Z28" s="35"/>
    </row>
    <row r="29" ht="14.25" customHeight="1">
      <c r="A29" s="221"/>
      <c r="B29" s="231"/>
      <c r="C29" s="211"/>
      <c r="D29" s="212"/>
      <c r="E29" s="213"/>
      <c r="F29" s="214"/>
      <c r="G29" s="214"/>
      <c r="H29" s="230"/>
      <c r="I29" s="36">
        <f t="shared" si="1"/>
        <v>0</v>
      </c>
      <c r="J29" s="37">
        <f t="shared" si="2"/>
        <v>0</v>
      </c>
      <c r="K29" s="38">
        <f t="shared" si="3"/>
        <v>0</v>
      </c>
      <c r="L29" s="39">
        <f t="shared" si="4"/>
        <v>0</v>
      </c>
      <c r="M29" s="38">
        <f t="shared" si="5"/>
        <v>0</v>
      </c>
      <c r="N29" s="39">
        <f t="shared" si="6"/>
        <v>0</v>
      </c>
      <c r="O29" s="40"/>
      <c r="P29" s="34"/>
      <c r="Q29" s="35"/>
      <c r="R29" s="35"/>
      <c r="S29" s="35"/>
      <c r="T29" s="35"/>
      <c r="U29" s="35"/>
      <c r="V29" s="35"/>
      <c r="W29" s="35"/>
      <c r="X29" s="35"/>
      <c r="Y29" s="35"/>
      <c r="Z29" s="35"/>
    </row>
    <row r="30" ht="14.25" customHeight="1">
      <c r="A30" s="221"/>
      <c r="B30" s="231"/>
      <c r="C30" s="211"/>
      <c r="D30" s="212"/>
      <c r="E30" s="213"/>
      <c r="F30" s="214"/>
      <c r="G30" s="214"/>
      <c r="H30" s="230"/>
      <c r="I30" s="36">
        <f t="shared" si="1"/>
        <v>0</v>
      </c>
      <c r="J30" s="37">
        <f t="shared" si="2"/>
        <v>0</v>
      </c>
      <c r="K30" s="38">
        <f t="shared" si="3"/>
        <v>0</v>
      </c>
      <c r="L30" s="39">
        <f t="shared" si="4"/>
        <v>0</v>
      </c>
      <c r="M30" s="38">
        <f t="shared" si="5"/>
        <v>0</v>
      </c>
      <c r="N30" s="39">
        <f t="shared" si="6"/>
        <v>0</v>
      </c>
      <c r="O30" s="40"/>
      <c r="P30" s="34"/>
      <c r="Q30" s="35"/>
      <c r="R30" s="35"/>
      <c r="S30" s="35"/>
      <c r="T30" s="35"/>
      <c r="U30" s="35"/>
      <c r="V30" s="35"/>
      <c r="W30" s="35"/>
      <c r="X30" s="35"/>
      <c r="Y30" s="35"/>
      <c r="Z30" s="35"/>
    </row>
    <row r="31" ht="14.25" customHeight="1">
      <c r="A31" s="221"/>
      <c r="B31" s="231"/>
      <c r="C31" s="211"/>
      <c r="D31" s="212"/>
      <c r="E31" s="213"/>
      <c r="F31" s="214"/>
      <c r="G31" s="214"/>
      <c r="H31" s="230"/>
      <c r="I31" s="36">
        <f t="shared" si="1"/>
        <v>0</v>
      </c>
      <c r="J31" s="37">
        <f t="shared" si="2"/>
        <v>0</v>
      </c>
      <c r="K31" s="38">
        <f t="shared" si="3"/>
        <v>0</v>
      </c>
      <c r="L31" s="39">
        <f t="shared" si="4"/>
        <v>0</v>
      </c>
      <c r="M31" s="38">
        <f t="shared" si="5"/>
        <v>0</v>
      </c>
      <c r="N31" s="39">
        <f t="shared" si="6"/>
        <v>0</v>
      </c>
      <c r="O31" s="40"/>
      <c r="P31" s="34"/>
      <c r="Q31" s="35"/>
      <c r="R31" s="35"/>
      <c r="S31" s="35"/>
      <c r="T31" s="35"/>
      <c r="U31" s="35"/>
      <c r="V31" s="35"/>
      <c r="W31" s="35"/>
      <c r="X31" s="35"/>
      <c r="Y31" s="35"/>
      <c r="Z31" s="35"/>
    </row>
    <row r="32" ht="14.25" customHeight="1">
      <c r="A32" s="221"/>
      <c r="B32" s="231"/>
      <c r="C32" s="211"/>
      <c r="D32" s="212"/>
      <c r="E32" s="213"/>
      <c r="F32" s="214"/>
      <c r="G32" s="214"/>
      <c r="H32" s="230"/>
      <c r="I32" s="36">
        <f t="shared" si="1"/>
        <v>0</v>
      </c>
      <c r="J32" s="37">
        <f t="shared" si="2"/>
        <v>0</v>
      </c>
      <c r="K32" s="38">
        <f t="shared" si="3"/>
        <v>0</v>
      </c>
      <c r="L32" s="39">
        <f t="shared" si="4"/>
        <v>0</v>
      </c>
      <c r="M32" s="38">
        <f t="shared" si="5"/>
        <v>0</v>
      </c>
      <c r="N32" s="39">
        <f t="shared" si="6"/>
        <v>0</v>
      </c>
      <c r="O32" s="40"/>
      <c r="P32" s="34"/>
      <c r="Q32" s="35"/>
      <c r="R32" s="35"/>
      <c r="S32" s="35"/>
      <c r="T32" s="35"/>
      <c r="U32" s="35"/>
      <c r="V32" s="35"/>
      <c r="W32" s="35"/>
      <c r="X32" s="35"/>
      <c r="Y32" s="35"/>
      <c r="Z32" s="35"/>
    </row>
    <row r="33" ht="14.25" customHeight="1">
      <c r="A33" s="221"/>
      <c r="B33" s="231"/>
      <c r="C33" s="211"/>
      <c r="D33" s="212"/>
      <c r="E33" s="213"/>
      <c r="F33" s="214"/>
      <c r="G33" s="214"/>
      <c r="H33" s="230"/>
      <c r="I33" s="36">
        <f t="shared" si="1"/>
        <v>0</v>
      </c>
      <c r="J33" s="37">
        <f t="shared" si="2"/>
        <v>0</v>
      </c>
      <c r="K33" s="38">
        <f t="shared" si="3"/>
        <v>0</v>
      </c>
      <c r="L33" s="39">
        <f t="shared" si="4"/>
        <v>0</v>
      </c>
      <c r="M33" s="38">
        <f t="shared" si="5"/>
        <v>0</v>
      </c>
      <c r="N33" s="39">
        <f t="shared" si="6"/>
        <v>0</v>
      </c>
      <c r="O33" s="40"/>
      <c r="P33" s="34"/>
      <c r="Q33" s="35"/>
      <c r="R33" s="35"/>
      <c r="S33" s="35"/>
      <c r="T33" s="35"/>
      <c r="U33" s="35"/>
      <c r="V33" s="35"/>
      <c r="W33" s="35"/>
      <c r="X33" s="35"/>
      <c r="Y33" s="35"/>
      <c r="Z33" s="35"/>
    </row>
    <row r="34" ht="14.25" customHeight="1">
      <c r="A34" s="221"/>
      <c r="B34" s="231"/>
      <c r="C34" s="211"/>
      <c r="D34" s="212"/>
      <c r="E34" s="213"/>
      <c r="F34" s="214"/>
      <c r="G34" s="214"/>
      <c r="H34" s="230"/>
      <c r="I34" s="36">
        <f t="shared" si="1"/>
        <v>0</v>
      </c>
      <c r="J34" s="37">
        <f t="shared" si="2"/>
        <v>0</v>
      </c>
      <c r="K34" s="38">
        <f t="shared" si="3"/>
        <v>0</v>
      </c>
      <c r="L34" s="39">
        <f t="shared" si="4"/>
        <v>0</v>
      </c>
      <c r="M34" s="38">
        <f t="shared" si="5"/>
        <v>0</v>
      </c>
      <c r="N34" s="39">
        <f t="shared" si="6"/>
        <v>0</v>
      </c>
      <c r="O34" s="40"/>
      <c r="P34" s="34"/>
      <c r="Q34" s="35"/>
      <c r="R34" s="35"/>
      <c r="S34" s="35"/>
      <c r="T34" s="35"/>
      <c r="U34" s="35"/>
      <c r="V34" s="35"/>
      <c r="W34" s="35"/>
      <c r="X34" s="35"/>
      <c r="Y34" s="35"/>
      <c r="Z34" s="35"/>
    </row>
    <row r="35" ht="14.25" customHeight="1">
      <c r="A35" s="221"/>
      <c r="B35" s="231"/>
      <c r="C35" s="211"/>
      <c r="D35" s="212"/>
      <c r="E35" s="213"/>
      <c r="F35" s="214"/>
      <c r="G35" s="214"/>
      <c r="H35" s="230"/>
      <c r="I35" s="36">
        <f t="shared" si="1"/>
        <v>0</v>
      </c>
      <c r="J35" s="37">
        <f t="shared" si="2"/>
        <v>0</v>
      </c>
      <c r="K35" s="38">
        <f t="shared" si="3"/>
        <v>0</v>
      </c>
      <c r="L35" s="39">
        <f t="shared" si="4"/>
        <v>0</v>
      </c>
      <c r="M35" s="38">
        <f t="shared" si="5"/>
        <v>0</v>
      </c>
      <c r="N35" s="39">
        <f t="shared" si="6"/>
        <v>0</v>
      </c>
      <c r="O35" s="40"/>
      <c r="P35" s="34"/>
      <c r="Q35" s="35"/>
      <c r="R35" s="35"/>
      <c r="S35" s="35"/>
      <c r="T35" s="35"/>
      <c r="U35" s="35"/>
      <c r="V35" s="35"/>
      <c r="W35" s="35"/>
      <c r="X35" s="35"/>
      <c r="Y35" s="35"/>
      <c r="Z35" s="35"/>
    </row>
    <row r="36" ht="14.25" customHeight="1">
      <c r="A36" s="221"/>
      <c r="B36" s="231"/>
      <c r="C36" s="211"/>
      <c r="D36" s="212"/>
      <c r="E36" s="213"/>
      <c r="F36" s="214"/>
      <c r="G36" s="214"/>
      <c r="H36" s="230"/>
      <c r="I36" s="36">
        <f t="shared" si="1"/>
        <v>0</v>
      </c>
      <c r="J36" s="37">
        <f t="shared" si="2"/>
        <v>0</v>
      </c>
      <c r="K36" s="38">
        <f t="shared" si="3"/>
        <v>0</v>
      </c>
      <c r="L36" s="39">
        <f t="shared" si="4"/>
        <v>0</v>
      </c>
      <c r="M36" s="38">
        <f t="shared" si="5"/>
        <v>0</v>
      </c>
      <c r="N36" s="39">
        <f t="shared" si="6"/>
        <v>0</v>
      </c>
      <c r="O36" s="40"/>
      <c r="P36" s="34"/>
      <c r="Q36" s="35"/>
      <c r="R36" s="35"/>
      <c r="S36" s="35"/>
      <c r="T36" s="35"/>
      <c r="U36" s="35"/>
      <c r="V36" s="35"/>
      <c r="W36" s="35"/>
      <c r="X36" s="35"/>
      <c r="Y36" s="35"/>
      <c r="Z36" s="35"/>
    </row>
    <row r="37" ht="14.25" customHeight="1">
      <c r="A37" s="221"/>
      <c r="B37" s="231"/>
      <c r="C37" s="211"/>
      <c r="D37" s="212"/>
      <c r="E37" s="213"/>
      <c r="F37" s="214"/>
      <c r="G37" s="214"/>
      <c r="H37" s="230"/>
      <c r="I37" s="36">
        <f t="shared" si="1"/>
        <v>0</v>
      </c>
      <c r="J37" s="37">
        <f t="shared" si="2"/>
        <v>0</v>
      </c>
      <c r="K37" s="38">
        <f t="shared" si="3"/>
        <v>0</v>
      </c>
      <c r="L37" s="39">
        <f t="shared" si="4"/>
        <v>0</v>
      </c>
      <c r="M37" s="38">
        <f t="shared" si="5"/>
        <v>0</v>
      </c>
      <c r="N37" s="39">
        <f t="shared" si="6"/>
        <v>0</v>
      </c>
      <c r="O37" s="40"/>
      <c r="P37" s="34"/>
      <c r="Q37" s="35"/>
      <c r="R37" s="35"/>
      <c r="S37" s="35"/>
      <c r="T37" s="35"/>
      <c r="U37" s="35"/>
      <c r="V37" s="35"/>
      <c r="W37" s="35"/>
      <c r="X37" s="35"/>
      <c r="Y37" s="35"/>
      <c r="Z37" s="35"/>
    </row>
    <row r="38" ht="14.25" customHeight="1">
      <c r="A38" s="221"/>
      <c r="B38" s="231"/>
      <c r="C38" s="211"/>
      <c r="D38" s="212"/>
      <c r="E38" s="213"/>
      <c r="F38" s="214"/>
      <c r="G38" s="214"/>
      <c r="H38" s="230"/>
      <c r="I38" s="36">
        <f t="shared" si="1"/>
        <v>0</v>
      </c>
      <c r="J38" s="37">
        <f t="shared" si="2"/>
        <v>0</v>
      </c>
      <c r="K38" s="38">
        <f t="shared" si="3"/>
        <v>0</v>
      </c>
      <c r="L38" s="39">
        <f t="shared" si="4"/>
        <v>0</v>
      </c>
      <c r="M38" s="38">
        <f t="shared" si="5"/>
        <v>0</v>
      </c>
      <c r="N38" s="39">
        <f t="shared" si="6"/>
        <v>0</v>
      </c>
      <c r="O38" s="40"/>
      <c r="P38" s="34"/>
      <c r="Q38" s="35"/>
      <c r="R38" s="35"/>
      <c r="S38" s="35"/>
      <c r="T38" s="35"/>
      <c r="U38" s="35"/>
      <c r="V38" s="35"/>
      <c r="W38" s="35"/>
      <c r="X38" s="35"/>
      <c r="Y38" s="35"/>
      <c r="Z38" s="35"/>
    </row>
    <row r="39" ht="14.25" customHeight="1">
      <c r="A39" s="221"/>
      <c r="B39" s="231"/>
      <c r="C39" s="211"/>
      <c r="D39" s="212"/>
      <c r="E39" s="213"/>
      <c r="F39" s="214"/>
      <c r="G39" s="214"/>
      <c r="H39" s="230"/>
      <c r="I39" s="36">
        <f t="shared" si="1"/>
        <v>0</v>
      </c>
      <c r="J39" s="37">
        <f t="shared" si="2"/>
        <v>0</v>
      </c>
      <c r="K39" s="38">
        <f t="shared" si="3"/>
        <v>0</v>
      </c>
      <c r="L39" s="39">
        <f t="shared" si="4"/>
        <v>0</v>
      </c>
      <c r="M39" s="38">
        <f t="shared" si="5"/>
        <v>0</v>
      </c>
      <c r="N39" s="39">
        <f t="shared" si="6"/>
        <v>0</v>
      </c>
      <c r="O39" s="40"/>
      <c r="P39" s="34"/>
      <c r="Q39" s="35"/>
      <c r="R39" s="35"/>
      <c r="S39" s="35"/>
      <c r="T39" s="35"/>
      <c r="U39" s="35"/>
      <c r="V39" s="35"/>
      <c r="W39" s="35"/>
      <c r="X39" s="35"/>
      <c r="Y39" s="35"/>
      <c r="Z39" s="35"/>
    </row>
    <row r="40" ht="14.25" customHeight="1">
      <c r="A40" s="221"/>
      <c r="B40" s="231"/>
      <c r="C40" s="211"/>
      <c r="D40" s="212"/>
      <c r="E40" s="213"/>
      <c r="F40" s="214"/>
      <c r="G40" s="214"/>
      <c r="H40" s="230"/>
      <c r="I40" s="36">
        <f t="shared" si="1"/>
        <v>0</v>
      </c>
      <c r="J40" s="37">
        <f t="shared" si="2"/>
        <v>0</v>
      </c>
      <c r="K40" s="38">
        <f t="shared" si="3"/>
        <v>0</v>
      </c>
      <c r="L40" s="39">
        <f t="shared" si="4"/>
        <v>0</v>
      </c>
      <c r="M40" s="38">
        <f t="shared" si="5"/>
        <v>0</v>
      </c>
      <c r="N40" s="39">
        <f t="shared" si="6"/>
        <v>0</v>
      </c>
      <c r="O40" s="40"/>
      <c r="P40" s="34"/>
      <c r="Q40" s="35"/>
      <c r="R40" s="35"/>
      <c r="S40" s="35"/>
      <c r="T40" s="35"/>
      <c r="U40" s="35"/>
      <c r="V40" s="35"/>
      <c r="W40" s="35"/>
      <c r="X40" s="35"/>
      <c r="Y40" s="35"/>
      <c r="Z40" s="35"/>
    </row>
    <row r="41" ht="14.25" customHeight="1">
      <c r="A41" s="221"/>
      <c r="B41" s="231"/>
      <c r="C41" s="211"/>
      <c r="D41" s="212"/>
      <c r="E41" s="213"/>
      <c r="F41" s="214"/>
      <c r="G41" s="214"/>
      <c r="H41" s="230"/>
      <c r="I41" s="36">
        <f t="shared" si="1"/>
        <v>0</v>
      </c>
      <c r="J41" s="37">
        <f t="shared" si="2"/>
        <v>0</v>
      </c>
      <c r="K41" s="38">
        <f t="shared" si="3"/>
        <v>0</v>
      </c>
      <c r="L41" s="39">
        <f t="shared" si="4"/>
        <v>0</v>
      </c>
      <c r="M41" s="38">
        <f t="shared" si="5"/>
        <v>0</v>
      </c>
      <c r="N41" s="39">
        <f t="shared" si="6"/>
        <v>0</v>
      </c>
      <c r="O41" s="40"/>
      <c r="P41" s="34"/>
      <c r="Q41" s="35"/>
      <c r="R41" s="35"/>
      <c r="S41" s="35"/>
      <c r="T41" s="35"/>
      <c r="U41" s="35"/>
      <c r="V41" s="35"/>
      <c r="W41" s="35"/>
      <c r="X41" s="35"/>
      <c r="Y41" s="35"/>
      <c r="Z41" s="35"/>
    </row>
    <row r="42" ht="14.25" customHeight="1">
      <c r="A42" s="221"/>
      <c r="B42" s="231"/>
      <c r="C42" s="211"/>
      <c r="D42" s="212"/>
      <c r="E42" s="213"/>
      <c r="F42" s="214"/>
      <c r="G42" s="214"/>
      <c r="H42" s="230"/>
      <c r="I42" s="36">
        <f t="shared" si="1"/>
        <v>0</v>
      </c>
      <c r="J42" s="37">
        <f t="shared" si="2"/>
        <v>0</v>
      </c>
      <c r="K42" s="38">
        <f t="shared" si="3"/>
        <v>0</v>
      </c>
      <c r="L42" s="39">
        <f t="shared" si="4"/>
        <v>0</v>
      </c>
      <c r="M42" s="38">
        <f t="shared" si="5"/>
        <v>0</v>
      </c>
      <c r="N42" s="39">
        <f t="shared" si="6"/>
        <v>0</v>
      </c>
      <c r="O42" s="40"/>
      <c r="P42" s="34"/>
      <c r="Q42" s="35"/>
      <c r="R42" s="35"/>
      <c r="S42" s="35"/>
      <c r="T42" s="35"/>
      <c r="U42" s="35"/>
      <c r="V42" s="35"/>
      <c r="W42" s="35"/>
      <c r="X42" s="35"/>
      <c r="Y42" s="35"/>
      <c r="Z42" s="35"/>
    </row>
    <row r="43" ht="14.25" customHeight="1">
      <c r="A43" s="221"/>
      <c r="B43" s="231"/>
      <c r="C43" s="211"/>
      <c r="D43" s="212"/>
      <c r="E43" s="213"/>
      <c r="F43" s="214"/>
      <c r="G43" s="214"/>
      <c r="H43" s="230"/>
      <c r="I43" s="36">
        <f t="shared" si="1"/>
        <v>0</v>
      </c>
      <c r="J43" s="37">
        <f t="shared" si="2"/>
        <v>0</v>
      </c>
      <c r="K43" s="38">
        <f t="shared" si="3"/>
        <v>0</v>
      </c>
      <c r="L43" s="39">
        <f t="shared" si="4"/>
        <v>0</v>
      </c>
      <c r="M43" s="38">
        <f t="shared" si="5"/>
        <v>0</v>
      </c>
      <c r="N43" s="39">
        <f t="shared" si="6"/>
        <v>0</v>
      </c>
      <c r="O43" s="40"/>
      <c r="P43" s="34"/>
      <c r="Q43" s="35"/>
      <c r="R43" s="35"/>
      <c r="S43" s="35"/>
      <c r="T43" s="35"/>
      <c r="U43" s="35"/>
      <c r="V43" s="35"/>
      <c r="W43" s="35"/>
      <c r="X43" s="35"/>
      <c r="Y43" s="35"/>
      <c r="Z43" s="35"/>
    </row>
    <row r="44" ht="14.25" customHeight="1">
      <c r="A44" s="221"/>
      <c r="B44" s="231"/>
      <c r="C44" s="211"/>
      <c r="D44" s="212"/>
      <c r="E44" s="213"/>
      <c r="F44" s="214"/>
      <c r="G44" s="214"/>
      <c r="H44" s="230"/>
      <c r="I44" s="36">
        <f t="shared" si="1"/>
        <v>0</v>
      </c>
      <c r="J44" s="37">
        <f t="shared" si="2"/>
        <v>0</v>
      </c>
      <c r="K44" s="38">
        <f t="shared" si="3"/>
        <v>0</v>
      </c>
      <c r="L44" s="39">
        <f t="shared" si="4"/>
        <v>0</v>
      </c>
      <c r="M44" s="38">
        <f t="shared" si="5"/>
        <v>0</v>
      </c>
      <c r="N44" s="39">
        <f t="shared" si="6"/>
        <v>0</v>
      </c>
      <c r="O44" s="40"/>
      <c r="P44" s="34"/>
      <c r="Q44" s="35"/>
      <c r="R44" s="35"/>
      <c r="S44" s="35"/>
      <c r="T44" s="35"/>
      <c r="U44" s="35"/>
      <c r="V44" s="35"/>
      <c r="W44" s="35"/>
      <c r="X44" s="35"/>
      <c r="Y44" s="35"/>
      <c r="Z44" s="35"/>
    </row>
    <row r="45" ht="14.25" customHeight="1">
      <c r="A45" s="221"/>
      <c r="B45" s="231"/>
      <c r="C45" s="211"/>
      <c r="D45" s="212"/>
      <c r="E45" s="213"/>
      <c r="F45" s="214"/>
      <c r="G45" s="214"/>
      <c r="H45" s="230"/>
      <c r="I45" s="36">
        <f t="shared" si="1"/>
        <v>0</v>
      </c>
      <c r="J45" s="37">
        <f t="shared" si="2"/>
        <v>0</v>
      </c>
      <c r="K45" s="38">
        <f t="shared" si="3"/>
        <v>0</v>
      </c>
      <c r="L45" s="39">
        <f t="shared" si="4"/>
        <v>0</v>
      </c>
      <c r="M45" s="38">
        <f t="shared" si="5"/>
        <v>0</v>
      </c>
      <c r="N45" s="39">
        <f t="shared" si="6"/>
        <v>0</v>
      </c>
      <c r="O45" s="40"/>
      <c r="P45" s="34"/>
      <c r="Q45" s="35"/>
      <c r="R45" s="35"/>
      <c r="S45" s="35"/>
      <c r="T45" s="35"/>
      <c r="U45" s="35"/>
      <c r="V45" s="35"/>
      <c r="W45" s="35"/>
      <c r="X45" s="35"/>
      <c r="Y45" s="35"/>
      <c r="Z45" s="35"/>
    </row>
    <row r="46" ht="14.25" customHeight="1">
      <c r="A46" s="221"/>
      <c r="B46" s="231"/>
      <c r="C46" s="211"/>
      <c r="D46" s="212"/>
      <c r="E46" s="213"/>
      <c r="F46" s="214"/>
      <c r="G46" s="214"/>
      <c r="H46" s="230"/>
      <c r="I46" s="36">
        <f t="shared" si="1"/>
        <v>0</v>
      </c>
      <c r="J46" s="37">
        <f t="shared" si="2"/>
        <v>0</v>
      </c>
      <c r="K46" s="38">
        <f t="shared" si="3"/>
        <v>0</v>
      </c>
      <c r="L46" s="39">
        <f t="shared" si="4"/>
        <v>0</v>
      </c>
      <c r="M46" s="38">
        <f t="shared" si="5"/>
        <v>0</v>
      </c>
      <c r="N46" s="39">
        <f t="shared" si="6"/>
        <v>0</v>
      </c>
      <c r="O46" s="40"/>
      <c r="P46" s="34"/>
      <c r="Q46" s="35"/>
      <c r="R46" s="35"/>
      <c r="S46" s="35"/>
      <c r="T46" s="35"/>
      <c r="U46" s="35"/>
      <c r="V46" s="35"/>
      <c r="W46" s="35"/>
      <c r="X46" s="35"/>
      <c r="Y46" s="35"/>
      <c r="Z46" s="35"/>
    </row>
    <row r="47" ht="14.25" customHeight="1">
      <c r="A47" s="221"/>
      <c r="B47" s="231"/>
      <c r="C47" s="211"/>
      <c r="D47" s="212"/>
      <c r="E47" s="213"/>
      <c r="F47" s="214"/>
      <c r="G47" s="214"/>
      <c r="H47" s="230"/>
      <c r="I47" s="36">
        <f t="shared" si="1"/>
        <v>0</v>
      </c>
      <c r="J47" s="37">
        <f t="shared" si="2"/>
        <v>0</v>
      </c>
      <c r="K47" s="38">
        <f t="shared" si="3"/>
        <v>0</v>
      </c>
      <c r="L47" s="39">
        <f t="shared" si="4"/>
        <v>0</v>
      </c>
      <c r="M47" s="38">
        <f t="shared" si="5"/>
        <v>0</v>
      </c>
      <c r="N47" s="39">
        <f t="shared" si="6"/>
        <v>0</v>
      </c>
      <c r="O47" s="40"/>
      <c r="P47" s="34"/>
      <c r="Q47" s="35"/>
      <c r="R47" s="35"/>
      <c r="S47" s="35"/>
      <c r="T47" s="35"/>
      <c r="U47" s="35"/>
      <c r="V47" s="35"/>
      <c r="W47" s="35"/>
      <c r="X47" s="35"/>
      <c r="Y47" s="35"/>
      <c r="Z47" s="35"/>
    </row>
    <row r="48" ht="14.25" customHeight="1">
      <c r="A48" s="221"/>
      <c r="B48" s="231"/>
      <c r="C48" s="211"/>
      <c r="D48" s="212"/>
      <c r="E48" s="213"/>
      <c r="F48" s="214"/>
      <c r="G48" s="214"/>
      <c r="H48" s="230"/>
      <c r="I48" s="36">
        <f t="shared" si="1"/>
        <v>0</v>
      </c>
      <c r="J48" s="37">
        <f t="shared" si="2"/>
        <v>0</v>
      </c>
      <c r="K48" s="38">
        <f t="shared" si="3"/>
        <v>0</v>
      </c>
      <c r="L48" s="39">
        <f t="shared" si="4"/>
        <v>0</v>
      </c>
      <c r="M48" s="38">
        <f t="shared" si="5"/>
        <v>0</v>
      </c>
      <c r="N48" s="39">
        <f t="shared" si="6"/>
        <v>0</v>
      </c>
      <c r="O48" s="40"/>
      <c r="P48" s="34"/>
      <c r="Q48" s="35"/>
      <c r="R48" s="35"/>
      <c r="S48" s="35"/>
      <c r="T48" s="35"/>
      <c r="U48" s="35"/>
      <c r="V48" s="35"/>
      <c r="W48" s="35"/>
      <c r="X48" s="35"/>
      <c r="Y48" s="35"/>
      <c r="Z48" s="35"/>
    </row>
    <row r="49" ht="14.25" customHeight="1">
      <c r="A49" s="221"/>
      <c r="B49" s="231"/>
      <c r="C49" s="211"/>
      <c r="D49" s="212"/>
      <c r="E49" s="213"/>
      <c r="F49" s="214"/>
      <c r="G49" s="214"/>
      <c r="H49" s="230"/>
      <c r="I49" s="36">
        <f t="shared" si="1"/>
        <v>0</v>
      </c>
      <c r="J49" s="37">
        <f t="shared" si="2"/>
        <v>0</v>
      </c>
      <c r="K49" s="38">
        <f t="shared" si="3"/>
        <v>0</v>
      </c>
      <c r="L49" s="39">
        <f t="shared" si="4"/>
        <v>0</v>
      </c>
      <c r="M49" s="38">
        <f t="shared" si="5"/>
        <v>0</v>
      </c>
      <c r="N49" s="39">
        <f t="shared" si="6"/>
        <v>0</v>
      </c>
      <c r="O49" s="40"/>
      <c r="P49" s="34"/>
      <c r="Q49" s="35"/>
      <c r="R49" s="35"/>
      <c r="S49" s="35"/>
      <c r="T49" s="35"/>
      <c r="U49" s="35"/>
      <c r="V49" s="35"/>
      <c r="W49" s="35"/>
      <c r="X49" s="35"/>
      <c r="Y49" s="35"/>
      <c r="Z49" s="35"/>
    </row>
    <row r="50" ht="14.25" customHeight="1">
      <c r="A50" s="221"/>
      <c r="B50" s="231"/>
      <c r="C50" s="211"/>
      <c r="D50" s="212"/>
      <c r="E50" s="213"/>
      <c r="F50" s="214"/>
      <c r="G50" s="214"/>
      <c r="H50" s="230"/>
      <c r="I50" s="36">
        <f t="shared" si="1"/>
        <v>0</v>
      </c>
      <c r="J50" s="37">
        <f t="shared" si="2"/>
        <v>0</v>
      </c>
      <c r="K50" s="38">
        <f t="shared" si="3"/>
        <v>0</v>
      </c>
      <c r="L50" s="39">
        <f t="shared" si="4"/>
        <v>0</v>
      </c>
      <c r="M50" s="38">
        <f t="shared" si="5"/>
        <v>0</v>
      </c>
      <c r="N50" s="39">
        <f t="shared" si="6"/>
        <v>0</v>
      </c>
      <c r="O50" s="40"/>
      <c r="P50" s="34"/>
      <c r="Q50" s="35"/>
      <c r="R50" s="35"/>
      <c r="S50" s="35"/>
      <c r="T50" s="35"/>
      <c r="U50" s="35"/>
      <c r="V50" s="35"/>
      <c r="W50" s="35"/>
      <c r="X50" s="35"/>
      <c r="Y50" s="35"/>
      <c r="Z50" s="35"/>
    </row>
    <row r="51" ht="14.25" customHeight="1">
      <c r="A51" s="221"/>
      <c r="B51" s="231"/>
      <c r="C51" s="211"/>
      <c r="D51" s="212"/>
      <c r="E51" s="213"/>
      <c r="F51" s="214"/>
      <c r="G51" s="214"/>
      <c r="H51" s="230"/>
      <c r="I51" s="36">
        <f t="shared" si="1"/>
        <v>0</v>
      </c>
      <c r="J51" s="37">
        <f t="shared" si="2"/>
        <v>0</v>
      </c>
      <c r="K51" s="38">
        <f t="shared" si="3"/>
        <v>0</v>
      </c>
      <c r="L51" s="39">
        <f t="shared" si="4"/>
        <v>0</v>
      </c>
      <c r="M51" s="38">
        <f t="shared" si="5"/>
        <v>0</v>
      </c>
      <c r="N51" s="39">
        <f t="shared" si="6"/>
        <v>0</v>
      </c>
      <c r="O51" s="40"/>
      <c r="P51" s="34"/>
      <c r="Q51" s="35"/>
      <c r="R51" s="35"/>
      <c r="S51" s="35"/>
      <c r="T51" s="35"/>
      <c r="U51" s="35"/>
      <c r="V51" s="35"/>
      <c r="W51" s="35"/>
      <c r="X51" s="35"/>
      <c r="Y51" s="35"/>
      <c r="Z51" s="35"/>
    </row>
    <row r="52" ht="14.25" customHeight="1">
      <c r="A52" s="221"/>
      <c r="B52" s="231"/>
      <c r="C52" s="211"/>
      <c r="D52" s="212"/>
      <c r="E52" s="213"/>
      <c r="F52" s="214"/>
      <c r="G52" s="214"/>
      <c r="H52" s="230"/>
      <c r="I52" s="36">
        <f t="shared" si="1"/>
        <v>0</v>
      </c>
      <c r="J52" s="37">
        <f t="shared" si="2"/>
        <v>0</v>
      </c>
      <c r="K52" s="38">
        <f t="shared" si="3"/>
        <v>0</v>
      </c>
      <c r="L52" s="39">
        <f t="shared" si="4"/>
        <v>0</v>
      </c>
      <c r="M52" s="38">
        <f t="shared" si="5"/>
        <v>0</v>
      </c>
      <c r="N52" s="39">
        <f t="shared" si="6"/>
        <v>0</v>
      </c>
      <c r="O52" s="40"/>
      <c r="P52" s="34"/>
      <c r="Q52" s="35"/>
      <c r="R52" s="35"/>
      <c r="S52" s="35"/>
      <c r="T52" s="35"/>
      <c r="U52" s="35"/>
      <c r="V52" s="35"/>
      <c r="W52" s="35"/>
      <c r="X52" s="35"/>
      <c r="Y52" s="35"/>
      <c r="Z52" s="35"/>
    </row>
    <row r="53" ht="14.25" customHeight="1">
      <c r="A53" s="221"/>
      <c r="B53" s="231"/>
      <c r="C53" s="233"/>
      <c r="D53" s="212"/>
      <c r="E53" s="234"/>
      <c r="F53" s="235"/>
      <c r="G53" s="235"/>
      <c r="H53" s="230"/>
      <c r="I53" s="36">
        <f t="shared" si="1"/>
        <v>0</v>
      </c>
      <c r="J53" s="37">
        <f t="shared" si="2"/>
        <v>0</v>
      </c>
      <c r="K53" s="38">
        <f t="shared" si="3"/>
        <v>0</v>
      </c>
      <c r="L53" s="39">
        <f t="shared" si="4"/>
        <v>0</v>
      </c>
      <c r="M53" s="38">
        <f t="shared" si="5"/>
        <v>0</v>
      </c>
      <c r="N53" s="39">
        <f t="shared" si="6"/>
        <v>0</v>
      </c>
      <c r="O53" s="40"/>
      <c r="P53" s="34"/>
      <c r="Q53" s="35"/>
      <c r="R53" s="35"/>
      <c r="S53" s="35"/>
      <c r="T53" s="35"/>
      <c r="U53" s="35"/>
      <c r="V53" s="35"/>
      <c r="W53" s="35"/>
      <c r="X53" s="35"/>
      <c r="Y53" s="35"/>
      <c r="Z53" s="35"/>
    </row>
    <row r="54" ht="14.25" customHeight="1">
      <c r="A54" s="221"/>
      <c r="B54" s="231"/>
      <c r="C54" s="233"/>
      <c r="D54" s="212"/>
      <c r="E54" s="213"/>
      <c r="F54" s="214"/>
      <c r="G54" s="214"/>
      <c r="H54" s="230"/>
      <c r="I54" s="36">
        <f t="shared" si="1"/>
        <v>0</v>
      </c>
      <c r="J54" s="37">
        <f t="shared" si="2"/>
        <v>0</v>
      </c>
      <c r="K54" s="38">
        <f t="shared" si="3"/>
        <v>0</v>
      </c>
      <c r="L54" s="39">
        <f t="shared" si="4"/>
        <v>0</v>
      </c>
      <c r="M54" s="38">
        <f t="shared" si="5"/>
        <v>0</v>
      </c>
      <c r="N54" s="39">
        <f t="shared" si="6"/>
        <v>0</v>
      </c>
      <c r="O54" s="40"/>
      <c r="P54" s="34"/>
      <c r="Q54" s="35"/>
      <c r="R54" s="35"/>
      <c r="S54" s="35"/>
      <c r="T54" s="35"/>
      <c r="U54" s="35"/>
      <c r="V54" s="35"/>
      <c r="W54" s="35"/>
      <c r="X54" s="35"/>
      <c r="Y54" s="35"/>
      <c r="Z54" s="35"/>
    </row>
    <row r="55" ht="14.25" customHeight="1">
      <c r="A55" s="221"/>
      <c r="B55" s="231"/>
      <c r="C55" s="233"/>
      <c r="D55" s="212"/>
      <c r="E55" s="213"/>
      <c r="F55" s="214"/>
      <c r="G55" s="214"/>
      <c r="H55" s="230"/>
      <c r="I55" s="36">
        <f t="shared" si="1"/>
        <v>0</v>
      </c>
      <c r="J55" s="37">
        <f t="shared" si="2"/>
        <v>0</v>
      </c>
      <c r="K55" s="38">
        <f t="shared" si="3"/>
        <v>0</v>
      </c>
      <c r="L55" s="39">
        <f t="shared" si="4"/>
        <v>0</v>
      </c>
      <c r="M55" s="38">
        <f t="shared" si="5"/>
        <v>0</v>
      </c>
      <c r="N55" s="39">
        <f t="shared" si="6"/>
        <v>0</v>
      </c>
      <c r="O55" s="40"/>
      <c r="P55" s="34"/>
      <c r="Q55" s="35"/>
      <c r="R55" s="35"/>
      <c r="S55" s="35"/>
      <c r="T55" s="35"/>
      <c r="U55" s="35"/>
      <c r="V55" s="35"/>
      <c r="W55" s="35"/>
      <c r="X55" s="35"/>
      <c r="Y55" s="35"/>
      <c r="Z55" s="35"/>
    </row>
    <row r="56" ht="14.25" customHeight="1">
      <c r="A56" s="221"/>
      <c r="B56" s="231"/>
      <c r="C56" s="233"/>
      <c r="D56" s="212"/>
      <c r="E56" s="213"/>
      <c r="F56" s="214"/>
      <c r="G56" s="214"/>
      <c r="H56" s="230"/>
      <c r="I56" s="36">
        <f t="shared" si="1"/>
        <v>0</v>
      </c>
      <c r="J56" s="37">
        <f t="shared" si="2"/>
        <v>0</v>
      </c>
      <c r="K56" s="38">
        <f t="shared" si="3"/>
        <v>0</v>
      </c>
      <c r="L56" s="39">
        <f t="shared" si="4"/>
        <v>0</v>
      </c>
      <c r="M56" s="38">
        <f t="shared" si="5"/>
        <v>0</v>
      </c>
      <c r="N56" s="39">
        <f t="shared" si="6"/>
        <v>0</v>
      </c>
      <c r="O56" s="40"/>
      <c r="P56" s="34"/>
      <c r="Q56" s="35"/>
      <c r="R56" s="35"/>
      <c r="S56" s="35"/>
      <c r="T56" s="35"/>
      <c r="U56" s="35"/>
      <c r="V56" s="35"/>
      <c r="W56" s="35"/>
      <c r="X56" s="35"/>
      <c r="Y56" s="35"/>
      <c r="Z56" s="35"/>
    </row>
    <row r="57" ht="14.25" customHeight="1">
      <c r="A57" s="221"/>
      <c r="B57" s="231"/>
      <c r="C57" s="233"/>
      <c r="D57" s="212"/>
      <c r="E57" s="213"/>
      <c r="F57" s="214"/>
      <c r="G57" s="214"/>
      <c r="H57" s="230"/>
      <c r="I57" s="36">
        <f t="shared" si="1"/>
        <v>0</v>
      </c>
      <c r="J57" s="37">
        <f t="shared" si="2"/>
        <v>0</v>
      </c>
      <c r="K57" s="38">
        <f t="shared" si="3"/>
        <v>0</v>
      </c>
      <c r="L57" s="39">
        <f t="shared" si="4"/>
        <v>0</v>
      </c>
      <c r="M57" s="38">
        <f t="shared" si="5"/>
        <v>0</v>
      </c>
      <c r="N57" s="39">
        <f t="shared" si="6"/>
        <v>0</v>
      </c>
      <c r="O57" s="40"/>
      <c r="P57" s="34"/>
      <c r="Q57" s="35"/>
      <c r="R57" s="35"/>
      <c r="S57" s="35"/>
      <c r="T57" s="35"/>
      <c r="U57" s="35"/>
      <c r="V57" s="35"/>
      <c r="W57" s="35"/>
      <c r="X57" s="35"/>
      <c r="Y57" s="35"/>
      <c r="Z57" s="35"/>
    </row>
    <row r="58" ht="14.25" customHeight="1">
      <c r="A58" s="221"/>
      <c r="B58" s="231"/>
      <c r="C58" s="233"/>
      <c r="D58" s="212"/>
      <c r="E58" s="234"/>
      <c r="F58" s="235"/>
      <c r="G58" s="235"/>
      <c r="H58" s="230"/>
      <c r="I58" s="36">
        <f t="shared" si="1"/>
        <v>0</v>
      </c>
      <c r="J58" s="37">
        <f t="shared" si="2"/>
        <v>0</v>
      </c>
      <c r="K58" s="38">
        <f t="shared" si="3"/>
        <v>0</v>
      </c>
      <c r="L58" s="39">
        <f t="shared" si="4"/>
        <v>0</v>
      </c>
      <c r="M58" s="38">
        <f t="shared" si="5"/>
        <v>0</v>
      </c>
      <c r="N58" s="39">
        <f t="shared" si="6"/>
        <v>0</v>
      </c>
      <c r="O58" s="40"/>
      <c r="P58" s="34"/>
      <c r="Q58" s="35"/>
      <c r="R58" s="35"/>
      <c r="S58" s="35"/>
      <c r="T58" s="35"/>
      <c r="U58" s="35"/>
      <c r="V58" s="35"/>
      <c r="W58" s="35"/>
      <c r="X58" s="35"/>
      <c r="Y58" s="35"/>
      <c r="Z58" s="35"/>
    </row>
    <row r="59" ht="14.25" customHeight="1">
      <c r="A59" s="221"/>
      <c r="B59" s="231"/>
      <c r="C59" s="233"/>
      <c r="D59" s="212"/>
      <c r="E59" s="213"/>
      <c r="F59" s="214"/>
      <c r="G59" s="214"/>
      <c r="H59" s="230"/>
      <c r="I59" s="36">
        <f t="shared" si="1"/>
        <v>0</v>
      </c>
      <c r="J59" s="37">
        <f t="shared" si="2"/>
        <v>0</v>
      </c>
      <c r="K59" s="38">
        <f t="shared" si="3"/>
        <v>0</v>
      </c>
      <c r="L59" s="39">
        <f t="shared" si="4"/>
        <v>0</v>
      </c>
      <c r="M59" s="38">
        <f t="shared" si="5"/>
        <v>0</v>
      </c>
      <c r="N59" s="39">
        <f t="shared" si="6"/>
        <v>0</v>
      </c>
      <c r="O59" s="40"/>
      <c r="P59" s="34"/>
      <c r="Q59" s="35"/>
      <c r="R59" s="35"/>
      <c r="S59" s="35"/>
      <c r="T59" s="35"/>
      <c r="U59" s="35"/>
      <c r="V59" s="35"/>
      <c r="W59" s="35"/>
      <c r="X59" s="35"/>
      <c r="Y59" s="35"/>
      <c r="Z59" s="35"/>
    </row>
    <row r="60" ht="14.25" customHeight="1">
      <c r="A60" s="221"/>
      <c r="B60" s="231"/>
      <c r="C60" s="233"/>
      <c r="D60" s="212"/>
      <c r="E60" s="213"/>
      <c r="F60" s="214"/>
      <c r="G60" s="214"/>
      <c r="H60" s="535"/>
      <c r="I60" s="36">
        <f t="shared" si="1"/>
        <v>0</v>
      </c>
      <c r="J60" s="37">
        <f t="shared" si="2"/>
        <v>0</v>
      </c>
      <c r="K60" s="38">
        <f t="shared" si="3"/>
        <v>0</v>
      </c>
      <c r="L60" s="39">
        <f t="shared" si="4"/>
        <v>0</v>
      </c>
      <c r="M60" s="38">
        <f t="shared" si="5"/>
        <v>0</v>
      </c>
      <c r="N60" s="39">
        <f t="shared" si="6"/>
        <v>0</v>
      </c>
      <c r="O60" s="40"/>
      <c r="P60" s="34"/>
      <c r="Q60" s="35"/>
      <c r="R60" s="35"/>
      <c r="S60" s="35"/>
      <c r="T60" s="35"/>
      <c r="U60" s="35"/>
      <c r="V60" s="35"/>
      <c r="W60" s="35"/>
      <c r="X60" s="35"/>
      <c r="Y60" s="35"/>
      <c r="Z60" s="35"/>
    </row>
    <row r="61" ht="14.25" customHeight="1">
      <c r="A61" s="221"/>
      <c r="B61" s="231"/>
      <c r="C61" s="233"/>
      <c r="D61" s="212"/>
      <c r="E61" s="213"/>
      <c r="F61" s="214"/>
      <c r="G61" s="214"/>
      <c r="H61" s="230"/>
      <c r="I61" s="36">
        <f t="shared" si="1"/>
        <v>0</v>
      </c>
      <c r="J61" s="37">
        <f t="shared" si="2"/>
        <v>0</v>
      </c>
      <c r="K61" s="38">
        <f t="shared" si="3"/>
        <v>0</v>
      </c>
      <c r="L61" s="39">
        <f t="shared" si="4"/>
        <v>0</v>
      </c>
      <c r="M61" s="38">
        <f t="shared" si="5"/>
        <v>0</v>
      </c>
      <c r="N61" s="39">
        <f t="shared" si="6"/>
        <v>0</v>
      </c>
      <c r="O61" s="40"/>
      <c r="P61" s="34"/>
      <c r="Q61" s="35"/>
      <c r="R61" s="35"/>
      <c r="S61" s="35"/>
      <c r="T61" s="35"/>
      <c r="U61" s="35"/>
      <c r="V61" s="35"/>
      <c r="W61" s="35"/>
      <c r="X61" s="35"/>
      <c r="Y61" s="35"/>
      <c r="Z61" s="35"/>
    </row>
    <row r="62" ht="14.25" customHeight="1">
      <c r="A62" s="221"/>
      <c r="B62" s="231"/>
      <c r="C62" s="233"/>
      <c r="D62" s="212"/>
      <c r="E62" s="213"/>
      <c r="F62" s="214"/>
      <c r="G62" s="214"/>
      <c r="H62" s="230"/>
      <c r="I62" s="36">
        <f t="shared" si="1"/>
        <v>0</v>
      </c>
      <c r="J62" s="37">
        <f t="shared" si="2"/>
        <v>0</v>
      </c>
      <c r="K62" s="38">
        <f t="shared" si="3"/>
        <v>0</v>
      </c>
      <c r="L62" s="39">
        <f t="shared" si="4"/>
        <v>0</v>
      </c>
      <c r="M62" s="38">
        <f t="shared" si="5"/>
        <v>0</v>
      </c>
      <c r="N62" s="39">
        <f t="shared" si="6"/>
        <v>0</v>
      </c>
      <c r="O62" s="40"/>
      <c r="P62" s="34"/>
      <c r="Q62" s="35"/>
      <c r="R62" s="35"/>
      <c r="S62" s="35"/>
      <c r="T62" s="35"/>
      <c r="U62" s="35"/>
      <c r="V62" s="35"/>
      <c r="W62" s="35"/>
      <c r="X62" s="35"/>
      <c r="Y62" s="35"/>
      <c r="Z62" s="35"/>
    </row>
    <row r="63" ht="14.25" customHeight="1">
      <c r="A63" s="221"/>
      <c r="B63" s="231"/>
      <c r="C63" s="233"/>
      <c r="D63" s="212"/>
      <c r="E63" s="213"/>
      <c r="F63" s="214"/>
      <c r="G63" s="214"/>
      <c r="H63" s="230"/>
      <c r="I63" s="36">
        <f t="shared" si="1"/>
        <v>0</v>
      </c>
      <c r="J63" s="37">
        <f t="shared" si="2"/>
        <v>0</v>
      </c>
      <c r="K63" s="38">
        <f t="shared" si="3"/>
        <v>0</v>
      </c>
      <c r="L63" s="39">
        <f t="shared" si="4"/>
        <v>0</v>
      </c>
      <c r="M63" s="38">
        <f t="shared" si="5"/>
        <v>0</v>
      </c>
      <c r="N63" s="39">
        <f t="shared" si="6"/>
        <v>0</v>
      </c>
      <c r="O63" s="40"/>
      <c r="P63" s="34"/>
      <c r="Q63" s="35"/>
      <c r="R63" s="35"/>
      <c r="S63" s="35"/>
      <c r="T63" s="35"/>
      <c r="U63" s="35"/>
      <c r="V63" s="35"/>
      <c r="W63" s="35"/>
      <c r="X63" s="35"/>
      <c r="Y63" s="35"/>
      <c r="Z63" s="35"/>
    </row>
    <row r="64" ht="14.25" customHeight="1">
      <c r="A64" s="221"/>
      <c r="B64" s="231"/>
      <c r="C64" s="233"/>
      <c r="D64" s="212"/>
      <c r="E64" s="213"/>
      <c r="F64" s="214"/>
      <c r="G64" s="214"/>
      <c r="H64" s="230"/>
      <c r="I64" s="36">
        <f t="shared" si="1"/>
        <v>0</v>
      </c>
      <c r="J64" s="37">
        <f t="shared" si="2"/>
        <v>0</v>
      </c>
      <c r="K64" s="38">
        <f t="shared" si="3"/>
        <v>0</v>
      </c>
      <c r="L64" s="39">
        <f t="shared" si="4"/>
        <v>0</v>
      </c>
      <c r="M64" s="38">
        <f t="shared" si="5"/>
        <v>0</v>
      </c>
      <c r="N64" s="39">
        <f t="shared" si="6"/>
        <v>0</v>
      </c>
      <c r="O64" s="40"/>
      <c r="P64" s="34"/>
      <c r="Q64" s="35"/>
      <c r="R64" s="35"/>
      <c r="S64" s="35"/>
      <c r="T64" s="35"/>
      <c r="U64" s="35"/>
      <c r="V64" s="35"/>
      <c r="W64" s="35"/>
      <c r="X64" s="35"/>
      <c r="Y64" s="35"/>
      <c r="Z64" s="35"/>
    </row>
    <row r="65" ht="14.25" customHeight="1">
      <c r="A65" s="221"/>
      <c r="B65" s="231"/>
      <c r="C65" s="233"/>
      <c r="D65" s="212"/>
      <c r="E65" s="213"/>
      <c r="F65" s="214"/>
      <c r="G65" s="214"/>
      <c r="H65" s="230"/>
      <c r="I65" s="36">
        <f t="shared" si="1"/>
        <v>0</v>
      </c>
      <c r="J65" s="37">
        <f t="shared" si="2"/>
        <v>0</v>
      </c>
      <c r="K65" s="38">
        <f t="shared" si="3"/>
        <v>0</v>
      </c>
      <c r="L65" s="39">
        <f t="shared" si="4"/>
        <v>0</v>
      </c>
      <c r="M65" s="38">
        <f t="shared" si="5"/>
        <v>0</v>
      </c>
      <c r="N65" s="39">
        <f t="shared" si="6"/>
        <v>0</v>
      </c>
      <c r="O65" s="40"/>
      <c r="P65" s="34"/>
      <c r="Q65" s="35"/>
      <c r="R65" s="35"/>
      <c r="S65" s="35"/>
      <c r="T65" s="35"/>
      <c r="U65" s="35"/>
      <c r="V65" s="35"/>
      <c r="W65" s="35"/>
      <c r="X65" s="35"/>
      <c r="Y65" s="35"/>
      <c r="Z65" s="35"/>
    </row>
    <row r="66" ht="14.25" customHeight="1">
      <c r="A66" s="221"/>
      <c r="B66" s="231"/>
      <c r="C66" s="233"/>
      <c r="D66" s="212"/>
      <c r="E66" s="213"/>
      <c r="F66" s="214"/>
      <c r="G66" s="214"/>
      <c r="H66" s="230"/>
      <c r="I66" s="36">
        <f t="shared" si="1"/>
        <v>0</v>
      </c>
      <c r="J66" s="37">
        <f t="shared" si="2"/>
        <v>0</v>
      </c>
      <c r="K66" s="38">
        <f t="shared" si="3"/>
        <v>0</v>
      </c>
      <c r="L66" s="39">
        <f t="shared" si="4"/>
        <v>0</v>
      </c>
      <c r="M66" s="38">
        <f t="shared" si="5"/>
        <v>0</v>
      </c>
      <c r="N66" s="39">
        <f t="shared" si="6"/>
        <v>0</v>
      </c>
      <c r="O66" s="40"/>
      <c r="P66" s="34"/>
      <c r="Q66" s="35"/>
      <c r="R66" s="35"/>
      <c r="S66" s="35"/>
      <c r="T66" s="35"/>
      <c r="U66" s="35"/>
      <c r="V66" s="35"/>
      <c r="W66" s="35"/>
      <c r="X66" s="35"/>
      <c r="Y66" s="35"/>
      <c r="Z66" s="35"/>
    </row>
    <row r="67" ht="14.25" customHeight="1">
      <c r="A67" s="221"/>
      <c r="B67" s="231"/>
      <c r="C67" s="233"/>
      <c r="D67" s="212"/>
      <c r="E67" s="213"/>
      <c r="F67" s="214"/>
      <c r="G67" s="214"/>
      <c r="H67" s="230"/>
      <c r="I67" s="36">
        <f t="shared" si="1"/>
        <v>0</v>
      </c>
      <c r="J67" s="37">
        <f t="shared" si="2"/>
        <v>0</v>
      </c>
      <c r="K67" s="38">
        <f t="shared" si="3"/>
        <v>0</v>
      </c>
      <c r="L67" s="39">
        <f t="shared" si="4"/>
        <v>0</v>
      </c>
      <c r="M67" s="38">
        <f t="shared" si="5"/>
        <v>0</v>
      </c>
      <c r="N67" s="39">
        <f t="shared" si="6"/>
        <v>0</v>
      </c>
      <c r="O67" s="40"/>
      <c r="P67" s="34"/>
      <c r="Q67" s="35"/>
      <c r="R67" s="35"/>
      <c r="S67" s="35"/>
      <c r="T67" s="35"/>
      <c r="U67" s="35"/>
      <c r="V67" s="35"/>
      <c r="W67" s="35"/>
      <c r="X67" s="35"/>
      <c r="Y67" s="35"/>
      <c r="Z67" s="35"/>
    </row>
    <row r="68" ht="14.25" customHeight="1">
      <c r="A68" s="221"/>
      <c r="B68" s="231"/>
      <c r="C68" s="233"/>
      <c r="D68" s="212"/>
      <c r="E68" s="213"/>
      <c r="F68" s="214"/>
      <c r="G68" s="214"/>
      <c r="H68" s="230"/>
      <c r="I68" s="36">
        <f t="shared" si="1"/>
        <v>0</v>
      </c>
      <c r="J68" s="37">
        <f t="shared" si="2"/>
        <v>0</v>
      </c>
      <c r="K68" s="38">
        <f t="shared" si="3"/>
        <v>0</v>
      </c>
      <c r="L68" s="39">
        <f t="shared" si="4"/>
        <v>0</v>
      </c>
      <c r="M68" s="38">
        <f t="shared" si="5"/>
        <v>0</v>
      </c>
      <c r="N68" s="39">
        <f t="shared" si="6"/>
        <v>0</v>
      </c>
      <c r="O68" s="40"/>
      <c r="P68" s="34"/>
      <c r="Q68" s="35"/>
      <c r="R68" s="35"/>
      <c r="S68" s="35"/>
      <c r="T68" s="35"/>
      <c r="U68" s="35"/>
      <c r="V68" s="35"/>
      <c r="W68" s="35"/>
      <c r="X68" s="35"/>
      <c r="Y68" s="35"/>
      <c r="Z68" s="35"/>
    </row>
    <row r="69" ht="14.25" customHeight="1">
      <c r="A69" s="221"/>
      <c r="B69" s="231"/>
      <c r="C69" s="233"/>
      <c r="D69" s="212"/>
      <c r="E69" s="213"/>
      <c r="F69" s="214"/>
      <c r="G69" s="214"/>
      <c r="H69" s="230"/>
      <c r="I69" s="36">
        <f t="shared" si="1"/>
        <v>0</v>
      </c>
      <c r="J69" s="37">
        <f t="shared" si="2"/>
        <v>0</v>
      </c>
      <c r="K69" s="38">
        <f t="shared" si="3"/>
        <v>0</v>
      </c>
      <c r="L69" s="39">
        <f t="shared" si="4"/>
        <v>0</v>
      </c>
      <c r="M69" s="38">
        <f t="shared" si="5"/>
        <v>0</v>
      </c>
      <c r="N69" s="39">
        <f t="shared" si="6"/>
        <v>0</v>
      </c>
      <c r="O69" s="40"/>
      <c r="P69" s="34"/>
      <c r="R69" s="76"/>
      <c r="S69" s="76"/>
      <c r="T69" s="76"/>
      <c r="U69" s="76"/>
      <c r="V69" s="76"/>
      <c r="W69" s="76"/>
      <c r="X69" s="76"/>
      <c r="Y69" s="76"/>
      <c r="Z69" s="76"/>
    </row>
    <row r="70" ht="14.25" customHeight="1">
      <c r="A70" s="221"/>
      <c r="B70" s="231"/>
      <c r="C70" s="233"/>
      <c r="D70" s="212"/>
      <c r="E70" s="213"/>
      <c r="F70" s="214"/>
      <c r="G70" s="214"/>
      <c r="H70" s="230"/>
      <c r="I70" s="36">
        <f t="shared" si="1"/>
        <v>0</v>
      </c>
      <c r="J70" s="37">
        <f t="shared" si="2"/>
        <v>0</v>
      </c>
      <c r="K70" s="38">
        <f t="shared" si="3"/>
        <v>0</v>
      </c>
      <c r="L70" s="39">
        <f t="shared" si="4"/>
        <v>0</v>
      </c>
      <c r="M70" s="38">
        <f t="shared" si="5"/>
        <v>0</v>
      </c>
      <c r="N70" s="39">
        <f t="shared" si="6"/>
        <v>0</v>
      </c>
      <c r="O70" s="40"/>
      <c r="P70" s="34"/>
      <c r="Q70" s="35"/>
      <c r="R70" s="35"/>
      <c r="S70" s="35"/>
      <c r="T70" s="35"/>
      <c r="U70" s="35"/>
      <c r="V70" s="35"/>
      <c r="W70" s="35"/>
      <c r="X70" s="35"/>
      <c r="Y70" s="35"/>
      <c r="Z70" s="35"/>
    </row>
    <row r="71" ht="14.25" customHeight="1">
      <c r="A71" s="221"/>
      <c r="B71" s="231"/>
      <c r="C71" s="233"/>
      <c r="D71" s="212"/>
      <c r="E71" s="213"/>
      <c r="F71" s="214"/>
      <c r="G71" s="214"/>
      <c r="H71" s="230"/>
      <c r="I71" s="36">
        <f t="shared" si="1"/>
        <v>0</v>
      </c>
      <c r="J71" s="37">
        <f t="shared" si="2"/>
        <v>0</v>
      </c>
      <c r="K71" s="38">
        <f t="shared" si="3"/>
        <v>0</v>
      </c>
      <c r="L71" s="39">
        <f t="shared" si="4"/>
        <v>0</v>
      </c>
      <c r="M71" s="38">
        <f t="shared" si="5"/>
        <v>0</v>
      </c>
      <c r="N71" s="39">
        <f t="shared" si="6"/>
        <v>0</v>
      </c>
      <c r="O71" s="40"/>
      <c r="P71" s="34"/>
      <c r="R71" s="76"/>
      <c r="S71" s="76"/>
      <c r="T71" s="76"/>
      <c r="U71" s="76"/>
      <c r="V71" s="76"/>
      <c r="W71" s="76"/>
      <c r="X71" s="76"/>
      <c r="Y71" s="76"/>
      <c r="Z71" s="76"/>
    </row>
    <row r="72" ht="14.25" customHeight="1">
      <c r="A72" s="221"/>
      <c r="B72" s="231"/>
      <c r="C72" s="233"/>
      <c r="D72" s="212"/>
      <c r="E72" s="213"/>
      <c r="F72" s="214"/>
      <c r="G72" s="214"/>
      <c r="H72" s="230"/>
      <c r="I72" s="36">
        <f t="shared" si="1"/>
        <v>0</v>
      </c>
      <c r="J72" s="37">
        <f t="shared" si="2"/>
        <v>0</v>
      </c>
      <c r="K72" s="38">
        <f t="shared" si="3"/>
        <v>0</v>
      </c>
      <c r="L72" s="39">
        <f t="shared" si="4"/>
        <v>0</v>
      </c>
      <c r="M72" s="38">
        <f t="shared" si="5"/>
        <v>0</v>
      </c>
      <c r="N72" s="39">
        <f t="shared" si="6"/>
        <v>0</v>
      </c>
      <c r="O72" s="40"/>
      <c r="P72" s="34"/>
      <c r="Q72" s="35"/>
      <c r="R72" s="35"/>
      <c r="S72" s="35"/>
      <c r="T72" s="35"/>
      <c r="U72" s="35"/>
      <c r="V72" s="35"/>
      <c r="W72" s="35"/>
      <c r="X72" s="35"/>
      <c r="Y72" s="35"/>
      <c r="Z72" s="35"/>
    </row>
    <row r="73" ht="14.25" customHeight="1">
      <c r="A73" s="221"/>
      <c r="B73" s="231"/>
      <c r="C73" s="233"/>
      <c r="D73" s="212"/>
      <c r="E73" s="213"/>
      <c r="F73" s="214"/>
      <c r="G73" s="214"/>
      <c r="H73" s="230"/>
      <c r="I73" s="36">
        <f t="shared" si="1"/>
        <v>0</v>
      </c>
      <c r="J73" s="37">
        <f t="shared" si="2"/>
        <v>0</v>
      </c>
      <c r="K73" s="38">
        <f t="shared" si="3"/>
        <v>0</v>
      </c>
      <c r="L73" s="39">
        <f t="shared" si="4"/>
        <v>0</v>
      </c>
      <c r="M73" s="38">
        <f t="shared" si="5"/>
        <v>0</v>
      </c>
      <c r="N73" s="39">
        <f t="shared" si="6"/>
        <v>0</v>
      </c>
      <c r="O73" s="40"/>
      <c r="P73" s="34"/>
      <c r="Q73" s="35"/>
      <c r="R73" s="35"/>
      <c r="S73" s="35"/>
      <c r="T73" s="35"/>
      <c r="U73" s="35"/>
      <c r="V73" s="35"/>
      <c r="W73" s="35"/>
      <c r="X73" s="35"/>
      <c r="Y73" s="35"/>
      <c r="Z73" s="35"/>
    </row>
    <row r="74" ht="14.25" customHeight="1">
      <c r="A74" s="221"/>
      <c r="B74" s="231"/>
      <c r="C74" s="233"/>
      <c r="D74" s="212"/>
      <c r="E74" s="213"/>
      <c r="F74" s="214"/>
      <c r="G74" s="214"/>
      <c r="H74" s="230"/>
      <c r="I74" s="36">
        <f t="shared" si="1"/>
        <v>0</v>
      </c>
      <c r="J74" s="37">
        <f t="shared" si="2"/>
        <v>0</v>
      </c>
      <c r="K74" s="38">
        <f t="shared" si="3"/>
        <v>0</v>
      </c>
      <c r="L74" s="39">
        <f t="shared" si="4"/>
        <v>0</v>
      </c>
      <c r="M74" s="38">
        <f t="shared" si="5"/>
        <v>0</v>
      </c>
      <c r="N74" s="39">
        <f t="shared" si="6"/>
        <v>0</v>
      </c>
      <c r="O74" s="40"/>
      <c r="P74" s="34"/>
      <c r="Q74" s="35"/>
      <c r="R74" s="35"/>
      <c r="S74" s="35"/>
      <c r="T74" s="35"/>
      <c r="U74" s="35"/>
      <c r="V74" s="35"/>
      <c r="W74" s="35"/>
      <c r="X74" s="35"/>
      <c r="Y74" s="35"/>
      <c r="Z74" s="35"/>
    </row>
    <row r="75" ht="14.25" customHeight="1">
      <c r="A75" s="221"/>
      <c r="B75" s="231"/>
      <c r="C75" s="233"/>
      <c r="D75" s="212"/>
      <c r="E75" s="213"/>
      <c r="F75" s="214"/>
      <c r="G75" s="214"/>
      <c r="H75" s="230"/>
      <c r="I75" s="36">
        <f t="shared" si="1"/>
        <v>0</v>
      </c>
      <c r="J75" s="37">
        <f t="shared" si="2"/>
        <v>0</v>
      </c>
      <c r="K75" s="38">
        <f t="shared" si="3"/>
        <v>0</v>
      </c>
      <c r="L75" s="39">
        <f t="shared" si="4"/>
        <v>0</v>
      </c>
      <c r="M75" s="38">
        <f t="shared" si="5"/>
        <v>0</v>
      </c>
      <c r="N75" s="39">
        <f t="shared" si="6"/>
        <v>0</v>
      </c>
      <c r="O75" s="40"/>
      <c r="P75" s="34"/>
      <c r="Q75" s="35"/>
      <c r="R75" s="35"/>
      <c r="S75" s="35"/>
      <c r="T75" s="35"/>
      <c r="U75" s="35"/>
      <c r="V75" s="35"/>
      <c r="W75" s="35"/>
      <c r="X75" s="35"/>
      <c r="Y75" s="35"/>
      <c r="Z75" s="35"/>
    </row>
    <row r="76" ht="14.25" customHeight="1">
      <c r="A76" s="221"/>
      <c r="B76" s="231"/>
      <c r="C76" s="233"/>
      <c r="D76" s="212"/>
      <c r="E76" s="213"/>
      <c r="F76" s="214"/>
      <c r="G76" s="214"/>
      <c r="H76" s="523"/>
      <c r="I76" s="36">
        <f t="shared" si="1"/>
        <v>0</v>
      </c>
      <c r="J76" s="37">
        <f t="shared" si="2"/>
        <v>0</v>
      </c>
      <c r="K76" s="38">
        <f t="shared" si="3"/>
        <v>0</v>
      </c>
      <c r="L76" s="39">
        <f t="shared" si="4"/>
        <v>0</v>
      </c>
      <c r="M76" s="38">
        <f t="shared" si="5"/>
        <v>0</v>
      </c>
      <c r="N76" s="39">
        <f t="shared" si="6"/>
        <v>0</v>
      </c>
      <c r="O76" s="40"/>
      <c r="P76" s="34"/>
      <c r="Q76" s="35"/>
      <c r="R76" s="35"/>
      <c r="S76" s="35"/>
      <c r="T76" s="35"/>
      <c r="U76" s="35"/>
      <c r="V76" s="35"/>
      <c r="W76" s="35"/>
      <c r="X76" s="35"/>
      <c r="Y76" s="35"/>
      <c r="Z76" s="35"/>
    </row>
    <row r="77" ht="14.25" customHeight="1">
      <c r="A77" s="221"/>
      <c r="B77" s="231"/>
      <c r="C77" s="233"/>
      <c r="D77" s="212"/>
      <c r="E77" s="213"/>
      <c r="F77" s="214"/>
      <c r="G77" s="214"/>
      <c r="H77" s="523"/>
      <c r="I77" s="36">
        <f t="shared" si="1"/>
        <v>0</v>
      </c>
      <c r="J77" s="37">
        <f t="shared" si="2"/>
        <v>0</v>
      </c>
      <c r="K77" s="38">
        <f t="shared" si="3"/>
        <v>0</v>
      </c>
      <c r="L77" s="39">
        <f t="shared" si="4"/>
        <v>0</v>
      </c>
      <c r="M77" s="38">
        <f t="shared" si="5"/>
        <v>0</v>
      </c>
      <c r="N77" s="39">
        <f t="shared" si="6"/>
        <v>0</v>
      </c>
      <c r="O77" s="40"/>
      <c r="P77" s="34"/>
      <c r="Q77" s="35"/>
      <c r="R77" s="35"/>
      <c r="S77" s="35"/>
      <c r="T77" s="35"/>
      <c r="U77" s="35"/>
      <c r="V77" s="35"/>
      <c r="W77" s="35"/>
      <c r="X77" s="35"/>
      <c r="Y77" s="35"/>
      <c r="Z77" s="35"/>
    </row>
    <row r="78" ht="14.25" customHeight="1">
      <c r="A78" s="221"/>
      <c r="B78" s="231"/>
      <c r="C78" s="233"/>
      <c r="D78" s="212"/>
      <c r="E78" s="213"/>
      <c r="F78" s="214"/>
      <c r="G78" s="214"/>
      <c r="H78" s="523"/>
      <c r="I78" s="36">
        <f t="shared" si="1"/>
        <v>0</v>
      </c>
      <c r="J78" s="37">
        <f t="shared" si="2"/>
        <v>0</v>
      </c>
      <c r="K78" s="38">
        <f t="shared" si="3"/>
        <v>0</v>
      </c>
      <c r="L78" s="39">
        <f t="shared" si="4"/>
        <v>0</v>
      </c>
      <c r="M78" s="38">
        <f t="shared" si="5"/>
        <v>0</v>
      </c>
      <c r="N78" s="39">
        <f t="shared" si="6"/>
        <v>0</v>
      </c>
      <c r="O78" s="40"/>
      <c r="P78" s="34"/>
      <c r="Q78" s="35"/>
      <c r="R78" s="35"/>
      <c r="S78" s="35"/>
      <c r="T78" s="35"/>
      <c r="U78" s="35"/>
      <c r="V78" s="35"/>
      <c r="W78" s="35"/>
      <c r="X78" s="35"/>
      <c r="Y78" s="35"/>
      <c r="Z78" s="35"/>
    </row>
    <row r="79" ht="14.25" customHeight="1">
      <c r="A79" s="221"/>
      <c r="B79" s="231"/>
      <c r="C79" s="233"/>
      <c r="D79" s="212"/>
      <c r="E79" s="213"/>
      <c r="F79" s="214"/>
      <c r="G79" s="214"/>
      <c r="H79" s="523"/>
      <c r="I79" s="36">
        <f t="shared" si="1"/>
        <v>0</v>
      </c>
      <c r="J79" s="37">
        <f t="shared" si="2"/>
        <v>0</v>
      </c>
      <c r="K79" s="38">
        <f t="shared" si="3"/>
        <v>0</v>
      </c>
      <c r="L79" s="39">
        <f t="shared" si="4"/>
        <v>0</v>
      </c>
      <c r="M79" s="38">
        <f t="shared" si="5"/>
        <v>0</v>
      </c>
      <c r="N79" s="39">
        <f t="shared" si="6"/>
        <v>0</v>
      </c>
      <c r="O79" s="40"/>
      <c r="P79" s="34"/>
      <c r="Q79" s="35"/>
      <c r="R79" s="35"/>
      <c r="S79" s="35"/>
      <c r="T79" s="35"/>
      <c r="U79" s="35"/>
      <c r="V79" s="35"/>
      <c r="W79" s="35"/>
      <c r="X79" s="35"/>
      <c r="Y79" s="35"/>
      <c r="Z79" s="35"/>
    </row>
    <row r="80" ht="14.25" customHeight="1">
      <c r="A80" s="221"/>
      <c r="B80" s="231"/>
      <c r="C80" s="233"/>
      <c r="D80" s="212"/>
      <c r="E80" s="213"/>
      <c r="F80" s="214"/>
      <c r="G80" s="214"/>
      <c r="H80" s="523"/>
      <c r="I80" s="36">
        <f t="shared" si="1"/>
        <v>0</v>
      </c>
      <c r="J80" s="37">
        <f t="shared" si="2"/>
        <v>0</v>
      </c>
      <c r="K80" s="38">
        <f t="shared" si="3"/>
        <v>0</v>
      </c>
      <c r="L80" s="39">
        <f t="shared" si="4"/>
        <v>0</v>
      </c>
      <c r="M80" s="38">
        <f t="shared" si="5"/>
        <v>0</v>
      </c>
      <c r="N80" s="39">
        <f t="shared" si="6"/>
        <v>0</v>
      </c>
      <c r="O80" s="40"/>
      <c r="P80" s="34"/>
      <c r="Q80" s="35"/>
      <c r="R80" s="35"/>
      <c r="S80" s="35"/>
      <c r="T80" s="35"/>
      <c r="U80" s="35"/>
      <c r="V80" s="35"/>
      <c r="W80" s="35"/>
      <c r="X80" s="35"/>
      <c r="Y80" s="35"/>
      <c r="Z80" s="35"/>
    </row>
    <row r="81" ht="14.25" customHeight="1">
      <c r="A81" s="221"/>
      <c r="B81" s="231"/>
      <c r="C81" s="233"/>
      <c r="D81" s="212"/>
      <c r="E81" s="213"/>
      <c r="F81" s="214"/>
      <c r="G81" s="214"/>
      <c r="H81" s="523"/>
      <c r="I81" s="36">
        <f t="shared" si="1"/>
        <v>0</v>
      </c>
      <c r="J81" s="37">
        <f t="shared" si="2"/>
        <v>0</v>
      </c>
      <c r="K81" s="38">
        <f t="shared" si="3"/>
        <v>0</v>
      </c>
      <c r="L81" s="39">
        <f t="shared" si="4"/>
        <v>0</v>
      </c>
      <c r="M81" s="38">
        <f t="shared" si="5"/>
        <v>0</v>
      </c>
      <c r="N81" s="39">
        <f t="shared" si="6"/>
        <v>0</v>
      </c>
      <c r="O81" s="40"/>
      <c r="P81" s="34"/>
      <c r="Q81" s="35"/>
      <c r="R81" s="35"/>
      <c r="S81" s="35"/>
      <c r="T81" s="35"/>
      <c r="U81" s="35"/>
      <c r="V81" s="35"/>
      <c r="W81" s="35"/>
      <c r="X81" s="35"/>
      <c r="Y81" s="35"/>
      <c r="Z81" s="35"/>
    </row>
    <row r="82" ht="14.25" customHeight="1">
      <c r="A82" s="221"/>
      <c r="B82" s="231"/>
      <c r="C82" s="233"/>
      <c r="D82" s="212"/>
      <c r="E82" s="213"/>
      <c r="F82" s="214"/>
      <c r="G82" s="214"/>
      <c r="H82" s="523"/>
      <c r="I82" s="36">
        <f t="shared" si="1"/>
        <v>0</v>
      </c>
      <c r="J82" s="37">
        <f t="shared" si="2"/>
        <v>0</v>
      </c>
      <c r="K82" s="38">
        <f t="shared" si="3"/>
        <v>0</v>
      </c>
      <c r="L82" s="39">
        <f t="shared" si="4"/>
        <v>0</v>
      </c>
      <c r="M82" s="38">
        <f t="shared" si="5"/>
        <v>0</v>
      </c>
      <c r="N82" s="39">
        <f t="shared" si="6"/>
        <v>0</v>
      </c>
      <c r="O82" s="40"/>
      <c r="P82" s="34"/>
      <c r="Q82" s="35"/>
      <c r="R82" s="35"/>
      <c r="S82" s="35"/>
      <c r="T82" s="35"/>
      <c r="U82" s="35"/>
      <c r="V82" s="35"/>
      <c r="W82" s="35"/>
      <c r="X82" s="35"/>
      <c r="Y82" s="35"/>
      <c r="Z82" s="35"/>
    </row>
    <row r="83" ht="14.25" customHeight="1">
      <c r="A83" s="221"/>
      <c r="B83" s="231"/>
      <c r="C83" s="233"/>
      <c r="D83" s="212"/>
      <c r="E83" s="213"/>
      <c r="F83" s="214"/>
      <c r="G83" s="214"/>
      <c r="H83" s="523"/>
      <c r="I83" s="36">
        <f t="shared" si="1"/>
        <v>0</v>
      </c>
      <c r="J83" s="37">
        <f t="shared" si="2"/>
        <v>0</v>
      </c>
      <c r="K83" s="38">
        <f t="shared" si="3"/>
        <v>0</v>
      </c>
      <c r="L83" s="39">
        <f t="shared" si="4"/>
        <v>0</v>
      </c>
      <c r="M83" s="38">
        <f t="shared" si="5"/>
        <v>0</v>
      </c>
      <c r="N83" s="39">
        <f t="shared" si="6"/>
        <v>0</v>
      </c>
      <c r="O83" s="40"/>
      <c r="P83" s="34"/>
      <c r="Q83" s="35"/>
      <c r="R83" s="35"/>
      <c r="S83" s="35"/>
      <c r="T83" s="35"/>
      <c r="U83" s="35"/>
      <c r="V83" s="35"/>
      <c r="W83" s="35"/>
      <c r="X83" s="35"/>
      <c r="Y83" s="35"/>
      <c r="Z83" s="35"/>
    </row>
    <row r="84" ht="14.25" customHeight="1">
      <c r="A84" s="221"/>
      <c r="B84" s="231"/>
      <c r="C84" s="233"/>
      <c r="D84" s="212"/>
      <c r="E84" s="213"/>
      <c r="F84" s="214"/>
      <c r="G84" s="214"/>
      <c r="H84" s="523"/>
      <c r="I84" s="36">
        <f t="shared" si="1"/>
        <v>0</v>
      </c>
      <c r="J84" s="37">
        <f t="shared" si="2"/>
        <v>0</v>
      </c>
      <c r="K84" s="38">
        <f t="shared" si="3"/>
        <v>0</v>
      </c>
      <c r="L84" s="39">
        <f t="shared" si="4"/>
        <v>0</v>
      </c>
      <c r="M84" s="38">
        <f t="shared" si="5"/>
        <v>0</v>
      </c>
      <c r="N84" s="39">
        <f t="shared" si="6"/>
        <v>0</v>
      </c>
      <c r="O84" s="40"/>
      <c r="P84" s="34"/>
      <c r="Q84" s="35"/>
      <c r="R84" s="35"/>
      <c r="S84" s="35"/>
      <c r="T84" s="35"/>
      <c r="U84" s="35"/>
      <c r="V84" s="35"/>
      <c r="W84" s="35"/>
      <c r="X84" s="35"/>
      <c r="Y84" s="35"/>
      <c r="Z84" s="35"/>
    </row>
    <row r="85" ht="14.25" customHeight="1">
      <c r="A85" s="221"/>
      <c r="B85" s="231"/>
      <c r="C85" s="233"/>
      <c r="D85" s="212"/>
      <c r="E85" s="213"/>
      <c r="F85" s="214"/>
      <c r="G85" s="214"/>
      <c r="H85" s="523"/>
      <c r="I85" s="36">
        <f t="shared" si="1"/>
        <v>0</v>
      </c>
      <c r="J85" s="37">
        <f t="shared" si="2"/>
        <v>0</v>
      </c>
      <c r="K85" s="38">
        <f t="shared" si="3"/>
        <v>0</v>
      </c>
      <c r="L85" s="39">
        <f t="shared" si="4"/>
        <v>0</v>
      </c>
      <c r="M85" s="38">
        <f t="shared" si="5"/>
        <v>0</v>
      </c>
      <c r="N85" s="39">
        <f t="shared" si="6"/>
        <v>0</v>
      </c>
      <c r="O85" s="40"/>
      <c r="P85" s="34"/>
      <c r="Q85" s="35"/>
      <c r="R85" s="35"/>
      <c r="S85" s="35"/>
      <c r="T85" s="35"/>
      <c r="U85" s="35"/>
      <c r="V85" s="35"/>
      <c r="W85" s="35"/>
      <c r="X85" s="35"/>
      <c r="Y85" s="35"/>
      <c r="Z85" s="35"/>
    </row>
    <row r="86" ht="14.25" customHeight="1">
      <c r="A86" s="221"/>
      <c r="B86" s="231"/>
      <c r="C86" s="233"/>
      <c r="D86" s="212"/>
      <c r="E86" s="213"/>
      <c r="F86" s="214"/>
      <c r="G86" s="214"/>
      <c r="H86" s="523"/>
      <c r="I86" s="36">
        <f t="shared" si="1"/>
        <v>0</v>
      </c>
      <c r="J86" s="37">
        <f t="shared" si="2"/>
        <v>0</v>
      </c>
      <c r="K86" s="38">
        <f t="shared" si="3"/>
        <v>0</v>
      </c>
      <c r="L86" s="39">
        <f t="shared" si="4"/>
        <v>0</v>
      </c>
      <c r="M86" s="38">
        <f t="shared" si="5"/>
        <v>0</v>
      </c>
      <c r="N86" s="39">
        <f t="shared" si="6"/>
        <v>0</v>
      </c>
      <c r="O86" s="40"/>
      <c r="P86" s="78"/>
      <c r="Q86" s="76"/>
      <c r="R86" s="76"/>
      <c r="S86" s="76"/>
      <c r="T86" s="76"/>
      <c r="U86" s="76"/>
      <c r="V86" s="76"/>
      <c r="W86" s="76"/>
      <c r="X86" s="76"/>
      <c r="Y86" s="76"/>
      <c r="Z86" s="76"/>
    </row>
    <row r="87" ht="14.25" customHeight="1">
      <c r="A87" s="221"/>
      <c r="B87" s="231"/>
      <c r="C87" s="233"/>
      <c r="D87" s="212"/>
      <c r="E87" s="213"/>
      <c r="F87" s="214"/>
      <c r="G87" s="214"/>
      <c r="H87" s="523"/>
      <c r="I87" s="36">
        <f t="shared" si="1"/>
        <v>0</v>
      </c>
      <c r="J87" s="37">
        <f t="shared" si="2"/>
        <v>0</v>
      </c>
      <c r="K87" s="38">
        <f t="shared" si="3"/>
        <v>0</v>
      </c>
      <c r="L87" s="39">
        <f t="shared" si="4"/>
        <v>0</v>
      </c>
      <c r="M87" s="38">
        <f t="shared" si="5"/>
        <v>0</v>
      </c>
      <c r="N87" s="39">
        <f t="shared" si="6"/>
        <v>0</v>
      </c>
      <c r="O87" s="40"/>
      <c r="P87" s="78"/>
      <c r="Q87" s="35"/>
      <c r="R87" s="35"/>
      <c r="S87" s="35"/>
      <c r="T87" s="35"/>
      <c r="U87" s="35"/>
      <c r="V87" s="35"/>
      <c r="W87" s="35"/>
      <c r="X87" s="35"/>
      <c r="Y87" s="35"/>
      <c r="Z87" s="35"/>
    </row>
    <row r="88" ht="14.25" customHeight="1">
      <c r="A88" s="221"/>
      <c r="B88" s="231"/>
      <c r="C88" s="233"/>
      <c r="D88" s="212"/>
      <c r="E88" s="213"/>
      <c r="F88" s="214"/>
      <c r="G88" s="214"/>
      <c r="H88" s="523"/>
      <c r="I88" s="36">
        <f t="shared" si="1"/>
        <v>0</v>
      </c>
      <c r="J88" s="37">
        <f t="shared" si="2"/>
        <v>0</v>
      </c>
      <c r="K88" s="38">
        <f t="shared" si="3"/>
        <v>0</v>
      </c>
      <c r="L88" s="39">
        <f t="shared" si="4"/>
        <v>0</v>
      </c>
      <c r="M88" s="38">
        <f t="shared" si="5"/>
        <v>0</v>
      </c>
      <c r="N88" s="39">
        <f t="shared" si="6"/>
        <v>0</v>
      </c>
      <c r="O88" s="40"/>
      <c r="P88" s="78"/>
      <c r="Q88" s="35"/>
      <c r="R88" s="35"/>
      <c r="S88" s="35"/>
      <c r="T88" s="35"/>
      <c r="U88" s="35"/>
      <c r="V88" s="35"/>
      <c r="W88" s="35"/>
      <c r="X88" s="35"/>
      <c r="Y88" s="35"/>
      <c r="Z88" s="35"/>
    </row>
    <row r="89" ht="14.25" customHeight="1">
      <c r="A89" s="221"/>
      <c r="B89" s="231"/>
      <c r="C89" s="233"/>
      <c r="D89" s="212"/>
      <c r="E89" s="213"/>
      <c r="F89" s="214"/>
      <c r="G89" s="214"/>
      <c r="H89" s="523"/>
      <c r="I89" s="36">
        <f t="shared" si="1"/>
        <v>0</v>
      </c>
      <c r="J89" s="37">
        <f t="shared" si="2"/>
        <v>0</v>
      </c>
      <c r="K89" s="38">
        <f t="shared" si="3"/>
        <v>0</v>
      </c>
      <c r="L89" s="39">
        <f t="shared" si="4"/>
        <v>0</v>
      </c>
      <c r="M89" s="38">
        <f t="shared" si="5"/>
        <v>0</v>
      </c>
      <c r="N89" s="39">
        <f t="shared" si="6"/>
        <v>0</v>
      </c>
      <c r="O89" s="40"/>
      <c r="P89" s="34"/>
      <c r="Q89" s="35"/>
      <c r="R89" s="35"/>
      <c r="S89" s="35"/>
      <c r="T89" s="35"/>
      <c r="U89" s="35"/>
      <c r="V89" s="35"/>
      <c r="W89" s="35"/>
      <c r="X89" s="35"/>
      <c r="Y89" s="35"/>
      <c r="Z89" s="35"/>
    </row>
    <row r="90" ht="14.25" customHeight="1">
      <c r="A90" s="221"/>
      <c r="B90" s="231"/>
      <c r="C90" s="233"/>
      <c r="D90" s="212"/>
      <c r="E90" s="213"/>
      <c r="F90" s="214"/>
      <c r="G90" s="214"/>
      <c r="H90" s="523"/>
      <c r="I90" s="36">
        <f t="shared" si="1"/>
        <v>0</v>
      </c>
      <c r="J90" s="37">
        <f t="shared" si="2"/>
        <v>0</v>
      </c>
      <c r="K90" s="38">
        <f t="shared" si="3"/>
        <v>0</v>
      </c>
      <c r="L90" s="39">
        <f t="shared" si="4"/>
        <v>0</v>
      </c>
      <c r="M90" s="38">
        <f t="shared" si="5"/>
        <v>0</v>
      </c>
      <c r="N90" s="39">
        <f t="shared" si="6"/>
        <v>0</v>
      </c>
      <c r="O90" s="40"/>
      <c r="P90" s="78"/>
      <c r="Q90" s="35"/>
      <c r="R90" s="35"/>
      <c r="S90" s="35"/>
      <c r="T90" s="35"/>
      <c r="U90" s="35"/>
      <c r="V90" s="35"/>
      <c r="W90" s="35"/>
      <c r="X90" s="35"/>
      <c r="Y90" s="35"/>
      <c r="Z90" s="35"/>
    </row>
    <row r="91" ht="14.25" customHeight="1">
      <c r="A91" s="221"/>
      <c r="B91" s="231"/>
      <c r="C91" s="233"/>
      <c r="D91" s="212"/>
      <c r="E91" s="213"/>
      <c r="F91" s="214"/>
      <c r="G91" s="214"/>
      <c r="H91" s="523"/>
      <c r="I91" s="36">
        <f t="shared" si="1"/>
        <v>0</v>
      </c>
      <c r="J91" s="37">
        <f t="shared" si="2"/>
        <v>0</v>
      </c>
      <c r="K91" s="38">
        <f t="shared" si="3"/>
        <v>0</v>
      </c>
      <c r="L91" s="39">
        <f t="shared" si="4"/>
        <v>0</v>
      </c>
      <c r="M91" s="38">
        <f t="shared" si="5"/>
        <v>0</v>
      </c>
      <c r="N91" s="39">
        <f t="shared" si="6"/>
        <v>0</v>
      </c>
      <c r="O91" s="40"/>
      <c r="P91" s="34"/>
      <c r="Q91" s="35"/>
      <c r="R91" s="35"/>
      <c r="S91" s="35"/>
      <c r="T91" s="35"/>
      <c r="U91" s="35"/>
      <c r="V91" s="35"/>
      <c r="W91" s="35"/>
      <c r="X91" s="35"/>
      <c r="Y91" s="35"/>
      <c r="Z91" s="35"/>
    </row>
    <row r="92" ht="14.25" customHeight="1">
      <c r="A92" s="221"/>
      <c r="B92" s="231"/>
      <c r="C92" s="233"/>
      <c r="D92" s="212"/>
      <c r="E92" s="213"/>
      <c r="F92" s="214"/>
      <c r="G92" s="214"/>
      <c r="H92" s="523"/>
      <c r="I92" s="36">
        <f t="shared" si="1"/>
        <v>0</v>
      </c>
      <c r="J92" s="37">
        <f t="shared" si="2"/>
        <v>0</v>
      </c>
      <c r="K92" s="38">
        <f t="shared" si="3"/>
        <v>0</v>
      </c>
      <c r="L92" s="39">
        <f t="shared" si="4"/>
        <v>0</v>
      </c>
      <c r="M92" s="38">
        <f t="shared" si="5"/>
        <v>0</v>
      </c>
      <c r="N92" s="39">
        <f t="shared" si="6"/>
        <v>0</v>
      </c>
      <c r="O92" s="40"/>
      <c r="P92" s="78"/>
      <c r="Q92" s="35"/>
      <c r="R92" s="35"/>
      <c r="S92" s="35"/>
      <c r="T92" s="35"/>
      <c r="U92" s="35"/>
      <c r="V92" s="35"/>
      <c r="W92" s="35"/>
      <c r="X92" s="35"/>
      <c r="Y92" s="35"/>
      <c r="Z92" s="35"/>
    </row>
    <row r="93" ht="14.25" customHeight="1">
      <c r="A93" s="221"/>
      <c r="B93" s="231"/>
      <c r="C93" s="233"/>
      <c r="D93" s="212"/>
      <c r="E93" s="213"/>
      <c r="F93" s="214"/>
      <c r="G93" s="214"/>
      <c r="H93" s="523"/>
      <c r="I93" s="36">
        <f t="shared" si="1"/>
        <v>0</v>
      </c>
      <c r="J93" s="37">
        <f t="shared" si="2"/>
        <v>0</v>
      </c>
      <c r="K93" s="38">
        <f t="shared" si="3"/>
        <v>0</v>
      </c>
      <c r="L93" s="39">
        <f t="shared" si="4"/>
        <v>0</v>
      </c>
      <c r="M93" s="38">
        <f t="shared" si="5"/>
        <v>0</v>
      </c>
      <c r="N93" s="39">
        <f t="shared" si="6"/>
        <v>0</v>
      </c>
      <c r="O93" s="40"/>
      <c r="P93" s="78"/>
      <c r="Q93" s="35"/>
      <c r="R93" s="35"/>
      <c r="S93" s="35"/>
      <c r="T93" s="35"/>
      <c r="U93" s="35"/>
      <c r="V93" s="35"/>
      <c r="W93" s="35"/>
      <c r="X93" s="35"/>
      <c r="Y93" s="35"/>
      <c r="Z93" s="35"/>
    </row>
    <row r="94" ht="14.25" customHeight="1">
      <c r="A94" s="221"/>
      <c r="B94" s="231"/>
      <c r="C94" s="233"/>
      <c r="D94" s="212"/>
      <c r="E94" s="213"/>
      <c r="F94" s="214"/>
      <c r="G94" s="214"/>
      <c r="H94" s="523"/>
      <c r="I94" s="36">
        <f t="shared" si="1"/>
        <v>0</v>
      </c>
      <c r="J94" s="37">
        <f t="shared" si="2"/>
        <v>0</v>
      </c>
      <c r="K94" s="38">
        <f t="shared" si="3"/>
        <v>0</v>
      </c>
      <c r="L94" s="39">
        <f t="shared" si="4"/>
        <v>0</v>
      </c>
      <c r="M94" s="38">
        <f t="shared" si="5"/>
        <v>0</v>
      </c>
      <c r="N94" s="39">
        <f t="shared" si="6"/>
        <v>0</v>
      </c>
      <c r="O94" s="40"/>
      <c r="P94" s="78"/>
      <c r="Q94" s="35"/>
      <c r="R94" s="35"/>
      <c r="S94" s="35"/>
      <c r="T94" s="35"/>
      <c r="U94" s="35"/>
      <c r="V94" s="35"/>
      <c r="W94" s="35"/>
      <c r="X94" s="35"/>
      <c r="Y94" s="35"/>
      <c r="Z94" s="35"/>
    </row>
    <row r="95" ht="14.25" customHeight="1">
      <c r="A95" s="221"/>
      <c r="B95" s="231"/>
      <c r="C95" s="233"/>
      <c r="D95" s="212"/>
      <c r="E95" s="213"/>
      <c r="F95" s="214"/>
      <c r="G95" s="214"/>
      <c r="H95" s="523"/>
      <c r="I95" s="36">
        <f t="shared" si="1"/>
        <v>0</v>
      </c>
      <c r="J95" s="37">
        <f t="shared" si="2"/>
        <v>0</v>
      </c>
      <c r="K95" s="38">
        <f t="shared" si="3"/>
        <v>0</v>
      </c>
      <c r="L95" s="39">
        <f t="shared" si="4"/>
        <v>0</v>
      </c>
      <c r="M95" s="38">
        <f t="shared" si="5"/>
        <v>0</v>
      </c>
      <c r="N95" s="39">
        <f t="shared" si="6"/>
        <v>0</v>
      </c>
      <c r="O95" s="40"/>
      <c r="P95" s="34"/>
      <c r="Q95" s="35"/>
      <c r="R95" s="35"/>
      <c r="S95" s="35"/>
      <c r="T95" s="35"/>
      <c r="U95" s="35"/>
      <c r="V95" s="35"/>
      <c r="W95" s="35"/>
      <c r="X95" s="35"/>
      <c r="Y95" s="35"/>
      <c r="Z95" s="35"/>
    </row>
    <row r="96" ht="14.25" customHeight="1">
      <c r="A96" s="221"/>
      <c r="B96" s="231"/>
      <c r="C96" s="233"/>
      <c r="D96" s="212"/>
      <c r="E96" s="213"/>
      <c r="F96" s="214"/>
      <c r="G96" s="214"/>
      <c r="H96" s="523"/>
      <c r="I96" s="36">
        <f t="shared" si="1"/>
        <v>0</v>
      </c>
      <c r="J96" s="37">
        <f t="shared" si="2"/>
        <v>0</v>
      </c>
      <c r="K96" s="38">
        <f t="shared" si="3"/>
        <v>0</v>
      </c>
      <c r="L96" s="39">
        <f t="shared" si="4"/>
        <v>0</v>
      </c>
      <c r="M96" s="38">
        <f t="shared" si="5"/>
        <v>0</v>
      </c>
      <c r="N96" s="39">
        <f t="shared" si="6"/>
        <v>0</v>
      </c>
      <c r="O96" s="40"/>
      <c r="P96" s="34"/>
      <c r="Q96" s="35"/>
      <c r="R96" s="35"/>
      <c r="S96" s="35"/>
      <c r="T96" s="35"/>
      <c r="U96" s="35"/>
      <c r="V96" s="35"/>
      <c r="W96" s="35"/>
      <c r="X96" s="35"/>
      <c r="Y96" s="35"/>
      <c r="Z96" s="35"/>
    </row>
    <row r="97" ht="14.25" customHeight="1">
      <c r="A97" s="221"/>
      <c r="B97" s="231"/>
      <c r="C97" s="233"/>
      <c r="D97" s="212"/>
      <c r="E97" s="213"/>
      <c r="F97" s="214"/>
      <c r="G97" s="214"/>
      <c r="H97" s="523"/>
      <c r="I97" s="36">
        <f t="shared" si="1"/>
        <v>0</v>
      </c>
      <c r="J97" s="37">
        <f t="shared" si="2"/>
        <v>0</v>
      </c>
      <c r="K97" s="38">
        <f t="shared" si="3"/>
        <v>0</v>
      </c>
      <c r="L97" s="39">
        <f t="shared" si="4"/>
        <v>0</v>
      </c>
      <c r="M97" s="38">
        <f t="shared" si="5"/>
        <v>0</v>
      </c>
      <c r="N97" s="39">
        <f t="shared" si="6"/>
        <v>0</v>
      </c>
      <c r="O97" s="40"/>
      <c r="P97" s="34"/>
      <c r="Q97" s="35"/>
      <c r="R97" s="35"/>
      <c r="S97" s="35"/>
      <c r="T97" s="35"/>
      <c r="U97" s="35"/>
      <c r="V97" s="35"/>
      <c r="W97" s="35"/>
      <c r="X97" s="35"/>
      <c r="Y97" s="35"/>
      <c r="Z97" s="35"/>
    </row>
    <row r="98" ht="14.25" customHeight="1">
      <c r="A98" s="221"/>
      <c r="B98" s="231"/>
      <c r="C98" s="233"/>
      <c r="D98" s="212"/>
      <c r="E98" s="213"/>
      <c r="F98" s="214"/>
      <c r="G98" s="214"/>
      <c r="H98" s="523"/>
      <c r="I98" s="36">
        <f t="shared" si="1"/>
        <v>0</v>
      </c>
      <c r="J98" s="37">
        <f t="shared" si="2"/>
        <v>0</v>
      </c>
      <c r="K98" s="38">
        <f t="shared" si="3"/>
        <v>0</v>
      </c>
      <c r="L98" s="39">
        <f t="shared" si="4"/>
        <v>0</v>
      </c>
      <c r="M98" s="38">
        <f t="shared" si="5"/>
        <v>0</v>
      </c>
      <c r="N98" s="39">
        <f t="shared" si="6"/>
        <v>0</v>
      </c>
      <c r="O98" s="40"/>
      <c r="P98" s="34"/>
      <c r="Q98" s="35"/>
      <c r="R98" s="35"/>
      <c r="S98" s="35"/>
      <c r="T98" s="35"/>
      <c r="U98" s="35"/>
      <c r="V98" s="35"/>
      <c r="W98" s="35"/>
      <c r="X98" s="35"/>
      <c r="Y98" s="35"/>
      <c r="Z98" s="35"/>
    </row>
    <row r="99" ht="14.25" customHeight="1">
      <c r="A99" s="221"/>
      <c r="B99" s="231"/>
      <c r="C99" s="233"/>
      <c r="D99" s="212"/>
      <c r="E99" s="213"/>
      <c r="F99" s="214"/>
      <c r="G99" s="214"/>
      <c r="H99" s="523"/>
      <c r="I99" s="36">
        <f t="shared" si="1"/>
        <v>0</v>
      </c>
      <c r="J99" s="37">
        <f t="shared" si="2"/>
        <v>0</v>
      </c>
      <c r="K99" s="38">
        <f t="shared" si="3"/>
        <v>0</v>
      </c>
      <c r="L99" s="39">
        <f t="shared" si="4"/>
        <v>0</v>
      </c>
      <c r="M99" s="38">
        <f t="shared" si="5"/>
        <v>0</v>
      </c>
      <c r="N99" s="39">
        <f t="shared" si="6"/>
        <v>0</v>
      </c>
      <c r="O99" s="40"/>
      <c r="P99" s="34"/>
      <c r="Q99" s="35"/>
      <c r="R99" s="35"/>
      <c r="S99" s="35"/>
      <c r="T99" s="35"/>
      <c r="U99" s="35"/>
      <c r="V99" s="35"/>
      <c r="W99" s="35"/>
      <c r="X99" s="35"/>
      <c r="Y99" s="35"/>
      <c r="Z99" s="35"/>
    </row>
    <row r="100" ht="14.25" customHeight="1">
      <c r="A100" s="221"/>
      <c r="B100" s="231"/>
      <c r="C100" s="233"/>
      <c r="D100" s="212"/>
      <c r="E100" s="213"/>
      <c r="F100" s="214"/>
      <c r="G100" s="214"/>
      <c r="H100" s="523"/>
      <c r="I100" s="36">
        <f t="shared" si="1"/>
        <v>0</v>
      </c>
      <c r="J100" s="37">
        <f t="shared" si="2"/>
        <v>0</v>
      </c>
      <c r="K100" s="38">
        <f t="shared" si="3"/>
        <v>0</v>
      </c>
      <c r="L100" s="39">
        <f t="shared" si="4"/>
        <v>0</v>
      </c>
      <c r="M100" s="38">
        <f t="shared" si="5"/>
        <v>0</v>
      </c>
      <c r="N100" s="39">
        <f t="shared" si="6"/>
        <v>0</v>
      </c>
      <c r="O100" s="40"/>
      <c r="P100" s="34"/>
      <c r="Q100" s="35"/>
      <c r="R100" s="35"/>
      <c r="S100" s="35"/>
      <c r="T100" s="35"/>
      <c r="U100" s="35"/>
      <c r="V100" s="35"/>
      <c r="W100" s="35"/>
      <c r="X100" s="35"/>
      <c r="Y100" s="35"/>
      <c r="Z100" s="35"/>
    </row>
    <row r="101" ht="14.25" customHeight="1">
      <c r="A101" s="221"/>
      <c r="B101" s="231"/>
      <c r="C101" s="233"/>
      <c r="D101" s="212"/>
      <c r="E101" s="213"/>
      <c r="F101" s="214"/>
      <c r="G101" s="214"/>
      <c r="H101" s="523"/>
      <c r="I101" s="36">
        <f t="shared" si="1"/>
        <v>0</v>
      </c>
      <c r="J101" s="37">
        <f t="shared" si="2"/>
        <v>0</v>
      </c>
      <c r="K101" s="38">
        <f t="shared" si="3"/>
        <v>0</v>
      </c>
      <c r="L101" s="39">
        <f t="shared" si="4"/>
        <v>0</v>
      </c>
      <c r="M101" s="38">
        <f t="shared" si="5"/>
        <v>0</v>
      </c>
      <c r="N101" s="39">
        <f t="shared" si="6"/>
        <v>0</v>
      </c>
      <c r="O101" s="40"/>
      <c r="P101" s="34"/>
      <c r="Q101" s="35"/>
      <c r="R101" s="35"/>
      <c r="S101" s="35"/>
      <c r="T101" s="35"/>
      <c r="U101" s="35"/>
      <c r="V101" s="35"/>
      <c r="W101" s="35"/>
      <c r="X101" s="35"/>
      <c r="Y101" s="35"/>
      <c r="Z101" s="35"/>
    </row>
    <row r="102" ht="14.25" customHeight="1">
      <c r="A102" s="221"/>
      <c r="B102" s="231"/>
      <c r="C102" s="233"/>
      <c r="D102" s="212"/>
      <c r="E102" s="213"/>
      <c r="F102" s="214"/>
      <c r="G102" s="214"/>
      <c r="H102" s="523"/>
      <c r="I102" s="36">
        <f t="shared" si="1"/>
        <v>0</v>
      </c>
      <c r="J102" s="37">
        <f t="shared" si="2"/>
        <v>0</v>
      </c>
      <c r="K102" s="38">
        <f t="shared" si="3"/>
        <v>0</v>
      </c>
      <c r="L102" s="39">
        <f t="shared" si="4"/>
        <v>0</v>
      </c>
      <c r="M102" s="38">
        <f t="shared" si="5"/>
        <v>0</v>
      </c>
      <c r="N102" s="39">
        <f t="shared" si="6"/>
        <v>0</v>
      </c>
      <c r="O102" s="40"/>
      <c r="P102" s="78"/>
      <c r="Q102" s="35"/>
      <c r="R102" s="35"/>
      <c r="S102" s="35"/>
      <c r="T102" s="35"/>
      <c r="U102" s="35"/>
      <c r="V102" s="35"/>
      <c r="W102" s="35"/>
      <c r="X102" s="35"/>
      <c r="Y102" s="35"/>
      <c r="Z102" s="35"/>
    </row>
    <row r="103" ht="14.25" customHeight="1">
      <c r="A103" s="221"/>
      <c r="B103" s="231"/>
      <c r="C103" s="233"/>
      <c r="D103" s="212"/>
      <c r="E103" s="213"/>
      <c r="F103" s="214"/>
      <c r="G103" s="214"/>
      <c r="H103" s="523"/>
      <c r="I103" s="36">
        <f t="shared" si="1"/>
        <v>0</v>
      </c>
      <c r="J103" s="37">
        <f t="shared" si="2"/>
        <v>0</v>
      </c>
      <c r="K103" s="38">
        <f t="shared" si="3"/>
        <v>0</v>
      </c>
      <c r="L103" s="39">
        <f t="shared" si="4"/>
        <v>0</v>
      </c>
      <c r="M103" s="38">
        <f t="shared" si="5"/>
        <v>0</v>
      </c>
      <c r="N103" s="39">
        <f t="shared" si="6"/>
        <v>0</v>
      </c>
      <c r="O103" s="40"/>
      <c r="P103" s="78"/>
      <c r="Q103" s="35"/>
      <c r="R103" s="35"/>
      <c r="S103" s="35"/>
      <c r="T103" s="35"/>
      <c r="U103" s="35"/>
      <c r="V103" s="35"/>
      <c r="W103" s="35"/>
      <c r="X103" s="35"/>
      <c r="Y103" s="35"/>
      <c r="Z103" s="35"/>
    </row>
    <row r="104" ht="14.25" customHeight="1">
      <c r="A104" s="221"/>
      <c r="B104" s="231"/>
      <c r="C104" s="233"/>
      <c r="D104" s="212"/>
      <c r="E104" s="213"/>
      <c r="F104" s="214"/>
      <c r="G104" s="214"/>
      <c r="H104" s="523"/>
      <c r="I104" s="36">
        <f t="shared" si="1"/>
        <v>0</v>
      </c>
      <c r="J104" s="37">
        <f t="shared" si="2"/>
        <v>0</v>
      </c>
      <c r="K104" s="38">
        <f t="shared" si="3"/>
        <v>0</v>
      </c>
      <c r="L104" s="39">
        <f t="shared" si="4"/>
        <v>0</v>
      </c>
      <c r="M104" s="38">
        <f t="shared" si="5"/>
        <v>0</v>
      </c>
      <c r="N104" s="39">
        <f t="shared" si="6"/>
        <v>0</v>
      </c>
      <c r="O104" s="40"/>
      <c r="P104" s="78"/>
      <c r="Q104" s="35"/>
      <c r="R104" s="35"/>
      <c r="S104" s="35"/>
      <c r="T104" s="35"/>
      <c r="U104" s="35"/>
      <c r="V104" s="35"/>
      <c r="W104" s="35"/>
      <c r="X104" s="35"/>
      <c r="Y104" s="35"/>
      <c r="Z104" s="35"/>
    </row>
    <row r="105" ht="14.25" customHeight="1">
      <c r="A105" s="221"/>
      <c r="B105" s="231"/>
      <c r="C105" s="233"/>
      <c r="D105" s="212"/>
      <c r="E105" s="213"/>
      <c r="F105" s="214"/>
      <c r="G105" s="214"/>
      <c r="H105" s="523"/>
      <c r="I105" s="36">
        <f t="shared" si="1"/>
        <v>0</v>
      </c>
      <c r="J105" s="37">
        <f t="shared" si="2"/>
        <v>0</v>
      </c>
      <c r="K105" s="38">
        <f t="shared" si="3"/>
        <v>0</v>
      </c>
      <c r="L105" s="39">
        <f t="shared" si="4"/>
        <v>0</v>
      </c>
      <c r="M105" s="38">
        <f t="shared" si="5"/>
        <v>0</v>
      </c>
      <c r="N105" s="39">
        <f t="shared" si="6"/>
        <v>0</v>
      </c>
      <c r="O105" s="40"/>
      <c r="P105" s="78"/>
      <c r="Q105" s="35"/>
      <c r="R105" s="35"/>
      <c r="S105" s="35"/>
      <c r="T105" s="35"/>
      <c r="U105" s="35"/>
      <c r="V105" s="35"/>
      <c r="W105" s="35"/>
      <c r="X105" s="35"/>
      <c r="Y105" s="35"/>
      <c r="Z105" s="35"/>
    </row>
    <row r="106" ht="14.25" customHeight="1">
      <c r="A106" s="221"/>
      <c r="B106" s="231"/>
      <c r="C106" s="233"/>
      <c r="D106" s="212"/>
      <c r="E106" s="213"/>
      <c r="F106" s="214"/>
      <c r="G106" s="214"/>
      <c r="H106" s="523"/>
      <c r="I106" s="36">
        <f t="shared" si="1"/>
        <v>0</v>
      </c>
      <c r="J106" s="37">
        <f t="shared" si="2"/>
        <v>0</v>
      </c>
      <c r="K106" s="38">
        <f t="shared" si="3"/>
        <v>0</v>
      </c>
      <c r="L106" s="39">
        <f t="shared" si="4"/>
        <v>0</v>
      </c>
      <c r="M106" s="38">
        <f t="shared" si="5"/>
        <v>0</v>
      </c>
      <c r="N106" s="39">
        <f t="shared" si="6"/>
        <v>0</v>
      </c>
      <c r="O106" s="40"/>
      <c r="P106" s="78"/>
      <c r="Q106" s="35"/>
      <c r="R106" s="35"/>
      <c r="S106" s="35"/>
      <c r="T106" s="35"/>
      <c r="U106" s="35"/>
      <c r="V106" s="35"/>
      <c r="W106" s="35"/>
      <c r="X106" s="35"/>
      <c r="Y106" s="35"/>
      <c r="Z106" s="35"/>
    </row>
    <row r="107" ht="14.25" customHeight="1">
      <c r="A107" s="221"/>
      <c r="B107" s="231"/>
      <c r="C107" s="233"/>
      <c r="D107" s="212"/>
      <c r="E107" s="213"/>
      <c r="F107" s="214"/>
      <c r="G107" s="214"/>
      <c r="H107" s="523"/>
      <c r="I107" s="36">
        <f t="shared" si="1"/>
        <v>0</v>
      </c>
      <c r="J107" s="37">
        <f t="shared" si="2"/>
        <v>0</v>
      </c>
      <c r="K107" s="38">
        <f t="shared" si="3"/>
        <v>0</v>
      </c>
      <c r="L107" s="39">
        <f t="shared" si="4"/>
        <v>0</v>
      </c>
      <c r="M107" s="38">
        <f t="shared" si="5"/>
        <v>0</v>
      </c>
      <c r="N107" s="39">
        <f t="shared" si="6"/>
        <v>0</v>
      </c>
      <c r="O107" s="40"/>
      <c r="P107" s="78"/>
      <c r="Q107" s="35"/>
      <c r="R107" s="35"/>
      <c r="S107" s="35"/>
      <c r="T107" s="35"/>
      <c r="U107" s="35"/>
      <c r="V107" s="35"/>
      <c r="W107" s="35"/>
      <c r="X107" s="35"/>
      <c r="Y107" s="35"/>
      <c r="Z107" s="35"/>
    </row>
    <row r="108" ht="14.25" customHeight="1">
      <c r="A108" s="221"/>
      <c r="B108" s="231"/>
      <c r="C108" s="233"/>
      <c r="D108" s="212"/>
      <c r="E108" s="213"/>
      <c r="F108" s="214"/>
      <c r="G108" s="214"/>
      <c r="H108" s="523"/>
      <c r="I108" s="36">
        <f t="shared" si="1"/>
        <v>0</v>
      </c>
      <c r="J108" s="37">
        <f t="shared" si="2"/>
        <v>0</v>
      </c>
      <c r="K108" s="38">
        <f t="shared" si="3"/>
        <v>0</v>
      </c>
      <c r="L108" s="39">
        <f t="shared" si="4"/>
        <v>0</v>
      </c>
      <c r="M108" s="38">
        <f t="shared" si="5"/>
        <v>0</v>
      </c>
      <c r="N108" s="39">
        <f t="shared" si="6"/>
        <v>0</v>
      </c>
      <c r="O108" s="40"/>
      <c r="P108" s="78"/>
      <c r="Q108" s="35"/>
      <c r="R108" s="35"/>
      <c r="S108" s="35"/>
      <c r="T108" s="35"/>
      <c r="U108" s="35"/>
      <c r="V108" s="35"/>
      <c r="W108" s="35"/>
      <c r="X108" s="35"/>
      <c r="Y108" s="35"/>
      <c r="Z108" s="35"/>
    </row>
    <row r="109" ht="14.25" customHeight="1">
      <c r="A109" s="221"/>
      <c r="B109" s="231"/>
      <c r="C109" s="233"/>
      <c r="D109" s="212"/>
      <c r="E109" s="213"/>
      <c r="F109" s="214"/>
      <c r="G109" s="214"/>
      <c r="H109" s="523"/>
      <c r="I109" s="36">
        <f t="shared" si="1"/>
        <v>0</v>
      </c>
      <c r="J109" s="37">
        <f t="shared" si="2"/>
        <v>0</v>
      </c>
      <c r="K109" s="38">
        <f t="shared" si="3"/>
        <v>0</v>
      </c>
      <c r="L109" s="39">
        <f t="shared" si="4"/>
        <v>0</v>
      </c>
      <c r="M109" s="38">
        <f t="shared" si="5"/>
        <v>0</v>
      </c>
      <c r="N109" s="39">
        <f t="shared" si="6"/>
        <v>0</v>
      </c>
      <c r="O109" s="40"/>
      <c r="P109" s="78"/>
      <c r="Q109" s="35"/>
      <c r="R109" s="35"/>
      <c r="S109" s="35"/>
      <c r="T109" s="35"/>
      <c r="U109" s="35"/>
      <c r="V109" s="35"/>
      <c r="W109" s="35"/>
      <c r="X109" s="35"/>
      <c r="Y109" s="35"/>
      <c r="Z109" s="35"/>
    </row>
    <row r="110" ht="14.25" customHeight="1">
      <c r="A110" s="221"/>
      <c r="B110" s="231"/>
      <c r="C110" s="233"/>
      <c r="D110" s="212"/>
      <c r="E110" s="213"/>
      <c r="F110" s="214"/>
      <c r="G110" s="214"/>
      <c r="H110" s="523"/>
      <c r="I110" s="36">
        <f t="shared" si="1"/>
        <v>0</v>
      </c>
      <c r="J110" s="37">
        <f t="shared" si="2"/>
        <v>0</v>
      </c>
      <c r="K110" s="38">
        <f t="shared" si="3"/>
        <v>0</v>
      </c>
      <c r="L110" s="39">
        <f t="shared" si="4"/>
        <v>0</v>
      </c>
      <c r="M110" s="38">
        <f t="shared" si="5"/>
        <v>0</v>
      </c>
      <c r="N110" s="39">
        <f t="shared" si="6"/>
        <v>0</v>
      </c>
      <c r="O110" s="40"/>
      <c r="P110" s="78"/>
      <c r="Q110" s="35"/>
      <c r="R110" s="35"/>
      <c r="S110" s="35"/>
      <c r="T110" s="35"/>
      <c r="U110" s="35"/>
      <c r="V110" s="35"/>
      <c r="W110" s="35"/>
      <c r="X110" s="35"/>
      <c r="Y110" s="35"/>
      <c r="Z110" s="35"/>
    </row>
    <row r="111" ht="14.25" customHeight="1">
      <c r="A111" s="221"/>
      <c r="B111" s="231"/>
      <c r="C111" s="233"/>
      <c r="D111" s="212"/>
      <c r="E111" s="213"/>
      <c r="F111" s="214"/>
      <c r="G111" s="214"/>
      <c r="H111" s="523"/>
      <c r="I111" s="36">
        <f t="shared" si="1"/>
        <v>0</v>
      </c>
      <c r="J111" s="37">
        <f t="shared" si="2"/>
        <v>0</v>
      </c>
      <c r="K111" s="38">
        <f t="shared" si="3"/>
        <v>0</v>
      </c>
      <c r="L111" s="39">
        <f t="shared" si="4"/>
        <v>0</v>
      </c>
      <c r="M111" s="38">
        <f t="shared" si="5"/>
        <v>0</v>
      </c>
      <c r="N111" s="39">
        <f t="shared" si="6"/>
        <v>0</v>
      </c>
      <c r="O111" s="40"/>
      <c r="P111" s="78"/>
      <c r="Q111" s="35"/>
      <c r="R111" s="35"/>
      <c r="S111" s="35"/>
      <c r="T111" s="35"/>
      <c r="U111" s="35"/>
      <c r="V111" s="35"/>
      <c r="W111" s="35"/>
      <c r="X111" s="35"/>
      <c r="Y111" s="35"/>
      <c r="Z111" s="35"/>
    </row>
    <row r="112" ht="14.25" customHeight="1">
      <c r="A112" s="221"/>
      <c r="B112" s="231"/>
      <c r="C112" s="233"/>
      <c r="D112" s="212"/>
      <c r="E112" s="213"/>
      <c r="F112" s="214"/>
      <c r="G112" s="214"/>
      <c r="H112" s="523"/>
      <c r="I112" s="36">
        <f t="shared" si="1"/>
        <v>0</v>
      </c>
      <c r="J112" s="37">
        <f t="shared" si="2"/>
        <v>0</v>
      </c>
      <c r="K112" s="38">
        <f t="shared" si="3"/>
        <v>0</v>
      </c>
      <c r="L112" s="39">
        <f t="shared" si="4"/>
        <v>0</v>
      </c>
      <c r="M112" s="38">
        <f t="shared" si="5"/>
        <v>0</v>
      </c>
      <c r="N112" s="39">
        <f t="shared" si="6"/>
        <v>0</v>
      </c>
      <c r="O112" s="40"/>
      <c r="P112" s="78"/>
      <c r="Q112" s="35"/>
      <c r="R112" s="35"/>
      <c r="S112" s="35"/>
      <c r="T112" s="35"/>
      <c r="U112" s="35"/>
      <c r="V112" s="35"/>
      <c r="W112" s="35"/>
      <c r="X112" s="35"/>
      <c r="Y112" s="35"/>
      <c r="Z112" s="35"/>
    </row>
    <row r="113" ht="14.25" customHeight="1">
      <c r="A113" s="221"/>
      <c r="B113" s="231"/>
      <c r="C113" s="233"/>
      <c r="D113" s="212"/>
      <c r="E113" s="213"/>
      <c r="F113" s="214"/>
      <c r="G113" s="214"/>
      <c r="H113" s="523"/>
      <c r="I113" s="36">
        <f t="shared" si="1"/>
        <v>0</v>
      </c>
      <c r="J113" s="37">
        <f t="shared" si="2"/>
        <v>0</v>
      </c>
      <c r="K113" s="38">
        <f t="shared" si="3"/>
        <v>0</v>
      </c>
      <c r="L113" s="39">
        <f t="shared" si="4"/>
        <v>0</v>
      </c>
      <c r="M113" s="38">
        <f t="shared" si="5"/>
        <v>0</v>
      </c>
      <c r="N113" s="39">
        <f t="shared" si="6"/>
        <v>0</v>
      </c>
      <c r="O113" s="40"/>
      <c r="P113" s="78"/>
      <c r="Q113" s="35"/>
      <c r="R113" s="35"/>
      <c r="S113" s="35"/>
      <c r="T113" s="35"/>
      <c r="U113" s="35"/>
      <c r="V113" s="35"/>
      <c r="W113" s="35"/>
      <c r="X113" s="35"/>
      <c r="Y113" s="35"/>
      <c r="Z113" s="35"/>
    </row>
    <row r="114" ht="14.25" customHeight="1">
      <c r="A114" s="221"/>
      <c r="B114" s="231"/>
      <c r="C114" s="233"/>
      <c r="D114" s="212"/>
      <c r="E114" s="213"/>
      <c r="F114" s="214"/>
      <c r="G114" s="214"/>
      <c r="H114" s="523"/>
      <c r="I114" s="36">
        <f t="shared" si="1"/>
        <v>0</v>
      </c>
      <c r="J114" s="37">
        <f t="shared" si="2"/>
        <v>0</v>
      </c>
      <c r="K114" s="38">
        <f t="shared" si="3"/>
        <v>0</v>
      </c>
      <c r="L114" s="39">
        <f t="shared" si="4"/>
        <v>0</v>
      </c>
      <c r="M114" s="38">
        <f t="shared" si="5"/>
        <v>0</v>
      </c>
      <c r="N114" s="39">
        <f t="shared" si="6"/>
        <v>0</v>
      </c>
      <c r="O114" s="40"/>
      <c r="P114" s="78"/>
      <c r="Q114" s="35"/>
      <c r="R114" s="35"/>
      <c r="S114" s="35"/>
      <c r="T114" s="35"/>
      <c r="U114" s="35"/>
      <c r="V114" s="35"/>
      <c r="W114" s="35"/>
      <c r="X114" s="35"/>
      <c r="Y114" s="35"/>
      <c r="Z114" s="35"/>
    </row>
    <row r="115" ht="14.25" customHeight="1">
      <c r="A115" s="221"/>
      <c r="B115" s="231"/>
      <c r="C115" s="233"/>
      <c r="D115" s="212"/>
      <c r="E115" s="213"/>
      <c r="F115" s="214"/>
      <c r="G115" s="214"/>
      <c r="H115" s="523"/>
      <c r="I115" s="36">
        <f t="shared" si="1"/>
        <v>0</v>
      </c>
      <c r="J115" s="37">
        <f t="shared" si="2"/>
        <v>0</v>
      </c>
      <c r="K115" s="38">
        <f t="shared" si="3"/>
        <v>0</v>
      </c>
      <c r="L115" s="39">
        <f t="shared" si="4"/>
        <v>0</v>
      </c>
      <c r="M115" s="38">
        <f t="shared" si="5"/>
        <v>0</v>
      </c>
      <c r="N115" s="39">
        <f t="shared" si="6"/>
        <v>0</v>
      </c>
      <c r="O115" s="40"/>
      <c r="P115" s="78"/>
      <c r="Q115" s="35"/>
      <c r="R115" s="35"/>
      <c r="S115" s="35"/>
      <c r="T115" s="35"/>
      <c r="U115" s="35"/>
      <c r="V115" s="35"/>
      <c r="W115" s="35"/>
      <c r="X115" s="35"/>
      <c r="Y115" s="35"/>
      <c r="Z115" s="35"/>
    </row>
    <row r="116" ht="14.25" customHeight="1">
      <c r="A116" s="221"/>
      <c r="B116" s="231"/>
      <c r="C116" s="233"/>
      <c r="D116" s="212"/>
      <c r="E116" s="213"/>
      <c r="F116" s="214"/>
      <c r="G116" s="214"/>
      <c r="H116" s="523"/>
      <c r="I116" s="36">
        <f t="shared" si="1"/>
        <v>0</v>
      </c>
      <c r="J116" s="37">
        <f t="shared" si="2"/>
        <v>0</v>
      </c>
      <c r="K116" s="38">
        <f t="shared" si="3"/>
        <v>0</v>
      </c>
      <c r="L116" s="39">
        <f t="shared" si="4"/>
        <v>0</v>
      </c>
      <c r="M116" s="38">
        <f t="shared" si="5"/>
        <v>0</v>
      </c>
      <c r="N116" s="39">
        <f t="shared" si="6"/>
        <v>0</v>
      </c>
      <c r="O116" s="40"/>
      <c r="P116" s="78"/>
      <c r="Q116" s="35"/>
      <c r="R116" s="35"/>
      <c r="S116" s="35"/>
      <c r="T116" s="35"/>
      <c r="U116" s="35"/>
      <c r="V116" s="35"/>
      <c r="W116" s="35"/>
      <c r="X116" s="35"/>
      <c r="Y116" s="35"/>
      <c r="Z116" s="35"/>
    </row>
    <row r="117" ht="14.25" customHeight="1">
      <c r="A117" s="221"/>
      <c r="B117" s="231"/>
      <c r="C117" s="233"/>
      <c r="D117" s="212"/>
      <c r="E117" s="213"/>
      <c r="F117" s="214"/>
      <c r="G117" s="214"/>
      <c r="H117" s="523"/>
      <c r="I117" s="36">
        <f t="shared" si="1"/>
        <v>0</v>
      </c>
      <c r="J117" s="37">
        <f t="shared" si="2"/>
        <v>0</v>
      </c>
      <c r="K117" s="38">
        <f t="shared" si="3"/>
        <v>0</v>
      </c>
      <c r="L117" s="39">
        <f t="shared" si="4"/>
        <v>0</v>
      </c>
      <c r="M117" s="38">
        <f t="shared" si="5"/>
        <v>0</v>
      </c>
      <c r="N117" s="39">
        <f t="shared" si="6"/>
        <v>0</v>
      </c>
      <c r="O117" s="40"/>
      <c r="P117" s="78"/>
      <c r="Q117" s="35"/>
      <c r="R117" s="35"/>
      <c r="S117" s="35"/>
      <c r="T117" s="35"/>
      <c r="U117" s="35"/>
      <c r="V117" s="35"/>
      <c r="W117" s="35"/>
      <c r="X117" s="35"/>
      <c r="Y117" s="35"/>
      <c r="Z117" s="35"/>
    </row>
    <row r="118" ht="14.25" customHeight="1">
      <c r="A118" s="221"/>
      <c r="B118" s="231"/>
      <c r="C118" s="233"/>
      <c r="D118" s="212"/>
      <c r="E118" s="213"/>
      <c r="F118" s="214"/>
      <c r="G118" s="214"/>
      <c r="H118" s="523"/>
      <c r="I118" s="36">
        <f t="shared" si="1"/>
        <v>0</v>
      </c>
      <c r="J118" s="37">
        <f t="shared" si="2"/>
        <v>0</v>
      </c>
      <c r="K118" s="38">
        <f t="shared" si="3"/>
        <v>0</v>
      </c>
      <c r="L118" s="39">
        <f t="shared" si="4"/>
        <v>0</v>
      </c>
      <c r="M118" s="38">
        <f t="shared" si="5"/>
        <v>0</v>
      </c>
      <c r="N118" s="39">
        <f t="shared" si="6"/>
        <v>0</v>
      </c>
      <c r="O118" s="40"/>
      <c r="P118" s="78"/>
      <c r="Q118" s="35"/>
      <c r="R118" s="35"/>
      <c r="S118" s="35"/>
      <c r="T118" s="35"/>
      <c r="U118" s="35"/>
      <c r="V118" s="35"/>
      <c r="W118" s="35"/>
      <c r="X118" s="35"/>
      <c r="Y118" s="35"/>
      <c r="Z118" s="35"/>
    </row>
    <row r="119" ht="14.25" customHeight="1">
      <c r="A119" s="221"/>
      <c r="B119" s="231"/>
      <c r="C119" s="233"/>
      <c r="D119" s="212"/>
      <c r="E119" s="213"/>
      <c r="F119" s="214"/>
      <c r="G119" s="214"/>
      <c r="H119" s="523"/>
      <c r="I119" s="36">
        <f t="shared" si="1"/>
        <v>0</v>
      </c>
      <c r="J119" s="37">
        <f t="shared" si="2"/>
        <v>0</v>
      </c>
      <c r="K119" s="38">
        <f t="shared" si="3"/>
        <v>0</v>
      </c>
      <c r="L119" s="39">
        <f t="shared" si="4"/>
        <v>0</v>
      </c>
      <c r="M119" s="38">
        <f t="shared" si="5"/>
        <v>0</v>
      </c>
      <c r="N119" s="39">
        <f t="shared" si="6"/>
        <v>0</v>
      </c>
      <c r="O119" s="40"/>
      <c r="P119" s="78"/>
      <c r="Q119" s="35"/>
      <c r="R119" s="35"/>
      <c r="S119" s="35"/>
      <c r="T119" s="35"/>
      <c r="U119" s="35"/>
      <c r="V119" s="35"/>
      <c r="W119" s="35"/>
      <c r="X119" s="35"/>
      <c r="Y119" s="35"/>
      <c r="Z119" s="35"/>
    </row>
    <row r="120" ht="14.25" customHeight="1">
      <c r="A120" s="221"/>
      <c r="B120" s="231"/>
      <c r="C120" s="233"/>
      <c r="D120" s="212"/>
      <c r="E120" s="213"/>
      <c r="F120" s="214"/>
      <c r="G120" s="214"/>
      <c r="H120" s="523"/>
      <c r="I120" s="36">
        <f t="shared" si="1"/>
        <v>0</v>
      </c>
      <c r="J120" s="37">
        <f t="shared" si="2"/>
        <v>0</v>
      </c>
      <c r="K120" s="38">
        <f t="shared" si="3"/>
        <v>0</v>
      </c>
      <c r="L120" s="39">
        <f t="shared" si="4"/>
        <v>0</v>
      </c>
      <c r="M120" s="38">
        <f t="shared" si="5"/>
        <v>0</v>
      </c>
      <c r="N120" s="39">
        <f t="shared" si="6"/>
        <v>0</v>
      </c>
      <c r="O120" s="40"/>
      <c r="P120" s="78"/>
      <c r="Q120" s="35"/>
      <c r="R120" s="35"/>
      <c r="S120" s="35"/>
      <c r="T120" s="35"/>
      <c r="U120" s="35"/>
      <c r="V120" s="35"/>
      <c r="W120" s="35"/>
      <c r="X120" s="35"/>
      <c r="Y120" s="35"/>
      <c r="Z120" s="35"/>
    </row>
    <row r="121" ht="14.25" customHeight="1">
      <c r="A121" s="221"/>
      <c r="B121" s="231"/>
      <c r="C121" s="233"/>
      <c r="D121" s="212"/>
      <c r="E121" s="213"/>
      <c r="F121" s="214"/>
      <c r="G121" s="214"/>
      <c r="H121" s="523"/>
      <c r="I121" s="36">
        <f t="shared" si="1"/>
        <v>0</v>
      </c>
      <c r="J121" s="37">
        <f t="shared" si="2"/>
        <v>0</v>
      </c>
      <c r="K121" s="38">
        <f t="shared" si="3"/>
        <v>0</v>
      </c>
      <c r="L121" s="39">
        <f t="shared" si="4"/>
        <v>0</v>
      </c>
      <c r="M121" s="38">
        <f t="shared" si="5"/>
        <v>0</v>
      </c>
      <c r="N121" s="39">
        <f t="shared" si="6"/>
        <v>0</v>
      </c>
      <c r="O121" s="40"/>
      <c r="P121" s="78"/>
      <c r="Q121" s="35"/>
      <c r="R121" s="35"/>
      <c r="S121" s="35"/>
      <c r="T121" s="35"/>
      <c r="U121" s="35"/>
      <c r="V121" s="35"/>
      <c r="W121" s="35"/>
      <c r="X121" s="35"/>
      <c r="Y121" s="35"/>
      <c r="Z121" s="35"/>
    </row>
    <row r="122" ht="14.25" customHeight="1">
      <c r="A122" s="221"/>
      <c r="B122" s="231"/>
      <c r="C122" s="233"/>
      <c r="D122" s="212"/>
      <c r="E122" s="213"/>
      <c r="F122" s="214"/>
      <c r="G122" s="214"/>
      <c r="H122" s="523"/>
      <c r="I122" s="36">
        <f t="shared" si="1"/>
        <v>0</v>
      </c>
      <c r="J122" s="37">
        <f t="shared" si="2"/>
        <v>0</v>
      </c>
      <c r="K122" s="38">
        <f t="shared" si="3"/>
        <v>0</v>
      </c>
      <c r="L122" s="39">
        <f t="shared" si="4"/>
        <v>0</v>
      </c>
      <c r="M122" s="38">
        <f t="shared" si="5"/>
        <v>0</v>
      </c>
      <c r="N122" s="39">
        <f t="shared" si="6"/>
        <v>0</v>
      </c>
      <c r="O122" s="40"/>
      <c r="P122" s="78"/>
      <c r="Q122" s="35"/>
      <c r="R122" s="35"/>
      <c r="S122" s="35"/>
      <c r="T122" s="35"/>
      <c r="U122" s="35"/>
      <c r="V122" s="35"/>
      <c r="W122" s="35"/>
      <c r="X122" s="35"/>
      <c r="Y122" s="35"/>
      <c r="Z122" s="35"/>
    </row>
    <row r="123" ht="14.25" customHeight="1">
      <c r="A123" s="221"/>
      <c r="B123" s="231"/>
      <c r="C123" s="233"/>
      <c r="D123" s="212"/>
      <c r="E123" s="213"/>
      <c r="F123" s="214"/>
      <c r="G123" s="214"/>
      <c r="H123" s="523"/>
      <c r="I123" s="36">
        <f t="shared" si="1"/>
        <v>0</v>
      </c>
      <c r="J123" s="37">
        <f t="shared" si="2"/>
        <v>0</v>
      </c>
      <c r="K123" s="38">
        <f t="shared" si="3"/>
        <v>0</v>
      </c>
      <c r="L123" s="39">
        <f t="shared" si="4"/>
        <v>0</v>
      </c>
      <c r="M123" s="38">
        <f t="shared" si="5"/>
        <v>0</v>
      </c>
      <c r="N123" s="39">
        <f t="shared" si="6"/>
        <v>0</v>
      </c>
      <c r="O123" s="40"/>
      <c r="P123" s="78"/>
      <c r="Q123" s="35"/>
      <c r="R123" s="35"/>
      <c r="S123" s="35"/>
      <c r="T123" s="35"/>
      <c r="U123" s="35"/>
      <c r="V123" s="35"/>
      <c r="W123" s="35"/>
      <c r="X123" s="35"/>
      <c r="Y123" s="35"/>
      <c r="Z123" s="35"/>
    </row>
    <row r="124" ht="14.25" customHeight="1">
      <c r="A124" s="221"/>
      <c r="B124" s="231"/>
      <c r="C124" s="233"/>
      <c r="D124" s="212"/>
      <c r="E124" s="213"/>
      <c r="F124" s="214"/>
      <c r="G124" s="214"/>
      <c r="H124" s="523"/>
      <c r="I124" s="36">
        <f t="shared" si="1"/>
        <v>0</v>
      </c>
      <c r="J124" s="37">
        <f t="shared" si="2"/>
        <v>0</v>
      </c>
      <c r="K124" s="38">
        <f t="shared" si="3"/>
        <v>0</v>
      </c>
      <c r="L124" s="39">
        <f t="shared" si="4"/>
        <v>0</v>
      </c>
      <c r="M124" s="38">
        <f t="shared" si="5"/>
        <v>0</v>
      </c>
      <c r="N124" s="39">
        <f t="shared" si="6"/>
        <v>0</v>
      </c>
      <c r="O124" s="40"/>
      <c r="P124" s="78"/>
      <c r="Q124" s="35"/>
      <c r="R124" s="35"/>
      <c r="S124" s="35"/>
      <c r="T124" s="35"/>
      <c r="U124" s="35"/>
      <c r="V124" s="35"/>
      <c r="W124" s="35"/>
      <c r="X124" s="35"/>
      <c r="Y124" s="35"/>
      <c r="Z124" s="35"/>
    </row>
    <row r="125" ht="14.25" customHeight="1">
      <c r="A125" s="221"/>
      <c r="B125" s="231"/>
      <c r="C125" s="233"/>
      <c r="D125" s="212"/>
      <c r="E125" s="213"/>
      <c r="F125" s="214"/>
      <c r="G125" s="214"/>
      <c r="H125" s="523"/>
      <c r="I125" s="36">
        <f t="shared" si="1"/>
        <v>0</v>
      </c>
      <c r="J125" s="37">
        <f t="shared" si="2"/>
        <v>0</v>
      </c>
      <c r="K125" s="38">
        <f t="shared" si="3"/>
        <v>0</v>
      </c>
      <c r="L125" s="39">
        <f t="shared" si="4"/>
        <v>0</v>
      </c>
      <c r="M125" s="38">
        <f t="shared" si="5"/>
        <v>0</v>
      </c>
      <c r="N125" s="39">
        <f t="shared" si="6"/>
        <v>0</v>
      </c>
      <c r="O125" s="40"/>
      <c r="P125" s="78"/>
      <c r="Q125" s="35"/>
      <c r="R125" s="35"/>
      <c r="S125" s="35"/>
      <c r="T125" s="35"/>
      <c r="U125" s="35"/>
      <c r="V125" s="35"/>
      <c r="W125" s="35"/>
      <c r="X125" s="35"/>
      <c r="Y125" s="35"/>
      <c r="Z125" s="35"/>
    </row>
    <row r="126" ht="14.25" customHeight="1">
      <c r="A126" s="221"/>
      <c r="B126" s="231"/>
      <c r="C126" s="233"/>
      <c r="D126" s="212"/>
      <c r="E126" s="213"/>
      <c r="F126" s="214"/>
      <c r="G126" s="214"/>
      <c r="H126" s="523"/>
      <c r="I126" s="36">
        <f t="shared" si="1"/>
        <v>0</v>
      </c>
      <c r="J126" s="37">
        <f t="shared" si="2"/>
        <v>0</v>
      </c>
      <c r="K126" s="38">
        <f t="shared" si="3"/>
        <v>0</v>
      </c>
      <c r="L126" s="39">
        <f t="shared" si="4"/>
        <v>0</v>
      </c>
      <c r="M126" s="38">
        <f t="shared" si="5"/>
        <v>0</v>
      </c>
      <c r="N126" s="39">
        <f t="shared" si="6"/>
        <v>0</v>
      </c>
      <c r="O126" s="40"/>
      <c r="P126" s="78"/>
      <c r="Q126" s="35"/>
      <c r="R126" s="35"/>
      <c r="S126" s="35"/>
      <c r="T126" s="35"/>
      <c r="U126" s="35"/>
      <c r="V126" s="35"/>
      <c r="W126" s="35"/>
      <c r="X126" s="35"/>
      <c r="Y126" s="35"/>
      <c r="Z126" s="35"/>
    </row>
    <row r="127" ht="14.25" customHeight="1">
      <c r="A127" s="221"/>
      <c r="B127" s="231"/>
      <c r="C127" s="233"/>
      <c r="D127" s="212"/>
      <c r="E127" s="213"/>
      <c r="F127" s="214"/>
      <c r="G127" s="214"/>
      <c r="H127" s="523"/>
      <c r="I127" s="36">
        <f t="shared" si="1"/>
        <v>0</v>
      </c>
      <c r="J127" s="37">
        <f t="shared" si="2"/>
        <v>0</v>
      </c>
      <c r="K127" s="38">
        <f t="shared" si="3"/>
        <v>0</v>
      </c>
      <c r="L127" s="39">
        <f t="shared" si="4"/>
        <v>0</v>
      </c>
      <c r="M127" s="38">
        <f t="shared" si="5"/>
        <v>0</v>
      </c>
      <c r="N127" s="39">
        <f t="shared" si="6"/>
        <v>0</v>
      </c>
      <c r="O127" s="40"/>
      <c r="P127" s="78"/>
      <c r="Q127" s="35"/>
      <c r="R127" s="35"/>
      <c r="S127" s="35"/>
      <c r="T127" s="35"/>
      <c r="U127" s="35"/>
      <c r="V127" s="35"/>
      <c r="W127" s="35"/>
      <c r="X127" s="35"/>
      <c r="Y127" s="35"/>
      <c r="Z127" s="35"/>
    </row>
    <row r="128" ht="14.25" customHeight="1">
      <c r="A128" s="221"/>
      <c r="B128" s="231"/>
      <c r="C128" s="233"/>
      <c r="D128" s="212"/>
      <c r="E128" s="213"/>
      <c r="F128" s="214"/>
      <c r="G128" s="214"/>
      <c r="H128" s="523"/>
      <c r="I128" s="36">
        <f t="shared" si="1"/>
        <v>0</v>
      </c>
      <c r="J128" s="37">
        <f t="shared" si="2"/>
        <v>0</v>
      </c>
      <c r="K128" s="38">
        <f t="shared" si="3"/>
        <v>0</v>
      </c>
      <c r="L128" s="39">
        <f t="shared" si="4"/>
        <v>0</v>
      </c>
      <c r="M128" s="38">
        <f t="shared" si="5"/>
        <v>0</v>
      </c>
      <c r="N128" s="39">
        <f t="shared" si="6"/>
        <v>0</v>
      </c>
      <c r="O128" s="40"/>
      <c r="P128" s="78"/>
      <c r="Q128" s="35"/>
      <c r="R128" s="35"/>
      <c r="S128" s="35"/>
      <c r="T128" s="35"/>
      <c r="U128" s="35"/>
      <c r="V128" s="35"/>
      <c r="W128" s="35"/>
      <c r="X128" s="35"/>
      <c r="Y128" s="35"/>
      <c r="Z128" s="35"/>
    </row>
    <row r="129" ht="14.25" customHeight="1">
      <c r="A129" s="221"/>
      <c r="B129" s="231"/>
      <c r="C129" s="233"/>
      <c r="D129" s="212"/>
      <c r="E129" s="213"/>
      <c r="F129" s="214"/>
      <c r="G129" s="214"/>
      <c r="H129" s="523"/>
      <c r="I129" s="36">
        <f t="shared" si="1"/>
        <v>0</v>
      </c>
      <c r="J129" s="37">
        <f t="shared" si="2"/>
        <v>0</v>
      </c>
      <c r="K129" s="38">
        <f t="shared" si="3"/>
        <v>0</v>
      </c>
      <c r="L129" s="39">
        <f t="shared" si="4"/>
        <v>0</v>
      </c>
      <c r="M129" s="38">
        <f t="shared" si="5"/>
        <v>0</v>
      </c>
      <c r="N129" s="39">
        <f t="shared" si="6"/>
        <v>0</v>
      </c>
      <c r="O129" s="40"/>
      <c r="P129" s="78"/>
      <c r="Q129" s="35"/>
      <c r="R129" s="35"/>
      <c r="S129" s="35"/>
      <c r="T129" s="35"/>
      <c r="U129" s="35"/>
      <c r="V129" s="35"/>
      <c r="W129" s="35"/>
      <c r="X129" s="35"/>
      <c r="Y129" s="35"/>
      <c r="Z129" s="35"/>
    </row>
    <row r="130" ht="14.25" customHeight="1">
      <c r="A130" s="221"/>
      <c r="B130" s="231"/>
      <c r="C130" s="233"/>
      <c r="D130" s="212"/>
      <c r="E130" s="213"/>
      <c r="F130" s="214"/>
      <c r="G130" s="214"/>
      <c r="H130" s="523"/>
      <c r="I130" s="36">
        <f t="shared" si="1"/>
        <v>0</v>
      </c>
      <c r="J130" s="37">
        <f t="shared" si="2"/>
        <v>0</v>
      </c>
      <c r="K130" s="38">
        <f t="shared" si="3"/>
        <v>0</v>
      </c>
      <c r="L130" s="39">
        <f t="shared" si="4"/>
        <v>0</v>
      </c>
      <c r="M130" s="38">
        <f t="shared" si="5"/>
        <v>0</v>
      </c>
      <c r="N130" s="39">
        <f t="shared" si="6"/>
        <v>0</v>
      </c>
      <c r="O130" s="40"/>
      <c r="P130" s="78"/>
      <c r="Q130" s="35"/>
      <c r="R130" s="35"/>
      <c r="S130" s="35"/>
      <c r="T130" s="35"/>
      <c r="U130" s="35"/>
      <c r="V130" s="35"/>
      <c r="W130" s="35"/>
      <c r="X130" s="35"/>
      <c r="Y130" s="35"/>
      <c r="Z130" s="35"/>
    </row>
    <row r="131" ht="14.25" customHeight="1">
      <c r="A131" s="221"/>
      <c r="B131" s="231"/>
      <c r="C131" s="233"/>
      <c r="D131" s="212"/>
      <c r="E131" s="213"/>
      <c r="F131" s="214"/>
      <c r="G131" s="214"/>
      <c r="H131" s="523"/>
      <c r="I131" s="36">
        <f t="shared" si="1"/>
        <v>0</v>
      </c>
      <c r="J131" s="37">
        <f t="shared" si="2"/>
        <v>0</v>
      </c>
      <c r="K131" s="38">
        <f t="shared" si="3"/>
        <v>0</v>
      </c>
      <c r="L131" s="39">
        <f t="shared" si="4"/>
        <v>0</v>
      </c>
      <c r="M131" s="38">
        <f t="shared" si="5"/>
        <v>0</v>
      </c>
      <c r="N131" s="39">
        <f t="shared" si="6"/>
        <v>0</v>
      </c>
      <c r="O131" s="40"/>
      <c r="P131" s="78"/>
      <c r="Q131" s="35"/>
      <c r="R131" s="35"/>
      <c r="S131" s="35"/>
      <c r="T131" s="35"/>
      <c r="U131" s="35"/>
      <c r="V131" s="35"/>
      <c r="W131" s="35"/>
      <c r="X131" s="35"/>
      <c r="Y131" s="35"/>
      <c r="Z131" s="35"/>
    </row>
    <row r="132" ht="14.25" customHeight="1">
      <c r="A132" s="221"/>
      <c r="B132" s="231"/>
      <c r="C132" s="233"/>
      <c r="D132" s="212"/>
      <c r="E132" s="213"/>
      <c r="F132" s="214"/>
      <c r="G132" s="214"/>
      <c r="H132" s="523"/>
      <c r="I132" s="36">
        <f t="shared" si="1"/>
        <v>0</v>
      </c>
      <c r="J132" s="37">
        <f t="shared" si="2"/>
        <v>0</v>
      </c>
      <c r="K132" s="38">
        <f t="shared" si="3"/>
        <v>0</v>
      </c>
      <c r="L132" s="39">
        <f t="shared" si="4"/>
        <v>0</v>
      </c>
      <c r="M132" s="38">
        <f t="shared" si="5"/>
        <v>0</v>
      </c>
      <c r="N132" s="39">
        <f t="shared" si="6"/>
        <v>0</v>
      </c>
      <c r="O132" s="40"/>
      <c r="P132" s="78"/>
      <c r="Q132" s="35"/>
      <c r="R132" s="35"/>
      <c r="S132" s="35"/>
      <c r="T132" s="35"/>
      <c r="U132" s="35"/>
      <c r="V132" s="35"/>
      <c r="W132" s="35"/>
      <c r="X132" s="35"/>
      <c r="Y132" s="35"/>
      <c r="Z132" s="35"/>
    </row>
    <row r="133" ht="14.25" customHeight="1">
      <c r="A133" s="221"/>
      <c r="B133" s="231"/>
      <c r="C133" s="233"/>
      <c r="D133" s="212"/>
      <c r="E133" s="213"/>
      <c r="F133" s="214"/>
      <c r="G133" s="214"/>
      <c r="H133" s="523"/>
      <c r="I133" s="36">
        <f t="shared" si="1"/>
        <v>0</v>
      </c>
      <c r="J133" s="37">
        <f t="shared" si="2"/>
        <v>0</v>
      </c>
      <c r="K133" s="38">
        <f t="shared" si="3"/>
        <v>0</v>
      </c>
      <c r="L133" s="39">
        <f t="shared" si="4"/>
        <v>0</v>
      </c>
      <c r="M133" s="38">
        <f t="shared" si="5"/>
        <v>0</v>
      </c>
      <c r="N133" s="39">
        <f t="shared" si="6"/>
        <v>0</v>
      </c>
      <c r="O133" s="40"/>
      <c r="P133" s="78"/>
      <c r="Q133" s="35"/>
      <c r="R133" s="35"/>
      <c r="S133" s="35"/>
      <c r="T133" s="35"/>
      <c r="U133" s="35"/>
      <c r="V133" s="35"/>
      <c r="W133" s="35"/>
      <c r="X133" s="35"/>
      <c r="Y133" s="35"/>
      <c r="Z133" s="35"/>
    </row>
    <row r="134" ht="14.25" customHeight="1">
      <c r="A134" s="221"/>
      <c r="B134" s="231"/>
      <c r="C134" s="233"/>
      <c r="D134" s="212"/>
      <c r="E134" s="213"/>
      <c r="F134" s="214"/>
      <c r="G134" s="214"/>
      <c r="H134" s="523"/>
      <c r="I134" s="36">
        <f t="shared" si="1"/>
        <v>0</v>
      </c>
      <c r="J134" s="37">
        <f t="shared" si="2"/>
        <v>0</v>
      </c>
      <c r="K134" s="38">
        <f t="shared" si="3"/>
        <v>0</v>
      </c>
      <c r="L134" s="39">
        <f t="shared" si="4"/>
        <v>0</v>
      </c>
      <c r="M134" s="38">
        <f t="shared" si="5"/>
        <v>0</v>
      </c>
      <c r="N134" s="39">
        <f t="shared" si="6"/>
        <v>0</v>
      </c>
      <c r="O134" s="40"/>
      <c r="P134" s="78"/>
      <c r="Q134" s="35"/>
      <c r="R134" s="35"/>
      <c r="S134" s="35"/>
      <c r="T134" s="35"/>
      <c r="U134" s="35"/>
      <c r="V134" s="35"/>
      <c r="W134" s="35"/>
      <c r="X134" s="35"/>
      <c r="Y134" s="35"/>
      <c r="Z134" s="35"/>
    </row>
    <row r="135" ht="14.25" customHeight="1">
      <c r="A135" s="221"/>
      <c r="B135" s="231"/>
      <c r="C135" s="233"/>
      <c r="D135" s="212"/>
      <c r="E135" s="213"/>
      <c r="F135" s="214"/>
      <c r="G135" s="214"/>
      <c r="H135" s="523"/>
      <c r="I135" s="36">
        <f t="shared" si="1"/>
        <v>0</v>
      </c>
      <c r="J135" s="37">
        <f t="shared" si="2"/>
        <v>0</v>
      </c>
      <c r="K135" s="38">
        <f t="shared" si="3"/>
        <v>0</v>
      </c>
      <c r="L135" s="39">
        <f t="shared" si="4"/>
        <v>0</v>
      </c>
      <c r="M135" s="38">
        <f t="shared" si="5"/>
        <v>0</v>
      </c>
      <c r="N135" s="39">
        <f t="shared" si="6"/>
        <v>0</v>
      </c>
      <c r="O135" s="40"/>
      <c r="P135" s="78"/>
      <c r="Q135" s="35"/>
      <c r="R135" s="35"/>
      <c r="S135" s="35"/>
      <c r="T135" s="35"/>
      <c r="U135" s="35"/>
      <c r="V135" s="35"/>
      <c r="W135" s="35"/>
      <c r="X135" s="35"/>
      <c r="Y135" s="35"/>
      <c r="Z135" s="35"/>
    </row>
    <row r="136" ht="14.25" customHeight="1">
      <c r="A136" s="221"/>
      <c r="B136" s="231"/>
      <c r="C136" s="233"/>
      <c r="D136" s="212"/>
      <c r="E136" s="213"/>
      <c r="F136" s="214"/>
      <c r="G136" s="214"/>
      <c r="H136" s="523"/>
      <c r="I136" s="36">
        <f t="shared" si="1"/>
        <v>0</v>
      </c>
      <c r="J136" s="37">
        <f t="shared" si="2"/>
        <v>0</v>
      </c>
      <c r="K136" s="38">
        <f t="shared" si="3"/>
        <v>0</v>
      </c>
      <c r="L136" s="39">
        <f t="shared" si="4"/>
        <v>0</v>
      </c>
      <c r="M136" s="38">
        <f t="shared" si="5"/>
        <v>0</v>
      </c>
      <c r="N136" s="39">
        <f t="shared" si="6"/>
        <v>0</v>
      </c>
      <c r="O136" s="40"/>
      <c r="P136" s="78"/>
      <c r="Q136" s="35"/>
      <c r="R136" s="35"/>
      <c r="S136" s="35"/>
      <c r="T136" s="35"/>
      <c r="U136" s="35"/>
      <c r="V136" s="35"/>
      <c r="W136" s="35"/>
      <c r="X136" s="35"/>
      <c r="Y136" s="35"/>
      <c r="Z136" s="35"/>
    </row>
    <row r="137" ht="14.25" customHeight="1">
      <c r="A137" s="221"/>
      <c r="B137" s="231"/>
      <c r="C137" s="233"/>
      <c r="D137" s="212"/>
      <c r="E137" s="213"/>
      <c r="F137" s="214"/>
      <c r="G137" s="214"/>
      <c r="H137" s="523"/>
      <c r="I137" s="36">
        <f t="shared" si="1"/>
        <v>0</v>
      </c>
      <c r="J137" s="37">
        <f t="shared" si="2"/>
        <v>0</v>
      </c>
      <c r="K137" s="38">
        <f t="shared" si="3"/>
        <v>0</v>
      </c>
      <c r="L137" s="39">
        <f t="shared" si="4"/>
        <v>0</v>
      </c>
      <c r="M137" s="38">
        <f t="shared" si="5"/>
        <v>0</v>
      </c>
      <c r="N137" s="39">
        <f t="shared" si="6"/>
        <v>0</v>
      </c>
      <c r="O137" s="40"/>
      <c r="P137" s="78"/>
      <c r="Q137" s="35"/>
      <c r="R137" s="35"/>
      <c r="S137" s="35"/>
      <c r="T137" s="35"/>
      <c r="U137" s="35"/>
      <c r="V137" s="35"/>
      <c r="W137" s="35"/>
      <c r="X137" s="35"/>
      <c r="Y137" s="35"/>
      <c r="Z137" s="35"/>
    </row>
    <row r="138" ht="14.25" customHeight="1">
      <c r="A138" s="221"/>
      <c r="B138" s="231"/>
      <c r="C138" s="233"/>
      <c r="D138" s="212"/>
      <c r="E138" s="213"/>
      <c r="F138" s="214"/>
      <c r="G138" s="214"/>
      <c r="H138" s="523"/>
      <c r="I138" s="36">
        <f t="shared" si="1"/>
        <v>0</v>
      </c>
      <c r="J138" s="37">
        <f t="shared" si="2"/>
        <v>0</v>
      </c>
      <c r="K138" s="38">
        <f t="shared" si="3"/>
        <v>0</v>
      </c>
      <c r="L138" s="39">
        <f t="shared" si="4"/>
        <v>0</v>
      </c>
      <c r="M138" s="38">
        <f t="shared" si="5"/>
        <v>0</v>
      </c>
      <c r="N138" s="39">
        <f t="shared" si="6"/>
        <v>0</v>
      </c>
      <c r="O138" s="40"/>
      <c r="P138" s="78"/>
      <c r="Q138" s="35"/>
      <c r="R138" s="35"/>
      <c r="S138" s="35"/>
      <c r="T138" s="35"/>
      <c r="U138" s="35"/>
      <c r="V138" s="35"/>
      <c r="W138" s="35"/>
      <c r="X138" s="35"/>
      <c r="Y138" s="35"/>
      <c r="Z138" s="35"/>
    </row>
    <row r="139" ht="14.25" customHeight="1">
      <c r="A139" s="221"/>
      <c r="B139" s="231"/>
      <c r="C139" s="233"/>
      <c r="D139" s="212"/>
      <c r="E139" s="213"/>
      <c r="F139" s="214"/>
      <c r="G139" s="214"/>
      <c r="H139" s="523"/>
      <c r="I139" s="36">
        <f t="shared" si="1"/>
        <v>0</v>
      </c>
      <c r="J139" s="37">
        <f t="shared" si="2"/>
        <v>0</v>
      </c>
      <c r="K139" s="38">
        <f t="shared" si="3"/>
        <v>0</v>
      </c>
      <c r="L139" s="39">
        <f t="shared" si="4"/>
        <v>0</v>
      </c>
      <c r="M139" s="38">
        <f t="shared" si="5"/>
        <v>0</v>
      </c>
      <c r="N139" s="39">
        <f t="shared" si="6"/>
        <v>0</v>
      </c>
      <c r="O139" s="40"/>
      <c r="P139" s="78"/>
      <c r="Q139" s="35"/>
      <c r="R139" s="35"/>
      <c r="S139" s="35"/>
      <c r="T139" s="35"/>
      <c r="U139" s="35"/>
      <c r="V139" s="35"/>
      <c r="W139" s="35"/>
      <c r="X139" s="35"/>
      <c r="Y139" s="35"/>
      <c r="Z139" s="35"/>
    </row>
    <row r="140" ht="14.25" customHeight="1">
      <c r="A140" s="221"/>
      <c r="B140" s="231"/>
      <c r="C140" s="233"/>
      <c r="D140" s="212"/>
      <c r="E140" s="213"/>
      <c r="F140" s="214"/>
      <c r="G140" s="214"/>
      <c r="H140" s="523"/>
      <c r="I140" s="36">
        <f t="shared" si="1"/>
        <v>0</v>
      </c>
      <c r="J140" s="37">
        <f t="shared" si="2"/>
        <v>0</v>
      </c>
      <c r="K140" s="38">
        <f t="shared" si="3"/>
        <v>0</v>
      </c>
      <c r="L140" s="39">
        <f t="shared" si="4"/>
        <v>0</v>
      </c>
      <c r="M140" s="38">
        <f t="shared" si="5"/>
        <v>0</v>
      </c>
      <c r="N140" s="39">
        <f t="shared" si="6"/>
        <v>0</v>
      </c>
      <c r="O140" s="40"/>
      <c r="P140" s="78"/>
      <c r="Q140" s="35"/>
      <c r="R140" s="35"/>
      <c r="S140" s="35"/>
      <c r="T140" s="35"/>
      <c r="U140" s="35"/>
      <c r="V140" s="35"/>
      <c r="W140" s="35"/>
      <c r="X140" s="35"/>
      <c r="Y140" s="35"/>
      <c r="Z140" s="35"/>
    </row>
    <row r="141" ht="14.25" customHeight="1">
      <c r="A141" s="221"/>
      <c r="B141" s="231"/>
      <c r="C141" s="233"/>
      <c r="D141" s="212"/>
      <c r="E141" s="213"/>
      <c r="F141" s="214"/>
      <c r="G141" s="214"/>
      <c r="H141" s="523"/>
      <c r="I141" s="36">
        <f t="shared" si="1"/>
        <v>0</v>
      </c>
      <c r="J141" s="37">
        <f t="shared" si="2"/>
        <v>0</v>
      </c>
      <c r="K141" s="38">
        <f t="shared" si="3"/>
        <v>0</v>
      </c>
      <c r="L141" s="39">
        <f t="shared" si="4"/>
        <v>0</v>
      </c>
      <c r="M141" s="38">
        <f t="shared" si="5"/>
        <v>0</v>
      </c>
      <c r="N141" s="39">
        <f t="shared" si="6"/>
        <v>0</v>
      </c>
      <c r="O141" s="40"/>
      <c r="P141" s="78"/>
      <c r="Q141" s="35"/>
      <c r="R141" s="35"/>
      <c r="S141" s="35"/>
      <c r="T141" s="35"/>
      <c r="U141" s="35"/>
      <c r="V141" s="35"/>
      <c r="W141" s="35"/>
      <c r="X141" s="35"/>
      <c r="Y141" s="35"/>
      <c r="Z141" s="35"/>
    </row>
    <row r="142" ht="14.25" customHeight="1">
      <c r="A142" s="221"/>
      <c r="B142" s="231"/>
      <c r="C142" s="233"/>
      <c r="D142" s="212"/>
      <c r="E142" s="213"/>
      <c r="F142" s="214"/>
      <c r="G142" s="214"/>
      <c r="H142" s="523"/>
      <c r="I142" s="36">
        <f t="shared" si="1"/>
        <v>0</v>
      </c>
      <c r="J142" s="37">
        <f t="shared" si="2"/>
        <v>0</v>
      </c>
      <c r="K142" s="38">
        <f t="shared" si="3"/>
        <v>0</v>
      </c>
      <c r="L142" s="39">
        <f t="shared" si="4"/>
        <v>0</v>
      </c>
      <c r="M142" s="38">
        <f t="shared" si="5"/>
        <v>0</v>
      </c>
      <c r="N142" s="39">
        <f t="shared" si="6"/>
        <v>0</v>
      </c>
      <c r="O142" s="40"/>
      <c r="P142" s="78"/>
      <c r="Q142" s="35"/>
      <c r="R142" s="35"/>
      <c r="S142" s="35"/>
      <c r="T142" s="35"/>
      <c r="U142" s="35"/>
      <c r="V142" s="35"/>
      <c r="W142" s="35"/>
      <c r="X142" s="35"/>
      <c r="Y142" s="35"/>
      <c r="Z142" s="35"/>
    </row>
    <row r="143" ht="14.25" customHeight="1">
      <c r="A143" s="221"/>
      <c r="B143" s="231"/>
      <c r="C143" s="233"/>
      <c r="D143" s="212"/>
      <c r="E143" s="213"/>
      <c r="F143" s="214"/>
      <c r="G143" s="214"/>
      <c r="H143" s="523"/>
      <c r="I143" s="36">
        <f t="shared" si="1"/>
        <v>0</v>
      </c>
      <c r="J143" s="37">
        <f t="shared" si="2"/>
        <v>0</v>
      </c>
      <c r="K143" s="38">
        <f t="shared" si="3"/>
        <v>0</v>
      </c>
      <c r="L143" s="39">
        <f t="shared" si="4"/>
        <v>0</v>
      </c>
      <c r="M143" s="38">
        <f t="shared" si="5"/>
        <v>0</v>
      </c>
      <c r="N143" s="39">
        <f t="shared" si="6"/>
        <v>0</v>
      </c>
      <c r="O143" s="40"/>
      <c r="P143" s="78"/>
      <c r="Q143" s="35"/>
      <c r="R143" s="35"/>
      <c r="S143" s="35"/>
      <c r="T143" s="35"/>
      <c r="U143" s="35"/>
      <c r="V143" s="35"/>
      <c r="W143" s="35"/>
      <c r="X143" s="35"/>
      <c r="Y143" s="35"/>
      <c r="Z143" s="35"/>
    </row>
    <row r="144" ht="14.25" customHeight="1">
      <c r="A144" s="221"/>
      <c r="B144" s="231"/>
      <c r="C144" s="233"/>
      <c r="D144" s="212"/>
      <c r="E144" s="213"/>
      <c r="F144" s="214"/>
      <c r="G144" s="214"/>
      <c r="H144" s="523"/>
      <c r="I144" s="36">
        <f t="shared" si="1"/>
        <v>0</v>
      </c>
      <c r="J144" s="37">
        <f t="shared" si="2"/>
        <v>0</v>
      </c>
      <c r="K144" s="38">
        <f t="shared" si="3"/>
        <v>0</v>
      </c>
      <c r="L144" s="39">
        <f t="shared" si="4"/>
        <v>0</v>
      </c>
      <c r="M144" s="38">
        <f t="shared" si="5"/>
        <v>0</v>
      </c>
      <c r="N144" s="39">
        <f t="shared" si="6"/>
        <v>0</v>
      </c>
      <c r="O144" s="40"/>
      <c r="P144" s="78"/>
      <c r="Q144" s="35"/>
      <c r="R144" s="35"/>
      <c r="S144" s="35"/>
      <c r="T144" s="35"/>
      <c r="U144" s="35"/>
      <c r="V144" s="35"/>
      <c r="W144" s="35"/>
      <c r="X144" s="35"/>
      <c r="Y144" s="35"/>
      <c r="Z144" s="35"/>
    </row>
    <row r="145" ht="14.25" customHeight="1">
      <c r="A145" s="221"/>
      <c r="B145" s="231"/>
      <c r="C145" s="233"/>
      <c r="D145" s="212"/>
      <c r="E145" s="213"/>
      <c r="F145" s="214"/>
      <c r="G145" s="214"/>
      <c r="H145" s="523"/>
      <c r="I145" s="36">
        <f t="shared" si="1"/>
        <v>0</v>
      </c>
      <c r="J145" s="37">
        <f t="shared" si="2"/>
        <v>0</v>
      </c>
      <c r="K145" s="38">
        <f t="shared" si="3"/>
        <v>0</v>
      </c>
      <c r="L145" s="39">
        <f t="shared" si="4"/>
        <v>0</v>
      </c>
      <c r="M145" s="38">
        <f t="shared" si="5"/>
        <v>0</v>
      </c>
      <c r="N145" s="39">
        <f t="shared" si="6"/>
        <v>0</v>
      </c>
      <c r="O145" s="40"/>
      <c r="P145" s="34"/>
      <c r="Q145" s="35"/>
      <c r="R145" s="35"/>
      <c r="S145" s="35"/>
      <c r="T145" s="35"/>
      <c r="U145" s="35"/>
      <c r="V145" s="35"/>
      <c r="W145" s="35"/>
      <c r="X145" s="35"/>
      <c r="Y145" s="35"/>
      <c r="Z145" s="35"/>
    </row>
    <row r="146" ht="14.25" customHeight="1">
      <c r="A146" s="221"/>
      <c r="B146" s="231"/>
      <c r="C146" s="233"/>
      <c r="D146" s="212"/>
      <c r="E146" s="213"/>
      <c r="F146" s="214"/>
      <c r="G146" s="214"/>
      <c r="H146" s="523"/>
      <c r="I146" s="36">
        <f t="shared" si="1"/>
        <v>0</v>
      </c>
      <c r="J146" s="37">
        <f t="shared" si="2"/>
        <v>0</v>
      </c>
      <c r="K146" s="38">
        <f t="shared" si="3"/>
        <v>0</v>
      </c>
      <c r="L146" s="39">
        <f t="shared" si="4"/>
        <v>0</v>
      </c>
      <c r="M146" s="38">
        <f t="shared" si="5"/>
        <v>0</v>
      </c>
      <c r="N146" s="39">
        <f t="shared" si="6"/>
        <v>0</v>
      </c>
      <c r="O146" s="40"/>
      <c r="P146" s="34"/>
      <c r="Q146" s="35"/>
      <c r="R146" s="35"/>
      <c r="S146" s="35"/>
      <c r="T146" s="35"/>
      <c r="U146" s="35"/>
      <c r="V146" s="35"/>
      <c r="W146" s="35"/>
      <c r="X146" s="35"/>
      <c r="Y146" s="35"/>
      <c r="Z146" s="35"/>
    </row>
    <row r="147" ht="14.25" customHeight="1">
      <c r="A147" s="221"/>
      <c r="B147" s="231"/>
      <c r="C147" s="233"/>
      <c r="D147" s="212"/>
      <c r="E147" s="213"/>
      <c r="F147" s="214"/>
      <c r="G147" s="214"/>
      <c r="H147" s="523"/>
      <c r="I147" s="36">
        <f t="shared" si="1"/>
        <v>0</v>
      </c>
      <c r="J147" s="37">
        <f t="shared" si="2"/>
        <v>0</v>
      </c>
      <c r="K147" s="38">
        <f t="shared" si="3"/>
        <v>0</v>
      </c>
      <c r="L147" s="39">
        <f t="shared" si="4"/>
        <v>0</v>
      </c>
      <c r="M147" s="38">
        <f t="shared" si="5"/>
        <v>0</v>
      </c>
      <c r="N147" s="39">
        <f t="shared" si="6"/>
        <v>0</v>
      </c>
      <c r="O147" s="40"/>
      <c r="P147" s="34"/>
      <c r="Q147" s="35"/>
      <c r="R147" s="35"/>
      <c r="S147" s="35"/>
      <c r="T147" s="35"/>
      <c r="U147" s="35"/>
      <c r="V147" s="35"/>
      <c r="W147" s="35"/>
      <c r="X147" s="35"/>
      <c r="Y147" s="35"/>
      <c r="Z147" s="35"/>
    </row>
    <row r="148" ht="14.25" customHeight="1">
      <c r="A148" s="221"/>
      <c r="B148" s="231"/>
      <c r="C148" s="233"/>
      <c r="D148" s="212"/>
      <c r="E148" s="213"/>
      <c r="F148" s="214"/>
      <c r="G148" s="214"/>
      <c r="H148" s="523"/>
      <c r="I148" s="36">
        <f t="shared" si="1"/>
        <v>0</v>
      </c>
      <c r="J148" s="37">
        <f t="shared" si="2"/>
        <v>0</v>
      </c>
      <c r="K148" s="38">
        <f t="shared" si="3"/>
        <v>0</v>
      </c>
      <c r="L148" s="39">
        <f t="shared" si="4"/>
        <v>0</v>
      </c>
      <c r="M148" s="38">
        <f t="shared" si="5"/>
        <v>0</v>
      </c>
      <c r="N148" s="39">
        <f t="shared" si="6"/>
        <v>0</v>
      </c>
      <c r="O148" s="40"/>
      <c r="P148" s="34"/>
      <c r="Q148" s="35"/>
      <c r="R148" s="35"/>
      <c r="S148" s="35"/>
      <c r="T148" s="35"/>
      <c r="U148" s="35"/>
      <c r="V148" s="35"/>
      <c r="W148" s="35"/>
      <c r="X148" s="35"/>
      <c r="Y148" s="35"/>
      <c r="Z148" s="35"/>
    </row>
    <row r="149" ht="14.25" customHeight="1">
      <c r="A149" s="221"/>
      <c r="B149" s="231"/>
      <c r="C149" s="233"/>
      <c r="D149" s="212"/>
      <c r="E149" s="213"/>
      <c r="F149" s="214"/>
      <c r="G149" s="214"/>
      <c r="H149" s="523"/>
      <c r="I149" s="36">
        <f t="shared" si="1"/>
        <v>0</v>
      </c>
      <c r="J149" s="37">
        <f t="shared" si="2"/>
        <v>0</v>
      </c>
      <c r="K149" s="38">
        <f t="shared" si="3"/>
        <v>0</v>
      </c>
      <c r="L149" s="39">
        <f t="shared" si="4"/>
        <v>0</v>
      </c>
      <c r="M149" s="38">
        <f t="shared" si="5"/>
        <v>0</v>
      </c>
      <c r="N149" s="39">
        <f t="shared" si="6"/>
        <v>0</v>
      </c>
      <c r="O149" s="40"/>
      <c r="P149" s="34"/>
      <c r="Q149" s="35"/>
      <c r="R149" s="35"/>
      <c r="S149" s="35"/>
      <c r="T149" s="35"/>
      <c r="U149" s="35"/>
      <c r="V149" s="35"/>
      <c r="W149" s="35"/>
      <c r="X149" s="35"/>
      <c r="Y149" s="35"/>
      <c r="Z149" s="35"/>
    </row>
    <row r="150" ht="14.25" customHeight="1">
      <c r="A150" s="221"/>
      <c r="B150" s="231"/>
      <c r="C150" s="233"/>
      <c r="D150" s="212"/>
      <c r="E150" s="213"/>
      <c r="F150" s="214"/>
      <c r="G150" s="214"/>
      <c r="H150" s="523"/>
      <c r="I150" s="36">
        <f t="shared" si="1"/>
        <v>0</v>
      </c>
      <c r="J150" s="37">
        <f t="shared" si="2"/>
        <v>0</v>
      </c>
      <c r="K150" s="38">
        <f t="shared" si="3"/>
        <v>0</v>
      </c>
      <c r="L150" s="39">
        <f t="shared" si="4"/>
        <v>0</v>
      </c>
      <c r="M150" s="38">
        <f t="shared" si="5"/>
        <v>0</v>
      </c>
      <c r="N150" s="39">
        <f t="shared" si="6"/>
        <v>0</v>
      </c>
      <c r="O150" s="40"/>
      <c r="P150" s="34"/>
      <c r="Q150" s="35"/>
      <c r="R150" s="35"/>
      <c r="S150" s="35"/>
      <c r="T150" s="35"/>
      <c r="U150" s="35"/>
      <c r="V150" s="35"/>
      <c r="W150" s="35"/>
      <c r="X150" s="35"/>
      <c r="Y150" s="35"/>
      <c r="Z150" s="35"/>
    </row>
    <row r="151" ht="14.25" customHeight="1">
      <c r="A151" s="221"/>
      <c r="B151" s="231"/>
      <c r="C151" s="233"/>
      <c r="D151" s="212"/>
      <c r="E151" s="213"/>
      <c r="F151" s="214"/>
      <c r="G151" s="214"/>
      <c r="H151" s="523"/>
      <c r="I151" s="36">
        <f t="shared" si="1"/>
        <v>0</v>
      </c>
      <c r="J151" s="37">
        <f t="shared" si="2"/>
        <v>0</v>
      </c>
      <c r="K151" s="38">
        <f t="shared" si="3"/>
        <v>0</v>
      </c>
      <c r="L151" s="39">
        <f t="shared" si="4"/>
        <v>0</v>
      </c>
      <c r="M151" s="38">
        <f t="shared" si="5"/>
        <v>0</v>
      </c>
      <c r="N151" s="39">
        <f t="shared" si="6"/>
        <v>0</v>
      </c>
      <c r="O151" s="40"/>
      <c r="P151" s="78"/>
      <c r="Q151" s="35"/>
      <c r="R151" s="35"/>
      <c r="S151" s="35"/>
      <c r="T151" s="35"/>
      <c r="U151" s="35"/>
      <c r="V151" s="35"/>
      <c r="W151" s="35"/>
      <c r="X151" s="35"/>
      <c r="Y151" s="35"/>
      <c r="Z151" s="35"/>
    </row>
    <row r="152" ht="14.25" customHeight="1">
      <c r="A152" s="221"/>
      <c r="B152" s="231"/>
      <c r="C152" s="233"/>
      <c r="D152" s="212"/>
      <c r="E152" s="213"/>
      <c r="F152" s="214"/>
      <c r="G152" s="214"/>
      <c r="H152" s="523"/>
      <c r="I152" s="36">
        <f t="shared" si="1"/>
        <v>0</v>
      </c>
      <c r="J152" s="37">
        <f t="shared" si="2"/>
        <v>0</v>
      </c>
      <c r="K152" s="38">
        <f t="shared" si="3"/>
        <v>0</v>
      </c>
      <c r="L152" s="39">
        <f t="shared" si="4"/>
        <v>0</v>
      </c>
      <c r="M152" s="38">
        <f t="shared" si="5"/>
        <v>0</v>
      </c>
      <c r="N152" s="39">
        <f t="shared" si="6"/>
        <v>0</v>
      </c>
      <c r="O152" s="40"/>
      <c r="P152" s="78"/>
      <c r="Q152" s="35"/>
      <c r="R152" s="35"/>
      <c r="S152" s="35"/>
      <c r="T152" s="35"/>
      <c r="U152" s="35"/>
      <c r="V152" s="35"/>
      <c r="W152" s="35"/>
      <c r="X152" s="35"/>
      <c r="Y152" s="35"/>
      <c r="Z152" s="35"/>
    </row>
    <row r="153" ht="14.25" customHeight="1">
      <c r="A153" s="221"/>
      <c r="B153" s="231"/>
      <c r="C153" s="233"/>
      <c r="D153" s="212"/>
      <c r="E153" s="213"/>
      <c r="F153" s="214"/>
      <c r="G153" s="214"/>
      <c r="H153" s="523"/>
      <c r="I153" s="36">
        <f t="shared" si="1"/>
        <v>0</v>
      </c>
      <c r="J153" s="37">
        <f t="shared" si="2"/>
        <v>0</v>
      </c>
      <c r="K153" s="38">
        <f t="shared" si="3"/>
        <v>0</v>
      </c>
      <c r="L153" s="39">
        <f t="shared" si="4"/>
        <v>0</v>
      </c>
      <c r="M153" s="38">
        <f t="shared" si="5"/>
        <v>0</v>
      </c>
      <c r="N153" s="39">
        <f t="shared" si="6"/>
        <v>0</v>
      </c>
      <c r="O153" s="40"/>
      <c r="P153" s="78"/>
      <c r="Q153" s="35"/>
      <c r="R153" s="35"/>
      <c r="S153" s="35"/>
      <c r="T153" s="35"/>
      <c r="U153" s="35"/>
      <c r="V153" s="35"/>
      <c r="W153" s="35"/>
      <c r="X153" s="35"/>
      <c r="Y153" s="35"/>
      <c r="Z153" s="35"/>
    </row>
    <row r="154" ht="14.25" customHeight="1">
      <c r="A154" s="221"/>
      <c r="B154" s="231"/>
      <c r="C154" s="233"/>
      <c r="D154" s="212"/>
      <c r="E154" s="213"/>
      <c r="F154" s="214"/>
      <c r="G154" s="214"/>
      <c r="H154" s="523"/>
      <c r="I154" s="36">
        <f t="shared" si="1"/>
        <v>0</v>
      </c>
      <c r="J154" s="37">
        <f t="shared" si="2"/>
        <v>0</v>
      </c>
      <c r="K154" s="38">
        <f t="shared" si="3"/>
        <v>0</v>
      </c>
      <c r="L154" s="39">
        <f t="shared" si="4"/>
        <v>0</v>
      </c>
      <c r="M154" s="38">
        <f t="shared" si="5"/>
        <v>0</v>
      </c>
      <c r="N154" s="39">
        <f t="shared" si="6"/>
        <v>0</v>
      </c>
      <c r="O154" s="40"/>
      <c r="P154" s="78"/>
      <c r="Q154" s="35"/>
      <c r="R154" s="35"/>
      <c r="S154" s="35"/>
      <c r="T154" s="35"/>
      <c r="U154" s="35"/>
      <c r="V154" s="35"/>
      <c r="W154" s="35"/>
      <c r="X154" s="35"/>
      <c r="Y154" s="35"/>
      <c r="Z154" s="35"/>
    </row>
    <row r="155" ht="14.25" customHeight="1">
      <c r="A155" s="221"/>
      <c r="B155" s="231"/>
      <c r="C155" s="233"/>
      <c r="D155" s="212"/>
      <c r="E155" s="213"/>
      <c r="F155" s="214"/>
      <c r="G155" s="214"/>
      <c r="H155" s="523"/>
      <c r="I155" s="36">
        <f t="shared" si="1"/>
        <v>0</v>
      </c>
      <c r="J155" s="37">
        <f t="shared" si="2"/>
        <v>0</v>
      </c>
      <c r="K155" s="38">
        <f t="shared" si="3"/>
        <v>0</v>
      </c>
      <c r="L155" s="39">
        <f t="shared" si="4"/>
        <v>0</v>
      </c>
      <c r="M155" s="38">
        <f t="shared" si="5"/>
        <v>0</v>
      </c>
      <c r="N155" s="39">
        <f t="shared" si="6"/>
        <v>0</v>
      </c>
      <c r="O155" s="40"/>
      <c r="P155" s="78"/>
      <c r="Q155" s="35"/>
      <c r="R155" s="35"/>
      <c r="S155" s="35"/>
      <c r="T155" s="35"/>
      <c r="U155" s="35"/>
      <c r="V155" s="35"/>
      <c r="W155" s="35"/>
      <c r="X155" s="35"/>
      <c r="Y155" s="35"/>
      <c r="Z155" s="35"/>
    </row>
    <row r="156" ht="14.25" customHeight="1">
      <c r="A156" s="221"/>
      <c r="B156" s="231"/>
      <c r="C156" s="233"/>
      <c r="D156" s="212"/>
      <c r="E156" s="213"/>
      <c r="F156" s="214"/>
      <c r="G156" s="214"/>
      <c r="H156" s="523"/>
      <c r="I156" s="36">
        <f t="shared" si="1"/>
        <v>0</v>
      </c>
      <c r="J156" s="37">
        <f t="shared" si="2"/>
        <v>0</v>
      </c>
      <c r="K156" s="38">
        <f t="shared" si="3"/>
        <v>0</v>
      </c>
      <c r="L156" s="39">
        <f t="shared" si="4"/>
        <v>0</v>
      </c>
      <c r="M156" s="38">
        <f t="shared" si="5"/>
        <v>0</v>
      </c>
      <c r="N156" s="39">
        <f t="shared" si="6"/>
        <v>0</v>
      </c>
      <c r="O156" s="40"/>
      <c r="P156" s="78"/>
      <c r="Q156" s="35"/>
      <c r="R156" s="35"/>
      <c r="S156" s="35"/>
      <c r="T156" s="35"/>
      <c r="U156" s="35"/>
      <c r="V156" s="35"/>
      <c r="W156" s="35"/>
      <c r="X156" s="35"/>
      <c r="Y156" s="35"/>
      <c r="Z156" s="35"/>
    </row>
    <row r="157" ht="14.25" customHeight="1">
      <c r="A157" s="221"/>
      <c r="B157" s="231"/>
      <c r="C157" s="233"/>
      <c r="D157" s="212"/>
      <c r="E157" s="213"/>
      <c r="F157" s="214"/>
      <c r="G157" s="214"/>
      <c r="H157" s="523"/>
      <c r="I157" s="36">
        <f t="shared" si="1"/>
        <v>0</v>
      </c>
      <c r="J157" s="37">
        <f t="shared" si="2"/>
        <v>0</v>
      </c>
      <c r="K157" s="38">
        <f t="shared" si="3"/>
        <v>0</v>
      </c>
      <c r="L157" s="39">
        <f t="shared" si="4"/>
        <v>0</v>
      </c>
      <c r="M157" s="38">
        <f t="shared" si="5"/>
        <v>0</v>
      </c>
      <c r="N157" s="39">
        <f t="shared" si="6"/>
        <v>0</v>
      </c>
      <c r="O157" s="40"/>
      <c r="P157" s="78"/>
      <c r="Q157" s="35"/>
      <c r="R157" s="35"/>
      <c r="S157" s="35"/>
      <c r="T157" s="35"/>
      <c r="U157" s="35"/>
      <c r="V157" s="35"/>
      <c r="W157" s="35"/>
      <c r="X157" s="35"/>
      <c r="Y157" s="35"/>
      <c r="Z157" s="35"/>
    </row>
    <row r="158" ht="14.25" customHeight="1">
      <c r="A158" s="221"/>
      <c r="B158" s="231"/>
      <c r="C158" s="233"/>
      <c r="D158" s="212"/>
      <c r="E158" s="213"/>
      <c r="F158" s="214"/>
      <c r="G158" s="214"/>
      <c r="H158" s="523"/>
      <c r="I158" s="36">
        <f t="shared" si="1"/>
        <v>0</v>
      </c>
      <c r="J158" s="37">
        <f t="shared" si="2"/>
        <v>0</v>
      </c>
      <c r="K158" s="38">
        <f t="shared" si="3"/>
        <v>0</v>
      </c>
      <c r="L158" s="39">
        <f t="shared" si="4"/>
        <v>0</v>
      </c>
      <c r="M158" s="38">
        <f t="shared" si="5"/>
        <v>0</v>
      </c>
      <c r="N158" s="39">
        <f t="shared" si="6"/>
        <v>0</v>
      </c>
      <c r="O158" s="40"/>
      <c r="P158" s="78"/>
      <c r="Q158" s="35"/>
      <c r="R158" s="35"/>
      <c r="S158" s="35"/>
      <c r="T158" s="35"/>
      <c r="U158" s="35"/>
      <c r="V158" s="35"/>
      <c r="W158" s="35"/>
      <c r="X158" s="35"/>
      <c r="Y158" s="35"/>
      <c r="Z158" s="35"/>
    </row>
    <row r="159" ht="14.25" customHeight="1">
      <c r="A159" s="221"/>
      <c r="B159" s="231"/>
      <c r="C159" s="233"/>
      <c r="D159" s="212"/>
      <c r="E159" s="213"/>
      <c r="F159" s="214"/>
      <c r="G159" s="214"/>
      <c r="H159" s="523"/>
      <c r="I159" s="36">
        <f t="shared" si="1"/>
        <v>0</v>
      </c>
      <c r="J159" s="37">
        <f t="shared" si="2"/>
        <v>0</v>
      </c>
      <c r="K159" s="38">
        <f t="shared" si="3"/>
        <v>0</v>
      </c>
      <c r="L159" s="39">
        <f t="shared" si="4"/>
        <v>0</v>
      </c>
      <c r="M159" s="38">
        <f t="shared" si="5"/>
        <v>0</v>
      </c>
      <c r="N159" s="39">
        <f t="shared" si="6"/>
        <v>0</v>
      </c>
      <c r="O159" s="40"/>
      <c r="P159" s="78"/>
      <c r="Q159" s="35"/>
      <c r="R159" s="35"/>
      <c r="S159" s="35"/>
      <c r="T159" s="35"/>
      <c r="U159" s="35"/>
      <c r="V159" s="35"/>
      <c r="W159" s="35"/>
      <c r="X159" s="35"/>
      <c r="Y159" s="35"/>
      <c r="Z159" s="35"/>
    </row>
    <row r="160" ht="14.25" customHeight="1">
      <c r="A160" s="221"/>
      <c r="B160" s="231"/>
      <c r="C160" s="233"/>
      <c r="D160" s="212"/>
      <c r="E160" s="213"/>
      <c r="F160" s="214"/>
      <c r="G160" s="214"/>
      <c r="H160" s="523"/>
      <c r="I160" s="36">
        <f t="shared" si="1"/>
        <v>0</v>
      </c>
      <c r="J160" s="37">
        <f t="shared" si="2"/>
        <v>0</v>
      </c>
      <c r="K160" s="38">
        <f t="shared" si="3"/>
        <v>0</v>
      </c>
      <c r="L160" s="39">
        <f t="shared" si="4"/>
        <v>0</v>
      </c>
      <c r="M160" s="38">
        <f t="shared" si="5"/>
        <v>0</v>
      </c>
      <c r="N160" s="39">
        <f t="shared" si="6"/>
        <v>0</v>
      </c>
      <c r="O160" s="40"/>
      <c r="P160" s="78"/>
      <c r="Q160" s="35"/>
      <c r="R160" s="35"/>
      <c r="S160" s="35"/>
      <c r="T160" s="35"/>
      <c r="U160" s="35"/>
      <c r="V160" s="35"/>
      <c r="W160" s="35"/>
      <c r="X160" s="35"/>
      <c r="Y160" s="35"/>
      <c r="Z160" s="35"/>
    </row>
    <row r="161" ht="14.25" customHeight="1">
      <c r="A161" s="221"/>
      <c r="B161" s="231"/>
      <c r="C161" s="116"/>
      <c r="D161" s="223"/>
      <c r="E161" s="85"/>
      <c r="F161" s="107"/>
      <c r="G161" s="107"/>
      <c r="H161" s="523"/>
      <c r="I161" s="36">
        <f t="shared" si="1"/>
        <v>0</v>
      </c>
      <c r="J161" s="37">
        <f t="shared" si="2"/>
        <v>0</v>
      </c>
      <c r="K161" s="38">
        <f t="shared" si="3"/>
        <v>0</v>
      </c>
      <c r="L161" s="39">
        <f t="shared" si="4"/>
        <v>0</v>
      </c>
      <c r="M161" s="38">
        <f t="shared" si="5"/>
        <v>0</v>
      </c>
      <c r="N161" s="39">
        <f t="shared" si="6"/>
        <v>0</v>
      </c>
      <c r="O161" s="40"/>
      <c r="P161" s="78"/>
      <c r="Q161" s="35"/>
      <c r="R161" s="35"/>
      <c r="S161" s="35"/>
      <c r="T161" s="35"/>
      <c r="U161" s="35"/>
      <c r="V161" s="35"/>
      <c r="W161" s="35"/>
      <c r="X161" s="35"/>
      <c r="Y161" s="35"/>
      <c r="Z161" s="35"/>
    </row>
    <row r="162" ht="14.25" customHeight="1">
      <c r="A162" s="221"/>
      <c r="B162" s="231"/>
      <c r="C162" s="116"/>
      <c r="D162" s="223"/>
      <c r="E162" s="85"/>
      <c r="F162" s="107"/>
      <c r="G162" s="107"/>
      <c r="H162" s="523"/>
      <c r="I162" s="36">
        <f t="shared" si="1"/>
        <v>0</v>
      </c>
      <c r="J162" s="37">
        <f t="shared" si="2"/>
        <v>0</v>
      </c>
      <c r="K162" s="38">
        <f t="shared" si="3"/>
        <v>0</v>
      </c>
      <c r="L162" s="39">
        <f t="shared" si="4"/>
        <v>0</v>
      </c>
      <c r="M162" s="38">
        <f t="shared" si="5"/>
        <v>0</v>
      </c>
      <c r="N162" s="39">
        <f t="shared" si="6"/>
        <v>0</v>
      </c>
      <c r="O162" s="40"/>
      <c r="P162" s="78"/>
      <c r="Q162" s="35"/>
      <c r="R162" s="35"/>
      <c r="S162" s="35"/>
      <c r="T162" s="35"/>
      <c r="U162" s="35"/>
      <c r="V162" s="35"/>
      <c r="W162" s="35"/>
      <c r="X162" s="35"/>
      <c r="Y162" s="35"/>
      <c r="Z162" s="35"/>
    </row>
    <row r="163" ht="14.25" customHeight="1">
      <c r="A163" s="221"/>
      <c r="B163" s="231"/>
      <c r="C163" s="116"/>
      <c r="D163" s="223"/>
      <c r="E163" s="85"/>
      <c r="F163" s="107"/>
      <c r="G163" s="107"/>
      <c r="H163" s="523"/>
      <c r="I163" s="36">
        <f t="shared" si="1"/>
        <v>0</v>
      </c>
      <c r="J163" s="37">
        <f t="shared" si="2"/>
        <v>0</v>
      </c>
      <c r="K163" s="38">
        <f t="shared" si="3"/>
        <v>0</v>
      </c>
      <c r="L163" s="39">
        <f t="shared" si="4"/>
        <v>0</v>
      </c>
      <c r="M163" s="38">
        <f t="shared" si="5"/>
        <v>0</v>
      </c>
      <c r="N163" s="39">
        <f t="shared" si="6"/>
        <v>0</v>
      </c>
      <c r="O163" s="40"/>
      <c r="P163" s="78"/>
      <c r="Q163" s="35"/>
      <c r="R163" s="35"/>
      <c r="S163" s="35"/>
      <c r="T163" s="35"/>
      <c r="U163" s="35"/>
      <c r="V163" s="35"/>
      <c r="W163" s="35"/>
      <c r="X163" s="35"/>
      <c r="Y163" s="35"/>
      <c r="Z163" s="35"/>
    </row>
    <row r="164" ht="14.25" customHeight="1">
      <c r="A164" s="221"/>
      <c r="B164" s="231"/>
      <c r="C164" s="126"/>
      <c r="D164" s="508"/>
      <c r="E164" s="48"/>
      <c r="F164" s="107"/>
      <c r="G164" s="107"/>
      <c r="H164" s="523"/>
      <c r="I164" s="36">
        <f t="shared" si="1"/>
        <v>0</v>
      </c>
      <c r="J164" s="37">
        <f t="shared" si="2"/>
        <v>0</v>
      </c>
      <c r="K164" s="38">
        <f t="shared" si="3"/>
        <v>0</v>
      </c>
      <c r="L164" s="39">
        <f t="shared" si="4"/>
        <v>0</v>
      </c>
      <c r="M164" s="38">
        <f t="shared" si="5"/>
        <v>0</v>
      </c>
      <c r="N164" s="39">
        <f t="shared" si="6"/>
        <v>0</v>
      </c>
      <c r="O164" s="40"/>
      <c r="P164" s="78"/>
      <c r="Q164" s="35"/>
      <c r="R164" s="35"/>
      <c r="S164" s="35"/>
      <c r="T164" s="35"/>
      <c r="U164" s="35"/>
      <c r="V164" s="35"/>
      <c r="W164" s="35"/>
      <c r="X164" s="35"/>
      <c r="Y164" s="35"/>
      <c r="Z164" s="35"/>
    </row>
    <row r="165" ht="14.25" customHeight="1">
      <c r="A165" s="221"/>
      <c r="B165" s="231"/>
      <c r="C165" s="126"/>
      <c r="D165" s="223"/>
      <c r="E165" s="85"/>
      <c r="F165" s="107"/>
      <c r="G165" s="107"/>
      <c r="H165" s="523"/>
      <c r="I165" s="36">
        <f t="shared" si="1"/>
        <v>0</v>
      </c>
      <c r="J165" s="37">
        <f t="shared" si="2"/>
        <v>0</v>
      </c>
      <c r="K165" s="38">
        <f t="shared" si="3"/>
        <v>0</v>
      </c>
      <c r="L165" s="39">
        <f t="shared" si="4"/>
        <v>0</v>
      </c>
      <c r="M165" s="38">
        <f t="shared" si="5"/>
        <v>0</v>
      </c>
      <c r="N165" s="39">
        <f t="shared" si="6"/>
        <v>0</v>
      </c>
      <c r="O165" s="40"/>
      <c r="P165" s="78"/>
      <c r="Q165" s="35"/>
      <c r="R165" s="35"/>
      <c r="S165" s="35"/>
      <c r="T165" s="35"/>
      <c r="U165" s="35"/>
      <c r="V165" s="35"/>
      <c r="W165" s="35"/>
      <c r="X165" s="35"/>
      <c r="Y165" s="35"/>
      <c r="Z165" s="35"/>
    </row>
    <row r="166" ht="14.25" customHeight="1">
      <c r="A166" s="221"/>
      <c r="B166" s="231"/>
      <c r="C166" s="126"/>
      <c r="D166" s="223"/>
      <c r="E166" s="85"/>
      <c r="F166" s="107"/>
      <c r="G166" s="107"/>
      <c r="H166" s="523"/>
      <c r="I166" s="36">
        <f t="shared" si="1"/>
        <v>0</v>
      </c>
      <c r="J166" s="37">
        <f t="shared" si="2"/>
        <v>0</v>
      </c>
      <c r="K166" s="38">
        <f t="shared" si="3"/>
        <v>0</v>
      </c>
      <c r="L166" s="39">
        <f t="shared" si="4"/>
        <v>0</v>
      </c>
      <c r="M166" s="38">
        <f t="shared" si="5"/>
        <v>0</v>
      </c>
      <c r="N166" s="39">
        <f t="shared" si="6"/>
        <v>0</v>
      </c>
      <c r="O166" s="40"/>
      <c r="P166" s="78"/>
      <c r="Q166" s="35"/>
      <c r="R166" s="35"/>
      <c r="S166" s="35"/>
      <c r="T166" s="35"/>
      <c r="U166" s="35"/>
      <c r="V166" s="35"/>
      <c r="W166" s="35"/>
      <c r="X166" s="35"/>
      <c r="Y166" s="35"/>
      <c r="Z166" s="35"/>
    </row>
    <row r="167" ht="14.25" customHeight="1">
      <c r="A167" s="221"/>
      <c r="B167" s="231"/>
      <c r="C167" s="116"/>
      <c r="D167" s="223"/>
      <c r="E167" s="85"/>
      <c r="F167" s="107"/>
      <c r="G167" s="107"/>
      <c r="H167" s="523"/>
      <c r="I167" s="36">
        <f t="shared" si="1"/>
        <v>0</v>
      </c>
      <c r="J167" s="37">
        <f t="shared" si="2"/>
        <v>0</v>
      </c>
      <c r="K167" s="38">
        <f t="shared" si="3"/>
        <v>0</v>
      </c>
      <c r="L167" s="39">
        <f t="shared" si="4"/>
        <v>0</v>
      </c>
      <c r="M167" s="38">
        <f t="shared" si="5"/>
        <v>0</v>
      </c>
      <c r="N167" s="39">
        <f t="shared" si="6"/>
        <v>0</v>
      </c>
      <c r="O167" s="40"/>
      <c r="P167" s="78"/>
      <c r="Q167" s="35"/>
      <c r="R167" s="35"/>
      <c r="S167" s="35"/>
      <c r="T167" s="35"/>
      <c r="U167" s="35"/>
      <c r="V167" s="35"/>
      <c r="W167" s="35"/>
      <c r="X167" s="35"/>
      <c r="Y167" s="35"/>
      <c r="Z167" s="35"/>
    </row>
    <row r="168" ht="14.25" customHeight="1">
      <c r="A168" s="221"/>
      <c r="B168" s="231"/>
      <c r="C168" s="116"/>
      <c r="D168" s="223"/>
      <c r="E168" s="85"/>
      <c r="F168" s="107"/>
      <c r="G168" s="107"/>
      <c r="H168" s="523"/>
      <c r="I168" s="36">
        <f t="shared" si="1"/>
        <v>0</v>
      </c>
      <c r="J168" s="37">
        <f t="shared" si="2"/>
        <v>0</v>
      </c>
      <c r="K168" s="38">
        <f t="shared" si="3"/>
        <v>0</v>
      </c>
      <c r="L168" s="39">
        <f t="shared" si="4"/>
        <v>0</v>
      </c>
      <c r="M168" s="38">
        <f t="shared" si="5"/>
        <v>0</v>
      </c>
      <c r="N168" s="39">
        <f t="shared" si="6"/>
        <v>0</v>
      </c>
      <c r="O168" s="40"/>
      <c r="P168" s="78"/>
      <c r="Q168" s="35"/>
      <c r="R168" s="35"/>
      <c r="S168" s="35"/>
      <c r="T168" s="35"/>
      <c r="U168" s="35"/>
      <c r="V168" s="35"/>
      <c r="W168" s="35"/>
      <c r="X168" s="35"/>
      <c r="Y168" s="35"/>
      <c r="Z168" s="35"/>
    </row>
    <row r="169" ht="14.25" customHeight="1">
      <c r="A169" s="221"/>
      <c r="B169" s="231"/>
      <c r="C169" s="108"/>
      <c r="D169" s="223"/>
      <c r="E169" s="42"/>
      <c r="F169" s="109"/>
      <c r="G169" s="109"/>
      <c r="H169" s="523"/>
      <c r="I169" s="36">
        <f t="shared" si="1"/>
        <v>0</v>
      </c>
      <c r="J169" s="37">
        <f t="shared" si="2"/>
        <v>0</v>
      </c>
      <c r="K169" s="38">
        <f t="shared" si="3"/>
        <v>0</v>
      </c>
      <c r="L169" s="39">
        <f t="shared" si="4"/>
        <v>0</v>
      </c>
      <c r="M169" s="38">
        <f t="shared" si="5"/>
        <v>0</v>
      </c>
      <c r="N169" s="39">
        <f t="shared" si="6"/>
        <v>0</v>
      </c>
      <c r="O169" s="40"/>
      <c r="P169" s="34"/>
      <c r="Q169" s="35"/>
      <c r="R169" s="35"/>
      <c r="S169" s="35"/>
      <c r="T169" s="35"/>
      <c r="U169" s="35"/>
      <c r="V169" s="35"/>
      <c r="W169" s="35"/>
      <c r="X169" s="35"/>
      <c r="Y169" s="35"/>
      <c r="Z169" s="35"/>
    </row>
    <row r="170" ht="14.25" customHeight="1">
      <c r="A170" s="221"/>
      <c r="B170" s="231"/>
      <c r="C170" s="106"/>
      <c r="D170" s="223"/>
      <c r="E170" s="85"/>
      <c r="F170" s="107"/>
      <c r="G170" s="107"/>
      <c r="H170" s="523"/>
      <c r="I170" s="36">
        <f t="shared" si="1"/>
        <v>0</v>
      </c>
      <c r="J170" s="37">
        <f t="shared" si="2"/>
        <v>0</v>
      </c>
      <c r="K170" s="38">
        <f t="shared" si="3"/>
        <v>0</v>
      </c>
      <c r="L170" s="39">
        <f t="shared" si="4"/>
        <v>0</v>
      </c>
      <c r="M170" s="38">
        <f t="shared" si="5"/>
        <v>0</v>
      </c>
      <c r="N170" s="39">
        <f t="shared" si="6"/>
        <v>0</v>
      </c>
      <c r="O170" s="40"/>
      <c r="P170" s="34"/>
      <c r="Q170" s="35"/>
      <c r="R170" s="35"/>
      <c r="S170" s="35"/>
      <c r="T170" s="35"/>
      <c r="U170" s="35"/>
      <c r="V170" s="35"/>
      <c r="W170" s="35"/>
      <c r="X170" s="35"/>
      <c r="Y170" s="35"/>
      <c r="Z170" s="35"/>
    </row>
    <row r="171" ht="14.25" customHeight="1">
      <c r="A171" s="221"/>
      <c r="B171" s="231"/>
      <c r="C171" s="106"/>
      <c r="D171" s="223"/>
      <c r="E171" s="85"/>
      <c r="F171" s="107"/>
      <c r="G171" s="107"/>
      <c r="H171" s="523"/>
      <c r="I171" s="36">
        <f t="shared" si="1"/>
        <v>0</v>
      </c>
      <c r="J171" s="37">
        <f t="shared" si="2"/>
        <v>0</v>
      </c>
      <c r="K171" s="38">
        <f t="shared" si="3"/>
        <v>0</v>
      </c>
      <c r="L171" s="39">
        <f t="shared" si="4"/>
        <v>0</v>
      </c>
      <c r="M171" s="38">
        <f t="shared" si="5"/>
        <v>0</v>
      </c>
      <c r="N171" s="39">
        <f t="shared" si="6"/>
        <v>0</v>
      </c>
      <c r="O171" s="40"/>
      <c r="P171" s="34"/>
      <c r="Q171" s="35"/>
      <c r="R171" s="35"/>
      <c r="S171" s="35"/>
      <c r="T171" s="35"/>
      <c r="U171" s="35"/>
      <c r="V171" s="35"/>
      <c r="W171" s="35"/>
      <c r="X171" s="35"/>
      <c r="Y171" s="35"/>
      <c r="Z171" s="35"/>
    </row>
    <row r="172" ht="14.25" customHeight="1">
      <c r="A172" s="221"/>
      <c r="B172" s="231"/>
      <c r="C172" s="106"/>
      <c r="D172" s="223"/>
      <c r="E172" s="85"/>
      <c r="F172" s="107"/>
      <c r="G172" s="107"/>
      <c r="H172" s="523"/>
      <c r="I172" s="36">
        <f t="shared" si="1"/>
        <v>0</v>
      </c>
      <c r="J172" s="37">
        <f t="shared" si="2"/>
        <v>0</v>
      </c>
      <c r="K172" s="38">
        <f t="shared" si="3"/>
        <v>0</v>
      </c>
      <c r="L172" s="39">
        <f t="shared" si="4"/>
        <v>0</v>
      </c>
      <c r="M172" s="38">
        <f t="shared" si="5"/>
        <v>0</v>
      </c>
      <c r="N172" s="39">
        <f t="shared" si="6"/>
        <v>0</v>
      </c>
      <c r="O172" s="40"/>
      <c r="P172" s="34"/>
      <c r="Q172" s="35"/>
      <c r="R172" s="35"/>
      <c r="S172" s="35"/>
      <c r="T172" s="35"/>
      <c r="U172" s="35"/>
      <c r="V172" s="35"/>
      <c r="W172" s="35"/>
      <c r="X172" s="35"/>
      <c r="Y172" s="35"/>
      <c r="Z172" s="35"/>
    </row>
    <row r="173" ht="14.25" customHeight="1">
      <c r="A173" s="221"/>
      <c r="B173" s="231"/>
      <c r="C173" s="106"/>
      <c r="D173" s="223"/>
      <c r="E173" s="85"/>
      <c r="F173" s="107"/>
      <c r="G173" s="107"/>
      <c r="H173" s="523"/>
      <c r="I173" s="36">
        <f t="shared" si="1"/>
        <v>0</v>
      </c>
      <c r="J173" s="37">
        <f t="shared" si="2"/>
        <v>0</v>
      </c>
      <c r="K173" s="38">
        <f t="shared" si="3"/>
        <v>0</v>
      </c>
      <c r="L173" s="39">
        <f t="shared" si="4"/>
        <v>0</v>
      </c>
      <c r="M173" s="38">
        <f t="shared" si="5"/>
        <v>0</v>
      </c>
      <c r="N173" s="39">
        <f t="shared" si="6"/>
        <v>0</v>
      </c>
      <c r="O173" s="40"/>
      <c r="P173" s="34"/>
      <c r="Q173" s="35"/>
      <c r="R173" s="35"/>
      <c r="S173" s="35"/>
      <c r="T173" s="35"/>
      <c r="U173" s="35"/>
      <c r="V173" s="35"/>
      <c r="W173" s="35"/>
      <c r="X173" s="35"/>
      <c r="Y173" s="35"/>
      <c r="Z173" s="35"/>
    </row>
    <row r="174" ht="14.25" customHeight="1">
      <c r="A174" s="221"/>
      <c r="B174" s="231"/>
      <c r="C174" s="106"/>
      <c r="D174" s="223"/>
      <c r="E174" s="85"/>
      <c r="F174" s="107"/>
      <c r="G174" s="107"/>
      <c r="H174" s="523"/>
      <c r="I174" s="36">
        <f t="shared" si="1"/>
        <v>0</v>
      </c>
      <c r="J174" s="37">
        <f t="shared" si="2"/>
        <v>0</v>
      </c>
      <c r="K174" s="38">
        <f t="shared" si="3"/>
        <v>0</v>
      </c>
      <c r="L174" s="39">
        <f t="shared" si="4"/>
        <v>0</v>
      </c>
      <c r="M174" s="38">
        <f t="shared" si="5"/>
        <v>0</v>
      </c>
      <c r="N174" s="39">
        <f t="shared" si="6"/>
        <v>0</v>
      </c>
      <c r="O174" s="40"/>
      <c r="P174" s="34"/>
      <c r="Q174" s="35"/>
      <c r="R174" s="35"/>
      <c r="S174" s="35"/>
      <c r="T174" s="35"/>
      <c r="U174" s="35"/>
      <c r="V174" s="35"/>
      <c r="W174" s="35"/>
      <c r="X174" s="35"/>
      <c r="Y174" s="35"/>
      <c r="Z174" s="35"/>
    </row>
    <row r="175" ht="14.25" customHeight="1">
      <c r="A175" s="221"/>
      <c r="B175" s="231"/>
      <c r="C175" s="115"/>
      <c r="D175" s="223"/>
      <c r="E175" s="105"/>
      <c r="F175" s="107"/>
      <c r="G175" s="107"/>
      <c r="H175" s="523"/>
      <c r="I175" s="36">
        <f t="shared" si="1"/>
        <v>0</v>
      </c>
      <c r="J175" s="37">
        <f t="shared" si="2"/>
        <v>0</v>
      </c>
      <c r="K175" s="38">
        <f t="shared" si="3"/>
        <v>0</v>
      </c>
      <c r="L175" s="39">
        <f t="shared" si="4"/>
        <v>0</v>
      </c>
      <c r="M175" s="38">
        <f t="shared" si="5"/>
        <v>0</v>
      </c>
      <c r="N175" s="39">
        <f t="shared" si="6"/>
        <v>0</v>
      </c>
      <c r="O175" s="40"/>
      <c r="P175" s="34"/>
      <c r="Q175" s="35"/>
      <c r="R175" s="35"/>
      <c r="S175" s="35"/>
      <c r="T175" s="35"/>
      <c r="U175" s="35"/>
      <c r="V175" s="35"/>
      <c r="W175" s="35"/>
      <c r="X175" s="35"/>
      <c r="Y175" s="35"/>
      <c r="Z175" s="35"/>
    </row>
    <row r="176" ht="14.25" customHeight="1">
      <c r="A176" s="221"/>
      <c r="B176" s="231"/>
      <c r="C176" s="106"/>
      <c r="D176" s="223"/>
      <c r="E176" s="85"/>
      <c r="F176" s="107"/>
      <c r="G176" s="107"/>
      <c r="H176" s="523"/>
      <c r="I176" s="36">
        <f t="shared" si="1"/>
        <v>0</v>
      </c>
      <c r="J176" s="37">
        <f t="shared" si="2"/>
        <v>0</v>
      </c>
      <c r="K176" s="38">
        <f t="shared" si="3"/>
        <v>0</v>
      </c>
      <c r="L176" s="39">
        <f t="shared" si="4"/>
        <v>0</v>
      </c>
      <c r="M176" s="38">
        <f t="shared" si="5"/>
        <v>0</v>
      </c>
      <c r="N176" s="39">
        <f t="shared" si="6"/>
        <v>0</v>
      </c>
      <c r="O176" s="40"/>
      <c r="P176" s="34"/>
      <c r="Q176" s="35"/>
      <c r="R176" s="35"/>
      <c r="S176" s="35"/>
      <c r="T176" s="35"/>
      <c r="U176" s="35"/>
      <c r="V176" s="35"/>
      <c r="W176" s="35"/>
      <c r="X176" s="35"/>
      <c r="Y176" s="35"/>
      <c r="Z176" s="35"/>
    </row>
    <row r="177" ht="14.25" customHeight="1">
      <c r="A177" s="221"/>
      <c r="B177" s="231"/>
      <c r="C177" s="108"/>
      <c r="D177" s="525"/>
      <c r="E177" s="85"/>
      <c r="F177" s="107"/>
      <c r="G177" s="107"/>
      <c r="H177" s="523"/>
      <c r="I177" s="36">
        <f t="shared" si="1"/>
        <v>0</v>
      </c>
      <c r="J177" s="37">
        <f t="shared" si="2"/>
        <v>0</v>
      </c>
      <c r="K177" s="38">
        <f t="shared" si="3"/>
        <v>0</v>
      </c>
      <c r="L177" s="39">
        <f t="shared" si="4"/>
        <v>0</v>
      </c>
      <c r="M177" s="38">
        <f t="shared" si="5"/>
        <v>0</v>
      </c>
      <c r="N177" s="39">
        <f t="shared" si="6"/>
        <v>0</v>
      </c>
      <c r="O177" s="40"/>
      <c r="P177" s="34"/>
      <c r="Q177" s="35"/>
      <c r="R177" s="35"/>
      <c r="S177" s="35"/>
      <c r="T177" s="35"/>
      <c r="U177" s="35"/>
      <c r="V177" s="35"/>
      <c r="W177" s="35"/>
      <c r="X177" s="35"/>
      <c r="Y177" s="35"/>
      <c r="Z177" s="35"/>
    </row>
    <row r="178" ht="14.25" customHeight="1">
      <c r="A178" s="221"/>
      <c r="B178" s="231"/>
      <c r="C178" s="115"/>
      <c r="D178" s="223"/>
      <c r="E178" s="85"/>
      <c r="F178" s="238"/>
      <c r="G178" s="238"/>
      <c r="H178" s="523"/>
      <c r="I178" s="36">
        <f t="shared" si="1"/>
        <v>0</v>
      </c>
      <c r="J178" s="37">
        <f t="shared" si="2"/>
        <v>0</v>
      </c>
      <c r="K178" s="38">
        <f t="shared" si="3"/>
        <v>0</v>
      </c>
      <c r="L178" s="39">
        <f t="shared" si="4"/>
        <v>0</v>
      </c>
      <c r="M178" s="38">
        <f t="shared" si="5"/>
        <v>0</v>
      </c>
      <c r="N178" s="39">
        <f t="shared" si="6"/>
        <v>0</v>
      </c>
      <c r="O178" s="40"/>
      <c r="P178" s="34"/>
      <c r="Q178" s="35"/>
      <c r="R178" s="35"/>
      <c r="S178" s="35"/>
      <c r="T178" s="35"/>
      <c r="U178" s="35"/>
      <c r="V178" s="35"/>
      <c r="W178" s="35"/>
      <c r="X178" s="35"/>
      <c r="Y178" s="35"/>
      <c r="Z178" s="35"/>
    </row>
    <row r="179" ht="14.25" customHeight="1">
      <c r="A179" s="221"/>
      <c r="B179" s="231"/>
      <c r="C179" s="115"/>
      <c r="D179" s="223"/>
      <c r="E179" s="85"/>
      <c r="F179" s="238"/>
      <c r="G179" s="238"/>
      <c r="H179" s="523"/>
      <c r="I179" s="36">
        <f t="shared" si="1"/>
        <v>0</v>
      </c>
      <c r="J179" s="37">
        <f t="shared" si="2"/>
        <v>0</v>
      </c>
      <c r="K179" s="38">
        <f t="shared" si="3"/>
        <v>0</v>
      </c>
      <c r="L179" s="39">
        <f t="shared" si="4"/>
        <v>0</v>
      </c>
      <c r="M179" s="38">
        <f t="shared" si="5"/>
        <v>0</v>
      </c>
      <c r="N179" s="39">
        <f t="shared" si="6"/>
        <v>0</v>
      </c>
      <c r="O179" s="40"/>
      <c r="P179" s="34"/>
      <c r="Q179" s="35"/>
      <c r="R179" s="35"/>
      <c r="S179" s="35"/>
      <c r="T179" s="35"/>
      <c r="U179" s="35"/>
      <c r="V179" s="35"/>
      <c r="W179" s="35"/>
      <c r="X179" s="35"/>
      <c r="Y179" s="35"/>
      <c r="Z179" s="35"/>
    </row>
    <row r="180" ht="14.25" customHeight="1">
      <c r="A180" s="221"/>
      <c r="B180" s="231"/>
      <c r="C180" s="115"/>
      <c r="D180" s="223"/>
      <c r="E180" s="85"/>
      <c r="F180" s="238"/>
      <c r="G180" s="238"/>
      <c r="H180" s="523"/>
      <c r="I180" s="36">
        <f t="shared" si="1"/>
        <v>0</v>
      </c>
      <c r="J180" s="37">
        <f t="shared" si="2"/>
        <v>0</v>
      </c>
      <c r="K180" s="38">
        <f t="shared" si="3"/>
        <v>0</v>
      </c>
      <c r="L180" s="39">
        <f t="shared" si="4"/>
        <v>0</v>
      </c>
      <c r="M180" s="38">
        <f t="shared" si="5"/>
        <v>0</v>
      </c>
      <c r="N180" s="39">
        <f t="shared" si="6"/>
        <v>0</v>
      </c>
      <c r="O180" s="40"/>
      <c r="P180" s="34"/>
      <c r="Q180" s="35"/>
      <c r="R180" s="35"/>
      <c r="S180" s="35"/>
      <c r="T180" s="35"/>
      <c r="U180" s="35"/>
      <c r="V180" s="35"/>
      <c r="W180" s="35"/>
      <c r="X180" s="35"/>
      <c r="Y180" s="35"/>
      <c r="Z180" s="35"/>
    </row>
    <row r="181" ht="14.25" customHeight="1">
      <c r="A181" s="221"/>
      <c r="B181" s="231"/>
      <c r="C181" s="106"/>
      <c r="D181" s="223"/>
      <c r="E181" s="85"/>
      <c r="F181" s="238"/>
      <c r="G181" s="238"/>
      <c r="H181" s="523"/>
      <c r="I181" s="36">
        <f t="shared" si="1"/>
        <v>0</v>
      </c>
      <c r="J181" s="37">
        <f t="shared" si="2"/>
        <v>0</v>
      </c>
      <c r="K181" s="38">
        <f t="shared" si="3"/>
        <v>0</v>
      </c>
      <c r="L181" s="39">
        <f t="shared" si="4"/>
        <v>0</v>
      </c>
      <c r="M181" s="38">
        <f t="shared" si="5"/>
        <v>0</v>
      </c>
      <c r="N181" s="39">
        <f t="shared" si="6"/>
        <v>0</v>
      </c>
      <c r="O181" s="40"/>
      <c r="P181" s="34"/>
      <c r="Q181" s="35"/>
      <c r="R181" s="35"/>
      <c r="S181" s="35"/>
      <c r="T181" s="35"/>
      <c r="U181" s="35"/>
      <c r="V181" s="35"/>
      <c r="W181" s="35"/>
      <c r="X181" s="35"/>
      <c r="Y181" s="35"/>
      <c r="Z181" s="35"/>
    </row>
    <row r="182" ht="14.25" customHeight="1">
      <c r="A182" s="221"/>
      <c r="B182" s="231"/>
      <c r="C182" s="106"/>
      <c r="D182" s="223"/>
      <c r="E182" s="85"/>
      <c r="F182" s="238"/>
      <c r="G182" s="238"/>
      <c r="H182" s="523"/>
      <c r="I182" s="36">
        <f t="shared" si="1"/>
        <v>0</v>
      </c>
      <c r="J182" s="37">
        <f t="shared" si="2"/>
        <v>0</v>
      </c>
      <c r="K182" s="38">
        <f t="shared" si="3"/>
        <v>0</v>
      </c>
      <c r="L182" s="39">
        <f t="shared" si="4"/>
        <v>0</v>
      </c>
      <c r="M182" s="38">
        <f t="shared" si="5"/>
        <v>0</v>
      </c>
      <c r="N182" s="39">
        <f t="shared" si="6"/>
        <v>0</v>
      </c>
      <c r="O182" s="40"/>
      <c r="P182" s="34"/>
      <c r="Q182" s="35"/>
      <c r="R182" s="35"/>
      <c r="S182" s="35"/>
      <c r="T182" s="35"/>
      <c r="U182" s="35"/>
      <c r="V182" s="35"/>
      <c r="W182" s="35"/>
      <c r="X182" s="35"/>
      <c r="Y182" s="35"/>
      <c r="Z182" s="35"/>
    </row>
    <row r="183" ht="14.25" customHeight="1">
      <c r="A183" s="221"/>
      <c r="B183" s="231"/>
      <c r="C183" s="106"/>
      <c r="D183" s="223"/>
      <c r="E183" s="85"/>
      <c r="F183" s="238"/>
      <c r="G183" s="238"/>
      <c r="H183" s="523"/>
      <c r="I183" s="36">
        <f t="shared" si="1"/>
        <v>0</v>
      </c>
      <c r="J183" s="37">
        <f t="shared" si="2"/>
        <v>0</v>
      </c>
      <c r="K183" s="38">
        <f t="shared" si="3"/>
        <v>0</v>
      </c>
      <c r="L183" s="39">
        <f t="shared" si="4"/>
        <v>0</v>
      </c>
      <c r="M183" s="38">
        <f t="shared" si="5"/>
        <v>0</v>
      </c>
      <c r="N183" s="39">
        <f t="shared" si="6"/>
        <v>0</v>
      </c>
      <c r="O183" s="40"/>
      <c r="P183" s="34"/>
      <c r="Q183" s="35"/>
      <c r="R183" s="35"/>
      <c r="S183" s="35"/>
      <c r="T183" s="35"/>
      <c r="U183" s="35"/>
      <c r="V183" s="35"/>
      <c r="W183" s="35"/>
      <c r="X183" s="35"/>
      <c r="Y183" s="35"/>
      <c r="Z183" s="35"/>
    </row>
    <row r="184" ht="14.25" customHeight="1">
      <c r="A184" s="221"/>
      <c r="B184" s="231"/>
      <c r="C184" s="115"/>
      <c r="D184" s="223"/>
      <c r="E184" s="85"/>
      <c r="F184" s="238"/>
      <c r="G184" s="238"/>
      <c r="H184" s="523"/>
      <c r="I184" s="36">
        <f t="shared" si="1"/>
        <v>0</v>
      </c>
      <c r="J184" s="37">
        <f t="shared" si="2"/>
        <v>0</v>
      </c>
      <c r="K184" s="38">
        <f t="shared" si="3"/>
        <v>0</v>
      </c>
      <c r="L184" s="39">
        <f t="shared" si="4"/>
        <v>0</v>
      </c>
      <c r="M184" s="38">
        <f t="shared" si="5"/>
        <v>0</v>
      </c>
      <c r="N184" s="39">
        <f t="shared" si="6"/>
        <v>0</v>
      </c>
      <c r="O184" s="40"/>
      <c r="P184" s="34"/>
      <c r="Q184" s="35"/>
      <c r="R184" s="35"/>
      <c r="S184" s="35"/>
      <c r="T184" s="35"/>
      <c r="U184" s="35"/>
      <c r="V184" s="35"/>
      <c r="W184" s="35"/>
      <c r="X184" s="35"/>
      <c r="Y184" s="35"/>
      <c r="Z184" s="35"/>
    </row>
    <row r="185" ht="14.25" customHeight="1">
      <c r="A185" s="221"/>
      <c r="B185" s="231"/>
      <c r="C185" s="106"/>
      <c r="D185" s="223"/>
      <c r="E185" s="85"/>
      <c r="F185" s="238"/>
      <c r="G185" s="238"/>
      <c r="H185" s="523"/>
      <c r="I185" s="36">
        <f t="shared" si="1"/>
        <v>0</v>
      </c>
      <c r="J185" s="37">
        <f t="shared" si="2"/>
        <v>0</v>
      </c>
      <c r="K185" s="38">
        <f t="shared" si="3"/>
        <v>0</v>
      </c>
      <c r="L185" s="39">
        <f t="shared" si="4"/>
        <v>0</v>
      </c>
      <c r="M185" s="38">
        <f t="shared" si="5"/>
        <v>0</v>
      </c>
      <c r="N185" s="39">
        <f t="shared" si="6"/>
        <v>0</v>
      </c>
      <c r="O185" s="40"/>
      <c r="P185" s="34"/>
      <c r="Q185" s="35"/>
      <c r="R185" s="35"/>
      <c r="S185" s="35"/>
      <c r="T185" s="35"/>
      <c r="U185" s="35"/>
      <c r="V185" s="35"/>
      <c r="W185" s="35"/>
      <c r="X185" s="35"/>
      <c r="Y185" s="35"/>
      <c r="Z185" s="35"/>
    </row>
    <row r="186" ht="14.25" customHeight="1">
      <c r="A186" s="221"/>
      <c r="B186" s="231"/>
      <c r="C186" s="106"/>
      <c r="D186" s="223"/>
      <c r="E186" s="85"/>
      <c r="F186" s="238"/>
      <c r="G186" s="238"/>
      <c r="H186" s="523"/>
      <c r="I186" s="36">
        <f t="shared" si="1"/>
        <v>0</v>
      </c>
      <c r="J186" s="37">
        <f t="shared" si="2"/>
        <v>0</v>
      </c>
      <c r="K186" s="38">
        <f t="shared" si="3"/>
        <v>0</v>
      </c>
      <c r="L186" s="39">
        <f t="shared" si="4"/>
        <v>0</v>
      </c>
      <c r="M186" s="38">
        <f t="shared" si="5"/>
        <v>0</v>
      </c>
      <c r="N186" s="39">
        <f t="shared" si="6"/>
        <v>0</v>
      </c>
      <c r="O186" s="40"/>
      <c r="P186" s="34"/>
      <c r="Q186" s="35"/>
      <c r="R186" s="35"/>
      <c r="S186" s="35"/>
      <c r="T186" s="35"/>
      <c r="U186" s="35"/>
      <c r="V186" s="35"/>
      <c r="W186" s="35"/>
      <c r="X186" s="35"/>
      <c r="Y186" s="35"/>
      <c r="Z186" s="35"/>
    </row>
    <row r="187" ht="14.25" customHeight="1">
      <c r="A187" s="221"/>
      <c r="B187" s="231"/>
      <c r="C187" s="106"/>
      <c r="D187" s="223"/>
      <c r="E187" s="85"/>
      <c r="F187" s="238"/>
      <c r="G187" s="238"/>
      <c r="H187" s="523"/>
      <c r="I187" s="36">
        <f t="shared" si="1"/>
        <v>0</v>
      </c>
      <c r="J187" s="37">
        <f t="shared" si="2"/>
        <v>0</v>
      </c>
      <c r="K187" s="38">
        <f t="shared" si="3"/>
        <v>0</v>
      </c>
      <c r="L187" s="39">
        <f t="shared" si="4"/>
        <v>0</v>
      </c>
      <c r="M187" s="38">
        <f t="shared" si="5"/>
        <v>0</v>
      </c>
      <c r="N187" s="39">
        <f t="shared" si="6"/>
        <v>0</v>
      </c>
      <c r="O187" s="40"/>
      <c r="P187" s="34"/>
      <c r="Q187" s="35"/>
      <c r="R187" s="35"/>
      <c r="S187" s="35"/>
      <c r="T187" s="35"/>
      <c r="U187" s="35"/>
      <c r="V187" s="35"/>
      <c r="W187" s="35"/>
      <c r="X187" s="35"/>
      <c r="Y187" s="35"/>
      <c r="Z187" s="35"/>
    </row>
    <row r="188" ht="14.25" customHeight="1">
      <c r="A188" s="221"/>
      <c r="B188" s="231"/>
      <c r="C188" s="106"/>
      <c r="D188" s="223"/>
      <c r="E188" s="85"/>
      <c r="F188" s="238"/>
      <c r="G188" s="238"/>
      <c r="H188" s="523"/>
      <c r="I188" s="36">
        <f t="shared" si="1"/>
        <v>0</v>
      </c>
      <c r="J188" s="37">
        <f t="shared" si="2"/>
        <v>0</v>
      </c>
      <c r="K188" s="38">
        <f t="shared" si="3"/>
        <v>0</v>
      </c>
      <c r="L188" s="39">
        <f t="shared" si="4"/>
        <v>0</v>
      </c>
      <c r="M188" s="38">
        <f t="shared" si="5"/>
        <v>0</v>
      </c>
      <c r="N188" s="39">
        <f t="shared" si="6"/>
        <v>0</v>
      </c>
      <c r="O188" s="40"/>
      <c r="P188" s="34"/>
      <c r="Q188" s="35"/>
      <c r="R188" s="35"/>
      <c r="S188" s="35"/>
      <c r="T188" s="35"/>
      <c r="U188" s="35"/>
      <c r="V188" s="35"/>
      <c r="W188" s="35"/>
      <c r="X188" s="35"/>
      <c r="Y188" s="35"/>
      <c r="Z188" s="35"/>
    </row>
    <row r="189" ht="14.25" customHeight="1">
      <c r="A189" s="221"/>
      <c r="B189" s="231"/>
      <c r="C189" s="106"/>
      <c r="D189" s="223"/>
      <c r="E189" s="85"/>
      <c r="F189" s="238"/>
      <c r="G189" s="238"/>
      <c r="H189" s="523"/>
      <c r="I189" s="36">
        <f t="shared" si="1"/>
        <v>0</v>
      </c>
      <c r="J189" s="37">
        <f t="shared" si="2"/>
        <v>0</v>
      </c>
      <c r="K189" s="38">
        <f t="shared" si="3"/>
        <v>0</v>
      </c>
      <c r="L189" s="39">
        <f t="shared" si="4"/>
        <v>0</v>
      </c>
      <c r="M189" s="38">
        <f t="shared" si="5"/>
        <v>0</v>
      </c>
      <c r="N189" s="39">
        <f t="shared" si="6"/>
        <v>0</v>
      </c>
      <c r="O189" s="40"/>
      <c r="P189" s="34"/>
      <c r="Q189" s="35"/>
      <c r="R189" s="35"/>
      <c r="S189" s="35"/>
      <c r="T189" s="35"/>
      <c r="U189" s="35"/>
      <c r="V189" s="35"/>
      <c r="W189" s="35"/>
      <c r="X189" s="35"/>
      <c r="Y189" s="35"/>
      <c r="Z189" s="35"/>
    </row>
    <row r="190" ht="14.25" customHeight="1">
      <c r="A190" s="221"/>
      <c r="B190" s="231"/>
      <c r="C190" s="106"/>
      <c r="D190" s="223"/>
      <c r="E190" s="85"/>
      <c r="F190" s="238"/>
      <c r="G190" s="238"/>
      <c r="H190" s="523"/>
      <c r="I190" s="36">
        <f t="shared" si="1"/>
        <v>0</v>
      </c>
      <c r="J190" s="37">
        <f t="shared" si="2"/>
        <v>0</v>
      </c>
      <c r="K190" s="38">
        <f t="shared" si="3"/>
        <v>0</v>
      </c>
      <c r="L190" s="39">
        <f t="shared" si="4"/>
        <v>0</v>
      </c>
      <c r="M190" s="38">
        <f t="shared" si="5"/>
        <v>0</v>
      </c>
      <c r="N190" s="39">
        <f t="shared" si="6"/>
        <v>0</v>
      </c>
      <c r="O190" s="40"/>
      <c r="P190" s="34"/>
      <c r="Q190" s="35"/>
      <c r="R190" s="35"/>
      <c r="S190" s="35"/>
      <c r="T190" s="35"/>
      <c r="U190" s="35"/>
      <c r="V190" s="35"/>
      <c r="W190" s="35"/>
      <c r="X190" s="35"/>
      <c r="Y190" s="35"/>
      <c r="Z190" s="35"/>
    </row>
    <row r="191" ht="14.25" customHeight="1">
      <c r="A191" s="221"/>
      <c r="B191" s="231"/>
      <c r="C191" s="106"/>
      <c r="D191" s="223"/>
      <c r="E191" s="85"/>
      <c r="F191" s="238"/>
      <c r="G191" s="238"/>
      <c r="H191" s="523"/>
      <c r="I191" s="36">
        <f t="shared" si="1"/>
        <v>0</v>
      </c>
      <c r="J191" s="37">
        <f t="shared" si="2"/>
        <v>0</v>
      </c>
      <c r="K191" s="38">
        <f t="shared" si="3"/>
        <v>0</v>
      </c>
      <c r="L191" s="39">
        <f t="shared" si="4"/>
        <v>0</v>
      </c>
      <c r="M191" s="38">
        <f t="shared" si="5"/>
        <v>0</v>
      </c>
      <c r="N191" s="39">
        <f t="shared" si="6"/>
        <v>0</v>
      </c>
      <c r="O191" s="40"/>
      <c r="P191" s="34"/>
      <c r="Q191" s="35"/>
      <c r="R191" s="35"/>
      <c r="S191" s="35"/>
      <c r="T191" s="35"/>
      <c r="U191" s="35"/>
      <c r="V191" s="35"/>
      <c r="W191" s="35"/>
      <c r="X191" s="35"/>
      <c r="Y191" s="35"/>
      <c r="Z191" s="35"/>
    </row>
    <row r="192" ht="14.25" customHeight="1">
      <c r="A192" s="221"/>
      <c r="B192" s="231"/>
      <c r="C192" s="106"/>
      <c r="D192" s="223"/>
      <c r="E192" s="85"/>
      <c r="F192" s="238"/>
      <c r="G192" s="238"/>
      <c r="H192" s="523"/>
      <c r="I192" s="36">
        <f t="shared" si="1"/>
        <v>0</v>
      </c>
      <c r="J192" s="37">
        <f t="shared" si="2"/>
        <v>0</v>
      </c>
      <c r="K192" s="38">
        <f t="shared" si="3"/>
        <v>0</v>
      </c>
      <c r="L192" s="39">
        <f t="shared" si="4"/>
        <v>0</v>
      </c>
      <c r="M192" s="38">
        <f t="shared" si="5"/>
        <v>0</v>
      </c>
      <c r="N192" s="39">
        <f t="shared" si="6"/>
        <v>0</v>
      </c>
      <c r="O192" s="40"/>
      <c r="P192" s="34"/>
      <c r="Q192" s="35"/>
      <c r="R192" s="35"/>
      <c r="S192" s="35"/>
      <c r="T192" s="35"/>
      <c r="U192" s="35"/>
      <c r="V192" s="35"/>
      <c r="W192" s="35"/>
      <c r="X192" s="35"/>
      <c r="Y192" s="35"/>
      <c r="Z192" s="35"/>
    </row>
    <row r="193" ht="14.25" customHeight="1">
      <c r="A193" s="221"/>
      <c r="B193" s="231"/>
      <c r="C193" s="108"/>
      <c r="D193" s="525"/>
      <c r="E193" s="85"/>
      <c r="F193" s="238"/>
      <c r="G193" s="238"/>
      <c r="H193" s="523"/>
      <c r="I193" s="36">
        <f t="shared" si="1"/>
        <v>0</v>
      </c>
      <c r="J193" s="37">
        <f t="shared" si="2"/>
        <v>0</v>
      </c>
      <c r="K193" s="38">
        <f t="shared" si="3"/>
        <v>0</v>
      </c>
      <c r="L193" s="39">
        <f t="shared" si="4"/>
        <v>0</v>
      </c>
      <c r="M193" s="38">
        <f t="shared" si="5"/>
        <v>0</v>
      </c>
      <c r="N193" s="39">
        <f t="shared" si="6"/>
        <v>0</v>
      </c>
      <c r="O193" s="40"/>
      <c r="P193" s="34"/>
      <c r="Q193" s="35"/>
      <c r="R193" s="35"/>
      <c r="S193" s="35"/>
      <c r="T193" s="35"/>
      <c r="U193" s="35"/>
      <c r="V193" s="35"/>
      <c r="W193" s="35"/>
      <c r="X193" s="35"/>
      <c r="Y193" s="35"/>
      <c r="Z193" s="35"/>
    </row>
    <row r="194" ht="14.25" customHeight="1">
      <c r="A194" s="221"/>
      <c r="B194" s="231"/>
      <c r="C194" s="108"/>
      <c r="D194" s="525"/>
      <c r="E194" s="85"/>
      <c r="F194" s="238"/>
      <c r="G194" s="238"/>
      <c r="H194" s="523"/>
      <c r="I194" s="36">
        <f t="shared" si="1"/>
        <v>0</v>
      </c>
      <c r="J194" s="37">
        <f t="shared" si="2"/>
        <v>0</v>
      </c>
      <c r="K194" s="38">
        <f t="shared" si="3"/>
        <v>0</v>
      </c>
      <c r="L194" s="39">
        <f t="shared" si="4"/>
        <v>0</v>
      </c>
      <c r="M194" s="38">
        <f t="shared" si="5"/>
        <v>0</v>
      </c>
      <c r="N194" s="39">
        <f t="shared" si="6"/>
        <v>0</v>
      </c>
      <c r="O194" s="40"/>
      <c r="P194" s="34"/>
      <c r="Q194" s="35"/>
      <c r="R194" s="35"/>
      <c r="S194" s="35"/>
      <c r="T194" s="35"/>
      <c r="U194" s="35"/>
      <c r="V194" s="35"/>
      <c r="W194" s="35"/>
      <c r="X194" s="35"/>
      <c r="Y194" s="35"/>
      <c r="Z194" s="35"/>
    </row>
    <row r="195" ht="14.25" customHeight="1">
      <c r="A195" s="221"/>
      <c r="B195" s="231"/>
      <c r="C195" s="106"/>
      <c r="D195" s="223"/>
      <c r="E195" s="85"/>
      <c r="F195" s="238"/>
      <c r="G195" s="238"/>
      <c r="H195" s="523"/>
      <c r="I195" s="36">
        <f t="shared" si="1"/>
        <v>0</v>
      </c>
      <c r="J195" s="37">
        <f t="shared" si="2"/>
        <v>0</v>
      </c>
      <c r="K195" s="38">
        <f t="shared" si="3"/>
        <v>0</v>
      </c>
      <c r="L195" s="39">
        <f t="shared" si="4"/>
        <v>0</v>
      </c>
      <c r="M195" s="38">
        <f t="shared" si="5"/>
        <v>0</v>
      </c>
      <c r="N195" s="39">
        <f t="shared" si="6"/>
        <v>0</v>
      </c>
      <c r="O195" s="40"/>
      <c r="P195" s="34"/>
      <c r="Q195" s="35"/>
      <c r="R195" s="35"/>
      <c r="S195" s="35"/>
      <c r="T195" s="35"/>
      <c r="U195" s="35"/>
      <c r="V195" s="35"/>
      <c r="W195" s="35"/>
      <c r="X195" s="35"/>
      <c r="Y195" s="35"/>
      <c r="Z195" s="35"/>
    </row>
    <row r="196" ht="14.25" customHeight="1">
      <c r="A196" s="221"/>
      <c r="B196" s="231"/>
      <c r="C196" s="106"/>
      <c r="D196" s="223"/>
      <c r="E196" s="85"/>
      <c r="F196" s="238"/>
      <c r="G196" s="238"/>
      <c r="H196" s="523"/>
      <c r="I196" s="36">
        <f t="shared" si="1"/>
        <v>0</v>
      </c>
      <c r="J196" s="37">
        <f t="shared" si="2"/>
        <v>0</v>
      </c>
      <c r="K196" s="38">
        <f t="shared" si="3"/>
        <v>0</v>
      </c>
      <c r="L196" s="39">
        <f t="shared" si="4"/>
        <v>0</v>
      </c>
      <c r="M196" s="38">
        <f t="shared" si="5"/>
        <v>0</v>
      </c>
      <c r="N196" s="39">
        <f t="shared" si="6"/>
        <v>0</v>
      </c>
      <c r="O196" s="40"/>
      <c r="P196" s="34"/>
      <c r="Q196" s="35"/>
      <c r="R196" s="35"/>
      <c r="S196" s="35"/>
      <c r="T196" s="35"/>
      <c r="U196" s="35"/>
      <c r="V196" s="35"/>
      <c r="W196" s="35"/>
      <c r="X196" s="35"/>
      <c r="Y196" s="35"/>
      <c r="Z196" s="35"/>
    </row>
    <row r="197" ht="14.25" customHeight="1">
      <c r="A197" s="221"/>
      <c r="B197" s="231"/>
      <c r="C197" s="106"/>
      <c r="D197" s="223"/>
      <c r="E197" s="85"/>
      <c r="F197" s="238"/>
      <c r="G197" s="238"/>
      <c r="H197" s="523"/>
      <c r="I197" s="36">
        <f t="shared" si="1"/>
        <v>0</v>
      </c>
      <c r="J197" s="37">
        <f t="shared" si="2"/>
        <v>0</v>
      </c>
      <c r="K197" s="38">
        <f t="shared" si="3"/>
        <v>0</v>
      </c>
      <c r="L197" s="39">
        <f t="shared" si="4"/>
        <v>0</v>
      </c>
      <c r="M197" s="38">
        <f t="shared" si="5"/>
        <v>0</v>
      </c>
      <c r="N197" s="39">
        <f t="shared" si="6"/>
        <v>0</v>
      </c>
      <c r="O197" s="40"/>
      <c r="P197" s="34"/>
      <c r="Q197" s="35"/>
      <c r="R197" s="35"/>
      <c r="S197" s="35"/>
      <c r="T197" s="35"/>
      <c r="U197" s="35"/>
      <c r="V197" s="35"/>
      <c r="W197" s="35"/>
      <c r="X197" s="35"/>
      <c r="Y197" s="35"/>
      <c r="Z197" s="35"/>
    </row>
    <row r="198" ht="14.25" customHeight="1">
      <c r="A198" s="221"/>
      <c r="B198" s="231"/>
      <c r="C198" s="106"/>
      <c r="D198" s="223"/>
      <c r="E198" s="85"/>
      <c r="F198" s="238"/>
      <c r="G198" s="238"/>
      <c r="H198" s="523"/>
      <c r="I198" s="36">
        <f t="shared" si="1"/>
        <v>0</v>
      </c>
      <c r="J198" s="37">
        <f t="shared" si="2"/>
        <v>0</v>
      </c>
      <c r="K198" s="38">
        <f t="shared" si="3"/>
        <v>0</v>
      </c>
      <c r="L198" s="39">
        <f t="shared" si="4"/>
        <v>0</v>
      </c>
      <c r="M198" s="38">
        <f t="shared" si="5"/>
        <v>0</v>
      </c>
      <c r="N198" s="39">
        <f t="shared" si="6"/>
        <v>0</v>
      </c>
      <c r="O198" s="40"/>
      <c r="P198" s="34"/>
      <c r="Q198" s="35"/>
      <c r="R198" s="35"/>
      <c r="S198" s="35"/>
      <c r="T198" s="35"/>
      <c r="U198" s="35"/>
      <c r="V198" s="35"/>
      <c r="W198" s="35"/>
      <c r="X198" s="35"/>
      <c r="Y198" s="35"/>
      <c r="Z198" s="35"/>
    </row>
    <row r="199" ht="14.25" customHeight="1">
      <c r="A199" s="221"/>
      <c r="B199" s="231"/>
      <c r="C199" s="106"/>
      <c r="D199" s="223"/>
      <c r="E199" s="85"/>
      <c r="F199" s="238"/>
      <c r="G199" s="238"/>
      <c r="H199" s="523"/>
      <c r="I199" s="36">
        <f t="shared" si="1"/>
        <v>0</v>
      </c>
      <c r="J199" s="37">
        <f t="shared" si="2"/>
        <v>0</v>
      </c>
      <c r="K199" s="38">
        <f t="shared" si="3"/>
        <v>0</v>
      </c>
      <c r="L199" s="39">
        <f t="shared" si="4"/>
        <v>0</v>
      </c>
      <c r="M199" s="38">
        <f t="shared" si="5"/>
        <v>0</v>
      </c>
      <c r="N199" s="39">
        <f t="shared" si="6"/>
        <v>0</v>
      </c>
      <c r="O199" s="40"/>
      <c r="P199" s="34"/>
      <c r="Q199" s="35"/>
      <c r="R199" s="35"/>
      <c r="S199" s="35"/>
      <c r="T199" s="35"/>
      <c r="U199" s="35"/>
      <c r="V199" s="35"/>
      <c r="W199" s="35"/>
      <c r="X199" s="35"/>
      <c r="Y199" s="35"/>
      <c r="Z199" s="35"/>
    </row>
    <row r="200" ht="14.25" customHeight="1">
      <c r="A200" s="221"/>
      <c r="B200" s="231"/>
      <c r="C200" s="108"/>
      <c r="D200" s="223"/>
      <c r="E200" s="85"/>
      <c r="F200" s="239"/>
      <c r="G200" s="239"/>
      <c r="H200" s="523"/>
      <c r="I200" s="36">
        <f t="shared" si="1"/>
        <v>0</v>
      </c>
      <c r="J200" s="37">
        <f t="shared" si="2"/>
        <v>0</v>
      </c>
      <c r="K200" s="38">
        <f t="shared" si="3"/>
        <v>0</v>
      </c>
      <c r="L200" s="39">
        <f t="shared" si="4"/>
        <v>0</v>
      </c>
      <c r="M200" s="38">
        <f t="shared" si="5"/>
        <v>0</v>
      </c>
      <c r="N200" s="39">
        <f t="shared" si="6"/>
        <v>0</v>
      </c>
      <c r="O200" s="40"/>
      <c r="P200" s="34"/>
      <c r="Q200" s="35"/>
      <c r="R200" s="35"/>
      <c r="S200" s="35"/>
      <c r="T200" s="35"/>
      <c r="U200" s="35"/>
      <c r="V200" s="35"/>
      <c r="W200" s="35"/>
      <c r="X200" s="35"/>
      <c r="Y200" s="35"/>
      <c r="Z200" s="35"/>
    </row>
    <row r="201" ht="14.25" customHeight="1">
      <c r="A201" s="221"/>
      <c r="B201" s="231"/>
      <c r="C201" s="106"/>
      <c r="D201" s="240"/>
      <c r="E201" s="85"/>
      <c r="F201" s="238"/>
      <c r="G201" s="238"/>
      <c r="H201" s="523"/>
      <c r="I201" s="36">
        <f t="shared" si="1"/>
        <v>0</v>
      </c>
      <c r="J201" s="37">
        <f t="shared" si="2"/>
        <v>0</v>
      </c>
      <c r="K201" s="38">
        <f t="shared" si="3"/>
        <v>0</v>
      </c>
      <c r="L201" s="39">
        <f t="shared" si="4"/>
        <v>0</v>
      </c>
      <c r="M201" s="38">
        <f t="shared" si="5"/>
        <v>0</v>
      </c>
      <c r="N201" s="39">
        <f t="shared" si="6"/>
        <v>0</v>
      </c>
      <c r="O201" s="40"/>
      <c r="P201" s="34"/>
      <c r="Q201" s="35"/>
      <c r="R201" s="35"/>
      <c r="S201" s="35"/>
      <c r="T201" s="35"/>
      <c r="U201" s="35"/>
      <c r="V201" s="35"/>
      <c r="W201" s="35"/>
      <c r="X201" s="35"/>
      <c r="Y201" s="35"/>
      <c r="Z201" s="35"/>
    </row>
    <row r="202" ht="14.25" customHeight="1">
      <c r="A202" s="221"/>
      <c r="B202" s="231"/>
      <c r="C202" s="106"/>
      <c r="D202" s="240"/>
      <c r="E202" s="85"/>
      <c r="F202" s="238"/>
      <c r="G202" s="238"/>
      <c r="H202" s="523"/>
      <c r="I202" s="36">
        <f t="shared" si="1"/>
        <v>0</v>
      </c>
      <c r="J202" s="37">
        <f t="shared" si="2"/>
        <v>0</v>
      </c>
      <c r="K202" s="38">
        <f t="shared" si="3"/>
        <v>0</v>
      </c>
      <c r="L202" s="39">
        <f t="shared" si="4"/>
        <v>0</v>
      </c>
      <c r="M202" s="38">
        <f t="shared" si="5"/>
        <v>0</v>
      </c>
      <c r="N202" s="39">
        <f t="shared" si="6"/>
        <v>0</v>
      </c>
      <c r="O202" s="40"/>
      <c r="P202" s="34"/>
      <c r="Q202" s="35"/>
      <c r="R202" s="35"/>
      <c r="S202" s="35"/>
      <c r="T202" s="35"/>
      <c r="U202" s="35"/>
      <c r="V202" s="35"/>
      <c r="W202" s="35"/>
      <c r="X202" s="35"/>
      <c r="Y202" s="35"/>
      <c r="Z202" s="35"/>
    </row>
    <row r="203" ht="14.25" customHeight="1">
      <c r="A203" s="221"/>
      <c r="B203" s="231"/>
      <c r="C203" s="106"/>
      <c r="D203" s="525"/>
      <c r="E203" s="110"/>
      <c r="F203" s="238"/>
      <c r="G203" s="238"/>
      <c r="H203" s="523"/>
      <c r="I203" s="36">
        <f t="shared" si="1"/>
        <v>0</v>
      </c>
      <c r="J203" s="37">
        <f t="shared" si="2"/>
        <v>0</v>
      </c>
      <c r="K203" s="38">
        <f t="shared" si="3"/>
        <v>0</v>
      </c>
      <c r="L203" s="39">
        <f t="shared" si="4"/>
        <v>0</v>
      </c>
      <c r="M203" s="38">
        <f t="shared" si="5"/>
        <v>0</v>
      </c>
      <c r="N203" s="39">
        <f t="shared" si="6"/>
        <v>0</v>
      </c>
      <c r="O203" s="40"/>
      <c r="P203" s="34"/>
      <c r="Q203" s="35"/>
      <c r="R203" s="35"/>
      <c r="S203" s="35"/>
      <c r="T203" s="35"/>
      <c r="U203" s="35"/>
      <c r="V203" s="35"/>
      <c r="W203" s="35"/>
      <c r="X203" s="35"/>
      <c r="Y203" s="35"/>
      <c r="Z203" s="35"/>
    </row>
    <row r="204" ht="14.25" customHeight="1">
      <c r="A204" s="221"/>
      <c r="B204" s="231"/>
      <c r="C204" s="108"/>
      <c r="D204" s="525"/>
      <c r="E204" s="85"/>
      <c r="F204" s="238"/>
      <c r="G204" s="238"/>
      <c r="H204" s="523"/>
      <c r="I204" s="36">
        <f t="shared" si="1"/>
        <v>0</v>
      </c>
      <c r="J204" s="37">
        <f t="shared" si="2"/>
        <v>0</v>
      </c>
      <c r="K204" s="38">
        <f t="shared" si="3"/>
        <v>0</v>
      </c>
      <c r="L204" s="39">
        <f t="shared" si="4"/>
        <v>0</v>
      </c>
      <c r="M204" s="38">
        <f t="shared" si="5"/>
        <v>0</v>
      </c>
      <c r="N204" s="39">
        <f t="shared" si="6"/>
        <v>0</v>
      </c>
      <c r="O204" s="40"/>
      <c r="P204" s="34"/>
      <c r="Q204" s="35"/>
      <c r="R204" s="35"/>
      <c r="S204" s="35"/>
      <c r="T204" s="35"/>
      <c r="U204" s="35"/>
      <c r="V204" s="35"/>
      <c r="W204" s="35"/>
      <c r="X204" s="35"/>
      <c r="Y204" s="35"/>
      <c r="Z204" s="35"/>
    </row>
    <row r="205" ht="14.25" customHeight="1">
      <c r="A205" s="221"/>
      <c r="B205" s="231"/>
      <c r="C205" s="108"/>
      <c r="D205" s="525"/>
      <c r="E205" s="85"/>
      <c r="F205" s="238"/>
      <c r="G205" s="238"/>
      <c r="H205" s="523"/>
      <c r="I205" s="36">
        <f t="shared" si="1"/>
        <v>0</v>
      </c>
      <c r="J205" s="37">
        <f t="shared" si="2"/>
        <v>0</v>
      </c>
      <c r="K205" s="38">
        <f t="shared" si="3"/>
        <v>0</v>
      </c>
      <c r="L205" s="39">
        <f t="shared" si="4"/>
        <v>0</v>
      </c>
      <c r="M205" s="38">
        <f t="shared" si="5"/>
        <v>0</v>
      </c>
      <c r="N205" s="39">
        <f t="shared" si="6"/>
        <v>0</v>
      </c>
      <c r="O205" s="40"/>
      <c r="P205" s="34"/>
      <c r="Q205" s="35"/>
      <c r="R205" s="35"/>
      <c r="S205" s="35"/>
      <c r="T205" s="35"/>
      <c r="U205" s="35"/>
      <c r="V205" s="35"/>
      <c r="W205" s="35"/>
      <c r="X205" s="35"/>
      <c r="Y205" s="35"/>
      <c r="Z205" s="35"/>
    </row>
    <row r="206" ht="14.25" customHeight="1">
      <c r="A206" s="221"/>
      <c r="B206" s="231"/>
      <c r="C206" s="111"/>
      <c r="D206" s="241"/>
      <c r="E206" s="85"/>
      <c r="F206" s="242"/>
      <c r="G206" s="242"/>
      <c r="H206" s="523"/>
      <c r="I206" s="36">
        <f t="shared" si="1"/>
        <v>0</v>
      </c>
      <c r="J206" s="37">
        <f t="shared" si="2"/>
        <v>0</v>
      </c>
      <c r="K206" s="38">
        <f t="shared" si="3"/>
        <v>0</v>
      </c>
      <c r="L206" s="39">
        <f t="shared" si="4"/>
        <v>0</v>
      </c>
      <c r="M206" s="38">
        <f t="shared" si="5"/>
        <v>0</v>
      </c>
      <c r="N206" s="39">
        <f t="shared" si="6"/>
        <v>0</v>
      </c>
      <c r="O206" s="40"/>
      <c r="P206" s="34"/>
      <c r="Q206" s="35"/>
      <c r="R206" s="35"/>
      <c r="S206" s="35"/>
      <c r="T206" s="35"/>
      <c r="U206" s="35"/>
      <c r="V206" s="35"/>
      <c r="W206" s="35"/>
      <c r="X206" s="35"/>
      <c r="Y206" s="35"/>
      <c r="Z206" s="35"/>
    </row>
    <row r="207" ht="14.25" customHeight="1">
      <c r="A207" s="221"/>
      <c r="B207" s="231"/>
      <c r="C207" s="111"/>
      <c r="D207" s="241"/>
      <c r="E207" s="85"/>
      <c r="F207" s="242"/>
      <c r="G207" s="242"/>
      <c r="H207" s="523"/>
      <c r="I207" s="36">
        <f t="shared" si="1"/>
        <v>0</v>
      </c>
      <c r="J207" s="37">
        <f t="shared" si="2"/>
        <v>0</v>
      </c>
      <c r="K207" s="38">
        <f t="shared" si="3"/>
        <v>0</v>
      </c>
      <c r="L207" s="39">
        <f t="shared" si="4"/>
        <v>0</v>
      </c>
      <c r="M207" s="38">
        <f t="shared" si="5"/>
        <v>0</v>
      </c>
      <c r="N207" s="39">
        <f t="shared" si="6"/>
        <v>0</v>
      </c>
      <c r="O207" s="40"/>
      <c r="P207" s="34"/>
      <c r="Q207" s="35"/>
      <c r="R207" s="35"/>
      <c r="S207" s="35"/>
      <c r="T207" s="35"/>
      <c r="U207" s="35"/>
      <c r="V207" s="35"/>
      <c r="W207" s="35"/>
      <c r="X207" s="35"/>
      <c r="Y207" s="35"/>
      <c r="Z207" s="35"/>
    </row>
    <row r="208" ht="14.25" customHeight="1">
      <c r="A208" s="221"/>
      <c r="B208" s="231"/>
      <c r="C208" s="111"/>
      <c r="D208" s="241"/>
      <c r="E208" s="85"/>
      <c r="F208" s="242"/>
      <c r="G208" s="242"/>
      <c r="H208" s="523"/>
      <c r="I208" s="36">
        <f t="shared" si="1"/>
        <v>0</v>
      </c>
      <c r="J208" s="37">
        <f t="shared" si="2"/>
        <v>0</v>
      </c>
      <c r="K208" s="38">
        <f t="shared" si="3"/>
        <v>0</v>
      </c>
      <c r="L208" s="39">
        <f t="shared" si="4"/>
        <v>0</v>
      </c>
      <c r="M208" s="38">
        <f t="shared" si="5"/>
        <v>0</v>
      </c>
      <c r="N208" s="39">
        <f t="shared" si="6"/>
        <v>0</v>
      </c>
      <c r="O208" s="40"/>
      <c r="P208" s="34"/>
      <c r="Q208" s="35"/>
      <c r="R208" s="35"/>
      <c r="S208" s="35"/>
      <c r="T208" s="35"/>
      <c r="U208" s="35"/>
      <c r="V208" s="35"/>
      <c r="W208" s="35"/>
      <c r="X208" s="35"/>
      <c r="Y208" s="35"/>
      <c r="Z208" s="35"/>
    </row>
    <row r="209" ht="14.25" customHeight="1">
      <c r="A209" s="221"/>
      <c r="B209" s="231"/>
      <c r="C209" s="111"/>
      <c r="D209" s="241"/>
      <c r="E209" s="85"/>
      <c r="F209" s="242"/>
      <c r="G209" s="242"/>
      <c r="H209" s="523"/>
      <c r="I209" s="36">
        <f t="shared" si="1"/>
        <v>0</v>
      </c>
      <c r="J209" s="37">
        <f t="shared" si="2"/>
        <v>0</v>
      </c>
      <c r="K209" s="38">
        <f t="shared" si="3"/>
        <v>0</v>
      </c>
      <c r="L209" s="39">
        <f t="shared" si="4"/>
        <v>0</v>
      </c>
      <c r="M209" s="38">
        <f t="shared" si="5"/>
        <v>0</v>
      </c>
      <c r="N209" s="39">
        <f t="shared" si="6"/>
        <v>0</v>
      </c>
      <c r="O209" s="40"/>
      <c r="P209" s="34"/>
      <c r="Q209" s="35"/>
      <c r="R209" s="35"/>
      <c r="S209" s="35"/>
      <c r="T209" s="35"/>
      <c r="U209" s="35"/>
      <c r="V209" s="35"/>
      <c r="W209" s="35"/>
      <c r="X209" s="35"/>
      <c r="Y209" s="35"/>
      <c r="Z209" s="35"/>
    </row>
    <row r="210" ht="14.25" customHeight="1">
      <c r="A210" s="221"/>
      <c r="B210" s="231"/>
      <c r="C210" s="111"/>
      <c r="D210" s="241"/>
      <c r="E210" s="85"/>
      <c r="F210" s="242"/>
      <c r="G210" s="242"/>
      <c r="H210" s="523"/>
      <c r="I210" s="36">
        <f t="shared" si="1"/>
        <v>0</v>
      </c>
      <c r="J210" s="37">
        <f t="shared" si="2"/>
        <v>0</v>
      </c>
      <c r="K210" s="38">
        <f t="shared" si="3"/>
        <v>0</v>
      </c>
      <c r="L210" s="39">
        <f t="shared" si="4"/>
        <v>0</v>
      </c>
      <c r="M210" s="38">
        <f t="shared" si="5"/>
        <v>0</v>
      </c>
      <c r="N210" s="39">
        <f t="shared" si="6"/>
        <v>0</v>
      </c>
      <c r="O210" s="40"/>
      <c r="P210" s="34"/>
      <c r="Q210" s="35"/>
      <c r="R210" s="35"/>
      <c r="S210" s="35"/>
      <c r="T210" s="35"/>
      <c r="U210" s="35"/>
      <c r="V210" s="35"/>
      <c r="W210" s="35"/>
      <c r="X210" s="35"/>
      <c r="Y210" s="35"/>
      <c r="Z210" s="35"/>
    </row>
    <row r="211" ht="14.25" customHeight="1">
      <c r="A211" s="221"/>
      <c r="B211" s="231"/>
      <c r="C211" s="111"/>
      <c r="D211" s="241"/>
      <c r="E211" s="85"/>
      <c r="F211" s="242"/>
      <c r="G211" s="242"/>
      <c r="H211" s="523"/>
      <c r="I211" s="36">
        <f t="shared" si="1"/>
        <v>0</v>
      </c>
      <c r="J211" s="37">
        <f t="shared" si="2"/>
        <v>0</v>
      </c>
      <c r="K211" s="38">
        <f t="shared" si="3"/>
        <v>0</v>
      </c>
      <c r="L211" s="39">
        <f t="shared" si="4"/>
        <v>0</v>
      </c>
      <c r="M211" s="38">
        <f t="shared" si="5"/>
        <v>0</v>
      </c>
      <c r="N211" s="39">
        <f t="shared" si="6"/>
        <v>0</v>
      </c>
      <c r="O211" s="40"/>
      <c r="P211" s="34"/>
      <c r="Q211" s="35"/>
      <c r="R211" s="35"/>
      <c r="S211" s="35"/>
      <c r="T211" s="35"/>
      <c r="U211" s="35"/>
      <c r="V211" s="35"/>
      <c r="W211" s="35"/>
      <c r="X211" s="35"/>
      <c r="Y211" s="35"/>
      <c r="Z211" s="35"/>
    </row>
    <row r="212" ht="14.25" customHeight="1">
      <c r="A212" s="221"/>
      <c r="B212" s="231"/>
      <c r="C212" s="111"/>
      <c r="D212" s="241"/>
      <c r="E212" s="85"/>
      <c r="F212" s="242"/>
      <c r="G212" s="242"/>
      <c r="H212" s="523"/>
      <c r="I212" s="36">
        <f t="shared" si="1"/>
        <v>0</v>
      </c>
      <c r="J212" s="37">
        <f t="shared" si="2"/>
        <v>0</v>
      </c>
      <c r="K212" s="38">
        <f t="shared" si="3"/>
        <v>0</v>
      </c>
      <c r="L212" s="39">
        <f t="shared" si="4"/>
        <v>0</v>
      </c>
      <c r="M212" s="38">
        <f t="shared" si="5"/>
        <v>0</v>
      </c>
      <c r="N212" s="39">
        <f t="shared" si="6"/>
        <v>0</v>
      </c>
      <c r="O212" s="40"/>
      <c r="P212" s="34"/>
      <c r="Q212" s="35"/>
      <c r="R212" s="35"/>
      <c r="S212" s="35"/>
      <c r="T212" s="35"/>
      <c r="U212" s="35"/>
      <c r="V212" s="35"/>
      <c r="W212" s="35"/>
      <c r="X212" s="35"/>
      <c r="Y212" s="35"/>
      <c r="Z212" s="35"/>
    </row>
    <row r="213" ht="14.25" customHeight="1">
      <c r="A213" s="221"/>
      <c r="B213" s="231"/>
      <c r="C213" s="111"/>
      <c r="D213" s="241"/>
      <c r="E213" s="85"/>
      <c r="F213" s="242"/>
      <c r="G213" s="242"/>
      <c r="H213" s="523"/>
      <c r="I213" s="36">
        <f t="shared" si="1"/>
        <v>0</v>
      </c>
      <c r="J213" s="37">
        <f t="shared" si="2"/>
        <v>0</v>
      </c>
      <c r="K213" s="38">
        <f t="shared" si="3"/>
        <v>0</v>
      </c>
      <c r="L213" s="39">
        <f t="shared" si="4"/>
        <v>0</v>
      </c>
      <c r="M213" s="38">
        <f t="shared" si="5"/>
        <v>0</v>
      </c>
      <c r="N213" s="39">
        <f t="shared" si="6"/>
        <v>0</v>
      </c>
      <c r="O213" s="40"/>
      <c r="P213" s="34"/>
      <c r="Q213" s="35"/>
      <c r="R213" s="35"/>
      <c r="S213" s="35"/>
      <c r="T213" s="35"/>
      <c r="U213" s="35"/>
      <c r="V213" s="35"/>
      <c r="W213" s="35"/>
      <c r="X213" s="35"/>
      <c r="Y213" s="35"/>
      <c r="Z213" s="35"/>
    </row>
    <row r="214" ht="14.25" customHeight="1">
      <c r="A214" s="221"/>
      <c r="B214" s="231"/>
      <c r="C214" s="111"/>
      <c r="D214" s="241"/>
      <c r="E214" s="85"/>
      <c r="F214" s="242"/>
      <c r="G214" s="242"/>
      <c r="H214" s="523"/>
      <c r="I214" s="36">
        <f t="shared" si="1"/>
        <v>0</v>
      </c>
      <c r="J214" s="37">
        <f t="shared" si="2"/>
        <v>0</v>
      </c>
      <c r="K214" s="38">
        <f t="shared" si="3"/>
        <v>0</v>
      </c>
      <c r="L214" s="39">
        <f t="shared" si="4"/>
        <v>0</v>
      </c>
      <c r="M214" s="38">
        <f t="shared" si="5"/>
        <v>0</v>
      </c>
      <c r="N214" s="39">
        <f t="shared" si="6"/>
        <v>0</v>
      </c>
      <c r="O214" s="40"/>
      <c r="P214" s="34"/>
      <c r="Q214" s="35"/>
      <c r="R214" s="35"/>
      <c r="S214" s="35"/>
      <c r="T214" s="35"/>
      <c r="U214" s="35"/>
      <c r="V214" s="35"/>
      <c r="W214" s="35"/>
      <c r="X214" s="35"/>
      <c r="Y214" s="35"/>
      <c r="Z214" s="35"/>
    </row>
    <row r="215" ht="14.25" customHeight="1">
      <c r="A215" s="221"/>
      <c r="B215" s="231"/>
      <c r="C215" s="111"/>
      <c r="D215" s="241"/>
      <c r="E215" s="85"/>
      <c r="F215" s="242"/>
      <c r="G215" s="242"/>
      <c r="H215" s="523"/>
      <c r="I215" s="36">
        <f t="shared" si="1"/>
        <v>0</v>
      </c>
      <c r="J215" s="37">
        <f t="shared" si="2"/>
        <v>0</v>
      </c>
      <c r="K215" s="38">
        <f t="shared" si="3"/>
        <v>0</v>
      </c>
      <c r="L215" s="39">
        <f t="shared" si="4"/>
        <v>0</v>
      </c>
      <c r="M215" s="38">
        <f t="shared" si="5"/>
        <v>0</v>
      </c>
      <c r="N215" s="39">
        <f t="shared" si="6"/>
        <v>0</v>
      </c>
      <c r="O215" s="40"/>
      <c r="P215" s="34"/>
      <c r="Q215" s="35"/>
      <c r="R215" s="35"/>
      <c r="S215" s="35"/>
      <c r="T215" s="35"/>
      <c r="U215" s="35"/>
      <c r="V215" s="35"/>
      <c r="W215" s="35"/>
      <c r="X215" s="35"/>
      <c r="Y215" s="35"/>
      <c r="Z215" s="35"/>
    </row>
    <row r="216" ht="14.25" customHeight="1">
      <c r="A216" s="221"/>
      <c r="B216" s="231"/>
      <c r="C216" s="111"/>
      <c r="D216" s="241"/>
      <c r="E216" s="85"/>
      <c r="F216" s="242"/>
      <c r="G216" s="242"/>
      <c r="H216" s="523"/>
      <c r="I216" s="36">
        <f t="shared" si="1"/>
        <v>0</v>
      </c>
      <c r="J216" s="37">
        <f t="shared" si="2"/>
        <v>0</v>
      </c>
      <c r="K216" s="38">
        <f t="shared" si="3"/>
        <v>0</v>
      </c>
      <c r="L216" s="39">
        <f t="shared" si="4"/>
        <v>0</v>
      </c>
      <c r="M216" s="38">
        <f t="shared" si="5"/>
        <v>0</v>
      </c>
      <c r="N216" s="39">
        <f t="shared" si="6"/>
        <v>0</v>
      </c>
      <c r="O216" s="40"/>
      <c r="P216" s="34"/>
      <c r="Q216" s="35"/>
      <c r="R216" s="35"/>
      <c r="S216" s="35"/>
      <c r="T216" s="35"/>
      <c r="U216" s="35"/>
      <c r="V216" s="35"/>
      <c r="W216" s="35"/>
      <c r="X216" s="35"/>
      <c r="Y216" s="35"/>
      <c r="Z216" s="35"/>
    </row>
    <row r="217" ht="14.25" customHeight="1">
      <c r="A217" s="221"/>
      <c r="B217" s="231"/>
      <c r="C217" s="113"/>
      <c r="D217" s="241"/>
      <c r="E217" s="85"/>
      <c r="F217" s="243"/>
      <c r="G217" s="243"/>
      <c r="H217" s="523"/>
      <c r="I217" s="36">
        <f t="shared" si="1"/>
        <v>0</v>
      </c>
      <c r="J217" s="37">
        <f t="shared" si="2"/>
        <v>0</v>
      </c>
      <c r="K217" s="38">
        <f t="shared" si="3"/>
        <v>0</v>
      </c>
      <c r="L217" s="39">
        <f t="shared" si="4"/>
        <v>0</v>
      </c>
      <c r="M217" s="38">
        <f t="shared" si="5"/>
        <v>0</v>
      </c>
      <c r="N217" s="39">
        <f t="shared" si="6"/>
        <v>0</v>
      </c>
      <c r="O217" s="40"/>
      <c r="P217" s="34"/>
      <c r="Q217" s="35"/>
      <c r="R217" s="35"/>
      <c r="S217" s="35"/>
      <c r="T217" s="35"/>
      <c r="U217" s="35"/>
      <c r="V217" s="35"/>
      <c r="W217" s="35"/>
      <c r="X217" s="35"/>
      <c r="Y217" s="35"/>
      <c r="Z217" s="35"/>
    </row>
    <row r="218" ht="14.25" customHeight="1">
      <c r="A218" s="221"/>
      <c r="B218" s="231"/>
      <c r="C218" s="108"/>
      <c r="D218" s="241"/>
      <c r="E218" s="85"/>
      <c r="F218" s="242"/>
      <c r="G218" s="242"/>
      <c r="H218" s="523"/>
      <c r="I218" s="36">
        <f t="shared" si="1"/>
        <v>0</v>
      </c>
      <c r="J218" s="37">
        <f t="shared" si="2"/>
        <v>0</v>
      </c>
      <c r="K218" s="38">
        <f t="shared" si="3"/>
        <v>0</v>
      </c>
      <c r="L218" s="39">
        <f t="shared" si="4"/>
        <v>0</v>
      </c>
      <c r="M218" s="38">
        <f t="shared" si="5"/>
        <v>0</v>
      </c>
      <c r="N218" s="39">
        <f t="shared" si="6"/>
        <v>0</v>
      </c>
      <c r="O218" s="40"/>
      <c r="P218" s="34"/>
      <c r="Q218" s="35"/>
      <c r="R218" s="35"/>
      <c r="S218" s="35"/>
      <c r="T218" s="35"/>
      <c r="U218" s="35"/>
      <c r="V218" s="35"/>
      <c r="W218" s="35"/>
      <c r="X218" s="35"/>
      <c r="Y218" s="35"/>
      <c r="Z218" s="35"/>
    </row>
    <row r="219" ht="14.25" customHeight="1">
      <c r="A219" s="221"/>
      <c r="B219" s="231"/>
      <c r="C219" s="108"/>
      <c r="D219" s="241"/>
      <c r="E219" s="101"/>
      <c r="F219" s="242"/>
      <c r="G219" s="242"/>
      <c r="H219" s="523"/>
      <c r="I219" s="36">
        <f t="shared" si="1"/>
        <v>0</v>
      </c>
      <c r="J219" s="37">
        <f t="shared" si="2"/>
        <v>0</v>
      </c>
      <c r="K219" s="38">
        <f t="shared" si="3"/>
        <v>0</v>
      </c>
      <c r="L219" s="39">
        <f t="shared" si="4"/>
        <v>0</v>
      </c>
      <c r="M219" s="38">
        <f t="shared" si="5"/>
        <v>0</v>
      </c>
      <c r="N219" s="39">
        <f t="shared" si="6"/>
        <v>0</v>
      </c>
      <c r="O219" s="40"/>
      <c r="P219" s="34"/>
      <c r="Q219" s="35"/>
      <c r="R219" s="35"/>
      <c r="S219" s="35"/>
      <c r="T219" s="35"/>
      <c r="U219" s="35"/>
      <c r="V219" s="35"/>
      <c r="W219" s="35"/>
      <c r="X219" s="35"/>
      <c r="Y219" s="35"/>
      <c r="Z219" s="35"/>
    </row>
    <row r="220" ht="14.25" customHeight="1">
      <c r="A220" s="221"/>
      <c r="B220" s="231"/>
      <c r="C220" s="108"/>
      <c r="D220" s="241"/>
      <c r="E220" s="101"/>
      <c r="F220" s="242"/>
      <c r="G220" s="242"/>
      <c r="H220" s="523"/>
      <c r="I220" s="36">
        <f t="shared" si="1"/>
        <v>0</v>
      </c>
      <c r="J220" s="37">
        <f t="shared" si="2"/>
        <v>0</v>
      </c>
      <c r="K220" s="38">
        <f t="shared" si="3"/>
        <v>0</v>
      </c>
      <c r="L220" s="39">
        <f t="shared" si="4"/>
        <v>0</v>
      </c>
      <c r="M220" s="38">
        <f t="shared" si="5"/>
        <v>0</v>
      </c>
      <c r="N220" s="39">
        <f t="shared" si="6"/>
        <v>0</v>
      </c>
      <c r="O220" s="40"/>
      <c r="P220" s="34"/>
      <c r="Q220" s="35"/>
      <c r="R220" s="35"/>
      <c r="S220" s="35"/>
      <c r="T220" s="35"/>
      <c r="U220" s="35"/>
      <c r="V220" s="35"/>
      <c r="W220" s="35"/>
      <c r="X220" s="35"/>
      <c r="Y220" s="35"/>
      <c r="Z220" s="35"/>
    </row>
    <row r="221" ht="14.25" customHeight="1">
      <c r="A221" s="221"/>
      <c r="B221" s="231"/>
      <c r="C221" s="108"/>
      <c r="D221" s="241"/>
      <c r="E221" s="101"/>
      <c r="F221" s="242"/>
      <c r="G221" s="242"/>
      <c r="H221" s="523"/>
      <c r="I221" s="36">
        <f t="shared" si="1"/>
        <v>0</v>
      </c>
      <c r="J221" s="37">
        <f t="shared" si="2"/>
        <v>0</v>
      </c>
      <c r="K221" s="38">
        <f t="shared" si="3"/>
        <v>0</v>
      </c>
      <c r="L221" s="39">
        <f t="shared" si="4"/>
        <v>0</v>
      </c>
      <c r="M221" s="38">
        <f t="shared" si="5"/>
        <v>0</v>
      </c>
      <c r="N221" s="39">
        <f t="shared" si="6"/>
        <v>0</v>
      </c>
      <c r="O221" s="40"/>
      <c r="P221" s="34"/>
      <c r="Q221" s="35"/>
      <c r="R221" s="35"/>
      <c r="S221" s="35"/>
      <c r="T221" s="35"/>
      <c r="U221" s="35"/>
      <c r="V221" s="35"/>
      <c r="W221" s="35"/>
      <c r="X221" s="35"/>
      <c r="Y221" s="35"/>
      <c r="Z221" s="35"/>
    </row>
    <row r="222" ht="14.25" customHeight="1">
      <c r="A222" s="221"/>
      <c r="B222" s="231"/>
      <c r="C222" s="108"/>
      <c r="D222" s="241"/>
      <c r="E222" s="101"/>
      <c r="F222" s="242"/>
      <c r="G222" s="242"/>
      <c r="H222" s="523"/>
      <c r="I222" s="36">
        <f t="shared" si="1"/>
        <v>0</v>
      </c>
      <c r="J222" s="37">
        <f t="shared" si="2"/>
        <v>0</v>
      </c>
      <c r="K222" s="38">
        <f t="shared" si="3"/>
        <v>0</v>
      </c>
      <c r="L222" s="39">
        <f t="shared" si="4"/>
        <v>0</v>
      </c>
      <c r="M222" s="38">
        <f t="shared" si="5"/>
        <v>0</v>
      </c>
      <c r="N222" s="39">
        <f t="shared" si="6"/>
        <v>0</v>
      </c>
      <c r="O222" s="40"/>
      <c r="P222" s="34"/>
      <c r="Q222" s="35"/>
      <c r="R222" s="35"/>
      <c r="S222" s="35"/>
      <c r="T222" s="35"/>
      <c r="U222" s="35"/>
      <c r="V222" s="35"/>
      <c r="W222" s="35"/>
      <c r="X222" s="35"/>
      <c r="Y222" s="35"/>
      <c r="Z222" s="35"/>
    </row>
    <row r="223" ht="14.25" customHeight="1">
      <c r="A223" s="221"/>
      <c r="B223" s="231"/>
      <c r="C223" s="115"/>
      <c r="D223" s="237"/>
      <c r="E223" s="101"/>
      <c r="F223" s="243"/>
      <c r="G223" s="243"/>
      <c r="H223" s="523"/>
      <c r="I223" s="36">
        <f t="shared" si="1"/>
        <v>0</v>
      </c>
      <c r="J223" s="37">
        <f t="shared" si="2"/>
        <v>0</v>
      </c>
      <c r="K223" s="38">
        <f t="shared" si="3"/>
        <v>0</v>
      </c>
      <c r="L223" s="39">
        <f t="shared" si="4"/>
        <v>0</v>
      </c>
      <c r="M223" s="38">
        <f t="shared" si="5"/>
        <v>0</v>
      </c>
      <c r="N223" s="39">
        <f t="shared" si="6"/>
        <v>0</v>
      </c>
      <c r="O223" s="40"/>
      <c r="P223" s="34"/>
      <c r="Q223" s="35"/>
      <c r="R223" s="35"/>
      <c r="S223" s="35"/>
      <c r="T223" s="35"/>
      <c r="U223" s="35"/>
      <c r="V223" s="35"/>
      <c r="W223" s="35"/>
      <c r="X223" s="35"/>
      <c r="Y223" s="35"/>
      <c r="Z223" s="35"/>
    </row>
    <row r="224" ht="14.25" customHeight="1">
      <c r="A224" s="221"/>
      <c r="B224" s="231"/>
      <c r="C224" s="113"/>
      <c r="D224" s="237"/>
      <c r="E224" s="101"/>
      <c r="F224" s="243"/>
      <c r="G224" s="243"/>
      <c r="H224" s="523"/>
      <c r="I224" s="36">
        <f t="shared" si="1"/>
        <v>0</v>
      </c>
      <c r="J224" s="37">
        <f t="shared" si="2"/>
        <v>0</v>
      </c>
      <c r="K224" s="38">
        <f t="shared" si="3"/>
        <v>0</v>
      </c>
      <c r="L224" s="39">
        <f t="shared" si="4"/>
        <v>0</v>
      </c>
      <c r="M224" s="38">
        <f t="shared" si="5"/>
        <v>0</v>
      </c>
      <c r="N224" s="39">
        <f t="shared" si="6"/>
        <v>0</v>
      </c>
      <c r="O224" s="40"/>
      <c r="P224" s="34"/>
      <c r="Q224" s="35"/>
      <c r="R224" s="35"/>
      <c r="S224" s="35"/>
      <c r="T224" s="35"/>
      <c r="U224" s="35"/>
      <c r="V224" s="35"/>
      <c r="W224" s="35"/>
      <c r="X224" s="35"/>
      <c r="Y224" s="35"/>
      <c r="Z224" s="35"/>
    </row>
    <row r="225" ht="14.25" customHeight="1">
      <c r="A225" s="221"/>
      <c r="B225" s="231"/>
      <c r="C225" s="113"/>
      <c r="D225" s="237"/>
      <c r="E225" s="100"/>
      <c r="F225" s="243"/>
      <c r="G225" s="243"/>
      <c r="H225" s="523"/>
      <c r="I225" s="36">
        <f t="shared" si="1"/>
        <v>0</v>
      </c>
      <c r="J225" s="37">
        <f t="shared" si="2"/>
        <v>0</v>
      </c>
      <c r="K225" s="38">
        <f t="shared" si="3"/>
        <v>0</v>
      </c>
      <c r="L225" s="39">
        <f t="shared" si="4"/>
        <v>0</v>
      </c>
      <c r="M225" s="38">
        <f t="shared" si="5"/>
        <v>0</v>
      </c>
      <c r="N225" s="39">
        <f t="shared" si="6"/>
        <v>0</v>
      </c>
      <c r="O225" s="40"/>
      <c r="P225" s="34"/>
      <c r="Q225" s="35"/>
      <c r="R225" s="35"/>
      <c r="S225" s="35"/>
      <c r="T225" s="35"/>
      <c r="U225" s="35"/>
      <c r="V225" s="35"/>
      <c r="W225" s="35"/>
      <c r="X225" s="35"/>
      <c r="Y225" s="35"/>
      <c r="Z225" s="35"/>
    </row>
    <row r="226" ht="14.25" customHeight="1">
      <c r="A226" s="221"/>
      <c r="B226" s="231"/>
      <c r="C226" s="111"/>
      <c r="D226" s="237"/>
      <c r="E226" s="101"/>
      <c r="F226" s="242"/>
      <c r="G226" s="242"/>
      <c r="H226" s="523"/>
      <c r="I226" s="36">
        <f t="shared" si="1"/>
        <v>0</v>
      </c>
      <c r="J226" s="37">
        <f t="shared" si="2"/>
        <v>0</v>
      </c>
      <c r="K226" s="38">
        <f t="shared" si="3"/>
        <v>0</v>
      </c>
      <c r="L226" s="39">
        <f t="shared" si="4"/>
        <v>0</v>
      </c>
      <c r="M226" s="38">
        <f t="shared" si="5"/>
        <v>0</v>
      </c>
      <c r="N226" s="39">
        <f t="shared" si="6"/>
        <v>0</v>
      </c>
      <c r="O226" s="40"/>
      <c r="P226" s="34"/>
      <c r="Q226" s="35"/>
      <c r="R226" s="35"/>
      <c r="S226" s="35"/>
      <c r="T226" s="35"/>
      <c r="U226" s="35"/>
      <c r="V226" s="35"/>
      <c r="W226" s="35"/>
      <c r="X226" s="35"/>
      <c r="Y226" s="35"/>
      <c r="Z226" s="35"/>
    </row>
    <row r="227" ht="14.25" customHeight="1">
      <c r="A227" s="221"/>
      <c r="B227" s="231"/>
      <c r="C227" s="115"/>
      <c r="D227" s="237"/>
      <c r="E227" s="101"/>
      <c r="F227" s="243"/>
      <c r="G227" s="243"/>
      <c r="H227" s="523"/>
      <c r="I227" s="36">
        <f t="shared" si="1"/>
        <v>0</v>
      </c>
      <c r="J227" s="37">
        <f t="shared" si="2"/>
        <v>0</v>
      </c>
      <c r="K227" s="38">
        <f t="shared" si="3"/>
        <v>0</v>
      </c>
      <c r="L227" s="39">
        <f t="shared" si="4"/>
        <v>0</v>
      </c>
      <c r="M227" s="38">
        <f t="shared" si="5"/>
        <v>0</v>
      </c>
      <c r="N227" s="39">
        <f t="shared" si="6"/>
        <v>0</v>
      </c>
      <c r="O227" s="40"/>
      <c r="P227" s="34"/>
      <c r="Q227" s="35"/>
      <c r="R227" s="35"/>
      <c r="S227" s="35"/>
      <c r="T227" s="35"/>
      <c r="U227" s="35"/>
      <c r="V227" s="35"/>
      <c r="W227" s="35"/>
      <c r="X227" s="35"/>
      <c r="Y227" s="35"/>
      <c r="Z227" s="35"/>
    </row>
    <row r="228" ht="14.25" customHeight="1">
      <c r="A228" s="221"/>
      <c r="B228" s="231"/>
      <c r="C228" s="113"/>
      <c r="D228" s="237"/>
      <c r="E228" s="101"/>
      <c r="F228" s="242"/>
      <c r="G228" s="242"/>
      <c r="H228" s="523"/>
      <c r="I228" s="36">
        <f t="shared" si="1"/>
        <v>0</v>
      </c>
      <c r="J228" s="37">
        <f t="shared" si="2"/>
        <v>0</v>
      </c>
      <c r="K228" s="38">
        <f t="shared" si="3"/>
        <v>0</v>
      </c>
      <c r="L228" s="39">
        <f t="shared" si="4"/>
        <v>0</v>
      </c>
      <c r="M228" s="38">
        <f t="shared" si="5"/>
        <v>0</v>
      </c>
      <c r="N228" s="39">
        <f t="shared" si="6"/>
        <v>0</v>
      </c>
      <c r="O228" s="40"/>
      <c r="P228" s="34"/>
      <c r="Q228" s="35"/>
      <c r="R228" s="35"/>
      <c r="S228" s="35"/>
      <c r="T228" s="35"/>
      <c r="U228" s="35"/>
      <c r="V228" s="35"/>
      <c r="W228" s="35"/>
      <c r="X228" s="35"/>
      <c r="Y228" s="35"/>
      <c r="Z228" s="35"/>
    </row>
    <row r="229" ht="14.25" customHeight="1">
      <c r="A229" s="221"/>
      <c r="B229" s="231"/>
      <c r="C229" s="113"/>
      <c r="D229" s="237"/>
      <c r="E229" s="101"/>
      <c r="F229" s="243"/>
      <c r="G229" s="243"/>
      <c r="H229" s="523"/>
      <c r="I229" s="36">
        <f t="shared" si="1"/>
        <v>0</v>
      </c>
      <c r="J229" s="37">
        <f t="shared" si="2"/>
        <v>0</v>
      </c>
      <c r="K229" s="38">
        <f t="shared" si="3"/>
        <v>0</v>
      </c>
      <c r="L229" s="39">
        <f t="shared" si="4"/>
        <v>0</v>
      </c>
      <c r="M229" s="38">
        <f t="shared" si="5"/>
        <v>0</v>
      </c>
      <c r="N229" s="39">
        <f t="shared" si="6"/>
        <v>0</v>
      </c>
      <c r="O229" s="40"/>
      <c r="P229" s="34"/>
      <c r="Q229" s="35"/>
      <c r="R229" s="35"/>
      <c r="S229" s="35"/>
      <c r="T229" s="35"/>
      <c r="U229" s="35"/>
      <c r="V229" s="35"/>
      <c r="W229" s="35"/>
      <c r="X229" s="35"/>
      <c r="Y229" s="35"/>
      <c r="Z229" s="35"/>
    </row>
    <row r="230" ht="14.25" customHeight="1">
      <c r="A230" s="221"/>
      <c r="B230" s="231"/>
      <c r="C230" s="108"/>
      <c r="D230" s="237"/>
      <c r="E230" s="101"/>
      <c r="F230" s="238"/>
      <c r="G230" s="238"/>
      <c r="H230" s="523"/>
      <c r="I230" s="36">
        <f t="shared" si="1"/>
        <v>0</v>
      </c>
      <c r="J230" s="37">
        <f t="shared" si="2"/>
        <v>0</v>
      </c>
      <c r="K230" s="38">
        <f t="shared" si="3"/>
        <v>0</v>
      </c>
      <c r="L230" s="39">
        <f t="shared" si="4"/>
        <v>0</v>
      </c>
      <c r="M230" s="38">
        <f t="shared" si="5"/>
        <v>0</v>
      </c>
      <c r="N230" s="39">
        <f t="shared" si="6"/>
        <v>0</v>
      </c>
      <c r="O230" s="40"/>
      <c r="P230" s="34"/>
      <c r="Q230" s="35"/>
      <c r="R230" s="35"/>
      <c r="S230" s="35"/>
      <c r="T230" s="35"/>
      <c r="U230" s="35"/>
      <c r="V230" s="35"/>
      <c r="W230" s="35"/>
      <c r="X230" s="35"/>
      <c r="Y230" s="35"/>
      <c r="Z230" s="35"/>
    </row>
    <row r="231" ht="14.25" customHeight="1">
      <c r="A231" s="221"/>
      <c r="B231" s="231"/>
      <c r="C231" s="108"/>
      <c r="D231" s="237"/>
      <c r="E231" s="101"/>
      <c r="F231" s="243"/>
      <c r="G231" s="243"/>
      <c r="H231" s="523"/>
      <c r="I231" s="36">
        <f t="shared" si="1"/>
        <v>0</v>
      </c>
      <c r="J231" s="37">
        <f t="shared" si="2"/>
        <v>0</v>
      </c>
      <c r="K231" s="38">
        <f t="shared" si="3"/>
        <v>0</v>
      </c>
      <c r="L231" s="39">
        <f t="shared" si="4"/>
        <v>0</v>
      </c>
      <c r="M231" s="38">
        <f t="shared" si="5"/>
        <v>0</v>
      </c>
      <c r="N231" s="39">
        <f t="shared" si="6"/>
        <v>0</v>
      </c>
      <c r="O231" s="40"/>
      <c r="P231" s="34"/>
      <c r="Q231" s="35"/>
      <c r="R231" s="35"/>
      <c r="S231" s="35"/>
      <c r="T231" s="35"/>
      <c r="U231" s="35"/>
      <c r="V231" s="35"/>
      <c r="W231" s="35"/>
      <c r="X231" s="35"/>
      <c r="Y231" s="35"/>
      <c r="Z231" s="35"/>
    </row>
    <row r="232" ht="14.25" customHeight="1">
      <c r="A232" s="221"/>
      <c r="B232" s="231"/>
      <c r="C232" s="113"/>
      <c r="D232" s="237"/>
      <c r="E232" s="101"/>
      <c r="F232" s="242"/>
      <c r="G232" s="242"/>
      <c r="H232" s="523"/>
      <c r="I232" s="36">
        <f t="shared" si="1"/>
        <v>0</v>
      </c>
      <c r="J232" s="37">
        <f t="shared" si="2"/>
        <v>0</v>
      </c>
      <c r="K232" s="38">
        <f t="shared" si="3"/>
        <v>0</v>
      </c>
      <c r="L232" s="39">
        <f t="shared" si="4"/>
        <v>0</v>
      </c>
      <c r="M232" s="38">
        <f t="shared" si="5"/>
        <v>0</v>
      </c>
      <c r="N232" s="39">
        <f t="shared" si="6"/>
        <v>0</v>
      </c>
      <c r="O232" s="40"/>
      <c r="P232" s="34"/>
      <c r="Q232" s="35"/>
      <c r="R232" s="35"/>
      <c r="S232" s="35"/>
      <c r="T232" s="35"/>
      <c r="U232" s="35"/>
      <c r="V232" s="35"/>
      <c r="W232" s="35"/>
      <c r="X232" s="35"/>
      <c r="Y232" s="35"/>
      <c r="Z232" s="35"/>
    </row>
    <row r="233" ht="14.25" customHeight="1">
      <c r="A233" s="221"/>
      <c r="B233" s="231"/>
      <c r="C233" s="108"/>
      <c r="D233" s="241"/>
      <c r="E233" s="101"/>
      <c r="F233" s="242"/>
      <c r="G233" s="242"/>
      <c r="H233" s="523"/>
      <c r="I233" s="36">
        <f t="shared" si="1"/>
        <v>0</v>
      </c>
      <c r="J233" s="37">
        <f t="shared" si="2"/>
        <v>0</v>
      </c>
      <c r="K233" s="38">
        <f t="shared" si="3"/>
        <v>0</v>
      </c>
      <c r="L233" s="39">
        <f t="shared" si="4"/>
        <v>0</v>
      </c>
      <c r="M233" s="38">
        <f t="shared" si="5"/>
        <v>0</v>
      </c>
      <c r="N233" s="39">
        <f t="shared" si="6"/>
        <v>0</v>
      </c>
      <c r="O233" s="40"/>
      <c r="P233" s="34"/>
      <c r="Q233" s="35"/>
      <c r="R233" s="35"/>
      <c r="S233" s="35"/>
      <c r="T233" s="35"/>
      <c r="U233" s="35"/>
      <c r="V233" s="35"/>
      <c r="W233" s="35"/>
      <c r="X233" s="35"/>
      <c r="Y233" s="35"/>
      <c r="Z233" s="35"/>
    </row>
    <row r="234" ht="14.25" customHeight="1">
      <c r="A234" s="221"/>
      <c r="B234" s="231"/>
      <c r="C234" s="108"/>
      <c r="D234" s="241"/>
      <c r="E234" s="101"/>
      <c r="F234" s="242"/>
      <c r="G234" s="242"/>
      <c r="H234" s="523"/>
      <c r="I234" s="36">
        <f t="shared" si="1"/>
        <v>0</v>
      </c>
      <c r="J234" s="37">
        <f t="shared" si="2"/>
        <v>0</v>
      </c>
      <c r="K234" s="38">
        <f t="shared" si="3"/>
        <v>0</v>
      </c>
      <c r="L234" s="39">
        <f t="shared" si="4"/>
        <v>0</v>
      </c>
      <c r="M234" s="38">
        <f t="shared" si="5"/>
        <v>0</v>
      </c>
      <c r="N234" s="39">
        <f t="shared" si="6"/>
        <v>0</v>
      </c>
      <c r="O234" s="40"/>
      <c r="P234" s="34"/>
      <c r="Q234" s="35"/>
      <c r="R234" s="35"/>
      <c r="S234" s="35"/>
      <c r="T234" s="35"/>
      <c r="U234" s="35"/>
      <c r="V234" s="35"/>
      <c r="W234" s="35"/>
      <c r="X234" s="35"/>
      <c r="Y234" s="35"/>
      <c r="Z234" s="35"/>
    </row>
    <row r="235" ht="14.25" customHeight="1">
      <c r="A235" s="221"/>
      <c r="B235" s="231"/>
      <c r="C235" s="108"/>
      <c r="D235" s="241"/>
      <c r="E235" s="101"/>
      <c r="F235" s="242"/>
      <c r="G235" s="242"/>
      <c r="H235" s="523"/>
      <c r="I235" s="36">
        <f t="shared" si="1"/>
        <v>0</v>
      </c>
      <c r="J235" s="37">
        <f t="shared" si="2"/>
        <v>0</v>
      </c>
      <c r="K235" s="38">
        <f t="shared" si="3"/>
        <v>0</v>
      </c>
      <c r="L235" s="39">
        <f t="shared" si="4"/>
        <v>0</v>
      </c>
      <c r="M235" s="38">
        <f t="shared" si="5"/>
        <v>0</v>
      </c>
      <c r="N235" s="39">
        <f t="shared" si="6"/>
        <v>0</v>
      </c>
      <c r="O235" s="40"/>
      <c r="P235" s="34"/>
      <c r="Q235" s="35"/>
      <c r="R235" s="35"/>
      <c r="S235" s="35"/>
      <c r="T235" s="35"/>
      <c r="U235" s="35"/>
      <c r="V235" s="35"/>
      <c r="W235" s="35"/>
      <c r="X235" s="35"/>
      <c r="Y235" s="35"/>
      <c r="Z235" s="35"/>
    </row>
    <row r="236" ht="14.25" customHeight="1">
      <c r="A236" s="221"/>
      <c r="B236" s="231"/>
      <c r="C236" s="116"/>
      <c r="D236" s="237"/>
      <c r="E236" s="117"/>
      <c r="F236" s="244"/>
      <c r="G236" s="244"/>
      <c r="H236" s="523"/>
      <c r="I236" s="36">
        <f t="shared" si="1"/>
        <v>0</v>
      </c>
      <c r="J236" s="37">
        <f t="shared" si="2"/>
        <v>0</v>
      </c>
      <c r="K236" s="38">
        <f t="shared" si="3"/>
        <v>0</v>
      </c>
      <c r="L236" s="39">
        <f t="shared" si="4"/>
        <v>0</v>
      </c>
      <c r="M236" s="38">
        <f t="shared" si="5"/>
        <v>0</v>
      </c>
      <c r="N236" s="39">
        <f t="shared" si="6"/>
        <v>0</v>
      </c>
      <c r="O236" s="40"/>
      <c r="P236" s="34"/>
      <c r="Q236" s="35"/>
      <c r="R236" s="35"/>
      <c r="S236" s="35"/>
      <c r="T236" s="35"/>
      <c r="U236" s="35"/>
      <c r="V236" s="35"/>
      <c r="W236" s="35"/>
      <c r="X236" s="35"/>
      <c r="Y236" s="35"/>
      <c r="Z236" s="35"/>
    </row>
    <row r="237" ht="14.25" customHeight="1">
      <c r="A237" s="221"/>
      <c r="B237" s="231"/>
      <c r="C237" s="116"/>
      <c r="D237" s="237"/>
      <c r="E237" s="117"/>
      <c r="F237" s="244"/>
      <c r="G237" s="244"/>
      <c r="H237" s="523"/>
      <c r="I237" s="36">
        <f t="shared" si="1"/>
        <v>0</v>
      </c>
      <c r="J237" s="37">
        <f t="shared" si="2"/>
        <v>0</v>
      </c>
      <c r="K237" s="38">
        <f t="shared" si="3"/>
        <v>0</v>
      </c>
      <c r="L237" s="39">
        <f t="shared" si="4"/>
        <v>0</v>
      </c>
      <c r="M237" s="38">
        <f t="shared" si="5"/>
        <v>0</v>
      </c>
      <c r="N237" s="39">
        <f t="shared" si="6"/>
        <v>0</v>
      </c>
      <c r="O237" s="40"/>
      <c r="P237" s="34"/>
      <c r="Q237" s="35"/>
      <c r="R237" s="35"/>
      <c r="S237" s="35"/>
      <c r="T237" s="35"/>
      <c r="U237" s="35"/>
      <c r="V237" s="35"/>
      <c r="W237" s="35"/>
      <c r="X237" s="35"/>
      <c r="Y237" s="35"/>
      <c r="Z237" s="35"/>
    </row>
    <row r="238" ht="14.25" customHeight="1">
      <c r="A238" s="221"/>
      <c r="B238" s="231"/>
      <c r="C238" s="116"/>
      <c r="D238" s="237"/>
      <c r="E238" s="117"/>
      <c r="F238" s="244"/>
      <c r="G238" s="244"/>
      <c r="H238" s="523"/>
      <c r="I238" s="36">
        <f t="shared" si="1"/>
        <v>0</v>
      </c>
      <c r="J238" s="37">
        <f t="shared" si="2"/>
        <v>0</v>
      </c>
      <c r="K238" s="38">
        <f t="shared" si="3"/>
        <v>0</v>
      </c>
      <c r="L238" s="39">
        <f t="shared" si="4"/>
        <v>0</v>
      </c>
      <c r="M238" s="38">
        <f t="shared" si="5"/>
        <v>0</v>
      </c>
      <c r="N238" s="39">
        <f t="shared" si="6"/>
        <v>0</v>
      </c>
      <c r="O238" s="40"/>
      <c r="P238" s="34"/>
      <c r="Q238" s="35"/>
      <c r="R238" s="35"/>
      <c r="S238" s="35"/>
      <c r="T238" s="35"/>
      <c r="U238" s="35"/>
      <c r="V238" s="35"/>
      <c r="W238" s="35"/>
      <c r="X238" s="35"/>
      <c r="Y238" s="35"/>
      <c r="Z238" s="35"/>
    </row>
    <row r="239" ht="14.25" customHeight="1">
      <c r="A239" s="221"/>
      <c r="B239" s="231"/>
      <c r="C239" s="116"/>
      <c r="D239" s="237"/>
      <c r="E239" s="117"/>
      <c r="F239" s="244"/>
      <c r="G239" s="244"/>
      <c r="H239" s="523"/>
      <c r="I239" s="36">
        <f t="shared" si="1"/>
        <v>0</v>
      </c>
      <c r="J239" s="37">
        <f t="shared" si="2"/>
        <v>0</v>
      </c>
      <c r="K239" s="38">
        <f t="shared" si="3"/>
        <v>0</v>
      </c>
      <c r="L239" s="39">
        <f t="shared" si="4"/>
        <v>0</v>
      </c>
      <c r="M239" s="38">
        <f t="shared" si="5"/>
        <v>0</v>
      </c>
      <c r="N239" s="39">
        <f t="shared" si="6"/>
        <v>0</v>
      </c>
      <c r="O239" s="40"/>
      <c r="P239" s="34"/>
      <c r="Q239" s="35"/>
      <c r="R239" s="35"/>
      <c r="S239" s="35"/>
      <c r="T239" s="35"/>
      <c r="U239" s="35"/>
      <c r="V239" s="35"/>
      <c r="W239" s="35"/>
      <c r="X239" s="35"/>
      <c r="Y239" s="35"/>
      <c r="Z239" s="35"/>
    </row>
    <row r="240" ht="14.25" customHeight="1">
      <c r="A240" s="221"/>
      <c r="B240" s="231"/>
      <c r="C240" s="116"/>
      <c r="D240" s="237"/>
      <c r="E240" s="117"/>
      <c r="F240" s="244"/>
      <c r="G240" s="244"/>
      <c r="H240" s="523"/>
      <c r="I240" s="36">
        <f t="shared" si="1"/>
        <v>0</v>
      </c>
      <c r="J240" s="37">
        <f t="shared" si="2"/>
        <v>0</v>
      </c>
      <c r="K240" s="38">
        <f t="shared" si="3"/>
        <v>0</v>
      </c>
      <c r="L240" s="39">
        <f t="shared" si="4"/>
        <v>0</v>
      </c>
      <c r="M240" s="38">
        <f t="shared" si="5"/>
        <v>0</v>
      </c>
      <c r="N240" s="39">
        <f t="shared" si="6"/>
        <v>0</v>
      </c>
      <c r="O240" s="40"/>
      <c r="P240" s="34"/>
      <c r="Q240" s="35"/>
      <c r="R240" s="35"/>
      <c r="S240" s="35"/>
      <c r="T240" s="35"/>
      <c r="U240" s="35"/>
      <c r="V240" s="35"/>
      <c r="W240" s="35"/>
      <c r="X240" s="35"/>
      <c r="Y240" s="35"/>
      <c r="Z240" s="35"/>
    </row>
    <row r="241" ht="14.25" customHeight="1">
      <c r="A241" s="221"/>
      <c r="B241" s="231"/>
      <c r="C241" s="116"/>
      <c r="D241" s="237"/>
      <c r="E241" s="117"/>
      <c r="F241" s="244"/>
      <c r="G241" s="244"/>
      <c r="H241" s="523"/>
      <c r="I241" s="36">
        <f t="shared" si="1"/>
        <v>0</v>
      </c>
      <c r="J241" s="37">
        <f t="shared" si="2"/>
        <v>0</v>
      </c>
      <c r="K241" s="38">
        <f t="shared" si="3"/>
        <v>0</v>
      </c>
      <c r="L241" s="39">
        <f t="shared" si="4"/>
        <v>0</v>
      </c>
      <c r="M241" s="38">
        <f t="shared" si="5"/>
        <v>0</v>
      </c>
      <c r="N241" s="39">
        <f t="shared" si="6"/>
        <v>0</v>
      </c>
      <c r="O241" s="40"/>
      <c r="P241" s="34"/>
      <c r="Q241" s="35"/>
      <c r="R241" s="35"/>
      <c r="S241" s="35"/>
      <c r="T241" s="35"/>
      <c r="U241" s="35"/>
      <c r="V241" s="35"/>
      <c r="W241" s="35"/>
      <c r="X241" s="35"/>
      <c r="Y241" s="35"/>
      <c r="Z241" s="35"/>
    </row>
    <row r="242" ht="14.25" customHeight="1">
      <c r="A242" s="221"/>
      <c r="B242" s="231"/>
      <c r="C242" s="116"/>
      <c r="D242" s="237"/>
      <c r="E242" s="117"/>
      <c r="F242" s="244"/>
      <c r="G242" s="244"/>
      <c r="H242" s="523"/>
      <c r="I242" s="36">
        <f t="shared" si="1"/>
        <v>0</v>
      </c>
      <c r="J242" s="37">
        <f t="shared" si="2"/>
        <v>0</v>
      </c>
      <c r="K242" s="38">
        <f t="shared" si="3"/>
        <v>0</v>
      </c>
      <c r="L242" s="39">
        <f t="shared" si="4"/>
        <v>0</v>
      </c>
      <c r="M242" s="38">
        <f t="shared" si="5"/>
        <v>0</v>
      </c>
      <c r="N242" s="39">
        <f t="shared" si="6"/>
        <v>0</v>
      </c>
      <c r="O242" s="40"/>
      <c r="P242" s="34"/>
      <c r="Q242" s="35"/>
      <c r="R242" s="35"/>
      <c r="S242" s="35"/>
      <c r="T242" s="35"/>
      <c r="U242" s="35"/>
      <c r="V242" s="35"/>
      <c r="W242" s="35"/>
      <c r="X242" s="35"/>
      <c r="Y242" s="35"/>
      <c r="Z242" s="35"/>
    </row>
    <row r="243" ht="14.25" customHeight="1">
      <c r="A243" s="221"/>
      <c r="B243" s="231"/>
      <c r="C243" s="115"/>
      <c r="D243" s="237"/>
      <c r="E243" s="117"/>
      <c r="F243" s="244"/>
      <c r="G243" s="244"/>
      <c r="H243" s="523"/>
      <c r="I243" s="36">
        <f t="shared" si="1"/>
        <v>0</v>
      </c>
      <c r="J243" s="37">
        <f t="shared" si="2"/>
        <v>0</v>
      </c>
      <c r="K243" s="38">
        <f t="shared" si="3"/>
        <v>0</v>
      </c>
      <c r="L243" s="39">
        <f t="shared" si="4"/>
        <v>0</v>
      </c>
      <c r="M243" s="38">
        <f t="shared" si="5"/>
        <v>0</v>
      </c>
      <c r="N243" s="39">
        <f t="shared" si="6"/>
        <v>0</v>
      </c>
      <c r="O243" s="40"/>
      <c r="P243" s="34"/>
      <c r="Q243" s="35"/>
      <c r="R243" s="35"/>
      <c r="S243" s="35"/>
      <c r="T243" s="35"/>
      <c r="U243" s="35"/>
      <c r="V243" s="35"/>
      <c r="W243" s="35"/>
      <c r="X243" s="35"/>
      <c r="Y243" s="35"/>
      <c r="Z243" s="35"/>
    </row>
    <row r="244" ht="14.25" customHeight="1">
      <c r="A244" s="221"/>
      <c r="B244" s="231"/>
      <c r="C244" s="108"/>
      <c r="D244" s="237"/>
      <c r="E244" s="117"/>
      <c r="F244" s="245"/>
      <c r="G244" s="245"/>
      <c r="H244" s="523"/>
      <c r="I244" s="36">
        <f t="shared" si="1"/>
        <v>0</v>
      </c>
      <c r="J244" s="37">
        <f t="shared" si="2"/>
        <v>0</v>
      </c>
      <c r="K244" s="38">
        <f t="shared" si="3"/>
        <v>0</v>
      </c>
      <c r="L244" s="39">
        <f t="shared" si="4"/>
        <v>0</v>
      </c>
      <c r="M244" s="38">
        <f t="shared" si="5"/>
        <v>0</v>
      </c>
      <c r="N244" s="39">
        <f t="shared" si="6"/>
        <v>0</v>
      </c>
      <c r="O244" s="40"/>
      <c r="P244" s="34"/>
      <c r="Q244" s="35"/>
      <c r="R244" s="35"/>
      <c r="S244" s="35"/>
      <c r="T244" s="35"/>
      <c r="U244" s="35"/>
      <c r="V244" s="35"/>
      <c r="W244" s="35"/>
      <c r="X244" s="35"/>
      <c r="Y244" s="35"/>
      <c r="Z244" s="35"/>
    </row>
    <row r="245" ht="14.25" customHeight="1">
      <c r="A245" s="221"/>
      <c r="B245" s="231"/>
      <c r="C245" s="108"/>
      <c r="D245" s="237"/>
      <c r="E245" s="117"/>
      <c r="F245" s="245"/>
      <c r="G245" s="245"/>
      <c r="H245" s="523"/>
      <c r="I245" s="36">
        <f t="shared" si="1"/>
        <v>0</v>
      </c>
      <c r="J245" s="37">
        <f t="shared" si="2"/>
        <v>0</v>
      </c>
      <c r="K245" s="38">
        <f t="shared" si="3"/>
        <v>0</v>
      </c>
      <c r="L245" s="39">
        <f t="shared" si="4"/>
        <v>0</v>
      </c>
      <c r="M245" s="38">
        <f t="shared" si="5"/>
        <v>0</v>
      </c>
      <c r="N245" s="39">
        <f t="shared" si="6"/>
        <v>0</v>
      </c>
      <c r="O245" s="40"/>
      <c r="P245" s="34"/>
      <c r="Q245" s="35"/>
      <c r="R245" s="35"/>
      <c r="S245" s="35"/>
      <c r="T245" s="35"/>
      <c r="U245" s="35"/>
      <c r="V245" s="35"/>
      <c r="W245" s="35"/>
      <c r="X245" s="35"/>
      <c r="Y245" s="35"/>
      <c r="Z245" s="35"/>
    </row>
    <row r="246" ht="14.25" customHeight="1">
      <c r="A246" s="221"/>
      <c r="B246" s="231"/>
      <c r="C246" s="108"/>
      <c r="D246" s="237"/>
      <c r="E246" s="117"/>
      <c r="F246" s="245"/>
      <c r="G246" s="245"/>
      <c r="H246" s="523"/>
      <c r="I246" s="36">
        <f t="shared" si="1"/>
        <v>0</v>
      </c>
      <c r="J246" s="37">
        <f t="shared" si="2"/>
        <v>0</v>
      </c>
      <c r="K246" s="38">
        <f t="shared" si="3"/>
        <v>0</v>
      </c>
      <c r="L246" s="39">
        <f t="shared" si="4"/>
        <v>0</v>
      </c>
      <c r="M246" s="38">
        <f t="shared" si="5"/>
        <v>0</v>
      </c>
      <c r="N246" s="39">
        <f t="shared" si="6"/>
        <v>0</v>
      </c>
      <c r="O246" s="40"/>
      <c r="P246" s="34"/>
      <c r="Q246" s="35"/>
      <c r="R246" s="35"/>
      <c r="S246" s="35"/>
      <c r="T246" s="35"/>
      <c r="U246" s="35"/>
      <c r="V246" s="35"/>
      <c r="W246" s="35"/>
      <c r="X246" s="35"/>
      <c r="Y246" s="35"/>
      <c r="Z246" s="35"/>
    </row>
    <row r="247" ht="14.25" customHeight="1">
      <c r="A247" s="221"/>
      <c r="B247" s="231"/>
      <c r="C247" s="108"/>
      <c r="D247" s="223"/>
      <c r="E247" s="117"/>
      <c r="F247" s="245"/>
      <c r="G247" s="245"/>
      <c r="H247" s="523"/>
      <c r="I247" s="36">
        <f t="shared" si="1"/>
        <v>0</v>
      </c>
      <c r="J247" s="37">
        <f t="shared" si="2"/>
        <v>0</v>
      </c>
      <c r="K247" s="38">
        <f t="shared" si="3"/>
        <v>0</v>
      </c>
      <c r="L247" s="39">
        <f t="shared" si="4"/>
        <v>0</v>
      </c>
      <c r="M247" s="38">
        <f t="shared" si="5"/>
        <v>0</v>
      </c>
      <c r="N247" s="39">
        <f t="shared" si="6"/>
        <v>0</v>
      </c>
      <c r="O247" s="40"/>
      <c r="P247" s="34"/>
      <c r="Q247" s="35"/>
      <c r="R247" s="35"/>
      <c r="S247" s="35"/>
      <c r="T247" s="35"/>
      <c r="U247" s="35"/>
      <c r="V247" s="35"/>
      <c r="W247" s="35"/>
      <c r="X247" s="35"/>
      <c r="Y247" s="35"/>
      <c r="Z247" s="35"/>
    </row>
    <row r="248" ht="14.25" customHeight="1">
      <c r="A248" s="221"/>
      <c r="B248" s="231"/>
      <c r="C248" s="108"/>
      <c r="D248" s="237"/>
      <c r="E248" s="117"/>
      <c r="F248" s="245"/>
      <c r="G248" s="245"/>
      <c r="H248" s="523"/>
      <c r="I248" s="36">
        <f t="shared" si="1"/>
        <v>0</v>
      </c>
      <c r="J248" s="37">
        <f t="shared" si="2"/>
        <v>0</v>
      </c>
      <c r="K248" s="38">
        <f t="shared" si="3"/>
        <v>0</v>
      </c>
      <c r="L248" s="39">
        <f t="shared" si="4"/>
        <v>0</v>
      </c>
      <c r="M248" s="38">
        <f t="shared" si="5"/>
        <v>0</v>
      </c>
      <c r="N248" s="39">
        <f t="shared" si="6"/>
        <v>0</v>
      </c>
      <c r="O248" s="40"/>
      <c r="P248" s="34"/>
      <c r="Q248" s="35"/>
      <c r="R248" s="35"/>
      <c r="S248" s="35"/>
      <c r="T248" s="35"/>
      <c r="U248" s="35"/>
      <c r="V248" s="35"/>
      <c r="W248" s="35"/>
      <c r="X248" s="35"/>
      <c r="Y248" s="35"/>
      <c r="Z248" s="35"/>
    </row>
    <row r="249" ht="14.25" customHeight="1">
      <c r="A249" s="221"/>
      <c r="B249" s="231"/>
      <c r="C249" s="108"/>
      <c r="D249" s="237"/>
      <c r="E249" s="117"/>
      <c r="F249" s="245"/>
      <c r="G249" s="245"/>
      <c r="H249" s="523"/>
      <c r="I249" s="36">
        <f t="shared" si="1"/>
        <v>0</v>
      </c>
      <c r="J249" s="37">
        <f t="shared" si="2"/>
        <v>0</v>
      </c>
      <c r="K249" s="38">
        <f t="shared" si="3"/>
        <v>0</v>
      </c>
      <c r="L249" s="39">
        <f t="shared" si="4"/>
        <v>0</v>
      </c>
      <c r="M249" s="38">
        <f t="shared" si="5"/>
        <v>0</v>
      </c>
      <c r="N249" s="39">
        <f t="shared" si="6"/>
        <v>0</v>
      </c>
      <c r="O249" s="40"/>
      <c r="P249" s="34"/>
      <c r="Q249" s="35"/>
      <c r="R249" s="35"/>
      <c r="S249" s="35"/>
      <c r="T249" s="35"/>
      <c r="U249" s="35"/>
      <c r="V249" s="35"/>
      <c r="W249" s="35"/>
      <c r="X249" s="35"/>
      <c r="Y249" s="35"/>
      <c r="Z249" s="35"/>
    </row>
    <row r="250" ht="14.25" customHeight="1">
      <c r="A250" s="221"/>
      <c r="B250" s="231"/>
      <c r="C250" s="108"/>
      <c r="D250" s="237"/>
      <c r="E250" s="117"/>
      <c r="F250" s="245"/>
      <c r="G250" s="245"/>
      <c r="H250" s="523"/>
      <c r="I250" s="36">
        <f t="shared" si="1"/>
        <v>0</v>
      </c>
      <c r="J250" s="37">
        <f t="shared" si="2"/>
        <v>0</v>
      </c>
      <c r="K250" s="38">
        <f t="shared" si="3"/>
        <v>0</v>
      </c>
      <c r="L250" s="39">
        <f t="shared" si="4"/>
        <v>0</v>
      </c>
      <c r="M250" s="38">
        <f t="shared" si="5"/>
        <v>0</v>
      </c>
      <c r="N250" s="39">
        <f t="shared" si="6"/>
        <v>0</v>
      </c>
      <c r="O250" s="40"/>
      <c r="P250" s="34"/>
      <c r="Q250" s="35"/>
      <c r="R250" s="35"/>
      <c r="S250" s="35"/>
      <c r="T250" s="35"/>
      <c r="U250" s="35"/>
      <c r="V250" s="35"/>
      <c r="W250" s="35"/>
      <c r="X250" s="35"/>
      <c r="Y250" s="35"/>
      <c r="Z250" s="35"/>
    </row>
    <row r="251" ht="14.25" customHeight="1">
      <c r="A251" s="221"/>
      <c r="B251" s="231"/>
      <c r="C251" s="108"/>
      <c r="D251" s="237"/>
      <c r="E251" s="117"/>
      <c r="F251" s="245"/>
      <c r="G251" s="245"/>
      <c r="H251" s="523"/>
      <c r="I251" s="36">
        <f t="shared" si="1"/>
        <v>0</v>
      </c>
      <c r="J251" s="37">
        <f t="shared" si="2"/>
        <v>0</v>
      </c>
      <c r="K251" s="38">
        <f t="shared" si="3"/>
        <v>0</v>
      </c>
      <c r="L251" s="39">
        <f t="shared" si="4"/>
        <v>0</v>
      </c>
      <c r="M251" s="38">
        <f t="shared" si="5"/>
        <v>0</v>
      </c>
      <c r="N251" s="39">
        <f t="shared" si="6"/>
        <v>0</v>
      </c>
      <c r="O251" s="40"/>
      <c r="P251" s="34"/>
      <c r="Q251" s="35"/>
      <c r="R251" s="35"/>
      <c r="S251" s="35"/>
      <c r="T251" s="35"/>
      <c r="U251" s="35"/>
      <c r="V251" s="35"/>
      <c r="W251" s="35"/>
      <c r="X251" s="35"/>
      <c r="Y251" s="35"/>
      <c r="Z251" s="35"/>
    </row>
    <row r="252" ht="14.25" customHeight="1">
      <c r="A252" s="221"/>
      <c r="B252" s="231"/>
      <c r="C252" s="108"/>
      <c r="D252" s="237"/>
      <c r="E252" s="117"/>
      <c r="F252" s="245"/>
      <c r="G252" s="245"/>
      <c r="H252" s="523"/>
      <c r="I252" s="36">
        <f t="shared" si="1"/>
        <v>0</v>
      </c>
      <c r="J252" s="37">
        <f t="shared" si="2"/>
        <v>0</v>
      </c>
      <c r="K252" s="38">
        <f t="shared" si="3"/>
        <v>0</v>
      </c>
      <c r="L252" s="39">
        <f t="shared" si="4"/>
        <v>0</v>
      </c>
      <c r="M252" s="38">
        <f t="shared" si="5"/>
        <v>0</v>
      </c>
      <c r="N252" s="39">
        <f t="shared" si="6"/>
        <v>0</v>
      </c>
      <c r="O252" s="40"/>
      <c r="P252" s="34"/>
      <c r="Q252" s="35"/>
      <c r="R252" s="35"/>
      <c r="S252" s="35"/>
      <c r="T252" s="35"/>
      <c r="U252" s="35"/>
      <c r="V252" s="35"/>
      <c r="W252" s="35"/>
      <c r="X252" s="35"/>
      <c r="Y252" s="35"/>
      <c r="Z252" s="35"/>
    </row>
    <row r="253" ht="14.25" customHeight="1">
      <c r="A253" s="221"/>
      <c r="B253" s="231"/>
      <c r="C253" s="108"/>
      <c r="D253" s="237"/>
      <c r="E253" s="117"/>
      <c r="F253" s="245"/>
      <c r="G253" s="245"/>
      <c r="H253" s="523"/>
      <c r="I253" s="36">
        <f t="shared" si="1"/>
        <v>0</v>
      </c>
      <c r="J253" s="37">
        <f t="shared" si="2"/>
        <v>0</v>
      </c>
      <c r="K253" s="38">
        <f t="shared" si="3"/>
        <v>0</v>
      </c>
      <c r="L253" s="39">
        <f t="shared" si="4"/>
        <v>0</v>
      </c>
      <c r="M253" s="38">
        <f t="shared" si="5"/>
        <v>0</v>
      </c>
      <c r="N253" s="39">
        <f t="shared" si="6"/>
        <v>0</v>
      </c>
      <c r="O253" s="40"/>
      <c r="P253" s="34"/>
      <c r="Q253" s="35"/>
      <c r="R253" s="35"/>
      <c r="S253" s="35"/>
      <c r="T253" s="35"/>
      <c r="U253" s="35"/>
      <c r="V253" s="35"/>
      <c r="W253" s="35"/>
      <c r="X253" s="35"/>
      <c r="Y253" s="35"/>
      <c r="Z253" s="35"/>
    </row>
    <row r="254" ht="14.25" customHeight="1">
      <c r="A254" s="221"/>
      <c r="B254" s="231"/>
      <c r="C254" s="108"/>
      <c r="D254" s="237"/>
      <c r="E254" s="117"/>
      <c r="F254" s="244"/>
      <c r="G254" s="244"/>
      <c r="H254" s="523"/>
      <c r="I254" s="36">
        <f t="shared" si="1"/>
        <v>0</v>
      </c>
      <c r="J254" s="37">
        <f t="shared" si="2"/>
        <v>0</v>
      </c>
      <c r="K254" s="38">
        <f t="shared" si="3"/>
        <v>0</v>
      </c>
      <c r="L254" s="39">
        <f t="shared" si="4"/>
        <v>0</v>
      </c>
      <c r="M254" s="38">
        <f t="shared" si="5"/>
        <v>0</v>
      </c>
      <c r="N254" s="39">
        <f t="shared" si="6"/>
        <v>0</v>
      </c>
      <c r="O254" s="40"/>
      <c r="P254" s="34"/>
      <c r="Q254" s="35"/>
      <c r="R254" s="35"/>
      <c r="S254" s="35"/>
      <c r="T254" s="35"/>
      <c r="U254" s="35"/>
      <c r="V254" s="35"/>
      <c r="W254" s="35"/>
      <c r="X254" s="35"/>
      <c r="Y254" s="35"/>
      <c r="Z254" s="35"/>
    </row>
    <row r="255" ht="14.25" customHeight="1">
      <c r="A255" s="221"/>
      <c r="B255" s="231"/>
      <c r="C255" s="108"/>
      <c r="D255" s="223"/>
      <c r="E255" s="117"/>
      <c r="F255" s="246"/>
      <c r="G255" s="246"/>
      <c r="H255" s="523"/>
      <c r="I255" s="36">
        <f t="shared" si="1"/>
        <v>0</v>
      </c>
      <c r="J255" s="37">
        <f t="shared" si="2"/>
        <v>0</v>
      </c>
      <c r="K255" s="38">
        <f t="shared" si="3"/>
        <v>0</v>
      </c>
      <c r="L255" s="39">
        <f t="shared" si="4"/>
        <v>0</v>
      </c>
      <c r="M255" s="38">
        <f t="shared" si="5"/>
        <v>0</v>
      </c>
      <c r="N255" s="39">
        <f t="shared" si="6"/>
        <v>0</v>
      </c>
      <c r="O255" s="40"/>
      <c r="P255" s="34"/>
      <c r="Q255" s="35"/>
      <c r="R255" s="35"/>
      <c r="S255" s="35"/>
      <c r="T255" s="35"/>
      <c r="U255" s="35"/>
      <c r="V255" s="35"/>
      <c r="W255" s="35"/>
      <c r="X255" s="35"/>
      <c r="Y255" s="35"/>
      <c r="Z255" s="35"/>
    </row>
    <row r="256" ht="14.25" customHeight="1">
      <c r="A256" s="221"/>
      <c r="B256" s="231"/>
      <c r="C256" s="108"/>
      <c r="D256" s="247"/>
      <c r="E256" s="117"/>
      <c r="F256" s="246"/>
      <c r="G256" s="246"/>
      <c r="H256" s="523"/>
      <c r="I256" s="36">
        <f t="shared" si="1"/>
        <v>0</v>
      </c>
      <c r="J256" s="37">
        <f t="shared" si="2"/>
        <v>0</v>
      </c>
      <c r="K256" s="38">
        <f t="shared" si="3"/>
        <v>0</v>
      </c>
      <c r="L256" s="39">
        <f t="shared" si="4"/>
        <v>0</v>
      </c>
      <c r="M256" s="38">
        <f t="shared" si="5"/>
        <v>0</v>
      </c>
      <c r="N256" s="39">
        <f t="shared" si="6"/>
        <v>0</v>
      </c>
      <c r="O256" s="40"/>
      <c r="P256" s="34"/>
      <c r="Q256" s="35"/>
      <c r="R256" s="35"/>
      <c r="S256" s="35"/>
      <c r="T256" s="35"/>
      <c r="U256" s="35"/>
      <c r="V256" s="35"/>
      <c r="W256" s="35"/>
      <c r="X256" s="35"/>
      <c r="Y256" s="35"/>
      <c r="Z256" s="35"/>
    </row>
    <row r="257" ht="14.25" customHeight="1">
      <c r="A257" s="221"/>
      <c r="B257" s="231"/>
      <c r="C257" s="108"/>
      <c r="D257" s="223"/>
      <c r="E257" s="117"/>
      <c r="F257" s="246"/>
      <c r="G257" s="246"/>
      <c r="H257" s="523"/>
      <c r="I257" s="36">
        <f t="shared" si="1"/>
        <v>0</v>
      </c>
      <c r="J257" s="37">
        <f t="shared" si="2"/>
        <v>0</v>
      </c>
      <c r="K257" s="38">
        <f t="shared" si="3"/>
        <v>0</v>
      </c>
      <c r="L257" s="39">
        <f t="shared" si="4"/>
        <v>0</v>
      </c>
      <c r="M257" s="38">
        <f t="shared" si="5"/>
        <v>0</v>
      </c>
      <c r="N257" s="39">
        <f t="shared" si="6"/>
        <v>0</v>
      </c>
      <c r="O257" s="40"/>
      <c r="P257" s="34"/>
      <c r="Q257" s="35"/>
      <c r="R257" s="35"/>
      <c r="S257" s="35"/>
      <c r="T257" s="35"/>
      <c r="U257" s="35"/>
      <c r="V257" s="35"/>
      <c r="W257" s="35"/>
      <c r="X257" s="35"/>
      <c r="Y257" s="35"/>
      <c r="Z257" s="35"/>
    </row>
    <row r="258" ht="14.25" customHeight="1">
      <c r="A258" s="221"/>
      <c r="B258" s="231"/>
      <c r="C258" s="108"/>
      <c r="D258" s="223"/>
      <c r="E258" s="117"/>
      <c r="F258" s="246"/>
      <c r="G258" s="246"/>
      <c r="H258" s="523"/>
      <c r="I258" s="36">
        <f t="shared" si="1"/>
        <v>0</v>
      </c>
      <c r="J258" s="37">
        <f t="shared" si="2"/>
        <v>0</v>
      </c>
      <c r="K258" s="38">
        <f t="shared" si="3"/>
        <v>0</v>
      </c>
      <c r="L258" s="39">
        <f t="shared" si="4"/>
        <v>0</v>
      </c>
      <c r="M258" s="38">
        <f t="shared" si="5"/>
        <v>0</v>
      </c>
      <c r="N258" s="39">
        <f t="shared" si="6"/>
        <v>0</v>
      </c>
      <c r="O258" s="40"/>
      <c r="P258" s="34"/>
      <c r="Q258" s="35"/>
      <c r="R258" s="35"/>
      <c r="S258" s="35"/>
      <c r="T258" s="35"/>
      <c r="U258" s="35"/>
      <c r="V258" s="35"/>
      <c r="W258" s="35"/>
      <c r="X258" s="35"/>
      <c r="Y258" s="35"/>
      <c r="Z258" s="35"/>
    </row>
    <row r="259" ht="14.25" customHeight="1">
      <c r="A259" s="221"/>
      <c r="B259" s="231"/>
      <c r="C259" s="108"/>
      <c r="D259" s="223"/>
      <c r="E259" s="117"/>
      <c r="F259" s="246"/>
      <c r="G259" s="246"/>
      <c r="H259" s="523"/>
      <c r="I259" s="36">
        <f t="shared" si="1"/>
        <v>0</v>
      </c>
      <c r="J259" s="37">
        <f t="shared" si="2"/>
        <v>0</v>
      </c>
      <c r="K259" s="38">
        <f t="shared" si="3"/>
        <v>0</v>
      </c>
      <c r="L259" s="39">
        <f t="shared" si="4"/>
        <v>0</v>
      </c>
      <c r="M259" s="38">
        <f t="shared" si="5"/>
        <v>0</v>
      </c>
      <c r="N259" s="39">
        <f t="shared" si="6"/>
        <v>0</v>
      </c>
      <c r="O259" s="40"/>
      <c r="P259" s="34"/>
      <c r="Q259" s="35"/>
      <c r="R259" s="35"/>
      <c r="S259" s="35"/>
      <c r="T259" s="35"/>
      <c r="U259" s="35"/>
      <c r="V259" s="35"/>
      <c r="W259" s="35"/>
      <c r="X259" s="35"/>
      <c r="Y259" s="35"/>
      <c r="Z259" s="35"/>
    </row>
    <row r="260" ht="14.25" customHeight="1">
      <c r="A260" s="221"/>
      <c r="B260" s="231"/>
      <c r="C260" s="108"/>
      <c r="D260" s="223"/>
      <c r="E260" s="117"/>
      <c r="F260" s="246"/>
      <c r="G260" s="246"/>
      <c r="H260" s="523"/>
      <c r="I260" s="36">
        <f t="shared" si="1"/>
        <v>0</v>
      </c>
      <c r="J260" s="37">
        <f t="shared" si="2"/>
        <v>0</v>
      </c>
      <c r="K260" s="38">
        <f t="shared" si="3"/>
        <v>0</v>
      </c>
      <c r="L260" s="39">
        <f t="shared" si="4"/>
        <v>0</v>
      </c>
      <c r="M260" s="38">
        <f t="shared" si="5"/>
        <v>0</v>
      </c>
      <c r="N260" s="39">
        <f t="shared" si="6"/>
        <v>0</v>
      </c>
      <c r="O260" s="40"/>
      <c r="P260" s="34"/>
      <c r="Q260" s="35"/>
      <c r="R260" s="35"/>
      <c r="S260" s="35"/>
      <c r="T260" s="35"/>
      <c r="U260" s="35"/>
      <c r="V260" s="35"/>
      <c r="W260" s="35"/>
      <c r="X260" s="35"/>
      <c r="Y260" s="35"/>
      <c r="Z260" s="35"/>
    </row>
    <row r="261" ht="14.25" customHeight="1">
      <c r="A261" s="221"/>
      <c r="B261" s="231"/>
      <c r="C261" s="108"/>
      <c r="D261" s="223"/>
      <c r="E261" s="117"/>
      <c r="F261" s="245"/>
      <c r="G261" s="245"/>
      <c r="H261" s="523"/>
      <c r="I261" s="36">
        <f t="shared" si="1"/>
        <v>0</v>
      </c>
      <c r="J261" s="37">
        <f t="shared" si="2"/>
        <v>0</v>
      </c>
      <c r="K261" s="38">
        <f t="shared" si="3"/>
        <v>0</v>
      </c>
      <c r="L261" s="39">
        <f t="shared" si="4"/>
        <v>0</v>
      </c>
      <c r="M261" s="38">
        <f t="shared" si="5"/>
        <v>0</v>
      </c>
      <c r="N261" s="39">
        <f t="shared" si="6"/>
        <v>0</v>
      </c>
      <c r="O261" s="40"/>
      <c r="P261" s="34"/>
      <c r="Q261" s="35"/>
      <c r="R261" s="35"/>
      <c r="S261" s="35"/>
      <c r="T261" s="35"/>
      <c r="U261" s="35"/>
      <c r="V261" s="35"/>
      <c r="W261" s="35"/>
      <c r="X261" s="35"/>
      <c r="Y261" s="35"/>
      <c r="Z261" s="35"/>
    </row>
    <row r="262" ht="14.25" customHeight="1">
      <c r="A262" s="221"/>
      <c r="B262" s="231"/>
      <c r="C262" s="110"/>
      <c r="D262" s="223"/>
      <c r="E262" s="117"/>
      <c r="F262" s="245"/>
      <c r="G262" s="245"/>
      <c r="H262" s="523"/>
      <c r="I262" s="36">
        <f t="shared" si="1"/>
        <v>0</v>
      </c>
      <c r="J262" s="37">
        <f t="shared" si="2"/>
        <v>0</v>
      </c>
      <c r="K262" s="38">
        <f t="shared" si="3"/>
        <v>0</v>
      </c>
      <c r="L262" s="39">
        <f t="shared" si="4"/>
        <v>0</v>
      </c>
      <c r="M262" s="38">
        <f t="shared" si="5"/>
        <v>0</v>
      </c>
      <c r="N262" s="39">
        <f t="shared" si="6"/>
        <v>0</v>
      </c>
      <c r="O262" s="40"/>
      <c r="P262" s="34"/>
      <c r="Q262" s="35"/>
      <c r="R262" s="35"/>
      <c r="S262" s="35"/>
      <c r="T262" s="35"/>
      <c r="U262" s="35"/>
      <c r="V262" s="35"/>
      <c r="W262" s="35"/>
      <c r="X262" s="35"/>
      <c r="Y262" s="35"/>
      <c r="Z262" s="35"/>
    </row>
    <row r="263" ht="14.25" customHeight="1">
      <c r="A263" s="221"/>
      <c r="B263" s="231"/>
      <c r="C263" s="115"/>
      <c r="D263" s="237"/>
      <c r="E263" s="117"/>
      <c r="F263" s="245"/>
      <c r="G263" s="245"/>
      <c r="H263" s="523"/>
      <c r="I263" s="36">
        <f t="shared" si="1"/>
        <v>0</v>
      </c>
      <c r="J263" s="37">
        <f t="shared" si="2"/>
        <v>0</v>
      </c>
      <c r="K263" s="38">
        <f t="shared" si="3"/>
        <v>0</v>
      </c>
      <c r="L263" s="39">
        <f t="shared" si="4"/>
        <v>0</v>
      </c>
      <c r="M263" s="38">
        <f t="shared" si="5"/>
        <v>0</v>
      </c>
      <c r="N263" s="39">
        <f t="shared" si="6"/>
        <v>0</v>
      </c>
      <c r="O263" s="40"/>
      <c r="P263" s="34"/>
      <c r="Q263" s="35"/>
      <c r="R263" s="35"/>
      <c r="S263" s="35"/>
      <c r="T263" s="35"/>
      <c r="U263" s="35"/>
      <c r="V263" s="35"/>
      <c r="W263" s="35"/>
      <c r="X263" s="35"/>
      <c r="Y263" s="35"/>
      <c r="Z263" s="35"/>
    </row>
    <row r="264" ht="14.25" customHeight="1">
      <c r="A264" s="221"/>
      <c r="B264" s="231"/>
      <c r="C264" s="115"/>
      <c r="D264" s="237"/>
      <c r="E264" s="117"/>
      <c r="F264" s="245"/>
      <c r="G264" s="245"/>
      <c r="H264" s="523"/>
      <c r="I264" s="36">
        <f t="shared" si="1"/>
        <v>0</v>
      </c>
      <c r="J264" s="37">
        <f t="shared" si="2"/>
        <v>0</v>
      </c>
      <c r="K264" s="38">
        <f t="shared" si="3"/>
        <v>0</v>
      </c>
      <c r="L264" s="39">
        <f t="shared" si="4"/>
        <v>0</v>
      </c>
      <c r="M264" s="38">
        <f t="shared" si="5"/>
        <v>0</v>
      </c>
      <c r="N264" s="39">
        <f t="shared" si="6"/>
        <v>0</v>
      </c>
      <c r="O264" s="40"/>
      <c r="P264" s="34"/>
      <c r="Q264" s="35"/>
      <c r="R264" s="35"/>
      <c r="S264" s="35"/>
      <c r="T264" s="35"/>
      <c r="U264" s="35"/>
      <c r="V264" s="35"/>
      <c r="W264" s="35"/>
      <c r="X264" s="35"/>
      <c r="Y264" s="35"/>
      <c r="Z264" s="35"/>
    </row>
    <row r="265" ht="14.25" customHeight="1">
      <c r="A265" s="221"/>
      <c r="B265" s="231"/>
      <c r="C265" s="115"/>
      <c r="D265" s="237"/>
      <c r="E265" s="117"/>
      <c r="F265" s="245"/>
      <c r="G265" s="245"/>
      <c r="H265" s="523"/>
      <c r="I265" s="36">
        <f t="shared" si="1"/>
        <v>0</v>
      </c>
      <c r="J265" s="37">
        <f t="shared" si="2"/>
        <v>0</v>
      </c>
      <c r="K265" s="38">
        <f t="shared" si="3"/>
        <v>0</v>
      </c>
      <c r="L265" s="39">
        <f t="shared" si="4"/>
        <v>0</v>
      </c>
      <c r="M265" s="38">
        <f t="shared" si="5"/>
        <v>0</v>
      </c>
      <c r="N265" s="39">
        <f t="shared" si="6"/>
        <v>0</v>
      </c>
      <c r="O265" s="40"/>
      <c r="P265" s="34"/>
      <c r="Q265" s="35"/>
      <c r="R265" s="35"/>
      <c r="S265" s="35"/>
      <c r="T265" s="35"/>
      <c r="U265" s="35"/>
      <c r="V265" s="35"/>
      <c r="W265" s="35"/>
      <c r="X265" s="35"/>
      <c r="Y265" s="35"/>
      <c r="Z265" s="35"/>
    </row>
    <row r="266" ht="14.25" customHeight="1">
      <c r="A266" s="221"/>
      <c r="B266" s="231"/>
      <c r="C266" s="115"/>
      <c r="D266" s="237"/>
      <c r="E266" s="117"/>
      <c r="F266" s="245"/>
      <c r="G266" s="245"/>
      <c r="H266" s="523"/>
      <c r="I266" s="36">
        <f t="shared" si="1"/>
        <v>0</v>
      </c>
      <c r="J266" s="37">
        <f t="shared" si="2"/>
        <v>0</v>
      </c>
      <c r="K266" s="38">
        <f t="shared" si="3"/>
        <v>0</v>
      </c>
      <c r="L266" s="39">
        <f t="shared" si="4"/>
        <v>0</v>
      </c>
      <c r="M266" s="38">
        <f t="shared" si="5"/>
        <v>0</v>
      </c>
      <c r="N266" s="39">
        <f t="shared" si="6"/>
        <v>0</v>
      </c>
      <c r="O266" s="40"/>
      <c r="P266" s="34"/>
      <c r="Q266" s="35"/>
      <c r="R266" s="35"/>
      <c r="S266" s="35"/>
      <c r="T266" s="35"/>
      <c r="U266" s="35"/>
      <c r="V266" s="35"/>
      <c r="W266" s="35"/>
      <c r="X266" s="35"/>
      <c r="Y266" s="35"/>
      <c r="Z266" s="35"/>
    </row>
    <row r="267" ht="14.25" customHeight="1">
      <c r="A267" s="221"/>
      <c r="B267" s="231"/>
      <c r="C267" s="108"/>
      <c r="D267" s="237"/>
      <c r="E267" s="117"/>
      <c r="F267" s="245"/>
      <c r="G267" s="245"/>
      <c r="H267" s="523"/>
      <c r="I267" s="36">
        <f t="shared" si="1"/>
        <v>0</v>
      </c>
      <c r="J267" s="37">
        <f t="shared" si="2"/>
        <v>0</v>
      </c>
      <c r="K267" s="38">
        <f t="shared" si="3"/>
        <v>0</v>
      </c>
      <c r="L267" s="39">
        <f t="shared" si="4"/>
        <v>0</v>
      </c>
      <c r="M267" s="38">
        <f t="shared" si="5"/>
        <v>0</v>
      </c>
      <c r="N267" s="39">
        <f t="shared" si="6"/>
        <v>0</v>
      </c>
      <c r="O267" s="40"/>
      <c r="P267" s="34"/>
      <c r="Q267" s="35"/>
      <c r="R267" s="35"/>
      <c r="S267" s="35"/>
      <c r="T267" s="35"/>
      <c r="U267" s="35"/>
      <c r="V267" s="35"/>
      <c r="W267" s="35"/>
      <c r="X267" s="35"/>
      <c r="Y267" s="35"/>
      <c r="Z267" s="35"/>
    </row>
    <row r="268" ht="14.25" customHeight="1">
      <c r="A268" s="221"/>
      <c r="B268" s="231"/>
      <c r="C268" s="116"/>
      <c r="D268" s="237"/>
      <c r="E268" s="117"/>
      <c r="F268" s="245"/>
      <c r="G268" s="245"/>
      <c r="H268" s="523"/>
      <c r="I268" s="36">
        <f t="shared" si="1"/>
        <v>0</v>
      </c>
      <c r="J268" s="37">
        <f t="shared" si="2"/>
        <v>0</v>
      </c>
      <c r="K268" s="38">
        <f t="shared" si="3"/>
        <v>0</v>
      </c>
      <c r="L268" s="39">
        <f t="shared" si="4"/>
        <v>0</v>
      </c>
      <c r="M268" s="38">
        <f t="shared" si="5"/>
        <v>0</v>
      </c>
      <c r="N268" s="39">
        <f t="shared" si="6"/>
        <v>0</v>
      </c>
      <c r="O268" s="40"/>
      <c r="P268" s="34"/>
      <c r="Q268" s="35"/>
      <c r="R268" s="35"/>
      <c r="S268" s="35"/>
      <c r="T268" s="35"/>
      <c r="U268" s="35"/>
      <c r="V268" s="35"/>
      <c r="W268" s="35"/>
      <c r="X268" s="35"/>
      <c r="Y268" s="35"/>
      <c r="Z268" s="35"/>
    </row>
    <row r="269" ht="14.25" customHeight="1">
      <c r="A269" s="221"/>
      <c r="B269" s="231"/>
      <c r="C269" s="126"/>
      <c r="D269" s="237"/>
      <c r="E269" s="117"/>
      <c r="F269" s="245"/>
      <c r="G269" s="245"/>
      <c r="H269" s="523"/>
      <c r="I269" s="36">
        <f t="shared" si="1"/>
        <v>0</v>
      </c>
      <c r="J269" s="37">
        <f t="shared" si="2"/>
        <v>0</v>
      </c>
      <c r="K269" s="38">
        <f t="shared" si="3"/>
        <v>0</v>
      </c>
      <c r="L269" s="39">
        <f t="shared" si="4"/>
        <v>0</v>
      </c>
      <c r="M269" s="38">
        <f t="shared" si="5"/>
        <v>0</v>
      </c>
      <c r="N269" s="39">
        <f t="shared" si="6"/>
        <v>0</v>
      </c>
      <c r="O269" s="40"/>
      <c r="P269" s="34"/>
      <c r="Q269" s="35"/>
      <c r="R269" s="35"/>
      <c r="S269" s="35"/>
      <c r="T269" s="35"/>
      <c r="U269" s="35"/>
      <c r="V269" s="35"/>
      <c r="W269" s="35"/>
      <c r="X269" s="35"/>
      <c r="Y269" s="35"/>
      <c r="Z269" s="35"/>
    </row>
    <row r="270" ht="14.25" customHeight="1">
      <c r="A270" s="221"/>
      <c r="B270" s="231"/>
      <c r="C270" s="115"/>
      <c r="D270" s="237"/>
      <c r="E270" s="117"/>
      <c r="F270" s="245"/>
      <c r="G270" s="245"/>
      <c r="H270" s="523"/>
      <c r="I270" s="36">
        <f t="shared" si="1"/>
        <v>0</v>
      </c>
      <c r="J270" s="37">
        <f t="shared" si="2"/>
        <v>0</v>
      </c>
      <c r="K270" s="38">
        <f t="shared" si="3"/>
        <v>0</v>
      </c>
      <c r="L270" s="39">
        <f t="shared" si="4"/>
        <v>0</v>
      </c>
      <c r="M270" s="38">
        <f t="shared" si="5"/>
        <v>0</v>
      </c>
      <c r="N270" s="39">
        <f t="shared" si="6"/>
        <v>0</v>
      </c>
      <c r="O270" s="40"/>
      <c r="P270" s="34"/>
      <c r="Q270" s="35"/>
      <c r="R270" s="35"/>
      <c r="S270" s="35"/>
      <c r="T270" s="35"/>
      <c r="U270" s="35"/>
      <c r="V270" s="35"/>
      <c r="W270" s="35"/>
      <c r="X270" s="35"/>
      <c r="Y270" s="35"/>
      <c r="Z270" s="35"/>
    </row>
    <row r="271" ht="14.25" customHeight="1">
      <c r="A271" s="221"/>
      <c r="B271" s="231"/>
      <c r="C271" s="116"/>
      <c r="D271" s="237"/>
      <c r="E271" s="117"/>
      <c r="F271" s="245"/>
      <c r="G271" s="245"/>
      <c r="H271" s="523"/>
      <c r="I271" s="36">
        <f t="shared" si="1"/>
        <v>0</v>
      </c>
      <c r="J271" s="37">
        <f t="shared" si="2"/>
        <v>0</v>
      </c>
      <c r="K271" s="38">
        <f t="shared" si="3"/>
        <v>0</v>
      </c>
      <c r="L271" s="39">
        <f t="shared" si="4"/>
        <v>0</v>
      </c>
      <c r="M271" s="38">
        <f t="shared" si="5"/>
        <v>0</v>
      </c>
      <c r="N271" s="39">
        <f t="shared" si="6"/>
        <v>0</v>
      </c>
      <c r="O271" s="40"/>
      <c r="P271" s="34"/>
      <c r="Q271" s="35"/>
      <c r="R271" s="35"/>
      <c r="S271" s="35"/>
      <c r="T271" s="35"/>
      <c r="U271" s="35"/>
      <c r="V271" s="35"/>
      <c r="W271" s="35"/>
      <c r="X271" s="35"/>
      <c r="Y271" s="35"/>
      <c r="Z271" s="35"/>
    </row>
    <row r="272" ht="14.25" customHeight="1">
      <c r="A272" s="221"/>
      <c r="B272" s="231"/>
      <c r="C272" s="116"/>
      <c r="D272" s="237"/>
      <c r="E272" s="117"/>
      <c r="F272" s="245"/>
      <c r="G272" s="245"/>
      <c r="H272" s="523"/>
      <c r="I272" s="36">
        <f t="shared" si="1"/>
        <v>0</v>
      </c>
      <c r="J272" s="37">
        <f t="shared" si="2"/>
        <v>0</v>
      </c>
      <c r="K272" s="38">
        <f t="shared" si="3"/>
        <v>0</v>
      </c>
      <c r="L272" s="39">
        <f t="shared" si="4"/>
        <v>0</v>
      </c>
      <c r="M272" s="38">
        <f t="shared" si="5"/>
        <v>0</v>
      </c>
      <c r="N272" s="39">
        <f t="shared" si="6"/>
        <v>0</v>
      </c>
      <c r="O272" s="40"/>
      <c r="P272" s="34"/>
      <c r="Q272" s="35"/>
      <c r="R272" s="35"/>
      <c r="S272" s="35"/>
      <c r="T272" s="35"/>
      <c r="U272" s="35"/>
      <c r="V272" s="35"/>
      <c r="W272" s="35"/>
      <c r="X272" s="35"/>
      <c r="Y272" s="35"/>
      <c r="Z272" s="35"/>
    </row>
    <row r="273" ht="14.25" customHeight="1">
      <c r="A273" s="221"/>
      <c r="B273" s="231"/>
      <c r="C273" s="116"/>
      <c r="D273" s="237"/>
      <c r="E273" s="117"/>
      <c r="F273" s="245"/>
      <c r="G273" s="245"/>
      <c r="H273" s="523"/>
      <c r="I273" s="36">
        <f t="shared" si="1"/>
        <v>0</v>
      </c>
      <c r="J273" s="37">
        <f t="shared" si="2"/>
        <v>0</v>
      </c>
      <c r="K273" s="38">
        <f t="shared" si="3"/>
        <v>0</v>
      </c>
      <c r="L273" s="39">
        <f t="shared" si="4"/>
        <v>0</v>
      </c>
      <c r="M273" s="38">
        <f t="shared" si="5"/>
        <v>0</v>
      </c>
      <c r="N273" s="39">
        <f t="shared" si="6"/>
        <v>0</v>
      </c>
      <c r="O273" s="40"/>
      <c r="P273" s="34"/>
      <c r="Q273" s="35"/>
      <c r="R273" s="35"/>
      <c r="S273" s="35"/>
      <c r="T273" s="35"/>
      <c r="U273" s="35"/>
      <c r="V273" s="35"/>
      <c r="W273" s="35"/>
      <c r="X273" s="35"/>
      <c r="Y273" s="35"/>
      <c r="Z273" s="35"/>
    </row>
    <row r="274" ht="14.25" customHeight="1">
      <c r="A274" s="221"/>
      <c r="B274" s="231"/>
      <c r="C274" s="116"/>
      <c r="D274" s="237"/>
      <c r="E274" s="117"/>
      <c r="F274" s="245"/>
      <c r="G274" s="245"/>
      <c r="H274" s="523"/>
      <c r="I274" s="36">
        <f t="shared" si="1"/>
        <v>0</v>
      </c>
      <c r="J274" s="37">
        <f t="shared" si="2"/>
        <v>0</v>
      </c>
      <c r="K274" s="38">
        <f t="shared" si="3"/>
        <v>0</v>
      </c>
      <c r="L274" s="39">
        <f t="shared" si="4"/>
        <v>0</v>
      </c>
      <c r="M274" s="38">
        <f t="shared" si="5"/>
        <v>0</v>
      </c>
      <c r="N274" s="39">
        <f t="shared" si="6"/>
        <v>0</v>
      </c>
      <c r="O274" s="40"/>
      <c r="P274" s="34"/>
      <c r="Q274" s="35"/>
      <c r="R274" s="35"/>
      <c r="S274" s="35"/>
      <c r="T274" s="35"/>
      <c r="U274" s="35"/>
      <c r="V274" s="35"/>
      <c r="W274" s="35"/>
      <c r="X274" s="35"/>
      <c r="Y274" s="35"/>
      <c r="Z274" s="35"/>
    </row>
    <row r="275" ht="14.25" customHeight="1">
      <c r="A275" s="221"/>
      <c r="B275" s="231"/>
      <c r="C275" s="116"/>
      <c r="D275" s="237"/>
      <c r="E275" s="117"/>
      <c r="F275" s="245"/>
      <c r="G275" s="245"/>
      <c r="H275" s="523"/>
      <c r="I275" s="36">
        <f t="shared" si="1"/>
        <v>0</v>
      </c>
      <c r="J275" s="37">
        <f t="shared" si="2"/>
        <v>0</v>
      </c>
      <c r="K275" s="38">
        <f t="shared" si="3"/>
        <v>0</v>
      </c>
      <c r="L275" s="39">
        <f t="shared" si="4"/>
        <v>0</v>
      </c>
      <c r="M275" s="38">
        <f t="shared" si="5"/>
        <v>0</v>
      </c>
      <c r="N275" s="39">
        <f t="shared" si="6"/>
        <v>0</v>
      </c>
      <c r="O275" s="40"/>
      <c r="P275" s="34"/>
      <c r="Q275" s="35"/>
      <c r="R275" s="35"/>
      <c r="S275" s="35"/>
      <c r="T275" s="35"/>
      <c r="U275" s="35"/>
      <c r="V275" s="35"/>
      <c r="W275" s="35"/>
      <c r="X275" s="35"/>
      <c r="Y275" s="35"/>
      <c r="Z275" s="35"/>
    </row>
    <row r="276" ht="14.25" customHeight="1">
      <c r="A276" s="221"/>
      <c r="B276" s="231"/>
      <c r="C276" s="116"/>
      <c r="D276" s="237"/>
      <c r="E276" s="117"/>
      <c r="F276" s="245"/>
      <c r="G276" s="245"/>
      <c r="H276" s="523"/>
      <c r="I276" s="36">
        <f t="shared" si="1"/>
        <v>0</v>
      </c>
      <c r="J276" s="37">
        <f t="shared" si="2"/>
        <v>0</v>
      </c>
      <c r="K276" s="38">
        <f t="shared" si="3"/>
        <v>0</v>
      </c>
      <c r="L276" s="39">
        <f t="shared" si="4"/>
        <v>0</v>
      </c>
      <c r="M276" s="38">
        <f t="shared" si="5"/>
        <v>0</v>
      </c>
      <c r="N276" s="39">
        <f t="shared" si="6"/>
        <v>0</v>
      </c>
      <c r="O276" s="40"/>
      <c r="P276" s="34"/>
      <c r="Q276" s="35"/>
      <c r="R276" s="35"/>
      <c r="S276" s="35"/>
      <c r="T276" s="35"/>
      <c r="U276" s="35"/>
      <c r="V276" s="35"/>
      <c r="W276" s="35"/>
      <c r="X276" s="35"/>
      <c r="Y276" s="35"/>
      <c r="Z276" s="35"/>
    </row>
    <row r="277" ht="14.25" customHeight="1">
      <c r="A277" s="221"/>
      <c r="B277" s="231"/>
      <c r="C277" s="116"/>
      <c r="D277" s="100"/>
      <c r="E277" s="117"/>
      <c r="F277" s="245"/>
      <c r="G277" s="245"/>
      <c r="H277" s="523"/>
      <c r="I277" s="36">
        <f t="shared" si="1"/>
        <v>0</v>
      </c>
      <c r="J277" s="37">
        <f t="shared" si="2"/>
        <v>0</v>
      </c>
      <c r="K277" s="38">
        <f t="shared" si="3"/>
        <v>0</v>
      </c>
      <c r="L277" s="39">
        <f t="shared" si="4"/>
        <v>0</v>
      </c>
      <c r="M277" s="38">
        <f t="shared" si="5"/>
        <v>0</v>
      </c>
      <c r="N277" s="39">
        <f t="shared" si="6"/>
        <v>0</v>
      </c>
      <c r="O277" s="40"/>
      <c r="P277" s="34"/>
      <c r="Q277" s="35"/>
      <c r="R277" s="35"/>
      <c r="S277" s="35"/>
      <c r="T277" s="35"/>
      <c r="U277" s="35"/>
      <c r="V277" s="35"/>
      <c r="W277" s="35"/>
      <c r="X277" s="35"/>
      <c r="Y277" s="35"/>
      <c r="Z277" s="35"/>
    </row>
    <row r="278" ht="14.25" customHeight="1">
      <c r="A278" s="221"/>
      <c r="B278" s="231"/>
      <c r="C278" s="116"/>
      <c r="D278" s="100"/>
      <c r="E278" s="117"/>
      <c r="F278" s="245"/>
      <c r="G278" s="245"/>
      <c r="H278" s="523"/>
      <c r="I278" s="36">
        <f t="shared" si="1"/>
        <v>0</v>
      </c>
      <c r="J278" s="37">
        <f t="shared" si="2"/>
        <v>0</v>
      </c>
      <c r="K278" s="38">
        <f t="shared" si="3"/>
        <v>0</v>
      </c>
      <c r="L278" s="39">
        <f t="shared" si="4"/>
        <v>0</v>
      </c>
      <c r="M278" s="38">
        <f t="shared" si="5"/>
        <v>0</v>
      </c>
      <c r="N278" s="39">
        <f t="shared" si="6"/>
        <v>0</v>
      </c>
      <c r="O278" s="40"/>
      <c r="P278" s="34"/>
      <c r="Q278" s="35"/>
      <c r="R278" s="35"/>
      <c r="S278" s="35"/>
      <c r="T278" s="35"/>
      <c r="U278" s="35"/>
      <c r="V278" s="35"/>
      <c r="W278" s="35"/>
      <c r="X278" s="35"/>
      <c r="Y278" s="35"/>
      <c r="Z278" s="35"/>
    </row>
    <row r="279" ht="14.25" customHeight="1">
      <c r="A279" s="221"/>
      <c r="B279" s="231"/>
      <c r="C279" s="116"/>
      <c r="D279" s="100"/>
      <c r="E279" s="117"/>
      <c r="F279" s="245"/>
      <c r="G279" s="245"/>
      <c r="H279" s="523"/>
      <c r="I279" s="36">
        <f t="shared" si="1"/>
        <v>0</v>
      </c>
      <c r="J279" s="37">
        <f t="shared" si="2"/>
        <v>0</v>
      </c>
      <c r="K279" s="38">
        <f t="shared" si="3"/>
        <v>0</v>
      </c>
      <c r="L279" s="39">
        <f t="shared" si="4"/>
        <v>0</v>
      </c>
      <c r="M279" s="38">
        <f t="shared" si="5"/>
        <v>0</v>
      </c>
      <c r="N279" s="39">
        <f t="shared" si="6"/>
        <v>0</v>
      </c>
      <c r="O279" s="40"/>
      <c r="P279" s="34"/>
      <c r="Q279" s="35"/>
      <c r="R279" s="35"/>
      <c r="S279" s="35"/>
      <c r="T279" s="35"/>
      <c r="U279" s="35"/>
      <c r="V279" s="35"/>
      <c r="W279" s="35"/>
      <c r="X279" s="35"/>
      <c r="Y279" s="35"/>
      <c r="Z279" s="35"/>
    </row>
    <row r="280" ht="14.25" customHeight="1">
      <c r="A280" s="221"/>
      <c r="B280" s="231"/>
      <c r="C280" s="116"/>
      <c r="D280" s="100"/>
      <c r="E280" s="117"/>
      <c r="F280" s="245"/>
      <c r="G280" s="245"/>
      <c r="H280" s="523"/>
      <c r="I280" s="36">
        <f t="shared" si="1"/>
        <v>0</v>
      </c>
      <c r="J280" s="37">
        <f t="shared" si="2"/>
        <v>0</v>
      </c>
      <c r="K280" s="38">
        <f t="shared" si="3"/>
        <v>0</v>
      </c>
      <c r="L280" s="39">
        <f t="shared" si="4"/>
        <v>0</v>
      </c>
      <c r="M280" s="38">
        <f t="shared" si="5"/>
        <v>0</v>
      </c>
      <c r="N280" s="39">
        <f t="shared" si="6"/>
        <v>0</v>
      </c>
      <c r="O280" s="40"/>
      <c r="P280" s="34"/>
      <c r="Q280" s="35"/>
      <c r="R280" s="35"/>
      <c r="S280" s="35"/>
      <c r="T280" s="35"/>
      <c r="U280" s="35"/>
      <c r="V280" s="35"/>
      <c r="W280" s="35"/>
      <c r="X280" s="35"/>
      <c r="Y280" s="35"/>
      <c r="Z280" s="35"/>
    </row>
    <row r="281" ht="14.25" customHeight="1">
      <c r="A281" s="221"/>
      <c r="B281" s="231"/>
      <c r="C281" s="116"/>
      <c r="D281" s="100"/>
      <c r="E281" s="117"/>
      <c r="F281" s="245"/>
      <c r="G281" s="245"/>
      <c r="H281" s="523"/>
      <c r="I281" s="36">
        <f t="shared" si="1"/>
        <v>0</v>
      </c>
      <c r="J281" s="37">
        <f t="shared" si="2"/>
        <v>0</v>
      </c>
      <c r="K281" s="38">
        <f t="shared" si="3"/>
        <v>0</v>
      </c>
      <c r="L281" s="39">
        <f t="shared" si="4"/>
        <v>0</v>
      </c>
      <c r="M281" s="38">
        <f t="shared" si="5"/>
        <v>0</v>
      </c>
      <c r="N281" s="39">
        <f t="shared" si="6"/>
        <v>0</v>
      </c>
      <c r="O281" s="40"/>
      <c r="P281" s="34"/>
      <c r="Q281" s="35"/>
      <c r="R281" s="35"/>
      <c r="S281" s="35"/>
      <c r="T281" s="35"/>
      <c r="U281" s="35"/>
      <c r="V281" s="35"/>
      <c r="W281" s="35"/>
      <c r="X281" s="35"/>
      <c r="Y281" s="35"/>
      <c r="Z281" s="35"/>
    </row>
    <row r="282" ht="14.25" customHeight="1">
      <c r="A282" s="221"/>
      <c r="B282" s="231"/>
      <c r="C282" s="108"/>
      <c r="D282" s="100"/>
      <c r="E282" s="117"/>
      <c r="F282" s="245"/>
      <c r="G282" s="245"/>
      <c r="H282" s="523"/>
      <c r="I282" s="36">
        <f t="shared" si="1"/>
        <v>0</v>
      </c>
      <c r="J282" s="37">
        <f t="shared" si="2"/>
        <v>0</v>
      </c>
      <c r="K282" s="38">
        <f t="shared" si="3"/>
        <v>0</v>
      </c>
      <c r="L282" s="39">
        <f t="shared" si="4"/>
        <v>0</v>
      </c>
      <c r="M282" s="38">
        <f t="shared" si="5"/>
        <v>0</v>
      </c>
      <c r="N282" s="39">
        <f t="shared" si="6"/>
        <v>0</v>
      </c>
      <c r="O282" s="40"/>
      <c r="P282" s="34"/>
      <c r="Q282" s="35"/>
      <c r="R282" s="35"/>
      <c r="S282" s="35"/>
      <c r="T282" s="35"/>
      <c r="U282" s="35"/>
      <c r="V282" s="35"/>
      <c r="W282" s="35"/>
      <c r="X282" s="35"/>
      <c r="Y282" s="35"/>
      <c r="Z282" s="35"/>
    </row>
    <row r="283" ht="14.25" customHeight="1">
      <c r="A283" s="221"/>
      <c r="B283" s="231"/>
      <c r="C283" s="108"/>
      <c r="D283" s="85"/>
      <c r="E283" s="117"/>
      <c r="F283" s="245"/>
      <c r="G283" s="245"/>
      <c r="H283" s="523"/>
      <c r="I283" s="36">
        <f t="shared" si="1"/>
        <v>0</v>
      </c>
      <c r="J283" s="37">
        <f t="shared" si="2"/>
        <v>0</v>
      </c>
      <c r="K283" s="38">
        <f t="shared" si="3"/>
        <v>0</v>
      </c>
      <c r="L283" s="39">
        <f t="shared" si="4"/>
        <v>0</v>
      </c>
      <c r="M283" s="38">
        <f t="shared" si="5"/>
        <v>0</v>
      </c>
      <c r="N283" s="39">
        <f t="shared" si="6"/>
        <v>0</v>
      </c>
      <c r="O283" s="40"/>
      <c r="P283" s="34"/>
      <c r="Q283" s="35"/>
      <c r="R283" s="35"/>
      <c r="S283" s="35"/>
      <c r="T283" s="35"/>
      <c r="U283" s="35"/>
      <c r="V283" s="35"/>
      <c r="W283" s="35"/>
      <c r="X283" s="35"/>
      <c r="Y283" s="35"/>
      <c r="Z283" s="35"/>
    </row>
    <row r="284" ht="14.25" customHeight="1">
      <c r="A284" s="221"/>
      <c r="B284" s="231"/>
      <c r="C284" s="108"/>
      <c r="D284" s="85"/>
      <c r="E284" s="117"/>
      <c r="F284" s="245"/>
      <c r="G284" s="245"/>
      <c r="H284" s="523"/>
      <c r="I284" s="36">
        <f t="shared" si="1"/>
        <v>0</v>
      </c>
      <c r="J284" s="37">
        <f t="shared" si="2"/>
        <v>0</v>
      </c>
      <c r="K284" s="38">
        <f t="shared" si="3"/>
        <v>0</v>
      </c>
      <c r="L284" s="39">
        <f t="shared" si="4"/>
        <v>0</v>
      </c>
      <c r="M284" s="38">
        <f t="shared" si="5"/>
        <v>0</v>
      </c>
      <c r="N284" s="39">
        <f t="shared" si="6"/>
        <v>0</v>
      </c>
      <c r="O284" s="40"/>
      <c r="P284" s="34"/>
      <c r="Q284" s="35"/>
      <c r="R284" s="35"/>
      <c r="S284" s="35"/>
      <c r="T284" s="35"/>
      <c r="U284" s="35"/>
      <c r="V284" s="35"/>
      <c r="W284" s="35"/>
      <c r="X284" s="35"/>
      <c r="Y284" s="35"/>
      <c r="Z284" s="35"/>
    </row>
    <row r="285" ht="14.25" customHeight="1">
      <c r="A285" s="221"/>
      <c r="B285" s="231"/>
      <c r="C285" s="108"/>
      <c r="D285" s="100"/>
      <c r="E285" s="117"/>
      <c r="F285" s="245"/>
      <c r="G285" s="245"/>
      <c r="H285" s="523"/>
      <c r="I285" s="36">
        <f t="shared" si="1"/>
        <v>0</v>
      </c>
      <c r="J285" s="37">
        <f t="shared" si="2"/>
        <v>0</v>
      </c>
      <c r="K285" s="38">
        <f t="shared" si="3"/>
        <v>0</v>
      </c>
      <c r="L285" s="39">
        <f t="shared" si="4"/>
        <v>0</v>
      </c>
      <c r="M285" s="38">
        <f t="shared" si="5"/>
        <v>0</v>
      </c>
      <c r="N285" s="39">
        <f t="shared" si="6"/>
        <v>0</v>
      </c>
      <c r="O285" s="40"/>
      <c r="P285" s="34"/>
      <c r="Q285" s="35"/>
      <c r="R285" s="35"/>
      <c r="S285" s="35"/>
      <c r="T285" s="35"/>
      <c r="U285" s="35"/>
      <c r="V285" s="35"/>
      <c r="W285" s="35"/>
      <c r="X285" s="35"/>
      <c r="Y285" s="35"/>
      <c r="Z285" s="35"/>
    </row>
    <row r="286" ht="14.25" customHeight="1">
      <c r="A286" s="221"/>
      <c r="B286" s="231"/>
      <c r="C286" s="116"/>
      <c r="D286" s="100"/>
      <c r="E286" s="117"/>
      <c r="F286" s="245"/>
      <c r="G286" s="245"/>
      <c r="H286" s="523"/>
      <c r="I286" s="36">
        <f t="shared" si="1"/>
        <v>0</v>
      </c>
      <c r="J286" s="37">
        <f t="shared" si="2"/>
        <v>0</v>
      </c>
      <c r="K286" s="38">
        <f t="shared" si="3"/>
        <v>0</v>
      </c>
      <c r="L286" s="39">
        <f t="shared" si="4"/>
        <v>0</v>
      </c>
      <c r="M286" s="38">
        <f t="shared" si="5"/>
        <v>0</v>
      </c>
      <c r="N286" s="39">
        <f t="shared" si="6"/>
        <v>0</v>
      </c>
      <c r="O286" s="40"/>
      <c r="P286" s="34"/>
      <c r="Q286" s="35"/>
      <c r="R286" s="35"/>
      <c r="S286" s="35"/>
      <c r="T286" s="35"/>
      <c r="U286" s="35"/>
      <c r="V286" s="35"/>
      <c r="W286" s="35"/>
      <c r="X286" s="35"/>
      <c r="Y286" s="35"/>
      <c r="Z286" s="35"/>
    </row>
    <row r="287" ht="14.25" customHeight="1">
      <c r="A287" s="221"/>
      <c r="B287" s="231"/>
      <c r="C287" s="116"/>
      <c r="D287" s="100"/>
      <c r="E287" s="117"/>
      <c r="F287" s="245"/>
      <c r="G287" s="245"/>
      <c r="H287" s="523"/>
      <c r="I287" s="36">
        <f t="shared" si="1"/>
        <v>0</v>
      </c>
      <c r="J287" s="37">
        <f t="shared" si="2"/>
        <v>0</v>
      </c>
      <c r="K287" s="38">
        <f t="shared" si="3"/>
        <v>0</v>
      </c>
      <c r="L287" s="39">
        <f t="shared" si="4"/>
        <v>0</v>
      </c>
      <c r="M287" s="38">
        <f t="shared" si="5"/>
        <v>0</v>
      </c>
      <c r="N287" s="39">
        <f t="shared" si="6"/>
        <v>0</v>
      </c>
      <c r="O287" s="40"/>
      <c r="P287" s="34"/>
      <c r="Q287" s="35"/>
      <c r="R287" s="35"/>
      <c r="S287" s="35"/>
      <c r="T287" s="35"/>
      <c r="U287" s="35"/>
      <c r="V287" s="35"/>
      <c r="W287" s="35"/>
      <c r="X287" s="35"/>
      <c r="Y287" s="35"/>
      <c r="Z287" s="35"/>
    </row>
    <row r="288" ht="14.25" customHeight="1">
      <c r="A288" s="221"/>
      <c r="B288" s="231"/>
      <c r="C288" s="116"/>
      <c r="D288" s="100"/>
      <c r="E288" s="117"/>
      <c r="F288" s="245"/>
      <c r="G288" s="245"/>
      <c r="H288" s="523"/>
      <c r="I288" s="36">
        <f t="shared" si="1"/>
        <v>0</v>
      </c>
      <c r="J288" s="37">
        <f t="shared" si="2"/>
        <v>0</v>
      </c>
      <c r="K288" s="38">
        <f t="shared" si="3"/>
        <v>0</v>
      </c>
      <c r="L288" s="39">
        <f t="shared" si="4"/>
        <v>0</v>
      </c>
      <c r="M288" s="38">
        <f t="shared" si="5"/>
        <v>0</v>
      </c>
      <c r="N288" s="39">
        <f t="shared" si="6"/>
        <v>0</v>
      </c>
      <c r="O288" s="40"/>
      <c r="P288" s="34"/>
      <c r="Q288" s="35"/>
      <c r="R288" s="35"/>
      <c r="S288" s="35"/>
      <c r="T288" s="35"/>
      <c r="U288" s="35"/>
      <c r="V288" s="35"/>
      <c r="W288" s="35"/>
      <c r="X288" s="35"/>
      <c r="Y288" s="35"/>
      <c r="Z288" s="35"/>
    </row>
    <row r="289" ht="14.25" customHeight="1">
      <c r="A289" s="221"/>
      <c r="B289" s="231"/>
      <c r="C289" s="116"/>
      <c r="D289" s="100"/>
      <c r="E289" s="117"/>
      <c r="F289" s="245"/>
      <c r="G289" s="245"/>
      <c r="H289" s="523"/>
      <c r="I289" s="36">
        <f t="shared" si="1"/>
        <v>0</v>
      </c>
      <c r="J289" s="37">
        <f t="shared" si="2"/>
        <v>0</v>
      </c>
      <c r="K289" s="38">
        <f t="shared" si="3"/>
        <v>0</v>
      </c>
      <c r="L289" s="39">
        <f t="shared" si="4"/>
        <v>0</v>
      </c>
      <c r="M289" s="38">
        <f t="shared" si="5"/>
        <v>0</v>
      </c>
      <c r="N289" s="39">
        <f t="shared" si="6"/>
        <v>0</v>
      </c>
      <c r="O289" s="40"/>
      <c r="P289" s="34"/>
      <c r="Q289" s="35"/>
      <c r="R289" s="35"/>
      <c r="S289" s="35"/>
      <c r="T289" s="35"/>
      <c r="U289" s="35"/>
      <c r="V289" s="35"/>
      <c r="W289" s="35"/>
      <c r="X289" s="35"/>
      <c r="Y289" s="35"/>
      <c r="Z289" s="35"/>
    </row>
    <row r="290" ht="14.25" customHeight="1">
      <c r="A290" s="221"/>
      <c r="B290" s="231"/>
      <c r="C290" s="116"/>
      <c r="D290" s="100"/>
      <c r="E290" s="117"/>
      <c r="F290" s="245"/>
      <c r="G290" s="245"/>
      <c r="H290" s="523"/>
      <c r="I290" s="36">
        <f t="shared" si="1"/>
        <v>0</v>
      </c>
      <c r="J290" s="37">
        <f t="shared" si="2"/>
        <v>0</v>
      </c>
      <c r="K290" s="38">
        <f t="shared" si="3"/>
        <v>0</v>
      </c>
      <c r="L290" s="39">
        <f t="shared" si="4"/>
        <v>0</v>
      </c>
      <c r="M290" s="38">
        <f t="shared" si="5"/>
        <v>0</v>
      </c>
      <c r="N290" s="39">
        <f t="shared" si="6"/>
        <v>0</v>
      </c>
      <c r="O290" s="40"/>
      <c r="P290" s="34"/>
      <c r="Q290" s="35"/>
      <c r="R290" s="35"/>
      <c r="S290" s="35"/>
      <c r="T290" s="35"/>
      <c r="U290" s="35"/>
      <c r="V290" s="35"/>
      <c r="W290" s="35"/>
      <c r="X290" s="35"/>
      <c r="Y290" s="35"/>
      <c r="Z290" s="35"/>
    </row>
    <row r="291" ht="14.25" customHeight="1">
      <c r="A291" s="221"/>
      <c r="B291" s="231"/>
      <c r="C291" s="116"/>
      <c r="D291" s="100"/>
      <c r="E291" s="117"/>
      <c r="F291" s="245"/>
      <c r="G291" s="245"/>
      <c r="H291" s="523"/>
      <c r="I291" s="36">
        <f t="shared" si="1"/>
        <v>0</v>
      </c>
      <c r="J291" s="37">
        <f t="shared" si="2"/>
        <v>0</v>
      </c>
      <c r="K291" s="38">
        <f t="shared" si="3"/>
        <v>0</v>
      </c>
      <c r="L291" s="39">
        <f t="shared" si="4"/>
        <v>0</v>
      </c>
      <c r="M291" s="38">
        <f t="shared" si="5"/>
        <v>0</v>
      </c>
      <c r="N291" s="39">
        <f t="shared" si="6"/>
        <v>0</v>
      </c>
      <c r="O291" s="40"/>
      <c r="P291" s="34"/>
      <c r="Q291" s="35"/>
      <c r="R291" s="35"/>
      <c r="S291" s="35"/>
      <c r="T291" s="35"/>
      <c r="U291" s="35"/>
      <c r="V291" s="35"/>
      <c r="W291" s="35"/>
      <c r="X291" s="35"/>
      <c r="Y291" s="35"/>
      <c r="Z291" s="35"/>
    </row>
    <row r="292" ht="14.25" customHeight="1">
      <c r="A292" s="221"/>
      <c r="B292" s="231"/>
      <c r="C292" s="116"/>
      <c r="D292" s="100"/>
      <c r="E292" s="117"/>
      <c r="F292" s="245"/>
      <c r="G292" s="245"/>
      <c r="H292" s="523"/>
      <c r="I292" s="36">
        <f t="shared" si="1"/>
        <v>0</v>
      </c>
      <c r="J292" s="37">
        <f t="shared" si="2"/>
        <v>0</v>
      </c>
      <c r="K292" s="38">
        <f t="shared" si="3"/>
        <v>0</v>
      </c>
      <c r="L292" s="39">
        <f t="shared" si="4"/>
        <v>0</v>
      </c>
      <c r="M292" s="38">
        <f t="shared" si="5"/>
        <v>0</v>
      </c>
      <c r="N292" s="39">
        <f t="shared" si="6"/>
        <v>0</v>
      </c>
      <c r="O292" s="40"/>
      <c r="P292" s="34"/>
      <c r="Q292" s="35"/>
      <c r="R292" s="35"/>
      <c r="S292" s="35"/>
      <c r="T292" s="35"/>
      <c r="U292" s="35"/>
      <c r="V292" s="35"/>
      <c r="W292" s="35"/>
      <c r="X292" s="35"/>
      <c r="Y292" s="35"/>
      <c r="Z292" s="35"/>
    </row>
    <row r="293" ht="14.25" customHeight="1">
      <c r="A293" s="221"/>
      <c r="B293" s="231"/>
      <c r="C293" s="116"/>
      <c r="D293" s="100"/>
      <c r="E293" s="117"/>
      <c r="F293" s="245"/>
      <c r="G293" s="245"/>
      <c r="H293" s="523"/>
      <c r="I293" s="36">
        <f t="shared" si="1"/>
        <v>0</v>
      </c>
      <c r="J293" s="37">
        <f t="shared" si="2"/>
        <v>0</v>
      </c>
      <c r="K293" s="38">
        <f t="shared" si="3"/>
        <v>0</v>
      </c>
      <c r="L293" s="39">
        <f t="shared" si="4"/>
        <v>0</v>
      </c>
      <c r="M293" s="38">
        <f t="shared" si="5"/>
        <v>0</v>
      </c>
      <c r="N293" s="39">
        <f t="shared" si="6"/>
        <v>0</v>
      </c>
      <c r="O293" s="40"/>
      <c r="P293" s="34"/>
      <c r="Q293" s="35"/>
      <c r="R293" s="35"/>
      <c r="S293" s="35"/>
      <c r="T293" s="35"/>
      <c r="U293" s="35"/>
      <c r="V293" s="35"/>
      <c r="W293" s="35"/>
      <c r="X293" s="35"/>
      <c r="Y293" s="35"/>
      <c r="Z293" s="35"/>
    </row>
    <row r="294" ht="14.25" customHeight="1">
      <c r="A294" s="221"/>
      <c r="B294" s="231"/>
      <c r="C294" s="108"/>
      <c r="D294" s="85"/>
      <c r="E294" s="117"/>
      <c r="F294" s="245"/>
      <c r="G294" s="245"/>
      <c r="H294" s="523"/>
      <c r="I294" s="36">
        <f t="shared" si="1"/>
        <v>0</v>
      </c>
      <c r="J294" s="37">
        <f t="shared" si="2"/>
        <v>0</v>
      </c>
      <c r="K294" s="38">
        <f t="shared" si="3"/>
        <v>0</v>
      </c>
      <c r="L294" s="39">
        <f t="shared" si="4"/>
        <v>0</v>
      </c>
      <c r="M294" s="38">
        <f t="shared" si="5"/>
        <v>0</v>
      </c>
      <c r="N294" s="39">
        <f t="shared" si="6"/>
        <v>0</v>
      </c>
      <c r="O294" s="40"/>
      <c r="P294" s="34"/>
      <c r="Q294" s="35"/>
      <c r="R294" s="35"/>
      <c r="S294" s="35"/>
      <c r="T294" s="35"/>
      <c r="U294" s="35"/>
      <c r="V294" s="35"/>
      <c r="W294" s="35"/>
      <c r="X294" s="35"/>
      <c r="Y294" s="35"/>
      <c r="Z294" s="35"/>
    </row>
    <row r="295" ht="14.25" customHeight="1">
      <c r="A295" s="221"/>
      <c r="B295" s="231"/>
      <c r="C295" s="108"/>
      <c r="D295" s="85"/>
      <c r="E295" s="117"/>
      <c r="F295" s="245"/>
      <c r="G295" s="245"/>
      <c r="H295" s="523"/>
      <c r="I295" s="36">
        <f t="shared" si="1"/>
        <v>0</v>
      </c>
      <c r="J295" s="37">
        <f t="shared" si="2"/>
        <v>0</v>
      </c>
      <c r="K295" s="38">
        <f t="shared" si="3"/>
        <v>0</v>
      </c>
      <c r="L295" s="39">
        <f t="shared" si="4"/>
        <v>0</v>
      </c>
      <c r="M295" s="38">
        <f t="shared" si="5"/>
        <v>0</v>
      </c>
      <c r="N295" s="39">
        <f t="shared" si="6"/>
        <v>0</v>
      </c>
      <c r="O295" s="40"/>
      <c r="P295" s="34"/>
      <c r="Q295" s="35"/>
      <c r="R295" s="35"/>
      <c r="S295" s="35"/>
      <c r="T295" s="35"/>
      <c r="U295" s="35"/>
      <c r="V295" s="35"/>
      <c r="W295" s="35"/>
      <c r="X295" s="35"/>
      <c r="Y295" s="35"/>
      <c r="Z295" s="35"/>
    </row>
    <row r="296" ht="14.25" customHeight="1">
      <c r="A296" s="221"/>
      <c r="B296" s="231"/>
      <c r="C296" s="115"/>
      <c r="D296" s="100"/>
      <c r="E296" s="117"/>
      <c r="F296" s="245"/>
      <c r="G296" s="245"/>
      <c r="H296" s="523"/>
      <c r="I296" s="36">
        <f t="shared" si="1"/>
        <v>0</v>
      </c>
      <c r="J296" s="37">
        <f t="shared" si="2"/>
        <v>0</v>
      </c>
      <c r="K296" s="38">
        <f t="shared" si="3"/>
        <v>0</v>
      </c>
      <c r="L296" s="39">
        <f t="shared" si="4"/>
        <v>0</v>
      </c>
      <c r="M296" s="38">
        <f t="shared" si="5"/>
        <v>0</v>
      </c>
      <c r="N296" s="39">
        <f t="shared" si="6"/>
        <v>0</v>
      </c>
      <c r="O296" s="40"/>
      <c r="P296" s="34"/>
      <c r="Q296" s="35"/>
      <c r="R296" s="35"/>
      <c r="S296" s="35"/>
      <c r="T296" s="35"/>
      <c r="U296" s="35"/>
      <c r="V296" s="35"/>
      <c r="W296" s="35"/>
      <c r="X296" s="35"/>
      <c r="Y296" s="35"/>
      <c r="Z296" s="35"/>
    </row>
    <row r="297" ht="14.25" customHeight="1">
      <c r="A297" s="221"/>
      <c r="B297" s="231"/>
      <c r="C297" s="116"/>
      <c r="D297" s="100"/>
      <c r="E297" s="117"/>
      <c r="F297" s="245"/>
      <c r="G297" s="245"/>
      <c r="H297" s="523"/>
      <c r="I297" s="36">
        <f t="shared" si="1"/>
        <v>0</v>
      </c>
      <c r="J297" s="37">
        <f t="shared" si="2"/>
        <v>0</v>
      </c>
      <c r="K297" s="38">
        <f t="shared" si="3"/>
        <v>0</v>
      </c>
      <c r="L297" s="39">
        <f t="shared" si="4"/>
        <v>0</v>
      </c>
      <c r="M297" s="38">
        <f t="shared" si="5"/>
        <v>0</v>
      </c>
      <c r="N297" s="39">
        <f t="shared" si="6"/>
        <v>0</v>
      </c>
      <c r="O297" s="40"/>
      <c r="P297" s="34"/>
      <c r="Q297" s="35"/>
      <c r="R297" s="35"/>
      <c r="S297" s="35"/>
      <c r="T297" s="35"/>
      <c r="U297" s="35"/>
      <c r="V297" s="35"/>
      <c r="W297" s="35"/>
      <c r="X297" s="35"/>
      <c r="Y297" s="35"/>
      <c r="Z297" s="35"/>
    </row>
    <row r="298" ht="14.25" customHeight="1">
      <c r="A298" s="221"/>
      <c r="B298" s="231"/>
      <c r="C298" s="116"/>
      <c r="D298" s="100"/>
      <c r="E298" s="117"/>
      <c r="F298" s="245"/>
      <c r="G298" s="245"/>
      <c r="H298" s="523"/>
      <c r="I298" s="36">
        <f t="shared" si="1"/>
        <v>0</v>
      </c>
      <c r="J298" s="37">
        <f t="shared" si="2"/>
        <v>0</v>
      </c>
      <c r="K298" s="38">
        <f t="shared" si="3"/>
        <v>0</v>
      </c>
      <c r="L298" s="39">
        <f t="shared" si="4"/>
        <v>0</v>
      </c>
      <c r="M298" s="38">
        <f t="shared" si="5"/>
        <v>0</v>
      </c>
      <c r="N298" s="39">
        <f t="shared" si="6"/>
        <v>0</v>
      </c>
      <c r="O298" s="40"/>
      <c r="P298" s="34"/>
      <c r="Q298" s="35"/>
      <c r="R298" s="35"/>
      <c r="S298" s="35"/>
      <c r="T298" s="35"/>
      <c r="U298" s="35"/>
      <c r="V298" s="35"/>
      <c r="W298" s="35"/>
      <c r="X298" s="35"/>
      <c r="Y298" s="35"/>
      <c r="Z298" s="35"/>
    </row>
    <row r="299" ht="14.25" customHeight="1">
      <c r="A299" s="221"/>
      <c r="B299" s="231"/>
      <c r="C299" s="115"/>
      <c r="D299" s="100"/>
      <c r="E299" s="117"/>
      <c r="F299" s="245"/>
      <c r="G299" s="245"/>
      <c r="H299" s="523"/>
      <c r="I299" s="36">
        <f t="shared" si="1"/>
        <v>0</v>
      </c>
      <c r="J299" s="37">
        <f t="shared" si="2"/>
        <v>0</v>
      </c>
      <c r="K299" s="38">
        <f t="shared" si="3"/>
        <v>0</v>
      </c>
      <c r="L299" s="39">
        <f t="shared" si="4"/>
        <v>0</v>
      </c>
      <c r="M299" s="38">
        <f t="shared" si="5"/>
        <v>0</v>
      </c>
      <c r="N299" s="39">
        <f t="shared" si="6"/>
        <v>0</v>
      </c>
      <c r="O299" s="40"/>
      <c r="P299" s="34"/>
      <c r="Q299" s="35"/>
      <c r="R299" s="35"/>
      <c r="S299" s="35"/>
      <c r="T299" s="35"/>
      <c r="U299" s="35"/>
      <c r="V299" s="35"/>
      <c r="W299" s="35"/>
      <c r="X299" s="35"/>
      <c r="Y299" s="35"/>
      <c r="Z299" s="35"/>
    </row>
    <row r="300" ht="14.25" customHeight="1">
      <c r="A300" s="221"/>
      <c r="B300" s="231"/>
      <c r="C300" s="115"/>
      <c r="D300" s="100"/>
      <c r="E300" s="117"/>
      <c r="F300" s="245"/>
      <c r="G300" s="245"/>
      <c r="H300" s="523"/>
      <c r="I300" s="36">
        <f t="shared" si="1"/>
        <v>0</v>
      </c>
      <c r="J300" s="37">
        <f t="shared" si="2"/>
        <v>0</v>
      </c>
      <c r="K300" s="38">
        <f t="shared" si="3"/>
        <v>0</v>
      </c>
      <c r="L300" s="39">
        <f t="shared" si="4"/>
        <v>0</v>
      </c>
      <c r="M300" s="38">
        <f t="shared" si="5"/>
        <v>0</v>
      </c>
      <c r="N300" s="39">
        <f t="shared" si="6"/>
        <v>0</v>
      </c>
      <c r="O300" s="40"/>
      <c r="P300" s="34"/>
      <c r="Q300" s="35"/>
      <c r="R300" s="35"/>
      <c r="S300" s="35"/>
      <c r="T300" s="35"/>
      <c r="U300" s="35"/>
      <c r="V300" s="35"/>
      <c r="W300" s="35"/>
      <c r="X300" s="35"/>
      <c r="Y300" s="35"/>
      <c r="Z300" s="35"/>
    </row>
    <row r="301" ht="14.25" customHeight="1">
      <c r="A301" s="221"/>
      <c r="B301" s="231"/>
      <c r="C301" s="115"/>
      <c r="D301" s="85"/>
      <c r="E301" s="117"/>
      <c r="F301" s="245"/>
      <c r="G301" s="245"/>
      <c r="H301" s="523"/>
      <c r="I301" s="36">
        <f t="shared" si="1"/>
        <v>0</v>
      </c>
      <c r="J301" s="37">
        <f t="shared" si="2"/>
        <v>0</v>
      </c>
      <c r="K301" s="38">
        <f t="shared" si="3"/>
        <v>0</v>
      </c>
      <c r="L301" s="39">
        <f t="shared" si="4"/>
        <v>0</v>
      </c>
      <c r="M301" s="38">
        <f t="shared" si="5"/>
        <v>0</v>
      </c>
      <c r="N301" s="39">
        <f t="shared" si="6"/>
        <v>0</v>
      </c>
      <c r="O301" s="40"/>
      <c r="P301" s="34"/>
      <c r="Q301" s="35"/>
      <c r="R301" s="35"/>
      <c r="S301" s="35"/>
      <c r="T301" s="35"/>
      <c r="U301" s="35"/>
      <c r="V301" s="35"/>
      <c r="W301" s="35"/>
      <c r="X301" s="35"/>
      <c r="Y301" s="35"/>
      <c r="Z301" s="35"/>
    </row>
    <row r="302" ht="14.25" customHeight="1">
      <c r="A302" s="221"/>
      <c r="B302" s="231"/>
      <c r="C302" s="129"/>
      <c r="D302" s="89"/>
      <c r="E302" s="117"/>
      <c r="F302" s="245"/>
      <c r="G302" s="245"/>
      <c r="H302" s="523"/>
      <c r="I302" s="36">
        <f t="shared" si="1"/>
        <v>0</v>
      </c>
      <c r="J302" s="37">
        <f t="shared" si="2"/>
        <v>0</v>
      </c>
      <c r="K302" s="38">
        <f t="shared" si="3"/>
        <v>0</v>
      </c>
      <c r="L302" s="39">
        <f t="shared" si="4"/>
        <v>0</v>
      </c>
      <c r="M302" s="38">
        <f t="shared" si="5"/>
        <v>0</v>
      </c>
      <c r="N302" s="39">
        <f t="shared" si="6"/>
        <v>0</v>
      </c>
      <c r="O302" s="40"/>
      <c r="P302" s="34"/>
      <c r="Q302" s="35"/>
      <c r="R302" s="35"/>
      <c r="S302" s="35"/>
      <c r="T302" s="35"/>
      <c r="U302" s="35"/>
      <c r="V302" s="35"/>
      <c r="W302" s="35"/>
      <c r="X302" s="35"/>
      <c r="Y302" s="35"/>
      <c r="Z302" s="35"/>
    </row>
    <row r="303" ht="14.25" customHeight="1">
      <c r="A303" s="221"/>
      <c r="B303" s="231"/>
      <c r="C303" s="110"/>
      <c r="D303" s="102"/>
      <c r="E303" s="117"/>
      <c r="F303" s="245"/>
      <c r="G303" s="245"/>
      <c r="H303" s="523"/>
      <c r="I303" s="36">
        <f t="shared" si="1"/>
        <v>0</v>
      </c>
      <c r="J303" s="37">
        <f t="shared" si="2"/>
        <v>0</v>
      </c>
      <c r="K303" s="38">
        <f t="shared" si="3"/>
        <v>0</v>
      </c>
      <c r="L303" s="39">
        <f t="shared" si="4"/>
        <v>0</v>
      </c>
      <c r="M303" s="38">
        <f t="shared" si="5"/>
        <v>0</v>
      </c>
      <c r="N303" s="39">
        <f t="shared" si="6"/>
        <v>0</v>
      </c>
      <c r="O303" s="40"/>
      <c r="P303" s="34"/>
      <c r="Q303" s="35"/>
      <c r="R303" s="35"/>
      <c r="S303" s="35"/>
      <c r="T303" s="35"/>
      <c r="U303" s="35"/>
      <c r="V303" s="35"/>
      <c r="W303" s="35"/>
      <c r="X303" s="35"/>
      <c r="Y303" s="35"/>
      <c r="Z303" s="35"/>
    </row>
    <row r="304" ht="14.25" customHeight="1">
      <c r="A304" s="221"/>
      <c r="B304" s="231"/>
      <c r="C304" s="116"/>
      <c r="D304" s="85"/>
      <c r="E304" s="117"/>
      <c r="F304" s="245"/>
      <c r="G304" s="245"/>
      <c r="H304" s="523"/>
      <c r="I304" s="36">
        <f t="shared" si="1"/>
        <v>0</v>
      </c>
      <c r="J304" s="37">
        <f t="shared" si="2"/>
        <v>0</v>
      </c>
      <c r="K304" s="38">
        <f t="shared" si="3"/>
        <v>0</v>
      </c>
      <c r="L304" s="39">
        <f t="shared" si="4"/>
        <v>0</v>
      </c>
      <c r="M304" s="38">
        <f t="shared" si="5"/>
        <v>0</v>
      </c>
      <c r="N304" s="39">
        <f t="shared" si="6"/>
        <v>0</v>
      </c>
      <c r="O304" s="40"/>
      <c r="P304" s="34"/>
      <c r="Q304" s="35"/>
      <c r="R304" s="35"/>
      <c r="S304" s="35"/>
      <c r="T304" s="35"/>
      <c r="U304" s="35"/>
      <c r="V304" s="35"/>
      <c r="W304" s="35"/>
      <c r="X304" s="35"/>
      <c r="Y304" s="35"/>
      <c r="Z304" s="35"/>
    </row>
    <row r="305" ht="14.25" customHeight="1">
      <c r="A305" s="221"/>
      <c r="B305" s="231"/>
      <c r="C305" s="116"/>
      <c r="D305" s="85"/>
      <c r="E305" s="117"/>
      <c r="F305" s="245"/>
      <c r="G305" s="245"/>
      <c r="H305" s="523"/>
      <c r="I305" s="36">
        <f t="shared" si="1"/>
        <v>0</v>
      </c>
      <c r="J305" s="37">
        <f t="shared" si="2"/>
        <v>0</v>
      </c>
      <c r="K305" s="38">
        <f t="shared" si="3"/>
        <v>0</v>
      </c>
      <c r="L305" s="39">
        <f t="shared" si="4"/>
        <v>0</v>
      </c>
      <c r="M305" s="38">
        <f t="shared" si="5"/>
        <v>0</v>
      </c>
      <c r="N305" s="39">
        <f t="shared" si="6"/>
        <v>0</v>
      </c>
      <c r="O305" s="40"/>
      <c r="P305" s="34"/>
      <c r="Q305" s="35"/>
      <c r="R305" s="35"/>
      <c r="S305" s="35"/>
      <c r="T305" s="35"/>
      <c r="U305" s="35"/>
      <c r="V305" s="35"/>
      <c r="W305" s="35"/>
      <c r="X305" s="35"/>
      <c r="Y305" s="35"/>
      <c r="Z305" s="35"/>
    </row>
    <row r="306" ht="14.25" customHeight="1">
      <c r="A306" s="221"/>
      <c r="B306" s="231"/>
      <c r="C306" s="116"/>
      <c r="D306" s="85"/>
      <c r="E306" s="117"/>
      <c r="F306" s="245"/>
      <c r="G306" s="245"/>
      <c r="H306" s="523"/>
      <c r="I306" s="36">
        <f t="shared" si="1"/>
        <v>0</v>
      </c>
      <c r="J306" s="37">
        <f t="shared" si="2"/>
        <v>0</v>
      </c>
      <c r="K306" s="38">
        <f t="shared" si="3"/>
        <v>0</v>
      </c>
      <c r="L306" s="39">
        <f t="shared" si="4"/>
        <v>0</v>
      </c>
      <c r="M306" s="38">
        <f t="shared" si="5"/>
        <v>0</v>
      </c>
      <c r="N306" s="39">
        <f t="shared" si="6"/>
        <v>0</v>
      </c>
      <c r="O306" s="40"/>
      <c r="P306" s="34"/>
      <c r="Q306" s="35"/>
      <c r="R306" s="35"/>
      <c r="S306" s="35"/>
      <c r="T306" s="35"/>
      <c r="U306" s="35"/>
      <c r="V306" s="35"/>
      <c r="W306" s="35"/>
      <c r="X306" s="35"/>
      <c r="Y306" s="35"/>
      <c r="Z306" s="35"/>
    </row>
    <row r="307" ht="14.25" customHeight="1">
      <c r="A307" s="221"/>
      <c r="B307" s="231"/>
      <c r="C307" s="116"/>
      <c r="D307" s="85"/>
      <c r="E307" s="117"/>
      <c r="F307" s="245"/>
      <c r="G307" s="245"/>
      <c r="H307" s="523"/>
      <c r="I307" s="36">
        <f t="shared" si="1"/>
        <v>0</v>
      </c>
      <c r="J307" s="37">
        <f t="shared" si="2"/>
        <v>0</v>
      </c>
      <c r="K307" s="38">
        <f t="shared" si="3"/>
        <v>0</v>
      </c>
      <c r="L307" s="39">
        <f t="shared" si="4"/>
        <v>0</v>
      </c>
      <c r="M307" s="38">
        <f t="shared" si="5"/>
        <v>0</v>
      </c>
      <c r="N307" s="39">
        <f t="shared" si="6"/>
        <v>0</v>
      </c>
      <c r="O307" s="40"/>
      <c r="P307" s="34"/>
      <c r="Q307" s="35"/>
      <c r="R307" s="35"/>
      <c r="S307" s="35"/>
      <c r="T307" s="35"/>
      <c r="U307" s="35"/>
      <c r="V307" s="35"/>
      <c r="W307" s="35"/>
      <c r="X307" s="35"/>
      <c r="Y307" s="35"/>
      <c r="Z307" s="35"/>
    </row>
    <row r="308" ht="14.25" customHeight="1">
      <c r="A308" s="221"/>
      <c r="B308" s="231"/>
      <c r="C308" s="110"/>
      <c r="D308" s="122"/>
      <c r="E308" s="117"/>
      <c r="F308" s="245"/>
      <c r="G308" s="245"/>
      <c r="H308" s="523"/>
      <c r="I308" s="36">
        <f t="shared" si="1"/>
        <v>0</v>
      </c>
      <c r="J308" s="37">
        <f t="shared" si="2"/>
        <v>0</v>
      </c>
      <c r="K308" s="38">
        <f t="shared" si="3"/>
        <v>0</v>
      </c>
      <c r="L308" s="39">
        <f t="shared" si="4"/>
        <v>0</v>
      </c>
      <c r="M308" s="38">
        <f t="shared" si="5"/>
        <v>0</v>
      </c>
      <c r="N308" s="39">
        <f t="shared" si="6"/>
        <v>0</v>
      </c>
      <c r="O308" s="40"/>
      <c r="P308" s="34"/>
      <c r="Q308" s="35"/>
      <c r="R308" s="35"/>
      <c r="S308" s="35"/>
      <c r="T308" s="35"/>
      <c r="U308" s="35"/>
      <c r="V308" s="35"/>
      <c r="W308" s="35"/>
      <c r="X308" s="35"/>
      <c r="Y308" s="35"/>
      <c r="Z308" s="35"/>
    </row>
    <row r="309" ht="14.25" customHeight="1">
      <c r="A309" s="221"/>
      <c r="B309" s="231"/>
      <c r="C309" s="110"/>
      <c r="D309" s="122"/>
      <c r="E309" s="117"/>
      <c r="F309" s="245"/>
      <c r="G309" s="245"/>
      <c r="H309" s="523"/>
      <c r="I309" s="36">
        <f t="shared" si="1"/>
        <v>0</v>
      </c>
      <c r="J309" s="37">
        <f t="shared" si="2"/>
        <v>0</v>
      </c>
      <c r="K309" s="38">
        <f t="shared" si="3"/>
        <v>0</v>
      </c>
      <c r="L309" s="39">
        <f t="shared" si="4"/>
        <v>0</v>
      </c>
      <c r="M309" s="38">
        <f t="shared" si="5"/>
        <v>0</v>
      </c>
      <c r="N309" s="39">
        <f t="shared" si="6"/>
        <v>0</v>
      </c>
      <c r="O309" s="40"/>
      <c r="P309" s="34"/>
      <c r="Q309" s="35"/>
      <c r="R309" s="35"/>
      <c r="S309" s="35"/>
      <c r="T309" s="35"/>
      <c r="U309" s="35"/>
      <c r="V309" s="35"/>
      <c r="W309" s="35"/>
      <c r="X309" s="35"/>
      <c r="Y309" s="35"/>
      <c r="Z309" s="35"/>
    </row>
    <row r="310" ht="14.25" customHeight="1">
      <c r="A310" s="221"/>
      <c r="B310" s="231"/>
      <c r="C310" s="110"/>
      <c r="D310" s="102"/>
      <c r="E310" s="117"/>
      <c r="F310" s="245"/>
      <c r="G310" s="245"/>
      <c r="H310" s="523"/>
      <c r="I310" s="36">
        <f t="shared" si="1"/>
        <v>0</v>
      </c>
      <c r="J310" s="37">
        <f t="shared" si="2"/>
        <v>0</v>
      </c>
      <c r="K310" s="38">
        <f t="shared" si="3"/>
        <v>0</v>
      </c>
      <c r="L310" s="39">
        <f t="shared" si="4"/>
        <v>0</v>
      </c>
      <c r="M310" s="38">
        <f t="shared" si="5"/>
        <v>0</v>
      </c>
      <c r="N310" s="39">
        <f t="shared" si="6"/>
        <v>0</v>
      </c>
      <c r="O310" s="40"/>
      <c r="P310" s="34"/>
      <c r="Q310" s="35"/>
      <c r="R310" s="35"/>
      <c r="S310" s="35"/>
      <c r="T310" s="35"/>
      <c r="U310" s="35"/>
      <c r="V310" s="35"/>
      <c r="W310" s="35"/>
      <c r="X310" s="35"/>
      <c r="Y310" s="35"/>
      <c r="Z310" s="35"/>
    </row>
    <row r="311" ht="14.25" customHeight="1">
      <c r="A311" s="221"/>
      <c r="B311" s="231"/>
      <c r="C311" s="108"/>
      <c r="D311" s="85"/>
      <c r="E311" s="117"/>
      <c r="F311" s="245"/>
      <c r="G311" s="245"/>
      <c r="H311" s="523"/>
      <c r="I311" s="36">
        <f t="shared" si="1"/>
        <v>0</v>
      </c>
      <c r="J311" s="37">
        <f t="shared" si="2"/>
        <v>0</v>
      </c>
      <c r="K311" s="38">
        <f t="shared" si="3"/>
        <v>0</v>
      </c>
      <c r="L311" s="39">
        <f t="shared" si="4"/>
        <v>0</v>
      </c>
      <c r="M311" s="38">
        <f t="shared" si="5"/>
        <v>0</v>
      </c>
      <c r="N311" s="39">
        <f t="shared" si="6"/>
        <v>0</v>
      </c>
      <c r="O311" s="40"/>
      <c r="P311" s="34"/>
      <c r="Q311" s="35"/>
      <c r="R311" s="35"/>
      <c r="S311" s="35"/>
      <c r="T311" s="35"/>
      <c r="U311" s="35"/>
      <c r="V311" s="35"/>
      <c r="W311" s="35"/>
      <c r="X311" s="35"/>
      <c r="Y311" s="35"/>
      <c r="Z311" s="35"/>
    </row>
    <row r="312" ht="14.25" customHeight="1">
      <c r="A312" s="221"/>
      <c r="B312" s="231"/>
      <c r="C312" s="108"/>
      <c r="D312" s="85"/>
      <c r="E312" s="117"/>
      <c r="F312" s="245"/>
      <c r="G312" s="245"/>
      <c r="H312" s="523"/>
      <c r="I312" s="36">
        <f t="shared" si="1"/>
        <v>0</v>
      </c>
      <c r="J312" s="37">
        <f t="shared" si="2"/>
        <v>0</v>
      </c>
      <c r="K312" s="38">
        <f t="shared" si="3"/>
        <v>0</v>
      </c>
      <c r="L312" s="39">
        <f t="shared" si="4"/>
        <v>0</v>
      </c>
      <c r="M312" s="38">
        <f t="shared" si="5"/>
        <v>0</v>
      </c>
      <c r="N312" s="39">
        <f t="shared" si="6"/>
        <v>0</v>
      </c>
      <c r="O312" s="40"/>
      <c r="P312" s="34"/>
      <c r="Q312" s="35"/>
      <c r="R312" s="35"/>
      <c r="S312" s="35"/>
      <c r="T312" s="35"/>
      <c r="U312" s="35"/>
      <c r="V312" s="35"/>
      <c r="W312" s="35"/>
      <c r="X312" s="35"/>
      <c r="Y312" s="35"/>
      <c r="Z312" s="35"/>
    </row>
    <row r="313" ht="14.25" customHeight="1">
      <c r="A313" s="221"/>
      <c r="B313" s="231"/>
      <c r="C313" s="108"/>
      <c r="D313" s="85"/>
      <c r="E313" s="117"/>
      <c r="F313" s="245"/>
      <c r="G313" s="245"/>
      <c r="H313" s="523"/>
      <c r="I313" s="36">
        <f t="shared" si="1"/>
        <v>0</v>
      </c>
      <c r="J313" s="37">
        <f t="shared" si="2"/>
        <v>0</v>
      </c>
      <c r="K313" s="38">
        <f t="shared" si="3"/>
        <v>0</v>
      </c>
      <c r="L313" s="39">
        <f t="shared" si="4"/>
        <v>0</v>
      </c>
      <c r="M313" s="38">
        <f t="shared" si="5"/>
        <v>0</v>
      </c>
      <c r="N313" s="39">
        <f t="shared" si="6"/>
        <v>0</v>
      </c>
      <c r="O313" s="40"/>
      <c r="P313" s="34"/>
      <c r="Q313" s="35"/>
      <c r="R313" s="35"/>
      <c r="S313" s="35"/>
      <c r="T313" s="35"/>
      <c r="U313" s="35"/>
      <c r="V313" s="35"/>
      <c r="W313" s="35"/>
      <c r="X313" s="35"/>
      <c r="Y313" s="35"/>
      <c r="Z313" s="35"/>
    </row>
    <row r="314" ht="14.25" customHeight="1">
      <c r="A314" s="221"/>
      <c r="B314" s="231"/>
      <c r="C314" s="108"/>
      <c r="D314" s="85"/>
      <c r="E314" s="117"/>
      <c r="F314" s="245"/>
      <c r="G314" s="245"/>
      <c r="H314" s="523"/>
      <c r="I314" s="36">
        <f t="shared" si="1"/>
        <v>0</v>
      </c>
      <c r="J314" s="37">
        <f t="shared" si="2"/>
        <v>0</v>
      </c>
      <c r="K314" s="38">
        <f t="shared" si="3"/>
        <v>0</v>
      </c>
      <c r="L314" s="39">
        <f t="shared" si="4"/>
        <v>0</v>
      </c>
      <c r="M314" s="38">
        <f t="shared" si="5"/>
        <v>0</v>
      </c>
      <c r="N314" s="39">
        <f t="shared" si="6"/>
        <v>0</v>
      </c>
      <c r="O314" s="40"/>
      <c r="P314" s="34"/>
      <c r="Q314" s="35"/>
      <c r="R314" s="35"/>
      <c r="S314" s="35"/>
      <c r="T314" s="35"/>
      <c r="U314" s="35"/>
      <c r="V314" s="35"/>
      <c r="W314" s="35"/>
      <c r="X314" s="35"/>
      <c r="Y314" s="35"/>
      <c r="Z314" s="35"/>
    </row>
    <row r="315" ht="14.25" customHeight="1">
      <c r="A315" s="221"/>
      <c r="B315" s="231"/>
      <c r="C315" s="108"/>
      <c r="D315" s="85"/>
      <c r="E315" s="117"/>
      <c r="F315" s="245"/>
      <c r="G315" s="245"/>
      <c r="H315" s="523"/>
      <c r="I315" s="36">
        <f t="shared" si="1"/>
        <v>0</v>
      </c>
      <c r="J315" s="37">
        <f t="shared" si="2"/>
        <v>0</v>
      </c>
      <c r="K315" s="38">
        <f t="shared" si="3"/>
        <v>0</v>
      </c>
      <c r="L315" s="39">
        <f t="shared" si="4"/>
        <v>0</v>
      </c>
      <c r="M315" s="38">
        <f t="shared" si="5"/>
        <v>0</v>
      </c>
      <c r="N315" s="39">
        <f t="shared" si="6"/>
        <v>0</v>
      </c>
      <c r="O315" s="40"/>
      <c r="P315" s="34"/>
      <c r="Q315" s="35"/>
      <c r="R315" s="35"/>
      <c r="S315" s="35"/>
      <c r="T315" s="35"/>
      <c r="U315" s="35"/>
      <c r="V315" s="35"/>
      <c r="W315" s="35"/>
      <c r="X315" s="35"/>
      <c r="Y315" s="35"/>
      <c r="Z315" s="35"/>
    </row>
    <row r="316" ht="14.25" customHeight="1">
      <c r="A316" s="221"/>
      <c r="B316" s="231"/>
      <c r="C316" s="108"/>
      <c r="D316" s="85"/>
      <c r="E316" s="117"/>
      <c r="F316" s="245"/>
      <c r="G316" s="245"/>
      <c r="H316" s="523"/>
      <c r="I316" s="36">
        <f t="shared" si="1"/>
        <v>0</v>
      </c>
      <c r="J316" s="37">
        <f t="shared" si="2"/>
        <v>0</v>
      </c>
      <c r="K316" s="38">
        <f t="shared" si="3"/>
        <v>0</v>
      </c>
      <c r="L316" s="39">
        <f t="shared" si="4"/>
        <v>0</v>
      </c>
      <c r="M316" s="38">
        <f t="shared" si="5"/>
        <v>0</v>
      </c>
      <c r="N316" s="39">
        <f t="shared" si="6"/>
        <v>0</v>
      </c>
      <c r="O316" s="40"/>
      <c r="P316" s="34"/>
      <c r="Q316" s="35"/>
      <c r="R316" s="35"/>
      <c r="S316" s="35"/>
      <c r="T316" s="35"/>
      <c r="U316" s="35"/>
      <c r="V316" s="35"/>
      <c r="W316" s="35"/>
      <c r="X316" s="35"/>
      <c r="Y316" s="35"/>
      <c r="Z316" s="35"/>
    </row>
    <row r="317" ht="14.25" customHeight="1">
      <c r="A317" s="221"/>
      <c r="B317" s="231"/>
      <c r="C317" s="108"/>
      <c r="D317" s="85"/>
      <c r="E317" s="117"/>
      <c r="F317" s="245"/>
      <c r="G317" s="245"/>
      <c r="H317" s="523"/>
      <c r="I317" s="36">
        <f t="shared" si="1"/>
        <v>0</v>
      </c>
      <c r="J317" s="37">
        <f t="shared" si="2"/>
        <v>0</v>
      </c>
      <c r="K317" s="38">
        <f t="shared" si="3"/>
        <v>0</v>
      </c>
      <c r="L317" s="39">
        <f t="shared" si="4"/>
        <v>0</v>
      </c>
      <c r="M317" s="38">
        <f t="shared" si="5"/>
        <v>0</v>
      </c>
      <c r="N317" s="39">
        <f t="shared" si="6"/>
        <v>0</v>
      </c>
      <c r="O317" s="40"/>
      <c r="P317" s="34"/>
      <c r="Q317" s="35"/>
      <c r="R317" s="35"/>
      <c r="S317" s="35"/>
      <c r="T317" s="35"/>
      <c r="U317" s="35"/>
      <c r="V317" s="35"/>
      <c r="W317" s="35"/>
      <c r="X317" s="35"/>
      <c r="Y317" s="35"/>
      <c r="Z317" s="35"/>
    </row>
    <row r="318" ht="14.25" customHeight="1">
      <c r="A318" s="221"/>
      <c r="B318" s="231"/>
      <c r="C318" s="129"/>
      <c r="D318" s="85"/>
      <c r="E318" s="117"/>
      <c r="F318" s="245"/>
      <c r="G318" s="245"/>
      <c r="H318" s="523"/>
      <c r="I318" s="36">
        <f t="shared" si="1"/>
        <v>0</v>
      </c>
      <c r="J318" s="37">
        <f t="shared" si="2"/>
        <v>0</v>
      </c>
      <c r="K318" s="38">
        <f t="shared" si="3"/>
        <v>0</v>
      </c>
      <c r="L318" s="39">
        <f t="shared" si="4"/>
        <v>0</v>
      </c>
      <c r="M318" s="38">
        <f t="shared" si="5"/>
        <v>0</v>
      </c>
      <c r="N318" s="39">
        <f t="shared" si="6"/>
        <v>0</v>
      </c>
      <c r="O318" s="40"/>
      <c r="P318" s="34"/>
      <c r="Q318" s="35"/>
      <c r="R318" s="35"/>
      <c r="S318" s="35"/>
      <c r="T318" s="35"/>
      <c r="U318" s="35"/>
      <c r="V318" s="35"/>
      <c r="W318" s="35"/>
      <c r="X318" s="35"/>
      <c r="Y318" s="35"/>
      <c r="Z318" s="35"/>
    </row>
    <row r="319" ht="14.25" customHeight="1">
      <c r="A319" s="221"/>
      <c r="B319" s="231"/>
      <c r="C319" s="108"/>
      <c r="D319" s="102"/>
      <c r="E319" s="117"/>
      <c r="F319" s="245"/>
      <c r="G319" s="245"/>
      <c r="H319" s="523"/>
      <c r="I319" s="36">
        <f t="shared" si="1"/>
        <v>0</v>
      </c>
      <c r="J319" s="37">
        <f t="shared" si="2"/>
        <v>0</v>
      </c>
      <c r="K319" s="38">
        <f t="shared" si="3"/>
        <v>0</v>
      </c>
      <c r="L319" s="39">
        <f t="shared" si="4"/>
        <v>0</v>
      </c>
      <c r="M319" s="38">
        <f t="shared" si="5"/>
        <v>0</v>
      </c>
      <c r="N319" s="39">
        <f t="shared" si="6"/>
        <v>0</v>
      </c>
      <c r="O319" s="40"/>
      <c r="P319" s="34"/>
      <c r="Q319" s="35"/>
      <c r="R319" s="35"/>
      <c r="S319" s="35"/>
      <c r="T319" s="35"/>
      <c r="U319" s="35"/>
      <c r="V319" s="35"/>
      <c r="W319" s="35"/>
      <c r="X319" s="35"/>
      <c r="Y319" s="35"/>
      <c r="Z319" s="35"/>
    </row>
    <row r="320" ht="14.25" customHeight="1">
      <c r="A320" s="221"/>
      <c r="B320" s="231"/>
      <c r="C320" s="108"/>
      <c r="D320" s="90"/>
      <c r="E320" s="117"/>
      <c r="F320" s="245"/>
      <c r="G320" s="245"/>
      <c r="H320" s="523"/>
      <c r="I320" s="36">
        <f t="shared" si="1"/>
        <v>0</v>
      </c>
      <c r="J320" s="37">
        <f t="shared" si="2"/>
        <v>0</v>
      </c>
      <c r="K320" s="38">
        <f t="shared" si="3"/>
        <v>0</v>
      </c>
      <c r="L320" s="39">
        <f t="shared" si="4"/>
        <v>0</v>
      </c>
      <c r="M320" s="38">
        <f t="shared" si="5"/>
        <v>0</v>
      </c>
      <c r="N320" s="39">
        <f t="shared" si="6"/>
        <v>0</v>
      </c>
      <c r="O320" s="40"/>
      <c r="P320" s="34"/>
      <c r="Q320" s="35"/>
      <c r="R320" s="35"/>
      <c r="S320" s="35"/>
      <c r="T320" s="35"/>
      <c r="U320" s="35"/>
      <c r="V320" s="35"/>
      <c r="W320" s="35"/>
      <c r="X320" s="35"/>
      <c r="Y320" s="35"/>
      <c r="Z320" s="35"/>
    </row>
    <row r="321" ht="14.25" customHeight="1">
      <c r="A321" s="221"/>
      <c r="B321" s="231"/>
      <c r="C321" s="132"/>
      <c r="D321" s="42"/>
      <c r="E321" s="117"/>
      <c r="F321" s="248"/>
      <c r="G321" s="248"/>
      <c r="H321" s="523"/>
      <c r="I321" s="36">
        <f t="shared" si="1"/>
        <v>0</v>
      </c>
      <c r="J321" s="37">
        <f t="shared" si="2"/>
        <v>0</v>
      </c>
      <c r="K321" s="38">
        <f t="shared" si="3"/>
        <v>0</v>
      </c>
      <c r="L321" s="39">
        <f t="shared" si="4"/>
        <v>0</v>
      </c>
      <c r="M321" s="38">
        <f t="shared" si="5"/>
        <v>0</v>
      </c>
      <c r="N321" s="39">
        <f t="shared" si="6"/>
        <v>0</v>
      </c>
      <c r="O321" s="40"/>
      <c r="P321" s="34"/>
      <c r="Q321" s="35"/>
      <c r="R321" s="35"/>
      <c r="S321" s="35"/>
      <c r="T321" s="35"/>
      <c r="U321" s="35"/>
      <c r="V321" s="35"/>
      <c r="W321" s="35"/>
      <c r="X321" s="35"/>
      <c r="Y321" s="35"/>
      <c r="Z321" s="35"/>
    </row>
    <row r="322" ht="14.25" customHeight="1">
      <c r="A322" s="221"/>
      <c r="B322" s="231"/>
      <c r="C322" s="115"/>
      <c r="D322" s="100"/>
      <c r="E322" s="117"/>
      <c r="F322" s="249"/>
      <c r="G322" s="249"/>
      <c r="H322" s="523"/>
      <c r="I322" s="36">
        <f t="shared" si="1"/>
        <v>0</v>
      </c>
      <c r="J322" s="37">
        <f t="shared" si="2"/>
        <v>0</v>
      </c>
      <c r="K322" s="38">
        <f t="shared" si="3"/>
        <v>0</v>
      </c>
      <c r="L322" s="39">
        <f t="shared" si="4"/>
        <v>0</v>
      </c>
      <c r="M322" s="38">
        <f t="shared" si="5"/>
        <v>0</v>
      </c>
      <c r="N322" s="39">
        <f t="shared" si="6"/>
        <v>0</v>
      </c>
      <c r="O322" s="40"/>
      <c r="P322" s="34"/>
      <c r="Q322" s="35"/>
      <c r="R322" s="35"/>
      <c r="S322" s="35"/>
      <c r="T322" s="35"/>
      <c r="U322" s="35"/>
      <c r="V322" s="35"/>
      <c r="W322" s="35"/>
      <c r="X322" s="35"/>
      <c r="Y322" s="35"/>
      <c r="Z322" s="35"/>
    </row>
    <row r="323" ht="14.25" customHeight="1">
      <c r="A323" s="221"/>
      <c r="B323" s="231"/>
      <c r="C323" s="115"/>
      <c r="D323" s="100"/>
      <c r="E323" s="117"/>
      <c r="F323" s="249"/>
      <c r="G323" s="249"/>
      <c r="H323" s="523"/>
      <c r="I323" s="36">
        <f t="shared" si="1"/>
        <v>0</v>
      </c>
      <c r="J323" s="37">
        <f t="shared" si="2"/>
        <v>0</v>
      </c>
      <c r="K323" s="38">
        <f t="shared" si="3"/>
        <v>0</v>
      </c>
      <c r="L323" s="39">
        <f t="shared" si="4"/>
        <v>0</v>
      </c>
      <c r="M323" s="38">
        <f t="shared" si="5"/>
        <v>0</v>
      </c>
      <c r="N323" s="39">
        <f t="shared" si="6"/>
        <v>0</v>
      </c>
      <c r="O323" s="40"/>
      <c r="P323" s="34"/>
      <c r="Q323" s="35"/>
      <c r="R323" s="35"/>
      <c r="S323" s="35"/>
      <c r="T323" s="35"/>
      <c r="U323" s="35"/>
      <c r="V323" s="35"/>
      <c r="W323" s="35"/>
      <c r="X323" s="35"/>
      <c r="Y323" s="35"/>
      <c r="Z323" s="35"/>
    </row>
    <row r="324" ht="14.25" customHeight="1">
      <c r="A324" s="221"/>
      <c r="B324" s="231"/>
      <c r="C324" s="115"/>
      <c r="D324" s="100"/>
      <c r="E324" s="117"/>
      <c r="F324" s="249"/>
      <c r="G324" s="249"/>
      <c r="H324" s="523"/>
      <c r="I324" s="36">
        <f t="shared" si="1"/>
        <v>0</v>
      </c>
      <c r="J324" s="37">
        <f t="shared" si="2"/>
        <v>0</v>
      </c>
      <c r="K324" s="38">
        <f t="shared" si="3"/>
        <v>0</v>
      </c>
      <c r="L324" s="39">
        <f t="shared" si="4"/>
        <v>0</v>
      </c>
      <c r="M324" s="38">
        <f t="shared" si="5"/>
        <v>0</v>
      </c>
      <c r="N324" s="39">
        <f t="shared" si="6"/>
        <v>0</v>
      </c>
      <c r="O324" s="40"/>
      <c r="P324" s="34"/>
      <c r="Q324" s="35"/>
      <c r="R324" s="35"/>
      <c r="S324" s="35"/>
      <c r="T324" s="35"/>
      <c r="U324" s="35"/>
      <c r="V324" s="35"/>
      <c r="W324" s="35"/>
      <c r="X324" s="35"/>
      <c r="Y324" s="35"/>
      <c r="Z324" s="35"/>
    </row>
    <row r="325" ht="14.25" customHeight="1">
      <c r="A325" s="221"/>
      <c r="B325" s="231"/>
      <c r="C325" s="115"/>
      <c r="D325" s="100"/>
      <c r="E325" s="117"/>
      <c r="F325" s="249"/>
      <c r="G325" s="249"/>
      <c r="H325" s="523"/>
      <c r="I325" s="36">
        <f t="shared" si="1"/>
        <v>0</v>
      </c>
      <c r="J325" s="37">
        <f t="shared" si="2"/>
        <v>0</v>
      </c>
      <c r="K325" s="38">
        <f t="shared" si="3"/>
        <v>0</v>
      </c>
      <c r="L325" s="39">
        <f t="shared" si="4"/>
        <v>0</v>
      </c>
      <c r="M325" s="38">
        <f t="shared" si="5"/>
        <v>0</v>
      </c>
      <c r="N325" s="39">
        <f t="shared" si="6"/>
        <v>0</v>
      </c>
      <c r="O325" s="40"/>
      <c r="P325" s="34"/>
      <c r="Q325" s="35"/>
      <c r="R325" s="35"/>
      <c r="S325" s="35"/>
      <c r="T325" s="35"/>
      <c r="U325" s="35"/>
      <c r="V325" s="35"/>
      <c r="W325" s="35"/>
      <c r="X325" s="35"/>
      <c r="Y325" s="35"/>
      <c r="Z325" s="35"/>
    </row>
    <row r="326" ht="14.25" customHeight="1">
      <c r="A326" s="221"/>
      <c r="B326" s="231"/>
      <c r="C326" s="115"/>
      <c r="D326" s="100"/>
      <c r="E326" s="117"/>
      <c r="F326" s="249"/>
      <c r="G326" s="249"/>
      <c r="H326" s="523"/>
      <c r="I326" s="36">
        <f t="shared" si="1"/>
        <v>0</v>
      </c>
      <c r="J326" s="37">
        <f t="shared" si="2"/>
        <v>0</v>
      </c>
      <c r="K326" s="38">
        <f t="shared" si="3"/>
        <v>0</v>
      </c>
      <c r="L326" s="39">
        <f t="shared" si="4"/>
        <v>0</v>
      </c>
      <c r="M326" s="38">
        <f t="shared" si="5"/>
        <v>0</v>
      </c>
      <c r="N326" s="39">
        <f t="shared" si="6"/>
        <v>0</v>
      </c>
      <c r="O326" s="40"/>
      <c r="P326" s="34"/>
      <c r="Q326" s="35"/>
      <c r="R326" s="35"/>
      <c r="S326" s="35"/>
      <c r="T326" s="35"/>
      <c r="U326" s="35"/>
      <c r="V326" s="35"/>
      <c r="W326" s="35"/>
      <c r="X326" s="35"/>
      <c r="Y326" s="35"/>
      <c r="Z326" s="35"/>
    </row>
    <row r="327" ht="14.25" customHeight="1">
      <c r="A327" s="221"/>
      <c r="B327" s="231"/>
      <c r="C327" s="115"/>
      <c r="D327" s="100"/>
      <c r="E327" s="117"/>
      <c r="F327" s="249"/>
      <c r="G327" s="249"/>
      <c r="H327" s="523"/>
      <c r="I327" s="36">
        <f t="shared" si="1"/>
        <v>0</v>
      </c>
      <c r="J327" s="37">
        <f t="shared" si="2"/>
        <v>0</v>
      </c>
      <c r="K327" s="38">
        <f t="shared" si="3"/>
        <v>0</v>
      </c>
      <c r="L327" s="39">
        <f t="shared" si="4"/>
        <v>0</v>
      </c>
      <c r="M327" s="38">
        <f t="shared" si="5"/>
        <v>0</v>
      </c>
      <c r="N327" s="39">
        <f t="shared" si="6"/>
        <v>0</v>
      </c>
      <c r="O327" s="40"/>
      <c r="P327" s="34"/>
      <c r="Q327" s="35"/>
      <c r="R327" s="35"/>
      <c r="S327" s="35"/>
      <c r="T327" s="35"/>
      <c r="U327" s="35"/>
      <c r="V327" s="35"/>
      <c r="W327" s="35"/>
      <c r="X327" s="35"/>
      <c r="Y327" s="35"/>
      <c r="Z327" s="35"/>
    </row>
    <row r="328" ht="14.25" customHeight="1">
      <c r="A328" s="221"/>
      <c r="B328" s="231"/>
      <c r="C328" s="115"/>
      <c r="D328" s="100"/>
      <c r="E328" s="117"/>
      <c r="F328" s="238"/>
      <c r="G328" s="238"/>
      <c r="H328" s="523"/>
      <c r="I328" s="36">
        <f t="shared" si="1"/>
        <v>0</v>
      </c>
      <c r="J328" s="37">
        <f t="shared" si="2"/>
        <v>0</v>
      </c>
      <c r="K328" s="38">
        <f t="shared" si="3"/>
        <v>0</v>
      </c>
      <c r="L328" s="39">
        <f t="shared" si="4"/>
        <v>0</v>
      </c>
      <c r="M328" s="38">
        <f t="shared" si="5"/>
        <v>0</v>
      </c>
      <c r="N328" s="39">
        <f t="shared" si="6"/>
        <v>0</v>
      </c>
      <c r="O328" s="40"/>
      <c r="P328" s="34"/>
      <c r="Q328" s="35"/>
      <c r="R328" s="35"/>
      <c r="S328" s="35"/>
      <c r="T328" s="35"/>
      <c r="U328" s="35"/>
      <c r="V328" s="35"/>
      <c r="W328" s="35"/>
      <c r="X328" s="35"/>
      <c r="Y328" s="35"/>
      <c r="Z328" s="35"/>
    </row>
    <row r="329" ht="14.25" customHeight="1">
      <c r="A329" s="221"/>
      <c r="B329" s="231"/>
      <c r="C329" s="108"/>
      <c r="D329" s="85"/>
      <c r="E329" s="117"/>
      <c r="F329" s="242"/>
      <c r="G329" s="242"/>
      <c r="H329" s="523"/>
      <c r="I329" s="36">
        <f t="shared" si="1"/>
        <v>0</v>
      </c>
      <c r="J329" s="37">
        <f t="shared" si="2"/>
        <v>0</v>
      </c>
      <c r="K329" s="38">
        <f t="shared" si="3"/>
        <v>0</v>
      </c>
      <c r="L329" s="39">
        <f t="shared" si="4"/>
        <v>0</v>
      </c>
      <c r="M329" s="38">
        <f t="shared" si="5"/>
        <v>0</v>
      </c>
      <c r="N329" s="39">
        <f t="shared" si="6"/>
        <v>0</v>
      </c>
      <c r="O329" s="40"/>
      <c r="P329" s="34"/>
      <c r="Q329" s="35"/>
      <c r="R329" s="35"/>
      <c r="S329" s="35"/>
      <c r="T329" s="35"/>
      <c r="U329" s="35"/>
      <c r="V329" s="35"/>
      <c r="W329" s="35"/>
      <c r="X329" s="35"/>
      <c r="Y329" s="35"/>
      <c r="Z329" s="35"/>
    </row>
    <row r="330" ht="14.25" customHeight="1">
      <c r="A330" s="83"/>
      <c r="B330" s="84"/>
      <c r="C330" s="108"/>
      <c r="D330" s="102"/>
      <c r="E330" s="117"/>
      <c r="F330" s="250"/>
      <c r="G330" s="250"/>
      <c r="H330" s="523"/>
      <c r="I330" s="36"/>
      <c r="J330" s="37"/>
      <c r="K330" s="38"/>
      <c r="L330" s="39"/>
      <c r="M330" s="38"/>
      <c r="N330" s="39"/>
      <c r="O330" s="40"/>
      <c r="P330" s="34"/>
      <c r="Q330" s="35"/>
      <c r="R330" s="35"/>
      <c r="S330" s="35"/>
      <c r="T330" s="35"/>
      <c r="U330" s="35"/>
      <c r="V330" s="35"/>
      <c r="W330" s="35"/>
      <c r="X330" s="35"/>
      <c r="Y330" s="35"/>
      <c r="Z330" s="35"/>
    </row>
    <row r="331" ht="14.25" customHeight="1">
      <c r="A331" s="83"/>
      <c r="B331" s="84"/>
      <c r="C331" s="108"/>
      <c r="D331" s="102"/>
      <c r="E331" s="117"/>
      <c r="F331" s="250"/>
      <c r="G331" s="250"/>
      <c r="H331" s="523"/>
      <c r="I331" s="36"/>
      <c r="J331" s="37"/>
      <c r="K331" s="38"/>
      <c r="L331" s="39"/>
      <c r="M331" s="38"/>
      <c r="N331" s="39"/>
      <c r="O331" s="40"/>
      <c r="P331" s="34"/>
      <c r="Q331" s="35"/>
      <c r="R331" s="35"/>
      <c r="S331" s="35"/>
      <c r="T331" s="35"/>
      <c r="U331" s="35"/>
      <c r="V331" s="35"/>
      <c r="W331" s="35"/>
      <c r="X331" s="35"/>
      <c r="Y331" s="35"/>
      <c r="Z331" s="35"/>
    </row>
    <row r="332" ht="14.25" customHeight="1">
      <c r="A332" s="83"/>
      <c r="B332" s="84"/>
      <c r="C332" s="108"/>
      <c r="D332" s="102"/>
      <c r="E332" s="117"/>
      <c r="F332" s="250"/>
      <c r="G332" s="250"/>
      <c r="H332" s="523"/>
      <c r="I332" s="36"/>
      <c r="J332" s="37"/>
      <c r="K332" s="38"/>
      <c r="L332" s="39"/>
      <c r="M332" s="38"/>
      <c r="N332" s="39"/>
      <c r="O332" s="40"/>
      <c r="P332" s="34"/>
      <c r="Q332" s="35"/>
      <c r="R332" s="35"/>
      <c r="S332" s="35"/>
      <c r="T332" s="35"/>
      <c r="U332" s="35"/>
      <c r="V332" s="35"/>
      <c r="W332" s="35"/>
      <c r="X332" s="35"/>
      <c r="Y332" s="35"/>
      <c r="Z332" s="35"/>
    </row>
    <row r="333" ht="14.25" customHeight="1">
      <c r="A333" s="83"/>
      <c r="B333" s="84"/>
      <c r="C333" s="108"/>
      <c r="D333" s="102"/>
      <c r="E333" s="117"/>
      <c r="F333" s="250"/>
      <c r="G333" s="250"/>
      <c r="H333" s="523"/>
      <c r="I333" s="36"/>
      <c r="J333" s="37"/>
      <c r="K333" s="38"/>
      <c r="L333" s="39"/>
      <c r="M333" s="38"/>
      <c r="N333" s="39"/>
      <c r="O333" s="40"/>
      <c r="P333" s="34"/>
      <c r="Q333" s="35"/>
      <c r="R333" s="35"/>
      <c r="S333" s="35"/>
      <c r="T333" s="35"/>
      <c r="U333" s="35"/>
      <c r="V333" s="35"/>
      <c r="W333" s="35"/>
      <c r="X333" s="35"/>
      <c r="Y333" s="35"/>
      <c r="Z333" s="35"/>
    </row>
    <row r="334" ht="14.25" customHeight="1">
      <c r="A334" s="83"/>
      <c r="B334" s="84"/>
      <c r="C334" s="108"/>
      <c r="D334" s="102"/>
      <c r="E334" s="117"/>
      <c r="F334" s="250"/>
      <c r="G334" s="250"/>
      <c r="H334" s="523"/>
      <c r="I334" s="36"/>
      <c r="J334" s="37"/>
      <c r="K334" s="38"/>
      <c r="L334" s="39"/>
      <c r="M334" s="38"/>
      <c r="N334" s="39"/>
      <c r="O334" s="40"/>
      <c r="P334" s="34"/>
      <c r="Q334" s="35"/>
      <c r="R334" s="35"/>
      <c r="S334" s="35"/>
      <c r="T334" s="35"/>
      <c r="U334" s="35"/>
      <c r="V334" s="35"/>
      <c r="W334" s="35"/>
      <c r="X334" s="35"/>
      <c r="Y334" s="35"/>
      <c r="Z334" s="35"/>
    </row>
    <row r="335" ht="14.25" customHeight="1">
      <c r="A335" s="83"/>
      <c r="B335" s="84"/>
      <c r="C335" s="108"/>
      <c r="D335" s="102"/>
      <c r="E335" s="117"/>
      <c r="F335" s="250"/>
      <c r="G335" s="250"/>
      <c r="H335" s="523"/>
      <c r="I335" s="36"/>
      <c r="J335" s="37"/>
      <c r="K335" s="38"/>
      <c r="L335" s="39"/>
      <c r="M335" s="38"/>
      <c r="N335" s="39"/>
      <c r="O335" s="40"/>
      <c r="P335" s="34"/>
      <c r="Q335" s="35"/>
      <c r="R335" s="35"/>
      <c r="S335" s="35"/>
      <c r="T335" s="35"/>
      <c r="U335" s="35"/>
      <c r="V335" s="35"/>
      <c r="W335" s="35"/>
      <c r="X335" s="35"/>
      <c r="Y335" s="35"/>
      <c r="Z335" s="35"/>
    </row>
    <row r="336" ht="14.25" customHeight="1">
      <c r="A336" s="83"/>
      <c r="B336" s="84"/>
      <c r="C336" s="108"/>
      <c r="D336" s="102"/>
      <c r="E336" s="117"/>
      <c r="F336" s="250"/>
      <c r="G336" s="250"/>
      <c r="H336" s="523"/>
      <c r="I336" s="36"/>
      <c r="J336" s="37"/>
      <c r="K336" s="38"/>
      <c r="L336" s="39"/>
      <c r="M336" s="38"/>
      <c r="N336" s="39"/>
      <c r="O336" s="40"/>
      <c r="P336" s="34"/>
      <c r="Q336" s="35"/>
      <c r="R336" s="35"/>
      <c r="S336" s="35"/>
      <c r="T336" s="35"/>
      <c r="U336" s="35"/>
      <c r="V336" s="35"/>
      <c r="W336" s="35"/>
      <c r="X336" s="35"/>
      <c r="Y336" s="35"/>
      <c r="Z336" s="35"/>
    </row>
    <row r="337" ht="14.25" customHeight="1">
      <c r="A337" s="83"/>
      <c r="B337" s="84"/>
      <c r="C337" s="108"/>
      <c r="D337" s="102"/>
      <c r="E337" s="117"/>
      <c r="F337" s="250"/>
      <c r="G337" s="250"/>
      <c r="H337" s="523"/>
      <c r="I337" s="36"/>
      <c r="J337" s="37"/>
      <c r="K337" s="38"/>
      <c r="L337" s="39"/>
      <c r="M337" s="38"/>
      <c r="N337" s="39"/>
      <c r="O337" s="40"/>
      <c r="P337" s="34"/>
      <c r="Q337" s="35"/>
      <c r="R337" s="35"/>
      <c r="S337" s="35"/>
      <c r="T337" s="35"/>
      <c r="U337" s="35"/>
      <c r="V337" s="35"/>
      <c r="W337" s="35"/>
      <c r="X337" s="35"/>
      <c r="Y337" s="35"/>
      <c r="Z337" s="35"/>
    </row>
    <row r="338" ht="14.25" customHeight="1">
      <c r="A338" s="83"/>
      <c r="B338" s="84"/>
      <c r="C338" s="108"/>
      <c r="D338" s="102"/>
      <c r="E338" s="117"/>
      <c r="F338" s="250"/>
      <c r="G338" s="250"/>
      <c r="H338" s="523"/>
      <c r="I338" s="36"/>
      <c r="J338" s="37"/>
      <c r="K338" s="38"/>
      <c r="L338" s="39"/>
      <c r="M338" s="38"/>
      <c r="N338" s="39"/>
      <c r="O338" s="40"/>
      <c r="P338" s="34"/>
      <c r="Q338" s="35"/>
      <c r="R338" s="35"/>
      <c r="S338" s="35"/>
      <c r="T338" s="35"/>
      <c r="U338" s="35"/>
      <c r="V338" s="35"/>
      <c r="W338" s="35"/>
      <c r="X338" s="35"/>
      <c r="Y338" s="35"/>
      <c r="Z338" s="35"/>
    </row>
    <row r="339" ht="14.25" customHeight="1">
      <c r="A339" s="83"/>
      <c r="B339" s="84"/>
      <c r="C339" s="108"/>
      <c r="D339" s="102"/>
      <c r="E339" s="117"/>
      <c r="F339" s="250"/>
      <c r="G339" s="250"/>
      <c r="H339" s="523"/>
      <c r="I339" s="36"/>
      <c r="J339" s="37"/>
      <c r="K339" s="38"/>
      <c r="L339" s="39"/>
      <c r="M339" s="38"/>
      <c r="N339" s="39"/>
      <c r="O339" s="40"/>
      <c r="P339" s="34"/>
      <c r="Q339" s="35"/>
      <c r="R339" s="35"/>
      <c r="S339" s="35"/>
      <c r="T339" s="35"/>
      <c r="U339" s="35"/>
      <c r="V339" s="35"/>
      <c r="W339" s="35"/>
      <c r="X339" s="35"/>
      <c r="Y339" s="35"/>
      <c r="Z339" s="35"/>
    </row>
    <row r="340" ht="14.25" customHeight="1">
      <c r="A340" s="83"/>
      <c r="B340" s="84"/>
      <c r="C340" s="108"/>
      <c r="D340" s="102"/>
      <c r="E340" s="117"/>
      <c r="F340" s="250"/>
      <c r="G340" s="250"/>
      <c r="H340" s="523"/>
      <c r="I340" s="36"/>
      <c r="J340" s="37"/>
      <c r="K340" s="38"/>
      <c r="L340" s="39"/>
      <c r="M340" s="38"/>
      <c r="N340" s="39"/>
      <c r="O340" s="40"/>
      <c r="P340" s="34"/>
      <c r="Q340" s="35"/>
      <c r="R340" s="35"/>
      <c r="S340" s="35"/>
      <c r="T340" s="35"/>
      <c r="U340" s="35"/>
      <c r="V340" s="35"/>
      <c r="W340" s="35"/>
      <c r="X340" s="35"/>
      <c r="Y340" s="35"/>
      <c r="Z340" s="35"/>
    </row>
    <row r="341" ht="14.25" customHeight="1">
      <c r="A341" s="83"/>
      <c r="B341" s="84"/>
      <c r="C341" s="108"/>
      <c r="D341" s="102"/>
      <c r="E341" s="117"/>
      <c r="F341" s="250"/>
      <c r="G341" s="250"/>
      <c r="H341" s="523"/>
      <c r="I341" s="36"/>
      <c r="J341" s="37"/>
      <c r="K341" s="38"/>
      <c r="L341" s="39"/>
      <c r="M341" s="38"/>
      <c r="N341" s="39"/>
      <c r="O341" s="40"/>
      <c r="P341" s="34"/>
      <c r="Q341" s="35"/>
      <c r="R341" s="35"/>
      <c r="S341" s="35"/>
      <c r="T341" s="35"/>
      <c r="U341" s="35"/>
      <c r="V341" s="35"/>
      <c r="W341" s="35"/>
      <c r="X341" s="35"/>
      <c r="Y341" s="35"/>
      <c r="Z341" s="35"/>
    </row>
    <row r="342" ht="14.25" customHeight="1">
      <c r="A342" s="83"/>
      <c r="B342" s="84"/>
      <c r="C342" s="108"/>
      <c r="D342" s="102"/>
      <c r="E342" s="117"/>
      <c r="F342" s="250"/>
      <c r="G342" s="250"/>
      <c r="H342" s="523"/>
      <c r="I342" s="36"/>
      <c r="J342" s="37"/>
      <c r="K342" s="38"/>
      <c r="L342" s="39"/>
      <c r="M342" s="38"/>
      <c r="N342" s="39"/>
      <c r="O342" s="40"/>
      <c r="P342" s="34"/>
      <c r="Q342" s="35"/>
      <c r="R342" s="35"/>
      <c r="S342" s="35"/>
      <c r="T342" s="35"/>
      <c r="U342" s="35"/>
      <c r="V342" s="35"/>
      <c r="W342" s="35"/>
      <c r="X342" s="35"/>
      <c r="Y342" s="35"/>
      <c r="Z342" s="35"/>
    </row>
    <row r="343" ht="14.25" customHeight="1">
      <c r="A343" s="83"/>
      <c r="B343" s="84"/>
      <c r="C343" s="108"/>
      <c r="D343" s="102"/>
      <c r="E343" s="117"/>
      <c r="F343" s="250"/>
      <c r="G343" s="250"/>
      <c r="H343" s="523"/>
      <c r="I343" s="36"/>
      <c r="J343" s="37"/>
      <c r="K343" s="38"/>
      <c r="L343" s="39"/>
      <c r="M343" s="38"/>
      <c r="N343" s="39"/>
      <c r="O343" s="40"/>
      <c r="P343" s="34"/>
      <c r="Q343" s="35"/>
      <c r="R343" s="35"/>
      <c r="S343" s="35"/>
      <c r="T343" s="35"/>
      <c r="U343" s="35"/>
      <c r="V343" s="35"/>
      <c r="W343" s="35"/>
      <c r="X343" s="35"/>
      <c r="Y343" s="35"/>
      <c r="Z343" s="35"/>
    </row>
    <row r="344" ht="14.25" customHeight="1">
      <c r="A344" s="83"/>
      <c r="B344" s="84"/>
      <c r="C344" s="108"/>
      <c r="D344" s="102"/>
      <c r="E344" s="117"/>
      <c r="F344" s="250"/>
      <c r="G344" s="250"/>
      <c r="H344" s="523"/>
      <c r="I344" s="36"/>
      <c r="J344" s="37"/>
      <c r="K344" s="38"/>
      <c r="L344" s="39"/>
      <c r="M344" s="38"/>
      <c r="N344" s="39"/>
      <c r="O344" s="40"/>
      <c r="P344" s="34"/>
      <c r="Q344" s="35"/>
      <c r="R344" s="35"/>
      <c r="S344" s="35"/>
      <c r="T344" s="35"/>
      <c r="U344" s="35"/>
      <c r="V344" s="35"/>
      <c r="W344" s="35"/>
      <c r="X344" s="35"/>
      <c r="Y344" s="35"/>
      <c r="Z344" s="35"/>
    </row>
    <row r="345" ht="14.25" customHeight="1">
      <c r="A345" s="83"/>
      <c r="B345" s="84"/>
      <c r="C345" s="108"/>
      <c r="D345" s="102"/>
      <c r="E345" s="117"/>
      <c r="F345" s="250"/>
      <c r="G345" s="250"/>
      <c r="H345" s="523"/>
      <c r="I345" s="36"/>
      <c r="J345" s="37"/>
      <c r="K345" s="38"/>
      <c r="L345" s="39"/>
      <c r="M345" s="38"/>
      <c r="N345" s="39"/>
      <c r="O345" s="40"/>
      <c r="P345" s="34"/>
      <c r="Q345" s="35"/>
      <c r="R345" s="35"/>
      <c r="S345" s="35"/>
      <c r="T345" s="35"/>
      <c r="U345" s="35"/>
      <c r="V345" s="35"/>
      <c r="W345" s="35"/>
      <c r="X345" s="35"/>
      <c r="Y345" s="35"/>
      <c r="Z345" s="35"/>
    </row>
    <row r="346" ht="14.25" customHeight="1">
      <c r="A346" s="83"/>
      <c r="B346" s="84"/>
      <c r="C346" s="108"/>
      <c r="D346" s="102"/>
      <c r="E346" s="117"/>
      <c r="F346" s="250"/>
      <c r="G346" s="250"/>
      <c r="H346" s="523"/>
      <c r="I346" s="36"/>
      <c r="J346" s="37"/>
      <c r="K346" s="38"/>
      <c r="L346" s="39"/>
      <c r="M346" s="38"/>
      <c r="N346" s="39"/>
      <c r="O346" s="40"/>
      <c r="P346" s="34"/>
      <c r="Q346" s="35"/>
      <c r="R346" s="35"/>
      <c r="S346" s="35"/>
      <c r="T346" s="35"/>
      <c r="U346" s="35"/>
      <c r="V346" s="35"/>
      <c r="W346" s="35"/>
      <c r="X346" s="35"/>
      <c r="Y346" s="35"/>
      <c r="Z346" s="35"/>
    </row>
    <row r="347" ht="14.25" customHeight="1">
      <c r="A347" s="83"/>
      <c r="B347" s="84"/>
      <c r="C347" s="108"/>
      <c r="D347" s="102"/>
      <c r="E347" s="117"/>
      <c r="F347" s="250"/>
      <c r="G347" s="250"/>
      <c r="H347" s="523"/>
      <c r="I347" s="36"/>
      <c r="J347" s="37"/>
      <c r="K347" s="38"/>
      <c r="L347" s="39"/>
      <c r="M347" s="38"/>
      <c r="N347" s="39"/>
      <c r="O347" s="40"/>
      <c r="P347" s="34"/>
      <c r="Q347" s="35"/>
      <c r="R347" s="35"/>
      <c r="S347" s="35"/>
      <c r="T347" s="35"/>
      <c r="U347" s="35"/>
      <c r="V347" s="35"/>
      <c r="W347" s="35"/>
      <c r="X347" s="35"/>
      <c r="Y347" s="35"/>
      <c r="Z347" s="35"/>
    </row>
    <row r="348" ht="14.25" customHeight="1">
      <c r="A348" s="83"/>
      <c r="B348" s="84"/>
      <c r="C348" s="108"/>
      <c r="D348" s="102"/>
      <c r="E348" s="117"/>
      <c r="F348" s="250"/>
      <c r="G348" s="250"/>
      <c r="H348" s="523"/>
      <c r="I348" s="36"/>
      <c r="J348" s="37"/>
      <c r="K348" s="38"/>
      <c r="L348" s="39"/>
      <c r="M348" s="38"/>
      <c r="N348" s="39"/>
      <c r="O348" s="40"/>
      <c r="P348" s="34"/>
      <c r="Q348" s="35"/>
      <c r="R348" s="35"/>
      <c r="S348" s="35"/>
      <c r="T348" s="35"/>
      <c r="U348" s="35"/>
      <c r="V348" s="35"/>
      <c r="W348" s="35"/>
      <c r="X348" s="35"/>
      <c r="Y348" s="35"/>
      <c r="Z348" s="35"/>
    </row>
    <row r="349" ht="14.25" customHeight="1">
      <c r="A349" s="83"/>
      <c r="B349" s="84"/>
      <c r="C349" s="108"/>
      <c r="D349" s="102"/>
      <c r="E349" s="117"/>
      <c r="F349" s="250"/>
      <c r="G349" s="250"/>
      <c r="H349" s="523"/>
      <c r="I349" s="36"/>
      <c r="J349" s="37"/>
      <c r="K349" s="38"/>
      <c r="L349" s="39"/>
      <c r="M349" s="38"/>
      <c r="N349" s="39"/>
      <c r="O349" s="40"/>
      <c r="P349" s="34"/>
      <c r="Q349" s="35"/>
      <c r="R349" s="35"/>
      <c r="S349" s="35"/>
      <c r="T349" s="35"/>
      <c r="U349" s="35"/>
      <c r="V349" s="35"/>
      <c r="W349" s="35"/>
      <c r="X349" s="35"/>
      <c r="Y349" s="35"/>
      <c r="Z349" s="35"/>
    </row>
    <row r="350" ht="14.25" customHeight="1">
      <c r="A350" s="83"/>
      <c r="B350" s="84"/>
      <c r="C350" s="108"/>
      <c r="D350" s="102"/>
      <c r="E350" s="117"/>
      <c r="F350" s="250"/>
      <c r="G350" s="250"/>
      <c r="H350" s="523"/>
      <c r="I350" s="36"/>
      <c r="J350" s="37"/>
      <c r="K350" s="38"/>
      <c r="L350" s="39"/>
      <c r="M350" s="38"/>
      <c r="N350" s="39"/>
      <c r="O350" s="40"/>
      <c r="P350" s="34"/>
      <c r="Q350" s="35"/>
      <c r="R350" s="35"/>
      <c r="S350" s="35"/>
      <c r="T350" s="35"/>
      <c r="U350" s="35"/>
      <c r="V350" s="35"/>
      <c r="W350" s="35"/>
      <c r="X350" s="35"/>
      <c r="Y350" s="35"/>
      <c r="Z350" s="35"/>
    </row>
    <row r="351" ht="14.25" customHeight="1">
      <c r="A351" s="83"/>
      <c r="B351" s="84"/>
      <c r="C351" s="108"/>
      <c r="D351" s="102"/>
      <c r="E351" s="117"/>
      <c r="F351" s="250"/>
      <c r="G351" s="250"/>
      <c r="H351" s="523"/>
      <c r="I351" s="36"/>
      <c r="J351" s="37"/>
      <c r="K351" s="38"/>
      <c r="L351" s="39"/>
      <c r="M351" s="38"/>
      <c r="N351" s="39"/>
      <c r="O351" s="40"/>
      <c r="P351" s="34"/>
      <c r="Q351" s="35"/>
      <c r="R351" s="35"/>
      <c r="S351" s="35"/>
      <c r="T351" s="35"/>
      <c r="U351" s="35"/>
      <c r="V351" s="35"/>
      <c r="W351" s="35"/>
      <c r="X351" s="35"/>
      <c r="Y351" s="35"/>
      <c r="Z351" s="35"/>
    </row>
    <row r="352" ht="14.25" customHeight="1">
      <c r="A352" s="83"/>
      <c r="B352" s="84"/>
      <c r="C352" s="108"/>
      <c r="D352" s="102"/>
      <c r="E352" s="117"/>
      <c r="F352" s="250"/>
      <c r="G352" s="250"/>
      <c r="H352" s="523"/>
      <c r="I352" s="36"/>
      <c r="J352" s="37"/>
      <c r="K352" s="38"/>
      <c r="L352" s="39"/>
      <c r="M352" s="38"/>
      <c r="N352" s="39"/>
      <c r="O352" s="40"/>
      <c r="P352" s="34"/>
      <c r="Q352" s="35"/>
      <c r="R352" s="35"/>
      <c r="S352" s="35"/>
      <c r="T352" s="35"/>
      <c r="U352" s="35"/>
      <c r="V352" s="35"/>
      <c r="W352" s="35"/>
      <c r="X352" s="35"/>
      <c r="Y352" s="35"/>
      <c r="Z352" s="35"/>
    </row>
    <row r="353" ht="14.25" customHeight="1">
      <c r="A353" s="83"/>
      <c r="B353" s="84"/>
      <c r="C353" s="108"/>
      <c r="D353" s="102"/>
      <c r="E353" s="117"/>
      <c r="F353" s="250"/>
      <c r="G353" s="250"/>
      <c r="H353" s="523"/>
      <c r="I353" s="36"/>
      <c r="J353" s="37"/>
      <c r="K353" s="38"/>
      <c r="L353" s="39"/>
      <c r="M353" s="38"/>
      <c r="N353" s="39"/>
      <c r="O353" s="40"/>
      <c r="P353" s="34"/>
      <c r="Q353" s="35"/>
      <c r="R353" s="35"/>
      <c r="S353" s="35"/>
      <c r="T353" s="35"/>
      <c r="U353" s="35"/>
      <c r="V353" s="35"/>
      <c r="W353" s="35"/>
      <c r="X353" s="35"/>
      <c r="Y353" s="35"/>
      <c r="Z353" s="35"/>
    </row>
    <row r="354" ht="14.25" customHeight="1">
      <c r="A354" s="83"/>
      <c r="B354" s="84"/>
      <c r="C354" s="108"/>
      <c r="D354" s="102"/>
      <c r="E354" s="117"/>
      <c r="F354" s="250"/>
      <c r="G354" s="250"/>
      <c r="H354" s="523"/>
      <c r="I354" s="36"/>
      <c r="J354" s="37"/>
      <c r="K354" s="38"/>
      <c r="L354" s="39"/>
      <c r="M354" s="38"/>
      <c r="N354" s="39"/>
      <c r="O354" s="40"/>
      <c r="P354" s="34"/>
      <c r="Q354" s="35"/>
      <c r="R354" s="35"/>
      <c r="S354" s="35"/>
      <c r="T354" s="35"/>
      <c r="U354" s="35"/>
      <c r="V354" s="35"/>
      <c r="W354" s="35"/>
      <c r="X354" s="35"/>
      <c r="Y354" s="35"/>
      <c r="Z354" s="35"/>
    </row>
    <row r="355" ht="14.25" customHeight="1">
      <c r="A355" s="83"/>
      <c r="B355" s="84"/>
      <c r="C355" s="108"/>
      <c r="D355" s="102"/>
      <c r="E355" s="117"/>
      <c r="F355" s="250"/>
      <c r="G355" s="250"/>
      <c r="H355" s="523"/>
      <c r="I355" s="36"/>
      <c r="J355" s="37"/>
      <c r="K355" s="38"/>
      <c r="L355" s="39"/>
      <c r="M355" s="38"/>
      <c r="N355" s="39"/>
      <c r="O355" s="40"/>
      <c r="P355" s="34"/>
      <c r="Q355" s="35"/>
      <c r="R355" s="35"/>
      <c r="S355" s="35"/>
      <c r="T355" s="35"/>
      <c r="U355" s="35"/>
      <c r="V355" s="35"/>
      <c r="W355" s="35"/>
      <c r="X355" s="35"/>
      <c r="Y355" s="35"/>
      <c r="Z355" s="35"/>
    </row>
    <row r="356" ht="14.25" customHeight="1">
      <c r="A356" s="83"/>
      <c r="B356" s="84"/>
      <c r="C356" s="108"/>
      <c r="D356" s="102"/>
      <c r="E356" s="117"/>
      <c r="F356" s="250"/>
      <c r="G356" s="250"/>
      <c r="H356" s="523"/>
      <c r="I356" s="36"/>
      <c r="J356" s="37"/>
      <c r="K356" s="38"/>
      <c r="L356" s="39"/>
      <c r="M356" s="38"/>
      <c r="N356" s="39"/>
      <c r="O356" s="40"/>
      <c r="P356" s="34"/>
      <c r="Q356" s="35"/>
      <c r="R356" s="35"/>
      <c r="S356" s="35"/>
      <c r="T356" s="35"/>
      <c r="U356" s="35"/>
      <c r="V356" s="35"/>
      <c r="W356" s="35"/>
      <c r="X356" s="35"/>
      <c r="Y356" s="35"/>
      <c r="Z356" s="35"/>
    </row>
    <row r="357" ht="14.25" customHeight="1">
      <c r="A357" s="83"/>
      <c r="B357" s="84"/>
      <c r="C357" s="108"/>
      <c r="D357" s="102"/>
      <c r="E357" s="117"/>
      <c r="F357" s="250"/>
      <c r="G357" s="250"/>
      <c r="H357" s="523"/>
      <c r="I357" s="36"/>
      <c r="J357" s="37"/>
      <c r="K357" s="38"/>
      <c r="L357" s="39"/>
      <c r="M357" s="38"/>
      <c r="N357" s="39"/>
      <c r="O357" s="40"/>
      <c r="P357" s="34"/>
      <c r="Q357" s="35"/>
      <c r="R357" s="35"/>
      <c r="S357" s="35"/>
      <c r="T357" s="35"/>
      <c r="U357" s="35"/>
      <c r="V357" s="35"/>
      <c r="W357" s="35"/>
      <c r="X357" s="35"/>
      <c r="Y357" s="35"/>
      <c r="Z357" s="35"/>
    </row>
    <row r="358" ht="14.25" customHeight="1">
      <c r="A358" s="83"/>
      <c r="B358" s="84"/>
      <c r="C358" s="108"/>
      <c r="D358" s="102"/>
      <c r="E358" s="117"/>
      <c r="F358" s="250"/>
      <c r="G358" s="250"/>
      <c r="H358" s="523"/>
      <c r="I358" s="36"/>
      <c r="J358" s="37"/>
      <c r="K358" s="38"/>
      <c r="L358" s="39"/>
      <c r="M358" s="38"/>
      <c r="N358" s="39"/>
      <c r="O358" s="40"/>
      <c r="P358" s="34"/>
      <c r="Q358" s="35"/>
      <c r="R358" s="35"/>
      <c r="S358" s="35"/>
      <c r="T358" s="35"/>
      <c r="U358" s="35"/>
      <c r="V358" s="35"/>
      <c r="W358" s="35"/>
      <c r="X358" s="35"/>
      <c r="Y358" s="35"/>
      <c r="Z358" s="35"/>
    </row>
    <row r="359" ht="14.25" customHeight="1">
      <c r="A359" s="83"/>
      <c r="B359" s="84"/>
      <c r="C359" s="108"/>
      <c r="D359" s="102"/>
      <c r="E359" s="117"/>
      <c r="F359" s="250"/>
      <c r="G359" s="250"/>
      <c r="H359" s="523"/>
      <c r="I359" s="36"/>
      <c r="J359" s="37"/>
      <c r="K359" s="38"/>
      <c r="L359" s="39"/>
      <c r="M359" s="38"/>
      <c r="N359" s="39"/>
      <c r="O359" s="40"/>
      <c r="P359" s="34"/>
      <c r="Q359" s="35"/>
      <c r="R359" s="35"/>
      <c r="S359" s="35"/>
      <c r="T359" s="35"/>
      <c r="U359" s="35"/>
      <c r="V359" s="35"/>
      <c r="W359" s="35"/>
      <c r="X359" s="35"/>
      <c r="Y359" s="35"/>
      <c r="Z359" s="35"/>
    </row>
    <row r="360" ht="14.25" customHeight="1">
      <c r="A360" s="83"/>
      <c r="B360" s="84"/>
      <c r="C360" s="108"/>
      <c r="D360" s="102"/>
      <c r="E360" s="117"/>
      <c r="F360" s="250"/>
      <c r="G360" s="250"/>
      <c r="H360" s="523"/>
      <c r="I360" s="36"/>
      <c r="J360" s="37"/>
      <c r="K360" s="38"/>
      <c r="L360" s="39"/>
      <c r="M360" s="38"/>
      <c r="N360" s="39"/>
      <c r="O360" s="40"/>
      <c r="P360" s="34"/>
      <c r="Q360" s="35"/>
      <c r="R360" s="35"/>
      <c r="S360" s="35"/>
      <c r="T360" s="35"/>
      <c r="U360" s="35"/>
      <c r="V360" s="35"/>
      <c r="W360" s="35"/>
      <c r="X360" s="35"/>
      <c r="Y360" s="35"/>
      <c r="Z360" s="35"/>
    </row>
    <row r="361" ht="14.25" customHeight="1">
      <c r="A361" s="83"/>
      <c r="B361" s="84"/>
      <c r="C361" s="108"/>
      <c r="D361" s="102"/>
      <c r="E361" s="117"/>
      <c r="F361" s="250"/>
      <c r="G361" s="250"/>
      <c r="H361" s="523"/>
      <c r="I361" s="36"/>
      <c r="J361" s="37"/>
      <c r="K361" s="38"/>
      <c r="L361" s="39"/>
      <c r="M361" s="38"/>
      <c r="N361" s="39"/>
      <c r="O361" s="40"/>
      <c r="P361" s="34"/>
      <c r="Q361" s="35"/>
      <c r="R361" s="35"/>
      <c r="S361" s="35"/>
      <c r="T361" s="35"/>
      <c r="U361" s="35"/>
      <c r="V361" s="35"/>
      <c r="W361" s="35"/>
      <c r="X361" s="35"/>
      <c r="Y361" s="35"/>
      <c r="Z361" s="35"/>
    </row>
    <row r="362" ht="14.25" customHeight="1">
      <c r="A362" s="83"/>
      <c r="B362" s="84"/>
      <c r="C362" s="108"/>
      <c r="D362" s="102"/>
      <c r="E362" s="117"/>
      <c r="F362" s="250"/>
      <c r="G362" s="250"/>
      <c r="H362" s="523"/>
      <c r="I362" s="36"/>
      <c r="J362" s="37"/>
      <c r="K362" s="38"/>
      <c r="L362" s="39"/>
      <c r="M362" s="38"/>
      <c r="N362" s="39"/>
      <c r="O362" s="40"/>
      <c r="P362" s="34"/>
      <c r="Q362" s="35"/>
      <c r="R362" s="35"/>
      <c r="S362" s="35"/>
      <c r="T362" s="35"/>
      <c r="U362" s="35"/>
      <c r="V362" s="35"/>
      <c r="W362" s="35"/>
      <c r="X362" s="35"/>
      <c r="Y362" s="35"/>
      <c r="Z362" s="35"/>
    </row>
    <row r="363" ht="14.25" customHeight="1">
      <c r="A363" s="83"/>
      <c r="B363" s="84"/>
      <c r="C363" s="108"/>
      <c r="D363" s="102"/>
      <c r="E363" s="117"/>
      <c r="F363" s="250"/>
      <c r="G363" s="250"/>
      <c r="H363" s="523"/>
      <c r="I363" s="36"/>
      <c r="J363" s="37"/>
      <c r="K363" s="38"/>
      <c r="L363" s="39"/>
      <c r="M363" s="38"/>
      <c r="N363" s="39"/>
      <c r="O363" s="40"/>
      <c r="P363" s="34"/>
      <c r="Q363" s="35"/>
      <c r="R363" s="35"/>
      <c r="S363" s="35"/>
      <c r="T363" s="35"/>
      <c r="U363" s="35"/>
      <c r="V363" s="35"/>
      <c r="W363" s="35"/>
      <c r="X363" s="35"/>
      <c r="Y363" s="35"/>
      <c r="Z363" s="35"/>
    </row>
    <row r="364" ht="14.25" customHeight="1">
      <c r="A364" s="83"/>
      <c r="B364" s="84"/>
      <c r="C364" s="108"/>
      <c r="D364" s="102"/>
      <c r="E364" s="117"/>
      <c r="F364" s="250"/>
      <c r="G364" s="250"/>
      <c r="H364" s="523"/>
      <c r="I364" s="36"/>
      <c r="J364" s="37"/>
      <c r="K364" s="38"/>
      <c r="L364" s="39"/>
      <c r="M364" s="38"/>
      <c r="N364" s="39"/>
      <c r="O364" s="40"/>
      <c r="P364" s="34"/>
      <c r="Q364" s="35"/>
      <c r="R364" s="35"/>
      <c r="S364" s="35"/>
      <c r="T364" s="35"/>
      <c r="U364" s="35"/>
      <c r="V364" s="35"/>
      <c r="W364" s="35"/>
      <c r="X364" s="35"/>
      <c r="Y364" s="35"/>
      <c r="Z364" s="35"/>
    </row>
    <row r="365" ht="14.25" customHeight="1">
      <c r="A365" s="83"/>
      <c r="B365" s="84"/>
      <c r="C365" s="108"/>
      <c r="D365" s="102"/>
      <c r="E365" s="117"/>
      <c r="F365" s="250"/>
      <c r="G365" s="250"/>
      <c r="H365" s="523"/>
      <c r="I365" s="36"/>
      <c r="J365" s="37"/>
      <c r="K365" s="38"/>
      <c r="L365" s="39"/>
      <c r="M365" s="38"/>
      <c r="N365" s="39"/>
      <c r="O365" s="40"/>
      <c r="P365" s="34"/>
      <c r="Q365" s="35"/>
      <c r="R365" s="35"/>
      <c r="S365" s="35"/>
      <c r="T365" s="35"/>
      <c r="U365" s="35"/>
      <c r="V365" s="35"/>
      <c r="W365" s="35"/>
      <c r="X365" s="35"/>
      <c r="Y365" s="35"/>
      <c r="Z365" s="35"/>
    </row>
    <row r="366" ht="14.25" customHeight="1">
      <c r="A366" s="83"/>
      <c r="B366" s="84"/>
      <c r="C366" s="108"/>
      <c r="D366" s="102"/>
      <c r="E366" s="117"/>
      <c r="F366" s="250"/>
      <c r="G366" s="250"/>
      <c r="H366" s="523"/>
      <c r="I366" s="36"/>
      <c r="J366" s="37"/>
      <c r="K366" s="38"/>
      <c r="L366" s="39"/>
      <c r="M366" s="38"/>
      <c r="N366" s="39"/>
      <c r="O366" s="40"/>
      <c r="P366" s="34"/>
      <c r="Q366" s="35"/>
      <c r="R366" s="35"/>
      <c r="S366" s="35"/>
      <c r="T366" s="35"/>
      <c r="U366" s="35"/>
      <c r="V366" s="35"/>
      <c r="W366" s="35"/>
      <c r="X366" s="35"/>
      <c r="Y366" s="35"/>
      <c r="Z366" s="35"/>
    </row>
    <row r="367" ht="14.25" customHeight="1">
      <c r="A367" s="83"/>
      <c r="B367" s="84"/>
      <c r="C367" s="108"/>
      <c r="D367" s="102"/>
      <c r="E367" s="117"/>
      <c r="F367" s="250"/>
      <c r="G367" s="250"/>
      <c r="H367" s="523"/>
      <c r="I367" s="36"/>
      <c r="J367" s="37"/>
      <c r="K367" s="38"/>
      <c r="L367" s="39"/>
      <c r="M367" s="38"/>
      <c r="N367" s="39"/>
      <c r="O367" s="40"/>
      <c r="P367" s="34"/>
      <c r="Q367" s="35"/>
      <c r="R367" s="35"/>
      <c r="S367" s="35"/>
      <c r="T367" s="35"/>
      <c r="U367" s="35"/>
      <c r="V367" s="35"/>
      <c r="W367" s="35"/>
      <c r="X367" s="35"/>
      <c r="Y367" s="35"/>
      <c r="Z367" s="35"/>
    </row>
    <row r="368" ht="14.25" customHeight="1">
      <c r="A368" s="83"/>
      <c r="B368" s="84"/>
      <c r="C368" s="108"/>
      <c r="D368" s="102"/>
      <c r="E368" s="117"/>
      <c r="F368" s="250"/>
      <c r="G368" s="250"/>
      <c r="H368" s="523"/>
      <c r="I368" s="36"/>
      <c r="J368" s="37"/>
      <c r="K368" s="38"/>
      <c r="L368" s="39"/>
      <c r="M368" s="38"/>
      <c r="N368" s="39"/>
      <c r="O368" s="40"/>
      <c r="P368" s="34"/>
      <c r="Q368" s="35"/>
      <c r="R368" s="35"/>
      <c r="S368" s="35"/>
      <c r="T368" s="35"/>
      <c r="U368" s="35"/>
      <c r="V368" s="35"/>
      <c r="W368" s="35"/>
      <c r="X368" s="35"/>
      <c r="Y368" s="35"/>
      <c r="Z368" s="35"/>
    </row>
    <row r="369" ht="14.25" customHeight="1">
      <c r="A369" s="83"/>
      <c r="B369" s="84"/>
      <c r="C369" s="108"/>
      <c r="D369" s="102"/>
      <c r="E369" s="117"/>
      <c r="F369" s="250"/>
      <c r="G369" s="250"/>
      <c r="H369" s="523"/>
      <c r="I369" s="36"/>
      <c r="J369" s="37"/>
      <c r="K369" s="38"/>
      <c r="L369" s="39"/>
      <c r="M369" s="38"/>
      <c r="N369" s="39"/>
      <c r="O369" s="40"/>
      <c r="P369" s="34"/>
      <c r="Q369" s="35"/>
      <c r="R369" s="35"/>
      <c r="S369" s="35"/>
      <c r="T369" s="35"/>
      <c r="U369" s="35"/>
      <c r="V369" s="35"/>
      <c r="W369" s="35"/>
      <c r="X369" s="35"/>
      <c r="Y369" s="35"/>
      <c r="Z369" s="35"/>
    </row>
    <row r="370" ht="14.25" customHeight="1">
      <c r="A370" s="83"/>
      <c r="B370" s="84"/>
      <c r="C370" s="108"/>
      <c r="D370" s="102"/>
      <c r="E370" s="117"/>
      <c r="F370" s="250"/>
      <c r="G370" s="250"/>
      <c r="H370" s="523"/>
      <c r="I370" s="36"/>
      <c r="J370" s="37"/>
      <c r="K370" s="38"/>
      <c r="L370" s="39"/>
      <c r="M370" s="38"/>
      <c r="N370" s="39"/>
      <c r="O370" s="40"/>
      <c r="P370" s="34"/>
      <c r="Q370" s="35"/>
      <c r="R370" s="35"/>
      <c r="S370" s="35"/>
      <c r="T370" s="35"/>
      <c r="U370" s="35"/>
      <c r="V370" s="35"/>
      <c r="W370" s="35"/>
      <c r="X370" s="35"/>
      <c r="Y370" s="35"/>
      <c r="Z370" s="35"/>
    </row>
    <row r="371" ht="14.25" customHeight="1">
      <c r="A371" s="83"/>
      <c r="B371" s="84"/>
      <c r="C371" s="108"/>
      <c r="D371" s="102"/>
      <c r="E371" s="117"/>
      <c r="F371" s="250"/>
      <c r="G371" s="250"/>
      <c r="H371" s="523"/>
      <c r="I371" s="36"/>
      <c r="J371" s="37"/>
      <c r="K371" s="38"/>
      <c r="L371" s="39"/>
      <c r="M371" s="38"/>
      <c r="N371" s="39"/>
      <c r="O371" s="40"/>
      <c r="P371" s="34"/>
      <c r="Q371" s="35"/>
      <c r="R371" s="35"/>
      <c r="S371" s="35"/>
      <c r="T371" s="35"/>
      <c r="U371" s="35"/>
      <c r="V371" s="35"/>
      <c r="W371" s="35"/>
      <c r="X371" s="35"/>
      <c r="Y371" s="35"/>
      <c r="Z371" s="35"/>
    </row>
    <row r="372" ht="14.25" customHeight="1">
      <c r="A372" s="83"/>
      <c r="B372" s="84"/>
      <c r="C372" s="108"/>
      <c r="D372" s="102"/>
      <c r="E372" s="117"/>
      <c r="F372" s="250"/>
      <c r="G372" s="250"/>
      <c r="H372" s="523"/>
      <c r="I372" s="36"/>
      <c r="J372" s="37"/>
      <c r="K372" s="38"/>
      <c r="L372" s="39"/>
      <c r="M372" s="38"/>
      <c r="N372" s="39"/>
      <c r="O372" s="40"/>
      <c r="P372" s="34"/>
      <c r="Q372" s="35"/>
      <c r="R372" s="35"/>
      <c r="S372" s="35"/>
      <c r="T372" s="35"/>
      <c r="U372" s="35"/>
      <c r="V372" s="35"/>
      <c r="W372" s="35"/>
      <c r="X372" s="35"/>
      <c r="Y372" s="35"/>
      <c r="Z372" s="35"/>
    </row>
    <row r="373" ht="14.25" customHeight="1">
      <c r="A373" s="83"/>
      <c r="B373" s="84"/>
      <c r="C373" s="108"/>
      <c r="D373" s="102"/>
      <c r="E373" s="117"/>
      <c r="F373" s="250"/>
      <c r="G373" s="250"/>
      <c r="H373" s="523"/>
      <c r="I373" s="36"/>
      <c r="J373" s="37"/>
      <c r="K373" s="38"/>
      <c r="L373" s="39"/>
      <c r="M373" s="38"/>
      <c r="N373" s="39"/>
      <c r="O373" s="40"/>
      <c r="P373" s="34"/>
      <c r="Q373" s="35"/>
      <c r="R373" s="35"/>
      <c r="S373" s="35"/>
      <c r="T373" s="35"/>
      <c r="U373" s="35"/>
      <c r="V373" s="35"/>
      <c r="W373" s="35"/>
      <c r="X373" s="35"/>
      <c r="Y373" s="35"/>
      <c r="Z373" s="35"/>
    </row>
    <row r="374" ht="14.25" customHeight="1">
      <c r="A374" s="83"/>
      <c r="B374" s="84"/>
      <c r="C374" s="108"/>
      <c r="D374" s="102"/>
      <c r="E374" s="117"/>
      <c r="F374" s="250"/>
      <c r="G374" s="250"/>
      <c r="H374" s="523"/>
      <c r="I374" s="36"/>
      <c r="J374" s="37"/>
      <c r="K374" s="38"/>
      <c r="L374" s="39"/>
      <c r="M374" s="38"/>
      <c r="N374" s="39"/>
      <c r="O374" s="40"/>
      <c r="P374" s="34"/>
      <c r="Q374" s="35"/>
      <c r="R374" s="35"/>
      <c r="S374" s="35"/>
      <c r="T374" s="35"/>
      <c r="U374" s="35"/>
      <c r="V374" s="35"/>
      <c r="W374" s="35"/>
      <c r="X374" s="35"/>
      <c r="Y374" s="35"/>
      <c r="Z374" s="35"/>
    </row>
    <row r="375" ht="14.25" customHeight="1">
      <c r="A375" s="83"/>
      <c r="B375" s="84"/>
      <c r="C375" s="108"/>
      <c r="D375" s="102"/>
      <c r="E375" s="117"/>
      <c r="F375" s="250"/>
      <c r="G375" s="250"/>
      <c r="H375" s="523"/>
      <c r="I375" s="36"/>
      <c r="J375" s="37"/>
      <c r="K375" s="38"/>
      <c r="L375" s="39"/>
      <c r="M375" s="38"/>
      <c r="N375" s="39"/>
      <c r="O375" s="40"/>
      <c r="P375" s="34"/>
      <c r="Q375" s="35"/>
      <c r="R375" s="35"/>
      <c r="S375" s="35"/>
      <c r="T375" s="35"/>
      <c r="U375" s="35"/>
      <c r="V375" s="35"/>
      <c r="W375" s="35"/>
      <c r="X375" s="35"/>
      <c r="Y375" s="35"/>
      <c r="Z375" s="35"/>
    </row>
    <row r="376" ht="14.25" customHeight="1">
      <c r="A376" s="83"/>
      <c r="B376" s="84"/>
      <c r="C376" s="108"/>
      <c r="D376" s="102"/>
      <c r="E376" s="117"/>
      <c r="F376" s="250"/>
      <c r="G376" s="250"/>
      <c r="H376" s="523"/>
      <c r="I376" s="36"/>
      <c r="J376" s="37"/>
      <c r="K376" s="38"/>
      <c r="L376" s="39"/>
      <c r="M376" s="38"/>
      <c r="N376" s="39"/>
      <c r="O376" s="40"/>
      <c r="P376" s="34"/>
      <c r="Q376" s="35"/>
      <c r="R376" s="35"/>
      <c r="S376" s="35"/>
      <c r="T376" s="35"/>
      <c r="U376" s="35"/>
      <c r="V376" s="35"/>
      <c r="W376" s="35"/>
      <c r="X376" s="35"/>
      <c r="Y376" s="35"/>
      <c r="Z376" s="35"/>
    </row>
    <row r="377" ht="14.25" customHeight="1">
      <c r="A377" s="83"/>
      <c r="B377" s="84"/>
      <c r="C377" s="108"/>
      <c r="D377" s="102"/>
      <c r="E377" s="117"/>
      <c r="F377" s="250"/>
      <c r="G377" s="250"/>
      <c r="H377" s="523"/>
      <c r="I377" s="36"/>
      <c r="J377" s="37"/>
      <c r="K377" s="38"/>
      <c r="L377" s="39"/>
      <c r="M377" s="38"/>
      <c r="N377" s="39"/>
      <c r="O377" s="40"/>
      <c r="P377" s="34"/>
      <c r="Q377" s="35"/>
      <c r="R377" s="35"/>
      <c r="S377" s="35"/>
      <c r="T377" s="35"/>
      <c r="U377" s="35"/>
      <c r="V377" s="35"/>
      <c r="W377" s="35"/>
      <c r="X377" s="35"/>
      <c r="Y377" s="35"/>
      <c r="Z377" s="35"/>
    </row>
    <row r="378" ht="14.25" customHeight="1">
      <c r="A378" s="83"/>
      <c r="B378" s="84"/>
      <c r="C378" s="108"/>
      <c r="D378" s="102"/>
      <c r="E378" s="117"/>
      <c r="F378" s="250"/>
      <c r="G378" s="250"/>
      <c r="H378" s="523"/>
      <c r="I378" s="36"/>
      <c r="J378" s="37"/>
      <c r="K378" s="38"/>
      <c r="L378" s="39"/>
      <c r="M378" s="38"/>
      <c r="N378" s="39"/>
      <c r="O378" s="40"/>
      <c r="P378" s="34"/>
      <c r="Q378" s="35"/>
      <c r="R378" s="35"/>
      <c r="S378" s="35"/>
      <c r="T378" s="35"/>
      <c r="U378" s="35"/>
      <c r="V378" s="35"/>
      <c r="W378" s="35"/>
      <c r="X378" s="35"/>
      <c r="Y378" s="35"/>
      <c r="Z378" s="35"/>
    </row>
    <row r="379" ht="14.25" customHeight="1">
      <c r="A379" s="83"/>
      <c r="B379" s="84"/>
      <c r="C379" s="108"/>
      <c r="D379" s="102"/>
      <c r="E379" s="117"/>
      <c r="F379" s="250"/>
      <c r="G379" s="250"/>
      <c r="H379" s="523"/>
      <c r="I379" s="36"/>
      <c r="J379" s="37"/>
      <c r="K379" s="38"/>
      <c r="L379" s="39"/>
      <c r="M379" s="38"/>
      <c r="N379" s="39"/>
      <c r="O379" s="40"/>
      <c r="P379" s="34"/>
      <c r="Q379" s="35"/>
      <c r="R379" s="35"/>
      <c r="S379" s="35"/>
      <c r="T379" s="35"/>
      <c r="U379" s="35"/>
      <c r="V379" s="35"/>
      <c r="W379" s="35"/>
      <c r="X379" s="35"/>
      <c r="Y379" s="35"/>
      <c r="Z379" s="35"/>
    </row>
    <row r="380" ht="14.25" customHeight="1">
      <c r="A380" s="83"/>
      <c r="B380" s="84"/>
      <c r="C380" s="108"/>
      <c r="D380" s="102"/>
      <c r="E380" s="117"/>
      <c r="F380" s="250"/>
      <c r="G380" s="250"/>
      <c r="H380" s="523"/>
      <c r="I380" s="36"/>
      <c r="J380" s="37"/>
      <c r="K380" s="38"/>
      <c r="L380" s="39"/>
      <c r="M380" s="38"/>
      <c r="N380" s="39"/>
      <c r="O380" s="40"/>
      <c r="P380" s="34"/>
      <c r="Q380" s="35"/>
      <c r="R380" s="35"/>
      <c r="S380" s="35"/>
      <c r="T380" s="35"/>
      <c r="U380" s="35"/>
      <c r="V380" s="35"/>
      <c r="W380" s="35"/>
      <c r="X380" s="35"/>
      <c r="Y380" s="35"/>
      <c r="Z380" s="35"/>
    </row>
    <row r="381" ht="14.25" customHeight="1">
      <c r="A381" s="83"/>
      <c r="B381" s="84"/>
      <c r="C381" s="108"/>
      <c r="D381" s="102"/>
      <c r="E381" s="117"/>
      <c r="F381" s="250"/>
      <c r="G381" s="250"/>
      <c r="H381" s="523"/>
      <c r="I381" s="36"/>
      <c r="J381" s="37"/>
      <c r="K381" s="38"/>
      <c r="L381" s="39"/>
      <c r="M381" s="38"/>
      <c r="N381" s="39"/>
      <c r="O381" s="40"/>
      <c r="P381" s="34"/>
      <c r="Q381" s="35"/>
      <c r="R381" s="35"/>
      <c r="S381" s="35"/>
      <c r="T381" s="35"/>
      <c r="U381" s="35"/>
      <c r="V381" s="35"/>
      <c r="W381" s="35"/>
      <c r="X381" s="35"/>
      <c r="Y381" s="35"/>
      <c r="Z381" s="35"/>
    </row>
    <row r="382" ht="14.25" customHeight="1">
      <c r="A382" s="83"/>
      <c r="B382" s="84"/>
      <c r="C382" s="108"/>
      <c r="D382" s="102"/>
      <c r="E382" s="117"/>
      <c r="F382" s="250"/>
      <c r="G382" s="250"/>
      <c r="H382" s="523"/>
      <c r="I382" s="36"/>
      <c r="J382" s="37"/>
      <c r="K382" s="38"/>
      <c r="L382" s="39"/>
      <c r="M382" s="38"/>
      <c r="N382" s="39"/>
      <c r="O382" s="40"/>
      <c r="P382" s="34"/>
      <c r="Q382" s="35"/>
      <c r="R382" s="35"/>
      <c r="S382" s="35"/>
      <c r="T382" s="35"/>
      <c r="U382" s="35"/>
      <c r="V382" s="35"/>
      <c r="W382" s="35"/>
      <c r="X382" s="35"/>
      <c r="Y382" s="35"/>
      <c r="Z382" s="35"/>
    </row>
    <row r="383" ht="14.25" customHeight="1">
      <c r="A383" s="83"/>
      <c r="B383" s="84"/>
      <c r="C383" s="108"/>
      <c r="D383" s="102"/>
      <c r="E383" s="117"/>
      <c r="F383" s="250"/>
      <c r="G383" s="250"/>
      <c r="H383" s="523"/>
      <c r="I383" s="36"/>
      <c r="J383" s="37"/>
      <c r="K383" s="38"/>
      <c r="L383" s="39"/>
      <c r="M383" s="38"/>
      <c r="N383" s="39"/>
      <c r="O383" s="40"/>
      <c r="P383" s="34"/>
      <c r="Q383" s="35"/>
      <c r="R383" s="35"/>
      <c r="S383" s="35"/>
      <c r="T383" s="35"/>
      <c r="U383" s="35"/>
      <c r="V383" s="35"/>
      <c r="W383" s="35"/>
      <c r="X383" s="35"/>
      <c r="Y383" s="35"/>
      <c r="Z383" s="35"/>
    </row>
    <row r="384" ht="14.25" customHeight="1">
      <c r="A384" s="83"/>
      <c r="B384" s="84"/>
      <c r="C384" s="108"/>
      <c r="D384" s="102"/>
      <c r="E384" s="117"/>
      <c r="F384" s="250"/>
      <c r="G384" s="250"/>
      <c r="H384" s="523"/>
      <c r="I384" s="36"/>
      <c r="J384" s="37"/>
      <c r="K384" s="38"/>
      <c r="L384" s="39"/>
      <c r="M384" s="38"/>
      <c r="N384" s="39"/>
      <c r="O384" s="40"/>
      <c r="P384" s="34"/>
      <c r="Q384" s="35"/>
      <c r="R384" s="35"/>
      <c r="S384" s="35"/>
      <c r="T384" s="35"/>
      <c r="U384" s="35"/>
      <c r="V384" s="35"/>
      <c r="W384" s="35"/>
      <c r="X384" s="35"/>
      <c r="Y384" s="35"/>
      <c r="Z384" s="35"/>
    </row>
    <row r="385" ht="14.25" customHeight="1">
      <c r="A385" s="83"/>
      <c r="B385" s="84"/>
      <c r="C385" s="108"/>
      <c r="D385" s="102"/>
      <c r="E385" s="117"/>
      <c r="F385" s="250"/>
      <c r="G385" s="250"/>
      <c r="H385" s="523"/>
      <c r="I385" s="36"/>
      <c r="J385" s="37"/>
      <c r="K385" s="38"/>
      <c r="L385" s="39"/>
      <c r="M385" s="38"/>
      <c r="N385" s="39"/>
      <c r="O385" s="40"/>
      <c r="P385" s="34"/>
      <c r="Q385" s="35"/>
      <c r="R385" s="35"/>
      <c r="S385" s="35"/>
      <c r="T385" s="35"/>
      <c r="U385" s="35"/>
      <c r="V385" s="35"/>
      <c r="W385" s="35"/>
      <c r="X385" s="35"/>
      <c r="Y385" s="35"/>
      <c r="Z385" s="35"/>
    </row>
    <row r="386" ht="14.25" customHeight="1">
      <c r="A386" s="83"/>
      <c r="B386" s="84"/>
      <c r="C386" s="108"/>
      <c r="D386" s="102"/>
      <c r="E386" s="117"/>
      <c r="F386" s="250"/>
      <c r="G386" s="250"/>
      <c r="H386" s="523"/>
      <c r="I386" s="36"/>
      <c r="J386" s="37"/>
      <c r="K386" s="38"/>
      <c r="L386" s="39"/>
      <c r="M386" s="38"/>
      <c r="N386" s="39"/>
      <c r="O386" s="40"/>
      <c r="P386" s="34"/>
      <c r="Q386" s="35"/>
      <c r="R386" s="35"/>
      <c r="S386" s="35"/>
      <c r="T386" s="35"/>
      <c r="U386" s="35"/>
      <c r="V386" s="35"/>
      <c r="W386" s="35"/>
      <c r="X386" s="35"/>
      <c r="Y386" s="35"/>
      <c r="Z386" s="35"/>
    </row>
    <row r="387" ht="14.25" customHeight="1">
      <c r="A387" s="83"/>
      <c r="B387" s="84"/>
      <c r="C387" s="108"/>
      <c r="D387" s="102"/>
      <c r="E387" s="117"/>
      <c r="F387" s="250"/>
      <c r="G387" s="250"/>
      <c r="H387" s="523"/>
      <c r="I387" s="36"/>
      <c r="J387" s="37"/>
      <c r="K387" s="38"/>
      <c r="L387" s="39"/>
      <c r="M387" s="38"/>
      <c r="N387" s="39"/>
      <c r="O387" s="40"/>
      <c r="P387" s="34"/>
      <c r="Q387" s="35"/>
      <c r="R387" s="35"/>
      <c r="S387" s="35"/>
      <c r="T387" s="35"/>
      <c r="U387" s="35"/>
      <c r="V387" s="35"/>
      <c r="W387" s="35"/>
      <c r="X387" s="35"/>
      <c r="Y387" s="35"/>
      <c r="Z387" s="35"/>
    </row>
    <row r="388" ht="14.25" customHeight="1">
      <c r="A388" s="83"/>
      <c r="B388" s="84"/>
      <c r="C388" s="108"/>
      <c r="D388" s="102"/>
      <c r="E388" s="117"/>
      <c r="F388" s="250"/>
      <c r="G388" s="250"/>
      <c r="H388" s="523"/>
      <c r="I388" s="36"/>
      <c r="J388" s="37"/>
      <c r="K388" s="38"/>
      <c r="L388" s="39"/>
      <c r="M388" s="38"/>
      <c r="N388" s="39"/>
      <c r="O388" s="40"/>
      <c r="P388" s="34"/>
      <c r="Q388" s="35"/>
      <c r="R388" s="35"/>
      <c r="S388" s="35"/>
      <c r="T388" s="35"/>
      <c r="U388" s="35"/>
      <c r="V388" s="35"/>
      <c r="W388" s="35"/>
      <c r="X388" s="35"/>
      <c r="Y388" s="35"/>
      <c r="Z388" s="35"/>
    </row>
    <row r="389" ht="14.25" customHeight="1">
      <c r="A389" s="83"/>
      <c r="B389" s="84"/>
      <c r="C389" s="108"/>
      <c r="D389" s="102"/>
      <c r="E389" s="117"/>
      <c r="F389" s="250"/>
      <c r="G389" s="250"/>
      <c r="H389" s="523"/>
      <c r="I389" s="36"/>
      <c r="J389" s="37"/>
      <c r="K389" s="38"/>
      <c r="L389" s="39"/>
      <c r="M389" s="38"/>
      <c r="N389" s="39"/>
      <c r="O389" s="40"/>
      <c r="P389" s="34"/>
      <c r="Q389" s="35"/>
      <c r="R389" s="35"/>
      <c r="S389" s="35"/>
      <c r="T389" s="35"/>
      <c r="U389" s="35"/>
      <c r="V389" s="35"/>
      <c r="W389" s="35"/>
      <c r="X389" s="35"/>
      <c r="Y389" s="35"/>
      <c r="Z389" s="35"/>
    </row>
    <row r="390" ht="14.25" customHeight="1">
      <c r="A390" s="83"/>
      <c r="B390" s="84"/>
      <c r="C390" s="108"/>
      <c r="D390" s="102"/>
      <c r="E390" s="117"/>
      <c r="F390" s="250"/>
      <c r="G390" s="250"/>
      <c r="H390" s="523"/>
      <c r="I390" s="36"/>
      <c r="J390" s="37"/>
      <c r="K390" s="38"/>
      <c r="L390" s="39"/>
      <c r="M390" s="38"/>
      <c r="N390" s="39"/>
      <c r="O390" s="40"/>
      <c r="P390" s="34"/>
      <c r="Q390" s="35"/>
      <c r="R390" s="35"/>
      <c r="S390" s="35"/>
      <c r="T390" s="35"/>
      <c r="U390" s="35"/>
      <c r="V390" s="35"/>
      <c r="W390" s="35"/>
      <c r="X390" s="35"/>
      <c r="Y390" s="35"/>
      <c r="Z390" s="35"/>
    </row>
    <row r="391" ht="14.25" customHeight="1">
      <c r="A391" s="83"/>
      <c r="B391" s="84"/>
      <c r="C391" s="108"/>
      <c r="D391" s="102"/>
      <c r="E391" s="117"/>
      <c r="F391" s="250"/>
      <c r="G391" s="250"/>
      <c r="H391" s="523"/>
      <c r="I391" s="36"/>
      <c r="J391" s="37"/>
      <c r="K391" s="38"/>
      <c r="L391" s="39"/>
      <c r="M391" s="38"/>
      <c r="N391" s="39"/>
      <c r="O391" s="40"/>
      <c r="P391" s="34"/>
      <c r="Q391" s="35"/>
      <c r="R391" s="35"/>
      <c r="S391" s="35"/>
      <c r="T391" s="35"/>
      <c r="U391" s="35"/>
      <c r="V391" s="35"/>
      <c r="W391" s="35"/>
      <c r="X391" s="35"/>
      <c r="Y391" s="35"/>
      <c r="Z391" s="35"/>
    </row>
    <row r="392" ht="14.25" customHeight="1">
      <c r="A392" s="83"/>
      <c r="B392" s="84"/>
      <c r="C392" s="108"/>
      <c r="D392" s="102"/>
      <c r="E392" s="117"/>
      <c r="F392" s="250"/>
      <c r="G392" s="250"/>
      <c r="H392" s="523"/>
      <c r="I392" s="36"/>
      <c r="J392" s="37"/>
      <c r="K392" s="38"/>
      <c r="L392" s="39"/>
      <c r="M392" s="38"/>
      <c r="N392" s="39"/>
      <c r="O392" s="40"/>
      <c r="P392" s="34"/>
      <c r="Q392" s="35"/>
      <c r="R392" s="35"/>
      <c r="S392" s="35"/>
      <c r="T392" s="35"/>
      <c r="U392" s="35"/>
      <c r="V392" s="35"/>
      <c r="W392" s="35"/>
      <c r="X392" s="35"/>
      <c r="Y392" s="35"/>
      <c r="Z392" s="35"/>
    </row>
    <row r="393" ht="14.25" customHeight="1">
      <c r="A393" s="83"/>
      <c r="B393" s="84"/>
      <c r="C393" s="108"/>
      <c r="D393" s="102"/>
      <c r="E393" s="117"/>
      <c r="F393" s="250"/>
      <c r="G393" s="250"/>
      <c r="H393" s="523"/>
      <c r="I393" s="36"/>
      <c r="J393" s="37"/>
      <c r="K393" s="38"/>
      <c r="L393" s="39"/>
      <c r="M393" s="38"/>
      <c r="N393" s="39"/>
      <c r="O393" s="40"/>
      <c r="P393" s="34"/>
      <c r="Q393" s="35"/>
      <c r="R393" s="35"/>
      <c r="S393" s="35"/>
      <c r="T393" s="35"/>
      <c r="U393" s="35"/>
      <c r="V393" s="35"/>
      <c r="W393" s="35"/>
      <c r="X393" s="35"/>
      <c r="Y393" s="35"/>
      <c r="Z393" s="35"/>
    </row>
    <row r="394" ht="14.25" customHeight="1">
      <c r="A394" s="83"/>
      <c r="B394" s="84"/>
      <c r="C394" s="108"/>
      <c r="D394" s="102"/>
      <c r="E394" s="117"/>
      <c r="F394" s="250"/>
      <c r="G394" s="250"/>
      <c r="H394" s="523"/>
      <c r="I394" s="36"/>
      <c r="J394" s="37"/>
      <c r="K394" s="38"/>
      <c r="L394" s="39"/>
      <c r="M394" s="38"/>
      <c r="N394" s="39"/>
      <c r="O394" s="40"/>
      <c r="P394" s="34"/>
      <c r="Q394" s="35"/>
      <c r="R394" s="35"/>
      <c r="S394" s="35"/>
      <c r="T394" s="35"/>
      <c r="U394" s="35"/>
      <c r="V394" s="35"/>
      <c r="W394" s="35"/>
      <c r="X394" s="35"/>
      <c r="Y394" s="35"/>
      <c r="Z394" s="35"/>
    </row>
    <row r="395" ht="14.25" customHeight="1">
      <c r="A395" s="83"/>
      <c r="B395" s="84"/>
      <c r="C395" s="108"/>
      <c r="D395" s="102"/>
      <c r="E395" s="117"/>
      <c r="F395" s="250"/>
      <c r="G395" s="250"/>
      <c r="H395" s="523"/>
      <c r="I395" s="36"/>
      <c r="J395" s="37"/>
      <c r="K395" s="38"/>
      <c r="L395" s="39"/>
      <c r="M395" s="38"/>
      <c r="N395" s="39"/>
      <c r="O395" s="40"/>
      <c r="P395" s="34"/>
      <c r="Q395" s="35"/>
      <c r="R395" s="35"/>
      <c r="S395" s="35"/>
      <c r="T395" s="35"/>
      <c r="U395" s="35"/>
      <c r="V395" s="35"/>
      <c r="W395" s="35"/>
      <c r="X395" s="35"/>
      <c r="Y395" s="35"/>
      <c r="Z395" s="35"/>
    </row>
    <row r="396" ht="14.25" customHeight="1">
      <c r="A396" s="83"/>
      <c r="B396" s="84"/>
      <c r="C396" s="108"/>
      <c r="D396" s="102"/>
      <c r="E396" s="117"/>
      <c r="F396" s="250"/>
      <c r="G396" s="250"/>
      <c r="H396" s="523"/>
      <c r="I396" s="36"/>
      <c r="J396" s="37"/>
      <c r="K396" s="38"/>
      <c r="L396" s="39"/>
      <c r="M396" s="38"/>
      <c r="N396" s="39"/>
      <c r="O396" s="40"/>
      <c r="P396" s="34"/>
      <c r="Q396" s="35"/>
      <c r="R396" s="35"/>
      <c r="S396" s="35"/>
      <c r="T396" s="35"/>
      <c r="U396" s="35"/>
      <c r="V396" s="35"/>
      <c r="W396" s="35"/>
      <c r="X396" s="35"/>
      <c r="Y396" s="35"/>
      <c r="Z396" s="35"/>
    </row>
    <row r="397" ht="14.25" customHeight="1">
      <c r="A397" s="83"/>
      <c r="B397" s="84"/>
      <c r="C397" s="108"/>
      <c r="D397" s="102"/>
      <c r="E397" s="117"/>
      <c r="F397" s="250"/>
      <c r="G397" s="250"/>
      <c r="H397" s="523"/>
      <c r="I397" s="36"/>
      <c r="J397" s="37"/>
      <c r="K397" s="38"/>
      <c r="L397" s="39"/>
      <c r="M397" s="38"/>
      <c r="N397" s="39"/>
      <c r="O397" s="40"/>
      <c r="P397" s="34"/>
      <c r="Q397" s="35"/>
      <c r="R397" s="35"/>
      <c r="S397" s="35"/>
      <c r="T397" s="35"/>
      <c r="U397" s="35"/>
      <c r="V397" s="35"/>
      <c r="W397" s="35"/>
      <c r="X397" s="35"/>
      <c r="Y397" s="35"/>
      <c r="Z397" s="35"/>
    </row>
    <row r="398" ht="14.25" customHeight="1">
      <c r="A398" s="83"/>
      <c r="B398" s="84"/>
      <c r="C398" s="108"/>
      <c r="D398" s="102"/>
      <c r="E398" s="117"/>
      <c r="F398" s="250"/>
      <c r="G398" s="250"/>
      <c r="H398" s="523"/>
      <c r="I398" s="36"/>
      <c r="J398" s="37"/>
      <c r="K398" s="38"/>
      <c r="L398" s="39"/>
      <c r="M398" s="38"/>
      <c r="N398" s="39"/>
      <c r="O398" s="40"/>
      <c r="P398" s="34"/>
      <c r="Q398" s="35"/>
      <c r="R398" s="35"/>
      <c r="S398" s="35"/>
      <c r="T398" s="35"/>
      <c r="U398" s="35"/>
      <c r="V398" s="35"/>
      <c r="W398" s="35"/>
      <c r="X398" s="35"/>
      <c r="Y398" s="35"/>
      <c r="Z398" s="35"/>
    </row>
    <row r="399" ht="14.25" customHeight="1">
      <c r="A399" s="83"/>
      <c r="B399" s="84"/>
      <c r="C399" s="108"/>
      <c r="D399" s="102"/>
      <c r="E399" s="117"/>
      <c r="F399" s="250"/>
      <c r="G399" s="250"/>
      <c r="H399" s="523"/>
      <c r="I399" s="36"/>
      <c r="J399" s="37"/>
      <c r="K399" s="38"/>
      <c r="L399" s="39"/>
      <c r="M399" s="38"/>
      <c r="N399" s="39"/>
      <c r="O399" s="40"/>
      <c r="P399" s="34"/>
      <c r="Q399" s="35"/>
      <c r="R399" s="35"/>
      <c r="S399" s="35"/>
      <c r="T399" s="35"/>
      <c r="U399" s="35"/>
      <c r="V399" s="35"/>
      <c r="W399" s="35"/>
      <c r="X399" s="35"/>
      <c r="Y399" s="35"/>
      <c r="Z399" s="35"/>
    </row>
    <row r="400" ht="14.25" customHeight="1">
      <c r="A400" s="83"/>
      <c r="B400" s="84"/>
      <c r="C400" s="108"/>
      <c r="D400" s="102"/>
      <c r="E400" s="117"/>
      <c r="F400" s="250"/>
      <c r="G400" s="250"/>
      <c r="H400" s="523"/>
      <c r="I400" s="36"/>
      <c r="J400" s="37"/>
      <c r="K400" s="38"/>
      <c r="L400" s="39"/>
      <c r="M400" s="38"/>
      <c r="N400" s="39"/>
      <c r="O400" s="40"/>
      <c r="P400" s="34"/>
      <c r="Q400" s="35"/>
      <c r="R400" s="35"/>
      <c r="S400" s="35"/>
      <c r="T400" s="35"/>
      <c r="U400" s="35"/>
      <c r="V400" s="35"/>
      <c r="W400" s="35"/>
      <c r="X400" s="35"/>
      <c r="Y400" s="35"/>
      <c r="Z400" s="35"/>
    </row>
    <row r="401" ht="14.25" customHeight="1">
      <c r="A401" s="83"/>
      <c r="B401" s="84"/>
      <c r="C401" s="108"/>
      <c r="D401" s="102"/>
      <c r="E401" s="117"/>
      <c r="F401" s="250"/>
      <c r="G401" s="250"/>
      <c r="H401" s="523"/>
      <c r="I401" s="36"/>
      <c r="J401" s="37"/>
      <c r="K401" s="38"/>
      <c r="L401" s="39"/>
      <c r="M401" s="38"/>
      <c r="N401" s="39"/>
      <c r="O401" s="40"/>
      <c r="P401" s="34"/>
      <c r="Q401" s="35"/>
      <c r="R401" s="35"/>
      <c r="S401" s="35"/>
      <c r="T401" s="35"/>
      <c r="U401" s="35"/>
      <c r="V401" s="35"/>
      <c r="W401" s="35"/>
      <c r="X401" s="35"/>
      <c r="Y401" s="35"/>
      <c r="Z401" s="35"/>
    </row>
    <row r="402" ht="14.25" customHeight="1">
      <c r="A402" s="83"/>
      <c r="B402" s="84"/>
      <c r="C402" s="108"/>
      <c r="D402" s="102"/>
      <c r="E402" s="117"/>
      <c r="F402" s="250"/>
      <c r="G402" s="250"/>
      <c r="H402" s="523"/>
      <c r="I402" s="36"/>
      <c r="J402" s="37"/>
      <c r="K402" s="38"/>
      <c r="L402" s="39"/>
      <c r="M402" s="38"/>
      <c r="N402" s="39"/>
      <c r="O402" s="40"/>
      <c r="P402" s="34"/>
      <c r="Q402" s="35"/>
      <c r="R402" s="35"/>
      <c r="S402" s="35"/>
      <c r="T402" s="35"/>
      <c r="U402" s="35"/>
      <c r="V402" s="35"/>
      <c r="W402" s="35"/>
      <c r="X402" s="35"/>
      <c r="Y402" s="35"/>
      <c r="Z402" s="35"/>
    </row>
    <row r="403" ht="14.25" customHeight="1">
      <c r="A403" s="83"/>
      <c r="B403" s="84"/>
      <c r="C403" s="108"/>
      <c r="D403" s="102"/>
      <c r="E403" s="117"/>
      <c r="F403" s="250"/>
      <c r="G403" s="250"/>
      <c r="H403" s="523"/>
      <c r="I403" s="36"/>
      <c r="J403" s="37"/>
      <c r="K403" s="38"/>
      <c r="L403" s="39"/>
      <c r="M403" s="38"/>
      <c r="N403" s="39"/>
      <c r="O403" s="40"/>
      <c r="P403" s="34"/>
      <c r="Q403" s="35"/>
      <c r="R403" s="35"/>
      <c r="S403" s="35"/>
      <c r="T403" s="35"/>
      <c r="U403" s="35"/>
      <c r="V403" s="35"/>
      <c r="W403" s="35"/>
      <c r="X403" s="35"/>
      <c r="Y403" s="35"/>
      <c r="Z403" s="35"/>
    </row>
    <row r="404" ht="14.25" customHeight="1">
      <c r="A404" s="83"/>
      <c r="B404" s="84"/>
      <c r="C404" s="108"/>
      <c r="D404" s="102"/>
      <c r="E404" s="117"/>
      <c r="F404" s="250"/>
      <c r="G404" s="250"/>
      <c r="H404" s="523"/>
      <c r="I404" s="36"/>
      <c r="J404" s="37"/>
      <c r="K404" s="38"/>
      <c r="L404" s="39"/>
      <c r="M404" s="38"/>
      <c r="N404" s="39"/>
      <c r="O404" s="40"/>
      <c r="P404" s="34"/>
      <c r="Q404" s="35"/>
      <c r="R404" s="35"/>
      <c r="S404" s="35"/>
      <c r="T404" s="35"/>
      <c r="U404" s="35"/>
      <c r="V404" s="35"/>
      <c r="W404" s="35"/>
      <c r="X404" s="35"/>
      <c r="Y404" s="35"/>
      <c r="Z404" s="35"/>
    </row>
    <row r="405" ht="14.25" customHeight="1">
      <c r="A405" s="83"/>
      <c r="B405" s="84"/>
      <c r="C405" s="108"/>
      <c r="D405" s="102"/>
      <c r="E405" s="117"/>
      <c r="F405" s="250"/>
      <c r="G405" s="250"/>
      <c r="H405" s="523"/>
      <c r="I405" s="36"/>
      <c r="J405" s="37"/>
      <c r="K405" s="38"/>
      <c r="L405" s="39"/>
      <c r="M405" s="38"/>
      <c r="N405" s="39"/>
      <c r="O405" s="40"/>
      <c r="P405" s="34"/>
      <c r="Q405" s="35"/>
      <c r="R405" s="35"/>
      <c r="S405" s="35"/>
      <c r="T405" s="35"/>
      <c r="U405" s="35"/>
      <c r="V405" s="35"/>
      <c r="W405" s="35"/>
      <c r="X405" s="35"/>
      <c r="Y405" s="35"/>
      <c r="Z405" s="35"/>
    </row>
    <row r="406" ht="14.25" customHeight="1">
      <c r="A406" s="83"/>
      <c r="B406" s="84"/>
      <c r="C406" s="108"/>
      <c r="D406" s="102"/>
      <c r="E406" s="117"/>
      <c r="F406" s="250"/>
      <c r="G406" s="250"/>
      <c r="H406" s="523"/>
      <c r="I406" s="36"/>
      <c r="J406" s="37"/>
      <c r="K406" s="38"/>
      <c r="L406" s="39"/>
      <c r="M406" s="38"/>
      <c r="N406" s="39"/>
      <c r="O406" s="40"/>
      <c r="P406" s="34"/>
      <c r="Q406" s="35"/>
      <c r="R406" s="35"/>
      <c r="S406" s="35"/>
      <c r="T406" s="35"/>
      <c r="U406" s="35"/>
      <c r="V406" s="35"/>
      <c r="W406" s="35"/>
      <c r="X406" s="35"/>
      <c r="Y406" s="35"/>
      <c r="Z406" s="35"/>
    </row>
    <row r="407" ht="14.25" customHeight="1">
      <c r="A407" s="83"/>
      <c r="B407" s="84"/>
      <c r="C407" s="108"/>
      <c r="D407" s="102"/>
      <c r="E407" s="117"/>
      <c r="F407" s="250"/>
      <c r="G407" s="250"/>
      <c r="H407" s="523"/>
      <c r="I407" s="36"/>
      <c r="J407" s="37"/>
      <c r="K407" s="38"/>
      <c r="L407" s="39"/>
      <c r="M407" s="38"/>
      <c r="N407" s="39"/>
      <c r="O407" s="40"/>
      <c r="P407" s="34"/>
      <c r="Q407" s="35"/>
      <c r="R407" s="35"/>
      <c r="S407" s="35"/>
      <c r="T407" s="35"/>
      <c r="U407" s="35"/>
      <c r="V407" s="35"/>
      <c r="W407" s="35"/>
      <c r="X407" s="35"/>
      <c r="Y407" s="35"/>
      <c r="Z407" s="35"/>
    </row>
    <row r="408" ht="14.25" customHeight="1">
      <c r="A408" s="83"/>
      <c r="B408" s="84"/>
      <c r="C408" s="108"/>
      <c r="D408" s="102"/>
      <c r="E408" s="117"/>
      <c r="F408" s="250"/>
      <c r="G408" s="250"/>
      <c r="H408" s="523"/>
      <c r="I408" s="36"/>
      <c r="J408" s="37"/>
      <c r="K408" s="38"/>
      <c r="L408" s="39"/>
      <c r="M408" s="38"/>
      <c r="N408" s="39"/>
      <c r="O408" s="40"/>
      <c r="P408" s="34"/>
      <c r="Q408" s="35"/>
      <c r="R408" s="35"/>
      <c r="S408" s="35"/>
      <c r="T408" s="35"/>
      <c r="U408" s="35"/>
      <c r="V408" s="35"/>
      <c r="W408" s="35"/>
      <c r="X408" s="35"/>
      <c r="Y408" s="35"/>
      <c r="Z408" s="35"/>
    </row>
    <row r="409" ht="14.25" customHeight="1">
      <c r="A409" s="83"/>
      <c r="B409" s="84"/>
      <c r="C409" s="108"/>
      <c r="D409" s="102"/>
      <c r="E409" s="117"/>
      <c r="F409" s="250"/>
      <c r="G409" s="250"/>
      <c r="H409" s="523"/>
      <c r="I409" s="36"/>
      <c r="J409" s="37"/>
      <c r="K409" s="38"/>
      <c r="L409" s="39"/>
      <c r="M409" s="38"/>
      <c r="N409" s="39"/>
      <c r="O409" s="40"/>
      <c r="P409" s="34"/>
      <c r="Q409" s="35"/>
      <c r="R409" s="35"/>
      <c r="S409" s="35"/>
      <c r="T409" s="35"/>
      <c r="U409" s="35"/>
      <c r="V409" s="35"/>
      <c r="W409" s="35"/>
      <c r="X409" s="35"/>
      <c r="Y409" s="35"/>
      <c r="Z409" s="35"/>
    </row>
    <row r="410" ht="14.25" customHeight="1">
      <c r="A410" s="83"/>
      <c r="B410" s="84"/>
      <c r="C410" s="108"/>
      <c r="D410" s="102"/>
      <c r="E410" s="117"/>
      <c r="F410" s="250"/>
      <c r="G410" s="250"/>
      <c r="H410" s="523"/>
      <c r="I410" s="36"/>
      <c r="J410" s="37"/>
      <c r="K410" s="38"/>
      <c r="L410" s="39"/>
      <c r="M410" s="38"/>
      <c r="N410" s="39"/>
      <c r="O410" s="40"/>
      <c r="P410" s="34"/>
      <c r="Q410" s="35"/>
      <c r="R410" s="35"/>
      <c r="S410" s="35"/>
      <c r="T410" s="35"/>
      <c r="U410" s="35"/>
      <c r="V410" s="35"/>
      <c r="W410" s="35"/>
      <c r="X410" s="35"/>
      <c r="Y410" s="35"/>
      <c r="Z410" s="35"/>
    </row>
    <row r="411" ht="14.25" customHeight="1">
      <c r="A411" s="83"/>
      <c r="B411" s="84"/>
      <c r="C411" s="108"/>
      <c r="D411" s="102"/>
      <c r="E411" s="117"/>
      <c r="F411" s="250"/>
      <c r="G411" s="250"/>
      <c r="H411" s="523"/>
      <c r="I411" s="36"/>
      <c r="J411" s="37"/>
      <c r="K411" s="38"/>
      <c r="L411" s="39"/>
      <c r="M411" s="38"/>
      <c r="N411" s="39"/>
      <c r="O411" s="40"/>
      <c r="P411" s="34"/>
      <c r="Q411" s="35"/>
      <c r="R411" s="35"/>
      <c r="S411" s="35"/>
      <c r="T411" s="35"/>
      <c r="U411" s="35"/>
      <c r="V411" s="35"/>
      <c r="W411" s="35"/>
      <c r="X411" s="35"/>
      <c r="Y411" s="35"/>
      <c r="Z411" s="35"/>
    </row>
    <row r="412" ht="14.25" customHeight="1">
      <c r="A412" s="83"/>
      <c r="B412" s="84"/>
      <c r="C412" s="108"/>
      <c r="D412" s="102"/>
      <c r="E412" s="117"/>
      <c r="F412" s="250"/>
      <c r="G412" s="250"/>
      <c r="H412" s="523"/>
      <c r="I412" s="36"/>
      <c r="J412" s="37"/>
      <c r="K412" s="38"/>
      <c r="L412" s="39"/>
      <c r="M412" s="38"/>
      <c r="N412" s="39"/>
      <c r="O412" s="40"/>
      <c r="P412" s="34"/>
      <c r="Q412" s="35"/>
      <c r="R412" s="35"/>
      <c r="S412" s="35"/>
      <c r="T412" s="35"/>
      <c r="U412" s="35"/>
      <c r="V412" s="35"/>
      <c r="W412" s="35"/>
      <c r="X412" s="35"/>
      <c r="Y412" s="35"/>
      <c r="Z412" s="35"/>
    </row>
    <row r="413" ht="14.25" customHeight="1">
      <c r="A413" s="83"/>
      <c r="B413" s="84"/>
      <c r="C413" s="108"/>
      <c r="D413" s="102"/>
      <c r="E413" s="117"/>
      <c r="F413" s="250"/>
      <c r="G413" s="250"/>
      <c r="H413" s="523"/>
      <c r="I413" s="36"/>
      <c r="J413" s="37"/>
      <c r="K413" s="38"/>
      <c r="L413" s="39"/>
      <c r="M413" s="38"/>
      <c r="N413" s="39"/>
      <c r="O413" s="40"/>
      <c r="P413" s="34"/>
      <c r="Q413" s="35"/>
      <c r="R413" s="35"/>
      <c r="S413" s="35"/>
      <c r="T413" s="35"/>
      <c r="U413" s="35"/>
      <c r="V413" s="35"/>
      <c r="W413" s="35"/>
      <c r="X413" s="35"/>
      <c r="Y413" s="35"/>
      <c r="Z413" s="35"/>
    </row>
    <row r="414" ht="14.25" customHeight="1">
      <c r="A414" s="83"/>
      <c r="B414" s="84"/>
      <c r="C414" s="108"/>
      <c r="D414" s="102"/>
      <c r="E414" s="117"/>
      <c r="F414" s="250"/>
      <c r="G414" s="250"/>
      <c r="H414" s="523"/>
      <c r="I414" s="36"/>
      <c r="J414" s="37"/>
      <c r="K414" s="38"/>
      <c r="L414" s="39"/>
      <c r="M414" s="38"/>
      <c r="N414" s="39"/>
      <c r="O414" s="40"/>
      <c r="P414" s="34"/>
      <c r="Q414" s="35"/>
      <c r="R414" s="35"/>
      <c r="S414" s="35"/>
      <c r="T414" s="35"/>
      <c r="U414" s="35"/>
      <c r="V414" s="35"/>
      <c r="W414" s="35"/>
      <c r="X414" s="35"/>
      <c r="Y414" s="35"/>
      <c r="Z414" s="35"/>
    </row>
    <row r="415" ht="14.25" customHeight="1">
      <c r="A415" s="83"/>
      <c r="B415" s="84"/>
      <c r="C415" s="108"/>
      <c r="D415" s="102"/>
      <c r="E415" s="117"/>
      <c r="F415" s="250"/>
      <c r="G415" s="250"/>
      <c r="H415" s="523"/>
      <c r="I415" s="36"/>
      <c r="J415" s="37"/>
      <c r="K415" s="38"/>
      <c r="L415" s="39"/>
      <c r="M415" s="38"/>
      <c r="N415" s="39"/>
      <c r="O415" s="40"/>
      <c r="P415" s="34"/>
      <c r="Q415" s="35"/>
      <c r="R415" s="35"/>
      <c r="S415" s="35"/>
      <c r="T415" s="35"/>
      <c r="U415" s="35"/>
      <c r="V415" s="35"/>
      <c r="W415" s="35"/>
      <c r="X415" s="35"/>
      <c r="Y415" s="35"/>
      <c r="Z415" s="35"/>
    </row>
    <row r="416" ht="14.25" customHeight="1">
      <c r="A416" s="83"/>
      <c r="B416" s="84"/>
      <c r="C416" s="108"/>
      <c r="D416" s="102"/>
      <c r="E416" s="117"/>
      <c r="F416" s="250"/>
      <c r="G416" s="250"/>
      <c r="H416" s="523"/>
      <c r="I416" s="36"/>
      <c r="J416" s="37"/>
      <c r="K416" s="38"/>
      <c r="L416" s="39"/>
      <c r="M416" s="38"/>
      <c r="N416" s="39"/>
      <c r="O416" s="40"/>
      <c r="P416" s="34"/>
      <c r="Q416" s="35"/>
      <c r="R416" s="35"/>
      <c r="S416" s="35"/>
      <c r="T416" s="35"/>
      <c r="U416" s="35"/>
      <c r="V416" s="35"/>
      <c r="W416" s="35"/>
      <c r="X416" s="35"/>
      <c r="Y416" s="35"/>
      <c r="Z416" s="35"/>
    </row>
    <row r="417" ht="14.25" customHeight="1">
      <c r="A417" s="83"/>
      <c r="B417" s="84"/>
      <c r="C417" s="108"/>
      <c r="D417" s="102"/>
      <c r="E417" s="117"/>
      <c r="F417" s="250"/>
      <c r="G417" s="250"/>
      <c r="H417" s="523"/>
      <c r="I417" s="36"/>
      <c r="J417" s="37"/>
      <c r="K417" s="38"/>
      <c r="L417" s="39"/>
      <c r="M417" s="38"/>
      <c r="N417" s="39"/>
      <c r="O417" s="40"/>
      <c r="P417" s="34"/>
      <c r="Q417" s="35"/>
      <c r="R417" s="35"/>
      <c r="S417" s="35"/>
      <c r="T417" s="35"/>
      <c r="U417" s="35"/>
      <c r="V417" s="35"/>
      <c r="W417" s="35"/>
      <c r="X417" s="35"/>
      <c r="Y417" s="35"/>
      <c r="Z417" s="35"/>
    </row>
    <row r="418" ht="14.25" customHeight="1">
      <c r="A418" s="83"/>
      <c r="B418" s="84"/>
      <c r="C418" s="108"/>
      <c r="D418" s="102"/>
      <c r="E418" s="117"/>
      <c r="F418" s="250"/>
      <c r="G418" s="250"/>
      <c r="H418" s="523"/>
      <c r="I418" s="36"/>
      <c r="J418" s="37"/>
      <c r="K418" s="38"/>
      <c r="L418" s="39"/>
      <c r="M418" s="38"/>
      <c r="N418" s="39"/>
      <c r="O418" s="40"/>
      <c r="P418" s="34"/>
      <c r="Q418" s="35"/>
      <c r="R418" s="35"/>
      <c r="S418" s="35"/>
      <c r="T418" s="35"/>
      <c r="U418" s="35"/>
      <c r="V418" s="35"/>
      <c r="W418" s="35"/>
      <c r="X418" s="35"/>
      <c r="Y418" s="35"/>
      <c r="Z418" s="35"/>
    </row>
    <row r="419" ht="14.25" customHeight="1">
      <c r="A419" s="83"/>
      <c r="B419" s="84"/>
      <c r="C419" s="108"/>
      <c r="D419" s="102"/>
      <c r="E419" s="117"/>
      <c r="F419" s="250"/>
      <c r="G419" s="250"/>
      <c r="H419" s="523"/>
      <c r="I419" s="36"/>
      <c r="J419" s="37"/>
      <c r="K419" s="38"/>
      <c r="L419" s="39"/>
      <c r="M419" s="38"/>
      <c r="N419" s="39"/>
      <c r="O419" s="40"/>
      <c r="P419" s="34"/>
      <c r="Q419" s="35"/>
      <c r="R419" s="35"/>
      <c r="S419" s="35"/>
      <c r="T419" s="35"/>
      <c r="U419" s="35"/>
      <c r="V419" s="35"/>
      <c r="W419" s="35"/>
      <c r="X419" s="35"/>
      <c r="Y419" s="35"/>
      <c r="Z419" s="35"/>
    </row>
    <row r="420" ht="14.25" customHeight="1">
      <c r="A420" s="83"/>
      <c r="B420" s="84"/>
      <c r="C420" s="108"/>
      <c r="D420" s="102"/>
      <c r="E420" s="117"/>
      <c r="F420" s="250"/>
      <c r="G420" s="250"/>
      <c r="H420" s="523"/>
      <c r="I420" s="36"/>
      <c r="J420" s="37"/>
      <c r="K420" s="38"/>
      <c r="L420" s="39"/>
      <c r="M420" s="38"/>
      <c r="N420" s="39"/>
      <c r="O420" s="40"/>
      <c r="P420" s="34"/>
      <c r="Q420" s="35"/>
      <c r="R420" s="35"/>
      <c r="S420" s="35"/>
      <c r="T420" s="35"/>
      <c r="U420" s="35"/>
      <c r="V420" s="35"/>
      <c r="W420" s="35"/>
      <c r="X420" s="35"/>
      <c r="Y420" s="35"/>
      <c r="Z420" s="35"/>
    </row>
    <row r="421" ht="14.25" customHeight="1">
      <c r="A421" s="83"/>
      <c r="B421" s="84"/>
      <c r="C421" s="108"/>
      <c r="D421" s="102"/>
      <c r="E421" s="117"/>
      <c r="F421" s="250"/>
      <c r="G421" s="250"/>
      <c r="H421" s="523"/>
      <c r="I421" s="36"/>
      <c r="J421" s="37"/>
      <c r="K421" s="38"/>
      <c r="L421" s="39"/>
      <c r="M421" s="38"/>
      <c r="N421" s="39"/>
      <c r="O421" s="40"/>
      <c r="P421" s="34"/>
      <c r="Q421" s="35"/>
      <c r="R421" s="35"/>
      <c r="S421" s="35"/>
      <c r="T421" s="35"/>
      <c r="U421" s="35"/>
      <c r="V421" s="35"/>
      <c r="W421" s="35"/>
      <c r="X421" s="35"/>
      <c r="Y421" s="35"/>
      <c r="Z421" s="35"/>
    </row>
    <row r="422" ht="14.25" customHeight="1">
      <c r="A422" s="83"/>
      <c r="B422" s="84"/>
      <c r="C422" s="108"/>
      <c r="D422" s="102"/>
      <c r="E422" s="117"/>
      <c r="F422" s="250"/>
      <c r="G422" s="250"/>
      <c r="H422" s="523"/>
      <c r="I422" s="36"/>
      <c r="J422" s="37"/>
      <c r="K422" s="38"/>
      <c r="L422" s="39"/>
      <c r="M422" s="38"/>
      <c r="N422" s="39"/>
      <c r="O422" s="40"/>
      <c r="P422" s="34"/>
      <c r="Q422" s="35"/>
      <c r="R422" s="35"/>
      <c r="S422" s="35"/>
      <c r="T422" s="35"/>
      <c r="U422" s="35"/>
      <c r="V422" s="35"/>
      <c r="W422" s="35"/>
      <c r="X422" s="35"/>
      <c r="Y422" s="35"/>
      <c r="Z422" s="35"/>
    </row>
    <row r="423" ht="14.25" customHeight="1">
      <c r="A423" s="83"/>
      <c r="B423" s="84"/>
      <c r="C423" s="108"/>
      <c r="D423" s="102"/>
      <c r="E423" s="117"/>
      <c r="F423" s="250"/>
      <c r="G423" s="250"/>
      <c r="H423" s="523"/>
      <c r="I423" s="36"/>
      <c r="J423" s="37"/>
      <c r="K423" s="38"/>
      <c r="L423" s="39"/>
      <c r="M423" s="38"/>
      <c r="N423" s="39"/>
      <c r="O423" s="40"/>
      <c r="P423" s="34"/>
      <c r="Q423" s="35"/>
      <c r="R423" s="35"/>
      <c r="S423" s="35"/>
      <c r="T423" s="35"/>
      <c r="U423" s="35"/>
      <c r="V423" s="35"/>
      <c r="W423" s="35"/>
      <c r="X423" s="35"/>
      <c r="Y423" s="35"/>
      <c r="Z423" s="35"/>
    </row>
    <row r="424" ht="14.25" customHeight="1">
      <c r="A424" s="83"/>
      <c r="B424" s="84"/>
      <c r="C424" s="108"/>
      <c r="D424" s="102"/>
      <c r="E424" s="117"/>
      <c r="F424" s="250"/>
      <c r="G424" s="250"/>
      <c r="H424" s="523"/>
      <c r="I424" s="36"/>
      <c r="J424" s="37"/>
      <c r="K424" s="38"/>
      <c r="L424" s="39"/>
      <c r="M424" s="38"/>
      <c r="N424" s="39"/>
      <c r="O424" s="40"/>
      <c r="P424" s="34"/>
      <c r="Q424" s="35"/>
      <c r="R424" s="35"/>
      <c r="S424" s="35"/>
      <c r="T424" s="35"/>
      <c r="U424" s="35"/>
      <c r="V424" s="35"/>
      <c r="W424" s="35"/>
      <c r="X424" s="35"/>
      <c r="Y424" s="35"/>
      <c r="Z424" s="35"/>
    </row>
    <row r="425" ht="14.25" customHeight="1">
      <c r="A425" s="83"/>
      <c r="B425" s="84"/>
      <c r="C425" s="108"/>
      <c r="D425" s="102"/>
      <c r="E425" s="117"/>
      <c r="F425" s="250"/>
      <c r="G425" s="250"/>
      <c r="H425" s="523"/>
      <c r="I425" s="36"/>
      <c r="J425" s="37"/>
      <c r="K425" s="38"/>
      <c r="L425" s="39"/>
      <c r="M425" s="38"/>
      <c r="N425" s="39"/>
      <c r="O425" s="40"/>
      <c r="P425" s="34"/>
      <c r="Q425" s="35"/>
      <c r="R425" s="35"/>
      <c r="S425" s="35"/>
      <c r="T425" s="35"/>
      <c r="U425" s="35"/>
      <c r="V425" s="35"/>
      <c r="W425" s="35"/>
      <c r="X425" s="35"/>
      <c r="Y425" s="35"/>
      <c r="Z425" s="35"/>
    </row>
    <row r="426" ht="14.25" customHeight="1">
      <c r="A426" s="83"/>
      <c r="B426" s="84"/>
      <c r="C426" s="108"/>
      <c r="D426" s="102"/>
      <c r="E426" s="117"/>
      <c r="F426" s="250"/>
      <c r="G426" s="250"/>
      <c r="H426" s="523"/>
      <c r="I426" s="36"/>
      <c r="J426" s="37"/>
      <c r="K426" s="38"/>
      <c r="L426" s="39"/>
      <c r="M426" s="38"/>
      <c r="N426" s="39"/>
      <c r="O426" s="40"/>
      <c r="P426" s="34"/>
      <c r="Q426" s="35"/>
      <c r="R426" s="35"/>
      <c r="S426" s="35"/>
      <c r="T426" s="35"/>
      <c r="U426" s="35"/>
      <c r="V426" s="35"/>
      <c r="W426" s="35"/>
      <c r="X426" s="35"/>
      <c r="Y426" s="35"/>
      <c r="Z426" s="35"/>
    </row>
    <row r="427" ht="14.25" customHeight="1">
      <c r="A427" s="83"/>
      <c r="B427" s="84"/>
      <c r="C427" s="108"/>
      <c r="D427" s="102"/>
      <c r="E427" s="117"/>
      <c r="F427" s="250"/>
      <c r="G427" s="250"/>
      <c r="H427" s="523"/>
      <c r="I427" s="36"/>
      <c r="J427" s="37"/>
      <c r="K427" s="38"/>
      <c r="L427" s="39"/>
      <c r="M427" s="38"/>
      <c r="N427" s="39"/>
      <c r="O427" s="40"/>
      <c r="P427" s="34"/>
      <c r="Q427" s="35"/>
      <c r="R427" s="35"/>
      <c r="S427" s="35"/>
      <c r="T427" s="35"/>
      <c r="U427" s="35"/>
      <c r="V427" s="35"/>
      <c r="W427" s="35"/>
      <c r="X427" s="35"/>
      <c r="Y427" s="35"/>
      <c r="Z427" s="35"/>
    </row>
    <row r="428" ht="14.25" customHeight="1">
      <c r="A428" s="83"/>
      <c r="B428" s="84"/>
      <c r="C428" s="108"/>
      <c r="D428" s="102"/>
      <c r="E428" s="117"/>
      <c r="F428" s="250"/>
      <c r="G428" s="250"/>
      <c r="H428" s="523"/>
      <c r="I428" s="36"/>
      <c r="J428" s="37"/>
      <c r="K428" s="38"/>
      <c r="L428" s="39"/>
      <c r="M428" s="38"/>
      <c r="N428" s="39"/>
      <c r="O428" s="40"/>
      <c r="P428" s="34"/>
      <c r="Q428" s="35"/>
      <c r="R428" s="35"/>
      <c r="S428" s="35"/>
      <c r="T428" s="35"/>
      <c r="U428" s="35"/>
      <c r="V428" s="35"/>
      <c r="W428" s="35"/>
      <c r="X428" s="35"/>
      <c r="Y428" s="35"/>
      <c r="Z428" s="35"/>
    </row>
    <row r="429" ht="14.25" customHeight="1">
      <c r="A429" s="83"/>
      <c r="B429" s="84"/>
      <c r="C429" s="108"/>
      <c r="D429" s="102"/>
      <c r="E429" s="117"/>
      <c r="F429" s="250"/>
      <c r="G429" s="250"/>
      <c r="H429" s="523"/>
      <c r="I429" s="36"/>
      <c r="J429" s="37"/>
      <c r="K429" s="38"/>
      <c r="L429" s="39"/>
      <c r="M429" s="38"/>
      <c r="N429" s="39"/>
      <c r="O429" s="40"/>
      <c r="P429" s="34"/>
      <c r="Q429" s="35"/>
      <c r="R429" s="35"/>
      <c r="S429" s="35"/>
      <c r="T429" s="35"/>
      <c r="U429" s="35"/>
      <c r="V429" s="35"/>
      <c r="W429" s="35"/>
      <c r="X429" s="35"/>
      <c r="Y429" s="35"/>
      <c r="Z429" s="35"/>
    </row>
    <row r="430" ht="14.25" customHeight="1">
      <c r="A430" s="83"/>
      <c r="B430" s="84"/>
      <c r="C430" s="108"/>
      <c r="D430" s="102"/>
      <c r="E430" s="117"/>
      <c r="F430" s="250"/>
      <c r="G430" s="250"/>
      <c r="H430" s="523"/>
      <c r="I430" s="36"/>
      <c r="J430" s="37"/>
      <c r="K430" s="38"/>
      <c r="L430" s="39"/>
      <c r="M430" s="38"/>
      <c r="N430" s="39"/>
      <c r="O430" s="40"/>
      <c r="P430" s="34"/>
      <c r="Q430" s="35"/>
      <c r="R430" s="35"/>
      <c r="S430" s="35"/>
      <c r="T430" s="35"/>
      <c r="U430" s="35"/>
      <c r="V430" s="35"/>
      <c r="W430" s="35"/>
      <c r="X430" s="35"/>
      <c r="Y430" s="35"/>
      <c r="Z430" s="35"/>
    </row>
    <row r="431" ht="14.25" customHeight="1">
      <c r="A431" s="83"/>
      <c r="B431" s="84"/>
      <c r="C431" s="108"/>
      <c r="D431" s="102"/>
      <c r="E431" s="117"/>
      <c r="F431" s="250"/>
      <c r="G431" s="250"/>
      <c r="H431" s="523"/>
      <c r="I431" s="36"/>
      <c r="J431" s="37"/>
      <c r="K431" s="38"/>
      <c r="L431" s="39"/>
      <c r="M431" s="38"/>
      <c r="N431" s="39"/>
      <c r="O431" s="40"/>
      <c r="P431" s="34"/>
      <c r="Q431" s="35"/>
      <c r="R431" s="35"/>
      <c r="S431" s="35"/>
      <c r="T431" s="35"/>
      <c r="U431" s="35"/>
      <c r="V431" s="35"/>
      <c r="W431" s="35"/>
      <c r="X431" s="35"/>
      <c r="Y431" s="35"/>
      <c r="Z431" s="35"/>
    </row>
    <row r="432" ht="14.25" customHeight="1">
      <c r="A432" s="83"/>
      <c r="B432" s="84"/>
      <c r="C432" s="108"/>
      <c r="D432" s="102"/>
      <c r="E432" s="117"/>
      <c r="F432" s="250"/>
      <c r="G432" s="250"/>
      <c r="H432" s="523"/>
      <c r="I432" s="36"/>
      <c r="J432" s="37"/>
      <c r="K432" s="38"/>
      <c r="L432" s="39"/>
      <c r="M432" s="38"/>
      <c r="N432" s="39"/>
      <c r="O432" s="40"/>
      <c r="P432" s="34"/>
      <c r="Q432" s="35"/>
      <c r="R432" s="35"/>
      <c r="S432" s="35"/>
      <c r="T432" s="35"/>
      <c r="U432" s="35"/>
      <c r="V432" s="35"/>
      <c r="W432" s="35"/>
      <c r="X432" s="35"/>
      <c r="Y432" s="35"/>
      <c r="Z432" s="35"/>
    </row>
    <row r="433" ht="14.25" customHeight="1">
      <c r="A433" s="83"/>
      <c r="B433" s="84"/>
      <c r="C433" s="108"/>
      <c r="D433" s="102"/>
      <c r="E433" s="117"/>
      <c r="F433" s="250"/>
      <c r="G433" s="250"/>
      <c r="H433" s="523"/>
      <c r="I433" s="36"/>
      <c r="J433" s="37"/>
      <c r="K433" s="38"/>
      <c r="L433" s="39"/>
      <c r="M433" s="38"/>
      <c r="N433" s="39"/>
      <c r="O433" s="40"/>
      <c r="P433" s="34"/>
      <c r="Q433" s="35"/>
      <c r="R433" s="35"/>
      <c r="S433" s="35"/>
      <c r="T433" s="35"/>
      <c r="U433" s="35"/>
      <c r="V433" s="35"/>
      <c r="W433" s="35"/>
      <c r="X433" s="35"/>
      <c r="Y433" s="35"/>
      <c r="Z433" s="35"/>
    </row>
    <row r="434" ht="14.25" customHeight="1">
      <c r="A434" s="83"/>
      <c r="B434" s="84"/>
      <c r="C434" s="108"/>
      <c r="D434" s="102"/>
      <c r="E434" s="117"/>
      <c r="F434" s="250"/>
      <c r="G434" s="250"/>
      <c r="H434" s="523"/>
      <c r="I434" s="36"/>
      <c r="J434" s="37"/>
      <c r="K434" s="38"/>
      <c r="L434" s="39"/>
      <c r="M434" s="38"/>
      <c r="N434" s="39"/>
      <c r="O434" s="40"/>
      <c r="P434" s="34"/>
      <c r="Q434" s="35"/>
      <c r="R434" s="35"/>
      <c r="S434" s="35"/>
      <c r="T434" s="35"/>
      <c r="U434" s="35"/>
      <c r="V434" s="35"/>
      <c r="W434" s="35"/>
      <c r="X434" s="35"/>
      <c r="Y434" s="35"/>
      <c r="Z434" s="35"/>
    </row>
    <row r="435" ht="14.25" customHeight="1">
      <c r="A435" s="83"/>
      <c r="B435" s="84"/>
      <c r="C435" s="108"/>
      <c r="D435" s="102"/>
      <c r="E435" s="117"/>
      <c r="F435" s="250"/>
      <c r="G435" s="250"/>
      <c r="H435" s="523"/>
      <c r="I435" s="36"/>
      <c r="J435" s="37"/>
      <c r="K435" s="38"/>
      <c r="L435" s="39"/>
      <c r="M435" s="38"/>
      <c r="N435" s="39"/>
      <c r="O435" s="40"/>
      <c r="P435" s="34"/>
      <c r="Q435" s="35"/>
      <c r="R435" s="35"/>
      <c r="S435" s="35"/>
      <c r="T435" s="35"/>
      <c r="U435" s="35"/>
      <c r="V435" s="35"/>
      <c r="W435" s="35"/>
      <c r="X435" s="35"/>
      <c r="Y435" s="35"/>
      <c r="Z435" s="35"/>
    </row>
    <row r="436" ht="14.25" customHeight="1">
      <c r="A436" s="83"/>
      <c r="B436" s="84"/>
      <c r="C436" s="108"/>
      <c r="D436" s="102"/>
      <c r="E436" s="117"/>
      <c r="F436" s="250"/>
      <c r="G436" s="250"/>
      <c r="H436" s="523"/>
      <c r="I436" s="36"/>
      <c r="J436" s="37"/>
      <c r="K436" s="38"/>
      <c r="L436" s="39"/>
      <c r="M436" s="38"/>
      <c r="N436" s="39"/>
      <c r="O436" s="40"/>
      <c r="P436" s="34"/>
      <c r="Q436" s="35"/>
      <c r="R436" s="35"/>
      <c r="S436" s="35"/>
      <c r="T436" s="35"/>
      <c r="U436" s="35"/>
      <c r="V436" s="35"/>
      <c r="W436" s="35"/>
      <c r="X436" s="35"/>
      <c r="Y436" s="35"/>
      <c r="Z436" s="35"/>
    </row>
    <row r="437" ht="14.25" customHeight="1">
      <c r="A437" s="83"/>
      <c r="B437" s="84"/>
      <c r="C437" s="108"/>
      <c r="D437" s="102"/>
      <c r="E437" s="117"/>
      <c r="F437" s="250"/>
      <c r="G437" s="250"/>
      <c r="H437" s="523"/>
      <c r="I437" s="36"/>
      <c r="J437" s="37"/>
      <c r="K437" s="38"/>
      <c r="L437" s="39"/>
      <c r="M437" s="38"/>
      <c r="N437" s="39"/>
      <c r="O437" s="40"/>
      <c r="P437" s="34"/>
      <c r="Q437" s="35"/>
      <c r="R437" s="35"/>
      <c r="S437" s="35"/>
      <c r="T437" s="35"/>
      <c r="U437" s="35"/>
      <c r="V437" s="35"/>
      <c r="W437" s="35"/>
      <c r="X437" s="35"/>
      <c r="Y437" s="35"/>
      <c r="Z437" s="35"/>
    </row>
    <row r="438" ht="14.25" customHeight="1">
      <c r="A438" s="83"/>
      <c r="B438" s="84"/>
      <c r="C438" s="108"/>
      <c r="D438" s="102"/>
      <c r="E438" s="117"/>
      <c r="F438" s="250"/>
      <c r="G438" s="250"/>
      <c r="H438" s="523"/>
      <c r="I438" s="36"/>
      <c r="J438" s="37"/>
      <c r="K438" s="38"/>
      <c r="L438" s="39"/>
      <c r="M438" s="38"/>
      <c r="N438" s="39"/>
      <c r="O438" s="40"/>
      <c r="P438" s="34"/>
      <c r="Q438" s="35"/>
      <c r="R438" s="35"/>
      <c r="S438" s="35"/>
      <c r="T438" s="35"/>
      <c r="U438" s="35"/>
      <c r="V438" s="35"/>
      <c r="W438" s="35"/>
      <c r="X438" s="35"/>
      <c r="Y438" s="35"/>
      <c r="Z438" s="35"/>
    </row>
    <row r="439" ht="14.25" customHeight="1">
      <c r="A439" s="83"/>
      <c r="B439" s="84"/>
      <c r="C439" s="108"/>
      <c r="D439" s="102"/>
      <c r="E439" s="117"/>
      <c r="F439" s="250"/>
      <c r="G439" s="250"/>
      <c r="H439" s="523"/>
      <c r="I439" s="36"/>
      <c r="J439" s="37"/>
      <c r="K439" s="38"/>
      <c r="L439" s="39"/>
      <c r="M439" s="38"/>
      <c r="N439" s="39"/>
      <c r="O439" s="40"/>
      <c r="P439" s="34"/>
      <c r="Q439" s="35"/>
      <c r="R439" s="35"/>
      <c r="S439" s="35"/>
      <c r="T439" s="35"/>
      <c r="U439" s="35"/>
      <c r="V439" s="35"/>
      <c r="W439" s="35"/>
      <c r="X439" s="35"/>
      <c r="Y439" s="35"/>
      <c r="Z439" s="35"/>
    </row>
    <row r="440" ht="14.25" customHeight="1">
      <c r="A440" s="83"/>
      <c r="B440" s="84"/>
      <c r="C440" s="108"/>
      <c r="D440" s="102"/>
      <c r="E440" s="117"/>
      <c r="F440" s="250"/>
      <c r="G440" s="250"/>
      <c r="H440" s="523"/>
      <c r="I440" s="36"/>
      <c r="J440" s="37"/>
      <c r="K440" s="38"/>
      <c r="L440" s="39"/>
      <c r="M440" s="38"/>
      <c r="N440" s="39"/>
      <c r="O440" s="40"/>
      <c r="P440" s="34"/>
      <c r="Q440" s="35"/>
      <c r="R440" s="35"/>
      <c r="S440" s="35"/>
      <c r="T440" s="35"/>
      <c r="U440" s="35"/>
      <c r="V440" s="35"/>
      <c r="W440" s="35"/>
      <c r="X440" s="35"/>
      <c r="Y440" s="35"/>
      <c r="Z440" s="35"/>
    </row>
    <row r="441" ht="14.25" customHeight="1">
      <c r="A441" s="83"/>
      <c r="B441" s="84"/>
      <c r="C441" s="108"/>
      <c r="D441" s="102"/>
      <c r="E441" s="117"/>
      <c r="F441" s="250"/>
      <c r="G441" s="250"/>
      <c r="H441" s="523"/>
      <c r="I441" s="36"/>
      <c r="J441" s="37"/>
      <c r="K441" s="38"/>
      <c r="L441" s="39"/>
      <c r="M441" s="38"/>
      <c r="N441" s="39"/>
      <c r="O441" s="40"/>
      <c r="P441" s="34"/>
      <c r="Q441" s="35"/>
      <c r="R441" s="35"/>
      <c r="S441" s="35"/>
      <c r="T441" s="35"/>
      <c r="U441" s="35"/>
      <c r="V441" s="35"/>
      <c r="W441" s="35"/>
      <c r="X441" s="35"/>
      <c r="Y441" s="35"/>
      <c r="Z441" s="35"/>
    </row>
    <row r="442" ht="14.25" customHeight="1">
      <c r="A442" s="83"/>
      <c r="B442" s="84"/>
      <c r="C442" s="108"/>
      <c r="D442" s="102"/>
      <c r="E442" s="117"/>
      <c r="F442" s="250"/>
      <c r="G442" s="250"/>
      <c r="H442" s="523"/>
      <c r="I442" s="36"/>
      <c r="J442" s="37"/>
      <c r="K442" s="38"/>
      <c r="L442" s="39"/>
      <c r="M442" s="38"/>
      <c r="N442" s="39"/>
      <c r="O442" s="40"/>
      <c r="P442" s="34"/>
      <c r="Q442" s="35"/>
      <c r="R442" s="35"/>
      <c r="S442" s="35"/>
      <c r="T442" s="35"/>
      <c r="U442" s="35"/>
      <c r="V442" s="35"/>
      <c r="W442" s="35"/>
      <c r="X442" s="35"/>
      <c r="Y442" s="35"/>
      <c r="Z442" s="35"/>
    </row>
    <row r="443" ht="14.25" customHeight="1">
      <c r="A443" s="83"/>
      <c r="B443" s="84"/>
      <c r="C443" s="108"/>
      <c r="D443" s="102"/>
      <c r="E443" s="117"/>
      <c r="F443" s="250"/>
      <c r="G443" s="250"/>
      <c r="H443" s="523"/>
      <c r="I443" s="36"/>
      <c r="J443" s="37"/>
      <c r="K443" s="38"/>
      <c r="L443" s="39"/>
      <c r="M443" s="38"/>
      <c r="N443" s="39"/>
      <c r="O443" s="40"/>
      <c r="P443" s="34"/>
      <c r="Q443" s="35"/>
      <c r="R443" s="35"/>
      <c r="S443" s="35"/>
      <c r="T443" s="35"/>
      <c r="U443" s="35"/>
      <c r="V443" s="35"/>
      <c r="W443" s="35"/>
      <c r="X443" s="35"/>
      <c r="Y443" s="35"/>
      <c r="Z443" s="35"/>
    </row>
    <row r="444" ht="14.25" customHeight="1">
      <c r="A444" s="83"/>
      <c r="B444" s="84"/>
      <c r="C444" s="108"/>
      <c r="D444" s="102"/>
      <c r="E444" s="117"/>
      <c r="F444" s="250"/>
      <c r="G444" s="250"/>
      <c r="H444" s="523"/>
      <c r="I444" s="36"/>
      <c r="J444" s="37"/>
      <c r="K444" s="38"/>
      <c r="L444" s="39"/>
      <c r="M444" s="38"/>
      <c r="N444" s="39"/>
      <c r="O444" s="40"/>
      <c r="P444" s="34"/>
      <c r="Q444" s="35"/>
      <c r="R444" s="35"/>
      <c r="S444" s="35"/>
      <c r="T444" s="35"/>
      <c r="U444" s="35"/>
      <c r="V444" s="35"/>
      <c r="W444" s="35"/>
      <c r="X444" s="35"/>
      <c r="Y444" s="35"/>
      <c r="Z444" s="35"/>
    </row>
    <row r="445" ht="14.25" customHeight="1">
      <c r="A445" s="83"/>
      <c r="B445" s="84"/>
      <c r="C445" s="108"/>
      <c r="D445" s="102"/>
      <c r="E445" s="117"/>
      <c r="F445" s="250"/>
      <c r="G445" s="250"/>
      <c r="H445" s="523"/>
      <c r="I445" s="36"/>
      <c r="J445" s="37"/>
      <c r="K445" s="38"/>
      <c r="L445" s="39"/>
      <c r="M445" s="38"/>
      <c r="N445" s="39"/>
      <c r="O445" s="40"/>
      <c r="P445" s="34"/>
      <c r="Q445" s="35"/>
      <c r="R445" s="35"/>
      <c r="S445" s="35"/>
      <c r="T445" s="35"/>
      <c r="U445" s="35"/>
      <c r="V445" s="35"/>
      <c r="W445" s="35"/>
      <c r="X445" s="35"/>
      <c r="Y445" s="35"/>
      <c r="Z445" s="35"/>
    </row>
    <row r="446" ht="14.25" customHeight="1">
      <c r="A446" s="83"/>
      <c r="B446" s="84"/>
      <c r="C446" s="108"/>
      <c r="D446" s="102"/>
      <c r="E446" s="117"/>
      <c r="F446" s="250"/>
      <c r="G446" s="250"/>
      <c r="H446" s="523"/>
      <c r="I446" s="36"/>
      <c r="J446" s="37"/>
      <c r="K446" s="38"/>
      <c r="L446" s="39"/>
      <c r="M446" s="38"/>
      <c r="N446" s="39"/>
      <c r="O446" s="40"/>
      <c r="P446" s="34"/>
      <c r="Q446" s="35"/>
      <c r="R446" s="35"/>
      <c r="S446" s="35"/>
      <c r="T446" s="35"/>
      <c r="U446" s="35"/>
      <c r="V446" s="35"/>
      <c r="W446" s="35"/>
      <c r="X446" s="35"/>
      <c r="Y446" s="35"/>
      <c r="Z446" s="35"/>
    </row>
    <row r="447" ht="14.25" customHeight="1">
      <c r="A447" s="83"/>
      <c r="B447" s="84"/>
      <c r="C447" s="108"/>
      <c r="D447" s="102"/>
      <c r="E447" s="117"/>
      <c r="F447" s="250"/>
      <c r="G447" s="250"/>
      <c r="H447" s="523"/>
      <c r="I447" s="36"/>
      <c r="J447" s="37"/>
      <c r="K447" s="38"/>
      <c r="L447" s="39"/>
      <c r="M447" s="38"/>
      <c r="N447" s="39"/>
      <c r="O447" s="40"/>
      <c r="P447" s="34"/>
      <c r="Q447" s="35"/>
      <c r="R447" s="35"/>
      <c r="S447" s="35"/>
      <c r="T447" s="35"/>
      <c r="U447" s="35"/>
      <c r="V447" s="35"/>
      <c r="W447" s="35"/>
      <c r="X447" s="35"/>
      <c r="Y447" s="35"/>
      <c r="Z447" s="35"/>
    </row>
    <row r="448" ht="14.25" customHeight="1">
      <c r="A448" s="83"/>
      <c r="B448" s="84"/>
      <c r="C448" s="108"/>
      <c r="D448" s="102"/>
      <c r="E448" s="117"/>
      <c r="F448" s="250"/>
      <c r="G448" s="250"/>
      <c r="H448" s="523"/>
      <c r="I448" s="36"/>
      <c r="J448" s="37"/>
      <c r="K448" s="38"/>
      <c r="L448" s="39"/>
      <c r="M448" s="38"/>
      <c r="N448" s="39"/>
      <c r="O448" s="40"/>
      <c r="P448" s="34"/>
      <c r="Q448" s="35"/>
      <c r="R448" s="35"/>
      <c r="S448" s="35"/>
      <c r="T448" s="35"/>
      <c r="U448" s="35"/>
      <c r="V448" s="35"/>
      <c r="W448" s="35"/>
      <c r="X448" s="35"/>
      <c r="Y448" s="35"/>
      <c r="Z448" s="35"/>
    </row>
    <row r="449" ht="14.25" customHeight="1">
      <c r="A449" s="83"/>
      <c r="B449" s="84"/>
      <c r="C449" s="108"/>
      <c r="D449" s="102"/>
      <c r="E449" s="117"/>
      <c r="F449" s="250"/>
      <c r="G449" s="250"/>
      <c r="H449" s="523"/>
      <c r="I449" s="36"/>
      <c r="J449" s="37"/>
      <c r="K449" s="38"/>
      <c r="L449" s="39"/>
      <c r="M449" s="38"/>
      <c r="N449" s="39"/>
      <c r="O449" s="40"/>
      <c r="P449" s="34"/>
      <c r="Q449" s="35"/>
      <c r="R449" s="35"/>
      <c r="S449" s="35"/>
      <c r="T449" s="35"/>
      <c r="U449" s="35"/>
      <c r="V449" s="35"/>
      <c r="W449" s="35"/>
      <c r="X449" s="35"/>
      <c r="Y449" s="35"/>
      <c r="Z449" s="35"/>
    </row>
    <row r="450" ht="14.25" customHeight="1">
      <c r="A450" s="83"/>
      <c r="B450" s="84"/>
      <c r="C450" s="108"/>
      <c r="D450" s="102"/>
      <c r="E450" s="117"/>
      <c r="F450" s="250"/>
      <c r="G450" s="250"/>
      <c r="H450" s="523"/>
      <c r="I450" s="36"/>
      <c r="J450" s="37"/>
      <c r="K450" s="38"/>
      <c r="L450" s="39"/>
      <c r="M450" s="38"/>
      <c r="N450" s="39"/>
      <c r="O450" s="40"/>
      <c r="P450" s="34"/>
      <c r="Q450" s="35"/>
      <c r="R450" s="35"/>
      <c r="S450" s="35"/>
      <c r="T450" s="35"/>
      <c r="U450" s="35"/>
      <c r="V450" s="35"/>
      <c r="W450" s="35"/>
      <c r="X450" s="35"/>
      <c r="Y450" s="35"/>
      <c r="Z450" s="35"/>
    </row>
    <row r="451" ht="14.25" customHeight="1">
      <c r="A451" s="83"/>
      <c r="B451" s="84"/>
      <c r="C451" s="108"/>
      <c r="D451" s="102"/>
      <c r="E451" s="117"/>
      <c r="F451" s="250"/>
      <c r="G451" s="250"/>
      <c r="H451" s="523"/>
      <c r="I451" s="36"/>
      <c r="J451" s="37"/>
      <c r="K451" s="38"/>
      <c r="L451" s="39"/>
      <c r="M451" s="38"/>
      <c r="N451" s="39"/>
      <c r="O451" s="40"/>
      <c r="P451" s="34"/>
      <c r="Q451" s="35"/>
      <c r="R451" s="35"/>
      <c r="S451" s="35"/>
      <c r="T451" s="35"/>
      <c r="U451" s="35"/>
      <c r="V451" s="35"/>
      <c r="W451" s="35"/>
      <c r="X451" s="35"/>
      <c r="Y451" s="35"/>
      <c r="Z451" s="35"/>
    </row>
    <row r="452" ht="14.25" customHeight="1">
      <c r="A452" s="83"/>
      <c r="B452" s="84"/>
      <c r="C452" s="108"/>
      <c r="D452" s="102"/>
      <c r="E452" s="117"/>
      <c r="F452" s="250"/>
      <c r="G452" s="250"/>
      <c r="H452" s="523"/>
      <c r="I452" s="36"/>
      <c r="J452" s="37"/>
      <c r="K452" s="38"/>
      <c r="L452" s="39"/>
      <c r="M452" s="38"/>
      <c r="N452" s="39"/>
      <c r="O452" s="40"/>
      <c r="P452" s="34"/>
      <c r="Q452" s="35"/>
      <c r="R452" s="35"/>
      <c r="S452" s="35"/>
      <c r="T452" s="35"/>
      <c r="U452" s="35"/>
      <c r="V452" s="35"/>
      <c r="W452" s="35"/>
      <c r="X452" s="35"/>
      <c r="Y452" s="35"/>
      <c r="Z452" s="35"/>
    </row>
    <row r="453" ht="14.25" customHeight="1">
      <c r="A453" s="83"/>
      <c r="B453" s="84"/>
      <c r="C453" s="108"/>
      <c r="D453" s="102"/>
      <c r="E453" s="117"/>
      <c r="F453" s="250"/>
      <c r="G453" s="250"/>
      <c r="H453" s="523"/>
      <c r="I453" s="36"/>
      <c r="J453" s="37"/>
      <c r="K453" s="38"/>
      <c r="L453" s="39"/>
      <c r="M453" s="38"/>
      <c r="N453" s="39"/>
      <c r="O453" s="40"/>
      <c r="P453" s="34"/>
      <c r="Q453" s="35"/>
      <c r="R453" s="35"/>
      <c r="S453" s="35"/>
      <c r="T453" s="35"/>
      <c r="U453" s="35"/>
      <c r="V453" s="35"/>
      <c r="W453" s="35"/>
      <c r="X453" s="35"/>
      <c r="Y453" s="35"/>
      <c r="Z453" s="35"/>
    </row>
    <row r="454" ht="14.25" customHeight="1">
      <c r="A454" s="83"/>
      <c r="B454" s="84"/>
      <c r="C454" s="108"/>
      <c r="D454" s="102"/>
      <c r="E454" s="117"/>
      <c r="F454" s="250"/>
      <c r="G454" s="250"/>
      <c r="H454" s="523"/>
      <c r="I454" s="36"/>
      <c r="J454" s="37"/>
      <c r="K454" s="38"/>
      <c r="L454" s="39"/>
      <c r="M454" s="38"/>
      <c r="N454" s="39"/>
      <c r="O454" s="40"/>
      <c r="P454" s="34"/>
      <c r="Q454" s="35"/>
      <c r="R454" s="35"/>
      <c r="S454" s="35"/>
      <c r="T454" s="35"/>
      <c r="U454" s="35"/>
      <c r="V454" s="35"/>
      <c r="W454" s="35"/>
      <c r="X454" s="35"/>
      <c r="Y454" s="35"/>
      <c r="Z454" s="35"/>
    </row>
    <row r="455" ht="14.25" customHeight="1">
      <c r="A455" s="83"/>
      <c r="B455" s="84"/>
      <c r="C455" s="108"/>
      <c r="D455" s="102"/>
      <c r="E455" s="117"/>
      <c r="F455" s="250"/>
      <c r="G455" s="250"/>
      <c r="H455" s="523"/>
      <c r="I455" s="36"/>
      <c r="J455" s="37"/>
      <c r="K455" s="38"/>
      <c r="L455" s="39"/>
      <c r="M455" s="38"/>
      <c r="N455" s="39"/>
      <c r="O455" s="40"/>
      <c r="P455" s="34"/>
      <c r="Q455" s="35"/>
      <c r="R455" s="35"/>
      <c r="S455" s="35"/>
      <c r="T455" s="35"/>
      <c r="U455" s="35"/>
      <c r="V455" s="35"/>
      <c r="W455" s="35"/>
      <c r="X455" s="35"/>
      <c r="Y455" s="35"/>
      <c r="Z455" s="35"/>
    </row>
    <row r="456" ht="14.25" customHeight="1">
      <c r="A456" s="83"/>
      <c r="B456" s="84"/>
      <c r="C456" s="108"/>
      <c r="D456" s="102"/>
      <c r="E456" s="117"/>
      <c r="F456" s="250"/>
      <c r="G456" s="250"/>
      <c r="H456" s="523"/>
      <c r="I456" s="36"/>
      <c r="J456" s="37"/>
      <c r="K456" s="38"/>
      <c r="L456" s="39"/>
      <c r="M456" s="38"/>
      <c r="N456" s="39"/>
      <c r="O456" s="40"/>
      <c r="P456" s="34"/>
      <c r="Q456" s="35"/>
      <c r="R456" s="35"/>
      <c r="S456" s="35"/>
      <c r="T456" s="35"/>
      <c r="U456" s="35"/>
      <c r="V456" s="35"/>
      <c r="W456" s="35"/>
      <c r="X456" s="35"/>
      <c r="Y456" s="35"/>
      <c r="Z456" s="35"/>
    </row>
    <row r="457" ht="14.25" customHeight="1">
      <c r="A457" s="83"/>
      <c r="B457" s="84"/>
      <c r="C457" s="108"/>
      <c r="D457" s="102"/>
      <c r="E457" s="117"/>
      <c r="F457" s="250"/>
      <c r="G457" s="250"/>
      <c r="H457" s="523"/>
      <c r="I457" s="36"/>
      <c r="J457" s="37"/>
      <c r="K457" s="38"/>
      <c r="L457" s="39"/>
      <c r="M457" s="38"/>
      <c r="N457" s="39"/>
      <c r="O457" s="40"/>
      <c r="P457" s="34"/>
      <c r="Q457" s="35"/>
      <c r="R457" s="35"/>
      <c r="S457" s="35"/>
      <c r="T457" s="35"/>
      <c r="U457" s="35"/>
      <c r="V457" s="35"/>
      <c r="W457" s="35"/>
      <c r="X457" s="35"/>
      <c r="Y457" s="35"/>
      <c r="Z457" s="35"/>
    </row>
    <row r="458" ht="14.25" customHeight="1">
      <c r="A458" s="83"/>
      <c r="B458" s="84"/>
      <c r="C458" s="108"/>
      <c r="D458" s="102"/>
      <c r="E458" s="117"/>
      <c r="F458" s="250"/>
      <c r="G458" s="250"/>
      <c r="H458" s="523"/>
      <c r="I458" s="36"/>
      <c r="J458" s="37"/>
      <c r="K458" s="38"/>
      <c r="L458" s="39"/>
      <c r="M458" s="38"/>
      <c r="N458" s="39"/>
      <c r="O458" s="40"/>
      <c r="P458" s="34"/>
      <c r="Q458" s="35"/>
      <c r="R458" s="35"/>
      <c r="S458" s="35"/>
      <c r="T458" s="35"/>
      <c r="U458" s="35"/>
      <c r="V458" s="35"/>
      <c r="W458" s="35"/>
      <c r="X458" s="35"/>
      <c r="Y458" s="35"/>
      <c r="Z458" s="35"/>
    </row>
    <row r="459" ht="14.25" customHeight="1">
      <c r="A459" s="83"/>
      <c r="B459" s="84"/>
      <c r="C459" s="108"/>
      <c r="D459" s="102"/>
      <c r="E459" s="117"/>
      <c r="F459" s="250"/>
      <c r="G459" s="250"/>
      <c r="H459" s="523"/>
      <c r="I459" s="36"/>
      <c r="J459" s="37"/>
      <c r="K459" s="38"/>
      <c r="L459" s="39"/>
      <c r="M459" s="38"/>
      <c r="N459" s="39"/>
      <c r="O459" s="40"/>
      <c r="P459" s="34"/>
      <c r="Q459" s="35"/>
      <c r="R459" s="35"/>
      <c r="S459" s="35"/>
      <c r="T459" s="35"/>
      <c r="U459" s="35"/>
      <c r="V459" s="35"/>
      <c r="W459" s="35"/>
      <c r="X459" s="35"/>
      <c r="Y459" s="35"/>
      <c r="Z459" s="35"/>
    </row>
    <row r="460" ht="14.25" customHeight="1">
      <c r="A460" s="83"/>
      <c r="B460" s="84"/>
      <c r="C460" s="108"/>
      <c r="D460" s="102"/>
      <c r="E460" s="117"/>
      <c r="F460" s="250"/>
      <c r="G460" s="250"/>
      <c r="H460" s="523"/>
      <c r="I460" s="36"/>
      <c r="J460" s="37"/>
      <c r="K460" s="38"/>
      <c r="L460" s="39"/>
      <c r="M460" s="38"/>
      <c r="N460" s="39"/>
      <c r="O460" s="40"/>
      <c r="P460" s="34"/>
      <c r="Q460" s="35"/>
      <c r="R460" s="35"/>
      <c r="S460" s="35"/>
      <c r="T460" s="35"/>
      <c r="U460" s="35"/>
      <c r="V460" s="35"/>
      <c r="W460" s="35"/>
      <c r="X460" s="35"/>
      <c r="Y460" s="35"/>
      <c r="Z460" s="35"/>
    </row>
    <row r="461" ht="14.25" customHeight="1">
      <c r="A461" s="83"/>
      <c r="B461" s="84"/>
      <c r="C461" s="108"/>
      <c r="D461" s="102"/>
      <c r="E461" s="117"/>
      <c r="F461" s="250"/>
      <c r="G461" s="250"/>
      <c r="H461" s="523"/>
      <c r="I461" s="36"/>
      <c r="J461" s="37"/>
      <c r="K461" s="38"/>
      <c r="L461" s="39"/>
      <c r="M461" s="38"/>
      <c r="N461" s="39"/>
      <c r="O461" s="40"/>
      <c r="P461" s="34"/>
      <c r="Q461" s="35"/>
      <c r="R461" s="35"/>
      <c r="S461" s="35"/>
      <c r="T461" s="35"/>
      <c r="U461" s="35"/>
      <c r="V461" s="35"/>
      <c r="W461" s="35"/>
      <c r="X461" s="35"/>
      <c r="Y461" s="35"/>
      <c r="Z461" s="35"/>
    </row>
    <row r="462" ht="14.25" customHeight="1">
      <c r="A462" s="83"/>
      <c r="B462" s="84"/>
      <c r="C462" s="108"/>
      <c r="D462" s="102"/>
      <c r="E462" s="117"/>
      <c r="F462" s="250"/>
      <c r="G462" s="250"/>
      <c r="H462" s="523"/>
      <c r="I462" s="36"/>
      <c r="J462" s="37"/>
      <c r="K462" s="38"/>
      <c r="L462" s="39"/>
      <c r="M462" s="38"/>
      <c r="N462" s="39"/>
      <c r="O462" s="40"/>
      <c r="P462" s="34"/>
      <c r="Q462" s="35"/>
      <c r="R462" s="35"/>
      <c r="S462" s="35"/>
      <c r="T462" s="35"/>
      <c r="U462" s="35"/>
      <c r="V462" s="35"/>
      <c r="W462" s="35"/>
      <c r="X462" s="35"/>
      <c r="Y462" s="35"/>
      <c r="Z462" s="35"/>
    </row>
    <row r="463" ht="14.25" customHeight="1">
      <c r="A463" s="83"/>
      <c r="B463" s="84"/>
      <c r="C463" s="108"/>
      <c r="D463" s="102"/>
      <c r="E463" s="117"/>
      <c r="F463" s="250"/>
      <c r="G463" s="250"/>
      <c r="H463" s="523"/>
      <c r="I463" s="36"/>
      <c r="J463" s="37"/>
      <c r="K463" s="38"/>
      <c r="L463" s="39"/>
      <c r="M463" s="38"/>
      <c r="N463" s="39"/>
      <c r="O463" s="40"/>
      <c r="P463" s="34"/>
      <c r="Q463" s="35"/>
      <c r="R463" s="35"/>
      <c r="S463" s="35"/>
      <c r="T463" s="35"/>
      <c r="U463" s="35"/>
      <c r="V463" s="35"/>
      <c r="W463" s="35"/>
      <c r="X463" s="35"/>
      <c r="Y463" s="35"/>
      <c r="Z463" s="35"/>
    </row>
    <row r="464" ht="14.25" customHeight="1">
      <c r="A464" s="83"/>
      <c r="B464" s="84"/>
      <c r="C464" s="108"/>
      <c r="D464" s="102"/>
      <c r="E464" s="117"/>
      <c r="F464" s="250"/>
      <c r="G464" s="250"/>
      <c r="H464" s="523"/>
      <c r="I464" s="36"/>
      <c r="J464" s="37"/>
      <c r="K464" s="38"/>
      <c r="L464" s="39"/>
      <c r="M464" s="38"/>
      <c r="N464" s="39"/>
      <c r="O464" s="40"/>
      <c r="P464" s="34"/>
      <c r="Q464" s="35"/>
      <c r="R464" s="35"/>
      <c r="S464" s="35"/>
      <c r="T464" s="35"/>
      <c r="U464" s="35"/>
      <c r="V464" s="35"/>
      <c r="W464" s="35"/>
      <c r="X464" s="35"/>
      <c r="Y464" s="35"/>
      <c r="Z464" s="35"/>
    </row>
    <row r="465" ht="14.25" customHeight="1">
      <c r="A465" s="83"/>
      <c r="B465" s="84"/>
      <c r="C465" s="108"/>
      <c r="D465" s="102"/>
      <c r="E465" s="117"/>
      <c r="F465" s="250"/>
      <c r="G465" s="250"/>
      <c r="H465" s="523"/>
      <c r="I465" s="36"/>
      <c r="J465" s="37"/>
      <c r="K465" s="38"/>
      <c r="L465" s="39"/>
      <c r="M465" s="38"/>
      <c r="N465" s="39"/>
      <c r="O465" s="40"/>
      <c r="P465" s="34"/>
      <c r="Q465" s="35"/>
      <c r="R465" s="35"/>
      <c r="S465" s="35"/>
      <c r="T465" s="35"/>
      <c r="U465" s="35"/>
      <c r="V465" s="35"/>
      <c r="W465" s="35"/>
      <c r="X465" s="35"/>
      <c r="Y465" s="35"/>
      <c r="Z465" s="35"/>
    </row>
    <row r="466" ht="14.25" customHeight="1">
      <c r="A466" s="83"/>
      <c r="B466" s="84"/>
      <c r="C466" s="108"/>
      <c r="D466" s="102"/>
      <c r="E466" s="117"/>
      <c r="F466" s="250"/>
      <c r="G466" s="250"/>
      <c r="H466" s="523"/>
      <c r="I466" s="36"/>
      <c r="J466" s="37"/>
      <c r="K466" s="38"/>
      <c r="L466" s="39"/>
      <c r="M466" s="38"/>
      <c r="N466" s="39"/>
      <c r="O466" s="40"/>
      <c r="P466" s="34"/>
      <c r="Q466" s="35"/>
      <c r="R466" s="35"/>
      <c r="S466" s="35"/>
      <c r="T466" s="35"/>
      <c r="U466" s="35"/>
      <c r="V466" s="35"/>
      <c r="W466" s="35"/>
      <c r="X466" s="35"/>
      <c r="Y466" s="35"/>
      <c r="Z466" s="35"/>
    </row>
    <row r="467" ht="14.25" customHeight="1">
      <c r="A467" s="83"/>
      <c r="B467" s="84"/>
      <c r="C467" s="108"/>
      <c r="D467" s="102"/>
      <c r="E467" s="117"/>
      <c r="F467" s="250"/>
      <c r="G467" s="250"/>
      <c r="H467" s="523"/>
      <c r="I467" s="36"/>
      <c r="J467" s="37"/>
      <c r="K467" s="38"/>
      <c r="L467" s="39"/>
      <c r="M467" s="38"/>
      <c r="N467" s="39"/>
      <c r="O467" s="40"/>
      <c r="P467" s="34"/>
      <c r="Q467" s="35"/>
      <c r="R467" s="35"/>
      <c r="S467" s="35"/>
      <c r="T467" s="35"/>
      <c r="U467" s="35"/>
      <c r="V467" s="35"/>
      <c r="W467" s="35"/>
      <c r="X467" s="35"/>
      <c r="Y467" s="35"/>
      <c r="Z467" s="35"/>
    </row>
    <row r="468" ht="14.25" customHeight="1">
      <c r="A468" s="83"/>
      <c r="B468" s="84"/>
      <c r="C468" s="108"/>
      <c r="D468" s="102"/>
      <c r="E468" s="117"/>
      <c r="F468" s="250"/>
      <c r="G468" s="250"/>
      <c r="H468" s="523"/>
      <c r="I468" s="36"/>
      <c r="J468" s="37"/>
      <c r="K468" s="38"/>
      <c r="L468" s="39"/>
      <c r="M468" s="38"/>
      <c r="N468" s="39"/>
      <c r="O468" s="40"/>
      <c r="P468" s="34"/>
      <c r="Q468" s="35"/>
      <c r="R468" s="35"/>
      <c r="S468" s="35"/>
      <c r="T468" s="35"/>
      <c r="U468" s="35"/>
      <c r="V468" s="35"/>
      <c r="W468" s="35"/>
      <c r="X468" s="35"/>
      <c r="Y468" s="35"/>
      <c r="Z468" s="35"/>
    </row>
    <row r="469" ht="14.25" customHeight="1">
      <c r="A469" s="83"/>
      <c r="B469" s="84"/>
      <c r="C469" s="108"/>
      <c r="D469" s="102"/>
      <c r="E469" s="117"/>
      <c r="F469" s="250"/>
      <c r="G469" s="250"/>
      <c r="H469" s="523"/>
      <c r="I469" s="36"/>
      <c r="J469" s="37"/>
      <c r="K469" s="38"/>
      <c r="L469" s="39"/>
      <c r="M469" s="38"/>
      <c r="N469" s="39"/>
      <c r="O469" s="40"/>
      <c r="P469" s="34"/>
      <c r="Q469" s="35"/>
      <c r="R469" s="35"/>
      <c r="S469" s="35"/>
      <c r="T469" s="35"/>
      <c r="U469" s="35"/>
      <c r="V469" s="35"/>
      <c r="W469" s="35"/>
      <c r="X469" s="35"/>
      <c r="Y469" s="35"/>
      <c r="Z469" s="35"/>
    </row>
    <row r="470" ht="14.25" customHeight="1">
      <c r="A470" s="83"/>
      <c r="B470" s="84"/>
      <c r="C470" s="108"/>
      <c r="D470" s="102"/>
      <c r="E470" s="117"/>
      <c r="F470" s="250"/>
      <c r="G470" s="250"/>
      <c r="H470" s="523"/>
      <c r="I470" s="36"/>
      <c r="J470" s="37"/>
      <c r="K470" s="38"/>
      <c r="L470" s="39"/>
      <c r="M470" s="38"/>
      <c r="N470" s="39"/>
      <c r="O470" s="40"/>
      <c r="P470" s="34"/>
      <c r="Q470" s="35"/>
      <c r="R470" s="35"/>
      <c r="S470" s="35"/>
      <c r="T470" s="35"/>
      <c r="U470" s="35"/>
      <c r="V470" s="35"/>
      <c r="W470" s="35"/>
      <c r="X470" s="35"/>
      <c r="Y470" s="35"/>
      <c r="Z470" s="35"/>
    </row>
    <row r="471" ht="14.25" customHeight="1">
      <c r="A471" s="83"/>
      <c r="B471" s="84"/>
      <c r="C471" s="108"/>
      <c r="D471" s="102"/>
      <c r="E471" s="117"/>
      <c r="F471" s="250"/>
      <c r="G471" s="250"/>
      <c r="H471" s="523"/>
      <c r="I471" s="36"/>
      <c r="J471" s="37"/>
      <c r="K471" s="38"/>
      <c r="L471" s="39"/>
      <c r="M471" s="38"/>
      <c r="N471" s="39"/>
      <c r="O471" s="40"/>
      <c r="P471" s="34"/>
      <c r="Q471" s="35"/>
      <c r="R471" s="35"/>
      <c r="S471" s="35"/>
      <c r="T471" s="35"/>
      <c r="U471" s="35"/>
      <c r="V471" s="35"/>
      <c r="W471" s="35"/>
      <c r="X471" s="35"/>
      <c r="Y471" s="35"/>
      <c r="Z471" s="35"/>
    </row>
    <row r="472" ht="14.25" customHeight="1">
      <c r="A472" s="83"/>
      <c r="B472" s="84"/>
      <c r="C472" s="108"/>
      <c r="D472" s="102"/>
      <c r="E472" s="117"/>
      <c r="F472" s="250"/>
      <c r="G472" s="250"/>
      <c r="H472" s="523"/>
      <c r="I472" s="36"/>
      <c r="J472" s="37"/>
      <c r="K472" s="38"/>
      <c r="L472" s="39"/>
      <c r="M472" s="38"/>
      <c r="N472" s="39"/>
      <c r="O472" s="40"/>
      <c r="P472" s="34"/>
      <c r="Q472" s="35"/>
      <c r="R472" s="35"/>
      <c r="S472" s="35"/>
      <c r="T472" s="35"/>
      <c r="U472" s="35"/>
      <c r="V472" s="35"/>
      <c r="W472" s="35"/>
      <c r="X472" s="35"/>
      <c r="Y472" s="35"/>
      <c r="Z472" s="35"/>
    </row>
    <row r="473" ht="14.25" customHeight="1">
      <c r="A473" s="83"/>
      <c r="B473" s="84"/>
      <c r="C473" s="108"/>
      <c r="D473" s="102"/>
      <c r="E473" s="117"/>
      <c r="F473" s="250"/>
      <c r="G473" s="250"/>
      <c r="H473" s="523"/>
      <c r="I473" s="36"/>
      <c r="J473" s="37"/>
      <c r="K473" s="38"/>
      <c r="L473" s="39"/>
      <c r="M473" s="38"/>
      <c r="N473" s="39"/>
      <c r="O473" s="40"/>
      <c r="P473" s="34"/>
      <c r="Q473" s="35"/>
      <c r="R473" s="35"/>
      <c r="S473" s="35"/>
      <c r="T473" s="35"/>
      <c r="U473" s="35"/>
      <c r="V473" s="35"/>
      <c r="W473" s="35"/>
      <c r="X473" s="35"/>
      <c r="Y473" s="35"/>
      <c r="Z473" s="35"/>
    </row>
    <row r="474" ht="14.25" customHeight="1">
      <c r="A474" s="83"/>
      <c r="B474" s="84"/>
      <c r="C474" s="108"/>
      <c r="D474" s="102"/>
      <c r="E474" s="117"/>
      <c r="F474" s="250"/>
      <c r="G474" s="250"/>
      <c r="H474" s="523"/>
      <c r="I474" s="36"/>
      <c r="J474" s="37"/>
      <c r="K474" s="38"/>
      <c r="L474" s="39"/>
      <c r="M474" s="38"/>
      <c r="N474" s="39"/>
      <c r="O474" s="40"/>
      <c r="P474" s="34"/>
      <c r="Q474" s="35"/>
      <c r="R474" s="35"/>
      <c r="S474" s="35"/>
      <c r="T474" s="35"/>
      <c r="U474" s="35"/>
      <c r="V474" s="35"/>
      <c r="W474" s="35"/>
      <c r="X474" s="35"/>
      <c r="Y474" s="35"/>
      <c r="Z474" s="35"/>
    </row>
    <row r="475" ht="14.25" customHeight="1">
      <c r="A475" s="83"/>
      <c r="B475" s="84"/>
      <c r="C475" s="108"/>
      <c r="D475" s="102"/>
      <c r="E475" s="117"/>
      <c r="F475" s="250"/>
      <c r="G475" s="250"/>
      <c r="H475" s="523"/>
      <c r="I475" s="36"/>
      <c r="J475" s="37"/>
      <c r="K475" s="38"/>
      <c r="L475" s="39"/>
      <c r="M475" s="38"/>
      <c r="N475" s="39"/>
      <c r="O475" s="40"/>
      <c r="P475" s="34"/>
      <c r="Q475" s="35"/>
      <c r="R475" s="35"/>
      <c r="S475" s="35"/>
      <c r="T475" s="35"/>
      <c r="U475" s="35"/>
      <c r="V475" s="35"/>
      <c r="W475" s="35"/>
      <c r="X475" s="35"/>
      <c r="Y475" s="35"/>
      <c r="Z475" s="35"/>
    </row>
    <row r="476" ht="14.25" customHeight="1">
      <c r="A476" s="83"/>
      <c r="B476" s="84"/>
      <c r="C476" s="108"/>
      <c r="D476" s="102"/>
      <c r="E476" s="117"/>
      <c r="F476" s="250"/>
      <c r="G476" s="250"/>
      <c r="H476" s="523"/>
      <c r="I476" s="36"/>
      <c r="J476" s="37"/>
      <c r="K476" s="38"/>
      <c r="L476" s="39"/>
      <c r="M476" s="38"/>
      <c r="N476" s="39"/>
      <c r="O476" s="40"/>
      <c r="P476" s="34"/>
      <c r="Q476" s="35"/>
      <c r="R476" s="35"/>
      <c r="S476" s="35"/>
      <c r="T476" s="35"/>
      <c r="U476" s="35"/>
      <c r="V476" s="35"/>
      <c r="W476" s="35"/>
      <c r="X476" s="35"/>
      <c r="Y476" s="35"/>
      <c r="Z476" s="35"/>
    </row>
    <row r="477" ht="14.25" customHeight="1">
      <c r="A477" s="83"/>
      <c r="B477" s="84"/>
      <c r="C477" s="108"/>
      <c r="D477" s="102"/>
      <c r="E477" s="117"/>
      <c r="F477" s="250"/>
      <c r="G477" s="250"/>
      <c r="H477" s="523"/>
      <c r="I477" s="36"/>
      <c r="J477" s="37"/>
      <c r="K477" s="38"/>
      <c r="L477" s="39"/>
      <c r="M477" s="38"/>
      <c r="N477" s="39"/>
      <c r="O477" s="40"/>
      <c r="P477" s="34"/>
      <c r="Q477" s="35"/>
      <c r="R477" s="35"/>
      <c r="S477" s="35"/>
      <c r="T477" s="35"/>
      <c r="U477" s="35"/>
      <c r="V477" s="35"/>
      <c r="W477" s="35"/>
      <c r="X477" s="35"/>
      <c r="Y477" s="35"/>
      <c r="Z477" s="35"/>
    </row>
    <row r="478" ht="14.25" customHeight="1">
      <c r="A478" s="83"/>
      <c r="B478" s="84"/>
      <c r="C478" s="108"/>
      <c r="D478" s="102"/>
      <c r="E478" s="117"/>
      <c r="F478" s="250"/>
      <c r="G478" s="250"/>
      <c r="H478" s="523"/>
      <c r="I478" s="36"/>
      <c r="J478" s="37"/>
      <c r="K478" s="38"/>
      <c r="L478" s="39"/>
      <c r="M478" s="38"/>
      <c r="N478" s="39"/>
      <c r="O478" s="40"/>
      <c r="P478" s="34"/>
      <c r="Q478" s="35"/>
      <c r="R478" s="35"/>
      <c r="S478" s="35"/>
      <c r="T478" s="35"/>
      <c r="U478" s="35"/>
      <c r="V478" s="35"/>
      <c r="W478" s="35"/>
      <c r="X478" s="35"/>
      <c r="Y478" s="35"/>
      <c r="Z478" s="35"/>
    </row>
    <row r="479" ht="14.25" customHeight="1">
      <c r="A479" s="83"/>
      <c r="B479" s="84"/>
      <c r="C479" s="108"/>
      <c r="D479" s="102"/>
      <c r="E479" s="117"/>
      <c r="F479" s="250"/>
      <c r="G479" s="250"/>
      <c r="H479" s="523"/>
      <c r="I479" s="36"/>
      <c r="J479" s="37"/>
      <c r="K479" s="38"/>
      <c r="L479" s="39"/>
      <c r="M479" s="38"/>
      <c r="N479" s="39"/>
      <c r="O479" s="40"/>
      <c r="P479" s="34"/>
      <c r="Q479" s="35"/>
      <c r="R479" s="35"/>
      <c r="S479" s="35"/>
      <c r="T479" s="35"/>
      <c r="U479" s="35"/>
      <c r="V479" s="35"/>
      <c r="W479" s="35"/>
      <c r="X479" s="35"/>
      <c r="Y479" s="35"/>
      <c r="Z479" s="35"/>
    </row>
    <row r="480" ht="14.25" customHeight="1">
      <c r="A480" s="83"/>
      <c r="B480" s="84"/>
      <c r="C480" s="108"/>
      <c r="D480" s="102"/>
      <c r="E480" s="117"/>
      <c r="F480" s="250"/>
      <c r="G480" s="250"/>
      <c r="H480" s="523"/>
      <c r="I480" s="36"/>
      <c r="J480" s="37"/>
      <c r="K480" s="38"/>
      <c r="L480" s="39"/>
      <c r="M480" s="38"/>
      <c r="N480" s="39"/>
      <c r="O480" s="40"/>
      <c r="P480" s="34"/>
      <c r="Q480" s="35"/>
      <c r="R480" s="35"/>
      <c r="S480" s="35"/>
      <c r="T480" s="35"/>
      <c r="U480" s="35"/>
      <c r="V480" s="35"/>
      <c r="W480" s="35"/>
      <c r="X480" s="35"/>
      <c r="Y480" s="35"/>
      <c r="Z480" s="35"/>
    </row>
    <row r="481" ht="14.25" customHeight="1">
      <c r="A481" s="83"/>
      <c r="B481" s="84"/>
      <c r="C481" s="108"/>
      <c r="D481" s="102"/>
      <c r="E481" s="117"/>
      <c r="F481" s="250"/>
      <c r="G481" s="250"/>
      <c r="H481" s="523"/>
      <c r="I481" s="36"/>
      <c r="J481" s="37"/>
      <c r="K481" s="38"/>
      <c r="L481" s="39"/>
      <c r="M481" s="38"/>
      <c r="N481" s="39"/>
      <c r="O481" s="40"/>
      <c r="P481" s="34"/>
      <c r="Q481" s="35"/>
      <c r="R481" s="35"/>
      <c r="S481" s="35"/>
      <c r="T481" s="35"/>
      <c r="U481" s="35"/>
      <c r="V481" s="35"/>
      <c r="W481" s="35"/>
      <c r="X481" s="35"/>
      <c r="Y481" s="35"/>
      <c r="Z481" s="35"/>
    </row>
    <row r="482" ht="14.25" customHeight="1">
      <c r="A482" s="83"/>
      <c r="B482" s="84"/>
      <c r="C482" s="108"/>
      <c r="D482" s="102"/>
      <c r="E482" s="117"/>
      <c r="F482" s="250"/>
      <c r="G482" s="250"/>
      <c r="H482" s="523"/>
      <c r="I482" s="36"/>
      <c r="J482" s="37"/>
      <c r="K482" s="38"/>
      <c r="L482" s="39"/>
      <c r="M482" s="38"/>
      <c r="N482" s="39"/>
      <c r="O482" s="40"/>
      <c r="P482" s="34"/>
      <c r="Q482" s="35"/>
      <c r="R482" s="35"/>
      <c r="S482" s="35"/>
      <c r="T482" s="35"/>
      <c r="U482" s="35"/>
      <c r="V482" s="35"/>
      <c r="W482" s="35"/>
      <c r="X482" s="35"/>
      <c r="Y482" s="35"/>
      <c r="Z482" s="35"/>
    </row>
    <row r="483" ht="14.25" customHeight="1">
      <c r="A483" s="83"/>
      <c r="B483" s="84"/>
      <c r="C483" s="108"/>
      <c r="D483" s="102"/>
      <c r="E483" s="117"/>
      <c r="F483" s="250"/>
      <c r="G483" s="250"/>
      <c r="H483" s="523"/>
      <c r="I483" s="36"/>
      <c r="J483" s="37"/>
      <c r="K483" s="38"/>
      <c r="L483" s="39"/>
      <c r="M483" s="38"/>
      <c r="N483" s="39"/>
      <c r="O483" s="40"/>
      <c r="P483" s="34"/>
      <c r="Q483" s="35"/>
      <c r="R483" s="35"/>
      <c r="S483" s="35"/>
      <c r="T483" s="35"/>
      <c r="U483" s="35"/>
      <c r="V483" s="35"/>
      <c r="W483" s="35"/>
      <c r="X483" s="35"/>
      <c r="Y483" s="35"/>
      <c r="Z483" s="35"/>
    </row>
    <row r="484" ht="14.25" customHeight="1">
      <c r="A484" s="83"/>
      <c r="B484" s="84"/>
      <c r="C484" s="108"/>
      <c r="D484" s="102"/>
      <c r="E484" s="117"/>
      <c r="F484" s="250"/>
      <c r="G484" s="250"/>
      <c r="H484" s="523"/>
      <c r="I484" s="36"/>
      <c r="J484" s="37"/>
      <c r="K484" s="38"/>
      <c r="L484" s="39"/>
      <c r="M484" s="38"/>
      <c r="N484" s="39"/>
      <c r="O484" s="40"/>
      <c r="P484" s="34"/>
      <c r="Q484" s="35"/>
      <c r="R484" s="35"/>
      <c r="S484" s="35"/>
      <c r="T484" s="35"/>
      <c r="U484" s="35"/>
      <c r="V484" s="35"/>
      <c r="W484" s="35"/>
      <c r="X484" s="35"/>
      <c r="Y484" s="35"/>
      <c r="Z484" s="35"/>
    </row>
    <row r="485" ht="14.25" customHeight="1">
      <c r="A485" s="83"/>
      <c r="B485" s="84"/>
      <c r="C485" s="108"/>
      <c r="D485" s="102"/>
      <c r="E485" s="117"/>
      <c r="F485" s="250"/>
      <c r="G485" s="250"/>
      <c r="H485" s="523"/>
      <c r="I485" s="36"/>
      <c r="J485" s="37"/>
      <c r="K485" s="38"/>
      <c r="L485" s="39"/>
      <c r="M485" s="38"/>
      <c r="N485" s="39"/>
      <c r="O485" s="40"/>
      <c r="P485" s="34"/>
      <c r="Q485" s="35"/>
      <c r="R485" s="35"/>
      <c r="S485" s="35"/>
      <c r="T485" s="35"/>
      <c r="U485" s="35"/>
      <c r="V485" s="35"/>
      <c r="W485" s="35"/>
      <c r="X485" s="35"/>
      <c r="Y485" s="35"/>
      <c r="Z485" s="35"/>
    </row>
    <row r="486" ht="14.25" customHeight="1">
      <c r="A486" s="83"/>
      <c r="B486" s="84"/>
      <c r="C486" s="108"/>
      <c r="D486" s="102"/>
      <c r="E486" s="117"/>
      <c r="F486" s="250"/>
      <c r="G486" s="250"/>
      <c r="H486" s="523"/>
      <c r="I486" s="36"/>
      <c r="J486" s="37"/>
      <c r="K486" s="38"/>
      <c r="L486" s="39"/>
      <c r="M486" s="38"/>
      <c r="N486" s="39"/>
      <c r="O486" s="40"/>
      <c r="P486" s="34"/>
      <c r="Q486" s="35"/>
      <c r="R486" s="35"/>
      <c r="S486" s="35"/>
      <c r="T486" s="35"/>
      <c r="U486" s="35"/>
      <c r="V486" s="35"/>
      <c r="W486" s="35"/>
      <c r="X486" s="35"/>
      <c r="Y486" s="35"/>
      <c r="Z486" s="35"/>
    </row>
    <row r="487" ht="14.25" customHeight="1">
      <c r="A487" s="83"/>
      <c r="B487" s="84"/>
      <c r="C487" s="108"/>
      <c r="D487" s="102"/>
      <c r="E487" s="117"/>
      <c r="F487" s="250"/>
      <c r="G487" s="250"/>
      <c r="H487" s="523"/>
      <c r="I487" s="36"/>
      <c r="J487" s="37"/>
      <c r="K487" s="38"/>
      <c r="L487" s="39"/>
      <c r="M487" s="38"/>
      <c r="N487" s="39"/>
      <c r="O487" s="40"/>
      <c r="P487" s="34"/>
      <c r="Q487" s="35"/>
      <c r="R487" s="35"/>
      <c r="S487" s="35"/>
      <c r="T487" s="35"/>
      <c r="U487" s="35"/>
      <c r="V487" s="35"/>
      <c r="W487" s="35"/>
      <c r="X487" s="35"/>
      <c r="Y487" s="35"/>
      <c r="Z487" s="35"/>
    </row>
    <row r="488" ht="14.25" customHeight="1">
      <c r="A488" s="83"/>
      <c r="B488" s="84"/>
      <c r="C488" s="108"/>
      <c r="D488" s="102"/>
      <c r="E488" s="117"/>
      <c r="F488" s="250"/>
      <c r="G488" s="250"/>
      <c r="H488" s="523"/>
      <c r="I488" s="36"/>
      <c r="J488" s="37"/>
      <c r="K488" s="38"/>
      <c r="L488" s="39"/>
      <c r="M488" s="38"/>
      <c r="N488" s="39"/>
      <c r="O488" s="40"/>
      <c r="P488" s="34"/>
      <c r="Q488" s="35"/>
      <c r="R488" s="35"/>
      <c r="S488" s="35"/>
      <c r="T488" s="35"/>
      <c r="U488" s="35"/>
      <c r="V488" s="35"/>
      <c r="W488" s="35"/>
      <c r="X488" s="35"/>
      <c r="Y488" s="35"/>
      <c r="Z488" s="35"/>
    </row>
    <row r="489" ht="14.25" customHeight="1">
      <c r="A489" s="83"/>
      <c r="B489" s="84"/>
      <c r="C489" s="108"/>
      <c r="D489" s="102"/>
      <c r="E489" s="117"/>
      <c r="F489" s="250"/>
      <c r="G489" s="250"/>
      <c r="H489" s="523"/>
      <c r="I489" s="36"/>
      <c r="J489" s="37"/>
      <c r="K489" s="38"/>
      <c r="L489" s="39"/>
      <c r="M489" s="38"/>
      <c r="N489" s="39"/>
      <c r="O489" s="40"/>
      <c r="P489" s="34"/>
      <c r="Q489" s="35"/>
      <c r="R489" s="35"/>
      <c r="S489" s="35"/>
      <c r="T489" s="35"/>
      <c r="U489" s="35"/>
      <c r="V489" s="35"/>
      <c r="W489" s="35"/>
      <c r="X489" s="35"/>
      <c r="Y489" s="35"/>
      <c r="Z489" s="35"/>
    </row>
    <row r="490" ht="14.25" customHeight="1">
      <c r="A490" s="83"/>
      <c r="B490" s="84"/>
      <c r="C490" s="108"/>
      <c r="D490" s="102"/>
      <c r="E490" s="117"/>
      <c r="F490" s="250"/>
      <c r="G490" s="250"/>
      <c r="H490" s="523"/>
      <c r="I490" s="36"/>
      <c r="J490" s="37"/>
      <c r="K490" s="38"/>
      <c r="L490" s="39"/>
      <c r="M490" s="38"/>
      <c r="N490" s="39"/>
      <c r="O490" s="40"/>
      <c r="P490" s="34"/>
      <c r="Q490" s="35"/>
      <c r="R490" s="35"/>
      <c r="S490" s="35"/>
      <c r="T490" s="35"/>
      <c r="U490" s="35"/>
      <c r="V490" s="35"/>
      <c r="W490" s="35"/>
      <c r="X490" s="35"/>
      <c r="Y490" s="35"/>
      <c r="Z490" s="35"/>
    </row>
    <row r="491" ht="14.25" customHeight="1">
      <c r="A491" s="83"/>
      <c r="B491" s="84"/>
      <c r="C491" s="108"/>
      <c r="D491" s="102"/>
      <c r="E491" s="117"/>
      <c r="F491" s="250"/>
      <c r="G491" s="250"/>
      <c r="H491" s="523"/>
      <c r="I491" s="36"/>
      <c r="J491" s="37"/>
      <c r="K491" s="38"/>
      <c r="L491" s="39"/>
      <c r="M491" s="38"/>
      <c r="N491" s="39"/>
      <c r="O491" s="40"/>
      <c r="P491" s="34"/>
      <c r="Q491" s="35"/>
      <c r="R491" s="35"/>
      <c r="S491" s="35"/>
      <c r="T491" s="35"/>
      <c r="U491" s="35"/>
      <c r="V491" s="35"/>
      <c r="W491" s="35"/>
      <c r="X491" s="35"/>
      <c r="Y491" s="35"/>
      <c r="Z491" s="35"/>
    </row>
    <row r="492" ht="14.25" customHeight="1">
      <c r="A492" s="83"/>
      <c r="B492" s="84"/>
      <c r="C492" s="108"/>
      <c r="D492" s="102"/>
      <c r="E492" s="117"/>
      <c r="F492" s="250"/>
      <c r="G492" s="250"/>
      <c r="H492" s="523"/>
      <c r="I492" s="36"/>
      <c r="J492" s="37"/>
      <c r="K492" s="38"/>
      <c r="L492" s="39"/>
      <c r="M492" s="38"/>
      <c r="N492" s="39"/>
      <c r="O492" s="40"/>
      <c r="P492" s="34"/>
      <c r="Q492" s="35"/>
      <c r="R492" s="35"/>
      <c r="S492" s="35"/>
      <c r="T492" s="35"/>
      <c r="U492" s="35"/>
      <c r="V492" s="35"/>
      <c r="W492" s="35"/>
      <c r="X492" s="35"/>
      <c r="Y492" s="35"/>
      <c r="Z492" s="35"/>
    </row>
    <row r="493" ht="14.25" customHeight="1">
      <c r="A493" s="83"/>
      <c r="B493" s="84"/>
      <c r="C493" s="108"/>
      <c r="D493" s="102"/>
      <c r="E493" s="117"/>
      <c r="F493" s="250"/>
      <c r="G493" s="250"/>
      <c r="H493" s="523"/>
      <c r="I493" s="36"/>
      <c r="J493" s="37"/>
      <c r="K493" s="38"/>
      <c r="L493" s="39"/>
      <c r="M493" s="38"/>
      <c r="N493" s="39"/>
      <c r="O493" s="40"/>
      <c r="P493" s="34"/>
      <c r="Q493" s="35"/>
      <c r="R493" s="35"/>
      <c r="S493" s="35"/>
      <c r="T493" s="35"/>
      <c r="U493" s="35"/>
      <c r="V493" s="35"/>
      <c r="W493" s="35"/>
      <c r="X493" s="35"/>
      <c r="Y493" s="35"/>
      <c r="Z493" s="35"/>
    </row>
    <row r="494" ht="14.25" customHeight="1">
      <c r="A494" s="83"/>
      <c r="B494" s="84"/>
      <c r="C494" s="108"/>
      <c r="D494" s="102"/>
      <c r="E494" s="117"/>
      <c r="F494" s="250"/>
      <c r="G494" s="250"/>
      <c r="H494" s="523"/>
      <c r="I494" s="36"/>
      <c r="J494" s="37"/>
      <c r="K494" s="38"/>
      <c r="L494" s="39"/>
      <c r="M494" s="38"/>
      <c r="N494" s="39"/>
      <c r="O494" s="40"/>
      <c r="P494" s="34"/>
      <c r="Q494" s="35"/>
      <c r="R494" s="35"/>
      <c r="S494" s="35"/>
      <c r="T494" s="35"/>
      <c r="U494" s="35"/>
      <c r="V494" s="35"/>
      <c r="W494" s="35"/>
      <c r="X494" s="35"/>
      <c r="Y494" s="35"/>
      <c r="Z494" s="35"/>
    </row>
    <row r="495" ht="14.25" customHeight="1">
      <c r="A495" s="83"/>
      <c r="B495" s="84"/>
      <c r="C495" s="108"/>
      <c r="D495" s="102"/>
      <c r="E495" s="117"/>
      <c r="F495" s="250"/>
      <c r="G495" s="250"/>
      <c r="H495" s="523"/>
      <c r="I495" s="36"/>
      <c r="J495" s="37"/>
      <c r="K495" s="38"/>
      <c r="L495" s="39"/>
      <c r="M495" s="38"/>
      <c r="N495" s="39"/>
      <c r="O495" s="40"/>
      <c r="P495" s="34"/>
      <c r="Q495" s="35"/>
      <c r="R495" s="35"/>
      <c r="S495" s="35"/>
      <c r="T495" s="35"/>
      <c r="U495" s="35"/>
      <c r="V495" s="35"/>
      <c r="W495" s="35"/>
      <c r="X495" s="35"/>
      <c r="Y495" s="35"/>
      <c r="Z495" s="35"/>
    </row>
    <row r="496" ht="14.25" customHeight="1">
      <c r="A496" s="83"/>
      <c r="B496" s="84"/>
      <c r="C496" s="108"/>
      <c r="D496" s="102"/>
      <c r="E496" s="117"/>
      <c r="F496" s="250"/>
      <c r="G496" s="250"/>
      <c r="H496" s="523"/>
      <c r="I496" s="36"/>
      <c r="J496" s="37"/>
      <c r="K496" s="38"/>
      <c r="L496" s="39"/>
      <c r="M496" s="38"/>
      <c r="N496" s="39"/>
      <c r="O496" s="40"/>
      <c r="P496" s="34"/>
      <c r="Q496" s="35"/>
      <c r="R496" s="35"/>
      <c r="S496" s="35"/>
      <c r="T496" s="35"/>
      <c r="U496" s="35"/>
      <c r="V496" s="35"/>
      <c r="W496" s="35"/>
      <c r="X496" s="35"/>
      <c r="Y496" s="35"/>
      <c r="Z496" s="35"/>
    </row>
    <row r="497" ht="14.25" customHeight="1">
      <c r="A497" s="83"/>
      <c r="B497" s="84"/>
      <c r="C497" s="108"/>
      <c r="D497" s="102"/>
      <c r="E497" s="117"/>
      <c r="F497" s="250"/>
      <c r="G497" s="250"/>
      <c r="H497" s="523"/>
      <c r="I497" s="36"/>
      <c r="J497" s="37"/>
      <c r="K497" s="38"/>
      <c r="L497" s="39"/>
      <c r="M497" s="38"/>
      <c r="N497" s="39"/>
      <c r="O497" s="40"/>
      <c r="P497" s="34"/>
      <c r="Q497" s="35"/>
      <c r="R497" s="35"/>
      <c r="S497" s="35"/>
      <c r="T497" s="35"/>
      <c r="U497" s="35"/>
      <c r="V497" s="35"/>
      <c r="W497" s="35"/>
      <c r="X497" s="35"/>
      <c r="Y497" s="35"/>
      <c r="Z497" s="35"/>
    </row>
    <row r="498" ht="14.25" customHeight="1">
      <c r="A498" s="83"/>
      <c r="B498" s="84"/>
      <c r="C498" s="108"/>
      <c r="D498" s="102"/>
      <c r="E498" s="117"/>
      <c r="F498" s="250"/>
      <c r="G498" s="250"/>
      <c r="H498" s="523"/>
      <c r="I498" s="36"/>
      <c r="J498" s="37"/>
      <c r="K498" s="38"/>
      <c r="L498" s="39"/>
      <c r="M498" s="38"/>
      <c r="N498" s="39"/>
      <c r="O498" s="40"/>
      <c r="P498" s="34"/>
      <c r="Q498" s="35"/>
      <c r="R498" s="35"/>
      <c r="S498" s="35"/>
      <c r="T498" s="35"/>
      <c r="U498" s="35"/>
      <c r="V498" s="35"/>
      <c r="W498" s="35"/>
      <c r="X498" s="35"/>
      <c r="Y498" s="35"/>
      <c r="Z498" s="35"/>
    </row>
    <row r="499" ht="14.25" customHeight="1">
      <c r="A499" s="83"/>
      <c r="B499" s="84"/>
      <c r="C499" s="108"/>
      <c r="D499" s="102"/>
      <c r="E499" s="117"/>
      <c r="F499" s="250"/>
      <c r="G499" s="250"/>
      <c r="H499" s="523"/>
      <c r="I499" s="36"/>
      <c r="J499" s="37"/>
      <c r="K499" s="38"/>
      <c r="L499" s="39"/>
      <c r="M499" s="38"/>
      <c r="N499" s="39"/>
      <c r="O499" s="40"/>
      <c r="P499" s="34"/>
      <c r="Q499" s="35"/>
      <c r="R499" s="35"/>
      <c r="S499" s="35"/>
      <c r="T499" s="35"/>
      <c r="U499" s="35"/>
      <c r="V499" s="35"/>
      <c r="W499" s="35"/>
      <c r="X499" s="35"/>
      <c r="Y499" s="35"/>
      <c r="Z499" s="35"/>
    </row>
    <row r="500" ht="14.25" customHeight="1">
      <c r="A500" s="83"/>
      <c r="B500" s="84"/>
      <c r="C500" s="108"/>
      <c r="D500" s="102"/>
      <c r="E500" s="117"/>
      <c r="F500" s="250"/>
      <c r="G500" s="250"/>
      <c r="H500" s="523"/>
      <c r="I500" s="36"/>
      <c r="J500" s="37"/>
      <c r="K500" s="38"/>
      <c r="L500" s="39"/>
      <c r="M500" s="38"/>
      <c r="N500" s="39"/>
      <c r="O500" s="40"/>
      <c r="P500" s="34"/>
      <c r="Q500" s="35"/>
      <c r="R500" s="35"/>
      <c r="S500" s="35"/>
      <c r="T500" s="35"/>
      <c r="U500" s="35"/>
      <c r="V500" s="35"/>
      <c r="W500" s="35"/>
      <c r="X500" s="35"/>
      <c r="Y500" s="35"/>
      <c r="Z500" s="35"/>
    </row>
    <row r="501" ht="14.25" customHeight="1">
      <c r="A501" s="83"/>
      <c r="B501" s="84"/>
      <c r="C501" s="108"/>
      <c r="D501" s="102"/>
      <c r="E501" s="117"/>
      <c r="F501" s="250"/>
      <c r="G501" s="250"/>
      <c r="H501" s="523"/>
      <c r="I501" s="36"/>
      <c r="J501" s="37"/>
      <c r="K501" s="38"/>
      <c r="L501" s="39"/>
      <c r="M501" s="38"/>
      <c r="N501" s="39"/>
      <c r="O501" s="40"/>
      <c r="P501" s="34"/>
      <c r="Q501" s="35"/>
      <c r="R501" s="35"/>
      <c r="S501" s="35"/>
      <c r="T501" s="35"/>
      <c r="U501" s="35"/>
      <c r="V501" s="35"/>
      <c r="W501" s="35"/>
      <c r="X501" s="35"/>
      <c r="Y501" s="35"/>
      <c r="Z501" s="35"/>
    </row>
    <row r="502" ht="14.25" customHeight="1">
      <c r="A502" s="83"/>
      <c r="B502" s="84"/>
      <c r="C502" s="108"/>
      <c r="D502" s="102"/>
      <c r="E502" s="117"/>
      <c r="F502" s="250"/>
      <c r="G502" s="250"/>
      <c r="H502" s="523"/>
      <c r="I502" s="36"/>
      <c r="J502" s="37"/>
      <c r="K502" s="38"/>
      <c r="L502" s="39"/>
      <c r="M502" s="38"/>
      <c r="N502" s="39"/>
      <c r="O502" s="40"/>
      <c r="P502" s="34"/>
      <c r="Q502" s="35"/>
      <c r="R502" s="35"/>
      <c r="S502" s="35"/>
      <c r="T502" s="35"/>
      <c r="U502" s="35"/>
      <c r="V502" s="35"/>
      <c r="W502" s="35"/>
      <c r="X502" s="35"/>
      <c r="Y502" s="35"/>
      <c r="Z502" s="35"/>
    </row>
    <row r="503" ht="14.25" customHeight="1">
      <c r="A503" s="83"/>
      <c r="B503" s="84"/>
      <c r="C503" s="108"/>
      <c r="D503" s="102"/>
      <c r="E503" s="117"/>
      <c r="F503" s="250"/>
      <c r="G503" s="250"/>
      <c r="H503" s="523"/>
      <c r="I503" s="36"/>
      <c r="J503" s="37"/>
      <c r="K503" s="38"/>
      <c r="L503" s="39"/>
      <c r="M503" s="38"/>
      <c r="N503" s="39"/>
      <c r="O503" s="40"/>
      <c r="P503" s="34"/>
      <c r="Q503" s="35"/>
      <c r="R503" s="35"/>
      <c r="S503" s="35"/>
      <c r="T503" s="35"/>
      <c r="U503" s="35"/>
      <c r="V503" s="35"/>
      <c r="W503" s="35"/>
      <c r="X503" s="35"/>
      <c r="Y503" s="35"/>
      <c r="Z503" s="35"/>
    </row>
    <row r="504" ht="14.25" customHeight="1">
      <c r="A504" s="83"/>
      <c r="B504" s="84"/>
      <c r="C504" s="108"/>
      <c r="D504" s="102"/>
      <c r="E504" s="117"/>
      <c r="F504" s="250"/>
      <c r="G504" s="250"/>
      <c r="H504" s="523"/>
      <c r="I504" s="36"/>
      <c r="J504" s="37"/>
      <c r="K504" s="38"/>
      <c r="L504" s="39"/>
      <c r="M504" s="38"/>
      <c r="N504" s="39"/>
      <c r="O504" s="40"/>
      <c r="P504" s="34"/>
      <c r="Q504" s="35"/>
      <c r="R504" s="35"/>
      <c r="S504" s="35"/>
      <c r="T504" s="35"/>
      <c r="U504" s="35"/>
      <c r="V504" s="35"/>
      <c r="W504" s="35"/>
      <c r="X504" s="35"/>
      <c r="Y504" s="35"/>
      <c r="Z504" s="35"/>
    </row>
    <row r="505" ht="14.25" customHeight="1">
      <c r="A505" s="83"/>
      <c r="B505" s="84"/>
      <c r="C505" s="108"/>
      <c r="D505" s="102"/>
      <c r="E505" s="117"/>
      <c r="F505" s="250"/>
      <c r="G505" s="250"/>
      <c r="H505" s="523"/>
      <c r="I505" s="36"/>
      <c r="J505" s="37"/>
      <c r="K505" s="38"/>
      <c r="L505" s="39"/>
      <c r="M505" s="38"/>
      <c r="N505" s="39"/>
      <c r="O505" s="40"/>
      <c r="P505" s="34"/>
      <c r="Q505" s="35"/>
      <c r="R505" s="35"/>
      <c r="S505" s="35"/>
      <c r="T505" s="35"/>
      <c r="U505" s="35"/>
      <c r="V505" s="35"/>
      <c r="W505" s="35"/>
      <c r="X505" s="35"/>
      <c r="Y505" s="35"/>
      <c r="Z505" s="35"/>
    </row>
    <row r="506" ht="14.25" customHeight="1">
      <c r="A506" s="83"/>
      <c r="B506" s="84"/>
      <c r="C506" s="108"/>
      <c r="D506" s="102"/>
      <c r="E506" s="117"/>
      <c r="F506" s="250"/>
      <c r="G506" s="250"/>
      <c r="H506" s="523"/>
      <c r="I506" s="36"/>
      <c r="J506" s="37"/>
      <c r="K506" s="38"/>
      <c r="L506" s="39"/>
      <c r="M506" s="38"/>
      <c r="N506" s="39"/>
      <c r="O506" s="40"/>
      <c r="P506" s="34"/>
      <c r="Q506" s="35"/>
      <c r="R506" s="35"/>
      <c r="S506" s="35"/>
      <c r="T506" s="35"/>
      <c r="U506" s="35"/>
      <c r="V506" s="35"/>
      <c r="W506" s="35"/>
      <c r="X506" s="35"/>
      <c r="Y506" s="35"/>
      <c r="Z506" s="35"/>
    </row>
    <row r="507" ht="14.25" customHeight="1">
      <c r="A507" s="83"/>
      <c r="B507" s="84"/>
      <c r="C507" s="108"/>
      <c r="D507" s="102"/>
      <c r="E507" s="117"/>
      <c r="F507" s="250"/>
      <c r="G507" s="250"/>
      <c r="H507" s="523"/>
      <c r="I507" s="36"/>
      <c r="J507" s="37"/>
      <c r="K507" s="38"/>
      <c r="L507" s="39"/>
      <c r="M507" s="38"/>
      <c r="N507" s="39"/>
      <c r="O507" s="40"/>
      <c r="P507" s="34"/>
      <c r="Q507" s="35"/>
      <c r="R507" s="35"/>
      <c r="S507" s="35"/>
      <c r="T507" s="35"/>
      <c r="U507" s="35"/>
      <c r="V507" s="35"/>
      <c r="W507" s="35"/>
      <c r="X507" s="35"/>
      <c r="Y507" s="35"/>
      <c r="Z507" s="35"/>
    </row>
    <row r="508" ht="14.25" customHeight="1">
      <c r="A508" s="83"/>
      <c r="B508" s="84"/>
      <c r="C508" s="108"/>
      <c r="D508" s="102"/>
      <c r="E508" s="117"/>
      <c r="F508" s="250"/>
      <c r="G508" s="250"/>
      <c r="H508" s="523"/>
      <c r="I508" s="36"/>
      <c r="J508" s="37"/>
      <c r="K508" s="38"/>
      <c r="L508" s="39"/>
      <c r="M508" s="38"/>
      <c r="N508" s="39"/>
      <c r="O508" s="40"/>
      <c r="P508" s="34"/>
      <c r="Q508" s="35"/>
      <c r="R508" s="35"/>
      <c r="S508" s="35"/>
      <c r="T508" s="35"/>
      <c r="U508" s="35"/>
      <c r="V508" s="35"/>
      <c r="W508" s="35"/>
      <c r="X508" s="35"/>
      <c r="Y508" s="35"/>
      <c r="Z508" s="35"/>
    </row>
    <row r="509" ht="14.25" customHeight="1">
      <c r="A509" s="83"/>
      <c r="B509" s="84"/>
      <c r="C509" s="108"/>
      <c r="D509" s="102"/>
      <c r="E509" s="117"/>
      <c r="F509" s="250"/>
      <c r="G509" s="250"/>
      <c r="H509" s="523"/>
      <c r="I509" s="36"/>
      <c r="J509" s="37"/>
      <c r="K509" s="38"/>
      <c r="L509" s="39"/>
      <c r="M509" s="38"/>
      <c r="N509" s="39"/>
      <c r="O509" s="40"/>
      <c r="P509" s="34"/>
      <c r="Q509" s="35"/>
      <c r="R509" s="35"/>
      <c r="S509" s="35"/>
      <c r="T509" s="35"/>
      <c r="U509" s="35"/>
      <c r="V509" s="35"/>
      <c r="W509" s="35"/>
      <c r="X509" s="35"/>
      <c r="Y509" s="35"/>
      <c r="Z509" s="35"/>
    </row>
    <row r="510" ht="14.25" customHeight="1">
      <c r="A510" s="83"/>
      <c r="B510" s="84"/>
      <c r="C510" s="108"/>
      <c r="D510" s="102"/>
      <c r="E510" s="117"/>
      <c r="F510" s="250"/>
      <c r="G510" s="250"/>
      <c r="H510" s="523"/>
      <c r="I510" s="36"/>
      <c r="J510" s="37"/>
      <c r="K510" s="38"/>
      <c r="L510" s="39"/>
      <c r="M510" s="38"/>
      <c r="N510" s="39"/>
      <c r="O510" s="40"/>
      <c r="P510" s="34"/>
      <c r="Q510" s="35"/>
      <c r="R510" s="35"/>
      <c r="S510" s="35"/>
      <c r="T510" s="35"/>
      <c r="U510" s="35"/>
      <c r="V510" s="35"/>
      <c r="W510" s="35"/>
      <c r="X510" s="35"/>
      <c r="Y510" s="35"/>
      <c r="Z510" s="35"/>
    </row>
    <row r="511" ht="14.25" customHeight="1">
      <c r="A511" s="83"/>
      <c r="B511" s="84"/>
      <c r="C511" s="108"/>
      <c r="D511" s="102"/>
      <c r="E511" s="117"/>
      <c r="F511" s="250"/>
      <c r="G511" s="250"/>
      <c r="H511" s="523"/>
      <c r="I511" s="36"/>
      <c r="J511" s="37"/>
      <c r="K511" s="38"/>
      <c r="L511" s="39"/>
      <c r="M511" s="38"/>
      <c r="N511" s="39"/>
      <c r="O511" s="40"/>
      <c r="P511" s="34"/>
      <c r="Q511" s="35"/>
      <c r="R511" s="35"/>
      <c r="S511" s="35"/>
      <c r="T511" s="35"/>
      <c r="U511" s="35"/>
      <c r="V511" s="35"/>
      <c r="W511" s="35"/>
      <c r="X511" s="35"/>
      <c r="Y511" s="35"/>
      <c r="Z511" s="35"/>
    </row>
    <row r="512" ht="14.25" customHeight="1">
      <c r="A512" s="83"/>
      <c r="B512" s="84"/>
      <c r="C512" s="108"/>
      <c r="D512" s="102"/>
      <c r="E512" s="117"/>
      <c r="F512" s="250"/>
      <c r="G512" s="250"/>
      <c r="H512" s="523"/>
      <c r="I512" s="36"/>
      <c r="J512" s="37"/>
      <c r="K512" s="38"/>
      <c r="L512" s="39"/>
      <c r="M512" s="38"/>
      <c r="N512" s="39"/>
      <c r="O512" s="40"/>
      <c r="P512" s="34"/>
      <c r="Q512" s="35"/>
      <c r="R512" s="35"/>
      <c r="S512" s="35"/>
      <c r="T512" s="35"/>
      <c r="U512" s="35"/>
      <c r="V512" s="35"/>
      <c r="W512" s="35"/>
      <c r="X512" s="35"/>
      <c r="Y512" s="35"/>
      <c r="Z512" s="35"/>
    </row>
    <row r="513" ht="14.25" customHeight="1">
      <c r="A513" s="83"/>
      <c r="B513" s="84"/>
      <c r="C513" s="108"/>
      <c r="D513" s="102"/>
      <c r="E513" s="117"/>
      <c r="F513" s="250"/>
      <c r="G513" s="250"/>
      <c r="H513" s="523"/>
      <c r="I513" s="36"/>
      <c r="J513" s="37"/>
      <c r="K513" s="38"/>
      <c r="L513" s="39"/>
      <c r="M513" s="38"/>
      <c r="N513" s="39"/>
      <c r="O513" s="40"/>
      <c r="P513" s="34"/>
      <c r="Q513" s="35"/>
      <c r="R513" s="35"/>
      <c r="S513" s="35"/>
      <c r="T513" s="35"/>
      <c r="U513" s="35"/>
      <c r="V513" s="35"/>
      <c r="W513" s="35"/>
      <c r="X513" s="35"/>
      <c r="Y513" s="35"/>
      <c r="Z513" s="35"/>
    </row>
    <row r="514" ht="14.25" customHeight="1">
      <c r="A514" s="83"/>
      <c r="B514" s="84"/>
      <c r="C514" s="108"/>
      <c r="D514" s="102"/>
      <c r="E514" s="117"/>
      <c r="F514" s="250"/>
      <c r="G514" s="250"/>
      <c r="H514" s="523"/>
      <c r="I514" s="36"/>
      <c r="J514" s="37"/>
      <c r="K514" s="38"/>
      <c r="L514" s="39"/>
      <c r="M514" s="38"/>
      <c r="N514" s="39"/>
      <c r="O514" s="40"/>
      <c r="P514" s="34"/>
      <c r="Q514" s="35"/>
      <c r="R514" s="35"/>
      <c r="S514" s="35"/>
      <c r="T514" s="35"/>
      <c r="U514" s="35"/>
      <c r="V514" s="35"/>
      <c r="W514" s="35"/>
      <c r="X514" s="35"/>
      <c r="Y514" s="35"/>
      <c r="Z514" s="35"/>
    </row>
    <row r="515" ht="14.25" customHeight="1">
      <c r="A515" s="83"/>
      <c r="B515" s="84"/>
      <c r="C515" s="108"/>
      <c r="D515" s="102"/>
      <c r="E515" s="117"/>
      <c r="F515" s="250"/>
      <c r="G515" s="250"/>
      <c r="H515" s="523"/>
      <c r="I515" s="36"/>
      <c r="J515" s="37"/>
      <c r="K515" s="38"/>
      <c r="L515" s="39"/>
      <c r="M515" s="38"/>
      <c r="N515" s="39"/>
      <c r="O515" s="40"/>
      <c r="P515" s="34"/>
      <c r="Q515" s="35"/>
      <c r="R515" s="35"/>
      <c r="S515" s="35"/>
      <c r="T515" s="35"/>
      <c r="U515" s="35"/>
      <c r="V515" s="35"/>
      <c r="W515" s="35"/>
      <c r="X515" s="35"/>
      <c r="Y515" s="35"/>
      <c r="Z515" s="35"/>
    </row>
    <row r="516" ht="14.25" customHeight="1">
      <c r="A516" s="83"/>
      <c r="B516" s="84"/>
      <c r="C516" s="108"/>
      <c r="D516" s="102"/>
      <c r="E516" s="117"/>
      <c r="F516" s="250"/>
      <c r="G516" s="250"/>
      <c r="H516" s="523"/>
      <c r="I516" s="36"/>
      <c r="J516" s="37"/>
      <c r="K516" s="38"/>
      <c r="L516" s="39"/>
      <c r="M516" s="38"/>
      <c r="N516" s="39"/>
      <c r="O516" s="40"/>
      <c r="P516" s="34"/>
      <c r="Q516" s="35"/>
      <c r="R516" s="35"/>
      <c r="S516" s="35"/>
      <c r="T516" s="35"/>
      <c r="U516" s="35"/>
      <c r="V516" s="35"/>
      <c r="W516" s="35"/>
      <c r="X516" s="35"/>
      <c r="Y516" s="35"/>
      <c r="Z516" s="35"/>
    </row>
    <row r="517" ht="14.25" customHeight="1">
      <c r="A517" s="83"/>
      <c r="B517" s="84"/>
      <c r="C517" s="108"/>
      <c r="D517" s="102"/>
      <c r="E517" s="117"/>
      <c r="F517" s="250"/>
      <c r="G517" s="250"/>
      <c r="H517" s="523"/>
      <c r="I517" s="36"/>
      <c r="J517" s="37"/>
      <c r="K517" s="38"/>
      <c r="L517" s="39"/>
      <c r="M517" s="38"/>
      <c r="N517" s="39"/>
      <c r="O517" s="40"/>
      <c r="P517" s="34"/>
      <c r="Q517" s="35"/>
      <c r="R517" s="35"/>
      <c r="S517" s="35"/>
      <c r="T517" s="35"/>
      <c r="U517" s="35"/>
      <c r="V517" s="35"/>
      <c r="W517" s="35"/>
      <c r="X517" s="35"/>
      <c r="Y517" s="35"/>
      <c r="Z517" s="35"/>
    </row>
    <row r="518" ht="14.25" customHeight="1">
      <c r="A518" s="83"/>
      <c r="B518" s="84"/>
      <c r="C518" s="108"/>
      <c r="D518" s="102"/>
      <c r="E518" s="117"/>
      <c r="F518" s="250"/>
      <c r="G518" s="250"/>
      <c r="H518" s="523"/>
      <c r="I518" s="36"/>
      <c r="J518" s="37"/>
      <c r="K518" s="38"/>
      <c r="L518" s="39"/>
      <c r="M518" s="38"/>
      <c r="N518" s="39"/>
      <c r="O518" s="40"/>
      <c r="P518" s="34"/>
      <c r="Q518" s="35"/>
      <c r="R518" s="35"/>
      <c r="S518" s="35"/>
      <c r="T518" s="35"/>
      <c r="U518" s="35"/>
      <c r="V518" s="35"/>
      <c r="W518" s="35"/>
      <c r="X518" s="35"/>
      <c r="Y518" s="35"/>
      <c r="Z518" s="35"/>
    </row>
    <row r="519" ht="14.25" customHeight="1">
      <c r="A519" s="83"/>
      <c r="B519" s="84"/>
      <c r="C519" s="108"/>
      <c r="D519" s="102"/>
      <c r="E519" s="117"/>
      <c r="F519" s="250"/>
      <c r="G519" s="250"/>
      <c r="H519" s="523"/>
      <c r="I519" s="36"/>
      <c r="J519" s="37"/>
      <c r="K519" s="38"/>
      <c r="L519" s="39"/>
      <c r="M519" s="38"/>
      <c r="N519" s="39"/>
      <c r="O519" s="40"/>
      <c r="P519" s="34"/>
      <c r="Q519" s="35"/>
      <c r="R519" s="35"/>
      <c r="S519" s="35"/>
      <c r="T519" s="35"/>
      <c r="U519" s="35"/>
      <c r="V519" s="35"/>
      <c r="W519" s="35"/>
      <c r="X519" s="35"/>
      <c r="Y519" s="35"/>
      <c r="Z519" s="35"/>
    </row>
    <row r="520" ht="14.25" customHeight="1">
      <c r="A520" s="83"/>
      <c r="B520" s="84"/>
      <c r="C520" s="108"/>
      <c r="D520" s="102"/>
      <c r="E520" s="117"/>
      <c r="F520" s="250"/>
      <c r="G520" s="250"/>
      <c r="H520" s="523"/>
      <c r="I520" s="36"/>
      <c r="J520" s="37"/>
      <c r="K520" s="38"/>
      <c r="L520" s="39"/>
      <c r="M520" s="38"/>
      <c r="N520" s="39"/>
      <c r="O520" s="40"/>
      <c r="P520" s="34"/>
      <c r="Q520" s="35"/>
      <c r="R520" s="35"/>
      <c r="S520" s="35"/>
      <c r="T520" s="35"/>
      <c r="U520" s="35"/>
      <c r="V520" s="35"/>
      <c r="W520" s="35"/>
      <c r="X520" s="35"/>
      <c r="Y520" s="35"/>
      <c r="Z520" s="35"/>
    </row>
    <row r="521" ht="14.25" customHeight="1">
      <c r="A521" s="83"/>
      <c r="B521" s="84"/>
      <c r="C521" s="108"/>
      <c r="D521" s="102"/>
      <c r="E521" s="117"/>
      <c r="F521" s="250"/>
      <c r="G521" s="250"/>
      <c r="H521" s="523"/>
      <c r="I521" s="36"/>
      <c r="J521" s="37"/>
      <c r="K521" s="38"/>
      <c r="L521" s="39"/>
      <c r="M521" s="38"/>
      <c r="N521" s="39"/>
      <c r="O521" s="40"/>
      <c r="P521" s="34"/>
      <c r="Q521" s="35"/>
      <c r="R521" s="35"/>
      <c r="S521" s="35"/>
      <c r="T521" s="35"/>
      <c r="U521" s="35"/>
      <c r="V521" s="35"/>
      <c r="W521" s="35"/>
      <c r="X521" s="35"/>
      <c r="Y521" s="35"/>
      <c r="Z521" s="35"/>
    </row>
    <row r="522" ht="14.25" customHeight="1">
      <c r="A522" s="83"/>
      <c r="B522" s="84"/>
      <c r="C522" s="108"/>
      <c r="D522" s="102"/>
      <c r="E522" s="117"/>
      <c r="F522" s="250"/>
      <c r="G522" s="250"/>
      <c r="H522" s="523"/>
      <c r="I522" s="36"/>
      <c r="J522" s="37"/>
      <c r="K522" s="38"/>
      <c r="L522" s="39"/>
      <c r="M522" s="38"/>
      <c r="N522" s="39"/>
      <c r="O522" s="40"/>
      <c r="P522" s="34"/>
      <c r="Q522" s="35"/>
      <c r="R522" s="35"/>
      <c r="S522" s="35"/>
      <c r="T522" s="35"/>
      <c r="U522" s="35"/>
      <c r="V522" s="35"/>
      <c r="W522" s="35"/>
      <c r="X522" s="35"/>
      <c r="Y522" s="35"/>
      <c r="Z522" s="35"/>
    </row>
    <row r="523" ht="14.25" customHeight="1">
      <c r="A523" s="83"/>
      <c r="B523" s="84"/>
      <c r="C523" s="108"/>
      <c r="D523" s="102"/>
      <c r="E523" s="117"/>
      <c r="F523" s="250"/>
      <c r="G523" s="250"/>
      <c r="H523" s="523"/>
      <c r="I523" s="36"/>
      <c r="J523" s="37"/>
      <c r="K523" s="38"/>
      <c r="L523" s="39"/>
      <c r="M523" s="38"/>
      <c r="N523" s="39"/>
      <c r="O523" s="40"/>
      <c r="P523" s="34"/>
      <c r="Q523" s="35"/>
      <c r="R523" s="35"/>
      <c r="S523" s="35"/>
      <c r="T523" s="35"/>
      <c r="U523" s="35"/>
      <c r="V523" s="35"/>
      <c r="W523" s="35"/>
      <c r="X523" s="35"/>
      <c r="Y523" s="35"/>
      <c r="Z523" s="35"/>
    </row>
    <row r="524" ht="14.25" customHeight="1">
      <c r="A524" s="83"/>
      <c r="B524" s="84"/>
      <c r="C524" s="108"/>
      <c r="D524" s="102"/>
      <c r="E524" s="117"/>
      <c r="F524" s="250"/>
      <c r="G524" s="250"/>
      <c r="H524" s="523"/>
      <c r="I524" s="36"/>
      <c r="J524" s="37"/>
      <c r="K524" s="38"/>
      <c r="L524" s="39"/>
      <c r="M524" s="38"/>
      <c r="N524" s="39"/>
      <c r="O524" s="40"/>
      <c r="P524" s="34"/>
      <c r="Q524" s="35"/>
      <c r="R524" s="35"/>
      <c r="S524" s="35"/>
      <c r="T524" s="35"/>
      <c r="U524" s="35"/>
      <c r="V524" s="35"/>
      <c r="W524" s="35"/>
      <c r="X524" s="35"/>
      <c r="Y524" s="35"/>
      <c r="Z524" s="35"/>
    </row>
    <row r="525" ht="14.25" customHeight="1">
      <c r="A525" s="83"/>
      <c r="B525" s="84"/>
      <c r="C525" s="108"/>
      <c r="D525" s="102"/>
      <c r="E525" s="117"/>
      <c r="F525" s="250"/>
      <c r="G525" s="250"/>
      <c r="H525" s="523"/>
      <c r="I525" s="36"/>
      <c r="J525" s="37"/>
      <c r="K525" s="38"/>
      <c r="L525" s="39"/>
      <c r="M525" s="38"/>
      <c r="N525" s="39"/>
      <c r="O525" s="40"/>
      <c r="P525" s="34"/>
      <c r="Q525" s="35"/>
      <c r="R525" s="35"/>
      <c r="S525" s="35"/>
      <c r="T525" s="35"/>
      <c r="U525" s="35"/>
      <c r="V525" s="35"/>
      <c r="W525" s="35"/>
      <c r="X525" s="35"/>
      <c r="Y525" s="35"/>
      <c r="Z525" s="35"/>
    </row>
    <row r="526" ht="14.25" customHeight="1">
      <c r="A526" s="83"/>
      <c r="B526" s="84"/>
      <c r="C526" s="108"/>
      <c r="D526" s="102"/>
      <c r="E526" s="117"/>
      <c r="F526" s="250"/>
      <c r="G526" s="250"/>
      <c r="H526" s="523"/>
      <c r="I526" s="36"/>
      <c r="J526" s="37"/>
      <c r="K526" s="38"/>
      <c r="L526" s="39"/>
      <c r="M526" s="38"/>
      <c r="N526" s="39"/>
      <c r="O526" s="40"/>
      <c r="P526" s="34"/>
      <c r="Q526" s="35"/>
      <c r="R526" s="35"/>
      <c r="S526" s="35"/>
      <c r="T526" s="35"/>
      <c r="U526" s="35"/>
      <c r="V526" s="35"/>
      <c r="W526" s="35"/>
      <c r="X526" s="35"/>
      <c r="Y526" s="35"/>
      <c r="Z526" s="35"/>
    </row>
    <row r="527" ht="14.25" customHeight="1">
      <c r="A527" s="83"/>
      <c r="B527" s="84"/>
      <c r="C527" s="108"/>
      <c r="D527" s="102"/>
      <c r="E527" s="117"/>
      <c r="F527" s="250"/>
      <c r="G527" s="250"/>
      <c r="H527" s="523"/>
      <c r="I527" s="36"/>
      <c r="J527" s="37"/>
      <c r="K527" s="38"/>
      <c r="L527" s="39"/>
      <c r="M527" s="38"/>
      <c r="N527" s="39"/>
      <c r="O527" s="40"/>
      <c r="P527" s="34"/>
      <c r="Q527" s="35"/>
      <c r="R527" s="35"/>
      <c r="S527" s="35"/>
      <c r="T527" s="35"/>
      <c r="U527" s="35"/>
      <c r="V527" s="35"/>
      <c r="W527" s="35"/>
      <c r="X527" s="35"/>
      <c r="Y527" s="35"/>
      <c r="Z527" s="35"/>
    </row>
    <row r="528" ht="14.25" customHeight="1">
      <c r="A528" s="83"/>
      <c r="B528" s="84"/>
      <c r="C528" s="108"/>
      <c r="D528" s="102"/>
      <c r="E528" s="117"/>
      <c r="F528" s="250"/>
      <c r="G528" s="250"/>
      <c r="H528" s="523"/>
      <c r="I528" s="36"/>
      <c r="J528" s="37"/>
      <c r="K528" s="38"/>
      <c r="L528" s="39"/>
      <c r="M528" s="38"/>
      <c r="N528" s="39"/>
      <c r="O528" s="40"/>
      <c r="P528" s="34"/>
      <c r="Q528" s="35"/>
      <c r="R528" s="35"/>
      <c r="S528" s="35"/>
      <c r="T528" s="35"/>
      <c r="U528" s="35"/>
      <c r="V528" s="35"/>
      <c r="W528" s="35"/>
      <c r="X528" s="35"/>
      <c r="Y528" s="35"/>
      <c r="Z528" s="35"/>
    </row>
    <row r="529" ht="14.25" customHeight="1">
      <c r="A529" s="83"/>
      <c r="B529" s="84"/>
      <c r="C529" s="108"/>
      <c r="D529" s="102"/>
      <c r="E529" s="117"/>
      <c r="F529" s="250"/>
      <c r="G529" s="250"/>
      <c r="H529" s="523"/>
      <c r="I529" s="36"/>
      <c r="J529" s="37"/>
      <c r="K529" s="38"/>
      <c r="L529" s="39"/>
      <c r="M529" s="38"/>
      <c r="N529" s="39"/>
      <c r="O529" s="40"/>
      <c r="P529" s="34"/>
      <c r="Q529" s="35"/>
      <c r="R529" s="35"/>
      <c r="S529" s="35"/>
      <c r="T529" s="35"/>
      <c r="U529" s="35"/>
      <c r="V529" s="35"/>
      <c r="W529" s="35"/>
      <c r="X529" s="35"/>
      <c r="Y529" s="35"/>
      <c r="Z529" s="35"/>
    </row>
    <row r="530" ht="14.25" customHeight="1">
      <c r="A530" s="136"/>
      <c r="B530" s="137"/>
      <c r="C530" s="251"/>
      <c r="D530" s="452"/>
      <c r="E530" s="136"/>
      <c r="F530" s="253"/>
      <c r="G530" s="253"/>
      <c r="H530" s="527"/>
      <c r="I530" s="141"/>
      <c r="J530" s="141"/>
      <c r="K530" s="142"/>
      <c r="L530" s="142"/>
      <c r="M530" s="142"/>
      <c r="N530" s="142"/>
      <c r="O530" s="136"/>
      <c r="P530" s="34"/>
      <c r="Q530" s="35"/>
      <c r="R530" s="35"/>
      <c r="S530" s="35"/>
      <c r="T530" s="35"/>
      <c r="U530" s="35"/>
      <c r="V530" s="35"/>
      <c r="W530" s="35"/>
      <c r="X530" s="35"/>
      <c r="Y530" s="35"/>
      <c r="Z530" s="35"/>
    </row>
    <row r="531" ht="14.25" customHeight="1">
      <c r="A531" s="136"/>
      <c r="B531" s="137"/>
      <c r="C531" s="251"/>
      <c r="D531" s="452"/>
      <c r="E531" s="136"/>
      <c r="F531" s="253"/>
      <c r="G531" s="253"/>
      <c r="H531" s="527"/>
      <c r="I531" s="141"/>
      <c r="J531" s="141"/>
      <c r="K531" s="142"/>
      <c r="L531" s="142"/>
      <c r="M531" s="142"/>
      <c r="N531" s="142"/>
      <c r="O531" s="136"/>
      <c r="P531" s="34"/>
      <c r="Q531" s="35"/>
      <c r="R531" s="35"/>
      <c r="S531" s="35"/>
      <c r="T531" s="35"/>
      <c r="U531" s="35"/>
      <c r="V531" s="35"/>
      <c r="W531" s="35"/>
      <c r="X531" s="35"/>
      <c r="Y531" s="35"/>
      <c r="Z531" s="35"/>
    </row>
    <row r="532" ht="14.25" customHeight="1">
      <c r="A532" s="136"/>
      <c r="B532" s="137"/>
      <c r="C532" s="251"/>
      <c r="D532" s="452"/>
      <c r="E532" s="136"/>
      <c r="F532" s="253"/>
      <c r="G532" s="253"/>
      <c r="H532" s="527"/>
      <c r="I532" s="141"/>
      <c r="J532" s="141"/>
      <c r="K532" s="142"/>
      <c r="L532" s="142"/>
      <c r="M532" s="142"/>
      <c r="N532" s="142"/>
      <c r="O532" s="136"/>
      <c r="P532" s="34"/>
      <c r="Q532" s="35"/>
      <c r="R532" s="35"/>
      <c r="S532" s="35"/>
      <c r="T532" s="35"/>
      <c r="U532" s="35"/>
      <c r="V532" s="35"/>
      <c r="W532" s="35"/>
      <c r="X532" s="35"/>
      <c r="Y532" s="35"/>
      <c r="Z532" s="35"/>
    </row>
    <row r="533" ht="14.25" customHeight="1">
      <c r="A533" s="136"/>
      <c r="B533" s="137"/>
      <c r="C533" s="251"/>
      <c r="D533" s="452"/>
      <c r="E533" s="136"/>
      <c r="F533" s="253"/>
      <c r="G533" s="253"/>
      <c r="H533" s="527"/>
      <c r="I533" s="141"/>
      <c r="J533" s="141"/>
      <c r="K533" s="142"/>
      <c r="L533" s="142"/>
      <c r="M533" s="142"/>
      <c r="N533" s="142"/>
      <c r="O533" s="136"/>
      <c r="P533" s="34"/>
      <c r="Q533" s="35"/>
      <c r="R533" s="35"/>
      <c r="S533" s="35"/>
      <c r="T533" s="35"/>
      <c r="U533" s="35"/>
      <c r="V533" s="35"/>
      <c r="W533" s="35"/>
      <c r="X533" s="35"/>
      <c r="Y533" s="35"/>
      <c r="Z533" s="35"/>
    </row>
    <row r="534" ht="14.25" customHeight="1">
      <c r="A534" s="136"/>
      <c r="B534" s="137"/>
      <c r="C534" s="251"/>
      <c r="D534" s="452"/>
      <c r="E534" s="136"/>
      <c r="F534" s="253"/>
      <c r="G534" s="253"/>
      <c r="H534" s="527"/>
      <c r="I534" s="141"/>
      <c r="J534" s="141"/>
      <c r="K534" s="142"/>
      <c r="L534" s="142"/>
      <c r="M534" s="142"/>
      <c r="N534" s="142"/>
      <c r="O534" s="136"/>
      <c r="P534" s="34"/>
      <c r="Q534" s="35"/>
      <c r="R534" s="35"/>
      <c r="S534" s="35"/>
      <c r="T534" s="35"/>
      <c r="U534" s="35"/>
      <c r="V534" s="35"/>
      <c r="W534" s="35"/>
      <c r="X534" s="35"/>
      <c r="Y534" s="35"/>
      <c r="Z534" s="35"/>
    </row>
    <row r="535" ht="14.25" customHeight="1">
      <c r="A535" s="136"/>
      <c r="B535" s="137"/>
      <c r="C535" s="251"/>
      <c r="D535" s="452"/>
      <c r="E535" s="136"/>
      <c r="F535" s="253"/>
      <c r="G535" s="253"/>
      <c r="H535" s="527"/>
      <c r="I535" s="141"/>
      <c r="J535" s="141"/>
      <c r="K535" s="142"/>
      <c r="L535" s="142"/>
      <c r="M535" s="142"/>
      <c r="N535" s="142"/>
      <c r="O535" s="136"/>
      <c r="P535" s="34"/>
      <c r="Q535" s="35"/>
      <c r="R535" s="35"/>
      <c r="S535" s="35"/>
      <c r="T535" s="35"/>
      <c r="U535" s="35"/>
      <c r="V535" s="35"/>
      <c r="W535" s="35"/>
      <c r="X535" s="35"/>
      <c r="Y535" s="35"/>
      <c r="Z535" s="35"/>
    </row>
    <row r="536" ht="14.25" customHeight="1">
      <c r="A536" s="136"/>
      <c r="B536" s="137"/>
      <c r="C536" s="251"/>
      <c r="D536" s="452"/>
      <c r="E536" s="136"/>
      <c r="F536" s="253"/>
      <c r="G536" s="253"/>
      <c r="H536" s="527"/>
      <c r="I536" s="141"/>
      <c r="J536" s="141"/>
      <c r="K536" s="142"/>
      <c r="L536" s="142"/>
      <c r="M536" s="142"/>
      <c r="N536" s="142"/>
      <c r="O536" s="136"/>
      <c r="P536" s="34"/>
      <c r="Q536" s="35"/>
      <c r="R536" s="35"/>
      <c r="S536" s="35"/>
      <c r="T536" s="35"/>
      <c r="U536" s="35"/>
      <c r="V536" s="35"/>
      <c r="W536" s="35"/>
      <c r="X536" s="35"/>
      <c r="Y536" s="35"/>
      <c r="Z536" s="35"/>
    </row>
    <row r="537" ht="14.25" customHeight="1">
      <c r="A537" s="136"/>
      <c r="B537" s="137"/>
      <c r="C537" s="251"/>
      <c r="D537" s="452"/>
      <c r="E537" s="136"/>
      <c r="F537" s="253"/>
      <c r="G537" s="253"/>
      <c r="H537" s="527"/>
      <c r="I537" s="141"/>
      <c r="J537" s="141"/>
      <c r="K537" s="142"/>
      <c r="L537" s="142"/>
      <c r="M537" s="142"/>
      <c r="N537" s="142"/>
      <c r="O537" s="136"/>
      <c r="P537" s="34"/>
      <c r="Q537" s="35"/>
      <c r="R537" s="35"/>
      <c r="S537" s="35"/>
      <c r="T537" s="35"/>
      <c r="U537" s="35"/>
      <c r="V537" s="35"/>
      <c r="W537" s="35"/>
      <c r="X537" s="35"/>
      <c r="Y537" s="35"/>
      <c r="Z537" s="35"/>
    </row>
    <row r="538" ht="14.25" customHeight="1">
      <c r="A538" s="136"/>
      <c r="B538" s="137"/>
      <c r="C538" s="251"/>
      <c r="D538" s="452"/>
      <c r="E538" s="136"/>
      <c r="F538" s="253"/>
      <c r="G538" s="253"/>
      <c r="H538" s="527"/>
      <c r="I538" s="141"/>
      <c r="J538" s="141"/>
      <c r="K538" s="142"/>
      <c r="L538" s="142"/>
      <c r="M538" s="142"/>
      <c r="N538" s="142"/>
      <c r="O538" s="136"/>
      <c r="P538" s="34"/>
      <c r="Q538" s="35"/>
      <c r="R538" s="35"/>
      <c r="S538" s="35"/>
      <c r="T538" s="35"/>
      <c r="U538" s="35"/>
      <c r="V538" s="35"/>
      <c r="W538" s="35"/>
      <c r="X538" s="35"/>
      <c r="Y538" s="35"/>
      <c r="Z538" s="35"/>
    </row>
    <row r="539" ht="14.25" customHeight="1">
      <c r="A539" s="136"/>
      <c r="B539" s="137"/>
      <c r="C539" s="251"/>
      <c r="D539" s="452"/>
      <c r="E539" s="136"/>
      <c r="F539" s="253"/>
      <c r="G539" s="253"/>
      <c r="H539" s="527"/>
      <c r="I539" s="141"/>
      <c r="J539" s="141"/>
      <c r="K539" s="142"/>
      <c r="L539" s="142"/>
      <c r="M539" s="142"/>
      <c r="N539" s="142"/>
      <c r="O539" s="136"/>
      <c r="P539" s="34"/>
      <c r="Q539" s="35"/>
      <c r="R539" s="35"/>
      <c r="S539" s="35"/>
      <c r="T539" s="35"/>
      <c r="U539" s="35"/>
      <c r="V539" s="35"/>
      <c r="W539" s="35"/>
      <c r="X539" s="35"/>
      <c r="Y539" s="35"/>
      <c r="Z539" s="35"/>
    </row>
    <row r="540" ht="14.25" customHeight="1">
      <c r="A540" s="136"/>
      <c r="B540" s="137"/>
      <c r="C540" s="251"/>
      <c r="D540" s="452"/>
      <c r="E540" s="136"/>
      <c r="F540" s="253"/>
      <c r="G540" s="253"/>
      <c r="H540" s="527"/>
      <c r="I540" s="141"/>
      <c r="J540" s="141"/>
      <c r="K540" s="142"/>
      <c r="L540" s="142"/>
      <c r="M540" s="142"/>
      <c r="N540" s="142"/>
      <c r="O540" s="136"/>
      <c r="P540" s="34"/>
      <c r="Q540" s="35"/>
      <c r="R540" s="35"/>
      <c r="S540" s="35"/>
      <c r="T540" s="35"/>
      <c r="U540" s="35"/>
      <c r="V540" s="35"/>
      <c r="W540" s="35"/>
      <c r="X540" s="35"/>
      <c r="Y540" s="35"/>
      <c r="Z540" s="35"/>
    </row>
    <row r="541" ht="14.25" customHeight="1">
      <c r="A541" s="136"/>
      <c r="B541" s="137"/>
      <c r="C541" s="251"/>
      <c r="D541" s="452"/>
      <c r="E541" s="136"/>
      <c r="F541" s="253"/>
      <c r="G541" s="253"/>
      <c r="H541" s="527"/>
      <c r="I541" s="141"/>
      <c r="J541" s="141"/>
      <c r="K541" s="142"/>
      <c r="L541" s="142"/>
      <c r="M541" s="142"/>
      <c r="N541" s="142"/>
      <c r="O541" s="136"/>
      <c r="P541" s="34"/>
      <c r="Q541" s="35"/>
      <c r="R541" s="35"/>
      <c r="S541" s="35"/>
      <c r="T541" s="35"/>
      <c r="U541" s="35"/>
      <c r="V541" s="35"/>
      <c r="W541" s="35"/>
      <c r="X541" s="35"/>
      <c r="Y541" s="35"/>
      <c r="Z541" s="35"/>
    </row>
    <row r="542" ht="14.25" customHeight="1">
      <c r="A542" s="136"/>
      <c r="B542" s="137"/>
      <c r="C542" s="251"/>
      <c r="D542" s="452"/>
      <c r="E542" s="136"/>
      <c r="F542" s="253"/>
      <c r="G542" s="253"/>
      <c r="H542" s="527"/>
      <c r="I542" s="141"/>
      <c r="J542" s="141"/>
      <c r="K542" s="142"/>
      <c r="L542" s="142"/>
      <c r="M542" s="142"/>
      <c r="N542" s="142"/>
      <c r="O542" s="136"/>
      <c r="P542" s="34"/>
      <c r="Q542" s="35"/>
      <c r="R542" s="35"/>
      <c r="S542" s="35"/>
      <c r="T542" s="35"/>
      <c r="U542" s="35"/>
      <c r="V542" s="35"/>
      <c r="W542" s="35"/>
      <c r="X542" s="35"/>
      <c r="Y542" s="35"/>
      <c r="Z542" s="35"/>
    </row>
    <row r="543" ht="14.25" customHeight="1">
      <c r="A543" s="136"/>
      <c r="B543" s="137"/>
      <c r="C543" s="251"/>
      <c r="D543" s="452"/>
      <c r="E543" s="136"/>
      <c r="F543" s="253"/>
      <c r="G543" s="253"/>
      <c r="H543" s="527"/>
      <c r="I543" s="141"/>
      <c r="J543" s="141"/>
      <c r="K543" s="142"/>
      <c r="L543" s="142"/>
      <c r="M543" s="142"/>
      <c r="N543" s="142"/>
      <c r="O543" s="136"/>
      <c r="P543" s="34"/>
      <c r="Q543" s="35"/>
      <c r="R543" s="35"/>
      <c r="S543" s="35"/>
      <c r="T543" s="35"/>
      <c r="U543" s="35"/>
      <c r="V543" s="35"/>
      <c r="W543" s="35"/>
      <c r="X543" s="35"/>
      <c r="Y543" s="35"/>
      <c r="Z543" s="35"/>
    </row>
    <row r="544" ht="14.25" customHeight="1">
      <c r="A544" s="136"/>
      <c r="B544" s="137"/>
      <c r="C544" s="251"/>
      <c r="D544" s="452"/>
      <c r="E544" s="136"/>
      <c r="F544" s="253"/>
      <c r="G544" s="253"/>
      <c r="H544" s="527"/>
      <c r="I544" s="141"/>
      <c r="J544" s="141"/>
      <c r="K544" s="142"/>
      <c r="L544" s="142"/>
      <c r="M544" s="142"/>
      <c r="N544" s="142"/>
      <c r="O544" s="136"/>
      <c r="P544" s="34"/>
      <c r="Q544" s="35"/>
      <c r="R544" s="35"/>
      <c r="S544" s="35"/>
      <c r="T544" s="35"/>
      <c r="U544" s="35"/>
      <c r="V544" s="35"/>
      <c r="W544" s="35"/>
      <c r="X544" s="35"/>
      <c r="Y544" s="35"/>
      <c r="Z544" s="35"/>
    </row>
    <row r="545" ht="14.25" customHeight="1">
      <c r="A545" s="136"/>
      <c r="B545" s="137"/>
      <c r="C545" s="251"/>
      <c r="D545" s="452"/>
      <c r="E545" s="136"/>
      <c r="F545" s="253"/>
      <c r="G545" s="253"/>
      <c r="H545" s="527"/>
      <c r="I545" s="141"/>
      <c r="J545" s="141"/>
      <c r="K545" s="142"/>
      <c r="L545" s="142"/>
      <c r="M545" s="142"/>
      <c r="N545" s="142"/>
      <c r="O545" s="136"/>
      <c r="P545" s="34"/>
      <c r="Q545" s="35"/>
      <c r="R545" s="35"/>
      <c r="S545" s="35"/>
      <c r="T545" s="35"/>
      <c r="U545" s="35"/>
      <c r="V545" s="35"/>
      <c r="W545" s="35"/>
      <c r="X545" s="35"/>
      <c r="Y545" s="35"/>
      <c r="Z545" s="35"/>
    </row>
    <row r="546" ht="14.25" customHeight="1">
      <c r="A546" s="136"/>
      <c r="B546" s="137"/>
      <c r="C546" s="251"/>
      <c r="D546" s="452"/>
      <c r="E546" s="136"/>
      <c r="F546" s="253"/>
      <c r="G546" s="253"/>
      <c r="H546" s="527"/>
      <c r="I546" s="141"/>
      <c r="J546" s="141"/>
      <c r="K546" s="142"/>
      <c r="L546" s="142"/>
      <c r="M546" s="142"/>
      <c r="N546" s="142"/>
      <c r="O546" s="136"/>
      <c r="P546" s="34"/>
      <c r="Q546" s="35"/>
      <c r="R546" s="35"/>
      <c r="S546" s="35"/>
      <c r="T546" s="35"/>
      <c r="U546" s="35"/>
      <c r="V546" s="35"/>
      <c r="W546" s="35"/>
      <c r="X546" s="35"/>
      <c r="Y546" s="35"/>
      <c r="Z546" s="35"/>
    </row>
    <row r="547" ht="14.25" customHeight="1">
      <c r="A547" s="136"/>
      <c r="B547" s="137"/>
      <c r="C547" s="251"/>
      <c r="D547" s="452"/>
      <c r="E547" s="136"/>
      <c r="F547" s="253"/>
      <c r="G547" s="253"/>
      <c r="H547" s="527"/>
      <c r="I547" s="141"/>
      <c r="J547" s="141"/>
      <c r="K547" s="142"/>
      <c r="L547" s="142"/>
      <c r="M547" s="142"/>
      <c r="N547" s="142"/>
      <c r="O547" s="136"/>
      <c r="P547" s="34"/>
      <c r="Q547" s="35"/>
      <c r="R547" s="35"/>
      <c r="S547" s="35"/>
      <c r="T547" s="35"/>
      <c r="U547" s="35"/>
      <c r="V547" s="35"/>
      <c r="W547" s="35"/>
      <c r="X547" s="35"/>
      <c r="Y547" s="35"/>
      <c r="Z547" s="35"/>
    </row>
    <row r="548" ht="14.25" customHeight="1">
      <c r="A548" s="136"/>
      <c r="B548" s="137"/>
      <c r="C548" s="251"/>
      <c r="D548" s="452"/>
      <c r="E548" s="136"/>
      <c r="F548" s="253"/>
      <c r="G548" s="253"/>
      <c r="H548" s="527"/>
      <c r="I548" s="141"/>
      <c r="J548" s="141"/>
      <c r="K548" s="142"/>
      <c r="L548" s="142"/>
      <c r="M548" s="142"/>
      <c r="N548" s="142"/>
      <c r="O548" s="136"/>
      <c r="P548" s="34"/>
      <c r="Q548" s="35"/>
      <c r="R548" s="35"/>
      <c r="S548" s="35"/>
      <c r="T548" s="35"/>
      <c r="U548" s="35"/>
      <c r="V548" s="35"/>
      <c r="W548" s="35"/>
      <c r="X548" s="35"/>
      <c r="Y548" s="35"/>
      <c r="Z548" s="35"/>
    </row>
    <row r="549" ht="14.25" customHeight="1">
      <c r="A549" s="136"/>
      <c r="B549" s="137"/>
      <c r="C549" s="251"/>
      <c r="D549" s="452"/>
      <c r="E549" s="136"/>
      <c r="F549" s="253"/>
      <c r="G549" s="253"/>
      <c r="H549" s="527"/>
      <c r="I549" s="141"/>
      <c r="J549" s="141"/>
      <c r="K549" s="142"/>
      <c r="L549" s="142"/>
      <c r="M549" s="142"/>
      <c r="N549" s="142"/>
      <c r="O549" s="136"/>
      <c r="P549" s="34"/>
      <c r="Q549" s="35"/>
      <c r="R549" s="35"/>
      <c r="S549" s="35"/>
      <c r="T549" s="35"/>
      <c r="U549" s="35"/>
      <c r="V549" s="35"/>
      <c r="W549" s="35"/>
      <c r="X549" s="35"/>
      <c r="Y549" s="35"/>
      <c r="Z549" s="35"/>
    </row>
    <row r="550" ht="14.25" customHeight="1">
      <c r="A550" s="136"/>
      <c r="B550" s="137"/>
      <c r="C550" s="251"/>
      <c r="D550" s="452"/>
      <c r="E550" s="136"/>
      <c r="F550" s="253"/>
      <c r="G550" s="253"/>
      <c r="H550" s="527"/>
      <c r="I550" s="141"/>
      <c r="J550" s="141"/>
      <c r="K550" s="142"/>
      <c r="L550" s="142"/>
      <c r="M550" s="142"/>
      <c r="N550" s="142"/>
      <c r="O550" s="136"/>
      <c r="P550" s="34"/>
      <c r="Q550" s="35"/>
      <c r="R550" s="35"/>
      <c r="S550" s="35"/>
      <c r="T550" s="35"/>
      <c r="U550" s="35"/>
      <c r="V550" s="35"/>
      <c r="W550" s="35"/>
      <c r="X550" s="35"/>
      <c r="Y550" s="35"/>
      <c r="Z550" s="35"/>
    </row>
    <row r="551" ht="14.25" customHeight="1">
      <c r="A551" s="136"/>
      <c r="B551" s="137"/>
      <c r="C551" s="251"/>
      <c r="D551" s="452"/>
      <c r="E551" s="136"/>
      <c r="F551" s="253"/>
      <c r="G551" s="253"/>
      <c r="H551" s="527"/>
      <c r="I551" s="141"/>
      <c r="J551" s="141"/>
      <c r="K551" s="142"/>
      <c r="L551" s="142"/>
      <c r="M551" s="142"/>
      <c r="N551" s="142"/>
      <c r="O551" s="136"/>
      <c r="P551" s="34"/>
      <c r="Q551" s="35"/>
      <c r="R551" s="35"/>
      <c r="S551" s="35"/>
      <c r="T551" s="35"/>
      <c r="U551" s="35"/>
      <c r="V551" s="35"/>
      <c r="W551" s="35"/>
      <c r="X551" s="35"/>
      <c r="Y551" s="35"/>
      <c r="Z551" s="35"/>
    </row>
    <row r="552" ht="14.25" customHeight="1">
      <c r="A552" s="136"/>
      <c r="B552" s="137"/>
      <c r="C552" s="251"/>
      <c r="D552" s="452"/>
      <c r="E552" s="136"/>
      <c r="F552" s="253"/>
      <c r="G552" s="253"/>
      <c r="H552" s="527"/>
      <c r="I552" s="141"/>
      <c r="J552" s="141"/>
      <c r="K552" s="142"/>
      <c r="L552" s="142"/>
      <c r="M552" s="142"/>
      <c r="N552" s="142"/>
      <c r="O552" s="136"/>
      <c r="P552" s="34"/>
      <c r="Q552" s="35"/>
      <c r="R552" s="35"/>
      <c r="S552" s="35"/>
      <c r="T552" s="35"/>
      <c r="U552" s="35"/>
      <c r="V552" s="35"/>
      <c r="W552" s="35"/>
      <c r="X552" s="35"/>
      <c r="Y552" s="35"/>
      <c r="Z552" s="35"/>
    </row>
    <row r="553" ht="14.25" customHeight="1">
      <c r="A553" s="136"/>
      <c r="B553" s="137"/>
      <c r="C553" s="251"/>
      <c r="D553" s="452"/>
      <c r="E553" s="136"/>
      <c r="F553" s="253"/>
      <c r="G553" s="253"/>
      <c r="H553" s="527"/>
      <c r="I553" s="141"/>
      <c r="J553" s="141"/>
      <c r="K553" s="142"/>
      <c r="L553" s="142"/>
      <c r="M553" s="142"/>
      <c r="N553" s="142"/>
      <c r="O553" s="136"/>
      <c r="P553" s="34"/>
      <c r="Q553" s="35"/>
      <c r="R553" s="35"/>
      <c r="S553" s="35"/>
      <c r="T553" s="35"/>
      <c r="U553" s="35"/>
      <c r="V553" s="35"/>
      <c r="W553" s="35"/>
      <c r="X553" s="35"/>
      <c r="Y553" s="35"/>
      <c r="Z553" s="35"/>
    </row>
    <row r="554" ht="14.25" customHeight="1">
      <c r="A554" s="136"/>
      <c r="B554" s="137"/>
      <c r="C554" s="251"/>
      <c r="D554" s="452"/>
      <c r="E554" s="136"/>
      <c r="F554" s="253"/>
      <c r="G554" s="253"/>
      <c r="H554" s="527"/>
      <c r="I554" s="141"/>
      <c r="J554" s="141"/>
      <c r="K554" s="142"/>
      <c r="L554" s="142"/>
      <c r="M554" s="142"/>
      <c r="N554" s="142"/>
      <c r="O554" s="136"/>
      <c r="P554" s="34"/>
      <c r="Q554" s="35"/>
      <c r="R554" s="35"/>
      <c r="S554" s="35"/>
      <c r="T554" s="35"/>
      <c r="U554" s="35"/>
      <c r="V554" s="35"/>
      <c r="W554" s="35"/>
      <c r="X554" s="35"/>
      <c r="Y554" s="35"/>
      <c r="Z554" s="35"/>
    </row>
    <row r="555" ht="14.25" customHeight="1">
      <c r="A555" s="136"/>
      <c r="B555" s="137"/>
      <c r="C555" s="251"/>
      <c r="D555" s="452"/>
      <c r="E555" s="136"/>
      <c r="F555" s="253"/>
      <c r="G555" s="253"/>
      <c r="H555" s="527"/>
      <c r="I555" s="141"/>
      <c r="J555" s="141"/>
      <c r="K555" s="142"/>
      <c r="L555" s="142"/>
      <c r="M555" s="142"/>
      <c r="N555" s="142"/>
      <c r="O555" s="136"/>
      <c r="P555" s="34"/>
      <c r="Q555" s="35"/>
      <c r="R555" s="35"/>
      <c r="S555" s="35"/>
      <c r="T555" s="35"/>
      <c r="U555" s="35"/>
      <c r="V555" s="35"/>
      <c r="W555" s="35"/>
      <c r="X555" s="35"/>
      <c r="Y555" s="35"/>
      <c r="Z555" s="35"/>
    </row>
    <row r="556" ht="14.25" customHeight="1">
      <c r="A556" s="136"/>
      <c r="B556" s="137"/>
      <c r="C556" s="251"/>
      <c r="D556" s="452"/>
      <c r="E556" s="136"/>
      <c r="F556" s="253"/>
      <c r="G556" s="253"/>
      <c r="H556" s="527"/>
      <c r="I556" s="141"/>
      <c r="J556" s="141"/>
      <c r="K556" s="142"/>
      <c r="L556" s="142"/>
      <c r="M556" s="142"/>
      <c r="N556" s="142"/>
      <c r="O556" s="136"/>
      <c r="P556" s="34"/>
      <c r="Q556" s="35"/>
      <c r="R556" s="35"/>
      <c r="S556" s="35"/>
      <c r="T556" s="35"/>
      <c r="U556" s="35"/>
      <c r="V556" s="35"/>
      <c r="W556" s="35"/>
      <c r="X556" s="35"/>
      <c r="Y556" s="35"/>
      <c r="Z556" s="35"/>
    </row>
    <row r="557" ht="14.25" customHeight="1">
      <c r="A557" s="136"/>
      <c r="B557" s="137"/>
      <c r="C557" s="251"/>
      <c r="D557" s="452"/>
      <c r="E557" s="136"/>
      <c r="F557" s="253"/>
      <c r="G557" s="253"/>
      <c r="H557" s="527"/>
      <c r="I557" s="141"/>
      <c r="J557" s="141"/>
      <c r="K557" s="142"/>
      <c r="L557" s="142"/>
      <c r="M557" s="142"/>
      <c r="N557" s="142"/>
      <c r="O557" s="136"/>
      <c r="P557" s="34"/>
      <c r="Q557" s="35"/>
      <c r="R557" s="35"/>
      <c r="S557" s="35"/>
      <c r="T557" s="35"/>
      <c r="U557" s="35"/>
      <c r="V557" s="35"/>
      <c r="W557" s="35"/>
      <c r="X557" s="35"/>
      <c r="Y557" s="35"/>
      <c r="Z557" s="35"/>
    </row>
    <row r="558" ht="14.25" customHeight="1">
      <c r="A558" s="136"/>
      <c r="B558" s="137"/>
      <c r="C558" s="251"/>
      <c r="D558" s="452"/>
      <c r="E558" s="136"/>
      <c r="F558" s="253"/>
      <c r="G558" s="253"/>
      <c r="H558" s="527"/>
      <c r="I558" s="141"/>
      <c r="J558" s="141"/>
      <c r="K558" s="142"/>
      <c r="L558" s="142"/>
      <c r="M558" s="142"/>
      <c r="N558" s="142"/>
      <c r="O558" s="136"/>
      <c r="P558" s="34"/>
      <c r="Q558" s="35"/>
      <c r="R558" s="35"/>
      <c r="S558" s="35"/>
      <c r="T558" s="35"/>
      <c r="U558" s="35"/>
      <c r="V558" s="35"/>
      <c r="W558" s="35"/>
      <c r="X558" s="35"/>
      <c r="Y558" s="35"/>
      <c r="Z558" s="35"/>
    </row>
    <row r="559" ht="14.25" customHeight="1">
      <c r="A559" s="136"/>
      <c r="B559" s="137"/>
      <c r="C559" s="251"/>
      <c r="D559" s="452"/>
      <c r="E559" s="136"/>
      <c r="F559" s="253"/>
      <c r="G559" s="253"/>
      <c r="H559" s="527"/>
      <c r="I559" s="141"/>
      <c r="J559" s="141"/>
      <c r="K559" s="142"/>
      <c r="L559" s="142"/>
      <c r="M559" s="142"/>
      <c r="N559" s="142"/>
      <c r="O559" s="136"/>
      <c r="P559" s="34"/>
      <c r="Q559" s="35"/>
      <c r="R559" s="35"/>
      <c r="S559" s="35"/>
      <c r="T559" s="35"/>
      <c r="U559" s="35"/>
      <c r="V559" s="35"/>
      <c r="W559" s="35"/>
      <c r="X559" s="35"/>
      <c r="Y559" s="35"/>
      <c r="Z559" s="35"/>
    </row>
    <row r="560" ht="14.25" customHeight="1">
      <c r="A560" s="136"/>
      <c r="B560" s="137"/>
      <c r="C560" s="251"/>
      <c r="D560" s="452"/>
      <c r="E560" s="136"/>
      <c r="F560" s="253"/>
      <c r="G560" s="253"/>
      <c r="H560" s="527"/>
      <c r="I560" s="141"/>
      <c r="J560" s="141"/>
      <c r="K560" s="142"/>
      <c r="L560" s="142"/>
      <c r="M560" s="142"/>
      <c r="N560" s="142"/>
      <c r="O560" s="136"/>
      <c r="P560" s="34"/>
      <c r="Q560" s="35"/>
      <c r="R560" s="35"/>
      <c r="S560" s="35"/>
      <c r="T560" s="35"/>
      <c r="U560" s="35"/>
      <c r="V560" s="35"/>
      <c r="W560" s="35"/>
      <c r="X560" s="35"/>
      <c r="Y560" s="35"/>
      <c r="Z560" s="35"/>
    </row>
    <row r="561" ht="14.25" customHeight="1">
      <c r="A561" s="136"/>
      <c r="B561" s="137"/>
      <c r="C561" s="251"/>
      <c r="D561" s="452"/>
      <c r="E561" s="136"/>
      <c r="F561" s="253"/>
      <c r="G561" s="253"/>
      <c r="H561" s="527"/>
      <c r="I561" s="141"/>
      <c r="J561" s="141"/>
      <c r="K561" s="142"/>
      <c r="L561" s="142"/>
      <c r="M561" s="142"/>
      <c r="N561" s="142"/>
      <c r="O561" s="136"/>
      <c r="P561" s="34"/>
      <c r="Q561" s="35"/>
      <c r="R561" s="35"/>
      <c r="S561" s="35"/>
      <c r="T561" s="35"/>
      <c r="U561" s="35"/>
      <c r="V561" s="35"/>
      <c r="W561" s="35"/>
      <c r="X561" s="35"/>
      <c r="Y561" s="35"/>
      <c r="Z561" s="35"/>
    </row>
    <row r="562" ht="14.25" customHeight="1">
      <c r="A562" s="136"/>
      <c r="B562" s="137"/>
      <c r="C562" s="251"/>
      <c r="D562" s="452"/>
      <c r="E562" s="136"/>
      <c r="F562" s="253"/>
      <c r="G562" s="253"/>
      <c r="H562" s="527"/>
      <c r="I562" s="141"/>
      <c r="J562" s="141"/>
      <c r="K562" s="142"/>
      <c r="L562" s="142"/>
      <c r="M562" s="142"/>
      <c r="N562" s="142"/>
      <c r="O562" s="136"/>
      <c r="P562" s="34"/>
      <c r="Q562" s="35"/>
      <c r="R562" s="35"/>
      <c r="S562" s="35"/>
      <c r="T562" s="35"/>
      <c r="U562" s="35"/>
      <c r="V562" s="35"/>
      <c r="W562" s="35"/>
      <c r="X562" s="35"/>
      <c r="Y562" s="35"/>
      <c r="Z562" s="35"/>
    </row>
    <row r="563" ht="14.25" customHeight="1">
      <c r="A563" s="136"/>
      <c r="B563" s="137"/>
      <c r="C563" s="251"/>
      <c r="D563" s="452"/>
      <c r="E563" s="136"/>
      <c r="F563" s="253"/>
      <c r="G563" s="253"/>
      <c r="H563" s="527"/>
      <c r="I563" s="141"/>
      <c r="J563" s="141"/>
      <c r="K563" s="142"/>
      <c r="L563" s="142"/>
      <c r="M563" s="142"/>
      <c r="N563" s="142"/>
      <c r="O563" s="136"/>
      <c r="P563" s="34"/>
      <c r="Q563" s="35"/>
      <c r="R563" s="35"/>
      <c r="S563" s="35"/>
      <c r="T563" s="35"/>
      <c r="U563" s="35"/>
      <c r="V563" s="35"/>
      <c r="W563" s="35"/>
      <c r="X563" s="35"/>
      <c r="Y563" s="35"/>
      <c r="Z563" s="35"/>
    </row>
    <row r="564" ht="14.25" customHeight="1">
      <c r="A564" s="136"/>
      <c r="B564" s="137"/>
      <c r="C564" s="251"/>
      <c r="D564" s="452"/>
      <c r="E564" s="136"/>
      <c r="F564" s="253"/>
      <c r="G564" s="253"/>
      <c r="H564" s="527"/>
      <c r="I564" s="141"/>
      <c r="J564" s="141"/>
      <c r="K564" s="142"/>
      <c r="L564" s="142"/>
      <c r="M564" s="142"/>
      <c r="N564" s="142"/>
      <c r="O564" s="136"/>
      <c r="P564" s="34"/>
      <c r="Q564" s="35"/>
      <c r="R564" s="35"/>
      <c r="S564" s="35"/>
      <c r="T564" s="35"/>
      <c r="U564" s="35"/>
      <c r="V564" s="35"/>
      <c r="W564" s="35"/>
      <c r="X564" s="35"/>
      <c r="Y564" s="35"/>
      <c r="Z564" s="35"/>
    </row>
    <row r="565" ht="14.25" customHeight="1">
      <c r="A565" s="136"/>
      <c r="B565" s="137"/>
      <c r="C565" s="251"/>
      <c r="D565" s="452"/>
      <c r="E565" s="136"/>
      <c r="F565" s="253"/>
      <c r="G565" s="253"/>
      <c r="H565" s="527"/>
      <c r="I565" s="141"/>
      <c r="J565" s="141"/>
      <c r="K565" s="142"/>
      <c r="L565" s="142"/>
      <c r="M565" s="142"/>
      <c r="N565" s="142"/>
      <c r="O565" s="136"/>
      <c r="P565" s="34"/>
      <c r="Q565" s="35"/>
      <c r="R565" s="35"/>
      <c r="S565" s="35"/>
      <c r="T565" s="35"/>
      <c r="U565" s="35"/>
      <c r="V565" s="35"/>
      <c r="W565" s="35"/>
      <c r="X565" s="35"/>
      <c r="Y565" s="35"/>
      <c r="Z565" s="35"/>
    </row>
    <row r="566" ht="14.25" customHeight="1">
      <c r="A566" s="136"/>
      <c r="B566" s="137"/>
      <c r="C566" s="251"/>
      <c r="D566" s="452"/>
      <c r="E566" s="136"/>
      <c r="F566" s="253"/>
      <c r="G566" s="253"/>
      <c r="H566" s="527"/>
      <c r="I566" s="141"/>
      <c r="J566" s="141"/>
      <c r="K566" s="142"/>
      <c r="L566" s="142"/>
      <c r="M566" s="142"/>
      <c r="N566" s="142"/>
      <c r="O566" s="136"/>
      <c r="P566" s="34"/>
      <c r="Q566" s="35"/>
      <c r="R566" s="35"/>
      <c r="S566" s="35"/>
      <c r="T566" s="35"/>
      <c r="U566" s="35"/>
      <c r="V566" s="35"/>
      <c r="W566" s="35"/>
      <c r="X566" s="35"/>
      <c r="Y566" s="35"/>
      <c r="Z566" s="35"/>
    </row>
    <row r="567" ht="14.25" customHeight="1">
      <c r="A567" s="136"/>
      <c r="B567" s="137"/>
      <c r="C567" s="251"/>
      <c r="D567" s="452"/>
      <c r="E567" s="136"/>
      <c r="F567" s="253"/>
      <c r="G567" s="253"/>
      <c r="H567" s="527"/>
      <c r="I567" s="141"/>
      <c r="J567" s="141"/>
      <c r="K567" s="142"/>
      <c r="L567" s="142"/>
      <c r="M567" s="142"/>
      <c r="N567" s="142"/>
      <c r="O567" s="136"/>
      <c r="P567" s="34"/>
      <c r="Q567" s="35"/>
      <c r="R567" s="35"/>
      <c r="S567" s="35"/>
      <c r="T567" s="35"/>
      <c r="U567" s="35"/>
      <c r="V567" s="35"/>
      <c r="W567" s="35"/>
      <c r="X567" s="35"/>
      <c r="Y567" s="35"/>
      <c r="Z567" s="35"/>
    </row>
    <row r="568" ht="14.25" customHeight="1">
      <c r="A568" s="136"/>
      <c r="B568" s="137"/>
      <c r="C568" s="251"/>
      <c r="D568" s="452"/>
      <c r="E568" s="136"/>
      <c r="F568" s="253"/>
      <c r="G568" s="253"/>
      <c r="H568" s="527"/>
      <c r="I568" s="141"/>
      <c r="J568" s="141"/>
      <c r="K568" s="142"/>
      <c r="L568" s="142"/>
      <c r="M568" s="142"/>
      <c r="N568" s="142"/>
      <c r="O568" s="136"/>
      <c r="P568" s="34"/>
      <c r="Q568" s="35"/>
      <c r="R568" s="35"/>
      <c r="S568" s="35"/>
      <c r="T568" s="35"/>
      <c r="U568" s="35"/>
      <c r="V568" s="35"/>
      <c r="W568" s="35"/>
      <c r="X568" s="35"/>
      <c r="Y568" s="35"/>
      <c r="Z568" s="35"/>
    </row>
    <row r="569" ht="14.25" customHeight="1">
      <c r="A569" s="136"/>
      <c r="B569" s="137"/>
      <c r="C569" s="251"/>
      <c r="D569" s="452"/>
      <c r="E569" s="136"/>
      <c r="F569" s="253"/>
      <c r="G569" s="253"/>
      <c r="H569" s="527"/>
      <c r="I569" s="141"/>
      <c r="J569" s="141"/>
      <c r="K569" s="142"/>
      <c r="L569" s="142"/>
      <c r="M569" s="142"/>
      <c r="N569" s="142"/>
      <c r="O569" s="136"/>
      <c r="P569" s="34"/>
      <c r="Q569" s="35"/>
      <c r="R569" s="35"/>
      <c r="S569" s="35"/>
      <c r="T569" s="35"/>
      <c r="U569" s="35"/>
      <c r="V569" s="35"/>
      <c r="W569" s="35"/>
      <c r="X569" s="35"/>
      <c r="Y569" s="35"/>
      <c r="Z569" s="35"/>
    </row>
    <row r="570" ht="14.25" customHeight="1">
      <c r="A570" s="136"/>
      <c r="B570" s="137"/>
      <c r="C570" s="251"/>
      <c r="D570" s="452"/>
      <c r="E570" s="136"/>
      <c r="F570" s="253"/>
      <c r="G570" s="253"/>
      <c r="H570" s="527"/>
      <c r="I570" s="141"/>
      <c r="J570" s="141"/>
      <c r="K570" s="142"/>
      <c r="L570" s="142"/>
      <c r="M570" s="142"/>
      <c r="N570" s="142"/>
      <c r="O570" s="136"/>
      <c r="P570" s="34"/>
      <c r="Q570" s="35"/>
      <c r="R570" s="35"/>
      <c r="S570" s="35"/>
      <c r="T570" s="35"/>
      <c r="U570" s="35"/>
      <c r="V570" s="35"/>
      <c r="W570" s="35"/>
      <c r="X570" s="35"/>
      <c r="Y570" s="35"/>
      <c r="Z570" s="35"/>
    </row>
    <row r="571" ht="14.25" customHeight="1">
      <c r="A571" s="136"/>
      <c r="B571" s="137"/>
      <c r="C571" s="251"/>
      <c r="D571" s="452"/>
      <c r="E571" s="136"/>
      <c r="F571" s="253"/>
      <c r="G571" s="253"/>
      <c r="H571" s="527"/>
      <c r="I571" s="141"/>
      <c r="J571" s="141"/>
      <c r="K571" s="142"/>
      <c r="L571" s="142"/>
      <c r="M571" s="142"/>
      <c r="N571" s="142"/>
      <c r="O571" s="136"/>
      <c r="P571" s="34"/>
      <c r="Q571" s="35"/>
      <c r="R571" s="35"/>
      <c r="S571" s="35"/>
      <c r="T571" s="35"/>
      <c r="U571" s="35"/>
      <c r="V571" s="35"/>
      <c r="W571" s="35"/>
      <c r="X571" s="35"/>
      <c r="Y571" s="35"/>
      <c r="Z571" s="35"/>
    </row>
    <row r="572" ht="14.25" customHeight="1">
      <c r="A572" s="136"/>
      <c r="B572" s="137"/>
      <c r="C572" s="251"/>
      <c r="D572" s="452"/>
      <c r="E572" s="136"/>
      <c r="F572" s="253"/>
      <c r="G572" s="253"/>
      <c r="H572" s="527"/>
      <c r="I572" s="141"/>
      <c r="J572" s="141"/>
      <c r="K572" s="142"/>
      <c r="L572" s="142"/>
      <c r="M572" s="142"/>
      <c r="N572" s="142"/>
      <c r="O572" s="136"/>
      <c r="P572" s="34"/>
      <c r="Q572" s="35"/>
      <c r="R572" s="35"/>
      <c r="S572" s="35"/>
      <c r="T572" s="35"/>
      <c r="U572" s="35"/>
      <c r="V572" s="35"/>
      <c r="W572" s="35"/>
      <c r="X572" s="35"/>
      <c r="Y572" s="35"/>
      <c r="Z572" s="35"/>
    </row>
    <row r="573" ht="14.25" customHeight="1">
      <c r="A573" s="136"/>
      <c r="B573" s="137"/>
      <c r="C573" s="251"/>
      <c r="D573" s="452"/>
      <c r="E573" s="136"/>
      <c r="F573" s="253"/>
      <c r="G573" s="253"/>
      <c r="H573" s="527"/>
      <c r="I573" s="141"/>
      <c r="J573" s="141"/>
      <c r="K573" s="142"/>
      <c r="L573" s="142"/>
      <c r="M573" s="142"/>
      <c r="N573" s="142"/>
      <c r="O573" s="136"/>
      <c r="P573" s="34"/>
      <c r="Q573" s="35"/>
      <c r="R573" s="35"/>
      <c r="S573" s="35"/>
      <c r="T573" s="35"/>
      <c r="U573" s="35"/>
      <c r="V573" s="35"/>
      <c r="W573" s="35"/>
      <c r="X573" s="35"/>
      <c r="Y573" s="35"/>
      <c r="Z573" s="35"/>
    </row>
    <row r="574" ht="14.25" customHeight="1">
      <c r="A574" s="136"/>
      <c r="B574" s="137"/>
      <c r="C574" s="251"/>
      <c r="D574" s="452"/>
      <c r="E574" s="136"/>
      <c r="F574" s="253"/>
      <c r="G574" s="253"/>
      <c r="H574" s="527"/>
      <c r="I574" s="141"/>
      <c r="J574" s="141"/>
      <c r="K574" s="142"/>
      <c r="L574" s="142"/>
      <c r="M574" s="142"/>
      <c r="N574" s="142"/>
      <c r="O574" s="136"/>
      <c r="P574" s="34"/>
      <c r="Q574" s="35"/>
      <c r="R574" s="35"/>
      <c r="S574" s="35"/>
      <c r="T574" s="35"/>
      <c r="U574" s="35"/>
      <c r="V574" s="35"/>
      <c r="W574" s="35"/>
      <c r="X574" s="35"/>
      <c r="Y574" s="35"/>
      <c r="Z574" s="35"/>
    </row>
    <row r="575" ht="14.25" customHeight="1">
      <c r="A575" s="136"/>
      <c r="B575" s="137"/>
      <c r="C575" s="251"/>
      <c r="D575" s="452"/>
      <c r="E575" s="136"/>
      <c r="F575" s="253"/>
      <c r="G575" s="253"/>
      <c r="H575" s="527"/>
      <c r="I575" s="141"/>
      <c r="J575" s="141"/>
      <c r="K575" s="142"/>
      <c r="L575" s="142"/>
      <c r="M575" s="142"/>
      <c r="N575" s="142"/>
      <c r="O575" s="136"/>
      <c r="P575" s="34"/>
      <c r="Q575" s="35"/>
      <c r="R575" s="35"/>
      <c r="S575" s="35"/>
      <c r="T575" s="35"/>
      <c r="U575" s="35"/>
      <c r="V575" s="35"/>
      <c r="W575" s="35"/>
      <c r="X575" s="35"/>
      <c r="Y575" s="35"/>
      <c r="Z575" s="35"/>
    </row>
    <row r="576" ht="14.25" customHeight="1">
      <c r="A576" s="136"/>
      <c r="B576" s="137"/>
      <c r="C576" s="251"/>
      <c r="D576" s="452"/>
      <c r="E576" s="136"/>
      <c r="F576" s="253"/>
      <c r="G576" s="253"/>
      <c r="H576" s="527"/>
      <c r="I576" s="141"/>
      <c r="J576" s="141"/>
      <c r="K576" s="142"/>
      <c r="L576" s="142"/>
      <c r="M576" s="142"/>
      <c r="N576" s="142"/>
      <c r="O576" s="136"/>
      <c r="P576" s="34"/>
      <c r="Q576" s="35"/>
      <c r="R576" s="35"/>
      <c r="S576" s="35"/>
      <c r="T576" s="35"/>
      <c r="U576" s="35"/>
      <c r="V576" s="35"/>
      <c r="W576" s="35"/>
      <c r="X576" s="35"/>
      <c r="Y576" s="35"/>
      <c r="Z576" s="35"/>
    </row>
    <row r="577" ht="14.25" customHeight="1">
      <c r="A577" s="136"/>
      <c r="B577" s="137"/>
      <c r="C577" s="251"/>
      <c r="D577" s="452"/>
      <c r="E577" s="136"/>
      <c r="F577" s="253"/>
      <c r="G577" s="253"/>
      <c r="H577" s="527"/>
      <c r="I577" s="141"/>
      <c r="J577" s="141"/>
      <c r="K577" s="142"/>
      <c r="L577" s="142"/>
      <c r="M577" s="142"/>
      <c r="N577" s="142"/>
      <c r="O577" s="136"/>
      <c r="P577" s="34"/>
      <c r="Q577" s="35"/>
      <c r="R577" s="35"/>
      <c r="S577" s="35"/>
      <c r="T577" s="35"/>
      <c r="U577" s="35"/>
      <c r="V577" s="35"/>
      <c r="W577" s="35"/>
      <c r="X577" s="35"/>
      <c r="Y577" s="35"/>
      <c r="Z577" s="35"/>
    </row>
    <row r="578" ht="14.25" customHeight="1">
      <c r="A578" s="136"/>
      <c r="B578" s="137"/>
      <c r="C578" s="251"/>
      <c r="D578" s="452"/>
      <c r="E578" s="136"/>
      <c r="F578" s="253"/>
      <c r="G578" s="253"/>
      <c r="H578" s="527"/>
      <c r="I578" s="141"/>
      <c r="J578" s="141"/>
      <c r="K578" s="142"/>
      <c r="L578" s="142"/>
      <c r="M578" s="142"/>
      <c r="N578" s="142"/>
      <c r="O578" s="136"/>
      <c r="P578" s="34"/>
      <c r="Q578" s="35"/>
      <c r="R578" s="35"/>
      <c r="S578" s="35"/>
      <c r="T578" s="35"/>
      <c r="U578" s="35"/>
      <c r="V578" s="35"/>
      <c r="W578" s="35"/>
      <c r="X578" s="35"/>
      <c r="Y578" s="35"/>
      <c r="Z578" s="35"/>
    </row>
    <row r="579" ht="14.25" customHeight="1">
      <c r="A579" s="136"/>
      <c r="B579" s="137"/>
      <c r="C579" s="251"/>
      <c r="D579" s="452"/>
      <c r="E579" s="136"/>
      <c r="F579" s="253"/>
      <c r="G579" s="253"/>
      <c r="H579" s="527"/>
      <c r="I579" s="141"/>
      <c r="J579" s="141"/>
      <c r="K579" s="142"/>
      <c r="L579" s="142"/>
      <c r="M579" s="142"/>
      <c r="N579" s="142"/>
      <c r="O579" s="136"/>
      <c r="P579" s="34"/>
      <c r="Q579" s="35"/>
      <c r="R579" s="35"/>
      <c r="S579" s="35"/>
      <c r="T579" s="35"/>
      <c r="U579" s="35"/>
      <c r="V579" s="35"/>
      <c r="W579" s="35"/>
      <c r="X579" s="35"/>
      <c r="Y579" s="35"/>
      <c r="Z579" s="35"/>
    </row>
    <row r="580" ht="14.25" customHeight="1">
      <c r="A580" s="136"/>
      <c r="B580" s="137"/>
      <c r="C580" s="251"/>
      <c r="D580" s="452"/>
      <c r="E580" s="136"/>
      <c r="F580" s="253"/>
      <c r="G580" s="253"/>
      <c r="H580" s="527"/>
      <c r="I580" s="141"/>
      <c r="J580" s="141"/>
      <c r="K580" s="142"/>
      <c r="L580" s="142"/>
      <c r="M580" s="142"/>
      <c r="N580" s="142"/>
      <c r="O580" s="136"/>
      <c r="P580" s="34"/>
      <c r="Q580" s="35"/>
      <c r="R580" s="35"/>
      <c r="S580" s="35"/>
      <c r="T580" s="35"/>
      <c r="U580" s="35"/>
      <c r="V580" s="35"/>
      <c r="W580" s="35"/>
      <c r="X580" s="35"/>
      <c r="Y580" s="35"/>
      <c r="Z580" s="35"/>
    </row>
    <row r="581" ht="14.25" customHeight="1">
      <c r="A581" s="136"/>
      <c r="B581" s="137"/>
      <c r="C581" s="251"/>
      <c r="D581" s="452"/>
      <c r="E581" s="136"/>
      <c r="F581" s="253"/>
      <c r="G581" s="253"/>
      <c r="H581" s="527"/>
      <c r="I581" s="141"/>
      <c r="J581" s="141"/>
      <c r="K581" s="142"/>
      <c r="L581" s="142"/>
      <c r="M581" s="142"/>
      <c r="N581" s="142"/>
      <c r="O581" s="136"/>
      <c r="P581" s="34"/>
      <c r="Q581" s="35"/>
      <c r="R581" s="35"/>
      <c r="S581" s="35"/>
      <c r="T581" s="35"/>
      <c r="U581" s="35"/>
      <c r="V581" s="35"/>
      <c r="W581" s="35"/>
      <c r="X581" s="35"/>
      <c r="Y581" s="35"/>
      <c r="Z581" s="35"/>
    </row>
    <row r="582" ht="14.25" customHeight="1">
      <c r="A582" s="136"/>
      <c r="B582" s="137"/>
      <c r="C582" s="251"/>
      <c r="D582" s="452"/>
      <c r="E582" s="136"/>
      <c r="F582" s="253"/>
      <c r="G582" s="253"/>
      <c r="H582" s="527"/>
      <c r="I582" s="141"/>
      <c r="J582" s="141"/>
      <c r="K582" s="142"/>
      <c r="L582" s="142"/>
      <c r="M582" s="142"/>
      <c r="N582" s="142"/>
      <c r="O582" s="136"/>
      <c r="P582" s="34"/>
      <c r="Q582" s="35"/>
      <c r="R582" s="35"/>
      <c r="S582" s="35"/>
      <c r="T582" s="35"/>
      <c r="U582" s="35"/>
      <c r="V582" s="35"/>
      <c r="W582" s="35"/>
      <c r="X582" s="35"/>
      <c r="Y582" s="35"/>
      <c r="Z582" s="35"/>
    </row>
    <row r="583" ht="14.25" customHeight="1">
      <c r="A583" s="136"/>
      <c r="B583" s="137"/>
      <c r="C583" s="251"/>
      <c r="D583" s="452"/>
      <c r="E583" s="136"/>
      <c r="F583" s="253"/>
      <c r="G583" s="253"/>
      <c r="H583" s="527"/>
      <c r="I583" s="141"/>
      <c r="J583" s="141"/>
      <c r="K583" s="142"/>
      <c r="L583" s="142"/>
      <c r="M583" s="142"/>
      <c r="N583" s="142"/>
      <c r="O583" s="136"/>
      <c r="P583" s="34"/>
      <c r="Q583" s="35"/>
      <c r="R583" s="35"/>
      <c r="S583" s="35"/>
      <c r="T583" s="35"/>
      <c r="U583" s="35"/>
      <c r="V583" s="35"/>
      <c r="W583" s="35"/>
      <c r="X583" s="35"/>
      <c r="Y583" s="35"/>
      <c r="Z583" s="35"/>
    </row>
    <row r="584" ht="14.25" customHeight="1">
      <c r="A584" s="136"/>
      <c r="B584" s="137"/>
      <c r="C584" s="251"/>
      <c r="D584" s="452"/>
      <c r="E584" s="136"/>
      <c r="F584" s="253"/>
      <c r="G584" s="253"/>
      <c r="H584" s="527"/>
      <c r="I584" s="141"/>
      <c r="J584" s="141"/>
      <c r="K584" s="142"/>
      <c r="L584" s="142"/>
      <c r="M584" s="142"/>
      <c r="N584" s="142"/>
      <c r="O584" s="136"/>
      <c r="P584" s="34"/>
      <c r="Q584" s="35"/>
      <c r="R584" s="35"/>
      <c r="S584" s="35"/>
      <c r="T584" s="35"/>
      <c r="U584" s="35"/>
      <c r="V584" s="35"/>
      <c r="W584" s="35"/>
      <c r="X584" s="35"/>
      <c r="Y584" s="35"/>
      <c r="Z584" s="35"/>
    </row>
    <row r="585" ht="14.25" customHeight="1">
      <c r="A585" s="136"/>
      <c r="B585" s="137"/>
      <c r="C585" s="251"/>
      <c r="D585" s="452"/>
      <c r="E585" s="136"/>
      <c r="F585" s="253"/>
      <c r="G585" s="253"/>
      <c r="H585" s="527"/>
      <c r="I585" s="141"/>
      <c r="J585" s="141"/>
      <c r="K585" s="142"/>
      <c r="L585" s="142"/>
      <c r="M585" s="142"/>
      <c r="N585" s="142"/>
      <c r="O585" s="136"/>
      <c r="P585" s="34"/>
      <c r="Q585" s="35"/>
      <c r="R585" s="35"/>
      <c r="S585" s="35"/>
      <c r="T585" s="35"/>
      <c r="U585" s="35"/>
      <c r="V585" s="35"/>
      <c r="W585" s="35"/>
      <c r="X585" s="35"/>
      <c r="Y585" s="35"/>
      <c r="Z585" s="35"/>
    </row>
    <row r="586" ht="14.25" customHeight="1">
      <c r="A586" s="136"/>
      <c r="B586" s="137"/>
      <c r="C586" s="251"/>
      <c r="D586" s="452"/>
      <c r="E586" s="136"/>
      <c r="F586" s="253"/>
      <c r="G586" s="253"/>
      <c r="H586" s="527"/>
      <c r="I586" s="141"/>
      <c r="J586" s="141"/>
      <c r="K586" s="142"/>
      <c r="L586" s="142"/>
      <c r="M586" s="142"/>
      <c r="N586" s="142"/>
      <c r="O586" s="136"/>
      <c r="P586" s="34"/>
      <c r="Q586" s="35"/>
      <c r="R586" s="35"/>
      <c r="S586" s="35"/>
      <c r="T586" s="35"/>
      <c r="U586" s="35"/>
      <c r="V586" s="35"/>
      <c r="W586" s="35"/>
      <c r="X586" s="35"/>
      <c r="Y586" s="35"/>
      <c r="Z586" s="35"/>
    </row>
    <row r="587" ht="14.25" customHeight="1">
      <c r="A587" s="136"/>
      <c r="B587" s="137"/>
      <c r="C587" s="251"/>
      <c r="D587" s="452"/>
      <c r="E587" s="136"/>
      <c r="F587" s="253"/>
      <c r="G587" s="253"/>
      <c r="H587" s="527"/>
      <c r="I587" s="141"/>
      <c r="J587" s="141"/>
      <c r="K587" s="142"/>
      <c r="L587" s="142"/>
      <c r="M587" s="142"/>
      <c r="N587" s="142"/>
      <c r="O587" s="136"/>
      <c r="P587" s="34"/>
      <c r="Q587" s="35"/>
      <c r="R587" s="35"/>
      <c r="S587" s="35"/>
      <c r="T587" s="35"/>
      <c r="U587" s="35"/>
      <c r="V587" s="35"/>
      <c r="W587" s="35"/>
      <c r="X587" s="35"/>
      <c r="Y587" s="35"/>
      <c r="Z587" s="35"/>
    </row>
    <row r="588" ht="14.25" customHeight="1">
      <c r="A588" s="136"/>
      <c r="B588" s="137"/>
      <c r="C588" s="251"/>
      <c r="D588" s="452"/>
      <c r="E588" s="136"/>
      <c r="F588" s="253"/>
      <c r="G588" s="253"/>
      <c r="H588" s="527"/>
      <c r="I588" s="141"/>
      <c r="J588" s="141"/>
      <c r="K588" s="142"/>
      <c r="L588" s="142"/>
      <c r="M588" s="142"/>
      <c r="N588" s="142"/>
      <c r="O588" s="136"/>
      <c r="P588" s="34"/>
      <c r="Q588" s="35"/>
      <c r="R588" s="35"/>
      <c r="S588" s="35"/>
      <c r="T588" s="35"/>
      <c r="U588" s="35"/>
      <c r="V588" s="35"/>
      <c r="W588" s="35"/>
      <c r="X588" s="35"/>
      <c r="Y588" s="35"/>
      <c r="Z588" s="35"/>
    </row>
    <row r="589" ht="14.25" customHeight="1">
      <c r="A589" s="136"/>
      <c r="B589" s="137"/>
      <c r="C589" s="251"/>
      <c r="D589" s="452"/>
      <c r="E589" s="136"/>
      <c r="F589" s="253"/>
      <c r="G589" s="253"/>
      <c r="H589" s="527"/>
      <c r="I589" s="141"/>
      <c r="J589" s="141"/>
      <c r="K589" s="142"/>
      <c r="L589" s="142"/>
      <c r="M589" s="142"/>
      <c r="N589" s="142"/>
      <c r="O589" s="136"/>
      <c r="P589" s="34"/>
      <c r="Q589" s="35"/>
      <c r="R589" s="35"/>
      <c r="S589" s="35"/>
      <c r="T589" s="35"/>
      <c r="U589" s="35"/>
      <c r="V589" s="35"/>
      <c r="W589" s="35"/>
      <c r="X589" s="35"/>
      <c r="Y589" s="35"/>
      <c r="Z589" s="35"/>
    </row>
    <row r="590" ht="14.25" customHeight="1">
      <c r="A590" s="136"/>
      <c r="B590" s="137"/>
      <c r="C590" s="251"/>
      <c r="D590" s="452"/>
      <c r="E590" s="136"/>
      <c r="F590" s="253"/>
      <c r="G590" s="253"/>
      <c r="H590" s="527"/>
      <c r="I590" s="141"/>
      <c r="J590" s="141"/>
      <c r="K590" s="142"/>
      <c r="L590" s="142"/>
      <c r="M590" s="142"/>
      <c r="N590" s="142"/>
      <c r="O590" s="136"/>
      <c r="P590" s="34"/>
      <c r="Q590" s="35"/>
      <c r="R590" s="35"/>
      <c r="S590" s="35"/>
      <c r="T590" s="35"/>
      <c r="U590" s="35"/>
      <c r="V590" s="35"/>
      <c r="W590" s="35"/>
      <c r="X590" s="35"/>
      <c r="Y590" s="35"/>
      <c r="Z590" s="35"/>
    </row>
    <row r="591" ht="14.25" customHeight="1">
      <c r="A591" s="136"/>
      <c r="B591" s="137"/>
      <c r="C591" s="251"/>
      <c r="D591" s="452"/>
      <c r="E591" s="136"/>
      <c r="F591" s="253"/>
      <c r="G591" s="253"/>
      <c r="H591" s="527"/>
      <c r="I591" s="141"/>
      <c r="J591" s="141"/>
      <c r="K591" s="142"/>
      <c r="L591" s="142"/>
      <c r="M591" s="142"/>
      <c r="N591" s="142"/>
      <c r="O591" s="136"/>
      <c r="P591" s="34"/>
      <c r="Q591" s="35"/>
      <c r="R591" s="35"/>
      <c r="S591" s="35"/>
      <c r="T591" s="35"/>
      <c r="U591" s="35"/>
      <c r="V591" s="35"/>
      <c r="W591" s="35"/>
      <c r="X591" s="35"/>
      <c r="Y591" s="35"/>
      <c r="Z591" s="35"/>
    </row>
    <row r="592" ht="14.25" customHeight="1">
      <c r="A592" s="136"/>
      <c r="B592" s="137"/>
      <c r="C592" s="251"/>
      <c r="D592" s="452"/>
      <c r="E592" s="136"/>
      <c r="F592" s="253"/>
      <c r="G592" s="253"/>
      <c r="H592" s="527"/>
      <c r="I592" s="141"/>
      <c r="J592" s="141"/>
      <c r="K592" s="142"/>
      <c r="L592" s="142"/>
      <c r="M592" s="142"/>
      <c r="N592" s="142"/>
      <c r="O592" s="136"/>
      <c r="P592" s="34"/>
      <c r="Q592" s="35"/>
      <c r="R592" s="35"/>
      <c r="S592" s="35"/>
      <c r="T592" s="35"/>
      <c r="U592" s="35"/>
      <c r="V592" s="35"/>
      <c r="W592" s="35"/>
      <c r="X592" s="35"/>
      <c r="Y592" s="35"/>
      <c r="Z592" s="35"/>
    </row>
    <row r="593" ht="14.25" customHeight="1">
      <c r="A593" s="136"/>
      <c r="B593" s="137"/>
      <c r="C593" s="251"/>
      <c r="D593" s="452"/>
      <c r="E593" s="136"/>
      <c r="F593" s="253"/>
      <c r="G593" s="253"/>
      <c r="H593" s="527"/>
      <c r="I593" s="141"/>
      <c r="J593" s="141"/>
      <c r="K593" s="142"/>
      <c r="L593" s="142"/>
      <c r="M593" s="142"/>
      <c r="N593" s="142"/>
      <c r="O593" s="136"/>
      <c r="P593" s="34"/>
      <c r="Q593" s="35"/>
      <c r="R593" s="35"/>
      <c r="S593" s="35"/>
      <c r="T593" s="35"/>
      <c r="U593" s="35"/>
      <c r="V593" s="35"/>
      <c r="W593" s="35"/>
      <c r="X593" s="35"/>
      <c r="Y593" s="35"/>
      <c r="Z593" s="35"/>
    </row>
    <row r="594" ht="14.25" customHeight="1">
      <c r="A594" s="136"/>
      <c r="B594" s="137"/>
      <c r="C594" s="251"/>
      <c r="D594" s="452"/>
      <c r="E594" s="136"/>
      <c r="F594" s="253"/>
      <c r="G594" s="253"/>
      <c r="H594" s="527"/>
      <c r="I594" s="141"/>
      <c r="J594" s="141"/>
      <c r="K594" s="142"/>
      <c r="L594" s="142"/>
      <c r="M594" s="142"/>
      <c r="N594" s="142"/>
      <c r="O594" s="136"/>
      <c r="P594" s="34"/>
      <c r="Q594" s="35"/>
      <c r="R594" s="35"/>
      <c r="S594" s="35"/>
      <c r="T594" s="35"/>
      <c r="U594" s="35"/>
      <c r="V594" s="35"/>
      <c r="W594" s="35"/>
      <c r="X594" s="35"/>
      <c r="Y594" s="35"/>
      <c r="Z594" s="35"/>
    </row>
    <row r="595" ht="14.25" customHeight="1">
      <c r="A595" s="136"/>
      <c r="B595" s="137"/>
      <c r="C595" s="251"/>
      <c r="D595" s="452"/>
      <c r="E595" s="136"/>
      <c r="F595" s="253"/>
      <c r="G595" s="253"/>
      <c r="H595" s="527"/>
      <c r="I595" s="141"/>
      <c r="J595" s="141"/>
      <c r="K595" s="142"/>
      <c r="L595" s="142"/>
      <c r="M595" s="142"/>
      <c r="N595" s="142"/>
      <c r="O595" s="136"/>
      <c r="P595" s="34"/>
      <c r="Q595" s="35"/>
      <c r="R595" s="35"/>
      <c r="S595" s="35"/>
      <c r="T595" s="35"/>
      <c r="U595" s="35"/>
      <c r="V595" s="35"/>
      <c r="W595" s="35"/>
      <c r="X595" s="35"/>
      <c r="Y595" s="35"/>
      <c r="Z595" s="35"/>
    </row>
    <row r="596" ht="14.25" customHeight="1">
      <c r="A596" s="136"/>
      <c r="B596" s="137"/>
      <c r="C596" s="251"/>
      <c r="D596" s="452"/>
      <c r="E596" s="136"/>
      <c r="F596" s="253"/>
      <c r="G596" s="253"/>
      <c r="H596" s="527"/>
      <c r="I596" s="141"/>
      <c r="J596" s="141"/>
      <c r="K596" s="142"/>
      <c r="L596" s="142"/>
      <c r="M596" s="142"/>
      <c r="N596" s="142"/>
      <c r="O596" s="136"/>
      <c r="P596" s="34"/>
      <c r="Q596" s="35"/>
      <c r="R596" s="35"/>
      <c r="S596" s="35"/>
      <c r="T596" s="35"/>
      <c r="U596" s="35"/>
      <c r="V596" s="35"/>
      <c r="W596" s="35"/>
      <c r="X596" s="35"/>
      <c r="Y596" s="35"/>
      <c r="Z596" s="35"/>
    </row>
    <row r="597" ht="14.25" customHeight="1">
      <c r="A597" s="136"/>
      <c r="B597" s="137"/>
      <c r="C597" s="251"/>
      <c r="D597" s="452"/>
      <c r="E597" s="136"/>
      <c r="F597" s="253"/>
      <c r="G597" s="253"/>
      <c r="H597" s="527"/>
      <c r="I597" s="141"/>
      <c r="J597" s="141"/>
      <c r="K597" s="142"/>
      <c r="L597" s="142"/>
      <c r="M597" s="142"/>
      <c r="N597" s="142"/>
      <c r="O597" s="136"/>
      <c r="P597" s="34"/>
      <c r="Q597" s="35"/>
      <c r="R597" s="35"/>
      <c r="S597" s="35"/>
      <c r="T597" s="35"/>
      <c r="U597" s="35"/>
      <c r="V597" s="35"/>
      <c r="W597" s="35"/>
      <c r="X597" s="35"/>
      <c r="Y597" s="35"/>
      <c r="Z597" s="35"/>
    </row>
    <row r="598" ht="14.25" customHeight="1">
      <c r="A598" s="136"/>
      <c r="B598" s="137"/>
      <c r="C598" s="251"/>
      <c r="D598" s="452"/>
      <c r="E598" s="136"/>
      <c r="F598" s="253"/>
      <c r="G598" s="253"/>
      <c r="H598" s="527"/>
      <c r="I598" s="141"/>
      <c r="J598" s="141"/>
      <c r="K598" s="142"/>
      <c r="L598" s="142"/>
      <c r="M598" s="142"/>
      <c r="N598" s="142"/>
      <c r="O598" s="136"/>
      <c r="P598" s="34"/>
      <c r="Q598" s="35"/>
      <c r="R598" s="35"/>
      <c r="S598" s="35"/>
      <c r="T598" s="35"/>
      <c r="U598" s="35"/>
      <c r="V598" s="35"/>
      <c r="W598" s="35"/>
      <c r="X598" s="35"/>
      <c r="Y598" s="35"/>
      <c r="Z598" s="35"/>
    </row>
    <row r="599" ht="14.25" customHeight="1">
      <c r="A599" s="136"/>
      <c r="B599" s="137"/>
      <c r="C599" s="251"/>
      <c r="D599" s="452"/>
      <c r="E599" s="136"/>
      <c r="F599" s="253"/>
      <c r="G599" s="253"/>
      <c r="H599" s="527"/>
      <c r="I599" s="141"/>
      <c r="J599" s="141"/>
      <c r="K599" s="142"/>
      <c r="L599" s="142"/>
      <c r="M599" s="142"/>
      <c r="N599" s="142"/>
      <c r="O599" s="136"/>
      <c r="P599" s="34"/>
      <c r="Q599" s="35"/>
      <c r="R599" s="35"/>
      <c r="S599" s="35"/>
      <c r="T599" s="35"/>
      <c r="U599" s="35"/>
      <c r="V599" s="35"/>
      <c r="W599" s="35"/>
      <c r="X599" s="35"/>
      <c r="Y599" s="35"/>
      <c r="Z599" s="35"/>
    </row>
    <row r="600" ht="14.25" customHeight="1">
      <c r="A600" s="136"/>
      <c r="B600" s="137"/>
      <c r="C600" s="251"/>
      <c r="D600" s="452"/>
      <c r="E600" s="136"/>
      <c r="F600" s="253"/>
      <c r="G600" s="253"/>
      <c r="H600" s="527"/>
      <c r="I600" s="141"/>
      <c r="J600" s="141"/>
      <c r="K600" s="142"/>
      <c r="L600" s="142"/>
      <c r="M600" s="142"/>
      <c r="N600" s="142"/>
      <c r="O600" s="136"/>
      <c r="P600" s="34"/>
      <c r="Q600" s="35"/>
      <c r="R600" s="35"/>
      <c r="S600" s="35"/>
      <c r="T600" s="35"/>
      <c r="U600" s="35"/>
      <c r="V600" s="35"/>
      <c r="W600" s="35"/>
      <c r="X600" s="35"/>
      <c r="Y600" s="35"/>
      <c r="Z600" s="35"/>
    </row>
    <row r="601" ht="14.25" customHeight="1">
      <c r="A601" s="136"/>
      <c r="B601" s="137"/>
      <c r="C601" s="251"/>
      <c r="D601" s="452"/>
      <c r="E601" s="136"/>
      <c r="F601" s="253"/>
      <c r="G601" s="253"/>
      <c r="H601" s="527"/>
      <c r="I601" s="141"/>
      <c r="J601" s="141"/>
      <c r="K601" s="142"/>
      <c r="L601" s="142"/>
      <c r="M601" s="142"/>
      <c r="N601" s="142"/>
      <c r="O601" s="136"/>
      <c r="P601" s="34"/>
      <c r="Q601" s="35"/>
      <c r="R601" s="35"/>
      <c r="S601" s="35"/>
      <c r="T601" s="35"/>
      <c r="U601" s="35"/>
      <c r="V601" s="35"/>
      <c r="W601" s="35"/>
      <c r="X601" s="35"/>
      <c r="Y601" s="35"/>
      <c r="Z601" s="35"/>
    </row>
    <row r="602" ht="14.25" customHeight="1">
      <c r="A602" s="136"/>
      <c r="B602" s="137"/>
      <c r="C602" s="251"/>
      <c r="D602" s="452"/>
      <c r="E602" s="136"/>
      <c r="F602" s="253"/>
      <c r="G602" s="253"/>
      <c r="H602" s="527"/>
      <c r="I602" s="141"/>
      <c r="J602" s="141"/>
      <c r="K602" s="142"/>
      <c r="L602" s="142"/>
      <c r="M602" s="142"/>
      <c r="N602" s="142"/>
      <c r="O602" s="136"/>
      <c r="P602" s="34"/>
      <c r="Q602" s="35"/>
      <c r="R602" s="35"/>
      <c r="S602" s="35"/>
      <c r="T602" s="35"/>
      <c r="U602" s="35"/>
      <c r="V602" s="35"/>
      <c r="W602" s="35"/>
      <c r="X602" s="35"/>
      <c r="Y602" s="35"/>
      <c r="Z602" s="35"/>
    </row>
    <row r="603" ht="14.25" customHeight="1">
      <c r="A603" s="136"/>
      <c r="B603" s="137"/>
      <c r="C603" s="251"/>
      <c r="D603" s="452"/>
      <c r="E603" s="136"/>
      <c r="F603" s="253"/>
      <c r="G603" s="253"/>
      <c r="H603" s="527"/>
      <c r="I603" s="141"/>
      <c r="J603" s="141"/>
      <c r="K603" s="142"/>
      <c r="L603" s="142"/>
      <c r="M603" s="142"/>
      <c r="N603" s="142"/>
      <c r="O603" s="136"/>
      <c r="P603" s="34"/>
      <c r="Q603" s="35"/>
      <c r="R603" s="35"/>
      <c r="S603" s="35"/>
      <c r="T603" s="35"/>
      <c r="U603" s="35"/>
      <c r="V603" s="35"/>
      <c r="W603" s="35"/>
      <c r="X603" s="35"/>
      <c r="Y603" s="35"/>
      <c r="Z603" s="35"/>
    </row>
    <row r="604" ht="14.25" customHeight="1">
      <c r="A604" s="136"/>
      <c r="B604" s="137"/>
      <c r="C604" s="251"/>
      <c r="D604" s="452"/>
      <c r="E604" s="136"/>
      <c r="F604" s="253"/>
      <c r="G604" s="253"/>
      <c r="H604" s="527"/>
      <c r="I604" s="141"/>
      <c r="J604" s="141"/>
      <c r="K604" s="142"/>
      <c r="L604" s="142"/>
      <c r="M604" s="142"/>
      <c r="N604" s="142"/>
      <c r="O604" s="136"/>
      <c r="P604" s="34"/>
      <c r="Q604" s="35"/>
      <c r="R604" s="35"/>
      <c r="S604" s="35"/>
      <c r="T604" s="35"/>
      <c r="U604" s="35"/>
      <c r="V604" s="35"/>
      <c r="W604" s="35"/>
      <c r="X604" s="35"/>
      <c r="Y604" s="35"/>
      <c r="Z604" s="35"/>
    </row>
    <row r="605" ht="14.25" customHeight="1">
      <c r="A605" s="136"/>
      <c r="B605" s="137"/>
      <c r="C605" s="251"/>
      <c r="D605" s="452"/>
      <c r="E605" s="136"/>
      <c r="F605" s="253"/>
      <c r="G605" s="253"/>
      <c r="H605" s="527"/>
      <c r="I605" s="141"/>
      <c r="J605" s="141"/>
      <c r="K605" s="142"/>
      <c r="L605" s="142"/>
      <c r="M605" s="142"/>
      <c r="N605" s="142"/>
      <c r="O605" s="136"/>
      <c r="P605" s="34"/>
      <c r="Q605" s="35"/>
      <c r="R605" s="35"/>
      <c r="S605" s="35"/>
      <c r="T605" s="35"/>
      <c r="U605" s="35"/>
      <c r="V605" s="35"/>
      <c r="W605" s="35"/>
      <c r="X605" s="35"/>
      <c r="Y605" s="35"/>
      <c r="Z605" s="35"/>
    </row>
    <row r="606" ht="14.25" customHeight="1">
      <c r="A606" s="136"/>
      <c r="B606" s="137"/>
      <c r="C606" s="251"/>
      <c r="D606" s="452"/>
      <c r="E606" s="136"/>
      <c r="F606" s="253"/>
      <c r="G606" s="253"/>
      <c r="H606" s="527"/>
      <c r="I606" s="141"/>
      <c r="J606" s="141"/>
      <c r="K606" s="142"/>
      <c r="L606" s="142"/>
      <c r="M606" s="142"/>
      <c r="N606" s="142"/>
      <c r="O606" s="136"/>
      <c r="P606" s="34"/>
      <c r="Q606" s="35"/>
      <c r="R606" s="35"/>
      <c r="S606" s="35"/>
      <c r="T606" s="35"/>
      <c r="U606" s="35"/>
      <c r="V606" s="35"/>
      <c r="W606" s="35"/>
      <c r="X606" s="35"/>
      <c r="Y606" s="35"/>
      <c r="Z606" s="35"/>
    </row>
    <row r="607" ht="14.25" customHeight="1">
      <c r="A607" s="136"/>
      <c r="B607" s="137"/>
      <c r="C607" s="251"/>
      <c r="D607" s="452"/>
      <c r="E607" s="136"/>
      <c r="F607" s="253"/>
      <c r="G607" s="253"/>
      <c r="H607" s="527"/>
      <c r="I607" s="141"/>
      <c r="J607" s="141"/>
      <c r="K607" s="142"/>
      <c r="L607" s="142"/>
      <c r="M607" s="142"/>
      <c r="N607" s="142"/>
      <c r="O607" s="136"/>
      <c r="P607" s="34"/>
      <c r="Q607" s="35"/>
      <c r="R607" s="35"/>
      <c r="S607" s="35"/>
      <c r="T607" s="35"/>
      <c r="U607" s="35"/>
      <c r="V607" s="35"/>
      <c r="W607" s="35"/>
      <c r="X607" s="35"/>
      <c r="Y607" s="35"/>
      <c r="Z607" s="35"/>
    </row>
    <row r="608" ht="14.25" customHeight="1">
      <c r="A608" s="136"/>
      <c r="B608" s="137"/>
      <c r="C608" s="251"/>
      <c r="D608" s="452"/>
      <c r="E608" s="136"/>
      <c r="F608" s="253"/>
      <c r="G608" s="253"/>
      <c r="H608" s="527"/>
      <c r="I608" s="141"/>
      <c r="J608" s="141"/>
      <c r="K608" s="142"/>
      <c r="L608" s="142"/>
      <c r="M608" s="142"/>
      <c r="N608" s="142"/>
      <c r="O608" s="136"/>
      <c r="P608" s="34"/>
      <c r="Q608" s="35"/>
      <c r="R608" s="35"/>
      <c r="S608" s="35"/>
      <c r="T608" s="35"/>
      <c r="U608" s="35"/>
      <c r="V608" s="35"/>
      <c r="W608" s="35"/>
      <c r="X608" s="35"/>
      <c r="Y608" s="35"/>
      <c r="Z608" s="35"/>
    </row>
    <row r="609" ht="14.25" customHeight="1">
      <c r="A609" s="136"/>
      <c r="B609" s="137"/>
      <c r="C609" s="251"/>
      <c r="D609" s="452"/>
      <c r="E609" s="136"/>
      <c r="F609" s="253"/>
      <c r="G609" s="253"/>
      <c r="H609" s="527"/>
      <c r="I609" s="141"/>
      <c r="J609" s="141"/>
      <c r="K609" s="142"/>
      <c r="L609" s="142"/>
      <c r="M609" s="142"/>
      <c r="N609" s="142"/>
      <c r="O609" s="136"/>
      <c r="P609" s="34"/>
      <c r="Q609" s="35"/>
      <c r="R609" s="35"/>
      <c r="S609" s="35"/>
      <c r="T609" s="35"/>
      <c r="U609" s="35"/>
      <c r="V609" s="35"/>
      <c r="W609" s="35"/>
      <c r="X609" s="35"/>
      <c r="Y609" s="35"/>
      <c r="Z609" s="35"/>
    </row>
    <row r="610" ht="14.25" customHeight="1">
      <c r="A610" s="136"/>
      <c r="B610" s="137"/>
      <c r="C610" s="251"/>
      <c r="D610" s="452"/>
      <c r="E610" s="136"/>
      <c r="F610" s="253"/>
      <c r="G610" s="253"/>
      <c r="H610" s="527"/>
      <c r="I610" s="141"/>
      <c r="J610" s="141"/>
      <c r="K610" s="142"/>
      <c r="L610" s="142"/>
      <c r="M610" s="142"/>
      <c r="N610" s="142"/>
      <c r="O610" s="136"/>
      <c r="P610" s="34"/>
      <c r="Q610" s="35"/>
      <c r="R610" s="35"/>
      <c r="S610" s="35"/>
      <c r="T610" s="35"/>
      <c r="U610" s="35"/>
      <c r="V610" s="35"/>
      <c r="W610" s="35"/>
      <c r="X610" s="35"/>
      <c r="Y610" s="35"/>
      <c r="Z610" s="35"/>
    </row>
    <row r="611" ht="14.25" customHeight="1">
      <c r="A611" s="136"/>
      <c r="B611" s="137"/>
      <c r="C611" s="251"/>
      <c r="D611" s="452"/>
      <c r="E611" s="136"/>
      <c r="F611" s="253"/>
      <c r="G611" s="253"/>
      <c r="H611" s="527"/>
      <c r="I611" s="141"/>
      <c r="J611" s="141"/>
      <c r="K611" s="142"/>
      <c r="L611" s="142"/>
      <c r="M611" s="142"/>
      <c r="N611" s="142"/>
      <c r="O611" s="136"/>
      <c r="P611" s="34"/>
      <c r="Q611" s="35"/>
      <c r="R611" s="35"/>
      <c r="S611" s="35"/>
      <c r="T611" s="35"/>
      <c r="U611" s="35"/>
      <c r="V611" s="35"/>
      <c r="W611" s="35"/>
      <c r="X611" s="35"/>
      <c r="Y611" s="35"/>
      <c r="Z611" s="35"/>
    </row>
    <row r="612" ht="14.25" customHeight="1">
      <c r="A612" s="136"/>
      <c r="B612" s="137"/>
      <c r="C612" s="251"/>
      <c r="D612" s="452"/>
      <c r="E612" s="136"/>
      <c r="F612" s="253"/>
      <c r="G612" s="253"/>
      <c r="H612" s="527"/>
      <c r="I612" s="141"/>
      <c r="J612" s="141"/>
      <c r="K612" s="142"/>
      <c r="L612" s="142"/>
      <c r="M612" s="142"/>
      <c r="N612" s="142"/>
      <c r="O612" s="136"/>
      <c r="P612" s="34"/>
      <c r="Q612" s="35"/>
      <c r="R612" s="35"/>
      <c r="S612" s="35"/>
      <c r="T612" s="35"/>
      <c r="U612" s="35"/>
      <c r="V612" s="35"/>
      <c r="W612" s="35"/>
      <c r="X612" s="35"/>
      <c r="Y612" s="35"/>
      <c r="Z612" s="35"/>
    </row>
    <row r="613" ht="14.25" customHeight="1">
      <c r="A613" s="136"/>
      <c r="B613" s="137"/>
      <c r="C613" s="251"/>
      <c r="D613" s="452"/>
      <c r="E613" s="136"/>
      <c r="F613" s="253"/>
      <c r="G613" s="253"/>
      <c r="H613" s="527"/>
      <c r="I613" s="141"/>
      <c r="J613" s="141"/>
      <c r="K613" s="142"/>
      <c r="L613" s="142"/>
      <c r="M613" s="142"/>
      <c r="N613" s="142"/>
      <c r="O613" s="136"/>
      <c r="P613" s="34"/>
      <c r="Q613" s="35"/>
      <c r="R613" s="35"/>
      <c r="S613" s="35"/>
      <c r="T613" s="35"/>
      <c r="U613" s="35"/>
      <c r="V613" s="35"/>
      <c r="W613" s="35"/>
      <c r="X613" s="35"/>
      <c r="Y613" s="35"/>
      <c r="Z613" s="35"/>
    </row>
    <row r="614" ht="14.25" customHeight="1">
      <c r="A614" s="136"/>
      <c r="B614" s="137"/>
      <c r="C614" s="251"/>
      <c r="D614" s="452"/>
      <c r="E614" s="136"/>
      <c r="F614" s="253"/>
      <c r="G614" s="253"/>
      <c r="H614" s="527"/>
      <c r="I614" s="141"/>
      <c r="J614" s="141"/>
      <c r="K614" s="142"/>
      <c r="L614" s="142"/>
      <c r="M614" s="142"/>
      <c r="N614" s="142"/>
      <c r="O614" s="136"/>
      <c r="P614" s="34"/>
      <c r="Q614" s="35"/>
      <c r="R614" s="35"/>
      <c r="S614" s="35"/>
      <c r="T614" s="35"/>
      <c r="U614" s="35"/>
      <c r="V614" s="35"/>
      <c r="W614" s="35"/>
      <c r="X614" s="35"/>
      <c r="Y614" s="35"/>
      <c r="Z614" s="35"/>
    </row>
    <row r="615" ht="14.25" customHeight="1">
      <c r="A615" s="136"/>
      <c r="B615" s="137"/>
      <c r="C615" s="251"/>
      <c r="D615" s="452"/>
      <c r="E615" s="136"/>
      <c r="F615" s="253"/>
      <c r="G615" s="253"/>
      <c r="H615" s="527"/>
      <c r="I615" s="141"/>
      <c r="J615" s="141"/>
      <c r="K615" s="142"/>
      <c r="L615" s="142"/>
      <c r="M615" s="142"/>
      <c r="N615" s="142"/>
      <c r="O615" s="136"/>
      <c r="P615" s="34"/>
      <c r="Q615" s="35"/>
      <c r="R615" s="35"/>
      <c r="S615" s="35"/>
      <c r="T615" s="35"/>
      <c r="U615" s="35"/>
      <c r="V615" s="35"/>
      <c r="W615" s="35"/>
      <c r="X615" s="35"/>
      <c r="Y615" s="35"/>
      <c r="Z615" s="35"/>
    </row>
    <row r="616" ht="14.25" customHeight="1">
      <c r="A616" s="136"/>
      <c r="B616" s="137"/>
      <c r="C616" s="251"/>
      <c r="D616" s="452"/>
      <c r="E616" s="136"/>
      <c r="F616" s="253"/>
      <c r="G616" s="253"/>
      <c r="H616" s="527"/>
      <c r="I616" s="141"/>
      <c r="J616" s="141"/>
      <c r="K616" s="142"/>
      <c r="L616" s="142"/>
      <c r="M616" s="142"/>
      <c r="N616" s="142"/>
      <c r="O616" s="136"/>
      <c r="P616" s="34"/>
      <c r="Q616" s="35"/>
      <c r="R616" s="35"/>
      <c r="S616" s="35"/>
      <c r="T616" s="35"/>
      <c r="U616" s="35"/>
      <c r="V616" s="35"/>
      <c r="W616" s="35"/>
      <c r="X616" s="35"/>
      <c r="Y616" s="35"/>
      <c r="Z616" s="35"/>
    </row>
    <row r="617" ht="14.25" customHeight="1">
      <c r="A617" s="136"/>
      <c r="B617" s="137"/>
      <c r="C617" s="251"/>
      <c r="D617" s="452"/>
      <c r="E617" s="136"/>
      <c r="F617" s="253"/>
      <c r="G617" s="253"/>
      <c r="H617" s="527"/>
      <c r="I617" s="141"/>
      <c r="J617" s="141"/>
      <c r="K617" s="142"/>
      <c r="L617" s="142"/>
      <c r="M617" s="142"/>
      <c r="N617" s="142"/>
      <c r="O617" s="136"/>
      <c r="P617" s="34"/>
      <c r="Q617" s="35"/>
      <c r="R617" s="35"/>
      <c r="S617" s="35"/>
      <c r="T617" s="35"/>
      <c r="U617" s="35"/>
      <c r="V617" s="35"/>
      <c r="W617" s="35"/>
      <c r="X617" s="35"/>
      <c r="Y617" s="35"/>
      <c r="Z617" s="35"/>
    </row>
    <row r="618" ht="14.25" customHeight="1">
      <c r="A618" s="136"/>
      <c r="B618" s="137"/>
      <c r="C618" s="251"/>
      <c r="D618" s="452"/>
      <c r="E618" s="136"/>
      <c r="F618" s="253"/>
      <c r="G618" s="253"/>
      <c r="H618" s="527"/>
      <c r="I618" s="141"/>
      <c r="J618" s="141"/>
      <c r="K618" s="142"/>
      <c r="L618" s="142"/>
      <c r="M618" s="142"/>
      <c r="N618" s="142"/>
      <c r="O618" s="136"/>
      <c r="P618" s="34"/>
      <c r="Q618" s="35"/>
      <c r="R618" s="35"/>
      <c r="S618" s="35"/>
      <c r="T618" s="35"/>
      <c r="U618" s="35"/>
      <c r="V618" s="35"/>
      <c r="W618" s="35"/>
      <c r="X618" s="35"/>
      <c r="Y618" s="35"/>
      <c r="Z618" s="35"/>
    </row>
    <row r="619" ht="14.25" customHeight="1">
      <c r="A619" s="136"/>
      <c r="B619" s="137"/>
      <c r="C619" s="251"/>
      <c r="D619" s="452"/>
      <c r="E619" s="136"/>
      <c r="F619" s="253"/>
      <c r="G619" s="253"/>
      <c r="H619" s="527"/>
      <c r="I619" s="141"/>
      <c r="J619" s="141"/>
      <c r="K619" s="142"/>
      <c r="L619" s="142"/>
      <c r="M619" s="142"/>
      <c r="N619" s="142"/>
      <c r="O619" s="136"/>
      <c r="P619" s="34"/>
      <c r="Q619" s="35"/>
      <c r="R619" s="35"/>
      <c r="S619" s="35"/>
      <c r="T619" s="35"/>
      <c r="U619" s="35"/>
      <c r="V619" s="35"/>
      <c r="W619" s="35"/>
      <c r="X619" s="35"/>
      <c r="Y619" s="35"/>
      <c r="Z619" s="35"/>
    </row>
    <row r="620" ht="14.25" customHeight="1">
      <c r="A620" s="136"/>
      <c r="B620" s="137"/>
      <c r="C620" s="251"/>
      <c r="D620" s="452"/>
      <c r="E620" s="136"/>
      <c r="F620" s="253"/>
      <c r="G620" s="253"/>
      <c r="H620" s="527"/>
      <c r="I620" s="141"/>
      <c r="J620" s="141"/>
      <c r="K620" s="142"/>
      <c r="L620" s="142"/>
      <c r="M620" s="142"/>
      <c r="N620" s="142"/>
      <c r="O620" s="136"/>
      <c r="P620" s="34"/>
      <c r="Q620" s="35"/>
      <c r="R620" s="35"/>
      <c r="S620" s="35"/>
      <c r="T620" s="35"/>
      <c r="U620" s="35"/>
      <c r="V620" s="35"/>
      <c r="W620" s="35"/>
      <c r="X620" s="35"/>
      <c r="Y620" s="35"/>
      <c r="Z620" s="35"/>
    </row>
    <row r="621" ht="14.25" customHeight="1">
      <c r="A621" s="136"/>
      <c r="B621" s="137"/>
      <c r="C621" s="251"/>
      <c r="D621" s="452"/>
      <c r="E621" s="136"/>
      <c r="F621" s="253"/>
      <c r="G621" s="253"/>
      <c r="H621" s="527"/>
      <c r="I621" s="141"/>
      <c r="J621" s="141"/>
      <c r="K621" s="142"/>
      <c r="L621" s="142"/>
      <c r="M621" s="142"/>
      <c r="N621" s="142"/>
      <c r="O621" s="136"/>
      <c r="P621" s="34"/>
      <c r="Q621" s="35"/>
      <c r="R621" s="35"/>
      <c r="S621" s="35"/>
      <c r="T621" s="35"/>
      <c r="U621" s="35"/>
      <c r="V621" s="35"/>
      <c r="W621" s="35"/>
      <c r="X621" s="35"/>
      <c r="Y621" s="35"/>
      <c r="Z621" s="35"/>
    </row>
    <row r="622" ht="14.25" customHeight="1">
      <c r="A622" s="136"/>
      <c r="B622" s="137"/>
      <c r="C622" s="251"/>
      <c r="D622" s="452"/>
      <c r="E622" s="136"/>
      <c r="F622" s="253"/>
      <c r="G622" s="253"/>
      <c r="H622" s="527"/>
      <c r="I622" s="141"/>
      <c r="J622" s="141"/>
      <c r="K622" s="142"/>
      <c r="L622" s="142"/>
      <c r="M622" s="142"/>
      <c r="N622" s="142"/>
      <c r="O622" s="136"/>
      <c r="P622" s="34"/>
      <c r="Q622" s="35"/>
      <c r="R622" s="35"/>
      <c r="S622" s="35"/>
      <c r="T622" s="35"/>
      <c r="U622" s="35"/>
      <c r="V622" s="35"/>
      <c r="W622" s="35"/>
      <c r="X622" s="35"/>
      <c r="Y622" s="35"/>
      <c r="Z622" s="35"/>
    </row>
    <row r="623" ht="14.25" customHeight="1">
      <c r="A623" s="136"/>
      <c r="B623" s="137"/>
      <c r="C623" s="251"/>
      <c r="D623" s="452"/>
      <c r="E623" s="136"/>
      <c r="F623" s="253"/>
      <c r="G623" s="253"/>
      <c r="H623" s="527"/>
      <c r="I623" s="141"/>
      <c r="J623" s="141"/>
      <c r="K623" s="142"/>
      <c r="L623" s="142"/>
      <c r="M623" s="142"/>
      <c r="N623" s="142"/>
      <c r="O623" s="136"/>
      <c r="P623" s="34"/>
      <c r="Q623" s="35"/>
      <c r="R623" s="35"/>
      <c r="S623" s="35"/>
      <c r="T623" s="35"/>
      <c r="U623" s="35"/>
      <c r="V623" s="35"/>
      <c r="W623" s="35"/>
      <c r="X623" s="35"/>
      <c r="Y623" s="35"/>
      <c r="Z623" s="35"/>
    </row>
    <row r="624" ht="14.25" customHeight="1">
      <c r="A624" s="136"/>
      <c r="B624" s="137"/>
      <c r="C624" s="251"/>
      <c r="D624" s="452"/>
      <c r="E624" s="136"/>
      <c r="F624" s="253"/>
      <c r="G624" s="253"/>
      <c r="H624" s="527"/>
      <c r="I624" s="141"/>
      <c r="J624" s="141"/>
      <c r="K624" s="142"/>
      <c r="L624" s="142"/>
      <c r="M624" s="142"/>
      <c r="N624" s="142"/>
      <c r="O624" s="136"/>
      <c r="P624" s="34"/>
      <c r="Q624" s="35"/>
      <c r="R624" s="35"/>
      <c r="S624" s="35"/>
      <c r="T624" s="35"/>
      <c r="U624" s="35"/>
      <c r="V624" s="35"/>
      <c r="W624" s="35"/>
      <c r="X624" s="35"/>
      <c r="Y624" s="35"/>
      <c r="Z624" s="35"/>
    </row>
    <row r="625" ht="14.25" customHeight="1">
      <c r="A625" s="136"/>
      <c r="B625" s="137"/>
      <c r="C625" s="251"/>
      <c r="D625" s="452"/>
      <c r="E625" s="136"/>
      <c r="F625" s="253"/>
      <c r="G625" s="253"/>
      <c r="H625" s="527"/>
      <c r="I625" s="141"/>
      <c r="J625" s="141"/>
      <c r="K625" s="142"/>
      <c r="L625" s="142"/>
      <c r="M625" s="142"/>
      <c r="N625" s="142"/>
      <c r="O625" s="136"/>
      <c r="P625" s="34"/>
      <c r="Q625" s="35"/>
      <c r="R625" s="35"/>
      <c r="S625" s="35"/>
      <c r="T625" s="35"/>
      <c r="U625" s="35"/>
      <c r="V625" s="35"/>
      <c r="W625" s="35"/>
      <c r="X625" s="35"/>
      <c r="Y625" s="35"/>
      <c r="Z625" s="35"/>
    </row>
    <row r="626" ht="14.25" customHeight="1">
      <c r="A626" s="136"/>
      <c r="B626" s="137"/>
      <c r="C626" s="251"/>
      <c r="D626" s="452"/>
      <c r="E626" s="136"/>
      <c r="F626" s="253"/>
      <c r="G626" s="253"/>
      <c r="H626" s="527"/>
      <c r="I626" s="141"/>
      <c r="J626" s="141"/>
      <c r="K626" s="142"/>
      <c r="L626" s="142"/>
      <c r="M626" s="142"/>
      <c r="N626" s="142"/>
      <c r="O626" s="136"/>
      <c r="P626" s="34"/>
      <c r="Q626" s="35"/>
      <c r="R626" s="35"/>
      <c r="S626" s="35"/>
      <c r="T626" s="35"/>
      <c r="U626" s="35"/>
      <c r="V626" s="35"/>
      <c r="W626" s="35"/>
      <c r="X626" s="35"/>
      <c r="Y626" s="35"/>
      <c r="Z626" s="35"/>
    </row>
    <row r="627" ht="14.25" customHeight="1">
      <c r="A627" s="136"/>
      <c r="B627" s="137"/>
      <c r="C627" s="251"/>
      <c r="D627" s="452"/>
      <c r="E627" s="136"/>
      <c r="F627" s="253"/>
      <c r="G627" s="253"/>
      <c r="H627" s="527"/>
      <c r="I627" s="141"/>
      <c r="J627" s="141"/>
      <c r="K627" s="142"/>
      <c r="L627" s="142"/>
      <c r="M627" s="142"/>
      <c r="N627" s="142"/>
      <c r="O627" s="136"/>
      <c r="P627" s="34"/>
      <c r="Q627" s="35"/>
      <c r="R627" s="35"/>
      <c r="S627" s="35"/>
      <c r="T627" s="35"/>
      <c r="U627" s="35"/>
      <c r="V627" s="35"/>
      <c r="W627" s="35"/>
      <c r="X627" s="35"/>
      <c r="Y627" s="35"/>
      <c r="Z627" s="35"/>
    </row>
    <row r="628" ht="14.25" customHeight="1">
      <c r="A628" s="136"/>
      <c r="B628" s="137"/>
      <c r="C628" s="251"/>
      <c r="D628" s="452"/>
      <c r="E628" s="136"/>
      <c r="F628" s="253"/>
      <c r="G628" s="253"/>
      <c r="H628" s="527"/>
      <c r="I628" s="141"/>
      <c r="J628" s="141"/>
      <c r="K628" s="142"/>
      <c r="L628" s="142"/>
      <c r="M628" s="142"/>
      <c r="N628" s="142"/>
      <c r="O628" s="136"/>
      <c r="P628" s="34"/>
      <c r="Q628" s="35"/>
      <c r="R628" s="35"/>
      <c r="S628" s="35"/>
      <c r="T628" s="35"/>
      <c r="U628" s="35"/>
      <c r="V628" s="35"/>
      <c r="W628" s="35"/>
      <c r="X628" s="35"/>
      <c r="Y628" s="35"/>
      <c r="Z628" s="35"/>
    </row>
    <row r="629" ht="14.25" customHeight="1">
      <c r="A629" s="136"/>
      <c r="B629" s="137"/>
      <c r="C629" s="251"/>
      <c r="D629" s="452"/>
      <c r="E629" s="136"/>
      <c r="F629" s="253"/>
      <c r="G629" s="253"/>
      <c r="H629" s="527"/>
      <c r="I629" s="141"/>
      <c r="J629" s="141"/>
      <c r="K629" s="142"/>
      <c r="L629" s="142"/>
      <c r="M629" s="142"/>
      <c r="N629" s="142"/>
      <c r="O629" s="136"/>
      <c r="P629" s="34"/>
      <c r="Q629" s="35"/>
      <c r="R629" s="35"/>
      <c r="S629" s="35"/>
      <c r="T629" s="35"/>
      <c r="U629" s="35"/>
      <c r="V629" s="35"/>
      <c r="W629" s="35"/>
      <c r="X629" s="35"/>
      <c r="Y629" s="35"/>
      <c r="Z629" s="35"/>
    </row>
    <row r="630" ht="14.25" customHeight="1">
      <c r="A630" s="136"/>
      <c r="B630" s="137"/>
      <c r="C630" s="251"/>
      <c r="D630" s="452"/>
      <c r="E630" s="136"/>
      <c r="F630" s="253"/>
      <c r="G630" s="253"/>
      <c r="H630" s="527"/>
      <c r="I630" s="141"/>
      <c r="J630" s="141"/>
      <c r="K630" s="142"/>
      <c r="L630" s="142"/>
      <c r="M630" s="142"/>
      <c r="N630" s="142"/>
      <c r="O630" s="136"/>
      <c r="P630" s="34"/>
      <c r="Q630" s="35"/>
      <c r="R630" s="35"/>
      <c r="S630" s="35"/>
      <c r="T630" s="35"/>
      <c r="U630" s="35"/>
      <c r="V630" s="35"/>
      <c r="W630" s="35"/>
      <c r="X630" s="35"/>
      <c r="Y630" s="35"/>
      <c r="Z630" s="35"/>
    </row>
    <row r="631" ht="14.25" customHeight="1">
      <c r="A631" s="136"/>
      <c r="B631" s="137"/>
      <c r="C631" s="251"/>
      <c r="D631" s="452"/>
      <c r="E631" s="136"/>
      <c r="F631" s="253"/>
      <c r="G631" s="253"/>
      <c r="H631" s="527"/>
      <c r="I631" s="141"/>
      <c r="J631" s="141"/>
      <c r="K631" s="142"/>
      <c r="L631" s="142"/>
      <c r="M631" s="142"/>
      <c r="N631" s="142"/>
      <c r="O631" s="136"/>
      <c r="P631" s="34"/>
      <c r="Q631" s="35"/>
      <c r="R631" s="35"/>
      <c r="S631" s="35"/>
      <c r="T631" s="35"/>
      <c r="U631" s="35"/>
      <c r="V631" s="35"/>
      <c r="W631" s="35"/>
      <c r="X631" s="35"/>
      <c r="Y631" s="35"/>
      <c r="Z631" s="35"/>
    </row>
    <row r="632" ht="14.25" customHeight="1">
      <c r="A632" s="136"/>
      <c r="B632" s="137"/>
      <c r="C632" s="251"/>
      <c r="D632" s="452"/>
      <c r="E632" s="136"/>
      <c r="F632" s="253"/>
      <c r="G632" s="253"/>
      <c r="H632" s="527"/>
      <c r="I632" s="141"/>
      <c r="J632" s="141"/>
      <c r="K632" s="142"/>
      <c r="L632" s="142"/>
      <c r="M632" s="142"/>
      <c r="N632" s="142"/>
      <c r="O632" s="136"/>
      <c r="P632" s="34"/>
      <c r="Q632" s="35"/>
      <c r="R632" s="35"/>
      <c r="S632" s="35"/>
      <c r="T632" s="35"/>
      <c r="U632" s="35"/>
      <c r="V632" s="35"/>
      <c r="W632" s="35"/>
      <c r="X632" s="35"/>
      <c r="Y632" s="35"/>
      <c r="Z632" s="35"/>
    </row>
    <row r="633" ht="14.25" customHeight="1">
      <c r="A633" s="136"/>
      <c r="B633" s="137"/>
      <c r="C633" s="251"/>
      <c r="D633" s="452"/>
      <c r="E633" s="136"/>
      <c r="F633" s="253"/>
      <c r="G633" s="253"/>
      <c r="H633" s="527"/>
      <c r="I633" s="141"/>
      <c r="J633" s="141"/>
      <c r="K633" s="142"/>
      <c r="L633" s="142"/>
      <c r="M633" s="142"/>
      <c r="N633" s="142"/>
      <c r="O633" s="136"/>
      <c r="P633" s="34"/>
      <c r="Q633" s="35"/>
      <c r="R633" s="35"/>
      <c r="S633" s="35"/>
      <c r="T633" s="35"/>
      <c r="U633" s="35"/>
      <c r="V633" s="35"/>
      <c r="W633" s="35"/>
      <c r="X633" s="35"/>
      <c r="Y633" s="35"/>
      <c r="Z633" s="35"/>
    </row>
    <row r="634" ht="14.25" customHeight="1">
      <c r="A634" s="136"/>
      <c r="B634" s="137"/>
      <c r="C634" s="251"/>
      <c r="D634" s="452"/>
      <c r="E634" s="136"/>
      <c r="F634" s="253"/>
      <c r="G634" s="253"/>
      <c r="H634" s="527"/>
      <c r="I634" s="141"/>
      <c r="J634" s="141"/>
      <c r="K634" s="142"/>
      <c r="L634" s="142"/>
      <c r="M634" s="142"/>
      <c r="N634" s="142"/>
      <c r="O634" s="136"/>
      <c r="P634" s="34"/>
      <c r="Q634" s="35"/>
      <c r="R634" s="35"/>
      <c r="S634" s="35"/>
      <c r="T634" s="35"/>
      <c r="U634" s="35"/>
      <c r="V634" s="35"/>
      <c r="W634" s="35"/>
      <c r="X634" s="35"/>
      <c r="Y634" s="35"/>
      <c r="Z634" s="35"/>
    </row>
    <row r="635" ht="14.25" customHeight="1">
      <c r="A635" s="136"/>
      <c r="B635" s="137"/>
      <c r="C635" s="251"/>
      <c r="D635" s="452"/>
      <c r="E635" s="136"/>
      <c r="F635" s="253"/>
      <c r="G635" s="253"/>
      <c r="H635" s="527"/>
      <c r="I635" s="141"/>
      <c r="J635" s="141"/>
      <c r="K635" s="142"/>
      <c r="L635" s="142"/>
      <c r="M635" s="142"/>
      <c r="N635" s="142"/>
      <c r="O635" s="136"/>
      <c r="P635" s="34"/>
      <c r="Q635" s="35"/>
      <c r="R635" s="35"/>
      <c r="S635" s="35"/>
      <c r="T635" s="35"/>
      <c r="U635" s="35"/>
      <c r="V635" s="35"/>
      <c r="W635" s="35"/>
      <c r="X635" s="35"/>
      <c r="Y635" s="35"/>
      <c r="Z635" s="35"/>
    </row>
    <row r="636" ht="14.25" customHeight="1">
      <c r="A636" s="136"/>
      <c r="B636" s="137"/>
      <c r="C636" s="251"/>
      <c r="D636" s="452"/>
      <c r="E636" s="136"/>
      <c r="F636" s="253"/>
      <c r="G636" s="253"/>
      <c r="H636" s="527"/>
      <c r="I636" s="141"/>
      <c r="J636" s="141"/>
      <c r="K636" s="142"/>
      <c r="L636" s="142"/>
      <c r="M636" s="142"/>
      <c r="N636" s="142"/>
      <c r="O636" s="136"/>
      <c r="P636" s="34"/>
      <c r="Q636" s="35"/>
      <c r="R636" s="35"/>
      <c r="S636" s="35"/>
      <c r="T636" s="35"/>
      <c r="U636" s="35"/>
      <c r="V636" s="35"/>
      <c r="W636" s="35"/>
      <c r="X636" s="35"/>
      <c r="Y636" s="35"/>
      <c r="Z636" s="35"/>
    </row>
    <row r="637" ht="14.25" customHeight="1">
      <c r="A637" s="136"/>
      <c r="B637" s="137"/>
      <c r="C637" s="251"/>
      <c r="D637" s="452"/>
      <c r="E637" s="136"/>
      <c r="F637" s="253"/>
      <c r="G637" s="253"/>
      <c r="H637" s="527"/>
      <c r="I637" s="141"/>
      <c r="J637" s="141"/>
      <c r="K637" s="142"/>
      <c r="L637" s="142"/>
      <c r="M637" s="142"/>
      <c r="N637" s="142"/>
      <c r="O637" s="136"/>
      <c r="P637" s="34"/>
      <c r="Q637" s="35"/>
      <c r="R637" s="35"/>
      <c r="S637" s="35"/>
      <c r="T637" s="35"/>
      <c r="U637" s="35"/>
      <c r="V637" s="35"/>
      <c r="W637" s="35"/>
      <c r="X637" s="35"/>
      <c r="Y637" s="35"/>
      <c r="Z637" s="35"/>
    </row>
    <row r="638" ht="14.25" customHeight="1">
      <c r="A638" s="136"/>
      <c r="B638" s="137"/>
      <c r="C638" s="251"/>
      <c r="D638" s="452"/>
      <c r="E638" s="136"/>
      <c r="F638" s="253"/>
      <c r="G638" s="253"/>
      <c r="H638" s="527"/>
      <c r="I638" s="141"/>
      <c r="J638" s="141"/>
      <c r="K638" s="142"/>
      <c r="L638" s="142"/>
      <c r="M638" s="142"/>
      <c r="N638" s="142"/>
      <c r="O638" s="136"/>
      <c r="P638" s="34"/>
      <c r="Q638" s="35"/>
      <c r="R638" s="35"/>
      <c r="S638" s="35"/>
      <c r="T638" s="35"/>
      <c r="U638" s="35"/>
      <c r="V638" s="35"/>
      <c r="W638" s="35"/>
      <c r="X638" s="35"/>
      <c r="Y638" s="35"/>
      <c r="Z638" s="35"/>
    </row>
    <row r="639" ht="14.25" customHeight="1">
      <c r="A639" s="136"/>
      <c r="B639" s="137"/>
      <c r="C639" s="251"/>
      <c r="D639" s="452"/>
      <c r="E639" s="136"/>
      <c r="F639" s="253"/>
      <c r="G639" s="253"/>
      <c r="H639" s="527"/>
      <c r="I639" s="141"/>
      <c r="J639" s="141"/>
      <c r="K639" s="142"/>
      <c r="L639" s="142"/>
      <c r="M639" s="142"/>
      <c r="N639" s="142"/>
      <c r="O639" s="136"/>
      <c r="P639" s="34"/>
      <c r="Q639" s="35"/>
      <c r="R639" s="35"/>
      <c r="S639" s="35"/>
      <c r="T639" s="35"/>
      <c r="U639" s="35"/>
      <c r="V639" s="35"/>
      <c r="W639" s="35"/>
      <c r="X639" s="35"/>
      <c r="Y639" s="35"/>
      <c r="Z639" s="35"/>
    </row>
    <row r="640" ht="14.25" customHeight="1">
      <c r="A640" s="136"/>
      <c r="B640" s="137"/>
      <c r="C640" s="251"/>
      <c r="D640" s="452"/>
      <c r="E640" s="136"/>
      <c r="F640" s="253"/>
      <c r="G640" s="253"/>
      <c r="H640" s="527"/>
      <c r="I640" s="141"/>
      <c r="J640" s="141"/>
      <c r="K640" s="142"/>
      <c r="L640" s="142"/>
      <c r="M640" s="142"/>
      <c r="N640" s="142"/>
      <c r="O640" s="136"/>
      <c r="P640" s="34"/>
      <c r="Q640" s="35"/>
      <c r="R640" s="35"/>
      <c r="S640" s="35"/>
      <c r="T640" s="35"/>
      <c r="U640" s="35"/>
      <c r="V640" s="35"/>
      <c r="W640" s="35"/>
      <c r="X640" s="35"/>
      <c r="Y640" s="35"/>
      <c r="Z640" s="35"/>
    </row>
    <row r="641" ht="14.25" customHeight="1">
      <c r="A641" s="136"/>
      <c r="B641" s="137"/>
      <c r="C641" s="251"/>
      <c r="D641" s="452"/>
      <c r="E641" s="136"/>
      <c r="F641" s="253"/>
      <c r="G641" s="253"/>
      <c r="H641" s="527"/>
      <c r="I641" s="141"/>
      <c r="J641" s="141"/>
      <c r="K641" s="142"/>
      <c r="L641" s="142"/>
      <c r="M641" s="142"/>
      <c r="N641" s="142"/>
      <c r="O641" s="136"/>
      <c r="P641" s="34"/>
      <c r="Q641" s="35"/>
      <c r="R641" s="35"/>
      <c r="S641" s="35"/>
      <c r="T641" s="35"/>
      <c r="U641" s="35"/>
      <c r="V641" s="35"/>
      <c r="W641" s="35"/>
      <c r="X641" s="35"/>
      <c r="Y641" s="35"/>
      <c r="Z641" s="35"/>
    </row>
    <row r="642" ht="14.25" customHeight="1">
      <c r="A642" s="136"/>
      <c r="B642" s="137"/>
      <c r="C642" s="251"/>
      <c r="D642" s="452"/>
      <c r="E642" s="136"/>
      <c r="F642" s="253"/>
      <c r="G642" s="253"/>
      <c r="H642" s="527"/>
      <c r="I642" s="141"/>
      <c r="J642" s="141"/>
      <c r="K642" s="142"/>
      <c r="L642" s="142"/>
      <c r="M642" s="142"/>
      <c r="N642" s="142"/>
      <c r="O642" s="136"/>
      <c r="P642" s="34"/>
      <c r="Q642" s="35"/>
      <c r="R642" s="35"/>
      <c r="S642" s="35"/>
      <c r="T642" s="35"/>
      <c r="U642" s="35"/>
      <c r="V642" s="35"/>
      <c r="W642" s="35"/>
      <c r="X642" s="35"/>
      <c r="Y642" s="35"/>
      <c r="Z642" s="35"/>
    </row>
    <row r="643" ht="14.25" customHeight="1">
      <c r="A643" s="136"/>
      <c r="B643" s="137"/>
      <c r="C643" s="251"/>
      <c r="D643" s="452"/>
      <c r="E643" s="136"/>
      <c r="F643" s="253"/>
      <c r="G643" s="253"/>
      <c r="H643" s="527"/>
      <c r="I643" s="141"/>
      <c r="J643" s="141"/>
      <c r="K643" s="142"/>
      <c r="L643" s="142"/>
      <c r="M643" s="142"/>
      <c r="N643" s="142"/>
      <c r="O643" s="136"/>
      <c r="P643" s="34"/>
      <c r="Q643" s="35"/>
      <c r="R643" s="35"/>
      <c r="S643" s="35"/>
      <c r="T643" s="35"/>
      <c r="U643" s="35"/>
      <c r="V643" s="35"/>
      <c r="W643" s="35"/>
      <c r="X643" s="35"/>
      <c r="Y643" s="35"/>
      <c r="Z643" s="35"/>
    </row>
    <row r="644" ht="14.25" customHeight="1">
      <c r="A644" s="136"/>
      <c r="B644" s="137"/>
      <c r="C644" s="251"/>
      <c r="D644" s="452"/>
      <c r="E644" s="136"/>
      <c r="F644" s="253"/>
      <c r="G644" s="253"/>
      <c r="H644" s="527"/>
      <c r="I644" s="141"/>
      <c r="J644" s="141"/>
      <c r="K644" s="142"/>
      <c r="L644" s="142"/>
      <c r="M644" s="142"/>
      <c r="N644" s="142"/>
      <c r="O644" s="136"/>
      <c r="P644" s="34"/>
      <c r="Q644" s="35"/>
      <c r="R644" s="35"/>
      <c r="S644" s="35"/>
      <c r="T644" s="35"/>
      <c r="U644" s="35"/>
      <c r="V644" s="35"/>
      <c r="W644" s="35"/>
      <c r="X644" s="35"/>
      <c r="Y644" s="35"/>
      <c r="Z644" s="35"/>
    </row>
    <row r="645" ht="14.25" customHeight="1">
      <c r="A645" s="136"/>
      <c r="B645" s="137"/>
      <c r="C645" s="251"/>
      <c r="D645" s="452"/>
      <c r="E645" s="136"/>
      <c r="F645" s="253"/>
      <c r="G645" s="253"/>
      <c r="H645" s="527"/>
      <c r="I645" s="141"/>
      <c r="J645" s="141"/>
      <c r="K645" s="142"/>
      <c r="L645" s="142"/>
      <c r="M645" s="142"/>
      <c r="N645" s="142"/>
      <c r="O645" s="136"/>
      <c r="P645" s="34"/>
      <c r="Q645" s="35"/>
      <c r="R645" s="35"/>
      <c r="S645" s="35"/>
      <c r="T645" s="35"/>
      <c r="U645" s="35"/>
      <c r="V645" s="35"/>
      <c r="W645" s="35"/>
      <c r="X645" s="35"/>
      <c r="Y645" s="35"/>
      <c r="Z645" s="35"/>
    </row>
    <row r="646" ht="14.25" customHeight="1">
      <c r="A646" s="136"/>
      <c r="B646" s="137"/>
      <c r="C646" s="251"/>
      <c r="D646" s="452"/>
      <c r="E646" s="136"/>
      <c r="F646" s="253"/>
      <c r="G646" s="253"/>
      <c r="H646" s="527"/>
      <c r="I646" s="141"/>
      <c r="J646" s="141"/>
      <c r="K646" s="142"/>
      <c r="L646" s="142"/>
      <c r="M646" s="142"/>
      <c r="N646" s="142"/>
      <c r="O646" s="136"/>
      <c r="P646" s="34"/>
      <c r="Q646" s="35"/>
      <c r="R646" s="35"/>
      <c r="S646" s="35"/>
      <c r="T646" s="35"/>
      <c r="U646" s="35"/>
      <c r="V646" s="35"/>
      <c r="W646" s="35"/>
      <c r="X646" s="35"/>
      <c r="Y646" s="35"/>
      <c r="Z646" s="35"/>
    </row>
    <row r="647" ht="14.25" customHeight="1">
      <c r="A647" s="136"/>
      <c r="B647" s="137"/>
      <c r="C647" s="251"/>
      <c r="D647" s="452"/>
      <c r="E647" s="136"/>
      <c r="F647" s="253"/>
      <c r="G647" s="253"/>
      <c r="H647" s="527"/>
      <c r="I647" s="141"/>
      <c r="J647" s="141"/>
      <c r="K647" s="142"/>
      <c r="L647" s="142"/>
      <c r="M647" s="142"/>
      <c r="N647" s="142"/>
      <c r="O647" s="136"/>
      <c r="P647" s="34"/>
      <c r="Q647" s="35"/>
      <c r="R647" s="35"/>
      <c r="S647" s="35"/>
      <c r="T647" s="35"/>
      <c r="U647" s="35"/>
      <c r="V647" s="35"/>
      <c r="W647" s="35"/>
      <c r="X647" s="35"/>
      <c r="Y647" s="35"/>
      <c r="Z647" s="35"/>
    </row>
    <row r="648" ht="14.25" customHeight="1">
      <c r="A648" s="136"/>
      <c r="B648" s="137"/>
      <c r="C648" s="251"/>
      <c r="D648" s="452"/>
      <c r="E648" s="136"/>
      <c r="F648" s="253"/>
      <c r="G648" s="253"/>
      <c r="H648" s="527"/>
      <c r="I648" s="141"/>
      <c r="J648" s="141"/>
      <c r="K648" s="142"/>
      <c r="L648" s="142"/>
      <c r="M648" s="142"/>
      <c r="N648" s="142"/>
      <c r="O648" s="136"/>
      <c r="P648" s="34"/>
      <c r="Q648" s="35"/>
      <c r="R648" s="35"/>
      <c r="S648" s="35"/>
      <c r="T648" s="35"/>
      <c r="U648" s="35"/>
      <c r="V648" s="35"/>
      <c r="W648" s="35"/>
      <c r="X648" s="35"/>
      <c r="Y648" s="35"/>
      <c r="Z648" s="35"/>
    </row>
    <row r="649" ht="14.25" customHeight="1">
      <c r="A649" s="136"/>
      <c r="B649" s="137"/>
      <c r="C649" s="251"/>
      <c r="D649" s="452"/>
      <c r="E649" s="136"/>
      <c r="F649" s="253"/>
      <c r="G649" s="253"/>
      <c r="H649" s="527"/>
      <c r="I649" s="141"/>
      <c r="J649" s="141"/>
      <c r="K649" s="142"/>
      <c r="L649" s="142"/>
      <c r="M649" s="142"/>
      <c r="N649" s="142"/>
      <c r="O649" s="136"/>
      <c r="P649" s="34"/>
      <c r="Q649" s="35"/>
      <c r="R649" s="35"/>
      <c r="S649" s="35"/>
      <c r="T649" s="35"/>
      <c r="U649" s="35"/>
      <c r="V649" s="35"/>
      <c r="W649" s="35"/>
      <c r="X649" s="35"/>
      <c r="Y649" s="35"/>
      <c r="Z649" s="35"/>
    </row>
    <row r="650" ht="14.25" customHeight="1">
      <c r="A650" s="136"/>
      <c r="B650" s="137"/>
      <c r="C650" s="251"/>
      <c r="D650" s="452"/>
      <c r="E650" s="136"/>
      <c r="F650" s="253"/>
      <c r="G650" s="253"/>
      <c r="H650" s="527"/>
      <c r="I650" s="141"/>
      <c r="J650" s="141"/>
      <c r="K650" s="142"/>
      <c r="L650" s="142"/>
      <c r="M650" s="142"/>
      <c r="N650" s="142"/>
      <c r="O650" s="136"/>
      <c r="P650" s="34"/>
      <c r="Q650" s="35"/>
      <c r="R650" s="35"/>
      <c r="S650" s="35"/>
      <c r="T650" s="35"/>
      <c r="U650" s="35"/>
      <c r="V650" s="35"/>
      <c r="W650" s="35"/>
      <c r="X650" s="35"/>
      <c r="Y650" s="35"/>
      <c r="Z650" s="35"/>
    </row>
    <row r="651" ht="14.25" customHeight="1">
      <c r="A651" s="136"/>
      <c r="B651" s="137"/>
      <c r="C651" s="251"/>
      <c r="D651" s="452"/>
      <c r="E651" s="136"/>
      <c r="F651" s="253"/>
      <c r="G651" s="253"/>
      <c r="H651" s="527"/>
      <c r="I651" s="141"/>
      <c r="J651" s="141"/>
      <c r="K651" s="142"/>
      <c r="L651" s="142"/>
      <c r="M651" s="142"/>
      <c r="N651" s="142"/>
      <c r="O651" s="136"/>
      <c r="P651" s="34"/>
      <c r="Q651" s="35"/>
      <c r="R651" s="35"/>
      <c r="S651" s="35"/>
      <c r="T651" s="35"/>
      <c r="U651" s="35"/>
      <c r="V651" s="35"/>
      <c r="W651" s="35"/>
      <c r="X651" s="35"/>
      <c r="Y651" s="35"/>
      <c r="Z651" s="35"/>
    </row>
    <row r="652" ht="14.25" customHeight="1">
      <c r="A652" s="136"/>
      <c r="B652" s="137"/>
      <c r="C652" s="251"/>
      <c r="D652" s="452"/>
      <c r="E652" s="136"/>
      <c r="F652" s="253"/>
      <c r="G652" s="253"/>
      <c r="H652" s="527"/>
      <c r="I652" s="141"/>
      <c r="J652" s="141"/>
      <c r="K652" s="142"/>
      <c r="L652" s="142"/>
      <c r="M652" s="142"/>
      <c r="N652" s="142"/>
      <c r="O652" s="136"/>
      <c r="P652" s="34"/>
      <c r="Q652" s="35"/>
      <c r="R652" s="35"/>
      <c r="S652" s="35"/>
      <c r="T652" s="35"/>
      <c r="U652" s="35"/>
      <c r="V652" s="35"/>
      <c r="W652" s="35"/>
      <c r="X652" s="35"/>
      <c r="Y652" s="35"/>
      <c r="Z652" s="35"/>
    </row>
    <row r="653" ht="14.25" customHeight="1">
      <c r="A653" s="136"/>
      <c r="B653" s="137"/>
      <c r="C653" s="251"/>
      <c r="D653" s="452"/>
      <c r="E653" s="136"/>
      <c r="F653" s="253"/>
      <c r="G653" s="253"/>
      <c r="H653" s="527"/>
      <c r="I653" s="141"/>
      <c r="J653" s="141"/>
      <c r="K653" s="142"/>
      <c r="L653" s="142"/>
      <c r="M653" s="142"/>
      <c r="N653" s="142"/>
      <c r="O653" s="136"/>
      <c r="P653" s="34"/>
      <c r="Q653" s="35"/>
      <c r="R653" s="35"/>
      <c r="S653" s="35"/>
      <c r="T653" s="35"/>
      <c r="U653" s="35"/>
      <c r="V653" s="35"/>
      <c r="W653" s="35"/>
      <c r="X653" s="35"/>
      <c r="Y653" s="35"/>
      <c r="Z653" s="35"/>
    </row>
    <row r="654" ht="14.25" customHeight="1">
      <c r="A654" s="136"/>
      <c r="B654" s="137"/>
      <c r="C654" s="251"/>
      <c r="D654" s="452"/>
      <c r="E654" s="136"/>
      <c r="F654" s="253"/>
      <c r="G654" s="253"/>
      <c r="H654" s="527"/>
      <c r="I654" s="141"/>
      <c r="J654" s="141"/>
      <c r="K654" s="142"/>
      <c r="L654" s="142"/>
      <c r="M654" s="142"/>
      <c r="N654" s="142"/>
      <c r="O654" s="136"/>
      <c r="P654" s="34"/>
      <c r="Q654" s="35"/>
      <c r="R654" s="35"/>
      <c r="S654" s="35"/>
      <c r="T654" s="35"/>
      <c r="U654" s="35"/>
      <c r="V654" s="35"/>
      <c r="W654" s="35"/>
      <c r="X654" s="35"/>
      <c r="Y654" s="35"/>
      <c r="Z654" s="35"/>
    </row>
    <row r="655" ht="14.25" customHeight="1">
      <c r="A655" s="136"/>
      <c r="B655" s="137"/>
      <c r="C655" s="251"/>
      <c r="D655" s="452"/>
      <c r="E655" s="136"/>
      <c r="F655" s="253"/>
      <c r="G655" s="253"/>
      <c r="H655" s="527"/>
      <c r="I655" s="141"/>
      <c r="J655" s="141"/>
      <c r="K655" s="142"/>
      <c r="L655" s="142"/>
      <c r="M655" s="142"/>
      <c r="N655" s="142"/>
      <c r="O655" s="136"/>
      <c r="P655" s="34"/>
      <c r="Q655" s="35"/>
      <c r="R655" s="35"/>
      <c r="S655" s="35"/>
      <c r="T655" s="35"/>
      <c r="U655" s="35"/>
      <c r="V655" s="35"/>
      <c r="W655" s="35"/>
      <c r="X655" s="35"/>
      <c r="Y655" s="35"/>
      <c r="Z655" s="35"/>
    </row>
    <row r="656" ht="14.25" customHeight="1">
      <c r="A656" s="136"/>
      <c r="B656" s="137"/>
      <c r="C656" s="251"/>
      <c r="D656" s="452"/>
      <c r="E656" s="136"/>
      <c r="F656" s="253"/>
      <c r="G656" s="253"/>
      <c r="H656" s="527"/>
      <c r="I656" s="141"/>
      <c r="J656" s="141"/>
      <c r="K656" s="142"/>
      <c r="L656" s="142"/>
      <c r="M656" s="142"/>
      <c r="N656" s="142"/>
      <c r="O656" s="136"/>
      <c r="P656" s="34"/>
      <c r="Q656" s="35"/>
      <c r="R656" s="35"/>
      <c r="S656" s="35"/>
      <c r="T656" s="35"/>
      <c r="U656" s="35"/>
      <c r="V656" s="35"/>
      <c r="W656" s="35"/>
      <c r="X656" s="35"/>
      <c r="Y656" s="35"/>
      <c r="Z656" s="35"/>
    </row>
    <row r="657" ht="14.25" customHeight="1">
      <c r="A657" s="136"/>
      <c r="B657" s="137"/>
      <c r="C657" s="251"/>
      <c r="D657" s="452"/>
      <c r="E657" s="136"/>
      <c r="F657" s="253"/>
      <c r="G657" s="253"/>
      <c r="H657" s="527"/>
      <c r="I657" s="141"/>
      <c r="J657" s="141"/>
      <c r="K657" s="142"/>
      <c r="L657" s="142"/>
      <c r="M657" s="142"/>
      <c r="N657" s="142"/>
      <c r="O657" s="136"/>
      <c r="P657" s="34"/>
      <c r="Q657" s="35"/>
      <c r="R657" s="35"/>
      <c r="S657" s="35"/>
      <c r="T657" s="35"/>
      <c r="U657" s="35"/>
      <c r="V657" s="35"/>
      <c r="W657" s="35"/>
      <c r="X657" s="35"/>
      <c r="Y657" s="35"/>
      <c r="Z657" s="35"/>
    </row>
    <row r="658" ht="14.25" customHeight="1">
      <c r="A658" s="136"/>
      <c r="B658" s="137"/>
      <c r="C658" s="251"/>
      <c r="D658" s="452"/>
      <c r="E658" s="136"/>
      <c r="F658" s="253"/>
      <c r="G658" s="253"/>
      <c r="H658" s="527"/>
      <c r="I658" s="141"/>
      <c r="J658" s="141"/>
      <c r="K658" s="142"/>
      <c r="L658" s="142"/>
      <c r="M658" s="142"/>
      <c r="N658" s="142"/>
      <c r="O658" s="136"/>
      <c r="P658" s="34"/>
      <c r="Q658" s="35"/>
      <c r="R658" s="35"/>
      <c r="S658" s="35"/>
      <c r="T658" s="35"/>
      <c r="U658" s="35"/>
      <c r="V658" s="35"/>
      <c r="W658" s="35"/>
      <c r="X658" s="35"/>
      <c r="Y658" s="35"/>
      <c r="Z658" s="35"/>
    </row>
    <row r="659" ht="14.25" customHeight="1">
      <c r="A659" s="136"/>
      <c r="B659" s="137"/>
      <c r="C659" s="251"/>
      <c r="D659" s="452"/>
      <c r="E659" s="136"/>
      <c r="F659" s="253"/>
      <c r="G659" s="253"/>
      <c r="H659" s="527"/>
      <c r="I659" s="141"/>
      <c r="J659" s="141"/>
      <c r="K659" s="142"/>
      <c r="L659" s="142"/>
      <c r="M659" s="142"/>
      <c r="N659" s="142"/>
      <c r="O659" s="136"/>
      <c r="P659" s="34"/>
      <c r="Q659" s="35"/>
      <c r="R659" s="35"/>
      <c r="S659" s="35"/>
      <c r="T659" s="35"/>
      <c r="U659" s="35"/>
      <c r="V659" s="35"/>
      <c r="W659" s="35"/>
      <c r="X659" s="35"/>
      <c r="Y659" s="35"/>
      <c r="Z659" s="35"/>
    </row>
    <row r="660" ht="14.25" customHeight="1">
      <c r="A660" s="136"/>
      <c r="B660" s="137"/>
      <c r="C660" s="251"/>
      <c r="D660" s="452"/>
      <c r="E660" s="136"/>
      <c r="F660" s="253"/>
      <c r="G660" s="253"/>
      <c r="H660" s="527"/>
      <c r="I660" s="141"/>
      <c r="J660" s="141"/>
      <c r="K660" s="142"/>
      <c r="L660" s="142"/>
      <c r="M660" s="142"/>
      <c r="N660" s="142"/>
      <c r="O660" s="136"/>
      <c r="P660" s="34"/>
      <c r="Q660" s="35"/>
      <c r="R660" s="35"/>
      <c r="S660" s="35"/>
      <c r="T660" s="35"/>
      <c r="U660" s="35"/>
      <c r="V660" s="35"/>
      <c r="W660" s="35"/>
      <c r="X660" s="35"/>
      <c r="Y660" s="35"/>
      <c r="Z660" s="35"/>
    </row>
    <row r="661" ht="14.25" customHeight="1">
      <c r="A661" s="136"/>
      <c r="B661" s="137"/>
      <c r="C661" s="251"/>
      <c r="D661" s="452"/>
      <c r="E661" s="136"/>
      <c r="F661" s="253"/>
      <c r="G661" s="253"/>
      <c r="H661" s="527"/>
      <c r="I661" s="141"/>
      <c r="J661" s="141"/>
      <c r="K661" s="142"/>
      <c r="L661" s="142"/>
      <c r="M661" s="142"/>
      <c r="N661" s="142"/>
      <c r="O661" s="136"/>
      <c r="P661" s="34"/>
      <c r="Q661" s="35"/>
      <c r="R661" s="35"/>
      <c r="S661" s="35"/>
      <c r="T661" s="35"/>
      <c r="U661" s="35"/>
      <c r="V661" s="35"/>
      <c r="W661" s="35"/>
      <c r="X661" s="35"/>
      <c r="Y661" s="35"/>
      <c r="Z661" s="35"/>
    </row>
    <row r="662" ht="14.25" customHeight="1">
      <c r="A662" s="136"/>
      <c r="B662" s="137"/>
      <c r="C662" s="251"/>
      <c r="D662" s="452"/>
      <c r="E662" s="136"/>
      <c r="F662" s="253"/>
      <c r="G662" s="253"/>
      <c r="H662" s="527"/>
      <c r="I662" s="141"/>
      <c r="J662" s="141"/>
      <c r="K662" s="142"/>
      <c r="L662" s="142"/>
      <c r="M662" s="142"/>
      <c r="N662" s="142"/>
      <c r="O662" s="136"/>
      <c r="P662" s="34"/>
      <c r="Q662" s="35"/>
      <c r="R662" s="35"/>
      <c r="S662" s="35"/>
      <c r="T662" s="35"/>
      <c r="U662" s="35"/>
      <c r="V662" s="35"/>
      <c r="W662" s="35"/>
      <c r="X662" s="35"/>
      <c r="Y662" s="35"/>
      <c r="Z662" s="35"/>
    </row>
    <row r="663" ht="14.25" customHeight="1">
      <c r="A663" s="136"/>
      <c r="B663" s="137"/>
      <c r="C663" s="251"/>
      <c r="D663" s="452"/>
      <c r="E663" s="136"/>
      <c r="F663" s="253"/>
      <c r="G663" s="253"/>
      <c r="H663" s="527"/>
      <c r="I663" s="141"/>
      <c r="J663" s="141"/>
      <c r="K663" s="142"/>
      <c r="L663" s="142"/>
      <c r="M663" s="142"/>
      <c r="N663" s="142"/>
      <c r="O663" s="136"/>
      <c r="P663" s="34"/>
      <c r="Q663" s="35"/>
      <c r="R663" s="35"/>
      <c r="S663" s="35"/>
      <c r="T663" s="35"/>
      <c r="U663" s="35"/>
      <c r="V663" s="35"/>
      <c r="W663" s="35"/>
      <c r="X663" s="35"/>
      <c r="Y663" s="35"/>
      <c r="Z663" s="35"/>
    </row>
    <row r="664" ht="14.25" customHeight="1">
      <c r="A664" s="136"/>
      <c r="B664" s="137"/>
      <c r="C664" s="251"/>
      <c r="D664" s="452"/>
      <c r="E664" s="136"/>
      <c r="F664" s="253"/>
      <c r="G664" s="253"/>
      <c r="H664" s="527"/>
      <c r="I664" s="141"/>
      <c r="J664" s="141"/>
      <c r="K664" s="142"/>
      <c r="L664" s="142"/>
      <c r="M664" s="142"/>
      <c r="N664" s="142"/>
      <c r="O664" s="136"/>
      <c r="P664" s="34"/>
      <c r="Q664" s="35"/>
      <c r="R664" s="35"/>
      <c r="S664" s="35"/>
      <c r="T664" s="35"/>
      <c r="U664" s="35"/>
      <c r="V664" s="35"/>
      <c r="W664" s="35"/>
      <c r="X664" s="35"/>
      <c r="Y664" s="35"/>
      <c r="Z664" s="35"/>
    </row>
    <row r="665" ht="14.25" customHeight="1">
      <c r="A665" s="136"/>
      <c r="B665" s="137"/>
      <c r="C665" s="251"/>
      <c r="D665" s="452"/>
      <c r="E665" s="136"/>
      <c r="F665" s="253"/>
      <c r="G665" s="253"/>
      <c r="H665" s="527"/>
      <c r="I665" s="141"/>
      <c r="J665" s="141"/>
      <c r="K665" s="142"/>
      <c r="L665" s="142"/>
      <c r="M665" s="142"/>
      <c r="N665" s="142"/>
      <c r="O665" s="136"/>
      <c r="P665" s="34"/>
      <c r="Q665" s="35"/>
      <c r="R665" s="35"/>
      <c r="S665" s="35"/>
      <c r="T665" s="35"/>
      <c r="U665" s="35"/>
      <c r="V665" s="35"/>
      <c r="W665" s="35"/>
      <c r="X665" s="35"/>
      <c r="Y665" s="35"/>
      <c r="Z665" s="35"/>
    </row>
    <row r="666" ht="14.25" customHeight="1">
      <c r="A666" s="136"/>
      <c r="B666" s="137"/>
      <c r="C666" s="251"/>
      <c r="D666" s="452"/>
      <c r="E666" s="136"/>
      <c r="F666" s="253"/>
      <c r="G666" s="253"/>
      <c r="H666" s="527"/>
      <c r="I666" s="141"/>
      <c r="J666" s="141"/>
      <c r="K666" s="142"/>
      <c r="L666" s="142"/>
      <c r="M666" s="142"/>
      <c r="N666" s="142"/>
      <c r="O666" s="136"/>
      <c r="P666" s="34"/>
      <c r="Q666" s="35"/>
      <c r="R666" s="35"/>
      <c r="S666" s="35"/>
      <c r="T666" s="35"/>
      <c r="U666" s="35"/>
      <c r="V666" s="35"/>
      <c r="W666" s="35"/>
      <c r="X666" s="35"/>
      <c r="Y666" s="35"/>
      <c r="Z666" s="35"/>
    </row>
    <row r="667" ht="14.25" customHeight="1">
      <c r="A667" s="136"/>
      <c r="B667" s="137"/>
      <c r="C667" s="251"/>
      <c r="D667" s="452"/>
      <c r="E667" s="136"/>
      <c r="F667" s="253"/>
      <c r="G667" s="253"/>
      <c r="H667" s="527"/>
      <c r="I667" s="141"/>
      <c r="J667" s="141"/>
      <c r="K667" s="142"/>
      <c r="L667" s="142"/>
      <c r="M667" s="142"/>
      <c r="N667" s="142"/>
      <c r="O667" s="136"/>
      <c r="P667" s="34"/>
      <c r="Q667" s="35"/>
      <c r="R667" s="35"/>
      <c r="S667" s="35"/>
      <c r="T667" s="35"/>
      <c r="U667" s="35"/>
      <c r="V667" s="35"/>
      <c r="W667" s="35"/>
      <c r="X667" s="35"/>
      <c r="Y667" s="35"/>
      <c r="Z667" s="35"/>
    </row>
    <row r="668" ht="14.25" customHeight="1">
      <c r="A668" s="136"/>
      <c r="B668" s="137"/>
      <c r="C668" s="251"/>
      <c r="D668" s="452"/>
      <c r="E668" s="136"/>
      <c r="F668" s="253"/>
      <c r="G668" s="253"/>
      <c r="H668" s="527"/>
      <c r="I668" s="141"/>
      <c r="J668" s="141"/>
      <c r="K668" s="142"/>
      <c r="L668" s="142"/>
      <c r="M668" s="142"/>
      <c r="N668" s="142"/>
      <c r="O668" s="136"/>
      <c r="P668" s="34"/>
      <c r="Q668" s="35"/>
      <c r="R668" s="35"/>
      <c r="S668" s="35"/>
      <c r="T668" s="35"/>
      <c r="U668" s="35"/>
      <c r="V668" s="35"/>
      <c r="W668" s="35"/>
      <c r="X668" s="35"/>
      <c r="Y668" s="35"/>
      <c r="Z668" s="35"/>
    </row>
    <row r="669" ht="14.25" customHeight="1">
      <c r="A669" s="136"/>
      <c r="B669" s="137"/>
      <c r="C669" s="251"/>
      <c r="D669" s="452"/>
      <c r="E669" s="136"/>
      <c r="F669" s="253"/>
      <c r="G669" s="253"/>
      <c r="H669" s="527"/>
      <c r="I669" s="141"/>
      <c r="J669" s="141"/>
      <c r="K669" s="142"/>
      <c r="L669" s="142"/>
      <c r="M669" s="142"/>
      <c r="N669" s="142"/>
      <c r="O669" s="136"/>
      <c r="P669" s="34"/>
      <c r="Q669" s="35"/>
      <c r="R669" s="35"/>
      <c r="S669" s="35"/>
      <c r="T669" s="35"/>
      <c r="U669" s="35"/>
      <c r="V669" s="35"/>
      <c r="W669" s="35"/>
      <c r="X669" s="35"/>
      <c r="Y669" s="35"/>
      <c r="Z669" s="35"/>
    </row>
    <row r="670" ht="14.25" customHeight="1">
      <c r="A670" s="136"/>
      <c r="B670" s="137"/>
      <c r="C670" s="251"/>
      <c r="D670" s="452"/>
      <c r="E670" s="136"/>
      <c r="F670" s="253"/>
      <c r="G670" s="253"/>
      <c r="H670" s="527"/>
      <c r="I670" s="141"/>
      <c r="J670" s="141"/>
      <c r="K670" s="142"/>
      <c r="L670" s="142"/>
      <c r="M670" s="142"/>
      <c r="N670" s="142"/>
      <c r="O670" s="136"/>
      <c r="P670" s="34"/>
      <c r="Q670" s="35"/>
      <c r="R670" s="35"/>
      <c r="S670" s="35"/>
      <c r="T670" s="35"/>
      <c r="U670" s="35"/>
      <c r="V670" s="35"/>
      <c r="W670" s="35"/>
      <c r="X670" s="35"/>
      <c r="Y670" s="35"/>
      <c r="Z670" s="35"/>
    </row>
    <row r="671" ht="14.25" customHeight="1">
      <c r="A671" s="136"/>
      <c r="B671" s="137"/>
      <c r="C671" s="251"/>
      <c r="D671" s="452"/>
      <c r="E671" s="136"/>
      <c r="F671" s="253"/>
      <c r="G671" s="253"/>
      <c r="H671" s="527"/>
      <c r="I671" s="141"/>
      <c r="J671" s="141"/>
      <c r="K671" s="142"/>
      <c r="L671" s="142"/>
      <c r="M671" s="142"/>
      <c r="N671" s="142"/>
      <c r="O671" s="136"/>
      <c r="P671" s="34"/>
      <c r="Q671" s="35"/>
      <c r="R671" s="35"/>
      <c r="S671" s="35"/>
      <c r="T671" s="35"/>
      <c r="U671" s="35"/>
      <c r="V671" s="35"/>
      <c r="W671" s="35"/>
      <c r="X671" s="35"/>
      <c r="Y671" s="35"/>
      <c r="Z671" s="35"/>
    </row>
    <row r="672" ht="14.25" customHeight="1">
      <c r="A672" s="136"/>
      <c r="B672" s="137"/>
      <c r="C672" s="251"/>
      <c r="D672" s="452"/>
      <c r="E672" s="136"/>
      <c r="F672" s="253"/>
      <c r="G672" s="253"/>
      <c r="H672" s="527"/>
      <c r="I672" s="141"/>
      <c r="J672" s="141"/>
      <c r="K672" s="142"/>
      <c r="L672" s="142"/>
      <c r="M672" s="142"/>
      <c r="N672" s="142"/>
      <c r="O672" s="136"/>
      <c r="P672" s="34"/>
      <c r="Q672" s="35"/>
      <c r="R672" s="35"/>
      <c r="S672" s="35"/>
      <c r="T672" s="35"/>
      <c r="U672" s="35"/>
      <c r="V672" s="35"/>
      <c r="W672" s="35"/>
      <c r="X672" s="35"/>
      <c r="Y672" s="35"/>
      <c r="Z672" s="35"/>
    </row>
    <row r="673" ht="14.25" customHeight="1">
      <c r="A673" s="136"/>
      <c r="B673" s="137"/>
      <c r="C673" s="251"/>
      <c r="D673" s="452"/>
      <c r="E673" s="136"/>
      <c r="F673" s="253"/>
      <c r="G673" s="253"/>
      <c r="H673" s="527"/>
      <c r="I673" s="141"/>
      <c r="J673" s="141"/>
      <c r="K673" s="142"/>
      <c r="L673" s="142"/>
      <c r="M673" s="142"/>
      <c r="N673" s="142"/>
      <c r="O673" s="136"/>
      <c r="P673" s="34"/>
      <c r="Q673" s="35"/>
      <c r="R673" s="35"/>
      <c r="S673" s="35"/>
      <c r="T673" s="35"/>
      <c r="U673" s="35"/>
      <c r="V673" s="35"/>
      <c r="W673" s="35"/>
      <c r="X673" s="35"/>
      <c r="Y673" s="35"/>
      <c r="Z673" s="35"/>
    </row>
    <row r="674" ht="14.25" customHeight="1">
      <c r="A674" s="136"/>
      <c r="B674" s="137"/>
      <c r="C674" s="251"/>
      <c r="D674" s="452"/>
      <c r="E674" s="136"/>
      <c r="F674" s="253"/>
      <c r="G674" s="253"/>
      <c r="H674" s="527"/>
      <c r="I674" s="141"/>
      <c r="J674" s="141"/>
      <c r="K674" s="142"/>
      <c r="L674" s="142"/>
      <c r="M674" s="142"/>
      <c r="N674" s="142"/>
      <c r="O674" s="136"/>
      <c r="P674" s="34"/>
      <c r="Q674" s="35"/>
      <c r="R674" s="35"/>
      <c r="S674" s="35"/>
      <c r="T674" s="35"/>
      <c r="U674" s="35"/>
      <c r="V674" s="35"/>
      <c r="W674" s="35"/>
      <c r="X674" s="35"/>
      <c r="Y674" s="35"/>
      <c r="Z674" s="35"/>
    </row>
    <row r="675" ht="14.25" customHeight="1">
      <c r="A675" s="136"/>
      <c r="B675" s="137"/>
      <c r="C675" s="251"/>
      <c r="D675" s="452"/>
      <c r="E675" s="136"/>
      <c r="F675" s="253"/>
      <c r="G675" s="253"/>
      <c r="H675" s="527"/>
      <c r="I675" s="141"/>
      <c r="J675" s="141"/>
      <c r="K675" s="142"/>
      <c r="L675" s="142"/>
      <c r="M675" s="142"/>
      <c r="N675" s="142"/>
      <c r="O675" s="136"/>
      <c r="P675" s="34"/>
      <c r="Q675" s="35"/>
      <c r="R675" s="35"/>
      <c r="S675" s="35"/>
      <c r="T675" s="35"/>
      <c r="U675" s="35"/>
      <c r="V675" s="35"/>
      <c r="W675" s="35"/>
      <c r="X675" s="35"/>
      <c r="Y675" s="35"/>
      <c r="Z675" s="35"/>
    </row>
    <row r="676" ht="14.25" customHeight="1">
      <c r="A676" s="136"/>
      <c r="B676" s="137"/>
      <c r="C676" s="251"/>
      <c r="D676" s="452"/>
      <c r="E676" s="136"/>
      <c r="F676" s="253"/>
      <c r="G676" s="253"/>
      <c r="H676" s="527"/>
      <c r="I676" s="141"/>
      <c r="J676" s="141"/>
      <c r="K676" s="142"/>
      <c r="L676" s="142"/>
      <c r="M676" s="142"/>
      <c r="N676" s="142"/>
      <c r="O676" s="136"/>
      <c r="P676" s="34"/>
      <c r="Q676" s="35"/>
      <c r="R676" s="35"/>
      <c r="S676" s="35"/>
      <c r="T676" s="35"/>
      <c r="U676" s="35"/>
      <c r="V676" s="35"/>
      <c r="W676" s="35"/>
      <c r="X676" s="35"/>
      <c r="Y676" s="35"/>
      <c r="Z676" s="35"/>
    </row>
    <row r="677" ht="14.25" customHeight="1">
      <c r="A677" s="136"/>
      <c r="B677" s="137"/>
      <c r="C677" s="251"/>
      <c r="D677" s="452"/>
      <c r="E677" s="136"/>
      <c r="F677" s="253"/>
      <c r="G677" s="253"/>
      <c r="H677" s="527"/>
      <c r="I677" s="141"/>
      <c r="J677" s="141"/>
      <c r="K677" s="142"/>
      <c r="L677" s="142"/>
      <c r="M677" s="142"/>
      <c r="N677" s="142"/>
      <c r="O677" s="136"/>
      <c r="P677" s="34"/>
      <c r="Q677" s="35"/>
      <c r="R677" s="35"/>
      <c r="S677" s="35"/>
      <c r="T677" s="35"/>
      <c r="U677" s="35"/>
      <c r="V677" s="35"/>
      <c r="W677" s="35"/>
      <c r="X677" s="35"/>
      <c r="Y677" s="35"/>
      <c r="Z677" s="35"/>
    </row>
    <row r="678" ht="14.25" customHeight="1">
      <c r="A678" s="136"/>
      <c r="B678" s="137"/>
      <c r="C678" s="251"/>
      <c r="D678" s="452"/>
      <c r="E678" s="136"/>
      <c r="F678" s="253"/>
      <c r="G678" s="253"/>
      <c r="H678" s="527"/>
      <c r="I678" s="141"/>
      <c r="J678" s="141"/>
      <c r="K678" s="142"/>
      <c r="L678" s="142"/>
      <c r="M678" s="142"/>
      <c r="N678" s="142"/>
      <c r="O678" s="136"/>
      <c r="P678" s="34"/>
      <c r="Q678" s="35"/>
      <c r="R678" s="35"/>
      <c r="S678" s="35"/>
      <c r="T678" s="35"/>
      <c r="U678" s="35"/>
      <c r="V678" s="35"/>
      <c r="W678" s="35"/>
      <c r="X678" s="35"/>
      <c r="Y678" s="35"/>
      <c r="Z678" s="35"/>
    </row>
    <row r="679" ht="14.25" customHeight="1">
      <c r="A679" s="136"/>
      <c r="B679" s="137"/>
      <c r="C679" s="251"/>
      <c r="D679" s="452"/>
      <c r="E679" s="136"/>
      <c r="F679" s="253"/>
      <c r="G679" s="253"/>
      <c r="H679" s="527"/>
      <c r="I679" s="141"/>
      <c r="J679" s="141"/>
      <c r="K679" s="142"/>
      <c r="L679" s="142"/>
      <c r="M679" s="142"/>
      <c r="N679" s="142"/>
      <c r="O679" s="136"/>
      <c r="P679" s="34"/>
      <c r="Q679" s="35"/>
      <c r="R679" s="35"/>
      <c r="S679" s="35"/>
      <c r="T679" s="35"/>
      <c r="U679" s="35"/>
      <c r="V679" s="35"/>
      <c r="W679" s="35"/>
      <c r="X679" s="35"/>
      <c r="Y679" s="35"/>
      <c r="Z679" s="35"/>
    </row>
    <row r="680" ht="14.25" customHeight="1">
      <c r="A680" s="136"/>
      <c r="B680" s="137"/>
      <c r="C680" s="251"/>
      <c r="D680" s="452"/>
      <c r="E680" s="136"/>
      <c r="F680" s="253"/>
      <c r="G680" s="253"/>
      <c r="H680" s="527"/>
      <c r="I680" s="141"/>
      <c r="J680" s="141"/>
      <c r="K680" s="142"/>
      <c r="L680" s="142"/>
      <c r="M680" s="142"/>
      <c r="N680" s="142"/>
      <c r="O680" s="136"/>
      <c r="P680" s="34"/>
      <c r="Q680" s="35"/>
      <c r="R680" s="35"/>
      <c r="S680" s="35"/>
      <c r="T680" s="35"/>
      <c r="U680" s="35"/>
      <c r="V680" s="35"/>
      <c r="W680" s="35"/>
      <c r="X680" s="35"/>
      <c r="Y680" s="35"/>
      <c r="Z680" s="35"/>
    </row>
    <row r="681" ht="14.25" customHeight="1">
      <c r="A681" s="136"/>
      <c r="B681" s="137"/>
      <c r="C681" s="251"/>
      <c r="D681" s="452"/>
      <c r="E681" s="136"/>
      <c r="F681" s="253"/>
      <c r="G681" s="253"/>
      <c r="H681" s="527"/>
      <c r="I681" s="141"/>
      <c r="J681" s="141"/>
      <c r="K681" s="142"/>
      <c r="L681" s="142"/>
      <c r="M681" s="142"/>
      <c r="N681" s="142"/>
      <c r="O681" s="136"/>
      <c r="P681" s="34"/>
      <c r="Q681" s="35"/>
      <c r="R681" s="35"/>
      <c r="S681" s="35"/>
      <c r="T681" s="35"/>
      <c r="U681" s="35"/>
      <c r="V681" s="35"/>
      <c r="W681" s="35"/>
      <c r="X681" s="35"/>
      <c r="Y681" s="35"/>
      <c r="Z681" s="35"/>
    </row>
    <row r="682" ht="14.25" customHeight="1">
      <c r="A682" s="136"/>
      <c r="B682" s="137"/>
      <c r="C682" s="251"/>
      <c r="D682" s="452"/>
      <c r="E682" s="136"/>
      <c r="F682" s="253"/>
      <c r="G682" s="253"/>
      <c r="H682" s="527"/>
      <c r="I682" s="141"/>
      <c r="J682" s="141"/>
      <c r="K682" s="142"/>
      <c r="L682" s="142"/>
      <c r="M682" s="142"/>
      <c r="N682" s="142"/>
      <c r="O682" s="136"/>
      <c r="P682" s="34"/>
      <c r="Q682" s="35"/>
      <c r="R682" s="35"/>
      <c r="S682" s="35"/>
      <c r="T682" s="35"/>
      <c r="U682" s="35"/>
      <c r="V682" s="35"/>
      <c r="W682" s="35"/>
      <c r="X682" s="35"/>
      <c r="Y682" s="35"/>
      <c r="Z682" s="35"/>
    </row>
    <row r="683" ht="14.25" customHeight="1">
      <c r="A683" s="136"/>
      <c r="B683" s="137"/>
      <c r="C683" s="251"/>
      <c r="D683" s="452"/>
      <c r="E683" s="136"/>
      <c r="F683" s="253"/>
      <c r="G683" s="253"/>
      <c r="H683" s="527"/>
      <c r="I683" s="141"/>
      <c r="J683" s="141"/>
      <c r="K683" s="142"/>
      <c r="L683" s="142"/>
      <c r="M683" s="142"/>
      <c r="N683" s="142"/>
      <c r="O683" s="136"/>
      <c r="P683" s="34"/>
      <c r="Q683" s="35"/>
      <c r="R683" s="35"/>
      <c r="S683" s="35"/>
      <c r="T683" s="35"/>
      <c r="U683" s="35"/>
      <c r="V683" s="35"/>
      <c r="W683" s="35"/>
      <c r="X683" s="35"/>
      <c r="Y683" s="35"/>
      <c r="Z683" s="35"/>
    </row>
    <row r="684" ht="14.25" customHeight="1">
      <c r="A684" s="136"/>
      <c r="B684" s="137"/>
      <c r="C684" s="251"/>
      <c r="D684" s="452"/>
      <c r="E684" s="136"/>
      <c r="F684" s="253"/>
      <c r="G684" s="253"/>
      <c r="H684" s="527"/>
      <c r="I684" s="141"/>
      <c r="J684" s="141"/>
      <c r="K684" s="142"/>
      <c r="L684" s="142"/>
      <c r="M684" s="142"/>
      <c r="N684" s="142"/>
      <c r="O684" s="136"/>
      <c r="P684" s="34"/>
      <c r="Q684" s="35"/>
      <c r="R684" s="35"/>
      <c r="S684" s="35"/>
      <c r="T684" s="35"/>
      <c r="U684" s="35"/>
      <c r="V684" s="35"/>
      <c r="W684" s="35"/>
      <c r="X684" s="35"/>
      <c r="Y684" s="35"/>
      <c r="Z684" s="35"/>
    </row>
    <row r="685" ht="14.25" customHeight="1">
      <c r="A685" s="136"/>
      <c r="B685" s="137"/>
      <c r="C685" s="251"/>
      <c r="D685" s="452"/>
      <c r="E685" s="136"/>
      <c r="F685" s="253"/>
      <c r="G685" s="253"/>
      <c r="H685" s="527"/>
      <c r="I685" s="141"/>
      <c r="J685" s="141"/>
      <c r="K685" s="142"/>
      <c r="L685" s="142"/>
      <c r="M685" s="142"/>
      <c r="N685" s="142"/>
      <c r="O685" s="136"/>
      <c r="P685" s="34"/>
      <c r="Q685" s="35"/>
      <c r="R685" s="35"/>
      <c r="S685" s="35"/>
      <c r="T685" s="35"/>
      <c r="U685" s="35"/>
      <c r="V685" s="35"/>
      <c r="W685" s="35"/>
      <c r="X685" s="35"/>
      <c r="Y685" s="35"/>
      <c r="Z685" s="35"/>
    </row>
    <row r="686" ht="14.25" customHeight="1">
      <c r="A686" s="136"/>
      <c r="B686" s="137"/>
      <c r="C686" s="251"/>
      <c r="D686" s="452"/>
      <c r="E686" s="136"/>
      <c r="F686" s="253"/>
      <c r="G686" s="253"/>
      <c r="H686" s="527"/>
      <c r="I686" s="141"/>
      <c r="J686" s="141"/>
      <c r="K686" s="142"/>
      <c r="L686" s="142"/>
      <c r="M686" s="142"/>
      <c r="N686" s="142"/>
      <c r="O686" s="136"/>
      <c r="P686" s="34"/>
      <c r="Q686" s="35"/>
      <c r="R686" s="35"/>
      <c r="S686" s="35"/>
      <c r="T686" s="35"/>
      <c r="U686" s="35"/>
      <c r="V686" s="35"/>
      <c r="W686" s="35"/>
      <c r="X686" s="35"/>
      <c r="Y686" s="35"/>
      <c r="Z686" s="35"/>
    </row>
    <row r="687" ht="14.25" customHeight="1">
      <c r="A687" s="136"/>
      <c r="B687" s="137"/>
      <c r="C687" s="251"/>
      <c r="D687" s="452"/>
      <c r="E687" s="136"/>
      <c r="F687" s="253"/>
      <c r="G687" s="253"/>
      <c r="H687" s="527"/>
      <c r="I687" s="141"/>
      <c r="J687" s="141"/>
      <c r="K687" s="142"/>
      <c r="L687" s="142"/>
      <c r="M687" s="142"/>
      <c r="N687" s="142"/>
      <c r="O687" s="136"/>
      <c r="P687" s="34"/>
      <c r="Q687" s="35"/>
      <c r="R687" s="35"/>
      <c r="S687" s="35"/>
      <c r="T687" s="35"/>
      <c r="U687" s="35"/>
      <c r="V687" s="35"/>
      <c r="W687" s="35"/>
      <c r="X687" s="35"/>
      <c r="Y687" s="35"/>
      <c r="Z687" s="35"/>
    </row>
    <row r="688" ht="14.25" customHeight="1">
      <c r="A688" s="136"/>
      <c r="B688" s="137"/>
      <c r="C688" s="251"/>
      <c r="D688" s="452"/>
      <c r="E688" s="136"/>
      <c r="F688" s="253"/>
      <c r="G688" s="253"/>
      <c r="H688" s="527"/>
      <c r="I688" s="141"/>
      <c r="J688" s="141"/>
      <c r="K688" s="142"/>
      <c r="L688" s="142"/>
      <c r="M688" s="142"/>
      <c r="N688" s="142"/>
      <c r="O688" s="136"/>
      <c r="P688" s="34"/>
      <c r="Q688" s="35"/>
      <c r="R688" s="35"/>
      <c r="S688" s="35"/>
      <c r="T688" s="35"/>
      <c r="U688" s="35"/>
      <c r="V688" s="35"/>
      <c r="W688" s="35"/>
      <c r="X688" s="35"/>
      <c r="Y688" s="35"/>
      <c r="Z688" s="35"/>
    </row>
    <row r="689" ht="14.25" customHeight="1">
      <c r="A689" s="136"/>
      <c r="B689" s="137"/>
      <c r="C689" s="251"/>
      <c r="D689" s="452"/>
      <c r="E689" s="136"/>
      <c r="F689" s="253"/>
      <c r="G689" s="253"/>
      <c r="H689" s="527"/>
      <c r="I689" s="141"/>
      <c r="J689" s="141"/>
      <c r="K689" s="142"/>
      <c r="L689" s="142"/>
      <c r="M689" s="142"/>
      <c r="N689" s="142"/>
      <c r="O689" s="136"/>
      <c r="P689" s="34"/>
      <c r="Q689" s="35"/>
      <c r="R689" s="35"/>
      <c r="S689" s="35"/>
      <c r="T689" s="35"/>
      <c r="U689" s="35"/>
      <c r="V689" s="35"/>
      <c r="W689" s="35"/>
      <c r="X689" s="35"/>
      <c r="Y689" s="35"/>
      <c r="Z689" s="35"/>
    </row>
    <row r="690" ht="14.25" customHeight="1">
      <c r="A690" s="136"/>
      <c r="B690" s="137"/>
      <c r="C690" s="251"/>
      <c r="D690" s="452"/>
      <c r="E690" s="136"/>
      <c r="F690" s="253"/>
      <c r="G690" s="253"/>
      <c r="H690" s="527"/>
      <c r="I690" s="141"/>
      <c r="J690" s="141"/>
      <c r="K690" s="142"/>
      <c r="L690" s="142"/>
      <c r="M690" s="142"/>
      <c r="N690" s="142"/>
      <c r="O690" s="136"/>
      <c r="P690" s="34"/>
      <c r="Q690" s="35"/>
      <c r="R690" s="35"/>
      <c r="S690" s="35"/>
      <c r="T690" s="35"/>
      <c r="U690" s="35"/>
      <c r="V690" s="35"/>
      <c r="W690" s="35"/>
      <c r="X690" s="35"/>
      <c r="Y690" s="35"/>
      <c r="Z690" s="35"/>
    </row>
    <row r="691" ht="14.25" customHeight="1">
      <c r="A691" s="136"/>
      <c r="B691" s="137"/>
      <c r="C691" s="251"/>
      <c r="D691" s="452"/>
      <c r="E691" s="136"/>
      <c r="F691" s="253"/>
      <c r="G691" s="253"/>
      <c r="H691" s="527"/>
      <c r="I691" s="141"/>
      <c r="J691" s="141"/>
      <c r="K691" s="142"/>
      <c r="L691" s="142"/>
      <c r="M691" s="142"/>
      <c r="N691" s="142"/>
      <c r="O691" s="136"/>
      <c r="P691" s="34"/>
      <c r="Q691" s="35"/>
      <c r="R691" s="35"/>
      <c r="S691" s="35"/>
      <c r="T691" s="35"/>
      <c r="U691" s="35"/>
      <c r="V691" s="35"/>
      <c r="W691" s="35"/>
      <c r="X691" s="35"/>
      <c r="Y691" s="35"/>
      <c r="Z691" s="35"/>
    </row>
    <row r="692" ht="14.25" customHeight="1">
      <c r="A692" s="136"/>
      <c r="B692" s="137"/>
      <c r="C692" s="251"/>
      <c r="D692" s="452"/>
      <c r="E692" s="136"/>
      <c r="F692" s="253"/>
      <c r="G692" s="253"/>
      <c r="H692" s="527"/>
      <c r="I692" s="141"/>
      <c r="J692" s="141"/>
      <c r="K692" s="142"/>
      <c r="L692" s="142"/>
      <c r="M692" s="142"/>
      <c r="N692" s="142"/>
      <c r="O692" s="136"/>
      <c r="P692" s="34"/>
      <c r="Q692" s="35"/>
      <c r="R692" s="35"/>
      <c r="S692" s="35"/>
      <c r="T692" s="35"/>
      <c r="U692" s="35"/>
      <c r="V692" s="35"/>
      <c r="W692" s="35"/>
      <c r="X692" s="35"/>
      <c r="Y692" s="35"/>
      <c r="Z692" s="35"/>
    </row>
    <row r="693" ht="14.25" customHeight="1">
      <c r="A693" s="136"/>
      <c r="B693" s="137"/>
      <c r="C693" s="251"/>
      <c r="D693" s="452"/>
      <c r="E693" s="136"/>
      <c r="F693" s="253"/>
      <c r="G693" s="253"/>
      <c r="H693" s="527"/>
      <c r="I693" s="141"/>
      <c r="J693" s="141"/>
      <c r="K693" s="142"/>
      <c r="L693" s="142"/>
      <c r="M693" s="142"/>
      <c r="N693" s="142"/>
      <c r="O693" s="136"/>
      <c r="P693" s="34"/>
      <c r="Q693" s="35"/>
      <c r="R693" s="35"/>
      <c r="S693" s="35"/>
      <c r="T693" s="35"/>
      <c r="U693" s="35"/>
      <c r="V693" s="35"/>
      <c r="W693" s="35"/>
      <c r="X693" s="35"/>
      <c r="Y693" s="35"/>
      <c r="Z693" s="35"/>
    </row>
    <row r="694" ht="14.25" customHeight="1">
      <c r="A694" s="136"/>
      <c r="B694" s="137"/>
      <c r="C694" s="251"/>
      <c r="D694" s="452"/>
      <c r="E694" s="136"/>
      <c r="F694" s="253"/>
      <c r="G694" s="253"/>
      <c r="H694" s="527"/>
      <c r="I694" s="141"/>
      <c r="J694" s="141"/>
      <c r="K694" s="142"/>
      <c r="L694" s="142"/>
      <c r="M694" s="142"/>
      <c r="N694" s="142"/>
      <c r="O694" s="136"/>
      <c r="P694" s="34"/>
      <c r="Q694" s="35"/>
      <c r="R694" s="35"/>
      <c r="S694" s="35"/>
      <c r="T694" s="35"/>
      <c r="U694" s="35"/>
      <c r="V694" s="35"/>
      <c r="W694" s="35"/>
      <c r="X694" s="35"/>
      <c r="Y694" s="35"/>
      <c r="Z694" s="35"/>
    </row>
    <row r="695" ht="14.25" customHeight="1">
      <c r="A695" s="136"/>
      <c r="B695" s="137"/>
      <c r="C695" s="251"/>
      <c r="D695" s="452"/>
      <c r="E695" s="136"/>
      <c r="F695" s="253"/>
      <c r="G695" s="253"/>
      <c r="H695" s="527"/>
      <c r="I695" s="141"/>
      <c r="J695" s="141"/>
      <c r="K695" s="142"/>
      <c r="L695" s="142"/>
      <c r="M695" s="142"/>
      <c r="N695" s="142"/>
      <c r="O695" s="136"/>
      <c r="P695" s="34"/>
      <c r="Q695" s="35"/>
      <c r="R695" s="35"/>
      <c r="S695" s="35"/>
      <c r="T695" s="35"/>
      <c r="U695" s="35"/>
      <c r="V695" s="35"/>
      <c r="W695" s="35"/>
      <c r="X695" s="35"/>
      <c r="Y695" s="35"/>
      <c r="Z695" s="35"/>
    </row>
    <row r="696" ht="14.25" customHeight="1">
      <c r="A696" s="136"/>
      <c r="B696" s="137"/>
      <c r="C696" s="251"/>
      <c r="D696" s="452"/>
      <c r="E696" s="136"/>
      <c r="F696" s="253"/>
      <c r="G696" s="253"/>
      <c r="H696" s="527"/>
      <c r="I696" s="141"/>
      <c r="J696" s="141"/>
      <c r="K696" s="142"/>
      <c r="L696" s="142"/>
      <c r="M696" s="142"/>
      <c r="N696" s="142"/>
      <c r="O696" s="136"/>
      <c r="P696" s="34"/>
      <c r="Q696" s="35"/>
      <c r="R696" s="35"/>
      <c r="S696" s="35"/>
      <c r="T696" s="35"/>
      <c r="U696" s="35"/>
      <c r="V696" s="35"/>
      <c r="W696" s="35"/>
      <c r="X696" s="35"/>
      <c r="Y696" s="35"/>
      <c r="Z696" s="35"/>
    </row>
    <row r="697" ht="14.25" customHeight="1">
      <c r="A697" s="136"/>
      <c r="B697" s="137"/>
      <c r="C697" s="251"/>
      <c r="D697" s="452"/>
      <c r="E697" s="136"/>
      <c r="F697" s="253"/>
      <c r="G697" s="253"/>
      <c r="H697" s="527"/>
      <c r="I697" s="141"/>
      <c r="J697" s="141"/>
      <c r="K697" s="142"/>
      <c r="L697" s="142"/>
      <c r="M697" s="142"/>
      <c r="N697" s="142"/>
      <c r="O697" s="136"/>
      <c r="P697" s="34"/>
      <c r="Q697" s="35"/>
      <c r="R697" s="35"/>
      <c r="S697" s="35"/>
      <c r="T697" s="35"/>
      <c r="U697" s="35"/>
      <c r="V697" s="35"/>
      <c r="W697" s="35"/>
      <c r="X697" s="35"/>
      <c r="Y697" s="35"/>
      <c r="Z697" s="35"/>
    </row>
    <row r="698" ht="14.25" customHeight="1">
      <c r="A698" s="136"/>
      <c r="B698" s="137"/>
      <c r="C698" s="251"/>
      <c r="D698" s="452"/>
      <c r="E698" s="136"/>
      <c r="F698" s="253"/>
      <c r="G698" s="253"/>
      <c r="H698" s="527"/>
      <c r="I698" s="141"/>
      <c r="J698" s="141"/>
      <c r="K698" s="142"/>
      <c r="L698" s="142"/>
      <c r="M698" s="142"/>
      <c r="N698" s="142"/>
      <c r="O698" s="136"/>
      <c r="P698" s="34"/>
      <c r="Q698" s="35"/>
      <c r="R698" s="35"/>
      <c r="S698" s="35"/>
      <c r="T698" s="35"/>
      <c r="U698" s="35"/>
      <c r="V698" s="35"/>
      <c r="W698" s="35"/>
      <c r="X698" s="35"/>
      <c r="Y698" s="35"/>
      <c r="Z698" s="35"/>
    </row>
    <row r="699" ht="14.25" customHeight="1">
      <c r="A699" s="136"/>
      <c r="B699" s="137"/>
      <c r="C699" s="251"/>
      <c r="D699" s="452"/>
      <c r="E699" s="136"/>
      <c r="F699" s="253"/>
      <c r="G699" s="253"/>
      <c r="H699" s="527"/>
      <c r="I699" s="141"/>
      <c r="J699" s="141"/>
      <c r="K699" s="142"/>
      <c r="L699" s="142"/>
      <c r="M699" s="142"/>
      <c r="N699" s="142"/>
      <c r="O699" s="136"/>
      <c r="P699" s="34"/>
      <c r="Q699" s="35"/>
      <c r="R699" s="35"/>
      <c r="S699" s="35"/>
      <c r="T699" s="35"/>
      <c r="U699" s="35"/>
      <c r="V699" s="35"/>
      <c r="W699" s="35"/>
      <c r="X699" s="35"/>
      <c r="Y699" s="35"/>
      <c r="Z699" s="35"/>
    </row>
    <row r="700" ht="14.25" customHeight="1">
      <c r="A700" s="136"/>
      <c r="B700" s="137"/>
      <c r="C700" s="251"/>
      <c r="D700" s="452"/>
      <c r="E700" s="136"/>
      <c r="F700" s="253"/>
      <c r="G700" s="253"/>
      <c r="H700" s="527"/>
      <c r="I700" s="141"/>
      <c r="J700" s="141"/>
      <c r="K700" s="142"/>
      <c r="L700" s="142"/>
      <c r="M700" s="142"/>
      <c r="N700" s="142"/>
      <c r="O700" s="136"/>
      <c r="P700" s="34"/>
      <c r="Q700" s="35"/>
      <c r="R700" s="35"/>
      <c r="S700" s="35"/>
      <c r="T700" s="35"/>
      <c r="U700" s="35"/>
      <c r="V700" s="35"/>
      <c r="W700" s="35"/>
      <c r="X700" s="35"/>
      <c r="Y700" s="35"/>
      <c r="Z700" s="35"/>
    </row>
    <row r="701" ht="14.25" customHeight="1">
      <c r="A701" s="136"/>
      <c r="B701" s="137"/>
      <c r="C701" s="251"/>
      <c r="D701" s="452"/>
      <c r="E701" s="136"/>
      <c r="F701" s="253"/>
      <c r="G701" s="253"/>
      <c r="H701" s="527"/>
      <c r="I701" s="141"/>
      <c r="J701" s="141"/>
      <c r="K701" s="142"/>
      <c r="L701" s="142"/>
      <c r="M701" s="142"/>
      <c r="N701" s="142"/>
      <c r="O701" s="136"/>
      <c r="P701" s="34"/>
      <c r="Q701" s="35"/>
      <c r="R701" s="35"/>
      <c r="S701" s="35"/>
      <c r="T701" s="35"/>
      <c r="U701" s="35"/>
      <c r="V701" s="35"/>
      <c r="W701" s="35"/>
      <c r="X701" s="35"/>
      <c r="Y701" s="35"/>
      <c r="Z701" s="35"/>
    </row>
    <row r="702" ht="14.25" customHeight="1">
      <c r="A702" s="136"/>
      <c r="B702" s="137"/>
      <c r="C702" s="251"/>
      <c r="D702" s="452"/>
      <c r="E702" s="136"/>
      <c r="F702" s="253"/>
      <c r="G702" s="253"/>
      <c r="H702" s="527"/>
      <c r="I702" s="141"/>
      <c r="J702" s="141"/>
      <c r="K702" s="142"/>
      <c r="L702" s="142"/>
      <c r="M702" s="142"/>
      <c r="N702" s="142"/>
      <c r="O702" s="136"/>
      <c r="P702" s="34"/>
      <c r="Q702" s="35"/>
      <c r="R702" s="35"/>
      <c r="S702" s="35"/>
      <c r="T702" s="35"/>
      <c r="U702" s="35"/>
      <c r="V702" s="35"/>
      <c r="W702" s="35"/>
      <c r="X702" s="35"/>
      <c r="Y702" s="35"/>
      <c r="Z702" s="35"/>
    </row>
    <row r="703" ht="14.25" customHeight="1">
      <c r="A703" s="136"/>
      <c r="B703" s="137"/>
      <c r="C703" s="251"/>
      <c r="D703" s="452"/>
      <c r="E703" s="136"/>
      <c r="F703" s="253"/>
      <c r="G703" s="253"/>
      <c r="H703" s="527"/>
      <c r="I703" s="141"/>
      <c r="J703" s="141"/>
      <c r="K703" s="142"/>
      <c r="L703" s="142"/>
      <c r="M703" s="142"/>
      <c r="N703" s="142"/>
      <c r="O703" s="136"/>
      <c r="P703" s="34"/>
      <c r="Q703" s="35"/>
      <c r="R703" s="35"/>
      <c r="S703" s="35"/>
      <c r="T703" s="35"/>
      <c r="U703" s="35"/>
      <c r="V703" s="35"/>
      <c r="W703" s="35"/>
      <c r="X703" s="35"/>
      <c r="Y703" s="35"/>
      <c r="Z703" s="35"/>
    </row>
    <row r="704" ht="14.25" customHeight="1">
      <c r="A704" s="136"/>
      <c r="B704" s="137"/>
      <c r="C704" s="251"/>
      <c r="D704" s="452"/>
      <c r="E704" s="136"/>
      <c r="F704" s="253"/>
      <c r="G704" s="253"/>
      <c r="H704" s="527"/>
      <c r="I704" s="141"/>
      <c r="J704" s="141"/>
      <c r="K704" s="142"/>
      <c r="L704" s="142"/>
      <c r="M704" s="142"/>
      <c r="N704" s="142"/>
      <c r="O704" s="136"/>
      <c r="P704" s="34"/>
      <c r="Q704" s="35"/>
      <c r="R704" s="35"/>
      <c r="S704" s="35"/>
      <c r="T704" s="35"/>
      <c r="U704" s="35"/>
      <c r="V704" s="35"/>
      <c r="W704" s="35"/>
      <c r="X704" s="35"/>
      <c r="Y704" s="35"/>
      <c r="Z704" s="35"/>
    </row>
    <row r="705" ht="14.25" customHeight="1">
      <c r="A705" s="136"/>
      <c r="B705" s="137"/>
      <c r="C705" s="251"/>
      <c r="D705" s="452"/>
      <c r="E705" s="136"/>
      <c r="F705" s="253"/>
      <c r="G705" s="253"/>
      <c r="H705" s="527"/>
      <c r="I705" s="141"/>
      <c r="J705" s="141"/>
      <c r="K705" s="142"/>
      <c r="L705" s="142"/>
      <c r="M705" s="142"/>
      <c r="N705" s="142"/>
      <c r="O705" s="136"/>
      <c r="P705" s="34"/>
      <c r="Q705" s="35"/>
      <c r="R705" s="35"/>
      <c r="S705" s="35"/>
      <c r="T705" s="35"/>
      <c r="U705" s="35"/>
      <c r="V705" s="35"/>
      <c r="W705" s="35"/>
      <c r="X705" s="35"/>
      <c r="Y705" s="35"/>
      <c r="Z705" s="35"/>
    </row>
    <row r="706" ht="14.25" customHeight="1">
      <c r="A706" s="136"/>
      <c r="B706" s="137"/>
      <c r="C706" s="251"/>
      <c r="D706" s="452"/>
      <c r="E706" s="136"/>
      <c r="F706" s="253"/>
      <c r="G706" s="253"/>
      <c r="H706" s="527"/>
      <c r="I706" s="141"/>
      <c r="J706" s="141"/>
      <c r="K706" s="142"/>
      <c r="L706" s="142"/>
      <c r="M706" s="142"/>
      <c r="N706" s="142"/>
      <c r="O706" s="136"/>
      <c r="P706" s="34"/>
      <c r="Q706" s="35"/>
      <c r="R706" s="35"/>
      <c r="S706" s="35"/>
      <c r="T706" s="35"/>
      <c r="U706" s="35"/>
      <c r="V706" s="35"/>
      <c r="W706" s="35"/>
      <c r="X706" s="35"/>
      <c r="Y706" s="35"/>
      <c r="Z706" s="35"/>
    </row>
    <row r="707" ht="14.25" customHeight="1">
      <c r="A707" s="136"/>
      <c r="B707" s="137"/>
      <c r="C707" s="251"/>
      <c r="D707" s="452"/>
      <c r="E707" s="136"/>
      <c r="F707" s="253"/>
      <c r="G707" s="253"/>
      <c r="H707" s="527"/>
      <c r="I707" s="141"/>
      <c r="J707" s="141"/>
      <c r="K707" s="142"/>
      <c r="L707" s="142"/>
      <c r="M707" s="142"/>
      <c r="N707" s="142"/>
      <c r="O707" s="136"/>
      <c r="P707" s="34"/>
      <c r="Q707" s="35"/>
      <c r="R707" s="35"/>
      <c r="S707" s="35"/>
      <c r="T707" s="35"/>
      <c r="U707" s="35"/>
      <c r="V707" s="35"/>
      <c r="W707" s="35"/>
      <c r="X707" s="35"/>
      <c r="Y707" s="35"/>
      <c r="Z707" s="35"/>
    </row>
    <row r="708" ht="14.25" customHeight="1">
      <c r="A708" s="136"/>
      <c r="B708" s="137"/>
      <c r="C708" s="251"/>
      <c r="D708" s="452"/>
      <c r="E708" s="136"/>
      <c r="F708" s="253"/>
      <c r="G708" s="253"/>
      <c r="H708" s="527"/>
      <c r="I708" s="141"/>
      <c r="J708" s="141"/>
      <c r="K708" s="142"/>
      <c r="L708" s="142"/>
      <c r="M708" s="142"/>
      <c r="N708" s="142"/>
      <c r="O708" s="136"/>
      <c r="P708" s="34"/>
      <c r="Q708" s="35"/>
      <c r="R708" s="35"/>
      <c r="S708" s="35"/>
      <c r="T708" s="35"/>
      <c r="U708" s="35"/>
      <c r="V708" s="35"/>
      <c r="W708" s="35"/>
      <c r="X708" s="35"/>
      <c r="Y708" s="35"/>
      <c r="Z708" s="35"/>
    </row>
    <row r="709" ht="14.25" customHeight="1">
      <c r="A709" s="136"/>
      <c r="B709" s="137"/>
      <c r="C709" s="251"/>
      <c r="D709" s="452"/>
      <c r="E709" s="136"/>
      <c r="F709" s="253"/>
      <c r="G709" s="253"/>
      <c r="H709" s="527"/>
      <c r="I709" s="141"/>
      <c r="J709" s="141"/>
      <c r="K709" s="142"/>
      <c r="L709" s="142"/>
      <c r="M709" s="142"/>
      <c r="N709" s="142"/>
      <c r="O709" s="136"/>
      <c r="P709" s="34"/>
      <c r="Q709" s="35"/>
      <c r="R709" s="35"/>
      <c r="S709" s="35"/>
      <c r="T709" s="35"/>
      <c r="U709" s="35"/>
      <c r="V709" s="35"/>
      <c r="W709" s="35"/>
      <c r="X709" s="35"/>
      <c r="Y709" s="35"/>
      <c r="Z709" s="35"/>
    </row>
    <row r="710" ht="14.25" customHeight="1">
      <c r="A710" s="136"/>
      <c r="B710" s="137"/>
      <c r="C710" s="251"/>
      <c r="D710" s="452"/>
      <c r="E710" s="136"/>
      <c r="F710" s="253"/>
      <c r="G710" s="253"/>
      <c r="H710" s="527"/>
      <c r="I710" s="141"/>
      <c r="J710" s="141"/>
      <c r="K710" s="142"/>
      <c r="L710" s="142"/>
      <c r="M710" s="142"/>
      <c r="N710" s="142"/>
      <c r="O710" s="136"/>
      <c r="P710" s="34"/>
      <c r="Q710" s="35"/>
      <c r="R710" s="35"/>
      <c r="S710" s="35"/>
      <c r="T710" s="35"/>
      <c r="U710" s="35"/>
      <c r="V710" s="35"/>
      <c r="W710" s="35"/>
      <c r="X710" s="35"/>
      <c r="Y710" s="35"/>
      <c r="Z710" s="35"/>
    </row>
    <row r="711" ht="14.25" customHeight="1">
      <c r="A711" s="136"/>
      <c r="B711" s="137"/>
      <c r="C711" s="251"/>
      <c r="D711" s="452"/>
      <c r="E711" s="136"/>
      <c r="F711" s="253"/>
      <c r="G711" s="253"/>
      <c r="H711" s="527"/>
      <c r="I711" s="141"/>
      <c r="J711" s="141"/>
      <c r="K711" s="142"/>
      <c r="L711" s="142"/>
      <c r="M711" s="142"/>
      <c r="N711" s="142"/>
      <c r="O711" s="136"/>
      <c r="P711" s="34"/>
      <c r="Q711" s="35"/>
      <c r="R711" s="35"/>
      <c r="S711" s="35"/>
      <c r="T711" s="35"/>
      <c r="U711" s="35"/>
      <c r="V711" s="35"/>
      <c r="W711" s="35"/>
      <c r="X711" s="35"/>
      <c r="Y711" s="35"/>
      <c r="Z711" s="35"/>
    </row>
    <row r="712" ht="14.25" customHeight="1">
      <c r="A712" s="136"/>
      <c r="B712" s="137"/>
      <c r="C712" s="251"/>
      <c r="D712" s="452"/>
      <c r="E712" s="136"/>
      <c r="F712" s="253"/>
      <c r="G712" s="253"/>
      <c r="H712" s="527"/>
      <c r="I712" s="141"/>
      <c r="J712" s="141"/>
      <c r="K712" s="142"/>
      <c r="L712" s="142"/>
      <c r="M712" s="142"/>
      <c r="N712" s="142"/>
      <c r="O712" s="136"/>
      <c r="P712" s="34"/>
      <c r="Q712" s="35"/>
      <c r="R712" s="35"/>
      <c r="S712" s="35"/>
      <c r="T712" s="35"/>
      <c r="U712" s="35"/>
      <c r="V712" s="35"/>
      <c r="W712" s="35"/>
      <c r="X712" s="35"/>
      <c r="Y712" s="35"/>
      <c r="Z712" s="35"/>
    </row>
    <row r="713" ht="14.25" customHeight="1">
      <c r="A713" s="136"/>
      <c r="B713" s="137"/>
      <c r="C713" s="251"/>
      <c r="D713" s="452"/>
      <c r="E713" s="136"/>
      <c r="F713" s="253"/>
      <c r="G713" s="253"/>
      <c r="H713" s="527"/>
      <c r="I713" s="141"/>
      <c r="J713" s="141"/>
      <c r="K713" s="142"/>
      <c r="L713" s="142"/>
      <c r="M713" s="142"/>
      <c r="N713" s="142"/>
      <c r="O713" s="136"/>
      <c r="P713" s="34"/>
      <c r="Q713" s="35"/>
      <c r="R713" s="35"/>
      <c r="S713" s="35"/>
      <c r="T713" s="35"/>
      <c r="U713" s="35"/>
      <c r="V713" s="35"/>
      <c r="W713" s="35"/>
      <c r="X713" s="35"/>
      <c r="Y713" s="35"/>
      <c r="Z713" s="35"/>
    </row>
    <row r="714" ht="14.25" customHeight="1">
      <c r="A714" s="136"/>
      <c r="B714" s="137"/>
      <c r="C714" s="251"/>
      <c r="D714" s="452"/>
      <c r="E714" s="136"/>
      <c r="F714" s="253"/>
      <c r="G714" s="253"/>
      <c r="H714" s="527"/>
      <c r="I714" s="141"/>
      <c r="J714" s="141"/>
      <c r="K714" s="142"/>
      <c r="L714" s="142"/>
      <c r="M714" s="142"/>
      <c r="N714" s="142"/>
      <c r="O714" s="136"/>
      <c r="P714" s="34"/>
      <c r="Q714" s="35"/>
      <c r="R714" s="35"/>
      <c r="S714" s="35"/>
      <c r="T714" s="35"/>
      <c r="U714" s="35"/>
      <c r="V714" s="35"/>
      <c r="W714" s="35"/>
      <c r="X714" s="35"/>
      <c r="Y714" s="35"/>
      <c r="Z714" s="35"/>
    </row>
    <row r="715" ht="14.25" customHeight="1">
      <c r="A715" s="136"/>
      <c r="B715" s="137"/>
      <c r="C715" s="251"/>
      <c r="D715" s="452"/>
      <c r="E715" s="136"/>
      <c r="F715" s="253"/>
      <c r="G715" s="253"/>
      <c r="H715" s="527"/>
      <c r="I715" s="141"/>
      <c r="J715" s="141"/>
      <c r="K715" s="142"/>
      <c r="L715" s="142"/>
      <c r="M715" s="142"/>
      <c r="N715" s="142"/>
      <c r="O715" s="136"/>
      <c r="P715" s="34"/>
      <c r="Q715" s="35"/>
      <c r="R715" s="35"/>
      <c r="S715" s="35"/>
      <c r="T715" s="35"/>
      <c r="U715" s="35"/>
      <c r="V715" s="35"/>
      <c r="W715" s="35"/>
      <c r="X715" s="35"/>
      <c r="Y715" s="35"/>
      <c r="Z715" s="35"/>
    </row>
    <row r="716" ht="14.25" customHeight="1">
      <c r="A716" s="136"/>
      <c r="B716" s="137"/>
      <c r="C716" s="251"/>
      <c r="D716" s="452"/>
      <c r="E716" s="136"/>
      <c r="F716" s="253"/>
      <c r="G716" s="253"/>
      <c r="H716" s="527"/>
      <c r="I716" s="141"/>
      <c r="J716" s="141"/>
      <c r="K716" s="142"/>
      <c r="L716" s="142"/>
      <c r="M716" s="142"/>
      <c r="N716" s="142"/>
      <c r="O716" s="136"/>
      <c r="P716" s="34"/>
      <c r="Q716" s="35"/>
      <c r="R716" s="35"/>
      <c r="S716" s="35"/>
      <c r="T716" s="35"/>
      <c r="U716" s="35"/>
      <c r="V716" s="35"/>
      <c r="W716" s="35"/>
      <c r="X716" s="35"/>
      <c r="Y716" s="35"/>
      <c r="Z716" s="35"/>
    </row>
    <row r="717" ht="14.25" customHeight="1">
      <c r="A717" s="136"/>
      <c r="B717" s="137"/>
      <c r="C717" s="251"/>
      <c r="D717" s="452"/>
      <c r="E717" s="136"/>
      <c r="F717" s="253"/>
      <c r="G717" s="253"/>
      <c r="H717" s="527"/>
      <c r="I717" s="141"/>
      <c r="J717" s="141"/>
      <c r="K717" s="142"/>
      <c r="L717" s="142"/>
      <c r="M717" s="142"/>
      <c r="N717" s="142"/>
      <c r="O717" s="136"/>
      <c r="P717" s="34"/>
      <c r="Q717" s="35"/>
      <c r="R717" s="35"/>
      <c r="S717" s="35"/>
      <c r="T717" s="35"/>
      <c r="U717" s="35"/>
      <c r="V717" s="35"/>
      <c r="W717" s="35"/>
      <c r="X717" s="35"/>
      <c r="Y717" s="35"/>
      <c r="Z717" s="35"/>
    </row>
    <row r="718" ht="14.25" customHeight="1">
      <c r="A718" s="136"/>
      <c r="B718" s="137"/>
      <c r="C718" s="251"/>
      <c r="D718" s="452"/>
      <c r="E718" s="136"/>
      <c r="F718" s="253"/>
      <c r="G718" s="253"/>
      <c r="H718" s="527"/>
      <c r="I718" s="141"/>
      <c r="J718" s="141"/>
      <c r="K718" s="142"/>
      <c r="L718" s="142"/>
      <c r="M718" s="142"/>
      <c r="N718" s="142"/>
      <c r="O718" s="136"/>
      <c r="P718" s="34"/>
      <c r="Q718" s="35"/>
      <c r="R718" s="35"/>
      <c r="S718" s="35"/>
      <c r="T718" s="35"/>
      <c r="U718" s="35"/>
      <c r="V718" s="35"/>
      <c r="W718" s="35"/>
      <c r="X718" s="35"/>
      <c r="Y718" s="35"/>
      <c r="Z718" s="35"/>
    </row>
    <row r="719" ht="14.25" customHeight="1">
      <c r="A719" s="136"/>
      <c r="B719" s="137"/>
      <c r="C719" s="251"/>
      <c r="D719" s="452"/>
      <c r="E719" s="136"/>
      <c r="F719" s="253"/>
      <c r="G719" s="253"/>
      <c r="H719" s="527"/>
      <c r="I719" s="141"/>
      <c r="J719" s="141"/>
      <c r="K719" s="142"/>
      <c r="L719" s="142"/>
      <c r="M719" s="142"/>
      <c r="N719" s="142"/>
      <c r="O719" s="136"/>
      <c r="P719" s="34"/>
      <c r="Q719" s="35"/>
      <c r="R719" s="35"/>
      <c r="S719" s="35"/>
      <c r="T719" s="35"/>
      <c r="U719" s="35"/>
      <c r="V719" s="35"/>
      <c r="W719" s="35"/>
      <c r="X719" s="35"/>
      <c r="Y719" s="35"/>
      <c r="Z719" s="35"/>
    </row>
    <row r="720" ht="14.25" customHeight="1">
      <c r="A720" s="136"/>
      <c r="B720" s="137"/>
      <c r="C720" s="251"/>
      <c r="D720" s="452"/>
      <c r="E720" s="136"/>
      <c r="F720" s="253"/>
      <c r="G720" s="253"/>
      <c r="H720" s="527"/>
      <c r="I720" s="141"/>
      <c r="J720" s="141"/>
      <c r="K720" s="142"/>
      <c r="L720" s="142"/>
      <c r="M720" s="142"/>
      <c r="N720" s="142"/>
      <c r="O720" s="136"/>
      <c r="P720" s="34"/>
      <c r="Q720" s="35"/>
      <c r="R720" s="35"/>
      <c r="S720" s="35"/>
      <c r="T720" s="35"/>
      <c r="U720" s="35"/>
      <c r="V720" s="35"/>
      <c r="W720" s="35"/>
      <c r="X720" s="35"/>
      <c r="Y720" s="35"/>
      <c r="Z720" s="35"/>
    </row>
    <row r="721" ht="14.25" customHeight="1">
      <c r="A721" s="136"/>
      <c r="B721" s="137"/>
      <c r="C721" s="251"/>
      <c r="D721" s="452"/>
      <c r="E721" s="136"/>
      <c r="F721" s="253"/>
      <c r="G721" s="253"/>
      <c r="H721" s="527"/>
      <c r="I721" s="141"/>
      <c r="J721" s="141"/>
      <c r="K721" s="142"/>
      <c r="L721" s="142"/>
      <c r="M721" s="142"/>
      <c r="N721" s="142"/>
      <c r="O721" s="136"/>
      <c r="P721" s="34"/>
      <c r="Q721" s="35"/>
      <c r="R721" s="35"/>
      <c r="S721" s="35"/>
      <c r="T721" s="35"/>
      <c r="U721" s="35"/>
      <c r="V721" s="35"/>
      <c r="W721" s="35"/>
      <c r="X721" s="35"/>
      <c r="Y721" s="35"/>
      <c r="Z721" s="35"/>
    </row>
    <row r="722" ht="14.25" customHeight="1">
      <c r="A722" s="136"/>
      <c r="B722" s="137"/>
      <c r="C722" s="251"/>
      <c r="D722" s="452"/>
      <c r="E722" s="136"/>
      <c r="F722" s="253"/>
      <c r="G722" s="253"/>
      <c r="H722" s="527"/>
      <c r="I722" s="141"/>
      <c r="J722" s="141"/>
      <c r="K722" s="142"/>
      <c r="L722" s="142"/>
      <c r="M722" s="142"/>
      <c r="N722" s="142"/>
      <c r="O722" s="136"/>
      <c r="P722" s="34"/>
      <c r="Q722" s="35"/>
      <c r="R722" s="35"/>
      <c r="S722" s="35"/>
      <c r="T722" s="35"/>
      <c r="U722" s="35"/>
      <c r="V722" s="35"/>
      <c r="W722" s="35"/>
      <c r="X722" s="35"/>
      <c r="Y722" s="35"/>
      <c r="Z722" s="35"/>
    </row>
    <row r="723" ht="14.25" customHeight="1">
      <c r="A723" s="136"/>
      <c r="B723" s="137"/>
      <c r="C723" s="251"/>
      <c r="D723" s="452"/>
      <c r="E723" s="136"/>
      <c r="F723" s="253"/>
      <c r="G723" s="253"/>
      <c r="H723" s="527"/>
      <c r="I723" s="141"/>
      <c r="J723" s="141"/>
      <c r="K723" s="142"/>
      <c r="L723" s="142"/>
      <c r="M723" s="142"/>
      <c r="N723" s="142"/>
      <c r="O723" s="136"/>
      <c r="P723" s="34"/>
      <c r="Q723" s="35"/>
      <c r="R723" s="35"/>
      <c r="S723" s="35"/>
      <c r="T723" s="35"/>
      <c r="U723" s="35"/>
      <c r="V723" s="35"/>
      <c r="W723" s="35"/>
      <c r="X723" s="35"/>
      <c r="Y723" s="35"/>
      <c r="Z723" s="35"/>
    </row>
    <row r="724" ht="14.25" customHeight="1">
      <c r="A724" s="136"/>
      <c r="B724" s="137"/>
      <c r="C724" s="251"/>
      <c r="D724" s="452"/>
      <c r="E724" s="136"/>
      <c r="F724" s="253"/>
      <c r="G724" s="253"/>
      <c r="H724" s="527"/>
      <c r="I724" s="141"/>
      <c r="J724" s="141"/>
      <c r="K724" s="142"/>
      <c r="L724" s="142"/>
      <c r="M724" s="142"/>
      <c r="N724" s="142"/>
      <c r="O724" s="136"/>
      <c r="P724" s="34"/>
      <c r="Q724" s="35"/>
      <c r="R724" s="35"/>
      <c r="S724" s="35"/>
      <c r="T724" s="35"/>
      <c r="U724" s="35"/>
      <c r="V724" s="35"/>
      <c r="W724" s="35"/>
      <c r="X724" s="35"/>
      <c r="Y724" s="35"/>
      <c r="Z724" s="35"/>
    </row>
    <row r="725" ht="14.25" customHeight="1">
      <c r="A725" s="136"/>
      <c r="B725" s="137"/>
      <c r="C725" s="251"/>
      <c r="D725" s="452"/>
      <c r="E725" s="136"/>
      <c r="F725" s="253"/>
      <c r="G725" s="253"/>
      <c r="H725" s="527"/>
      <c r="I725" s="141"/>
      <c r="J725" s="141"/>
      <c r="K725" s="142"/>
      <c r="L725" s="142"/>
      <c r="M725" s="142"/>
      <c r="N725" s="142"/>
      <c r="O725" s="136"/>
      <c r="P725" s="34"/>
      <c r="Q725" s="35"/>
      <c r="R725" s="35"/>
      <c r="S725" s="35"/>
      <c r="T725" s="35"/>
      <c r="U725" s="35"/>
      <c r="V725" s="35"/>
      <c r="W725" s="35"/>
      <c r="X725" s="35"/>
      <c r="Y725" s="35"/>
      <c r="Z725" s="35"/>
    </row>
    <row r="726" ht="14.25" customHeight="1">
      <c r="A726" s="136"/>
      <c r="B726" s="137"/>
      <c r="C726" s="251"/>
      <c r="D726" s="452"/>
      <c r="E726" s="136"/>
      <c r="F726" s="253"/>
      <c r="G726" s="253"/>
      <c r="H726" s="527"/>
      <c r="I726" s="141"/>
      <c r="J726" s="141"/>
      <c r="K726" s="142"/>
      <c r="L726" s="142"/>
      <c r="M726" s="142"/>
      <c r="N726" s="142"/>
      <c r="O726" s="136"/>
      <c r="P726" s="34"/>
      <c r="Q726" s="35"/>
      <c r="R726" s="35"/>
      <c r="S726" s="35"/>
      <c r="T726" s="35"/>
      <c r="U726" s="35"/>
      <c r="V726" s="35"/>
      <c r="W726" s="35"/>
      <c r="X726" s="35"/>
      <c r="Y726" s="35"/>
      <c r="Z726" s="35"/>
    </row>
    <row r="727" ht="14.25" customHeight="1">
      <c r="A727" s="136"/>
      <c r="B727" s="137"/>
      <c r="C727" s="251"/>
      <c r="D727" s="452"/>
      <c r="E727" s="136"/>
      <c r="F727" s="253"/>
      <c r="G727" s="253"/>
      <c r="H727" s="527"/>
      <c r="I727" s="141"/>
      <c r="J727" s="141"/>
      <c r="K727" s="142"/>
      <c r="L727" s="142"/>
      <c r="M727" s="142"/>
      <c r="N727" s="142"/>
      <c r="O727" s="136"/>
      <c r="P727" s="34"/>
      <c r="Q727" s="35"/>
      <c r="R727" s="35"/>
      <c r="S727" s="35"/>
      <c r="T727" s="35"/>
      <c r="U727" s="35"/>
      <c r="V727" s="35"/>
      <c r="W727" s="35"/>
      <c r="X727" s="35"/>
      <c r="Y727" s="35"/>
      <c r="Z727" s="35"/>
    </row>
    <row r="728" ht="14.25" customHeight="1">
      <c r="A728" s="136"/>
      <c r="B728" s="137"/>
      <c r="C728" s="251"/>
      <c r="D728" s="452"/>
      <c r="E728" s="136"/>
      <c r="F728" s="253"/>
      <c r="G728" s="253"/>
      <c r="H728" s="527"/>
      <c r="I728" s="141"/>
      <c r="J728" s="141"/>
      <c r="K728" s="142"/>
      <c r="L728" s="142"/>
      <c r="M728" s="142"/>
      <c r="N728" s="142"/>
      <c r="O728" s="136"/>
      <c r="P728" s="34"/>
      <c r="Q728" s="35"/>
      <c r="R728" s="35"/>
      <c r="S728" s="35"/>
      <c r="T728" s="35"/>
      <c r="U728" s="35"/>
      <c r="V728" s="35"/>
      <c r="W728" s="35"/>
      <c r="X728" s="35"/>
      <c r="Y728" s="35"/>
      <c r="Z728" s="35"/>
    </row>
    <row r="729" ht="14.25" customHeight="1">
      <c r="A729" s="136"/>
      <c r="B729" s="137"/>
      <c r="C729" s="251"/>
      <c r="D729" s="452"/>
      <c r="E729" s="136"/>
      <c r="F729" s="253"/>
      <c r="G729" s="253"/>
      <c r="H729" s="527"/>
      <c r="I729" s="141"/>
      <c r="J729" s="141"/>
      <c r="K729" s="142"/>
      <c r="L729" s="142"/>
      <c r="M729" s="142"/>
      <c r="N729" s="142"/>
      <c r="O729" s="136"/>
      <c r="P729" s="34"/>
      <c r="Q729" s="35"/>
      <c r="R729" s="35"/>
      <c r="S729" s="35"/>
      <c r="T729" s="35"/>
      <c r="U729" s="35"/>
      <c r="V729" s="35"/>
      <c r="W729" s="35"/>
      <c r="X729" s="35"/>
      <c r="Y729" s="35"/>
      <c r="Z729" s="35"/>
    </row>
    <row r="730" ht="14.25" customHeight="1">
      <c r="A730" s="136"/>
      <c r="B730" s="137"/>
      <c r="C730" s="251"/>
      <c r="D730" s="452"/>
      <c r="E730" s="136"/>
      <c r="F730" s="253"/>
      <c r="G730" s="253"/>
      <c r="H730" s="527"/>
      <c r="I730" s="141"/>
      <c r="J730" s="141"/>
      <c r="K730" s="142"/>
      <c r="L730" s="142"/>
      <c r="M730" s="142"/>
      <c r="N730" s="142"/>
      <c r="O730" s="136"/>
      <c r="P730" s="34"/>
      <c r="Q730" s="35"/>
      <c r="R730" s="35"/>
      <c r="S730" s="35"/>
      <c r="T730" s="35"/>
      <c r="U730" s="35"/>
      <c r="V730" s="35"/>
      <c r="W730" s="35"/>
      <c r="X730" s="35"/>
      <c r="Y730" s="35"/>
      <c r="Z730" s="35"/>
    </row>
    <row r="731" ht="14.25" customHeight="1">
      <c r="A731" s="136"/>
      <c r="B731" s="137"/>
      <c r="C731" s="251"/>
      <c r="D731" s="452"/>
      <c r="E731" s="136"/>
      <c r="F731" s="253"/>
      <c r="G731" s="253"/>
      <c r="H731" s="527"/>
      <c r="I731" s="141"/>
      <c r="J731" s="141"/>
      <c r="K731" s="142"/>
      <c r="L731" s="142"/>
      <c r="M731" s="142"/>
      <c r="N731" s="142"/>
      <c r="O731" s="136"/>
      <c r="P731" s="34"/>
      <c r="Q731" s="35"/>
      <c r="R731" s="35"/>
      <c r="S731" s="35"/>
      <c r="T731" s="35"/>
      <c r="U731" s="35"/>
      <c r="V731" s="35"/>
      <c r="W731" s="35"/>
      <c r="X731" s="35"/>
      <c r="Y731" s="35"/>
      <c r="Z731" s="35"/>
    </row>
    <row r="732" ht="14.25" customHeight="1">
      <c r="A732" s="136"/>
      <c r="B732" s="137"/>
      <c r="C732" s="251"/>
      <c r="D732" s="452"/>
      <c r="E732" s="136"/>
      <c r="F732" s="253"/>
      <c r="G732" s="253"/>
      <c r="H732" s="527"/>
      <c r="I732" s="141"/>
      <c r="J732" s="141"/>
      <c r="K732" s="142"/>
      <c r="L732" s="142"/>
      <c r="M732" s="142"/>
      <c r="N732" s="142"/>
      <c r="O732" s="136"/>
      <c r="P732" s="34"/>
      <c r="Q732" s="35"/>
      <c r="R732" s="35"/>
      <c r="S732" s="35"/>
      <c r="T732" s="35"/>
      <c r="U732" s="35"/>
      <c r="V732" s="35"/>
      <c r="W732" s="35"/>
      <c r="X732" s="35"/>
      <c r="Y732" s="35"/>
      <c r="Z732" s="35"/>
    </row>
    <row r="733" ht="14.25" customHeight="1">
      <c r="A733" s="136"/>
      <c r="B733" s="137"/>
      <c r="C733" s="251"/>
      <c r="D733" s="452"/>
      <c r="E733" s="136"/>
      <c r="F733" s="253"/>
      <c r="G733" s="253"/>
      <c r="H733" s="527"/>
      <c r="I733" s="141"/>
      <c r="J733" s="141"/>
      <c r="K733" s="142"/>
      <c r="L733" s="142"/>
      <c r="M733" s="142"/>
      <c r="N733" s="142"/>
      <c r="O733" s="136"/>
      <c r="P733" s="34"/>
      <c r="Q733" s="35"/>
      <c r="R733" s="35"/>
      <c r="S733" s="35"/>
      <c r="T733" s="35"/>
      <c r="U733" s="35"/>
      <c r="V733" s="35"/>
      <c r="W733" s="35"/>
      <c r="X733" s="35"/>
      <c r="Y733" s="35"/>
      <c r="Z733" s="35"/>
    </row>
    <row r="734" ht="14.25" customHeight="1">
      <c r="A734" s="136"/>
      <c r="B734" s="137"/>
      <c r="C734" s="251"/>
      <c r="D734" s="452"/>
      <c r="E734" s="136"/>
      <c r="F734" s="253"/>
      <c r="G734" s="253"/>
      <c r="H734" s="527"/>
      <c r="I734" s="141"/>
      <c r="J734" s="141"/>
      <c r="K734" s="142"/>
      <c r="L734" s="142"/>
      <c r="M734" s="142"/>
      <c r="N734" s="142"/>
      <c r="O734" s="136"/>
      <c r="P734" s="34"/>
      <c r="Q734" s="35"/>
      <c r="R734" s="35"/>
      <c r="S734" s="35"/>
      <c r="T734" s="35"/>
      <c r="U734" s="35"/>
      <c r="V734" s="35"/>
      <c r="W734" s="35"/>
      <c r="X734" s="35"/>
      <c r="Y734" s="35"/>
      <c r="Z734" s="35"/>
    </row>
    <row r="735" ht="14.25" customHeight="1">
      <c r="A735" s="136"/>
      <c r="B735" s="137"/>
      <c r="C735" s="251"/>
      <c r="D735" s="452"/>
      <c r="E735" s="136"/>
      <c r="F735" s="253"/>
      <c r="G735" s="253"/>
      <c r="H735" s="527"/>
      <c r="I735" s="141"/>
      <c r="J735" s="141"/>
      <c r="K735" s="142"/>
      <c r="L735" s="142"/>
      <c r="M735" s="142"/>
      <c r="N735" s="142"/>
      <c r="O735" s="136"/>
      <c r="P735" s="34"/>
      <c r="Q735" s="35"/>
      <c r="R735" s="35"/>
      <c r="S735" s="35"/>
      <c r="T735" s="35"/>
      <c r="U735" s="35"/>
      <c r="V735" s="35"/>
      <c r="W735" s="35"/>
      <c r="X735" s="35"/>
      <c r="Y735" s="35"/>
      <c r="Z735" s="35"/>
    </row>
    <row r="736" ht="14.25" customHeight="1">
      <c r="A736" s="136"/>
      <c r="B736" s="137"/>
      <c r="C736" s="251"/>
      <c r="D736" s="452"/>
      <c r="E736" s="136"/>
      <c r="F736" s="253"/>
      <c r="G736" s="253"/>
      <c r="H736" s="527"/>
      <c r="I736" s="141"/>
      <c r="J736" s="141"/>
      <c r="K736" s="142"/>
      <c r="L736" s="142"/>
      <c r="M736" s="142"/>
      <c r="N736" s="142"/>
      <c r="O736" s="136"/>
      <c r="P736" s="34"/>
      <c r="Q736" s="35"/>
      <c r="R736" s="35"/>
      <c r="S736" s="35"/>
      <c r="T736" s="35"/>
      <c r="U736" s="35"/>
      <c r="V736" s="35"/>
      <c r="W736" s="35"/>
      <c r="X736" s="35"/>
      <c r="Y736" s="35"/>
      <c r="Z736" s="35"/>
    </row>
    <row r="737" ht="14.25" customHeight="1">
      <c r="A737" s="136"/>
      <c r="B737" s="137"/>
      <c r="C737" s="251"/>
      <c r="D737" s="452"/>
      <c r="E737" s="136"/>
      <c r="F737" s="253"/>
      <c r="G737" s="253"/>
      <c r="H737" s="527"/>
      <c r="I737" s="141"/>
      <c r="J737" s="141"/>
      <c r="K737" s="142"/>
      <c r="L737" s="142"/>
      <c r="M737" s="142"/>
      <c r="N737" s="142"/>
      <c r="O737" s="136"/>
      <c r="P737" s="34"/>
      <c r="Q737" s="35"/>
      <c r="R737" s="35"/>
      <c r="S737" s="35"/>
      <c r="T737" s="35"/>
      <c r="U737" s="35"/>
      <c r="V737" s="35"/>
      <c r="W737" s="35"/>
      <c r="X737" s="35"/>
      <c r="Y737" s="35"/>
      <c r="Z737" s="35"/>
    </row>
    <row r="738" ht="14.25" customHeight="1">
      <c r="A738" s="136"/>
      <c r="B738" s="137"/>
      <c r="C738" s="251"/>
      <c r="D738" s="452"/>
      <c r="E738" s="136"/>
      <c r="F738" s="253"/>
      <c r="G738" s="253"/>
      <c r="H738" s="527"/>
      <c r="I738" s="141"/>
      <c r="J738" s="141"/>
      <c r="K738" s="142"/>
      <c r="L738" s="142"/>
      <c r="M738" s="142"/>
      <c r="N738" s="142"/>
      <c r="O738" s="136"/>
      <c r="P738" s="34"/>
      <c r="Q738" s="35"/>
      <c r="R738" s="35"/>
      <c r="S738" s="35"/>
      <c r="T738" s="35"/>
      <c r="U738" s="35"/>
      <c r="V738" s="35"/>
      <c r="W738" s="35"/>
      <c r="X738" s="35"/>
      <c r="Y738" s="35"/>
      <c r="Z738" s="35"/>
    </row>
    <row r="739" ht="14.25" customHeight="1">
      <c r="A739" s="136"/>
      <c r="B739" s="137"/>
      <c r="C739" s="251"/>
      <c r="D739" s="452"/>
      <c r="E739" s="136"/>
      <c r="F739" s="253"/>
      <c r="G739" s="253"/>
      <c r="H739" s="527"/>
      <c r="I739" s="141"/>
      <c r="J739" s="141"/>
      <c r="K739" s="142"/>
      <c r="L739" s="142"/>
      <c r="M739" s="142"/>
      <c r="N739" s="142"/>
      <c r="O739" s="136"/>
      <c r="P739" s="34"/>
      <c r="Q739" s="35"/>
      <c r="R739" s="35"/>
      <c r="S739" s="35"/>
      <c r="T739" s="35"/>
      <c r="U739" s="35"/>
      <c r="V739" s="35"/>
      <c r="W739" s="35"/>
      <c r="X739" s="35"/>
      <c r="Y739" s="35"/>
      <c r="Z739" s="35"/>
    </row>
    <row r="740" ht="14.25" customHeight="1">
      <c r="A740" s="136"/>
      <c r="B740" s="137"/>
      <c r="C740" s="251"/>
      <c r="D740" s="452"/>
      <c r="E740" s="136"/>
      <c r="F740" s="253"/>
      <c r="G740" s="253"/>
      <c r="H740" s="527"/>
      <c r="I740" s="141"/>
      <c r="J740" s="141"/>
      <c r="K740" s="142"/>
      <c r="L740" s="142"/>
      <c r="M740" s="142"/>
      <c r="N740" s="142"/>
      <c r="O740" s="136"/>
      <c r="P740" s="34"/>
      <c r="Q740" s="35"/>
      <c r="R740" s="35"/>
      <c r="S740" s="35"/>
      <c r="T740" s="35"/>
      <c r="U740" s="35"/>
      <c r="V740" s="35"/>
      <c r="W740" s="35"/>
      <c r="X740" s="35"/>
      <c r="Y740" s="35"/>
      <c r="Z740" s="35"/>
    </row>
    <row r="741" ht="14.25" customHeight="1">
      <c r="A741" s="136"/>
      <c r="B741" s="137"/>
      <c r="C741" s="251"/>
      <c r="D741" s="452"/>
      <c r="E741" s="136"/>
      <c r="F741" s="253"/>
      <c r="G741" s="253"/>
      <c r="H741" s="527"/>
      <c r="I741" s="141"/>
      <c r="J741" s="141"/>
      <c r="K741" s="142"/>
      <c r="L741" s="142"/>
      <c r="M741" s="142"/>
      <c r="N741" s="142"/>
      <c r="O741" s="136"/>
      <c r="P741" s="34"/>
      <c r="Q741" s="35"/>
      <c r="R741" s="35"/>
      <c r="S741" s="35"/>
      <c r="T741" s="35"/>
      <c r="U741" s="35"/>
      <c r="V741" s="35"/>
      <c r="W741" s="35"/>
      <c r="X741" s="35"/>
      <c r="Y741" s="35"/>
      <c r="Z741" s="35"/>
    </row>
    <row r="742" ht="14.25" customHeight="1">
      <c r="A742" s="136"/>
      <c r="B742" s="137"/>
      <c r="C742" s="251"/>
      <c r="D742" s="452"/>
      <c r="E742" s="136"/>
      <c r="F742" s="253"/>
      <c r="G742" s="253"/>
      <c r="H742" s="527"/>
      <c r="I742" s="141"/>
      <c r="J742" s="141"/>
      <c r="K742" s="142"/>
      <c r="L742" s="142"/>
      <c r="M742" s="142"/>
      <c r="N742" s="142"/>
      <c r="O742" s="136"/>
      <c r="P742" s="34"/>
      <c r="Q742" s="35"/>
      <c r="R742" s="35"/>
      <c r="S742" s="35"/>
      <c r="T742" s="35"/>
      <c r="U742" s="35"/>
      <c r="V742" s="35"/>
      <c r="W742" s="35"/>
      <c r="X742" s="35"/>
      <c r="Y742" s="35"/>
      <c r="Z742" s="35"/>
    </row>
    <row r="743" ht="14.25" customHeight="1">
      <c r="A743" s="136"/>
      <c r="B743" s="137"/>
      <c r="C743" s="251"/>
      <c r="D743" s="452"/>
      <c r="E743" s="136"/>
      <c r="F743" s="253"/>
      <c r="G743" s="253"/>
      <c r="H743" s="527"/>
      <c r="I743" s="141"/>
      <c r="J743" s="141"/>
      <c r="K743" s="142"/>
      <c r="L743" s="142"/>
      <c r="M743" s="142"/>
      <c r="N743" s="142"/>
      <c r="O743" s="136"/>
      <c r="P743" s="34"/>
      <c r="Q743" s="35"/>
      <c r="R743" s="35"/>
      <c r="S743" s="35"/>
      <c r="T743" s="35"/>
      <c r="U743" s="35"/>
      <c r="V743" s="35"/>
      <c r="W743" s="35"/>
      <c r="X743" s="35"/>
      <c r="Y743" s="35"/>
      <c r="Z743" s="35"/>
    </row>
    <row r="744" ht="14.25" customHeight="1">
      <c r="A744" s="136"/>
      <c r="B744" s="137"/>
      <c r="C744" s="251"/>
      <c r="D744" s="452"/>
      <c r="E744" s="136"/>
      <c r="F744" s="253"/>
      <c r="G744" s="253"/>
      <c r="H744" s="527"/>
      <c r="I744" s="141"/>
      <c r="J744" s="141"/>
      <c r="K744" s="142"/>
      <c r="L744" s="142"/>
      <c r="M744" s="142"/>
      <c r="N744" s="142"/>
      <c r="O744" s="136"/>
      <c r="P744" s="34"/>
      <c r="Q744" s="35"/>
      <c r="R744" s="35"/>
      <c r="S744" s="35"/>
      <c r="T744" s="35"/>
      <c r="U744" s="35"/>
      <c r="V744" s="35"/>
      <c r="W744" s="35"/>
      <c r="X744" s="35"/>
      <c r="Y744" s="35"/>
      <c r="Z744" s="35"/>
    </row>
    <row r="745" ht="14.25" customHeight="1">
      <c r="A745" s="136"/>
      <c r="B745" s="137"/>
      <c r="C745" s="251"/>
      <c r="D745" s="452"/>
      <c r="E745" s="136"/>
      <c r="F745" s="253"/>
      <c r="G745" s="253"/>
      <c r="H745" s="527"/>
      <c r="I745" s="141"/>
      <c r="J745" s="141"/>
      <c r="K745" s="142"/>
      <c r="L745" s="142"/>
      <c r="M745" s="142"/>
      <c r="N745" s="142"/>
      <c r="O745" s="136"/>
      <c r="P745" s="34"/>
      <c r="Q745" s="35"/>
      <c r="R745" s="35"/>
      <c r="S745" s="35"/>
      <c r="T745" s="35"/>
      <c r="U745" s="35"/>
      <c r="V745" s="35"/>
      <c r="W745" s="35"/>
      <c r="X745" s="35"/>
      <c r="Y745" s="35"/>
      <c r="Z745" s="35"/>
    </row>
    <row r="746" ht="14.25" customHeight="1">
      <c r="A746" s="136"/>
      <c r="B746" s="137"/>
      <c r="C746" s="251"/>
      <c r="D746" s="452"/>
      <c r="E746" s="136"/>
      <c r="F746" s="253"/>
      <c r="G746" s="253"/>
      <c r="H746" s="527"/>
      <c r="I746" s="141"/>
      <c r="J746" s="141"/>
      <c r="K746" s="142"/>
      <c r="L746" s="142"/>
      <c r="M746" s="142"/>
      <c r="N746" s="142"/>
      <c r="O746" s="136"/>
      <c r="P746" s="34"/>
      <c r="Q746" s="35"/>
      <c r="R746" s="35"/>
      <c r="S746" s="35"/>
      <c r="T746" s="35"/>
      <c r="U746" s="35"/>
      <c r="V746" s="35"/>
      <c r="W746" s="35"/>
      <c r="X746" s="35"/>
      <c r="Y746" s="35"/>
      <c r="Z746" s="35"/>
    </row>
    <row r="747" ht="14.25" customHeight="1">
      <c r="A747" s="136"/>
      <c r="B747" s="137"/>
      <c r="C747" s="251"/>
      <c r="D747" s="452"/>
      <c r="E747" s="136"/>
      <c r="F747" s="253"/>
      <c r="G747" s="253"/>
      <c r="H747" s="527"/>
      <c r="I747" s="141"/>
      <c r="J747" s="141"/>
      <c r="K747" s="142"/>
      <c r="L747" s="142"/>
      <c r="M747" s="142"/>
      <c r="N747" s="142"/>
      <c r="O747" s="136"/>
      <c r="P747" s="34"/>
      <c r="Q747" s="35"/>
      <c r="R747" s="35"/>
      <c r="S747" s="35"/>
      <c r="T747" s="35"/>
      <c r="U747" s="35"/>
      <c r="V747" s="35"/>
      <c r="W747" s="35"/>
      <c r="X747" s="35"/>
      <c r="Y747" s="35"/>
      <c r="Z747" s="35"/>
    </row>
    <row r="748" ht="14.25" customHeight="1">
      <c r="A748" s="136"/>
      <c r="B748" s="137"/>
      <c r="C748" s="251"/>
      <c r="D748" s="452"/>
      <c r="E748" s="136"/>
      <c r="F748" s="253"/>
      <c r="G748" s="253"/>
      <c r="H748" s="527"/>
      <c r="I748" s="141"/>
      <c r="J748" s="141"/>
      <c r="K748" s="142"/>
      <c r="L748" s="142"/>
      <c r="M748" s="142"/>
      <c r="N748" s="142"/>
      <c r="O748" s="136"/>
      <c r="P748" s="34"/>
      <c r="Q748" s="35"/>
      <c r="R748" s="35"/>
      <c r="S748" s="35"/>
      <c r="T748" s="35"/>
      <c r="U748" s="35"/>
      <c r="V748" s="35"/>
      <c r="W748" s="35"/>
      <c r="X748" s="35"/>
      <c r="Y748" s="35"/>
      <c r="Z748" s="35"/>
    </row>
    <row r="749" ht="14.25" customHeight="1">
      <c r="A749" s="136"/>
      <c r="B749" s="137"/>
      <c r="C749" s="251"/>
      <c r="D749" s="452"/>
      <c r="E749" s="136"/>
      <c r="F749" s="253"/>
      <c r="G749" s="253"/>
      <c r="H749" s="527"/>
      <c r="I749" s="141"/>
      <c r="J749" s="141"/>
      <c r="K749" s="142"/>
      <c r="L749" s="142"/>
      <c r="M749" s="142"/>
      <c r="N749" s="142"/>
      <c r="O749" s="136"/>
      <c r="P749" s="34"/>
      <c r="Q749" s="35"/>
      <c r="R749" s="35"/>
      <c r="S749" s="35"/>
      <c r="T749" s="35"/>
      <c r="U749" s="35"/>
      <c r="V749" s="35"/>
      <c r="W749" s="35"/>
      <c r="X749" s="35"/>
      <c r="Y749" s="35"/>
      <c r="Z749" s="35"/>
    </row>
    <row r="750" ht="14.25" customHeight="1">
      <c r="A750" s="136"/>
      <c r="B750" s="137"/>
      <c r="C750" s="251"/>
      <c r="D750" s="452"/>
      <c r="E750" s="136"/>
      <c r="F750" s="253"/>
      <c r="G750" s="253"/>
      <c r="H750" s="527"/>
      <c r="I750" s="141"/>
      <c r="J750" s="141"/>
      <c r="K750" s="142"/>
      <c r="L750" s="142"/>
      <c r="M750" s="142"/>
      <c r="N750" s="142"/>
      <c r="O750" s="136"/>
      <c r="P750" s="34"/>
      <c r="Q750" s="35"/>
      <c r="R750" s="35"/>
      <c r="S750" s="35"/>
      <c r="T750" s="35"/>
      <c r="U750" s="35"/>
      <c r="V750" s="35"/>
      <c r="W750" s="35"/>
      <c r="X750" s="35"/>
      <c r="Y750" s="35"/>
      <c r="Z750" s="35"/>
    </row>
    <row r="751" ht="14.25" customHeight="1">
      <c r="A751" s="136"/>
      <c r="B751" s="137"/>
      <c r="C751" s="251"/>
      <c r="D751" s="452"/>
      <c r="E751" s="136"/>
      <c r="F751" s="253"/>
      <c r="G751" s="253"/>
      <c r="H751" s="527"/>
      <c r="I751" s="141"/>
      <c r="J751" s="141"/>
      <c r="K751" s="142"/>
      <c r="L751" s="142"/>
      <c r="M751" s="142"/>
      <c r="N751" s="142"/>
      <c r="O751" s="136"/>
      <c r="P751" s="34"/>
      <c r="Q751" s="35"/>
      <c r="R751" s="35"/>
      <c r="S751" s="35"/>
      <c r="T751" s="35"/>
      <c r="U751" s="35"/>
      <c r="V751" s="35"/>
      <c r="W751" s="35"/>
      <c r="X751" s="35"/>
      <c r="Y751" s="35"/>
      <c r="Z751" s="35"/>
    </row>
    <row r="752" ht="14.25" customHeight="1">
      <c r="A752" s="136"/>
      <c r="B752" s="137"/>
      <c r="C752" s="251"/>
      <c r="D752" s="452"/>
      <c r="E752" s="136"/>
      <c r="F752" s="253"/>
      <c r="G752" s="253"/>
      <c r="H752" s="527"/>
      <c r="I752" s="141"/>
      <c r="J752" s="141"/>
      <c r="K752" s="142"/>
      <c r="L752" s="142"/>
      <c r="M752" s="142"/>
      <c r="N752" s="142"/>
      <c r="O752" s="136"/>
      <c r="P752" s="34"/>
      <c r="Q752" s="35"/>
      <c r="R752" s="35"/>
      <c r="S752" s="35"/>
      <c r="T752" s="35"/>
      <c r="U752" s="35"/>
      <c r="V752" s="35"/>
      <c r="W752" s="35"/>
      <c r="X752" s="35"/>
      <c r="Y752" s="35"/>
      <c r="Z752" s="35"/>
    </row>
    <row r="753" ht="14.25" customHeight="1">
      <c r="A753" s="136"/>
      <c r="B753" s="137"/>
      <c r="C753" s="251"/>
      <c r="D753" s="452"/>
      <c r="E753" s="136"/>
      <c r="F753" s="253"/>
      <c r="G753" s="253"/>
      <c r="H753" s="527"/>
      <c r="I753" s="141"/>
      <c r="J753" s="141"/>
      <c r="K753" s="142"/>
      <c r="L753" s="142"/>
      <c r="M753" s="142"/>
      <c r="N753" s="142"/>
      <c r="O753" s="136"/>
      <c r="P753" s="34"/>
      <c r="Q753" s="35"/>
      <c r="R753" s="35"/>
      <c r="S753" s="35"/>
      <c r="T753" s="35"/>
      <c r="U753" s="35"/>
      <c r="V753" s="35"/>
      <c r="W753" s="35"/>
      <c r="X753" s="35"/>
      <c r="Y753" s="35"/>
      <c r="Z753" s="35"/>
    </row>
    <row r="754" ht="14.25" customHeight="1">
      <c r="A754" s="136"/>
      <c r="B754" s="137"/>
      <c r="C754" s="251"/>
      <c r="D754" s="452"/>
      <c r="E754" s="136"/>
      <c r="F754" s="253"/>
      <c r="G754" s="253"/>
      <c r="H754" s="527"/>
      <c r="I754" s="141"/>
      <c r="J754" s="141"/>
      <c r="K754" s="142"/>
      <c r="L754" s="142"/>
      <c r="M754" s="142"/>
      <c r="N754" s="142"/>
      <c r="O754" s="136"/>
      <c r="P754" s="34"/>
      <c r="Q754" s="35"/>
      <c r="R754" s="35"/>
      <c r="S754" s="35"/>
      <c r="T754" s="35"/>
      <c r="U754" s="35"/>
      <c r="V754" s="35"/>
      <c r="W754" s="35"/>
      <c r="X754" s="35"/>
      <c r="Y754" s="35"/>
      <c r="Z754" s="35"/>
    </row>
    <row r="755" ht="14.25" customHeight="1">
      <c r="A755" s="136"/>
      <c r="B755" s="137"/>
      <c r="C755" s="251"/>
      <c r="D755" s="452"/>
      <c r="E755" s="136"/>
      <c r="F755" s="253"/>
      <c r="G755" s="253"/>
      <c r="H755" s="527"/>
      <c r="I755" s="141"/>
      <c r="J755" s="141"/>
      <c r="K755" s="142"/>
      <c r="L755" s="142"/>
      <c r="M755" s="142"/>
      <c r="N755" s="142"/>
      <c r="O755" s="136"/>
      <c r="P755" s="34"/>
      <c r="Q755" s="35"/>
      <c r="R755" s="35"/>
      <c r="S755" s="35"/>
      <c r="T755" s="35"/>
      <c r="U755" s="35"/>
      <c r="V755" s="35"/>
      <c r="W755" s="35"/>
      <c r="X755" s="35"/>
      <c r="Y755" s="35"/>
      <c r="Z755" s="35"/>
    </row>
    <row r="756" ht="14.25" customHeight="1">
      <c r="A756" s="136"/>
      <c r="B756" s="137"/>
      <c r="C756" s="251"/>
      <c r="D756" s="452"/>
      <c r="E756" s="136"/>
      <c r="F756" s="253"/>
      <c r="G756" s="253"/>
      <c r="H756" s="527"/>
      <c r="I756" s="141"/>
      <c r="J756" s="141"/>
      <c r="K756" s="142"/>
      <c r="L756" s="142"/>
      <c r="M756" s="142"/>
      <c r="N756" s="142"/>
      <c r="O756" s="136"/>
      <c r="P756" s="34"/>
      <c r="Q756" s="35"/>
      <c r="R756" s="35"/>
      <c r="S756" s="35"/>
      <c r="T756" s="35"/>
      <c r="U756" s="35"/>
      <c r="V756" s="35"/>
      <c r="W756" s="35"/>
      <c r="X756" s="35"/>
      <c r="Y756" s="35"/>
      <c r="Z756" s="35"/>
    </row>
    <row r="757" ht="14.25" customHeight="1">
      <c r="A757" s="136"/>
      <c r="B757" s="137"/>
      <c r="C757" s="251"/>
      <c r="D757" s="452"/>
      <c r="E757" s="136"/>
      <c r="F757" s="253"/>
      <c r="G757" s="253"/>
      <c r="H757" s="527"/>
      <c r="I757" s="141"/>
      <c r="J757" s="141"/>
      <c r="K757" s="142"/>
      <c r="L757" s="142"/>
      <c r="M757" s="142"/>
      <c r="N757" s="142"/>
      <c r="O757" s="136"/>
      <c r="P757" s="34"/>
      <c r="Q757" s="35"/>
      <c r="R757" s="35"/>
      <c r="S757" s="35"/>
      <c r="T757" s="35"/>
      <c r="U757" s="35"/>
      <c r="V757" s="35"/>
      <c r="W757" s="35"/>
      <c r="X757" s="35"/>
      <c r="Y757" s="35"/>
      <c r="Z757" s="35"/>
    </row>
    <row r="758" ht="14.25" customHeight="1">
      <c r="A758" s="136"/>
      <c r="B758" s="137"/>
      <c r="C758" s="251"/>
      <c r="D758" s="452"/>
      <c r="E758" s="136"/>
      <c r="F758" s="253"/>
      <c r="G758" s="253"/>
      <c r="H758" s="527"/>
      <c r="I758" s="141"/>
      <c r="J758" s="141"/>
      <c r="K758" s="142"/>
      <c r="L758" s="142"/>
      <c r="M758" s="142"/>
      <c r="N758" s="142"/>
      <c r="O758" s="136"/>
      <c r="P758" s="34"/>
      <c r="Q758" s="35"/>
      <c r="R758" s="35"/>
      <c r="S758" s="35"/>
      <c r="T758" s="35"/>
      <c r="U758" s="35"/>
      <c r="V758" s="35"/>
      <c r="W758" s="35"/>
      <c r="X758" s="35"/>
      <c r="Y758" s="35"/>
      <c r="Z758" s="35"/>
    </row>
    <row r="759" ht="14.25" customHeight="1">
      <c r="A759" s="136"/>
      <c r="B759" s="137"/>
      <c r="C759" s="251"/>
      <c r="D759" s="452"/>
      <c r="E759" s="136"/>
      <c r="F759" s="253"/>
      <c r="G759" s="253"/>
      <c r="H759" s="527"/>
      <c r="I759" s="141"/>
      <c r="J759" s="141"/>
      <c r="K759" s="142"/>
      <c r="L759" s="142"/>
      <c r="M759" s="142"/>
      <c r="N759" s="142"/>
      <c r="O759" s="136"/>
      <c r="P759" s="34"/>
      <c r="Q759" s="35"/>
      <c r="R759" s="35"/>
      <c r="S759" s="35"/>
      <c r="T759" s="35"/>
      <c r="U759" s="35"/>
      <c r="V759" s="35"/>
      <c r="W759" s="35"/>
      <c r="X759" s="35"/>
      <c r="Y759" s="35"/>
      <c r="Z759" s="35"/>
    </row>
    <row r="760" ht="14.25" customHeight="1">
      <c r="A760" s="136"/>
      <c r="B760" s="137"/>
      <c r="C760" s="251"/>
      <c r="D760" s="452"/>
      <c r="E760" s="136"/>
      <c r="F760" s="253"/>
      <c r="G760" s="253"/>
      <c r="H760" s="527"/>
      <c r="I760" s="141"/>
      <c r="J760" s="141"/>
      <c r="K760" s="142"/>
      <c r="L760" s="142"/>
      <c r="M760" s="142"/>
      <c r="N760" s="142"/>
      <c r="O760" s="136"/>
      <c r="P760" s="34"/>
      <c r="Q760" s="35"/>
      <c r="R760" s="35"/>
      <c r="S760" s="35"/>
      <c r="T760" s="35"/>
      <c r="U760" s="35"/>
      <c r="V760" s="35"/>
      <c r="W760" s="35"/>
      <c r="X760" s="35"/>
      <c r="Y760" s="35"/>
      <c r="Z760" s="35"/>
    </row>
    <row r="761" ht="14.25" customHeight="1">
      <c r="A761" s="136"/>
      <c r="B761" s="137"/>
      <c r="C761" s="251"/>
      <c r="D761" s="452"/>
      <c r="E761" s="136"/>
      <c r="F761" s="253"/>
      <c r="G761" s="253"/>
      <c r="H761" s="527"/>
      <c r="I761" s="141"/>
      <c r="J761" s="141"/>
      <c r="K761" s="142"/>
      <c r="L761" s="142"/>
      <c r="M761" s="142"/>
      <c r="N761" s="142"/>
      <c r="O761" s="136"/>
      <c r="P761" s="34"/>
      <c r="Q761" s="35"/>
      <c r="R761" s="35"/>
      <c r="S761" s="35"/>
      <c r="T761" s="35"/>
      <c r="U761" s="35"/>
      <c r="V761" s="35"/>
      <c r="W761" s="35"/>
      <c r="X761" s="35"/>
      <c r="Y761" s="35"/>
      <c r="Z761" s="35"/>
    </row>
    <row r="762" ht="14.25" customHeight="1">
      <c r="A762" s="136"/>
      <c r="B762" s="137"/>
      <c r="C762" s="251"/>
      <c r="D762" s="452"/>
      <c r="E762" s="136"/>
      <c r="F762" s="253"/>
      <c r="G762" s="253"/>
      <c r="H762" s="527"/>
      <c r="I762" s="141"/>
      <c r="J762" s="141"/>
      <c r="K762" s="142"/>
      <c r="L762" s="142"/>
      <c r="M762" s="142"/>
      <c r="N762" s="142"/>
      <c r="O762" s="136"/>
      <c r="P762" s="34"/>
      <c r="Q762" s="35"/>
      <c r="R762" s="35"/>
      <c r="S762" s="35"/>
      <c r="T762" s="35"/>
      <c r="U762" s="35"/>
      <c r="V762" s="35"/>
      <c r="W762" s="35"/>
      <c r="X762" s="35"/>
      <c r="Y762" s="35"/>
      <c r="Z762" s="35"/>
    </row>
    <row r="763" ht="14.25" customHeight="1">
      <c r="A763" s="136"/>
      <c r="B763" s="137"/>
      <c r="C763" s="251"/>
      <c r="D763" s="452"/>
      <c r="E763" s="136"/>
      <c r="F763" s="253"/>
      <c r="G763" s="253"/>
      <c r="H763" s="527"/>
      <c r="I763" s="141"/>
      <c r="J763" s="141"/>
      <c r="K763" s="142"/>
      <c r="L763" s="142"/>
      <c r="M763" s="142"/>
      <c r="N763" s="142"/>
      <c r="O763" s="136"/>
      <c r="P763" s="34"/>
      <c r="Q763" s="35"/>
      <c r="R763" s="35"/>
      <c r="S763" s="35"/>
      <c r="T763" s="35"/>
      <c r="U763" s="35"/>
      <c r="V763" s="35"/>
      <c r="W763" s="35"/>
      <c r="X763" s="35"/>
      <c r="Y763" s="35"/>
      <c r="Z763" s="35"/>
    </row>
    <row r="764" ht="14.25" customHeight="1">
      <c r="A764" s="136"/>
      <c r="B764" s="137"/>
      <c r="C764" s="251"/>
      <c r="D764" s="452"/>
      <c r="E764" s="136"/>
      <c r="F764" s="253"/>
      <c r="G764" s="253"/>
      <c r="H764" s="527"/>
      <c r="I764" s="141"/>
      <c r="J764" s="141"/>
      <c r="K764" s="142"/>
      <c r="L764" s="142"/>
      <c r="M764" s="142"/>
      <c r="N764" s="142"/>
      <c r="O764" s="136"/>
      <c r="P764" s="34"/>
      <c r="Q764" s="35"/>
      <c r="R764" s="35"/>
      <c r="S764" s="35"/>
      <c r="T764" s="35"/>
      <c r="U764" s="35"/>
      <c r="V764" s="35"/>
      <c r="W764" s="35"/>
      <c r="X764" s="35"/>
      <c r="Y764" s="35"/>
      <c r="Z764" s="35"/>
    </row>
    <row r="765" ht="14.25" customHeight="1">
      <c r="A765" s="136"/>
      <c r="B765" s="137"/>
      <c r="C765" s="251"/>
      <c r="D765" s="452"/>
      <c r="E765" s="136"/>
      <c r="F765" s="253"/>
      <c r="G765" s="253"/>
      <c r="H765" s="527"/>
      <c r="I765" s="141"/>
      <c r="J765" s="141"/>
      <c r="K765" s="142"/>
      <c r="L765" s="142"/>
      <c r="M765" s="142"/>
      <c r="N765" s="142"/>
      <c r="O765" s="136"/>
      <c r="P765" s="34"/>
      <c r="Q765" s="35"/>
      <c r="R765" s="35"/>
      <c r="S765" s="35"/>
      <c r="T765" s="35"/>
      <c r="U765" s="35"/>
      <c r="V765" s="35"/>
      <c r="W765" s="35"/>
      <c r="X765" s="35"/>
      <c r="Y765" s="35"/>
      <c r="Z765" s="35"/>
    </row>
    <row r="766" ht="14.25" customHeight="1">
      <c r="A766" s="136"/>
      <c r="B766" s="137"/>
      <c r="C766" s="251"/>
      <c r="D766" s="452"/>
      <c r="E766" s="136"/>
      <c r="F766" s="253"/>
      <c r="G766" s="253"/>
      <c r="H766" s="527"/>
      <c r="I766" s="141"/>
      <c r="J766" s="141"/>
      <c r="K766" s="142"/>
      <c r="L766" s="142"/>
      <c r="M766" s="142"/>
      <c r="N766" s="142"/>
      <c r="O766" s="136"/>
      <c r="P766" s="34"/>
      <c r="Q766" s="35"/>
      <c r="R766" s="35"/>
      <c r="S766" s="35"/>
      <c r="T766" s="35"/>
      <c r="U766" s="35"/>
      <c r="V766" s="35"/>
      <c r="W766" s="35"/>
      <c r="X766" s="35"/>
      <c r="Y766" s="35"/>
      <c r="Z766" s="35"/>
    </row>
    <row r="767" ht="14.25" customHeight="1">
      <c r="A767" s="136"/>
      <c r="B767" s="137"/>
      <c r="C767" s="251"/>
      <c r="D767" s="452"/>
      <c r="E767" s="136"/>
      <c r="F767" s="253"/>
      <c r="G767" s="253"/>
      <c r="H767" s="527"/>
      <c r="I767" s="141"/>
      <c r="J767" s="141"/>
      <c r="K767" s="142"/>
      <c r="L767" s="142"/>
      <c r="M767" s="142"/>
      <c r="N767" s="142"/>
      <c r="O767" s="136"/>
      <c r="P767" s="34"/>
      <c r="Q767" s="35"/>
      <c r="R767" s="35"/>
      <c r="S767" s="35"/>
      <c r="T767" s="35"/>
      <c r="U767" s="35"/>
      <c r="V767" s="35"/>
      <c r="W767" s="35"/>
      <c r="X767" s="35"/>
      <c r="Y767" s="35"/>
      <c r="Z767" s="35"/>
    </row>
    <row r="768" ht="14.25" customHeight="1">
      <c r="A768" s="136"/>
      <c r="B768" s="137"/>
      <c r="C768" s="251"/>
      <c r="D768" s="452"/>
      <c r="E768" s="136"/>
      <c r="F768" s="253"/>
      <c r="G768" s="253"/>
      <c r="H768" s="527"/>
      <c r="I768" s="141"/>
      <c r="J768" s="141"/>
      <c r="K768" s="142"/>
      <c r="L768" s="142"/>
      <c r="M768" s="142"/>
      <c r="N768" s="142"/>
      <c r="O768" s="136"/>
      <c r="P768" s="34"/>
      <c r="Q768" s="35"/>
      <c r="R768" s="35"/>
      <c r="S768" s="35"/>
      <c r="T768" s="35"/>
      <c r="U768" s="35"/>
      <c r="V768" s="35"/>
      <c r="W768" s="35"/>
      <c r="X768" s="35"/>
      <c r="Y768" s="35"/>
      <c r="Z768" s="35"/>
    </row>
    <row r="769" ht="14.25" customHeight="1">
      <c r="A769" s="136"/>
      <c r="B769" s="137"/>
      <c r="C769" s="251"/>
      <c r="D769" s="452"/>
      <c r="E769" s="136"/>
      <c r="F769" s="253"/>
      <c r="G769" s="253"/>
      <c r="H769" s="527"/>
      <c r="I769" s="141"/>
      <c r="J769" s="141"/>
      <c r="K769" s="142"/>
      <c r="L769" s="142"/>
      <c r="M769" s="142"/>
      <c r="N769" s="142"/>
      <c r="O769" s="136"/>
      <c r="P769" s="34"/>
      <c r="Q769" s="35"/>
      <c r="R769" s="35"/>
      <c r="S769" s="35"/>
      <c r="T769" s="35"/>
      <c r="U769" s="35"/>
      <c r="V769" s="35"/>
      <c r="W769" s="35"/>
      <c r="X769" s="35"/>
      <c r="Y769" s="35"/>
      <c r="Z769" s="35"/>
    </row>
    <row r="770" ht="14.25" customHeight="1">
      <c r="A770" s="136"/>
      <c r="B770" s="137"/>
      <c r="C770" s="251"/>
      <c r="D770" s="452"/>
      <c r="E770" s="136"/>
      <c r="F770" s="253"/>
      <c r="G770" s="253"/>
      <c r="H770" s="527"/>
      <c r="I770" s="141"/>
      <c r="J770" s="141"/>
      <c r="K770" s="142"/>
      <c r="L770" s="142"/>
      <c r="M770" s="142"/>
      <c r="N770" s="142"/>
      <c r="O770" s="136"/>
      <c r="P770" s="34"/>
      <c r="Q770" s="35"/>
      <c r="R770" s="35"/>
      <c r="S770" s="35"/>
      <c r="T770" s="35"/>
      <c r="U770" s="35"/>
      <c r="V770" s="35"/>
      <c r="W770" s="35"/>
      <c r="X770" s="35"/>
      <c r="Y770" s="35"/>
      <c r="Z770" s="35"/>
    </row>
    <row r="771" ht="14.25" customHeight="1">
      <c r="A771" s="136"/>
      <c r="B771" s="137"/>
      <c r="C771" s="251"/>
      <c r="D771" s="452"/>
      <c r="E771" s="136"/>
      <c r="F771" s="253"/>
      <c r="G771" s="253"/>
      <c r="H771" s="527"/>
      <c r="I771" s="141"/>
      <c r="J771" s="141"/>
      <c r="K771" s="142"/>
      <c r="L771" s="142"/>
      <c r="M771" s="142"/>
      <c r="N771" s="142"/>
      <c r="O771" s="136"/>
      <c r="P771" s="34"/>
      <c r="Q771" s="35"/>
      <c r="R771" s="35"/>
      <c r="S771" s="35"/>
      <c r="T771" s="35"/>
      <c r="U771" s="35"/>
      <c r="V771" s="35"/>
      <c r="W771" s="35"/>
      <c r="X771" s="35"/>
      <c r="Y771" s="35"/>
      <c r="Z771" s="35"/>
    </row>
    <row r="772" ht="14.25" customHeight="1">
      <c r="A772" s="136"/>
      <c r="B772" s="137"/>
      <c r="C772" s="251"/>
      <c r="D772" s="452"/>
      <c r="E772" s="136"/>
      <c r="F772" s="253"/>
      <c r="G772" s="253"/>
      <c r="H772" s="527"/>
      <c r="I772" s="141"/>
      <c r="J772" s="141"/>
      <c r="K772" s="142"/>
      <c r="L772" s="142"/>
      <c r="M772" s="142"/>
      <c r="N772" s="142"/>
      <c r="O772" s="136"/>
      <c r="P772" s="34"/>
      <c r="Q772" s="35"/>
      <c r="R772" s="35"/>
      <c r="S772" s="35"/>
      <c r="T772" s="35"/>
      <c r="U772" s="35"/>
      <c r="V772" s="35"/>
      <c r="W772" s="35"/>
      <c r="X772" s="35"/>
      <c r="Y772" s="35"/>
      <c r="Z772" s="35"/>
    </row>
    <row r="773" ht="14.25" customHeight="1">
      <c r="A773" s="136"/>
      <c r="B773" s="137"/>
      <c r="C773" s="251"/>
      <c r="D773" s="452"/>
      <c r="E773" s="136"/>
      <c r="F773" s="253"/>
      <c r="G773" s="253"/>
      <c r="H773" s="527"/>
      <c r="I773" s="141"/>
      <c r="J773" s="141"/>
      <c r="K773" s="142"/>
      <c r="L773" s="142"/>
      <c r="M773" s="142"/>
      <c r="N773" s="142"/>
      <c r="O773" s="136"/>
      <c r="P773" s="34"/>
      <c r="Q773" s="35"/>
      <c r="R773" s="35"/>
      <c r="S773" s="35"/>
      <c r="T773" s="35"/>
      <c r="U773" s="35"/>
      <c r="V773" s="35"/>
      <c r="W773" s="35"/>
      <c r="X773" s="35"/>
      <c r="Y773" s="35"/>
      <c r="Z773" s="35"/>
    </row>
    <row r="774" ht="14.25" customHeight="1">
      <c r="A774" s="136"/>
      <c r="B774" s="137"/>
      <c r="C774" s="251"/>
      <c r="D774" s="452"/>
      <c r="E774" s="136"/>
      <c r="F774" s="253"/>
      <c r="G774" s="253"/>
      <c r="H774" s="527"/>
      <c r="I774" s="141"/>
      <c r="J774" s="141"/>
      <c r="K774" s="142"/>
      <c r="L774" s="142"/>
      <c r="M774" s="142"/>
      <c r="N774" s="142"/>
      <c r="O774" s="136"/>
      <c r="P774" s="34"/>
      <c r="Q774" s="35"/>
      <c r="R774" s="35"/>
      <c r="S774" s="35"/>
      <c r="T774" s="35"/>
      <c r="U774" s="35"/>
      <c r="V774" s="35"/>
      <c r="W774" s="35"/>
      <c r="X774" s="35"/>
      <c r="Y774" s="35"/>
      <c r="Z774" s="35"/>
    </row>
    <row r="775" ht="14.25" customHeight="1">
      <c r="A775" s="136"/>
      <c r="B775" s="137"/>
      <c r="C775" s="251"/>
      <c r="D775" s="452"/>
      <c r="E775" s="136"/>
      <c r="F775" s="253"/>
      <c r="G775" s="253"/>
      <c r="H775" s="527"/>
      <c r="I775" s="141"/>
      <c r="J775" s="141"/>
      <c r="K775" s="142"/>
      <c r="L775" s="142"/>
      <c r="M775" s="142"/>
      <c r="N775" s="142"/>
      <c r="O775" s="136"/>
      <c r="P775" s="34"/>
      <c r="Q775" s="35"/>
      <c r="R775" s="35"/>
      <c r="S775" s="35"/>
      <c r="T775" s="35"/>
      <c r="U775" s="35"/>
      <c r="V775" s="35"/>
      <c r="W775" s="35"/>
      <c r="X775" s="35"/>
      <c r="Y775" s="35"/>
      <c r="Z775" s="35"/>
    </row>
    <row r="776" ht="14.25" customHeight="1">
      <c r="A776" s="136"/>
      <c r="B776" s="137"/>
      <c r="C776" s="251"/>
      <c r="D776" s="452"/>
      <c r="E776" s="136"/>
      <c r="F776" s="253"/>
      <c r="G776" s="253"/>
      <c r="H776" s="527"/>
      <c r="I776" s="141"/>
      <c r="J776" s="141"/>
      <c r="K776" s="142"/>
      <c r="L776" s="142"/>
      <c r="M776" s="142"/>
      <c r="N776" s="142"/>
      <c r="O776" s="136"/>
      <c r="P776" s="34"/>
      <c r="Q776" s="35"/>
      <c r="R776" s="35"/>
      <c r="S776" s="35"/>
      <c r="T776" s="35"/>
      <c r="U776" s="35"/>
      <c r="V776" s="35"/>
      <c r="W776" s="35"/>
      <c r="X776" s="35"/>
      <c r="Y776" s="35"/>
      <c r="Z776" s="35"/>
    </row>
    <row r="777" ht="14.25" customHeight="1">
      <c r="A777" s="136"/>
      <c r="B777" s="137"/>
      <c r="C777" s="251"/>
      <c r="D777" s="452"/>
      <c r="E777" s="136"/>
      <c r="F777" s="253"/>
      <c r="G777" s="253"/>
      <c r="H777" s="527"/>
      <c r="I777" s="141"/>
      <c r="J777" s="141"/>
      <c r="K777" s="142"/>
      <c r="L777" s="142"/>
      <c r="M777" s="142"/>
      <c r="N777" s="142"/>
      <c r="O777" s="136"/>
      <c r="P777" s="34"/>
      <c r="Q777" s="35"/>
      <c r="R777" s="35"/>
      <c r="S777" s="35"/>
      <c r="T777" s="35"/>
      <c r="U777" s="35"/>
      <c r="V777" s="35"/>
      <c r="W777" s="35"/>
      <c r="X777" s="35"/>
      <c r="Y777" s="35"/>
      <c r="Z777" s="35"/>
    </row>
    <row r="778" ht="14.25" customHeight="1">
      <c r="A778" s="136"/>
      <c r="B778" s="137"/>
      <c r="C778" s="251"/>
      <c r="D778" s="452"/>
      <c r="E778" s="136"/>
      <c r="F778" s="253"/>
      <c r="G778" s="253"/>
      <c r="H778" s="527"/>
      <c r="I778" s="141"/>
      <c r="J778" s="141"/>
      <c r="K778" s="142"/>
      <c r="L778" s="142"/>
      <c r="M778" s="142"/>
      <c r="N778" s="142"/>
      <c r="O778" s="136"/>
      <c r="P778" s="34"/>
      <c r="Q778" s="35"/>
      <c r="R778" s="35"/>
      <c r="S778" s="35"/>
      <c r="T778" s="35"/>
      <c r="U778" s="35"/>
      <c r="V778" s="35"/>
      <c r="W778" s="35"/>
      <c r="X778" s="35"/>
      <c r="Y778" s="35"/>
      <c r="Z778" s="35"/>
    </row>
    <row r="779" ht="14.25" customHeight="1">
      <c r="A779" s="136"/>
      <c r="B779" s="137"/>
      <c r="C779" s="251"/>
      <c r="D779" s="452"/>
      <c r="E779" s="136"/>
      <c r="F779" s="253"/>
      <c r="G779" s="253"/>
      <c r="H779" s="527"/>
      <c r="I779" s="141"/>
      <c r="J779" s="141"/>
      <c r="K779" s="142"/>
      <c r="L779" s="142"/>
      <c r="M779" s="142"/>
      <c r="N779" s="142"/>
      <c r="O779" s="136"/>
      <c r="P779" s="34"/>
      <c r="Q779" s="35"/>
      <c r="R779" s="35"/>
      <c r="S779" s="35"/>
      <c r="T779" s="35"/>
      <c r="U779" s="35"/>
      <c r="V779" s="35"/>
      <c r="W779" s="35"/>
      <c r="X779" s="35"/>
      <c r="Y779" s="35"/>
      <c r="Z779" s="35"/>
    </row>
    <row r="780" ht="14.25" customHeight="1">
      <c r="A780" s="136"/>
      <c r="B780" s="137"/>
      <c r="C780" s="251"/>
      <c r="D780" s="452"/>
      <c r="E780" s="136"/>
      <c r="F780" s="253"/>
      <c r="G780" s="253"/>
      <c r="H780" s="527"/>
      <c r="I780" s="141"/>
      <c r="J780" s="141"/>
      <c r="K780" s="142"/>
      <c r="L780" s="142"/>
      <c r="M780" s="142"/>
      <c r="N780" s="142"/>
      <c r="O780" s="136"/>
      <c r="P780" s="34"/>
      <c r="Q780" s="35"/>
      <c r="R780" s="35"/>
      <c r="S780" s="35"/>
      <c r="T780" s="35"/>
      <c r="U780" s="35"/>
      <c r="V780" s="35"/>
      <c r="W780" s="35"/>
      <c r="X780" s="35"/>
      <c r="Y780" s="35"/>
      <c r="Z780" s="35"/>
    </row>
    <row r="781" ht="14.25" customHeight="1">
      <c r="A781" s="136"/>
      <c r="B781" s="137"/>
      <c r="C781" s="251"/>
      <c r="D781" s="452"/>
      <c r="E781" s="136"/>
      <c r="F781" s="253"/>
      <c r="G781" s="253"/>
      <c r="H781" s="527"/>
      <c r="I781" s="141"/>
      <c r="J781" s="141"/>
      <c r="K781" s="142"/>
      <c r="L781" s="142"/>
      <c r="M781" s="142"/>
      <c r="N781" s="142"/>
      <c r="O781" s="136"/>
      <c r="P781" s="34"/>
      <c r="Q781" s="35"/>
      <c r="R781" s="35"/>
      <c r="S781" s="35"/>
      <c r="T781" s="35"/>
      <c r="U781" s="35"/>
      <c r="V781" s="35"/>
      <c r="W781" s="35"/>
      <c r="X781" s="35"/>
      <c r="Y781" s="35"/>
      <c r="Z781" s="35"/>
    </row>
    <row r="782" ht="14.25" customHeight="1">
      <c r="A782" s="136"/>
      <c r="B782" s="137"/>
      <c r="C782" s="251"/>
      <c r="D782" s="452"/>
      <c r="E782" s="136"/>
      <c r="F782" s="253"/>
      <c r="G782" s="253"/>
      <c r="H782" s="527"/>
      <c r="I782" s="141"/>
      <c r="J782" s="141"/>
      <c r="K782" s="142"/>
      <c r="L782" s="142"/>
      <c r="M782" s="142"/>
      <c r="N782" s="142"/>
      <c r="O782" s="136"/>
      <c r="P782" s="34"/>
      <c r="Q782" s="35"/>
      <c r="R782" s="35"/>
      <c r="S782" s="35"/>
      <c r="T782" s="35"/>
      <c r="U782" s="35"/>
      <c r="V782" s="35"/>
      <c r="W782" s="35"/>
      <c r="X782" s="35"/>
      <c r="Y782" s="35"/>
      <c r="Z782" s="35"/>
    </row>
    <row r="783" ht="14.25" customHeight="1">
      <c r="A783" s="136"/>
      <c r="B783" s="137"/>
      <c r="C783" s="251"/>
      <c r="D783" s="452"/>
      <c r="E783" s="136"/>
      <c r="F783" s="253"/>
      <c r="G783" s="253"/>
      <c r="H783" s="527"/>
      <c r="I783" s="141"/>
      <c r="J783" s="141"/>
      <c r="K783" s="142"/>
      <c r="L783" s="142"/>
      <c r="M783" s="142"/>
      <c r="N783" s="142"/>
      <c r="O783" s="136"/>
      <c r="P783" s="34"/>
      <c r="Q783" s="35"/>
      <c r="R783" s="35"/>
      <c r="S783" s="35"/>
      <c r="T783" s="35"/>
      <c r="U783" s="35"/>
      <c r="V783" s="35"/>
      <c r="W783" s="35"/>
      <c r="X783" s="35"/>
      <c r="Y783" s="35"/>
      <c r="Z783" s="35"/>
    </row>
    <row r="784" ht="14.25" customHeight="1">
      <c r="A784" s="136"/>
      <c r="B784" s="137"/>
      <c r="C784" s="251"/>
      <c r="D784" s="452"/>
      <c r="E784" s="136"/>
      <c r="F784" s="253"/>
      <c r="G784" s="253"/>
      <c r="H784" s="527"/>
      <c r="I784" s="141"/>
      <c r="J784" s="141"/>
      <c r="K784" s="142"/>
      <c r="L784" s="142"/>
      <c r="M784" s="142"/>
      <c r="N784" s="142"/>
      <c r="O784" s="136"/>
      <c r="P784" s="34"/>
      <c r="Q784" s="35"/>
      <c r="R784" s="35"/>
      <c r="S784" s="35"/>
      <c r="T784" s="35"/>
      <c r="U784" s="35"/>
      <c r="V784" s="35"/>
      <c r="W784" s="35"/>
      <c r="X784" s="35"/>
      <c r="Y784" s="35"/>
      <c r="Z784" s="35"/>
    </row>
    <row r="785" ht="14.25" customHeight="1">
      <c r="A785" s="136"/>
      <c r="B785" s="137"/>
      <c r="C785" s="251"/>
      <c r="D785" s="452"/>
      <c r="E785" s="136"/>
      <c r="F785" s="253"/>
      <c r="G785" s="253"/>
      <c r="H785" s="527"/>
      <c r="I785" s="141"/>
      <c r="J785" s="141"/>
      <c r="K785" s="142"/>
      <c r="L785" s="142"/>
      <c r="M785" s="142"/>
      <c r="N785" s="142"/>
      <c r="O785" s="136"/>
      <c r="P785" s="34"/>
      <c r="Q785" s="35"/>
      <c r="R785" s="35"/>
      <c r="S785" s="35"/>
      <c r="T785" s="35"/>
      <c r="U785" s="35"/>
      <c r="V785" s="35"/>
      <c r="W785" s="35"/>
      <c r="X785" s="35"/>
      <c r="Y785" s="35"/>
      <c r="Z785" s="35"/>
    </row>
    <row r="786" ht="14.25" customHeight="1">
      <c r="A786" s="136"/>
      <c r="B786" s="137"/>
      <c r="C786" s="251"/>
      <c r="D786" s="452"/>
      <c r="E786" s="136"/>
      <c r="F786" s="253"/>
      <c r="G786" s="253"/>
      <c r="H786" s="527"/>
      <c r="I786" s="141"/>
      <c r="J786" s="141"/>
      <c r="K786" s="142"/>
      <c r="L786" s="142"/>
      <c r="M786" s="142"/>
      <c r="N786" s="142"/>
      <c r="O786" s="136"/>
      <c r="P786" s="34"/>
      <c r="Q786" s="35"/>
      <c r="R786" s="35"/>
      <c r="S786" s="35"/>
      <c r="T786" s="35"/>
      <c r="U786" s="35"/>
      <c r="V786" s="35"/>
      <c r="W786" s="35"/>
      <c r="X786" s="35"/>
      <c r="Y786" s="35"/>
      <c r="Z786" s="35"/>
    </row>
    <row r="787" ht="14.25" customHeight="1">
      <c r="A787" s="136"/>
      <c r="B787" s="137"/>
      <c r="C787" s="251"/>
      <c r="D787" s="452"/>
      <c r="E787" s="136"/>
      <c r="F787" s="253"/>
      <c r="G787" s="253"/>
      <c r="H787" s="527"/>
      <c r="I787" s="141"/>
      <c r="J787" s="141"/>
      <c r="K787" s="142"/>
      <c r="L787" s="142"/>
      <c r="M787" s="142"/>
      <c r="N787" s="142"/>
      <c r="O787" s="136"/>
      <c r="P787" s="34"/>
      <c r="Q787" s="35"/>
      <c r="R787" s="35"/>
      <c r="S787" s="35"/>
      <c r="T787" s="35"/>
      <c r="U787" s="35"/>
      <c r="V787" s="35"/>
      <c r="W787" s="35"/>
      <c r="X787" s="35"/>
      <c r="Y787" s="35"/>
      <c r="Z787" s="35"/>
    </row>
    <row r="788" ht="14.25" customHeight="1">
      <c r="A788" s="136"/>
      <c r="B788" s="137"/>
      <c r="C788" s="251"/>
      <c r="D788" s="452"/>
      <c r="E788" s="136"/>
      <c r="F788" s="253"/>
      <c r="G788" s="253"/>
      <c r="H788" s="527"/>
      <c r="I788" s="141"/>
      <c r="J788" s="141"/>
      <c r="K788" s="142"/>
      <c r="L788" s="142"/>
      <c r="M788" s="142"/>
      <c r="N788" s="142"/>
      <c r="O788" s="136"/>
      <c r="P788" s="34"/>
      <c r="Q788" s="35"/>
      <c r="R788" s="35"/>
      <c r="S788" s="35"/>
      <c r="T788" s="35"/>
      <c r="U788" s="35"/>
      <c r="V788" s="35"/>
      <c r="W788" s="35"/>
      <c r="X788" s="35"/>
      <c r="Y788" s="35"/>
      <c r="Z788" s="35"/>
    </row>
    <row r="789" ht="14.25" customHeight="1">
      <c r="A789" s="136"/>
      <c r="B789" s="137"/>
      <c r="C789" s="251"/>
      <c r="D789" s="452"/>
      <c r="E789" s="136"/>
      <c r="F789" s="253"/>
      <c r="G789" s="253"/>
      <c r="H789" s="527"/>
      <c r="I789" s="141"/>
      <c r="J789" s="141"/>
      <c r="K789" s="142"/>
      <c r="L789" s="142"/>
      <c r="M789" s="142"/>
      <c r="N789" s="142"/>
      <c r="O789" s="136"/>
      <c r="P789" s="34"/>
      <c r="Q789" s="35"/>
      <c r="R789" s="35"/>
      <c r="S789" s="35"/>
      <c r="T789" s="35"/>
      <c r="U789" s="35"/>
      <c r="V789" s="35"/>
      <c r="W789" s="35"/>
      <c r="X789" s="35"/>
      <c r="Y789" s="35"/>
      <c r="Z789" s="35"/>
    </row>
    <row r="790" ht="14.25" customHeight="1">
      <c r="A790" s="136"/>
      <c r="B790" s="137"/>
      <c r="C790" s="251"/>
      <c r="D790" s="452"/>
      <c r="E790" s="136"/>
      <c r="F790" s="253"/>
      <c r="G790" s="253"/>
      <c r="H790" s="527"/>
      <c r="I790" s="141"/>
      <c r="J790" s="141"/>
      <c r="K790" s="142"/>
      <c r="L790" s="142"/>
      <c r="M790" s="142"/>
      <c r="N790" s="142"/>
      <c r="O790" s="136"/>
      <c r="P790" s="34"/>
      <c r="Q790" s="35"/>
      <c r="R790" s="35"/>
      <c r="S790" s="35"/>
      <c r="T790" s="35"/>
      <c r="U790" s="35"/>
      <c r="V790" s="35"/>
      <c r="W790" s="35"/>
      <c r="X790" s="35"/>
      <c r="Y790" s="35"/>
      <c r="Z790" s="35"/>
    </row>
    <row r="791" ht="14.25" customHeight="1">
      <c r="A791" s="136"/>
      <c r="B791" s="137"/>
      <c r="C791" s="251"/>
      <c r="D791" s="452"/>
      <c r="E791" s="136"/>
      <c r="F791" s="253"/>
      <c r="G791" s="253"/>
      <c r="H791" s="527"/>
      <c r="I791" s="141"/>
      <c r="J791" s="141"/>
      <c r="K791" s="142"/>
      <c r="L791" s="142"/>
      <c r="M791" s="142"/>
      <c r="N791" s="142"/>
      <c r="O791" s="136"/>
      <c r="P791" s="34"/>
      <c r="Q791" s="35"/>
      <c r="R791" s="35"/>
      <c r="S791" s="35"/>
      <c r="T791" s="35"/>
      <c r="U791" s="35"/>
      <c r="V791" s="35"/>
      <c r="W791" s="35"/>
      <c r="X791" s="35"/>
      <c r="Y791" s="35"/>
      <c r="Z791" s="35"/>
    </row>
    <row r="792" ht="14.25" customHeight="1">
      <c r="A792" s="136"/>
      <c r="B792" s="137"/>
      <c r="C792" s="251"/>
      <c r="D792" s="452"/>
      <c r="E792" s="136"/>
      <c r="F792" s="253"/>
      <c r="G792" s="253"/>
      <c r="H792" s="527"/>
      <c r="I792" s="141"/>
      <c r="J792" s="141"/>
      <c r="K792" s="142"/>
      <c r="L792" s="142"/>
      <c r="M792" s="142"/>
      <c r="N792" s="142"/>
      <c r="O792" s="136"/>
      <c r="P792" s="34"/>
      <c r="Q792" s="35"/>
      <c r="R792" s="35"/>
      <c r="S792" s="35"/>
      <c r="T792" s="35"/>
      <c r="U792" s="35"/>
      <c r="V792" s="35"/>
      <c r="W792" s="35"/>
      <c r="X792" s="35"/>
      <c r="Y792" s="35"/>
      <c r="Z792" s="35"/>
    </row>
    <row r="793" ht="14.25" customHeight="1">
      <c r="A793" s="136"/>
      <c r="B793" s="137"/>
      <c r="C793" s="251"/>
      <c r="D793" s="452"/>
      <c r="E793" s="136"/>
      <c r="F793" s="253"/>
      <c r="G793" s="253"/>
      <c r="H793" s="527"/>
      <c r="I793" s="141"/>
      <c r="J793" s="141"/>
      <c r="K793" s="142"/>
      <c r="L793" s="142"/>
      <c r="M793" s="142"/>
      <c r="N793" s="142"/>
      <c r="O793" s="136"/>
      <c r="P793" s="34"/>
      <c r="Q793" s="35"/>
      <c r="R793" s="35"/>
      <c r="S793" s="35"/>
      <c r="T793" s="35"/>
      <c r="U793" s="35"/>
      <c r="V793" s="35"/>
      <c r="W793" s="35"/>
      <c r="X793" s="35"/>
      <c r="Y793" s="35"/>
      <c r="Z793" s="35"/>
    </row>
    <row r="794" ht="14.25" customHeight="1">
      <c r="A794" s="136"/>
      <c r="B794" s="137"/>
      <c r="C794" s="251"/>
      <c r="D794" s="452"/>
      <c r="E794" s="136"/>
      <c r="F794" s="253"/>
      <c r="G794" s="253"/>
      <c r="H794" s="527"/>
      <c r="I794" s="141"/>
      <c r="J794" s="141"/>
      <c r="K794" s="142"/>
      <c r="L794" s="142"/>
      <c r="M794" s="142"/>
      <c r="N794" s="142"/>
      <c r="O794" s="136"/>
      <c r="P794" s="34"/>
      <c r="Q794" s="35"/>
      <c r="R794" s="35"/>
      <c r="S794" s="35"/>
      <c r="T794" s="35"/>
      <c r="U794" s="35"/>
      <c r="V794" s="35"/>
      <c r="W794" s="35"/>
      <c r="X794" s="35"/>
      <c r="Y794" s="35"/>
      <c r="Z794" s="35"/>
    </row>
    <row r="795" ht="14.25" customHeight="1">
      <c r="A795" s="136"/>
      <c r="B795" s="137"/>
      <c r="C795" s="251"/>
      <c r="D795" s="452"/>
      <c r="E795" s="136"/>
      <c r="F795" s="253"/>
      <c r="G795" s="253"/>
      <c r="H795" s="527"/>
      <c r="I795" s="141"/>
      <c r="J795" s="141"/>
      <c r="K795" s="142"/>
      <c r="L795" s="142"/>
      <c r="M795" s="142"/>
      <c r="N795" s="142"/>
      <c r="O795" s="136"/>
      <c r="P795" s="34"/>
      <c r="Q795" s="35"/>
      <c r="R795" s="35"/>
      <c r="S795" s="35"/>
      <c r="T795" s="35"/>
      <c r="U795" s="35"/>
      <c r="V795" s="35"/>
      <c r="W795" s="35"/>
      <c r="X795" s="35"/>
      <c r="Y795" s="35"/>
      <c r="Z795" s="35"/>
    </row>
    <row r="796" ht="14.25" customHeight="1">
      <c r="A796" s="136"/>
      <c r="B796" s="137"/>
      <c r="C796" s="251"/>
      <c r="D796" s="452"/>
      <c r="E796" s="136"/>
      <c r="F796" s="253"/>
      <c r="G796" s="253"/>
      <c r="H796" s="527"/>
      <c r="I796" s="141"/>
      <c r="J796" s="141"/>
      <c r="K796" s="142"/>
      <c r="L796" s="142"/>
      <c r="M796" s="142"/>
      <c r="N796" s="142"/>
      <c r="O796" s="136"/>
      <c r="P796" s="34"/>
      <c r="Q796" s="35"/>
      <c r="R796" s="35"/>
      <c r="S796" s="35"/>
      <c r="T796" s="35"/>
      <c r="U796" s="35"/>
      <c r="V796" s="35"/>
      <c r="W796" s="35"/>
      <c r="X796" s="35"/>
      <c r="Y796" s="35"/>
      <c r="Z796" s="35"/>
    </row>
    <row r="797" ht="14.25" customHeight="1">
      <c r="A797" s="136"/>
      <c r="B797" s="137"/>
      <c r="C797" s="251"/>
      <c r="D797" s="452"/>
      <c r="E797" s="136"/>
      <c r="F797" s="253"/>
      <c r="G797" s="253"/>
      <c r="H797" s="527"/>
      <c r="I797" s="141"/>
      <c r="J797" s="141"/>
      <c r="K797" s="142"/>
      <c r="L797" s="142"/>
      <c r="M797" s="142"/>
      <c r="N797" s="142"/>
      <c r="O797" s="136"/>
      <c r="P797" s="34"/>
      <c r="Q797" s="35"/>
      <c r="R797" s="35"/>
      <c r="S797" s="35"/>
      <c r="T797" s="35"/>
      <c r="U797" s="35"/>
      <c r="V797" s="35"/>
      <c r="W797" s="35"/>
      <c r="X797" s="35"/>
      <c r="Y797" s="35"/>
      <c r="Z797" s="35"/>
    </row>
    <row r="798" ht="14.25" customHeight="1">
      <c r="A798" s="136"/>
      <c r="B798" s="137"/>
      <c r="C798" s="251"/>
      <c r="D798" s="452"/>
      <c r="E798" s="136"/>
      <c r="F798" s="253"/>
      <c r="G798" s="253"/>
      <c r="H798" s="527"/>
      <c r="I798" s="141"/>
      <c r="J798" s="141"/>
      <c r="K798" s="142"/>
      <c r="L798" s="142"/>
      <c r="M798" s="142"/>
      <c r="N798" s="142"/>
      <c r="O798" s="136"/>
      <c r="P798" s="34"/>
      <c r="Q798" s="35"/>
      <c r="R798" s="35"/>
      <c r="S798" s="35"/>
      <c r="T798" s="35"/>
      <c r="U798" s="35"/>
      <c r="V798" s="35"/>
      <c r="W798" s="35"/>
      <c r="X798" s="35"/>
      <c r="Y798" s="35"/>
      <c r="Z798" s="35"/>
    </row>
    <row r="799" ht="14.25" customHeight="1">
      <c r="A799" s="136"/>
      <c r="B799" s="137"/>
      <c r="C799" s="251"/>
      <c r="D799" s="452"/>
      <c r="E799" s="136"/>
      <c r="F799" s="253"/>
      <c r="G799" s="253"/>
      <c r="H799" s="527"/>
      <c r="I799" s="141"/>
      <c r="J799" s="141"/>
      <c r="K799" s="142"/>
      <c r="L799" s="142"/>
      <c r="M799" s="142"/>
      <c r="N799" s="142"/>
      <c r="O799" s="136"/>
      <c r="P799" s="34"/>
      <c r="Q799" s="35"/>
      <c r="R799" s="35"/>
      <c r="S799" s="35"/>
      <c r="T799" s="35"/>
      <c r="U799" s="35"/>
      <c r="V799" s="35"/>
      <c r="W799" s="35"/>
      <c r="X799" s="35"/>
      <c r="Y799" s="35"/>
      <c r="Z799" s="35"/>
    </row>
    <row r="800" ht="14.25" customHeight="1">
      <c r="A800" s="136"/>
      <c r="B800" s="137"/>
      <c r="C800" s="251"/>
      <c r="D800" s="452"/>
      <c r="E800" s="136"/>
      <c r="F800" s="253"/>
      <c r="G800" s="253"/>
      <c r="H800" s="527"/>
      <c r="I800" s="141"/>
      <c r="J800" s="141"/>
      <c r="K800" s="142"/>
      <c r="L800" s="142"/>
      <c r="M800" s="142"/>
      <c r="N800" s="142"/>
      <c r="O800" s="136"/>
      <c r="P800" s="34"/>
      <c r="Q800" s="35"/>
      <c r="R800" s="35"/>
      <c r="S800" s="35"/>
      <c r="T800" s="35"/>
      <c r="U800" s="35"/>
      <c r="V800" s="35"/>
      <c r="W800" s="35"/>
      <c r="X800" s="35"/>
      <c r="Y800" s="35"/>
      <c r="Z800" s="35"/>
    </row>
    <row r="801" ht="14.25" customHeight="1">
      <c r="A801" s="136"/>
      <c r="B801" s="137"/>
      <c r="C801" s="251"/>
      <c r="D801" s="452"/>
      <c r="E801" s="136"/>
      <c r="F801" s="253"/>
      <c r="G801" s="253"/>
      <c r="H801" s="527"/>
      <c r="I801" s="141"/>
      <c r="J801" s="141"/>
      <c r="K801" s="142"/>
      <c r="L801" s="142"/>
      <c r="M801" s="142"/>
      <c r="N801" s="142"/>
      <c r="O801" s="136"/>
      <c r="P801" s="34"/>
      <c r="Q801" s="35"/>
      <c r="R801" s="35"/>
      <c r="S801" s="35"/>
      <c r="T801" s="35"/>
      <c r="U801" s="35"/>
      <c r="V801" s="35"/>
      <c r="W801" s="35"/>
      <c r="X801" s="35"/>
      <c r="Y801" s="35"/>
      <c r="Z801" s="35"/>
    </row>
    <row r="802" ht="14.25" customHeight="1">
      <c r="A802" s="136"/>
      <c r="B802" s="137"/>
      <c r="C802" s="251"/>
      <c r="D802" s="452"/>
      <c r="E802" s="136"/>
      <c r="F802" s="253"/>
      <c r="G802" s="253"/>
      <c r="H802" s="527"/>
      <c r="I802" s="141"/>
      <c r="J802" s="141"/>
      <c r="K802" s="142"/>
      <c r="L802" s="142"/>
      <c r="M802" s="142"/>
      <c r="N802" s="142"/>
      <c r="O802" s="136"/>
      <c r="P802" s="34"/>
      <c r="Q802" s="35"/>
      <c r="R802" s="35"/>
      <c r="S802" s="35"/>
      <c r="T802" s="35"/>
      <c r="U802" s="35"/>
      <c r="V802" s="35"/>
      <c r="W802" s="35"/>
      <c r="X802" s="35"/>
      <c r="Y802" s="35"/>
      <c r="Z802" s="35"/>
    </row>
    <row r="803" ht="14.25" customHeight="1">
      <c r="A803" s="136"/>
      <c r="B803" s="137"/>
      <c r="C803" s="251"/>
      <c r="D803" s="452"/>
      <c r="E803" s="136"/>
      <c r="F803" s="253"/>
      <c r="G803" s="253"/>
      <c r="H803" s="527"/>
      <c r="I803" s="141"/>
      <c r="J803" s="141"/>
      <c r="K803" s="142"/>
      <c r="L803" s="142"/>
      <c r="M803" s="142"/>
      <c r="N803" s="142"/>
      <c r="O803" s="136"/>
      <c r="P803" s="34"/>
      <c r="Q803" s="35"/>
      <c r="R803" s="35"/>
      <c r="S803" s="35"/>
      <c r="T803" s="35"/>
      <c r="U803" s="35"/>
      <c r="V803" s="35"/>
      <c r="W803" s="35"/>
      <c r="X803" s="35"/>
      <c r="Y803" s="35"/>
      <c r="Z803" s="35"/>
    </row>
    <row r="804" ht="14.25" customHeight="1">
      <c r="A804" s="136"/>
      <c r="B804" s="137"/>
      <c r="C804" s="251"/>
      <c r="D804" s="452"/>
      <c r="E804" s="136"/>
      <c r="F804" s="253"/>
      <c r="G804" s="253"/>
      <c r="H804" s="527"/>
      <c r="I804" s="141"/>
      <c r="J804" s="141"/>
      <c r="K804" s="142"/>
      <c r="L804" s="142"/>
      <c r="M804" s="142"/>
      <c r="N804" s="142"/>
      <c r="O804" s="136"/>
      <c r="P804" s="34"/>
      <c r="Q804" s="35"/>
      <c r="R804" s="35"/>
      <c r="S804" s="35"/>
      <c r="T804" s="35"/>
      <c r="U804" s="35"/>
      <c r="V804" s="35"/>
      <c r="W804" s="35"/>
      <c r="X804" s="35"/>
      <c r="Y804" s="35"/>
      <c r="Z804" s="35"/>
    </row>
    <row r="805" ht="14.25" customHeight="1">
      <c r="A805" s="136"/>
      <c r="B805" s="137"/>
      <c r="C805" s="251"/>
      <c r="D805" s="452"/>
      <c r="E805" s="136"/>
      <c r="F805" s="253"/>
      <c r="G805" s="253"/>
      <c r="H805" s="527"/>
      <c r="I805" s="141"/>
      <c r="J805" s="141"/>
      <c r="K805" s="142"/>
      <c r="L805" s="142"/>
      <c r="M805" s="142"/>
      <c r="N805" s="142"/>
      <c r="O805" s="136"/>
      <c r="P805" s="34"/>
      <c r="Q805" s="35"/>
      <c r="R805" s="35"/>
      <c r="S805" s="35"/>
      <c r="T805" s="35"/>
      <c r="U805" s="35"/>
      <c r="V805" s="35"/>
      <c r="W805" s="35"/>
      <c r="X805" s="35"/>
      <c r="Y805" s="35"/>
      <c r="Z805" s="35"/>
    </row>
    <row r="806" ht="14.25" customHeight="1">
      <c r="A806" s="136"/>
      <c r="B806" s="137"/>
      <c r="C806" s="251"/>
      <c r="D806" s="452"/>
      <c r="E806" s="136"/>
      <c r="F806" s="253"/>
      <c r="G806" s="253"/>
      <c r="H806" s="527"/>
      <c r="I806" s="141"/>
      <c r="J806" s="141"/>
      <c r="K806" s="142"/>
      <c r="L806" s="142"/>
      <c r="M806" s="142"/>
      <c r="N806" s="142"/>
      <c r="O806" s="136"/>
      <c r="P806" s="34"/>
      <c r="Q806" s="35"/>
      <c r="R806" s="35"/>
      <c r="S806" s="35"/>
      <c r="T806" s="35"/>
      <c r="U806" s="35"/>
      <c r="V806" s="35"/>
      <c r="W806" s="35"/>
      <c r="X806" s="35"/>
      <c r="Y806" s="35"/>
      <c r="Z806" s="35"/>
    </row>
    <row r="807" ht="14.25" customHeight="1">
      <c r="A807" s="136"/>
      <c r="B807" s="137"/>
      <c r="C807" s="251"/>
      <c r="D807" s="452"/>
      <c r="E807" s="136"/>
      <c r="F807" s="253"/>
      <c r="G807" s="253"/>
      <c r="H807" s="527"/>
      <c r="I807" s="141"/>
      <c r="J807" s="141"/>
      <c r="K807" s="142"/>
      <c r="L807" s="142"/>
      <c r="M807" s="142"/>
      <c r="N807" s="142"/>
      <c r="O807" s="136"/>
      <c r="P807" s="34"/>
      <c r="Q807" s="35"/>
      <c r="R807" s="35"/>
      <c r="S807" s="35"/>
      <c r="T807" s="35"/>
      <c r="U807" s="35"/>
      <c r="V807" s="35"/>
      <c r="W807" s="35"/>
      <c r="X807" s="35"/>
      <c r="Y807" s="35"/>
      <c r="Z807" s="35"/>
    </row>
    <row r="808" ht="14.25" customHeight="1">
      <c r="A808" s="136"/>
      <c r="B808" s="137"/>
      <c r="C808" s="251"/>
      <c r="D808" s="452"/>
      <c r="E808" s="136"/>
      <c r="F808" s="253"/>
      <c r="G808" s="253"/>
      <c r="H808" s="527"/>
      <c r="I808" s="141"/>
      <c r="J808" s="141"/>
      <c r="K808" s="142"/>
      <c r="L808" s="142"/>
      <c r="M808" s="142"/>
      <c r="N808" s="142"/>
      <c r="O808" s="136"/>
      <c r="P808" s="34"/>
      <c r="Q808" s="35"/>
      <c r="R808" s="35"/>
      <c r="S808" s="35"/>
      <c r="T808" s="35"/>
      <c r="U808" s="35"/>
      <c r="V808" s="35"/>
      <c r="W808" s="35"/>
      <c r="X808" s="35"/>
      <c r="Y808" s="35"/>
      <c r="Z808" s="35"/>
    </row>
    <row r="809" ht="14.25" customHeight="1">
      <c r="A809" s="136"/>
      <c r="B809" s="137"/>
      <c r="C809" s="251"/>
      <c r="D809" s="452"/>
      <c r="E809" s="136"/>
      <c r="F809" s="253"/>
      <c r="G809" s="253"/>
      <c r="H809" s="527"/>
      <c r="I809" s="141"/>
      <c r="J809" s="141"/>
      <c r="K809" s="142"/>
      <c r="L809" s="142"/>
      <c r="M809" s="142"/>
      <c r="N809" s="142"/>
      <c r="O809" s="136"/>
      <c r="P809" s="34"/>
      <c r="Q809" s="35"/>
      <c r="R809" s="35"/>
      <c r="S809" s="35"/>
      <c r="T809" s="35"/>
      <c r="U809" s="35"/>
      <c r="V809" s="35"/>
      <c r="W809" s="35"/>
      <c r="X809" s="35"/>
      <c r="Y809" s="35"/>
      <c r="Z809" s="35"/>
    </row>
    <row r="810" ht="14.25" customHeight="1">
      <c r="A810" s="136"/>
      <c r="B810" s="137"/>
      <c r="C810" s="251"/>
      <c r="D810" s="452"/>
      <c r="E810" s="136"/>
      <c r="F810" s="253"/>
      <c r="G810" s="253"/>
      <c r="H810" s="527"/>
      <c r="I810" s="141"/>
      <c r="J810" s="141"/>
      <c r="K810" s="142"/>
      <c r="L810" s="142"/>
      <c r="M810" s="142"/>
      <c r="N810" s="142"/>
      <c r="O810" s="136"/>
      <c r="P810" s="34"/>
      <c r="Q810" s="35"/>
      <c r="R810" s="35"/>
      <c r="S810" s="35"/>
      <c r="T810" s="35"/>
      <c r="U810" s="35"/>
      <c r="V810" s="35"/>
      <c r="W810" s="35"/>
      <c r="X810" s="35"/>
      <c r="Y810" s="35"/>
      <c r="Z810" s="35"/>
    </row>
    <row r="811" ht="14.25" customHeight="1">
      <c r="A811" s="136"/>
      <c r="B811" s="137"/>
      <c r="C811" s="251"/>
      <c r="D811" s="452"/>
      <c r="E811" s="136"/>
      <c r="F811" s="253"/>
      <c r="G811" s="253"/>
      <c r="H811" s="527"/>
      <c r="I811" s="141"/>
      <c r="J811" s="141"/>
      <c r="K811" s="142"/>
      <c r="L811" s="142"/>
      <c r="M811" s="142"/>
      <c r="N811" s="142"/>
      <c r="O811" s="136"/>
      <c r="P811" s="34"/>
      <c r="Q811" s="35"/>
      <c r="R811" s="35"/>
      <c r="S811" s="35"/>
      <c r="T811" s="35"/>
      <c r="U811" s="35"/>
      <c r="V811" s="35"/>
      <c r="W811" s="35"/>
      <c r="X811" s="35"/>
      <c r="Y811" s="35"/>
      <c r="Z811" s="35"/>
    </row>
    <row r="812" ht="14.25" customHeight="1">
      <c r="A812" s="136"/>
      <c r="B812" s="137"/>
      <c r="C812" s="251"/>
      <c r="D812" s="452"/>
      <c r="E812" s="136"/>
      <c r="F812" s="253"/>
      <c r="G812" s="253"/>
      <c r="H812" s="527"/>
      <c r="I812" s="141"/>
      <c r="J812" s="141"/>
      <c r="K812" s="142"/>
      <c r="L812" s="142"/>
      <c r="M812" s="142"/>
      <c r="N812" s="142"/>
      <c r="O812" s="136"/>
      <c r="P812" s="34"/>
      <c r="Q812" s="35"/>
      <c r="R812" s="35"/>
      <c r="S812" s="35"/>
      <c r="T812" s="35"/>
      <c r="U812" s="35"/>
      <c r="V812" s="35"/>
      <c r="W812" s="35"/>
      <c r="X812" s="35"/>
      <c r="Y812" s="35"/>
      <c r="Z812" s="35"/>
    </row>
    <row r="813" ht="14.25" customHeight="1">
      <c r="A813" s="136"/>
      <c r="B813" s="137"/>
      <c r="C813" s="251"/>
      <c r="D813" s="452"/>
      <c r="E813" s="136"/>
      <c r="F813" s="253"/>
      <c r="G813" s="253"/>
      <c r="H813" s="527"/>
      <c r="I813" s="141"/>
      <c r="J813" s="141"/>
      <c r="K813" s="142"/>
      <c r="L813" s="142"/>
      <c r="M813" s="142"/>
      <c r="N813" s="142"/>
      <c r="O813" s="136"/>
      <c r="P813" s="34"/>
      <c r="Q813" s="35"/>
      <c r="R813" s="35"/>
      <c r="S813" s="35"/>
      <c r="T813" s="35"/>
      <c r="U813" s="35"/>
      <c r="V813" s="35"/>
      <c r="W813" s="35"/>
      <c r="X813" s="35"/>
      <c r="Y813" s="35"/>
      <c r="Z813" s="35"/>
    </row>
    <row r="814" ht="14.25" customHeight="1">
      <c r="A814" s="136"/>
      <c r="B814" s="137"/>
      <c r="C814" s="251"/>
      <c r="D814" s="452"/>
      <c r="E814" s="136"/>
      <c r="F814" s="253"/>
      <c r="G814" s="253"/>
      <c r="H814" s="527"/>
      <c r="I814" s="141"/>
      <c r="J814" s="141"/>
      <c r="K814" s="142"/>
      <c r="L814" s="142"/>
      <c r="M814" s="142"/>
      <c r="N814" s="142"/>
      <c r="O814" s="136"/>
      <c r="P814" s="34"/>
      <c r="Q814" s="35"/>
      <c r="R814" s="35"/>
      <c r="S814" s="35"/>
      <c r="T814" s="35"/>
      <c r="U814" s="35"/>
      <c r="V814" s="35"/>
      <c r="W814" s="35"/>
      <c r="X814" s="35"/>
      <c r="Y814" s="35"/>
      <c r="Z814" s="35"/>
    </row>
    <row r="815" ht="14.25" customHeight="1">
      <c r="A815" s="136"/>
      <c r="B815" s="137"/>
      <c r="C815" s="251"/>
      <c r="D815" s="452"/>
      <c r="E815" s="136"/>
      <c r="F815" s="253"/>
      <c r="G815" s="253"/>
      <c r="H815" s="527"/>
      <c r="I815" s="141"/>
      <c r="J815" s="141"/>
      <c r="K815" s="142"/>
      <c r="L815" s="142"/>
      <c r="M815" s="142"/>
      <c r="N815" s="142"/>
      <c r="O815" s="136"/>
      <c r="P815" s="34"/>
      <c r="Q815" s="35"/>
      <c r="R815" s="35"/>
      <c r="S815" s="35"/>
      <c r="T815" s="35"/>
      <c r="U815" s="35"/>
      <c r="V815" s="35"/>
      <c r="W815" s="35"/>
      <c r="X815" s="35"/>
      <c r="Y815" s="35"/>
      <c r="Z815" s="35"/>
    </row>
    <row r="816" ht="14.25" customHeight="1">
      <c r="A816" s="136"/>
      <c r="B816" s="137"/>
      <c r="C816" s="251"/>
      <c r="D816" s="452"/>
      <c r="E816" s="136"/>
      <c r="F816" s="253"/>
      <c r="G816" s="253"/>
      <c r="H816" s="527"/>
      <c r="I816" s="141"/>
      <c r="J816" s="141"/>
      <c r="K816" s="142"/>
      <c r="L816" s="142"/>
      <c r="M816" s="142"/>
      <c r="N816" s="142"/>
      <c r="O816" s="136"/>
      <c r="P816" s="34"/>
      <c r="Q816" s="35"/>
      <c r="R816" s="35"/>
      <c r="S816" s="35"/>
      <c r="T816" s="35"/>
      <c r="U816" s="35"/>
      <c r="V816" s="35"/>
      <c r="W816" s="35"/>
      <c r="X816" s="35"/>
      <c r="Y816" s="35"/>
      <c r="Z816" s="35"/>
    </row>
    <row r="817" ht="14.25" customHeight="1">
      <c r="A817" s="136"/>
      <c r="B817" s="137"/>
      <c r="C817" s="251"/>
      <c r="D817" s="452"/>
      <c r="E817" s="136"/>
      <c r="F817" s="253"/>
      <c r="G817" s="253"/>
      <c r="H817" s="527"/>
      <c r="I817" s="141"/>
      <c r="J817" s="141"/>
      <c r="K817" s="142"/>
      <c r="L817" s="142"/>
      <c r="M817" s="142"/>
      <c r="N817" s="142"/>
      <c r="O817" s="136"/>
      <c r="P817" s="34"/>
      <c r="Q817" s="35"/>
      <c r="R817" s="35"/>
      <c r="S817" s="35"/>
      <c r="T817" s="35"/>
      <c r="U817" s="35"/>
      <c r="V817" s="35"/>
      <c r="W817" s="35"/>
      <c r="X817" s="35"/>
      <c r="Y817" s="35"/>
      <c r="Z817" s="35"/>
    </row>
    <row r="818" ht="14.25" customHeight="1">
      <c r="A818" s="136"/>
      <c r="B818" s="137"/>
      <c r="C818" s="251"/>
      <c r="D818" s="452"/>
      <c r="E818" s="136"/>
      <c r="F818" s="253"/>
      <c r="G818" s="253"/>
      <c r="H818" s="527"/>
      <c r="I818" s="141"/>
      <c r="J818" s="141"/>
      <c r="K818" s="142"/>
      <c r="L818" s="142"/>
      <c r="M818" s="142"/>
      <c r="N818" s="142"/>
      <c r="O818" s="136"/>
      <c r="P818" s="34"/>
      <c r="Q818" s="35"/>
      <c r="R818" s="35"/>
      <c r="S818" s="35"/>
      <c r="T818" s="35"/>
      <c r="U818" s="35"/>
      <c r="V818" s="35"/>
      <c r="W818" s="35"/>
      <c r="X818" s="35"/>
      <c r="Y818" s="35"/>
      <c r="Z818" s="35"/>
    </row>
    <row r="819" ht="14.25" customHeight="1">
      <c r="A819" s="136"/>
      <c r="B819" s="137"/>
      <c r="C819" s="251"/>
      <c r="D819" s="452"/>
      <c r="E819" s="136"/>
      <c r="F819" s="253"/>
      <c r="G819" s="253"/>
      <c r="H819" s="527"/>
      <c r="I819" s="141"/>
      <c r="J819" s="141"/>
      <c r="K819" s="142"/>
      <c r="L819" s="142"/>
      <c r="M819" s="142"/>
      <c r="N819" s="142"/>
      <c r="O819" s="136"/>
      <c r="P819" s="34"/>
      <c r="Q819" s="35"/>
      <c r="R819" s="35"/>
      <c r="S819" s="35"/>
      <c r="T819" s="35"/>
      <c r="U819" s="35"/>
      <c r="V819" s="35"/>
      <c r="W819" s="35"/>
      <c r="X819" s="35"/>
      <c r="Y819" s="35"/>
      <c r="Z819" s="35"/>
    </row>
    <row r="820" ht="14.25" customHeight="1">
      <c r="A820" s="136"/>
      <c r="B820" s="137"/>
      <c r="C820" s="251"/>
      <c r="D820" s="452"/>
      <c r="E820" s="136"/>
      <c r="F820" s="253"/>
      <c r="G820" s="253"/>
      <c r="H820" s="527"/>
      <c r="I820" s="141"/>
      <c r="J820" s="141"/>
      <c r="K820" s="142"/>
      <c r="L820" s="142"/>
      <c r="M820" s="142"/>
      <c r="N820" s="142"/>
      <c r="O820" s="136"/>
      <c r="P820" s="34"/>
      <c r="Q820" s="35"/>
      <c r="R820" s="35"/>
      <c r="S820" s="35"/>
      <c r="T820" s="35"/>
      <c r="U820" s="35"/>
      <c r="V820" s="35"/>
      <c r="W820" s="35"/>
      <c r="X820" s="35"/>
      <c r="Y820" s="35"/>
      <c r="Z820" s="35"/>
    </row>
    <row r="821" ht="14.25" customHeight="1">
      <c r="A821" s="136"/>
      <c r="B821" s="137"/>
      <c r="C821" s="251"/>
      <c r="D821" s="452"/>
      <c r="E821" s="136"/>
      <c r="F821" s="253"/>
      <c r="G821" s="253"/>
      <c r="H821" s="527"/>
      <c r="I821" s="141"/>
      <c r="J821" s="141"/>
      <c r="K821" s="142"/>
      <c r="L821" s="142"/>
      <c r="M821" s="142"/>
      <c r="N821" s="142"/>
      <c r="O821" s="136"/>
      <c r="P821" s="34"/>
      <c r="Q821" s="35"/>
      <c r="R821" s="35"/>
      <c r="S821" s="35"/>
      <c r="T821" s="35"/>
      <c r="U821" s="35"/>
      <c r="V821" s="35"/>
      <c r="W821" s="35"/>
      <c r="X821" s="35"/>
      <c r="Y821" s="35"/>
      <c r="Z821" s="35"/>
    </row>
    <row r="822" ht="14.25" customHeight="1">
      <c r="A822" s="136"/>
      <c r="B822" s="137"/>
      <c r="C822" s="251"/>
      <c r="D822" s="452"/>
      <c r="E822" s="136"/>
      <c r="F822" s="253"/>
      <c r="G822" s="253"/>
      <c r="H822" s="527"/>
      <c r="I822" s="141"/>
      <c r="J822" s="141"/>
      <c r="K822" s="142"/>
      <c r="L822" s="142"/>
      <c r="M822" s="142"/>
      <c r="N822" s="142"/>
      <c r="O822" s="136"/>
      <c r="P822" s="34"/>
      <c r="Q822" s="35"/>
      <c r="R822" s="35"/>
      <c r="S822" s="35"/>
      <c r="T822" s="35"/>
      <c r="U822" s="35"/>
      <c r="V822" s="35"/>
      <c r="W822" s="35"/>
      <c r="X822" s="35"/>
      <c r="Y822" s="35"/>
      <c r="Z822" s="35"/>
    </row>
    <row r="823" ht="14.25" customHeight="1">
      <c r="A823" s="136"/>
      <c r="B823" s="137"/>
      <c r="C823" s="251"/>
      <c r="D823" s="452"/>
      <c r="E823" s="136"/>
      <c r="F823" s="253"/>
      <c r="G823" s="253"/>
      <c r="H823" s="527"/>
      <c r="I823" s="141"/>
      <c r="J823" s="141"/>
      <c r="K823" s="142"/>
      <c r="L823" s="142"/>
      <c r="M823" s="142"/>
      <c r="N823" s="142"/>
      <c r="O823" s="136"/>
      <c r="P823" s="34"/>
      <c r="Q823" s="35"/>
      <c r="R823" s="35"/>
      <c r="S823" s="35"/>
      <c r="T823" s="35"/>
      <c r="U823" s="35"/>
      <c r="V823" s="35"/>
      <c r="W823" s="35"/>
      <c r="X823" s="35"/>
      <c r="Y823" s="35"/>
      <c r="Z823" s="35"/>
    </row>
    <row r="824" ht="14.25" customHeight="1">
      <c r="A824" s="136"/>
      <c r="B824" s="137"/>
      <c r="C824" s="251"/>
      <c r="D824" s="452"/>
      <c r="E824" s="136"/>
      <c r="F824" s="253"/>
      <c r="G824" s="253"/>
      <c r="H824" s="527"/>
      <c r="I824" s="141"/>
      <c r="J824" s="141"/>
      <c r="K824" s="142"/>
      <c r="L824" s="142"/>
      <c r="M824" s="142"/>
      <c r="N824" s="142"/>
      <c r="O824" s="136"/>
      <c r="P824" s="34"/>
      <c r="Q824" s="35"/>
      <c r="R824" s="35"/>
      <c r="S824" s="35"/>
      <c r="T824" s="35"/>
      <c r="U824" s="35"/>
      <c r="V824" s="35"/>
      <c r="W824" s="35"/>
      <c r="X824" s="35"/>
      <c r="Y824" s="35"/>
      <c r="Z824" s="35"/>
    </row>
    <row r="825" ht="14.25" customHeight="1">
      <c r="A825" s="136"/>
      <c r="B825" s="137"/>
      <c r="C825" s="251"/>
      <c r="D825" s="452"/>
      <c r="E825" s="136"/>
      <c r="F825" s="253"/>
      <c r="G825" s="253"/>
      <c r="H825" s="527"/>
      <c r="I825" s="141"/>
      <c r="J825" s="141"/>
      <c r="K825" s="142"/>
      <c r="L825" s="142"/>
      <c r="M825" s="142"/>
      <c r="N825" s="142"/>
      <c r="O825" s="136"/>
      <c r="P825" s="34"/>
      <c r="Q825" s="35"/>
      <c r="R825" s="35"/>
      <c r="S825" s="35"/>
      <c r="T825" s="35"/>
      <c r="U825" s="35"/>
      <c r="V825" s="35"/>
      <c r="W825" s="35"/>
      <c r="X825" s="35"/>
      <c r="Y825" s="35"/>
      <c r="Z825" s="35"/>
    </row>
    <row r="826" ht="14.25" customHeight="1">
      <c r="A826" s="136"/>
      <c r="B826" s="137"/>
      <c r="C826" s="251"/>
      <c r="D826" s="452"/>
      <c r="E826" s="136"/>
      <c r="F826" s="253"/>
      <c r="G826" s="253"/>
      <c r="H826" s="527"/>
      <c r="I826" s="141"/>
      <c r="J826" s="141"/>
      <c r="K826" s="142"/>
      <c r="L826" s="142"/>
      <c r="M826" s="142"/>
      <c r="N826" s="142"/>
      <c r="O826" s="136"/>
      <c r="P826" s="34"/>
      <c r="Q826" s="35"/>
      <c r="R826" s="35"/>
      <c r="S826" s="35"/>
      <c r="T826" s="35"/>
      <c r="U826" s="35"/>
      <c r="V826" s="35"/>
      <c r="W826" s="35"/>
      <c r="X826" s="35"/>
      <c r="Y826" s="35"/>
      <c r="Z826" s="35"/>
    </row>
    <row r="827" ht="14.25" customHeight="1">
      <c r="A827" s="136"/>
      <c r="B827" s="137"/>
      <c r="C827" s="251"/>
      <c r="D827" s="452"/>
      <c r="E827" s="136"/>
      <c r="F827" s="253"/>
      <c r="G827" s="253"/>
      <c r="H827" s="527"/>
      <c r="I827" s="141"/>
      <c r="J827" s="141"/>
      <c r="K827" s="142"/>
      <c r="L827" s="142"/>
      <c r="M827" s="142"/>
      <c r="N827" s="142"/>
      <c r="O827" s="136"/>
      <c r="P827" s="34"/>
      <c r="Q827" s="35"/>
      <c r="R827" s="35"/>
      <c r="S827" s="35"/>
      <c r="T827" s="35"/>
      <c r="U827" s="35"/>
      <c r="V827" s="35"/>
      <c r="W827" s="35"/>
      <c r="X827" s="35"/>
      <c r="Y827" s="35"/>
      <c r="Z827" s="35"/>
    </row>
    <row r="828" ht="14.25" customHeight="1">
      <c r="A828" s="136"/>
      <c r="B828" s="137"/>
      <c r="C828" s="251"/>
      <c r="D828" s="452"/>
      <c r="E828" s="136"/>
      <c r="F828" s="253"/>
      <c r="G828" s="253"/>
      <c r="H828" s="527"/>
      <c r="I828" s="141"/>
      <c r="J828" s="141"/>
      <c r="K828" s="142"/>
      <c r="L828" s="142"/>
      <c r="M828" s="142"/>
      <c r="N828" s="142"/>
      <c r="O828" s="136"/>
      <c r="P828" s="34"/>
      <c r="Q828" s="35"/>
      <c r="R828" s="35"/>
      <c r="S828" s="35"/>
      <c r="T828" s="35"/>
      <c r="U828" s="35"/>
      <c r="V828" s="35"/>
      <c r="W828" s="35"/>
      <c r="X828" s="35"/>
      <c r="Y828" s="35"/>
      <c r="Z828" s="35"/>
    </row>
    <row r="829" ht="14.25" customHeight="1">
      <c r="A829" s="136"/>
      <c r="B829" s="137"/>
      <c r="C829" s="251"/>
      <c r="D829" s="452"/>
      <c r="E829" s="136"/>
      <c r="F829" s="253"/>
      <c r="G829" s="253"/>
      <c r="H829" s="527"/>
      <c r="I829" s="141"/>
      <c r="J829" s="141"/>
      <c r="K829" s="142"/>
      <c r="L829" s="142"/>
      <c r="M829" s="142"/>
      <c r="N829" s="142"/>
      <c r="O829" s="136"/>
      <c r="P829" s="34"/>
      <c r="Q829" s="35"/>
      <c r="R829" s="35"/>
      <c r="S829" s="35"/>
      <c r="T829" s="35"/>
      <c r="U829" s="35"/>
      <c r="V829" s="35"/>
      <c r="W829" s="35"/>
      <c r="X829" s="35"/>
      <c r="Y829" s="35"/>
      <c r="Z829" s="35"/>
    </row>
    <row r="830" ht="14.25" customHeight="1">
      <c r="A830" s="136"/>
      <c r="B830" s="137"/>
      <c r="C830" s="251"/>
      <c r="D830" s="452"/>
      <c r="E830" s="136"/>
      <c r="F830" s="253"/>
      <c r="G830" s="253"/>
      <c r="H830" s="527"/>
      <c r="I830" s="141"/>
      <c r="J830" s="141"/>
      <c r="K830" s="142"/>
      <c r="L830" s="142"/>
      <c r="M830" s="142"/>
      <c r="N830" s="142"/>
      <c r="O830" s="136"/>
      <c r="P830" s="34"/>
      <c r="Q830" s="35"/>
      <c r="R830" s="35"/>
      <c r="S830" s="35"/>
      <c r="T830" s="35"/>
      <c r="U830" s="35"/>
      <c r="V830" s="35"/>
      <c r="W830" s="35"/>
      <c r="X830" s="35"/>
      <c r="Y830" s="35"/>
      <c r="Z830" s="35"/>
    </row>
    <row r="831" ht="14.25" customHeight="1">
      <c r="A831" s="136"/>
      <c r="B831" s="137"/>
      <c r="C831" s="251"/>
      <c r="D831" s="452"/>
      <c r="E831" s="136"/>
      <c r="F831" s="253"/>
      <c r="G831" s="253"/>
      <c r="H831" s="527"/>
      <c r="I831" s="141"/>
      <c r="J831" s="141"/>
      <c r="K831" s="142"/>
      <c r="L831" s="142"/>
      <c r="M831" s="142"/>
      <c r="N831" s="142"/>
      <c r="O831" s="136"/>
      <c r="P831" s="34"/>
      <c r="Q831" s="35"/>
      <c r="R831" s="35"/>
      <c r="S831" s="35"/>
      <c r="T831" s="35"/>
      <c r="U831" s="35"/>
      <c r="V831" s="35"/>
      <c r="W831" s="35"/>
      <c r="X831" s="35"/>
      <c r="Y831" s="35"/>
      <c r="Z831" s="35"/>
    </row>
    <row r="832" ht="14.25" customHeight="1">
      <c r="A832" s="136"/>
      <c r="B832" s="137"/>
      <c r="C832" s="251"/>
      <c r="D832" s="452"/>
      <c r="E832" s="136"/>
      <c r="F832" s="253"/>
      <c r="G832" s="253"/>
      <c r="H832" s="527"/>
      <c r="I832" s="141"/>
      <c r="J832" s="141"/>
      <c r="K832" s="142"/>
      <c r="L832" s="142"/>
      <c r="M832" s="142"/>
      <c r="N832" s="142"/>
      <c r="O832" s="136"/>
      <c r="P832" s="34"/>
      <c r="Q832" s="35"/>
      <c r="R832" s="35"/>
      <c r="S832" s="35"/>
      <c r="T832" s="35"/>
      <c r="U832" s="35"/>
      <c r="V832" s="35"/>
      <c r="W832" s="35"/>
      <c r="X832" s="35"/>
      <c r="Y832" s="35"/>
      <c r="Z832" s="35"/>
    </row>
    <row r="833" ht="14.25" customHeight="1">
      <c r="A833" s="136"/>
      <c r="B833" s="137"/>
      <c r="C833" s="251"/>
      <c r="D833" s="452"/>
      <c r="E833" s="136"/>
      <c r="F833" s="253"/>
      <c r="G833" s="253"/>
      <c r="H833" s="527"/>
      <c r="I833" s="141"/>
      <c r="J833" s="141"/>
      <c r="K833" s="142"/>
      <c r="L833" s="142"/>
      <c r="M833" s="142"/>
      <c r="N833" s="142"/>
      <c r="O833" s="136"/>
      <c r="P833" s="34"/>
      <c r="Q833" s="35"/>
      <c r="R833" s="35"/>
      <c r="S833" s="35"/>
      <c r="T833" s="35"/>
      <c r="U833" s="35"/>
      <c r="V833" s="35"/>
      <c r="W833" s="35"/>
      <c r="X833" s="35"/>
      <c r="Y833" s="35"/>
      <c r="Z833" s="35"/>
    </row>
    <row r="834" ht="14.25" customHeight="1">
      <c r="A834" s="136"/>
      <c r="B834" s="137"/>
      <c r="C834" s="251"/>
      <c r="D834" s="452"/>
      <c r="E834" s="136"/>
      <c r="F834" s="253"/>
      <c r="G834" s="253"/>
      <c r="H834" s="527"/>
      <c r="I834" s="141"/>
      <c r="J834" s="141"/>
      <c r="K834" s="142"/>
      <c r="L834" s="142"/>
      <c r="M834" s="142"/>
      <c r="N834" s="142"/>
      <c r="O834" s="136"/>
      <c r="P834" s="34"/>
      <c r="Q834" s="35"/>
      <c r="R834" s="35"/>
      <c r="S834" s="35"/>
      <c r="T834" s="35"/>
      <c r="U834" s="35"/>
      <c r="V834" s="35"/>
      <c r="W834" s="35"/>
      <c r="X834" s="35"/>
      <c r="Y834" s="35"/>
      <c r="Z834" s="35"/>
    </row>
    <row r="835" ht="14.25" customHeight="1">
      <c r="A835" s="136"/>
      <c r="B835" s="137"/>
      <c r="C835" s="251"/>
      <c r="D835" s="452"/>
      <c r="E835" s="136"/>
      <c r="F835" s="253"/>
      <c r="G835" s="253"/>
      <c r="H835" s="527"/>
      <c r="I835" s="141"/>
      <c r="J835" s="141"/>
      <c r="K835" s="142"/>
      <c r="L835" s="142"/>
      <c r="M835" s="142"/>
      <c r="N835" s="142"/>
      <c r="O835" s="136"/>
      <c r="P835" s="34"/>
      <c r="Q835" s="35"/>
      <c r="R835" s="35"/>
      <c r="S835" s="35"/>
      <c r="T835" s="35"/>
      <c r="U835" s="35"/>
      <c r="V835" s="35"/>
      <c r="W835" s="35"/>
      <c r="X835" s="35"/>
      <c r="Y835" s="35"/>
      <c r="Z835" s="35"/>
    </row>
    <row r="836" ht="14.25" customHeight="1">
      <c r="A836" s="136"/>
      <c r="B836" s="137"/>
      <c r="C836" s="251"/>
      <c r="D836" s="452"/>
      <c r="E836" s="136"/>
      <c r="F836" s="253"/>
      <c r="G836" s="253"/>
      <c r="H836" s="527"/>
      <c r="I836" s="141"/>
      <c r="J836" s="141"/>
      <c r="K836" s="142"/>
      <c r="L836" s="142"/>
      <c r="M836" s="142"/>
      <c r="N836" s="142"/>
      <c r="O836" s="136"/>
      <c r="P836" s="34"/>
      <c r="Q836" s="35"/>
      <c r="R836" s="35"/>
      <c r="S836" s="35"/>
      <c r="T836" s="35"/>
      <c r="U836" s="35"/>
      <c r="V836" s="35"/>
      <c r="W836" s="35"/>
      <c r="X836" s="35"/>
      <c r="Y836" s="35"/>
      <c r="Z836" s="35"/>
    </row>
    <row r="837" ht="14.25" customHeight="1">
      <c r="A837" s="136"/>
      <c r="B837" s="137"/>
      <c r="C837" s="251"/>
      <c r="D837" s="452"/>
      <c r="E837" s="136"/>
      <c r="F837" s="253"/>
      <c r="G837" s="253"/>
      <c r="H837" s="527"/>
      <c r="I837" s="141"/>
      <c r="J837" s="141"/>
      <c r="K837" s="142"/>
      <c r="L837" s="142"/>
      <c r="M837" s="142"/>
      <c r="N837" s="142"/>
      <c r="O837" s="136"/>
      <c r="P837" s="34"/>
      <c r="Q837" s="35"/>
      <c r="R837" s="35"/>
      <c r="S837" s="35"/>
      <c r="T837" s="35"/>
      <c r="U837" s="35"/>
      <c r="V837" s="35"/>
      <c r="W837" s="35"/>
      <c r="X837" s="35"/>
      <c r="Y837" s="35"/>
      <c r="Z837" s="35"/>
    </row>
    <row r="838" ht="14.25" customHeight="1">
      <c r="A838" s="136"/>
      <c r="B838" s="137"/>
      <c r="C838" s="251"/>
      <c r="D838" s="452"/>
      <c r="E838" s="136"/>
      <c r="F838" s="253"/>
      <c r="G838" s="253"/>
      <c r="H838" s="527"/>
      <c r="I838" s="141"/>
      <c r="J838" s="141"/>
      <c r="K838" s="142"/>
      <c r="L838" s="142"/>
      <c r="M838" s="142"/>
      <c r="N838" s="142"/>
      <c r="O838" s="136"/>
      <c r="P838" s="34"/>
      <c r="Q838" s="35"/>
      <c r="R838" s="35"/>
      <c r="S838" s="35"/>
      <c r="T838" s="35"/>
      <c r="U838" s="35"/>
      <c r="V838" s="35"/>
      <c r="W838" s="35"/>
      <c r="X838" s="35"/>
      <c r="Y838" s="35"/>
      <c r="Z838" s="35"/>
    </row>
    <row r="839" ht="14.25" customHeight="1">
      <c r="A839" s="136"/>
      <c r="B839" s="137"/>
      <c r="C839" s="251"/>
      <c r="D839" s="452"/>
      <c r="E839" s="136"/>
      <c r="F839" s="253"/>
      <c r="G839" s="253"/>
      <c r="H839" s="527"/>
      <c r="I839" s="141"/>
      <c r="J839" s="141"/>
      <c r="K839" s="142"/>
      <c r="L839" s="142"/>
      <c r="M839" s="142"/>
      <c r="N839" s="142"/>
      <c r="O839" s="136"/>
      <c r="P839" s="34"/>
      <c r="Q839" s="35"/>
      <c r="R839" s="35"/>
      <c r="S839" s="35"/>
      <c r="T839" s="35"/>
      <c r="U839" s="35"/>
      <c r="V839" s="35"/>
      <c r="W839" s="35"/>
      <c r="X839" s="35"/>
      <c r="Y839" s="35"/>
      <c r="Z839" s="35"/>
    </row>
    <row r="840" ht="14.25" customHeight="1">
      <c r="A840" s="136"/>
      <c r="B840" s="137"/>
      <c r="C840" s="251"/>
      <c r="D840" s="452"/>
      <c r="E840" s="136"/>
      <c r="F840" s="253"/>
      <c r="G840" s="253"/>
      <c r="H840" s="527"/>
      <c r="I840" s="141"/>
      <c r="J840" s="141"/>
      <c r="K840" s="142"/>
      <c r="L840" s="142"/>
      <c r="M840" s="142"/>
      <c r="N840" s="142"/>
      <c r="O840" s="136"/>
      <c r="P840" s="34"/>
      <c r="Q840" s="35"/>
      <c r="R840" s="35"/>
      <c r="S840" s="35"/>
      <c r="T840" s="35"/>
      <c r="U840" s="35"/>
      <c r="V840" s="35"/>
      <c r="W840" s="35"/>
      <c r="X840" s="35"/>
      <c r="Y840" s="35"/>
      <c r="Z840" s="35"/>
    </row>
    <row r="841" ht="14.25" customHeight="1">
      <c r="A841" s="136"/>
      <c r="B841" s="137"/>
      <c r="C841" s="251"/>
      <c r="D841" s="452"/>
      <c r="E841" s="136"/>
      <c r="F841" s="253"/>
      <c r="G841" s="253"/>
      <c r="H841" s="527"/>
      <c r="I841" s="141"/>
      <c r="J841" s="141"/>
      <c r="K841" s="142"/>
      <c r="L841" s="142"/>
      <c r="M841" s="142"/>
      <c r="N841" s="142"/>
      <c r="O841" s="136"/>
      <c r="P841" s="34"/>
      <c r="Q841" s="35"/>
      <c r="R841" s="35"/>
      <c r="S841" s="35"/>
      <c r="T841" s="35"/>
      <c r="U841" s="35"/>
      <c r="V841" s="35"/>
      <c r="W841" s="35"/>
      <c r="X841" s="35"/>
      <c r="Y841" s="35"/>
      <c r="Z841" s="35"/>
    </row>
    <row r="842" ht="14.25" customHeight="1">
      <c r="A842" s="136"/>
      <c r="B842" s="137"/>
      <c r="C842" s="251"/>
      <c r="D842" s="452"/>
      <c r="E842" s="136"/>
      <c r="F842" s="253"/>
      <c r="G842" s="253"/>
      <c r="H842" s="527"/>
      <c r="I842" s="141"/>
      <c r="J842" s="141"/>
      <c r="K842" s="142"/>
      <c r="L842" s="142"/>
      <c r="M842" s="142"/>
      <c r="N842" s="142"/>
      <c r="O842" s="136"/>
      <c r="P842" s="34"/>
      <c r="Q842" s="35"/>
      <c r="R842" s="35"/>
      <c r="S842" s="35"/>
      <c r="T842" s="35"/>
      <c r="U842" s="35"/>
      <c r="V842" s="35"/>
      <c r="W842" s="35"/>
      <c r="X842" s="35"/>
      <c r="Y842" s="35"/>
      <c r="Z842" s="35"/>
    </row>
    <row r="843" ht="14.25" customHeight="1">
      <c r="A843" s="136"/>
      <c r="B843" s="137"/>
      <c r="C843" s="251"/>
      <c r="D843" s="452"/>
      <c r="E843" s="136"/>
      <c r="F843" s="253"/>
      <c r="G843" s="253"/>
      <c r="H843" s="527"/>
      <c r="I843" s="141"/>
      <c r="J843" s="141"/>
      <c r="K843" s="142"/>
      <c r="L843" s="142"/>
      <c r="M843" s="142"/>
      <c r="N843" s="142"/>
      <c r="O843" s="136"/>
      <c r="P843" s="34"/>
      <c r="Q843" s="35"/>
      <c r="R843" s="35"/>
      <c r="S843" s="35"/>
      <c r="T843" s="35"/>
      <c r="U843" s="35"/>
      <c r="V843" s="35"/>
      <c r="W843" s="35"/>
      <c r="X843" s="35"/>
      <c r="Y843" s="35"/>
      <c r="Z843" s="35"/>
    </row>
    <row r="844" ht="14.25" customHeight="1">
      <c r="A844" s="136"/>
      <c r="B844" s="137"/>
      <c r="C844" s="251"/>
      <c r="D844" s="452"/>
      <c r="E844" s="136"/>
      <c r="F844" s="253"/>
      <c r="G844" s="253"/>
      <c r="H844" s="527"/>
      <c r="I844" s="141"/>
      <c r="J844" s="141"/>
      <c r="K844" s="142"/>
      <c r="L844" s="142"/>
      <c r="M844" s="142"/>
      <c r="N844" s="142"/>
      <c r="O844" s="136"/>
      <c r="P844" s="34"/>
      <c r="Q844" s="35"/>
      <c r="R844" s="35"/>
      <c r="S844" s="35"/>
      <c r="T844" s="35"/>
      <c r="U844" s="35"/>
      <c r="V844" s="35"/>
      <c r="W844" s="35"/>
      <c r="X844" s="35"/>
      <c r="Y844" s="35"/>
      <c r="Z844" s="35"/>
    </row>
    <row r="845" ht="14.25" customHeight="1">
      <c r="A845" s="136"/>
      <c r="B845" s="137"/>
      <c r="C845" s="251"/>
      <c r="D845" s="452"/>
      <c r="E845" s="136"/>
      <c r="F845" s="253"/>
      <c r="G845" s="253"/>
      <c r="H845" s="527"/>
      <c r="I845" s="141"/>
      <c r="J845" s="141"/>
      <c r="K845" s="142"/>
      <c r="L845" s="142"/>
      <c r="M845" s="142"/>
      <c r="N845" s="142"/>
      <c r="O845" s="136"/>
      <c r="P845" s="34"/>
      <c r="Q845" s="35"/>
      <c r="R845" s="35"/>
      <c r="S845" s="35"/>
      <c r="T845" s="35"/>
      <c r="U845" s="35"/>
      <c r="V845" s="35"/>
      <c r="W845" s="35"/>
      <c r="X845" s="35"/>
      <c r="Y845" s="35"/>
      <c r="Z845" s="35"/>
    </row>
    <row r="846" ht="14.25" customHeight="1">
      <c r="A846" s="136"/>
      <c r="B846" s="137"/>
      <c r="C846" s="251"/>
      <c r="D846" s="452"/>
      <c r="E846" s="136"/>
      <c r="F846" s="253"/>
      <c r="G846" s="253"/>
      <c r="H846" s="527"/>
      <c r="I846" s="141"/>
      <c r="J846" s="141"/>
      <c r="K846" s="142"/>
      <c r="L846" s="142"/>
      <c r="M846" s="142"/>
      <c r="N846" s="142"/>
      <c r="O846" s="136"/>
      <c r="P846" s="34"/>
      <c r="Q846" s="35"/>
      <c r="R846" s="35"/>
      <c r="S846" s="35"/>
      <c r="T846" s="35"/>
      <c r="U846" s="35"/>
      <c r="V846" s="35"/>
      <c r="W846" s="35"/>
      <c r="X846" s="35"/>
      <c r="Y846" s="35"/>
      <c r="Z846" s="35"/>
    </row>
    <row r="847" ht="14.25" customHeight="1">
      <c r="A847" s="136"/>
      <c r="B847" s="137"/>
      <c r="C847" s="251"/>
      <c r="D847" s="452"/>
      <c r="E847" s="136"/>
      <c r="F847" s="253"/>
      <c r="G847" s="253"/>
      <c r="H847" s="527"/>
      <c r="I847" s="141"/>
      <c r="J847" s="141"/>
      <c r="K847" s="142"/>
      <c r="L847" s="142"/>
      <c r="M847" s="142"/>
      <c r="N847" s="142"/>
      <c r="O847" s="136"/>
      <c r="P847" s="34"/>
      <c r="Q847" s="35"/>
      <c r="R847" s="35"/>
      <c r="S847" s="35"/>
      <c r="T847" s="35"/>
      <c r="U847" s="35"/>
      <c r="V847" s="35"/>
      <c r="W847" s="35"/>
      <c r="X847" s="35"/>
      <c r="Y847" s="35"/>
      <c r="Z847" s="35"/>
    </row>
    <row r="848" ht="14.25" customHeight="1">
      <c r="A848" s="136"/>
      <c r="B848" s="137"/>
      <c r="C848" s="251"/>
      <c r="D848" s="452"/>
      <c r="E848" s="136"/>
      <c r="F848" s="253"/>
      <c r="G848" s="253"/>
      <c r="H848" s="527"/>
      <c r="I848" s="141"/>
      <c r="J848" s="141"/>
      <c r="K848" s="142"/>
      <c r="L848" s="142"/>
      <c r="M848" s="142"/>
      <c r="N848" s="142"/>
      <c r="O848" s="136"/>
      <c r="P848" s="34"/>
      <c r="Q848" s="35"/>
      <c r="R848" s="35"/>
      <c r="S848" s="35"/>
      <c r="T848" s="35"/>
      <c r="U848" s="35"/>
      <c r="V848" s="35"/>
      <c r="W848" s="35"/>
      <c r="X848" s="35"/>
      <c r="Y848" s="35"/>
      <c r="Z848" s="35"/>
    </row>
    <row r="849" ht="14.25" customHeight="1">
      <c r="A849" s="136"/>
      <c r="B849" s="137"/>
      <c r="C849" s="251"/>
      <c r="D849" s="452"/>
      <c r="E849" s="136"/>
      <c r="F849" s="253"/>
      <c r="G849" s="253"/>
      <c r="H849" s="527"/>
      <c r="I849" s="141"/>
      <c r="J849" s="141"/>
      <c r="K849" s="142"/>
      <c r="L849" s="142"/>
      <c r="M849" s="142"/>
      <c r="N849" s="142"/>
      <c r="O849" s="136"/>
      <c r="P849" s="34"/>
      <c r="Q849" s="35"/>
      <c r="R849" s="35"/>
      <c r="S849" s="35"/>
      <c r="T849" s="35"/>
      <c r="U849" s="35"/>
      <c r="V849" s="35"/>
      <c r="W849" s="35"/>
      <c r="X849" s="35"/>
      <c r="Y849" s="35"/>
      <c r="Z849" s="35"/>
    </row>
    <row r="850" ht="14.25" customHeight="1">
      <c r="A850" s="136"/>
      <c r="B850" s="137"/>
      <c r="C850" s="251"/>
      <c r="D850" s="452"/>
      <c r="E850" s="136"/>
      <c r="F850" s="253"/>
      <c r="G850" s="253"/>
      <c r="H850" s="527"/>
      <c r="I850" s="141"/>
      <c r="J850" s="141"/>
      <c r="K850" s="142"/>
      <c r="L850" s="142"/>
      <c r="M850" s="142"/>
      <c r="N850" s="142"/>
      <c r="O850" s="136"/>
      <c r="P850" s="34"/>
      <c r="Q850" s="35"/>
      <c r="R850" s="35"/>
      <c r="S850" s="35"/>
      <c r="T850" s="35"/>
      <c r="U850" s="35"/>
      <c r="V850" s="35"/>
      <c r="W850" s="35"/>
      <c r="X850" s="35"/>
      <c r="Y850" s="35"/>
      <c r="Z850" s="35"/>
    </row>
    <row r="851" ht="14.25" customHeight="1">
      <c r="A851" s="136"/>
      <c r="B851" s="137"/>
      <c r="C851" s="251"/>
      <c r="D851" s="452"/>
      <c r="E851" s="136"/>
      <c r="F851" s="253"/>
      <c r="G851" s="253"/>
      <c r="H851" s="527"/>
      <c r="I851" s="141"/>
      <c r="J851" s="141"/>
      <c r="K851" s="142"/>
      <c r="L851" s="142"/>
      <c r="M851" s="142"/>
      <c r="N851" s="142"/>
      <c r="O851" s="136"/>
      <c r="P851" s="34"/>
      <c r="Q851" s="35"/>
      <c r="R851" s="35"/>
      <c r="S851" s="35"/>
      <c r="T851" s="35"/>
      <c r="U851" s="35"/>
      <c r="V851" s="35"/>
      <c r="W851" s="35"/>
      <c r="X851" s="35"/>
      <c r="Y851" s="35"/>
      <c r="Z851" s="35"/>
    </row>
    <row r="852" ht="14.25" customHeight="1">
      <c r="A852" s="136"/>
      <c r="B852" s="137"/>
      <c r="C852" s="251"/>
      <c r="D852" s="452"/>
      <c r="E852" s="136"/>
      <c r="F852" s="253"/>
      <c r="G852" s="253"/>
      <c r="H852" s="527"/>
      <c r="I852" s="141"/>
      <c r="J852" s="141"/>
      <c r="K852" s="142"/>
      <c r="L852" s="142"/>
      <c r="M852" s="142"/>
      <c r="N852" s="142"/>
      <c r="O852" s="136"/>
      <c r="P852" s="34"/>
      <c r="Q852" s="35"/>
      <c r="R852" s="35"/>
      <c r="S852" s="35"/>
      <c r="T852" s="35"/>
      <c r="U852" s="35"/>
      <c r="V852" s="35"/>
      <c r="W852" s="35"/>
      <c r="X852" s="35"/>
      <c r="Y852" s="35"/>
      <c r="Z852" s="35"/>
    </row>
    <row r="853" ht="14.25" customHeight="1">
      <c r="A853" s="136"/>
      <c r="B853" s="137"/>
      <c r="C853" s="251"/>
      <c r="D853" s="452"/>
      <c r="E853" s="136"/>
      <c r="F853" s="253"/>
      <c r="G853" s="253"/>
      <c r="H853" s="527"/>
      <c r="I853" s="141"/>
      <c r="J853" s="141"/>
      <c r="K853" s="142"/>
      <c r="L853" s="142"/>
      <c r="M853" s="142"/>
      <c r="N853" s="142"/>
      <c r="O853" s="136"/>
      <c r="P853" s="34"/>
      <c r="Q853" s="35"/>
      <c r="R853" s="35"/>
      <c r="S853" s="35"/>
      <c r="T853" s="35"/>
      <c r="U853" s="35"/>
      <c r="V853" s="35"/>
      <c r="W853" s="35"/>
      <c r="X853" s="35"/>
      <c r="Y853" s="35"/>
      <c r="Z853" s="35"/>
    </row>
    <row r="854" ht="14.25" customHeight="1">
      <c r="A854" s="136"/>
      <c r="B854" s="137"/>
      <c r="C854" s="251"/>
      <c r="D854" s="452"/>
      <c r="E854" s="136"/>
      <c r="F854" s="253"/>
      <c r="G854" s="253"/>
      <c r="H854" s="527"/>
      <c r="I854" s="141"/>
      <c r="J854" s="141"/>
      <c r="K854" s="142"/>
      <c r="L854" s="142"/>
      <c r="M854" s="142"/>
      <c r="N854" s="142"/>
      <c r="O854" s="136"/>
      <c r="P854" s="34"/>
      <c r="Q854" s="35"/>
      <c r="R854" s="35"/>
      <c r="S854" s="35"/>
      <c r="T854" s="35"/>
      <c r="U854" s="35"/>
      <c r="V854" s="35"/>
      <c r="W854" s="35"/>
      <c r="X854" s="35"/>
      <c r="Y854" s="35"/>
      <c r="Z854" s="35"/>
    </row>
    <row r="855" ht="14.25" customHeight="1">
      <c r="A855" s="136"/>
      <c r="B855" s="137"/>
      <c r="C855" s="251"/>
      <c r="D855" s="452"/>
      <c r="E855" s="136"/>
      <c r="F855" s="253"/>
      <c r="G855" s="253"/>
      <c r="H855" s="527"/>
      <c r="I855" s="141"/>
      <c r="J855" s="141"/>
      <c r="K855" s="142"/>
      <c r="L855" s="142"/>
      <c r="M855" s="142"/>
      <c r="N855" s="142"/>
      <c r="O855" s="136"/>
      <c r="P855" s="34"/>
      <c r="Q855" s="35"/>
      <c r="R855" s="35"/>
      <c r="S855" s="35"/>
      <c r="T855" s="35"/>
      <c r="U855" s="35"/>
      <c r="V855" s="35"/>
      <c r="W855" s="35"/>
      <c r="X855" s="35"/>
      <c r="Y855" s="35"/>
      <c r="Z855" s="35"/>
    </row>
    <row r="856" ht="14.25" customHeight="1">
      <c r="A856" s="136"/>
      <c r="B856" s="137"/>
      <c r="C856" s="251"/>
      <c r="D856" s="452"/>
      <c r="E856" s="136"/>
      <c r="F856" s="253"/>
      <c r="G856" s="253"/>
      <c r="H856" s="527"/>
      <c r="I856" s="141"/>
      <c r="J856" s="141"/>
      <c r="K856" s="142"/>
      <c r="L856" s="142"/>
      <c r="M856" s="142"/>
      <c r="N856" s="142"/>
      <c r="O856" s="136"/>
      <c r="P856" s="34"/>
      <c r="Q856" s="35"/>
      <c r="R856" s="35"/>
      <c r="S856" s="35"/>
      <c r="T856" s="35"/>
      <c r="U856" s="35"/>
      <c r="V856" s="35"/>
      <c r="W856" s="35"/>
      <c r="X856" s="35"/>
      <c r="Y856" s="35"/>
      <c r="Z856" s="35"/>
    </row>
    <row r="857" ht="14.25" customHeight="1">
      <c r="A857" s="136"/>
      <c r="B857" s="137"/>
      <c r="C857" s="251"/>
      <c r="D857" s="452"/>
      <c r="E857" s="136"/>
      <c r="F857" s="253"/>
      <c r="G857" s="253"/>
      <c r="H857" s="527"/>
      <c r="I857" s="141"/>
      <c r="J857" s="141"/>
      <c r="K857" s="142"/>
      <c r="L857" s="142"/>
      <c r="M857" s="142"/>
      <c r="N857" s="142"/>
      <c r="O857" s="136"/>
      <c r="P857" s="34"/>
      <c r="Q857" s="35"/>
      <c r="R857" s="35"/>
      <c r="S857" s="35"/>
      <c r="T857" s="35"/>
      <c r="U857" s="35"/>
      <c r="V857" s="35"/>
      <c r="W857" s="35"/>
      <c r="X857" s="35"/>
      <c r="Y857" s="35"/>
      <c r="Z857" s="35"/>
    </row>
    <row r="858" ht="14.25" customHeight="1">
      <c r="A858" s="136"/>
      <c r="B858" s="137"/>
      <c r="C858" s="251"/>
      <c r="D858" s="452"/>
      <c r="E858" s="136"/>
      <c r="F858" s="253"/>
      <c r="G858" s="253"/>
      <c r="H858" s="527"/>
      <c r="I858" s="141"/>
      <c r="J858" s="141"/>
      <c r="K858" s="142"/>
      <c r="L858" s="142"/>
      <c r="M858" s="142"/>
      <c r="N858" s="142"/>
      <c r="O858" s="136"/>
      <c r="P858" s="34"/>
      <c r="Q858" s="35"/>
      <c r="R858" s="35"/>
      <c r="S858" s="35"/>
      <c r="T858" s="35"/>
      <c r="U858" s="35"/>
      <c r="V858" s="35"/>
      <c r="W858" s="35"/>
      <c r="X858" s="35"/>
      <c r="Y858" s="35"/>
      <c r="Z858" s="35"/>
    </row>
    <row r="859" ht="14.25" customHeight="1">
      <c r="A859" s="136"/>
      <c r="B859" s="137"/>
      <c r="C859" s="251"/>
      <c r="D859" s="452"/>
      <c r="E859" s="136"/>
      <c r="F859" s="253"/>
      <c r="G859" s="253"/>
      <c r="H859" s="527"/>
      <c r="I859" s="141"/>
      <c r="J859" s="141"/>
      <c r="K859" s="142"/>
      <c r="L859" s="142"/>
      <c r="M859" s="142"/>
      <c r="N859" s="142"/>
      <c r="O859" s="136"/>
      <c r="P859" s="34"/>
      <c r="Q859" s="35"/>
      <c r="R859" s="35"/>
      <c r="S859" s="35"/>
      <c r="T859" s="35"/>
      <c r="U859" s="35"/>
      <c r="V859" s="35"/>
      <c r="W859" s="35"/>
      <c r="X859" s="35"/>
      <c r="Y859" s="35"/>
      <c r="Z859" s="35"/>
    </row>
    <row r="860" ht="14.25" customHeight="1">
      <c r="A860" s="136"/>
      <c r="B860" s="137"/>
      <c r="C860" s="251"/>
      <c r="D860" s="452"/>
      <c r="E860" s="136"/>
      <c r="F860" s="253"/>
      <c r="G860" s="253"/>
      <c r="H860" s="527"/>
      <c r="I860" s="141"/>
      <c r="J860" s="141"/>
      <c r="K860" s="142"/>
      <c r="L860" s="142"/>
      <c r="M860" s="142"/>
      <c r="N860" s="142"/>
      <c r="O860" s="136"/>
      <c r="P860" s="34"/>
      <c r="Q860" s="35"/>
      <c r="R860" s="35"/>
      <c r="S860" s="35"/>
      <c r="T860" s="35"/>
      <c r="U860" s="35"/>
      <c r="V860" s="35"/>
      <c r="W860" s="35"/>
      <c r="X860" s="35"/>
      <c r="Y860" s="35"/>
      <c r="Z860" s="35"/>
    </row>
    <row r="861" ht="14.25" customHeight="1">
      <c r="A861" s="136"/>
      <c r="B861" s="137"/>
      <c r="C861" s="251"/>
      <c r="D861" s="452"/>
      <c r="E861" s="136"/>
      <c r="F861" s="253"/>
      <c r="G861" s="253"/>
      <c r="H861" s="527"/>
      <c r="I861" s="141"/>
      <c r="J861" s="141"/>
      <c r="K861" s="142"/>
      <c r="L861" s="142"/>
      <c r="M861" s="142"/>
      <c r="N861" s="142"/>
      <c r="O861" s="136"/>
      <c r="P861" s="34"/>
      <c r="Q861" s="35"/>
      <c r="R861" s="35"/>
      <c r="S861" s="35"/>
      <c r="T861" s="35"/>
      <c r="U861" s="35"/>
      <c r="V861" s="35"/>
      <c r="W861" s="35"/>
      <c r="X861" s="35"/>
      <c r="Y861" s="35"/>
      <c r="Z861" s="35"/>
    </row>
    <row r="862" ht="14.25" customHeight="1">
      <c r="A862" s="136"/>
      <c r="B862" s="137"/>
      <c r="C862" s="251"/>
      <c r="D862" s="452"/>
      <c r="E862" s="136"/>
      <c r="F862" s="253"/>
      <c r="G862" s="253"/>
      <c r="H862" s="527"/>
      <c r="I862" s="141"/>
      <c r="J862" s="141"/>
      <c r="K862" s="142"/>
      <c r="L862" s="142"/>
      <c r="M862" s="142"/>
      <c r="N862" s="142"/>
      <c r="O862" s="136"/>
      <c r="P862" s="34"/>
      <c r="Q862" s="35"/>
      <c r="R862" s="35"/>
      <c r="S862" s="35"/>
      <c r="T862" s="35"/>
      <c r="U862" s="35"/>
      <c r="V862" s="35"/>
      <c r="W862" s="35"/>
      <c r="X862" s="35"/>
      <c r="Y862" s="35"/>
      <c r="Z862" s="35"/>
    </row>
    <row r="863" ht="14.25" customHeight="1">
      <c r="A863" s="136"/>
      <c r="B863" s="137"/>
      <c r="C863" s="251"/>
      <c r="D863" s="452"/>
      <c r="E863" s="136"/>
      <c r="F863" s="253"/>
      <c r="G863" s="253"/>
      <c r="H863" s="527"/>
      <c r="I863" s="141"/>
      <c r="J863" s="141"/>
      <c r="K863" s="142"/>
      <c r="L863" s="142"/>
      <c r="M863" s="142"/>
      <c r="N863" s="142"/>
      <c r="O863" s="136"/>
      <c r="P863" s="34"/>
      <c r="Q863" s="35"/>
      <c r="R863" s="35"/>
      <c r="S863" s="35"/>
      <c r="T863" s="35"/>
      <c r="U863" s="35"/>
      <c r="V863" s="35"/>
      <c r="W863" s="35"/>
      <c r="X863" s="35"/>
      <c r="Y863" s="35"/>
      <c r="Z863" s="35"/>
    </row>
    <row r="864" ht="14.25" customHeight="1">
      <c r="A864" s="136"/>
      <c r="B864" s="137"/>
      <c r="C864" s="251"/>
      <c r="D864" s="452"/>
      <c r="E864" s="136"/>
      <c r="F864" s="253"/>
      <c r="G864" s="253"/>
      <c r="H864" s="527"/>
      <c r="I864" s="141"/>
      <c r="J864" s="141"/>
      <c r="K864" s="142"/>
      <c r="L864" s="142"/>
      <c r="M864" s="142"/>
      <c r="N864" s="142"/>
      <c r="O864" s="136"/>
      <c r="P864" s="34"/>
      <c r="Q864" s="35"/>
      <c r="R864" s="35"/>
      <c r="S864" s="35"/>
      <c r="T864" s="35"/>
      <c r="U864" s="35"/>
      <c r="V864" s="35"/>
      <c r="W864" s="35"/>
      <c r="X864" s="35"/>
      <c r="Y864" s="35"/>
      <c r="Z864" s="35"/>
    </row>
    <row r="865" ht="14.25" customHeight="1">
      <c r="A865" s="136"/>
      <c r="B865" s="137"/>
      <c r="C865" s="251"/>
      <c r="D865" s="452"/>
      <c r="E865" s="136"/>
      <c r="F865" s="253"/>
      <c r="G865" s="253"/>
      <c r="H865" s="527"/>
      <c r="I865" s="141"/>
      <c r="J865" s="141"/>
      <c r="K865" s="142"/>
      <c r="L865" s="142"/>
      <c r="M865" s="142"/>
      <c r="N865" s="142"/>
      <c r="O865" s="136"/>
      <c r="P865" s="34"/>
      <c r="Q865" s="35"/>
      <c r="R865" s="35"/>
      <c r="S865" s="35"/>
      <c r="T865" s="35"/>
      <c r="U865" s="35"/>
      <c r="V865" s="35"/>
      <c r="W865" s="35"/>
      <c r="X865" s="35"/>
      <c r="Y865" s="35"/>
      <c r="Z865" s="35"/>
    </row>
    <row r="866" ht="14.25" customHeight="1">
      <c r="A866" s="136"/>
      <c r="B866" s="137"/>
      <c r="C866" s="251"/>
      <c r="D866" s="452"/>
      <c r="E866" s="136"/>
      <c r="F866" s="253"/>
      <c r="G866" s="253"/>
      <c r="H866" s="527"/>
      <c r="I866" s="141"/>
      <c r="J866" s="141"/>
      <c r="K866" s="142"/>
      <c r="L866" s="142"/>
      <c r="M866" s="142"/>
      <c r="N866" s="142"/>
      <c r="O866" s="136"/>
      <c r="P866" s="34"/>
      <c r="Q866" s="35"/>
      <c r="R866" s="35"/>
      <c r="S866" s="35"/>
      <c r="T866" s="35"/>
      <c r="U866" s="35"/>
      <c r="V866" s="35"/>
      <c r="W866" s="35"/>
      <c r="X866" s="35"/>
      <c r="Y866" s="35"/>
      <c r="Z866" s="35"/>
    </row>
    <row r="867" ht="14.25" customHeight="1">
      <c r="A867" s="136"/>
      <c r="B867" s="137"/>
      <c r="C867" s="251"/>
      <c r="D867" s="452"/>
      <c r="E867" s="136"/>
      <c r="F867" s="253"/>
      <c r="G867" s="253"/>
      <c r="H867" s="527"/>
      <c r="I867" s="141"/>
      <c r="J867" s="141"/>
      <c r="K867" s="142"/>
      <c r="L867" s="142"/>
      <c r="M867" s="142"/>
      <c r="N867" s="142"/>
      <c r="O867" s="136"/>
      <c r="P867" s="34"/>
      <c r="Q867" s="35"/>
      <c r="R867" s="35"/>
      <c r="S867" s="35"/>
      <c r="T867" s="35"/>
      <c r="U867" s="35"/>
      <c r="V867" s="35"/>
      <c r="W867" s="35"/>
      <c r="X867" s="35"/>
      <c r="Y867" s="35"/>
      <c r="Z867" s="35"/>
    </row>
    <row r="868" ht="14.25" customHeight="1">
      <c r="A868" s="136"/>
      <c r="B868" s="137"/>
      <c r="C868" s="251"/>
      <c r="D868" s="452"/>
      <c r="E868" s="136"/>
      <c r="F868" s="253"/>
      <c r="G868" s="253"/>
      <c r="H868" s="527"/>
      <c r="I868" s="141"/>
      <c r="J868" s="141"/>
      <c r="K868" s="142"/>
      <c r="L868" s="142"/>
      <c r="M868" s="142"/>
      <c r="N868" s="142"/>
      <c r="O868" s="136"/>
      <c r="P868" s="34"/>
      <c r="Q868" s="35"/>
      <c r="R868" s="35"/>
      <c r="S868" s="35"/>
      <c r="T868" s="35"/>
      <c r="U868" s="35"/>
      <c r="V868" s="35"/>
      <c r="W868" s="35"/>
      <c r="X868" s="35"/>
      <c r="Y868" s="35"/>
      <c r="Z868" s="35"/>
    </row>
    <row r="869" ht="14.25" customHeight="1">
      <c r="A869" s="136"/>
      <c r="B869" s="137"/>
      <c r="C869" s="251"/>
      <c r="D869" s="452"/>
      <c r="E869" s="136"/>
      <c r="F869" s="253"/>
      <c r="G869" s="253"/>
      <c r="H869" s="527"/>
      <c r="I869" s="141"/>
      <c r="J869" s="141"/>
      <c r="K869" s="142"/>
      <c r="L869" s="142"/>
      <c r="M869" s="142"/>
      <c r="N869" s="142"/>
      <c r="O869" s="136"/>
      <c r="P869" s="34"/>
      <c r="Q869" s="35"/>
      <c r="R869" s="35"/>
      <c r="S869" s="35"/>
      <c r="T869" s="35"/>
      <c r="U869" s="35"/>
      <c r="V869" s="35"/>
      <c r="W869" s="35"/>
      <c r="X869" s="35"/>
      <c r="Y869" s="35"/>
      <c r="Z869" s="35"/>
    </row>
    <row r="870" ht="14.25" customHeight="1">
      <c r="A870" s="136"/>
      <c r="B870" s="137"/>
      <c r="C870" s="251"/>
      <c r="D870" s="452"/>
      <c r="E870" s="136"/>
      <c r="F870" s="253"/>
      <c r="G870" s="253"/>
      <c r="H870" s="527"/>
      <c r="I870" s="141"/>
      <c r="J870" s="141"/>
      <c r="K870" s="142"/>
      <c r="L870" s="142"/>
      <c r="M870" s="142"/>
      <c r="N870" s="142"/>
      <c r="O870" s="136"/>
      <c r="P870" s="34"/>
      <c r="Q870" s="35"/>
      <c r="R870" s="35"/>
      <c r="S870" s="35"/>
      <c r="T870" s="35"/>
      <c r="U870" s="35"/>
      <c r="V870" s="35"/>
      <c r="W870" s="35"/>
      <c r="X870" s="35"/>
      <c r="Y870" s="35"/>
      <c r="Z870" s="35"/>
    </row>
    <row r="871" ht="14.25" customHeight="1">
      <c r="A871" s="136"/>
      <c r="B871" s="137"/>
      <c r="C871" s="251"/>
      <c r="D871" s="452"/>
      <c r="E871" s="136"/>
      <c r="F871" s="253"/>
      <c r="G871" s="253"/>
      <c r="H871" s="527"/>
      <c r="I871" s="141"/>
      <c r="J871" s="141"/>
      <c r="K871" s="142"/>
      <c r="L871" s="142"/>
      <c r="M871" s="142"/>
      <c r="N871" s="142"/>
      <c r="O871" s="136"/>
      <c r="P871" s="34"/>
      <c r="Q871" s="35"/>
      <c r="R871" s="35"/>
      <c r="S871" s="35"/>
      <c r="T871" s="35"/>
      <c r="U871" s="35"/>
      <c r="V871" s="35"/>
      <c r="W871" s="35"/>
      <c r="X871" s="35"/>
      <c r="Y871" s="35"/>
      <c r="Z871" s="35"/>
    </row>
    <row r="872" ht="14.25" customHeight="1">
      <c r="A872" s="136"/>
      <c r="B872" s="137"/>
      <c r="C872" s="251"/>
      <c r="D872" s="452"/>
      <c r="E872" s="136"/>
      <c r="F872" s="253"/>
      <c r="G872" s="253"/>
      <c r="H872" s="527"/>
      <c r="I872" s="141"/>
      <c r="J872" s="141"/>
      <c r="K872" s="142"/>
      <c r="L872" s="142"/>
      <c r="M872" s="142"/>
      <c r="N872" s="142"/>
      <c r="O872" s="136"/>
      <c r="P872" s="34"/>
      <c r="Q872" s="35"/>
      <c r="R872" s="35"/>
      <c r="S872" s="35"/>
      <c r="T872" s="35"/>
      <c r="U872" s="35"/>
      <c r="V872" s="35"/>
      <c r="W872" s="35"/>
      <c r="X872" s="35"/>
      <c r="Y872" s="35"/>
      <c r="Z872" s="35"/>
    </row>
    <row r="873" ht="14.25" customHeight="1">
      <c r="A873" s="136"/>
      <c r="B873" s="137"/>
      <c r="C873" s="251"/>
      <c r="D873" s="452"/>
      <c r="E873" s="136"/>
      <c r="F873" s="253"/>
      <c r="G873" s="253"/>
      <c r="H873" s="527"/>
      <c r="I873" s="141"/>
      <c r="J873" s="141"/>
      <c r="K873" s="142"/>
      <c r="L873" s="142"/>
      <c r="M873" s="142"/>
      <c r="N873" s="142"/>
      <c r="O873" s="136"/>
      <c r="P873" s="34"/>
      <c r="Q873" s="35"/>
      <c r="R873" s="35"/>
      <c r="S873" s="35"/>
      <c r="T873" s="35"/>
      <c r="U873" s="35"/>
      <c r="V873" s="35"/>
      <c r="W873" s="35"/>
      <c r="X873" s="35"/>
      <c r="Y873" s="35"/>
      <c r="Z873" s="35"/>
    </row>
    <row r="874" ht="14.25" customHeight="1">
      <c r="A874" s="136"/>
      <c r="B874" s="137"/>
      <c r="C874" s="251"/>
      <c r="D874" s="452"/>
      <c r="E874" s="136"/>
      <c r="F874" s="253"/>
      <c r="G874" s="253"/>
      <c r="H874" s="527"/>
      <c r="I874" s="141"/>
      <c r="J874" s="141"/>
      <c r="K874" s="142"/>
      <c r="L874" s="142"/>
      <c r="M874" s="142"/>
      <c r="N874" s="142"/>
      <c r="O874" s="136"/>
      <c r="P874" s="34"/>
      <c r="Q874" s="35"/>
      <c r="R874" s="35"/>
      <c r="S874" s="35"/>
      <c r="T874" s="35"/>
      <c r="U874" s="35"/>
      <c r="V874" s="35"/>
      <c r="W874" s="35"/>
      <c r="X874" s="35"/>
      <c r="Y874" s="35"/>
      <c r="Z874" s="35"/>
    </row>
    <row r="875" ht="14.25" customHeight="1">
      <c r="A875" s="136"/>
      <c r="B875" s="137"/>
      <c r="C875" s="251"/>
      <c r="D875" s="452"/>
      <c r="E875" s="136"/>
      <c r="F875" s="253"/>
      <c r="G875" s="253"/>
      <c r="H875" s="527"/>
      <c r="I875" s="141"/>
      <c r="J875" s="141"/>
      <c r="K875" s="142"/>
      <c r="L875" s="142"/>
      <c r="M875" s="142"/>
      <c r="N875" s="142"/>
      <c r="O875" s="136"/>
      <c r="P875" s="34"/>
      <c r="Q875" s="35"/>
      <c r="R875" s="35"/>
      <c r="S875" s="35"/>
      <c r="T875" s="35"/>
      <c r="U875" s="35"/>
      <c r="V875" s="35"/>
      <c r="W875" s="35"/>
      <c r="X875" s="35"/>
      <c r="Y875" s="35"/>
      <c r="Z875" s="35"/>
    </row>
    <row r="876" ht="14.25" customHeight="1">
      <c r="A876" s="136"/>
      <c r="B876" s="137"/>
      <c r="C876" s="251"/>
      <c r="D876" s="452"/>
      <c r="E876" s="136"/>
      <c r="F876" s="253"/>
      <c r="G876" s="253"/>
      <c r="H876" s="527"/>
      <c r="I876" s="141"/>
      <c r="J876" s="141"/>
      <c r="K876" s="142"/>
      <c r="L876" s="142"/>
      <c r="M876" s="142"/>
      <c r="N876" s="142"/>
      <c r="O876" s="136"/>
      <c r="P876" s="34"/>
      <c r="Q876" s="35"/>
      <c r="R876" s="35"/>
      <c r="S876" s="35"/>
      <c r="T876" s="35"/>
      <c r="U876" s="35"/>
      <c r="V876" s="35"/>
      <c r="W876" s="35"/>
      <c r="X876" s="35"/>
      <c r="Y876" s="35"/>
      <c r="Z876" s="35"/>
    </row>
    <row r="877" ht="14.25" customHeight="1">
      <c r="A877" s="136"/>
      <c r="B877" s="137"/>
      <c r="C877" s="251"/>
      <c r="D877" s="452"/>
      <c r="E877" s="136"/>
      <c r="F877" s="253"/>
      <c r="G877" s="253"/>
      <c r="H877" s="527"/>
      <c r="I877" s="141"/>
      <c r="J877" s="141"/>
      <c r="K877" s="142"/>
      <c r="L877" s="142"/>
      <c r="M877" s="142"/>
      <c r="N877" s="142"/>
      <c r="O877" s="136"/>
      <c r="P877" s="34"/>
      <c r="Q877" s="35"/>
      <c r="R877" s="35"/>
      <c r="S877" s="35"/>
      <c r="T877" s="35"/>
      <c r="U877" s="35"/>
      <c r="V877" s="35"/>
      <c r="W877" s="35"/>
      <c r="X877" s="35"/>
      <c r="Y877" s="35"/>
      <c r="Z877" s="35"/>
    </row>
    <row r="878" ht="14.25" customHeight="1">
      <c r="A878" s="136"/>
      <c r="B878" s="137"/>
      <c r="C878" s="251"/>
      <c r="D878" s="452"/>
      <c r="E878" s="136"/>
      <c r="F878" s="253"/>
      <c r="G878" s="253"/>
      <c r="H878" s="527"/>
      <c r="I878" s="141"/>
      <c r="J878" s="141"/>
      <c r="K878" s="142"/>
      <c r="L878" s="142"/>
      <c r="M878" s="142"/>
      <c r="N878" s="142"/>
      <c r="O878" s="136"/>
      <c r="P878" s="34"/>
      <c r="Q878" s="35"/>
      <c r="R878" s="35"/>
      <c r="S878" s="35"/>
      <c r="T878" s="35"/>
      <c r="U878" s="35"/>
      <c r="V878" s="35"/>
      <c r="W878" s="35"/>
      <c r="X878" s="35"/>
      <c r="Y878" s="35"/>
      <c r="Z878" s="35"/>
    </row>
    <row r="879" ht="14.25" customHeight="1">
      <c r="A879" s="136"/>
      <c r="B879" s="137"/>
      <c r="C879" s="251"/>
      <c r="D879" s="452"/>
      <c r="E879" s="136"/>
      <c r="F879" s="253"/>
      <c r="G879" s="253"/>
      <c r="H879" s="527"/>
      <c r="I879" s="141"/>
      <c r="J879" s="141"/>
      <c r="K879" s="142"/>
      <c r="L879" s="142"/>
      <c r="M879" s="142"/>
      <c r="N879" s="142"/>
      <c r="O879" s="136"/>
      <c r="P879" s="34"/>
      <c r="Q879" s="35"/>
      <c r="R879" s="35"/>
      <c r="S879" s="35"/>
      <c r="T879" s="35"/>
      <c r="U879" s="35"/>
      <c r="V879" s="35"/>
      <c r="W879" s="35"/>
      <c r="X879" s="35"/>
      <c r="Y879" s="35"/>
      <c r="Z879" s="35"/>
    </row>
    <row r="880" ht="14.25" customHeight="1">
      <c r="A880" s="136"/>
      <c r="B880" s="137"/>
      <c r="C880" s="251"/>
      <c r="D880" s="452"/>
      <c r="E880" s="136"/>
      <c r="F880" s="253"/>
      <c r="G880" s="253"/>
      <c r="H880" s="527"/>
      <c r="I880" s="141"/>
      <c r="J880" s="141"/>
      <c r="K880" s="142"/>
      <c r="L880" s="142"/>
      <c r="M880" s="142"/>
      <c r="N880" s="142"/>
      <c r="O880" s="136"/>
      <c r="P880" s="34"/>
      <c r="Q880" s="35"/>
      <c r="R880" s="35"/>
      <c r="S880" s="35"/>
      <c r="T880" s="35"/>
      <c r="U880" s="35"/>
      <c r="V880" s="35"/>
      <c r="W880" s="35"/>
      <c r="X880" s="35"/>
      <c r="Y880" s="35"/>
      <c r="Z880" s="35"/>
    </row>
    <row r="881" ht="14.25" customHeight="1">
      <c r="A881" s="136"/>
      <c r="B881" s="137"/>
      <c r="C881" s="251"/>
      <c r="D881" s="452"/>
      <c r="E881" s="136"/>
      <c r="F881" s="253"/>
      <c r="G881" s="253"/>
      <c r="H881" s="527"/>
      <c r="I881" s="141"/>
      <c r="J881" s="141"/>
      <c r="K881" s="142"/>
      <c r="L881" s="142"/>
      <c r="M881" s="142"/>
      <c r="N881" s="142"/>
      <c r="O881" s="136"/>
      <c r="P881" s="34"/>
      <c r="Q881" s="35"/>
      <c r="R881" s="35"/>
      <c r="S881" s="35"/>
      <c r="T881" s="35"/>
      <c r="U881" s="35"/>
      <c r="V881" s="35"/>
      <c r="W881" s="35"/>
      <c r="X881" s="35"/>
      <c r="Y881" s="35"/>
      <c r="Z881" s="35"/>
    </row>
    <row r="882" ht="14.25" customHeight="1">
      <c r="A882" s="136"/>
      <c r="B882" s="137"/>
      <c r="C882" s="251"/>
      <c r="D882" s="452"/>
      <c r="E882" s="136"/>
      <c r="F882" s="253"/>
      <c r="G882" s="253"/>
      <c r="H882" s="527"/>
      <c r="I882" s="141"/>
      <c r="J882" s="141"/>
      <c r="K882" s="142"/>
      <c r="L882" s="142"/>
      <c r="M882" s="142"/>
      <c r="N882" s="142"/>
      <c r="O882" s="136"/>
      <c r="P882" s="34"/>
      <c r="Q882" s="35"/>
      <c r="R882" s="35"/>
      <c r="S882" s="35"/>
      <c r="T882" s="35"/>
      <c r="U882" s="35"/>
      <c r="V882" s="35"/>
      <c r="W882" s="35"/>
      <c r="X882" s="35"/>
      <c r="Y882" s="35"/>
      <c r="Z882" s="35"/>
    </row>
    <row r="883" ht="14.25" customHeight="1">
      <c r="A883" s="136"/>
      <c r="B883" s="137"/>
      <c r="C883" s="251"/>
      <c r="D883" s="452"/>
      <c r="E883" s="136"/>
      <c r="F883" s="253"/>
      <c r="G883" s="253"/>
      <c r="H883" s="527"/>
      <c r="I883" s="141"/>
      <c r="J883" s="141"/>
      <c r="K883" s="142"/>
      <c r="L883" s="142"/>
      <c r="M883" s="142"/>
      <c r="N883" s="142"/>
      <c r="O883" s="136"/>
      <c r="P883" s="34"/>
      <c r="Q883" s="35"/>
      <c r="R883" s="35"/>
      <c r="S883" s="35"/>
      <c r="T883" s="35"/>
      <c r="U883" s="35"/>
      <c r="V883" s="35"/>
      <c r="W883" s="35"/>
      <c r="X883" s="35"/>
      <c r="Y883" s="35"/>
      <c r="Z883" s="35"/>
    </row>
    <row r="884" ht="14.25" customHeight="1">
      <c r="A884" s="136"/>
      <c r="B884" s="137"/>
      <c r="C884" s="251"/>
      <c r="D884" s="452"/>
      <c r="E884" s="136"/>
      <c r="F884" s="253"/>
      <c r="G884" s="253"/>
      <c r="H884" s="527"/>
      <c r="I884" s="141"/>
      <c r="J884" s="141"/>
      <c r="K884" s="142"/>
      <c r="L884" s="142"/>
      <c r="M884" s="142"/>
      <c r="N884" s="142"/>
      <c r="O884" s="136"/>
      <c r="P884" s="34"/>
      <c r="Q884" s="35"/>
      <c r="R884" s="35"/>
      <c r="S884" s="35"/>
      <c r="T884" s="35"/>
      <c r="U884" s="35"/>
      <c r="V884" s="35"/>
      <c r="W884" s="35"/>
      <c r="X884" s="35"/>
      <c r="Y884" s="35"/>
      <c r="Z884" s="35"/>
    </row>
    <row r="885" ht="14.25" customHeight="1">
      <c r="A885" s="136"/>
      <c r="B885" s="137"/>
      <c r="C885" s="251"/>
      <c r="D885" s="452"/>
      <c r="E885" s="136"/>
      <c r="F885" s="253"/>
      <c r="G885" s="253"/>
      <c r="H885" s="527"/>
      <c r="I885" s="141"/>
      <c r="J885" s="141"/>
      <c r="K885" s="142"/>
      <c r="L885" s="142"/>
      <c r="M885" s="142"/>
      <c r="N885" s="142"/>
      <c r="O885" s="136"/>
      <c r="P885" s="34"/>
      <c r="Q885" s="35"/>
      <c r="R885" s="35"/>
      <c r="S885" s="35"/>
      <c r="T885" s="35"/>
      <c r="U885" s="35"/>
      <c r="V885" s="35"/>
      <c r="W885" s="35"/>
      <c r="X885" s="35"/>
      <c r="Y885" s="35"/>
      <c r="Z885" s="35"/>
    </row>
    <row r="886" ht="14.25" customHeight="1">
      <c r="A886" s="136"/>
      <c r="B886" s="137"/>
      <c r="C886" s="251"/>
      <c r="D886" s="452"/>
      <c r="E886" s="136"/>
      <c r="F886" s="253"/>
      <c r="G886" s="253"/>
      <c r="H886" s="527"/>
      <c r="I886" s="141"/>
      <c r="J886" s="141"/>
      <c r="K886" s="142"/>
      <c r="L886" s="142"/>
      <c r="M886" s="142"/>
      <c r="N886" s="142"/>
      <c r="O886" s="136"/>
      <c r="P886" s="34"/>
      <c r="Q886" s="35"/>
      <c r="R886" s="35"/>
      <c r="S886" s="35"/>
      <c r="T886" s="35"/>
      <c r="U886" s="35"/>
      <c r="V886" s="35"/>
      <c r="W886" s="35"/>
      <c r="X886" s="35"/>
      <c r="Y886" s="35"/>
      <c r="Z886" s="35"/>
    </row>
    <row r="887" ht="14.25" customHeight="1">
      <c r="A887" s="136"/>
      <c r="B887" s="137"/>
      <c r="C887" s="251"/>
      <c r="D887" s="452"/>
      <c r="E887" s="136"/>
      <c r="F887" s="253"/>
      <c r="G887" s="253"/>
      <c r="H887" s="527"/>
      <c r="I887" s="141"/>
      <c r="J887" s="141"/>
      <c r="K887" s="142"/>
      <c r="L887" s="142"/>
      <c r="M887" s="142"/>
      <c r="N887" s="142"/>
      <c r="O887" s="136"/>
      <c r="P887" s="34"/>
      <c r="Q887" s="35"/>
      <c r="R887" s="35"/>
      <c r="S887" s="35"/>
      <c r="T887" s="35"/>
      <c r="U887" s="35"/>
      <c r="V887" s="35"/>
      <c r="W887" s="35"/>
      <c r="X887" s="35"/>
      <c r="Y887" s="35"/>
      <c r="Z887" s="35"/>
    </row>
    <row r="888" ht="14.25" customHeight="1">
      <c r="A888" s="136"/>
      <c r="B888" s="137"/>
      <c r="C888" s="251"/>
      <c r="D888" s="452"/>
      <c r="E888" s="136"/>
      <c r="F888" s="253"/>
      <c r="G888" s="253"/>
      <c r="H888" s="527"/>
      <c r="I888" s="141"/>
      <c r="J888" s="141"/>
      <c r="K888" s="142"/>
      <c r="L888" s="142"/>
      <c r="M888" s="142"/>
      <c r="N888" s="142"/>
      <c r="O888" s="136"/>
      <c r="P888" s="34"/>
      <c r="Q888" s="35"/>
      <c r="R888" s="35"/>
      <c r="S888" s="35"/>
      <c r="T888" s="35"/>
      <c r="U888" s="35"/>
      <c r="V888" s="35"/>
      <c r="W888" s="35"/>
      <c r="X888" s="35"/>
      <c r="Y888" s="35"/>
      <c r="Z888" s="35"/>
    </row>
    <row r="889" ht="14.25" customHeight="1">
      <c r="A889" s="136"/>
      <c r="B889" s="137"/>
      <c r="C889" s="251"/>
      <c r="D889" s="452"/>
      <c r="E889" s="136"/>
      <c r="F889" s="253"/>
      <c r="G889" s="253"/>
      <c r="H889" s="527"/>
      <c r="I889" s="141"/>
      <c r="J889" s="141"/>
      <c r="K889" s="142"/>
      <c r="L889" s="142"/>
      <c r="M889" s="142"/>
      <c r="N889" s="142"/>
      <c r="O889" s="136"/>
      <c r="P889" s="34"/>
      <c r="Q889" s="35"/>
      <c r="R889" s="35"/>
      <c r="S889" s="35"/>
      <c r="T889" s="35"/>
      <c r="U889" s="35"/>
      <c r="V889" s="35"/>
      <c r="W889" s="35"/>
      <c r="X889" s="35"/>
      <c r="Y889" s="35"/>
      <c r="Z889" s="35"/>
    </row>
    <row r="890" ht="14.25" customHeight="1">
      <c r="A890" s="136"/>
      <c r="B890" s="137"/>
      <c r="C890" s="251"/>
      <c r="D890" s="452"/>
      <c r="E890" s="136"/>
      <c r="F890" s="253"/>
      <c r="G890" s="253"/>
      <c r="H890" s="527"/>
      <c r="I890" s="141"/>
      <c r="J890" s="141"/>
      <c r="K890" s="142"/>
      <c r="L890" s="142"/>
      <c r="M890" s="142"/>
      <c r="N890" s="142"/>
      <c r="O890" s="136"/>
      <c r="P890" s="34"/>
      <c r="Q890" s="35"/>
      <c r="R890" s="35"/>
      <c r="S890" s="35"/>
      <c r="T890" s="35"/>
      <c r="U890" s="35"/>
      <c r="V890" s="35"/>
      <c r="W890" s="35"/>
      <c r="X890" s="35"/>
      <c r="Y890" s="35"/>
      <c r="Z890" s="35"/>
    </row>
    <row r="891" ht="14.25" customHeight="1">
      <c r="A891" s="136"/>
      <c r="B891" s="137"/>
      <c r="C891" s="251"/>
      <c r="D891" s="452"/>
      <c r="E891" s="136"/>
      <c r="F891" s="253"/>
      <c r="G891" s="253"/>
      <c r="H891" s="527"/>
      <c r="I891" s="141"/>
      <c r="J891" s="141"/>
      <c r="K891" s="142"/>
      <c r="L891" s="142"/>
      <c r="M891" s="142"/>
      <c r="N891" s="142"/>
      <c r="O891" s="136"/>
      <c r="P891" s="34"/>
      <c r="Q891" s="35"/>
      <c r="R891" s="35"/>
      <c r="S891" s="35"/>
      <c r="T891" s="35"/>
      <c r="U891" s="35"/>
      <c r="V891" s="35"/>
      <c r="W891" s="35"/>
      <c r="X891" s="35"/>
      <c r="Y891" s="35"/>
      <c r="Z891" s="35"/>
    </row>
    <row r="892" ht="14.25" customHeight="1">
      <c r="A892" s="136"/>
      <c r="B892" s="137"/>
      <c r="C892" s="251"/>
      <c r="D892" s="452"/>
      <c r="E892" s="136"/>
      <c r="F892" s="253"/>
      <c r="G892" s="253"/>
      <c r="H892" s="527"/>
      <c r="I892" s="141"/>
      <c r="J892" s="141"/>
      <c r="K892" s="142"/>
      <c r="L892" s="142"/>
      <c r="M892" s="142"/>
      <c r="N892" s="142"/>
      <c r="O892" s="136"/>
      <c r="P892" s="34"/>
      <c r="Q892" s="35"/>
      <c r="R892" s="35"/>
      <c r="S892" s="35"/>
      <c r="T892" s="35"/>
      <c r="U892" s="35"/>
      <c r="V892" s="35"/>
      <c r="W892" s="35"/>
      <c r="X892" s="35"/>
      <c r="Y892" s="35"/>
      <c r="Z892" s="35"/>
    </row>
    <row r="893" ht="14.25" customHeight="1">
      <c r="A893" s="136"/>
      <c r="B893" s="137"/>
      <c r="C893" s="251"/>
      <c r="D893" s="452"/>
      <c r="E893" s="136"/>
      <c r="F893" s="253"/>
      <c r="G893" s="253"/>
      <c r="H893" s="527"/>
      <c r="I893" s="141"/>
      <c r="J893" s="141"/>
      <c r="K893" s="142"/>
      <c r="L893" s="142"/>
      <c r="M893" s="142"/>
      <c r="N893" s="142"/>
      <c r="O893" s="136"/>
      <c r="P893" s="34"/>
      <c r="Q893" s="35"/>
      <c r="R893" s="35"/>
      <c r="S893" s="35"/>
      <c r="T893" s="35"/>
      <c r="U893" s="35"/>
      <c r="V893" s="35"/>
      <c r="W893" s="35"/>
      <c r="X893" s="35"/>
      <c r="Y893" s="35"/>
      <c r="Z893" s="35"/>
    </row>
    <row r="894" ht="14.25" customHeight="1">
      <c r="A894" s="136"/>
      <c r="B894" s="137"/>
      <c r="C894" s="251"/>
      <c r="D894" s="452"/>
      <c r="E894" s="136"/>
      <c r="F894" s="253"/>
      <c r="G894" s="253"/>
      <c r="H894" s="527"/>
      <c r="I894" s="141"/>
      <c r="J894" s="141"/>
      <c r="K894" s="142"/>
      <c r="L894" s="142"/>
      <c r="M894" s="142"/>
      <c r="N894" s="142"/>
      <c r="O894" s="136"/>
      <c r="P894" s="34"/>
      <c r="Q894" s="35"/>
      <c r="R894" s="35"/>
      <c r="S894" s="35"/>
      <c r="T894" s="35"/>
      <c r="U894" s="35"/>
      <c r="V894" s="35"/>
      <c r="W894" s="35"/>
      <c r="X894" s="35"/>
      <c r="Y894" s="35"/>
      <c r="Z894" s="35"/>
    </row>
    <row r="895" ht="14.25" customHeight="1">
      <c r="A895" s="136"/>
      <c r="B895" s="137"/>
      <c r="C895" s="251"/>
      <c r="D895" s="452"/>
      <c r="E895" s="136"/>
      <c r="F895" s="253"/>
      <c r="G895" s="253"/>
      <c r="H895" s="527"/>
      <c r="I895" s="141"/>
      <c r="J895" s="141"/>
      <c r="K895" s="142"/>
      <c r="L895" s="142"/>
      <c r="M895" s="142"/>
      <c r="N895" s="142"/>
      <c r="O895" s="136"/>
      <c r="P895" s="34"/>
      <c r="Q895" s="35"/>
      <c r="R895" s="35"/>
      <c r="S895" s="35"/>
      <c r="T895" s="35"/>
      <c r="U895" s="35"/>
      <c r="V895" s="35"/>
      <c r="W895" s="35"/>
      <c r="X895" s="35"/>
      <c r="Y895" s="35"/>
      <c r="Z895" s="35"/>
    </row>
    <row r="896" ht="14.25" customHeight="1">
      <c r="A896" s="136"/>
      <c r="B896" s="137"/>
      <c r="C896" s="251"/>
      <c r="D896" s="452"/>
      <c r="E896" s="136"/>
      <c r="F896" s="253"/>
      <c r="G896" s="253"/>
      <c r="H896" s="527"/>
      <c r="I896" s="141"/>
      <c r="J896" s="141"/>
      <c r="K896" s="142"/>
      <c r="L896" s="142"/>
      <c r="M896" s="142"/>
      <c r="N896" s="142"/>
      <c r="O896" s="136"/>
      <c r="P896" s="34"/>
      <c r="Q896" s="35"/>
      <c r="R896" s="35"/>
      <c r="S896" s="35"/>
      <c r="T896" s="35"/>
      <c r="U896" s="35"/>
      <c r="V896" s="35"/>
      <c r="W896" s="35"/>
      <c r="X896" s="35"/>
      <c r="Y896" s="35"/>
      <c r="Z896" s="35"/>
    </row>
    <row r="897" ht="14.25" customHeight="1">
      <c r="A897" s="136"/>
      <c r="B897" s="137"/>
      <c r="C897" s="251"/>
      <c r="D897" s="452"/>
      <c r="E897" s="136"/>
      <c r="F897" s="253"/>
      <c r="G897" s="253"/>
      <c r="H897" s="527"/>
      <c r="I897" s="141"/>
      <c r="J897" s="141"/>
      <c r="K897" s="142"/>
      <c r="L897" s="142"/>
      <c r="M897" s="142"/>
      <c r="N897" s="142"/>
      <c r="O897" s="136"/>
      <c r="P897" s="34"/>
      <c r="Q897" s="35"/>
      <c r="R897" s="35"/>
      <c r="S897" s="35"/>
      <c r="T897" s="35"/>
      <c r="U897" s="35"/>
      <c r="V897" s="35"/>
      <c r="W897" s="35"/>
      <c r="X897" s="35"/>
      <c r="Y897" s="35"/>
      <c r="Z897" s="35"/>
    </row>
    <row r="898" ht="14.25" customHeight="1">
      <c r="A898" s="136"/>
      <c r="B898" s="137"/>
      <c r="C898" s="251"/>
      <c r="D898" s="452"/>
      <c r="E898" s="136"/>
      <c r="F898" s="253"/>
      <c r="G898" s="253"/>
      <c r="H898" s="527"/>
      <c r="I898" s="141"/>
      <c r="J898" s="141"/>
      <c r="K898" s="142"/>
      <c r="L898" s="142"/>
      <c r="M898" s="142"/>
      <c r="N898" s="142"/>
      <c r="O898" s="136"/>
      <c r="P898" s="34"/>
      <c r="Q898" s="35"/>
      <c r="R898" s="35"/>
      <c r="S898" s="35"/>
      <c r="T898" s="35"/>
      <c r="U898" s="35"/>
      <c r="V898" s="35"/>
      <c r="W898" s="35"/>
      <c r="X898" s="35"/>
      <c r="Y898" s="35"/>
      <c r="Z898" s="35"/>
    </row>
    <row r="899" ht="14.25" customHeight="1">
      <c r="A899" s="136"/>
      <c r="B899" s="137"/>
      <c r="C899" s="251"/>
      <c r="D899" s="452"/>
      <c r="E899" s="136"/>
      <c r="F899" s="253"/>
      <c r="G899" s="253"/>
      <c r="H899" s="527"/>
      <c r="I899" s="141"/>
      <c r="J899" s="141"/>
      <c r="K899" s="142"/>
      <c r="L899" s="142"/>
      <c r="M899" s="142"/>
      <c r="N899" s="142"/>
      <c r="O899" s="136"/>
      <c r="P899" s="34"/>
      <c r="Q899" s="35"/>
      <c r="R899" s="35"/>
      <c r="S899" s="35"/>
      <c r="T899" s="35"/>
      <c r="U899" s="35"/>
      <c r="V899" s="35"/>
      <c r="W899" s="35"/>
      <c r="X899" s="35"/>
      <c r="Y899" s="35"/>
      <c r="Z899" s="35"/>
    </row>
    <row r="900" ht="14.25" customHeight="1">
      <c r="A900" s="136"/>
      <c r="B900" s="137"/>
      <c r="C900" s="251"/>
      <c r="D900" s="452"/>
      <c r="E900" s="136"/>
      <c r="F900" s="253"/>
      <c r="G900" s="253"/>
      <c r="H900" s="527"/>
      <c r="I900" s="141"/>
      <c r="J900" s="141"/>
      <c r="K900" s="142"/>
      <c r="L900" s="142"/>
      <c r="M900" s="142"/>
      <c r="N900" s="142"/>
      <c r="O900" s="136"/>
      <c r="P900" s="34"/>
      <c r="Q900" s="35"/>
      <c r="R900" s="35"/>
      <c r="S900" s="35"/>
      <c r="T900" s="35"/>
      <c r="U900" s="35"/>
      <c r="V900" s="35"/>
      <c r="W900" s="35"/>
      <c r="X900" s="35"/>
      <c r="Y900" s="35"/>
      <c r="Z900" s="35"/>
    </row>
    <row r="901" ht="14.25" customHeight="1">
      <c r="A901" s="136"/>
      <c r="B901" s="137"/>
      <c r="C901" s="251"/>
      <c r="D901" s="452"/>
      <c r="E901" s="136"/>
      <c r="F901" s="253"/>
      <c r="G901" s="253"/>
      <c r="H901" s="527"/>
      <c r="I901" s="141"/>
      <c r="J901" s="141"/>
      <c r="K901" s="142"/>
      <c r="L901" s="142"/>
      <c r="M901" s="142"/>
      <c r="N901" s="142"/>
      <c r="O901" s="136"/>
      <c r="P901" s="34"/>
      <c r="Q901" s="35"/>
      <c r="R901" s="35"/>
      <c r="S901" s="35"/>
      <c r="T901" s="35"/>
      <c r="U901" s="35"/>
      <c r="V901" s="35"/>
      <c r="W901" s="35"/>
      <c r="X901" s="35"/>
      <c r="Y901" s="35"/>
      <c r="Z901" s="35"/>
    </row>
    <row r="902" ht="14.25" customHeight="1">
      <c r="A902" s="136"/>
      <c r="B902" s="137"/>
      <c r="C902" s="251"/>
      <c r="D902" s="452"/>
      <c r="E902" s="136"/>
      <c r="F902" s="253"/>
      <c r="G902" s="253"/>
      <c r="H902" s="527"/>
      <c r="I902" s="141"/>
      <c r="J902" s="141"/>
      <c r="K902" s="142"/>
      <c r="L902" s="142"/>
      <c r="M902" s="142"/>
      <c r="N902" s="142"/>
      <c r="O902" s="136"/>
      <c r="P902" s="34"/>
      <c r="Q902" s="35"/>
      <c r="R902" s="35"/>
      <c r="S902" s="35"/>
      <c r="T902" s="35"/>
      <c r="U902" s="35"/>
      <c r="V902" s="35"/>
      <c r="W902" s="35"/>
      <c r="X902" s="35"/>
      <c r="Y902" s="35"/>
      <c r="Z902" s="35"/>
    </row>
    <row r="903" ht="14.25" customHeight="1">
      <c r="A903" s="136"/>
      <c r="B903" s="137"/>
      <c r="C903" s="251"/>
      <c r="D903" s="452"/>
      <c r="E903" s="136"/>
      <c r="F903" s="253"/>
      <c r="G903" s="253"/>
      <c r="H903" s="527"/>
      <c r="I903" s="141"/>
      <c r="J903" s="141"/>
      <c r="K903" s="142"/>
      <c r="L903" s="142"/>
      <c r="M903" s="142"/>
      <c r="N903" s="142"/>
      <c r="O903" s="136"/>
      <c r="P903" s="34"/>
      <c r="Q903" s="35"/>
      <c r="R903" s="35"/>
      <c r="S903" s="35"/>
      <c r="T903" s="35"/>
      <c r="U903" s="35"/>
      <c r="V903" s="35"/>
      <c r="W903" s="35"/>
      <c r="X903" s="35"/>
      <c r="Y903" s="35"/>
      <c r="Z903" s="35"/>
    </row>
    <row r="904" ht="14.25" customHeight="1">
      <c r="A904" s="136"/>
      <c r="B904" s="137"/>
      <c r="C904" s="251"/>
      <c r="D904" s="452"/>
      <c r="E904" s="136"/>
      <c r="F904" s="253"/>
      <c r="G904" s="253"/>
      <c r="H904" s="527"/>
      <c r="I904" s="141"/>
      <c r="J904" s="141"/>
      <c r="K904" s="142"/>
      <c r="L904" s="142"/>
      <c r="M904" s="142"/>
      <c r="N904" s="142"/>
      <c r="O904" s="136"/>
      <c r="P904" s="34"/>
      <c r="Q904" s="35"/>
      <c r="R904" s="35"/>
      <c r="S904" s="35"/>
      <c r="T904" s="35"/>
      <c r="U904" s="35"/>
      <c r="V904" s="35"/>
      <c r="W904" s="35"/>
      <c r="X904" s="35"/>
      <c r="Y904" s="35"/>
      <c r="Z904" s="35"/>
    </row>
    <row r="905" ht="14.25" customHeight="1">
      <c r="A905" s="136"/>
      <c r="B905" s="137"/>
      <c r="C905" s="251"/>
      <c r="D905" s="452"/>
      <c r="E905" s="136"/>
      <c r="F905" s="253"/>
      <c r="G905" s="253"/>
      <c r="H905" s="527"/>
      <c r="I905" s="141"/>
      <c r="J905" s="141"/>
      <c r="K905" s="142"/>
      <c r="L905" s="142"/>
      <c r="M905" s="142"/>
      <c r="N905" s="142"/>
      <c r="O905" s="136"/>
      <c r="P905" s="34"/>
      <c r="Q905" s="35"/>
      <c r="R905" s="35"/>
      <c r="S905" s="35"/>
      <c r="T905" s="35"/>
      <c r="U905" s="35"/>
      <c r="V905" s="35"/>
      <c r="W905" s="35"/>
      <c r="X905" s="35"/>
      <c r="Y905" s="35"/>
      <c r="Z905" s="35"/>
    </row>
    <row r="906" ht="14.25" customHeight="1">
      <c r="A906" s="136"/>
      <c r="B906" s="137"/>
      <c r="C906" s="251"/>
      <c r="D906" s="452"/>
      <c r="E906" s="136"/>
      <c r="F906" s="253"/>
      <c r="G906" s="253"/>
      <c r="H906" s="527"/>
      <c r="I906" s="141"/>
      <c r="J906" s="141"/>
      <c r="K906" s="142"/>
      <c r="L906" s="142"/>
      <c r="M906" s="142"/>
      <c r="N906" s="142"/>
      <c r="O906" s="136"/>
      <c r="P906" s="34"/>
      <c r="Q906" s="35"/>
      <c r="R906" s="35"/>
      <c r="S906" s="35"/>
      <c r="T906" s="35"/>
      <c r="U906" s="35"/>
      <c r="V906" s="35"/>
      <c r="W906" s="35"/>
      <c r="X906" s="35"/>
      <c r="Y906" s="35"/>
      <c r="Z906" s="35"/>
    </row>
    <row r="907" ht="14.25" customHeight="1">
      <c r="A907" s="136"/>
      <c r="B907" s="137"/>
      <c r="C907" s="251"/>
      <c r="D907" s="452"/>
      <c r="E907" s="136"/>
      <c r="F907" s="253"/>
      <c r="G907" s="253"/>
      <c r="H907" s="527"/>
      <c r="I907" s="141"/>
      <c r="J907" s="141"/>
      <c r="K907" s="142"/>
      <c r="L907" s="142"/>
      <c r="M907" s="142"/>
      <c r="N907" s="142"/>
      <c r="O907" s="136"/>
      <c r="P907" s="34"/>
      <c r="Q907" s="35"/>
      <c r="R907" s="35"/>
      <c r="S907" s="35"/>
      <c r="T907" s="35"/>
      <c r="U907" s="35"/>
      <c r="V907" s="35"/>
      <c r="W907" s="35"/>
      <c r="X907" s="35"/>
      <c r="Y907" s="35"/>
      <c r="Z907" s="35"/>
    </row>
    <row r="908" ht="14.25" customHeight="1">
      <c r="A908" s="136"/>
      <c r="B908" s="137"/>
      <c r="C908" s="251"/>
      <c r="D908" s="452"/>
      <c r="E908" s="136"/>
      <c r="F908" s="253"/>
      <c r="G908" s="253"/>
      <c r="H908" s="527"/>
      <c r="I908" s="141"/>
      <c r="J908" s="141"/>
      <c r="K908" s="142"/>
      <c r="L908" s="142"/>
      <c r="M908" s="142"/>
      <c r="N908" s="142"/>
      <c r="O908" s="136"/>
      <c r="P908" s="34"/>
      <c r="Q908" s="35"/>
      <c r="R908" s="35"/>
      <c r="S908" s="35"/>
      <c r="T908" s="35"/>
      <c r="U908" s="35"/>
      <c r="V908" s="35"/>
      <c r="W908" s="35"/>
      <c r="X908" s="35"/>
      <c r="Y908" s="35"/>
      <c r="Z908" s="35"/>
    </row>
    <row r="909" ht="14.25" customHeight="1">
      <c r="A909" s="136"/>
      <c r="B909" s="137"/>
      <c r="C909" s="251"/>
      <c r="D909" s="452"/>
      <c r="E909" s="136"/>
      <c r="F909" s="253"/>
      <c r="G909" s="253"/>
      <c r="H909" s="527"/>
      <c r="I909" s="141"/>
      <c r="J909" s="141"/>
      <c r="K909" s="142"/>
      <c r="L909" s="142"/>
      <c r="M909" s="142"/>
      <c r="N909" s="142"/>
      <c r="O909" s="136"/>
      <c r="P909" s="34"/>
      <c r="Q909" s="35"/>
      <c r="R909" s="35"/>
      <c r="S909" s="35"/>
      <c r="T909" s="35"/>
      <c r="U909" s="35"/>
      <c r="V909" s="35"/>
      <c r="W909" s="35"/>
      <c r="X909" s="35"/>
      <c r="Y909" s="35"/>
      <c r="Z909" s="35"/>
    </row>
    <row r="910" ht="14.25" customHeight="1">
      <c r="A910" s="136"/>
      <c r="B910" s="137"/>
      <c r="C910" s="251"/>
      <c r="D910" s="452"/>
      <c r="E910" s="136"/>
      <c r="F910" s="253"/>
      <c r="G910" s="253"/>
      <c r="H910" s="527"/>
      <c r="I910" s="141"/>
      <c r="J910" s="141"/>
      <c r="K910" s="142"/>
      <c r="L910" s="142"/>
      <c r="M910" s="142"/>
      <c r="N910" s="142"/>
      <c r="O910" s="136"/>
      <c r="P910" s="34"/>
      <c r="Q910" s="35"/>
      <c r="R910" s="35"/>
      <c r="S910" s="35"/>
      <c r="T910" s="35"/>
      <c r="U910" s="35"/>
      <c r="V910" s="35"/>
      <c r="W910" s="35"/>
      <c r="X910" s="35"/>
      <c r="Y910" s="35"/>
      <c r="Z910" s="35"/>
    </row>
    <row r="911" ht="14.25" customHeight="1">
      <c r="A911" s="136"/>
      <c r="B911" s="137"/>
      <c r="C911" s="251"/>
      <c r="D911" s="452"/>
      <c r="E911" s="136"/>
      <c r="F911" s="253"/>
      <c r="G911" s="253"/>
      <c r="H911" s="527"/>
      <c r="I911" s="141"/>
      <c r="J911" s="141"/>
      <c r="K911" s="142"/>
      <c r="L911" s="142"/>
      <c r="M911" s="142"/>
      <c r="N911" s="142"/>
      <c r="O911" s="136"/>
      <c r="P911" s="34"/>
      <c r="Q911" s="35"/>
      <c r="R911" s="35"/>
      <c r="S911" s="35"/>
      <c r="T911" s="35"/>
      <c r="U911" s="35"/>
      <c r="V911" s="35"/>
      <c r="W911" s="35"/>
      <c r="X911" s="35"/>
      <c r="Y911" s="35"/>
      <c r="Z911" s="35"/>
    </row>
    <row r="912" ht="14.25" customHeight="1">
      <c r="A912" s="136"/>
      <c r="B912" s="137"/>
      <c r="C912" s="251"/>
      <c r="D912" s="452"/>
      <c r="E912" s="136"/>
      <c r="F912" s="253"/>
      <c r="G912" s="253"/>
      <c r="H912" s="527"/>
      <c r="I912" s="141"/>
      <c r="J912" s="141"/>
      <c r="K912" s="142"/>
      <c r="L912" s="142"/>
      <c r="M912" s="142"/>
      <c r="N912" s="142"/>
      <c r="O912" s="136"/>
      <c r="P912" s="34"/>
      <c r="Q912" s="35"/>
      <c r="R912" s="35"/>
      <c r="S912" s="35"/>
      <c r="T912" s="35"/>
      <c r="U912" s="35"/>
      <c r="V912" s="35"/>
      <c r="W912" s="35"/>
      <c r="X912" s="35"/>
      <c r="Y912" s="35"/>
      <c r="Z912" s="35"/>
    </row>
    <row r="913" ht="14.25" customHeight="1">
      <c r="A913" s="136"/>
      <c r="B913" s="137"/>
      <c r="C913" s="251"/>
      <c r="D913" s="452"/>
      <c r="E913" s="136"/>
      <c r="F913" s="253"/>
      <c r="G913" s="253"/>
      <c r="H913" s="527"/>
      <c r="I913" s="141"/>
      <c r="J913" s="141"/>
      <c r="K913" s="142"/>
      <c r="L913" s="142"/>
      <c r="M913" s="142"/>
      <c r="N913" s="142"/>
      <c r="O913" s="136"/>
      <c r="P913" s="34"/>
      <c r="Q913" s="35"/>
      <c r="R913" s="35"/>
      <c r="S913" s="35"/>
      <c r="T913" s="35"/>
      <c r="U913" s="35"/>
      <c r="V913" s="35"/>
      <c r="W913" s="35"/>
      <c r="X913" s="35"/>
      <c r="Y913" s="35"/>
      <c r="Z913" s="35"/>
    </row>
    <row r="914" ht="14.25" customHeight="1">
      <c r="A914" s="136"/>
      <c r="B914" s="137"/>
      <c r="C914" s="251"/>
      <c r="D914" s="452"/>
      <c r="E914" s="136"/>
      <c r="F914" s="253"/>
      <c r="G914" s="253"/>
      <c r="H914" s="527"/>
      <c r="I914" s="141"/>
      <c r="J914" s="141"/>
      <c r="K914" s="142"/>
      <c r="L914" s="142"/>
      <c r="M914" s="142"/>
      <c r="N914" s="142"/>
      <c r="O914" s="136"/>
      <c r="P914" s="34"/>
      <c r="Q914" s="35"/>
      <c r="R914" s="35"/>
      <c r="S914" s="35"/>
      <c r="T914" s="35"/>
      <c r="U914" s="35"/>
      <c r="V914" s="35"/>
      <c r="W914" s="35"/>
      <c r="X914" s="35"/>
      <c r="Y914" s="35"/>
      <c r="Z914" s="35"/>
    </row>
    <row r="915" ht="14.25" customHeight="1">
      <c r="A915" s="136"/>
      <c r="B915" s="137"/>
      <c r="C915" s="251"/>
      <c r="D915" s="452"/>
      <c r="E915" s="136"/>
      <c r="F915" s="253"/>
      <c r="G915" s="253"/>
      <c r="H915" s="527"/>
      <c r="I915" s="141"/>
      <c r="J915" s="141"/>
      <c r="K915" s="142"/>
      <c r="L915" s="142"/>
      <c r="M915" s="142"/>
      <c r="N915" s="142"/>
      <c r="O915" s="136"/>
      <c r="P915" s="34"/>
      <c r="Q915" s="35"/>
      <c r="R915" s="35"/>
      <c r="S915" s="35"/>
      <c r="T915" s="35"/>
      <c r="U915" s="35"/>
      <c r="V915" s="35"/>
      <c r="W915" s="35"/>
      <c r="X915" s="35"/>
      <c r="Y915" s="35"/>
      <c r="Z915" s="35"/>
    </row>
    <row r="916" ht="14.25" customHeight="1">
      <c r="A916" s="136"/>
      <c r="B916" s="137"/>
      <c r="C916" s="251"/>
      <c r="D916" s="452"/>
      <c r="E916" s="136"/>
      <c r="F916" s="253"/>
      <c r="G916" s="253"/>
      <c r="H916" s="527"/>
      <c r="I916" s="141"/>
      <c r="J916" s="141"/>
      <c r="K916" s="142"/>
      <c r="L916" s="142"/>
      <c r="M916" s="142"/>
      <c r="N916" s="142"/>
      <c r="O916" s="136"/>
      <c r="P916" s="34"/>
      <c r="Q916" s="35"/>
      <c r="R916" s="35"/>
      <c r="S916" s="35"/>
      <c r="T916" s="35"/>
      <c r="U916" s="35"/>
      <c r="V916" s="35"/>
      <c r="W916" s="35"/>
      <c r="X916" s="35"/>
      <c r="Y916" s="35"/>
      <c r="Z916" s="35"/>
    </row>
    <row r="917" ht="14.25" customHeight="1">
      <c r="A917" s="136"/>
      <c r="B917" s="137"/>
      <c r="C917" s="251"/>
      <c r="D917" s="452"/>
      <c r="E917" s="136"/>
      <c r="F917" s="253"/>
      <c r="G917" s="253"/>
      <c r="H917" s="527"/>
      <c r="I917" s="141"/>
      <c r="J917" s="141"/>
      <c r="K917" s="142"/>
      <c r="L917" s="142"/>
      <c r="M917" s="142"/>
      <c r="N917" s="142"/>
      <c r="O917" s="136"/>
      <c r="P917" s="34"/>
      <c r="Q917" s="35"/>
      <c r="R917" s="35"/>
      <c r="S917" s="35"/>
      <c r="T917" s="35"/>
      <c r="U917" s="35"/>
      <c r="V917" s="35"/>
      <c r="W917" s="35"/>
      <c r="X917" s="35"/>
      <c r="Y917" s="35"/>
      <c r="Z917" s="35"/>
    </row>
    <row r="918" ht="14.25" customHeight="1">
      <c r="A918" s="136"/>
      <c r="B918" s="137"/>
      <c r="C918" s="251"/>
      <c r="D918" s="452"/>
      <c r="E918" s="136"/>
      <c r="F918" s="253"/>
      <c r="G918" s="253"/>
      <c r="H918" s="527"/>
      <c r="I918" s="141"/>
      <c r="J918" s="141"/>
      <c r="K918" s="142"/>
      <c r="L918" s="142"/>
      <c r="M918" s="142"/>
      <c r="N918" s="142"/>
      <c r="O918" s="136"/>
      <c r="P918" s="34"/>
      <c r="Q918" s="35"/>
      <c r="R918" s="35"/>
      <c r="S918" s="35"/>
      <c r="T918" s="35"/>
      <c r="U918" s="35"/>
      <c r="V918" s="35"/>
      <c r="W918" s="35"/>
      <c r="X918" s="35"/>
      <c r="Y918" s="35"/>
      <c r="Z918" s="35"/>
    </row>
    <row r="919" ht="14.25" customHeight="1">
      <c r="A919" s="136"/>
      <c r="B919" s="137"/>
      <c r="C919" s="251"/>
      <c r="D919" s="452"/>
      <c r="E919" s="136"/>
      <c r="F919" s="253"/>
      <c r="G919" s="253"/>
      <c r="H919" s="527"/>
      <c r="I919" s="141"/>
      <c r="J919" s="141"/>
      <c r="K919" s="142"/>
      <c r="L919" s="142"/>
      <c r="M919" s="142"/>
      <c r="N919" s="142"/>
      <c r="O919" s="136"/>
      <c r="P919" s="34"/>
      <c r="Q919" s="35"/>
      <c r="R919" s="35"/>
      <c r="S919" s="35"/>
      <c r="T919" s="35"/>
      <c r="U919" s="35"/>
      <c r="V919" s="35"/>
      <c r="W919" s="35"/>
      <c r="X919" s="35"/>
      <c r="Y919" s="35"/>
      <c r="Z919" s="35"/>
    </row>
    <row r="920" ht="14.25" customHeight="1">
      <c r="A920" s="136"/>
      <c r="B920" s="137"/>
      <c r="C920" s="251"/>
      <c r="D920" s="452"/>
      <c r="E920" s="136"/>
      <c r="F920" s="253"/>
      <c r="G920" s="253"/>
      <c r="H920" s="527"/>
      <c r="I920" s="141"/>
      <c r="J920" s="141"/>
      <c r="K920" s="142"/>
      <c r="L920" s="142"/>
      <c r="M920" s="142"/>
      <c r="N920" s="142"/>
      <c r="O920" s="136"/>
      <c r="P920" s="34"/>
      <c r="Q920" s="35"/>
      <c r="R920" s="35"/>
      <c r="S920" s="35"/>
      <c r="T920" s="35"/>
      <c r="U920" s="35"/>
      <c r="V920" s="35"/>
      <c r="W920" s="35"/>
      <c r="X920" s="35"/>
      <c r="Y920" s="35"/>
      <c r="Z920" s="35"/>
    </row>
    <row r="921" ht="14.25" customHeight="1">
      <c r="A921" s="136"/>
      <c r="B921" s="137"/>
      <c r="C921" s="251"/>
      <c r="D921" s="452"/>
      <c r="E921" s="136"/>
      <c r="F921" s="253"/>
      <c r="G921" s="253"/>
      <c r="H921" s="527"/>
      <c r="I921" s="141"/>
      <c r="J921" s="141"/>
      <c r="K921" s="142"/>
      <c r="L921" s="142"/>
      <c r="M921" s="142"/>
      <c r="N921" s="142"/>
      <c r="O921" s="136"/>
      <c r="P921" s="34"/>
      <c r="Q921" s="35"/>
      <c r="R921" s="35"/>
      <c r="S921" s="35"/>
      <c r="T921" s="35"/>
      <c r="U921" s="35"/>
      <c r="V921" s="35"/>
      <c r="W921" s="35"/>
      <c r="X921" s="35"/>
      <c r="Y921" s="35"/>
      <c r="Z921" s="35"/>
    </row>
    <row r="922" ht="14.25" customHeight="1">
      <c r="A922" s="136"/>
      <c r="B922" s="137"/>
      <c r="C922" s="251"/>
      <c r="D922" s="452"/>
      <c r="E922" s="136"/>
      <c r="F922" s="253"/>
      <c r="G922" s="253"/>
      <c r="H922" s="527"/>
      <c r="I922" s="141"/>
      <c r="J922" s="141"/>
      <c r="K922" s="142"/>
      <c r="L922" s="142"/>
      <c r="M922" s="142"/>
      <c r="N922" s="142"/>
      <c r="O922" s="136"/>
      <c r="P922" s="34"/>
      <c r="Q922" s="35"/>
      <c r="R922" s="35"/>
      <c r="S922" s="35"/>
      <c r="T922" s="35"/>
      <c r="U922" s="35"/>
      <c r="V922" s="35"/>
      <c r="W922" s="35"/>
      <c r="X922" s="35"/>
      <c r="Y922" s="35"/>
      <c r="Z922" s="35"/>
    </row>
    <row r="923" ht="14.25" customHeight="1">
      <c r="A923" s="136"/>
      <c r="B923" s="137"/>
      <c r="C923" s="251"/>
      <c r="D923" s="452"/>
      <c r="E923" s="136"/>
      <c r="F923" s="253"/>
      <c r="G923" s="253"/>
      <c r="H923" s="527"/>
      <c r="I923" s="141"/>
      <c r="J923" s="141"/>
      <c r="K923" s="142"/>
      <c r="L923" s="142"/>
      <c r="M923" s="142"/>
      <c r="N923" s="142"/>
      <c r="O923" s="136"/>
      <c r="P923" s="34"/>
      <c r="Q923" s="35"/>
      <c r="R923" s="35"/>
      <c r="S923" s="35"/>
      <c r="T923" s="35"/>
      <c r="U923" s="35"/>
      <c r="V923" s="35"/>
      <c r="W923" s="35"/>
      <c r="X923" s="35"/>
      <c r="Y923" s="35"/>
      <c r="Z923" s="35"/>
    </row>
    <row r="924" ht="14.25" customHeight="1">
      <c r="A924" s="136"/>
      <c r="B924" s="137"/>
      <c r="C924" s="251"/>
      <c r="D924" s="452"/>
      <c r="E924" s="136"/>
      <c r="F924" s="253"/>
      <c r="G924" s="253"/>
      <c r="H924" s="527"/>
      <c r="I924" s="141"/>
      <c r="J924" s="141"/>
      <c r="K924" s="142"/>
      <c r="L924" s="142"/>
      <c r="M924" s="142"/>
      <c r="N924" s="142"/>
      <c r="O924" s="136"/>
      <c r="P924" s="34"/>
      <c r="Q924" s="35"/>
      <c r="R924" s="35"/>
      <c r="S924" s="35"/>
      <c r="T924" s="35"/>
      <c r="U924" s="35"/>
      <c r="V924" s="35"/>
      <c r="W924" s="35"/>
      <c r="X924" s="35"/>
      <c r="Y924" s="35"/>
      <c r="Z924" s="35"/>
    </row>
    <row r="925" ht="14.25" customHeight="1">
      <c r="A925" s="136"/>
      <c r="B925" s="137"/>
      <c r="C925" s="251"/>
      <c r="D925" s="452"/>
      <c r="E925" s="136"/>
      <c r="F925" s="253"/>
      <c r="G925" s="253"/>
      <c r="H925" s="527"/>
      <c r="I925" s="141"/>
      <c r="J925" s="141"/>
      <c r="K925" s="142"/>
      <c r="L925" s="142"/>
      <c r="M925" s="142"/>
      <c r="N925" s="142"/>
      <c r="O925" s="136"/>
      <c r="P925" s="34"/>
      <c r="Q925" s="35"/>
      <c r="R925" s="35"/>
      <c r="S925" s="35"/>
      <c r="T925" s="35"/>
      <c r="U925" s="35"/>
      <c r="V925" s="35"/>
      <c r="W925" s="35"/>
      <c r="X925" s="35"/>
      <c r="Y925" s="35"/>
      <c r="Z925" s="35"/>
    </row>
    <row r="926" ht="14.25" customHeight="1">
      <c r="A926" s="136"/>
      <c r="B926" s="137"/>
      <c r="C926" s="251"/>
      <c r="D926" s="452"/>
      <c r="E926" s="136"/>
      <c r="F926" s="253"/>
      <c r="G926" s="253"/>
      <c r="H926" s="527"/>
      <c r="I926" s="141"/>
      <c r="J926" s="141"/>
      <c r="K926" s="142"/>
      <c r="L926" s="142"/>
      <c r="M926" s="142"/>
      <c r="N926" s="142"/>
      <c r="O926" s="136"/>
      <c r="P926" s="34"/>
      <c r="Q926" s="35"/>
      <c r="R926" s="35"/>
      <c r="S926" s="35"/>
      <c r="T926" s="35"/>
      <c r="U926" s="35"/>
      <c r="V926" s="35"/>
      <c r="W926" s="35"/>
      <c r="X926" s="35"/>
      <c r="Y926" s="35"/>
      <c r="Z926" s="35"/>
    </row>
    <row r="927" ht="14.25" customHeight="1">
      <c r="A927" s="136"/>
      <c r="B927" s="137"/>
      <c r="C927" s="251"/>
      <c r="D927" s="452"/>
      <c r="E927" s="136"/>
      <c r="F927" s="253"/>
      <c r="G927" s="253"/>
      <c r="H927" s="527"/>
      <c r="I927" s="141"/>
      <c r="J927" s="141"/>
      <c r="K927" s="142"/>
      <c r="L927" s="142"/>
      <c r="M927" s="142"/>
      <c r="N927" s="142"/>
      <c r="O927" s="136"/>
      <c r="P927" s="34"/>
      <c r="Q927" s="35"/>
      <c r="R927" s="35"/>
      <c r="S927" s="35"/>
      <c r="T927" s="35"/>
      <c r="U927" s="35"/>
      <c r="V927" s="35"/>
      <c r="W927" s="35"/>
      <c r="X927" s="35"/>
      <c r="Y927" s="35"/>
      <c r="Z927" s="35"/>
    </row>
    <row r="928" ht="14.25" customHeight="1">
      <c r="A928" s="136"/>
      <c r="B928" s="137"/>
      <c r="C928" s="251"/>
      <c r="D928" s="452"/>
      <c r="E928" s="136"/>
      <c r="F928" s="253"/>
      <c r="G928" s="253"/>
      <c r="H928" s="527"/>
      <c r="I928" s="141"/>
      <c r="J928" s="141"/>
      <c r="K928" s="142"/>
      <c r="L928" s="142"/>
      <c r="M928" s="142"/>
      <c r="N928" s="142"/>
      <c r="O928" s="136"/>
      <c r="P928" s="34"/>
      <c r="Q928" s="35"/>
      <c r="R928" s="35"/>
      <c r="S928" s="35"/>
      <c r="T928" s="35"/>
      <c r="U928" s="35"/>
      <c r="V928" s="35"/>
      <c r="W928" s="35"/>
      <c r="X928" s="35"/>
      <c r="Y928" s="35"/>
      <c r="Z928" s="35"/>
    </row>
    <row r="929" ht="14.25" customHeight="1">
      <c r="A929" s="136"/>
      <c r="B929" s="137"/>
      <c r="C929" s="251"/>
      <c r="D929" s="452"/>
      <c r="E929" s="136"/>
      <c r="F929" s="253"/>
      <c r="G929" s="253"/>
      <c r="H929" s="527"/>
      <c r="I929" s="141"/>
      <c r="J929" s="141"/>
      <c r="K929" s="142"/>
      <c r="L929" s="142"/>
      <c r="M929" s="142"/>
      <c r="N929" s="142"/>
      <c r="O929" s="136"/>
      <c r="P929" s="34"/>
      <c r="Q929" s="35"/>
      <c r="R929" s="35"/>
      <c r="S929" s="35"/>
      <c r="T929" s="35"/>
      <c r="U929" s="35"/>
      <c r="V929" s="35"/>
      <c r="W929" s="35"/>
      <c r="X929" s="35"/>
      <c r="Y929" s="35"/>
      <c r="Z929" s="35"/>
    </row>
    <row r="930" ht="14.25" customHeight="1">
      <c r="A930" s="136"/>
      <c r="B930" s="137"/>
      <c r="C930" s="251"/>
      <c r="D930" s="452"/>
      <c r="E930" s="136"/>
      <c r="F930" s="253"/>
      <c r="G930" s="253"/>
      <c r="H930" s="527"/>
      <c r="I930" s="141"/>
      <c r="J930" s="141"/>
      <c r="K930" s="142"/>
      <c r="L930" s="142"/>
      <c r="M930" s="142"/>
      <c r="N930" s="142"/>
      <c r="O930" s="136"/>
      <c r="P930" s="34"/>
      <c r="Q930" s="35"/>
      <c r="R930" s="35"/>
      <c r="S930" s="35"/>
      <c r="T930" s="35"/>
      <c r="U930" s="35"/>
      <c r="V930" s="35"/>
      <c r="W930" s="35"/>
      <c r="X930" s="35"/>
      <c r="Y930" s="35"/>
      <c r="Z930" s="35"/>
    </row>
    <row r="931" ht="14.25" customHeight="1">
      <c r="A931" s="136"/>
      <c r="B931" s="137"/>
      <c r="C931" s="251"/>
      <c r="D931" s="452"/>
      <c r="E931" s="136"/>
      <c r="F931" s="253"/>
      <c r="G931" s="253"/>
      <c r="H931" s="527"/>
      <c r="I931" s="141"/>
      <c r="J931" s="141"/>
      <c r="K931" s="142"/>
      <c r="L931" s="142"/>
      <c r="M931" s="142"/>
      <c r="N931" s="142"/>
      <c r="O931" s="136"/>
      <c r="P931" s="34"/>
      <c r="Q931" s="35"/>
      <c r="R931" s="35"/>
      <c r="S931" s="35"/>
      <c r="T931" s="35"/>
      <c r="U931" s="35"/>
      <c r="V931" s="35"/>
      <c r="W931" s="35"/>
      <c r="X931" s="35"/>
      <c r="Y931" s="35"/>
      <c r="Z931" s="35"/>
    </row>
    <row r="932" ht="14.25" customHeight="1">
      <c r="A932" s="136"/>
      <c r="B932" s="137"/>
      <c r="C932" s="251"/>
      <c r="D932" s="452"/>
      <c r="E932" s="136"/>
      <c r="F932" s="253"/>
      <c r="G932" s="253"/>
      <c r="H932" s="527"/>
      <c r="I932" s="141"/>
      <c r="J932" s="141"/>
      <c r="K932" s="142"/>
      <c r="L932" s="142"/>
      <c r="M932" s="142"/>
      <c r="N932" s="142"/>
      <c r="O932" s="136"/>
      <c r="P932" s="34"/>
      <c r="Q932" s="35"/>
      <c r="R932" s="35"/>
      <c r="S932" s="35"/>
      <c r="T932" s="35"/>
      <c r="U932" s="35"/>
      <c r="V932" s="35"/>
      <c r="W932" s="35"/>
      <c r="X932" s="35"/>
      <c r="Y932" s="35"/>
      <c r="Z932" s="35"/>
    </row>
    <row r="933" ht="14.25" customHeight="1">
      <c r="A933" s="136"/>
      <c r="B933" s="137"/>
      <c r="C933" s="251"/>
      <c r="D933" s="452"/>
      <c r="E933" s="136"/>
      <c r="F933" s="253"/>
      <c r="G933" s="253"/>
      <c r="H933" s="527"/>
      <c r="I933" s="141"/>
      <c r="J933" s="141"/>
      <c r="K933" s="142"/>
      <c r="L933" s="142"/>
      <c r="M933" s="142"/>
      <c r="N933" s="142"/>
      <c r="O933" s="136"/>
      <c r="P933" s="34"/>
      <c r="Q933" s="35"/>
      <c r="R933" s="35"/>
      <c r="S933" s="35"/>
      <c r="T933" s="35"/>
      <c r="U933" s="35"/>
      <c r="V933" s="35"/>
      <c r="W933" s="35"/>
      <c r="X933" s="35"/>
      <c r="Y933" s="35"/>
      <c r="Z933" s="35"/>
    </row>
    <row r="934" ht="14.25" customHeight="1">
      <c r="A934" s="136"/>
      <c r="B934" s="137"/>
      <c r="C934" s="251"/>
      <c r="D934" s="452"/>
      <c r="E934" s="136"/>
      <c r="F934" s="253"/>
      <c r="G934" s="253"/>
      <c r="H934" s="527"/>
      <c r="I934" s="141"/>
      <c r="J934" s="141"/>
      <c r="K934" s="142"/>
      <c r="L934" s="142"/>
      <c r="M934" s="142"/>
      <c r="N934" s="142"/>
      <c r="O934" s="136"/>
      <c r="P934" s="34"/>
      <c r="Q934" s="35"/>
      <c r="R934" s="35"/>
      <c r="S934" s="35"/>
      <c r="T934" s="35"/>
      <c r="U934" s="35"/>
      <c r="V934" s="35"/>
      <c r="W934" s="35"/>
      <c r="X934" s="35"/>
      <c r="Y934" s="35"/>
      <c r="Z934" s="35"/>
    </row>
    <row r="935" ht="14.25" customHeight="1">
      <c r="A935" s="136"/>
      <c r="B935" s="137"/>
      <c r="C935" s="251"/>
      <c r="D935" s="452"/>
      <c r="E935" s="136"/>
      <c r="F935" s="253"/>
      <c r="G935" s="253"/>
      <c r="H935" s="527"/>
      <c r="I935" s="141"/>
      <c r="J935" s="141"/>
      <c r="K935" s="142"/>
      <c r="L935" s="142"/>
      <c r="M935" s="142"/>
      <c r="N935" s="142"/>
      <c r="O935" s="136"/>
      <c r="P935" s="34"/>
      <c r="Q935" s="35"/>
      <c r="R935" s="35"/>
      <c r="S935" s="35"/>
      <c r="T935" s="35"/>
      <c r="U935" s="35"/>
      <c r="V935" s="35"/>
      <c r="W935" s="35"/>
      <c r="X935" s="35"/>
      <c r="Y935" s="35"/>
      <c r="Z935" s="35"/>
    </row>
    <row r="936" ht="14.25" customHeight="1">
      <c r="A936" s="136"/>
      <c r="B936" s="137"/>
      <c r="C936" s="251"/>
      <c r="D936" s="452"/>
      <c r="E936" s="136"/>
      <c r="F936" s="253"/>
      <c r="G936" s="253"/>
      <c r="H936" s="527"/>
      <c r="I936" s="141"/>
      <c r="J936" s="141"/>
      <c r="K936" s="142"/>
      <c r="L936" s="142"/>
      <c r="M936" s="142"/>
      <c r="N936" s="142"/>
      <c r="O936" s="136"/>
      <c r="P936" s="34"/>
      <c r="Q936" s="35"/>
      <c r="R936" s="35"/>
      <c r="S936" s="35"/>
      <c r="T936" s="35"/>
      <c r="U936" s="35"/>
      <c r="V936" s="35"/>
      <c r="W936" s="35"/>
      <c r="X936" s="35"/>
      <c r="Y936" s="35"/>
      <c r="Z936" s="35"/>
    </row>
    <row r="937" ht="14.25" customHeight="1">
      <c r="A937" s="136"/>
      <c r="B937" s="137"/>
      <c r="C937" s="251"/>
      <c r="D937" s="452"/>
      <c r="E937" s="136"/>
      <c r="F937" s="253"/>
      <c r="G937" s="253"/>
      <c r="H937" s="527"/>
      <c r="I937" s="141"/>
      <c r="J937" s="141"/>
      <c r="K937" s="142"/>
      <c r="L937" s="142"/>
      <c r="M937" s="142"/>
      <c r="N937" s="142"/>
      <c r="O937" s="136"/>
      <c r="P937" s="34"/>
      <c r="Q937" s="35"/>
      <c r="R937" s="35"/>
      <c r="S937" s="35"/>
      <c r="T937" s="35"/>
      <c r="U937" s="35"/>
      <c r="V937" s="35"/>
      <c r="W937" s="35"/>
      <c r="X937" s="35"/>
      <c r="Y937" s="35"/>
      <c r="Z937" s="35"/>
    </row>
    <row r="938" ht="14.25" customHeight="1">
      <c r="A938" s="136"/>
      <c r="B938" s="137"/>
      <c r="C938" s="251"/>
      <c r="D938" s="452"/>
      <c r="E938" s="136"/>
      <c r="F938" s="253"/>
      <c r="G938" s="253"/>
      <c r="H938" s="527"/>
      <c r="I938" s="141"/>
      <c r="J938" s="141"/>
      <c r="K938" s="142"/>
      <c r="L938" s="142"/>
      <c r="M938" s="142"/>
      <c r="N938" s="142"/>
      <c r="O938" s="136"/>
      <c r="P938" s="34"/>
      <c r="Q938" s="35"/>
      <c r="R938" s="35"/>
      <c r="S938" s="35"/>
      <c r="T938" s="35"/>
      <c r="U938" s="35"/>
      <c r="V938" s="35"/>
      <c r="W938" s="35"/>
      <c r="X938" s="35"/>
      <c r="Y938" s="35"/>
      <c r="Z938" s="35"/>
    </row>
    <row r="939" ht="14.25" customHeight="1">
      <c r="A939" s="136"/>
      <c r="B939" s="137"/>
      <c r="C939" s="251"/>
      <c r="D939" s="452"/>
      <c r="E939" s="136"/>
      <c r="F939" s="253"/>
      <c r="G939" s="253"/>
      <c r="H939" s="527"/>
      <c r="I939" s="141"/>
      <c r="J939" s="141"/>
      <c r="K939" s="142"/>
      <c r="L939" s="142"/>
      <c r="M939" s="142"/>
      <c r="N939" s="142"/>
      <c r="O939" s="136"/>
      <c r="P939" s="34"/>
      <c r="Q939" s="35"/>
      <c r="R939" s="35"/>
      <c r="S939" s="35"/>
      <c r="T939" s="35"/>
      <c r="U939" s="35"/>
      <c r="V939" s="35"/>
      <c r="W939" s="35"/>
      <c r="X939" s="35"/>
      <c r="Y939" s="35"/>
      <c r="Z939" s="35"/>
    </row>
    <row r="940" ht="14.25" customHeight="1">
      <c r="A940" s="136"/>
      <c r="B940" s="137"/>
      <c r="C940" s="251"/>
      <c r="D940" s="452"/>
      <c r="E940" s="136"/>
      <c r="F940" s="253"/>
      <c r="G940" s="253"/>
      <c r="H940" s="527"/>
      <c r="I940" s="141"/>
      <c r="J940" s="141"/>
      <c r="K940" s="142"/>
      <c r="L940" s="142"/>
      <c r="M940" s="142"/>
      <c r="N940" s="142"/>
      <c r="O940" s="136"/>
      <c r="P940" s="34"/>
      <c r="Q940" s="35"/>
      <c r="R940" s="35"/>
      <c r="S940" s="35"/>
      <c r="T940" s="35"/>
      <c r="U940" s="35"/>
      <c r="V940" s="35"/>
      <c r="W940" s="35"/>
      <c r="X940" s="35"/>
      <c r="Y940" s="35"/>
      <c r="Z940" s="35"/>
    </row>
    <row r="941" ht="14.25" customHeight="1">
      <c r="A941" s="136"/>
      <c r="B941" s="137"/>
      <c r="C941" s="251"/>
      <c r="D941" s="452"/>
      <c r="E941" s="136"/>
      <c r="F941" s="253"/>
      <c r="G941" s="253"/>
      <c r="H941" s="527"/>
      <c r="I941" s="141"/>
      <c r="J941" s="141"/>
      <c r="K941" s="142"/>
      <c r="L941" s="142"/>
      <c r="M941" s="142"/>
      <c r="N941" s="142"/>
      <c r="O941" s="136"/>
      <c r="P941" s="34"/>
      <c r="Q941" s="35"/>
      <c r="R941" s="35"/>
      <c r="S941" s="35"/>
      <c r="T941" s="35"/>
      <c r="U941" s="35"/>
      <c r="V941" s="35"/>
      <c r="W941" s="35"/>
      <c r="X941" s="35"/>
      <c r="Y941" s="35"/>
      <c r="Z941" s="35"/>
    </row>
    <row r="942" ht="14.25" customHeight="1">
      <c r="A942" s="136"/>
      <c r="B942" s="137"/>
      <c r="C942" s="251"/>
      <c r="D942" s="452"/>
      <c r="E942" s="136"/>
      <c r="F942" s="253"/>
      <c r="G942" s="253"/>
      <c r="H942" s="527"/>
      <c r="I942" s="141"/>
      <c r="J942" s="141"/>
      <c r="K942" s="142"/>
      <c r="L942" s="142"/>
      <c r="M942" s="142"/>
      <c r="N942" s="142"/>
      <c r="O942" s="136"/>
      <c r="P942" s="34"/>
      <c r="Q942" s="35"/>
      <c r="R942" s="35"/>
      <c r="S942" s="35"/>
      <c r="T942" s="35"/>
      <c r="U942" s="35"/>
      <c r="V942" s="35"/>
      <c r="W942" s="35"/>
      <c r="X942" s="35"/>
      <c r="Y942" s="35"/>
      <c r="Z942" s="35"/>
    </row>
    <row r="943" ht="14.25" customHeight="1">
      <c r="A943" s="136"/>
      <c r="B943" s="137"/>
      <c r="C943" s="251"/>
      <c r="D943" s="452"/>
      <c r="E943" s="136"/>
      <c r="F943" s="253"/>
      <c r="G943" s="253"/>
      <c r="H943" s="527"/>
      <c r="I943" s="141"/>
      <c r="J943" s="141"/>
      <c r="K943" s="142"/>
      <c r="L943" s="142"/>
      <c r="M943" s="142"/>
      <c r="N943" s="142"/>
      <c r="O943" s="136"/>
      <c r="P943" s="34"/>
      <c r="Q943" s="35"/>
      <c r="R943" s="35"/>
      <c r="S943" s="35"/>
      <c r="T943" s="35"/>
      <c r="U943" s="35"/>
      <c r="V943" s="35"/>
      <c r="W943" s="35"/>
      <c r="X943" s="35"/>
      <c r="Y943" s="35"/>
      <c r="Z943" s="35"/>
    </row>
    <row r="944" ht="14.25" customHeight="1">
      <c r="A944" s="136"/>
      <c r="B944" s="137"/>
      <c r="C944" s="251"/>
      <c r="D944" s="452"/>
      <c r="E944" s="136"/>
      <c r="F944" s="253"/>
      <c r="G944" s="253"/>
      <c r="H944" s="527"/>
      <c r="I944" s="141"/>
      <c r="J944" s="141"/>
      <c r="K944" s="142"/>
      <c r="L944" s="142"/>
      <c r="M944" s="142"/>
      <c r="N944" s="142"/>
      <c r="O944" s="136"/>
      <c r="P944" s="34"/>
      <c r="Q944" s="35"/>
      <c r="R944" s="35"/>
      <c r="S944" s="35"/>
      <c r="T944" s="35"/>
      <c r="U944" s="35"/>
      <c r="V944" s="35"/>
      <c r="W944" s="35"/>
      <c r="X944" s="35"/>
      <c r="Y944" s="35"/>
      <c r="Z944" s="35"/>
    </row>
    <row r="945" ht="14.25" customHeight="1">
      <c r="A945" s="136"/>
      <c r="B945" s="137"/>
      <c r="C945" s="251"/>
      <c r="D945" s="452"/>
      <c r="E945" s="136"/>
      <c r="F945" s="253"/>
      <c r="G945" s="253"/>
      <c r="H945" s="527"/>
      <c r="I945" s="141"/>
      <c r="J945" s="141"/>
      <c r="K945" s="142"/>
      <c r="L945" s="142"/>
      <c r="M945" s="142"/>
      <c r="N945" s="142"/>
      <c r="O945" s="136"/>
      <c r="P945" s="34"/>
      <c r="Q945" s="35"/>
      <c r="R945" s="35"/>
      <c r="S945" s="35"/>
      <c r="T945" s="35"/>
      <c r="U945" s="35"/>
      <c r="V945" s="35"/>
      <c r="W945" s="35"/>
      <c r="X945" s="35"/>
      <c r="Y945" s="35"/>
      <c r="Z945" s="35"/>
    </row>
    <row r="946" ht="14.25" customHeight="1">
      <c r="A946" s="136"/>
      <c r="B946" s="137"/>
      <c r="C946" s="251"/>
      <c r="D946" s="452"/>
      <c r="E946" s="136"/>
      <c r="F946" s="253"/>
      <c r="G946" s="253"/>
      <c r="H946" s="527"/>
      <c r="I946" s="141"/>
      <c r="J946" s="141"/>
      <c r="K946" s="142"/>
      <c r="L946" s="142"/>
      <c r="M946" s="142"/>
      <c r="N946" s="142"/>
      <c r="O946" s="136"/>
      <c r="P946" s="34"/>
      <c r="Q946" s="35"/>
      <c r="R946" s="35"/>
      <c r="S946" s="35"/>
      <c r="T946" s="35"/>
      <c r="U946" s="35"/>
      <c r="V946" s="35"/>
      <c r="W946" s="35"/>
      <c r="X946" s="35"/>
      <c r="Y946" s="35"/>
      <c r="Z946" s="35"/>
    </row>
    <row r="947" ht="14.25" customHeight="1">
      <c r="A947" s="136"/>
      <c r="B947" s="137"/>
      <c r="C947" s="251"/>
      <c r="D947" s="452"/>
      <c r="E947" s="136"/>
      <c r="F947" s="253"/>
      <c r="G947" s="253"/>
      <c r="H947" s="527"/>
      <c r="I947" s="141"/>
      <c r="J947" s="141"/>
      <c r="K947" s="142"/>
      <c r="L947" s="142"/>
      <c r="M947" s="142"/>
      <c r="N947" s="142"/>
      <c r="O947" s="136"/>
      <c r="P947" s="34"/>
      <c r="Q947" s="35"/>
      <c r="R947" s="35"/>
      <c r="S947" s="35"/>
      <c r="T947" s="35"/>
      <c r="U947" s="35"/>
      <c r="V947" s="35"/>
      <c r="W947" s="35"/>
      <c r="X947" s="35"/>
      <c r="Y947" s="35"/>
      <c r="Z947" s="35"/>
    </row>
    <row r="948" ht="14.25" customHeight="1">
      <c r="A948" s="136"/>
      <c r="B948" s="137"/>
      <c r="C948" s="251"/>
      <c r="D948" s="452"/>
      <c r="E948" s="136"/>
      <c r="F948" s="253"/>
      <c r="G948" s="253"/>
      <c r="H948" s="527"/>
      <c r="I948" s="141"/>
      <c r="J948" s="141"/>
      <c r="K948" s="142"/>
      <c r="L948" s="142"/>
      <c r="M948" s="142"/>
      <c r="N948" s="142"/>
      <c r="O948" s="136"/>
      <c r="P948" s="34"/>
      <c r="Q948" s="35"/>
      <c r="R948" s="35"/>
      <c r="S948" s="35"/>
      <c r="T948" s="35"/>
      <c r="U948" s="35"/>
      <c r="V948" s="35"/>
      <c r="W948" s="35"/>
      <c r="X948" s="35"/>
      <c r="Y948" s="35"/>
      <c r="Z948" s="35"/>
    </row>
    <row r="949" ht="14.25" customHeight="1">
      <c r="A949" s="136"/>
      <c r="B949" s="137"/>
      <c r="C949" s="251"/>
      <c r="D949" s="452"/>
      <c r="E949" s="136"/>
      <c r="F949" s="253"/>
      <c r="G949" s="253"/>
      <c r="H949" s="527"/>
      <c r="I949" s="141"/>
      <c r="J949" s="141"/>
      <c r="K949" s="142"/>
      <c r="L949" s="142"/>
      <c r="M949" s="142"/>
      <c r="N949" s="142"/>
      <c r="O949" s="136"/>
      <c r="P949" s="34"/>
      <c r="Q949" s="35"/>
      <c r="R949" s="35"/>
      <c r="S949" s="35"/>
      <c r="T949" s="35"/>
      <c r="U949" s="35"/>
      <c r="V949" s="35"/>
      <c r="W949" s="35"/>
      <c r="X949" s="35"/>
      <c r="Y949" s="35"/>
      <c r="Z949" s="35"/>
    </row>
    <row r="950" ht="14.25" customHeight="1">
      <c r="A950" s="136"/>
      <c r="B950" s="137"/>
      <c r="C950" s="251"/>
      <c r="D950" s="452"/>
      <c r="E950" s="136"/>
      <c r="F950" s="253"/>
      <c r="G950" s="253"/>
      <c r="H950" s="527"/>
      <c r="I950" s="141"/>
      <c r="J950" s="141"/>
      <c r="K950" s="142"/>
      <c r="L950" s="142"/>
      <c r="M950" s="142"/>
      <c r="N950" s="142"/>
      <c r="O950" s="136"/>
      <c r="P950" s="34"/>
      <c r="Q950" s="35"/>
      <c r="R950" s="35"/>
      <c r="S950" s="35"/>
      <c r="T950" s="35"/>
      <c r="U950" s="35"/>
      <c r="V950" s="35"/>
      <c r="W950" s="35"/>
      <c r="X950" s="35"/>
      <c r="Y950" s="35"/>
      <c r="Z950" s="35"/>
    </row>
    <row r="951" ht="14.25" customHeight="1">
      <c r="A951" s="136"/>
      <c r="B951" s="137"/>
      <c r="C951" s="251"/>
      <c r="D951" s="452"/>
      <c r="E951" s="136"/>
      <c r="F951" s="253"/>
      <c r="G951" s="253"/>
      <c r="H951" s="527"/>
      <c r="I951" s="141"/>
      <c r="J951" s="141"/>
      <c r="K951" s="142"/>
      <c r="L951" s="142"/>
      <c r="M951" s="142"/>
      <c r="N951" s="142"/>
      <c r="O951" s="136"/>
      <c r="P951" s="34"/>
      <c r="Q951" s="35"/>
      <c r="R951" s="35"/>
      <c r="S951" s="35"/>
      <c r="T951" s="35"/>
      <c r="U951" s="35"/>
      <c r="V951" s="35"/>
      <c r="W951" s="35"/>
      <c r="X951" s="35"/>
      <c r="Y951" s="35"/>
      <c r="Z951" s="35"/>
    </row>
    <row r="952" ht="14.25" customHeight="1">
      <c r="A952" s="136"/>
      <c r="B952" s="137"/>
      <c r="C952" s="251"/>
      <c r="D952" s="452"/>
      <c r="E952" s="136"/>
      <c r="F952" s="253"/>
      <c r="G952" s="253"/>
      <c r="H952" s="527"/>
      <c r="I952" s="141"/>
      <c r="J952" s="141"/>
      <c r="K952" s="142"/>
      <c r="L952" s="142"/>
      <c r="M952" s="142"/>
      <c r="N952" s="142"/>
      <c r="O952" s="136"/>
      <c r="P952" s="34"/>
      <c r="Q952" s="35"/>
      <c r="R952" s="35"/>
      <c r="S952" s="35"/>
      <c r="T952" s="35"/>
      <c r="U952" s="35"/>
      <c r="V952" s="35"/>
      <c r="W952" s="35"/>
      <c r="X952" s="35"/>
      <c r="Y952" s="35"/>
      <c r="Z952" s="35"/>
    </row>
    <row r="953" ht="14.25" customHeight="1">
      <c r="A953" s="136"/>
      <c r="B953" s="137"/>
      <c r="C953" s="251"/>
      <c r="D953" s="452"/>
      <c r="E953" s="136"/>
      <c r="F953" s="253"/>
      <c r="G953" s="253"/>
      <c r="H953" s="527"/>
      <c r="I953" s="141"/>
      <c r="J953" s="141"/>
      <c r="K953" s="142"/>
      <c r="L953" s="142"/>
      <c r="M953" s="142"/>
      <c r="N953" s="142"/>
      <c r="O953" s="136"/>
      <c r="P953" s="34"/>
      <c r="Q953" s="35"/>
      <c r="R953" s="35"/>
      <c r="S953" s="35"/>
      <c r="T953" s="35"/>
      <c r="U953" s="35"/>
      <c r="V953" s="35"/>
      <c r="W953" s="35"/>
      <c r="X953" s="35"/>
      <c r="Y953" s="35"/>
      <c r="Z953" s="35"/>
    </row>
    <row r="954" ht="14.25" customHeight="1">
      <c r="A954" s="136"/>
      <c r="B954" s="137"/>
      <c r="C954" s="251"/>
      <c r="D954" s="452"/>
      <c r="E954" s="136"/>
      <c r="F954" s="253"/>
      <c r="G954" s="253"/>
      <c r="H954" s="527"/>
      <c r="I954" s="141"/>
      <c r="J954" s="141"/>
      <c r="K954" s="142"/>
      <c r="L954" s="142"/>
      <c r="M954" s="142"/>
      <c r="N954" s="142"/>
      <c r="O954" s="136"/>
      <c r="P954" s="34"/>
      <c r="Q954" s="35"/>
      <c r="R954" s="35"/>
      <c r="S954" s="35"/>
      <c r="T954" s="35"/>
      <c r="U954" s="35"/>
      <c r="V954" s="35"/>
      <c r="W954" s="35"/>
      <c r="X954" s="35"/>
      <c r="Y954" s="35"/>
      <c r="Z954" s="35"/>
    </row>
    <row r="955" ht="14.25" customHeight="1">
      <c r="A955" s="136"/>
      <c r="B955" s="137"/>
      <c r="C955" s="251"/>
      <c r="D955" s="452"/>
      <c r="E955" s="136"/>
      <c r="F955" s="253"/>
      <c r="G955" s="253"/>
      <c r="H955" s="527"/>
      <c r="I955" s="141"/>
      <c r="J955" s="141"/>
      <c r="K955" s="142"/>
      <c r="L955" s="142"/>
      <c r="M955" s="142"/>
      <c r="N955" s="142"/>
      <c r="O955" s="136"/>
      <c r="P955" s="34"/>
      <c r="Q955" s="35"/>
      <c r="R955" s="35"/>
      <c r="S955" s="35"/>
      <c r="T955" s="35"/>
      <c r="U955" s="35"/>
      <c r="V955" s="35"/>
      <c r="W955" s="35"/>
      <c r="X955" s="35"/>
      <c r="Y955" s="35"/>
      <c r="Z955" s="35"/>
    </row>
    <row r="956" ht="14.25" customHeight="1">
      <c r="A956" s="136"/>
      <c r="B956" s="137"/>
      <c r="C956" s="251"/>
      <c r="D956" s="452"/>
      <c r="E956" s="136"/>
      <c r="F956" s="253"/>
      <c r="G956" s="253"/>
      <c r="H956" s="527"/>
      <c r="I956" s="141"/>
      <c r="J956" s="141"/>
      <c r="K956" s="142"/>
      <c r="L956" s="142"/>
      <c r="M956" s="142"/>
      <c r="N956" s="142"/>
      <c r="O956" s="136"/>
      <c r="P956" s="34"/>
      <c r="Q956" s="35"/>
      <c r="R956" s="35"/>
      <c r="S956" s="35"/>
      <c r="T956" s="35"/>
      <c r="U956" s="35"/>
      <c r="V956" s="35"/>
      <c r="W956" s="35"/>
      <c r="X956" s="35"/>
      <c r="Y956" s="35"/>
      <c r="Z956" s="35"/>
    </row>
    <row r="957" ht="14.25" customHeight="1">
      <c r="A957" s="136"/>
      <c r="B957" s="137"/>
      <c r="C957" s="251"/>
      <c r="D957" s="452"/>
      <c r="E957" s="136"/>
      <c r="F957" s="253"/>
      <c r="G957" s="253"/>
      <c r="H957" s="527"/>
      <c r="I957" s="141"/>
      <c r="J957" s="141"/>
      <c r="K957" s="142"/>
      <c r="L957" s="142"/>
      <c r="M957" s="142"/>
      <c r="N957" s="142"/>
      <c r="O957" s="136"/>
      <c r="P957" s="34"/>
      <c r="Q957" s="35"/>
      <c r="R957" s="35"/>
      <c r="S957" s="35"/>
      <c r="T957" s="35"/>
      <c r="U957" s="35"/>
      <c r="V957" s="35"/>
      <c r="W957" s="35"/>
      <c r="X957" s="35"/>
      <c r="Y957" s="35"/>
      <c r="Z957" s="35"/>
    </row>
    <row r="958" ht="14.25" customHeight="1">
      <c r="A958" s="136"/>
      <c r="B958" s="137"/>
      <c r="C958" s="251"/>
      <c r="D958" s="452"/>
      <c r="E958" s="136"/>
      <c r="F958" s="253"/>
      <c r="G958" s="253"/>
      <c r="H958" s="527"/>
      <c r="I958" s="141"/>
      <c r="J958" s="141"/>
      <c r="K958" s="142"/>
      <c r="L958" s="142"/>
      <c r="M958" s="142"/>
      <c r="N958" s="142"/>
      <c r="O958" s="136"/>
      <c r="P958" s="34"/>
      <c r="Q958" s="35"/>
      <c r="R958" s="35"/>
      <c r="S958" s="35"/>
      <c r="T958" s="35"/>
      <c r="U958" s="35"/>
      <c r="V958" s="35"/>
      <c r="W958" s="35"/>
      <c r="X958" s="35"/>
      <c r="Y958" s="35"/>
      <c r="Z958" s="35"/>
    </row>
    <row r="959" ht="14.25" customHeight="1">
      <c r="A959" s="136"/>
      <c r="B959" s="137"/>
      <c r="C959" s="251"/>
      <c r="D959" s="452"/>
      <c r="E959" s="136"/>
      <c r="F959" s="253"/>
      <c r="G959" s="253"/>
      <c r="H959" s="527"/>
      <c r="I959" s="141"/>
      <c r="J959" s="141"/>
      <c r="K959" s="142"/>
      <c r="L959" s="142"/>
      <c r="M959" s="142"/>
      <c r="N959" s="142"/>
      <c r="O959" s="136"/>
      <c r="P959" s="34"/>
      <c r="Q959" s="35"/>
      <c r="R959" s="35"/>
      <c r="S959" s="35"/>
      <c r="T959" s="35"/>
      <c r="U959" s="35"/>
      <c r="V959" s="35"/>
      <c r="W959" s="35"/>
      <c r="X959" s="35"/>
      <c r="Y959" s="35"/>
      <c r="Z959" s="35"/>
    </row>
    <row r="960" ht="14.25" customHeight="1">
      <c r="A960" s="136"/>
      <c r="B960" s="137"/>
      <c r="C960" s="251"/>
      <c r="D960" s="452"/>
      <c r="E960" s="136"/>
      <c r="F960" s="253"/>
      <c r="G960" s="253"/>
      <c r="H960" s="527"/>
      <c r="I960" s="141"/>
      <c r="J960" s="141"/>
      <c r="K960" s="142"/>
      <c r="L960" s="142"/>
      <c r="M960" s="142"/>
      <c r="N960" s="142"/>
      <c r="O960" s="136"/>
      <c r="P960" s="34"/>
      <c r="Q960" s="35"/>
      <c r="R960" s="35"/>
      <c r="S960" s="35"/>
      <c r="T960" s="35"/>
      <c r="U960" s="35"/>
      <c r="V960" s="35"/>
      <c r="W960" s="35"/>
      <c r="X960" s="35"/>
      <c r="Y960" s="35"/>
      <c r="Z960" s="35"/>
    </row>
    <row r="961" ht="14.25" customHeight="1">
      <c r="A961" s="136"/>
      <c r="B961" s="137"/>
      <c r="C961" s="251"/>
      <c r="D961" s="452"/>
      <c r="E961" s="136"/>
      <c r="F961" s="253"/>
      <c r="G961" s="253"/>
      <c r="H961" s="527"/>
      <c r="I961" s="141"/>
      <c r="J961" s="141"/>
      <c r="K961" s="142"/>
      <c r="L961" s="142"/>
      <c r="M961" s="142"/>
      <c r="N961" s="142"/>
      <c r="O961" s="136"/>
      <c r="P961" s="34"/>
      <c r="Q961" s="35"/>
      <c r="R961" s="35"/>
      <c r="S961" s="35"/>
      <c r="T961" s="35"/>
      <c r="U961" s="35"/>
      <c r="V961" s="35"/>
      <c r="W961" s="35"/>
      <c r="X961" s="35"/>
      <c r="Y961" s="35"/>
      <c r="Z961" s="35"/>
    </row>
    <row r="962" ht="14.25" customHeight="1">
      <c r="A962" s="136"/>
      <c r="B962" s="137"/>
      <c r="C962" s="251"/>
      <c r="D962" s="452"/>
      <c r="E962" s="136"/>
      <c r="F962" s="253"/>
      <c r="G962" s="253"/>
      <c r="H962" s="527"/>
      <c r="I962" s="141"/>
      <c r="J962" s="141"/>
      <c r="K962" s="142"/>
      <c r="L962" s="142"/>
      <c r="M962" s="142"/>
      <c r="N962" s="142"/>
      <c r="O962" s="136"/>
      <c r="P962" s="34"/>
      <c r="Q962" s="35"/>
      <c r="R962" s="35"/>
      <c r="S962" s="35"/>
      <c r="T962" s="35"/>
      <c r="U962" s="35"/>
      <c r="V962" s="35"/>
      <c r="W962" s="35"/>
      <c r="X962" s="35"/>
      <c r="Y962" s="35"/>
      <c r="Z962" s="35"/>
    </row>
    <row r="963" ht="14.25" customHeight="1">
      <c r="A963" s="136"/>
      <c r="B963" s="137"/>
      <c r="C963" s="251"/>
      <c r="D963" s="452"/>
      <c r="E963" s="136"/>
      <c r="F963" s="253"/>
      <c r="G963" s="253"/>
      <c r="H963" s="527"/>
      <c r="I963" s="141"/>
      <c r="J963" s="141"/>
      <c r="K963" s="142"/>
      <c r="L963" s="142"/>
      <c r="M963" s="142"/>
      <c r="N963" s="142"/>
      <c r="O963" s="136"/>
      <c r="P963" s="34"/>
      <c r="Q963" s="35"/>
      <c r="R963" s="35"/>
      <c r="S963" s="35"/>
      <c r="T963" s="35"/>
      <c r="U963" s="35"/>
      <c r="V963" s="35"/>
      <c r="W963" s="35"/>
      <c r="X963" s="35"/>
      <c r="Y963" s="35"/>
      <c r="Z963" s="35"/>
    </row>
    <row r="964" ht="14.25" customHeight="1">
      <c r="A964" s="136"/>
      <c r="B964" s="137"/>
      <c r="C964" s="251"/>
      <c r="D964" s="452"/>
      <c r="E964" s="136"/>
      <c r="F964" s="253"/>
      <c r="G964" s="253"/>
      <c r="H964" s="527"/>
      <c r="I964" s="141"/>
      <c r="J964" s="141"/>
      <c r="K964" s="142"/>
      <c r="L964" s="142"/>
      <c r="M964" s="142"/>
      <c r="N964" s="142"/>
      <c r="O964" s="136"/>
      <c r="P964" s="34"/>
      <c r="Q964" s="35"/>
      <c r="R964" s="35"/>
      <c r="S964" s="35"/>
      <c r="T964" s="35"/>
      <c r="U964" s="35"/>
      <c r="V964" s="35"/>
      <c r="W964" s="35"/>
      <c r="X964" s="35"/>
      <c r="Y964" s="35"/>
      <c r="Z964" s="35"/>
    </row>
    <row r="965" ht="14.25" customHeight="1">
      <c r="A965" s="136"/>
      <c r="B965" s="137"/>
      <c r="C965" s="251"/>
      <c r="D965" s="452"/>
      <c r="E965" s="136"/>
      <c r="F965" s="253"/>
      <c r="G965" s="253"/>
      <c r="H965" s="527"/>
      <c r="I965" s="141"/>
      <c r="J965" s="141"/>
      <c r="K965" s="142"/>
      <c r="L965" s="142"/>
      <c r="M965" s="142"/>
      <c r="N965" s="142"/>
      <c r="O965" s="136"/>
      <c r="P965" s="34"/>
      <c r="Q965" s="35"/>
      <c r="R965" s="35"/>
      <c r="S965" s="35"/>
      <c r="T965" s="35"/>
      <c r="U965" s="35"/>
      <c r="V965" s="35"/>
      <c r="W965" s="35"/>
      <c r="X965" s="35"/>
      <c r="Y965" s="35"/>
      <c r="Z965" s="35"/>
    </row>
    <row r="966" ht="14.25" customHeight="1">
      <c r="A966" s="136"/>
      <c r="B966" s="137"/>
      <c r="C966" s="251"/>
      <c r="D966" s="452"/>
      <c r="E966" s="136"/>
      <c r="F966" s="253"/>
      <c r="G966" s="253"/>
      <c r="H966" s="527"/>
      <c r="I966" s="141"/>
      <c r="J966" s="141"/>
      <c r="K966" s="142"/>
      <c r="L966" s="142"/>
      <c r="M966" s="142"/>
      <c r="N966" s="142"/>
      <c r="O966" s="136"/>
      <c r="P966" s="34"/>
      <c r="Q966" s="35"/>
      <c r="R966" s="35"/>
      <c r="S966" s="35"/>
      <c r="T966" s="35"/>
      <c r="U966" s="35"/>
      <c r="V966" s="35"/>
      <c r="W966" s="35"/>
      <c r="X966" s="35"/>
      <c r="Y966" s="35"/>
      <c r="Z966" s="35"/>
    </row>
    <row r="967" ht="14.25" customHeight="1">
      <c r="A967" s="136"/>
      <c r="B967" s="137"/>
      <c r="C967" s="251"/>
      <c r="D967" s="452"/>
      <c r="E967" s="136"/>
      <c r="F967" s="253"/>
      <c r="G967" s="253"/>
      <c r="H967" s="527"/>
      <c r="I967" s="141"/>
      <c r="J967" s="141"/>
      <c r="K967" s="142"/>
      <c r="L967" s="142"/>
      <c r="M967" s="142"/>
      <c r="N967" s="142"/>
      <c r="O967" s="136"/>
      <c r="P967" s="34"/>
      <c r="Q967" s="35"/>
      <c r="R967" s="35"/>
      <c r="S967" s="35"/>
      <c r="T967" s="35"/>
      <c r="U967" s="35"/>
      <c r="V967" s="35"/>
      <c r="W967" s="35"/>
      <c r="X967" s="35"/>
      <c r="Y967" s="35"/>
      <c r="Z967" s="35"/>
    </row>
    <row r="968" ht="14.25" customHeight="1">
      <c r="A968" s="136"/>
      <c r="B968" s="137"/>
      <c r="C968" s="251"/>
      <c r="D968" s="452"/>
      <c r="E968" s="136"/>
      <c r="F968" s="253"/>
      <c r="G968" s="253"/>
      <c r="H968" s="527"/>
      <c r="I968" s="141"/>
      <c r="J968" s="141"/>
      <c r="K968" s="142"/>
      <c r="L968" s="142"/>
      <c r="M968" s="142"/>
      <c r="N968" s="142"/>
      <c r="O968" s="136"/>
      <c r="P968" s="34"/>
      <c r="Q968" s="35"/>
      <c r="R968" s="35"/>
      <c r="S968" s="35"/>
      <c r="T968" s="35"/>
      <c r="U968" s="35"/>
      <c r="V968" s="35"/>
      <c r="W968" s="35"/>
      <c r="X968" s="35"/>
      <c r="Y968" s="35"/>
      <c r="Z968" s="35"/>
    </row>
    <row r="969" ht="14.25" customHeight="1">
      <c r="A969" s="136"/>
      <c r="B969" s="137"/>
      <c r="C969" s="251"/>
      <c r="D969" s="452"/>
      <c r="E969" s="136"/>
      <c r="F969" s="253"/>
      <c r="G969" s="253"/>
      <c r="H969" s="527"/>
      <c r="I969" s="141"/>
      <c r="J969" s="141"/>
      <c r="K969" s="142"/>
      <c r="L969" s="142"/>
      <c r="M969" s="142"/>
      <c r="N969" s="142"/>
      <c r="O969" s="136"/>
      <c r="P969" s="34"/>
      <c r="Q969" s="35"/>
      <c r="R969" s="35"/>
      <c r="S969" s="35"/>
      <c r="T969" s="35"/>
      <c r="U969" s="35"/>
      <c r="V969" s="35"/>
      <c r="W969" s="35"/>
      <c r="X969" s="35"/>
      <c r="Y969" s="35"/>
      <c r="Z969" s="35"/>
    </row>
    <row r="970" ht="14.25" customHeight="1">
      <c r="A970" s="136"/>
      <c r="B970" s="137"/>
      <c r="C970" s="251"/>
      <c r="D970" s="452"/>
      <c r="E970" s="136"/>
      <c r="F970" s="253"/>
      <c r="G970" s="253"/>
      <c r="H970" s="527"/>
      <c r="I970" s="141"/>
      <c r="J970" s="141"/>
      <c r="K970" s="142"/>
      <c r="L970" s="142"/>
      <c r="M970" s="142"/>
      <c r="N970" s="142"/>
      <c r="O970" s="136"/>
      <c r="P970" s="34"/>
      <c r="Q970" s="35"/>
      <c r="R970" s="35"/>
      <c r="S970" s="35"/>
      <c r="T970" s="35"/>
      <c r="U970" s="35"/>
      <c r="V970" s="35"/>
      <c r="W970" s="35"/>
      <c r="X970" s="35"/>
      <c r="Y970" s="35"/>
      <c r="Z970" s="35"/>
    </row>
    <row r="971" ht="14.25" customHeight="1">
      <c r="A971" s="136"/>
      <c r="B971" s="137"/>
      <c r="C971" s="251"/>
      <c r="D971" s="452"/>
      <c r="E971" s="136"/>
      <c r="F971" s="253"/>
      <c r="G971" s="253"/>
      <c r="H971" s="527"/>
      <c r="I971" s="141"/>
      <c r="J971" s="141"/>
      <c r="K971" s="142"/>
      <c r="L971" s="142"/>
      <c r="M971" s="142"/>
      <c r="N971" s="142"/>
      <c r="O971" s="136"/>
      <c r="P971" s="34"/>
      <c r="Q971" s="35"/>
      <c r="R971" s="35"/>
      <c r="S971" s="35"/>
      <c r="T971" s="35"/>
      <c r="U971" s="35"/>
      <c r="V971" s="35"/>
      <c r="W971" s="35"/>
      <c r="X971" s="35"/>
      <c r="Y971" s="35"/>
      <c r="Z971" s="35"/>
    </row>
    <row r="972" ht="14.25" customHeight="1">
      <c r="A972" s="136"/>
      <c r="B972" s="137"/>
      <c r="C972" s="251"/>
      <c r="D972" s="452"/>
      <c r="E972" s="136"/>
      <c r="F972" s="253"/>
      <c r="G972" s="253"/>
      <c r="H972" s="527"/>
      <c r="I972" s="141"/>
      <c r="J972" s="141"/>
      <c r="K972" s="142"/>
      <c r="L972" s="142"/>
      <c r="M972" s="142"/>
      <c r="N972" s="142"/>
      <c r="O972" s="136"/>
      <c r="P972" s="34"/>
      <c r="Q972" s="35"/>
      <c r="R972" s="35"/>
      <c r="S972" s="35"/>
      <c r="T972" s="35"/>
      <c r="U972" s="35"/>
      <c r="V972" s="35"/>
      <c r="W972" s="35"/>
      <c r="X972" s="35"/>
      <c r="Y972" s="35"/>
      <c r="Z972" s="35"/>
    </row>
    <row r="973" ht="14.25" customHeight="1">
      <c r="A973" s="136"/>
      <c r="B973" s="137"/>
      <c r="C973" s="251"/>
      <c r="D973" s="452"/>
      <c r="E973" s="136"/>
      <c r="F973" s="253"/>
      <c r="G973" s="253"/>
      <c r="H973" s="527"/>
      <c r="I973" s="141"/>
      <c r="J973" s="141"/>
      <c r="K973" s="142"/>
      <c r="L973" s="142"/>
      <c r="M973" s="142"/>
      <c r="N973" s="142"/>
      <c r="O973" s="136"/>
      <c r="P973" s="34"/>
      <c r="Q973" s="35"/>
      <c r="R973" s="35"/>
      <c r="S973" s="35"/>
      <c r="T973" s="35"/>
      <c r="U973" s="35"/>
      <c r="V973" s="35"/>
      <c r="W973" s="35"/>
      <c r="X973" s="35"/>
      <c r="Y973" s="35"/>
      <c r="Z973" s="35"/>
    </row>
    <row r="974" ht="14.25" customHeight="1">
      <c r="A974" s="136"/>
      <c r="B974" s="137"/>
      <c r="C974" s="251"/>
      <c r="D974" s="452"/>
      <c r="E974" s="136"/>
      <c r="F974" s="253"/>
      <c r="G974" s="253"/>
      <c r="H974" s="527"/>
      <c r="I974" s="141"/>
      <c r="J974" s="141"/>
      <c r="K974" s="142"/>
      <c r="L974" s="142"/>
      <c r="M974" s="142"/>
      <c r="N974" s="142"/>
      <c r="O974" s="136"/>
      <c r="P974" s="34"/>
      <c r="Q974" s="35"/>
      <c r="R974" s="35"/>
      <c r="S974" s="35"/>
      <c r="T974" s="35"/>
      <c r="U974" s="35"/>
      <c r="V974" s="35"/>
      <c r="W974" s="35"/>
      <c r="X974" s="35"/>
      <c r="Y974" s="35"/>
      <c r="Z974" s="35"/>
    </row>
    <row r="975" ht="14.25" customHeight="1">
      <c r="A975" s="136"/>
      <c r="B975" s="137"/>
      <c r="C975" s="251"/>
      <c r="D975" s="452"/>
      <c r="E975" s="136"/>
      <c r="F975" s="253"/>
      <c r="G975" s="253"/>
      <c r="H975" s="527"/>
      <c r="I975" s="141"/>
      <c r="J975" s="141"/>
      <c r="K975" s="142"/>
      <c r="L975" s="142"/>
      <c r="M975" s="142"/>
      <c r="N975" s="142"/>
      <c r="O975" s="136"/>
      <c r="P975" s="34"/>
      <c r="Q975" s="35"/>
      <c r="R975" s="35"/>
      <c r="S975" s="35"/>
      <c r="T975" s="35"/>
      <c r="U975" s="35"/>
      <c r="V975" s="35"/>
      <c r="W975" s="35"/>
      <c r="X975" s="35"/>
      <c r="Y975" s="35"/>
      <c r="Z975" s="35"/>
    </row>
    <row r="976" ht="14.25" customHeight="1">
      <c r="A976" s="136"/>
      <c r="B976" s="137"/>
      <c r="C976" s="251"/>
      <c r="D976" s="452"/>
      <c r="E976" s="136"/>
      <c r="F976" s="253"/>
      <c r="G976" s="253"/>
      <c r="H976" s="527"/>
      <c r="I976" s="141"/>
      <c r="J976" s="141"/>
      <c r="K976" s="142"/>
      <c r="L976" s="142"/>
      <c r="M976" s="142"/>
      <c r="N976" s="142"/>
      <c r="O976" s="136"/>
      <c r="P976" s="34"/>
      <c r="Q976" s="35"/>
      <c r="R976" s="35"/>
      <c r="S976" s="35"/>
      <c r="T976" s="35"/>
      <c r="U976" s="35"/>
      <c r="V976" s="35"/>
      <c r="W976" s="35"/>
      <c r="X976" s="35"/>
      <c r="Y976" s="35"/>
      <c r="Z976" s="35"/>
    </row>
    <row r="977" ht="14.25" customHeight="1">
      <c r="A977" s="136"/>
      <c r="B977" s="137"/>
      <c r="C977" s="251"/>
      <c r="D977" s="452"/>
      <c r="E977" s="136"/>
      <c r="F977" s="253"/>
      <c r="G977" s="253"/>
      <c r="H977" s="527"/>
      <c r="I977" s="141"/>
      <c r="J977" s="141"/>
      <c r="K977" s="142"/>
      <c r="L977" s="142"/>
      <c r="M977" s="142"/>
      <c r="N977" s="142"/>
      <c r="O977" s="136"/>
      <c r="P977" s="34"/>
      <c r="Q977" s="35"/>
      <c r="R977" s="35"/>
      <c r="S977" s="35"/>
      <c r="T977" s="35"/>
      <c r="U977" s="35"/>
      <c r="V977" s="35"/>
      <c r="W977" s="35"/>
      <c r="X977" s="35"/>
      <c r="Y977" s="35"/>
      <c r="Z977" s="35"/>
    </row>
    <row r="978" ht="14.25" customHeight="1">
      <c r="A978" s="136"/>
      <c r="B978" s="137"/>
      <c r="C978" s="251"/>
      <c r="D978" s="452"/>
      <c r="E978" s="136"/>
      <c r="F978" s="253"/>
      <c r="G978" s="253"/>
      <c r="H978" s="527"/>
      <c r="I978" s="141"/>
      <c r="J978" s="141"/>
      <c r="K978" s="142"/>
      <c r="L978" s="142"/>
      <c r="M978" s="142"/>
      <c r="N978" s="142"/>
      <c r="O978" s="136"/>
      <c r="P978" s="34"/>
      <c r="Q978" s="35"/>
      <c r="R978" s="35"/>
      <c r="S978" s="35"/>
      <c r="T978" s="35"/>
      <c r="U978" s="35"/>
      <c r="V978" s="35"/>
      <c r="W978" s="35"/>
      <c r="X978" s="35"/>
      <c r="Y978" s="35"/>
      <c r="Z978" s="35"/>
    </row>
    <row r="979" ht="14.25" customHeight="1">
      <c r="A979" s="136"/>
      <c r="B979" s="137"/>
      <c r="C979" s="251"/>
      <c r="D979" s="452"/>
      <c r="E979" s="136"/>
      <c r="F979" s="253"/>
      <c r="G979" s="253"/>
      <c r="H979" s="527"/>
      <c r="I979" s="141"/>
      <c r="J979" s="141"/>
      <c r="K979" s="142"/>
      <c r="L979" s="142"/>
      <c r="M979" s="142"/>
      <c r="N979" s="142"/>
      <c r="O979" s="136"/>
      <c r="P979" s="34"/>
      <c r="Q979" s="35"/>
      <c r="R979" s="35"/>
      <c r="S979" s="35"/>
      <c r="T979" s="35"/>
      <c r="U979" s="35"/>
      <c r="V979" s="35"/>
      <c r="W979" s="35"/>
      <c r="X979" s="35"/>
      <c r="Y979" s="35"/>
      <c r="Z979" s="35"/>
    </row>
    <row r="980" ht="14.25" customHeight="1">
      <c r="A980" s="136"/>
      <c r="B980" s="137"/>
      <c r="C980" s="251"/>
      <c r="D980" s="452"/>
      <c r="E980" s="136"/>
      <c r="F980" s="253"/>
      <c r="G980" s="253"/>
      <c r="H980" s="527"/>
      <c r="I980" s="141"/>
      <c r="J980" s="141"/>
      <c r="K980" s="142"/>
      <c r="L980" s="142"/>
      <c r="M980" s="142"/>
      <c r="N980" s="142"/>
      <c r="O980" s="136"/>
      <c r="P980" s="34"/>
      <c r="Q980" s="35"/>
      <c r="R980" s="35"/>
      <c r="S980" s="35"/>
      <c r="T980" s="35"/>
      <c r="U980" s="35"/>
      <c r="V980" s="35"/>
      <c r="W980" s="35"/>
      <c r="X980" s="35"/>
      <c r="Y980" s="35"/>
      <c r="Z980" s="35"/>
    </row>
    <row r="981" ht="14.25" customHeight="1">
      <c r="A981" s="136"/>
      <c r="B981" s="137"/>
      <c r="C981" s="251"/>
      <c r="D981" s="452"/>
      <c r="E981" s="136"/>
      <c r="F981" s="253"/>
      <c r="G981" s="253"/>
      <c r="H981" s="527"/>
      <c r="I981" s="141"/>
      <c r="J981" s="141"/>
      <c r="K981" s="142"/>
      <c r="L981" s="142"/>
      <c r="M981" s="142"/>
      <c r="N981" s="142"/>
      <c r="O981" s="136"/>
      <c r="P981" s="34"/>
      <c r="Q981" s="35"/>
      <c r="R981" s="35"/>
      <c r="S981" s="35"/>
      <c r="T981" s="35"/>
      <c r="U981" s="35"/>
      <c r="V981" s="35"/>
      <c r="W981" s="35"/>
      <c r="X981" s="35"/>
      <c r="Y981" s="35"/>
      <c r="Z981" s="35"/>
    </row>
    <row r="982" ht="14.25" customHeight="1">
      <c r="A982" s="136"/>
      <c r="B982" s="137"/>
      <c r="C982" s="251"/>
      <c r="D982" s="452"/>
      <c r="E982" s="136"/>
      <c r="F982" s="253"/>
      <c r="G982" s="253"/>
      <c r="H982" s="527"/>
      <c r="I982" s="141"/>
      <c r="J982" s="141"/>
      <c r="K982" s="142"/>
      <c r="L982" s="142"/>
      <c r="M982" s="142"/>
      <c r="N982" s="142"/>
      <c r="O982" s="136"/>
      <c r="P982" s="34"/>
      <c r="Q982" s="35"/>
      <c r="R982" s="35"/>
      <c r="S982" s="35"/>
      <c r="T982" s="35"/>
      <c r="U982" s="35"/>
      <c r="V982" s="35"/>
      <c r="W982" s="35"/>
      <c r="X982" s="35"/>
      <c r="Y982" s="35"/>
      <c r="Z982" s="35"/>
    </row>
    <row r="983" ht="14.25" customHeight="1">
      <c r="A983" s="136"/>
      <c r="B983" s="137"/>
      <c r="C983" s="251"/>
      <c r="D983" s="452"/>
      <c r="E983" s="136"/>
      <c r="F983" s="253"/>
      <c r="G983" s="253"/>
      <c r="H983" s="527"/>
      <c r="I983" s="141"/>
      <c r="J983" s="141"/>
      <c r="K983" s="142"/>
      <c r="L983" s="142"/>
      <c r="M983" s="142"/>
      <c r="N983" s="142"/>
      <c r="O983" s="136"/>
      <c r="P983" s="34"/>
      <c r="Q983" s="35"/>
      <c r="R983" s="35"/>
      <c r="S983" s="35"/>
      <c r="T983" s="35"/>
      <c r="U983" s="35"/>
      <c r="V983" s="35"/>
      <c r="W983" s="35"/>
      <c r="X983" s="35"/>
      <c r="Y983" s="35"/>
      <c r="Z983" s="35"/>
    </row>
    <row r="984" ht="14.25" customHeight="1">
      <c r="A984" s="136"/>
      <c r="B984" s="137"/>
      <c r="C984" s="251"/>
      <c r="D984" s="452"/>
      <c r="E984" s="136"/>
      <c r="F984" s="253"/>
      <c r="G984" s="253"/>
      <c r="H984" s="527"/>
      <c r="I984" s="141"/>
      <c r="J984" s="141"/>
      <c r="K984" s="142"/>
      <c r="L984" s="142"/>
      <c r="M984" s="142"/>
      <c r="N984" s="142"/>
      <c r="O984" s="136"/>
      <c r="P984" s="34"/>
      <c r="Q984" s="35"/>
      <c r="R984" s="35"/>
      <c r="S984" s="35"/>
      <c r="T984" s="35"/>
      <c r="U984" s="35"/>
      <c r="V984" s="35"/>
      <c r="W984" s="35"/>
      <c r="X984" s="35"/>
      <c r="Y984" s="35"/>
      <c r="Z984" s="35"/>
    </row>
    <row r="985" ht="14.25" customHeight="1">
      <c r="A985" s="136"/>
      <c r="B985" s="137"/>
      <c r="C985" s="251"/>
      <c r="D985" s="452"/>
      <c r="E985" s="136"/>
      <c r="F985" s="253"/>
      <c r="G985" s="253"/>
      <c r="H985" s="527"/>
      <c r="I985" s="141"/>
      <c r="J985" s="141"/>
      <c r="K985" s="142"/>
      <c r="L985" s="142"/>
      <c r="M985" s="142"/>
      <c r="N985" s="142"/>
      <c r="O985" s="136"/>
      <c r="P985" s="34"/>
      <c r="Q985" s="35"/>
      <c r="R985" s="35"/>
      <c r="S985" s="35"/>
      <c r="T985" s="35"/>
      <c r="U985" s="35"/>
      <c r="V985" s="35"/>
      <c r="W985" s="35"/>
      <c r="X985" s="35"/>
      <c r="Y985" s="35"/>
      <c r="Z985" s="35"/>
    </row>
    <row r="986" ht="14.25" customHeight="1">
      <c r="A986" s="136"/>
      <c r="B986" s="137"/>
      <c r="C986" s="251"/>
      <c r="D986" s="452"/>
      <c r="E986" s="136"/>
      <c r="F986" s="253"/>
      <c r="G986" s="253"/>
      <c r="H986" s="527"/>
      <c r="I986" s="141"/>
      <c r="J986" s="141"/>
      <c r="K986" s="142"/>
      <c r="L986" s="142"/>
      <c r="M986" s="142"/>
      <c r="N986" s="142"/>
      <c r="O986" s="136"/>
      <c r="P986" s="34"/>
      <c r="Q986" s="35"/>
      <c r="R986" s="35"/>
      <c r="S986" s="35"/>
      <c r="T986" s="35"/>
      <c r="U986" s="35"/>
      <c r="V986" s="35"/>
      <c r="W986" s="35"/>
      <c r="X986" s="35"/>
      <c r="Y986" s="35"/>
      <c r="Z986" s="35"/>
    </row>
    <row r="987" ht="14.25" customHeight="1">
      <c r="A987" s="136"/>
      <c r="B987" s="137"/>
      <c r="C987" s="251"/>
      <c r="D987" s="452"/>
      <c r="E987" s="136"/>
      <c r="F987" s="253"/>
      <c r="G987" s="253"/>
      <c r="H987" s="527"/>
      <c r="I987" s="141"/>
      <c r="J987" s="141"/>
      <c r="K987" s="142"/>
      <c r="L987" s="142"/>
      <c r="M987" s="142"/>
      <c r="N987" s="142"/>
      <c r="O987" s="136"/>
      <c r="P987" s="34"/>
      <c r="Q987" s="35"/>
      <c r="R987" s="35"/>
      <c r="S987" s="35"/>
      <c r="T987" s="35"/>
      <c r="U987" s="35"/>
      <c r="V987" s="35"/>
      <c r="W987" s="35"/>
      <c r="X987" s="35"/>
      <c r="Y987" s="35"/>
      <c r="Z987" s="35"/>
    </row>
    <row r="988" ht="14.25" customHeight="1">
      <c r="A988" s="136"/>
      <c r="B988" s="137"/>
      <c r="C988" s="251"/>
      <c r="D988" s="452"/>
      <c r="E988" s="136"/>
      <c r="F988" s="253"/>
      <c r="G988" s="253"/>
      <c r="H988" s="527"/>
      <c r="I988" s="141"/>
      <c r="J988" s="141"/>
      <c r="K988" s="142"/>
      <c r="L988" s="142"/>
      <c r="M988" s="142"/>
      <c r="N988" s="142"/>
      <c r="O988" s="136"/>
      <c r="P988" s="34"/>
      <c r="Q988" s="35"/>
      <c r="R988" s="35"/>
      <c r="S988" s="35"/>
      <c r="T988" s="35"/>
      <c r="U988" s="35"/>
      <c r="V988" s="35"/>
      <c r="W988" s="35"/>
      <c r="X988" s="35"/>
      <c r="Y988" s="35"/>
      <c r="Z988" s="35"/>
    </row>
    <row r="989" ht="14.25" customHeight="1">
      <c r="A989" s="136"/>
      <c r="B989" s="137"/>
      <c r="C989" s="251"/>
      <c r="D989" s="452"/>
      <c r="E989" s="136"/>
      <c r="F989" s="253"/>
      <c r="G989" s="253"/>
      <c r="H989" s="527"/>
      <c r="I989" s="141"/>
      <c r="J989" s="141"/>
      <c r="K989" s="142"/>
      <c r="L989" s="142"/>
      <c r="M989" s="142"/>
      <c r="N989" s="142"/>
      <c r="O989" s="136"/>
      <c r="P989" s="34"/>
      <c r="Q989" s="35"/>
      <c r="R989" s="35"/>
      <c r="S989" s="35"/>
      <c r="T989" s="35"/>
      <c r="U989" s="35"/>
      <c r="V989" s="35"/>
      <c r="W989" s="35"/>
      <c r="X989" s="35"/>
      <c r="Y989" s="35"/>
      <c r="Z989" s="35"/>
    </row>
    <row r="990" ht="14.25" customHeight="1">
      <c r="A990" s="136"/>
      <c r="B990" s="137"/>
      <c r="C990" s="251"/>
      <c r="D990" s="452"/>
      <c r="E990" s="136"/>
      <c r="F990" s="253"/>
      <c r="G990" s="253"/>
      <c r="H990" s="527"/>
      <c r="I990" s="141"/>
      <c r="J990" s="141"/>
      <c r="K990" s="142"/>
      <c r="L990" s="142"/>
      <c r="M990" s="142"/>
      <c r="N990" s="142"/>
      <c r="O990" s="136"/>
      <c r="P990" s="34"/>
      <c r="Q990" s="35"/>
      <c r="R990" s="35"/>
      <c r="S990" s="35"/>
      <c r="T990" s="35"/>
      <c r="U990" s="35"/>
      <c r="V990" s="35"/>
      <c r="W990" s="35"/>
      <c r="X990" s="35"/>
      <c r="Y990" s="35"/>
      <c r="Z990" s="35"/>
    </row>
    <row r="991" ht="14.25" customHeight="1">
      <c r="A991" s="136"/>
      <c r="B991" s="137"/>
      <c r="C991" s="251"/>
      <c r="D991" s="452"/>
      <c r="E991" s="136"/>
      <c r="F991" s="253"/>
      <c r="G991" s="253"/>
      <c r="H991" s="527"/>
      <c r="I991" s="141"/>
      <c r="J991" s="141"/>
      <c r="K991" s="142"/>
      <c r="L991" s="142"/>
      <c r="M991" s="142"/>
      <c r="N991" s="142"/>
      <c r="O991" s="136"/>
      <c r="P991" s="34"/>
      <c r="Q991" s="35"/>
      <c r="R991" s="35"/>
      <c r="S991" s="35"/>
      <c r="T991" s="35"/>
      <c r="U991" s="35"/>
      <c r="V991" s="35"/>
      <c r="W991" s="35"/>
      <c r="X991" s="35"/>
      <c r="Y991" s="35"/>
      <c r="Z991" s="35"/>
    </row>
    <row r="992" ht="14.25" customHeight="1">
      <c r="A992" s="136"/>
      <c r="B992" s="137"/>
      <c r="C992" s="251"/>
      <c r="D992" s="452"/>
      <c r="E992" s="136"/>
      <c r="F992" s="253"/>
      <c r="G992" s="253"/>
      <c r="H992" s="527"/>
      <c r="I992" s="141"/>
      <c r="J992" s="141"/>
      <c r="K992" s="142"/>
      <c r="L992" s="142"/>
      <c r="M992" s="142"/>
      <c r="N992" s="142"/>
      <c r="O992" s="136"/>
      <c r="P992" s="34"/>
      <c r="Q992" s="35"/>
      <c r="R992" s="35"/>
      <c r="S992" s="35"/>
      <c r="T992" s="35"/>
      <c r="U992" s="35"/>
      <c r="V992" s="35"/>
      <c r="W992" s="35"/>
      <c r="X992" s="35"/>
      <c r="Y992" s="35"/>
      <c r="Z992" s="35"/>
    </row>
    <row r="993" ht="14.25" customHeight="1">
      <c r="A993" s="136"/>
      <c r="B993" s="137"/>
      <c r="C993" s="251"/>
      <c r="D993" s="452"/>
      <c r="E993" s="136"/>
      <c r="F993" s="253"/>
      <c r="G993" s="253"/>
      <c r="H993" s="527"/>
      <c r="I993" s="141"/>
      <c r="J993" s="141"/>
      <c r="K993" s="142"/>
      <c r="L993" s="142"/>
      <c r="M993" s="142"/>
      <c r="N993" s="142"/>
      <c r="O993" s="136"/>
      <c r="P993" s="34"/>
      <c r="Q993" s="35"/>
      <c r="R993" s="35"/>
      <c r="S993" s="35"/>
      <c r="T993" s="35"/>
      <c r="U993" s="35"/>
      <c r="V993" s="35"/>
      <c r="W993" s="35"/>
      <c r="X993" s="35"/>
      <c r="Y993" s="35"/>
      <c r="Z993" s="35"/>
    </row>
    <row r="994" ht="14.25" customHeight="1">
      <c r="A994" s="136"/>
      <c r="B994" s="137"/>
      <c r="C994" s="251"/>
      <c r="D994" s="452"/>
      <c r="E994" s="136"/>
      <c r="F994" s="253"/>
      <c r="G994" s="253"/>
      <c r="H994" s="527"/>
      <c r="I994" s="141"/>
      <c r="J994" s="141"/>
      <c r="K994" s="142"/>
      <c r="L994" s="142"/>
      <c r="M994" s="142"/>
      <c r="N994" s="142"/>
      <c r="O994" s="136"/>
      <c r="P994" s="34"/>
      <c r="Q994" s="35"/>
      <c r="R994" s="35"/>
      <c r="S994" s="35"/>
      <c r="T994" s="35"/>
      <c r="U994" s="35"/>
      <c r="V994" s="35"/>
      <c r="W994" s="35"/>
      <c r="X994" s="35"/>
      <c r="Y994" s="35"/>
      <c r="Z994" s="35"/>
    </row>
    <row r="995" ht="14.25" customHeight="1">
      <c r="A995" s="136"/>
      <c r="B995" s="137"/>
      <c r="C995" s="251"/>
      <c r="D995" s="452"/>
      <c r="E995" s="136"/>
      <c r="F995" s="253"/>
      <c r="G995" s="253"/>
      <c r="H995" s="527"/>
      <c r="I995" s="141"/>
      <c r="J995" s="141"/>
      <c r="K995" s="142"/>
      <c r="L995" s="142"/>
      <c r="M995" s="142"/>
      <c r="N995" s="142"/>
      <c r="O995" s="136"/>
      <c r="P995" s="34"/>
      <c r="Q995" s="35"/>
      <c r="R995" s="35"/>
      <c r="S995" s="35"/>
      <c r="T995" s="35"/>
      <c r="U995" s="35"/>
      <c r="V995" s="35"/>
      <c r="W995" s="35"/>
      <c r="X995" s="35"/>
      <c r="Y995" s="35"/>
      <c r="Z995" s="35"/>
    </row>
    <row r="996" ht="14.25" customHeight="1">
      <c r="A996" s="136"/>
      <c r="B996" s="137"/>
      <c r="C996" s="251"/>
      <c r="D996" s="452"/>
      <c r="E996" s="136"/>
      <c r="F996" s="253"/>
      <c r="G996" s="253"/>
      <c r="H996" s="527"/>
      <c r="I996" s="141"/>
      <c r="J996" s="141"/>
      <c r="K996" s="142"/>
      <c r="L996" s="142"/>
      <c r="M996" s="142"/>
      <c r="N996" s="142"/>
      <c r="O996" s="136"/>
      <c r="P996" s="34"/>
      <c r="Q996" s="35"/>
      <c r="R996" s="35"/>
      <c r="S996" s="35"/>
      <c r="T996" s="35"/>
      <c r="U996" s="35"/>
      <c r="V996" s="35"/>
      <c r="W996" s="35"/>
      <c r="X996" s="35"/>
      <c r="Y996" s="35"/>
      <c r="Z996" s="35"/>
    </row>
    <row r="997" ht="14.25" customHeight="1">
      <c r="A997" s="136"/>
      <c r="B997" s="137"/>
      <c r="C997" s="251"/>
      <c r="D997" s="452"/>
      <c r="E997" s="136"/>
      <c r="F997" s="253"/>
      <c r="G997" s="253"/>
      <c r="H997" s="527"/>
      <c r="I997" s="141"/>
      <c r="J997" s="141"/>
      <c r="K997" s="142"/>
      <c r="L997" s="142"/>
      <c r="M997" s="142"/>
      <c r="N997" s="142"/>
      <c r="O997" s="136"/>
      <c r="P997" s="34"/>
      <c r="Q997" s="35"/>
      <c r="R997" s="35"/>
      <c r="S997" s="35"/>
      <c r="T997" s="35"/>
      <c r="U997" s="35"/>
      <c r="V997" s="35"/>
      <c r="W997" s="35"/>
      <c r="X997" s="35"/>
      <c r="Y997" s="35"/>
      <c r="Z997" s="35"/>
    </row>
    <row r="998" ht="14.25" customHeight="1">
      <c r="A998" s="136"/>
      <c r="B998" s="137"/>
      <c r="C998" s="251"/>
      <c r="D998" s="452"/>
      <c r="E998" s="136"/>
      <c r="F998" s="253"/>
      <c r="G998" s="253"/>
      <c r="H998" s="527"/>
      <c r="I998" s="141"/>
      <c r="J998" s="141"/>
      <c r="K998" s="142"/>
      <c r="L998" s="142"/>
      <c r="M998" s="142"/>
      <c r="N998" s="142"/>
      <c r="O998" s="136"/>
      <c r="P998" s="34"/>
      <c r="Q998" s="35"/>
      <c r="R998" s="35"/>
      <c r="S998" s="35"/>
      <c r="T998" s="35"/>
      <c r="U998" s="35"/>
      <c r="V998" s="35"/>
      <c r="W998" s="35"/>
      <c r="X998" s="35"/>
      <c r="Y998" s="35"/>
      <c r="Z998" s="35"/>
    </row>
    <row r="999" ht="14.25" customHeight="1">
      <c r="A999" s="136"/>
      <c r="B999" s="137"/>
      <c r="C999" s="251"/>
      <c r="D999" s="452"/>
      <c r="E999" s="136"/>
      <c r="F999" s="253"/>
      <c r="G999" s="253"/>
      <c r="H999" s="527"/>
      <c r="I999" s="141"/>
      <c r="J999" s="141"/>
      <c r="K999" s="142"/>
      <c r="L999" s="142"/>
      <c r="M999" s="142"/>
      <c r="N999" s="142"/>
      <c r="O999" s="136"/>
      <c r="P999" s="34"/>
      <c r="Q999" s="35"/>
      <c r="R999" s="35"/>
      <c r="S999" s="35"/>
      <c r="T999" s="35"/>
      <c r="U999" s="35"/>
      <c r="V999" s="35"/>
      <c r="W999" s="35"/>
      <c r="X999" s="35"/>
      <c r="Y999" s="35"/>
      <c r="Z999" s="35"/>
    </row>
    <row r="1000" ht="14.25" customHeight="1">
      <c r="A1000" s="136"/>
      <c r="B1000" s="137"/>
      <c r="C1000" s="251"/>
      <c r="D1000" s="452"/>
      <c r="E1000" s="136"/>
      <c r="F1000" s="253"/>
      <c r="G1000" s="253"/>
      <c r="H1000" s="527"/>
      <c r="I1000" s="141"/>
      <c r="J1000" s="141"/>
      <c r="K1000" s="142"/>
      <c r="L1000" s="142"/>
      <c r="M1000" s="142"/>
      <c r="N1000" s="142"/>
      <c r="O1000" s="136"/>
      <c r="P1000" s="34"/>
      <c r="Q1000" s="35"/>
      <c r="R1000" s="35"/>
      <c r="S1000" s="35"/>
      <c r="T1000" s="35"/>
      <c r="U1000" s="35"/>
      <c r="V1000" s="35"/>
      <c r="W1000" s="35"/>
      <c r="X1000" s="35"/>
      <c r="Y1000" s="35"/>
      <c r="Z1000" s="35"/>
    </row>
  </sheetData>
  <mergeCells count="11">
    <mergeCell ref="H1:H2"/>
    <mergeCell ref="I1:J1"/>
    <mergeCell ref="K1:L1"/>
    <mergeCell ref="M1:N1"/>
    <mergeCell ref="A1:A2"/>
    <mergeCell ref="B1:B2"/>
    <mergeCell ref="C1:C2"/>
    <mergeCell ref="D1:D2"/>
    <mergeCell ref="E1:E2"/>
    <mergeCell ref="F1:F2"/>
    <mergeCell ref="G1:G2"/>
  </mergeCells>
  <dataValidations>
    <dataValidation type="custom" allowBlank="1" showErrorMessage="1" sqref="C3:C5 C8:C45 C47:C70">
      <formula1>LTE(LEN(C3),(22))</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57"/>
    <col customWidth="1" min="2" max="2" width="31.86"/>
    <col customWidth="1" min="3" max="3" width="24.86"/>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5" width="9.86"/>
  </cols>
  <sheetData>
    <row r="1" ht="14.25" customHeight="1">
      <c r="A1" s="497" t="s">
        <v>1740</v>
      </c>
      <c r="B1" s="217" t="s">
        <v>555</v>
      </c>
      <c r="C1" s="2" t="s">
        <v>2</v>
      </c>
      <c r="D1" s="2" t="s">
        <v>3</v>
      </c>
      <c r="E1" s="2" t="s">
        <v>4</v>
      </c>
      <c r="F1" s="218" t="s">
        <v>3067</v>
      </c>
      <c r="G1" s="498" t="s">
        <v>7</v>
      </c>
      <c r="H1" s="5" t="s">
        <v>8</v>
      </c>
      <c r="I1" s="6"/>
      <c r="J1" s="7" t="s">
        <v>9</v>
      </c>
      <c r="K1" s="6"/>
      <c r="L1" s="8" t="s">
        <v>10</v>
      </c>
      <c r="M1" s="6"/>
      <c r="N1" s="219" t="s">
        <v>11</v>
      </c>
      <c r="O1" s="10"/>
      <c r="P1" s="11"/>
      <c r="Q1" s="11"/>
      <c r="R1" s="11"/>
      <c r="S1" s="11"/>
      <c r="T1" s="11"/>
      <c r="U1" s="11"/>
      <c r="V1" s="11"/>
      <c r="W1" s="11"/>
      <c r="X1" s="11"/>
      <c r="Y1" s="11"/>
    </row>
    <row r="2" ht="31.5" customHeight="1">
      <c r="A2" s="500"/>
      <c r="B2" s="12"/>
      <c r="C2" s="13"/>
      <c r="D2" s="13"/>
      <c r="E2" s="13"/>
      <c r="F2" s="13"/>
      <c r="G2" s="14"/>
      <c r="H2" s="15" t="s">
        <v>3120</v>
      </c>
      <c r="I2" s="16" t="s">
        <v>3121</v>
      </c>
      <c r="J2" s="17" t="s">
        <v>3122</v>
      </c>
      <c r="K2" s="18" t="s">
        <v>3123</v>
      </c>
      <c r="L2" s="19" t="s">
        <v>3124</v>
      </c>
      <c r="M2" s="20" t="s">
        <v>3125</v>
      </c>
      <c r="N2" s="220"/>
      <c r="O2" s="10"/>
      <c r="P2" s="11"/>
      <c r="Q2" s="11"/>
      <c r="R2" s="11"/>
      <c r="S2" s="11"/>
      <c r="T2" s="11"/>
      <c r="U2" s="11"/>
      <c r="V2" s="11"/>
      <c r="W2" s="11"/>
      <c r="X2" s="11"/>
      <c r="Y2" s="11"/>
    </row>
    <row r="3" ht="14.25" customHeight="1">
      <c r="A3" s="221" t="s">
        <v>3126</v>
      </c>
      <c r="B3" s="536" t="s">
        <v>3127</v>
      </c>
      <c r="C3" s="102" t="s">
        <v>3128</v>
      </c>
      <c r="D3" s="504"/>
      <c r="E3" s="224"/>
      <c r="F3" s="225">
        <v>1106.0</v>
      </c>
      <c r="G3" s="506">
        <v>44805.0</v>
      </c>
      <c r="H3" s="29">
        <f t="shared" ref="H3:H329" si="1">F3*0.5+F3</f>
        <v>1659</v>
      </c>
      <c r="I3" s="30">
        <f t="shared" ref="I3:I329" si="2">F3*0.3+F3</f>
        <v>1437.8</v>
      </c>
      <c r="J3" s="31">
        <f t="shared" ref="J3:J329" si="3">F3*0.3+F3</f>
        <v>1437.8</v>
      </c>
      <c r="K3" s="32">
        <f t="shared" ref="K3:K329" si="4">F3*0.2+F3</f>
        <v>1327.2</v>
      </c>
      <c r="L3" s="31">
        <f t="shared" ref="L3:L329" si="5">F3*0.15+F3</f>
        <v>1271.9</v>
      </c>
      <c r="M3" s="32">
        <f t="shared" ref="M3:M329" si="6">F3*0.1+F3</f>
        <v>1216.6</v>
      </c>
      <c r="N3" s="40"/>
      <c r="O3" s="34"/>
      <c r="P3" s="35"/>
      <c r="Q3" s="35"/>
      <c r="R3" s="35"/>
      <c r="S3" s="35"/>
      <c r="T3" s="35"/>
      <c r="U3" s="35"/>
      <c r="V3" s="35"/>
      <c r="W3" s="35"/>
      <c r="X3" s="35"/>
      <c r="Y3" s="35"/>
    </row>
    <row r="4" ht="14.25" customHeight="1">
      <c r="A4" s="221" t="s">
        <v>3126</v>
      </c>
      <c r="B4" s="536" t="s">
        <v>3129</v>
      </c>
      <c r="C4" s="102" t="s">
        <v>3130</v>
      </c>
      <c r="D4" s="508"/>
      <c r="E4" s="85"/>
      <c r="F4" s="225">
        <v>949.0</v>
      </c>
      <c r="G4" s="523">
        <v>44805.0</v>
      </c>
      <c r="H4" s="36">
        <f t="shared" si="1"/>
        <v>1423.5</v>
      </c>
      <c r="I4" s="37">
        <f t="shared" si="2"/>
        <v>1233.7</v>
      </c>
      <c r="J4" s="38">
        <f t="shared" si="3"/>
        <v>1233.7</v>
      </c>
      <c r="K4" s="39">
        <f t="shared" si="4"/>
        <v>1138.8</v>
      </c>
      <c r="L4" s="38">
        <f t="shared" si="5"/>
        <v>1091.35</v>
      </c>
      <c r="M4" s="39">
        <f t="shared" si="6"/>
        <v>1043.9</v>
      </c>
      <c r="N4" s="40"/>
      <c r="O4" s="34"/>
      <c r="P4" s="35"/>
      <c r="Q4" s="35"/>
      <c r="R4" s="35"/>
      <c r="S4" s="35"/>
      <c r="T4" s="35"/>
      <c r="U4" s="35"/>
      <c r="V4" s="35"/>
      <c r="W4" s="35"/>
      <c r="X4" s="35"/>
      <c r="Y4" s="35"/>
    </row>
    <row r="5" ht="14.25" customHeight="1">
      <c r="A5" s="221" t="s">
        <v>3126</v>
      </c>
      <c r="B5" s="536" t="s">
        <v>3131</v>
      </c>
      <c r="C5" s="227" t="s">
        <v>3132</v>
      </c>
      <c r="D5" s="223"/>
      <c r="E5" s="85"/>
      <c r="F5" s="225">
        <v>1274.0</v>
      </c>
      <c r="G5" s="506">
        <v>44805.0</v>
      </c>
      <c r="H5" s="36">
        <f t="shared" si="1"/>
        <v>1911</v>
      </c>
      <c r="I5" s="37">
        <f t="shared" si="2"/>
        <v>1656.2</v>
      </c>
      <c r="J5" s="38">
        <f t="shared" si="3"/>
        <v>1656.2</v>
      </c>
      <c r="K5" s="39">
        <f t="shared" si="4"/>
        <v>1528.8</v>
      </c>
      <c r="L5" s="38">
        <f t="shared" si="5"/>
        <v>1465.1</v>
      </c>
      <c r="M5" s="39">
        <f t="shared" si="6"/>
        <v>1401.4</v>
      </c>
      <c r="N5" s="40"/>
      <c r="O5" s="34"/>
      <c r="P5" s="35"/>
      <c r="Q5" s="35"/>
      <c r="R5" s="35"/>
      <c r="S5" s="35"/>
      <c r="T5" s="35"/>
      <c r="U5" s="35"/>
      <c r="V5" s="35"/>
      <c r="W5" s="35"/>
      <c r="X5" s="35"/>
      <c r="Y5" s="35"/>
    </row>
    <row r="6" ht="14.25" customHeight="1">
      <c r="A6" s="221" t="s">
        <v>3126</v>
      </c>
      <c r="B6" s="536" t="s">
        <v>3133</v>
      </c>
      <c r="C6" s="117" t="s">
        <v>3134</v>
      </c>
      <c r="D6" s="223"/>
      <c r="E6" s="85"/>
      <c r="F6" s="225">
        <v>1609.0</v>
      </c>
      <c r="G6" s="523">
        <v>44805.0</v>
      </c>
      <c r="H6" s="36">
        <f t="shared" si="1"/>
        <v>2413.5</v>
      </c>
      <c r="I6" s="37">
        <f t="shared" si="2"/>
        <v>2091.7</v>
      </c>
      <c r="J6" s="38">
        <f t="shared" si="3"/>
        <v>2091.7</v>
      </c>
      <c r="K6" s="39">
        <f t="shared" si="4"/>
        <v>1930.8</v>
      </c>
      <c r="L6" s="38">
        <f t="shared" si="5"/>
        <v>1850.35</v>
      </c>
      <c r="M6" s="39">
        <f t="shared" si="6"/>
        <v>1769.9</v>
      </c>
      <c r="N6" s="40"/>
      <c r="O6" s="34"/>
      <c r="P6" s="35"/>
      <c r="Q6" s="35"/>
      <c r="R6" s="35"/>
      <c r="S6" s="35"/>
      <c r="T6" s="35"/>
      <c r="U6" s="35"/>
      <c r="V6" s="35"/>
      <c r="W6" s="35"/>
      <c r="X6" s="35"/>
      <c r="Y6" s="35"/>
    </row>
    <row r="7" ht="14.25" customHeight="1">
      <c r="A7" s="221" t="s">
        <v>3126</v>
      </c>
      <c r="B7" s="536" t="s">
        <v>3135</v>
      </c>
      <c r="C7" s="117" t="s">
        <v>3136</v>
      </c>
      <c r="D7" s="212"/>
      <c r="E7" s="213"/>
      <c r="F7" s="214">
        <v>1138.0</v>
      </c>
      <c r="G7" s="506">
        <v>44805.0</v>
      </c>
      <c r="H7" s="36">
        <f t="shared" si="1"/>
        <v>1707</v>
      </c>
      <c r="I7" s="37">
        <f t="shared" si="2"/>
        <v>1479.4</v>
      </c>
      <c r="J7" s="38">
        <f t="shared" si="3"/>
        <v>1479.4</v>
      </c>
      <c r="K7" s="39">
        <f t="shared" si="4"/>
        <v>1365.6</v>
      </c>
      <c r="L7" s="38">
        <f t="shared" si="5"/>
        <v>1308.7</v>
      </c>
      <c r="M7" s="39">
        <f t="shared" si="6"/>
        <v>1251.8</v>
      </c>
      <c r="N7" s="40"/>
      <c r="O7" s="34"/>
      <c r="P7" s="35"/>
      <c r="Q7" s="35"/>
      <c r="R7" s="35"/>
      <c r="S7" s="35"/>
      <c r="T7" s="35"/>
      <c r="U7" s="35"/>
      <c r="V7" s="35"/>
      <c r="W7" s="35"/>
      <c r="X7" s="35"/>
      <c r="Y7" s="35"/>
    </row>
    <row r="8" ht="14.25" customHeight="1">
      <c r="A8" s="221" t="s">
        <v>3126</v>
      </c>
      <c r="B8" s="536" t="s">
        <v>3137</v>
      </c>
      <c r="C8" s="211" t="s">
        <v>3138</v>
      </c>
      <c r="D8" s="212"/>
      <c r="E8" s="213"/>
      <c r="F8" s="214">
        <v>1454.0</v>
      </c>
      <c r="G8" s="523">
        <v>44805.0</v>
      </c>
      <c r="H8" s="36">
        <f t="shared" si="1"/>
        <v>2181</v>
      </c>
      <c r="I8" s="37">
        <f t="shared" si="2"/>
        <v>1890.2</v>
      </c>
      <c r="J8" s="38">
        <f t="shared" si="3"/>
        <v>1890.2</v>
      </c>
      <c r="K8" s="39">
        <f t="shared" si="4"/>
        <v>1744.8</v>
      </c>
      <c r="L8" s="38">
        <f t="shared" si="5"/>
        <v>1672.1</v>
      </c>
      <c r="M8" s="39">
        <f t="shared" si="6"/>
        <v>1599.4</v>
      </c>
      <c r="N8" s="40"/>
      <c r="O8" s="34"/>
      <c r="P8" s="35"/>
      <c r="Q8" s="35"/>
      <c r="R8" s="35"/>
      <c r="S8" s="35"/>
      <c r="T8" s="35"/>
      <c r="U8" s="35"/>
      <c r="V8" s="35"/>
      <c r="W8" s="35"/>
      <c r="X8" s="35"/>
      <c r="Y8" s="35"/>
    </row>
    <row r="9" ht="14.25" customHeight="1">
      <c r="A9" s="221" t="s">
        <v>3126</v>
      </c>
      <c r="B9" s="536" t="s">
        <v>3139</v>
      </c>
      <c r="C9" s="211" t="s">
        <v>3140</v>
      </c>
      <c r="D9" s="530"/>
      <c r="E9" s="213"/>
      <c r="F9" s="214">
        <v>2011.0</v>
      </c>
      <c r="G9" s="506">
        <v>44805.0</v>
      </c>
      <c r="H9" s="36">
        <f t="shared" si="1"/>
        <v>3016.5</v>
      </c>
      <c r="I9" s="37">
        <f t="shared" si="2"/>
        <v>2614.3</v>
      </c>
      <c r="J9" s="38">
        <f t="shared" si="3"/>
        <v>2614.3</v>
      </c>
      <c r="K9" s="39">
        <f t="shared" si="4"/>
        <v>2413.2</v>
      </c>
      <c r="L9" s="38">
        <f t="shared" si="5"/>
        <v>2312.65</v>
      </c>
      <c r="M9" s="39">
        <f t="shared" si="6"/>
        <v>2212.1</v>
      </c>
      <c r="N9" s="40"/>
      <c r="O9" s="34"/>
      <c r="P9" s="35"/>
      <c r="Q9" s="35"/>
      <c r="R9" s="35"/>
      <c r="S9" s="35"/>
      <c r="T9" s="35"/>
      <c r="U9" s="35"/>
      <c r="V9" s="35"/>
      <c r="W9" s="35"/>
      <c r="X9" s="35"/>
      <c r="Y9" s="35"/>
    </row>
    <row r="10" ht="14.25" customHeight="1">
      <c r="A10" s="221" t="s">
        <v>3126</v>
      </c>
      <c r="B10" s="536" t="s">
        <v>3141</v>
      </c>
      <c r="C10" s="211" t="s">
        <v>3142</v>
      </c>
      <c r="D10" s="530"/>
      <c r="E10" s="213"/>
      <c r="F10" s="214">
        <v>2414.0</v>
      </c>
      <c r="G10" s="523">
        <v>44805.0</v>
      </c>
      <c r="H10" s="36">
        <f t="shared" si="1"/>
        <v>3621</v>
      </c>
      <c r="I10" s="37">
        <f t="shared" si="2"/>
        <v>3138.2</v>
      </c>
      <c r="J10" s="38">
        <f t="shared" si="3"/>
        <v>3138.2</v>
      </c>
      <c r="K10" s="39">
        <f t="shared" si="4"/>
        <v>2896.8</v>
      </c>
      <c r="L10" s="38">
        <f t="shared" si="5"/>
        <v>2776.1</v>
      </c>
      <c r="M10" s="39">
        <f t="shared" si="6"/>
        <v>2655.4</v>
      </c>
      <c r="N10" s="40"/>
      <c r="O10" s="34"/>
      <c r="P10" s="35"/>
      <c r="Q10" s="35"/>
      <c r="R10" s="35"/>
      <c r="S10" s="35"/>
      <c r="T10" s="35"/>
      <c r="U10" s="35"/>
      <c r="V10" s="35"/>
      <c r="W10" s="35"/>
      <c r="X10" s="35"/>
      <c r="Y10" s="35"/>
    </row>
    <row r="11" ht="14.25" customHeight="1">
      <c r="A11" s="221" t="s">
        <v>3126</v>
      </c>
      <c r="B11" s="536" t="s">
        <v>3143</v>
      </c>
      <c r="C11" s="211" t="s">
        <v>3144</v>
      </c>
      <c r="D11" s="530"/>
      <c r="E11" s="213"/>
      <c r="F11" s="214">
        <v>1810.0</v>
      </c>
      <c r="G11" s="506">
        <v>44805.0</v>
      </c>
      <c r="H11" s="36">
        <f t="shared" si="1"/>
        <v>2715</v>
      </c>
      <c r="I11" s="37">
        <f t="shared" si="2"/>
        <v>2353</v>
      </c>
      <c r="J11" s="38">
        <f t="shared" si="3"/>
        <v>2353</v>
      </c>
      <c r="K11" s="39">
        <f t="shared" si="4"/>
        <v>2172</v>
      </c>
      <c r="L11" s="38">
        <f t="shared" si="5"/>
        <v>2081.5</v>
      </c>
      <c r="M11" s="39">
        <f t="shared" si="6"/>
        <v>1991</v>
      </c>
      <c r="N11" s="40"/>
      <c r="O11" s="34"/>
      <c r="P11" s="35"/>
      <c r="Q11" s="35"/>
      <c r="R11" s="35"/>
      <c r="S11" s="35"/>
      <c r="T11" s="35"/>
      <c r="U11" s="35"/>
      <c r="V11" s="35"/>
      <c r="W11" s="35"/>
      <c r="X11" s="35"/>
      <c r="Y11" s="35"/>
    </row>
    <row r="12" ht="14.25" customHeight="1">
      <c r="A12" s="221" t="s">
        <v>3126</v>
      </c>
      <c r="B12" s="536" t="s">
        <v>3145</v>
      </c>
      <c r="C12" s="211" t="s">
        <v>3146</v>
      </c>
      <c r="D12" s="530"/>
      <c r="E12" s="213"/>
      <c r="F12" s="214">
        <v>2011.0</v>
      </c>
      <c r="G12" s="523">
        <v>44805.0</v>
      </c>
      <c r="H12" s="36">
        <f t="shared" si="1"/>
        <v>3016.5</v>
      </c>
      <c r="I12" s="37">
        <f t="shared" si="2"/>
        <v>2614.3</v>
      </c>
      <c r="J12" s="38">
        <f t="shared" si="3"/>
        <v>2614.3</v>
      </c>
      <c r="K12" s="39">
        <f t="shared" si="4"/>
        <v>2413.2</v>
      </c>
      <c r="L12" s="38">
        <f t="shared" si="5"/>
        <v>2312.65</v>
      </c>
      <c r="M12" s="39">
        <f t="shared" si="6"/>
        <v>2212.1</v>
      </c>
      <c r="N12" s="40"/>
      <c r="O12" s="34"/>
      <c r="P12" s="35"/>
      <c r="Q12" s="35"/>
      <c r="R12" s="35"/>
      <c r="S12" s="35"/>
      <c r="T12" s="35"/>
      <c r="U12" s="35"/>
      <c r="V12" s="35"/>
      <c r="W12" s="35"/>
      <c r="X12" s="35"/>
      <c r="Y12" s="35"/>
    </row>
    <row r="13" ht="14.25" customHeight="1">
      <c r="A13" s="221" t="s">
        <v>3126</v>
      </c>
      <c r="B13" s="536" t="s">
        <v>3147</v>
      </c>
      <c r="C13" s="211" t="s">
        <v>3148</v>
      </c>
      <c r="D13" s="532"/>
      <c r="E13" s="213"/>
      <c r="F13" s="214">
        <v>1391.0</v>
      </c>
      <c r="G13" s="506">
        <v>44805.0</v>
      </c>
      <c r="H13" s="36">
        <f t="shared" si="1"/>
        <v>2086.5</v>
      </c>
      <c r="I13" s="37">
        <f t="shared" si="2"/>
        <v>1808.3</v>
      </c>
      <c r="J13" s="38">
        <f t="shared" si="3"/>
        <v>1808.3</v>
      </c>
      <c r="K13" s="39">
        <f t="shared" si="4"/>
        <v>1669.2</v>
      </c>
      <c r="L13" s="38">
        <f t="shared" si="5"/>
        <v>1599.65</v>
      </c>
      <c r="M13" s="39">
        <f t="shared" si="6"/>
        <v>1530.1</v>
      </c>
      <c r="N13" s="40"/>
      <c r="O13" s="34"/>
      <c r="P13" s="35"/>
      <c r="Q13" s="35"/>
      <c r="R13" s="35"/>
      <c r="S13" s="35"/>
      <c r="T13" s="35"/>
      <c r="U13" s="35"/>
      <c r="V13" s="35"/>
      <c r="W13" s="35"/>
      <c r="X13" s="35"/>
      <c r="Y13" s="35"/>
    </row>
    <row r="14" ht="14.25" customHeight="1">
      <c r="A14" s="221" t="s">
        <v>3126</v>
      </c>
      <c r="B14" s="536" t="s">
        <v>3149</v>
      </c>
      <c r="C14" s="211" t="s">
        <v>3150</v>
      </c>
      <c r="D14" s="212"/>
      <c r="E14" s="213"/>
      <c r="F14" s="214">
        <v>1644.0</v>
      </c>
      <c r="G14" s="523">
        <v>44805.0</v>
      </c>
      <c r="H14" s="36">
        <f t="shared" si="1"/>
        <v>2466</v>
      </c>
      <c r="I14" s="37">
        <f t="shared" si="2"/>
        <v>2137.2</v>
      </c>
      <c r="J14" s="38">
        <f t="shared" si="3"/>
        <v>2137.2</v>
      </c>
      <c r="K14" s="39">
        <f t="shared" si="4"/>
        <v>1972.8</v>
      </c>
      <c r="L14" s="38">
        <f t="shared" si="5"/>
        <v>1890.6</v>
      </c>
      <c r="M14" s="39">
        <f t="shared" si="6"/>
        <v>1808.4</v>
      </c>
      <c r="N14" s="40"/>
      <c r="O14" s="34"/>
      <c r="P14" s="35"/>
      <c r="Q14" s="35"/>
      <c r="R14" s="35"/>
      <c r="S14" s="35"/>
      <c r="T14" s="35"/>
      <c r="U14" s="35"/>
      <c r="V14" s="35"/>
      <c r="W14" s="35"/>
      <c r="X14" s="35"/>
      <c r="Y14" s="35"/>
    </row>
    <row r="15" ht="14.25" customHeight="1">
      <c r="A15" s="221" t="s">
        <v>3126</v>
      </c>
      <c r="B15" s="536" t="s">
        <v>3151</v>
      </c>
      <c r="C15" s="211" t="s">
        <v>3152</v>
      </c>
      <c r="D15" s="212"/>
      <c r="E15" s="213"/>
      <c r="F15" s="214">
        <v>1743.0</v>
      </c>
      <c r="G15" s="506">
        <v>44805.0</v>
      </c>
      <c r="H15" s="36">
        <f t="shared" si="1"/>
        <v>2614.5</v>
      </c>
      <c r="I15" s="37">
        <f t="shared" si="2"/>
        <v>2265.9</v>
      </c>
      <c r="J15" s="38">
        <f t="shared" si="3"/>
        <v>2265.9</v>
      </c>
      <c r="K15" s="39">
        <f t="shared" si="4"/>
        <v>2091.6</v>
      </c>
      <c r="L15" s="38">
        <f t="shared" si="5"/>
        <v>2004.45</v>
      </c>
      <c r="M15" s="39">
        <f t="shared" si="6"/>
        <v>1917.3</v>
      </c>
      <c r="N15" s="40"/>
      <c r="O15" s="34"/>
      <c r="P15" s="35"/>
      <c r="Q15" s="35"/>
      <c r="R15" s="35"/>
      <c r="S15" s="35"/>
      <c r="T15" s="35"/>
      <c r="U15" s="35"/>
      <c r="V15" s="35"/>
      <c r="W15" s="35"/>
      <c r="X15" s="35"/>
      <c r="Y15" s="35"/>
    </row>
    <row r="16" ht="14.25" customHeight="1">
      <c r="A16" s="221" t="s">
        <v>3126</v>
      </c>
      <c r="B16" s="536" t="s">
        <v>3153</v>
      </c>
      <c r="C16" s="211" t="s">
        <v>3154</v>
      </c>
      <c r="D16" s="212"/>
      <c r="E16" s="213"/>
      <c r="F16" s="214">
        <v>2011.0</v>
      </c>
      <c r="G16" s="523">
        <v>44805.0</v>
      </c>
      <c r="H16" s="36">
        <f t="shared" si="1"/>
        <v>3016.5</v>
      </c>
      <c r="I16" s="37">
        <f t="shared" si="2"/>
        <v>2614.3</v>
      </c>
      <c r="J16" s="38">
        <f t="shared" si="3"/>
        <v>2614.3</v>
      </c>
      <c r="K16" s="39">
        <f t="shared" si="4"/>
        <v>2413.2</v>
      </c>
      <c r="L16" s="38">
        <f t="shared" si="5"/>
        <v>2312.65</v>
      </c>
      <c r="M16" s="39">
        <f t="shared" si="6"/>
        <v>2212.1</v>
      </c>
      <c r="N16" s="40"/>
      <c r="O16" s="34"/>
      <c r="P16" s="35"/>
      <c r="Q16" s="35"/>
      <c r="R16" s="35"/>
      <c r="S16" s="35"/>
      <c r="T16" s="35"/>
      <c r="U16" s="35"/>
      <c r="V16" s="35"/>
      <c r="W16" s="35"/>
      <c r="X16" s="35"/>
      <c r="Y16" s="35"/>
    </row>
    <row r="17" ht="14.25" customHeight="1">
      <c r="A17" s="221" t="s">
        <v>3126</v>
      </c>
      <c r="B17" s="536" t="s">
        <v>3155</v>
      </c>
      <c r="C17" s="211" t="s">
        <v>3156</v>
      </c>
      <c r="D17" s="212"/>
      <c r="E17" s="213"/>
      <c r="F17" s="214">
        <v>2213.0</v>
      </c>
      <c r="G17" s="506">
        <v>44805.0</v>
      </c>
      <c r="H17" s="36">
        <f t="shared" si="1"/>
        <v>3319.5</v>
      </c>
      <c r="I17" s="37">
        <f t="shared" si="2"/>
        <v>2876.9</v>
      </c>
      <c r="J17" s="38">
        <f t="shared" si="3"/>
        <v>2876.9</v>
      </c>
      <c r="K17" s="39">
        <f t="shared" si="4"/>
        <v>2655.6</v>
      </c>
      <c r="L17" s="38">
        <f t="shared" si="5"/>
        <v>2544.95</v>
      </c>
      <c r="M17" s="39">
        <f t="shared" si="6"/>
        <v>2434.3</v>
      </c>
      <c r="N17" s="40"/>
      <c r="O17" s="34"/>
      <c r="P17" s="35"/>
      <c r="Q17" s="35"/>
      <c r="R17" s="35"/>
      <c r="S17" s="35"/>
      <c r="T17" s="35"/>
      <c r="U17" s="35"/>
      <c r="V17" s="35"/>
      <c r="W17" s="35"/>
      <c r="X17" s="35"/>
      <c r="Y17" s="35"/>
    </row>
    <row r="18" ht="14.25" customHeight="1">
      <c r="A18" s="221" t="s">
        <v>3126</v>
      </c>
      <c r="B18" s="536" t="s">
        <v>3157</v>
      </c>
      <c r="C18" s="211" t="s">
        <v>3158</v>
      </c>
      <c r="D18" s="212"/>
      <c r="E18" s="213"/>
      <c r="F18" s="214">
        <v>2414.0</v>
      </c>
      <c r="G18" s="523">
        <v>44805.0</v>
      </c>
      <c r="H18" s="36">
        <f t="shared" si="1"/>
        <v>3621</v>
      </c>
      <c r="I18" s="37">
        <f t="shared" si="2"/>
        <v>3138.2</v>
      </c>
      <c r="J18" s="38">
        <f t="shared" si="3"/>
        <v>3138.2</v>
      </c>
      <c r="K18" s="39">
        <f t="shared" si="4"/>
        <v>2896.8</v>
      </c>
      <c r="L18" s="38">
        <f t="shared" si="5"/>
        <v>2776.1</v>
      </c>
      <c r="M18" s="39">
        <f t="shared" si="6"/>
        <v>2655.4</v>
      </c>
      <c r="N18" s="40"/>
      <c r="O18" s="34"/>
      <c r="P18" s="35"/>
      <c r="Q18" s="35"/>
      <c r="R18" s="35"/>
      <c r="S18" s="35"/>
      <c r="T18" s="35"/>
      <c r="U18" s="35"/>
      <c r="V18" s="35"/>
      <c r="W18" s="35"/>
      <c r="X18" s="35"/>
      <c r="Y18" s="35"/>
    </row>
    <row r="19" ht="14.25" customHeight="1">
      <c r="A19" s="221" t="s">
        <v>3126</v>
      </c>
      <c r="B19" s="536" t="s">
        <v>3159</v>
      </c>
      <c r="C19" s="211" t="s">
        <v>3160</v>
      </c>
      <c r="D19" s="212"/>
      <c r="E19" s="213"/>
      <c r="F19" s="214">
        <v>2548.0</v>
      </c>
      <c r="G19" s="506">
        <v>44805.0</v>
      </c>
      <c r="H19" s="36">
        <f t="shared" si="1"/>
        <v>3822</v>
      </c>
      <c r="I19" s="37">
        <f t="shared" si="2"/>
        <v>3312.4</v>
      </c>
      <c r="J19" s="38">
        <f t="shared" si="3"/>
        <v>3312.4</v>
      </c>
      <c r="K19" s="39">
        <f t="shared" si="4"/>
        <v>3057.6</v>
      </c>
      <c r="L19" s="38">
        <f t="shared" si="5"/>
        <v>2930.2</v>
      </c>
      <c r="M19" s="39">
        <f t="shared" si="6"/>
        <v>2802.8</v>
      </c>
      <c r="N19" s="40"/>
      <c r="O19" s="34"/>
      <c r="P19" s="35"/>
      <c r="Q19" s="35"/>
      <c r="R19" s="35"/>
      <c r="S19" s="35"/>
      <c r="T19" s="35"/>
      <c r="U19" s="35"/>
      <c r="V19" s="35"/>
      <c r="W19" s="35"/>
      <c r="X19" s="35"/>
      <c r="Y19" s="35"/>
    </row>
    <row r="20" ht="14.25" customHeight="1">
      <c r="A20" s="221" t="s">
        <v>3126</v>
      </c>
      <c r="B20" s="536" t="s">
        <v>3161</v>
      </c>
      <c r="C20" s="211" t="s">
        <v>3162</v>
      </c>
      <c r="D20" s="212"/>
      <c r="E20" s="213"/>
      <c r="F20" s="214">
        <v>2816.0</v>
      </c>
      <c r="G20" s="523">
        <v>44805.0</v>
      </c>
      <c r="H20" s="36">
        <f t="shared" si="1"/>
        <v>4224</v>
      </c>
      <c r="I20" s="37">
        <f t="shared" si="2"/>
        <v>3660.8</v>
      </c>
      <c r="J20" s="38">
        <f t="shared" si="3"/>
        <v>3660.8</v>
      </c>
      <c r="K20" s="39">
        <f t="shared" si="4"/>
        <v>3379.2</v>
      </c>
      <c r="L20" s="38">
        <f t="shared" si="5"/>
        <v>3238.4</v>
      </c>
      <c r="M20" s="39">
        <f t="shared" si="6"/>
        <v>3097.6</v>
      </c>
      <c r="N20" s="40"/>
      <c r="O20" s="34"/>
      <c r="P20" s="35"/>
      <c r="Q20" s="35"/>
      <c r="R20" s="35"/>
      <c r="S20" s="35"/>
      <c r="T20" s="35"/>
      <c r="U20" s="35"/>
      <c r="V20" s="35"/>
      <c r="W20" s="35"/>
      <c r="X20" s="35"/>
      <c r="Y20" s="35"/>
    </row>
    <row r="21" ht="14.25" customHeight="1">
      <c r="A21" s="221" t="s">
        <v>3126</v>
      </c>
      <c r="B21" s="536" t="s">
        <v>3163</v>
      </c>
      <c r="C21" s="211" t="s">
        <v>3164</v>
      </c>
      <c r="D21" s="212"/>
      <c r="E21" s="213"/>
      <c r="F21" s="214">
        <v>1549.0</v>
      </c>
      <c r="G21" s="506">
        <v>44805.0</v>
      </c>
      <c r="H21" s="36">
        <f t="shared" si="1"/>
        <v>2323.5</v>
      </c>
      <c r="I21" s="37">
        <f t="shared" si="2"/>
        <v>2013.7</v>
      </c>
      <c r="J21" s="38">
        <f t="shared" si="3"/>
        <v>2013.7</v>
      </c>
      <c r="K21" s="39">
        <f t="shared" si="4"/>
        <v>1858.8</v>
      </c>
      <c r="L21" s="38">
        <f t="shared" si="5"/>
        <v>1781.35</v>
      </c>
      <c r="M21" s="39">
        <f t="shared" si="6"/>
        <v>1703.9</v>
      </c>
      <c r="N21" s="40"/>
      <c r="O21" s="34"/>
      <c r="P21" s="35"/>
      <c r="Q21" s="35"/>
      <c r="R21" s="35"/>
      <c r="S21" s="35"/>
      <c r="T21" s="35"/>
      <c r="U21" s="35"/>
      <c r="V21" s="35"/>
      <c r="W21" s="35"/>
      <c r="X21" s="35"/>
      <c r="Y21" s="35"/>
    </row>
    <row r="22" ht="14.25" customHeight="1">
      <c r="A22" s="221" t="s">
        <v>3126</v>
      </c>
      <c r="B22" s="536" t="s">
        <v>3165</v>
      </c>
      <c r="C22" s="211" t="s">
        <v>3166</v>
      </c>
      <c r="D22" s="212"/>
      <c r="E22" s="213"/>
      <c r="F22" s="214">
        <v>2414.0</v>
      </c>
      <c r="G22" s="523">
        <v>44805.0</v>
      </c>
      <c r="H22" s="36">
        <f t="shared" si="1"/>
        <v>3621</v>
      </c>
      <c r="I22" s="37">
        <f t="shared" si="2"/>
        <v>3138.2</v>
      </c>
      <c r="J22" s="38">
        <f t="shared" si="3"/>
        <v>3138.2</v>
      </c>
      <c r="K22" s="39">
        <f t="shared" si="4"/>
        <v>2896.8</v>
      </c>
      <c r="L22" s="38">
        <f t="shared" si="5"/>
        <v>2776.1</v>
      </c>
      <c r="M22" s="39">
        <f t="shared" si="6"/>
        <v>2655.4</v>
      </c>
      <c r="N22" s="40"/>
      <c r="O22" s="34"/>
      <c r="P22" s="35"/>
      <c r="Q22" s="35"/>
      <c r="R22" s="35"/>
      <c r="S22" s="35"/>
      <c r="T22" s="35"/>
      <c r="U22" s="35"/>
      <c r="V22" s="35"/>
      <c r="W22" s="35"/>
      <c r="X22" s="35"/>
      <c r="Y22" s="35"/>
    </row>
    <row r="23" ht="14.25" customHeight="1">
      <c r="A23" s="221" t="s">
        <v>3126</v>
      </c>
      <c r="B23" s="536" t="s">
        <v>3167</v>
      </c>
      <c r="C23" s="211" t="s">
        <v>3168</v>
      </c>
      <c r="D23" s="212"/>
      <c r="E23" s="213"/>
      <c r="F23" s="214">
        <v>1676.0</v>
      </c>
      <c r="G23" s="506">
        <v>44805.0</v>
      </c>
      <c r="H23" s="36">
        <f t="shared" si="1"/>
        <v>2514</v>
      </c>
      <c r="I23" s="37">
        <f t="shared" si="2"/>
        <v>2178.8</v>
      </c>
      <c r="J23" s="38">
        <f t="shared" si="3"/>
        <v>2178.8</v>
      </c>
      <c r="K23" s="39">
        <f t="shared" si="4"/>
        <v>2011.2</v>
      </c>
      <c r="L23" s="38">
        <f t="shared" si="5"/>
        <v>1927.4</v>
      </c>
      <c r="M23" s="39">
        <f t="shared" si="6"/>
        <v>1843.6</v>
      </c>
      <c r="N23" s="40"/>
      <c r="O23" s="34"/>
      <c r="P23" s="35"/>
      <c r="Q23" s="35"/>
      <c r="R23" s="35"/>
      <c r="S23" s="35"/>
      <c r="T23" s="35"/>
      <c r="U23" s="35"/>
      <c r="V23" s="35"/>
      <c r="W23" s="35"/>
      <c r="X23" s="35"/>
      <c r="Y23" s="35"/>
    </row>
    <row r="24" ht="14.25" customHeight="1">
      <c r="A24" s="221" t="s">
        <v>3126</v>
      </c>
      <c r="B24" s="536" t="s">
        <v>3169</v>
      </c>
      <c r="C24" s="211" t="s">
        <v>3170</v>
      </c>
      <c r="D24" s="212"/>
      <c r="E24" s="213"/>
      <c r="F24" s="214">
        <v>1944.0</v>
      </c>
      <c r="G24" s="523">
        <v>44805.0</v>
      </c>
      <c r="H24" s="36">
        <f t="shared" si="1"/>
        <v>2916</v>
      </c>
      <c r="I24" s="37">
        <f t="shared" si="2"/>
        <v>2527.2</v>
      </c>
      <c r="J24" s="38">
        <f t="shared" si="3"/>
        <v>2527.2</v>
      </c>
      <c r="K24" s="39">
        <f t="shared" si="4"/>
        <v>2332.8</v>
      </c>
      <c r="L24" s="38">
        <f t="shared" si="5"/>
        <v>2235.6</v>
      </c>
      <c r="M24" s="39">
        <f t="shared" si="6"/>
        <v>2138.4</v>
      </c>
      <c r="N24" s="40"/>
      <c r="O24" s="34"/>
      <c r="P24" s="35"/>
      <c r="Q24" s="35"/>
      <c r="R24" s="35"/>
      <c r="S24" s="35"/>
      <c r="T24" s="35"/>
      <c r="U24" s="35"/>
      <c r="V24" s="35"/>
      <c r="W24" s="35"/>
      <c r="X24" s="35"/>
      <c r="Y24" s="35"/>
    </row>
    <row r="25" ht="14.25" customHeight="1">
      <c r="A25" s="221" t="s">
        <v>3126</v>
      </c>
      <c r="B25" s="536" t="s">
        <v>3171</v>
      </c>
      <c r="C25" s="211" t="s">
        <v>3172</v>
      </c>
      <c r="D25" s="212"/>
      <c r="E25" s="213"/>
      <c r="F25" s="214">
        <v>2481.0</v>
      </c>
      <c r="G25" s="506">
        <v>44805.0</v>
      </c>
      <c r="H25" s="36">
        <f t="shared" si="1"/>
        <v>3721.5</v>
      </c>
      <c r="I25" s="37">
        <f t="shared" si="2"/>
        <v>3225.3</v>
      </c>
      <c r="J25" s="38">
        <f t="shared" si="3"/>
        <v>3225.3</v>
      </c>
      <c r="K25" s="39">
        <f t="shared" si="4"/>
        <v>2977.2</v>
      </c>
      <c r="L25" s="38">
        <f t="shared" si="5"/>
        <v>2853.15</v>
      </c>
      <c r="M25" s="39">
        <f t="shared" si="6"/>
        <v>2729.1</v>
      </c>
      <c r="N25" s="40"/>
      <c r="O25" s="34"/>
      <c r="P25" s="35"/>
      <c r="Q25" s="35"/>
      <c r="R25" s="35"/>
      <c r="S25" s="35"/>
      <c r="T25" s="35"/>
      <c r="U25" s="35"/>
      <c r="V25" s="35"/>
      <c r="W25" s="35"/>
      <c r="X25" s="35"/>
      <c r="Y25" s="35"/>
    </row>
    <row r="26" ht="14.25" customHeight="1">
      <c r="A26" s="221" t="s">
        <v>3126</v>
      </c>
      <c r="B26" s="536" t="s">
        <v>3173</v>
      </c>
      <c r="C26" s="211" t="s">
        <v>3174</v>
      </c>
      <c r="D26" s="212"/>
      <c r="E26" s="213"/>
      <c r="F26" s="214">
        <v>2846.0</v>
      </c>
      <c r="G26" s="523">
        <v>44805.0</v>
      </c>
      <c r="H26" s="36">
        <f t="shared" si="1"/>
        <v>4269</v>
      </c>
      <c r="I26" s="37">
        <f t="shared" si="2"/>
        <v>3699.8</v>
      </c>
      <c r="J26" s="38">
        <f t="shared" si="3"/>
        <v>3699.8</v>
      </c>
      <c r="K26" s="39">
        <f t="shared" si="4"/>
        <v>3415.2</v>
      </c>
      <c r="L26" s="38">
        <f t="shared" si="5"/>
        <v>3272.9</v>
      </c>
      <c r="M26" s="39">
        <f t="shared" si="6"/>
        <v>3130.6</v>
      </c>
      <c r="N26" s="40"/>
      <c r="O26" s="34"/>
      <c r="P26" s="35"/>
      <c r="Q26" s="35"/>
      <c r="R26" s="35"/>
      <c r="S26" s="35"/>
      <c r="T26" s="35"/>
      <c r="U26" s="35"/>
      <c r="V26" s="35"/>
      <c r="W26" s="35"/>
      <c r="X26" s="35"/>
      <c r="Y26" s="35"/>
    </row>
    <row r="27" ht="14.25" customHeight="1">
      <c r="A27" s="221" t="s">
        <v>3126</v>
      </c>
      <c r="B27" s="537" t="s">
        <v>3175</v>
      </c>
      <c r="C27" s="211" t="s">
        <v>3176</v>
      </c>
      <c r="D27" s="212"/>
      <c r="E27" s="213"/>
      <c r="F27" s="214">
        <v>3162.0</v>
      </c>
      <c r="G27" s="506">
        <v>44805.0</v>
      </c>
      <c r="H27" s="36">
        <f t="shared" si="1"/>
        <v>4743</v>
      </c>
      <c r="I27" s="37">
        <f t="shared" si="2"/>
        <v>4110.6</v>
      </c>
      <c r="J27" s="38">
        <f t="shared" si="3"/>
        <v>4110.6</v>
      </c>
      <c r="K27" s="39">
        <f t="shared" si="4"/>
        <v>3794.4</v>
      </c>
      <c r="L27" s="38">
        <f t="shared" si="5"/>
        <v>3636.3</v>
      </c>
      <c r="M27" s="39">
        <f t="shared" si="6"/>
        <v>3478.2</v>
      </c>
      <c r="N27" s="40"/>
      <c r="O27" s="34"/>
      <c r="P27" s="35"/>
      <c r="Q27" s="35"/>
      <c r="R27" s="35"/>
      <c r="S27" s="35"/>
      <c r="T27" s="35"/>
      <c r="U27" s="35"/>
      <c r="V27" s="35"/>
      <c r="W27" s="35"/>
      <c r="X27" s="35"/>
      <c r="Y27" s="35"/>
    </row>
    <row r="28" ht="14.25" customHeight="1">
      <c r="A28" s="221" t="s">
        <v>3177</v>
      </c>
      <c r="B28" s="536" t="s">
        <v>3178</v>
      </c>
      <c r="C28" s="211" t="s">
        <v>3179</v>
      </c>
      <c r="D28" s="212"/>
      <c r="E28" s="213"/>
      <c r="F28" s="214">
        <v>4693.0</v>
      </c>
      <c r="G28" s="523">
        <v>44805.0</v>
      </c>
      <c r="H28" s="36">
        <f t="shared" si="1"/>
        <v>7039.5</v>
      </c>
      <c r="I28" s="37">
        <f t="shared" si="2"/>
        <v>6100.9</v>
      </c>
      <c r="J28" s="38">
        <f t="shared" si="3"/>
        <v>6100.9</v>
      </c>
      <c r="K28" s="39">
        <f t="shared" si="4"/>
        <v>5631.6</v>
      </c>
      <c r="L28" s="38">
        <f t="shared" si="5"/>
        <v>5396.95</v>
      </c>
      <c r="M28" s="39">
        <f t="shared" si="6"/>
        <v>5162.3</v>
      </c>
      <c r="N28" s="40"/>
      <c r="O28" s="34"/>
      <c r="P28" s="35"/>
      <c r="Q28" s="35"/>
      <c r="R28" s="35"/>
      <c r="S28" s="35"/>
      <c r="T28" s="35"/>
      <c r="U28" s="35"/>
      <c r="V28" s="35"/>
      <c r="W28" s="35"/>
      <c r="X28" s="35"/>
      <c r="Y28" s="35"/>
    </row>
    <row r="29" ht="14.25" customHeight="1">
      <c r="A29" s="221" t="s">
        <v>3177</v>
      </c>
      <c r="B29" s="536" t="s">
        <v>3180</v>
      </c>
      <c r="C29" s="211" t="s">
        <v>3181</v>
      </c>
      <c r="D29" s="212"/>
      <c r="E29" s="213"/>
      <c r="F29" s="214">
        <v>4693.0</v>
      </c>
      <c r="G29" s="506">
        <v>44805.0</v>
      </c>
      <c r="H29" s="36">
        <f t="shared" si="1"/>
        <v>7039.5</v>
      </c>
      <c r="I29" s="37">
        <f t="shared" si="2"/>
        <v>6100.9</v>
      </c>
      <c r="J29" s="38">
        <f t="shared" si="3"/>
        <v>6100.9</v>
      </c>
      <c r="K29" s="39">
        <f t="shared" si="4"/>
        <v>5631.6</v>
      </c>
      <c r="L29" s="38">
        <f t="shared" si="5"/>
        <v>5396.95</v>
      </c>
      <c r="M29" s="39">
        <f t="shared" si="6"/>
        <v>5162.3</v>
      </c>
      <c r="N29" s="40"/>
      <c r="O29" s="34"/>
      <c r="P29" s="35"/>
      <c r="Q29" s="35"/>
      <c r="R29" s="35"/>
      <c r="S29" s="35"/>
      <c r="T29" s="35"/>
      <c r="U29" s="35"/>
      <c r="V29" s="35"/>
      <c r="W29" s="35"/>
      <c r="X29" s="35"/>
      <c r="Y29" s="35"/>
    </row>
    <row r="30" ht="19.5" customHeight="1">
      <c r="A30" s="221" t="s">
        <v>3177</v>
      </c>
      <c r="B30" s="536" t="s">
        <v>3182</v>
      </c>
      <c r="C30" s="211" t="s">
        <v>3183</v>
      </c>
      <c r="D30" s="212"/>
      <c r="E30" s="213"/>
      <c r="F30" s="214">
        <v>1475.0</v>
      </c>
      <c r="G30" s="523">
        <v>44805.0</v>
      </c>
      <c r="H30" s="36">
        <f t="shared" si="1"/>
        <v>2212.5</v>
      </c>
      <c r="I30" s="37">
        <f t="shared" si="2"/>
        <v>1917.5</v>
      </c>
      <c r="J30" s="38">
        <f t="shared" si="3"/>
        <v>1917.5</v>
      </c>
      <c r="K30" s="39">
        <f t="shared" si="4"/>
        <v>1770</v>
      </c>
      <c r="L30" s="38">
        <f t="shared" si="5"/>
        <v>1696.25</v>
      </c>
      <c r="M30" s="39">
        <f t="shared" si="6"/>
        <v>1622.5</v>
      </c>
      <c r="N30" s="40"/>
      <c r="O30" s="34"/>
      <c r="P30" s="35"/>
      <c r="Q30" s="35"/>
      <c r="R30" s="35"/>
      <c r="S30" s="35"/>
      <c r="T30" s="35"/>
      <c r="U30" s="35"/>
      <c r="V30" s="35"/>
      <c r="W30" s="35"/>
      <c r="X30" s="35"/>
      <c r="Y30" s="35"/>
    </row>
    <row r="31" ht="14.25" customHeight="1">
      <c r="A31" s="221" t="s">
        <v>3177</v>
      </c>
      <c r="B31" s="536" t="s">
        <v>3184</v>
      </c>
      <c r="C31" s="211" t="s">
        <v>3185</v>
      </c>
      <c r="D31" s="212"/>
      <c r="E31" s="213"/>
      <c r="F31" s="214">
        <v>1274.0</v>
      </c>
      <c r="G31" s="506">
        <v>44805.0</v>
      </c>
      <c r="H31" s="36">
        <f t="shared" si="1"/>
        <v>1911</v>
      </c>
      <c r="I31" s="37">
        <f t="shared" si="2"/>
        <v>1656.2</v>
      </c>
      <c r="J31" s="38">
        <f t="shared" si="3"/>
        <v>1656.2</v>
      </c>
      <c r="K31" s="39">
        <f t="shared" si="4"/>
        <v>1528.8</v>
      </c>
      <c r="L31" s="38">
        <f t="shared" si="5"/>
        <v>1465.1</v>
      </c>
      <c r="M31" s="39">
        <f t="shared" si="6"/>
        <v>1401.4</v>
      </c>
      <c r="N31" s="40"/>
      <c r="O31" s="34"/>
      <c r="P31" s="35"/>
      <c r="Q31" s="35"/>
      <c r="R31" s="35"/>
      <c r="S31" s="35"/>
      <c r="T31" s="35"/>
      <c r="U31" s="35"/>
      <c r="V31" s="35"/>
      <c r="W31" s="35"/>
      <c r="X31" s="35"/>
      <c r="Y31" s="35"/>
    </row>
    <row r="32" ht="14.25" customHeight="1">
      <c r="A32" s="221" t="s">
        <v>3186</v>
      </c>
      <c r="B32" s="536" t="s">
        <v>3187</v>
      </c>
      <c r="C32" s="211" t="s">
        <v>3188</v>
      </c>
      <c r="D32" s="212"/>
      <c r="E32" s="213"/>
      <c r="F32" s="214">
        <v>194.0</v>
      </c>
      <c r="G32" s="523">
        <v>44805.0</v>
      </c>
      <c r="H32" s="36">
        <f t="shared" si="1"/>
        <v>291</v>
      </c>
      <c r="I32" s="37">
        <f t="shared" si="2"/>
        <v>252.2</v>
      </c>
      <c r="J32" s="38">
        <f t="shared" si="3"/>
        <v>252.2</v>
      </c>
      <c r="K32" s="39">
        <f t="shared" si="4"/>
        <v>232.8</v>
      </c>
      <c r="L32" s="38">
        <f t="shared" si="5"/>
        <v>223.1</v>
      </c>
      <c r="M32" s="39">
        <f t="shared" si="6"/>
        <v>213.4</v>
      </c>
      <c r="N32" s="40"/>
      <c r="O32" s="34"/>
      <c r="P32" s="35"/>
      <c r="Q32" s="35"/>
      <c r="R32" s="35"/>
      <c r="S32" s="35"/>
      <c r="T32" s="35"/>
      <c r="U32" s="35"/>
      <c r="V32" s="35"/>
      <c r="W32" s="35"/>
      <c r="X32" s="35"/>
      <c r="Y32" s="35"/>
    </row>
    <row r="33" ht="14.25" customHeight="1">
      <c r="A33" s="221" t="s">
        <v>3186</v>
      </c>
      <c r="B33" s="536" t="s">
        <v>3189</v>
      </c>
      <c r="C33" s="211" t="s">
        <v>3190</v>
      </c>
      <c r="D33" s="212"/>
      <c r="E33" s="213"/>
      <c r="F33" s="214">
        <v>335.0</v>
      </c>
      <c r="G33" s="506">
        <v>44805.0</v>
      </c>
      <c r="H33" s="36">
        <f t="shared" si="1"/>
        <v>502.5</v>
      </c>
      <c r="I33" s="37">
        <f t="shared" si="2"/>
        <v>435.5</v>
      </c>
      <c r="J33" s="38">
        <f t="shared" si="3"/>
        <v>435.5</v>
      </c>
      <c r="K33" s="39">
        <f t="shared" si="4"/>
        <v>402</v>
      </c>
      <c r="L33" s="38">
        <f t="shared" si="5"/>
        <v>385.25</v>
      </c>
      <c r="M33" s="39">
        <f t="shared" si="6"/>
        <v>368.5</v>
      </c>
      <c r="N33" s="40"/>
      <c r="O33" s="34"/>
      <c r="P33" s="35"/>
      <c r="Q33" s="35"/>
      <c r="R33" s="35"/>
      <c r="S33" s="35"/>
      <c r="T33" s="35"/>
      <c r="U33" s="35"/>
      <c r="V33" s="35"/>
      <c r="W33" s="35"/>
      <c r="X33" s="35"/>
      <c r="Y33" s="35"/>
    </row>
    <row r="34" ht="14.25" customHeight="1">
      <c r="A34" s="221" t="s">
        <v>3186</v>
      </c>
      <c r="B34" s="536" t="s">
        <v>3191</v>
      </c>
      <c r="C34" s="211" t="s">
        <v>3192</v>
      </c>
      <c r="D34" s="212"/>
      <c r="E34" s="213"/>
      <c r="F34" s="214">
        <v>758.0</v>
      </c>
      <c r="G34" s="523">
        <v>44805.0</v>
      </c>
      <c r="H34" s="36">
        <f t="shared" si="1"/>
        <v>1137</v>
      </c>
      <c r="I34" s="37">
        <f t="shared" si="2"/>
        <v>985.4</v>
      </c>
      <c r="J34" s="38">
        <f t="shared" si="3"/>
        <v>985.4</v>
      </c>
      <c r="K34" s="39">
        <f t="shared" si="4"/>
        <v>909.6</v>
      </c>
      <c r="L34" s="38">
        <f t="shared" si="5"/>
        <v>871.7</v>
      </c>
      <c r="M34" s="39">
        <f t="shared" si="6"/>
        <v>833.8</v>
      </c>
      <c r="N34" s="40"/>
      <c r="O34" s="34"/>
      <c r="P34" s="35"/>
      <c r="Q34" s="35"/>
      <c r="R34" s="35"/>
      <c r="S34" s="35"/>
      <c r="T34" s="35"/>
      <c r="U34" s="35"/>
      <c r="V34" s="35"/>
      <c r="W34" s="35"/>
      <c r="X34" s="35"/>
      <c r="Y34" s="35"/>
    </row>
    <row r="35" ht="14.25" customHeight="1">
      <c r="A35" s="221" t="s">
        <v>3186</v>
      </c>
      <c r="B35" s="536" t="s">
        <v>3193</v>
      </c>
      <c r="C35" s="211" t="s">
        <v>3194</v>
      </c>
      <c r="D35" s="212"/>
      <c r="E35" s="213"/>
      <c r="F35" s="214">
        <v>1509.0</v>
      </c>
      <c r="G35" s="506">
        <v>44805.0</v>
      </c>
      <c r="H35" s="36">
        <f t="shared" si="1"/>
        <v>2263.5</v>
      </c>
      <c r="I35" s="37">
        <f t="shared" si="2"/>
        <v>1961.7</v>
      </c>
      <c r="J35" s="38">
        <f t="shared" si="3"/>
        <v>1961.7</v>
      </c>
      <c r="K35" s="39">
        <f t="shared" si="4"/>
        <v>1810.8</v>
      </c>
      <c r="L35" s="38">
        <f t="shared" si="5"/>
        <v>1735.35</v>
      </c>
      <c r="M35" s="39">
        <f t="shared" si="6"/>
        <v>1659.9</v>
      </c>
      <c r="N35" s="40"/>
      <c r="O35" s="34"/>
      <c r="P35" s="35"/>
      <c r="Q35" s="35"/>
      <c r="R35" s="35"/>
      <c r="S35" s="35"/>
      <c r="T35" s="35"/>
      <c r="U35" s="35"/>
      <c r="V35" s="35"/>
      <c r="W35" s="35"/>
      <c r="X35" s="35"/>
      <c r="Y35" s="35"/>
    </row>
    <row r="36" ht="14.25" customHeight="1">
      <c r="A36" s="221" t="s">
        <v>3195</v>
      </c>
      <c r="B36" s="536" t="s">
        <v>3196</v>
      </c>
      <c r="C36" s="211" t="s">
        <v>3197</v>
      </c>
      <c r="D36" s="212"/>
      <c r="E36" s="213"/>
      <c r="F36" s="214">
        <v>2011.0</v>
      </c>
      <c r="G36" s="523">
        <v>44805.0</v>
      </c>
      <c r="H36" s="36">
        <f t="shared" si="1"/>
        <v>3016.5</v>
      </c>
      <c r="I36" s="37">
        <f t="shared" si="2"/>
        <v>2614.3</v>
      </c>
      <c r="J36" s="38">
        <f t="shared" si="3"/>
        <v>2614.3</v>
      </c>
      <c r="K36" s="39">
        <f t="shared" si="4"/>
        <v>2413.2</v>
      </c>
      <c r="L36" s="38">
        <f t="shared" si="5"/>
        <v>2312.65</v>
      </c>
      <c r="M36" s="39">
        <f t="shared" si="6"/>
        <v>2212.1</v>
      </c>
      <c r="N36" s="40"/>
      <c r="O36" s="34"/>
      <c r="P36" s="35"/>
      <c r="Q36" s="35"/>
      <c r="R36" s="35"/>
      <c r="S36" s="35"/>
      <c r="T36" s="35"/>
      <c r="U36" s="35"/>
      <c r="V36" s="35"/>
      <c r="W36" s="35"/>
      <c r="X36" s="35"/>
      <c r="Y36" s="35"/>
    </row>
    <row r="37" ht="14.25" customHeight="1">
      <c r="A37" s="221" t="s">
        <v>3195</v>
      </c>
      <c r="B37" s="536" t="s">
        <v>3196</v>
      </c>
      <c r="C37" s="211" t="s">
        <v>3198</v>
      </c>
      <c r="D37" s="212"/>
      <c r="E37" s="213"/>
      <c r="F37" s="214">
        <v>2347.0</v>
      </c>
      <c r="G37" s="506">
        <v>44805.0</v>
      </c>
      <c r="H37" s="36">
        <f t="shared" si="1"/>
        <v>3520.5</v>
      </c>
      <c r="I37" s="37">
        <f t="shared" si="2"/>
        <v>3051.1</v>
      </c>
      <c r="J37" s="38">
        <f t="shared" si="3"/>
        <v>3051.1</v>
      </c>
      <c r="K37" s="39">
        <f t="shared" si="4"/>
        <v>2816.4</v>
      </c>
      <c r="L37" s="38">
        <f t="shared" si="5"/>
        <v>2699.05</v>
      </c>
      <c r="M37" s="39">
        <f t="shared" si="6"/>
        <v>2581.7</v>
      </c>
      <c r="N37" s="40"/>
      <c r="O37" s="34"/>
      <c r="P37" s="35"/>
      <c r="Q37" s="35"/>
      <c r="R37" s="35"/>
      <c r="S37" s="35"/>
      <c r="T37" s="35"/>
      <c r="U37" s="35"/>
      <c r="V37" s="35"/>
      <c r="W37" s="35"/>
      <c r="X37" s="35"/>
      <c r="Y37" s="35"/>
    </row>
    <row r="38" ht="14.25" customHeight="1">
      <c r="A38" s="221" t="s">
        <v>3195</v>
      </c>
      <c r="B38" s="536" t="s">
        <v>3199</v>
      </c>
      <c r="C38" s="211" t="s">
        <v>3200</v>
      </c>
      <c r="D38" s="212"/>
      <c r="E38" s="213"/>
      <c r="F38" s="214">
        <v>8381.0</v>
      </c>
      <c r="G38" s="523">
        <v>44805.0</v>
      </c>
      <c r="H38" s="36">
        <f t="shared" si="1"/>
        <v>12571.5</v>
      </c>
      <c r="I38" s="37">
        <f t="shared" si="2"/>
        <v>10895.3</v>
      </c>
      <c r="J38" s="38">
        <f t="shared" si="3"/>
        <v>10895.3</v>
      </c>
      <c r="K38" s="39">
        <f t="shared" si="4"/>
        <v>10057.2</v>
      </c>
      <c r="L38" s="38">
        <f t="shared" si="5"/>
        <v>9638.15</v>
      </c>
      <c r="M38" s="39">
        <f t="shared" si="6"/>
        <v>9219.1</v>
      </c>
      <c r="N38" s="40"/>
      <c r="O38" s="34"/>
      <c r="P38" s="35"/>
      <c r="Q38" s="35"/>
      <c r="R38" s="35"/>
      <c r="S38" s="35"/>
      <c r="T38" s="35"/>
      <c r="U38" s="35"/>
      <c r="V38" s="35"/>
      <c r="W38" s="35"/>
      <c r="X38" s="35"/>
      <c r="Y38" s="35"/>
    </row>
    <row r="39" ht="14.25" customHeight="1">
      <c r="A39" s="221" t="s">
        <v>3195</v>
      </c>
      <c r="B39" s="536" t="s">
        <v>3201</v>
      </c>
      <c r="C39" s="211" t="s">
        <v>3202</v>
      </c>
      <c r="D39" s="212"/>
      <c r="E39" s="213"/>
      <c r="F39" s="214">
        <v>11063.0</v>
      </c>
      <c r="G39" s="506">
        <v>44805.0</v>
      </c>
      <c r="H39" s="36">
        <f t="shared" si="1"/>
        <v>16594.5</v>
      </c>
      <c r="I39" s="37">
        <f t="shared" si="2"/>
        <v>14381.9</v>
      </c>
      <c r="J39" s="38">
        <f t="shared" si="3"/>
        <v>14381.9</v>
      </c>
      <c r="K39" s="39">
        <f t="shared" si="4"/>
        <v>13275.6</v>
      </c>
      <c r="L39" s="38">
        <f t="shared" si="5"/>
        <v>12722.45</v>
      </c>
      <c r="M39" s="39">
        <f t="shared" si="6"/>
        <v>12169.3</v>
      </c>
      <c r="N39" s="40"/>
      <c r="O39" s="34"/>
      <c r="P39" s="35"/>
      <c r="Q39" s="35"/>
      <c r="R39" s="35"/>
      <c r="S39" s="35"/>
      <c r="T39" s="35"/>
      <c r="U39" s="35"/>
      <c r="V39" s="35"/>
      <c r="W39" s="35"/>
      <c r="X39" s="35"/>
      <c r="Y39" s="35"/>
    </row>
    <row r="40" ht="14.25" customHeight="1">
      <c r="A40" s="221" t="s">
        <v>3195</v>
      </c>
      <c r="B40" s="536" t="s">
        <v>3199</v>
      </c>
      <c r="C40" s="211" t="s">
        <v>3203</v>
      </c>
      <c r="D40" s="212"/>
      <c r="E40" s="213"/>
      <c r="F40" s="214">
        <v>8046.0</v>
      </c>
      <c r="G40" s="523">
        <v>44805.0</v>
      </c>
      <c r="H40" s="36">
        <f t="shared" si="1"/>
        <v>12069</v>
      </c>
      <c r="I40" s="37">
        <f t="shared" si="2"/>
        <v>10459.8</v>
      </c>
      <c r="J40" s="38">
        <f t="shared" si="3"/>
        <v>10459.8</v>
      </c>
      <c r="K40" s="39">
        <f t="shared" si="4"/>
        <v>9655.2</v>
      </c>
      <c r="L40" s="38">
        <f t="shared" si="5"/>
        <v>9252.9</v>
      </c>
      <c r="M40" s="39">
        <f t="shared" si="6"/>
        <v>8850.6</v>
      </c>
      <c r="N40" s="40"/>
      <c r="O40" s="34"/>
      <c r="P40" s="35"/>
      <c r="Q40" s="35"/>
      <c r="R40" s="35"/>
      <c r="S40" s="35"/>
      <c r="T40" s="35"/>
      <c r="U40" s="35"/>
      <c r="V40" s="35"/>
      <c r="W40" s="35"/>
      <c r="X40" s="35"/>
      <c r="Y40" s="35"/>
    </row>
    <row r="41" ht="14.25" customHeight="1">
      <c r="A41" s="221" t="s">
        <v>3195</v>
      </c>
      <c r="B41" s="536" t="s">
        <v>3201</v>
      </c>
      <c r="C41" s="211" t="s">
        <v>3204</v>
      </c>
      <c r="D41" s="212"/>
      <c r="E41" s="213"/>
      <c r="F41" s="214">
        <v>10728.0</v>
      </c>
      <c r="G41" s="506">
        <v>44805.0</v>
      </c>
      <c r="H41" s="36">
        <f t="shared" si="1"/>
        <v>16092</v>
      </c>
      <c r="I41" s="37">
        <f t="shared" si="2"/>
        <v>13946.4</v>
      </c>
      <c r="J41" s="38">
        <f t="shared" si="3"/>
        <v>13946.4</v>
      </c>
      <c r="K41" s="39">
        <f t="shared" si="4"/>
        <v>12873.6</v>
      </c>
      <c r="L41" s="38">
        <f t="shared" si="5"/>
        <v>12337.2</v>
      </c>
      <c r="M41" s="39">
        <f t="shared" si="6"/>
        <v>11800.8</v>
      </c>
      <c r="N41" s="40"/>
      <c r="O41" s="34"/>
      <c r="P41" s="35"/>
      <c r="Q41" s="35"/>
      <c r="R41" s="35"/>
      <c r="S41" s="35"/>
      <c r="T41" s="35"/>
      <c r="U41" s="35"/>
      <c r="V41" s="35"/>
      <c r="W41" s="35"/>
      <c r="X41" s="35"/>
      <c r="Y41" s="35"/>
    </row>
    <row r="42" ht="14.25" customHeight="1">
      <c r="A42" s="221" t="s">
        <v>3205</v>
      </c>
      <c r="B42" s="536" t="s">
        <v>3206</v>
      </c>
      <c r="C42" s="211" t="s">
        <v>3207</v>
      </c>
      <c r="D42" s="212"/>
      <c r="E42" s="213"/>
      <c r="F42" s="214">
        <v>1810.0</v>
      </c>
      <c r="G42" s="523">
        <v>44805.0</v>
      </c>
      <c r="H42" s="36">
        <f t="shared" si="1"/>
        <v>2715</v>
      </c>
      <c r="I42" s="37">
        <f t="shared" si="2"/>
        <v>2353</v>
      </c>
      <c r="J42" s="38">
        <f t="shared" si="3"/>
        <v>2353</v>
      </c>
      <c r="K42" s="39">
        <f t="shared" si="4"/>
        <v>2172</v>
      </c>
      <c r="L42" s="38">
        <f t="shared" si="5"/>
        <v>2081.5</v>
      </c>
      <c r="M42" s="39">
        <f t="shared" si="6"/>
        <v>1991</v>
      </c>
      <c r="N42" s="40"/>
      <c r="O42" s="34"/>
      <c r="P42" s="35"/>
      <c r="Q42" s="35"/>
      <c r="R42" s="35"/>
      <c r="S42" s="35"/>
      <c r="T42" s="35"/>
      <c r="U42" s="35"/>
      <c r="V42" s="35"/>
      <c r="W42" s="35"/>
      <c r="X42" s="35"/>
      <c r="Y42" s="35"/>
    </row>
    <row r="43" ht="14.25" customHeight="1">
      <c r="A43" s="221" t="s">
        <v>3205</v>
      </c>
      <c r="B43" s="536" t="s">
        <v>3208</v>
      </c>
      <c r="C43" s="211" t="s">
        <v>3209</v>
      </c>
      <c r="D43" s="212"/>
      <c r="E43" s="213"/>
      <c r="F43" s="214">
        <v>2078.0</v>
      </c>
      <c r="G43" s="506">
        <v>44805.0</v>
      </c>
      <c r="H43" s="36">
        <f t="shared" si="1"/>
        <v>3117</v>
      </c>
      <c r="I43" s="37">
        <f t="shared" si="2"/>
        <v>2701.4</v>
      </c>
      <c r="J43" s="38">
        <f t="shared" si="3"/>
        <v>2701.4</v>
      </c>
      <c r="K43" s="39">
        <f t="shared" si="4"/>
        <v>2493.6</v>
      </c>
      <c r="L43" s="38">
        <f t="shared" si="5"/>
        <v>2389.7</v>
      </c>
      <c r="M43" s="39">
        <f t="shared" si="6"/>
        <v>2285.8</v>
      </c>
      <c r="N43" s="40"/>
      <c r="O43" s="34"/>
      <c r="P43" s="35"/>
      <c r="Q43" s="35"/>
      <c r="R43" s="35"/>
      <c r="S43" s="35"/>
      <c r="T43" s="35"/>
      <c r="U43" s="35"/>
      <c r="V43" s="35"/>
      <c r="W43" s="35"/>
      <c r="X43" s="35"/>
      <c r="Y43" s="35"/>
    </row>
    <row r="44" ht="14.25" customHeight="1">
      <c r="A44" s="221" t="s">
        <v>3205</v>
      </c>
      <c r="B44" s="536" t="s">
        <v>3210</v>
      </c>
      <c r="C44" s="211" t="s">
        <v>3211</v>
      </c>
      <c r="D44" s="212"/>
      <c r="E44" s="213"/>
      <c r="F44" s="214">
        <v>1274.0</v>
      </c>
      <c r="G44" s="523">
        <v>44805.0</v>
      </c>
      <c r="H44" s="36">
        <f t="shared" si="1"/>
        <v>1911</v>
      </c>
      <c r="I44" s="37">
        <f t="shared" si="2"/>
        <v>1656.2</v>
      </c>
      <c r="J44" s="38">
        <f t="shared" si="3"/>
        <v>1656.2</v>
      </c>
      <c r="K44" s="39">
        <f t="shared" si="4"/>
        <v>1528.8</v>
      </c>
      <c r="L44" s="38">
        <f t="shared" si="5"/>
        <v>1465.1</v>
      </c>
      <c r="M44" s="39">
        <f t="shared" si="6"/>
        <v>1401.4</v>
      </c>
      <c r="N44" s="40"/>
      <c r="O44" s="34"/>
      <c r="P44" s="35"/>
      <c r="Q44" s="35"/>
      <c r="R44" s="35"/>
      <c r="S44" s="35"/>
      <c r="T44" s="35"/>
      <c r="U44" s="35"/>
      <c r="V44" s="35"/>
      <c r="W44" s="35"/>
      <c r="X44" s="35"/>
      <c r="Y44" s="35"/>
    </row>
    <row r="45" ht="14.25" customHeight="1">
      <c r="A45" s="221" t="s">
        <v>3205</v>
      </c>
      <c r="B45" s="536" t="s">
        <v>3212</v>
      </c>
      <c r="C45" s="211" t="s">
        <v>3213</v>
      </c>
      <c r="D45" s="212"/>
      <c r="E45" s="213"/>
      <c r="F45" s="214">
        <v>1475.0</v>
      </c>
      <c r="G45" s="506">
        <v>44805.0</v>
      </c>
      <c r="H45" s="36">
        <f t="shared" si="1"/>
        <v>2212.5</v>
      </c>
      <c r="I45" s="37">
        <f t="shared" si="2"/>
        <v>1917.5</v>
      </c>
      <c r="J45" s="38">
        <f t="shared" si="3"/>
        <v>1917.5</v>
      </c>
      <c r="K45" s="39">
        <f t="shared" si="4"/>
        <v>1770</v>
      </c>
      <c r="L45" s="38">
        <f t="shared" si="5"/>
        <v>1696.25</v>
      </c>
      <c r="M45" s="39">
        <f t="shared" si="6"/>
        <v>1622.5</v>
      </c>
      <c r="N45" s="40"/>
      <c r="O45" s="34"/>
      <c r="P45" s="35"/>
      <c r="Q45" s="35"/>
      <c r="R45" s="35"/>
      <c r="S45" s="35"/>
      <c r="T45" s="35"/>
      <c r="U45" s="35"/>
      <c r="V45" s="35"/>
      <c r="W45" s="35"/>
      <c r="X45" s="35"/>
      <c r="Y45" s="35"/>
    </row>
    <row r="46" ht="14.25" customHeight="1">
      <c r="A46" s="221" t="s">
        <v>3205</v>
      </c>
      <c r="B46" s="536" t="s">
        <v>3214</v>
      </c>
      <c r="C46" s="211" t="s">
        <v>3215</v>
      </c>
      <c r="D46" s="212"/>
      <c r="E46" s="213"/>
      <c r="F46" s="214">
        <v>1743.0</v>
      </c>
      <c r="G46" s="523">
        <v>44805.0</v>
      </c>
      <c r="H46" s="36">
        <f t="shared" si="1"/>
        <v>2614.5</v>
      </c>
      <c r="I46" s="37">
        <f t="shared" si="2"/>
        <v>2265.9</v>
      </c>
      <c r="J46" s="38">
        <f t="shared" si="3"/>
        <v>2265.9</v>
      </c>
      <c r="K46" s="39">
        <f t="shared" si="4"/>
        <v>2091.6</v>
      </c>
      <c r="L46" s="38">
        <f t="shared" si="5"/>
        <v>2004.45</v>
      </c>
      <c r="M46" s="39">
        <f t="shared" si="6"/>
        <v>1917.3</v>
      </c>
      <c r="N46" s="40"/>
      <c r="O46" s="34"/>
      <c r="P46" s="35"/>
      <c r="Q46" s="35"/>
      <c r="R46" s="35"/>
      <c r="S46" s="35"/>
      <c r="T46" s="35"/>
      <c r="U46" s="35"/>
      <c r="V46" s="35"/>
      <c r="W46" s="35"/>
      <c r="X46" s="35"/>
      <c r="Y46" s="35"/>
    </row>
    <row r="47" ht="14.25" customHeight="1">
      <c r="A47" s="221" t="s">
        <v>3205</v>
      </c>
      <c r="B47" s="536" t="s">
        <v>3216</v>
      </c>
      <c r="C47" s="211" t="s">
        <v>3217</v>
      </c>
      <c r="D47" s="212"/>
      <c r="E47" s="213"/>
      <c r="F47" s="214">
        <v>1274.0</v>
      </c>
      <c r="G47" s="506">
        <v>44805.0</v>
      </c>
      <c r="H47" s="36">
        <f t="shared" si="1"/>
        <v>1911</v>
      </c>
      <c r="I47" s="37">
        <f t="shared" si="2"/>
        <v>1656.2</v>
      </c>
      <c r="J47" s="38">
        <f t="shared" si="3"/>
        <v>1656.2</v>
      </c>
      <c r="K47" s="39">
        <f t="shared" si="4"/>
        <v>1528.8</v>
      </c>
      <c r="L47" s="38">
        <f t="shared" si="5"/>
        <v>1465.1</v>
      </c>
      <c r="M47" s="39">
        <f t="shared" si="6"/>
        <v>1401.4</v>
      </c>
      <c r="N47" s="40"/>
      <c r="O47" s="34"/>
      <c r="P47" s="35"/>
      <c r="Q47" s="35"/>
      <c r="R47" s="35"/>
      <c r="S47" s="35"/>
      <c r="T47" s="35"/>
      <c r="U47" s="35"/>
      <c r="V47" s="35"/>
      <c r="W47" s="35"/>
      <c r="X47" s="35"/>
      <c r="Y47" s="35"/>
    </row>
    <row r="48" ht="14.25" customHeight="1">
      <c r="A48" s="221" t="s">
        <v>3218</v>
      </c>
      <c r="B48" s="536" t="s">
        <v>3219</v>
      </c>
      <c r="C48" s="211" t="s">
        <v>3220</v>
      </c>
      <c r="D48" s="212"/>
      <c r="E48" s="213"/>
      <c r="F48" s="214">
        <v>7375.0</v>
      </c>
      <c r="G48" s="523">
        <v>44805.0</v>
      </c>
      <c r="H48" s="36">
        <f t="shared" si="1"/>
        <v>11062.5</v>
      </c>
      <c r="I48" s="37">
        <f t="shared" si="2"/>
        <v>9587.5</v>
      </c>
      <c r="J48" s="38">
        <f t="shared" si="3"/>
        <v>9587.5</v>
      </c>
      <c r="K48" s="39">
        <f t="shared" si="4"/>
        <v>8850</v>
      </c>
      <c r="L48" s="38">
        <f t="shared" si="5"/>
        <v>8481.25</v>
      </c>
      <c r="M48" s="39">
        <f t="shared" si="6"/>
        <v>8112.5</v>
      </c>
      <c r="N48" s="40"/>
      <c r="O48" s="34"/>
      <c r="P48" s="35"/>
      <c r="Q48" s="35"/>
      <c r="R48" s="35"/>
      <c r="S48" s="35"/>
      <c r="T48" s="35"/>
      <c r="U48" s="35"/>
      <c r="V48" s="35"/>
      <c r="W48" s="35"/>
      <c r="X48" s="35"/>
      <c r="Y48" s="35"/>
    </row>
    <row r="49" ht="14.25" customHeight="1">
      <c r="A49" s="221" t="s">
        <v>3218</v>
      </c>
      <c r="B49" s="536" t="s">
        <v>3221</v>
      </c>
      <c r="C49" s="211" t="s">
        <v>3222</v>
      </c>
      <c r="D49" s="212"/>
      <c r="E49" s="213"/>
      <c r="F49" s="214">
        <v>6101.0</v>
      </c>
      <c r="G49" s="506">
        <v>44805.0</v>
      </c>
      <c r="H49" s="36">
        <f t="shared" si="1"/>
        <v>9151.5</v>
      </c>
      <c r="I49" s="37">
        <f t="shared" si="2"/>
        <v>7931.3</v>
      </c>
      <c r="J49" s="38">
        <f t="shared" si="3"/>
        <v>7931.3</v>
      </c>
      <c r="K49" s="39">
        <f t="shared" si="4"/>
        <v>7321.2</v>
      </c>
      <c r="L49" s="38">
        <f t="shared" si="5"/>
        <v>7016.15</v>
      </c>
      <c r="M49" s="39">
        <f t="shared" si="6"/>
        <v>6711.1</v>
      </c>
      <c r="N49" s="40"/>
      <c r="O49" s="34"/>
      <c r="P49" s="35"/>
      <c r="Q49" s="35"/>
      <c r="R49" s="35"/>
      <c r="S49" s="35"/>
      <c r="T49" s="35"/>
      <c r="U49" s="35"/>
      <c r="V49" s="35"/>
      <c r="W49" s="35"/>
      <c r="X49" s="35"/>
      <c r="Y49" s="35"/>
    </row>
    <row r="50" ht="14.25" customHeight="1">
      <c r="A50" s="221" t="s">
        <v>3218</v>
      </c>
      <c r="B50" s="536" t="s">
        <v>3223</v>
      </c>
      <c r="C50" s="211" t="s">
        <v>3224</v>
      </c>
      <c r="D50" s="212"/>
      <c r="E50" s="213"/>
      <c r="F50" s="214">
        <v>4827.0</v>
      </c>
      <c r="G50" s="523">
        <v>44805.0</v>
      </c>
      <c r="H50" s="36">
        <f t="shared" si="1"/>
        <v>7240.5</v>
      </c>
      <c r="I50" s="37">
        <f t="shared" si="2"/>
        <v>6275.1</v>
      </c>
      <c r="J50" s="38">
        <f t="shared" si="3"/>
        <v>6275.1</v>
      </c>
      <c r="K50" s="39">
        <f t="shared" si="4"/>
        <v>5792.4</v>
      </c>
      <c r="L50" s="38">
        <f t="shared" si="5"/>
        <v>5551.05</v>
      </c>
      <c r="M50" s="39">
        <f t="shared" si="6"/>
        <v>5309.7</v>
      </c>
      <c r="N50" s="40"/>
      <c r="O50" s="34"/>
      <c r="P50" s="35"/>
      <c r="Q50" s="35"/>
      <c r="R50" s="35"/>
      <c r="S50" s="35"/>
      <c r="T50" s="35"/>
      <c r="U50" s="35"/>
      <c r="V50" s="35"/>
      <c r="W50" s="35"/>
      <c r="X50" s="35"/>
      <c r="Y50" s="35"/>
    </row>
    <row r="51" ht="14.25" customHeight="1">
      <c r="A51" s="221" t="s">
        <v>3218</v>
      </c>
      <c r="B51" s="536" t="s">
        <v>3225</v>
      </c>
      <c r="C51" s="211" t="s">
        <v>3226</v>
      </c>
      <c r="D51" s="212"/>
      <c r="E51" s="213"/>
      <c r="F51" s="214">
        <v>1274.0</v>
      </c>
      <c r="G51" s="506">
        <v>44805.0</v>
      </c>
      <c r="H51" s="36">
        <f t="shared" si="1"/>
        <v>1911</v>
      </c>
      <c r="I51" s="37">
        <f t="shared" si="2"/>
        <v>1656.2</v>
      </c>
      <c r="J51" s="38">
        <f t="shared" si="3"/>
        <v>1656.2</v>
      </c>
      <c r="K51" s="39">
        <f t="shared" si="4"/>
        <v>1528.8</v>
      </c>
      <c r="L51" s="38">
        <f t="shared" si="5"/>
        <v>1465.1</v>
      </c>
      <c r="M51" s="39">
        <f t="shared" si="6"/>
        <v>1401.4</v>
      </c>
      <c r="N51" s="40"/>
      <c r="O51" s="34"/>
      <c r="P51" s="35"/>
      <c r="Q51" s="35"/>
      <c r="R51" s="35"/>
      <c r="S51" s="35"/>
      <c r="T51" s="35"/>
      <c r="U51" s="35"/>
      <c r="V51" s="35"/>
      <c r="W51" s="35"/>
      <c r="X51" s="35"/>
      <c r="Y51" s="35"/>
    </row>
    <row r="52" ht="14.25" customHeight="1">
      <c r="A52" s="221" t="s">
        <v>3227</v>
      </c>
      <c r="B52" s="536" t="s">
        <v>3228</v>
      </c>
      <c r="C52" s="211" t="s">
        <v>3228</v>
      </c>
      <c r="D52" s="212"/>
      <c r="E52" s="213"/>
      <c r="F52" s="214">
        <v>402.0</v>
      </c>
      <c r="G52" s="523">
        <v>44805.0</v>
      </c>
      <c r="H52" s="36">
        <f t="shared" si="1"/>
        <v>603</v>
      </c>
      <c r="I52" s="37">
        <f t="shared" si="2"/>
        <v>522.6</v>
      </c>
      <c r="J52" s="38">
        <f t="shared" si="3"/>
        <v>522.6</v>
      </c>
      <c r="K52" s="39">
        <f t="shared" si="4"/>
        <v>482.4</v>
      </c>
      <c r="L52" s="38">
        <f t="shared" si="5"/>
        <v>462.3</v>
      </c>
      <c r="M52" s="39">
        <f t="shared" si="6"/>
        <v>442.2</v>
      </c>
      <c r="N52" s="40"/>
      <c r="O52" s="34"/>
      <c r="P52" s="35"/>
      <c r="Q52" s="35"/>
      <c r="R52" s="35"/>
      <c r="S52" s="35"/>
      <c r="T52" s="35"/>
      <c r="U52" s="35"/>
      <c r="V52" s="35"/>
      <c r="W52" s="35"/>
      <c r="X52" s="35"/>
      <c r="Y52" s="35"/>
    </row>
    <row r="53" ht="14.25" customHeight="1">
      <c r="A53" s="221" t="s">
        <v>3229</v>
      </c>
      <c r="B53" s="536" t="s">
        <v>3230</v>
      </c>
      <c r="C53" s="211" t="s">
        <v>3231</v>
      </c>
      <c r="D53" s="212"/>
      <c r="E53" s="234"/>
      <c r="F53" s="214">
        <v>14080.0</v>
      </c>
      <c r="G53" s="506">
        <v>44805.0</v>
      </c>
      <c r="H53" s="36">
        <f t="shared" si="1"/>
        <v>21120</v>
      </c>
      <c r="I53" s="37">
        <f t="shared" si="2"/>
        <v>18304</v>
      </c>
      <c r="J53" s="38">
        <f t="shared" si="3"/>
        <v>18304</v>
      </c>
      <c r="K53" s="39">
        <f t="shared" si="4"/>
        <v>16896</v>
      </c>
      <c r="L53" s="38">
        <f t="shared" si="5"/>
        <v>16192</v>
      </c>
      <c r="M53" s="39">
        <f t="shared" si="6"/>
        <v>15488</v>
      </c>
      <c r="N53" s="40"/>
      <c r="O53" s="34"/>
      <c r="P53" s="35"/>
      <c r="Q53" s="35"/>
      <c r="R53" s="35"/>
      <c r="S53" s="35"/>
      <c r="T53" s="35"/>
      <c r="U53" s="35"/>
      <c r="V53" s="35"/>
      <c r="W53" s="35"/>
      <c r="X53" s="35"/>
      <c r="Y53" s="35"/>
    </row>
    <row r="54" ht="14.25" customHeight="1">
      <c r="A54" s="221" t="s">
        <v>3229</v>
      </c>
      <c r="B54" s="536" t="s">
        <v>3232</v>
      </c>
      <c r="C54" s="211" t="s">
        <v>3233</v>
      </c>
      <c r="D54" s="212"/>
      <c r="E54" s="213"/>
      <c r="F54" s="214">
        <v>402.0</v>
      </c>
      <c r="G54" s="523">
        <v>44805.0</v>
      </c>
      <c r="H54" s="36">
        <f t="shared" si="1"/>
        <v>603</v>
      </c>
      <c r="I54" s="37">
        <f t="shared" si="2"/>
        <v>522.6</v>
      </c>
      <c r="J54" s="38">
        <f t="shared" si="3"/>
        <v>522.6</v>
      </c>
      <c r="K54" s="39">
        <f t="shared" si="4"/>
        <v>482.4</v>
      </c>
      <c r="L54" s="38">
        <f t="shared" si="5"/>
        <v>462.3</v>
      </c>
      <c r="M54" s="39">
        <f t="shared" si="6"/>
        <v>442.2</v>
      </c>
      <c r="N54" s="40"/>
      <c r="O54" s="34"/>
      <c r="P54" s="35"/>
      <c r="Q54" s="35"/>
      <c r="R54" s="35"/>
      <c r="S54" s="35"/>
      <c r="T54" s="35"/>
      <c r="U54" s="35"/>
      <c r="V54" s="35"/>
      <c r="W54" s="35"/>
      <c r="X54" s="35"/>
      <c r="Y54" s="35"/>
    </row>
    <row r="55" ht="14.25" customHeight="1">
      <c r="A55" s="221" t="s">
        <v>3229</v>
      </c>
      <c r="B55" s="536" t="s">
        <v>3234</v>
      </c>
      <c r="C55" s="211" t="s">
        <v>3235</v>
      </c>
      <c r="D55" s="212"/>
      <c r="E55" s="213"/>
      <c r="F55" s="214">
        <v>168.0</v>
      </c>
      <c r="G55" s="506">
        <v>44805.0</v>
      </c>
      <c r="H55" s="36">
        <f t="shared" si="1"/>
        <v>252</v>
      </c>
      <c r="I55" s="37">
        <f t="shared" si="2"/>
        <v>218.4</v>
      </c>
      <c r="J55" s="38">
        <f t="shared" si="3"/>
        <v>218.4</v>
      </c>
      <c r="K55" s="39">
        <f t="shared" si="4"/>
        <v>201.6</v>
      </c>
      <c r="L55" s="38">
        <f t="shared" si="5"/>
        <v>193.2</v>
      </c>
      <c r="M55" s="39">
        <f t="shared" si="6"/>
        <v>184.8</v>
      </c>
      <c r="N55" s="40"/>
      <c r="O55" s="34"/>
      <c r="P55" s="35"/>
      <c r="Q55" s="35"/>
      <c r="R55" s="35"/>
      <c r="S55" s="35"/>
      <c r="T55" s="35"/>
      <c r="U55" s="35"/>
      <c r="V55" s="35"/>
      <c r="W55" s="35"/>
      <c r="X55" s="35"/>
      <c r="Y55" s="35"/>
    </row>
    <row r="56" ht="14.25" customHeight="1">
      <c r="A56" s="221" t="s">
        <v>3229</v>
      </c>
      <c r="B56" s="536" t="s">
        <v>3236</v>
      </c>
      <c r="C56" s="211" t="s">
        <v>3237</v>
      </c>
      <c r="D56" s="212"/>
      <c r="E56" s="213"/>
      <c r="F56" s="92">
        <v>130.0</v>
      </c>
      <c r="G56" s="523">
        <v>44805.0</v>
      </c>
      <c r="H56" s="36">
        <f t="shared" si="1"/>
        <v>195</v>
      </c>
      <c r="I56" s="37">
        <f t="shared" si="2"/>
        <v>169</v>
      </c>
      <c r="J56" s="38">
        <f t="shared" si="3"/>
        <v>169</v>
      </c>
      <c r="K56" s="39">
        <f t="shared" si="4"/>
        <v>156</v>
      </c>
      <c r="L56" s="38">
        <f t="shared" si="5"/>
        <v>149.5</v>
      </c>
      <c r="M56" s="39">
        <f t="shared" si="6"/>
        <v>143</v>
      </c>
      <c r="N56" s="40"/>
      <c r="O56" s="34"/>
      <c r="P56" s="35"/>
      <c r="Q56" s="35"/>
      <c r="R56" s="35"/>
      <c r="S56" s="35"/>
      <c r="T56" s="35"/>
      <c r="U56" s="35"/>
      <c r="V56" s="35"/>
      <c r="W56" s="35"/>
      <c r="X56" s="35"/>
      <c r="Y56" s="35"/>
    </row>
    <row r="57" ht="14.25" customHeight="1">
      <c r="A57" s="221" t="s">
        <v>3229</v>
      </c>
      <c r="B57" s="536" t="s">
        <v>3238</v>
      </c>
      <c r="C57" s="211" t="s">
        <v>3239</v>
      </c>
      <c r="D57" s="212"/>
      <c r="E57" s="213"/>
      <c r="F57" s="214">
        <v>104.0</v>
      </c>
      <c r="G57" s="506">
        <v>44805.0</v>
      </c>
      <c r="H57" s="36">
        <f t="shared" si="1"/>
        <v>156</v>
      </c>
      <c r="I57" s="37">
        <f t="shared" si="2"/>
        <v>135.2</v>
      </c>
      <c r="J57" s="38">
        <f t="shared" si="3"/>
        <v>135.2</v>
      </c>
      <c r="K57" s="39">
        <f t="shared" si="4"/>
        <v>124.8</v>
      </c>
      <c r="L57" s="38">
        <f t="shared" si="5"/>
        <v>119.6</v>
      </c>
      <c r="M57" s="39">
        <f t="shared" si="6"/>
        <v>114.4</v>
      </c>
      <c r="N57" s="40"/>
      <c r="O57" s="34"/>
      <c r="P57" s="35"/>
      <c r="Q57" s="35"/>
      <c r="R57" s="35"/>
      <c r="S57" s="35"/>
      <c r="T57" s="35"/>
      <c r="U57" s="35"/>
      <c r="V57" s="35"/>
      <c r="W57" s="35"/>
      <c r="X57" s="35"/>
      <c r="Y57" s="35"/>
    </row>
    <row r="58" ht="14.25" customHeight="1">
      <c r="A58" s="221" t="s">
        <v>3229</v>
      </c>
      <c r="B58" s="536" t="s">
        <v>3240</v>
      </c>
      <c r="C58" s="211" t="s">
        <v>3241</v>
      </c>
      <c r="D58" s="212"/>
      <c r="E58" s="234"/>
      <c r="F58" s="214">
        <v>402.0</v>
      </c>
      <c r="G58" s="523">
        <v>44805.0</v>
      </c>
      <c r="H58" s="36">
        <f t="shared" si="1"/>
        <v>603</v>
      </c>
      <c r="I58" s="37">
        <f t="shared" si="2"/>
        <v>522.6</v>
      </c>
      <c r="J58" s="38">
        <f t="shared" si="3"/>
        <v>522.6</v>
      </c>
      <c r="K58" s="39">
        <f t="shared" si="4"/>
        <v>482.4</v>
      </c>
      <c r="L58" s="38">
        <f t="shared" si="5"/>
        <v>462.3</v>
      </c>
      <c r="M58" s="39">
        <f t="shared" si="6"/>
        <v>442.2</v>
      </c>
      <c r="N58" s="40"/>
      <c r="O58" s="34"/>
      <c r="P58" s="35"/>
      <c r="Q58" s="35"/>
      <c r="R58" s="35"/>
      <c r="S58" s="35"/>
      <c r="T58" s="35"/>
      <c r="U58" s="35"/>
      <c r="V58" s="35"/>
      <c r="W58" s="35"/>
      <c r="X58" s="35"/>
      <c r="Y58" s="35"/>
    </row>
    <row r="59" ht="14.25" customHeight="1">
      <c r="A59" s="221" t="s">
        <v>3229</v>
      </c>
      <c r="B59" s="536" t="s">
        <v>3242</v>
      </c>
      <c r="C59" s="211" t="s">
        <v>3243</v>
      </c>
      <c r="D59" s="212"/>
      <c r="E59" s="213"/>
      <c r="F59" s="214">
        <v>168.0</v>
      </c>
      <c r="G59" s="506">
        <v>44805.0</v>
      </c>
      <c r="H59" s="36">
        <f t="shared" si="1"/>
        <v>252</v>
      </c>
      <c r="I59" s="37">
        <f t="shared" si="2"/>
        <v>218.4</v>
      </c>
      <c r="J59" s="38">
        <f t="shared" si="3"/>
        <v>218.4</v>
      </c>
      <c r="K59" s="39">
        <f t="shared" si="4"/>
        <v>201.6</v>
      </c>
      <c r="L59" s="38">
        <f t="shared" si="5"/>
        <v>193.2</v>
      </c>
      <c r="M59" s="39">
        <f t="shared" si="6"/>
        <v>184.8</v>
      </c>
      <c r="N59" s="40"/>
      <c r="O59" s="34"/>
      <c r="P59" s="35"/>
      <c r="Q59" s="35"/>
      <c r="R59" s="35"/>
      <c r="S59" s="35"/>
      <c r="T59" s="35"/>
      <c r="U59" s="35"/>
      <c r="V59" s="35"/>
      <c r="W59" s="35"/>
      <c r="X59" s="35"/>
      <c r="Y59" s="35"/>
    </row>
    <row r="60" ht="14.25" customHeight="1">
      <c r="A60" s="221"/>
      <c r="B60" s="231"/>
      <c r="C60" s="233"/>
      <c r="D60" s="212"/>
      <c r="E60" s="213"/>
      <c r="F60" s="214"/>
      <c r="G60" s="523">
        <v>44805.0</v>
      </c>
      <c r="H60" s="36">
        <f t="shared" si="1"/>
        <v>0</v>
      </c>
      <c r="I60" s="37">
        <f t="shared" si="2"/>
        <v>0</v>
      </c>
      <c r="J60" s="38">
        <f t="shared" si="3"/>
        <v>0</v>
      </c>
      <c r="K60" s="39">
        <f t="shared" si="4"/>
        <v>0</v>
      </c>
      <c r="L60" s="38">
        <f t="shared" si="5"/>
        <v>0</v>
      </c>
      <c r="M60" s="39">
        <f t="shared" si="6"/>
        <v>0</v>
      </c>
      <c r="N60" s="40"/>
      <c r="O60" s="34"/>
      <c r="P60" s="35"/>
      <c r="Q60" s="35"/>
      <c r="R60" s="35"/>
      <c r="S60" s="35"/>
      <c r="T60" s="35"/>
      <c r="U60" s="35"/>
      <c r="V60" s="35"/>
      <c r="W60" s="35"/>
      <c r="X60" s="35"/>
      <c r="Y60" s="35"/>
    </row>
    <row r="61" ht="14.25" customHeight="1">
      <c r="A61" s="221"/>
      <c r="B61" s="231"/>
      <c r="C61" s="233"/>
      <c r="D61" s="212"/>
      <c r="E61" s="213"/>
      <c r="F61" s="214"/>
      <c r="G61" s="506">
        <v>44805.0</v>
      </c>
      <c r="H61" s="36">
        <f t="shared" si="1"/>
        <v>0</v>
      </c>
      <c r="I61" s="37">
        <f t="shared" si="2"/>
        <v>0</v>
      </c>
      <c r="J61" s="38">
        <f t="shared" si="3"/>
        <v>0</v>
      </c>
      <c r="K61" s="39">
        <f t="shared" si="4"/>
        <v>0</v>
      </c>
      <c r="L61" s="38">
        <f t="shared" si="5"/>
        <v>0</v>
      </c>
      <c r="M61" s="39">
        <f t="shared" si="6"/>
        <v>0</v>
      </c>
      <c r="N61" s="40"/>
      <c r="O61" s="34"/>
      <c r="P61" s="35"/>
      <c r="Q61" s="35"/>
      <c r="R61" s="35"/>
      <c r="S61" s="35"/>
      <c r="T61" s="35"/>
      <c r="U61" s="35"/>
      <c r="V61" s="35"/>
      <c r="W61" s="35"/>
      <c r="X61" s="35"/>
      <c r="Y61" s="35"/>
    </row>
    <row r="62" ht="14.25" customHeight="1">
      <c r="A62" s="221"/>
      <c r="B62" s="231"/>
      <c r="C62" s="233"/>
      <c r="D62" s="212"/>
      <c r="E62" s="213"/>
      <c r="F62" s="214"/>
      <c r="G62" s="523">
        <v>44805.0</v>
      </c>
      <c r="H62" s="36">
        <f t="shared" si="1"/>
        <v>0</v>
      </c>
      <c r="I62" s="37">
        <f t="shared" si="2"/>
        <v>0</v>
      </c>
      <c r="J62" s="38">
        <f t="shared" si="3"/>
        <v>0</v>
      </c>
      <c r="K62" s="39">
        <f t="shared" si="4"/>
        <v>0</v>
      </c>
      <c r="L62" s="38">
        <f t="shared" si="5"/>
        <v>0</v>
      </c>
      <c r="M62" s="39">
        <f t="shared" si="6"/>
        <v>0</v>
      </c>
      <c r="N62" s="40"/>
      <c r="O62" s="34"/>
      <c r="P62" s="35"/>
      <c r="Q62" s="35"/>
      <c r="R62" s="35"/>
      <c r="S62" s="35"/>
      <c r="T62" s="35"/>
      <c r="U62" s="35"/>
      <c r="V62" s="35"/>
      <c r="W62" s="35"/>
      <c r="X62" s="35"/>
      <c r="Y62" s="35"/>
    </row>
    <row r="63" ht="14.25" customHeight="1">
      <c r="A63" s="221"/>
      <c r="B63" s="231"/>
      <c r="C63" s="233"/>
      <c r="D63" s="212"/>
      <c r="E63" s="213"/>
      <c r="F63" s="214"/>
      <c r="G63" s="506">
        <v>44805.0</v>
      </c>
      <c r="H63" s="36">
        <f t="shared" si="1"/>
        <v>0</v>
      </c>
      <c r="I63" s="37">
        <f t="shared" si="2"/>
        <v>0</v>
      </c>
      <c r="J63" s="38">
        <f t="shared" si="3"/>
        <v>0</v>
      </c>
      <c r="K63" s="39">
        <f t="shared" si="4"/>
        <v>0</v>
      </c>
      <c r="L63" s="38">
        <f t="shared" si="5"/>
        <v>0</v>
      </c>
      <c r="M63" s="39">
        <f t="shared" si="6"/>
        <v>0</v>
      </c>
      <c r="N63" s="40"/>
      <c r="O63" s="34"/>
      <c r="P63" s="35"/>
      <c r="Q63" s="35"/>
      <c r="R63" s="35"/>
      <c r="S63" s="35"/>
      <c r="T63" s="35"/>
      <c r="U63" s="35"/>
      <c r="V63" s="35"/>
      <c r="W63" s="35"/>
      <c r="X63" s="35"/>
      <c r="Y63" s="35"/>
    </row>
    <row r="64" ht="14.25" customHeight="1">
      <c r="A64" s="221"/>
      <c r="B64" s="231"/>
      <c r="C64" s="233"/>
      <c r="D64" s="212"/>
      <c r="E64" s="213"/>
      <c r="F64" s="214"/>
      <c r="G64" s="523">
        <v>44805.0</v>
      </c>
      <c r="H64" s="36">
        <f t="shared" si="1"/>
        <v>0</v>
      </c>
      <c r="I64" s="37">
        <f t="shared" si="2"/>
        <v>0</v>
      </c>
      <c r="J64" s="38">
        <f t="shared" si="3"/>
        <v>0</v>
      </c>
      <c r="K64" s="39">
        <f t="shared" si="4"/>
        <v>0</v>
      </c>
      <c r="L64" s="38">
        <f t="shared" si="5"/>
        <v>0</v>
      </c>
      <c r="M64" s="39">
        <f t="shared" si="6"/>
        <v>0</v>
      </c>
      <c r="N64" s="40"/>
      <c r="O64" s="34"/>
      <c r="P64" s="35"/>
      <c r="Q64" s="35"/>
      <c r="R64" s="35"/>
      <c r="S64" s="35"/>
      <c r="T64" s="35"/>
      <c r="U64" s="35"/>
      <c r="V64" s="35"/>
      <c r="W64" s="35"/>
      <c r="X64" s="35"/>
      <c r="Y64" s="35"/>
    </row>
    <row r="65" ht="14.25" customHeight="1">
      <c r="A65" s="221"/>
      <c r="B65" s="231"/>
      <c r="C65" s="233"/>
      <c r="D65" s="212"/>
      <c r="E65" s="213"/>
      <c r="F65" s="214"/>
      <c r="G65" s="506">
        <v>44805.0</v>
      </c>
      <c r="H65" s="36">
        <f t="shared" si="1"/>
        <v>0</v>
      </c>
      <c r="I65" s="37">
        <f t="shared" si="2"/>
        <v>0</v>
      </c>
      <c r="J65" s="38">
        <f t="shared" si="3"/>
        <v>0</v>
      </c>
      <c r="K65" s="39">
        <f t="shared" si="4"/>
        <v>0</v>
      </c>
      <c r="L65" s="38">
        <f t="shared" si="5"/>
        <v>0</v>
      </c>
      <c r="M65" s="39">
        <f t="shared" si="6"/>
        <v>0</v>
      </c>
      <c r="N65" s="40"/>
      <c r="O65" s="34"/>
      <c r="P65" s="35"/>
      <c r="Q65" s="35"/>
      <c r="R65" s="35"/>
      <c r="S65" s="35"/>
      <c r="T65" s="35"/>
      <c r="U65" s="35"/>
      <c r="V65" s="35"/>
      <c r="W65" s="35"/>
      <c r="X65" s="35"/>
      <c r="Y65" s="35"/>
    </row>
    <row r="66" ht="14.25" customHeight="1">
      <c r="A66" s="221"/>
      <c r="B66" s="231"/>
      <c r="C66" s="233"/>
      <c r="D66" s="212"/>
      <c r="E66" s="213"/>
      <c r="F66" s="214"/>
      <c r="G66" s="523">
        <v>44805.0</v>
      </c>
      <c r="H66" s="36">
        <f t="shared" si="1"/>
        <v>0</v>
      </c>
      <c r="I66" s="37">
        <f t="shared" si="2"/>
        <v>0</v>
      </c>
      <c r="J66" s="38">
        <f t="shared" si="3"/>
        <v>0</v>
      </c>
      <c r="K66" s="39">
        <f t="shared" si="4"/>
        <v>0</v>
      </c>
      <c r="L66" s="38">
        <f t="shared" si="5"/>
        <v>0</v>
      </c>
      <c r="M66" s="39">
        <f t="shared" si="6"/>
        <v>0</v>
      </c>
      <c r="N66" s="40"/>
      <c r="O66" s="34"/>
      <c r="P66" s="35"/>
      <c r="Q66" s="35"/>
      <c r="R66" s="35"/>
      <c r="S66" s="35"/>
      <c r="T66" s="35"/>
      <c r="U66" s="35"/>
      <c r="V66" s="35"/>
      <c r="W66" s="35"/>
      <c r="X66" s="35"/>
      <c r="Y66" s="35"/>
    </row>
    <row r="67" ht="14.25" customHeight="1">
      <c r="A67" s="221"/>
      <c r="B67" s="231"/>
      <c r="C67" s="233"/>
      <c r="D67" s="212"/>
      <c r="E67" s="213"/>
      <c r="F67" s="214"/>
      <c r="G67" s="506">
        <v>44805.0</v>
      </c>
      <c r="H67" s="36">
        <f t="shared" si="1"/>
        <v>0</v>
      </c>
      <c r="I67" s="37">
        <f t="shared" si="2"/>
        <v>0</v>
      </c>
      <c r="J67" s="38">
        <f t="shared" si="3"/>
        <v>0</v>
      </c>
      <c r="K67" s="39">
        <f t="shared" si="4"/>
        <v>0</v>
      </c>
      <c r="L67" s="38">
        <f t="shared" si="5"/>
        <v>0</v>
      </c>
      <c r="M67" s="39">
        <f t="shared" si="6"/>
        <v>0</v>
      </c>
      <c r="N67" s="40"/>
      <c r="O67" s="34"/>
      <c r="P67" s="35"/>
      <c r="Q67" s="35"/>
      <c r="R67" s="35"/>
      <c r="S67" s="35"/>
      <c r="T67" s="35"/>
      <c r="U67" s="35"/>
      <c r="V67" s="35"/>
      <c r="W67" s="35"/>
      <c r="X67" s="35"/>
      <c r="Y67" s="35"/>
    </row>
    <row r="68" ht="14.25" customHeight="1">
      <c r="A68" s="221"/>
      <c r="B68" s="231"/>
      <c r="C68" s="233"/>
      <c r="D68" s="212"/>
      <c r="E68" s="213"/>
      <c r="F68" s="214"/>
      <c r="G68" s="523">
        <v>44805.0</v>
      </c>
      <c r="H68" s="36">
        <f t="shared" si="1"/>
        <v>0</v>
      </c>
      <c r="I68" s="37">
        <f t="shared" si="2"/>
        <v>0</v>
      </c>
      <c r="J68" s="38">
        <f t="shared" si="3"/>
        <v>0</v>
      </c>
      <c r="K68" s="39">
        <f t="shared" si="4"/>
        <v>0</v>
      </c>
      <c r="L68" s="38">
        <f t="shared" si="5"/>
        <v>0</v>
      </c>
      <c r="M68" s="39">
        <f t="shared" si="6"/>
        <v>0</v>
      </c>
      <c r="N68" s="40"/>
      <c r="O68" s="34"/>
      <c r="P68" s="35"/>
      <c r="Q68" s="35"/>
      <c r="R68" s="35"/>
      <c r="S68" s="35"/>
      <c r="T68" s="35"/>
      <c r="U68" s="35"/>
      <c r="V68" s="35"/>
      <c r="W68" s="35"/>
      <c r="X68" s="35"/>
      <c r="Y68" s="35"/>
    </row>
    <row r="69" ht="14.25" customHeight="1">
      <c r="A69" s="221"/>
      <c r="B69" s="231"/>
      <c r="C69" s="233"/>
      <c r="D69" s="212"/>
      <c r="E69" s="213"/>
      <c r="F69" s="214"/>
      <c r="G69" s="506">
        <v>44805.0</v>
      </c>
      <c r="H69" s="36">
        <f t="shared" si="1"/>
        <v>0</v>
      </c>
      <c r="I69" s="37">
        <f t="shared" si="2"/>
        <v>0</v>
      </c>
      <c r="J69" s="38">
        <f t="shared" si="3"/>
        <v>0</v>
      </c>
      <c r="K69" s="39">
        <f t="shared" si="4"/>
        <v>0</v>
      </c>
      <c r="L69" s="38">
        <f t="shared" si="5"/>
        <v>0</v>
      </c>
      <c r="M69" s="39">
        <f t="shared" si="6"/>
        <v>0</v>
      </c>
      <c r="N69" s="40"/>
      <c r="O69" s="34"/>
      <c r="Q69" s="76"/>
      <c r="R69" s="76"/>
      <c r="S69" s="76"/>
      <c r="T69" s="76"/>
      <c r="U69" s="76"/>
      <c r="V69" s="76"/>
      <c r="W69" s="76"/>
      <c r="X69" s="76"/>
      <c r="Y69" s="76"/>
    </row>
    <row r="70" ht="14.25" customHeight="1">
      <c r="A70" s="221"/>
      <c r="B70" s="231"/>
      <c r="C70" s="233"/>
      <c r="D70" s="212"/>
      <c r="E70" s="213"/>
      <c r="F70" s="214"/>
      <c r="G70" s="523">
        <v>44805.0</v>
      </c>
      <c r="H70" s="36">
        <f t="shared" si="1"/>
        <v>0</v>
      </c>
      <c r="I70" s="37">
        <f t="shared" si="2"/>
        <v>0</v>
      </c>
      <c r="J70" s="38">
        <f t="shared" si="3"/>
        <v>0</v>
      </c>
      <c r="K70" s="39">
        <f t="shared" si="4"/>
        <v>0</v>
      </c>
      <c r="L70" s="38">
        <f t="shared" si="5"/>
        <v>0</v>
      </c>
      <c r="M70" s="39">
        <f t="shared" si="6"/>
        <v>0</v>
      </c>
      <c r="N70" s="40"/>
      <c r="O70" s="34"/>
      <c r="P70" s="35"/>
      <c r="Q70" s="35"/>
      <c r="R70" s="35"/>
      <c r="S70" s="35"/>
      <c r="T70" s="35"/>
      <c r="U70" s="35"/>
      <c r="V70" s="35"/>
      <c r="W70" s="35"/>
      <c r="X70" s="35"/>
      <c r="Y70" s="35"/>
    </row>
    <row r="71" ht="14.25" customHeight="1">
      <c r="A71" s="221"/>
      <c r="B71" s="231"/>
      <c r="C71" s="233"/>
      <c r="D71" s="212"/>
      <c r="E71" s="213"/>
      <c r="F71" s="214"/>
      <c r="G71" s="506">
        <v>44805.0</v>
      </c>
      <c r="H71" s="36">
        <f t="shared" si="1"/>
        <v>0</v>
      </c>
      <c r="I71" s="37">
        <f t="shared" si="2"/>
        <v>0</v>
      </c>
      <c r="J71" s="38">
        <f t="shared" si="3"/>
        <v>0</v>
      </c>
      <c r="K71" s="39">
        <f t="shared" si="4"/>
        <v>0</v>
      </c>
      <c r="L71" s="38">
        <f t="shared" si="5"/>
        <v>0</v>
      </c>
      <c r="M71" s="39">
        <f t="shared" si="6"/>
        <v>0</v>
      </c>
      <c r="N71" s="40"/>
      <c r="O71" s="34"/>
      <c r="Q71" s="76"/>
      <c r="R71" s="76"/>
      <c r="S71" s="76"/>
      <c r="T71" s="76"/>
      <c r="U71" s="76"/>
      <c r="V71" s="76"/>
      <c r="W71" s="76"/>
      <c r="X71" s="76"/>
      <c r="Y71" s="76"/>
    </row>
    <row r="72" ht="14.25" customHeight="1">
      <c r="A72" s="221"/>
      <c r="B72" s="231"/>
      <c r="C72" s="233"/>
      <c r="D72" s="212"/>
      <c r="E72" s="213"/>
      <c r="F72" s="214"/>
      <c r="G72" s="523">
        <v>44805.0</v>
      </c>
      <c r="H72" s="36">
        <f t="shared" si="1"/>
        <v>0</v>
      </c>
      <c r="I72" s="37">
        <f t="shared" si="2"/>
        <v>0</v>
      </c>
      <c r="J72" s="38">
        <f t="shared" si="3"/>
        <v>0</v>
      </c>
      <c r="K72" s="39">
        <f t="shared" si="4"/>
        <v>0</v>
      </c>
      <c r="L72" s="38">
        <f t="shared" si="5"/>
        <v>0</v>
      </c>
      <c r="M72" s="39">
        <f t="shared" si="6"/>
        <v>0</v>
      </c>
      <c r="N72" s="40"/>
      <c r="O72" s="34"/>
      <c r="P72" s="35"/>
      <c r="Q72" s="35"/>
      <c r="R72" s="35"/>
      <c r="S72" s="35"/>
      <c r="T72" s="35"/>
      <c r="U72" s="35"/>
      <c r="V72" s="35"/>
      <c r="W72" s="35"/>
      <c r="X72" s="35"/>
      <c r="Y72" s="35"/>
    </row>
    <row r="73" ht="14.25" customHeight="1">
      <c r="A73" s="221"/>
      <c r="B73" s="231"/>
      <c r="C73" s="233"/>
      <c r="D73" s="212"/>
      <c r="E73" s="213"/>
      <c r="F73" s="214"/>
      <c r="G73" s="506">
        <v>44805.0</v>
      </c>
      <c r="H73" s="36">
        <f t="shared" si="1"/>
        <v>0</v>
      </c>
      <c r="I73" s="37">
        <f t="shared" si="2"/>
        <v>0</v>
      </c>
      <c r="J73" s="38">
        <f t="shared" si="3"/>
        <v>0</v>
      </c>
      <c r="K73" s="39">
        <f t="shared" si="4"/>
        <v>0</v>
      </c>
      <c r="L73" s="38">
        <f t="shared" si="5"/>
        <v>0</v>
      </c>
      <c r="M73" s="39">
        <f t="shared" si="6"/>
        <v>0</v>
      </c>
      <c r="N73" s="40"/>
      <c r="O73" s="34"/>
      <c r="P73" s="35"/>
      <c r="Q73" s="35"/>
      <c r="R73" s="35"/>
      <c r="S73" s="35"/>
      <c r="T73" s="35"/>
      <c r="U73" s="35"/>
      <c r="V73" s="35"/>
      <c r="W73" s="35"/>
      <c r="X73" s="35"/>
      <c r="Y73" s="35"/>
    </row>
    <row r="74" ht="14.25" customHeight="1">
      <c r="A74" s="221"/>
      <c r="B74" s="231"/>
      <c r="C74" s="233"/>
      <c r="D74" s="212"/>
      <c r="E74" s="213"/>
      <c r="F74" s="214"/>
      <c r="G74" s="523">
        <v>44805.0</v>
      </c>
      <c r="H74" s="36">
        <f t="shared" si="1"/>
        <v>0</v>
      </c>
      <c r="I74" s="37">
        <f t="shared" si="2"/>
        <v>0</v>
      </c>
      <c r="J74" s="38">
        <f t="shared" si="3"/>
        <v>0</v>
      </c>
      <c r="K74" s="39">
        <f t="shared" si="4"/>
        <v>0</v>
      </c>
      <c r="L74" s="38">
        <f t="shared" si="5"/>
        <v>0</v>
      </c>
      <c r="M74" s="39">
        <f t="shared" si="6"/>
        <v>0</v>
      </c>
      <c r="N74" s="40"/>
      <c r="O74" s="34"/>
      <c r="P74" s="35"/>
      <c r="Q74" s="35"/>
      <c r="R74" s="35"/>
      <c r="S74" s="35"/>
      <c r="T74" s="35"/>
      <c r="U74" s="35"/>
      <c r="V74" s="35"/>
      <c r="W74" s="35"/>
      <c r="X74" s="35"/>
      <c r="Y74" s="35"/>
    </row>
    <row r="75" ht="14.25" customHeight="1">
      <c r="A75" s="221"/>
      <c r="B75" s="231"/>
      <c r="C75" s="233"/>
      <c r="D75" s="212"/>
      <c r="E75" s="213"/>
      <c r="F75" s="214"/>
      <c r="G75" s="506">
        <v>44805.0</v>
      </c>
      <c r="H75" s="36">
        <f t="shared" si="1"/>
        <v>0</v>
      </c>
      <c r="I75" s="37">
        <f t="shared" si="2"/>
        <v>0</v>
      </c>
      <c r="J75" s="38">
        <f t="shared" si="3"/>
        <v>0</v>
      </c>
      <c r="K75" s="39">
        <f t="shared" si="4"/>
        <v>0</v>
      </c>
      <c r="L75" s="38">
        <f t="shared" si="5"/>
        <v>0</v>
      </c>
      <c r="M75" s="39">
        <f t="shared" si="6"/>
        <v>0</v>
      </c>
      <c r="N75" s="40"/>
      <c r="O75" s="34"/>
      <c r="P75" s="35"/>
      <c r="Q75" s="35"/>
      <c r="R75" s="35"/>
      <c r="S75" s="35"/>
      <c r="T75" s="35"/>
      <c r="U75" s="35"/>
      <c r="V75" s="35"/>
      <c r="W75" s="35"/>
      <c r="X75" s="35"/>
      <c r="Y75" s="35"/>
    </row>
    <row r="76" ht="14.25" customHeight="1">
      <c r="A76" s="221"/>
      <c r="B76" s="231"/>
      <c r="C76" s="233"/>
      <c r="D76" s="212"/>
      <c r="E76" s="213"/>
      <c r="F76" s="214"/>
      <c r="G76" s="523">
        <v>44805.0</v>
      </c>
      <c r="H76" s="36">
        <f t="shared" si="1"/>
        <v>0</v>
      </c>
      <c r="I76" s="37">
        <f t="shared" si="2"/>
        <v>0</v>
      </c>
      <c r="J76" s="38">
        <f t="shared" si="3"/>
        <v>0</v>
      </c>
      <c r="K76" s="39">
        <f t="shared" si="4"/>
        <v>0</v>
      </c>
      <c r="L76" s="38">
        <f t="shared" si="5"/>
        <v>0</v>
      </c>
      <c r="M76" s="39">
        <f t="shared" si="6"/>
        <v>0</v>
      </c>
      <c r="N76" s="40"/>
      <c r="O76" s="34"/>
      <c r="P76" s="35"/>
      <c r="Q76" s="35"/>
      <c r="R76" s="35"/>
      <c r="S76" s="35"/>
      <c r="T76" s="35"/>
      <c r="U76" s="35"/>
      <c r="V76" s="35"/>
      <c r="W76" s="35"/>
      <c r="X76" s="35"/>
      <c r="Y76" s="35"/>
    </row>
    <row r="77" ht="14.25" customHeight="1">
      <c r="A77" s="221"/>
      <c r="B77" s="231"/>
      <c r="C77" s="233"/>
      <c r="D77" s="212"/>
      <c r="E77" s="213"/>
      <c r="F77" s="214"/>
      <c r="G77" s="506">
        <v>44805.0</v>
      </c>
      <c r="H77" s="36">
        <f t="shared" si="1"/>
        <v>0</v>
      </c>
      <c r="I77" s="37">
        <f t="shared" si="2"/>
        <v>0</v>
      </c>
      <c r="J77" s="38">
        <f t="shared" si="3"/>
        <v>0</v>
      </c>
      <c r="K77" s="39">
        <f t="shared" si="4"/>
        <v>0</v>
      </c>
      <c r="L77" s="38">
        <f t="shared" si="5"/>
        <v>0</v>
      </c>
      <c r="M77" s="39">
        <f t="shared" si="6"/>
        <v>0</v>
      </c>
      <c r="N77" s="40"/>
      <c r="O77" s="34"/>
      <c r="P77" s="35"/>
      <c r="Q77" s="35"/>
      <c r="R77" s="35"/>
      <c r="S77" s="35"/>
      <c r="T77" s="35"/>
      <c r="U77" s="35"/>
      <c r="V77" s="35"/>
      <c r="W77" s="35"/>
      <c r="X77" s="35"/>
      <c r="Y77" s="35"/>
    </row>
    <row r="78" ht="14.25" customHeight="1">
      <c r="A78" s="221"/>
      <c r="B78" s="231"/>
      <c r="C78" s="233"/>
      <c r="D78" s="212"/>
      <c r="E78" s="213"/>
      <c r="F78" s="214"/>
      <c r="G78" s="523">
        <v>44805.0</v>
      </c>
      <c r="H78" s="36">
        <f t="shared" si="1"/>
        <v>0</v>
      </c>
      <c r="I78" s="37">
        <f t="shared" si="2"/>
        <v>0</v>
      </c>
      <c r="J78" s="38">
        <f t="shared" si="3"/>
        <v>0</v>
      </c>
      <c r="K78" s="39">
        <f t="shared" si="4"/>
        <v>0</v>
      </c>
      <c r="L78" s="38">
        <f t="shared" si="5"/>
        <v>0</v>
      </c>
      <c r="M78" s="39">
        <f t="shared" si="6"/>
        <v>0</v>
      </c>
      <c r="N78" s="40"/>
      <c r="O78" s="34"/>
      <c r="P78" s="35"/>
      <c r="Q78" s="35"/>
      <c r="R78" s="35"/>
      <c r="S78" s="35"/>
      <c r="T78" s="35"/>
      <c r="U78" s="35"/>
      <c r="V78" s="35"/>
      <c r="W78" s="35"/>
      <c r="X78" s="35"/>
      <c r="Y78" s="35"/>
    </row>
    <row r="79" ht="14.25" customHeight="1">
      <c r="A79" s="221"/>
      <c r="B79" s="231"/>
      <c r="C79" s="233"/>
      <c r="D79" s="212"/>
      <c r="E79" s="213"/>
      <c r="F79" s="214"/>
      <c r="G79" s="506">
        <v>44805.0</v>
      </c>
      <c r="H79" s="36">
        <f t="shared" si="1"/>
        <v>0</v>
      </c>
      <c r="I79" s="37">
        <f t="shared" si="2"/>
        <v>0</v>
      </c>
      <c r="J79" s="38">
        <f t="shared" si="3"/>
        <v>0</v>
      </c>
      <c r="K79" s="39">
        <f t="shared" si="4"/>
        <v>0</v>
      </c>
      <c r="L79" s="38">
        <f t="shared" si="5"/>
        <v>0</v>
      </c>
      <c r="M79" s="39">
        <f t="shared" si="6"/>
        <v>0</v>
      </c>
      <c r="N79" s="40"/>
      <c r="O79" s="34"/>
      <c r="P79" s="35"/>
      <c r="Q79" s="35"/>
      <c r="R79" s="35"/>
      <c r="S79" s="35"/>
      <c r="T79" s="35"/>
      <c r="U79" s="35"/>
      <c r="V79" s="35"/>
      <c r="W79" s="35"/>
      <c r="X79" s="35"/>
      <c r="Y79" s="35"/>
    </row>
    <row r="80" ht="14.25" customHeight="1">
      <c r="A80" s="221"/>
      <c r="B80" s="231"/>
      <c r="C80" s="233"/>
      <c r="D80" s="212"/>
      <c r="E80" s="213"/>
      <c r="F80" s="214"/>
      <c r="G80" s="523">
        <v>44805.0</v>
      </c>
      <c r="H80" s="36">
        <f t="shared" si="1"/>
        <v>0</v>
      </c>
      <c r="I80" s="37">
        <f t="shared" si="2"/>
        <v>0</v>
      </c>
      <c r="J80" s="38">
        <f t="shared" si="3"/>
        <v>0</v>
      </c>
      <c r="K80" s="39">
        <f t="shared" si="4"/>
        <v>0</v>
      </c>
      <c r="L80" s="38">
        <f t="shared" si="5"/>
        <v>0</v>
      </c>
      <c r="M80" s="39">
        <f t="shared" si="6"/>
        <v>0</v>
      </c>
      <c r="N80" s="40"/>
      <c r="O80" s="34"/>
      <c r="P80" s="35"/>
      <c r="Q80" s="35"/>
      <c r="R80" s="35"/>
      <c r="S80" s="35"/>
      <c r="T80" s="35"/>
      <c r="U80" s="35"/>
      <c r="V80" s="35"/>
      <c r="W80" s="35"/>
      <c r="X80" s="35"/>
      <c r="Y80" s="35"/>
    </row>
    <row r="81" ht="14.25" customHeight="1">
      <c r="A81" s="221"/>
      <c r="B81" s="231"/>
      <c r="C81" s="233"/>
      <c r="D81" s="212"/>
      <c r="E81" s="213"/>
      <c r="F81" s="214"/>
      <c r="G81" s="506">
        <v>44805.0</v>
      </c>
      <c r="H81" s="36">
        <f t="shared" si="1"/>
        <v>0</v>
      </c>
      <c r="I81" s="37">
        <f t="shared" si="2"/>
        <v>0</v>
      </c>
      <c r="J81" s="38">
        <f t="shared" si="3"/>
        <v>0</v>
      </c>
      <c r="K81" s="39">
        <f t="shared" si="4"/>
        <v>0</v>
      </c>
      <c r="L81" s="38">
        <f t="shared" si="5"/>
        <v>0</v>
      </c>
      <c r="M81" s="39">
        <f t="shared" si="6"/>
        <v>0</v>
      </c>
      <c r="N81" s="40"/>
      <c r="O81" s="34"/>
      <c r="P81" s="35"/>
      <c r="Q81" s="35"/>
      <c r="R81" s="35"/>
      <c r="S81" s="35"/>
      <c r="T81" s="35"/>
      <c r="U81" s="35"/>
      <c r="V81" s="35"/>
      <c r="W81" s="35"/>
      <c r="X81" s="35"/>
      <c r="Y81" s="35"/>
    </row>
    <row r="82" ht="14.25" customHeight="1">
      <c r="A82" s="221"/>
      <c r="B82" s="231"/>
      <c r="C82" s="233"/>
      <c r="D82" s="212"/>
      <c r="E82" s="213"/>
      <c r="F82" s="214"/>
      <c r="G82" s="523">
        <v>44805.0</v>
      </c>
      <c r="H82" s="36">
        <f t="shared" si="1"/>
        <v>0</v>
      </c>
      <c r="I82" s="37">
        <f t="shared" si="2"/>
        <v>0</v>
      </c>
      <c r="J82" s="38">
        <f t="shared" si="3"/>
        <v>0</v>
      </c>
      <c r="K82" s="39">
        <f t="shared" si="4"/>
        <v>0</v>
      </c>
      <c r="L82" s="38">
        <f t="shared" si="5"/>
        <v>0</v>
      </c>
      <c r="M82" s="39">
        <f t="shared" si="6"/>
        <v>0</v>
      </c>
      <c r="N82" s="40"/>
      <c r="O82" s="34"/>
      <c r="P82" s="35"/>
      <c r="Q82" s="35"/>
      <c r="R82" s="35"/>
      <c r="S82" s="35"/>
      <c r="T82" s="35"/>
      <c r="U82" s="35"/>
      <c r="V82" s="35"/>
      <c r="W82" s="35"/>
      <c r="X82" s="35"/>
      <c r="Y82" s="35"/>
    </row>
    <row r="83" ht="14.25" customHeight="1">
      <c r="A83" s="221"/>
      <c r="B83" s="231"/>
      <c r="C83" s="233"/>
      <c r="D83" s="212"/>
      <c r="E83" s="213"/>
      <c r="F83" s="214"/>
      <c r="G83" s="506">
        <v>44805.0</v>
      </c>
      <c r="H83" s="36">
        <f t="shared" si="1"/>
        <v>0</v>
      </c>
      <c r="I83" s="37">
        <f t="shared" si="2"/>
        <v>0</v>
      </c>
      <c r="J83" s="38">
        <f t="shared" si="3"/>
        <v>0</v>
      </c>
      <c r="K83" s="39">
        <f t="shared" si="4"/>
        <v>0</v>
      </c>
      <c r="L83" s="38">
        <f t="shared" si="5"/>
        <v>0</v>
      </c>
      <c r="M83" s="39">
        <f t="shared" si="6"/>
        <v>0</v>
      </c>
      <c r="N83" s="40"/>
      <c r="O83" s="34"/>
      <c r="P83" s="35"/>
      <c r="Q83" s="35"/>
      <c r="R83" s="35"/>
      <c r="S83" s="35"/>
      <c r="T83" s="35"/>
      <c r="U83" s="35"/>
      <c r="V83" s="35"/>
      <c r="W83" s="35"/>
      <c r="X83" s="35"/>
      <c r="Y83" s="35"/>
    </row>
    <row r="84" ht="14.25" customHeight="1">
      <c r="A84" s="221"/>
      <c r="B84" s="231"/>
      <c r="C84" s="233"/>
      <c r="D84" s="212"/>
      <c r="E84" s="213"/>
      <c r="F84" s="214"/>
      <c r="G84" s="523">
        <v>44805.0</v>
      </c>
      <c r="H84" s="36">
        <f t="shared" si="1"/>
        <v>0</v>
      </c>
      <c r="I84" s="37">
        <f t="shared" si="2"/>
        <v>0</v>
      </c>
      <c r="J84" s="38">
        <f t="shared" si="3"/>
        <v>0</v>
      </c>
      <c r="K84" s="39">
        <f t="shared" si="4"/>
        <v>0</v>
      </c>
      <c r="L84" s="38">
        <f t="shared" si="5"/>
        <v>0</v>
      </c>
      <c r="M84" s="39">
        <f t="shared" si="6"/>
        <v>0</v>
      </c>
      <c r="N84" s="40"/>
      <c r="O84" s="34"/>
      <c r="P84" s="35"/>
      <c r="Q84" s="35"/>
      <c r="R84" s="35"/>
      <c r="S84" s="35"/>
      <c r="T84" s="35"/>
      <c r="U84" s="35"/>
      <c r="V84" s="35"/>
      <c r="W84" s="35"/>
      <c r="X84" s="35"/>
      <c r="Y84" s="35"/>
    </row>
    <row r="85" ht="14.25" customHeight="1">
      <c r="A85" s="221"/>
      <c r="B85" s="231"/>
      <c r="C85" s="233"/>
      <c r="D85" s="212"/>
      <c r="E85" s="213"/>
      <c r="F85" s="214"/>
      <c r="G85" s="506">
        <v>44805.0</v>
      </c>
      <c r="H85" s="36">
        <f t="shared" si="1"/>
        <v>0</v>
      </c>
      <c r="I85" s="37">
        <f t="shared" si="2"/>
        <v>0</v>
      </c>
      <c r="J85" s="38">
        <f t="shared" si="3"/>
        <v>0</v>
      </c>
      <c r="K85" s="39">
        <f t="shared" si="4"/>
        <v>0</v>
      </c>
      <c r="L85" s="38">
        <f t="shared" si="5"/>
        <v>0</v>
      </c>
      <c r="M85" s="39">
        <f t="shared" si="6"/>
        <v>0</v>
      </c>
      <c r="N85" s="40"/>
      <c r="O85" s="34"/>
      <c r="P85" s="35"/>
      <c r="Q85" s="35"/>
      <c r="R85" s="35"/>
      <c r="S85" s="35"/>
      <c r="T85" s="35"/>
      <c r="U85" s="35"/>
      <c r="V85" s="35"/>
      <c r="W85" s="35"/>
      <c r="X85" s="35"/>
      <c r="Y85" s="35"/>
    </row>
    <row r="86" ht="14.25" customHeight="1">
      <c r="A86" s="221"/>
      <c r="B86" s="231"/>
      <c r="C86" s="233"/>
      <c r="D86" s="212"/>
      <c r="E86" s="213"/>
      <c r="F86" s="214"/>
      <c r="G86" s="523">
        <v>44805.0</v>
      </c>
      <c r="H86" s="36">
        <f t="shared" si="1"/>
        <v>0</v>
      </c>
      <c r="I86" s="37">
        <f t="shared" si="2"/>
        <v>0</v>
      </c>
      <c r="J86" s="38">
        <f t="shared" si="3"/>
        <v>0</v>
      </c>
      <c r="K86" s="39">
        <f t="shared" si="4"/>
        <v>0</v>
      </c>
      <c r="L86" s="38">
        <f t="shared" si="5"/>
        <v>0</v>
      </c>
      <c r="M86" s="39">
        <f t="shared" si="6"/>
        <v>0</v>
      </c>
      <c r="N86" s="40"/>
      <c r="O86" s="78"/>
      <c r="P86" s="76"/>
      <c r="Q86" s="76"/>
      <c r="R86" s="76"/>
      <c r="S86" s="76"/>
      <c r="T86" s="76"/>
      <c r="U86" s="76"/>
      <c r="V86" s="76"/>
      <c r="W86" s="76"/>
      <c r="X86" s="76"/>
      <c r="Y86" s="76"/>
    </row>
    <row r="87" ht="14.25" customHeight="1">
      <c r="A87" s="221"/>
      <c r="B87" s="231"/>
      <c r="C87" s="233"/>
      <c r="D87" s="212"/>
      <c r="E87" s="213"/>
      <c r="F87" s="214"/>
      <c r="G87" s="506">
        <v>44805.0</v>
      </c>
      <c r="H87" s="36">
        <f t="shared" si="1"/>
        <v>0</v>
      </c>
      <c r="I87" s="37">
        <f t="shared" si="2"/>
        <v>0</v>
      </c>
      <c r="J87" s="38">
        <f t="shared" si="3"/>
        <v>0</v>
      </c>
      <c r="K87" s="39">
        <f t="shared" si="4"/>
        <v>0</v>
      </c>
      <c r="L87" s="38">
        <f t="shared" si="5"/>
        <v>0</v>
      </c>
      <c r="M87" s="39">
        <f t="shared" si="6"/>
        <v>0</v>
      </c>
      <c r="N87" s="40"/>
      <c r="O87" s="78"/>
      <c r="P87" s="35"/>
      <c r="Q87" s="35"/>
      <c r="R87" s="35"/>
      <c r="S87" s="35"/>
      <c r="T87" s="35"/>
      <c r="U87" s="35"/>
      <c r="V87" s="35"/>
      <c r="W87" s="35"/>
      <c r="X87" s="35"/>
      <c r="Y87" s="35"/>
    </row>
    <row r="88" ht="14.25" customHeight="1">
      <c r="A88" s="221"/>
      <c r="B88" s="231"/>
      <c r="C88" s="233"/>
      <c r="D88" s="212"/>
      <c r="E88" s="213"/>
      <c r="F88" s="214"/>
      <c r="G88" s="523">
        <v>44805.0</v>
      </c>
      <c r="H88" s="36">
        <f t="shared" si="1"/>
        <v>0</v>
      </c>
      <c r="I88" s="37">
        <f t="shared" si="2"/>
        <v>0</v>
      </c>
      <c r="J88" s="38">
        <f t="shared" si="3"/>
        <v>0</v>
      </c>
      <c r="K88" s="39">
        <f t="shared" si="4"/>
        <v>0</v>
      </c>
      <c r="L88" s="38">
        <f t="shared" si="5"/>
        <v>0</v>
      </c>
      <c r="M88" s="39">
        <f t="shared" si="6"/>
        <v>0</v>
      </c>
      <c r="N88" s="40"/>
      <c r="O88" s="78"/>
      <c r="P88" s="35"/>
      <c r="Q88" s="35"/>
      <c r="R88" s="35"/>
      <c r="S88" s="35"/>
      <c r="T88" s="35"/>
      <c r="U88" s="35"/>
      <c r="V88" s="35"/>
      <c r="W88" s="35"/>
      <c r="X88" s="35"/>
      <c r="Y88" s="35"/>
    </row>
    <row r="89" ht="14.25" customHeight="1">
      <c r="A89" s="221"/>
      <c r="B89" s="231"/>
      <c r="C89" s="233"/>
      <c r="D89" s="212"/>
      <c r="E89" s="213"/>
      <c r="F89" s="214"/>
      <c r="G89" s="506">
        <v>44805.0</v>
      </c>
      <c r="H89" s="36">
        <f t="shared" si="1"/>
        <v>0</v>
      </c>
      <c r="I89" s="37">
        <f t="shared" si="2"/>
        <v>0</v>
      </c>
      <c r="J89" s="38">
        <f t="shared" si="3"/>
        <v>0</v>
      </c>
      <c r="K89" s="39">
        <f t="shared" si="4"/>
        <v>0</v>
      </c>
      <c r="L89" s="38">
        <f t="shared" si="5"/>
        <v>0</v>
      </c>
      <c r="M89" s="39">
        <f t="shared" si="6"/>
        <v>0</v>
      </c>
      <c r="N89" s="40"/>
      <c r="O89" s="34"/>
      <c r="P89" s="35"/>
      <c r="Q89" s="35"/>
      <c r="R89" s="35"/>
      <c r="S89" s="35"/>
      <c r="T89" s="35"/>
      <c r="U89" s="35"/>
      <c r="V89" s="35"/>
      <c r="W89" s="35"/>
      <c r="X89" s="35"/>
      <c r="Y89" s="35"/>
    </row>
    <row r="90" ht="14.25" customHeight="1">
      <c r="A90" s="221"/>
      <c r="B90" s="231"/>
      <c r="C90" s="233"/>
      <c r="D90" s="212"/>
      <c r="E90" s="213"/>
      <c r="F90" s="214"/>
      <c r="G90" s="523">
        <v>44805.0</v>
      </c>
      <c r="H90" s="36">
        <f t="shared" si="1"/>
        <v>0</v>
      </c>
      <c r="I90" s="37">
        <f t="shared" si="2"/>
        <v>0</v>
      </c>
      <c r="J90" s="38">
        <f t="shared" si="3"/>
        <v>0</v>
      </c>
      <c r="K90" s="39">
        <f t="shared" si="4"/>
        <v>0</v>
      </c>
      <c r="L90" s="38">
        <f t="shared" si="5"/>
        <v>0</v>
      </c>
      <c r="M90" s="39">
        <f t="shared" si="6"/>
        <v>0</v>
      </c>
      <c r="N90" s="40"/>
      <c r="O90" s="78"/>
      <c r="P90" s="35"/>
      <c r="Q90" s="35"/>
      <c r="R90" s="35"/>
      <c r="S90" s="35"/>
      <c r="T90" s="35"/>
      <c r="U90" s="35"/>
      <c r="V90" s="35"/>
      <c r="W90" s="35"/>
      <c r="X90" s="35"/>
      <c r="Y90" s="35"/>
    </row>
    <row r="91" ht="14.25" customHeight="1">
      <c r="A91" s="221"/>
      <c r="B91" s="231"/>
      <c r="C91" s="233"/>
      <c r="D91" s="212"/>
      <c r="E91" s="213"/>
      <c r="F91" s="214"/>
      <c r="G91" s="506">
        <v>44805.0</v>
      </c>
      <c r="H91" s="36">
        <f t="shared" si="1"/>
        <v>0</v>
      </c>
      <c r="I91" s="37">
        <f t="shared" si="2"/>
        <v>0</v>
      </c>
      <c r="J91" s="38">
        <f t="shared" si="3"/>
        <v>0</v>
      </c>
      <c r="K91" s="39">
        <f t="shared" si="4"/>
        <v>0</v>
      </c>
      <c r="L91" s="38">
        <f t="shared" si="5"/>
        <v>0</v>
      </c>
      <c r="M91" s="39">
        <f t="shared" si="6"/>
        <v>0</v>
      </c>
      <c r="N91" s="40"/>
      <c r="O91" s="34"/>
      <c r="P91" s="35"/>
      <c r="Q91" s="35"/>
      <c r="R91" s="35"/>
      <c r="S91" s="35"/>
      <c r="T91" s="35"/>
      <c r="U91" s="35"/>
      <c r="V91" s="35"/>
      <c r="W91" s="35"/>
      <c r="X91" s="35"/>
      <c r="Y91" s="35"/>
    </row>
    <row r="92" ht="14.25" customHeight="1">
      <c r="A92" s="221"/>
      <c r="B92" s="231"/>
      <c r="C92" s="233"/>
      <c r="D92" s="212"/>
      <c r="E92" s="213"/>
      <c r="F92" s="214"/>
      <c r="G92" s="523">
        <v>44805.0</v>
      </c>
      <c r="H92" s="36">
        <f t="shared" si="1"/>
        <v>0</v>
      </c>
      <c r="I92" s="37">
        <f t="shared" si="2"/>
        <v>0</v>
      </c>
      <c r="J92" s="38">
        <f t="shared" si="3"/>
        <v>0</v>
      </c>
      <c r="K92" s="39">
        <f t="shared" si="4"/>
        <v>0</v>
      </c>
      <c r="L92" s="38">
        <f t="shared" si="5"/>
        <v>0</v>
      </c>
      <c r="M92" s="39">
        <f t="shared" si="6"/>
        <v>0</v>
      </c>
      <c r="N92" s="40"/>
      <c r="O92" s="78"/>
      <c r="P92" s="35"/>
      <c r="Q92" s="35"/>
      <c r="R92" s="35"/>
      <c r="S92" s="35"/>
      <c r="T92" s="35"/>
      <c r="U92" s="35"/>
      <c r="V92" s="35"/>
      <c r="W92" s="35"/>
      <c r="X92" s="35"/>
      <c r="Y92" s="35"/>
    </row>
    <row r="93" ht="14.25" customHeight="1">
      <c r="A93" s="221"/>
      <c r="B93" s="231"/>
      <c r="C93" s="233"/>
      <c r="D93" s="212"/>
      <c r="E93" s="213"/>
      <c r="F93" s="214"/>
      <c r="G93" s="506">
        <v>44805.0</v>
      </c>
      <c r="H93" s="36">
        <f t="shared" si="1"/>
        <v>0</v>
      </c>
      <c r="I93" s="37">
        <f t="shared" si="2"/>
        <v>0</v>
      </c>
      <c r="J93" s="38">
        <f t="shared" si="3"/>
        <v>0</v>
      </c>
      <c r="K93" s="39">
        <f t="shared" si="4"/>
        <v>0</v>
      </c>
      <c r="L93" s="38">
        <f t="shared" si="5"/>
        <v>0</v>
      </c>
      <c r="M93" s="39">
        <f t="shared" si="6"/>
        <v>0</v>
      </c>
      <c r="N93" s="40"/>
      <c r="O93" s="78"/>
      <c r="P93" s="35"/>
      <c r="Q93" s="35"/>
      <c r="R93" s="35"/>
      <c r="S93" s="35"/>
      <c r="T93" s="35"/>
      <c r="U93" s="35"/>
      <c r="V93" s="35"/>
      <c r="W93" s="35"/>
      <c r="X93" s="35"/>
      <c r="Y93" s="35"/>
    </row>
    <row r="94" ht="14.25" customHeight="1">
      <c r="A94" s="221"/>
      <c r="B94" s="231"/>
      <c r="C94" s="233"/>
      <c r="D94" s="212"/>
      <c r="E94" s="213"/>
      <c r="F94" s="214"/>
      <c r="G94" s="523">
        <v>44805.0</v>
      </c>
      <c r="H94" s="36">
        <f t="shared" si="1"/>
        <v>0</v>
      </c>
      <c r="I94" s="37">
        <f t="shared" si="2"/>
        <v>0</v>
      </c>
      <c r="J94" s="38">
        <f t="shared" si="3"/>
        <v>0</v>
      </c>
      <c r="K94" s="39">
        <f t="shared" si="4"/>
        <v>0</v>
      </c>
      <c r="L94" s="38">
        <f t="shared" si="5"/>
        <v>0</v>
      </c>
      <c r="M94" s="39">
        <f t="shared" si="6"/>
        <v>0</v>
      </c>
      <c r="N94" s="40"/>
      <c r="O94" s="78"/>
      <c r="P94" s="35"/>
      <c r="Q94" s="35"/>
      <c r="R94" s="35"/>
      <c r="S94" s="35"/>
      <c r="T94" s="35"/>
      <c r="U94" s="35"/>
      <c r="V94" s="35"/>
      <c r="W94" s="35"/>
      <c r="X94" s="35"/>
      <c r="Y94" s="35"/>
    </row>
    <row r="95" ht="14.25" customHeight="1">
      <c r="A95" s="221"/>
      <c r="B95" s="231"/>
      <c r="C95" s="233"/>
      <c r="D95" s="212"/>
      <c r="E95" s="213"/>
      <c r="F95" s="214"/>
      <c r="G95" s="506">
        <v>44805.0</v>
      </c>
      <c r="H95" s="36">
        <f t="shared" si="1"/>
        <v>0</v>
      </c>
      <c r="I95" s="37">
        <f t="shared" si="2"/>
        <v>0</v>
      </c>
      <c r="J95" s="38">
        <f t="shared" si="3"/>
        <v>0</v>
      </c>
      <c r="K95" s="39">
        <f t="shared" si="4"/>
        <v>0</v>
      </c>
      <c r="L95" s="38">
        <f t="shared" si="5"/>
        <v>0</v>
      </c>
      <c r="M95" s="39">
        <f t="shared" si="6"/>
        <v>0</v>
      </c>
      <c r="N95" s="40"/>
      <c r="O95" s="34"/>
      <c r="P95" s="35"/>
      <c r="Q95" s="35"/>
      <c r="R95" s="35"/>
      <c r="S95" s="35"/>
      <c r="T95" s="35"/>
      <c r="U95" s="35"/>
      <c r="V95" s="35"/>
      <c r="W95" s="35"/>
      <c r="X95" s="35"/>
      <c r="Y95" s="35"/>
    </row>
    <row r="96" ht="14.25" customHeight="1">
      <c r="A96" s="221"/>
      <c r="B96" s="231"/>
      <c r="C96" s="233"/>
      <c r="D96" s="212"/>
      <c r="E96" s="213"/>
      <c r="F96" s="214"/>
      <c r="G96" s="523">
        <v>44805.0</v>
      </c>
      <c r="H96" s="36">
        <f t="shared" si="1"/>
        <v>0</v>
      </c>
      <c r="I96" s="37">
        <f t="shared" si="2"/>
        <v>0</v>
      </c>
      <c r="J96" s="38">
        <f t="shared" si="3"/>
        <v>0</v>
      </c>
      <c r="K96" s="39">
        <f t="shared" si="4"/>
        <v>0</v>
      </c>
      <c r="L96" s="38">
        <f t="shared" si="5"/>
        <v>0</v>
      </c>
      <c r="M96" s="39">
        <f t="shared" si="6"/>
        <v>0</v>
      </c>
      <c r="N96" s="40"/>
      <c r="O96" s="34"/>
      <c r="P96" s="35"/>
      <c r="Q96" s="35"/>
      <c r="R96" s="35"/>
      <c r="S96" s="35"/>
      <c r="T96" s="35"/>
      <c r="U96" s="35"/>
      <c r="V96" s="35"/>
      <c r="W96" s="35"/>
      <c r="X96" s="35"/>
      <c r="Y96" s="35"/>
    </row>
    <row r="97" ht="14.25" customHeight="1">
      <c r="A97" s="221"/>
      <c r="B97" s="231"/>
      <c r="C97" s="233"/>
      <c r="D97" s="212"/>
      <c r="E97" s="213"/>
      <c r="F97" s="214"/>
      <c r="G97" s="506">
        <v>44805.0</v>
      </c>
      <c r="H97" s="36">
        <f t="shared" si="1"/>
        <v>0</v>
      </c>
      <c r="I97" s="37">
        <f t="shared" si="2"/>
        <v>0</v>
      </c>
      <c r="J97" s="38">
        <f t="shared" si="3"/>
        <v>0</v>
      </c>
      <c r="K97" s="39">
        <f t="shared" si="4"/>
        <v>0</v>
      </c>
      <c r="L97" s="38">
        <f t="shared" si="5"/>
        <v>0</v>
      </c>
      <c r="M97" s="39">
        <f t="shared" si="6"/>
        <v>0</v>
      </c>
      <c r="N97" s="40"/>
      <c r="O97" s="34"/>
      <c r="P97" s="35"/>
      <c r="Q97" s="35"/>
      <c r="R97" s="35"/>
      <c r="S97" s="35"/>
      <c r="T97" s="35"/>
      <c r="U97" s="35"/>
      <c r="V97" s="35"/>
      <c r="W97" s="35"/>
      <c r="X97" s="35"/>
      <c r="Y97" s="35"/>
    </row>
    <row r="98" ht="14.25" customHeight="1">
      <c r="A98" s="221"/>
      <c r="B98" s="231"/>
      <c r="C98" s="233"/>
      <c r="D98" s="212"/>
      <c r="E98" s="213"/>
      <c r="F98" s="214"/>
      <c r="G98" s="523">
        <v>44805.0</v>
      </c>
      <c r="H98" s="36">
        <f t="shared" si="1"/>
        <v>0</v>
      </c>
      <c r="I98" s="37">
        <f t="shared" si="2"/>
        <v>0</v>
      </c>
      <c r="J98" s="38">
        <f t="shared" si="3"/>
        <v>0</v>
      </c>
      <c r="K98" s="39">
        <f t="shared" si="4"/>
        <v>0</v>
      </c>
      <c r="L98" s="38">
        <f t="shared" si="5"/>
        <v>0</v>
      </c>
      <c r="M98" s="39">
        <f t="shared" si="6"/>
        <v>0</v>
      </c>
      <c r="N98" s="40"/>
      <c r="O98" s="34"/>
      <c r="P98" s="35"/>
      <c r="Q98" s="35"/>
      <c r="R98" s="35"/>
      <c r="S98" s="35"/>
      <c r="T98" s="35"/>
      <c r="U98" s="35"/>
      <c r="V98" s="35"/>
      <c r="W98" s="35"/>
      <c r="X98" s="35"/>
      <c r="Y98" s="35"/>
    </row>
    <row r="99" ht="14.25" customHeight="1">
      <c r="A99" s="221"/>
      <c r="B99" s="231"/>
      <c r="C99" s="233"/>
      <c r="D99" s="212"/>
      <c r="E99" s="213"/>
      <c r="F99" s="214"/>
      <c r="G99" s="506">
        <v>44805.0</v>
      </c>
      <c r="H99" s="36">
        <f t="shared" si="1"/>
        <v>0</v>
      </c>
      <c r="I99" s="37">
        <f t="shared" si="2"/>
        <v>0</v>
      </c>
      <c r="J99" s="38">
        <f t="shared" si="3"/>
        <v>0</v>
      </c>
      <c r="K99" s="39">
        <f t="shared" si="4"/>
        <v>0</v>
      </c>
      <c r="L99" s="38">
        <f t="shared" si="5"/>
        <v>0</v>
      </c>
      <c r="M99" s="39">
        <f t="shared" si="6"/>
        <v>0</v>
      </c>
      <c r="N99" s="40"/>
      <c r="O99" s="34"/>
      <c r="P99" s="35"/>
      <c r="Q99" s="35"/>
      <c r="R99" s="35"/>
      <c r="S99" s="35"/>
      <c r="T99" s="35"/>
      <c r="U99" s="35"/>
      <c r="V99" s="35"/>
      <c r="W99" s="35"/>
      <c r="X99" s="35"/>
      <c r="Y99" s="35"/>
    </row>
    <row r="100" ht="14.25" customHeight="1">
      <c r="A100" s="221"/>
      <c r="B100" s="231"/>
      <c r="C100" s="233"/>
      <c r="D100" s="212"/>
      <c r="E100" s="213"/>
      <c r="F100" s="214"/>
      <c r="G100" s="523">
        <v>44805.0</v>
      </c>
      <c r="H100" s="36">
        <f t="shared" si="1"/>
        <v>0</v>
      </c>
      <c r="I100" s="37">
        <f t="shared" si="2"/>
        <v>0</v>
      </c>
      <c r="J100" s="38">
        <f t="shared" si="3"/>
        <v>0</v>
      </c>
      <c r="K100" s="39">
        <f t="shared" si="4"/>
        <v>0</v>
      </c>
      <c r="L100" s="38">
        <f t="shared" si="5"/>
        <v>0</v>
      </c>
      <c r="M100" s="39">
        <f t="shared" si="6"/>
        <v>0</v>
      </c>
      <c r="N100" s="40"/>
      <c r="O100" s="34"/>
      <c r="P100" s="35"/>
      <c r="Q100" s="35"/>
      <c r="R100" s="35"/>
      <c r="S100" s="35"/>
      <c r="T100" s="35"/>
      <c r="U100" s="35"/>
      <c r="V100" s="35"/>
      <c r="W100" s="35"/>
      <c r="X100" s="35"/>
      <c r="Y100" s="35"/>
    </row>
    <row r="101" ht="14.25" customHeight="1">
      <c r="A101" s="221"/>
      <c r="B101" s="231"/>
      <c r="C101" s="233"/>
      <c r="D101" s="212"/>
      <c r="E101" s="213"/>
      <c r="F101" s="214"/>
      <c r="G101" s="506">
        <v>44805.0</v>
      </c>
      <c r="H101" s="36">
        <f t="shared" si="1"/>
        <v>0</v>
      </c>
      <c r="I101" s="37">
        <f t="shared" si="2"/>
        <v>0</v>
      </c>
      <c r="J101" s="38">
        <f t="shared" si="3"/>
        <v>0</v>
      </c>
      <c r="K101" s="39">
        <f t="shared" si="4"/>
        <v>0</v>
      </c>
      <c r="L101" s="38">
        <f t="shared" si="5"/>
        <v>0</v>
      </c>
      <c r="M101" s="39">
        <f t="shared" si="6"/>
        <v>0</v>
      </c>
      <c r="N101" s="40"/>
      <c r="O101" s="34"/>
      <c r="P101" s="35"/>
      <c r="Q101" s="35"/>
      <c r="R101" s="35"/>
      <c r="S101" s="35"/>
      <c r="T101" s="35"/>
      <c r="U101" s="35"/>
      <c r="V101" s="35"/>
      <c r="W101" s="35"/>
      <c r="X101" s="35"/>
      <c r="Y101" s="35"/>
    </row>
    <row r="102" ht="14.25" customHeight="1">
      <c r="A102" s="221"/>
      <c r="B102" s="231"/>
      <c r="C102" s="233"/>
      <c r="D102" s="212"/>
      <c r="E102" s="213"/>
      <c r="F102" s="214"/>
      <c r="G102" s="523">
        <v>44805.0</v>
      </c>
      <c r="H102" s="36">
        <f t="shared" si="1"/>
        <v>0</v>
      </c>
      <c r="I102" s="37">
        <f t="shared" si="2"/>
        <v>0</v>
      </c>
      <c r="J102" s="38">
        <f t="shared" si="3"/>
        <v>0</v>
      </c>
      <c r="K102" s="39">
        <f t="shared" si="4"/>
        <v>0</v>
      </c>
      <c r="L102" s="38">
        <f t="shared" si="5"/>
        <v>0</v>
      </c>
      <c r="M102" s="39">
        <f t="shared" si="6"/>
        <v>0</v>
      </c>
      <c r="N102" s="40"/>
      <c r="O102" s="78"/>
      <c r="P102" s="35"/>
      <c r="Q102" s="35"/>
      <c r="R102" s="35"/>
      <c r="S102" s="35"/>
      <c r="T102" s="35"/>
      <c r="U102" s="35"/>
      <c r="V102" s="35"/>
      <c r="W102" s="35"/>
      <c r="X102" s="35"/>
      <c r="Y102" s="35"/>
    </row>
    <row r="103" ht="14.25" customHeight="1">
      <c r="A103" s="221"/>
      <c r="B103" s="231"/>
      <c r="C103" s="233"/>
      <c r="D103" s="212"/>
      <c r="E103" s="213"/>
      <c r="F103" s="214"/>
      <c r="G103" s="506">
        <v>44805.0</v>
      </c>
      <c r="H103" s="36">
        <f t="shared" si="1"/>
        <v>0</v>
      </c>
      <c r="I103" s="37">
        <f t="shared" si="2"/>
        <v>0</v>
      </c>
      <c r="J103" s="38">
        <f t="shared" si="3"/>
        <v>0</v>
      </c>
      <c r="K103" s="39">
        <f t="shared" si="4"/>
        <v>0</v>
      </c>
      <c r="L103" s="38">
        <f t="shared" si="5"/>
        <v>0</v>
      </c>
      <c r="M103" s="39">
        <f t="shared" si="6"/>
        <v>0</v>
      </c>
      <c r="N103" s="40"/>
      <c r="O103" s="78"/>
      <c r="P103" s="35"/>
      <c r="Q103" s="35"/>
      <c r="R103" s="35"/>
      <c r="S103" s="35"/>
      <c r="T103" s="35"/>
      <c r="U103" s="35"/>
      <c r="V103" s="35"/>
      <c r="W103" s="35"/>
      <c r="X103" s="35"/>
      <c r="Y103" s="35"/>
    </row>
    <row r="104" ht="14.25" customHeight="1">
      <c r="A104" s="221"/>
      <c r="B104" s="231"/>
      <c r="C104" s="233"/>
      <c r="D104" s="212"/>
      <c r="E104" s="213"/>
      <c r="F104" s="214"/>
      <c r="G104" s="523">
        <v>44805.0</v>
      </c>
      <c r="H104" s="36">
        <f t="shared" si="1"/>
        <v>0</v>
      </c>
      <c r="I104" s="37">
        <f t="shared" si="2"/>
        <v>0</v>
      </c>
      <c r="J104" s="38">
        <f t="shared" si="3"/>
        <v>0</v>
      </c>
      <c r="K104" s="39">
        <f t="shared" si="4"/>
        <v>0</v>
      </c>
      <c r="L104" s="38">
        <f t="shared" si="5"/>
        <v>0</v>
      </c>
      <c r="M104" s="39">
        <f t="shared" si="6"/>
        <v>0</v>
      </c>
      <c r="N104" s="40"/>
      <c r="O104" s="78"/>
      <c r="P104" s="35"/>
      <c r="Q104" s="35"/>
      <c r="R104" s="35"/>
      <c r="S104" s="35"/>
      <c r="T104" s="35"/>
      <c r="U104" s="35"/>
      <c r="V104" s="35"/>
      <c r="W104" s="35"/>
      <c r="X104" s="35"/>
      <c r="Y104" s="35"/>
    </row>
    <row r="105" ht="14.25" customHeight="1">
      <c r="A105" s="221"/>
      <c r="B105" s="231"/>
      <c r="C105" s="233"/>
      <c r="D105" s="212"/>
      <c r="E105" s="213"/>
      <c r="F105" s="214"/>
      <c r="G105" s="506">
        <v>44805.0</v>
      </c>
      <c r="H105" s="36">
        <f t="shared" si="1"/>
        <v>0</v>
      </c>
      <c r="I105" s="37">
        <f t="shared" si="2"/>
        <v>0</v>
      </c>
      <c r="J105" s="38">
        <f t="shared" si="3"/>
        <v>0</v>
      </c>
      <c r="K105" s="39">
        <f t="shared" si="4"/>
        <v>0</v>
      </c>
      <c r="L105" s="38">
        <f t="shared" si="5"/>
        <v>0</v>
      </c>
      <c r="M105" s="39">
        <f t="shared" si="6"/>
        <v>0</v>
      </c>
      <c r="N105" s="40"/>
      <c r="O105" s="78"/>
      <c r="P105" s="35"/>
      <c r="Q105" s="35"/>
      <c r="R105" s="35"/>
      <c r="S105" s="35"/>
      <c r="T105" s="35"/>
      <c r="U105" s="35"/>
      <c r="V105" s="35"/>
      <c r="W105" s="35"/>
      <c r="X105" s="35"/>
      <c r="Y105" s="35"/>
    </row>
    <row r="106" ht="14.25" customHeight="1">
      <c r="A106" s="221"/>
      <c r="B106" s="231"/>
      <c r="C106" s="233"/>
      <c r="D106" s="212"/>
      <c r="E106" s="213"/>
      <c r="F106" s="214"/>
      <c r="G106" s="523">
        <v>44805.0</v>
      </c>
      <c r="H106" s="36">
        <f t="shared" si="1"/>
        <v>0</v>
      </c>
      <c r="I106" s="37">
        <f t="shared" si="2"/>
        <v>0</v>
      </c>
      <c r="J106" s="38">
        <f t="shared" si="3"/>
        <v>0</v>
      </c>
      <c r="K106" s="39">
        <f t="shared" si="4"/>
        <v>0</v>
      </c>
      <c r="L106" s="38">
        <f t="shared" si="5"/>
        <v>0</v>
      </c>
      <c r="M106" s="39">
        <f t="shared" si="6"/>
        <v>0</v>
      </c>
      <c r="N106" s="40"/>
      <c r="O106" s="78"/>
      <c r="P106" s="35"/>
      <c r="Q106" s="35"/>
      <c r="R106" s="35"/>
      <c r="S106" s="35"/>
      <c r="T106" s="35"/>
      <c r="U106" s="35"/>
      <c r="V106" s="35"/>
      <c r="W106" s="35"/>
      <c r="X106" s="35"/>
      <c r="Y106" s="35"/>
    </row>
    <row r="107" ht="14.25" customHeight="1">
      <c r="A107" s="221"/>
      <c r="B107" s="231"/>
      <c r="C107" s="233"/>
      <c r="D107" s="212"/>
      <c r="E107" s="213"/>
      <c r="F107" s="214"/>
      <c r="G107" s="506">
        <v>44805.0</v>
      </c>
      <c r="H107" s="36">
        <f t="shared" si="1"/>
        <v>0</v>
      </c>
      <c r="I107" s="37">
        <f t="shared" si="2"/>
        <v>0</v>
      </c>
      <c r="J107" s="38">
        <f t="shared" si="3"/>
        <v>0</v>
      </c>
      <c r="K107" s="39">
        <f t="shared" si="4"/>
        <v>0</v>
      </c>
      <c r="L107" s="38">
        <f t="shared" si="5"/>
        <v>0</v>
      </c>
      <c r="M107" s="39">
        <f t="shared" si="6"/>
        <v>0</v>
      </c>
      <c r="N107" s="40"/>
      <c r="O107" s="78"/>
      <c r="P107" s="35"/>
      <c r="Q107" s="35"/>
      <c r="R107" s="35"/>
      <c r="S107" s="35"/>
      <c r="T107" s="35"/>
      <c r="U107" s="35"/>
      <c r="V107" s="35"/>
      <c r="W107" s="35"/>
      <c r="X107" s="35"/>
      <c r="Y107" s="35"/>
    </row>
    <row r="108" ht="14.25" customHeight="1">
      <c r="A108" s="221"/>
      <c r="B108" s="231"/>
      <c r="C108" s="233"/>
      <c r="D108" s="212"/>
      <c r="E108" s="213"/>
      <c r="F108" s="214"/>
      <c r="G108" s="523">
        <v>44805.0</v>
      </c>
      <c r="H108" s="36">
        <f t="shared" si="1"/>
        <v>0</v>
      </c>
      <c r="I108" s="37">
        <f t="shared" si="2"/>
        <v>0</v>
      </c>
      <c r="J108" s="38">
        <f t="shared" si="3"/>
        <v>0</v>
      </c>
      <c r="K108" s="39">
        <f t="shared" si="4"/>
        <v>0</v>
      </c>
      <c r="L108" s="38">
        <f t="shared" si="5"/>
        <v>0</v>
      </c>
      <c r="M108" s="39">
        <f t="shared" si="6"/>
        <v>0</v>
      </c>
      <c r="N108" s="40"/>
      <c r="O108" s="78"/>
      <c r="P108" s="35"/>
      <c r="Q108" s="35"/>
      <c r="R108" s="35"/>
      <c r="S108" s="35"/>
      <c r="T108" s="35"/>
      <c r="U108" s="35"/>
      <c r="V108" s="35"/>
      <c r="W108" s="35"/>
      <c r="X108" s="35"/>
      <c r="Y108" s="35"/>
    </row>
    <row r="109" ht="14.25" customHeight="1">
      <c r="A109" s="221"/>
      <c r="B109" s="231"/>
      <c r="C109" s="233"/>
      <c r="D109" s="212"/>
      <c r="E109" s="213"/>
      <c r="F109" s="214"/>
      <c r="G109" s="506">
        <v>44805.0</v>
      </c>
      <c r="H109" s="36">
        <f t="shared" si="1"/>
        <v>0</v>
      </c>
      <c r="I109" s="37">
        <f t="shared" si="2"/>
        <v>0</v>
      </c>
      <c r="J109" s="38">
        <f t="shared" si="3"/>
        <v>0</v>
      </c>
      <c r="K109" s="39">
        <f t="shared" si="4"/>
        <v>0</v>
      </c>
      <c r="L109" s="38">
        <f t="shared" si="5"/>
        <v>0</v>
      </c>
      <c r="M109" s="39">
        <f t="shared" si="6"/>
        <v>0</v>
      </c>
      <c r="N109" s="40"/>
      <c r="O109" s="78"/>
      <c r="P109" s="35"/>
      <c r="Q109" s="35"/>
      <c r="R109" s="35"/>
      <c r="S109" s="35"/>
      <c r="T109" s="35"/>
      <c r="U109" s="35"/>
      <c r="V109" s="35"/>
      <c r="W109" s="35"/>
      <c r="X109" s="35"/>
      <c r="Y109" s="35"/>
    </row>
    <row r="110" ht="14.25" customHeight="1">
      <c r="A110" s="221"/>
      <c r="B110" s="231"/>
      <c r="C110" s="233"/>
      <c r="D110" s="212"/>
      <c r="E110" s="213"/>
      <c r="F110" s="214"/>
      <c r="G110" s="523">
        <v>44805.0</v>
      </c>
      <c r="H110" s="36">
        <f t="shared" si="1"/>
        <v>0</v>
      </c>
      <c r="I110" s="37">
        <f t="shared" si="2"/>
        <v>0</v>
      </c>
      <c r="J110" s="38">
        <f t="shared" si="3"/>
        <v>0</v>
      </c>
      <c r="K110" s="39">
        <f t="shared" si="4"/>
        <v>0</v>
      </c>
      <c r="L110" s="38">
        <f t="shared" si="5"/>
        <v>0</v>
      </c>
      <c r="M110" s="39">
        <f t="shared" si="6"/>
        <v>0</v>
      </c>
      <c r="N110" s="40"/>
      <c r="O110" s="78"/>
      <c r="P110" s="35"/>
      <c r="Q110" s="35"/>
      <c r="R110" s="35"/>
      <c r="S110" s="35"/>
      <c r="T110" s="35"/>
      <c r="U110" s="35"/>
      <c r="V110" s="35"/>
      <c r="W110" s="35"/>
      <c r="X110" s="35"/>
      <c r="Y110" s="35"/>
    </row>
    <row r="111" ht="14.25" customHeight="1">
      <c r="A111" s="221"/>
      <c r="B111" s="231"/>
      <c r="C111" s="233"/>
      <c r="D111" s="212"/>
      <c r="E111" s="213"/>
      <c r="F111" s="214"/>
      <c r="G111" s="506">
        <v>44805.0</v>
      </c>
      <c r="H111" s="36">
        <f t="shared" si="1"/>
        <v>0</v>
      </c>
      <c r="I111" s="37">
        <f t="shared" si="2"/>
        <v>0</v>
      </c>
      <c r="J111" s="38">
        <f t="shared" si="3"/>
        <v>0</v>
      </c>
      <c r="K111" s="39">
        <f t="shared" si="4"/>
        <v>0</v>
      </c>
      <c r="L111" s="38">
        <f t="shared" si="5"/>
        <v>0</v>
      </c>
      <c r="M111" s="39">
        <f t="shared" si="6"/>
        <v>0</v>
      </c>
      <c r="N111" s="40"/>
      <c r="O111" s="78"/>
      <c r="P111" s="35"/>
      <c r="Q111" s="35"/>
      <c r="R111" s="35"/>
      <c r="S111" s="35"/>
      <c r="T111" s="35"/>
      <c r="U111" s="35"/>
      <c r="V111" s="35"/>
      <c r="W111" s="35"/>
      <c r="X111" s="35"/>
      <c r="Y111" s="35"/>
    </row>
    <row r="112" ht="14.25" customHeight="1">
      <c r="A112" s="221"/>
      <c r="B112" s="231"/>
      <c r="C112" s="233"/>
      <c r="D112" s="212"/>
      <c r="E112" s="213"/>
      <c r="F112" s="214"/>
      <c r="G112" s="523">
        <v>44805.0</v>
      </c>
      <c r="H112" s="36">
        <f t="shared" si="1"/>
        <v>0</v>
      </c>
      <c r="I112" s="37">
        <f t="shared" si="2"/>
        <v>0</v>
      </c>
      <c r="J112" s="38">
        <f t="shared" si="3"/>
        <v>0</v>
      </c>
      <c r="K112" s="39">
        <f t="shared" si="4"/>
        <v>0</v>
      </c>
      <c r="L112" s="38">
        <f t="shared" si="5"/>
        <v>0</v>
      </c>
      <c r="M112" s="39">
        <f t="shared" si="6"/>
        <v>0</v>
      </c>
      <c r="N112" s="40"/>
      <c r="O112" s="78"/>
      <c r="P112" s="35"/>
      <c r="Q112" s="35"/>
      <c r="R112" s="35"/>
      <c r="S112" s="35"/>
      <c r="T112" s="35"/>
      <c r="U112" s="35"/>
      <c r="V112" s="35"/>
      <c r="W112" s="35"/>
      <c r="X112" s="35"/>
      <c r="Y112" s="35"/>
    </row>
    <row r="113" ht="14.25" customHeight="1">
      <c r="A113" s="221"/>
      <c r="B113" s="231"/>
      <c r="C113" s="233"/>
      <c r="D113" s="212"/>
      <c r="E113" s="213"/>
      <c r="F113" s="214"/>
      <c r="G113" s="506">
        <v>44805.0</v>
      </c>
      <c r="H113" s="36">
        <f t="shared" si="1"/>
        <v>0</v>
      </c>
      <c r="I113" s="37">
        <f t="shared" si="2"/>
        <v>0</v>
      </c>
      <c r="J113" s="38">
        <f t="shared" si="3"/>
        <v>0</v>
      </c>
      <c r="K113" s="39">
        <f t="shared" si="4"/>
        <v>0</v>
      </c>
      <c r="L113" s="38">
        <f t="shared" si="5"/>
        <v>0</v>
      </c>
      <c r="M113" s="39">
        <f t="shared" si="6"/>
        <v>0</v>
      </c>
      <c r="N113" s="40"/>
      <c r="O113" s="78"/>
      <c r="P113" s="35"/>
      <c r="Q113" s="35"/>
      <c r="R113" s="35"/>
      <c r="S113" s="35"/>
      <c r="T113" s="35"/>
      <c r="U113" s="35"/>
      <c r="V113" s="35"/>
      <c r="W113" s="35"/>
      <c r="X113" s="35"/>
      <c r="Y113" s="35"/>
    </row>
    <row r="114" ht="14.25" customHeight="1">
      <c r="A114" s="221"/>
      <c r="B114" s="231"/>
      <c r="C114" s="233"/>
      <c r="D114" s="212"/>
      <c r="E114" s="213"/>
      <c r="F114" s="214"/>
      <c r="G114" s="523">
        <v>44805.0</v>
      </c>
      <c r="H114" s="36">
        <f t="shared" si="1"/>
        <v>0</v>
      </c>
      <c r="I114" s="37">
        <f t="shared" si="2"/>
        <v>0</v>
      </c>
      <c r="J114" s="38">
        <f t="shared" si="3"/>
        <v>0</v>
      </c>
      <c r="K114" s="39">
        <f t="shared" si="4"/>
        <v>0</v>
      </c>
      <c r="L114" s="38">
        <f t="shared" si="5"/>
        <v>0</v>
      </c>
      <c r="M114" s="39">
        <f t="shared" si="6"/>
        <v>0</v>
      </c>
      <c r="N114" s="40"/>
      <c r="O114" s="78"/>
      <c r="P114" s="35"/>
      <c r="Q114" s="35"/>
      <c r="R114" s="35"/>
      <c r="S114" s="35"/>
      <c r="T114" s="35"/>
      <c r="U114" s="35"/>
      <c r="V114" s="35"/>
      <c r="W114" s="35"/>
      <c r="X114" s="35"/>
      <c r="Y114" s="35"/>
    </row>
    <row r="115" ht="14.25" customHeight="1">
      <c r="A115" s="221"/>
      <c r="B115" s="231"/>
      <c r="C115" s="233"/>
      <c r="D115" s="212"/>
      <c r="E115" s="213"/>
      <c r="F115" s="214"/>
      <c r="G115" s="506">
        <v>44805.0</v>
      </c>
      <c r="H115" s="36">
        <f t="shared" si="1"/>
        <v>0</v>
      </c>
      <c r="I115" s="37">
        <f t="shared" si="2"/>
        <v>0</v>
      </c>
      <c r="J115" s="38">
        <f t="shared" si="3"/>
        <v>0</v>
      </c>
      <c r="K115" s="39">
        <f t="shared" si="4"/>
        <v>0</v>
      </c>
      <c r="L115" s="38">
        <f t="shared" si="5"/>
        <v>0</v>
      </c>
      <c r="M115" s="39">
        <f t="shared" si="6"/>
        <v>0</v>
      </c>
      <c r="N115" s="40"/>
      <c r="O115" s="78"/>
      <c r="P115" s="35"/>
      <c r="Q115" s="35"/>
      <c r="R115" s="35"/>
      <c r="S115" s="35"/>
      <c r="T115" s="35"/>
      <c r="U115" s="35"/>
      <c r="V115" s="35"/>
      <c r="W115" s="35"/>
      <c r="X115" s="35"/>
      <c r="Y115" s="35"/>
    </row>
    <row r="116" ht="14.25" customHeight="1">
      <c r="A116" s="221"/>
      <c r="B116" s="231"/>
      <c r="C116" s="233"/>
      <c r="D116" s="212"/>
      <c r="E116" s="213"/>
      <c r="F116" s="214"/>
      <c r="G116" s="523">
        <v>44805.0</v>
      </c>
      <c r="H116" s="36">
        <f t="shared" si="1"/>
        <v>0</v>
      </c>
      <c r="I116" s="37">
        <f t="shared" si="2"/>
        <v>0</v>
      </c>
      <c r="J116" s="38">
        <f t="shared" si="3"/>
        <v>0</v>
      </c>
      <c r="K116" s="39">
        <f t="shared" si="4"/>
        <v>0</v>
      </c>
      <c r="L116" s="38">
        <f t="shared" si="5"/>
        <v>0</v>
      </c>
      <c r="M116" s="39">
        <f t="shared" si="6"/>
        <v>0</v>
      </c>
      <c r="N116" s="40"/>
      <c r="O116" s="78"/>
      <c r="P116" s="35"/>
      <c r="Q116" s="35"/>
      <c r="R116" s="35"/>
      <c r="S116" s="35"/>
      <c r="T116" s="35"/>
      <c r="U116" s="35"/>
      <c r="V116" s="35"/>
      <c r="W116" s="35"/>
      <c r="X116" s="35"/>
      <c r="Y116" s="35"/>
    </row>
    <row r="117" ht="14.25" customHeight="1">
      <c r="A117" s="221"/>
      <c r="B117" s="231"/>
      <c r="C117" s="233"/>
      <c r="D117" s="212"/>
      <c r="E117" s="213"/>
      <c r="F117" s="214"/>
      <c r="G117" s="506">
        <v>44805.0</v>
      </c>
      <c r="H117" s="36">
        <f t="shared" si="1"/>
        <v>0</v>
      </c>
      <c r="I117" s="37">
        <f t="shared" si="2"/>
        <v>0</v>
      </c>
      <c r="J117" s="38">
        <f t="shared" si="3"/>
        <v>0</v>
      </c>
      <c r="K117" s="39">
        <f t="shared" si="4"/>
        <v>0</v>
      </c>
      <c r="L117" s="38">
        <f t="shared" si="5"/>
        <v>0</v>
      </c>
      <c r="M117" s="39">
        <f t="shared" si="6"/>
        <v>0</v>
      </c>
      <c r="N117" s="40"/>
      <c r="O117" s="78"/>
      <c r="P117" s="35"/>
      <c r="Q117" s="35"/>
      <c r="R117" s="35"/>
      <c r="S117" s="35"/>
      <c r="T117" s="35"/>
      <c r="U117" s="35"/>
      <c r="V117" s="35"/>
      <c r="W117" s="35"/>
      <c r="X117" s="35"/>
      <c r="Y117" s="35"/>
    </row>
    <row r="118" ht="14.25" customHeight="1">
      <c r="A118" s="221"/>
      <c r="B118" s="231"/>
      <c r="C118" s="233"/>
      <c r="D118" s="212"/>
      <c r="E118" s="213"/>
      <c r="F118" s="214"/>
      <c r="G118" s="523">
        <v>44805.0</v>
      </c>
      <c r="H118" s="36">
        <f t="shared" si="1"/>
        <v>0</v>
      </c>
      <c r="I118" s="37">
        <f t="shared" si="2"/>
        <v>0</v>
      </c>
      <c r="J118" s="38">
        <f t="shared" si="3"/>
        <v>0</v>
      </c>
      <c r="K118" s="39">
        <f t="shared" si="4"/>
        <v>0</v>
      </c>
      <c r="L118" s="38">
        <f t="shared" si="5"/>
        <v>0</v>
      </c>
      <c r="M118" s="39">
        <f t="shared" si="6"/>
        <v>0</v>
      </c>
      <c r="N118" s="40"/>
      <c r="O118" s="78"/>
      <c r="P118" s="35"/>
      <c r="Q118" s="35"/>
      <c r="R118" s="35"/>
      <c r="S118" s="35"/>
      <c r="T118" s="35"/>
      <c r="U118" s="35"/>
      <c r="V118" s="35"/>
      <c r="W118" s="35"/>
      <c r="X118" s="35"/>
      <c r="Y118" s="35"/>
    </row>
    <row r="119" ht="14.25" customHeight="1">
      <c r="A119" s="221"/>
      <c r="B119" s="231"/>
      <c r="C119" s="233"/>
      <c r="D119" s="212"/>
      <c r="E119" s="213"/>
      <c r="F119" s="214"/>
      <c r="G119" s="506">
        <v>44805.0</v>
      </c>
      <c r="H119" s="36">
        <f t="shared" si="1"/>
        <v>0</v>
      </c>
      <c r="I119" s="37">
        <f t="shared" si="2"/>
        <v>0</v>
      </c>
      <c r="J119" s="38">
        <f t="shared" si="3"/>
        <v>0</v>
      </c>
      <c r="K119" s="39">
        <f t="shared" si="4"/>
        <v>0</v>
      </c>
      <c r="L119" s="38">
        <f t="shared" si="5"/>
        <v>0</v>
      </c>
      <c r="M119" s="39">
        <f t="shared" si="6"/>
        <v>0</v>
      </c>
      <c r="N119" s="40"/>
      <c r="O119" s="78"/>
      <c r="P119" s="35"/>
      <c r="Q119" s="35"/>
      <c r="R119" s="35"/>
      <c r="S119" s="35"/>
      <c r="T119" s="35"/>
      <c r="U119" s="35"/>
      <c r="V119" s="35"/>
      <c r="W119" s="35"/>
      <c r="X119" s="35"/>
      <c r="Y119" s="35"/>
    </row>
    <row r="120" ht="14.25" customHeight="1">
      <c r="A120" s="221"/>
      <c r="B120" s="231"/>
      <c r="C120" s="233"/>
      <c r="D120" s="212"/>
      <c r="E120" s="213"/>
      <c r="F120" s="214"/>
      <c r="G120" s="523">
        <v>44805.0</v>
      </c>
      <c r="H120" s="36">
        <f t="shared" si="1"/>
        <v>0</v>
      </c>
      <c r="I120" s="37">
        <f t="shared" si="2"/>
        <v>0</v>
      </c>
      <c r="J120" s="38">
        <f t="shared" si="3"/>
        <v>0</v>
      </c>
      <c r="K120" s="39">
        <f t="shared" si="4"/>
        <v>0</v>
      </c>
      <c r="L120" s="38">
        <f t="shared" si="5"/>
        <v>0</v>
      </c>
      <c r="M120" s="39">
        <f t="shared" si="6"/>
        <v>0</v>
      </c>
      <c r="N120" s="40"/>
      <c r="O120" s="78"/>
      <c r="P120" s="35"/>
      <c r="Q120" s="35"/>
      <c r="R120" s="35"/>
      <c r="S120" s="35"/>
      <c r="T120" s="35"/>
      <c r="U120" s="35"/>
      <c r="V120" s="35"/>
      <c r="W120" s="35"/>
      <c r="X120" s="35"/>
      <c r="Y120" s="35"/>
    </row>
    <row r="121" ht="14.25" customHeight="1">
      <c r="A121" s="221"/>
      <c r="B121" s="231"/>
      <c r="C121" s="233"/>
      <c r="D121" s="212"/>
      <c r="E121" s="213"/>
      <c r="F121" s="214"/>
      <c r="G121" s="506">
        <v>44805.0</v>
      </c>
      <c r="H121" s="36">
        <f t="shared" si="1"/>
        <v>0</v>
      </c>
      <c r="I121" s="37">
        <f t="shared" si="2"/>
        <v>0</v>
      </c>
      <c r="J121" s="38">
        <f t="shared" si="3"/>
        <v>0</v>
      </c>
      <c r="K121" s="39">
        <f t="shared" si="4"/>
        <v>0</v>
      </c>
      <c r="L121" s="38">
        <f t="shared" si="5"/>
        <v>0</v>
      </c>
      <c r="M121" s="39">
        <f t="shared" si="6"/>
        <v>0</v>
      </c>
      <c r="N121" s="40"/>
      <c r="O121" s="78"/>
      <c r="P121" s="35"/>
      <c r="Q121" s="35"/>
      <c r="R121" s="35"/>
      <c r="S121" s="35"/>
      <c r="T121" s="35"/>
      <c r="U121" s="35"/>
      <c r="V121" s="35"/>
      <c r="W121" s="35"/>
      <c r="X121" s="35"/>
      <c r="Y121" s="35"/>
    </row>
    <row r="122" ht="14.25" customHeight="1">
      <c r="A122" s="221"/>
      <c r="B122" s="231"/>
      <c r="C122" s="233"/>
      <c r="D122" s="212"/>
      <c r="E122" s="213"/>
      <c r="F122" s="214"/>
      <c r="G122" s="523">
        <v>44805.0</v>
      </c>
      <c r="H122" s="36">
        <f t="shared" si="1"/>
        <v>0</v>
      </c>
      <c r="I122" s="37">
        <f t="shared" si="2"/>
        <v>0</v>
      </c>
      <c r="J122" s="38">
        <f t="shared" si="3"/>
        <v>0</v>
      </c>
      <c r="K122" s="39">
        <f t="shared" si="4"/>
        <v>0</v>
      </c>
      <c r="L122" s="38">
        <f t="shared" si="5"/>
        <v>0</v>
      </c>
      <c r="M122" s="39">
        <f t="shared" si="6"/>
        <v>0</v>
      </c>
      <c r="N122" s="40"/>
      <c r="O122" s="78"/>
      <c r="P122" s="35"/>
      <c r="Q122" s="35"/>
      <c r="R122" s="35"/>
      <c r="S122" s="35"/>
      <c r="T122" s="35"/>
      <c r="U122" s="35"/>
      <c r="V122" s="35"/>
      <c r="W122" s="35"/>
      <c r="X122" s="35"/>
      <c r="Y122" s="35"/>
    </row>
    <row r="123" ht="14.25" customHeight="1">
      <c r="A123" s="221"/>
      <c r="B123" s="231"/>
      <c r="C123" s="233"/>
      <c r="D123" s="212"/>
      <c r="E123" s="213"/>
      <c r="F123" s="214"/>
      <c r="G123" s="506">
        <v>44805.0</v>
      </c>
      <c r="H123" s="36">
        <f t="shared" si="1"/>
        <v>0</v>
      </c>
      <c r="I123" s="37">
        <f t="shared" si="2"/>
        <v>0</v>
      </c>
      <c r="J123" s="38">
        <f t="shared" si="3"/>
        <v>0</v>
      </c>
      <c r="K123" s="39">
        <f t="shared" si="4"/>
        <v>0</v>
      </c>
      <c r="L123" s="38">
        <f t="shared" si="5"/>
        <v>0</v>
      </c>
      <c r="M123" s="39">
        <f t="shared" si="6"/>
        <v>0</v>
      </c>
      <c r="N123" s="40"/>
      <c r="O123" s="78"/>
      <c r="P123" s="35"/>
      <c r="Q123" s="35"/>
      <c r="R123" s="35"/>
      <c r="S123" s="35"/>
      <c r="T123" s="35"/>
      <c r="U123" s="35"/>
      <c r="V123" s="35"/>
      <c r="W123" s="35"/>
      <c r="X123" s="35"/>
      <c r="Y123" s="35"/>
    </row>
    <row r="124" ht="14.25" customHeight="1">
      <c r="A124" s="221"/>
      <c r="B124" s="231"/>
      <c r="C124" s="233"/>
      <c r="D124" s="212"/>
      <c r="E124" s="213"/>
      <c r="F124" s="214"/>
      <c r="G124" s="523">
        <v>44805.0</v>
      </c>
      <c r="H124" s="36">
        <f t="shared" si="1"/>
        <v>0</v>
      </c>
      <c r="I124" s="37">
        <f t="shared" si="2"/>
        <v>0</v>
      </c>
      <c r="J124" s="38">
        <f t="shared" si="3"/>
        <v>0</v>
      </c>
      <c r="K124" s="39">
        <f t="shared" si="4"/>
        <v>0</v>
      </c>
      <c r="L124" s="38">
        <f t="shared" si="5"/>
        <v>0</v>
      </c>
      <c r="M124" s="39">
        <f t="shared" si="6"/>
        <v>0</v>
      </c>
      <c r="N124" s="40"/>
      <c r="O124" s="78"/>
      <c r="P124" s="35"/>
      <c r="Q124" s="35"/>
      <c r="R124" s="35"/>
      <c r="S124" s="35"/>
      <c r="T124" s="35"/>
      <c r="U124" s="35"/>
      <c r="V124" s="35"/>
      <c r="W124" s="35"/>
      <c r="X124" s="35"/>
      <c r="Y124" s="35"/>
    </row>
    <row r="125" ht="14.25" customHeight="1">
      <c r="A125" s="221"/>
      <c r="B125" s="231"/>
      <c r="C125" s="233"/>
      <c r="D125" s="212"/>
      <c r="E125" s="213"/>
      <c r="F125" s="214"/>
      <c r="G125" s="506">
        <v>44805.0</v>
      </c>
      <c r="H125" s="36">
        <f t="shared" si="1"/>
        <v>0</v>
      </c>
      <c r="I125" s="37">
        <f t="shared" si="2"/>
        <v>0</v>
      </c>
      <c r="J125" s="38">
        <f t="shared" si="3"/>
        <v>0</v>
      </c>
      <c r="K125" s="39">
        <f t="shared" si="4"/>
        <v>0</v>
      </c>
      <c r="L125" s="38">
        <f t="shared" si="5"/>
        <v>0</v>
      </c>
      <c r="M125" s="39">
        <f t="shared" si="6"/>
        <v>0</v>
      </c>
      <c r="N125" s="40"/>
      <c r="O125" s="78"/>
      <c r="P125" s="35"/>
      <c r="Q125" s="35"/>
      <c r="R125" s="35"/>
      <c r="S125" s="35"/>
      <c r="T125" s="35"/>
      <c r="U125" s="35"/>
      <c r="V125" s="35"/>
      <c r="W125" s="35"/>
      <c r="X125" s="35"/>
      <c r="Y125" s="35"/>
    </row>
    <row r="126" ht="14.25" customHeight="1">
      <c r="A126" s="221"/>
      <c r="B126" s="231"/>
      <c r="C126" s="233"/>
      <c r="D126" s="212"/>
      <c r="E126" s="213"/>
      <c r="F126" s="214"/>
      <c r="G126" s="523">
        <v>44805.0</v>
      </c>
      <c r="H126" s="36">
        <f t="shared" si="1"/>
        <v>0</v>
      </c>
      <c r="I126" s="37">
        <f t="shared" si="2"/>
        <v>0</v>
      </c>
      <c r="J126" s="38">
        <f t="shared" si="3"/>
        <v>0</v>
      </c>
      <c r="K126" s="39">
        <f t="shared" si="4"/>
        <v>0</v>
      </c>
      <c r="L126" s="38">
        <f t="shared" si="5"/>
        <v>0</v>
      </c>
      <c r="M126" s="39">
        <f t="shared" si="6"/>
        <v>0</v>
      </c>
      <c r="N126" s="40"/>
      <c r="O126" s="78"/>
      <c r="P126" s="35"/>
      <c r="Q126" s="35"/>
      <c r="R126" s="35"/>
      <c r="S126" s="35"/>
      <c r="T126" s="35"/>
      <c r="U126" s="35"/>
      <c r="V126" s="35"/>
      <c r="W126" s="35"/>
      <c r="X126" s="35"/>
      <c r="Y126" s="35"/>
    </row>
    <row r="127" ht="14.25" customHeight="1">
      <c r="A127" s="221"/>
      <c r="B127" s="231"/>
      <c r="C127" s="233"/>
      <c r="D127" s="212"/>
      <c r="E127" s="213"/>
      <c r="F127" s="214"/>
      <c r="G127" s="506">
        <v>44805.0</v>
      </c>
      <c r="H127" s="36">
        <f t="shared" si="1"/>
        <v>0</v>
      </c>
      <c r="I127" s="37">
        <f t="shared" si="2"/>
        <v>0</v>
      </c>
      <c r="J127" s="38">
        <f t="shared" si="3"/>
        <v>0</v>
      </c>
      <c r="K127" s="39">
        <f t="shared" si="4"/>
        <v>0</v>
      </c>
      <c r="L127" s="38">
        <f t="shared" si="5"/>
        <v>0</v>
      </c>
      <c r="M127" s="39">
        <f t="shared" si="6"/>
        <v>0</v>
      </c>
      <c r="N127" s="40"/>
      <c r="O127" s="78"/>
      <c r="P127" s="35"/>
      <c r="Q127" s="35"/>
      <c r="R127" s="35"/>
      <c r="S127" s="35"/>
      <c r="T127" s="35"/>
      <c r="U127" s="35"/>
      <c r="V127" s="35"/>
      <c r="W127" s="35"/>
      <c r="X127" s="35"/>
      <c r="Y127" s="35"/>
    </row>
    <row r="128" ht="14.25" customHeight="1">
      <c r="A128" s="221"/>
      <c r="B128" s="231"/>
      <c r="C128" s="233"/>
      <c r="D128" s="212"/>
      <c r="E128" s="213"/>
      <c r="F128" s="214"/>
      <c r="G128" s="523">
        <v>44805.0</v>
      </c>
      <c r="H128" s="36">
        <f t="shared" si="1"/>
        <v>0</v>
      </c>
      <c r="I128" s="37">
        <f t="shared" si="2"/>
        <v>0</v>
      </c>
      <c r="J128" s="38">
        <f t="shared" si="3"/>
        <v>0</v>
      </c>
      <c r="K128" s="39">
        <f t="shared" si="4"/>
        <v>0</v>
      </c>
      <c r="L128" s="38">
        <f t="shared" si="5"/>
        <v>0</v>
      </c>
      <c r="M128" s="39">
        <f t="shared" si="6"/>
        <v>0</v>
      </c>
      <c r="N128" s="40"/>
      <c r="O128" s="78"/>
      <c r="P128" s="35"/>
      <c r="Q128" s="35"/>
      <c r="R128" s="35"/>
      <c r="S128" s="35"/>
      <c r="T128" s="35"/>
      <c r="U128" s="35"/>
      <c r="V128" s="35"/>
      <c r="W128" s="35"/>
      <c r="X128" s="35"/>
      <c r="Y128" s="35"/>
    </row>
    <row r="129" ht="14.25" customHeight="1">
      <c r="A129" s="221"/>
      <c r="B129" s="231"/>
      <c r="C129" s="233"/>
      <c r="D129" s="212"/>
      <c r="E129" s="213"/>
      <c r="F129" s="214"/>
      <c r="G129" s="506">
        <v>44805.0</v>
      </c>
      <c r="H129" s="36">
        <f t="shared" si="1"/>
        <v>0</v>
      </c>
      <c r="I129" s="37">
        <f t="shared" si="2"/>
        <v>0</v>
      </c>
      <c r="J129" s="38">
        <f t="shared" si="3"/>
        <v>0</v>
      </c>
      <c r="K129" s="39">
        <f t="shared" si="4"/>
        <v>0</v>
      </c>
      <c r="L129" s="38">
        <f t="shared" si="5"/>
        <v>0</v>
      </c>
      <c r="M129" s="39">
        <f t="shared" si="6"/>
        <v>0</v>
      </c>
      <c r="N129" s="40"/>
      <c r="O129" s="78"/>
      <c r="P129" s="35"/>
      <c r="Q129" s="35"/>
      <c r="R129" s="35"/>
      <c r="S129" s="35"/>
      <c r="T129" s="35"/>
      <c r="U129" s="35"/>
      <c r="V129" s="35"/>
      <c r="W129" s="35"/>
      <c r="X129" s="35"/>
      <c r="Y129" s="35"/>
    </row>
    <row r="130" ht="14.25" customHeight="1">
      <c r="A130" s="221"/>
      <c r="B130" s="231"/>
      <c r="C130" s="233"/>
      <c r="D130" s="212"/>
      <c r="E130" s="213"/>
      <c r="F130" s="214"/>
      <c r="G130" s="523">
        <v>44805.0</v>
      </c>
      <c r="H130" s="36">
        <f t="shared" si="1"/>
        <v>0</v>
      </c>
      <c r="I130" s="37">
        <f t="shared" si="2"/>
        <v>0</v>
      </c>
      <c r="J130" s="38">
        <f t="shared" si="3"/>
        <v>0</v>
      </c>
      <c r="K130" s="39">
        <f t="shared" si="4"/>
        <v>0</v>
      </c>
      <c r="L130" s="38">
        <f t="shared" si="5"/>
        <v>0</v>
      </c>
      <c r="M130" s="39">
        <f t="shared" si="6"/>
        <v>0</v>
      </c>
      <c r="N130" s="40"/>
      <c r="O130" s="78"/>
      <c r="P130" s="35"/>
      <c r="Q130" s="35"/>
      <c r="R130" s="35"/>
      <c r="S130" s="35"/>
      <c r="T130" s="35"/>
      <c r="U130" s="35"/>
      <c r="V130" s="35"/>
      <c r="W130" s="35"/>
      <c r="X130" s="35"/>
      <c r="Y130" s="35"/>
    </row>
    <row r="131" ht="14.25" customHeight="1">
      <c r="A131" s="221"/>
      <c r="B131" s="231"/>
      <c r="C131" s="233"/>
      <c r="D131" s="212"/>
      <c r="E131" s="213"/>
      <c r="F131" s="214"/>
      <c r="G131" s="506">
        <v>44805.0</v>
      </c>
      <c r="H131" s="36">
        <f t="shared" si="1"/>
        <v>0</v>
      </c>
      <c r="I131" s="37">
        <f t="shared" si="2"/>
        <v>0</v>
      </c>
      <c r="J131" s="38">
        <f t="shared" si="3"/>
        <v>0</v>
      </c>
      <c r="K131" s="39">
        <f t="shared" si="4"/>
        <v>0</v>
      </c>
      <c r="L131" s="38">
        <f t="shared" si="5"/>
        <v>0</v>
      </c>
      <c r="M131" s="39">
        <f t="shared" si="6"/>
        <v>0</v>
      </c>
      <c r="N131" s="40"/>
      <c r="O131" s="78"/>
      <c r="P131" s="35"/>
      <c r="Q131" s="35"/>
      <c r="R131" s="35"/>
      <c r="S131" s="35"/>
      <c r="T131" s="35"/>
      <c r="U131" s="35"/>
      <c r="V131" s="35"/>
      <c r="W131" s="35"/>
      <c r="X131" s="35"/>
      <c r="Y131" s="35"/>
    </row>
    <row r="132" ht="14.25" customHeight="1">
      <c r="A132" s="221"/>
      <c r="B132" s="231"/>
      <c r="C132" s="233"/>
      <c r="D132" s="212"/>
      <c r="E132" s="213"/>
      <c r="F132" s="214"/>
      <c r="G132" s="523">
        <v>44805.0</v>
      </c>
      <c r="H132" s="36">
        <f t="shared" si="1"/>
        <v>0</v>
      </c>
      <c r="I132" s="37">
        <f t="shared" si="2"/>
        <v>0</v>
      </c>
      <c r="J132" s="38">
        <f t="shared" si="3"/>
        <v>0</v>
      </c>
      <c r="K132" s="39">
        <f t="shared" si="4"/>
        <v>0</v>
      </c>
      <c r="L132" s="38">
        <f t="shared" si="5"/>
        <v>0</v>
      </c>
      <c r="M132" s="39">
        <f t="shared" si="6"/>
        <v>0</v>
      </c>
      <c r="N132" s="40"/>
      <c r="O132" s="78"/>
      <c r="P132" s="35"/>
      <c r="Q132" s="35"/>
      <c r="R132" s="35"/>
      <c r="S132" s="35"/>
      <c r="T132" s="35"/>
      <c r="U132" s="35"/>
      <c r="V132" s="35"/>
      <c r="W132" s="35"/>
      <c r="X132" s="35"/>
      <c r="Y132" s="35"/>
    </row>
    <row r="133" ht="14.25" customHeight="1">
      <c r="A133" s="221"/>
      <c r="B133" s="231"/>
      <c r="C133" s="233"/>
      <c r="D133" s="212"/>
      <c r="E133" s="213"/>
      <c r="F133" s="214"/>
      <c r="G133" s="506">
        <v>44805.0</v>
      </c>
      <c r="H133" s="36">
        <f t="shared" si="1"/>
        <v>0</v>
      </c>
      <c r="I133" s="37">
        <f t="shared" si="2"/>
        <v>0</v>
      </c>
      <c r="J133" s="38">
        <f t="shared" si="3"/>
        <v>0</v>
      </c>
      <c r="K133" s="39">
        <f t="shared" si="4"/>
        <v>0</v>
      </c>
      <c r="L133" s="38">
        <f t="shared" si="5"/>
        <v>0</v>
      </c>
      <c r="M133" s="39">
        <f t="shared" si="6"/>
        <v>0</v>
      </c>
      <c r="N133" s="40"/>
      <c r="O133" s="78"/>
      <c r="P133" s="35"/>
      <c r="Q133" s="35"/>
      <c r="R133" s="35"/>
      <c r="S133" s="35"/>
      <c r="T133" s="35"/>
      <c r="U133" s="35"/>
      <c r="V133" s="35"/>
      <c r="W133" s="35"/>
      <c r="X133" s="35"/>
      <c r="Y133" s="35"/>
    </row>
    <row r="134" ht="14.25" customHeight="1">
      <c r="A134" s="221"/>
      <c r="B134" s="231"/>
      <c r="C134" s="233"/>
      <c r="D134" s="212"/>
      <c r="E134" s="213"/>
      <c r="F134" s="214"/>
      <c r="G134" s="523">
        <v>44805.0</v>
      </c>
      <c r="H134" s="36">
        <f t="shared" si="1"/>
        <v>0</v>
      </c>
      <c r="I134" s="37">
        <f t="shared" si="2"/>
        <v>0</v>
      </c>
      <c r="J134" s="38">
        <f t="shared" si="3"/>
        <v>0</v>
      </c>
      <c r="K134" s="39">
        <f t="shared" si="4"/>
        <v>0</v>
      </c>
      <c r="L134" s="38">
        <f t="shared" si="5"/>
        <v>0</v>
      </c>
      <c r="M134" s="39">
        <f t="shared" si="6"/>
        <v>0</v>
      </c>
      <c r="N134" s="40"/>
      <c r="O134" s="78"/>
      <c r="P134" s="35"/>
      <c r="Q134" s="35"/>
      <c r="R134" s="35"/>
      <c r="S134" s="35"/>
      <c r="T134" s="35"/>
      <c r="U134" s="35"/>
      <c r="V134" s="35"/>
      <c r="W134" s="35"/>
      <c r="X134" s="35"/>
      <c r="Y134" s="35"/>
    </row>
    <row r="135" ht="14.25" customHeight="1">
      <c r="A135" s="221"/>
      <c r="B135" s="231"/>
      <c r="C135" s="233"/>
      <c r="D135" s="212"/>
      <c r="E135" s="213"/>
      <c r="F135" s="214"/>
      <c r="G135" s="506">
        <v>44805.0</v>
      </c>
      <c r="H135" s="36">
        <f t="shared" si="1"/>
        <v>0</v>
      </c>
      <c r="I135" s="37">
        <f t="shared" si="2"/>
        <v>0</v>
      </c>
      <c r="J135" s="38">
        <f t="shared" si="3"/>
        <v>0</v>
      </c>
      <c r="K135" s="39">
        <f t="shared" si="4"/>
        <v>0</v>
      </c>
      <c r="L135" s="38">
        <f t="shared" si="5"/>
        <v>0</v>
      </c>
      <c r="M135" s="39">
        <f t="shared" si="6"/>
        <v>0</v>
      </c>
      <c r="N135" s="40"/>
      <c r="O135" s="78"/>
      <c r="P135" s="35"/>
      <c r="Q135" s="35"/>
      <c r="R135" s="35"/>
      <c r="S135" s="35"/>
      <c r="T135" s="35"/>
      <c r="U135" s="35"/>
      <c r="V135" s="35"/>
      <c r="W135" s="35"/>
      <c r="X135" s="35"/>
      <c r="Y135" s="35"/>
    </row>
    <row r="136" ht="14.25" customHeight="1">
      <c r="A136" s="221"/>
      <c r="B136" s="231"/>
      <c r="C136" s="233"/>
      <c r="D136" s="212"/>
      <c r="E136" s="213"/>
      <c r="F136" s="214"/>
      <c r="G136" s="523">
        <v>44805.0</v>
      </c>
      <c r="H136" s="36">
        <f t="shared" si="1"/>
        <v>0</v>
      </c>
      <c r="I136" s="37">
        <f t="shared" si="2"/>
        <v>0</v>
      </c>
      <c r="J136" s="38">
        <f t="shared" si="3"/>
        <v>0</v>
      </c>
      <c r="K136" s="39">
        <f t="shared" si="4"/>
        <v>0</v>
      </c>
      <c r="L136" s="38">
        <f t="shared" si="5"/>
        <v>0</v>
      </c>
      <c r="M136" s="39">
        <f t="shared" si="6"/>
        <v>0</v>
      </c>
      <c r="N136" s="40"/>
      <c r="O136" s="78"/>
      <c r="P136" s="35"/>
      <c r="Q136" s="35"/>
      <c r="R136" s="35"/>
      <c r="S136" s="35"/>
      <c r="T136" s="35"/>
      <c r="U136" s="35"/>
      <c r="V136" s="35"/>
      <c r="W136" s="35"/>
      <c r="X136" s="35"/>
      <c r="Y136" s="35"/>
    </row>
    <row r="137" ht="14.25" customHeight="1">
      <c r="A137" s="221"/>
      <c r="B137" s="231"/>
      <c r="C137" s="233"/>
      <c r="D137" s="212"/>
      <c r="E137" s="213"/>
      <c r="F137" s="214"/>
      <c r="G137" s="506">
        <v>44805.0</v>
      </c>
      <c r="H137" s="36">
        <f t="shared" si="1"/>
        <v>0</v>
      </c>
      <c r="I137" s="37">
        <f t="shared" si="2"/>
        <v>0</v>
      </c>
      <c r="J137" s="38">
        <f t="shared" si="3"/>
        <v>0</v>
      </c>
      <c r="K137" s="39">
        <f t="shared" si="4"/>
        <v>0</v>
      </c>
      <c r="L137" s="38">
        <f t="shared" si="5"/>
        <v>0</v>
      </c>
      <c r="M137" s="39">
        <f t="shared" si="6"/>
        <v>0</v>
      </c>
      <c r="N137" s="40"/>
      <c r="O137" s="78"/>
      <c r="P137" s="35"/>
      <c r="Q137" s="35"/>
      <c r="R137" s="35"/>
      <c r="S137" s="35"/>
      <c r="T137" s="35"/>
      <c r="U137" s="35"/>
      <c r="V137" s="35"/>
      <c r="W137" s="35"/>
      <c r="X137" s="35"/>
      <c r="Y137" s="35"/>
    </row>
    <row r="138" ht="14.25" customHeight="1">
      <c r="A138" s="221"/>
      <c r="B138" s="231"/>
      <c r="C138" s="233"/>
      <c r="D138" s="212"/>
      <c r="E138" s="213"/>
      <c r="F138" s="214"/>
      <c r="G138" s="523">
        <v>44805.0</v>
      </c>
      <c r="H138" s="36">
        <f t="shared" si="1"/>
        <v>0</v>
      </c>
      <c r="I138" s="37">
        <f t="shared" si="2"/>
        <v>0</v>
      </c>
      <c r="J138" s="38">
        <f t="shared" si="3"/>
        <v>0</v>
      </c>
      <c r="K138" s="39">
        <f t="shared" si="4"/>
        <v>0</v>
      </c>
      <c r="L138" s="38">
        <f t="shared" si="5"/>
        <v>0</v>
      </c>
      <c r="M138" s="39">
        <f t="shared" si="6"/>
        <v>0</v>
      </c>
      <c r="N138" s="40"/>
      <c r="O138" s="78"/>
      <c r="P138" s="35"/>
      <c r="Q138" s="35"/>
      <c r="R138" s="35"/>
      <c r="S138" s="35"/>
      <c r="T138" s="35"/>
      <c r="U138" s="35"/>
      <c r="V138" s="35"/>
      <c r="W138" s="35"/>
      <c r="X138" s="35"/>
      <c r="Y138" s="35"/>
    </row>
    <row r="139" ht="14.25" customHeight="1">
      <c r="A139" s="221"/>
      <c r="B139" s="231"/>
      <c r="C139" s="233"/>
      <c r="D139" s="212"/>
      <c r="E139" s="213"/>
      <c r="F139" s="214"/>
      <c r="G139" s="506">
        <v>44805.0</v>
      </c>
      <c r="H139" s="36">
        <f t="shared" si="1"/>
        <v>0</v>
      </c>
      <c r="I139" s="37">
        <f t="shared" si="2"/>
        <v>0</v>
      </c>
      <c r="J139" s="38">
        <f t="shared" si="3"/>
        <v>0</v>
      </c>
      <c r="K139" s="39">
        <f t="shared" si="4"/>
        <v>0</v>
      </c>
      <c r="L139" s="38">
        <f t="shared" si="5"/>
        <v>0</v>
      </c>
      <c r="M139" s="39">
        <f t="shared" si="6"/>
        <v>0</v>
      </c>
      <c r="N139" s="40"/>
      <c r="O139" s="78"/>
      <c r="P139" s="35"/>
      <c r="Q139" s="35"/>
      <c r="R139" s="35"/>
      <c r="S139" s="35"/>
      <c r="T139" s="35"/>
      <c r="U139" s="35"/>
      <c r="V139" s="35"/>
      <c r="W139" s="35"/>
      <c r="X139" s="35"/>
      <c r="Y139" s="35"/>
    </row>
    <row r="140" ht="14.25" customHeight="1">
      <c r="A140" s="221"/>
      <c r="B140" s="231"/>
      <c r="C140" s="233"/>
      <c r="D140" s="212"/>
      <c r="E140" s="213"/>
      <c r="F140" s="214"/>
      <c r="G140" s="523">
        <v>44805.0</v>
      </c>
      <c r="H140" s="36">
        <f t="shared" si="1"/>
        <v>0</v>
      </c>
      <c r="I140" s="37">
        <f t="shared" si="2"/>
        <v>0</v>
      </c>
      <c r="J140" s="38">
        <f t="shared" si="3"/>
        <v>0</v>
      </c>
      <c r="K140" s="39">
        <f t="shared" si="4"/>
        <v>0</v>
      </c>
      <c r="L140" s="38">
        <f t="shared" si="5"/>
        <v>0</v>
      </c>
      <c r="M140" s="39">
        <f t="shared" si="6"/>
        <v>0</v>
      </c>
      <c r="N140" s="40"/>
      <c r="O140" s="78"/>
      <c r="P140" s="35"/>
      <c r="Q140" s="35"/>
      <c r="R140" s="35"/>
      <c r="S140" s="35"/>
      <c r="T140" s="35"/>
      <c r="U140" s="35"/>
      <c r="V140" s="35"/>
      <c r="W140" s="35"/>
      <c r="X140" s="35"/>
      <c r="Y140" s="35"/>
    </row>
    <row r="141" ht="14.25" customHeight="1">
      <c r="A141" s="221"/>
      <c r="B141" s="231"/>
      <c r="C141" s="233"/>
      <c r="D141" s="212"/>
      <c r="E141" s="213"/>
      <c r="F141" s="214"/>
      <c r="G141" s="506">
        <v>44805.0</v>
      </c>
      <c r="H141" s="36">
        <f t="shared" si="1"/>
        <v>0</v>
      </c>
      <c r="I141" s="37">
        <f t="shared" si="2"/>
        <v>0</v>
      </c>
      <c r="J141" s="38">
        <f t="shared" si="3"/>
        <v>0</v>
      </c>
      <c r="K141" s="39">
        <f t="shared" si="4"/>
        <v>0</v>
      </c>
      <c r="L141" s="38">
        <f t="shared" si="5"/>
        <v>0</v>
      </c>
      <c r="M141" s="39">
        <f t="shared" si="6"/>
        <v>0</v>
      </c>
      <c r="N141" s="40"/>
      <c r="O141" s="78"/>
      <c r="P141" s="35"/>
      <c r="Q141" s="35"/>
      <c r="R141" s="35"/>
      <c r="S141" s="35"/>
      <c r="T141" s="35"/>
      <c r="U141" s="35"/>
      <c r="V141" s="35"/>
      <c r="W141" s="35"/>
      <c r="X141" s="35"/>
      <c r="Y141" s="35"/>
    </row>
    <row r="142" ht="14.25" customHeight="1">
      <c r="A142" s="221"/>
      <c r="B142" s="231"/>
      <c r="C142" s="233"/>
      <c r="D142" s="212"/>
      <c r="E142" s="213"/>
      <c r="F142" s="214"/>
      <c r="G142" s="523">
        <v>44805.0</v>
      </c>
      <c r="H142" s="36">
        <f t="shared" si="1"/>
        <v>0</v>
      </c>
      <c r="I142" s="37">
        <f t="shared" si="2"/>
        <v>0</v>
      </c>
      <c r="J142" s="38">
        <f t="shared" si="3"/>
        <v>0</v>
      </c>
      <c r="K142" s="39">
        <f t="shared" si="4"/>
        <v>0</v>
      </c>
      <c r="L142" s="38">
        <f t="shared" si="5"/>
        <v>0</v>
      </c>
      <c r="M142" s="39">
        <f t="shared" si="6"/>
        <v>0</v>
      </c>
      <c r="N142" s="40"/>
      <c r="O142" s="78"/>
      <c r="P142" s="35"/>
      <c r="Q142" s="35"/>
      <c r="R142" s="35"/>
      <c r="S142" s="35"/>
      <c r="T142" s="35"/>
      <c r="U142" s="35"/>
      <c r="V142" s="35"/>
      <c r="W142" s="35"/>
      <c r="X142" s="35"/>
      <c r="Y142" s="35"/>
    </row>
    <row r="143" ht="14.25" customHeight="1">
      <c r="A143" s="221"/>
      <c r="B143" s="231"/>
      <c r="C143" s="233"/>
      <c r="D143" s="212"/>
      <c r="E143" s="213"/>
      <c r="F143" s="214"/>
      <c r="G143" s="506">
        <v>44805.0</v>
      </c>
      <c r="H143" s="36">
        <f t="shared" si="1"/>
        <v>0</v>
      </c>
      <c r="I143" s="37">
        <f t="shared" si="2"/>
        <v>0</v>
      </c>
      <c r="J143" s="38">
        <f t="shared" si="3"/>
        <v>0</v>
      </c>
      <c r="K143" s="39">
        <f t="shared" si="4"/>
        <v>0</v>
      </c>
      <c r="L143" s="38">
        <f t="shared" si="5"/>
        <v>0</v>
      </c>
      <c r="M143" s="39">
        <f t="shared" si="6"/>
        <v>0</v>
      </c>
      <c r="N143" s="40"/>
      <c r="O143" s="78"/>
      <c r="P143" s="35"/>
      <c r="Q143" s="35"/>
      <c r="R143" s="35"/>
      <c r="S143" s="35"/>
      <c r="T143" s="35"/>
      <c r="U143" s="35"/>
      <c r="V143" s="35"/>
      <c r="W143" s="35"/>
      <c r="X143" s="35"/>
      <c r="Y143" s="35"/>
    </row>
    <row r="144" ht="14.25" customHeight="1">
      <c r="A144" s="221"/>
      <c r="B144" s="231"/>
      <c r="C144" s="233"/>
      <c r="D144" s="212"/>
      <c r="E144" s="213"/>
      <c r="F144" s="214"/>
      <c r="G144" s="523">
        <v>44805.0</v>
      </c>
      <c r="H144" s="36">
        <f t="shared" si="1"/>
        <v>0</v>
      </c>
      <c r="I144" s="37">
        <f t="shared" si="2"/>
        <v>0</v>
      </c>
      <c r="J144" s="38">
        <f t="shared" si="3"/>
        <v>0</v>
      </c>
      <c r="K144" s="39">
        <f t="shared" si="4"/>
        <v>0</v>
      </c>
      <c r="L144" s="38">
        <f t="shared" si="5"/>
        <v>0</v>
      </c>
      <c r="M144" s="39">
        <f t="shared" si="6"/>
        <v>0</v>
      </c>
      <c r="N144" s="40"/>
      <c r="O144" s="78"/>
      <c r="P144" s="35"/>
      <c r="Q144" s="35"/>
      <c r="R144" s="35"/>
      <c r="S144" s="35"/>
      <c r="T144" s="35"/>
      <c r="U144" s="35"/>
      <c r="V144" s="35"/>
      <c r="W144" s="35"/>
      <c r="X144" s="35"/>
      <c r="Y144" s="35"/>
    </row>
    <row r="145" ht="14.25" customHeight="1">
      <c r="A145" s="221"/>
      <c r="B145" s="231"/>
      <c r="C145" s="233"/>
      <c r="D145" s="212"/>
      <c r="E145" s="213"/>
      <c r="F145" s="214"/>
      <c r="G145" s="506">
        <v>44805.0</v>
      </c>
      <c r="H145" s="36">
        <f t="shared" si="1"/>
        <v>0</v>
      </c>
      <c r="I145" s="37">
        <f t="shared" si="2"/>
        <v>0</v>
      </c>
      <c r="J145" s="38">
        <f t="shared" si="3"/>
        <v>0</v>
      </c>
      <c r="K145" s="39">
        <f t="shared" si="4"/>
        <v>0</v>
      </c>
      <c r="L145" s="38">
        <f t="shared" si="5"/>
        <v>0</v>
      </c>
      <c r="M145" s="39">
        <f t="shared" si="6"/>
        <v>0</v>
      </c>
      <c r="N145" s="40"/>
      <c r="O145" s="34"/>
      <c r="P145" s="35"/>
      <c r="Q145" s="35"/>
      <c r="R145" s="35"/>
      <c r="S145" s="35"/>
      <c r="T145" s="35"/>
      <c r="U145" s="35"/>
      <c r="V145" s="35"/>
      <c r="W145" s="35"/>
      <c r="X145" s="35"/>
      <c r="Y145" s="35"/>
    </row>
    <row r="146" ht="14.25" customHeight="1">
      <c r="A146" s="221"/>
      <c r="B146" s="231"/>
      <c r="C146" s="233"/>
      <c r="D146" s="212"/>
      <c r="E146" s="213"/>
      <c r="F146" s="214"/>
      <c r="G146" s="523">
        <v>44805.0</v>
      </c>
      <c r="H146" s="36">
        <f t="shared" si="1"/>
        <v>0</v>
      </c>
      <c r="I146" s="37">
        <f t="shared" si="2"/>
        <v>0</v>
      </c>
      <c r="J146" s="38">
        <f t="shared" si="3"/>
        <v>0</v>
      </c>
      <c r="K146" s="39">
        <f t="shared" si="4"/>
        <v>0</v>
      </c>
      <c r="L146" s="38">
        <f t="shared" si="5"/>
        <v>0</v>
      </c>
      <c r="M146" s="39">
        <f t="shared" si="6"/>
        <v>0</v>
      </c>
      <c r="N146" s="40"/>
      <c r="O146" s="34"/>
      <c r="P146" s="35"/>
      <c r="Q146" s="35"/>
      <c r="R146" s="35"/>
      <c r="S146" s="35"/>
      <c r="T146" s="35"/>
      <c r="U146" s="35"/>
      <c r="V146" s="35"/>
      <c r="W146" s="35"/>
      <c r="X146" s="35"/>
      <c r="Y146" s="35"/>
    </row>
    <row r="147" ht="14.25" customHeight="1">
      <c r="A147" s="221"/>
      <c r="B147" s="231"/>
      <c r="C147" s="233"/>
      <c r="D147" s="212"/>
      <c r="E147" s="213"/>
      <c r="F147" s="214"/>
      <c r="G147" s="506">
        <v>44805.0</v>
      </c>
      <c r="H147" s="36">
        <f t="shared" si="1"/>
        <v>0</v>
      </c>
      <c r="I147" s="37">
        <f t="shared" si="2"/>
        <v>0</v>
      </c>
      <c r="J147" s="38">
        <f t="shared" si="3"/>
        <v>0</v>
      </c>
      <c r="K147" s="39">
        <f t="shared" si="4"/>
        <v>0</v>
      </c>
      <c r="L147" s="38">
        <f t="shared" si="5"/>
        <v>0</v>
      </c>
      <c r="M147" s="39">
        <f t="shared" si="6"/>
        <v>0</v>
      </c>
      <c r="N147" s="40"/>
      <c r="O147" s="34"/>
      <c r="P147" s="35"/>
      <c r="Q147" s="35"/>
      <c r="R147" s="35"/>
      <c r="S147" s="35"/>
      <c r="T147" s="35"/>
      <c r="U147" s="35"/>
      <c r="V147" s="35"/>
      <c r="W147" s="35"/>
      <c r="X147" s="35"/>
      <c r="Y147" s="35"/>
    </row>
    <row r="148" ht="14.25" customHeight="1">
      <c r="A148" s="221"/>
      <c r="B148" s="231"/>
      <c r="C148" s="233"/>
      <c r="D148" s="212"/>
      <c r="E148" s="213"/>
      <c r="F148" s="214"/>
      <c r="G148" s="523">
        <v>44805.0</v>
      </c>
      <c r="H148" s="36">
        <f t="shared" si="1"/>
        <v>0</v>
      </c>
      <c r="I148" s="37">
        <f t="shared" si="2"/>
        <v>0</v>
      </c>
      <c r="J148" s="38">
        <f t="shared" si="3"/>
        <v>0</v>
      </c>
      <c r="K148" s="39">
        <f t="shared" si="4"/>
        <v>0</v>
      </c>
      <c r="L148" s="38">
        <f t="shared" si="5"/>
        <v>0</v>
      </c>
      <c r="M148" s="39">
        <f t="shared" si="6"/>
        <v>0</v>
      </c>
      <c r="N148" s="40"/>
      <c r="O148" s="34"/>
      <c r="P148" s="35"/>
      <c r="Q148" s="35"/>
      <c r="R148" s="35"/>
      <c r="S148" s="35"/>
      <c r="T148" s="35"/>
      <c r="U148" s="35"/>
      <c r="V148" s="35"/>
      <c r="W148" s="35"/>
      <c r="X148" s="35"/>
      <c r="Y148" s="35"/>
    </row>
    <row r="149" ht="14.25" customHeight="1">
      <c r="A149" s="221"/>
      <c r="B149" s="231"/>
      <c r="C149" s="233"/>
      <c r="D149" s="212"/>
      <c r="E149" s="213"/>
      <c r="F149" s="214"/>
      <c r="G149" s="506">
        <v>44805.0</v>
      </c>
      <c r="H149" s="36">
        <f t="shared" si="1"/>
        <v>0</v>
      </c>
      <c r="I149" s="37">
        <f t="shared" si="2"/>
        <v>0</v>
      </c>
      <c r="J149" s="38">
        <f t="shared" si="3"/>
        <v>0</v>
      </c>
      <c r="K149" s="39">
        <f t="shared" si="4"/>
        <v>0</v>
      </c>
      <c r="L149" s="38">
        <f t="shared" si="5"/>
        <v>0</v>
      </c>
      <c r="M149" s="39">
        <f t="shared" si="6"/>
        <v>0</v>
      </c>
      <c r="N149" s="40"/>
      <c r="O149" s="34"/>
      <c r="P149" s="35"/>
      <c r="Q149" s="35"/>
      <c r="R149" s="35"/>
      <c r="S149" s="35"/>
      <c r="T149" s="35"/>
      <c r="U149" s="35"/>
      <c r="V149" s="35"/>
      <c r="W149" s="35"/>
      <c r="X149" s="35"/>
      <c r="Y149" s="35"/>
    </row>
    <row r="150" ht="14.25" customHeight="1">
      <c r="A150" s="221"/>
      <c r="B150" s="231"/>
      <c r="C150" s="233"/>
      <c r="D150" s="212"/>
      <c r="E150" s="213"/>
      <c r="F150" s="214"/>
      <c r="G150" s="523">
        <v>44805.0</v>
      </c>
      <c r="H150" s="36">
        <f t="shared" si="1"/>
        <v>0</v>
      </c>
      <c r="I150" s="37">
        <f t="shared" si="2"/>
        <v>0</v>
      </c>
      <c r="J150" s="38">
        <f t="shared" si="3"/>
        <v>0</v>
      </c>
      <c r="K150" s="39">
        <f t="shared" si="4"/>
        <v>0</v>
      </c>
      <c r="L150" s="38">
        <f t="shared" si="5"/>
        <v>0</v>
      </c>
      <c r="M150" s="39">
        <f t="shared" si="6"/>
        <v>0</v>
      </c>
      <c r="N150" s="40"/>
      <c r="O150" s="34"/>
      <c r="P150" s="35"/>
      <c r="Q150" s="35"/>
      <c r="R150" s="35"/>
      <c r="S150" s="35"/>
      <c r="T150" s="35"/>
      <c r="U150" s="35"/>
      <c r="V150" s="35"/>
      <c r="W150" s="35"/>
      <c r="X150" s="35"/>
      <c r="Y150" s="35"/>
    </row>
    <row r="151" ht="14.25" customHeight="1">
      <c r="A151" s="221"/>
      <c r="B151" s="231"/>
      <c r="C151" s="233"/>
      <c r="D151" s="212"/>
      <c r="E151" s="213"/>
      <c r="F151" s="214"/>
      <c r="G151" s="506">
        <v>44805.0</v>
      </c>
      <c r="H151" s="36">
        <f t="shared" si="1"/>
        <v>0</v>
      </c>
      <c r="I151" s="37">
        <f t="shared" si="2"/>
        <v>0</v>
      </c>
      <c r="J151" s="38">
        <f t="shared" si="3"/>
        <v>0</v>
      </c>
      <c r="K151" s="39">
        <f t="shared" si="4"/>
        <v>0</v>
      </c>
      <c r="L151" s="38">
        <f t="shared" si="5"/>
        <v>0</v>
      </c>
      <c r="M151" s="39">
        <f t="shared" si="6"/>
        <v>0</v>
      </c>
      <c r="N151" s="40"/>
      <c r="O151" s="78"/>
      <c r="P151" s="35"/>
      <c r="Q151" s="35"/>
      <c r="R151" s="35"/>
      <c r="S151" s="35"/>
      <c r="T151" s="35"/>
      <c r="U151" s="35"/>
      <c r="V151" s="35"/>
      <c r="W151" s="35"/>
      <c r="X151" s="35"/>
      <c r="Y151" s="35"/>
    </row>
    <row r="152" ht="14.25" customHeight="1">
      <c r="A152" s="221"/>
      <c r="B152" s="231"/>
      <c r="C152" s="233"/>
      <c r="D152" s="212"/>
      <c r="E152" s="213"/>
      <c r="F152" s="214"/>
      <c r="G152" s="523">
        <v>44805.0</v>
      </c>
      <c r="H152" s="36">
        <f t="shared" si="1"/>
        <v>0</v>
      </c>
      <c r="I152" s="37">
        <f t="shared" si="2"/>
        <v>0</v>
      </c>
      <c r="J152" s="38">
        <f t="shared" si="3"/>
        <v>0</v>
      </c>
      <c r="K152" s="39">
        <f t="shared" si="4"/>
        <v>0</v>
      </c>
      <c r="L152" s="38">
        <f t="shared" si="5"/>
        <v>0</v>
      </c>
      <c r="M152" s="39">
        <f t="shared" si="6"/>
        <v>0</v>
      </c>
      <c r="N152" s="40"/>
      <c r="O152" s="78"/>
      <c r="P152" s="35"/>
      <c r="Q152" s="35"/>
      <c r="R152" s="35"/>
      <c r="S152" s="35"/>
      <c r="T152" s="35"/>
      <c r="U152" s="35"/>
      <c r="V152" s="35"/>
      <c r="W152" s="35"/>
      <c r="X152" s="35"/>
      <c r="Y152" s="35"/>
    </row>
    <row r="153" ht="14.25" customHeight="1">
      <c r="A153" s="221"/>
      <c r="B153" s="231"/>
      <c r="C153" s="233"/>
      <c r="D153" s="212"/>
      <c r="E153" s="213"/>
      <c r="F153" s="214"/>
      <c r="G153" s="506">
        <v>44805.0</v>
      </c>
      <c r="H153" s="36">
        <f t="shared" si="1"/>
        <v>0</v>
      </c>
      <c r="I153" s="37">
        <f t="shared" si="2"/>
        <v>0</v>
      </c>
      <c r="J153" s="38">
        <f t="shared" si="3"/>
        <v>0</v>
      </c>
      <c r="K153" s="39">
        <f t="shared" si="4"/>
        <v>0</v>
      </c>
      <c r="L153" s="38">
        <f t="shared" si="5"/>
        <v>0</v>
      </c>
      <c r="M153" s="39">
        <f t="shared" si="6"/>
        <v>0</v>
      </c>
      <c r="N153" s="40"/>
      <c r="O153" s="78"/>
      <c r="P153" s="35"/>
      <c r="Q153" s="35"/>
      <c r="R153" s="35"/>
      <c r="S153" s="35"/>
      <c r="T153" s="35"/>
      <c r="U153" s="35"/>
      <c r="V153" s="35"/>
      <c r="W153" s="35"/>
      <c r="X153" s="35"/>
      <c r="Y153" s="35"/>
    </row>
    <row r="154" ht="14.25" customHeight="1">
      <c r="A154" s="221"/>
      <c r="B154" s="231"/>
      <c r="C154" s="233"/>
      <c r="D154" s="212"/>
      <c r="E154" s="213"/>
      <c r="F154" s="214"/>
      <c r="G154" s="523">
        <v>44805.0</v>
      </c>
      <c r="H154" s="36">
        <f t="shared" si="1"/>
        <v>0</v>
      </c>
      <c r="I154" s="37">
        <f t="shared" si="2"/>
        <v>0</v>
      </c>
      <c r="J154" s="38">
        <f t="shared" si="3"/>
        <v>0</v>
      </c>
      <c r="K154" s="39">
        <f t="shared" si="4"/>
        <v>0</v>
      </c>
      <c r="L154" s="38">
        <f t="shared" si="5"/>
        <v>0</v>
      </c>
      <c r="M154" s="39">
        <f t="shared" si="6"/>
        <v>0</v>
      </c>
      <c r="N154" s="40"/>
      <c r="O154" s="78"/>
      <c r="P154" s="35"/>
      <c r="Q154" s="35"/>
      <c r="R154" s="35"/>
      <c r="S154" s="35"/>
      <c r="T154" s="35"/>
      <c r="U154" s="35"/>
      <c r="V154" s="35"/>
      <c r="W154" s="35"/>
      <c r="X154" s="35"/>
      <c r="Y154" s="35"/>
    </row>
    <row r="155" ht="14.25" customHeight="1">
      <c r="A155" s="221"/>
      <c r="B155" s="231"/>
      <c r="C155" s="233"/>
      <c r="D155" s="212"/>
      <c r="E155" s="213"/>
      <c r="F155" s="214"/>
      <c r="G155" s="506">
        <v>44805.0</v>
      </c>
      <c r="H155" s="36">
        <f t="shared" si="1"/>
        <v>0</v>
      </c>
      <c r="I155" s="37">
        <f t="shared" si="2"/>
        <v>0</v>
      </c>
      <c r="J155" s="38">
        <f t="shared" si="3"/>
        <v>0</v>
      </c>
      <c r="K155" s="39">
        <f t="shared" si="4"/>
        <v>0</v>
      </c>
      <c r="L155" s="38">
        <f t="shared" si="5"/>
        <v>0</v>
      </c>
      <c r="M155" s="39">
        <f t="shared" si="6"/>
        <v>0</v>
      </c>
      <c r="N155" s="40"/>
      <c r="O155" s="78"/>
      <c r="P155" s="35"/>
      <c r="Q155" s="35"/>
      <c r="R155" s="35"/>
      <c r="S155" s="35"/>
      <c r="T155" s="35"/>
      <c r="U155" s="35"/>
      <c r="V155" s="35"/>
      <c r="W155" s="35"/>
      <c r="X155" s="35"/>
      <c r="Y155" s="35"/>
    </row>
    <row r="156" ht="14.25" customHeight="1">
      <c r="A156" s="221"/>
      <c r="B156" s="231"/>
      <c r="C156" s="233"/>
      <c r="D156" s="212"/>
      <c r="E156" s="213"/>
      <c r="F156" s="214"/>
      <c r="G156" s="523">
        <v>44805.0</v>
      </c>
      <c r="H156" s="36">
        <f t="shared" si="1"/>
        <v>0</v>
      </c>
      <c r="I156" s="37">
        <f t="shared" si="2"/>
        <v>0</v>
      </c>
      <c r="J156" s="38">
        <f t="shared" si="3"/>
        <v>0</v>
      </c>
      <c r="K156" s="39">
        <f t="shared" si="4"/>
        <v>0</v>
      </c>
      <c r="L156" s="38">
        <f t="shared" si="5"/>
        <v>0</v>
      </c>
      <c r="M156" s="39">
        <f t="shared" si="6"/>
        <v>0</v>
      </c>
      <c r="N156" s="40"/>
      <c r="O156" s="78"/>
      <c r="P156" s="35"/>
      <c r="Q156" s="35"/>
      <c r="R156" s="35"/>
      <c r="S156" s="35"/>
      <c r="T156" s="35"/>
      <c r="U156" s="35"/>
      <c r="V156" s="35"/>
      <c r="W156" s="35"/>
      <c r="X156" s="35"/>
      <c r="Y156" s="35"/>
    </row>
    <row r="157" ht="14.25" customHeight="1">
      <c r="A157" s="221"/>
      <c r="B157" s="231"/>
      <c r="C157" s="233"/>
      <c r="D157" s="212"/>
      <c r="E157" s="213"/>
      <c r="F157" s="214"/>
      <c r="G157" s="506">
        <v>44805.0</v>
      </c>
      <c r="H157" s="36">
        <f t="shared" si="1"/>
        <v>0</v>
      </c>
      <c r="I157" s="37">
        <f t="shared" si="2"/>
        <v>0</v>
      </c>
      <c r="J157" s="38">
        <f t="shared" si="3"/>
        <v>0</v>
      </c>
      <c r="K157" s="39">
        <f t="shared" si="4"/>
        <v>0</v>
      </c>
      <c r="L157" s="38">
        <f t="shared" si="5"/>
        <v>0</v>
      </c>
      <c r="M157" s="39">
        <f t="shared" si="6"/>
        <v>0</v>
      </c>
      <c r="N157" s="40"/>
      <c r="O157" s="78"/>
      <c r="P157" s="35"/>
      <c r="Q157" s="35"/>
      <c r="R157" s="35"/>
      <c r="S157" s="35"/>
      <c r="T157" s="35"/>
      <c r="U157" s="35"/>
      <c r="V157" s="35"/>
      <c r="W157" s="35"/>
      <c r="X157" s="35"/>
      <c r="Y157" s="35"/>
    </row>
    <row r="158" ht="14.25" customHeight="1">
      <c r="A158" s="221"/>
      <c r="B158" s="231"/>
      <c r="C158" s="233"/>
      <c r="D158" s="212"/>
      <c r="E158" s="213"/>
      <c r="F158" s="214"/>
      <c r="G158" s="523">
        <v>44805.0</v>
      </c>
      <c r="H158" s="36">
        <f t="shared" si="1"/>
        <v>0</v>
      </c>
      <c r="I158" s="37">
        <f t="shared" si="2"/>
        <v>0</v>
      </c>
      <c r="J158" s="38">
        <f t="shared" si="3"/>
        <v>0</v>
      </c>
      <c r="K158" s="39">
        <f t="shared" si="4"/>
        <v>0</v>
      </c>
      <c r="L158" s="38">
        <f t="shared" si="5"/>
        <v>0</v>
      </c>
      <c r="M158" s="39">
        <f t="shared" si="6"/>
        <v>0</v>
      </c>
      <c r="N158" s="40"/>
      <c r="O158" s="78"/>
      <c r="P158" s="35"/>
      <c r="Q158" s="35"/>
      <c r="R158" s="35"/>
      <c r="S158" s="35"/>
      <c r="T158" s="35"/>
      <c r="U158" s="35"/>
      <c r="V158" s="35"/>
      <c r="W158" s="35"/>
      <c r="X158" s="35"/>
      <c r="Y158" s="35"/>
    </row>
    <row r="159" ht="14.25" customHeight="1">
      <c r="A159" s="221"/>
      <c r="B159" s="231"/>
      <c r="C159" s="233"/>
      <c r="D159" s="212"/>
      <c r="E159" s="213"/>
      <c r="F159" s="214"/>
      <c r="G159" s="506">
        <v>44805.0</v>
      </c>
      <c r="H159" s="36">
        <f t="shared" si="1"/>
        <v>0</v>
      </c>
      <c r="I159" s="37">
        <f t="shared" si="2"/>
        <v>0</v>
      </c>
      <c r="J159" s="38">
        <f t="shared" si="3"/>
        <v>0</v>
      </c>
      <c r="K159" s="39">
        <f t="shared" si="4"/>
        <v>0</v>
      </c>
      <c r="L159" s="38">
        <f t="shared" si="5"/>
        <v>0</v>
      </c>
      <c r="M159" s="39">
        <f t="shared" si="6"/>
        <v>0</v>
      </c>
      <c r="N159" s="40"/>
      <c r="O159" s="78"/>
      <c r="P159" s="35"/>
      <c r="Q159" s="35"/>
      <c r="R159" s="35"/>
      <c r="S159" s="35"/>
      <c r="T159" s="35"/>
      <c r="U159" s="35"/>
      <c r="V159" s="35"/>
      <c r="W159" s="35"/>
      <c r="X159" s="35"/>
      <c r="Y159" s="35"/>
    </row>
    <row r="160" ht="14.25" customHeight="1">
      <c r="A160" s="221"/>
      <c r="B160" s="231"/>
      <c r="C160" s="233"/>
      <c r="D160" s="212"/>
      <c r="E160" s="213"/>
      <c r="F160" s="214"/>
      <c r="G160" s="523">
        <v>44805.0</v>
      </c>
      <c r="H160" s="36">
        <f t="shared" si="1"/>
        <v>0</v>
      </c>
      <c r="I160" s="37">
        <f t="shared" si="2"/>
        <v>0</v>
      </c>
      <c r="J160" s="38">
        <f t="shared" si="3"/>
        <v>0</v>
      </c>
      <c r="K160" s="39">
        <f t="shared" si="4"/>
        <v>0</v>
      </c>
      <c r="L160" s="38">
        <f t="shared" si="5"/>
        <v>0</v>
      </c>
      <c r="M160" s="39">
        <f t="shared" si="6"/>
        <v>0</v>
      </c>
      <c r="N160" s="40"/>
      <c r="O160" s="78"/>
      <c r="P160" s="35"/>
      <c r="Q160" s="35"/>
      <c r="R160" s="35"/>
      <c r="S160" s="35"/>
      <c r="T160" s="35"/>
      <c r="U160" s="35"/>
      <c r="V160" s="35"/>
      <c r="W160" s="35"/>
      <c r="X160" s="35"/>
      <c r="Y160" s="35"/>
    </row>
    <row r="161" ht="14.25" customHeight="1">
      <c r="A161" s="221"/>
      <c r="B161" s="231"/>
      <c r="C161" s="116"/>
      <c r="D161" s="223"/>
      <c r="E161" s="85"/>
      <c r="F161" s="107"/>
      <c r="G161" s="506">
        <v>44805.0</v>
      </c>
      <c r="H161" s="36">
        <f t="shared" si="1"/>
        <v>0</v>
      </c>
      <c r="I161" s="37">
        <f t="shared" si="2"/>
        <v>0</v>
      </c>
      <c r="J161" s="38">
        <f t="shared" si="3"/>
        <v>0</v>
      </c>
      <c r="K161" s="39">
        <f t="shared" si="4"/>
        <v>0</v>
      </c>
      <c r="L161" s="38">
        <f t="shared" si="5"/>
        <v>0</v>
      </c>
      <c r="M161" s="39">
        <f t="shared" si="6"/>
        <v>0</v>
      </c>
      <c r="N161" s="40"/>
      <c r="O161" s="78"/>
      <c r="P161" s="35"/>
      <c r="Q161" s="35"/>
      <c r="R161" s="35"/>
      <c r="S161" s="35"/>
      <c r="T161" s="35"/>
      <c r="U161" s="35"/>
      <c r="V161" s="35"/>
      <c r="W161" s="35"/>
      <c r="X161" s="35"/>
      <c r="Y161" s="35"/>
    </row>
    <row r="162" ht="14.25" customHeight="1">
      <c r="A162" s="221"/>
      <c r="B162" s="231"/>
      <c r="C162" s="116"/>
      <c r="D162" s="223"/>
      <c r="E162" s="85"/>
      <c r="F162" s="107"/>
      <c r="G162" s="523">
        <v>44805.0</v>
      </c>
      <c r="H162" s="36">
        <f t="shared" si="1"/>
        <v>0</v>
      </c>
      <c r="I162" s="37">
        <f t="shared" si="2"/>
        <v>0</v>
      </c>
      <c r="J162" s="38">
        <f t="shared" si="3"/>
        <v>0</v>
      </c>
      <c r="K162" s="39">
        <f t="shared" si="4"/>
        <v>0</v>
      </c>
      <c r="L162" s="38">
        <f t="shared" si="5"/>
        <v>0</v>
      </c>
      <c r="M162" s="39">
        <f t="shared" si="6"/>
        <v>0</v>
      </c>
      <c r="N162" s="40"/>
      <c r="O162" s="78"/>
      <c r="P162" s="35"/>
      <c r="Q162" s="35"/>
      <c r="R162" s="35"/>
      <c r="S162" s="35"/>
      <c r="T162" s="35"/>
      <c r="U162" s="35"/>
      <c r="V162" s="35"/>
      <c r="W162" s="35"/>
      <c r="X162" s="35"/>
      <c r="Y162" s="35"/>
    </row>
    <row r="163" ht="14.25" customHeight="1">
      <c r="A163" s="221"/>
      <c r="B163" s="231"/>
      <c r="C163" s="116"/>
      <c r="D163" s="223"/>
      <c r="E163" s="85"/>
      <c r="F163" s="107"/>
      <c r="G163" s="506">
        <v>44805.0</v>
      </c>
      <c r="H163" s="36">
        <f t="shared" si="1"/>
        <v>0</v>
      </c>
      <c r="I163" s="37">
        <f t="shared" si="2"/>
        <v>0</v>
      </c>
      <c r="J163" s="38">
        <f t="shared" si="3"/>
        <v>0</v>
      </c>
      <c r="K163" s="39">
        <f t="shared" si="4"/>
        <v>0</v>
      </c>
      <c r="L163" s="38">
        <f t="shared" si="5"/>
        <v>0</v>
      </c>
      <c r="M163" s="39">
        <f t="shared" si="6"/>
        <v>0</v>
      </c>
      <c r="N163" s="40"/>
      <c r="O163" s="78"/>
      <c r="P163" s="35"/>
      <c r="Q163" s="35"/>
      <c r="R163" s="35"/>
      <c r="S163" s="35"/>
      <c r="T163" s="35"/>
      <c r="U163" s="35"/>
      <c r="V163" s="35"/>
      <c r="W163" s="35"/>
      <c r="X163" s="35"/>
      <c r="Y163" s="35"/>
    </row>
    <row r="164" ht="14.25" customHeight="1">
      <c r="A164" s="221"/>
      <c r="B164" s="231"/>
      <c r="C164" s="126"/>
      <c r="D164" s="508"/>
      <c r="E164" s="48"/>
      <c r="F164" s="107"/>
      <c r="G164" s="523">
        <v>44805.0</v>
      </c>
      <c r="H164" s="36">
        <f t="shared" si="1"/>
        <v>0</v>
      </c>
      <c r="I164" s="37">
        <f t="shared" si="2"/>
        <v>0</v>
      </c>
      <c r="J164" s="38">
        <f t="shared" si="3"/>
        <v>0</v>
      </c>
      <c r="K164" s="39">
        <f t="shared" si="4"/>
        <v>0</v>
      </c>
      <c r="L164" s="38">
        <f t="shared" si="5"/>
        <v>0</v>
      </c>
      <c r="M164" s="39">
        <f t="shared" si="6"/>
        <v>0</v>
      </c>
      <c r="N164" s="40"/>
      <c r="O164" s="78"/>
      <c r="P164" s="35"/>
      <c r="Q164" s="35"/>
      <c r="R164" s="35"/>
      <c r="S164" s="35"/>
      <c r="T164" s="35"/>
      <c r="U164" s="35"/>
      <c r="V164" s="35"/>
      <c r="W164" s="35"/>
      <c r="X164" s="35"/>
      <c r="Y164" s="35"/>
    </row>
    <row r="165" ht="14.25" customHeight="1">
      <c r="A165" s="221"/>
      <c r="B165" s="231"/>
      <c r="C165" s="126"/>
      <c r="D165" s="223"/>
      <c r="E165" s="85"/>
      <c r="F165" s="107"/>
      <c r="G165" s="506">
        <v>44805.0</v>
      </c>
      <c r="H165" s="36">
        <f t="shared" si="1"/>
        <v>0</v>
      </c>
      <c r="I165" s="37">
        <f t="shared" si="2"/>
        <v>0</v>
      </c>
      <c r="J165" s="38">
        <f t="shared" si="3"/>
        <v>0</v>
      </c>
      <c r="K165" s="39">
        <f t="shared" si="4"/>
        <v>0</v>
      </c>
      <c r="L165" s="38">
        <f t="shared" si="5"/>
        <v>0</v>
      </c>
      <c r="M165" s="39">
        <f t="shared" si="6"/>
        <v>0</v>
      </c>
      <c r="N165" s="40"/>
      <c r="O165" s="78"/>
      <c r="P165" s="35"/>
      <c r="Q165" s="35"/>
      <c r="R165" s="35"/>
      <c r="S165" s="35"/>
      <c r="T165" s="35"/>
      <c r="U165" s="35"/>
      <c r="V165" s="35"/>
      <c r="W165" s="35"/>
      <c r="X165" s="35"/>
      <c r="Y165" s="35"/>
    </row>
    <row r="166" ht="14.25" customHeight="1">
      <c r="A166" s="221"/>
      <c r="B166" s="231"/>
      <c r="C166" s="126"/>
      <c r="D166" s="223"/>
      <c r="E166" s="85"/>
      <c r="F166" s="107"/>
      <c r="G166" s="523">
        <v>44805.0</v>
      </c>
      <c r="H166" s="36">
        <f t="shared" si="1"/>
        <v>0</v>
      </c>
      <c r="I166" s="37">
        <f t="shared" si="2"/>
        <v>0</v>
      </c>
      <c r="J166" s="38">
        <f t="shared" si="3"/>
        <v>0</v>
      </c>
      <c r="K166" s="39">
        <f t="shared" si="4"/>
        <v>0</v>
      </c>
      <c r="L166" s="38">
        <f t="shared" si="5"/>
        <v>0</v>
      </c>
      <c r="M166" s="39">
        <f t="shared" si="6"/>
        <v>0</v>
      </c>
      <c r="N166" s="40"/>
      <c r="O166" s="78"/>
      <c r="P166" s="35"/>
      <c r="Q166" s="35"/>
      <c r="R166" s="35"/>
      <c r="S166" s="35"/>
      <c r="T166" s="35"/>
      <c r="U166" s="35"/>
      <c r="V166" s="35"/>
      <c r="W166" s="35"/>
      <c r="X166" s="35"/>
      <c r="Y166" s="35"/>
    </row>
    <row r="167" ht="14.25" customHeight="1">
      <c r="A167" s="221"/>
      <c r="B167" s="231"/>
      <c r="C167" s="116"/>
      <c r="D167" s="223"/>
      <c r="E167" s="85"/>
      <c r="F167" s="107"/>
      <c r="G167" s="506">
        <v>44805.0</v>
      </c>
      <c r="H167" s="36">
        <f t="shared" si="1"/>
        <v>0</v>
      </c>
      <c r="I167" s="37">
        <f t="shared" si="2"/>
        <v>0</v>
      </c>
      <c r="J167" s="38">
        <f t="shared" si="3"/>
        <v>0</v>
      </c>
      <c r="K167" s="39">
        <f t="shared" si="4"/>
        <v>0</v>
      </c>
      <c r="L167" s="38">
        <f t="shared" si="5"/>
        <v>0</v>
      </c>
      <c r="M167" s="39">
        <f t="shared" si="6"/>
        <v>0</v>
      </c>
      <c r="N167" s="40"/>
      <c r="O167" s="78"/>
      <c r="P167" s="35"/>
      <c r="Q167" s="35"/>
      <c r="R167" s="35"/>
      <c r="S167" s="35"/>
      <c r="T167" s="35"/>
      <c r="U167" s="35"/>
      <c r="V167" s="35"/>
      <c r="W167" s="35"/>
      <c r="X167" s="35"/>
      <c r="Y167" s="35"/>
    </row>
    <row r="168" ht="14.25" customHeight="1">
      <c r="A168" s="221"/>
      <c r="B168" s="231"/>
      <c r="C168" s="116"/>
      <c r="D168" s="223"/>
      <c r="E168" s="85"/>
      <c r="F168" s="107"/>
      <c r="G168" s="523">
        <v>44805.0</v>
      </c>
      <c r="H168" s="36">
        <f t="shared" si="1"/>
        <v>0</v>
      </c>
      <c r="I168" s="37">
        <f t="shared" si="2"/>
        <v>0</v>
      </c>
      <c r="J168" s="38">
        <f t="shared" si="3"/>
        <v>0</v>
      </c>
      <c r="K168" s="39">
        <f t="shared" si="4"/>
        <v>0</v>
      </c>
      <c r="L168" s="38">
        <f t="shared" si="5"/>
        <v>0</v>
      </c>
      <c r="M168" s="39">
        <f t="shared" si="6"/>
        <v>0</v>
      </c>
      <c r="N168" s="40"/>
      <c r="O168" s="78"/>
      <c r="P168" s="35"/>
      <c r="Q168" s="35"/>
      <c r="R168" s="35"/>
      <c r="S168" s="35"/>
      <c r="T168" s="35"/>
      <c r="U168" s="35"/>
      <c r="V168" s="35"/>
      <c r="W168" s="35"/>
      <c r="X168" s="35"/>
      <c r="Y168" s="35"/>
    </row>
    <row r="169" ht="14.25" customHeight="1">
      <c r="A169" s="221"/>
      <c r="B169" s="231"/>
      <c r="C169" s="108"/>
      <c r="D169" s="223"/>
      <c r="E169" s="42"/>
      <c r="F169" s="109"/>
      <c r="G169" s="506">
        <v>44805.0</v>
      </c>
      <c r="H169" s="36">
        <f t="shared" si="1"/>
        <v>0</v>
      </c>
      <c r="I169" s="37">
        <f t="shared" si="2"/>
        <v>0</v>
      </c>
      <c r="J169" s="38">
        <f t="shared" si="3"/>
        <v>0</v>
      </c>
      <c r="K169" s="39">
        <f t="shared" si="4"/>
        <v>0</v>
      </c>
      <c r="L169" s="38">
        <f t="shared" si="5"/>
        <v>0</v>
      </c>
      <c r="M169" s="39">
        <f t="shared" si="6"/>
        <v>0</v>
      </c>
      <c r="N169" s="40"/>
      <c r="O169" s="34"/>
      <c r="P169" s="35"/>
      <c r="Q169" s="35"/>
      <c r="R169" s="35"/>
      <c r="S169" s="35"/>
      <c r="T169" s="35"/>
      <c r="U169" s="35"/>
      <c r="V169" s="35"/>
      <c r="W169" s="35"/>
      <c r="X169" s="35"/>
      <c r="Y169" s="35"/>
    </row>
    <row r="170" ht="14.25" customHeight="1">
      <c r="A170" s="221"/>
      <c r="B170" s="231"/>
      <c r="C170" s="106"/>
      <c r="D170" s="223"/>
      <c r="E170" s="85"/>
      <c r="F170" s="107"/>
      <c r="G170" s="523">
        <v>44805.0</v>
      </c>
      <c r="H170" s="36">
        <f t="shared" si="1"/>
        <v>0</v>
      </c>
      <c r="I170" s="37">
        <f t="shared" si="2"/>
        <v>0</v>
      </c>
      <c r="J170" s="38">
        <f t="shared" si="3"/>
        <v>0</v>
      </c>
      <c r="K170" s="39">
        <f t="shared" si="4"/>
        <v>0</v>
      </c>
      <c r="L170" s="38">
        <f t="shared" si="5"/>
        <v>0</v>
      </c>
      <c r="M170" s="39">
        <f t="shared" si="6"/>
        <v>0</v>
      </c>
      <c r="N170" s="40"/>
      <c r="O170" s="34"/>
      <c r="P170" s="35"/>
      <c r="Q170" s="35"/>
      <c r="R170" s="35"/>
      <c r="S170" s="35"/>
      <c r="T170" s="35"/>
      <c r="U170" s="35"/>
      <c r="V170" s="35"/>
      <c r="W170" s="35"/>
      <c r="X170" s="35"/>
      <c r="Y170" s="35"/>
    </row>
    <row r="171" ht="14.25" customHeight="1">
      <c r="A171" s="221"/>
      <c r="B171" s="231"/>
      <c r="C171" s="106"/>
      <c r="D171" s="223"/>
      <c r="E171" s="85"/>
      <c r="F171" s="107"/>
      <c r="G171" s="506">
        <v>44805.0</v>
      </c>
      <c r="H171" s="36">
        <f t="shared" si="1"/>
        <v>0</v>
      </c>
      <c r="I171" s="37">
        <f t="shared" si="2"/>
        <v>0</v>
      </c>
      <c r="J171" s="38">
        <f t="shared" si="3"/>
        <v>0</v>
      </c>
      <c r="K171" s="39">
        <f t="shared" si="4"/>
        <v>0</v>
      </c>
      <c r="L171" s="38">
        <f t="shared" si="5"/>
        <v>0</v>
      </c>
      <c r="M171" s="39">
        <f t="shared" si="6"/>
        <v>0</v>
      </c>
      <c r="N171" s="40"/>
      <c r="O171" s="34"/>
      <c r="P171" s="35"/>
      <c r="Q171" s="35"/>
      <c r="R171" s="35"/>
      <c r="S171" s="35"/>
      <c r="T171" s="35"/>
      <c r="U171" s="35"/>
      <c r="V171" s="35"/>
      <c r="W171" s="35"/>
      <c r="X171" s="35"/>
      <c r="Y171" s="35"/>
    </row>
    <row r="172" ht="14.25" customHeight="1">
      <c r="A172" s="221"/>
      <c r="B172" s="231"/>
      <c r="C172" s="106"/>
      <c r="D172" s="223"/>
      <c r="E172" s="85"/>
      <c r="F172" s="107"/>
      <c r="G172" s="523">
        <v>44805.0</v>
      </c>
      <c r="H172" s="36">
        <f t="shared" si="1"/>
        <v>0</v>
      </c>
      <c r="I172" s="37">
        <f t="shared" si="2"/>
        <v>0</v>
      </c>
      <c r="J172" s="38">
        <f t="shared" si="3"/>
        <v>0</v>
      </c>
      <c r="K172" s="39">
        <f t="shared" si="4"/>
        <v>0</v>
      </c>
      <c r="L172" s="38">
        <f t="shared" si="5"/>
        <v>0</v>
      </c>
      <c r="M172" s="39">
        <f t="shared" si="6"/>
        <v>0</v>
      </c>
      <c r="N172" s="40"/>
      <c r="O172" s="34"/>
      <c r="P172" s="35"/>
      <c r="Q172" s="35"/>
      <c r="R172" s="35"/>
      <c r="S172" s="35"/>
      <c r="T172" s="35"/>
      <c r="U172" s="35"/>
      <c r="V172" s="35"/>
      <c r="W172" s="35"/>
      <c r="X172" s="35"/>
      <c r="Y172" s="35"/>
    </row>
    <row r="173" ht="14.25" customHeight="1">
      <c r="A173" s="221"/>
      <c r="B173" s="231"/>
      <c r="C173" s="106"/>
      <c r="D173" s="223"/>
      <c r="E173" s="85"/>
      <c r="F173" s="107"/>
      <c r="G173" s="506">
        <v>44805.0</v>
      </c>
      <c r="H173" s="36">
        <f t="shared" si="1"/>
        <v>0</v>
      </c>
      <c r="I173" s="37">
        <f t="shared" si="2"/>
        <v>0</v>
      </c>
      <c r="J173" s="38">
        <f t="shared" si="3"/>
        <v>0</v>
      </c>
      <c r="K173" s="39">
        <f t="shared" si="4"/>
        <v>0</v>
      </c>
      <c r="L173" s="38">
        <f t="shared" si="5"/>
        <v>0</v>
      </c>
      <c r="M173" s="39">
        <f t="shared" si="6"/>
        <v>0</v>
      </c>
      <c r="N173" s="40"/>
      <c r="O173" s="34"/>
      <c r="P173" s="35"/>
      <c r="Q173" s="35"/>
      <c r="R173" s="35"/>
      <c r="S173" s="35"/>
      <c r="T173" s="35"/>
      <c r="U173" s="35"/>
      <c r="V173" s="35"/>
      <c r="W173" s="35"/>
      <c r="X173" s="35"/>
      <c r="Y173" s="35"/>
    </row>
    <row r="174" ht="14.25" customHeight="1">
      <c r="A174" s="221"/>
      <c r="B174" s="231"/>
      <c r="C174" s="106"/>
      <c r="D174" s="223"/>
      <c r="E174" s="85"/>
      <c r="F174" s="107"/>
      <c r="G174" s="523">
        <v>44805.0</v>
      </c>
      <c r="H174" s="36">
        <f t="shared" si="1"/>
        <v>0</v>
      </c>
      <c r="I174" s="37">
        <f t="shared" si="2"/>
        <v>0</v>
      </c>
      <c r="J174" s="38">
        <f t="shared" si="3"/>
        <v>0</v>
      </c>
      <c r="K174" s="39">
        <f t="shared" si="4"/>
        <v>0</v>
      </c>
      <c r="L174" s="38">
        <f t="shared" si="5"/>
        <v>0</v>
      </c>
      <c r="M174" s="39">
        <f t="shared" si="6"/>
        <v>0</v>
      </c>
      <c r="N174" s="40"/>
      <c r="O174" s="34"/>
      <c r="P174" s="35"/>
      <c r="Q174" s="35"/>
      <c r="R174" s="35"/>
      <c r="S174" s="35"/>
      <c r="T174" s="35"/>
      <c r="U174" s="35"/>
      <c r="V174" s="35"/>
      <c r="W174" s="35"/>
      <c r="X174" s="35"/>
      <c r="Y174" s="35"/>
    </row>
    <row r="175" ht="14.25" customHeight="1">
      <c r="A175" s="221"/>
      <c r="B175" s="231"/>
      <c r="C175" s="115"/>
      <c r="D175" s="223"/>
      <c r="E175" s="105"/>
      <c r="F175" s="107"/>
      <c r="G175" s="506">
        <v>44805.0</v>
      </c>
      <c r="H175" s="36">
        <f t="shared" si="1"/>
        <v>0</v>
      </c>
      <c r="I175" s="37">
        <f t="shared" si="2"/>
        <v>0</v>
      </c>
      <c r="J175" s="38">
        <f t="shared" si="3"/>
        <v>0</v>
      </c>
      <c r="K175" s="39">
        <f t="shared" si="4"/>
        <v>0</v>
      </c>
      <c r="L175" s="38">
        <f t="shared" si="5"/>
        <v>0</v>
      </c>
      <c r="M175" s="39">
        <f t="shared" si="6"/>
        <v>0</v>
      </c>
      <c r="N175" s="40"/>
      <c r="O175" s="34"/>
      <c r="P175" s="35"/>
      <c r="Q175" s="35"/>
      <c r="R175" s="35"/>
      <c r="S175" s="35"/>
      <c r="T175" s="35"/>
      <c r="U175" s="35"/>
      <c r="V175" s="35"/>
      <c r="W175" s="35"/>
      <c r="X175" s="35"/>
      <c r="Y175" s="35"/>
    </row>
    <row r="176" ht="14.25" customHeight="1">
      <c r="A176" s="221"/>
      <c r="B176" s="231"/>
      <c r="C176" s="106"/>
      <c r="D176" s="223"/>
      <c r="E176" s="85"/>
      <c r="F176" s="107"/>
      <c r="G176" s="523">
        <v>44805.0</v>
      </c>
      <c r="H176" s="36">
        <f t="shared" si="1"/>
        <v>0</v>
      </c>
      <c r="I176" s="37">
        <f t="shared" si="2"/>
        <v>0</v>
      </c>
      <c r="J176" s="38">
        <f t="shared" si="3"/>
        <v>0</v>
      </c>
      <c r="K176" s="39">
        <f t="shared" si="4"/>
        <v>0</v>
      </c>
      <c r="L176" s="38">
        <f t="shared" si="5"/>
        <v>0</v>
      </c>
      <c r="M176" s="39">
        <f t="shared" si="6"/>
        <v>0</v>
      </c>
      <c r="N176" s="40"/>
      <c r="O176" s="34"/>
      <c r="P176" s="35"/>
      <c r="Q176" s="35"/>
      <c r="R176" s="35"/>
      <c r="S176" s="35"/>
      <c r="T176" s="35"/>
      <c r="U176" s="35"/>
      <c r="V176" s="35"/>
      <c r="W176" s="35"/>
      <c r="X176" s="35"/>
      <c r="Y176" s="35"/>
    </row>
    <row r="177" ht="14.25" customHeight="1">
      <c r="A177" s="221"/>
      <c r="B177" s="231"/>
      <c r="C177" s="108"/>
      <c r="D177" s="525"/>
      <c r="E177" s="85"/>
      <c r="F177" s="107"/>
      <c r="G177" s="506">
        <v>44805.0</v>
      </c>
      <c r="H177" s="36">
        <f t="shared" si="1"/>
        <v>0</v>
      </c>
      <c r="I177" s="37">
        <f t="shared" si="2"/>
        <v>0</v>
      </c>
      <c r="J177" s="38">
        <f t="shared" si="3"/>
        <v>0</v>
      </c>
      <c r="K177" s="39">
        <f t="shared" si="4"/>
        <v>0</v>
      </c>
      <c r="L177" s="38">
        <f t="shared" si="5"/>
        <v>0</v>
      </c>
      <c r="M177" s="39">
        <f t="shared" si="6"/>
        <v>0</v>
      </c>
      <c r="N177" s="40"/>
      <c r="O177" s="34"/>
      <c r="P177" s="35"/>
      <c r="Q177" s="35"/>
      <c r="R177" s="35"/>
      <c r="S177" s="35"/>
      <c r="T177" s="35"/>
      <c r="U177" s="35"/>
      <c r="V177" s="35"/>
      <c r="W177" s="35"/>
      <c r="X177" s="35"/>
      <c r="Y177" s="35"/>
    </row>
    <row r="178" ht="14.25" customHeight="1">
      <c r="A178" s="221"/>
      <c r="B178" s="231"/>
      <c r="C178" s="115"/>
      <c r="D178" s="223"/>
      <c r="E178" s="85"/>
      <c r="F178" s="238"/>
      <c r="G178" s="523">
        <v>44805.0</v>
      </c>
      <c r="H178" s="36">
        <f t="shared" si="1"/>
        <v>0</v>
      </c>
      <c r="I178" s="37">
        <f t="shared" si="2"/>
        <v>0</v>
      </c>
      <c r="J178" s="38">
        <f t="shared" si="3"/>
        <v>0</v>
      </c>
      <c r="K178" s="39">
        <f t="shared" si="4"/>
        <v>0</v>
      </c>
      <c r="L178" s="38">
        <f t="shared" si="5"/>
        <v>0</v>
      </c>
      <c r="M178" s="39">
        <f t="shared" si="6"/>
        <v>0</v>
      </c>
      <c r="N178" s="40"/>
      <c r="O178" s="34"/>
      <c r="P178" s="35"/>
      <c r="Q178" s="35"/>
      <c r="R178" s="35"/>
      <c r="S178" s="35"/>
      <c r="T178" s="35"/>
      <c r="U178" s="35"/>
      <c r="V178" s="35"/>
      <c r="W178" s="35"/>
      <c r="X178" s="35"/>
      <c r="Y178" s="35"/>
    </row>
    <row r="179" ht="14.25" customHeight="1">
      <c r="A179" s="221"/>
      <c r="B179" s="231"/>
      <c r="C179" s="115"/>
      <c r="D179" s="223"/>
      <c r="E179" s="85"/>
      <c r="F179" s="238"/>
      <c r="G179" s="506">
        <v>44805.0</v>
      </c>
      <c r="H179" s="36">
        <f t="shared" si="1"/>
        <v>0</v>
      </c>
      <c r="I179" s="37">
        <f t="shared" si="2"/>
        <v>0</v>
      </c>
      <c r="J179" s="38">
        <f t="shared" si="3"/>
        <v>0</v>
      </c>
      <c r="K179" s="39">
        <f t="shared" si="4"/>
        <v>0</v>
      </c>
      <c r="L179" s="38">
        <f t="shared" si="5"/>
        <v>0</v>
      </c>
      <c r="M179" s="39">
        <f t="shared" si="6"/>
        <v>0</v>
      </c>
      <c r="N179" s="40"/>
      <c r="O179" s="34"/>
      <c r="P179" s="35"/>
      <c r="Q179" s="35"/>
      <c r="R179" s="35"/>
      <c r="S179" s="35"/>
      <c r="T179" s="35"/>
      <c r="U179" s="35"/>
      <c r="V179" s="35"/>
      <c r="W179" s="35"/>
      <c r="X179" s="35"/>
      <c r="Y179" s="35"/>
    </row>
    <row r="180" ht="14.25" customHeight="1">
      <c r="A180" s="221"/>
      <c r="B180" s="231"/>
      <c r="C180" s="115"/>
      <c r="D180" s="223"/>
      <c r="E180" s="85"/>
      <c r="F180" s="238"/>
      <c r="G180" s="523">
        <v>44805.0</v>
      </c>
      <c r="H180" s="36">
        <f t="shared" si="1"/>
        <v>0</v>
      </c>
      <c r="I180" s="37">
        <f t="shared" si="2"/>
        <v>0</v>
      </c>
      <c r="J180" s="38">
        <f t="shared" si="3"/>
        <v>0</v>
      </c>
      <c r="K180" s="39">
        <f t="shared" si="4"/>
        <v>0</v>
      </c>
      <c r="L180" s="38">
        <f t="shared" si="5"/>
        <v>0</v>
      </c>
      <c r="M180" s="39">
        <f t="shared" si="6"/>
        <v>0</v>
      </c>
      <c r="N180" s="40"/>
      <c r="O180" s="34"/>
      <c r="P180" s="35"/>
      <c r="Q180" s="35"/>
      <c r="R180" s="35"/>
      <c r="S180" s="35"/>
      <c r="T180" s="35"/>
      <c r="U180" s="35"/>
      <c r="V180" s="35"/>
      <c r="W180" s="35"/>
      <c r="X180" s="35"/>
      <c r="Y180" s="35"/>
    </row>
    <row r="181" ht="14.25" customHeight="1">
      <c r="A181" s="221"/>
      <c r="B181" s="231"/>
      <c r="C181" s="106"/>
      <c r="D181" s="223"/>
      <c r="E181" s="85"/>
      <c r="F181" s="238"/>
      <c r="G181" s="506">
        <v>44805.0</v>
      </c>
      <c r="H181" s="36">
        <f t="shared" si="1"/>
        <v>0</v>
      </c>
      <c r="I181" s="37">
        <f t="shared" si="2"/>
        <v>0</v>
      </c>
      <c r="J181" s="38">
        <f t="shared" si="3"/>
        <v>0</v>
      </c>
      <c r="K181" s="39">
        <f t="shared" si="4"/>
        <v>0</v>
      </c>
      <c r="L181" s="38">
        <f t="shared" si="5"/>
        <v>0</v>
      </c>
      <c r="M181" s="39">
        <f t="shared" si="6"/>
        <v>0</v>
      </c>
      <c r="N181" s="40"/>
      <c r="O181" s="34"/>
      <c r="P181" s="35"/>
      <c r="Q181" s="35"/>
      <c r="R181" s="35"/>
      <c r="S181" s="35"/>
      <c r="T181" s="35"/>
      <c r="U181" s="35"/>
      <c r="V181" s="35"/>
      <c r="W181" s="35"/>
      <c r="X181" s="35"/>
      <c r="Y181" s="35"/>
    </row>
    <row r="182" ht="14.25" customHeight="1">
      <c r="A182" s="221"/>
      <c r="B182" s="231"/>
      <c r="C182" s="106"/>
      <c r="D182" s="223"/>
      <c r="E182" s="85"/>
      <c r="F182" s="238"/>
      <c r="G182" s="523">
        <v>44805.0</v>
      </c>
      <c r="H182" s="36">
        <f t="shared" si="1"/>
        <v>0</v>
      </c>
      <c r="I182" s="37">
        <f t="shared" si="2"/>
        <v>0</v>
      </c>
      <c r="J182" s="38">
        <f t="shared" si="3"/>
        <v>0</v>
      </c>
      <c r="K182" s="39">
        <f t="shared" si="4"/>
        <v>0</v>
      </c>
      <c r="L182" s="38">
        <f t="shared" si="5"/>
        <v>0</v>
      </c>
      <c r="M182" s="39">
        <f t="shared" si="6"/>
        <v>0</v>
      </c>
      <c r="N182" s="40"/>
      <c r="O182" s="34"/>
      <c r="P182" s="35"/>
      <c r="Q182" s="35"/>
      <c r="R182" s="35"/>
      <c r="S182" s="35"/>
      <c r="T182" s="35"/>
      <c r="U182" s="35"/>
      <c r="V182" s="35"/>
      <c r="W182" s="35"/>
      <c r="X182" s="35"/>
      <c r="Y182" s="35"/>
    </row>
    <row r="183" ht="14.25" customHeight="1">
      <c r="A183" s="221"/>
      <c r="B183" s="231"/>
      <c r="C183" s="106"/>
      <c r="D183" s="223"/>
      <c r="E183" s="85"/>
      <c r="F183" s="238"/>
      <c r="G183" s="506">
        <v>44805.0</v>
      </c>
      <c r="H183" s="36">
        <f t="shared" si="1"/>
        <v>0</v>
      </c>
      <c r="I183" s="37">
        <f t="shared" si="2"/>
        <v>0</v>
      </c>
      <c r="J183" s="38">
        <f t="shared" si="3"/>
        <v>0</v>
      </c>
      <c r="K183" s="39">
        <f t="shared" si="4"/>
        <v>0</v>
      </c>
      <c r="L183" s="38">
        <f t="shared" si="5"/>
        <v>0</v>
      </c>
      <c r="M183" s="39">
        <f t="shared" si="6"/>
        <v>0</v>
      </c>
      <c r="N183" s="40"/>
      <c r="O183" s="34"/>
      <c r="P183" s="35"/>
      <c r="Q183" s="35"/>
      <c r="R183" s="35"/>
      <c r="S183" s="35"/>
      <c r="T183" s="35"/>
      <c r="U183" s="35"/>
      <c r="V183" s="35"/>
      <c r="W183" s="35"/>
      <c r="X183" s="35"/>
      <c r="Y183" s="35"/>
    </row>
    <row r="184" ht="14.25" customHeight="1">
      <c r="A184" s="221"/>
      <c r="B184" s="231"/>
      <c r="C184" s="115"/>
      <c r="D184" s="223"/>
      <c r="E184" s="85"/>
      <c r="F184" s="238"/>
      <c r="G184" s="523">
        <v>44805.0</v>
      </c>
      <c r="H184" s="36">
        <f t="shared" si="1"/>
        <v>0</v>
      </c>
      <c r="I184" s="37">
        <f t="shared" si="2"/>
        <v>0</v>
      </c>
      <c r="J184" s="38">
        <f t="shared" si="3"/>
        <v>0</v>
      </c>
      <c r="K184" s="39">
        <f t="shared" si="4"/>
        <v>0</v>
      </c>
      <c r="L184" s="38">
        <f t="shared" si="5"/>
        <v>0</v>
      </c>
      <c r="M184" s="39">
        <f t="shared" si="6"/>
        <v>0</v>
      </c>
      <c r="N184" s="40"/>
      <c r="O184" s="34"/>
      <c r="P184" s="35"/>
      <c r="Q184" s="35"/>
      <c r="R184" s="35"/>
      <c r="S184" s="35"/>
      <c r="T184" s="35"/>
      <c r="U184" s="35"/>
      <c r="V184" s="35"/>
      <c r="W184" s="35"/>
      <c r="X184" s="35"/>
      <c r="Y184" s="35"/>
    </row>
    <row r="185" ht="14.25" customHeight="1">
      <c r="A185" s="221"/>
      <c r="B185" s="231"/>
      <c r="C185" s="106"/>
      <c r="D185" s="223"/>
      <c r="E185" s="85"/>
      <c r="F185" s="238"/>
      <c r="G185" s="506">
        <v>44805.0</v>
      </c>
      <c r="H185" s="36">
        <f t="shared" si="1"/>
        <v>0</v>
      </c>
      <c r="I185" s="37">
        <f t="shared" si="2"/>
        <v>0</v>
      </c>
      <c r="J185" s="38">
        <f t="shared" si="3"/>
        <v>0</v>
      </c>
      <c r="K185" s="39">
        <f t="shared" si="4"/>
        <v>0</v>
      </c>
      <c r="L185" s="38">
        <f t="shared" si="5"/>
        <v>0</v>
      </c>
      <c r="M185" s="39">
        <f t="shared" si="6"/>
        <v>0</v>
      </c>
      <c r="N185" s="40"/>
      <c r="O185" s="34"/>
      <c r="P185" s="35"/>
      <c r="Q185" s="35"/>
      <c r="R185" s="35"/>
      <c r="S185" s="35"/>
      <c r="T185" s="35"/>
      <c r="U185" s="35"/>
      <c r="V185" s="35"/>
      <c r="W185" s="35"/>
      <c r="X185" s="35"/>
      <c r="Y185" s="35"/>
    </row>
    <row r="186" ht="14.25" customHeight="1">
      <c r="A186" s="221"/>
      <c r="B186" s="231"/>
      <c r="C186" s="106"/>
      <c r="D186" s="223"/>
      <c r="E186" s="85"/>
      <c r="F186" s="238"/>
      <c r="G186" s="523">
        <v>44805.0</v>
      </c>
      <c r="H186" s="36">
        <f t="shared" si="1"/>
        <v>0</v>
      </c>
      <c r="I186" s="37">
        <f t="shared" si="2"/>
        <v>0</v>
      </c>
      <c r="J186" s="38">
        <f t="shared" si="3"/>
        <v>0</v>
      </c>
      <c r="K186" s="39">
        <f t="shared" si="4"/>
        <v>0</v>
      </c>
      <c r="L186" s="38">
        <f t="shared" si="5"/>
        <v>0</v>
      </c>
      <c r="M186" s="39">
        <f t="shared" si="6"/>
        <v>0</v>
      </c>
      <c r="N186" s="40"/>
      <c r="O186" s="34"/>
      <c r="P186" s="35"/>
      <c r="Q186" s="35"/>
      <c r="R186" s="35"/>
      <c r="S186" s="35"/>
      <c r="T186" s="35"/>
      <c r="U186" s="35"/>
      <c r="V186" s="35"/>
      <c r="W186" s="35"/>
      <c r="X186" s="35"/>
      <c r="Y186" s="35"/>
    </row>
    <row r="187" ht="14.25" customHeight="1">
      <c r="A187" s="221"/>
      <c r="B187" s="231"/>
      <c r="C187" s="106"/>
      <c r="D187" s="223"/>
      <c r="E187" s="85"/>
      <c r="F187" s="238"/>
      <c r="G187" s="506">
        <v>44805.0</v>
      </c>
      <c r="H187" s="36">
        <f t="shared" si="1"/>
        <v>0</v>
      </c>
      <c r="I187" s="37">
        <f t="shared" si="2"/>
        <v>0</v>
      </c>
      <c r="J187" s="38">
        <f t="shared" si="3"/>
        <v>0</v>
      </c>
      <c r="K187" s="39">
        <f t="shared" si="4"/>
        <v>0</v>
      </c>
      <c r="L187" s="38">
        <f t="shared" si="5"/>
        <v>0</v>
      </c>
      <c r="M187" s="39">
        <f t="shared" si="6"/>
        <v>0</v>
      </c>
      <c r="N187" s="40"/>
      <c r="O187" s="34"/>
      <c r="P187" s="35"/>
      <c r="Q187" s="35"/>
      <c r="R187" s="35"/>
      <c r="S187" s="35"/>
      <c r="T187" s="35"/>
      <c r="U187" s="35"/>
      <c r="V187" s="35"/>
      <c r="W187" s="35"/>
      <c r="X187" s="35"/>
      <c r="Y187" s="35"/>
    </row>
    <row r="188" ht="14.25" customHeight="1">
      <c r="A188" s="221"/>
      <c r="B188" s="231"/>
      <c r="C188" s="106"/>
      <c r="D188" s="223"/>
      <c r="E188" s="85"/>
      <c r="F188" s="238"/>
      <c r="G188" s="523">
        <v>44805.0</v>
      </c>
      <c r="H188" s="36">
        <f t="shared" si="1"/>
        <v>0</v>
      </c>
      <c r="I188" s="37">
        <f t="shared" si="2"/>
        <v>0</v>
      </c>
      <c r="J188" s="38">
        <f t="shared" si="3"/>
        <v>0</v>
      </c>
      <c r="K188" s="39">
        <f t="shared" si="4"/>
        <v>0</v>
      </c>
      <c r="L188" s="38">
        <f t="shared" si="5"/>
        <v>0</v>
      </c>
      <c r="M188" s="39">
        <f t="shared" si="6"/>
        <v>0</v>
      </c>
      <c r="N188" s="40"/>
      <c r="O188" s="34"/>
      <c r="P188" s="35"/>
      <c r="Q188" s="35"/>
      <c r="R188" s="35"/>
      <c r="S188" s="35"/>
      <c r="T188" s="35"/>
      <c r="U188" s="35"/>
      <c r="V188" s="35"/>
      <c r="W188" s="35"/>
      <c r="X188" s="35"/>
      <c r="Y188" s="35"/>
    </row>
    <row r="189" ht="14.25" customHeight="1">
      <c r="A189" s="221"/>
      <c r="B189" s="231"/>
      <c r="C189" s="106"/>
      <c r="D189" s="223"/>
      <c r="E189" s="85"/>
      <c r="F189" s="238"/>
      <c r="G189" s="506">
        <v>44805.0</v>
      </c>
      <c r="H189" s="36">
        <f t="shared" si="1"/>
        <v>0</v>
      </c>
      <c r="I189" s="37">
        <f t="shared" si="2"/>
        <v>0</v>
      </c>
      <c r="J189" s="38">
        <f t="shared" si="3"/>
        <v>0</v>
      </c>
      <c r="K189" s="39">
        <f t="shared" si="4"/>
        <v>0</v>
      </c>
      <c r="L189" s="38">
        <f t="shared" si="5"/>
        <v>0</v>
      </c>
      <c r="M189" s="39">
        <f t="shared" si="6"/>
        <v>0</v>
      </c>
      <c r="N189" s="40"/>
      <c r="O189" s="34"/>
      <c r="P189" s="35"/>
      <c r="Q189" s="35"/>
      <c r="R189" s="35"/>
      <c r="S189" s="35"/>
      <c r="T189" s="35"/>
      <c r="U189" s="35"/>
      <c r="V189" s="35"/>
      <c r="W189" s="35"/>
      <c r="X189" s="35"/>
      <c r="Y189" s="35"/>
    </row>
    <row r="190" ht="14.25" customHeight="1">
      <c r="A190" s="221"/>
      <c r="B190" s="231"/>
      <c r="C190" s="106"/>
      <c r="D190" s="223"/>
      <c r="E190" s="85"/>
      <c r="F190" s="238"/>
      <c r="G190" s="523">
        <v>44805.0</v>
      </c>
      <c r="H190" s="36">
        <f t="shared" si="1"/>
        <v>0</v>
      </c>
      <c r="I190" s="37">
        <f t="shared" si="2"/>
        <v>0</v>
      </c>
      <c r="J190" s="38">
        <f t="shared" si="3"/>
        <v>0</v>
      </c>
      <c r="K190" s="39">
        <f t="shared" si="4"/>
        <v>0</v>
      </c>
      <c r="L190" s="38">
        <f t="shared" si="5"/>
        <v>0</v>
      </c>
      <c r="M190" s="39">
        <f t="shared" si="6"/>
        <v>0</v>
      </c>
      <c r="N190" s="40"/>
      <c r="O190" s="34"/>
      <c r="P190" s="35"/>
      <c r="Q190" s="35"/>
      <c r="R190" s="35"/>
      <c r="S190" s="35"/>
      <c r="T190" s="35"/>
      <c r="U190" s="35"/>
      <c r="V190" s="35"/>
      <c r="W190" s="35"/>
      <c r="X190" s="35"/>
      <c r="Y190" s="35"/>
    </row>
    <row r="191" ht="14.25" customHeight="1">
      <c r="A191" s="221"/>
      <c r="B191" s="231"/>
      <c r="C191" s="106"/>
      <c r="D191" s="223"/>
      <c r="E191" s="85"/>
      <c r="F191" s="238"/>
      <c r="G191" s="506">
        <v>44805.0</v>
      </c>
      <c r="H191" s="36">
        <f t="shared" si="1"/>
        <v>0</v>
      </c>
      <c r="I191" s="37">
        <f t="shared" si="2"/>
        <v>0</v>
      </c>
      <c r="J191" s="38">
        <f t="shared" si="3"/>
        <v>0</v>
      </c>
      <c r="K191" s="39">
        <f t="shared" si="4"/>
        <v>0</v>
      </c>
      <c r="L191" s="38">
        <f t="shared" si="5"/>
        <v>0</v>
      </c>
      <c r="M191" s="39">
        <f t="shared" si="6"/>
        <v>0</v>
      </c>
      <c r="N191" s="40"/>
      <c r="O191" s="34"/>
      <c r="P191" s="35"/>
      <c r="Q191" s="35"/>
      <c r="R191" s="35"/>
      <c r="S191" s="35"/>
      <c r="T191" s="35"/>
      <c r="U191" s="35"/>
      <c r="V191" s="35"/>
      <c r="W191" s="35"/>
      <c r="X191" s="35"/>
      <c r="Y191" s="35"/>
    </row>
    <row r="192" ht="14.25" customHeight="1">
      <c r="A192" s="221"/>
      <c r="B192" s="231"/>
      <c r="C192" s="106"/>
      <c r="D192" s="223"/>
      <c r="E192" s="85"/>
      <c r="F192" s="238"/>
      <c r="G192" s="523">
        <v>44805.0</v>
      </c>
      <c r="H192" s="36">
        <f t="shared" si="1"/>
        <v>0</v>
      </c>
      <c r="I192" s="37">
        <f t="shared" si="2"/>
        <v>0</v>
      </c>
      <c r="J192" s="38">
        <f t="shared" si="3"/>
        <v>0</v>
      </c>
      <c r="K192" s="39">
        <f t="shared" si="4"/>
        <v>0</v>
      </c>
      <c r="L192" s="38">
        <f t="shared" si="5"/>
        <v>0</v>
      </c>
      <c r="M192" s="39">
        <f t="shared" si="6"/>
        <v>0</v>
      </c>
      <c r="N192" s="40"/>
      <c r="O192" s="34"/>
      <c r="P192" s="35"/>
      <c r="Q192" s="35"/>
      <c r="R192" s="35"/>
      <c r="S192" s="35"/>
      <c r="T192" s="35"/>
      <c r="U192" s="35"/>
      <c r="V192" s="35"/>
      <c r="W192" s="35"/>
      <c r="X192" s="35"/>
      <c r="Y192" s="35"/>
    </row>
    <row r="193" ht="14.25" customHeight="1">
      <c r="A193" s="221"/>
      <c r="B193" s="231"/>
      <c r="C193" s="108"/>
      <c r="D193" s="525"/>
      <c r="E193" s="85"/>
      <c r="F193" s="238"/>
      <c r="G193" s="506">
        <v>44805.0</v>
      </c>
      <c r="H193" s="36">
        <f t="shared" si="1"/>
        <v>0</v>
      </c>
      <c r="I193" s="37">
        <f t="shared" si="2"/>
        <v>0</v>
      </c>
      <c r="J193" s="38">
        <f t="shared" si="3"/>
        <v>0</v>
      </c>
      <c r="K193" s="39">
        <f t="shared" si="4"/>
        <v>0</v>
      </c>
      <c r="L193" s="38">
        <f t="shared" si="5"/>
        <v>0</v>
      </c>
      <c r="M193" s="39">
        <f t="shared" si="6"/>
        <v>0</v>
      </c>
      <c r="N193" s="40"/>
      <c r="O193" s="34"/>
      <c r="P193" s="35"/>
      <c r="Q193" s="35"/>
      <c r="R193" s="35"/>
      <c r="S193" s="35"/>
      <c r="T193" s="35"/>
      <c r="U193" s="35"/>
      <c r="V193" s="35"/>
      <c r="W193" s="35"/>
      <c r="X193" s="35"/>
      <c r="Y193" s="35"/>
    </row>
    <row r="194" ht="14.25" customHeight="1">
      <c r="A194" s="221"/>
      <c r="B194" s="231"/>
      <c r="C194" s="108"/>
      <c r="D194" s="525"/>
      <c r="E194" s="85"/>
      <c r="F194" s="238"/>
      <c r="G194" s="523">
        <v>44805.0</v>
      </c>
      <c r="H194" s="36">
        <f t="shared" si="1"/>
        <v>0</v>
      </c>
      <c r="I194" s="37">
        <f t="shared" si="2"/>
        <v>0</v>
      </c>
      <c r="J194" s="38">
        <f t="shared" si="3"/>
        <v>0</v>
      </c>
      <c r="K194" s="39">
        <f t="shared" si="4"/>
        <v>0</v>
      </c>
      <c r="L194" s="38">
        <f t="shared" si="5"/>
        <v>0</v>
      </c>
      <c r="M194" s="39">
        <f t="shared" si="6"/>
        <v>0</v>
      </c>
      <c r="N194" s="40"/>
      <c r="O194" s="34"/>
      <c r="P194" s="35"/>
      <c r="Q194" s="35"/>
      <c r="R194" s="35"/>
      <c r="S194" s="35"/>
      <c r="T194" s="35"/>
      <c r="U194" s="35"/>
      <c r="V194" s="35"/>
      <c r="W194" s="35"/>
      <c r="X194" s="35"/>
      <c r="Y194" s="35"/>
    </row>
    <row r="195" ht="14.25" customHeight="1">
      <c r="A195" s="221"/>
      <c r="B195" s="231"/>
      <c r="C195" s="106"/>
      <c r="D195" s="223"/>
      <c r="E195" s="85"/>
      <c r="F195" s="238"/>
      <c r="G195" s="506">
        <v>44805.0</v>
      </c>
      <c r="H195" s="36">
        <f t="shared" si="1"/>
        <v>0</v>
      </c>
      <c r="I195" s="37">
        <f t="shared" si="2"/>
        <v>0</v>
      </c>
      <c r="J195" s="38">
        <f t="shared" si="3"/>
        <v>0</v>
      </c>
      <c r="K195" s="39">
        <f t="shared" si="4"/>
        <v>0</v>
      </c>
      <c r="L195" s="38">
        <f t="shared" si="5"/>
        <v>0</v>
      </c>
      <c r="M195" s="39">
        <f t="shared" si="6"/>
        <v>0</v>
      </c>
      <c r="N195" s="40"/>
      <c r="O195" s="34"/>
      <c r="P195" s="35"/>
      <c r="Q195" s="35"/>
      <c r="R195" s="35"/>
      <c r="S195" s="35"/>
      <c r="T195" s="35"/>
      <c r="U195" s="35"/>
      <c r="V195" s="35"/>
      <c r="W195" s="35"/>
      <c r="X195" s="35"/>
      <c r="Y195" s="35"/>
    </row>
    <row r="196" ht="14.25" customHeight="1">
      <c r="A196" s="221"/>
      <c r="B196" s="231"/>
      <c r="C196" s="106"/>
      <c r="D196" s="223"/>
      <c r="E196" s="85"/>
      <c r="F196" s="238"/>
      <c r="G196" s="523">
        <v>44805.0</v>
      </c>
      <c r="H196" s="36">
        <f t="shared" si="1"/>
        <v>0</v>
      </c>
      <c r="I196" s="37">
        <f t="shared" si="2"/>
        <v>0</v>
      </c>
      <c r="J196" s="38">
        <f t="shared" si="3"/>
        <v>0</v>
      </c>
      <c r="K196" s="39">
        <f t="shared" si="4"/>
        <v>0</v>
      </c>
      <c r="L196" s="38">
        <f t="shared" si="5"/>
        <v>0</v>
      </c>
      <c r="M196" s="39">
        <f t="shared" si="6"/>
        <v>0</v>
      </c>
      <c r="N196" s="40"/>
      <c r="O196" s="34"/>
      <c r="P196" s="35"/>
      <c r="Q196" s="35"/>
      <c r="R196" s="35"/>
      <c r="S196" s="35"/>
      <c r="T196" s="35"/>
      <c r="U196" s="35"/>
      <c r="V196" s="35"/>
      <c r="W196" s="35"/>
      <c r="X196" s="35"/>
      <c r="Y196" s="35"/>
    </row>
    <row r="197" ht="14.25" customHeight="1">
      <c r="A197" s="221"/>
      <c r="B197" s="231"/>
      <c r="C197" s="106"/>
      <c r="D197" s="223"/>
      <c r="E197" s="85"/>
      <c r="F197" s="238"/>
      <c r="G197" s="506">
        <v>44805.0</v>
      </c>
      <c r="H197" s="36">
        <f t="shared" si="1"/>
        <v>0</v>
      </c>
      <c r="I197" s="37">
        <f t="shared" si="2"/>
        <v>0</v>
      </c>
      <c r="J197" s="38">
        <f t="shared" si="3"/>
        <v>0</v>
      </c>
      <c r="K197" s="39">
        <f t="shared" si="4"/>
        <v>0</v>
      </c>
      <c r="L197" s="38">
        <f t="shared" si="5"/>
        <v>0</v>
      </c>
      <c r="M197" s="39">
        <f t="shared" si="6"/>
        <v>0</v>
      </c>
      <c r="N197" s="40"/>
      <c r="O197" s="34"/>
      <c r="P197" s="35"/>
      <c r="Q197" s="35"/>
      <c r="R197" s="35"/>
      <c r="S197" s="35"/>
      <c r="T197" s="35"/>
      <c r="U197" s="35"/>
      <c r="V197" s="35"/>
      <c r="W197" s="35"/>
      <c r="X197" s="35"/>
      <c r="Y197" s="35"/>
    </row>
    <row r="198" ht="14.25" customHeight="1">
      <c r="A198" s="221"/>
      <c r="B198" s="231"/>
      <c r="C198" s="106"/>
      <c r="D198" s="223"/>
      <c r="E198" s="85"/>
      <c r="F198" s="238"/>
      <c r="G198" s="523">
        <v>44805.0</v>
      </c>
      <c r="H198" s="36">
        <f t="shared" si="1"/>
        <v>0</v>
      </c>
      <c r="I198" s="37">
        <f t="shared" si="2"/>
        <v>0</v>
      </c>
      <c r="J198" s="38">
        <f t="shared" si="3"/>
        <v>0</v>
      </c>
      <c r="K198" s="39">
        <f t="shared" si="4"/>
        <v>0</v>
      </c>
      <c r="L198" s="38">
        <f t="shared" si="5"/>
        <v>0</v>
      </c>
      <c r="M198" s="39">
        <f t="shared" si="6"/>
        <v>0</v>
      </c>
      <c r="N198" s="40"/>
      <c r="O198" s="34"/>
      <c r="P198" s="35"/>
      <c r="Q198" s="35"/>
      <c r="R198" s="35"/>
      <c r="S198" s="35"/>
      <c r="T198" s="35"/>
      <c r="U198" s="35"/>
      <c r="V198" s="35"/>
      <c r="W198" s="35"/>
      <c r="X198" s="35"/>
      <c r="Y198" s="35"/>
    </row>
    <row r="199" ht="14.25" customHeight="1">
      <c r="A199" s="221"/>
      <c r="B199" s="231"/>
      <c r="C199" s="106"/>
      <c r="D199" s="223"/>
      <c r="E199" s="85"/>
      <c r="F199" s="238"/>
      <c r="G199" s="506">
        <v>44805.0</v>
      </c>
      <c r="H199" s="36">
        <f t="shared" si="1"/>
        <v>0</v>
      </c>
      <c r="I199" s="37">
        <f t="shared" si="2"/>
        <v>0</v>
      </c>
      <c r="J199" s="38">
        <f t="shared" si="3"/>
        <v>0</v>
      </c>
      <c r="K199" s="39">
        <f t="shared" si="4"/>
        <v>0</v>
      </c>
      <c r="L199" s="38">
        <f t="shared" si="5"/>
        <v>0</v>
      </c>
      <c r="M199" s="39">
        <f t="shared" si="6"/>
        <v>0</v>
      </c>
      <c r="N199" s="40"/>
      <c r="O199" s="34"/>
      <c r="P199" s="35"/>
      <c r="Q199" s="35"/>
      <c r="R199" s="35"/>
      <c r="S199" s="35"/>
      <c r="T199" s="35"/>
      <c r="U199" s="35"/>
      <c r="V199" s="35"/>
      <c r="W199" s="35"/>
      <c r="X199" s="35"/>
      <c r="Y199" s="35"/>
    </row>
    <row r="200" ht="14.25" customHeight="1">
      <c r="A200" s="221"/>
      <c r="B200" s="231"/>
      <c r="C200" s="108"/>
      <c r="D200" s="223"/>
      <c r="E200" s="85"/>
      <c r="F200" s="239"/>
      <c r="G200" s="523">
        <v>44805.0</v>
      </c>
      <c r="H200" s="36">
        <f t="shared" si="1"/>
        <v>0</v>
      </c>
      <c r="I200" s="37">
        <f t="shared" si="2"/>
        <v>0</v>
      </c>
      <c r="J200" s="38">
        <f t="shared" si="3"/>
        <v>0</v>
      </c>
      <c r="K200" s="39">
        <f t="shared" si="4"/>
        <v>0</v>
      </c>
      <c r="L200" s="38">
        <f t="shared" si="5"/>
        <v>0</v>
      </c>
      <c r="M200" s="39">
        <f t="shared" si="6"/>
        <v>0</v>
      </c>
      <c r="N200" s="40"/>
      <c r="O200" s="34"/>
      <c r="P200" s="35"/>
      <c r="Q200" s="35"/>
      <c r="R200" s="35"/>
      <c r="S200" s="35"/>
      <c r="T200" s="35"/>
      <c r="U200" s="35"/>
      <c r="V200" s="35"/>
      <c r="W200" s="35"/>
      <c r="X200" s="35"/>
      <c r="Y200" s="35"/>
    </row>
    <row r="201" ht="14.25" customHeight="1">
      <c r="A201" s="221"/>
      <c r="B201" s="231"/>
      <c r="C201" s="106"/>
      <c r="D201" s="240"/>
      <c r="E201" s="85"/>
      <c r="F201" s="238"/>
      <c r="G201" s="506">
        <v>44805.0</v>
      </c>
      <c r="H201" s="36">
        <f t="shared" si="1"/>
        <v>0</v>
      </c>
      <c r="I201" s="37">
        <f t="shared" si="2"/>
        <v>0</v>
      </c>
      <c r="J201" s="38">
        <f t="shared" si="3"/>
        <v>0</v>
      </c>
      <c r="K201" s="39">
        <f t="shared" si="4"/>
        <v>0</v>
      </c>
      <c r="L201" s="38">
        <f t="shared" si="5"/>
        <v>0</v>
      </c>
      <c r="M201" s="39">
        <f t="shared" si="6"/>
        <v>0</v>
      </c>
      <c r="N201" s="40"/>
      <c r="O201" s="34"/>
      <c r="P201" s="35"/>
      <c r="Q201" s="35"/>
      <c r="R201" s="35"/>
      <c r="S201" s="35"/>
      <c r="T201" s="35"/>
      <c r="U201" s="35"/>
      <c r="V201" s="35"/>
      <c r="W201" s="35"/>
      <c r="X201" s="35"/>
      <c r="Y201" s="35"/>
    </row>
    <row r="202" ht="14.25" customHeight="1">
      <c r="A202" s="221"/>
      <c r="B202" s="231"/>
      <c r="C202" s="106"/>
      <c r="D202" s="240"/>
      <c r="E202" s="85"/>
      <c r="F202" s="238"/>
      <c r="G202" s="523">
        <v>44805.0</v>
      </c>
      <c r="H202" s="36">
        <f t="shared" si="1"/>
        <v>0</v>
      </c>
      <c r="I202" s="37">
        <f t="shared" si="2"/>
        <v>0</v>
      </c>
      <c r="J202" s="38">
        <f t="shared" si="3"/>
        <v>0</v>
      </c>
      <c r="K202" s="39">
        <f t="shared" si="4"/>
        <v>0</v>
      </c>
      <c r="L202" s="38">
        <f t="shared" si="5"/>
        <v>0</v>
      </c>
      <c r="M202" s="39">
        <f t="shared" si="6"/>
        <v>0</v>
      </c>
      <c r="N202" s="40"/>
      <c r="O202" s="34"/>
      <c r="P202" s="35"/>
      <c r="Q202" s="35"/>
      <c r="R202" s="35"/>
      <c r="S202" s="35"/>
      <c r="T202" s="35"/>
      <c r="U202" s="35"/>
      <c r="V202" s="35"/>
      <c r="W202" s="35"/>
      <c r="X202" s="35"/>
      <c r="Y202" s="35"/>
    </row>
    <row r="203" ht="14.25" customHeight="1">
      <c r="A203" s="221"/>
      <c r="B203" s="231"/>
      <c r="C203" s="106"/>
      <c r="D203" s="525"/>
      <c r="E203" s="110"/>
      <c r="F203" s="238"/>
      <c r="G203" s="506">
        <v>44805.0</v>
      </c>
      <c r="H203" s="36">
        <f t="shared" si="1"/>
        <v>0</v>
      </c>
      <c r="I203" s="37">
        <f t="shared" si="2"/>
        <v>0</v>
      </c>
      <c r="J203" s="38">
        <f t="shared" si="3"/>
        <v>0</v>
      </c>
      <c r="K203" s="39">
        <f t="shared" si="4"/>
        <v>0</v>
      </c>
      <c r="L203" s="38">
        <f t="shared" si="5"/>
        <v>0</v>
      </c>
      <c r="M203" s="39">
        <f t="shared" si="6"/>
        <v>0</v>
      </c>
      <c r="N203" s="40"/>
      <c r="O203" s="34"/>
      <c r="P203" s="35"/>
      <c r="Q203" s="35"/>
      <c r="R203" s="35"/>
      <c r="S203" s="35"/>
      <c r="T203" s="35"/>
      <c r="U203" s="35"/>
      <c r="V203" s="35"/>
      <c r="W203" s="35"/>
      <c r="X203" s="35"/>
      <c r="Y203" s="35"/>
    </row>
    <row r="204" ht="14.25" customHeight="1">
      <c r="A204" s="221"/>
      <c r="B204" s="231"/>
      <c r="C204" s="108"/>
      <c r="D204" s="525"/>
      <c r="E204" s="85"/>
      <c r="F204" s="238"/>
      <c r="G204" s="523">
        <v>44805.0</v>
      </c>
      <c r="H204" s="36">
        <f t="shared" si="1"/>
        <v>0</v>
      </c>
      <c r="I204" s="37">
        <f t="shared" si="2"/>
        <v>0</v>
      </c>
      <c r="J204" s="38">
        <f t="shared" si="3"/>
        <v>0</v>
      </c>
      <c r="K204" s="39">
        <f t="shared" si="4"/>
        <v>0</v>
      </c>
      <c r="L204" s="38">
        <f t="shared" si="5"/>
        <v>0</v>
      </c>
      <c r="M204" s="39">
        <f t="shared" si="6"/>
        <v>0</v>
      </c>
      <c r="N204" s="40"/>
      <c r="O204" s="34"/>
      <c r="P204" s="35"/>
      <c r="Q204" s="35"/>
      <c r="R204" s="35"/>
      <c r="S204" s="35"/>
      <c r="T204" s="35"/>
      <c r="U204" s="35"/>
      <c r="V204" s="35"/>
      <c r="W204" s="35"/>
      <c r="X204" s="35"/>
      <c r="Y204" s="35"/>
    </row>
    <row r="205" ht="14.25" customHeight="1">
      <c r="A205" s="221"/>
      <c r="B205" s="231"/>
      <c r="C205" s="108"/>
      <c r="D205" s="525"/>
      <c r="E205" s="85"/>
      <c r="F205" s="238"/>
      <c r="G205" s="506">
        <v>44805.0</v>
      </c>
      <c r="H205" s="36">
        <f t="shared" si="1"/>
        <v>0</v>
      </c>
      <c r="I205" s="37">
        <f t="shared" si="2"/>
        <v>0</v>
      </c>
      <c r="J205" s="38">
        <f t="shared" si="3"/>
        <v>0</v>
      </c>
      <c r="K205" s="39">
        <f t="shared" si="4"/>
        <v>0</v>
      </c>
      <c r="L205" s="38">
        <f t="shared" si="5"/>
        <v>0</v>
      </c>
      <c r="M205" s="39">
        <f t="shared" si="6"/>
        <v>0</v>
      </c>
      <c r="N205" s="40"/>
      <c r="O205" s="34"/>
      <c r="P205" s="35"/>
      <c r="Q205" s="35"/>
      <c r="R205" s="35"/>
      <c r="S205" s="35"/>
      <c r="T205" s="35"/>
      <c r="U205" s="35"/>
      <c r="V205" s="35"/>
      <c r="W205" s="35"/>
      <c r="X205" s="35"/>
      <c r="Y205" s="35"/>
    </row>
    <row r="206" ht="14.25" customHeight="1">
      <c r="A206" s="221"/>
      <c r="B206" s="231"/>
      <c r="C206" s="111"/>
      <c r="D206" s="241"/>
      <c r="E206" s="85"/>
      <c r="F206" s="242"/>
      <c r="G206" s="523">
        <v>44805.0</v>
      </c>
      <c r="H206" s="36">
        <f t="shared" si="1"/>
        <v>0</v>
      </c>
      <c r="I206" s="37">
        <f t="shared" si="2"/>
        <v>0</v>
      </c>
      <c r="J206" s="38">
        <f t="shared" si="3"/>
        <v>0</v>
      </c>
      <c r="K206" s="39">
        <f t="shared" si="4"/>
        <v>0</v>
      </c>
      <c r="L206" s="38">
        <f t="shared" si="5"/>
        <v>0</v>
      </c>
      <c r="M206" s="39">
        <f t="shared" si="6"/>
        <v>0</v>
      </c>
      <c r="N206" s="40"/>
      <c r="O206" s="34"/>
      <c r="P206" s="35"/>
      <c r="Q206" s="35"/>
      <c r="R206" s="35"/>
      <c r="S206" s="35"/>
      <c r="T206" s="35"/>
      <c r="U206" s="35"/>
      <c r="V206" s="35"/>
      <c r="W206" s="35"/>
      <c r="X206" s="35"/>
      <c r="Y206" s="35"/>
    </row>
    <row r="207" ht="14.25" customHeight="1">
      <c r="A207" s="221"/>
      <c r="B207" s="231"/>
      <c r="C207" s="111"/>
      <c r="D207" s="241"/>
      <c r="E207" s="85"/>
      <c r="F207" s="242"/>
      <c r="G207" s="506">
        <v>44805.0</v>
      </c>
      <c r="H207" s="36">
        <f t="shared" si="1"/>
        <v>0</v>
      </c>
      <c r="I207" s="37">
        <f t="shared" si="2"/>
        <v>0</v>
      </c>
      <c r="J207" s="38">
        <f t="shared" si="3"/>
        <v>0</v>
      </c>
      <c r="K207" s="39">
        <f t="shared" si="4"/>
        <v>0</v>
      </c>
      <c r="L207" s="38">
        <f t="shared" si="5"/>
        <v>0</v>
      </c>
      <c r="M207" s="39">
        <f t="shared" si="6"/>
        <v>0</v>
      </c>
      <c r="N207" s="40"/>
      <c r="O207" s="34"/>
      <c r="P207" s="35"/>
      <c r="Q207" s="35"/>
      <c r="R207" s="35"/>
      <c r="S207" s="35"/>
      <c r="T207" s="35"/>
      <c r="U207" s="35"/>
      <c r="V207" s="35"/>
      <c r="W207" s="35"/>
      <c r="X207" s="35"/>
      <c r="Y207" s="35"/>
    </row>
    <row r="208" ht="14.25" customHeight="1">
      <c r="A208" s="221"/>
      <c r="B208" s="231"/>
      <c r="C208" s="111"/>
      <c r="D208" s="241"/>
      <c r="E208" s="85"/>
      <c r="F208" s="242"/>
      <c r="G208" s="523">
        <v>44805.0</v>
      </c>
      <c r="H208" s="36">
        <f t="shared" si="1"/>
        <v>0</v>
      </c>
      <c r="I208" s="37">
        <f t="shared" si="2"/>
        <v>0</v>
      </c>
      <c r="J208" s="38">
        <f t="shared" si="3"/>
        <v>0</v>
      </c>
      <c r="K208" s="39">
        <f t="shared" si="4"/>
        <v>0</v>
      </c>
      <c r="L208" s="38">
        <f t="shared" si="5"/>
        <v>0</v>
      </c>
      <c r="M208" s="39">
        <f t="shared" si="6"/>
        <v>0</v>
      </c>
      <c r="N208" s="40"/>
      <c r="O208" s="34"/>
      <c r="P208" s="35"/>
      <c r="Q208" s="35"/>
      <c r="R208" s="35"/>
      <c r="S208" s="35"/>
      <c r="T208" s="35"/>
      <c r="U208" s="35"/>
      <c r="V208" s="35"/>
      <c r="W208" s="35"/>
      <c r="X208" s="35"/>
      <c r="Y208" s="35"/>
    </row>
    <row r="209" ht="14.25" customHeight="1">
      <c r="A209" s="221"/>
      <c r="B209" s="231"/>
      <c r="C209" s="111"/>
      <c r="D209" s="241"/>
      <c r="E209" s="85"/>
      <c r="F209" s="242"/>
      <c r="G209" s="506">
        <v>44805.0</v>
      </c>
      <c r="H209" s="36">
        <f t="shared" si="1"/>
        <v>0</v>
      </c>
      <c r="I209" s="37">
        <f t="shared" si="2"/>
        <v>0</v>
      </c>
      <c r="J209" s="38">
        <f t="shared" si="3"/>
        <v>0</v>
      </c>
      <c r="K209" s="39">
        <f t="shared" si="4"/>
        <v>0</v>
      </c>
      <c r="L209" s="38">
        <f t="shared" si="5"/>
        <v>0</v>
      </c>
      <c r="M209" s="39">
        <f t="shared" si="6"/>
        <v>0</v>
      </c>
      <c r="N209" s="40"/>
      <c r="O209" s="34"/>
      <c r="P209" s="35"/>
      <c r="Q209" s="35"/>
      <c r="R209" s="35"/>
      <c r="S209" s="35"/>
      <c r="T209" s="35"/>
      <c r="U209" s="35"/>
      <c r="V209" s="35"/>
      <c r="W209" s="35"/>
      <c r="X209" s="35"/>
      <c r="Y209" s="35"/>
    </row>
    <row r="210" ht="14.25" customHeight="1">
      <c r="A210" s="221"/>
      <c r="B210" s="231"/>
      <c r="C210" s="111"/>
      <c r="D210" s="241"/>
      <c r="E210" s="85"/>
      <c r="F210" s="242"/>
      <c r="G210" s="523">
        <v>44805.0</v>
      </c>
      <c r="H210" s="36">
        <f t="shared" si="1"/>
        <v>0</v>
      </c>
      <c r="I210" s="37">
        <f t="shared" si="2"/>
        <v>0</v>
      </c>
      <c r="J210" s="38">
        <f t="shared" si="3"/>
        <v>0</v>
      </c>
      <c r="K210" s="39">
        <f t="shared" si="4"/>
        <v>0</v>
      </c>
      <c r="L210" s="38">
        <f t="shared" si="5"/>
        <v>0</v>
      </c>
      <c r="M210" s="39">
        <f t="shared" si="6"/>
        <v>0</v>
      </c>
      <c r="N210" s="40"/>
      <c r="O210" s="34"/>
      <c r="P210" s="35"/>
      <c r="Q210" s="35"/>
      <c r="R210" s="35"/>
      <c r="S210" s="35"/>
      <c r="T210" s="35"/>
      <c r="U210" s="35"/>
      <c r="V210" s="35"/>
      <c r="W210" s="35"/>
      <c r="X210" s="35"/>
      <c r="Y210" s="35"/>
    </row>
    <row r="211" ht="14.25" customHeight="1">
      <c r="A211" s="221"/>
      <c r="B211" s="231"/>
      <c r="C211" s="111"/>
      <c r="D211" s="241"/>
      <c r="E211" s="85"/>
      <c r="F211" s="242"/>
      <c r="G211" s="506">
        <v>44805.0</v>
      </c>
      <c r="H211" s="36">
        <f t="shared" si="1"/>
        <v>0</v>
      </c>
      <c r="I211" s="37">
        <f t="shared" si="2"/>
        <v>0</v>
      </c>
      <c r="J211" s="38">
        <f t="shared" si="3"/>
        <v>0</v>
      </c>
      <c r="K211" s="39">
        <f t="shared" si="4"/>
        <v>0</v>
      </c>
      <c r="L211" s="38">
        <f t="shared" si="5"/>
        <v>0</v>
      </c>
      <c r="M211" s="39">
        <f t="shared" si="6"/>
        <v>0</v>
      </c>
      <c r="N211" s="40"/>
      <c r="O211" s="34"/>
      <c r="P211" s="35"/>
      <c r="Q211" s="35"/>
      <c r="R211" s="35"/>
      <c r="S211" s="35"/>
      <c r="T211" s="35"/>
      <c r="U211" s="35"/>
      <c r="V211" s="35"/>
      <c r="W211" s="35"/>
      <c r="X211" s="35"/>
      <c r="Y211" s="35"/>
    </row>
    <row r="212" ht="14.25" customHeight="1">
      <c r="A212" s="221"/>
      <c r="B212" s="231"/>
      <c r="C212" s="111"/>
      <c r="D212" s="241"/>
      <c r="E212" s="85"/>
      <c r="F212" s="242"/>
      <c r="G212" s="523">
        <v>44805.0</v>
      </c>
      <c r="H212" s="36">
        <f t="shared" si="1"/>
        <v>0</v>
      </c>
      <c r="I212" s="37">
        <f t="shared" si="2"/>
        <v>0</v>
      </c>
      <c r="J212" s="38">
        <f t="shared" si="3"/>
        <v>0</v>
      </c>
      <c r="K212" s="39">
        <f t="shared" si="4"/>
        <v>0</v>
      </c>
      <c r="L212" s="38">
        <f t="shared" si="5"/>
        <v>0</v>
      </c>
      <c r="M212" s="39">
        <f t="shared" si="6"/>
        <v>0</v>
      </c>
      <c r="N212" s="40"/>
      <c r="O212" s="34"/>
      <c r="P212" s="35"/>
      <c r="Q212" s="35"/>
      <c r="R212" s="35"/>
      <c r="S212" s="35"/>
      <c r="T212" s="35"/>
      <c r="U212" s="35"/>
      <c r="V212" s="35"/>
      <c r="W212" s="35"/>
      <c r="X212" s="35"/>
      <c r="Y212" s="35"/>
    </row>
    <row r="213" ht="14.25" customHeight="1">
      <c r="A213" s="221"/>
      <c r="B213" s="231"/>
      <c r="C213" s="111"/>
      <c r="D213" s="241"/>
      <c r="E213" s="85"/>
      <c r="F213" s="242"/>
      <c r="G213" s="506">
        <v>44805.0</v>
      </c>
      <c r="H213" s="36">
        <f t="shared" si="1"/>
        <v>0</v>
      </c>
      <c r="I213" s="37">
        <f t="shared" si="2"/>
        <v>0</v>
      </c>
      <c r="J213" s="38">
        <f t="shared" si="3"/>
        <v>0</v>
      </c>
      <c r="K213" s="39">
        <f t="shared" si="4"/>
        <v>0</v>
      </c>
      <c r="L213" s="38">
        <f t="shared" si="5"/>
        <v>0</v>
      </c>
      <c r="M213" s="39">
        <f t="shared" si="6"/>
        <v>0</v>
      </c>
      <c r="N213" s="40"/>
      <c r="O213" s="34"/>
      <c r="P213" s="35"/>
      <c r="Q213" s="35"/>
      <c r="R213" s="35"/>
      <c r="S213" s="35"/>
      <c r="T213" s="35"/>
      <c r="U213" s="35"/>
      <c r="V213" s="35"/>
      <c r="W213" s="35"/>
      <c r="X213" s="35"/>
      <c r="Y213" s="35"/>
    </row>
    <row r="214" ht="14.25" customHeight="1">
      <c r="A214" s="221"/>
      <c r="B214" s="231"/>
      <c r="C214" s="111"/>
      <c r="D214" s="241"/>
      <c r="E214" s="85"/>
      <c r="F214" s="242"/>
      <c r="G214" s="523">
        <v>44805.0</v>
      </c>
      <c r="H214" s="36">
        <f t="shared" si="1"/>
        <v>0</v>
      </c>
      <c r="I214" s="37">
        <f t="shared" si="2"/>
        <v>0</v>
      </c>
      <c r="J214" s="38">
        <f t="shared" si="3"/>
        <v>0</v>
      </c>
      <c r="K214" s="39">
        <f t="shared" si="4"/>
        <v>0</v>
      </c>
      <c r="L214" s="38">
        <f t="shared" si="5"/>
        <v>0</v>
      </c>
      <c r="M214" s="39">
        <f t="shared" si="6"/>
        <v>0</v>
      </c>
      <c r="N214" s="40"/>
      <c r="O214" s="34"/>
      <c r="P214" s="35"/>
      <c r="Q214" s="35"/>
      <c r="R214" s="35"/>
      <c r="S214" s="35"/>
      <c r="T214" s="35"/>
      <c r="U214" s="35"/>
      <c r="V214" s="35"/>
      <c r="W214" s="35"/>
      <c r="X214" s="35"/>
      <c r="Y214" s="35"/>
    </row>
    <row r="215" ht="14.25" customHeight="1">
      <c r="A215" s="221"/>
      <c r="B215" s="231"/>
      <c r="C215" s="111"/>
      <c r="D215" s="241"/>
      <c r="E215" s="85"/>
      <c r="F215" s="242"/>
      <c r="G215" s="506">
        <v>44805.0</v>
      </c>
      <c r="H215" s="36">
        <f t="shared" si="1"/>
        <v>0</v>
      </c>
      <c r="I215" s="37">
        <f t="shared" si="2"/>
        <v>0</v>
      </c>
      <c r="J215" s="38">
        <f t="shared" si="3"/>
        <v>0</v>
      </c>
      <c r="K215" s="39">
        <f t="shared" si="4"/>
        <v>0</v>
      </c>
      <c r="L215" s="38">
        <f t="shared" si="5"/>
        <v>0</v>
      </c>
      <c r="M215" s="39">
        <f t="shared" si="6"/>
        <v>0</v>
      </c>
      <c r="N215" s="40"/>
      <c r="O215" s="34"/>
      <c r="P215" s="35"/>
      <c r="Q215" s="35"/>
      <c r="R215" s="35"/>
      <c r="S215" s="35"/>
      <c r="T215" s="35"/>
      <c r="U215" s="35"/>
      <c r="V215" s="35"/>
      <c r="W215" s="35"/>
      <c r="X215" s="35"/>
      <c r="Y215" s="35"/>
    </row>
    <row r="216" ht="14.25" customHeight="1">
      <c r="A216" s="221"/>
      <c r="B216" s="231"/>
      <c r="C216" s="111"/>
      <c r="D216" s="241"/>
      <c r="E216" s="85"/>
      <c r="F216" s="242"/>
      <c r="G216" s="523">
        <v>44805.0</v>
      </c>
      <c r="H216" s="36">
        <f t="shared" si="1"/>
        <v>0</v>
      </c>
      <c r="I216" s="37">
        <f t="shared" si="2"/>
        <v>0</v>
      </c>
      <c r="J216" s="38">
        <f t="shared" si="3"/>
        <v>0</v>
      </c>
      <c r="K216" s="39">
        <f t="shared" si="4"/>
        <v>0</v>
      </c>
      <c r="L216" s="38">
        <f t="shared" si="5"/>
        <v>0</v>
      </c>
      <c r="M216" s="39">
        <f t="shared" si="6"/>
        <v>0</v>
      </c>
      <c r="N216" s="40"/>
      <c r="O216" s="34"/>
      <c r="P216" s="35"/>
      <c r="Q216" s="35"/>
      <c r="R216" s="35"/>
      <c r="S216" s="35"/>
      <c r="T216" s="35"/>
      <c r="U216" s="35"/>
      <c r="V216" s="35"/>
      <c r="W216" s="35"/>
      <c r="X216" s="35"/>
      <c r="Y216" s="35"/>
    </row>
    <row r="217" ht="14.25" customHeight="1">
      <c r="A217" s="221"/>
      <c r="B217" s="231"/>
      <c r="C217" s="113"/>
      <c r="D217" s="241"/>
      <c r="E217" s="85"/>
      <c r="F217" s="243"/>
      <c r="G217" s="506">
        <v>44805.0</v>
      </c>
      <c r="H217" s="36">
        <f t="shared" si="1"/>
        <v>0</v>
      </c>
      <c r="I217" s="37">
        <f t="shared" si="2"/>
        <v>0</v>
      </c>
      <c r="J217" s="38">
        <f t="shared" si="3"/>
        <v>0</v>
      </c>
      <c r="K217" s="39">
        <f t="shared" si="4"/>
        <v>0</v>
      </c>
      <c r="L217" s="38">
        <f t="shared" si="5"/>
        <v>0</v>
      </c>
      <c r="M217" s="39">
        <f t="shared" si="6"/>
        <v>0</v>
      </c>
      <c r="N217" s="40"/>
      <c r="O217" s="34"/>
      <c r="P217" s="35"/>
      <c r="Q217" s="35"/>
      <c r="R217" s="35"/>
      <c r="S217" s="35"/>
      <c r="T217" s="35"/>
      <c r="U217" s="35"/>
      <c r="V217" s="35"/>
      <c r="W217" s="35"/>
      <c r="X217" s="35"/>
      <c r="Y217" s="35"/>
    </row>
    <row r="218" ht="14.25" customHeight="1">
      <c r="A218" s="221"/>
      <c r="B218" s="231"/>
      <c r="C218" s="108"/>
      <c r="D218" s="241"/>
      <c r="E218" s="85"/>
      <c r="F218" s="242"/>
      <c r="G218" s="523">
        <v>44805.0</v>
      </c>
      <c r="H218" s="36">
        <f t="shared" si="1"/>
        <v>0</v>
      </c>
      <c r="I218" s="37">
        <f t="shared" si="2"/>
        <v>0</v>
      </c>
      <c r="J218" s="38">
        <f t="shared" si="3"/>
        <v>0</v>
      </c>
      <c r="K218" s="39">
        <f t="shared" si="4"/>
        <v>0</v>
      </c>
      <c r="L218" s="38">
        <f t="shared" si="5"/>
        <v>0</v>
      </c>
      <c r="M218" s="39">
        <f t="shared" si="6"/>
        <v>0</v>
      </c>
      <c r="N218" s="40"/>
      <c r="O218" s="34"/>
      <c r="P218" s="35"/>
      <c r="Q218" s="35"/>
      <c r="R218" s="35"/>
      <c r="S218" s="35"/>
      <c r="T218" s="35"/>
      <c r="U218" s="35"/>
      <c r="V218" s="35"/>
      <c r="W218" s="35"/>
      <c r="X218" s="35"/>
      <c r="Y218" s="35"/>
    </row>
    <row r="219" ht="14.25" customHeight="1">
      <c r="A219" s="221"/>
      <c r="B219" s="231"/>
      <c r="C219" s="108"/>
      <c r="D219" s="241"/>
      <c r="E219" s="101"/>
      <c r="F219" s="242"/>
      <c r="G219" s="506">
        <v>44805.0</v>
      </c>
      <c r="H219" s="36">
        <f t="shared" si="1"/>
        <v>0</v>
      </c>
      <c r="I219" s="37">
        <f t="shared" si="2"/>
        <v>0</v>
      </c>
      <c r="J219" s="38">
        <f t="shared" si="3"/>
        <v>0</v>
      </c>
      <c r="K219" s="39">
        <f t="shared" si="4"/>
        <v>0</v>
      </c>
      <c r="L219" s="38">
        <f t="shared" si="5"/>
        <v>0</v>
      </c>
      <c r="M219" s="39">
        <f t="shared" si="6"/>
        <v>0</v>
      </c>
      <c r="N219" s="40"/>
      <c r="O219" s="34"/>
      <c r="P219" s="35"/>
      <c r="Q219" s="35"/>
      <c r="R219" s="35"/>
      <c r="S219" s="35"/>
      <c r="T219" s="35"/>
      <c r="U219" s="35"/>
      <c r="V219" s="35"/>
      <c r="W219" s="35"/>
      <c r="X219" s="35"/>
      <c r="Y219" s="35"/>
    </row>
    <row r="220" ht="14.25" customHeight="1">
      <c r="A220" s="221"/>
      <c r="B220" s="231"/>
      <c r="C220" s="108"/>
      <c r="D220" s="241"/>
      <c r="E220" s="101"/>
      <c r="F220" s="242"/>
      <c r="G220" s="523">
        <v>44805.0</v>
      </c>
      <c r="H220" s="36">
        <f t="shared" si="1"/>
        <v>0</v>
      </c>
      <c r="I220" s="37">
        <f t="shared" si="2"/>
        <v>0</v>
      </c>
      <c r="J220" s="38">
        <f t="shared" si="3"/>
        <v>0</v>
      </c>
      <c r="K220" s="39">
        <f t="shared" si="4"/>
        <v>0</v>
      </c>
      <c r="L220" s="38">
        <f t="shared" si="5"/>
        <v>0</v>
      </c>
      <c r="M220" s="39">
        <f t="shared" si="6"/>
        <v>0</v>
      </c>
      <c r="N220" s="40"/>
      <c r="O220" s="34"/>
      <c r="P220" s="35"/>
      <c r="Q220" s="35"/>
      <c r="R220" s="35"/>
      <c r="S220" s="35"/>
      <c r="T220" s="35"/>
      <c r="U220" s="35"/>
      <c r="V220" s="35"/>
      <c r="W220" s="35"/>
      <c r="X220" s="35"/>
      <c r="Y220" s="35"/>
    </row>
    <row r="221" ht="14.25" customHeight="1">
      <c r="A221" s="221"/>
      <c r="B221" s="231"/>
      <c r="C221" s="108"/>
      <c r="D221" s="241"/>
      <c r="E221" s="101"/>
      <c r="F221" s="242"/>
      <c r="G221" s="506">
        <v>44805.0</v>
      </c>
      <c r="H221" s="36">
        <f t="shared" si="1"/>
        <v>0</v>
      </c>
      <c r="I221" s="37">
        <f t="shared" si="2"/>
        <v>0</v>
      </c>
      <c r="J221" s="38">
        <f t="shared" si="3"/>
        <v>0</v>
      </c>
      <c r="K221" s="39">
        <f t="shared" si="4"/>
        <v>0</v>
      </c>
      <c r="L221" s="38">
        <f t="shared" si="5"/>
        <v>0</v>
      </c>
      <c r="M221" s="39">
        <f t="shared" si="6"/>
        <v>0</v>
      </c>
      <c r="N221" s="40"/>
      <c r="O221" s="34"/>
      <c r="P221" s="35"/>
      <c r="Q221" s="35"/>
      <c r="R221" s="35"/>
      <c r="S221" s="35"/>
      <c r="T221" s="35"/>
      <c r="U221" s="35"/>
      <c r="V221" s="35"/>
      <c r="W221" s="35"/>
      <c r="X221" s="35"/>
      <c r="Y221" s="35"/>
    </row>
    <row r="222" ht="14.25" customHeight="1">
      <c r="A222" s="221"/>
      <c r="B222" s="231"/>
      <c r="C222" s="108"/>
      <c r="D222" s="241"/>
      <c r="E222" s="101"/>
      <c r="F222" s="242"/>
      <c r="G222" s="523">
        <v>44805.0</v>
      </c>
      <c r="H222" s="36">
        <f t="shared" si="1"/>
        <v>0</v>
      </c>
      <c r="I222" s="37">
        <f t="shared" si="2"/>
        <v>0</v>
      </c>
      <c r="J222" s="38">
        <f t="shared" si="3"/>
        <v>0</v>
      </c>
      <c r="K222" s="39">
        <f t="shared" si="4"/>
        <v>0</v>
      </c>
      <c r="L222" s="38">
        <f t="shared" si="5"/>
        <v>0</v>
      </c>
      <c r="M222" s="39">
        <f t="shared" si="6"/>
        <v>0</v>
      </c>
      <c r="N222" s="40"/>
      <c r="O222" s="34"/>
      <c r="P222" s="35"/>
      <c r="Q222" s="35"/>
      <c r="R222" s="35"/>
      <c r="S222" s="35"/>
      <c r="T222" s="35"/>
      <c r="U222" s="35"/>
      <c r="V222" s="35"/>
      <c r="W222" s="35"/>
      <c r="X222" s="35"/>
      <c r="Y222" s="35"/>
    </row>
    <row r="223" ht="14.25" customHeight="1">
      <c r="A223" s="221"/>
      <c r="B223" s="231"/>
      <c r="C223" s="115"/>
      <c r="D223" s="237"/>
      <c r="E223" s="101"/>
      <c r="F223" s="243"/>
      <c r="G223" s="506">
        <v>44805.0</v>
      </c>
      <c r="H223" s="36">
        <f t="shared" si="1"/>
        <v>0</v>
      </c>
      <c r="I223" s="37">
        <f t="shared" si="2"/>
        <v>0</v>
      </c>
      <c r="J223" s="38">
        <f t="shared" si="3"/>
        <v>0</v>
      </c>
      <c r="K223" s="39">
        <f t="shared" si="4"/>
        <v>0</v>
      </c>
      <c r="L223" s="38">
        <f t="shared" si="5"/>
        <v>0</v>
      </c>
      <c r="M223" s="39">
        <f t="shared" si="6"/>
        <v>0</v>
      </c>
      <c r="N223" s="40"/>
      <c r="O223" s="34"/>
      <c r="P223" s="35"/>
      <c r="Q223" s="35"/>
      <c r="R223" s="35"/>
      <c r="S223" s="35"/>
      <c r="T223" s="35"/>
      <c r="U223" s="35"/>
      <c r="V223" s="35"/>
      <c r="W223" s="35"/>
      <c r="X223" s="35"/>
      <c r="Y223" s="35"/>
    </row>
    <row r="224" ht="14.25" customHeight="1">
      <c r="A224" s="221"/>
      <c r="B224" s="231"/>
      <c r="C224" s="113"/>
      <c r="D224" s="237"/>
      <c r="E224" s="101"/>
      <c r="F224" s="243"/>
      <c r="G224" s="523">
        <v>44805.0</v>
      </c>
      <c r="H224" s="36">
        <f t="shared" si="1"/>
        <v>0</v>
      </c>
      <c r="I224" s="37">
        <f t="shared" si="2"/>
        <v>0</v>
      </c>
      <c r="J224" s="38">
        <f t="shared" si="3"/>
        <v>0</v>
      </c>
      <c r="K224" s="39">
        <f t="shared" si="4"/>
        <v>0</v>
      </c>
      <c r="L224" s="38">
        <f t="shared" si="5"/>
        <v>0</v>
      </c>
      <c r="M224" s="39">
        <f t="shared" si="6"/>
        <v>0</v>
      </c>
      <c r="N224" s="40"/>
      <c r="O224" s="34"/>
      <c r="P224" s="35"/>
      <c r="Q224" s="35"/>
      <c r="R224" s="35"/>
      <c r="S224" s="35"/>
      <c r="T224" s="35"/>
      <c r="U224" s="35"/>
      <c r="V224" s="35"/>
      <c r="W224" s="35"/>
      <c r="X224" s="35"/>
      <c r="Y224" s="35"/>
    </row>
    <row r="225" ht="14.25" customHeight="1">
      <c r="A225" s="221"/>
      <c r="B225" s="231"/>
      <c r="C225" s="113"/>
      <c r="D225" s="237"/>
      <c r="E225" s="100"/>
      <c r="F225" s="243"/>
      <c r="G225" s="506">
        <v>44805.0</v>
      </c>
      <c r="H225" s="36">
        <f t="shared" si="1"/>
        <v>0</v>
      </c>
      <c r="I225" s="37">
        <f t="shared" si="2"/>
        <v>0</v>
      </c>
      <c r="J225" s="38">
        <f t="shared" si="3"/>
        <v>0</v>
      </c>
      <c r="K225" s="39">
        <f t="shared" si="4"/>
        <v>0</v>
      </c>
      <c r="L225" s="38">
        <f t="shared" si="5"/>
        <v>0</v>
      </c>
      <c r="M225" s="39">
        <f t="shared" si="6"/>
        <v>0</v>
      </c>
      <c r="N225" s="40"/>
      <c r="O225" s="34"/>
      <c r="P225" s="35"/>
      <c r="Q225" s="35"/>
      <c r="R225" s="35"/>
      <c r="S225" s="35"/>
      <c r="T225" s="35"/>
      <c r="U225" s="35"/>
      <c r="V225" s="35"/>
      <c r="W225" s="35"/>
      <c r="X225" s="35"/>
      <c r="Y225" s="35"/>
    </row>
    <row r="226" ht="14.25" customHeight="1">
      <c r="A226" s="221"/>
      <c r="B226" s="231"/>
      <c r="C226" s="111"/>
      <c r="D226" s="237"/>
      <c r="E226" s="101"/>
      <c r="F226" s="242"/>
      <c r="G226" s="523">
        <v>44805.0</v>
      </c>
      <c r="H226" s="36">
        <f t="shared" si="1"/>
        <v>0</v>
      </c>
      <c r="I226" s="37">
        <f t="shared" si="2"/>
        <v>0</v>
      </c>
      <c r="J226" s="38">
        <f t="shared" si="3"/>
        <v>0</v>
      </c>
      <c r="K226" s="39">
        <f t="shared" si="4"/>
        <v>0</v>
      </c>
      <c r="L226" s="38">
        <f t="shared" si="5"/>
        <v>0</v>
      </c>
      <c r="M226" s="39">
        <f t="shared" si="6"/>
        <v>0</v>
      </c>
      <c r="N226" s="40"/>
      <c r="O226" s="34"/>
      <c r="P226" s="35"/>
      <c r="Q226" s="35"/>
      <c r="R226" s="35"/>
      <c r="S226" s="35"/>
      <c r="T226" s="35"/>
      <c r="U226" s="35"/>
      <c r="V226" s="35"/>
      <c r="W226" s="35"/>
      <c r="X226" s="35"/>
      <c r="Y226" s="35"/>
    </row>
    <row r="227" ht="14.25" customHeight="1">
      <c r="A227" s="221"/>
      <c r="B227" s="231"/>
      <c r="C227" s="115"/>
      <c r="D227" s="237"/>
      <c r="E227" s="101"/>
      <c r="F227" s="243"/>
      <c r="G227" s="506">
        <v>44805.0</v>
      </c>
      <c r="H227" s="36">
        <f t="shared" si="1"/>
        <v>0</v>
      </c>
      <c r="I227" s="37">
        <f t="shared" si="2"/>
        <v>0</v>
      </c>
      <c r="J227" s="38">
        <f t="shared" si="3"/>
        <v>0</v>
      </c>
      <c r="K227" s="39">
        <f t="shared" si="4"/>
        <v>0</v>
      </c>
      <c r="L227" s="38">
        <f t="shared" si="5"/>
        <v>0</v>
      </c>
      <c r="M227" s="39">
        <f t="shared" si="6"/>
        <v>0</v>
      </c>
      <c r="N227" s="40"/>
      <c r="O227" s="34"/>
      <c r="P227" s="35"/>
      <c r="Q227" s="35"/>
      <c r="R227" s="35"/>
      <c r="S227" s="35"/>
      <c r="T227" s="35"/>
      <c r="U227" s="35"/>
      <c r="V227" s="35"/>
      <c r="W227" s="35"/>
      <c r="X227" s="35"/>
      <c r="Y227" s="35"/>
    </row>
    <row r="228" ht="14.25" customHeight="1">
      <c r="A228" s="221"/>
      <c r="B228" s="231"/>
      <c r="C228" s="113"/>
      <c r="D228" s="237"/>
      <c r="E228" s="101"/>
      <c r="F228" s="242"/>
      <c r="G228" s="523">
        <v>44805.0</v>
      </c>
      <c r="H228" s="36">
        <f t="shared" si="1"/>
        <v>0</v>
      </c>
      <c r="I228" s="37">
        <f t="shared" si="2"/>
        <v>0</v>
      </c>
      <c r="J228" s="38">
        <f t="shared" si="3"/>
        <v>0</v>
      </c>
      <c r="K228" s="39">
        <f t="shared" si="4"/>
        <v>0</v>
      </c>
      <c r="L228" s="38">
        <f t="shared" si="5"/>
        <v>0</v>
      </c>
      <c r="M228" s="39">
        <f t="shared" si="6"/>
        <v>0</v>
      </c>
      <c r="N228" s="40"/>
      <c r="O228" s="34"/>
      <c r="P228" s="35"/>
      <c r="Q228" s="35"/>
      <c r="R228" s="35"/>
      <c r="S228" s="35"/>
      <c r="T228" s="35"/>
      <c r="U228" s="35"/>
      <c r="V228" s="35"/>
      <c r="W228" s="35"/>
      <c r="X228" s="35"/>
      <c r="Y228" s="35"/>
    </row>
    <row r="229" ht="14.25" customHeight="1">
      <c r="A229" s="221"/>
      <c r="B229" s="231"/>
      <c r="C229" s="113"/>
      <c r="D229" s="237"/>
      <c r="E229" s="101"/>
      <c r="F229" s="243"/>
      <c r="G229" s="506">
        <v>44805.0</v>
      </c>
      <c r="H229" s="36">
        <f t="shared" si="1"/>
        <v>0</v>
      </c>
      <c r="I229" s="37">
        <f t="shared" si="2"/>
        <v>0</v>
      </c>
      <c r="J229" s="38">
        <f t="shared" si="3"/>
        <v>0</v>
      </c>
      <c r="K229" s="39">
        <f t="shared" si="4"/>
        <v>0</v>
      </c>
      <c r="L229" s="38">
        <f t="shared" si="5"/>
        <v>0</v>
      </c>
      <c r="M229" s="39">
        <f t="shared" si="6"/>
        <v>0</v>
      </c>
      <c r="N229" s="40"/>
      <c r="O229" s="34"/>
      <c r="P229" s="35"/>
      <c r="Q229" s="35"/>
      <c r="R229" s="35"/>
      <c r="S229" s="35"/>
      <c r="T229" s="35"/>
      <c r="U229" s="35"/>
      <c r="V229" s="35"/>
      <c r="W229" s="35"/>
      <c r="X229" s="35"/>
      <c r="Y229" s="35"/>
    </row>
    <row r="230" ht="14.25" customHeight="1">
      <c r="A230" s="221"/>
      <c r="B230" s="231"/>
      <c r="C230" s="108"/>
      <c r="D230" s="237"/>
      <c r="E230" s="101"/>
      <c r="F230" s="238"/>
      <c r="G230" s="523">
        <v>44805.0</v>
      </c>
      <c r="H230" s="36">
        <f t="shared" si="1"/>
        <v>0</v>
      </c>
      <c r="I230" s="37">
        <f t="shared" si="2"/>
        <v>0</v>
      </c>
      <c r="J230" s="38">
        <f t="shared" si="3"/>
        <v>0</v>
      </c>
      <c r="K230" s="39">
        <f t="shared" si="4"/>
        <v>0</v>
      </c>
      <c r="L230" s="38">
        <f t="shared" si="5"/>
        <v>0</v>
      </c>
      <c r="M230" s="39">
        <f t="shared" si="6"/>
        <v>0</v>
      </c>
      <c r="N230" s="40"/>
      <c r="O230" s="34"/>
      <c r="P230" s="35"/>
      <c r="Q230" s="35"/>
      <c r="R230" s="35"/>
      <c r="S230" s="35"/>
      <c r="T230" s="35"/>
      <c r="U230" s="35"/>
      <c r="V230" s="35"/>
      <c r="W230" s="35"/>
      <c r="X230" s="35"/>
      <c r="Y230" s="35"/>
    </row>
    <row r="231" ht="14.25" customHeight="1">
      <c r="A231" s="221"/>
      <c r="B231" s="231"/>
      <c r="C231" s="108"/>
      <c r="D231" s="237"/>
      <c r="E231" s="101"/>
      <c r="F231" s="243"/>
      <c r="G231" s="506">
        <v>44805.0</v>
      </c>
      <c r="H231" s="36">
        <f t="shared" si="1"/>
        <v>0</v>
      </c>
      <c r="I231" s="37">
        <f t="shared" si="2"/>
        <v>0</v>
      </c>
      <c r="J231" s="38">
        <f t="shared" si="3"/>
        <v>0</v>
      </c>
      <c r="K231" s="39">
        <f t="shared" si="4"/>
        <v>0</v>
      </c>
      <c r="L231" s="38">
        <f t="shared" si="5"/>
        <v>0</v>
      </c>
      <c r="M231" s="39">
        <f t="shared" si="6"/>
        <v>0</v>
      </c>
      <c r="N231" s="40"/>
      <c r="O231" s="34"/>
      <c r="P231" s="35"/>
      <c r="Q231" s="35"/>
      <c r="R231" s="35"/>
      <c r="S231" s="35"/>
      <c r="T231" s="35"/>
      <c r="U231" s="35"/>
      <c r="V231" s="35"/>
      <c r="W231" s="35"/>
      <c r="X231" s="35"/>
      <c r="Y231" s="35"/>
    </row>
    <row r="232" ht="14.25" customHeight="1">
      <c r="A232" s="221"/>
      <c r="B232" s="231"/>
      <c r="C232" s="113"/>
      <c r="D232" s="237"/>
      <c r="E232" s="101"/>
      <c r="F232" s="242"/>
      <c r="G232" s="523">
        <v>44805.0</v>
      </c>
      <c r="H232" s="36">
        <f t="shared" si="1"/>
        <v>0</v>
      </c>
      <c r="I232" s="37">
        <f t="shared" si="2"/>
        <v>0</v>
      </c>
      <c r="J232" s="38">
        <f t="shared" si="3"/>
        <v>0</v>
      </c>
      <c r="K232" s="39">
        <f t="shared" si="4"/>
        <v>0</v>
      </c>
      <c r="L232" s="38">
        <f t="shared" si="5"/>
        <v>0</v>
      </c>
      <c r="M232" s="39">
        <f t="shared" si="6"/>
        <v>0</v>
      </c>
      <c r="N232" s="40"/>
      <c r="O232" s="34"/>
      <c r="P232" s="35"/>
      <c r="Q232" s="35"/>
      <c r="R232" s="35"/>
      <c r="S232" s="35"/>
      <c r="T232" s="35"/>
      <c r="U232" s="35"/>
      <c r="V232" s="35"/>
      <c r="W232" s="35"/>
      <c r="X232" s="35"/>
      <c r="Y232" s="35"/>
    </row>
    <row r="233" ht="14.25" customHeight="1">
      <c r="A233" s="221"/>
      <c r="B233" s="231"/>
      <c r="C233" s="108"/>
      <c r="D233" s="241"/>
      <c r="E233" s="101"/>
      <c r="F233" s="242"/>
      <c r="G233" s="506">
        <v>44805.0</v>
      </c>
      <c r="H233" s="36">
        <f t="shared" si="1"/>
        <v>0</v>
      </c>
      <c r="I233" s="37">
        <f t="shared" si="2"/>
        <v>0</v>
      </c>
      <c r="J233" s="38">
        <f t="shared" si="3"/>
        <v>0</v>
      </c>
      <c r="K233" s="39">
        <f t="shared" si="4"/>
        <v>0</v>
      </c>
      <c r="L233" s="38">
        <f t="shared" si="5"/>
        <v>0</v>
      </c>
      <c r="M233" s="39">
        <f t="shared" si="6"/>
        <v>0</v>
      </c>
      <c r="N233" s="40"/>
      <c r="O233" s="34"/>
      <c r="P233" s="35"/>
      <c r="Q233" s="35"/>
      <c r="R233" s="35"/>
      <c r="S233" s="35"/>
      <c r="T233" s="35"/>
      <c r="U233" s="35"/>
      <c r="V233" s="35"/>
      <c r="W233" s="35"/>
      <c r="X233" s="35"/>
      <c r="Y233" s="35"/>
    </row>
    <row r="234" ht="14.25" customHeight="1">
      <c r="A234" s="221"/>
      <c r="B234" s="231"/>
      <c r="C234" s="108"/>
      <c r="D234" s="241"/>
      <c r="E234" s="101"/>
      <c r="F234" s="242"/>
      <c r="G234" s="523">
        <v>44805.0</v>
      </c>
      <c r="H234" s="36">
        <f t="shared" si="1"/>
        <v>0</v>
      </c>
      <c r="I234" s="37">
        <f t="shared" si="2"/>
        <v>0</v>
      </c>
      <c r="J234" s="38">
        <f t="shared" si="3"/>
        <v>0</v>
      </c>
      <c r="K234" s="39">
        <f t="shared" si="4"/>
        <v>0</v>
      </c>
      <c r="L234" s="38">
        <f t="shared" si="5"/>
        <v>0</v>
      </c>
      <c r="M234" s="39">
        <f t="shared" si="6"/>
        <v>0</v>
      </c>
      <c r="N234" s="40"/>
      <c r="O234" s="34"/>
      <c r="P234" s="35"/>
      <c r="Q234" s="35"/>
      <c r="R234" s="35"/>
      <c r="S234" s="35"/>
      <c r="T234" s="35"/>
      <c r="U234" s="35"/>
      <c r="V234" s="35"/>
      <c r="W234" s="35"/>
      <c r="X234" s="35"/>
      <c r="Y234" s="35"/>
    </row>
    <row r="235" ht="14.25" customHeight="1">
      <c r="A235" s="221"/>
      <c r="B235" s="231"/>
      <c r="C235" s="108"/>
      <c r="D235" s="241"/>
      <c r="E235" s="101"/>
      <c r="F235" s="242"/>
      <c r="G235" s="506">
        <v>44805.0</v>
      </c>
      <c r="H235" s="36">
        <f t="shared" si="1"/>
        <v>0</v>
      </c>
      <c r="I235" s="37">
        <f t="shared" si="2"/>
        <v>0</v>
      </c>
      <c r="J235" s="38">
        <f t="shared" si="3"/>
        <v>0</v>
      </c>
      <c r="K235" s="39">
        <f t="shared" si="4"/>
        <v>0</v>
      </c>
      <c r="L235" s="38">
        <f t="shared" si="5"/>
        <v>0</v>
      </c>
      <c r="M235" s="39">
        <f t="shared" si="6"/>
        <v>0</v>
      </c>
      <c r="N235" s="40"/>
      <c r="O235" s="34"/>
      <c r="P235" s="35"/>
      <c r="Q235" s="35"/>
      <c r="R235" s="35"/>
      <c r="S235" s="35"/>
      <c r="T235" s="35"/>
      <c r="U235" s="35"/>
      <c r="V235" s="35"/>
      <c r="W235" s="35"/>
      <c r="X235" s="35"/>
      <c r="Y235" s="35"/>
    </row>
    <row r="236" ht="14.25" customHeight="1">
      <c r="A236" s="221"/>
      <c r="B236" s="231"/>
      <c r="C236" s="116"/>
      <c r="D236" s="237"/>
      <c r="E236" s="117"/>
      <c r="F236" s="244"/>
      <c r="G236" s="523">
        <v>44805.0</v>
      </c>
      <c r="H236" s="36">
        <f t="shared" si="1"/>
        <v>0</v>
      </c>
      <c r="I236" s="37">
        <f t="shared" si="2"/>
        <v>0</v>
      </c>
      <c r="J236" s="38">
        <f t="shared" si="3"/>
        <v>0</v>
      </c>
      <c r="K236" s="39">
        <f t="shared" si="4"/>
        <v>0</v>
      </c>
      <c r="L236" s="38">
        <f t="shared" si="5"/>
        <v>0</v>
      </c>
      <c r="M236" s="39">
        <f t="shared" si="6"/>
        <v>0</v>
      </c>
      <c r="N236" s="40"/>
      <c r="O236" s="34"/>
      <c r="P236" s="35"/>
      <c r="Q236" s="35"/>
      <c r="R236" s="35"/>
      <c r="S236" s="35"/>
      <c r="T236" s="35"/>
      <c r="U236" s="35"/>
      <c r="V236" s="35"/>
      <c r="W236" s="35"/>
      <c r="X236" s="35"/>
      <c r="Y236" s="35"/>
    </row>
    <row r="237" ht="14.25" customHeight="1">
      <c r="A237" s="221"/>
      <c r="B237" s="231"/>
      <c r="C237" s="116"/>
      <c r="D237" s="237"/>
      <c r="E237" s="117"/>
      <c r="F237" s="244"/>
      <c r="G237" s="506">
        <v>44805.0</v>
      </c>
      <c r="H237" s="36">
        <f t="shared" si="1"/>
        <v>0</v>
      </c>
      <c r="I237" s="37">
        <f t="shared" si="2"/>
        <v>0</v>
      </c>
      <c r="J237" s="38">
        <f t="shared" si="3"/>
        <v>0</v>
      </c>
      <c r="K237" s="39">
        <f t="shared" si="4"/>
        <v>0</v>
      </c>
      <c r="L237" s="38">
        <f t="shared" si="5"/>
        <v>0</v>
      </c>
      <c r="M237" s="39">
        <f t="shared" si="6"/>
        <v>0</v>
      </c>
      <c r="N237" s="40"/>
      <c r="O237" s="34"/>
      <c r="P237" s="35"/>
      <c r="Q237" s="35"/>
      <c r="R237" s="35"/>
      <c r="S237" s="35"/>
      <c r="T237" s="35"/>
      <c r="U237" s="35"/>
      <c r="V237" s="35"/>
      <c r="W237" s="35"/>
      <c r="X237" s="35"/>
      <c r="Y237" s="35"/>
    </row>
    <row r="238" ht="14.25" customHeight="1">
      <c r="A238" s="221"/>
      <c r="B238" s="231"/>
      <c r="C238" s="116"/>
      <c r="D238" s="237"/>
      <c r="E238" s="117"/>
      <c r="F238" s="244"/>
      <c r="G238" s="523">
        <v>44805.0</v>
      </c>
      <c r="H238" s="36">
        <f t="shared" si="1"/>
        <v>0</v>
      </c>
      <c r="I238" s="37">
        <f t="shared" si="2"/>
        <v>0</v>
      </c>
      <c r="J238" s="38">
        <f t="shared" si="3"/>
        <v>0</v>
      </c>
      <c r="K238" s="39">
        <f t="shared" si="4"/>
        <v>0</v>
      </c>
      <c r="L238" s="38">
        <f t="shared" si="5"/>
        <v>0</v>
      </c>
      <c r="M238" s="39">
        <f t="shared" si="6"/>
        <v>0</v>
      </c>
      <c r="N238" s="40"/>
      <c r="O238" s="34"/>
      <c r="P238" s="35"/>
      <c r="Q238" s="35"/>
      <c r="R238" s="35"/>
      <c r="S238" s="35"/>
      <c r="T238" s="35"/>
      <c r="U238" s="35"/>
      <c r="V238" s="35"/>
      <c r="W238" s="35"/>
      <c r="X238" s="35"/>
      <c r="Y238" s="35"/>
    </row>
    <row r="239" ht="14.25" customHeight="1">
      <c r="A239" s="221"/>
      <c r="B239" s="231"/>
      <c r="C239" s="116"/>
      <c r="D239" s="237"/>
      <c r="E239" s="117"/>
      <c r="F239" s="244"/>
      <c r="G239" s="506">
        <v>44805.0</v>
      </c>
      <c r="H239" s="36">
        <f t="shared" si="1"/>
        <v>0</v>
      </c>
      <c r="I239" s="37">
        <f t="shared" si="2"/>
        <v>0</v>
      </c>
      <c r="J239" s="38">
        <f t="shared" si="3"/>
        <v>0</v>
      </c>
      <c r="K239" s="39">
        <f t="shared" si="4"/>
        <v>0</v>
      </c>
      <c r="L239" s="38">
        <f t="shared" si="5"/>
        <v>0</v>
      </c>
      <c r="M239" s="39">
        <f t="shared" si="6"/>
        <v>0</v>
      </c>
      <c r="N239" s="40"/>
      <c r="O239" s="34"/>
      <c r="P239" s="35"/>
      <c r="Q239" s="35"/>
      <c r="R239" s="35"/>
      <c r="S239" s="35"/>
      <c r="T239" s="35"/>
      <c r="U239" s="35"/>
      <c r="V239" s="35"/>
      <c r="W239" s="35"/>
      <c r="X239" s="35"/>
      <c r="Y239" s="35"/>
    </row>
    <row r="240" ht="14.25" customHeight="1">
      <c r="A240" s="221"/>
      <c r="B240" s="231"/>
      <c r="C240" s="116"/>
      <c r="D240" s="237"/>
      <c r="E240" s="117"/>
      <c r="F240" s="244"/>
      <c r="G240" s="523">
        <v>44805.0</v>
      </c>
      <c r="H240" s="36">
        <f t="shared" si="1"/>
        <v>0</v>
      </c>
      <c r="I240" s="37">
        <f t="shared" si="2"/>
        <v>0</v>
      </c>
      <c r="J240" s="38">
        <f t="shared" si="3"/>
        <v>0</v>
      </c>
      <c r="K240" s="39">
        <f t="shared" si="4"/>
        <v>0</v>
      </c>
      <c r="L240" s="38">
        <f t="shared" si="5"/>
        <v>0</v>
      </c>
      <c r="M240" s="39">
        <f t="shared" si="6"/>
        <v>0</v>
      </c>
      <c r="N240" s="40"/>
      <c r="O240" s="34"/>
      <c r="P240" s="35"/>
      <c r="Q240" s="35"/>
      <c r="R240" s="35"/>
      <c r="S240" s="35"/>
      <c r="T240" s="35"/>
      <c r="U240" s="35"/>
      <c r="V240" s="35"/>
      <c r="W240" s="35"/>
      <c r="X240" s="35"/>
      <c r="Y240" s="35"/>
    </row>
    <row r="241" ht="14.25" customHeight="1">
      <c r="A241" s="221"/>
      <c r="B241" s="231"/>
      <c r="C241" s="116"/>
      <c r="D241" s="237"/>
      <c r="E241" s="117"/>
      <c r="F241" s="244"/>
      <c r="G241" s="506">
        <v>44805.0</v>
      </c>
      <c r="H241" s="36">
        <f t="shared" si="1"/>
        <v>0</v>
      </c>
      <c r="I241" s="37">
        <f t="shared" si="2"/>
        <v>0</v>
      </c>
      <c r="J241" s="38">
        <f t="shared" si="3"/>
        <v>0</v>
      </c>
      <c r="K241" s="39">
        <f t="shared" si="4"/>
        <v>0</v>
      </c>
      <c r="L241" s="38">
        <f t="shared" si="5"/>
        <v>0</v>
      </c>
      <c r="M241" s="39">
        <f t="shared" si="6"/>
        <v>0</v>
      </c>
      <c r="N241" s="40"/>
      <c r="O241" s="34"/>
      <c r="P241" s="35"/>
      <c r="Q241" s="35"/>
      <c r="R241" s="35"/>
      <c r="S241" s="35"/>
      <c r="T241" s="35"/>
      <c r="U241" s="35"/>
      <c r="V241" s="35"/>
      <c r="W241" s="35"/>
      <c r="X241" s="35"/>
      <c r="Y241" s="35"/>
    </row>
    <row r="242" ht="14.25" customHeight="1">
      <c r="A242" s="221"/>
      <c r="B242" s="231"/>
      <c r="C242" s="116"/>
      <c r="D242" s="237"/>
      <c r="E242" s="117"/>
      <c r="F242" s="244"/>
      <c r="G242" s="523">
        <v>44805.0</v>
      </c>
      <c r="H242" s="36">
        <f t="shared" si="1"/>
        <v>0</v>
      </c>
      <c r="I242" s="37">
        <f t="shared" si="2"/>
        <v>0</v>
      </c>
      <c r="J242" s="38">
        <f t="shared" si="3"/>
        <v>0</v>
      </c>
      <c r="K242" s="39">
        <f t="shared" si="4"/>
        <v>0</v>
      </c>
      <c r="L242" s="38">
        <f t="shared" si="5"/>
        <v>0</v>
      </c>
      <c r="M242" s="39">
        <f t="shared" si="6"/>
        <v>0</v>
      </c>
      <c r="N242" s="40"/>
      <c r="O242" s="34"/>
      <c r="P242" s="35"/>
      <c r="Q242" s="35"/>
      <c r="R242" s="35"/>
      <c r="S242" s="35"/>
      <c r="T242" s="35"/>
      <c r="U242" s="35"/>
      <c r="V242" s="35"/>
      <c r="W242" s="35"/>
      <c r="X242" s="35"/>
      <c r="Y242" s="35"/>
    </row>
    <row r="243" ht="14.25" customHeight="1">
      <c r="A243" s="221"/>
      <c r="B243" s="231"/>
      <c r="C243" s="115"/>
      <c r="D243" s="237"/>
      <c r="E243" s="117"/>
      <c r="F243" s="244"/>
      <c r="G243" s="506">
        <v>44805.0</v>
      </c>
      <c r="H243" s="36">
        <f t="shared" si="1"/>
        <v>0</v>
      </c>
      <c r="I243" s="37">
        <f t="shared" si="2"/>
        <v>0</v>
      </c>
      <c r="J243" s="38">
        <f t="shared" si="3"/>
        <v>0</v>
      </c>
      <c r="K243" s="39">
        <f t="shared" si="4"/>
        <v>0</v>
      </c>
      <c r="L243" s="38">
        <f t="shared" si="5"/>
        <v>0</v>
      </c>
      <c r="M243" s="39">
        <f t="shared" si="6"/>
        <v>0</v>
      </c>
      <c r="N243" s="40"/>
      <c r="O243" s="34"/>
      <c r="P243" s="35"/>
      <c r="Q243" s="35"/>
      <c r="R243" s="35"/>
      <c r="S243" s="35"/>
      <c r="T243" s="35"/>
      <c r="U243" s="35"/>
      <c r="V243" s="35"/>
      <c r="W243" s="35"/>
      <c r="X243" s="35"/>
      <c r="Y243" s="35"/>
    </row>
    <row r="244" ht="14.25" customHeight="1">
      <c r="A244" s="221"/>
      <c r="B244" s="231"/>
      <c r="C244" s="108"/>
      <c r="D244" s="237"/>
      <c r="E244" s="117"/>
      <c r="F244" s="245"/>
      <c r="G244" s="523">
        <v>44805.0</v>
      </c>
      <c r="H244" s="36">
        <f t="shared" si="1"/>
        <v>0</v>
      </c>
      <c r="I244" s="37">
        <f t="shared" si="2"/>
        <v>0</v>
      </c>
      <c r="J244" s="38">
        <f t="shared" si="3"/>
        <v>0</v>
      </c>
      <c r="K244" s="39">
        <f t="shared" si="4"/>
        <v>0</v>
      </c>
      <c r="L244" s="38">
        <f t="shared" si="5"/>
        <v>0</v>
      </c>
      <c r="M244" s="39">
        <f t="shared" si="6"/>
        <v>0</v>
      </c>
      <c r="N244" s="40"/>
      <c r="O244" s="34"/>
      <c r="P244" s="35"/>
      <c r="Q244" s="35"/>
      <c r="R244" s="35"/>
      <c r="S244" s="35"/>
      <c r="T244" s="35"/>
      <c r="U244" s="35"/>
      <c r="V244" s="35"/>
      <c r="W244" s="35"/>
      <c r="X244" s="35"/>
      <c r="Y244" s="35"/>
    </row>
    <row r="245" ht="14.25" customHeight="1">
      <c r="A245" s="221"/>
      <c r="B245" s="231"/>
      <c r="C245" s="108"/>
      <c r="D245" s="237"/>
      <c r="E245" s="117"/>
      <c r="F245" s="245"/>
      <c r="G245" s="506">
        <v>44805.0</v>
      </c>
      <c r="H245" s="36">
        <f t="shared" si="1"/>
        <v>0</v>
      </c>
      <c r="I245" s="37">
        <f t="shared" si="2"/>
        <v>0</v>
      </c>
      <c r="J245" s="38">
        <f t="shared" si="3"/>
        <v>0</v>
      </c>
      <c r="K245" s="39">
        <f t="shared" si="4"/>
        <v>0</v>
      </c>
      <c r="L245" s="38">
        <f t="shared" si="5"/>
        <v>0</v>
      </c>
      <c r="M245" s="39">
        <f t="shared" si="6"/>
        <v>0</v>
      </c>
      <c r="N245" s="40"/>
      <c r="O245" s="34"/>
      <c r="P245" s="35"/>
      <c r="Q245" s="35"/>
      <c r="R245" s="35"/>
      <c r="S245" s="35"/>
      <c r="T245" s="35"/>
      <c r="U245" s="35"/>
      <c r="V245" s="35"/>
      <c r="W245" s="35"/>
      <c r="X245" s="35"/>
      <c r="Y245" s="35"/>
    </row>
    <row r="246" ht="14.25" customHeight="1">
      <c r="A246" s="221"/>
      <c r="B246" s="231"/>
      <c r="C246" s="108"/>
      <c r="D246" s="237"/>
      <c r="E246" s="117"/>
      <c r="F246" s="245"/>
      <c r="G246" s="523">
        <v>44805.0</v>
      </c>
      <c r="H246" s="36">
        <f t="shared" si="1"/>
        <v>0</v>
      </c>
      <c r="I246" s="37">
        <f t="shared" si="2"/>
        <v>0</v>
      </c>
      <c r="J246" s="38">
        <f t="shared" si="3"/>
        <v>0</v>
      </c>
      <c r="K246" s="39">
        <f t="shared" si="4"/>
        <v>0</v>
      </c>
      <c r="L246" s="38">
        <f t="shared" si="5"/>
        <v>0</v>
      </c>
      <c r="M246" s="39">
        <f t="shared" si="6"/>
        <v>0</v>
      </c>
      <c r="N246" s="40"/>
      <c r="O246" s="34"/>
      <c r="P246" s="35"/>
      <c r="Q246" s="35"/>
      <c r="R246" s="35"/>
      <c r="S246" s="35"/>
      <c r="T246" s="35"/>
      <c r="U246" s="35"/>
      <c r="V246" s="35"/>
      <c r="W246" s="35"/>
      <c r="X246" s="35"/>
      <c r="Y246" s="35"/>
    </row>
    <row r="247" ht="14.25" customHeight="1">
      <c r="A247" s="221"/>
      <c r="B247" s="231"/>
      <c r="C247" s="108"/>
      <c r="D247" s="223"/>
      <c r="E247" s="117"/>
      <c r="F247" s="245"/>
      <c r="G247" s="506">
        <v>44805.0</v>
      </c>
      <c r="H247" s="36">
        <f t="shared" si="1"/>
        <v>0</v>
      </c>
      <c r="I247" s="37">
        <f t="shared" si="2"/>
        <v>0</v>
      </c>
      <c r="J247" s="38">
        <f t="shared" si="3"/>
        <v>0</v>
      </c>
      <c r="K247" s="39">
        <f t="shared" si="4"/>
        <v>0</v>
      </c>
      <c r="L247" s="38">
        <f t="shared" si="5"/>
        <v>0</v>
      </c>
      <c r="M247" s="39">
        <f t="shared" si="6"/>
        <v>0</v>
      </c>
      <c r="N247" s="40"/>
      <c r="O247" s="34"/>
      <c r="P247" s="35"/>
      <c r="Q247" s="35"/>
      <c r="R247" s="35"/>
      <c r="S247" s="35"/>
      <c r="T247" s="35"/>
      <c r="U247" s="35"/>
      <c r="V247" s="35"/>
      <c r="W247" s="35"/>
      <c r="X247" s="35"/>
      <c r="Y247" s="35"/>
    </row>
    <row r="248" ht="14.25" customHeight="1">
      <c r="A248" s="221"/>
      <c r="B248" s="231"/>
      <c r="C248" s="108"/>
      <c r="D248" s="237"/>
      <c r="E248" s="117"/>
      <c r="F248" s="245"/>
      <c r="G248" s="523">
        <v>44805.0</v>
      </c>
      <c r="H248" s="36">
        <f t="shared" si="1"/>
        <v>0</v>
      </c>
      <c r="I248" s="37">
        <f t="shared" si="2"/>
        <v>0</v>
      </c>
      <c r="J248" s="38">
        <f t="shared" si="3"/>
        <v>0</v>
      </c>
      <c r="K248" s="39">
        <f t="shared" si="4"/>
        <v>0</v>
      </c>
      <c r="L248" s="38">
        <f t="shared" si="5"/>
        <v>0</v>
      </c>
      <c r="M248" s="39">
        <f t="shared" si="6"/>
        <v>0</v>
      </c>
      <c r="N248" s="40"/>
      <c r="O248" s="34"/>
      <c r="P248" s="35"/>
      <c r="Q248" s="35"/>
      <c r="R248" s="35"/>
      <c r="S248" s="35"/>
      <c r="T248" s="35"/>
      <c r="U248" s="35"/>
      <c r="V248" s="35"/>
      <c r="W248" s="35"/>
      <c r="X248" s="35"/>
      <c r="Y248" s="35"/>
    </row>
    <row r="249" ht="14.25" customHeight="1">
      <c r="A249" s="221"/>
      <c r="B249" s="231"/>
      <c r="C249" s="108"/>
      <c r="D249" s="237"/>
      <c r="E249" s="117"/>
      <c r="F249" s="245"/>
      <c r="G249" s="506">
        <v>44805.0</v>
      </c>
      <c r="H249" s="36">
        <f t="shared" si="1"/>
        <v>0</v>
      </c>
      <c r="I249" s="37">
        <f t="shared" si="2"/>
        <v>0</v>
      </c>
      <c r="J249" s="38">
        <f t="shared" si="3"/>
        <v>0</v>
      </c>
      <c r="K249" s="39">
        <f t="shared" si="4"/>
        <v>0</v>
      </c>
      <c r="L249" s="38">
        <f t="shared" si="5"/>
        <v>0</v>
      </c>
      <c r="M249" s="39">
        <f t="shared" si="6"/>
        <v>0</v>
      </c>
      <c r="N249" s="40"/>
      <c r="O249" s="34"/>
      <c r="P249" s="35"/>
      <c r="Q249" s="35"/>
      <c r="R249" s="35"/>
      <c r="S249" s="35"/>
      <c r="T249" s="35"/>
      <c r="U249" s="35"/>
      <c r="V249" s="35"/>
      <c r="W249" s="35"/>
      <c r="X249" s="35"/>
      <c r="Y249" s="35"/>
    </row>
    <row r="250" ht="14.25" customHeight="1">
      <c r="A250" s="221"/>
      <c r="B250" s="231"/>
      <c r="C250" s="108"/>
      <c r="D250" s="237"/>
      <c r="E250" s="117"/>
      <c r="F250" s="245"/>
      <c r="G250" s="523">
        <v>44805.0</v>
      </c>
      <c r="H250" s="36">
        <f t="shared" si="1"/>
        <v>0</v>
      </c>
      <c r="I250" s="37">
        <f t="shared" si="2"/>
        <v>0</v>
      </c>
      <c r="J250" s="38">
        <f t="shared" si="3"/>
        <v>0</v>
      </c>
      <c r="K250" s="39">
        <f t="shared" si="4"/>
        <v>0</v>
      </c>
      <c r="L250" s="38">
        <f t="shared" si="5"/>
        <v>0</v>
      </c>
      <c r="M250" s="39">
        <f t="shared" si="6"/>
        <v>0</v>
      </c>
      <c r="N250" s="40"/>
      <c r="O250" s="34"/>
      <c r="P250" s="35"/>
      <c r="Q250" s="35"/>
      <c r="R250" s="35"/>
      <c r="S250" s="35"/>
      <c r="T250" s="35"/>
      <c r="U250" s="35"/>
      <c r="V250" s="35"/>
      <c r="W250" s="35"/>
      <c r="X250" s="35"/>
      <c r="Y250" s="35"/>
    </row>
    <row r="251" ht="14.25" customHeight="1">
      <c r="A251" s="221"/>
      <c r="B251" s="231"/>
      <c r="C251" s="108"/>
      <c r="D251" s="237"/>
      <c r="E251" s="117"/>
      <c r="F251" s="245"/>
      <c r="G251" s="506">
        <v>44805.0</v>
      </c>
      <c r="H251" s="36">
        <f t="shared" si="1"/>
        <v>0</v>
      </c>
      <c r="I251" s="37">
        <f t="shared" si="2"/>
        <v>0</v>
      </c>
      <c r="J251" s="38">
        <f t="shared" si="3"/>
        <v>0</v>
      </c>
      <c r="K251" s="39">
        <f t="shared" si="4"/>
        <v>0</v>
      </c>
      <c r="L251" s="38">
        <f t="shared" si="5"/>
        <v>0</v>
      </c>
      <c r="M251" s="39">
        <f t="shared" si="6"/>
        <v>0</v>
      </c>
      <c r="N251" s="40"/>
      <c r="O251" s="34"/>
      <c r="P251" s="35"/>
      <c r="Q251" s="35"/>
      <c r="R251" s="35"/>
      <c r="S251" s="35"/>
      <c r="T251" s="35"/>
      <c r="U251" s="35"/>
      <c r="V251" s="35"/>
      <c r="W251" s="35"/>
      <c r="X251" s="35"/>
      <c r="Y251" s="35"/>
    </row>
    <row r="252" ht="14.25" customHeight="1">
      <c r="A252" s="221"/>
      <c r="B252" s="231"/>
      <c r="C252" s="108"/>
      <c r="D252" s="237"/>
      <c r="E252" s="117"/>
      <c r="F252" s="245"/>
      <c r="G252" s="523">
        <v>44805.0</v>
      </c>
      <c r="H252" s="36">
        <f t="shared" si="1"/>
        <v>0</v>
      </c>
      <c r="I252" s="37">
        <f t="shared" si="2"/>
        <v>0</v>
      </c>
      <c r="J252" s="38">
        <f t="shared" si="3"/>
        <v>0</v>
      </c>
      <c r="K252" s="39">
        <f t="shared" si="4"/>
        <v>0</v>
      </c>
      <c r="L252" s="38">
        <f t="shared" si="5"/>
        <v>0</v>
      </c>
      <c r="M252" s="39">
        <f t="shared" si="6"/>
        <v>0</v>
      </c>
      <c r="N252" s="40"/>
      <c r="O252" s="34"/>
      <c r="P252" s="35"/>
      <c r="Q252" s="35"/>
      <c r="R252" s="35"/>
      <c r="S252" s="35"/>
      <c r="T252" s="35"/>
      <c r="U252" s="35"/>
      <c r="V252" s="35"/>
      <c r="W252" s="35"/>
      <c r="X252" s="35"/>
      <c r="Y252" s="35"/>
    </row>
    <row r="253" ht="14.25" customHeight="1">
      <c r="A253" s="221"/>
      <c r="B253" s="231"/>
      <c r="C253" s="108"/>
      <c r="D253" s="237"/>
      <c r="E253" s="117"/>
      <c r="F253" s="245"/>
      <c r="G253" s="506">
        <v>44805.0</v>
      </c>
      <c r="H253" s="36">
        <f t="shared" si="1"/>
        <v>0</v>
      </c>
      <c r="I253" s="37">
        <f t="shared" si="2"/>
        <v>0</v>
      </c>
      <c r="J253" s="38">
        <f t="shared" si="3"/>
        <v>0</v>
      </c>
      <c r="K253" s="39">
        <f t="shared" si="4"/>
        <v>0</v>
      </c>
      <c r="L253" s="38">
        <f t="shared" si="5"/>
        <v>0</v>
      </c>
      <c r="M253" s="39">
        <f t="shared" si="6"/>
        <v>0</v>
      </c>
      <c r="N253" s="40"/>
      <c r="O253" s="34"/>
      <c r="P253" s="35"/>
      <c r="Q253" s="35"/>
      <c r="R253" s="35"/>
      <c r="S253" s="35"/>
      <c r="T253" s="35"/>
      <c r="U253" s="35"/>
      <c r="V253" s="35"/>
      <c r="W253" s="35"/>
      <c r="X253" s="35"/>
      <c r="Y253" s="35"/>
    </row>
    <row r="254" ht="14.25" customHeight="1">
      <c r="A254" s="221"/>
      <c r="B254" s="231"/>
      <c r="C254" s="108"/>
      <c r="D254" s="237"/>
      <c r="E254" s="117"/>
      <c r="F254" s="244"/>
      <c r="G254" s="523">
        <v>44805.0</v>
      </c>
      <c r="H254" s="36">
        <f t="shared" si="1"/>
        <v>0</v>
      </c>
      <c r="I254" s="37">
        <f t="shared" si="2"/>
        <v>0</v>
      </c>
      <c r="J254" s="38">
        <f t="shared" si="3"/>
        <v>0</v>
      </c>
      <c r="K254" s="39">
        <f t="shared" si="4"/>
        <v>0</v>
      </c>
      <c r="L254" s="38">
        <f t="shared" si="5"/>
        <v>0</v>
      </c>
      <c r="M254" s="39">
        <f t="shared" si="6"/>
        <v>0</v>
      </c>
      <c r="N254" s="40"/>
      <c r="O254" s="34"/>
      <c r="P254" s="35"/>
      <c r="Q254" s="35"/>
      <c r="R254" s="35"/>
      <c r="S254" s="35"/>
      <c r="T254" s="35"/>
      <c r="U254" s="35"/>
      <c r="V254" s="35"/>
      <c r="W254" s="35"/>
      <c r="X254" s="35"/>
      <c r="Y254" s="35"/>
    </row>
    <row r="255" ht="14.25" customHeight="1">
      <c r="A255" s="221"/>
      <c r="B255" s="231"/>
      <c r="C255" s="108"/>
      <c r="D255" s="223"/>
      <c r="E255" s="117"/>
      <c r="F255" s="246"/>
      <c r="G255" s="506">
        <v>44805.0</v>
      </c>
      <c r="H255" s="36">
        <f t="shared" si="1"/>
        <v>0</v>
      </c>
      <c r="I255" s="37">
        <f t="shared" si="2"/>
        <v>0</v>
      </c>
      <c r="J255" s="38">
        <f t="shared" si="3"/>
        <v>0</v>
      </c>
      <c r="K255" s="39">
        <f t="shared" si="4"/>
        <v>0</v>
      </c>
      <c r="L255" s="38">
        <f t="shared" si="5"/>
        <v>0</v>
      </c>
      <c r="M255" s="39">
        <f t="shared" si="6"/>
        <v>0</v>
      </c>
      <c r="N255" s="40"/>
      <c r="O255" s="34"/>
      <c r="P255" s="35"/>
      <c r="Q255" s="35"/>
      <c r="R255" s="35"/>
      <c r="S255" s="35"/>
      <c r="T255" s="35"/>
      <c r="U255" s="35"/>
      <c r="V255" s="35"/>
      <c r="W255" s="35"/>
      <c r="X255" s="35"/>
      <c r="Y255" s="35"/>
    </row>
    <row r="256" ht="14.25" customHeight="1">
      <c r="A256" s="221"/>
      <c r="B256" s="231"/>
      <c r="C256" s="108"/>
      <c r="D256" s="247"/>
      <c r="E256" s="117"/>
      <c r="F256" s="246"/>
      <c r="G256" s="523">
        <v>44805.0</v>
      </c>
      <c r="H256" s="36">
        <f t="shared" si="1"/>
        <v>0</v>
      </c>
      <c r="I256" s="37">
        <f t="shared" si="2"/>
        <v>0</v>
      </c>
      <c r="J256" s="38">
        <f t="shared" si="3"/>
        <v>0</v>
      </c>
      <c r="K256" s="39">
        <f t="shared" si="4"/>
        <v>0</v>
      </c>
      <c r="L256" s="38">
        <f t="shared" si="5"/>
        <v>0</v>
      </c>
      <c r="M256" s="39">
        <f t="shared" si="6"/>
        <v>0</v>
      </c>
      <c r="N256" s="40"/>
      <c r="O256" s="34"/>
      <c r="P256" s="35"/>
      <c r="Q256" s="35"/>
      <c r="R256" s="35"/>
      <c r="S256" s="35"/>
      <c r="T256" s="35"/>
      <c r="U256" s="35"/>
      <c r="V256" s="35"/>
      <c r="W256" s="35"/>
      <c r="X256" s="35"/>
      <c r="Y256" s="35"/>
    </row>
    <row r="257" ht="14.25" customHeight="1">
      <c r="A257" s="221"/>
      <c r="B257" s="231"/>
      <c r="C257" s="108"/>
      <c r="D257" s="223"/>
      <c r="E257" s="117"/>
      <c r="F257" s="246"/>
      <c r="G257" s="506">
        <v>44805.0</v>
      </c>
      <c r="H257" s="36">
        <f t="shared" si="1"/>
        <v>0</v>
      </c>
      <c r="I257" s="37">
        <f t="shared" si="2"/>
        <v>0</v>
      </c>
      <c r="J257" s="38">
        <f t="shared" si="3"/>
        <v>0</v>
      </c>
      <c r="K257" s="39">
        <f t="shared" si="4"/>
        <v>0</v>
      </c>
      <c r="L257" s="38">
        <f t="shared" si="5"/>
        <v>0</v>
      </c>
      <c r="M257" s="39">
        <f t="shared" si="6"/>
        <v>0</v>
      </c>
      <c r="N257" s="40"/>
      <c r="O257" s="34"/>
      <c r="P257" s="35"/>
      <c r="Q257" s="35"/>
      <c r="R257" s="35"/>
      <c r="S257" s="35"/>
      <c r="T257" s="35"/>
      <c r="U257" s="35"/>
      <c r="V257" s="35"/>
      <c r="W257" s="35"/>
      <c r="X257" s="35"/>
      <c r="Y257" s="35"/>
    </row>
    <row r="258" ht="14.25" customHeight="1">
      <c r="A258" s="221"/>
      <c r="B258" s="231"/>
      <c r="C258" s="108"/>
      <c r="D258" s="223"/>
      <c r="E258" s="117"/>
      <c r="F258" s="246"/>
      <c r="G258" s="523">
        <v>44805.0</v>
      </c>
      <c r="H258" s="36">
        <f t="shared" si="1"/>
        <v>0</v>
      </c>
      <c r="I258" s="37">
        <f t="shared" si="2"/>
        <v>0</v>
      </c>
      <c r="J258" s="38">
        <f t="shared" si="3"/>
        <v>0</v>
      </c>
      <c r="K258" s="39">
        <f t="shared" si="4"/>
        <v>0</v>
      </c>
      <c r="L258" s="38">
        <f t="shared" si="5"/>
        <v>0</v>
      </c>
      <c r="M258" s="39">
        <f t="shared" si="6"/>
        <v>0</v>
      </c>
      <c r="N258" s="40"/>
      <c r="O258" s="34"/>
      <c r="P258" s="35"/>
      <c r="Q258" s="35"/>
      <c r="R258" s="35"/>
      <c r="S258" s="35"/>
      <c r="T258" s="35"/>
      <c r="U258" s="35"/>
      <c r="V258" s="35"/>
      <c r="W258" s="35"/>
      <c r="X258" s="35"/>
      <c r="Y258" s="35"/>
    </row>
    <row r="259" ht="14.25" customHeight="1">
      <c r="A259" s="221"/>
      <c r="B259" s="231"/>
      <c r="C259" s="108"/>
      <c r="D259" s="223"/>
      <c r="E259" s="117"/>
      <c r="F259" s="246"/>
      <c r="G259" s="506">
        <v>44805.0</v>
      </c>
      <c r="H259" s="36">
        <f t="shared" si="1"/>
        <v>0</v>
      </c>
      <c r="I259" s="37">
        <f t="shared" si="2"/>
        <v>0</v>
      </c>
      <c r="J259" s="38">
        <f t="shared" si="3"/>
        <v>0</v>
      </c>
      <c r="K259" s="39">
        <f t="shared" si="4"/>
        <v>0</v>
      </c>
      <c r="L259" s="38">
        <f t="shared" si="5"/>
        <v>0</v>
      </c>
      <c r="M259" s="39">
        <f t="shared" si="6"/>
        <v>0</v>
      </c>
      <c r="N259" s="40"/>
      <c r="O259" s="34"/>
      <c r="P259" s="35"/>
      <c r="Q259" s="35"/>
      <c r="R259" s="35"/>
      <c r="S259" s="35"/>
      <c r="T259" s="35"/>
      <c r="U259" s="35"/>
      <c r="V259" s="35"/>
      <c r="W259" s="35"/>
      <c r="X259" s="35"/>
      <c r="Y259" s="35"/>
    </row>
    <row r="260" ht="14.25" customHeight="1">
      <c r="A260" s="221"/>
      <c r="B260" s="231"/>
      <c r="C260" s="108"/>
      <c r="D260" s="223"/>
      <c r="E260" s="117"/>
      <c r="F260" s="246"/>
      <c r="G260" s="523">
        <v>44805.0</v>
      </c>
      <c r="H260" s="36">
        <f t="shared" si="1"/>
        <v>0</v>
      </c>
      <c r="I260" s="37">
        <f t="shared" si="2"/>
        <v>0</v>
      </c>
      <c r="J260" s="38">
        <f t="shared" si="3"/>
        <v>0</v>
      </c>
      <c r="K260" s="39">
        <f t="shared" si="4"/>
        <v>0</v>
      </c>
      <c r="L260" s="38">
        <f t="shared" si="5"/>
        <v>0</v>
      </c>
      <c r="M260" s="39">
        <f t="shared" si="6"/>
        <v>0</v>
      </c>
      <c r="N260" s="40"/>
      <c r="O260" s="34"/>
      <c r="P260" s="35"/>
      <c r="Q260" s="35"/>
      <c r="R260" s="35"/>
      <c r="S260" s="35"/>
      <c r="T260" s="35"/>
      <c r="U260" s="35"/>
      <c r="V260" s="35"/>
      <c r="W260" s="35"/>
      <c r="X260" s="35"/>
      <c r="Y260" s="35"/>
    </row>
    <row r="261" ht="14.25" customHeight="1">
      <c r="A261" s="221"/>
      <c r="B261" s="231"/>
      <c r="C261" s="108"/>
      <c r="D261" s="223"/>
      <c r="E261" s="117"/>
      <c r="F261" s="245"/>
      <c r="G261" s="506">
        <v>44805.0</v>
      </c>
      <c r="H261" s="36">
        <f t="shared" si="1"/>
        <v>0</v>
      </c>
      <c r="I261" s="37">
        <f t="shared" si="2"/>
        <v>0</v>
      </c>
      <c r="J261" s="38">
        <f t="shared" si="3"/>
        <v>0</v>
      </c>
      <c r="K261" s="39">
        <f t="shared" si="4"/>
        <v>0</v>
      </c>
      <c r="L261" s="38">
        <f t="shared" si="5"/>
        <v>0</v>
      </c>
      <c r="M261" s="39">
        <f t="shared" si="6"/>
        <v>0</v>
      </c>
      <c r="N261" s="40"/>
      <c r="O261" s="34"/>
      <c r="P261" s="35"/>
      <c r="Q261" s="35"/>
      <c r="R261" s="35"/>
      <c r="S261" s="35"/>
      <c r="T261" s="35"/>
      <c r="U261" s="35"/>
      <c r="V261" s="35"/>
      <c r="W261" s="35"/>
      <c r="X261" s="35"/>
      <c r="Y261" s="35"/>
    </row>
    <row r="262" ht="14.25" customHeight="1">
      <c r="A262" s="221"/>
      <c r="B262" s="231"/>
      <c r="C262" s="110"/>
      <c r="D262" s="223"/>
      <c r="E262" s="117"/>
      <c r="F262" s="245"/>
      <c r="G262" s="523">
        <v>44805.0</v>
      </c>
      <c r="H262" s="36">
        <f t="shared" si="1"/>
        <v>0</v>
      </c>
      <c r="I262" s="37">
        <f t="shared" si="2"/>
        <v>0</v>
      </c>
      <c r="J262" s="38">
        <f t="shared" si="3"/>
        <v>0</v>
      </c>
      <c r="K262" s="39">
        <f t="shared" si="4"/>
        <v>0</v>
      </c>
      <c r="L262" s="38">
        <f t="shared" si="5"/>
        <v>0</v>
      </c>
      <c r="M262" s="39">
        <f t="shared" si="6"/>
        <v>0</v>
      </c>
      <c r="N262" s="40"/>
      <c r="O262" s="34"/>
      <c r="P262" s="35"/>
      <c r="Q262" s="35"/>
      <c r="R262" s="35"/>
      <c r="S262" s="35"/>
      <c r="T262" s="35"/>
      <c r="U262" s="35"/>
      <c r="V262" s="35"/>
      <c r="W262" s="35"/>
      <c r="X262" s="35"/>
      <c r="Y262" s="35"/>
    </row>
    <row r="263" ht="14.25" customHeight="1">
      <c r="A263" s="221"/>
      <c r="B263" s="231"/>
      <c r="C263" s="115"/>
      <c r="D263" s="237"/>
      <c r="E263" s="117"/>
      <c r="F263" s="245"/>
      <c r="G263" s="506">
        <v>44805.0</v>
      </c>
      <c r="H263" s="36">
        <f t="shared" si="1"/>
        <v>0</v>
      </c>
      <c r="I263" s="37">
        <f t="shared" si="2"/>
        <v>0</v>
      </c>
      <c r="J263" s="38">
        <f t="shared" si="3"/>
        <v>0</v>
      </c>
      <c r="K263" s="39">
        <f t="shared" si="4"/>
        <v>0</v>
      </c>
      <c r="L263" s="38">
        <f t="shared" si="5"/>
        <v>0</v>
      </c>
      <c r="M263" s="39">
        <f t="shared" si="6"/>
        <v>0</v>
      </c>
      <c r="N263" s="40"/>
      <c r="O263" s="34"/>
      <c r="P263" s="35"/>
      <c r="Q263" s="35"/>
      <c r="R263" s="35"/>
      <c r="S263" s="35"/>
      <c r="T263" s="35"/>
      <c r="U263" s="35"/>
      <c r="V263" s="35"/>
      <c r="W263" s="35"/>
      <c r="X263" s="35"/>
      <c r="Y263" s="35"/>
    </row>
    <row r="264" ht="14.25" customHeight="1">
      <c r="A264" s="221"/>
      <c r="B264" s="231"/>
      <c r="C264" s="115"/>
      <c r="D264" s="237"/>
      <c r="E264" s="117"/>
      <c r="F264" s="245"/>
      <c r="G264" s="523">
        <v>44805.0</v>
      </c>
      <c r="H264" s="36">
        <f t="shared" si="1"/>
        <v>0</v>
      </c>
      <c r="I264" s="37">
        <f t="shared" si="2"/>
        <v>0</v>
      </c>
      <c r="J264" s="38">
        <f t="shared" si="3"/>
        <v>0</v>
      </c>
      <c r="K264" s="39">
        <f t="shared" si="4"/>
        <v>0</v>
      </c>
      <c r="L264" s="38">
        <f t="shared" si="5"/>
        <v>0</v>
      </c>
      <c r="M264" s="39">
        <f t="shared" si="6"/>
        <v>0</v>
      </c>
      <c r="N264" s="40"/>
      <c r="O264" s="34"/>
      <c r="P264" s="35"/>
      <c r="Q264" s="35"/>
      <c r="R264" s="35"/>
      <c r="S264" s="35"/>
      <c r="T264" s="35"/>
      <c r="U264" s="35"/>
      <c r="V264" s="35"/>
      <c r="W264" s="35"/>
      <c r="X264" s="35"/>
      <c r="Y264" s="35"/>
    </row>
    <row r="265" ht="14.25" customHeight="1">
      <c r="A265" s="221"/>
      <c r="B265" s="231"/>
      <c r="C265" s="115"/>
      <c r="D265" s="237"/>
      <c r="E265" s="117"/>
      <c r="F265" s="245"/>
      <c r="G265" s="506">
        <v>44805.0</v>
      </c>
      <c r="H265" s="36">
        <f t="shared" si="1"/>
        <v>0</v>
      </c>
      <c r="I265" s="37">
        <f t="shared" si="2"/>
        <v>0</v>
      </c>
      <c r="J265" s="38">
        <f t="shared" si="3"/>
        <v>0</v>
      </c>
      <c r="K265" s="39">
        <f t="shared" si="4"/>
        <v>0</v>
      </c>
      <c r="L265" s="38">
        <f t="shared" si="5"/>
        <v>0</v>
      </c>
      <c r="M265" s="39">
        <f t="shared" si="6"/>
        <v>0</v>
      </c>
      <c r="N265" s="40"/>
      <c r="O265" s="34"/>
      <c r="P265" s="35"/>
      <c r="Q265" s="35"/>
      <c r="R265" s="35"/>
      <c r="S265" s="35"/>
      <c r="T265" s="35"/>
      <c r="U265" s="35"/>
      <c r="V265" s="35"/>
      <c r="W265" s="35"/>
      <c r="X265" s="35"/>
      <c r="Y265" s="35"/>
    </row>
    <row r="266" ht="14.25" customHeight="1">
      <c r="A266" s="221"/>
      <c r="B266" s="231"/>
      <c r="C266" s="115"/>
      <c r="D266" s="237"/>
      <c r="E266" s="117"/>
      <c r="F266" s="245"/>
      <c r="G266" s="523">
        <v>44805.0</v>
      </c>
      <c r="H266" s="36">
        <f t="shared" si="1"/>
        <v>0</v>
      </c>
      <c r="I266" s="37">
        <f t="shared" si="2"/>
        <v>0</v>
      </c>
      <c r="J266" s="38">
        <f t="shared" si="3"/>
        <v>0</v>
      </c>
      <c r="K266" s="39">
        <f t="shared" si="4"/>
        <v>0</v>
      </c>
      <c r="L266" s="38">
        <f t="shared" si="5"/>
        <v>0</v>
      </c>
      <c r="M266" s="39">
        <f t="shared" si="6"/>
        <v>0</v>
      </c>
      <c r="N266" s="40"/>
      <c r="O266" s="34"/>
      <c r="P266" s="35"/>
      <c r="Q266" s="35"/>
      <c r="R266" s="35"/>
      <c r="S266" s="35"/>
      <c r="T266" s="35"/>
      <c r="U266" s="35"/>
      <c r="V266" s="35"/>
      <c r="W266" s="35"/>
      <c r="X266" s="35"/>
      <c r="Y266" s="35"/>
    </row>
    <row r="267" ht="14.25" customHeight="1">
      <c r="A267" s="221"/>
      <c r="B267" s="231"/>
      <c r="C267" s="108"/>
      <c r="D267" s="237"/>
      <c r="E267" s="117"/>
      <c r="F267" s="245"/>
      <c r="G267" s="506">
        <v>44805.0</v>
      </c>
      <c r="H267" s="36">
        <f t="shared" si="1"/>
        <v>0</v>
      </c>
      <c r="I267" s="37">
        <f t="shared" si="2"/>
        <v>0</v>
      </c>
      <c r="J267" s="38">
        <f t="shared" si="3"/>
        <v>0</v>
      </c>
      <c r="K267" s="39">
        <f t="shared" si="4"/>
        <v>0</v>
      </c>
      <c r="L267" s="38">
        <f t="shared" si="5"/>
        <v>0</v>
      </c>
      <c r="M267" s="39">
        <f t="shared" si="6"/>
        <v>0</v>
      </c>
      <c r="N267" s="40"/>
      <c r="O267" s="34"/>
      <c r="P267" s="35"/>
      <c r="Q267" s="35"/>
      <c r="R267" s="35"/>
      <c r="S267" s="35"/>
      <c r="T267" s="35"/>
      <c r="U267" s="35"/>
      <c r="V267" s="35"/>
      <c r="W267" s="35"/>
      <c r="X267" s="35"/>
      <c r="Y267" s="35"/>
    </row>
    <row r="268" ht="14.25" customHeight="1">
      <c r="A268" s="221"/>
      <c r="B268" s="231"/>
      <c r="C268" s="116"/>
      <c r="D268" s="237"/>
      <c r="E268" s="117"/>
      <c r="F268" s="245"/>
      <c r="G268" s="523">
        <v>44805.0</v>
      </c>
      <c r="H268" s="36">
        <f t="shared" si="1"/>
        <v>0</v>
      </c>
      <c r="I268" s="37">
        <f t="shared" si="2"/>
        <v>0</v>
      </c>
      <c r="J268" s="38">
        <f t="shared" si="3"/>
        <v>0</v>
      </c>
      <c r="K268" s="39">
        <f t="shared" si="4"/>
        <v>0</v>
      </c>
      <c r="L268" s="38">
        <f t="shared" si="5"/>
        <v>0</v>
      </c>
      <c r="M268" s="39">
        <f t="shared" si="6"/>
        <v>0</v>
      </c>
      <c r="N268" s="40"/>
      <c r="O268" s="34"/>
      <c r="P268" s="35"/>
      <c r="Q268" s="35"/>
      <c r="R268" s="35"/>
      <c r="S268" s="35"/>
      <c r="T268" s="35"/>
      <c r="U268" s="35"/>
      <c r="V268" s="35"/>
      <c r="W268" s="35"/>
      <c r="X268" s="35"/>
      <c r="Y268" s="35"/>
    </row>
    <row r="269" ht="14.25" customHeight="1">
      <c r="A269" s="221"/>
      <c r="B269" s="231"/>
      <c r="C269" s="126"/>
      <c r="D269" s="237"/>
      <c r="E269" s="117"/>
      <c r="F269" s="245"/>
      <c r="G269" s="506">
        <v>44805.0</v>
      </c>
      <c r="H269" s="36">
        <f t="shared" si="1"/>
        <v>0</v>
      </c>
      <c r="I269" s="37">
        <f t="shared" si="2"/>
        <v>0</v>
      </c>
      <c r="J269" s="38">
        <f t="shared" si="3"/>
        <v>0</v>
      </c>
      <c r="K269" s="39">
        <f t="shared" si="4"/>
        <v>0</v>
      </c>
      <c r="L269" s="38">
        <f t="shared" si="5"/>
        <v>0</v>
      </c>
      <c r="M269" s="39">
        <f t="shared" si="6"/>
        <v>0</v>
      </c>
      <c r="N269" s="40"/>
      <c r="O269" s="34"/>
      <c r="P269" s="35"/>
      <c r="Q269" s="35"/>
      <c r="R269" s="35"/>
      <c r="S269" s="35"/>
      <c r="T269" s="35"/>
      <c r="U269" s="35"/>
      <c r="V269" s="35"/>
      <c r="W269" s="35"/>
      <c r="X269" s="35"/>
      <c r="Y269" s="35"/>
    </row>
    <row r="270" ht="14.25" customHeight="1">
      <c r="A270" s="221"/>
      <c r="B270" s="231"/>
      <c r="C270" s="115"/>
      <c r="D270" s="237"/>
      <c r="E270" s="117"/>
      <c r="F270" s="245"/>
      <c r="G270" s="523">
        <v>44805.0</v>
      </c>
      <c r="H270" s="36">
        <f t="shared" si="1"/>
        <v>0</v>
      </c>
      <c r="I270" s="37">
        <f t="shared" si="2"/>
        <v>0</v>
      </c>
      <c r="J270" s="38">
        <f t="shared" si="3"/>
        <v>0</v>
      </c>
      <c r="K270" s="39">
        <f t="shared" si="4"/>
        <v>0</v>
      </c>
      <c r="L270" s="38">
        <f t="shared" si="5"/>
        <v>0</v>
      </c>
      <c r="M270" s="39">
        <f t="shared" si="6"/>
        <v>0</v>
      </c>
      <c r="N270" s="40"/>
      <c r="O270" s="34"/>
      <c r="P270" s="35"/>
      <c r="Q270" s="35"/>
      <c r="R270" s="35"/>
      <c r="S270" s="35"/>
      <c r="T270" s="35"/>
      <c r="U270" s="35"/>
      <c r="V270" s="35"/>
      <c r="W270" s="35"/>
      <c r="X270" s="35"/>
      <c r="Y270" s="35"/>
    </row>
    <row r="271" ht="14.25" customHeight="1">
      <c r="A271" s="221"/>
      <c r="B271" s="231"/>
      <c r="C271" s="116"/>
      <c r="D271" s="237"/>
      <c r="E271" s="117"/>
      <c r="F271" s="245"/>
      <c r="G271" s="506">
        <v>44805.0</v>
      </c>
      <c r="H271" s="36">
        <f t="shared" si="1"/>
        <v>0</v>
      </c>
      <c r="I271" s="37">
        <f t="shared" si="2"/>
        <v>0</v>
      </c>
      <c r="J271" s="38">
        <f t="shared" si="3"/>
        <v>0</v>
      </c>
      <c r="K271" s="39">
        <f t="shared" si="4"/>
        <v>0</v>
      </c>
      <c r="L271" s="38">
        <f t="shared" si="5"/>
        <v>0</v>
      </c>
      <c r="M271" s="39">
        <f t="shared" si="6"/>
        <v>0</v>
      </c>
      <c r="N271" s="40"/>
      <c r="O271" s="34"/>
      <c r="P271" s="35"/>
      <c r="Q271" s="35"/>
      <c r="R271" s="35"/>
      <c r="S271" s="35"/>
      <c r="T271" s="35"/>
      <c r="U271" s="35"/>
      <c r="V271" s="35"/>
      <c r="W271" s="35"/>
      <c r="X271" s="35"/>
      <c r="Y271" s="35"/>
    </row>
    <row r="272" ht="14.25" customHeight="1">
      <c r="A272" s="221"/>
      <c r="B272" s="231"/>
      <c r="C272" s="116"/>
      <c r="D272" s="237"/>
      <c r="E272" s="117"/>
      <c r="F272" s="245"/>
      <c r="G272" s="523">
        <v>44805.0</v>
      </c>
      <c r="H272" s="36">
        <f t="shared" si="1"/>
        <v>0</v>
      </c>
      <c r="I272" s="37">
        <f t="shared" si="2"/>
        <v>0</v>
      </c>
      <c r="J272" s="38">
        <f t="shared" si="3"/>
        <v>0</v>
      </c>
      <c r="K272" s="39">
        <f t="shared" si="4"/>
        <v>0</v>
      </c>
      <c r="L272" s="38">
        <f t="shared" si="5"/>
        <v>0</v>
      </c>
      <c r="M272" s="39">
        <f t="shared" si="6"/>
        <v>0</v>
      </c>
      <c r="N272" s="40"/>
      <c r="O272" s="34"/>
      <c r="P272" s="35"/>
      <c r="Q272" s="35"/>
      <c r="R272" s="35"/>
      <c r="S272" s="35"/>
      <c r="T272" s="35"/>
      <c r="U272" s="35"/>
      <c r="V272" s="35"/>
      <c r="W272" s="35"/>
      <c r="X272" s="35"/>
      <c r="Y272" s="35"/>
    </row>
    <row r="273" ht="14.25" customHeight="1">
      <c r="A273" s="221"/>
      <c r="B273" s="231"/>
      <c r="C273" s="116"/>
      <c r="D273" s="237"/>
      <c r="E273" s="117"/>
      <c r="F273" s="245"/>
      <c r="G273" s="506">
        <v>44805.0</v>
      </c>
      <c r="H273" s="36">
        <f t="shared" si="1"/>
        <v>0</v>
      </c>
      <c r="I273" s="37">
        <f t="shared" si="2"/>
        <v>0</v>
      </c>
      <c r="J273" s="38">
        <f t="shared" si="3"/>
        <v>0</v>
      </c>
      <c r="K273" s="39">
        <f t="shared" si="4"/>
        <v>0</v>
      </c>
      <c r="L273" s="38">
        <f t="shared" si="5"/>
        <v>0</v>
      </c>
      <c r="M273" s="39">
        <f t="shared" si="6"/>
        <v>0</v>
      </c>
      <c r="N273" s="40"/>
      <c r="O273" s="34"/>
      <c r="P273" s="35"/>
      <c r="Q273" s="35"/>
      <c r="R273" s="35"/>
      <c r="S273" s="35"/>
      <c r="T273" s="35"/>
      <c r="U273" s="35"/>
      <c r="V273" s="35"/>
      <c r="W273" s="35"/>
      <c r="X273" s="35"/>
      <c r="Y273" s="35"/>
    </row>
    <row r="274" ht="14.25" customHeight="1">
      <c r="A274" s="221"/>
      <c r="B274" s="231"/>
      <c r="C274" s="116"/>
      <c r="D274" s="237"/>
      <c r="E274" s="117"/>
      <c r="F274" s="245"/>
      <c r="G274" s="523">
        <v>44805.0</v>
      </c>
      <c r="H274" s="36">
        <f t="shared" si="1"/>
        <v>0</v>
      </c>
      <c r="I274" s="37">
        <f t="shared" si="2"/>
        <v>0</v>
      </c>
      <c r="J274" s="38">
        <f t="shared" si="3"/>
        <v>0</v>
      </c>
      <c r="K274" s="39">
        <f t="shared" si="4"/>
        <v>0</v>
      </c>
      <c r="L274" s="38">
        <f t="shared" si="5"/>
        <v>0</v>
      </c>
      <c r="M274" s="39">
        <f t="shared" si="6"/>
        <v>0</v>
      </c>
      <c r="N274" s="40"/>
      <c r="O274" s="34"/>
      <c r="P274" s="35"/>
      <c r="Q274" s="35"/>
      <c r="R274" s="35"/>
      <c r="S274" s="35"/>
      <c r="T274" s="35"/>
      <c r="U274" s="35"/>
      <c r="V274" s="35"/>
      <c r="W274" s="35"/>
      <c r="X274" s="35"/>
      <c r="Y274" s="35"/>
    </row>
    <row r="275" ht="14.25" customHeight="1">
      <c r="A275" s="221"/>
      <c r="B275" s="231"/>
      <c r="C275" s="116"/>
      <c r="D275" s="237"/>
      <c r="E275" s="117"/>
      <c r="F275" s="245"/>
      <c r="G275" s="506">
        <v>44805.0</v>
      </c>
      <c r="H275" s="36">
        <f t="shared" si="1"/>
        <v>0</v>
      </c>
      <c r="I275" s="37">
        <f t="shared" si="2"/>
        <v>0</v>
      </c>
      <c r="J275" s="38">
        <f t="shared" si="3"/>
        <v>0</v>
      </c>
      <c r="K275" s="39">
        <f t="shared" si="4"/>
        <v>0</v>
      </c>
      <c r="L275" s="38">
        <f t="shared" si="5"/>
        <v>0</v>
      </c>
      <c r="M275" s="39">
        <f t="shared" si="6"/>
        <v>0</v>
      </c>
      <c r="N275" s="40"/>
      <c r="O275" s="34"/>
      <c r="P275" s="35"/>
      <c r="Q275" s="35"/>
      <c r="R275" s="35"/>
      <c r="S275" s="35"/>
      <c r="T275" s="35"/>
      <c r="U275" s="35"/>
      <c r="V275" s="35"/>
      <c r="W275" s="35"/>
      <c r="X275" s="35"/>
      <c r="Y275" s="35"/>
    </row>
    <row r="276" ht="14.25" customHeight="1">
      <c r="A276" s="221"/>
      <c r="B276" s="231"/>
      <c r="C276" s="116"/>
      <c r="D276" s="237"/>
      <c r="E276" s="117"/>
      <c r="F276" s="245"/>
      <c r="G276" s="523">
        <v>44805.0</v>
      </c>
      <c r="H276" s="36">
        <f t="shared" si="1"/>
        <v>0</v>
      </c>
      <c r="I276" s="37">
        <f t="shared" si="2"/>
        <v>0</v>
      </c>
      <c r="J276" s="38">
        <f t="shared" si="3"/>
        <v>0</v>
      </c>
      <c r="K276" s="39">
        <f t="shared" si="4"/>
        <v>0</v>
      </c>
      <c r="L276" s="38">
        <f t="shared" si="5"/>
        <v>0</v>
      </c>
      <c r="M276" s="39">
        <f t="shared" si="6"/>
        <v>0</v>
      </c>
      <c r="N276" s="40"/>
      <c r="O276" s="34"/>
      <c r="P276" s="35"/>
      <c r="Q276" s="35"/>
      <c r="R276" s="35"/>
      <c r="S276" s="35"/>
      <c r="T276" s="35"/>
      <c r="U276" s="35"/>
      <c r="V276" s="35"/>
      <c r="W276" s="35"/>
      <c r="X276" s="35"/>
      <c r="Y276" s="35"/>
    </row>
    <row r="277" ht="14.25" customHeight="1">
      <c r="A277" s="221"/>
      <c r="B277" s="231"/>
      <c r="C277" s="116"/>
      <c r="D277" s="100"/>
      <c r="E277" s="117"/>
      <c r="F277" s="245"/>
      <c r="G277" s="506">
        <v>44805.0</v>
      </c>
      <c r="H277" s="36">
        <f t="shared" si="1"/>
        <v>0</v>
      </c>
      <c r="I277" s="37">
        <f t="shared" si="2"/>
        <v>0</v>
      </c>
      <c r="J277" s="38">
        <f t="shared" si="3"/>
        <v>0</v>
      </c>
      <c r="K277" s="39">
        <f t="shared" si="4"/>
        <v>0</v>
      </c>
      <c r="L277" s="38">
        <f t="shared" si="5"/>
        <v>0</v>
      </c>
      <c r="M277" s="39">
        <f t="shared" si="6"/>
        <v>0</v>
      </c>
      <c r="N277" s="40"/>
      <c r="O277" s="34"/>
      <c r="P277" s="35"/>
      <c r="Q277" s="35"/>
      <c r="R277" s="35"/>
      <c r="S277" s="35"/>
      <c r="T277" s="35"/>
      <c r="U277" s="35"/>
      <c r="V277" s="35"/>
      <c r="W277" s="35"/>
      <c r="X277" s="35"/>
      <c r="Y277" s="35"/>
    </row>
    <row r="278" ht="14.25" customHeight="1">
      <c r="A278" s="221"/>
      <c r="B278" s="231"/>
      <c r="C278" s="116"/>
      <c r="D278" s="100"/>
      <c r="E278" s="117"/>
      <c r="F278" s="245"/>
      <c r="G278" s="523">
        <v>44805.0</v>
      </c>
      <c r="H278" s="36">
        <f t="shared" si="1"/>
        <v>0</v>
      </c>
      <c r="I278" s="37">
        <f t="shared" si="2"/>
        <v>0</v>
      </c>
      <c r="J278" s="38">
        <f t="shared" si="3"/>
        <v>0</v>
      </c>
      <c r="K278" s="39">
        <f t="shared" si="4"/>
        <v>0</v>
      </c>
      <c r="L278" s="38">
        <f t="shared" si="5"/>
        <v>0</v>
      </c>
      <c r="M278" s="39">
        <f t="shared" si="6"/>
        <v>0</v>
      </c>
      <c r="N278" s="40"/>
      <c r="O278" s="34"/>
      <c r="P278" s="35"/>
      <c r="Q278" s="35"/>
      <c r="R278" s="35"/>
      <c r="S278" s="35"/>
      <c r="T278" s="35"/>
      <c r="U278" s="35"/>
      <c r="V278" s="35"/>
      <c r="W278" s="35"/>
      <c r="X278" s="35"/>
      <c r="Y278" s="35"/>
    </row>
    <row r="279" ht="14.25" customHeight="1">
      <c r="A279" s="221"/>
      <c r="B279" s="231"/>
      <c r="C279" s="116"/>
      <c r="D279" s="100"/>
      <c r="E279" s="117"/>
      <c r="F279" s="245"/>
      <c r="G279" s="506">
        <v>44805.0</v>
      </c>
      <c r="H279" s="36">
        <f t="shared" si="1"/>
        <v>0</v>
      </c>
      <c r="I279" s="37">
        <f t="shared" si="2"/>
        <v>0</v>
      </c>
      <c r="J279" s="38">
        <f t="shared" si="3"/>
        <v>0</v>
      </c>
      <c r="K279" s="39">
        <f t="shared" si="4"/>
        <v>0</v>
      </c>
      <c r="L279" s="38">
        <f t="shared" si="5"/>
        <v>0</v>
      </c>
      <c r="M279" s="39">
        <f t="shared" si="6"/>
        <v>0</v>
      </c>
      <c r="N279" s="40"/>
      <c r="O279" s="34"/>
      <c r="P279" s="35"/>
      <c r="Q279" s="35"/>
      <c r="R279" s="35"/>
      <c r="S279" s="35"/>
      <c r="T279" s="35"/>
      <c r="U279" s="35"/>
      <c r="V279" s="35"/>
      <c r="W279" s="35"/>
      <c r="X279" s="35"/>
      <c r="Y279" s="35"/>
    </row>
    <row r="280" ht="14.25" customHeight="1">
      <c r="A280" s="221"/>
      <c r="B280" s="231"/>
      <c r="C280" s="116"/>
      <c r="D280" s="100"/>
      <c r="E280" s="117"/>
      <c r="F280" s="245"/>
      <c r="G280" s="523">
        <v>44805.0</v>
      </c>
      <c r="H280" s="36">
        <f t="shared" si="1"/>
        <v>0</v>
      </c>
      <c r="I280" s="37">
        <f t="shared" si="2"/>
        <v>0</v>
      </c>
      <c r="J280" s="38">
        <f t="shared" si="3"/>
        <v>0</v>
      </c>
      <c r="K280" s="39">
        <f t="shared" si="4"/>
        <v>0</v>
      </c>
      <c r="L280" s="38">
        <f t="shared" si="5"/>
        <v>0</v>
      </c>
      <c r="M280" s="39">
        <f t="shared" si="6"/>
        <v>0</v>
      </c>
      <c r="N280" s="40"/>
      <c r="O280" s="34"/>
      <c r="P280" s="35"/>
      <c r="Q280" s="35"/>
      <c r="R280" s="35"/>
      <c r="S280" s="35"/>
      <c r="T280" s="35"/>
      <c r="U280" s="35"/>
      <c r="V280" s="35"/>
      <c r="W280" s="35"/>
      <c r="X280" s="35"/>
      <c r="Y280" s="35"/>
    </row>
    <row r="281" ht="14.25" customHeight="1">
      <c r="A281" s="221"/>
      <c r="B281" s="231"/>
      <c r="C281" s="116"/>
      <c r="D281" s="100"/>
      <c r="E281" s="117"/>
      <c r="F281" s="245"/>
      <c r="G281" s="506">
        <v>44805.0</v>
      </c>
      <c r="H281" s="36">
        <f t="shared" si="1"/>
        <v>0</v>
      </c>
      <c r="I281" s="37">
        <f t="shared" si="2"/>
        <v>0</v>
      </c>
      <c r="J281" s="38">
        <f t="shared" si="3"/>
        <v>0</v>
      </c>
      <c r="K281" s="39">
        <f t="shared" si="4"/>
        <v>0</v>
      </c>
      <c r="L281" s="38">
        <f t="shared" si="5"/>
        <v>0</v>
      </c>
      <c r="M281" s="39">
        <f t="shared" si="6"/>
        <v>0</v>
      </c>
      <c r="N281" s="40"/>
      <c r="O281" s="34"/>
      <c r="P281" s="35"/>
      <c r="Q281" s="35"/>
      <c r="R281" s="35"/>
      <c r="S281" s="35"/>
      <c r="T281" s="35"/>
      <c r="U281" s="35"/>
      <c r="V281" s="35"/>
      <c r="W281" s="35"/>
      <c r="X281" s="35"/>
      <c r="Y281" s="35"/>
    </row>
    <row r="282" ht="14.25" customHeight="1">
      <c r="A282" s="221"/>
      <c r="B282" s="231"/>
      <c r="C282" s="108"/>
      <c r="D282" s="100"/>
      <c r="E282" s="117"/>
      <c r="F282" s="245"/>
      <c r="G282" s="523">
        <v>44805.0</v>
      </c>
      <c r="H282" s="36">
        <f t="shared" si="1"/>
        <v>0</v>
      </c>
      <c r="I282" s="37">
        <f t="shared" si="2"/>
        <v>0</v>
      </c>
      <c r="J282" s="38">
        <f t="shared" si="3"/>
        <v>0</v>
      </c>
      <c r="K282" s="39">
        <f t="shared" si="4"/>
        <v>0</v>
      </c>
      <c r="L282" s="38">
        <f t="shared" si="5"/>
        <v>0</v>
      </c>
      <c r="M282" s="39">
        <f t="shared" si="6"/>
        <v>0</v>
      </c>
      <c r="N282" s="40"/>
      <c r="O282" s="34"/>
      <c r="P282" s="35"/>
      <c r="Q282" s="35"/>
      <c r="R282" s="35"/>
      <c r="S282" s="35"/>
      <c r="T282" s="35"/>
      <c r="U282" s="35"/>
      <c r="V282" s="35"/>
      <c r="W282" s="35"/>
      <c r="X282" s="35"/>
      <c r="Y282" s="35"/>
    </row>
    <row r="283" ht="14.25" customHeight="1">
      <c r="A283" s="221"/>
      <c r="B283" s="231"/>
      <c r="C283" s="108"/>
      <c r="D283" s="85"/>
      <c r="E283" s="117"/>
      <c r="F283" s="245"/>
      <c r="G283" s="506">
        <v>44805.0</v>
      </c>
      <c r="H283" s="36">
        <f t="shared" si="1"/>
        <v>0</v>
      </c>
      <c r="I283" s="37">
        <f t="shared" si="2"/>
        <v>0</v>
      </c>
      <c r="J283" s="38">
        <f t="shared" si="3"/>
        <v>0</v>
      </c>
      <c r="K283" s="39">
        <f t="shared" si="4"/>
        <v>0</v>
      </c>
      <c r="L283" s="38">
        <f t="shared" si="5"/>
        <v>0</v>
      </c>
      <c r="M283" s="39">
        <f t="shared" si="6"/>
        <v>0</v>
      </c>
      <c r="N283" s="40"/>
      <c r="O283" s="34"/>
      <c r="P283" s="35"/>
      <c r="Q283" s="35"/>
      <c r="R283" s="35"/>
      <c r="S283" s="35"/>
      <c r="T283" s="35"/>
      <c r="U283" s="35"/>
      <c r="V283" s="35"/>
      <c r="W283" s="35"/>
      <c r="X283" s="35"/>
      <c r="Y283" s="35"/>
    </row>
    <row r="284" ht="14.25" customHeight="1">
      <c r="A284" s="221"/>
      <c r="B284" s="231"/>
      <c r="C284" s="108"/>
      <c r="D284" s="85"/>
      <c r="E284" s="117"/>
      <c r="F284" s="245"/>
      <c r="G284" s="523">
        <v>44805.0</v>
      </c>
      <c r="H284" s="36">
        <f t="shared" si="1"/>
        <v>0</v>
      </c>
      <c r="I284" s="37">
        <f t="shared" si="2"/>
        <v>0</v>
      </c>
      <c r="J284" s="38">
        <f t="shared" si="3"/>
        <v>0</v>
      </c>
      <c r="K284" s="39">
        <f t="shared" si="4"/>
        <v>0</v>
      </c>
      <c r="L284" s="38">
        <f t="shared" si="5"/>
        <v>0</v>
      </c>
      <c r="M284" s="39">
        <f t="shared" si="6"/>
        <v>0</v>
      </c>
      <c r="N284" s="40"/>
      <c r="O284" s="34"/>
      <c r="P284" s="35"/>
      <c r="Q284" s="35"/>
      <c r="R284" s="35"/>
      <c r="S284" s="35"/>
      <c r="T284" s="35"/>
      <c r="U284" s="35"/>
      <c r="V284" s="35"/>
      <c r="W284" s="35"/>
      <c r="X284" s="35"/>
      <c r="Y284" s="35"/>
    </row>
    <row r="285" ht="14.25" customHeight="1">
      <c r="A285" s="221"/>
      <c r="B285" s="231"/>
      <c r="C285" s="108"/>
      <c r="D285" s="100"/>
      <c r="E285" s="117"/>
      <c r="F285" s="245"/>
      <c r="G285" s="506">
        <v>44805.0</v>
      </c>
      <c r="H285" s="36">
        <f t="shared" si="1"/>
        <v>0</v>
      </c>
      <c r="I285" s="37">
        <f t="shared" si="2"/>
        <v>0</v>
      </c>
      <c r="J285" s="38">
        <f t="shared" si="3"/>
        <v>0</v>
      </c>
      <c r="K285" s="39">
        <f t="shared" si="4"/>
        <v>0</v>
      </c>
      <c r="L285" s="38">
        <f t="shared" si="5"/>
        <v>0</v>
      </c>
      <c r="M285" s="39">
        <f t="shared" si="6"/>
        <v>0</v>
      </c>
      <c r="N285" s="40"/>
      <c r="O285" s="34"/>
      <c r="P285" s="35"/>
      <c r="Q285" s="35"/>
      <c r="R285" s="35"/>
      <c r="S285" s="35"/>
      <c r="T285" s="35"/>
      <c r="U285" s="35"/>
      <c r="V285" s="35"/>
      <c r="W285" s="35"/>
      <c r="X285" s="35"/>
      <c r="Y285" s="35"/>
    </row>
    <row r="286" ht="14.25" customHeight="1">
      <c r="A286" s="221"/>
      <c r="B286" s="231"/>
      <c r="C286" s="116"/>
      <c r="D286" s="100"/>
      <c r="E286" s="117"/>
      <c r="F286" s="245"/>
      <c r="G286" s="523">
        <v>44805.0</v>
      </c>
      <c r="H286" s="36">
        <f t="shared" si="1"/>
        <v>0</v>
      </c>
      <c r="I286" s="37">
        <f t="shared" si="2"/>
        <v>0</v>
      </c>
      <c r="J286" s="38">
        <f t="shared" si="3"/>
        <v>0</v>
      </c>
      <c r="K286" s="39">
        <f t="shared" si="4"/>
        <v>0</v>
      </c>
      <c r="L286" s="38">
        <f t="shared" si="5"/>
        <v>0</v>
      </c>
      <c r="M286" s="39">
        <f t="shared" si="6"/>
        <v>0</v>
      </c>
      <c r="N286" s="40"/>
      <c r="O286" s="34"/>
      <c r="P286" s="35"/>
      <c r="Q286" s="35"/>
      <c r="R286" s="35"/>
      <c r="S286" s="35"/>
      <c r="T286" s="35"/>
      <c r="U286" s="35"/>
      <c r="V286" s="35"/>
      <c r="W286" s="35"/>
      <c r="X286" s="35"/>
      <c r="Y286" s="35"/>
    </row>
    <row r="287" ht="14.25" customHeight="1">
      <c r="A287" s="221"/>
      <c r="B287" s="231"/>
      <c r="C287" s="116"/>
      <c r="D287" s="100"/>
      <c r="E287" s="117"/>
      <c r="F287" s="245"/>
      <c r="G287" s="506">
        <v>44805.0</v>
      </c>
      <c r="H287" s="36">
        <f t="shared" si="1"/>
        <v>0</v>
      </c>
      <c r="I287" s="37">
        <f t="shared" si="2"/>
        <v>0</v>
      </c>
      <c r="J287" s="38">
        <f t="shared" si="3"/>
        <v>0</v>
      </c>
      <c r="K287" s="39">
        <f t="shared" si="4"/>
        <v>0</v>
      </c>
      <c r="L287" s="38">
        <f t="shared" si="5"/>
        <v>0</v>
      </c>
      <c r="M287" s="39">
        <f t="shared" si="6"/>
        <v>0</v>
      </c>
      <c r="N287" s="40"/>
      <c r="O287" s="34"/>
      <c r="P287" s="35"/>
      <c r="Q287" s="35"/>
      <c r="R287" s="35"/>
      <c r="S287" s="35"/>
      <c r="T287" s="35"/>
      <c r="U287" s="35"/>
      <c r="V287" s="35"/>
      <c r="W287" s="35"/>
      <c r="X287" s="35"/>
      <c r="Y287" s="35"/>
    </row>
    <row r="288" ht="14.25" customHeight="1">
      <c r="A288" s="221"/>
      <c r="B288" s="231"/>
      <c r="C288" s="116"/>
      <c r="D288" s="100"/>
      <c r="E288" s="117"/>
      <c r="F288" s="245"/>
      <c r="G288" s="523">
        <v>44805.0</v>
      </c>
      <c r="H288" s="36">
        <f t="shared" si="1"/>
        <v>0</v>
      </c>
      <c r="I288" s="37">
        <f t="shared" si="2"/>
        <v>0</v>
      </c>
      <c r="J288" s="38">
        <f t="shared" si="3"/>
        <v>0</v>
      </c>
      <c r="K288" s="39">
        <f t="shared" si="4"/>
        <v>0</v>
      </c>
      <c r="L288" s="38">
        <f t="shared" si="5"/>
        <v>0</v>
      </c>
      <c r="M288" s="39">
        <f t="shared" si="6"/>
        <v>0</v>
      </c>
      <c r="N288" s="40"/>
      <c r="O288" s="34"/>
      <c r="P288" s="35"/>
      <c r="Q288" s="35"/>
      <c r="R288" s="35"/>
      <c r="S288" s="35"/>
      <c r="T288" s="35"/>
      <c r="U288" s="35"/>
      <c r="V288" s="35"/>
      <c r="W288" s="35"/>
      <c r="X288" s="35"/>
      <c r="Y288" s="35"/>
    </row>
    <row r="289" ht="14.25" customHeight="1">
      <c r="A289" s="221"/>
      <c r="B289" s="231"/>
      <c r="C289" s="116"/>
      <c r="D289" s="100"/>
      <c r="E289" s="117"/>
      <c r="F289" s="245"/>
      <c r="G289" s="506">
        <v>44805.0</v>
      </c>
      <c r="H289" s="36">
        <f t="shared" si="1"/>
        <v>0</v>
      </c>
      <c r="I289" s="37">
        <f t="shared" si="2"/>
        <v>0</v>
      </c>
      <c r="J289" s="38">
        <f t="shared" si="3"/>
        <v>0</v>
      </c>
      <c r="K289" s="39">
        <f t="shared" si="4"/>
        <v>0</v>
      </c>
      <c r="L289" s="38">
        <f t="shared" si="5"/>
        <v>0</v>
      </c>
      <c r="M289" s="39">
        <f t="shared" si="6"/>
        <v>0</v>
      </c>
      <c r="N289" s="40"/>
      <c r="O289" s="34"/>
      <c r="P289" s="35"/>
      <c r="Q289" s="35"/>
      <c r="R289" s="35"/>
      <c r="S289" s="35"/>
      <c r="T289" s="35"/>
      <c r="U289" s="35"/>
      <c r="V289" s="35"/>
      <c r="W289" s="35"/>
      <c r="X289" s="35"/>
      <c r="Y289" s="35"/>
    </row>
    <row r="290" ht="14.25" customHeight="1">
      <c r="A290" s="221"/>
      <c r="B290" s="231"/>
      <c r="C290" s="116"/>
      <c r="D290" s="100"/>
      <c r="E290" s="117"/>
      <c r="F290" s="245"/>
      <c r="G290" s="523">
        <v>44805.0</v>
      </c>
      <c r="H290" s="36">
        <f t="shared" si="1"/>
        <v>0</v>
      </c>
      <c r="I290" s="37">
        <f t="shared" si="2"/>
        <v>0</v>
      </c>
      <c r="J290" s="38">
        <f t="shared" si="3"/>
        <v>0</v>
      </c>
      <c r="K290" s="39">
        <f t="shared" si="4"/>
        <v>0</v>
      </c>
      <c r="L290" s="38">
        <f t="shared" si="5"/>
        <v>0</v>
      </c>
      <c r="M290" s="39">
        <f t="shared" si="6"/>
        <v>0</v>
      </c>
      <c r="N290" s="40"/>
      <c r="O290" s="34"/>
      <c r="P290" s="35"/>
      <c r="Q290" s="35"/>
      <c r="R290" s="35"/>
      <c r="S290" s="35"/>
      <c r="T290" s="35"/>
      <c r="U290" s="35"/>
      <c r="V290" s="35"/>
      <c r="W290" s="35"/>
      <c r="X290" s="35"/>
      <c r="Y290" s="35"/>
    </row>
    <row r="291" ht="14.25" customHeight="1">
      <c r="A291" s="221"/>
      <c r="B291" s="231"/>
      <c r="C291" s="116"/>
      <c r="D291" s="100"/>
      <c r="E291" s="117"/>
      <c r="F291" s="245"/>
      <c r="G291" s="506">
        <v>44805.0</v>
      </c>
      <c r="H291" s="36">
        <f t="shared" si="1"/>
        <v>0</v>
      </c>
      <c r="I291" s="37">
        <f t="shared" si="2"/>
        <v>0</v>
      </c>
      <c r="J291" s="38">
        <f t="shared" si="3"/>
        <v>0</v>
      </c>
      <c r="K291" s="39">
        <f t="shared" si="4"/>
        <v>0</v>
      </c>
      <c r="L291" s="38">
        <f t="shared" si="5"/>
        <v>0</v>
      </c>
      <c r="M291" s="39">
        <f t="shared" si="6"/>
        <v>0</v>
      </c>
      <c r="N291" s="40"/>
      <c r="O291" s="34"/>
      <c r="P291" s="35"/>
      <c r="Q291" s="35"/>
      <c r="R291" s="35"/>
      <c r="S291" s="35"/>
      <c r="T291" s="35"/>
      <c r="U291" s="35"/>
      <c r="V291" s="35"/>
      <c r="W291" s="35"/>
      <c r="X291" s="35"/>
      <c r="Y291" s="35"/>
    </row>
    <row r="292" ht="14.25" customHeight="1">
      <c r="A292" s="221"/>
      <c r="B292" s="231"/>
      <c r="C292" s="116"/>
      <c r="D292" s="100"/>
      <c r="E292" s="117"/>
      <c r="F292" s="245"/>
      <c r="G292" s="523">
        <v>44805.0</v>
      </c>
      <c r="H292" s="36">
        <f t="shared" si="1"/>
        <v>0</v>
      </c>
      <c r="I292" s="37">
        <f t="shared" si="2"/>
        <v>0</v>
      </c>
      <c r="J292" s="38">
        <f t="shared" si="3"/>
        <v>0</v>
      </c>
      <c r="K292" s="39">
        <f t="shared" si="4"/>
        <v>0</v>
      </c>
      <c r="L292" s="38">
        <f t="shared" si="5"/>
        <v>0</v>
      </c>
      <c r="M292" s="39">
        <f t="shared" si="6"/>
        <v>0</v>
      </c>
      <c r="N292" s="40"/>
      <c r="O292" s="34"/>
      <c r="P292" s="35"/>
      <c r="Q292" s="35"/>
      <c r="R292" s="35"/>
      <c r="S292" s="35"/>
      <c r="T292" s="35"/>
      <c r="U292" s="35"/>
      <c r="V292" s="35"/>
      <c r="W292" s="35"/>
      <c r="X292" s="35"/>
      <c r="Y292" s="35"/>
    </row>
    <row r="293" ht="14.25" customHeight="1">
      <c r="A293" s="221"/>
      <c r="B293" s="231"/>
      <c r="C293" s="116"/>
      <c r="D293" s="100"/>
      <c r="E293" s="117"/>
      <c r="F293" s="245"/>
      <c r="G293" s="506">
        <v>44805.0</v>
      </c>
      <c r="H293" s="36">
        <f t="shared" si="1"/>
        <v>0</v>
      </c>
      <c r="I293" s="37">
        <f t="shared" si="2"/>
        <v>0</v>
      </c>
      <c r="J293" s="38">
        <f t="shared" si="3"/>
        <v>0</v>
      </c>
      <c r="K293" s="39">
        <f t="shared" si="4"/>
        <v>0</v>
      </c>
      <c r="L293" s="38">
        <f t="shared" si="5"/>
        <v>0</v>
      </c>
      <c r="M293" s="39">
        <f t="shared" si="6"/>
        <v>0</v>
      </c>
      <c r="N293" s="40"/>
      <c r="O293" s="34"/>
      <c r="P293" s="35"/>
      <c r="Q293" s="35"/>
      <c r="R293" s="35"/>
      <c r="S293" s="35"/>
      <c r="T293" s="35"/>
      <c r="U293" s="35"/>
      <c r="V293" s="35"/>
      <c r="W293" s="35"/>
      <c r="X293" s="35"/>
      <c r="Y293" s="35"/>
    </row>
    <row r="294" ht="14.25" customHeight="1">
      <c r="A294" s="221"/>
      <c r="B294" s="231"/>
      <c r="C294" s="108"/>
      <c r="D294" s="85"/>
      <c r="E294" s="117"/>
      <c r="F294" s="245"/>
      <c r="G294" s="523">
        <v>44805.0</v>
      </c>
      <c r="H294" s="36">
        <f t="shared" si="1"/>
        <v>0</v>
      </c>
      <c r="I294" s="37">
        <f t="shared" si="2"/>
        <v>0</v>
      </c>
      <c r="J294" s="38">
        <f t="shared" si="3"/>
        <v>0</v>
      </c>
      <c r="K294" s="39">
        <f t="shared" si="4"/>
        <v>0</v>
      </c>
      <c r="L294" s="38">
        <f t="shared" si="5"/>
        <v>0</v>
      </c>
      <c r="M294" s="39">
        <f t="shared" si="6"/>
        <v>0</v>
      </c>
      <c r="N294" s="40"/>
      <c r="O294" s="34"/>
      <c r="P294" s="35"/>
      <c r="Q294" s="35"/>
      <c r="R294" s="35"/>
      <c r="S294" s="35"/>
      <c r="T294" s="35"/>
      <c r="U294" s="35"/>
      <c r="V294" s="35"/>
      <c r="W294" s="35"/>
      <c r="X294" s="35"/>
      <c r="Y294" s="35"/>
    </row>
    <row r="295" ht="14.25" customHeight="1">
      <c r="A295" s="221"/>
      <c r="B295" s="231"/>
      <c r="C295" s="108"/>
      <c r="D295" s="85"/>
      <c r="E295" s="117"/>
      <c r="F295" s="245"/>
      <c r="G295" s="506">
        <v>44805.0</v>
      </c>
      <c r="H295" s="36">
        <f t="shared" si="1"/>
        <v>0</v>
      </c>
      <c r="I295" s="37">
        <f t="shared" si="2"/>
        <v>0</v>
      </c>
      <c r="J295" s="38">
        <f t="shared" si="3"/>
        <v>0</v>
      </c>
      <c r="K295" s="39">
        <f t="shared" si="4"/>
        <v>0</v>
      </c>
      <c r="L295" s="38">
        <f t="shared" si="5"/>
        <v>0</v>
      </c>
      <c r="M295" s="39">
        <f t="shared" si="6"/>
        <v>0</v>
      </c>
      <c r="N295" s="40"/>
      <c r="O295" s="34"/>
      <c r="P295" s="35"/>
      <c r="Q295" s="35"/>
      <c r="R295" s="35"/>
      <c r="S295" s="35"/>
      <c r="T295" s="35"/>
      <c r="U295" s="35"/>
      <c r="V295" s="35"/>
      <c r="W295" s="35"/>
      <c r="X295" s="35"/>
      <c r="Y295" s="35"/>
    </row>
    <row r="296" ht="14.25" customHeight="1">
      <c r="A296" s="221"/>
      <c r="B296" s="231"/>
      <c r="C296" s="115"/>
      <c r="D296" s="100"/>
      <c r="E296" s="117"/>
      <c r="F296" s="245"/>
      <c r="G296" s="523">
        <v>44805.0</v>
      </c>
      <c r="H296" s="36">
        <f t="shared" si="1"/>
        <v>0</v>
      </c>
      <c r="I296" s="37">
        <f t="shared" si="2"/>
        <v>0</v>
      </c>
      <c r="J296" s="38">
        <f t="shared" si="3"/>
        <v>0</v>
      </c>
      <c r="K296" s="39">
        <f t="shared" si="4"/>
        <v>0</v>
      </c>
      <c r="L296" s="38">
        <f t="shared" si="5"/>
        <v>0</v>
      </c>
      <c r="M296" s="39">
        <f t="shared" si="6"/>
        <v>0</v>
      </c>
      <c r="N296" s="40"/>
      <c r="O296" s="34"/>
      <c r="P296" s="35"/>
      <c r="Q296" s="35"/>
      <c r="R296" s="35"/>
      <c r="S296" s="35"/>
      <c r="T296" s="35"/>
      <c r="U296" s="35"/>
      <c r="V296" s="35"/>
      <c r="W296" s="35"/>
      <c r="X296" s="35"/>
      <c r="Y296" s="35"/>
    </row>
    <row r="297" ht="14.25" customHeight="1">
      <c r="A297" s="221"/>
      <c r="B297" s="231"/>
      <c r="C297" s="116"/>
      <c r="D297" s="100"/>
      <c r="E297" s="117"/>
      <c r="F297" s="245"/>
      <c r="G297" s="506">
        <v>44805.0</v>
      </c>
      <c r="H297" s="36">
        <f t="shared" si="1"/>
        <v>0</v>
      </c>
      <c r="I297" s="37">
        <f t="shared" si="2"/>
        <v>0</v>
      </c>
      <c r="J297" s="38">
        <f t="shared" si="3"/>
        <v>0</v>
      </c>
      <c r="K297" s="39">
        <f t="shared" si="4"/>
        <v>0</v>
      </c>
      <c r="L297" s="38">
        <f t="shared" si="5"/>
        <v>0</v>
      </c>
      <c r="M297" s="39">
        <f t="shared" si="6"/>
        <v>0</v>
      </c>
      <c r="N297" s="40"/>
      <c r="O297" s="34"/>
      <c r="P297" s="35"/>
      <c r="Q297" s="35"/>
      <c r="R297" s="35"/>
      <c r="S297" s="35"/>
      <c r="T297" s="35"/>
      <c r="U297" s="35"/>
      <c r="V297" s="35"/>
      <c r="W297" s="35"/>
      <c r="X297" s="35"/>
      <c r="Y297" s="35"/>
    </row>
    <row r="298" ht="14.25" customHeight="1">
      <c r="A298" s="221"/>
      <c r="B298" s="231"/>
      <c r="C298" s="116"/>
      <c r="D298" s="100"/>
      <c r="E298" s="117"/>
      <c r="F298" s="245"/>
      <c r="G298" s="523">
        <v>44805.0</v>
      </c>
      <c r="H298" s="36">
        <f t="shared" si="1"/>
        <v>0</v>
      </c>
      <c r="I298" s="37">
        <f t="shared" si="2"/>
        <v>0</v>
      </c>
      <c r="J298" s="38">
        <f t="shared" si="3"/>
        <v>0</v>
      </c>
      <c r="K298" s="39">
        <f t="shared" si="4"/>
        <v>0</v>
      </c>
      <c r="L298" s="38">
        <f t="shared" si="5"/>
        <v>0</v>
      </c>
      <c r="M298" s="39">
        <f t="shared" si="6"/>
        <v>0</v>
      </c>
      <c r="N298" s="40"/>
      <c r="O298" s="34"/>
      <c r="P298" s="35"/>
      <c r="Q298" s="35"/>
      <c r="R298" s="35"/>
      <c r="S298" s="35"/>
      <c r="T298" s="35"/>
      <c r="U298" s="35"/>
      <c r="V298" s="35"/>
      <c r="W298" s="35"/>
      <c r="X298" s="35"/>
      <c r="Y298" s="35"/>
    </row>
    <row r="299" ht="14.25" customHeight="1">
      <c r="A299" s="221"/>
      <c r="B299" s="231"/>
      <c r="C299" s="115"/>
      <c r="D299" s="100"/>
      <c r="E299" s="117"/>
      <c r="F299" s="245"/>
      <c r="G299" s="506">
        <v>44805.0</v>
      </c>
      <c r="H299" s="36">
        <f t="shared" si="1"/>
        <v>0</v>
      </c>
      <c r="I299" s="37">
        <f t="shared" si="2"/>
        <v>0</v>
      </c>
      <c r="J299" s="38">
        <f t="shared" si="3"/>
        <v>0</v>
      </c>
      <c r="K299" s="39">
        <f t="shared" si="4"/>
        <v>0</v>
      </c>
      <c r="L299" s="38">
        <f t="shared" si="5"/>
        <v>0</v>
      </c>
      <c r="M299" s="39">
        <f t="shared" si="6"/>
        <v>0</v>
      </c>
      <c r="N299" s="40"/>
      <c r="O299" s="34"/>
      <c r="P299" s="35"/>
      <c r="Q299" s="35"/>
      <c r="R299" s="35"/>
      <c r="S299" s="35"/>
      <c r="T299" s="35"/>
      <c r="U299" s="35"/>
      <c r="V299" s="35"/>
      <c r="W299" s="35"/>
      <c r="X299" s="35"/>
      <c r="Y299" s="35"/>
    </row>
    <row r="300" ht="14.25" customHeight="1">
      <c r="A300" s="221"/>
      <c r="B300" s="231"/>
      <c r="C300" s="115"/>
      <c r="D300" s="100"/>
      <c r="E300" s="117"/>
      <c r="F300" s="245"/>
      <c r="G300" s="523">
        <v>44805.0</v>
      </c>
      <c r="H300" s="36">
        <f t="shared" si="1"/>
        <v>0</v>
      </c>
      <c r="I300" s="37">
        <f t="shared" si="2"/>
        <v>0</v>
      </c>
      <c r="J300" s="38">
        <f t="shared" si="3"/>
        <v>0</v>
      </c>
      <c r="K300" s="39">
        <f t="shared" si="4"/>
        <v>0</v>
      </c>
      <c r="L300" s="38">
        <f t="shared" si="5"/>
        <v>0</v>
      </c>
      <c r="M300" s="39">
        <f t="shared" si="6"/>
        <v>0</v>
      </c>
      <c r="N300" s="40"/>
      <c r="O300" s="34"/>
      <c r="P300" s="35"/>
      <c r="Q300" s="35"/>
      <c r="R300" s="35"/>
      <c r="S300" s="35"/>
      <c r="T300" s="35"/>
      <c r="U300" s="35"/>
      <c r="V300" s="35"/>
      <c r="W300" s="35"/>
      <c r="X300" s="35"/>
      <c r="Y300" s="35"/>
    </row>
    <row r="301" ht="14.25" customHeight="1">
      <c r="A301" s="221"/>
      <c r="B301" s="231"/>
      <c r="C301" s="115"/>
      <c r="D301" s="85"/>
      <c r="E301" s="117"/>
      <c r="F301" s="245"/>
      <c r="G301" s="506">
        <v>44805.0</v>
      </c>
      <c r="H301" s="36">
        <f t="shared" si="1"/>
        <v>0</v>
      </c>
      <c r="I301" s="37">
        <f t="shared" si="2"/>
        <v>0</v>
      </c>
      <c r="J301" s="38">
        <f t="shared" si="3"/>
        <v>0</v>
      </c>
      <c r="K301" s="39">
        <f t="shared" si="4"/>
        <v>0</v>
      </c>
      <c r="L301" s="38">
        <f t="shared" si="5"/>
        <v>0</v>
      </c>
      <c r="M301" s="39">
        <f t="shared" si="6"/>
        <v>0</v>
      </c>
      <c r="N301" s="40"/>
      <c r="O301" s="34"/>
      <c r="P301" s="35"/>
      <c r="Q301" s="35"/>
      <c r="R301" s="35"/>
      <c r="S301" s="35"/>
      <c r="T301" s="35"/>
      <c r="U301" s="35"/>
      <c r="V301" s="35"/>
      <c r="W301" s="35"/>
      <c r="X301" s="35"/>
      <c r="Y301" s="35"/>
    </row>
    <row r="302" ht="14.25" customHeight="1">
      <c r="A302" s="221"/>
      <c r="B302" s="231"/>
      <c r="C302" s="129"/>
      <c r="D302" s="89"/>
      <c r="E302" s="117"/>
      <c r="F302" s="245"/>
      <c r="G302" s="523">
        <v>44805.0</v>
      </c>
      <c r="H302" s="36">
        <f t="shared" si="1"/>
        <v>0</v>
      </c>
      <c r="I302" s="37">
        <f t="shared" si="2"/>
        <v>0</v>
      </c>
      <c r="J302" s="38">
        <f t="shared" si="3"/>
        <v>0</v>
      </c>
      <c r="K302" s="39">
        <f t="shared" si="4"/>
        <v>0</v>
      </c>
      <c r="L302" s="38">
        <f t="shared" si="5"/>
        <v>0</v>
      </c>
      <c r="M302" s="39">
        <f t="shared" si="6"/>
        <v>0</v>
      </c>
      <c r="N302" s="40"/>
      <c r="O302" s="34"/>
      <c r="P302" s="35"/>
      <c r="Q302" s="35"/>
      <c r="R302" s="35"/>
      <c r="S302" s="35"/>
      <c r="T302" s="35"/>
      <c r="U302" s="35"/>
      <c r="V302" s="35"/>
      <c r="W302" s="35"/>
      <c r="X302" s="35"/>
      <c r="Y302" s="35"/>
    </row>
    <row r="303" ht="14.25" customHeight="1">
      <c r="A303" s="221"/>
      <c r="B303" s="231"/>
      <c r="C303" s="110"/>
      <c r="D303" s="102"/>
      <c r="E303" s="117"/>
      <c r="F303" s="245"/>
      <c r="G303" s="506">
        <v>44805.0</v>
      </c>
      <c r="H303" s="36">
        <f t="shared" si="1"/>
        <v>0</v>
      </c>
      <c r="I303" s="37">
        <f t="shared" si="2"/>
        <v>0</v>
      </c>
      <c r="J303" s="38">
        <f t="shared" si="3"/>
        <v>0</v>
      </c>
      <c r="K303" s="39">
        <f t="shared" si="4"/>
        <v>0</v>
      </c>
      <c r="L303" s="38">
        <f t="shared" si="5"/>
        <v>0</v>
      </c>
      <c r="M303" s="39">
        <f t="shared" si="6"/>
        <v>0</v>
      </c>
      <c r="N303" s="40"/>
      <c r="O303" s="34"/>
      <c r="P303" s="35"/>
      <c r="Q303" s="35"/>
      <c r="R303" s="35"/>
      <c r="S303" s="35"/>
      <c r="T303" s="35"/>
      <c r="U303" s="35"/>
      <c r="V303" s="35"/>
      <c r="W303" s="35"/>
      <c r="X303" s="35"/>
      <c r="Y303" s="35"/>
    </row>
    <row r="304" ht="14.25" customHeight="1">
      <c r="A304" s="221"/>
      <c r="B304" s="231"/>
      <c r="C304" s="116"/>
      <c r="D304" s="85"/>
      <c r="E304" s="117"/>
      <c r="F304" s="245"/>
      <c r="G304" s="523">
        <v>44805.0</v>
      </c>
      <c r="H304" s="36">
        <f t="shared" si="1"/>
        <v>0</v>
      </c>
      <c r="I304" s="37">
        <f t="shared" si="2"/>
        <v>0</v>
      </c>
      <c r="J304" s="38">
        <f t="shared" si="3"/>
        <v>0</v>
      </c>
      <c r="K304" s="39">
        <f t="shared" si="4"/>
        <v>0</v>
      </c>
      <c r="L304" s="38">
        <f t="shared" si="5"/>
        <v>0</v>
      </c>
      <c r="M304" s="39">
        <f t="shared" si="6"/>
        <v>0</v>
      </c>
      <c r="N304" s="40"/>
      <c r="O304" s="34"/>
      <c r="P304" s="35"/>
      <c r="Q304" s="35"/>
      <c r="R304" s="35"/>
      <c r="S304" s="35"/>
      <c r="T304" s="35"/>
      <c r="U304" s="35"/>
      <c r="V304" s="35"/>
      <c r="W304" s="35"/>
      <c r="X304" s="35"/>
      <c r="Y304" s="35"/>
    </row>
    <row r="305" ht="14.25" customHeight="1">
      <c r="A305" s="221"/>
      <c r="B305" s="231"/>
      <c r="C305" s="116"/>
      <c r="D305" s="85"/>
      <c r="E305" s="117"/>
      <c r="F305" s="245"/>
      <c r="G305" s="506">
        <v>44805.0</v>
      </c>
      <c r="H305" s="36">
        <f t="shared" si="1"/>
        <v>0</v>
      </c>
      <c r="I305" s="37">
        <f t="shared" si="2"/>
        <v>0</v>
      </c>
      <c r="J305" s="38">
        <f t="shared" si="3"/>
        <v>0</v>
      </c>
      <c r="K305" s="39">
        <f t="shared" si="4"/>
        <v>0</v>
      </c>
      <c r="L305" s="38">
        <f t="shared" si="5"/>
        <v>0</v>
      </c>
      <c r="M305" s="39">
        <f t="shared" si="6"/>
        <v>0</v>
      </c>
      <c r="N305" s="40"/>
      <c r="O305" s="34"/>
      <c r="P305" s="35"/>
      <c r="Q305" s="35"/>
      <c r="R305" s="35"/>
      <c r="S305" s="35"/>
      <c r="T305" s="35"/>
      <c r="U305" s="35"/>
      <c r="V305" s="35"/>
      <c r="W305" s="35"/>
      <c r="X305" s="35"/>
      <c r="Y305" s="35"/>
    </row>
    <row r="306" ht="14.25" customHeight="1">
      <c r="A306" s="221"/>
      <c r="B306" s="231"/>
      <c r="C306" s="116"/>
      <c r="D306" s="85"/>
      <c r="E306" s="117"/>
      <c r="F306" s="245"/>
      <c r="G306" s="523">
        <v>44805.0</v>
      </c>
      <c r="H306" s="36">
        <f t="shared" si="1"/>
        <v>0</v>
      </c>
      <c r="I306" s="37">
        <f t="shared" si="2"/>
        <v>0</v>
      </c>
      <c r="J306" s="38">
        <f t="shared" si="3"/>
        <v>0</v>
      </c>
      <c r="K306" s="39">
        <f t="shared" si="4"/>
        <v>0</v>
      </c>
      <c r="L306" s="38">
        <f t="shared" si="5"/>
        <v>0</v>
      </c>
      <c r="M306" s="39">
        <f t="shared" si="6"/>
        <v>0</v>
      </c>
      <c r="N306" s="40"/>
      <c r="O306" s="34"/>
      <c r="P306" s="35"/>
      <c r="Q306" s="35"/>
      <c r="R306" s="35"/>
      <c r="S306" s="35"/>
      <c r="T306" s="35"/>
      <c r="U306" s="35"/>
      <c r="V306" s="35"/>
      <c r="W306" s="35"/>
      <c r="X306" s="35"/>
      <c r="Y306" s="35"/>
    </row>
    <row r="307" ht="14.25" customHeight="1">
      <c r="A307" s="221"/>
      <c r="B307" s="231"/>
      <c r="C307" s="116"/>
      <c r="D307" s="85"/>
      <c r="E307" s="117"/>
      <c r="F307" s="245"/>
      <c r="G307" s="506">
        <v>44805.0</v>
      </c>
      <c r="H307" s="36">
        <f t="shared" si="1"/>
        <v>0</v>
      </c>
      <c r="I307" s="37">
        <f t="shared" si="2"/>
        <v>0</v>
      </c>
      <c r="J307" s="38">
        <f t="shared" si="3"/>
        <v>0</v>
      </c>
      <c r="K307" s="39">
        <f t="shared" si="4"/>
        <v>0</v>
      </c>
      <c r="L307" s="38">
        <f t="shared" si="5"/>
        <v>0</v>
      </c>
      <c r="M307" s="39">
        <f t="shared" si="6"/>
        <v>0</v>
      </c>
      <c r="N307" s="40"/>
      <c r="O307" s="34"/>
      <c r="P307" s="35"/>
      <c r="Q307" s="35"/>
      <c r="R307" s="35"/>
      <c r="S307" s="35"/>
      <c r="T307" s="35"/>
      <c r="U307" s="35"/>
      <c r="V307" s="35"/>
      <c r="W307" s="35"/>
      <c r="X307" s="35"/>
      <c r="Y307" s="35"/>
    </row>
    <row r="308" ht="14.25" customHeight="1">
      <c r="A308" s="221"/>
      <c r="B308" s="231"/>
      <c r="C308" s="110"/>
      <c r="D308" s="122"/>
      <c r="E308" s="117"/>
      <c r="F308" s="245"/>
      <c r="G308" s="523">
        <v>44805.0</v>
      </c>
      <c r="H308" s="36">
        <f t="shared" si="1"/>
        <v>0</v>
      </c>
      <c r="I308" s="37">
        <f t="shared" si="2"/>
        <v>0</v>
      </c>
      <c r="J308" s="38">
        <f t="shared" si="3"/>
        <v>0</v>
      </c>
      <c r="K308" s="39">
        <f t="shared" si="4"/>
        <v>0</v>
      </c>
      <c r="L308" s="38">
        <f t="shared" si="5"/>
        <v>0</v>
      </c>
      <c r="M308" s="39">
        <f t="shared" si="6"/>
        <v>0</v>
      </c>
      <c r="N308" s="40"/>
      <c r="O308" s="34"/>
      <c r="P308" s="35"/>
      <c r="Q308" s="35"/>
      <c r="R308" s="35"/>
      <c r="S308" s="35"/>
      <c r="T308" s="35"/>
      <c r="U308" s="35"/>
      <c r="V308" s="35"/>
      <c r="W308" s="35"/>
      <c r="X308" s="35"/>
      <c r="Y308" s="35"/>
    </row>
    <row r="309" ht="14.25" customHeight="1">
      <c r="A309" s="221"/>
      <c r="B309" s="231"/>
      <c r="C309" s="110"/>
      <c r="D309" s="122"/>
      <c r="E309" s="117"/>
      <c r="F309" s="245"/>
      <c r="G309" s="506">
        <v>44805.0</v>
      </c>
      <c r="H309" s="36">
        <f t="shared" si="1"/>
        <v>0</v>
      </c>
      <c r="I309" s="37">
        <f t="shared" si="2"/>
        <v>0</v>
      </c>
      <c r="J309" s="38">
        <f t="shared" si="3"/>
        <v>0</v>
      </c>
      <c r="K309" s="39">
        <f t="shared" si="4"/>
        <v>0</v>
      </c>
      <c r="L309" s="38">
        <f t="shared" si="5"/>
        <v>0</v>
      </c>
      <c r="M309" s="39">
        <f t="shared" si="6"/>
        <v>0</v>
      </c>
      <c r="N309" s="40"/>
      <c r="O309" s="34"/>
      <c r="P309" s="35"/>
      <c r="Q309" s="35"/>
      <c r="R309" s="35"/>
      <c r="S309" s="35"/>
      <c r="T309" s="35"/>
      <c r="U309" s="35"/>
      <c r="V309" s="35"/>
      <c r="W309" s="35"/>
      <c r="X309" s="35"/>
      <c r="Y309" s="35"/>
    </row>
    <row r="310" ht="14.25" customHeight="1">
      <c r="A310" s="221"/>
      <c r="B310" s="231"/>
      <c r="C310" s="110"/>
      <c r="D310" s="102"/>
      <c r="E310" s="117"/>
      <c r="F310" s="245"/>
      <c r="G310" s="523">
        <v>44805.0</v>
      </c>
      <c r="H310" s="36">
        <f t="shared" si="1"/>
        <v>0</v>
      </c>
      <c r="I310" s="37">
        <f t="shared" si="2"/>
        <v>0</v>
      </c>
      <c r="J310" s="38">
        <f t="shared" si="3"/>
        <v>0</v>
      </c>
      <c r="K310" s="39">
        <f t="shared" si="4"/>
        <v>0</v>
      </c>
      <c r="L310" s="38">
        <f t="shared" si="5"/>
        <v>0</v>
      </c>
      <c r="M310" s="39">
        <f t="shared" si="6"/>
        <v>0</v>
      </c>
      <c r="N310" s="40"/>
      <c r="O310" s="34"/>
      <c r="P310" s="35"/>
      <c r="Q310" s="35"/>
      <c r="R310" s="35"/>
      <c r="S310" s="35"/>
      <c r="T310" s="35"/>
      <c r="U310" s="35"/>
      <c r="V310" s="35"/>
      <c r="W310" s="35"/>
      <c r="X310" s="35"/>
      <c r="Y310" s="35"/>
    </row>
    <row r="311" ht="14.25" customHeight="1">
      <c r="A311" s="221"/>
      <c r="B311" s="231"/>
      <c r="C311" s="108"/>
      <c r="D311" s="85"/>
      <c r="E311" s="117"/>
      <c r="F311" s="245"/>
      <c r="G311" s="506">
        <v>44805.0</v>
      </c>
      <c r="H311" s="36">
        <f t="shared" si="1"/>
        <v>0</v>
      </c>
      <c r="I311" s="37">
        <f t="shared" si="2"/>
        <v>0</v>
      </c>
      <c r="J311" s="38">
        <f t="shared" si="3"/>
        <v>0</v>
      </c>
      <c r="K311" s="39">
        <f t="shared" si="4"/>
        <v>0</v>
      </c>
      <c r="L311" s="38">
        <f t="shared" si="5"/>
        <v>0</v>
      </c>
      <c r="M311" s="39">
        <f t="shared" si="6"/>
        <v>0</v>
      </c>
      <c r="N311" s="40"/>
      <c r="O311" s="34"/>
      <c r="P311" s="35"/>
      <c r="Q311" s="35"/>
      <c r="R311" s="35"/>
      <c r="S311" s="35"/>
      <c r="T311" s="35"/>
      <c r="U311" s="35"/>
      <c r="V311" s="35"/>
      <c r="W311" s="35"/>
      <c r="X311" s="35"/>
      <c r="Y311" s="35"/>
    </row>
    <row r="312" ht="14.25" customHeight="1">
      <c r="A312" s="221"/>
      <c r="B312" s="231"/>
      <c r="C312" s="108"/>
      <c r="D312" s="85"/>
      <c r="E312" s="117"/>
      <c r="F312" s="245"/>
      <c r="G312" s="523">
        <v>44805.0</v>
      </c>
      <c r="H312" s="36">
        <f t="shared" si="1"/>
        <v>0</v>
      </c>
      <c r="I312" s="37">
        <f t="shared" si="2"/>
        <v>0</v>
      </c>
      <c r="J312" s="38">
        <f t="shared" si="3"/>
        <v>0</v>
      </c>
      <c r="K312" s="39">
        <f t="shared" si="4"/>
        <v>0</v>
      </c>
      <c r="L312" s="38">
        <f t="shared" si="5"/>
        <v>0</v>
      </c>
      <c r="M312" s="39">
        <f t="shared" si="6"/>
        <v>0</v>
      </c>
      <c r="N312" s="40"/>
      <c r="O312" s="34"/>
      <c r="P312" s="35"/>
      <c r="Q312" s="35"/>
      <c r="R312" s="35"/>
      <c r="S312" s="35"/>
      <c r="T312" s="35"/>
      <c r="U312" s="35"/>
      <c r="V312" s="35"/>
      <c r="W312" s="35"/>
      <c r="X312" s="35"/>
      <c r="Y312" s="35"/>
    </row>
    <row r="313" ht="14.25" customHeight="1">
      <c r="A313" s="221"/>
      <c r="B313" s="231"/>
      <c r="C313" s="108"/>
      <c r="D313" s="85"/>
      <c r="E313" s="117"/>
      <c r="F313" s="245"/>
      <c r="G313" s="506">
        <v>44805.0</v>
      </c>
      <c r="H313" s="36">
        <f t="shared" si="1"/>
        <v>0</v>
      </c>
      <c r="I313" s="37">
        <f t="shared" si="2"/>
        <v>0</v>
      </c>
      <c r="J313" s="38">
        <f t="shared" si="3"/>
        <v>0</v>
      </c>
      <c r="K313" s="39">
        <f t="shared" si="4"/>
        <v>0</v>
      </c>
      <c r="L313" s="38">
        <f t="shared" si="5"/>
        <v>0</v>
      </c>
      <c r="M313" s="39">
        <f t="shared" si="6"/>
        <v>0</v>
      </c>
      <c r="N313" s="40"/>
      <c r="O313" s="34"/>
      <c r="P313" s="35"/>
      <c r="Q313" s="35"/>
      <c r="R313" s="35"/>
      <c r="S313" s="35"/>
      <c r="T313" s="35"/>
      <c r="U313" s="35"/>
      <c r="V313" s="35"/>
      <c r="W313" s="35"/>
      <c r="X313" s="35"/>
      <c r="Y313" s="35"/>
    </row>
    <row r="314" ht="14.25" customHeight="1">
      <c r="A314" s="221"/>
      <c r="B314" s="231"/>
      <c r="C314" s="108"/>
      <c r="D314" s="85"/>
      <c r="E314" s="117"/>
      <c r="F314" s="245"/>
      <c r="G314" s="523">
        <v>44805.0</v>
      </c>
      <c r="H314" s="36">
        <f t="shared" si="1"/>
        <v>0</v>
      </c>
      <c r="I314" s="37">
        <f t="shared" si="2"/>
        <v>0</v>
      </c>
      <c r="J314" s="38">
        <f t="shared" si="3"/>
        <v>0</v>
      </c>
      <c r="K314" s="39">
        <f t="shared" si="4"/>
        <v>0</v>
      </c>
      <c r="L314" s="38">
        <f t="shared" si="5"/>
        <v>0</v>
      </c>
      <c r="M314" s="39">
        <f t="shared" si="6"/>
        <v>0</v>
      </c>
      <c r="N314" s="40"/>
      <c r="O314" s="34"/>
      <c r="P314" s="35"/>
      <c r="Q314" s="35"/>
      <c r="R314" s="35"/>
      <c r="S314" s="35"/>
      <c r="T314" s="35"/>
      <c r="U314" s="35"/>
      <c r="V314" s="35"/>
      <c r="W314" s="35"/>
      <c r="X314" s="35"/>
      <c r="Y314" s="35"/>
    </row>
    <row r="315" ht="14.25" customHeight="1">
      <c r="A315" s="221"/>
      <c r="B315" s="231"/>
      <c r="C315" s="108"/>
      <c r="D315" s="85"/>
      <c r="E315" s="117"/>
      <c r="F315" s="245"/>
      <c r="G315" s="506">
        <v>44805.0</v>
      </c>
      <c r="H315" s="36">
        <f t="shared" si="1"/>
        <v>0</v>
      </c>
      <c r="I315" s="37">
        <f t="shared" si="2"/>
        <v>0</v>
      </c>
      <c r="J315" s="38">
        <f t="shared" si="3"/>
        <v>0</v>
      </c>
      <c r="K315" s="39">
        <f t="shared" si="4"/>
        <v>0</v>
      </c>
      <c r="L315" s="38">
        <f t="shared" si="5"/>
        <v>0</v>
      </c>
      <c r="M315" s="39">
        <f t="shared" si="6"/>
        <v>0</v>
      </c>
      <c r="N315" s="40"/>
      <c r="O315" s="34"/>
      <c r="P315" s="35"/>
      <c r="Q315" s="35"/>
      <c r="R315" s="35"/>
      <c r="S315" s="35"/>
      <c r="T315" s="35"/>
      <c r="U315" s="35"/>
      <c r="V315" s="35"/>
      <c r="W315" s="35"/>
      <c r="X315" s="35"/>
      <c r="Y315" s="35"/>
    </row>
    <row r="316" ht="14.25" customHeight="1">
      <c r="A316" s="221"/>
      <c r="B316" s="231"/>
      <c r="C316" s="108"/>
      <c r="D316" s="85"/>
      <c r="E316" s="117"/>
      <c r="F316" s="245"/>
      <c r="G316" s="523">
        <v>44805.0</v>
      </c>
      <c r="H316" s="36">
        <f t="shared" si="1"/>
        <v>0</v>
      </c>
      <c r="I316" s="37">
        <f t="shared" si="2"/>
        <v>0</v>
      </c>
      <c r="J316" s="38">
        <f t="shared" si="3"/>
        <v>0</v>
      </c>
      <c r="K316" s="39">
        <f t="shared" si="4"/>
        <v>0</v>
      </c>
      <c r="L316" s="38">
        <f t="shared" si="5"/>
        <v>0</v>
      </c>
      <c r="M316" s="39">
        <f t="shared" si="6"/>
        <v>0</v>
      </c>
      <c r="N316" s="40"/>
      <c r="O316" s="34"/>
      <c r="P316" s="35"/>
      <c r="Q316" s="35"/>
      <c r="R316" s="35"/>
      <c r="S316" s="35"/>
      <c r="T316" s="35"/>
      <c r="U316" s="35"/>
      <c r="V316" s="35"/>
      <c r="W316" s="35"/>
      <c r="X316" s="35"/>
      <c r="Y316" s="35"/>
    </row>
    <row r="317" ht="14.25" customHeight="1">
      <c r="A317" s="221"/>
      <c r="B317" s="231"/>
      <c r="C317" s="108"/>
      <c r="D317" s="85"/>
      <c r="E317" s="117"/>
      <c r="F317" s="245"/>
      <c r="G317" s="506">
        <v>44805.0</v>
      </c>
      <c r="H317" s="36">
        <f t="shared" si="1"/>
        <v>0</v>
      </c>
      <c r="I317" s="37">
        <f t="shared" si="2"/>
        <v>0</v>
      </c>
      <c r="J317" s="38">
        <f t="shared" si="3"/>
        <v>0</v>
      </c>
      <c r="K317" s="39">
        <f t="shared" si="4"/>
        <v>0</v>
      </c>
      <c r="L317" s="38">
        <f t="shared" si="5"/>
        <v>0</v>
      </c>
      <c r="M317" s="39">
        <f t="shared" si="6"/>
        <v>0</v>
      </c>
      <c r="N317" s="40"/>
      <c r="O317" s="34"/>
      <c r="P317" s="35"/>
      <c r="Q317" s="35"/>
      <c r="R317" s="35"/>
      <c r="S317" s="35"/>
      <c r="T317" s="35"/>
      <c r="U317" s="35"/>
      <c r="V317" s="35"/>
      <c r="W317" s="35"/>
      <c r="X317" s="35"/>
      <c r="Y317" s="35"/>
    </row>
    <row r="318" ht="14.25" customHeight="1">
      <c r="A318" s="221"/>
      <c r="B318" s="231"/>
      <c r="C318" s="129"/>
      <c r="D318" s="85"/>
      <c r="E318" s="117"/>
      <c r="F318" s="245"/>
      <c r="G318" s="523">
        <v>44805.0</v>
      </c>
      <c r="H318" s="36">
        <f t="shared" si="1"/>
        <v>0</v>
      </c>
      <c r="I318" s="37">
        <f t="shared" si="2"/>
        <v>0</v>
      </c>
      <c r="J318" s="38">
        <f t="shared" si="3"/>
        <v>0</v>
      </c>
      <c r="K318" s="39">
        <f t="shared" si="4"/>
        <v>0</v>
      </c>
      <c r="L318" s="38">
        <f t="shared" si="5"/>
        <v>0</v>
      </c>
      <c r="M318" s="39">
        <f t="shared" si="6"/>
        <v>0</v>
      </c>
      <c r="N318" s="40"/>
      <c r="O318" s="34"/>
      <c r="P318" s="35"/>
      <c r="Q318" s="35"/>
      <c r="R318" s="35"/>
      <c r="S318" s="35"/>
      <c r="T318" s="35"/>
      <c r="U318" s="35"/>
      <c r="V318" s="35"/>
      <c r="W318" s="35"/>
      <c r="X318" s="35"/>
      <c r="Y318" s="35"/>
    </row>
    <row r="319" ht="14.25" customHeight="1">
      <c r="A319" s="221"/>
      <c r="B319" s="231"/>
      <c r="C319" s="108"/>
      <c r="D319" s="102"/>
      <c r="E319" s="117"/>
      <c r="F319" s="245"/>
      <c r="G319" s="506">
        <v>44805.0</v>
      </c>
      <c r="H319" s="36">
        <f t="shared" si="1"/>
        <v>0</v>
      </c>
      <c r="I319" s="37">
        <f t="shared" si="2"/>
        <v>0</v>
      </c>
      <c r="J319" s="38">
        <f t="shared" si="3"/>
        <v>0</v>
      </c>
      <c r="K319" s="39">
        <f t="shared" si="4"/>
        <v>0</v>
      </c>
      <c r="L319" s="38">
        <f t="shared" si="5"/>
        <v>0</v>
      </c>
      <c r="M319" s="39">
        <f t="shared" si="6"/>
        <v>0</v>
      </c>
      <c r="N319" s="40"/>
      <c r="O319" s="34"/>
      <c r="P319" s="35"/>
      <c r="Q319" s="35"/>
      <c r="R319" s="35"/>
      <c r="S319" s="35"/>
      <c r="T319" s="35"/>
      <c r="U319" s="35"/>
      <c r="V319" s="35"/>
      <c r="W319" s="35"/>
      <c r="X319" s="35"/>
      <c r="Y319" s="35"/>
    </row>
    <row r="320" ht="14.25" customHeight="1">
      <c r="A320" s="221"/>
      <c r="B320" s="231"/>
      <c r="C320" s="108"/>
      <c r="D320" s="90"/>
      <c r="E320" s="117"/>
      <c r="F320" s="245"/>
      <c r="G320" s="523">
        <v>44805.0</v>
      </c>
      <c r="H320" s="36">
        <f t="shared" si="1"/>
        <v>0</v>
      </c>
      <c r="I320" s="37">
        <f t="shared" si="2"/>
        <v>0</v>
      </c>
      <c r="J320" s="38">
        <f t="shared" si="3"/>
        <v>0</v>
      </c>
      <c r="K320" s="39">
        <f t="shared" si="4"/>
        <v>0</v>
      </c>
      <c r="L320" s="38">
        <f t="shared" si="5"/>
        <v>0</v>
      </c>
      <c r="M320" s="39">
        <f t="shared" si="6"/>
        <v>0</v>
      </c>
      <c r="N320" s="40"/>
      <c r="O320" s="34"/>
      <c r="P320" s="35"/>
      <c r="Q320" s="35"/>
      <c r="R320" s="35"/>
      <c r="S320" s="35"/>
      <c r="T320" s="35"/>
      <c r="U320" s="35"/>
      <c r="V320" s="35"/>
      <c r="W320" s="35"/>
      <c r="X320" s="35"/>
      <c r="Y320" s="35"/>
    </row>
    <row r="321" ht="14.25" customHeight="1">
      <c r="A321" s="221"/>
      <c r="B321" s="231"/>
      <c r="C321" s="132"/>
      <c r="D321" s="42"/>
      <c r="E321" s="117"/>
      <c r="F321" s="248"/>
      <c r="G321" s="506">
        <v>44805.0</v>
      </c>
      <c r="H321" s="36">
        <f t="shared" si="1"/>
        <v>0</v>
      </c>
      <c r="I321" s="37">
        <f t="shared" si="2"/>
        <v>0</v>
      </c>
      <c r="J321" s="38">
        <f t="shared" si="3"/>
        <v>0</v>
      </c>
      <c r="K321" s="39">
        <f t="shared" si="4"/>
        <v>0</v>
      </c>
      <c r="L321" s="38">
        <f t="shared" si="5"/>
        <v>0</v>
      </c>
      <c r="M321" s="39">
        <f t="shared" si="6"/>
        <v>0</v>
      </c>
      <c r="N321" s="40"/>
      <c r="O321" s="34"/>
      <c r="P321" s="35"/>
      <c r="Q321" s="35"/>
      <c r="R321" s="35"/>
      <c r="S321" s="35"/>
      <c r="T321" s="35"/>
      <c r="U321" s="35"/>
      <c r="V321" s="35"/>
      <c r="W321" s="35"/>
      <c r="X321" s="35"/>
      <c r="Y321" s="35"/>
    </row>
    <row r="322" ht="14.25" customHeight="1">
      <c r="A322" s="221"/>
      <c r="B322" s="231"/>
      <c r="C322" s="115"/>
      <c r="D322" s="100"/>
      <c r="E322" s="117"/>
      <c r="F322" s="249"/>
      <c r="G322" s="523">
        <v>44805.0</v>
      </c>
      <c r="H322" s="36">
        <f t="shared" si="1"/>
        <v>0</v>
      </c>
      <c r="I322" s="37">
        <f t="shared" si="2"/>
        <v>0</v>
      </c>
      <c r="J322" s="38">
        <f t="shared" si="3"/>
        <v>0</v>
      </c>
      <c r="K322" s="39">
        <f t="shared" si="4"/>
        <v>0</v>
      </c>
      <c r="L322" s="38">
        <f t="shared" si="5"/>
        <v>0</v>
      </c>
      <c r="M322" s="39">
        <f t="shared" si="6"/>
        <v>0</v>
      </c>
      <c r="N322" s="40"/>
      <c r="O322" s="34"/>
      <c r="P322" s="35"/>
      <c r="Q322" s="35"/>
      <c r="R322" s="35"/>
      <c r="S322" s="35"/>
      <c r="T322" s="35"/>
      <c r="U322" s="35"/>
      <c r="V322" s="35"/>
      <c r="W322" s="35"/>
      <c r="X322" s="35"/>
      <c r="Y322" s="35"/>
    </row>
    <row r="323" ht="14.25" customHeight="1">
      <c r="A323" s="221"/>
      <c r="B323" s="231"/>
      <c r="C323" s="115"/>
      <c r="D323" s="100"/>
      <c r="E323" s="117"/>
      <c r="F323" s="249"/>
      <c r="G323" s="506">
        <v>44805.0</v>
      </c>
      <c r="H323" s="36">
        <f t="shared" si="1"/>
        <v>0</v>
      </c>
      <c r="I323" s="37">
        <f t="shared" si="2"/>
        <v>0</v>
      </c>
      <c r="J323" s="38">
        <f t="shared" si="3"/>
        <v>0</v>
      </c>
      <c r="K323" s="39">
        <f t="shared" si="4"/>
        <v>0</v>
      </c>
      <c r="L323" s="38">
        <f t="shared" si="5"/>
        <v>0</v>
      </c>
      <c r="M323" s="39">
        <f t="shared" si="6"/>
        <v>0</v>
      </c>
      <c r="N323" s="40"/>
      <c r="O323" s="34"/>
      <c r="P323" s="35"/>
      <c r="Q323" s="35"/>
      <c r="R323" s="35"/>
      <c r="S323" s="35"/>
      <c r="T323" s="35"/>
      <c r="U323" s="35"/>
      <c r="V323" s="35"/>
      <c r="W323" s="35"/>
      <c r="X323" s="35"/>
      <c r="Y323" s="35"/>
    </row>
    <row r="324" ht="14.25" customHeight="1">
      <c r="A324" s="221"/>
      <c r="B324" s="231"/>
      <c r="C324" s="115"/>
      <c r="D324" s="100"/>
      <c r="E324" s="117"/>
      <c r="F324" s="249"/>
      <c r="G324" s="523">
        <v>44805.0</v>
      </c>
      <c r="H324" s="36">
        <f t="shared" si="1"/>
        <v>0</v>
      </c>
      <c r="I324" s="37">
        <f t="shared" si="2"/>
        <v>0</v>
      </c>
      <c r="J324" s="38">
        <f t="shared" si="3"/>
        <v>0</v>
      </c>
      <c r="K324" s="39">
        <f t="shared" si="4"/>
        <v>0</v>
      </c>
      <c r="L324" s="38">
        <f t="shared" si="5"/>
        <v>0</v>
      </c>
      <c r="M324" s="39">
        <f t="shared" si="6"/>
        <v>0</v>
      </c>
      <c r="N324" s="40"/>
      <c r="O324" s="34"/>
      <c r="P324" s="35"/>
      <c r="Q324" s="35"/>
      <c r="R324" s="35"/>
      <c r="S324" s="35"/>
      <c r="T324" s="35"/>
      <c r="U324" s="35"/>
      <c r="V324" s="35"/>
      <c r="W324" s="35"/>
      <c r="X324" s="35"/>
      <c r="Y324" s="35"/>
    </row>
    <row r="325" ht="14.25" customHeight="1">
      <c r="A325" s="221"/>
      <c r="B325" s="231"/>
      <c r="C325" s="115"/>
      <c r="D325" s="100"/>
      <c r="E325" s="117"/>
      <c r="F325" s="249"/>
      <c r="G325" s="506">
        <v>44805.0</v>
      </c>
      <c r="H325" s="36">
        <f t="shared" si="1"/>
        <v>0</v>
      </c>
      <c r="I325" s="37">
        <f t="shared" si="2"/>
        <v>0</v>
      </c>
      <c r="J325" s="38">
        <f t="shared" si="3"/>
        <v>0</v>
      </c>
      <c r="K325" s="39">
        <f t="shared" si="4"/>
        <v>0</v>
      </c>
      <c r="L325" s="38">
        <f t="shared" si="5"/>
        <v>0</v>
      </c>
      <c r="M325" s="39">
        <f t="shared" si="6"/>
        <v>0</v>
      </c>
      <c r="N325" s="40"/>
      <c r="O325" s="34"/>
      <c r="P325" s="35"/>
      <c r="Q325" s="35"/>
      <c r="R325" s="35"/>
      <c r="S325" s="35"/>
      <c r="T325" s="35"/>
      <c r="U325" s="35"/>
      <c r="V325" s="35"/>
      <c r="W325" s="35"/>
      <c r="X325" s="35"/>
      <c r="Y325" s="35"/>
    </row>
    <row r="326" ht="14.25" customHeight="1">
      <c r="A326" s="221"/>
      <c r="B326" s="231"/>
      <c r="C326" s="115"/>
      <c r="D326" s="100"/>
      <c r="E326" s="117"/>
      <c r="F326" s="249"/>
      <c r="G326" s="523">
        <v>44805.0</v>
      </c>
      <c r="H326" s="36">
        <f t="shared" si="1"/>
        <v>0</v>
      </c>
      <c r="I326" s="37">
        <f t="shared" si="2"/>
        <v>0</v>
      </c>
      <c r="J326" s="38">
        <f t="shared" si="3"/>
        <v>0</v>
      </c>
      <c r="K326" s="39">
        <f t="shared" si="4"/>
        <v>0</v>
      </c>
      <c r="L326" s="38">
        <f t="shared" si="5"/>
        <v>0</v>
      </c>
      <c r="M326" s="39">
        <f t="shared" si="6"/>
        <v>0</v>
      </c>
      <c r="N326" s="40"/>
      <c r="O326" s="34"/>
      <c r="P326" s="35"/>
      <c r="Q326" s="35"/>
      <c r="R326" s="35"/>
      <c r="S326" s="35"/>
      <c r="T326" s="35"/>
      <c r="U326" s="35"/>
      <c r="V326" s="35"/>
      <c r="W326" s="35"/>
      <c r="X326" s="35"/>
      <c r="Y326" s="35"/>
    </row>
    <row r="327" ht="14.25" customHeight="1">
      <c r="A327" s="221"/>
      <c r="B327" s="231"/>
      <c r="C327" s="115"/>
      <c r="D327" s="100"/>
      <c r="E327" s="117"/>
      <c r="F327" s="249"/>
      <c r="G327" s="506">
        <v>44805.0</v>
      </c>
      <c r="H327" s="36">
        <f t="shared" si="1"/>
        <v>0</v>
      </c>
      <c r="I327" s="37">
        <f t="shared" si="2"/>
        <v>0</v>
      </c>
      <c r="J327" s="38">
        <f t="shared" si="3"/>
        <v>0</v>
      </c>
      <c r="K327" s="39">
        <f t="shared" si="4"/>
        <v>0</v>
      </c>
      <c r="L327" s="38">
        <f t="shared" si="5"/>
        <v>0</v>
      </c>
      <c r="M327" s="39">
        <f t="shared" si="6"/>
        <v>0</v>
      </c>
      <c r="N327" s="40"/>
      <c r="O327" s="34"/>
      <c r="P327" s="35"/>
      <c r="Q327" s="35"/>
      <c r="R327" s="35"/>
      <c r="S327" s="35"/>
      <c r="T327" s="35"/>
      <c r="U327" s="35"/>
      <c r="V327" s="35"/>
      <c r="W327" s="35"/>
      <c r="X327" s="35"/>
      <c r="Y327" s="35"/>
    </row>
    <row r="328" ht="14.25" customHeight="1">
      <c r="A328" s="221"/>
      <c r="B328" s="231"/>
      <c r="C328" s="115"/>
      <c r="D328" s="100"/>
      <c r="E328" s="117"/>
      <c r="F328" s="238"/>
      <c r="G328" s="523">
        <v>44805.0</v>
      </c>
      <c r="H328" s="36">
        <f t="shared" si="1"/>
        <v>0</v>
      </c>
      <c r="I328" s="37">
        <f t="shared" si="2"/>
        <v>0</v>
      </c>
      <c r="J328" s="38">
        <f t="shared" si="3"/>
        <v>0</v>
      </c>
      <c r="K328" s="39">
        <f t="shared" si="4"/>
        <v>0</v>
      </c>
      <c r="L328" s="38">
        <f t="shared" si="5"/>
        <v>0</v>
      </c>
      <c r="M328" s="39">
        <f t="shared" si="6"/>
        <v>0</v>
      </c>
      <c r="N328" s="40"/>
      <c r="O328" s="34"/>
      <c r="P328" s="35"/>
      <c r="Q328" s="35"/>
      <c r="R328" s="35"/>
      <c r="S328" s="35"/>
      <c r="T328" s="35"/>
      <c r="U328" s="35"/>
      <c r="V328" s="35"/>
      <c r="W328" s="35"/>
      <c r="X328" s="35"/>
      <c r="Y328" s="35"/>
    </row>
    <row r="329" ht="14.25" customHeight="1">
      <c r="A329" s="221"/>
      <c r="B329" s="231"/>
      <c r="C329" s="108"/>
      <c r="D329" s="85"/>
      <c r="E329" s="117"/>
      <c r="F329" s="242"/>
      <c r="G329" s="506">
        <v>44805.0</v>
      </c>
      <c r="H329" s="36">
        <f t="shared" si="1"/>
        <v>0</v>
      </c>
      <c r="I329" s="37">
        <f t="shared" si="2"/>
        <v>0</v>
      </c>
      <c r="J329" s="38">
        <f t="shared" si="3"/>
        <v>0</v>
      </c>
      <c r="K329" s="39">
        <f t="shared" si="4"/>
        <v>0</v>
      </c>
      <c r="L329" s="38">
        <f t="shared" si="5"/>
        <v>0</v>
      </c>
      <c r="M329" s="39">
        <f t="shared" si="6"/>
        <v>0</v>
      </c>
      <c r="N329" s="40"/>
      <c r="O329" s="34"/>
      <c r="P329" s="35"/>
      <c r="Q329" s="35"/>
      <c r="R329" s="35"/>
      <c r="S329" s="35"/>
      <c r="T329" s="35"/>
      <c r="U329" s="35"/>
      <c r="V329" s="35"/>
      <c r="W329" s="35"/>
      <c r="X329" s="35"/>
      <c r="Y329" s="35"/>
    </row>
    <row r="330" ht="14.25" customHeight="1">
      <c r="A330" s="83"/>
      <c r="B330" s="84"/>
      <c r="C330" s="108"/>
      <c r="D330" s="102"/>
      <c r="E330" s="117"/>
      <c r="F330" s="250"/>
      <c r="G330" s="523"/>
      <c r="H330" s="36"/>
      <c r="I330" s="37"/>
      <c r="J330" s="38"/>
      <c r="K330" s="39"/>
      <c r="L330" s="38"/>
      <c r="M330" s="39"/>
      <c r="N330" s="40"/>
      <c r="O330" s="34"/>
      <c r="P330" s="35"/>
      <c r="Q330" s="35"/>
      <c r="R330" s="35"/>
      <c r="S330" s="35"/>
      <c r="T330" s="35"/>
      <c r="U330" s="35"/>
      <c r="V330" s="35"/>
      <c r="W330" s="35"/>
      <c r="X330" s="35"/>
      <c r="Y330" s="35"/>
    </row>
    <row r="331" ht="14.25" customHeight="1">
      <c r="A331" s="83"/>
      <c r="B331" s="84"/>
      <c r="C331" s="108"/>
      <c r="D331" s="102"/>
      <c r="E331" s="117"/>
      <c r="F331" s="250"/>
      <c r="G331" s="523"/>
      <c r="H331" s="36"/>
      <c r="I331" s="37"/>
      <c r="J331" s="38"/>
      <c r="K331" s="39"/>
      <c r="L331" s="38"/>
      <c r="M331" s="39"/>
      <c r="N331" s="40"/>
      <c r="O331" s="34"/>
      <c r="P331" s="35"/>
      <c r="Q331" s="35"/>
      <c r="R331" s="35"/>
      <c r="S331" s="35"/>
      <c r="T331" s="35"/>
      <c r="U331" s="35"/>
      <c r="V331" s="35"/>
      <c r="W331" s="35"/>
      <c r="X331" s="35"/>
      <c r="Y331" s="35"/>
    </row>
    <row r="332" ht="14.25" customHeight="1">
      <c r="A332" s="83"/>
      <c r="B332" s="84"/>
      <c r="C332" s="108"/>
      <c r="D332" s="102"/>
      <c r="E332" s="117"/>
      <c r="F332" s="250"/>
      <c r="G332" s="523"/>
      <c r="H332" s="36"/>
      <c r="I332" s="37"/>
      <c r="J332" s="38"/>
      <c r="K332" s="39"/>
      <c r="L332" s="38"/>
      <c r="M332" s="39"/>
      <c r="N332" s="40"/>
      <c r="O332" s="34"/>
      <c r="P332" s="35"/>
      <c r="Q332" s="35"/>
      <c r="R332" s="35"/>
      <c r="S332" s="35"/>
      <c r="T332" s="35"/>
      <c r="U332" s="35"/>
      <c r="V332" s="35"/>
      <c r="W332" s="35"/>
      <c r="X332" s="35"/>
      <c r="Y332" s="35"/>
    </row>
    <row r="333" ht="14.25" customHeight="1">
      <c r="A333" s="83"/>
      <c r="B333" s="84"/>
      <c r="C333" s="108"/>
      <c r="D333" s="102"/>
      <c r="E333" s="117"/>
      <c r="F333" s="250"/>
      <c r="G333" s="523"/>
      <c r="H333" s="36"/>
      <c r="I333" s="37"/>
      <c r="J333" s="38"/>
      <c r="K333" s="39"/>
      <c r="L333" s="38"/>
      <c r="M333" s="39"/>
      <c r="N333" s="40"/>
      <c r="O333" s="34"/>
      <c r="P333" s="35"/>
      <c r="Q333" s="35"/>
      <c r="R333" s="35"/>
      <c r="S333" s="35"/>
      <c r="T333" s="35"/>
      <c r="U333" s="35"/>
      <c r="V333" s="35"/>
      <c r="W333" s="35"/>
      <c r="X333" s="35"/>
      <c r="Y333" s="35"/>
    </row>
    <row r="334" ht="14.25" customHeight="1">
      <c r="A334" s="83"/>
      <c r="B334" s="84"/>
      <c r="C334" s="108"/>
      <c r="D334" s="102"/>
      <c r="E334" s="117"/>
      <c r="F334" s="250"/>
      <c r="G334" s="523"/>
      <c r="H334" s="36"/>
      <c r="I334" s="37"/>
      <c r="J334" s="38"/>
      <c r="K334" s="39"/>
      <c r="L334" s="38"/>
      <c r="M334" s="39"/>
      <c r="N334" s="40"/>
      <c r="O334" s="34"/>
      <c r="P334" s="35"/>
      <c r="Q334" s="35"/>
      <c r="R334" s="35"/>
      <c r="S334" s="35"/>
      <c r="T334" s="35"/>
      <c r="U334" s="35"/>
      <c r="V334" s="35"/>
      <c r="W334" s="35"/>
      <c r="X334" s="35"/>
      <c r="Y334" s="35"/>
    </row>
    <row r="335" ht="14.25" customHeight="1">
      <c r="A335" s="83"/>
      <c r="B335" s="84"/>
      <c r="C335" s="108"/>
      <c r="D335" s="102"/>
      <c r="E335" s="117"/>
      <c r="F335" s="250"/>
      <c r="G335" s="523"/>
      <c r="H335" s="36"/>
      <c r="I335" s="37"/>
      <c r="J335" s="38"/>
      <c r="K335" s="39"/>
      <c r="L335" s="38"/>
      <c r="M335" s="39"/>
      <c r="N335" s="40"/>
      <c r="O335" s="34"/>
      <c r="P335" s="35"/>
      <c r="Q335" s="35"/>
      <c r="R335" s="35"/>
      <c r="S335" s="35"/>
      <c r="T335" s="35"/>
      <c r="U335" s="35"/>
      <c r="V335" s="35"/>
      <c r="W335" s="35"/>
      <c r="X335" s="35"/>
      <c r="Y335" s="35"/>
    </row>
    <row r="336" ht="14.25" customHeight="1">
      <c r="A336" s="83"/>
      <c r="B336" s="84"/>
      <c r="C336" s="108"/>
      <c r="D336" s="102"/>
      <c r="E336" s="117"/>
      <c r="F336" s="250"/>
      <c r="G336" s="523"/>
      <c r="H336" s="36"/>
      <c r="I336" s="37"/>
      <c r="J336" s="38"/>
      <c r="K336" s="39"/>
      <c r="L336" s="38"/>
      <c r="M336" s="39"/>
      <c r="N336" s="40"/>
      <c r="O336" s="34"/>
      <c r="P336" s="35"/>
      <c r="Q336" s="35"/>
      <c r="R336" s="35"/>
      <c r="S336" s="35"/>
      <c r="T336" s="35"/>
      <c r="U336" s="35"/>
      <c r="V336" s="35"/>
      <c r="W336" s="35"/>
      <c r="X336" s="35"/>
      <c r="Y336" s="35"/>
    </row>
    <row r="337" ht="14.25" customHeight="1">
      <c r="A337" s="83"/>
      <c r="B337" s="84"/>
      <c r="C337" s="108"/>
      <c r="D337" s="102"/>
      <c r="E337" s="117"/>
      <c r="F337" s="250"/>
      <c r="G337" s="523"/>
      <c r="H337" s="36"/>
      <c r="I337" s="37"/>
      <c r="J337" s="38"/>
      <c r="K337" s="39"/>
      <c r="L337" s="38"/>
      <c r="M337" s="39"/>
      <c r="N337" s="40"/>
      <c r="O337" s="34"/>
      <c r="P337" s="35"/>
      <c r="Q337" s="35"/>
      <c r="R337" s="35"/>
      <c r="S337" s="35"/>
      <c r="T337" s="35"/>
      <c r="U337" s="35"/>
      <c r="V337" s="35"/>
      <c r="W337" s="35"/>
      <c r="X337" s="35"/>
      <c r="Y337" s="35"/>
    </row>
    <row r="338" ht="14.25" customHeight="1">
      <c r="A338" s="83"/>
      <c r="B338" s="84"/>
      <c r="C338" s="108"/>
      <c r="D338" s="102"/>
      <c r="E338" s="117"/>
      <c r="F338" s="250"/>
      <c r="G338" s="523"/>
      <c r="H338" s="36"/>
      <c r="I338" s="37"/>
      <c r="J338" s="38"/>
      <c r="K338" s="39"/>
      <c r="L338" s="38"/>
      <c r="M338" s="39"/>
      <c r="N338" s="40"/>
      <c r="O338" s="34"/>
      <c r="P338" s="35"/>
      <c r="Q338" s="35"/>
      <c r="R338" s="35"/>
      <c r="S338" s="35"/>
      <c r="T338" s="35"/>
      <c r="U338" s="35"/>
      <c r="V338" s="35"/>
      <c r="W338" s="35"/>
      <c r="X338" s="35"/>
      <c r="Y338" s="35"/>
    </row>
    <row r="339" ht="14.25" customHeight="1">
      <c r="A339" s="83"/>
      <c r="B339" s="84"/>
      <c r="C339" s="108"/>
      <c r="D339" s="102"/>
      <c r="E339" s="117"/>
      <c r="F339" s="250"/>
      <c r="G339" s="523"/>
      <c r="H339" s="36"/>
      <c r="I339" s="37"/>
      <c r="J339" s="38"/>
      <c r="K339" s="39"/>
      <c r="L339" s="38"/>
      <c r="M339" s="39"/>
      <c r="N339" s="40"/>
      <c r="O339" s="34"/>
      <c r="P339" s="35"/>
      <c r="Q339" s="35"/>
      <c r="R339" s="35"/>
      <c r="S339" s="35"/>
      <c r="T339" s="35"/>
      <c r="U339" s="35"/>
      <c r="V339" s="35"/>
      <c r="W339" s="35"/>
      <c r="X339" s="35"/>
      <c r="Y339" s="35"/>
    </row>
    <row r="340" ht="14.25" customHeight="1">
      <c r="A340" s="83"/>
      <c r="B340" s="84"/>
      <c r="C340" s="108"/>
      <c r="D340" s="102"/>
      <c r="E340" s="117"/>
      <c r="F340" s="250"/>
      <c r="G340" s="523"/>
      <c r="H340" s="36"/>
      <c r="I340" s="37"/>
      <c r="J340" s="38"/>
      <c r="K340" s="39"/>
      <c r="L340" s="38"/>
      <c r="M340" s="39"/>
      <c r="N340" s="40"/>
      <c r="O340" s="34"/>
      <c r="P340" s="35"/>
      <c r="Q340" s="35"/>
      <c r="R340" s="35"/>
      <c r="S340" s="35"/>
      <c r="T340" s="35"/>
      <c r="U340" s="35"/>
      <c r="V340" s="35"/>
      <c r="W340" s="35"/>
      <c r="X340" s="35"/>
      <c r="Y340" s="35"/>
    </row>
    <row r="341" ht="14.25" customHeight="1">
      <c r="A341" s="83"/>
      <c r="B341" s="84"/>
      <c r="C341" s="108"/>
      <c r="D341" s="102"/>
      <c r="E341" s="117"/>
      <c r="F341" s="250"/>
      <c r="G341" s="523"/>
      <c r="H341" s="36"/>
      <c r="I341" s="37"/>
      <c r="J341" s="38"/>
      <c r="K341" s="39"/>
      <c r="L341" s="38"/>
      <c r="M341" s="39"/>
      <c r="N341" s="40"/>
      <c r="O341" s="34"/>
      <c r="P341" s="35"/>
      <c r="Q341" s="35"/>
      <c r="R341" s="35"/>
      <c r="S341" s="35"/>
      <c r="T341" s="35"/>
      <c r="U341" s="35"/>
      <c r="V341" s="35"/>
      <c r="W341" s="35"/>
      <c r="X341" s="35"/>
      <c r="Y341" s="35"/>
    </row>
    <row r="342" ht="14.25" customHeight="1">
      <c r="A342" s="83"/>
      <c r="B342" s="84"/>
      <c r="C342" s="108"/>
      <c r="D342" s="102"/>
      <c r="E342" s="117"/>
      <c r="F342" s="250"/>
      <c r="G342" s="523"/>
      <c r="H342" s="36"/>
      <c r="I342" s="37"/>
      <c r="J342" s="38"/>
      <c r="K342" s="39"/>
      <c r="L342" s="38"/>
      <c r="M342" s="39"/>
      <c r="N342" s="40"/>
      <c r="O342" s="34"/>
      <c r="P342" s="35"/>
      <c r="Q342" s="35"/>
      <c r="R342" s="35"/>
      <c r="S342" s="35"/>
      <c r="T342" s="35"/>
      <c r="U342" s="35"/>
      <c r="V342" s="35"/>
      <c r="W342" s="35"/>
      <c r="X342" s="35"/>
      <c r="Y342" s="35"/>
    </row>
    <row r="343" ht="14.25" customHeight="1">
      <c r="A343" s="83"/>
      <c r="B343" s="84"/>
      <c r="C343" s="108"/>
      <c r="D343" s="102"/>
      <c r="E343" s="117"/>
      <c r="F343" s="250"/>
      <c r="G343" s="523"/>
      <c r="H343" s="36"/>
      <c r="I343" s="37"/>
      <c r="J343" s="38"/>
      <c r="K343" s="39"/>
      <c r="L343" s="38"/>
      <c r="M343" s="39"/>
      <c r="N343" s="40"/>
      <c r="O343" s="34"/>
      <c r="P343" s="35"/>
      <c r="Q343" s="35"/>
      <c r="R343" s="35"/>
      <c r="S343" s="35"/>
      <c r="T343" s="35"/>
      <c r="U343" s="35"/>
      <c r="V343" s="35"/>
      <c r="W343" s="35"/>
      <c r="X343" s="35"/>
      <c r="Y343" s="35"/>
    </row>
    <row r="344" ht="14.25" customHeight="1">
      <c r="A344" s="83"/>
      <c r="B344" s="84"/>
      <c r="C344" s="108"/>
      <c r="D344" s="102"/>
      <c r="E344" s="117"/>
      <c r="F344" s="250"/>
      <c r="G344" s="523"/>
      <c r="H344" s="36"/>
      <c r="I344" s="37"/>
      <c r="J344" s="38"/>
      <c r="K344" s="39"/>
      <c r="L344" s="38"/>
      <c r="M344" s="39"/>
      <c r="N344" s="40"/>
      <c r="O344" s="34"/>
      <c r="P344" s="35"/>
      <c r="Q344" s="35"/>
      <c r="R344" s="35"/>
      <c r="S344" s="35"/>
      <c r="T344" s="35"/>
      <c r="U344" s="35"/>
      <c r="V344" s="35"/>
      <c r="W344" s="35"/>
      <c r="X344" s="35"/>
      <c r="Y344" s="35"/>
    </row>
    <row r="345" ht="14.25" customHeight="1">
      <c r="A345" s="83"/>
      <c r="B345" s="84"/>
      <c r="C345" s="108"/>
      <c r="D345" s="102"/>
      <c r="E345" s="117"/>
      <c r="F345" s="250"/>
      <c r="G345" s="523"/>
      <c r="H345" s="36"/>
      <c r="I345" s="37"/>
      <c r="J345" s="38"/>
      <c r="K345" s="39"/>
      <c r="L345" s="38"/>
      <c r="M345" s="39"/>
      <c r="N345" s="40"/>
      <c r="O345" s="34"/>
      <c r="P345" s="35"/>
      <c r="Q345" s="35"/>
      <c r="R345" s="35"/>
      <c r="S345" s="35"/>
      <c r="T345" s="35"/>
      <c r="U345" s="35"/>
      <c r="V345" s="35"/>
      <c r="W345" s="35"/>
      <c r="X345" s="35"/>
      <c r="Y345" s="35"/>
    </row>
    <row r="346" ht="14.25" customHeight="1">
      <c r="A346" s="83"/>
      <c r="B346" s="84"/>
      <c r="C346" s="108"/>
      <c r="D346" s="102"/>
      <c r="E346" s="117"/>
      <c r="F346" s="250"/>
      <c r="G346" s="523"/>
      <c r="H346" s="36"/>
      <c r="I346" s="37"/>
      <c r="J346" s="38"/>
      <c r="K346" s="39"/>
      <c r="L346" s="38"/>
      <c r="M346" s="39"/>
      <c r="N346" s="40"/>
      <c r="O346" s="34"/>
      <c r="P346" s="35"/>
      <c r="Q346" s="35"/>
      <c r="R346" s="35"/>
      <c r="S346" s="35"/>
      <c r="T346" s="35"/>
      <c r="U346" s="35"/>
      <c r="V346" s="35"/>
      <c r="W346" s="35"/>
      <c r="X346" s="35"/>
      <c r="Y346" s="35"/>
    </row>
    <row r="347" ht="14.25" customHeight="1">
      <c r="A347" s="83"/>
      <c r="B347" s="84"/>
      <c r="C347" s="108"/>
      <c r="D347" s="102"/>
      <c r="E347" s="117"/>
      <c r="F347" s="250"/>
      <c r="G347" s="523"/>
      <c r="H347" s="36"/>
      <c r="I347" s="37"/>
      <c r="J347" s="38"/>
      <c r="K347" s="39"/>
      <c r="L347" s="38"/>
      <c r="M347" s="39"/>
      <c r="N347" s="40"/>
      <c r="O347" s="34"/>
      <c r="P347" s="35"/>
      <c r="Q347" s="35"/>
      <c r="R347" s="35"/>
      <c r="S347" s="35"/>
      <c r="T347" s="35"/>
      <c r="U347" s="35"/>
      <c r="V347" s="35"/>
      <c r="W347" s="35"/>
      <c r="X347" s="35"/>
      <c r="Y347" s="35"/>
    </row>
    <row r="348" ht="14.25" customHeight="1">
      <c r="A348" s="83"/>
      <c r="B348" s="84"/>
      <c r="C348" s="108"/>
      <c r="D348" s="102"/>
      <c r="E348" s="117"/>
      <c r="F348" s="250"/>
      <c r="G348" s="523"/>
      <c r="H348" s="36"/>
      <c r="I348" s="37"/>
      <c r="J348" s="38"/>
      <c r="K348" s="39"/>
      <c r="L348" s="38"/>
      <c r="M348" s="39"/>
      <c r="N348" s="40"/>
      <c r="O348" s="34"/>
      <c r="P348" s="35"/>
      <c r="Q348" s="35"/>
      <c r="R348" s="35"/>
      <c r="S348" s="35"/>
      <c r="T348" s="35"/>
      <c r="U348" s="35"/>
      <c r="V348" s="35"/>
      <c r="W348" s="35"/>
      <c r="X348" s="35"/>
      <c r="Y348" s="35"/>
    </row>
    <row r="349" ht="14.25" customHeight="1">
      <c r="A349" s="83"/>
      <c r="B349" s="84"/>
      <c r="C349" s="108"/>
      <c r="D349" s="102"/>
      <c r="E349" s="117"/>
      <c r="F349" s="250"/>
      <c r="G349" s="523"/>
      <c r="H349" s="36"/>
      <c r="I349" s="37"/>
      <c r="J349" s="38"/>
      <c r="K349" s="39"/>
      <c r="L349" s="38"/>
      <c r="M349" s="39"/>
      <c r="N349" s="40"/>
      <c r="O349" s="34"/>
      <c r="P349" s="35"/>
      <c r="Q349" s="35"/>
      <c r="R349" s="35"/>
      <c r="S349" s="35"/>
      <c r="T349" s="35"/>
      <c r="U349" s="35"/>
      <c r="V349" s="35"/>
      <c r="W349" s="35"/>
      <c r="X349" s="35"/>
      <c r="Y349" s="35"/>
    </row>
    <row r="350" ht="14.25" customHeight="1">
      <c r="A350" s="83"/>
      <c r="B350" s="84"/>
      <c r="C350" s="108"/>
      <c r="D350" s="102"/>
      <c r="E350" s="117"/>
      <c r="F350" s="250"/>
      <c r="G350" s="523"/>
      <c r="H350" s="36"/>
      <c r="I350" s="37"/>
      <c r="J350" s="38"/>
      <c r="K350" s="39"/>
      <c r="L350" s="38"/>
      <c r="M350" s="39"/>
      <c r="N350" s="40"/>
      <c r="O350" s="34"/>
      <c r="P350" s="35"/>
      <c r="Q350" s="35"/>
      <c r="R350" s="35"/>
      <c r="S350" s="35"/>
      <c r="T350" s="35"/>
      <c r="U350" s="35"/>
      <c r="V350" s="35"/>
      <c r="W350" s="35"/>
      <c r="X350" s="35"/>
      <c r="Y350" s="35"/>
    </row>
    <row r="351" ht="14.25" customHeight="1">
      <c r="A351" s="83"/>
      <c r="B351" s="84"/>
      <c r="C351" s="108"/>
      <c r="D351" s="102"/>
      <c r="E351" s="117"/>
      <c r="F351" s="250"/>
      <c r="G351" s="523"/>
      <c r="H351" s="36"/>
      <c r="I351" s="37"/>
      <c r="J351" s="38"/>
      <c r="K351" s="39"/>
      <c r="L351" s="38"/>
      <c r="M351" s="39"/>
      <c r="N351" s="40"/>
      <c r="O351" s="34"/>
      <c r="P351" s="35"/>
      <c r="Q351" s="35"/>
      <c r="R351" s="35"/>
      <c r="S351" s="35"/>
      <c r="T351" s="35"/>
      <c r="U351" s="35"/>
      <c r="V351" s="35"/>
      <c r="W351" s="35"/>
      <c r="X351" s="35"/>
      <c r="Y351" s="35"/>
    </row>
    <row r="352" ht="14.25" customHeight="1">
      <c r="A352" s="83"/>
      <c r="B352" s="84"/>
      <c r="C352" s="108"/>
      <c r="D352" s="102"/>
      <c r="E352" s="117"/>
      <c r="F352" s="250"/>
      <c r="G352" s="523"/>
      <c r="H352" s="36"/>
      <c r="I352" s="37"/>
      <c r="J352" s="38"/>
      <c r="K352" s="39"/>
      <c r="L352" s="38"/>
      <c r="M352" s="39"/>
      <c r="N352" s="40"/>
      <c r="O352" s="34"/>
      <c r="P352" s="35"/>
      <c r="Q352" s="35"/>
      <c r="R352" s="35"/>
      <c r="S352" s="35"/>
      <c r="T352" s="35"/>
      <c r="U352" s="35"/>
      <c r="V352" s="35"/>
      <c r="W352" s="35"/>
      <c r="X352" s="35"/>
      <c r="Y352" s="35"/>
    </row>
    <row r="353" ht="14.25" customHeight="1">
      <c r="A353" s="83"/>
      <c r="B353" s="84"/>
      <c r="C353" s="108"/>
      <c r="D353" s="102"/>
      <c r="E353" s="117"/>
      <c r="F353" s="250"/>
      <c r="G353" s="523"/>
      <c r="H353" s="36"/>
      <c r="I353" s="37"/>
      <c r="J353" s="38"/>
      <c r="K353" s="39"/>
      <c r="L353" s="38"/>
      <c r="M353" s="39"/>
      <c r="N353" s="40"/>
      <c r="O353" s="34"/>
      <c r="P353" s="35"/>
      <c r="Q353" s="35"/>
      <c r="R353" s="35"/>
      <c r="S353" s="35"/>
      <c r="T353" s="35"/>
      <c r="U353" s="35"/>
      <c r="V353" s="35"/>
      <c r="W353" s="35"/>
      <c r="X353" s="35"/>
      <c r="Y353" s="35"/>
    </row>
    <row r="354" ht="14.25" customHeight="1">
      <c r="A354" s="83"/>
      <c r="B354" s="84"/>
      <c r="C354" s="108"/>
      <c r="D354" s="102"/>
      <c r="E354" s="117"/>
      <c r="F354" s="250"/>
      <c r="G354" s="523"/>
      <c r="H354" s="36"/>
      <c r="I354" s="37"/>
      <c r="J354" s="38"/>
      <c r="K354" s="39"/>
      <c r="L354" s="38"/>
      <c r="M354" s="39"/>
      <c r="N354" s="40"/>
      <c r="O354" s="34"/>
      <c r="P354" s="35"/>
      <c r="Q354" s="35"/>
      <c r="R354" s="35"/>
      <c r="S354" s="35"/>
      <c r="T354" s="35"/>
      <c r="U354" s="35"/>
      <c r="V354" s="35"/>
      <c r="W354" s="35"/>
      <c r="X354" s="35"/>
      <c r="Y354" s="35"/>
    </row>
    <row r="355" ht="14.25" customHeight="1">
      <c r="A355" s="83"/>
      <c r="B355" s="84"/>
      <c r="C355" s="108"/>
      <c r="D355" s="102"/>
      <c r="E355" s="117"/>
      <c r="F355" s="250"/>
      <c r="G355" s="523"/>
      <c r="H355" s="36"/>
      <c r="I355" s="37"/>
      <c r="J355" s="38"/>
      <c r="K355" s="39"/>
      <c r="L355" s="38"/>
      <c r="M355" s="39"/>
      <c r="N355" s="40"/>
      <c r="O355" s="34"/>
      <c r="P355" s="35"/>
      <c r="Q355" s="35"/>
      <c r="R355" s="35"/>
      <c r="S355" s="35"/>
      <c r="T355" s="35"/>
      <c r="U355" s="35"/>
      <c r="V355" s="35"/>
      <c r="W355" s="35"/>
      <c r="X355" s="35"/>
      <c r="Y355" s="35"/>
    </row>
    <row r="356" ht="14.25" customHeight="1">
      <c r="A356" s="83"/>
      <c r="B356" s="84"/>
      <c r="C356" s="108"/>
      <c r="D356" s="102"/>
      <c r="E356" s="117"/>
      <c r="F356" s="250"/>
      <c r="G356" s="523"/>
      <c r="H356" s="36"/>
      <c r="I356" s="37"/>
      <c r="J356" s="38"/>
      <c r="K356" s="39"/>
      <c r="L356" s="38"/>
      <c r="M356" s="39"/>
      <c r="N356" s="40"/>
      <c r="O356" s="34"/>
      <c r="P356" s="35"/>
      <c r="Q356" s="35"/>
      <c r="R356" s="35"/>
      <c r="S356" s="35"/>
      <c r="T356" s="35"/>
      <c r="U356" s="35"/>
      <c r="V356" s="35"/>
      <c r="W356" s="35"/>
      <c r="X356" s="35"/>
      <c r="Y356" s="35"/>
    </row>
    <row r="357" ht="14.25" customHeight="1">
      <c r="A357" s="83"/>
      <c r="B357" s="84"/>
      <c r="C357" s="108"/>
      <c r="D357" s="102"/>
      <c r="E357" s="117"/>
      <c r="F357" s="250"/>
      <c r="G357" s="523"/>
      <c r="H357" s="36"/>
      <c r="I357" s="37"/>
      <c r="J357" s="38"/>
      <c r="K357" s="39"/>
      <c r="L357" s="38"/>
      <c r="M357" s="39"/>
      <c r="N357" s="40"/>
      <c r="O357" s="34"/>
      <c r="P357" s="35"/>
      <c r="Q357" s="35"/>
      <c r="R357" s="35"/>
      <c r="S357" s="35"/>
      <c r="T357" s="35"/>
      <c r="U357" s="35"/>
      <c r="V357" s="35"/>
      <c r="W357" s="35"/>
      <c r="X357" s="35"/>
      <c r="Y357" s="35"/>
    </row>
    <row r="358" ht="14.25" customHeight="1">
      <c r="A358" s="83"/>
      <c r="B358" s="84"/>
      <c r="C358" s="108"/>
      <c r="D358" s="102"/>
      <c r="E358" s="117"/>
      <c r="F358" s="250"/>
      <c r="G358" s="523"/>
      <c r="H358" s="36"/>
      <c r="I358" s="37"/>
      <c r="J358" s="38"/>
      <c r="K358" s="39"/>
      <c r="L358" s="38"/>
      <c r="M358" s="39"/>
      <c r="N358" s="40"/>
      <c r="O358" s="34"/>
      <c r="P358" s="35"/>
      <c r="Q358" s="35"/>
      <c r="R358" s="35"/>
      <c r="S358" s="35"/>
      <c r="T358" s="35"/>
      <c r="U358" s="35"/>
      <c r="V358" s="35"/>
      <c r="W358" s="35"/>
      <c r="X358" s="35"/>
      <c r="Y358" s="35"/>
    </row>
    <row r="359" ht="14.25" customHeight="1">
      <c r="A359" s="83"/>
      <c r="B359" s="84"/>
      <c r="C359" s="108"/>
      <c r="D359" s="102"/>
      <c r="E359" s="117"/>
      <c r="F359" s="250"/>
      <c r="G359" s="523"/>
      <c r="H359" s="36"/>
      <c r="I359" s="37"/>
      <c r="J359" s="38"/>
      <c r="K359" s="39"/>
      <c r="L359" s="38"/>
      <c r="M359" s="39"/>
      <c r="N359" s="40"/>
      <c r="O359" s="34"/>
      <c r="P359" s="35"/>
      <c r="Q359" s="35"/>
      <c r="R359" s="35"/>
      <c r="S359" s="35"/>
      <c r="T359" s="35"/>
      <c r="U359" s="35"/>
      <c r="V359" s="35"/>
      <c r="W359" s="35"/>
      <c r="X359" s="35"/>
      <c r="Y359" s="35"/>
    </row>
    <row r="360" ht="14.25" customHeight="1">
      <c r="A360" s="83"/>
      <c r="B360" s="84"/>
      <c r="C360" s="108"/>
      <c r="D360" s="102"/>
      <c r="E360" s="117"/>
      <c r="F360" s="250"/>
      <c r="G360" s="523"/>
      <c r="H360" s="36"/>
      <c r="I360" s="37"/>
      <c r="J360" s="38"/>
      <c r="K360" s="39"/>
      <c r="L360" s="38"/>
      <c r="M360" s="39"/>
      <c r="N360" s="40"/>
      <c r="O360" s="34"/>
      <c r="P360" s="35"/>
      <c r="Q360" s="35"/>
      <c r="R360" s="35"/>
      <c r="S360" s="35"/>
      <c r="T360" s="35"/>
      <c r="U360" s="35"/>
      <c r="V360" s="35"/>
      <c r="W360" s="35"/>
      <c r="X360" s="35"/>
      <c r="Y360" s="35"/>
    </row>
    <row r="361" ht="14.25" customHeight="1">
      <c r="A361" s="83"/>
      <c r="B361" s="84"/>
      <c r="C361" s="108"/>
      <c r="D361" s="102"/>
      <c r="E361" s="117"/>
      <c r="F361" s="250"/>
      <c r="G361" s="523"/>
      <c r="H361" s="36"/>
      <c r="I361" s="37"/>
      <c r="J361" s="38"/>
      <c r="K361" s="39"/>
      <c r="L361" s="38"/>
      <c r="M361" s="39"/>
      <c r="N361" s="40"/>
      <c r="O361" s="34"/>
      <c r="P361" s="35"/>
      <c r="Q361" s="35"/>
      <c r="R361" s="35"/>
      <c r="S361" s="35"/>
      <c r="T361" s="35"/>
      <c r="U361" s="35"/>
      <c r="V361" s="35"/>
      <c r="W361" s="35"/>
      <c r="X361" s="35"/>
      <c r="Y361" s="35"/>
    </row>
    <row r="362" ht="14.25" customHeight="1">
      <c r="A362" s="83"/>
      <c r="B362" s="84"/>
      <c r="C362" s="108"/>
      <c r="D362" s="102"/>
      <c r="E362" s="117"/>
      <c r="F362" s="250"/>
      <c r="G362" s="523"/>
      <c r="H362" s="36"/>
      <c r="I362" s="37"/>
      <c r="J362" s="38"/>
      <c r="K362" s="39"/>
      <c r="L362" s="38"/>
      <c r="M362" s="39"/>
      <c r="N362" s="40"/>
      <c r="O362" s="34"/>
      <c r="P362" s="35"/>
      <c r="Q362" s="35"/>
      <c r="R362" s="35"/>
      <c r="S362" s="35"/>
      <c r="T362" s="35"/>
      <c r="U362" s="35"/>
      <c r="V362" s="35"/>
      <c r="W362" s="35"/>
      <c r="X362" s="35"/>
      <c r="Y362" s="35"/>
    </row>
    <row r="363" ht="14.25" customHeight="1">
      <c r="A363" s="83"/>
      <c r="B363" s="84"/>
      <c r="C363" s="108"/>
      <c r="D363" s="102"/>
      <c r="E363" s="117"/>
      <c r="F363" s="250"/>
      <c r="G363" s="523"/>
      <c r="H363" s="36"/>
      <c r="I363" s="37"/>
      <c r="J363" s="38"/>
      <c r="K363" s="39"/>
      <c r="L363" s="38"/>
      <c r="M363" s="39"/>
      <c r="N363" s="40"/>
      <c r="O363" s="34"/>
      <c r="P363" s="35"/>
      <c r="Q363" s="35"/>
      <c r="R363" s="35"/>
      <c r="S363" s="35"/>
      <c r="T363" s="35"/>
      <c r="U363" s="35"/>
      <c r="V363" s="35"/>
      <c r="W363" s="35"/>
      <c r="X363" s="35"/>
      <c r="Y363" s="35"/>
    </row>
    <row r="364" ht="14.25" customHeight="1">
      <c r="A364" s="83"/>
      <c r="B364" s="84"/>
      <c r="C364" s="108"/>
      <c r="D364" s="102"/>
      <c r="E364" s="117"/>
      <c r="F364" s="250"/>
      <c r="G364" s="523"/>
      <c r="H364" s="36"/>
      <c r="I364" s="37"/>
      <c r="J364" s="38"/>
      <c r="K364" s="39"/>
      <c r="L364" s="38"/>
      <c r="M364" s="39"/>
      <c r="N364" s="40"/>
      <c r="O364" s="34"/>
      <c r="P364" s="35"/>
      <c r="Q364" s="35"/>
      <c r="R364" s="35"/>
      <c r="S364" s="35"/>
      <c r="T364" s="35"/>
      <c r="U364" s="35"/>
      <c r="V364" s="35"/>
      <c r="W364" s="35"/>
      <c r="X364" s="35"/>
      <c r="Y364" s="35"/>
    </row>
    <row r="365" ht="14.25" customHeight="1">
      <c r="A365" s="83"/>
      <c r="B365" s="84"/>
      <c r="C365" s="108"/>
      <c r="D365" s="102"/>
      <c r="E365" s="117"/>
      <c r="F365" s="250"/>
      <c r="G365" s="523"/>
      <c r="H365" s="36"/>
      <c r="I365" s="37"/>
      <c r="J365" s="38"/>
      <c r="K365" s="39"/>
      <c r="L365" s="38"/>
      <c r="M365" s="39"/>
      <c r="N365" s="40"/>
      <c r="O365" s="34"/>
      <c r="P365" s="35"/>
      <c r="Q365" s="35"/>
      <c r="R365" s="35"/>
      <c r="S365" s="35"/>
      <c r="T365" s="35"/>
      <c r="U365" s="35"/>
      <c r="V365" s="35"/>
      <c r="W365" s="35"/>
      <c r="X365" s="35"/>
      <c r="Y365" s="35"/>
    </row>
    <row r="366" ht="14.25" customHeight="1">
      <c r="A366" s="83"/>
      <c r="B366" s="84"/>
      <c r="C366" s="108"/>
      <c r="D366" s="102"/>
      <c r="E366" s="117"/>
      <c r="F366" s="250"/>
      <c r="G366" s="523"/>
      <c r="H366" s="36"/>
      <c r="I366" s="37"/>
      <c r="J366" s="38"/>
      <c r="K366" s="39"/>
      <c r="L366" s="38"/>
      <c r="M366" s="39"/>
      <c r="N366" s="40"/>
      <c r="O366" s="34"/>
      <c r="P366" s="35"/>
      <c r="Q366" s="35"/>
      <c r="R366" s="35"/>
      <c r="S366" s="35"/>
      <c r="T366" s="35"/>
      <c r="U366" s="35"/>
      <c r="V366" s="35"/>
      <c r="W366" s="35"/>
      <c r="X366" s="35"/>
      <c r="Y366" s="35"/>
    </row>
    <row r="367" ht="14.25" customHeight="1">
      <c r="A367" s="83"/>
      <c r="B367" s="84"/>
      <c r="C367" s="108"/>
      <c r="D367" s="102"/>
      <c r="E367" s="117"/>
      <c r="F367" s="250"/>
      <c r="G367" s="523"/>
      <c r="H367" s="36"/>
      <c r="I367" s="37"/>
      <c r="J367" s="38"/>
      <c r="K367" s="39"/>
      <c r="L367" s="38"/>
      <c r="M367" s="39"/>
      <c r="N367" s="40"/>
      <c r="O367" s="34"/>
      <c r="P367" s="35"/>
      <c r="Q367" s="35"/>
      <c r="R367" s="35"/>
      <c r="S367" s="35"/>
      <c r="T367" s="35"/>
      <c r="U367" s="35"/>
      <c r="V367" s="35"/>
      <c r="W367" s="35"/>
      <c r="X367" s="35"/>
      <c r="Y367" s="35"/>
    </row>
    <row r="368" ht="14.25" customHeight="1">
      <c r="A368" s="83"/>
      <c r="B368" s="84"/>
      <c r="C368" s="108"/>
      <c r="D368" s="102"/>
      <c r="E368" s="117"/>
      <c r="F368" s="250"/>
      <c r="G368" s="523"/>
      <c r="H368" s="36"/>
      <c r="I368" s="37"/>
      <c r="J368" s="38"/>
      <c r="K368" s="39"/>
      <c r="L368" s="38"/>
      <c r="M368" s="39"/>
      <c r="N368" s="40"/>
      <c r="O368" s="34"/>
      <c r="P368" s="35"/>
      <c r="Q368" s="35"/>
      <c r="R368" s="35"/>
      <c r="S368" s="35"/>
      <c r="T368" s="35"/>
      <c r="U368" s="35"/>
      <c r="V368" s="35"/>
      <c r="W368" s="35"/>
      <c r="X368" s="35"/>
      <c r="Y368" s="35"/>
    </row>
    <row r="369" ht="14.25" customHeight="1">
      <c r="A369" s="83"/>
      <c r="B369" s="84"/>
      <c r="C369" s="108"/>
      <c r="D369" s="102"/>
      <c r="E369" s="117"/>
      <c r="F369" s="250"/>
      <c r="G369" s="523"/>
      <c r="H369" s="36"/>
      <c r="I369" s="37"/>
      <c r="J369" s="38"/>
      <c r="K369" s="39"/>
      <c r="L369" s="38"/>
      <c r="M369" s="39"/>
      <c r="N369" s="40"/>
      <c r="O369" s="34"/>
      <c r="P369" s="35"/>
      <c r="Q369" s="35"/>
      <c r="R369" s="35"/>
      <c r="S369" s="35"/>
      <c r="T369" s="35"/>
      <c r="U369" s="35"/>
      <c r="V369" s="35"/>
      <c r="W369" s="35"/>
      <c r="X369" s="35"/>
      <c r="Y369" s="35"/>
    </row>
    <row r="370" ht="14.25" customHeight="1">
      <c r="A370" s="83"/>
      <c r="B370" s="84"/>
      <c r="C370" s="108"/>
      <c r="D370" s="102"/>
      <c r="E370" s="117"/>
      <c r="F370" s="250"/>
      <c r="G370" s="523"/>
      <c r="H370" s="36"/>
      <c r="I370" s="37"/>
      <c r="J370" s="38"/>
      <c r="K370" s="39"/>
      <c r="L370" s="38"/>
      <c r="M370" s="39"/>
      <c r="N370" s="40"/>
      <c r="O370" s="34"/>
      <c r="P370" s="35"/>
      <c r="Q370" s="35"/>
      <c r="R370" s="35"/>
      <c r="S370" s="35"/>
      <c r="T370" s="35"/>
      <c r="U370" s="35"/>
      <c r="V370" s="35"/>
      <c r="W370" s="35"/>
      <c r="X370" s="35"/>
      <c r="Y370" s="35"/>
    </row>
    <row r="371" ht="14.25" customHeight="1">
      <c r="A371" s="83"/>
      <c r="B371" s="84"/>
      <c r="C371" s="108"/>
      <c r="D371" s="102"/>
      <c r="E371" s="117"/>
      <c r="F371" s="250"/>
      <c r="G371" s="523"/>
      <c r="H371" s="36"/>
      <c r="I371" s="37"/>
      <c r="J371" s="38"/>
      <c r="K371" s="39"/>
      <c r="L371" s="38"/>
      <c r="M371" s="39"/>
      <c r="N371" s="40"/>
      <c r="O371" s="34"/>
      <c r="P371" s="35"/>
      <c r="Q371" s="35"/>
      <c r="R371" s="35"/>
      <c r="S371" s="35"/>
      <c r="T371" s="35"/>
      <c r="U371" s="35"/>
      <c r="V371" s="35"/>
      <c r="W371" s="35"/>
      <c r="X371" s="35"/>
      <c r="Y371" s="35"/>
    </row>
    <row r="372" ht="14.25" customHeight="1">
      <c r="A372" s="83"/>
      <c r="B372" s="84"/>
      <c r="C372" s="108"/>
      <c r="D372" s="102"/>
      <c r="E372" s="117"/>
      <c r="F372" s="250"/>
      <c r="G372" s="523"/>
      <c r="H372" s="36"/>
      <c r="I372" s="37"/>
      <c r="J372" s="38"/>
      <c r="K372" s="39"/>
      <c r="L372" s="38"/>
      <c r="M372" s="39"/>
      <c r="N372" s="40"/>
      <c r="O372" s="34"/>
      <c r="P372" s="35"/>
      <c r="Q372" s="35"/>
      <c r="R372" s="35"/>
      <c r="S372" s="35"/>
      <c r="T372" s="35"/>
      <c r="U372" s="35"/>
      <c r="V372" s="35"/>
      <c r="W372" s="35"/>
      <c r="X372" s="35"/>
      <c r="Y372" s="35"/>
    </row>
    <row r="373" ht="14.25" customHeight="1">
      <c r="A373" s="83"/>
      <c r="B373" s="84"/>
      <c r="C373" s="108"/>
      <c r="D373" s="102"/>
      <c r="E373" s="117"/>
      <c r="F373" s="250"/>
      <c r="G373" s="523"/>
      <c r="H373" s="36"/>
      <c r="I373" s="37"/>
      <c r="J373" s="38"/>
      <c r="K373" s="39"/>
      <c r="L373" s="38"/>
      <c r="M373" s="39"/>
      <c r="N373" s="40"/>
      <c r="O373" s="34"/>
      <c r="P373" s="35"/>
      <c r="Q373" s="35"/>
      <c r="R373" s="35"/>
      <c r="S373" s="35"/>
      <c r="T373" s="35"/>
      <c r="U373" s="35"/>
      <c r="V373" s="35"/>
      <c r="W373" s="35"/>
      <c r="X373" s="35"/>
      <c r="Y373" s="35"/>
    </row>
    <row r="374" ht="14.25" customHeight="1">
      <c r="A374" s="83"/>
      <c r="B374" s="84"/>
      <c r="C374" s="108"/>
      <c r="D374" s="102"/>
      <c r="E374" s="117"/>
      <c r="F374" s="250"/>
      <c r="G374" s="523"/>
      <c r="H374" s="36"/>
      <c r="I374" s="37"/>
      <c r="J374" s="38"/>
      <c r="K374" s="39"/>
      <c r="L374" s="38"/>
      <c r="M374" s="39"/>
      <c r="N374" s="40"/>
      <c r="O374" s="34"/>
      <c r="P374" s="35"/>
      <c r="Q374" s="35"/>
      <c r="R374" s="35"/>
      <c r="S374" s="35"/>
      <c r="T374" s="35"/>
      <c r="U374" s="35"/>
      <c r="V374" s="35"/>
      <c r="W374" s="35"/>
      <c r="X374" s="35"/>
      <c r="Y374" s="35"/>
    </row>
    <row r="375" ht="14.25" customHeight="1">
      <c r="A375" s="83"/>
      <c r="B375" s="84"/>
      <c r="C375" s="108"/>
      <c r="D375" s="102"/>
      <c r="E375" s="117"/>
      <c r="F375" s="250"/>
      <c r="G375" s="523"/>
      <c r="H375" s="36"/>
      <c r="I375" s="37"/>
      <c r="J375" s="38"/>
      <c r="K375" s="39"/>
      <c r="L375" s="38"/>
      <c r="M375" s="39"/>
      <c r="N375" s="40"/>
      <c r="O375" s="34"/>
      <c r="P375" s="35"/>
      <c r="Q375" s="35"/>
      <c r="R375" s="35"/>
      <c r="S375" s="35"/>
      <c r="T375" s="35"/>
      <c r="U375" s="35"/>
      <c r="V375" s="35"/>
      <c r="W375" s="35"/>
      <c r="X375" s="35"/>
      <c r="Y375" s="35"/>
    </row>
    <row r="376" ht="14.25" customHeight="1">
      <c r="A376" s="83"/>
      <c r="B376" s="84"/>
      <c r="C376" s="108"/>
      <c r="D376" s="102"/>
      <c r="E376" s="117"/>
      <c r="F376" s="250"/>
      <c r="G376" s="523"/>
      <c r="H376" s="36"/>
      <c r="I376" s="37"/>
      <c r="J376" s="38"/>
      <c r="K376" s="39"/>
      <c r="L376" s="38"/>
      <c r="M376" s="39"/>
      <c r="N376" s="40"/>
      <c r="O376" s="34"/>
      <c r="P376" s="35"/>
      <c r="Q376" s="35"/>
      <c r="R376" s="35"/>
      <c r="S376" s="35"/>
      <c r="T376" s="35"/>
      <c r="U376" s="35"/>
      <c r="V376" s="35"/>
      <c r="W376" s="35"/>
      <c r="X376" s="35"/>
      <c r="Y376" s="35"/>
    </row>
    <row r="377" ht="14.25" customHeight="1">
      <c r="A377" s="83"/>
      <c r="B377" s="84"/>
      <c r="C377" s="108"/>
      <c r="D377" s="102"/>
      <c r="E377" s="117"/>
      <c r="F377" s="250"/>
      <c r="G377" s="523"/>
      <c r="H377" s="36"/>
      <c r="I377" s="37"/>
      <c r="J377" s="38"/>
      <c r="K377" s="39"/>
      <c r="L377" s="38"/>
      <c r="M377" s="39"/>
      <c r="N377" s="40"/>
      <c r="O377" s="34"/>
      <c r="P377" s="35"/>
      <c r="Q377" s="35"/>
      <c r="R377" s="35"/>
      <c r="S377" s="35"/>
      <c r="T377" s="35"/>
      <c r="U377" s="35"/>
      <c r="V377" s="35"/>
      <c r="W377" s="35"/>
      <c r="X377" s="35"/>
      <c r="Y377" s="35"/>
    </row>
    <row r="378" ht="14.25" customHeight="1">
      <c r="A378" s="83"/>
      <c r="B378" s="84"/>
      <c r="C378" s="108"/>
      <c r="D378" s="102"/>
      <c r="E378" s="117"/>
      <c r="F378" s="250"/>
      <c r="G378" s="523"/>
      <c r="H378" s="36"/>
      <c r="I378" s="37"/>
      <c r="J378" s="38"/>
      <c r="K378" s="39"/>
      <c r="L378" s="38"/>
      <c r="M378" s="39"/>
      <c r="N378" s="40"/>
      <c r="O378" s="34"/>
      <c r="P378" s="35"/>
      <c r="Q378" s="35"/>
      <c r="R378" s="35"/>
      <c r="S378" s="35"/>
      <c r="T378" s="35"/>
      <c r="U378" s="35"/>
      <c r="V378" s="35"/>
      <c r="W378" s="35"/>
      <c r="X378" s="35"/>
      <c r="Y378" s="35"/>
    </row>
    <row r="379" ht="14.25" customHeight="1">
      <c r="A379" s="83"/>
      <c r="B379" s="84"/>
      <c r="C379" s="108"/>
      <c r="D379" s="102"/>
      <c r="E379" s="117"/>
      <c r="F379" s="250"/>
      <c r="G379" s="523"/>
      <c r="H379" s="36"/>
      <c r="I379" s="37"/>
      <c r="J379" s="38"/>
      <c r="K379" s="39"/>
      <c r="L379" s="38"/>
      <c r="M379" s="39"/>
      <c r="N379" s="40"/>
      <c r="O379" s="34"/>
      <c r="P379" s="35"/>
      <c r="Q379" s="35"/>
      <c r="R379" s="35"/>
      <c r="S379" s="35"/>
      <c r="T379" s="35"/>
      <c r="U379" s="35"/>
      <c r="V379" s="35"/>
      <c r="W379" s="35"/>
      <c r="X379" s="35"/>
      <c r="Y379" s="35"/>
    </row>
    <row r="380" ht="14.25" customHeight="1">
      <c r="A380" s="83"/>
      <c r="B380" s="84"/>
      <c r="C380" s="108"/>
      <c r="D380" s="102"/>
      <c r="E380" s="117"/>
      <c r="F380" s="250"/>
      <c r="G380" s="523"/>
      <c r="H380" s="36"/>
      <c r="I380" s="37"/>
      <c r="J380" s="38"/>
      <c r="K380" s="39"/>
      <c r="L380" s="38"/>
      <c r="M380" s="39"/>
      <c r="N380" s="40"/>
      <c r="O380" s="34"/>
      <c r="P380" s="35"/>
      <c r="Q380" s="35"/>
      <c r="R380" s="35"/>
      <c r="S380" s="35"/>
      <c r="T380" s="35"/>
      <c r="U380" s="35"/>
      <c r="V380" s="35"/>
      <c r="W380" s="35"/>
      <c r="X380" s="35"/>
      <c r="Y380" s="35"/>
    </row>
    <row r="381" ht="14.25" customHeight="1">
      <c r="A381" s="83"/>
      <c r="B381" s="84"/>
      <c r="C381" s="108"/>
      <c r="D381" s="102"/>
      <c r="E381" s="117"/>
      <c r="F381" s="250"/>
      <c r="G381" s="523"/>
      <c r="H381" s="36"/>
      <c r="I381" s="37"/>
      <c r="J381" s="38"/>
      <c r="K381" s="39"/>
      <c r="L381" s="38"/>
      <c r="M381" s="39"/>
      <c r="N381" s="40"/>
      <c r="O381" s="34"/>
      <c r="P381" s="35"/>
      <c r="Q381" s="35"/>
      <c r="R381" s="35"/>
      <c r="S381" s="35"/>
      <c r="T381" s="35"/>
      <c r="U381" s="35"/>
      <c r="V381" s="35"/>
      <c r="W381" s="35"/>
      <c r="X381" s="35"/>
      <c r="Y381" s="35"/>
    </row>
    <row r="382" ht="14.25" customHeight="1">
      <c r="A382" s="83"/>
      <c r="B382" s="84"/>
      <c r="C382" s="108"/>
      <c r="D382" s="102"/>
      <c r="E382" s="117"/>
      <c r="F382" s="250"/>
      <c r="G382" s="523"/>
      <c r="H382" s="36"/>
      <c r="I382" s="37"/>
      <c r="J382" s="38"/>
      <c r="K382" s="39"/>
      <c r="L382" s="38"/>
      <c r="M382" s="39"/>
      <c r="N382" s="40"/>
      <c r="O382" s="34"/>
      <c r="P382" s="35"/>
      <c r="Q382" s="35"/>
      <c r="R382" s="35"/>
      <c r="S382" s="35"/>
      <c r="T382" s="35"/>
      <c r="U382" s="35"/>
      <c r="V382" s="35"/>
      <c r="W382" s="35"/>
      <c r="X382" s="35"/>
      <c r="Y382" s="35"/>
    </row>
    <row r="383" ht="14.25" customHeight="1">
      <c r="A383" s="83"/>
      <c r="B383" s="84"/>
      <c r="C383" s="108"/>
      <c r="D383" s="102"/>
      <c r="E383" s="117"/>
      <c r="F383" s="250"/>
      <c r="G383" s="523"/>
      <c r="H383" s="36"/>
      <c r="I383" s="37"/>
      <c r="J383" s="38"/>
      <c r="K383" s="39"/>
      <c r="L383" s="38"/>
      <c r="M383" s="39"/>
      <c r="N383" s="40"/>
      <c r="O383" s="34"/>
      <c r="P383" s="35"/>
      <c r="Q383" s="35"/>
      <c r="R383" s="35"/>
      <c r="S383" s="35"/>
      <c r="T383" s="35"/>
      <c r="U383" s="35"/>
      <c r="V383" s="35"/>
      <c r="W383" s="35"/>
      <c r="X383" s="35"/>
      <c r="Y383" s="35"/>
    </row>
    <row r="384" ht="14.25" customHeight="1">
      <c r="A384" s="83"/>
      <c r="B384" s="84"/>
      <c r="C384" s="108"/>
      <c r="D384" s="102"/>
      <c r="E384" s="117"/>
      <c r="F384" s="250"/>
      <c r="G384" s="523"/>
      <c r="H384" s="36"/>
      <c r="I384" s="37"/>
      <c r="J384" s="38"/>
      <c r="K384" s="39"/>
      <c r="L384" s="38"/>
      <c r="M384" s="39"/>
      <c r="N384" s="40"/>
      <c r="O384" s="34"/>
      <c r="P384" s="35"/>
      <c r="Q384" s="35"/>
      <c r="R384" s="35"/>
      <c r="S384" s="35"/>
      <c r="T384" s="35"/>
      <c r="U384" s="35"/>
      <c r="V384" s="35"/>
      <c r="W384" s="35"/>
      <c r="X384" s="35"/>
      <c r="Y384" s="35"/>
    </row>
    <row r="385" ht="14.25" customHeight="1">
      <c r="A385" s="83"/>
      <c r="B385" s="84"/>
      <c r="C385" s="108"/>
      <c r="D385" s="102"/>
      <c r="E385" s="117"/>
      <c r="F385" s="250"/>
      <c r="G385" s="523"/>
      <c r="H385" s="36"/>
      <c r="I385" s="37"/>
      <c r="J385" s="38"/>
      <c r="K385" s="39"/>
      <c r="L385" s="38"/>
      <c r="M385" s="39"/>
      <c r="N385" s="40"/>
      <c r="O385" s="34"/>
      <c r="P385" s="35"/>
      <c r="Q385" s="35"/>
      <c r="R385" s="35"/>
      <c r="S385" s="35"/>
      <c r="T385" s="35"/>
      <c r="U385" s="35"/>
      <c r="V385" s="35"/>
      <c r="W385" s="35"/>
      <c r="X385" s="35"/>
      <c r="Y385" s="35"/>
    </row>
    <row r="386" ht="14.25" customHeight="1">
      <c r="A386" s="83"/>
      <c r="B386" s="84"/>
      <c r="C386" s="108"/>
      <c r="D386" s="102"/>
      <c r="E386" s="117"/>
      <c r="F386" s="250"/>
      <c r="G386" s="523"/>
      <c r="H386" s="36"/>
      <c r="I386" s="37"/>
      <c r="J386" s="38"/>
      <c r="K386" s="39"/>
      <c r="L386" s="38"/>
      <c r="M386" s="39"/>
      <c r="N386" s="40"/>
      <c r="O386" s="34"/>
      <c r="P386" s="35"/>
      <c r="Q386" s="35"/>
      <c r="R386" s="35"/>
      <c r="S386" s="35"/>
      <c r="T386" s="35"/>
      <c r="U386" s="35"/>
      <c r="V386" s="35"/>
      <c r="W386" s="35"/>
      <c r="X386" s="35"/>
      <c r="Y386" s="35"/>
    </row>
    <row r="387" ht="14.25" customHeight="1">
      <c r="A387" s="83"/>
      <c r="B387" s="84"/>
      <c r="C387" s="108"/>
      <c r="D387" s="102"/>
      <c r="E387" s="117"/>
      <c r="F387" s="250"/>
      <c r="G387" s="523"/>
      <c r="H387" s="36"/>
      <c r="I387" s="37"/>
      <c r="J387" s="38"/>
      <c r="K387" s="39"/>
      <c r="L387" s="38"/>
      <c r="M387" s="39"/>
      <c r="N387" s="40"/>
      <c r="O387" s="34"/>
      <c r="P387" s="35"/>
      <c r="Q387" s="35"/>
      <c r="R387" s="35"/>
      <c r="S387" s="35"/>
      <c r="T387" s="35"/>
      <c r="U387" s="35"/>
      <c r="V387" s="35"/>
      <c r="W387" s="35"/>
      <c r="X387" s="35"/>
      <c r="Y387" s="35"/>
    </row>
    <row r="388" ht="14.25" customHeight="1">
      <c r="A388" s="83"/>
      <c r="B388" s="84"/>
      <c r="C388" s="108"/>
      <c r="D388" s="102"/>
      <c r="E388" s="117"/>
      <c r="F388" s="250"/>
      <c r="G388" s="523"/>
      <c r="H388" s="36"/>
      <c r="I388" s="37"/>
      <c r="J388" s="38"/>
      <c r="K388" s="39"/>
      <c r="L388" s="38"/>
      <c r="M388" s="39"/>
      <c r="N388" s="40"/>
      <c r="O388" s="34"/>
      <c r="P388" s="35"/>
      <c r="Q388" s="35"/>
      <c r="R388" s="35"/>
      <c r="S388" s="35"/>
      <c r="T388" s="35"/>
      <c r="U388" s="35"/>
      <c r="V388" s="35"/>
      <c r="W388" s="35"/>
      <c r="X388" s="35"/>
      <c r="Y388" s="35"/>
    </row>
    <row r="389" ht="14.25" customHeight="1">
      <c r="A389" s="83"/>
      <c r="B389" s="84"/>
      <c r="C389" s="108"/>
      <c r="D389" s="102"/>
      <c r="E389" s="117"/>
      <c r="F389" s="250"/>
      <c r="G389" s="523"/>
      <c r="H389" s="36"/>
      <c r="I389" s="37"/>
      <c r="J389" s="38"/>
      <c r="K389" s="39"/>
      <c r="L389" s="38"/>
      <c r="M389" s="39"/>
      <c r="N389" s="40"/>
      <c r="O389" s="34"/>
      <c r="P389" s="35"/>
      <c r="Q389" s="35"/>
      <c r="R389" s="35"/>
      <c r="S389" s="35"/>
      <c r="T389" s="35"/>
      <c r="U389" s="35"/>
      <c r="V389" s="35"/>
      <c r="W389" s="35"/>
      <c r="X389" s="35"/>
      <c r="Y389" s="35"/>
    </row>
    <row r="390" ht="14.25" customHeight="1">
      <c r="A390" s="83"/>
      <c r="B390" s="84"/>
      <c r="C390" s="108"/>
      <c r="D390" s="102"/>
      <c r="E390" s="117"/>
      <c r="F390" s="250"/>
      <c r="G390" s="523"/>
      <c r="H390" s="36"/>
      <c r="I390" s="37"/>
      <c r="J390" s="38"/>
      <c r="K390" s="39"/>
      <c r="L390" s="38"/>
      <c r="M390" s="39"/>
      <c r="N390" s="40"/>
      <c r="O390" s="34"/>
      <c r="P390" s="35"/>
      <c r="Q390" s="35"/>
      <c r="R390" s="35"/>
      <c r="S390" s="35"/>
      <c r="T390" s="35"/>
      <c r="U390" s="35"/>
      <c r="V390" s="35"/>
      <c r="W390" s="35"/>
      <c r="X390" s="35"/>
      <c r="Y390" s="35"/>
    </row>
    <row r="391" ht="14.25" customHeight="1">
      <c r="A391" s="83"/>
      <c r="B391" s="84"/>
      <c r="C391" s="108"/>
      <c r="D391" s="102"/>
      <c r="E391" s="117"/>
      <c r="F391" s="250"/>
      <c r="G391" s="523"/>
      <c r="H391" s="36"/>
      <c r="I391" s="37"/>
      <c r="J391" s="38"/>
      <c r="K391" s="39"/>
      <c r="L391" s="38"/>
      <c r="M391" s="39"/>
      <c r="N391" s="40"/>
      <c r="O391" s="34"/>
      <c r="P391" s="35"/>
      <c r="Q391" s="35"/>
      <c r="R391" s="35"/>
      <c r="S391" s="35"/>
      <c r="T391" s="35"/>
      <c r="U391" s="35"/>
      <c r="V391" s="35"/>
      <c r="W391" s="35"/>
      <c r="X391" s="35"/>
      <c r="Y391" s="35"/>
    </row>
    <row r="392" ht="14.25" customHeight="1">
      <c r="A392" s="83"/>
      <c r="B392" s="84"/>
      <c r="C392" s="108"/>
      <c r="D392" s="102"/>
      <c r="E392" s="117"/>
      <c r="F392" s="250"/>
      <c r="G392" s="523"/>
      <c r="H392" s="36"/>
      <c r="I392" s="37"/>
      <c r="J392" s="38"/>
      <c r="K392" s="39"/>
      <c r="L392" s="38"/>
      <c r="M392" s="39"/>
      <c r="N392" s="40"/>
      <c r="O392" s="34"/>
      <c r="P392" s="35"/>
      <c r="Q392" s="35"/>
      <c r="R392" s="35"/>
      <c r="S392" s="35"/>
      <c r="T392" s="35"/>
      <c r="U392" s="35"/>
      <c r="V392" s="35"/>
      <c r="W392" s="35"/>
      <c r="X392" s="35"/>
      <c r="Y392" s="35"/>
    </row>
    <row r="393" ht="14.25" customHeight="1">
      <c r="A393" s="83"/>
      <c r="B393" s="84"/>
      <c r="C393" s="108"/>
      <c r="D393" s="102"/>
      <c r="E393" s="117"/>
      <c r="F393" s="250"/>
      <c r="G393" s="523"/>
      <c r="H393" s="36"/>
      <c r="I393" s="37"/>
      <c r="J393" s="38"/>
      <c r="K393" s="39"/>
      <c r="L393" s="38"/>
      <c r="M393" s="39"/>
      <c r="N393" s="40"/>
      <c r="O393" s="34"/>
      <c r="P393" s="35"/>
      <c r="Q393" s="35"/>
      <c r="R393" s="35"/>
      <c r="S393" s="35"/>
      <c r="T393" s="35"/>
      <c r="U393" s="35"/>
      <c r="V393" s="35"/>
      <c r="W393" s="35"/>
      <c r="X393" s="35"/>
      <c r="Y393" s="35"/>
    </row>
    <row r="394" ht="14.25" customHeight="1">
      <c r="A394" s="83"/>
      <c r="B394" s="84"/>
      <c r="C394" s="108"/>
      <c r="D394" s="102"/>
      <c r="E394" s="117"/>
      <c r="F394" s="250"/>
      <c r="G394" s="523"/>
      <c r="H394" s="36"/>
      <c r="I394" s="37"/>
      <c r="J394" s="38"/>
      <c r="K394" s="39"/>
      <c r="L394" s="38"/>
      <c r="M394" s="39"/>
      <c r="N394" s="40"/>
      <c r="O394" s="34"/>
      <c r="P394" s="35"/>
      <c r="Q394" s="35"/>
      <c r="R394" s="35"/>
      <c r="S394" s="35"/>
      <c r="T394" s="35"/>
      <c r="U394" s="35"/>
      <c r="V394" s="35"/>
      <c r="W394" s="35"/>
      <c r="X394" s="35"/>
      <c r="Y394" s="35"/>
    </row>
    <row r="395" ht="14.25" customHeight="1">
      <c r="A395" s="83"/>
      <c r="B395" s="84"/>
      <c r="C395" s="108"/>
      <c r="D395" s="102"/>
      <c r="E395" s="117"/>
      <c r="F395" s="250"/>
      <c r="G395" s="523"/>
      <c r="H395" s="36"/>
      <c r="I395" s="37"/>
      <c r="J395" s="38"/>
      <c r="K395" s="39"/>
      <c r="L395" s="38"/>
      <c r="M395" s="39"/>
      <c r="N395" s="40"/>
      <c r="O395" s="34"/>
      <c r="P395" s="35"/>
      <c r="Q395" s="35"/>
      <c r="R395" s="35"/>
      <c r="S395" s="35"/>
      <c r="T395" s="35"/>
      <c r="U395" s="35"/>
      <c r="V395" s="35"/>
      <c r="W395" s="35"/>
      <c r="X395" s="35"/>
      <c r="Y395" s="35"/>
    </row>
    <row r="396" ht="14.25" customHeight="1">
      <c r="A396" s="83"/>
      <c r="B396" s="84"/>
      <c r="C396" s="108"/>
      <c r="D396" s="102"/>
      <c r="E396" s="117"/>
      <c r="F396" s="250"/>
      <c r="G396" s="523"/>
      <c r="H396" s="36"/>
      <c r="I396" s="37"/>
      <c r="J396" s="38"/>
      <c r="K396" s="39"/>
      <c r="L396" s="38"/>
      <c r="M396" s="39"/>
      <c r="N396" s="40"/>
      <c r="O396" s="34"/>
      <c r="P396" s="35"/>
      <c r="Q396" s="35"/>
      <c r="R396" s="35"/>
      <c r="S396" s="35"/>
      <c r="T396" s="35"/>
      <c r="U396" s="35"/>
      <c r="V396" s="35"/>
      <c r="W396" s="35"/>
      <c r="X396" s="35"/>
      <c r="Y396" s="35"/>
    </row>
    <row r="397" ht="14.25" customHeight="1">
      <c r="A397" s="83"/>
      <c r="B397" s="84"/>
      <c r="C397" s="108"/>
      <c r="D397" s="102"/>
      <c r="E397" s="117"/>
      <c r="F397" s="250"/>
      <c r="G397" s="523"/>
      <c r="H397" s="36"/>
      <c r="I397" s="37"/>
      <c r="J397" s="38"/>
      <c r="K397" s="39"/>
      <c r="L397" s="38"/>
      <c r="M397" s="39"/>
      <c r="N397" s="40"/>
      <c r="O397" s="34"/>
      <c r="P397" s="35"/>
      <c r="Q397" s="35"/>
      <c r="R397" s="35"/>
      <c r="S397" s="35"/>
      <c r="T397" s="35"/>
      <c r="U397" s="35"/>
      <c r="V397" s="35"/>
      <c r="W397" s="35"/>
      <c r="X397" s="35"/>
      <c r="Y397" s="35"/>
    </row>
    <row r="398" ht="14.25" customHeight="1">
      <c r="A398" s="83"/>
      <c r="B398" s="84"/>
      <c r="C398" s="108"/>
      <c r="D398" s="102"/>
      <c r="E398" s="117"/>
      <c r="F398" s="250"/>
      <c r="G398" s="523"/>
      <c r="H398" s="36"/>
      <c r="I398" s="37"/>
      <c r="J398" s="38"/>
      <c r="K398" s="39"/>
      <c r="L398" s="38"/>
      <c r="M398" s="39"/>
      <c r="N398" s="40"/>
      <c r="O398" s="34"/>
      <c r="P398" s="35"/>
      <c r="Q398" s="35"/>
      <c r="R398" s="35"/>
      <c r="S398" s="35"/>
      <c r="T398" s="35"/>
      <c r="U398" s="35"/>
      <c r="V398" s="35"/>
      <c r="W398" s="35"/>
      <c r="X398" s="35"/>
      <c r="Y398" s="35"/>
    </row>
    <row r="399" ht="14.25" customHeight="1">
      <c r="A399" s="83"/>
      <c r="B399" s="84"/>
      <c r="C399" s="108"/>
      <c r="D399" s="102"/>
      <c r="E399" s="117"/>
      <c r="F399" s="250"/>
      <c r="G399" s="523"/>
      <c r="H399" s="36"/>
      <c r="I399" s="37"/>
      <c r="J399" s="38"/>
      <c r="K399" s="39"/>
      <c r="L399" s="38"/>
      <c r="M399" s="39"/>
      <c r="N399" s="40"/>
      <c r="O399" s="34"/>
      <c r="P399" s="35"/>
      <c r="Q399" s="35"/>
      <c r="R399" s="35"/>
      <c r="S399" s="35"/>
      <c r="T399" s="35"/>
      <c r="U399" s="35"/>
      <c r="V399" s="35"/>
      <c r="W399" s="35"/>
      <c r="X399" s="35"/>
      <c r="Y399" s="35"/>
    </row>
    <row r="400" ht="14.25" customHeight="1">
      <c r="A400" s="83"/>
      <c r="B400" s="84"/>
      <c r="C400" s="108"/>
      <c r="D400" s="102"/>
      <c r="E400" s="117"/>
      <c r="F400" s="250"/>
      <c r="G400" s="523"/>
      <c r="H400" s="36"/>
      <c r="I400" s="37"/>
      <c r="J400" s="38"/>
      <c r="K400" s="39"/>
      <c r="L400" s="38"/>
      <c r="M400" s="39"/>
      <c r="N400" s="40"/>
      <c r="O400" s="34"/>
      <c r="P400" s="35"/>
      <c r="Q400" s="35"/>
      <c r="R400" s="35"/>
      <c r="S400" s="35"/>
      <c r="T400" s="35"/>
      <c r="U400" s="35"/>
      <c r="V400" s="35"/>
      <c r="W400" s="35"/>
      <c r="X400" s="35"/>
      <c r="Y400" s="35"/>
    </row>
    <row r="401" ht="14.25" customHeight="1">
      <c r="A401" s="83"/>
      <c r="B401" s="84"/>
      <c r="C401" s="108"/>
      <c r="D401" s="102"/>
      <c r="E401" s="117"/>
      <c r="F401" s="250"/>
      <c r="G401" s="523"/>
      <c r="H401" s="36"/>
      <c r="I401" s="37"/>
      <c r="J401" s="38"/>
      <c r="K401" s="39"/>
      <c r="L401" s="38"/>
      <c r="M401" s="39"/>
      <c r="N401" s="40"/>
      <c r="O401" s="34"/>
      <c r="P401" s="35"/>
      <c r="Q401" s="35"/>
      <c r="R401" s="35"/>
      <c r="S401" s="35"/>
      <c r="T401" s="35"/>
      <c r="U401" s="35"/>
      <c r="V401" s="35"/>
      <c r="W401" s="35"/>
      <c r="X401" s="35"/>
      <c r="Y401" s="35"/>
    </row>
    <row r="402" ht="14.25" customHeight="1">
      <c r="A402" s="83"/>
      <c r="B402" s="84"/>
      <c r="C402" s="108"/>
      <c r="D402" s="102"/>
      <c r="E402" s="117"/>
      <c r="F402" s="250"/>
      <c r="G402" s="523"/>
      <c r="H402" s="36"/>
      <c r="I402" s="37"/>
      <c r="J402" s="38"/>
      <c r="K402" s="39"/>
      <c r="L402" s="38"/>
      <c r="M402" s="39"/>
      <c r="N402" s="40"/>
      <c r="O402" s="34"/>
      <c r="P402" s="35"/>
      <c r="Q402" s="35"/>
      <c r="R402" s="35"/>
      <c r="S402" s="35"/>
      <c r="T402" s="35"/>
      <c r="U402" s="35"/>
      <c r="V402" s="35"/>
      <c r="W402" s="35"/>
      <c r="X402" s="35"/>
      <c r="Y402" s="35"/>
    </row>
    <row r="403" ht="14.25" customHeight="1">
      <c r="A403" s="83"/>
      <c r="B403" s="84"/>
      <c r="C403" s="108"/>
      <c r="D403" s="102"/>
      <c r="E403" s="117"/>
      <c r="F403" s="250"/>
      <c r="G403" s="523"/>
      <c r="H403" s="36"/>
      <c r="I403" s="37"/>
      <c r="J403" s="38"/>
      <c r="K403" s="39"/>
      <c r="L403" s="38"/>
      <c r="M403" s="39"/>
      <c r="N403" s="40"/>
      <c r="O403" s="34"/>
      <c r="P403" s="35"/>
      <c r="Q403" s="35"/>
      <c r="R403" s="35"/>
      <c r="S403" s="35"/>
      <c r="T403" s="35"/>
      <c r="U403" s="35"/>
      <c r="V403" s="35"/>
      <c r="W403" s="35"/>
      <c r="X403" s="35"/>
      <c r="Y403" s="35"/>
    </row>
    <row r="404" ht="14.25" customHeight="1">
      <c r="A404" s="83"/>
      <c r="B404" s="84"/>
      <c r="C404" s="108"/>
      <c r="D404" s="102"/>
      <c r="E404" s="117"/>
      <c r="F404" s="250"/>
      <c r="G404" s="523"/>
      <c r="H404" s="36"/>
      <c r="I404" s="37"/>
      <c r="J404" s="38"/>
      <c r="K404" s="39"/>
      <c r="L404" s="38"/>
      <c r="M404" s="39"/>
      <c r="N404" s="40"/>
      <c r="O404" s="34"/>
      <c r="P404" s="35"/>
      <c r="Q404" s="35"/>
      <c r="R404" s="35"/>
      <c r="S404" s="35"/>
      <c r="T404" s="35"/>
      <c r="U404" s="35"/>
      <c r="V404" s="35"/>
      <c r="W404" s="35"/>
      <c r="X404" s="35"/>
      <c r="Y404" s="35"/>
    </row>
    <row r="405" ht="14.25" customHeight="1">
      <c r="A405" s="83"/>
      <c r="B405" s="84"/>
      <c r="C405" s="108"/>
      <c r="D405" s="102"/>
      <c r="E405" s="117"/>
      <c r="F405" s="250"/>
      <c r="G405" s="523"/>
      <c r="H405" s="36"/>
      <c r="I405" s="37"/>
      <c r="J405" s="38"/>
      <c r="K405" s="39"/>
      <c r="L405" s="38"/>
      <c r="M405" s="39"/>
      <c r="N405" s="40"/>
      <c r="O405" s="34"/>
      <c r="P405" s="35"/>
      <c r="Q405" s="35"/>
      <c r="R405" s="35"/>
      <c r="S405" s="35"/>
      <c r="T405" s="35"/>
      <c r="U405" s="35"/>
      <c r="V405" s="35"/>
      <c r="W405" s="35"/>
      <c r="X405" s="35"/>
      <c r="Y405" s="35"/>
    </row>
    <row r="406" ht="14.25" customHeight="1">
      <c r="A406" s="83"/>
      <c r="B406" s="84"/>
      <c r="C406" s="108"/>
      <c r="D406" s="102"/>
      <c r="E406" s="117"/>
      <c r="F406" s="250"/>
      <c r="G406" s="523"/>
      <c r="H406" s="36"/>
      <c r="I406" s="37"/>
      <c r="J406" s="38"/>
      <c r="K406" s="39"/>
      <c r="L406" s="38"/>
      <c r="M406" s="39"/>
      <c r="N406" s="40"/>
      <c r="O406" s="34"/>
      <c r="P406" s="35"/>
      <c r="Q406" s="35"/>
      <c r="R406" s="35"/>
      <c r="S406" s="35"/>
      <c r="T406" s="35"/>
      <c r="U406" s="35"/>
      <c r="V406" s="35"/>
      <c r="W406" s="35"/>
      <c r="X406" s="35"/>
      <c r="Y406" s="35"/>
    </row>
    <row r="407" ht="14.25" customHeight="1">
      <c r="A407" s="83"/>
      <c r="B407" s="84"/>
      <c r="C407" s="108"/>
      <c r="D407" s="102"/>
      <c r="E407" s="117"/>
      <c r="F407" s="250"/>
      <c r="G407" s="523"/>
      <c r="H407" s="36"/>
      <c r="I407" s="37"/>
      <c r="J407" s="38"/>
      <c r="K407" s="39"/>
      <c r="L407" s="38"/>
      <c r="M407" s="39"/>
      <c r="N407" s="40"/>
      <c r="O407" s="34"/>
      <c r="P407" s="35"/>
      <c r="Q407" s="35"/>
      <c r="R407" s="35"/>
      <c r="S407" s="35"/>
      <c r="T407" s="35"/>
      <c r="U407" s="35"/>
      <c r="V407" s="35"/>
      <c r="W407" s="35"/>
      <c r="X407" s="35"/>
      <c r="Y407" s="35"/>
    </row>
    <row r="408" ht="14.25" customHeight="1">
      <c r="A408" s="83"/>
      <c r="B408" s="84"/>
      <c r="C408" s="108"/>
      <c r="D408" s="102"/>
      <c r="E408" s="117"/>
      <c r="F408" s="250"/>
      <c r="G408" s="523"/>
      <c r="H408" s="36"/>
      <c r="I408" s="37"/>
      <c r="J408" s="38"/>
      <c r="K408" s="39"/>
      <c r="L408" s="38"/>
      <c r="M408" s="39"/>
      <c r="N408" s="40"/>
      <c r="O408" s="34"/>
      <c r="P408" s="35"/>
      <c r="Q408" s="35"/>
      <c r="R408" s="35"/>
      <c r="S408" s="35"/>
      <c r="T408" s="35"/>
      <c r="U408" s="35"/>
      <c r="V408" s="35"/>
      <c r="W408" s="35"/>
      <c r="X408" s="35"/>
      <c r="Y408" s="35"/>
    </row>
    <row r="409" ht="14.25" customHeight="1">
      <c r="A409" s="83"/>
      <c r="B409" s="84"/>
      <c r="C409" s="108"/>
      <c r="D409" s="102"/>
      <c r="E409" s="117"/>
      <c r="F409" s="250"/>
      <c r="G409" s="523"/>
      <c r="H409" s="36"/>
      <c r="I409" s="37"/>
      <c r="J409" s="38"/>
      <c r="K409" s="39"/>
      <c r="L409" s="38"/>
      <c r="M409" s="39"/>
      <c r="N409" s="40"/>
      <c r="O409" s="34"/>
      <c r="P409" s="35"/>
      <c r="Q409" s="35"/>
      <c r="R409" s="35"/>
      <c r="S409" s="35"/>
      <c r="T409" s="35"/>
      <c r="U409" s="35"/>
      <c r="V409" s="35"/>
      <c r="W409" s="35"/>
      <c r="X409" s="35"/>
      <c r="Y409" s="35"/>
    </row>
    <row r="410" ht="14.25" customHeight="1">
      <c r="A410" s="83"/>
      <c r="B410" s="84"/>
      <c r="C410" s="108"/>
      <c r="D410" s="102"/>
      <c r="E410" s="117"/>
      <c r="F410" s="250"/>
      <c r="G410" s="523"/>
      <c r="H410" s="36"/>
      <c r="I410" s="37"/>
      <c r="J410" s="38"/>
      <c r="K410" s="39"/>
      <c r="L410" s="38"/>
      <c r="M410" s="39"/>
      <c r="N410" s="40"/>
      <c r="O410" s="34"/>
      <c r="P410" s="35"/>
      <c r="Q410" s="35"/>
      <c r="R410" s="35"/>
      <c r="S410" s="35"/>
      <c r="T410" s="35"/>
      <c r="U410" s="35"/>
      <c r="V410" s="35"/>
      <c r="W410" s="35"/>
      <c r="X410" s="35"/>
      <c r="Y410" s="35"/>
    </row>
    <row r="411" ht="14.25" customHeight="1">
      <c r="A411" s="83"/>
      <c r="B411" s="84"/>
      <c r="C411" s="108"/>
      <c r="D411" s="102"/>
      <c r="E411" s="117"/>
      <c r="F411" s="250"/>
      <c r="G411" s="523"/>
      <c r="H411" s="36"/>
      <c r="I411" s="37"/>
      <c r="J411" s="38"/>
      <c r="K411" s="39"/>
      <c r="L411" s="38"/>
      <c r="M411" s="39"/>
      <c r="N411" s="40"/>
      <c r="O411" s="34"/>
      <c r="P411" s="35"/>
      <c r="Q411" s="35"/>
      <c r="R411" s="35"/>
      <c r="S411" s="35"/>
      <c r="T411" s="35"/>
      <c r="U411" s="35"/>
      <c r="V411" s="35"/>
      <c r="W411" s="35"/>
      <c r="X411" s="35"/>
      <c r="Y411" s="35"/>
    </row>
    <row r="412" ht="14.25" customHeight="1">
      <c r="A412" s="83"/>
      <c r="B412" s="84"/>
      <c r="C412" s="108"/>
      <c r="D412" s="102"/>
      <c r="E412" s="117"/>
      <c r="F412" s="250"/>
      <c r="G412" s="523"/>
      <c r="H412" s="36"/>
      <c r="I412" s="37"/>
      <c r="J412" s="38"/>
      <c r="K412" s="39"/>
      <c r="L412" s="38"/>
      <c r="M412" s="39"/>
      <c r="N412" s="40"/>
      <c r="O412" s="34"/>
      <c r="P412" s="35"/>
      <c r="Q412" s="35"/>
      <c r="R412" s="35"/>
      <c r="S412" s="35"/>
      <c r="T412" s="35"/>
      <c r="U412" s="35"/>
      <c r="V412" s="35"/>
      <c r="W412" s="35"/>
      <c r="X412" s="35"/>
      <c r="Y412" s="35"/>
    </row>
    <row r="413" ht="14.25" customHeight="1">
      <c r="A413" s="83"/>
      <c r="B413" s="84"/>
      <c r="C413" s="108"/>
      <c r="D413" s="102"/>
      <c r="E413" s="117"/>
      <c r="F413" s="250"/>
      <c r="G413" s="523"/>
      <c r="H413" s="36"/>
      <c r="I413" s="37"/>
      <c r="J413" s="38"/>
      <c r="K413" s="39"/>
      <c r="L413" s="38"/>
      <c r="M413" s="39"/>
      <c r="N413" s="40"/>
      <c r="O413" s="34"/>
      <c r="P413" s="35"/>
      <c r="Q413" s="35"/>
      <c r="R413" s="35"/>
      <c r="S413" s="35"/>
      <c r="T413" s="35"/>
      <c r="U413" s="35"/>
      <c r="V413" s="35"/>
      <c r="W413" s="35"/>
      <c r="X413" s="35"/>
      <c r="Y413" s="35"/>
    </row>
    <row r="414" ht="14.25" customHeight="1">
      <c r="A414" s="83"/>
      <c r="B414" s="84"/>
      <c r="C414" s="108"/>
      <c r="D414" s="102"/>
      <c r="E414" s="117"/>
      <c r="F414" s="250"/>
      <c r="G414" s="523"/>
      <c r="H414" s="36"/>
      <c r="I414" s="37"/>
      <c r="J414" s="38"/>
      <c r="K414" s="39"/>
      <c r="L414" s="38"/>
      <c r="M414" s="39"/>
      <c r="N414" s="40"/>
      <c r="O414" s="34"/>
      <c r="P414" s="35"/>
      <c r="Q414" s="35"/>
      <c r="R414" s="35"/>
      <c r="S414" s="35"/>
      <c r="T414" s="35"/>
      <c r="U414" s="35"/>
      <c r="V414" s="35"/>
      <c r="W414" s="35"/>
      <c r="X414" s="35"/>
      <c r="Y414" s="35"/>
    </row>
    <row r="415" ht="14.25" customHeight="1">
      <c r="A415" s="83"/>
      <c r="B415" s="84"/>
      <c r="C415" s="108"/>
      <c r="D415" s="102"/>
      <c r="E415" s="117"/>
      <c r="F415" s="250"/>
      <c r="G415" s="523"/>
      <c r="H415" s="36"/>
      <c r="I415" s="37"/>
      <c r="J415" s="38"/>
      <c r="K415" s="39"/>
      <c r="L415" s="38"/>
      <c r="M415" s="39"/>
      <c r="N415" s="40"/>
      <c r="O415" s="34"/>
      <c r="P415" s="35"/>
      <c r="Q415" s="35"/>
      <c r="R415" s="35"/>
      <c r="S415" s="35"/>
      <c r="T415" s="35"/>
      <c r="U415" s="35"/>
      <c r="V415" s="35"/>
      <c r="W415" s="35"/>
      <c r="X415" s="35"/>
      <c r="Y415" s="35"/>
    </row>
    <row r="416" ht="14.25" customHeight="1">
      <c r="A416" s="83"/>
      <c r="B416" s="84"/>
      <c r="C416" s="108"/>
      <c r="D416" s="102"/>
      <c r="E416" s="117"/>
      <c r="F416" s="250"/>
      <c r="G416" s="523"/>
      <c r="H416" s="36"/>
      <c r="I416" s="37"/>
      <c r="J416" s="38"/>
      <c r="K416" s="39"/>
      <c r="L416" s="38"/>
      <c r="M416" s="39"/>
      <c r="N416" s="40"/>
      <c r="O416" s="34"/>
      <c r="P416" s="35"/>
      <c r="Q416" s="35"/>
      <c r="R416" s="35"/>
      <c r="S416" s="35"/>
      <c r="T416" s="35"/>
      <c r="U416" s="35"/>
      <c r="V416" s="35"/>
      <c r="W416" s="35"/>
      <c r="X416" s="35"/>
      <c r="Y416" s="35"/>
    </row>
    <row r="417" ht="14.25" customHeight="1">
      <c r="A417" s="83"/>
      <c r="B417" s="84"/>
      <c r="C417" s="108"/>
      <c r="D417" s="102"/>
      <c r="E417" s="117"/>
      <c r="F417" s="250"/>
      <c r="G417" s="523"/>
      <c r="H417" s="36"/>
      <c r="I417" s="37"/>
      <c r="J417" s="38"/>
      <c r="K417" s="39"/>
      <c r="L417" s="38"/>
      <c r="M417" s="39"/>
      <c r="N417" s="40"/>
      <c r="O417" s="34"/>
      <c r="P417" s="35"/>
      <c r="Q417" s="35"/>
      <c r="R417" s="35"/>
      <c r="S417" s="35"/>
      <c r="T417" s="35"/>
      <c r="U417" s="35"/>
      <c r="V417" s="35"/>
      <c r="W417" s="35"/>
      <c r="X417" s="35"/>
      <c r="Y417" s="35"/>
    </row>
    <row r="418" ht="14.25" customHeight="1">
      <c r="A418" s="83"/>
      <c r="B418" s="84"/>
      <c r="C418" s="108"/>
      <c r="D418" s="102"/>
      <c r="E418" s="117"/>
      <c r="F418" s="250"/>
      <c r="G418" s="523"/>
      <c r="H418" s="36"/>
      <c r="I418" s="37"/>
      <c r="J418" s="38"/>
      <c r="K418" s="39"/>
      <c r="L418" s="38"/>
      <c r="M418" s="39"/>
      <c r="N418" s="40"/>
      <c r="O418" s="34"/>
      <c r="P418" s="35"/>
      <c r="Q418" s="35"/>
      <c r="R418" s="35"/>
      <c r="S418" s="35"/>
      <c r="T418" s="35"/>
      <c r="U418" s="35"/>
      <c r="V418" s="35"/>
      <c r="W418" s="35"/>
      <c r="X418" s="35"/>
      <c r="Y418" s="35"/>
    </row>
    <row r="419" ht="14.25" customHeight="1">
      <c r="A419" s="83"/>
      <c r="B419" s="84"/>
      <c r="C419" s="108"/>
      <c r="D419" s="102"/>
      <c r="E419" s="117"/>
      <c r="F419" s="250"/>
      <c r="G419" s="523"/>
      <c r="H419" s="36"/>
      <c r="I419" s="37"/>
      <c r="J419" s="38"/>
      <c r="K419" s="39"/>
      <c r="L419" s="38"/>
      <c r="M419" s="39"/>
      <c r="N419" s="40"/>
      <c r="O419" s="34"/>
      <c r="P419" s="35"/>
      <c r="Q419" s="35"/>
      <c r="R419" s="35"/>
      <c r="S419" s="35"/>
      <c r="T419" s="35"/>
      <c r="U419" s="35"/>
      <c r="V419" s="35"/>
      <c r="W419" s="35"/>
      <c r="X419" s="35"/>
      <c r="Y419" s="35"/>
    </row>
    <row r="420" ht="14.25" customHeight="1">
      <c r="A420" s="83"/>
      <c r="B420" s="84"/>
      <c r="C420" s="108"/>
      <c r="D420" s="102"/>
      <c r="E420" s="117"/>
      <c r="F420" s="250"/>
      <c r="G420" s="523"/>
      <c r="H420" s="36"/>
      <c r="I420" s="37"/>
      <c r="J420" s="38"/>
      <c r="K420" s="39"/>
      <c r="L420" s="38"/>
      <c r="M420" s="39"/>
      <c r="N420" s="40"/>
      <c r="O420" s="34"/>
      <c r="P420" s="35"/>
      <c r="Q420" s="35"/>
      <c r="R420" s="35"/>
      <c r="S420" s="35"/>
      <c r="T420" s="35"/>
      <c r="U420" s="35"/>
      <c r="V420" s="35"/>
      <c r="W420" s="35"/>
      <c r="X420" s="35"/>
      <c r="Y420" s="35"/>
    </row>
    <row r="421" ht="14.25" customHeight="1">
      <c r="A421" s="83"/>
      <c r="B421" s="84"/>
      <c r="C421" s="108"/>
      <c r="D421" s="102"/>
      <c r="E421" s="117"/>
      <c r="F421" s="250"/>
      <c r="G421" s="523"/>
      <c r="H421" s="36"/>
      <c r="I421" s="37"/>
      <c r="J421" s="38"/>
      <c r="K421" s="39"/>
      <c r="L421" s="38"/>
      <c r="M421" s="39"/>
      <c r="N421" s="40"/>
      <c r="O421" s="34"/>
      <c r="P421" s="35"/>
      <c r="Q421" s="35"/>
      <c r="R421" s="35"/>
      <c r="S421" s="35"/>
      <c r="T421" s="35"/>
      <c r="U421" s="35"/>
      <c r="V421" s="35"/>
      <c r="W421" s="35"/>
      <c r="X421" s="35"/>
      <c r="Y421" s="35"/>
    </row>
    <row r="422" ht="14.25" customHeight="1">
      <c r="A422" s="83"/>
      <c r="B422" s="84"/>
      <c r="C422" s="108"/>
      <c r="D422" s="102"/>
      <c r="E422" s="117"/>
      <c r="F422" s="250"/>
      <c r="G422" s="523"/>
      <c r="H422" s="36"/>
      <c r="I422" s="37"/>
      <c r="J422" s="38"/>
      <c r="K422" s="39"/>
      <c r="L422" s="38"/>
      <c r="M422" s="39"/>
      <c r="N422" s="40"/>
      <c r="O422" s="34"/>
      <c r="P422" s="35"/>
      <c r="Q422" s="35"/>
      <c r="R422" s="35"/>
      <c r="S422" s="35"/>
      <c r="T422" s="35"/>
      <c r="U422" s="35"/>
      <c r="V422" s="35"/>
      <c r="W422" s="35"/>
      <c r="X422" s="35"/>
      <c r="Y422" s="35"/>
    </row>
    <row r="423" ht="14.25" customHeight="1">
      <c r="A423" s="83"/>
      <c r="B423" s="84"/>
      <c r="C423" s="108"/>
      <c r="D423" s="102"/>
      <c r="E423" s="117"/>
      <c r="F423" s="250"/>
      <c r="G423" s="523"/>
      <c r="H423" s="36"/>
      <c r="I423" s="37"/>
      <c r="J423" s="38"/>
      <c r="K423" s="39"/>
      <c r="L423" s="38"/>
      <c r="M423" s="39"/>
      <c r="N423" s="40"/>
      <c r="O423" s="34"/>
      <c r="P423" s="35"/>
      <c r="Q423" s="35"/>
      <c r="R423" s="35"/>
      <c r="S423" s="35"/>
      <c r="T423" s="35"/>
      <c r="U423" s="35"/>
      <c r="V423" s="35"/>
      <c r="W423" s="35"/>
      <c r="X423" s="35"/>
      <c r="Y423" s="35"/>
    </row>
    <row r="424" ht="14.25" customHeight="1">
      <c r="A424" s="83"/>
      <c r="B424" s="84"/>
      <c r="C424" s="108"/>
      <c r="D424" s="102"/>
      <c r="E424" s="117"/>
      <c r="F424" s="250"/>
      <c r="G424" s="523"/>
      <c r="H424" s="36"/>
      <c r="I424" s="37"/>
      <c r="J424" s="38"/>
      <c r="K424" s="39"/>
      <c r="L424" s="38"/>
      <c r="M424" s="39"/>
      <c r="N424" s="40"/>
      <c r="O424" s="34"/>
      <c r="P424" s="35"/>
      <c r="Q424" s="35"/>
      <c r="R424" s="35"/>
      <c r="S424" s="35"/>
      <c r="T424" s="35"/>
      <c r="U424" s="35"/>
      <c r="V424" s="35"/>
      <c r="W424" s="35"/>
      <c r="X424" s="35"/>
      <c r="Y424" s="35"/>
    </row>
    <row r="425" ht="14.25" customHeight="1">
      <c r="A425" s="83"/>
      <c r="B425" s="84"/>
      <c r="C425" s="108"/>
      <c r="D425" s="102"/>
      <c r="E425" s="117"/>
      <c r="F425" s="250"/>
      <c r="G425" s="523"/>
      <c r="H425" s="36"/>
      <c r="I425" s="37"/>
      <c r="J425" s="38"/>
      <c r="K425" s="39"/>
      <c r="L425" s="38"/>
      <c r="M425" s="39"/>
      <c r="N425" s="40"/>
      <c r="O425" s="34"/>
      <c r="P425" s="35"/>
      <c r="Q425" s="35"/>
      <c r="R425" s="35"/>
      <c r="S425" s="35"/>
      <c r="T425" s="35"/>
      <c r="U425" s="35"/>
      <c r="V425" s="35"/>
      <c r="W425" s="35"/>
      <c r="X425" s="35"/>
      <c r="Y425" s="35"/>
    </row>
    <row r="426" ht="14.25" customHeight="1">
      <c r="A426" s="83"/>
      <c r="B426" s="84"/>
      <c r="C426" s="108"/>
      <c r="D426" s="102"/>
      <c r="E426" s="117"/>
      <c r="F426" s="250"/>
      <c r="G426" s="523"/>
      <c r="H426" s="36"/>
      <c r="I426" s="37"/>
      <c r="J426" s="38"/>
      <c r="K426" s="39"/>
      <c r="L426" s="38"/>
      <c r="M426" s="39"/>
      <c r="N426" s="40"/>
      <c r="O426" s="34"/>
      <c r="P426" s="35"/>
      <c r="Q426" s="35"/>
      <c r="R426" s="35"/>
      <c r="S426" s="35"/>
      <c r="T426" s="35"/>
      <c r="U426" s="35"/>
      <c r="V426" s="35"/>
      <c r="W426" s="35"/>
      <c r="X426" s="35"/>
      <c r="Y426" s="35"/>
    </row>
    <row r="427" ht="14.25" customHeight="1">
      <c r="A427" s="83"/>
      <c r="B427" s="84"/>
      <c r="C427" s="108"/>
      <c r="D427" s="102"/>
      <c r="E427" s="117"/>
      <c r="F427" s="250"/>
      <c r="G427" s="523"/>
      <c r="H427" s="36"/>
      <c r="I427" s="37"/>
      <c r="J427" s="38"/>
      <c r="K427" s="39"/>
      <c r="L427" s="38"/>
      <c r="M427" s="39"/>
      <c r="N427" s="40"/>
      <c r="O427" s="34"/>
      <c r="P427" s="35"/>
      <c r="Q427" s="35"/>
      <c r="R427" s="35"/>
      <c r="S427" s="35"/>
      <c r="T427" s="35"/>
      <c r="U427" s="35"/>
      <c r="V427" s="35"/>
      <c r="W427" s="35"/>
      <c r="X427" s="35"/>
      <c r="Y427" s="35"/>
    </row>
    <row r="428" ht="14.25" customHeight="1">
      <c r="A428" s="83"/>
      <c r="B428" s="84"/>
      <c r="C428" s="108"/>
      <c r="D428" s="102"/>
      <c r="E428" s="117"/>
      <c r="F428" s="250"/>
      <c r="G428" s="523"/>
      <c r="H428" s="36"/>
      <c r="I428" s="37"/>
      <c r="J428" s="38"/>
      <c r="K428" s="39"/>
      <c r="L428" s="38"/>
      <c r="M428" s="39"/>
      <c r="N428" s="40"/>
      <c r="O428" s="34"/>
      <c r="P428" s="35"/>
      <c r="Q428" s="35"/>
      <c r="R428" s="35"/>
      <c r="S428" s="35"/>
      <c r="T428" s="35"/>
      <c r="U428" s="35"/>
      <c r="V428" s="35"/>
      <c r="W428" s="35"/>
      <c r="X428" s="35"/>
      <c r="Y428" s="35"/>
    </row>
    <row r="429" ht="14.25" customHeight="1">
      <c r="A429" s="83"/>
      <c r="B429" s="84"/>
      <c r="C429" s="108"/>
      <c r="D429" s="102"/>
      <c r="E429" s="117"/>
      <c r="F429" s="250"/>
      <c r="G429" s="523"/>
      <c r="H429" s="36"/>
      <c r="I429" s="37"/>
      <c r="J429" s="38"/>
      <c r="K429" s="39"/>
      <c r="L429" s="38"/>
      <c r="M429" s="39"/>
      <c r="N429" s="40"/>
      <c r="O429" s="34"/>
      <c r="P429" s="35"/>
      <c r="Q429" s="35"/>
      <c r="R429" s="35"/>
      <c r="S429" s="35"/>
      <c r="T429" s="35"/>
      <c r="U429" s="35"/>
      <c r="V429" s="35"/>
      <c r="W429" s="35"/>
      <c r="X429" s="35"/>
      <c r="Y429" s="35"/>
    </row>
    <row r="430" ht="14.25" customHeight="1">
      <c r="A430" s="83"/>
      <c r="B430" s="84"/>
      <c r="C430" s="108"/>
      <c r="D430" s="102"/>
      <c r="E430" s="117"/>
      <c r="F430" s="250"/>
      <c r="G430" s="523"/>
      <c r="H430" s="36"/>
      <c r="I430" s="37"/>
      <c r="J430" s="38"/>
      <c r="K430" s="39"/>
      <c r="L430" s="38"/>
      <c r="M430" s="39"/>
      <c r="N430" s="40"/>
      <c r="O430" s="34"/>
      <c r="P430" s="35"/>
      <c r="Q430" s="35"/>
      <c r="R430" s="35"/>
      <c r="S430" s="35"/>
      <c r="T430" s="35"/>
      <c r="U430" s="35"/>
      <c r="V430" s="35"/>
      <c r="W430" s="35"/>
      <c r="X430" s="35"/>
      <c r="Y430" s="35"/>
    </row>
    <row r="431" ht="14.25" customHeight="1">
      <c r="A431" s="83"/>
      <c r="B431" s="84"/>
      <c r="C431" s="108"/>
      <c r="D431" s="102"/>
      <c r="E431" s="117"/>
      <c r="F431" s="250"/>
      <c r="G431" s="523"/>
      <c r="H431" s="36"/>
      <c r="I431" s="37"/>
      <c r="J431" s="38"/>
      <c r="K431" s="39"/>
      <c r="L431" s="38"/>
      <c r="M431" s="39"/>
      <c r="N431" s="40"/>
      <c r="O431" s="34"/>
      <c r="P431" s="35"/>
      <c r="Q431" s="35"/>
      <c r="R431" s="35"/>
      <c r="S431" s="35"/>
      <c r="T431" s="35"/>
      <c r="U431" s="35"/>
      <c r="V431" s="35"/>
      <c r="W431" s="35"/>
      <c r="X431" s="35"/>
      <c r="Y431" s="35"/>
    </row>
    <row r="432" ht="14.25" customHeight="1">
      <c r="A432" s="83"/>
      <c r="B432" s="84"/>
      <c r="C432" s="108"/>
      <c r="D432" s="102"/>
      <c r="E432" s="117"/>
      <c r="F432" s="250"/>
      <c r="G432" s="523"/>
      <c r="H432" s="36"/>
      <c r="I432" s="37"/>
      <c r="J432" s="38"/>
      <c r="K432" s="39"/>
      <c r="L432" s="38"/>
      <c r="M432" s="39"/>
      <c r="N432" s="40"/>
      <c r="O432" s="34"/>
      <c r="P432" s="35"/>
      <c r="Q432" s="35"/>
      <c r="R432" s="35"/>
      <c r="S432" s="35"/>
      <c r="T432" s="35"/>
      <c r="U432" s="35"/>
      <c r="V432" s="35"/>
      <c r="W432" s="35"/>
      <c r="X432" s="35"/>
      <c r="Y432" s="35"/>
    </row>
    <row r="433" ht="14.25" customHeight="1">
      <c r="A433" s="83"/>
      <c r="B433" s="84"/>
      <c r="C433" s="108"/>
      <c r="D433" s="102"/>
      <c r="E433" s="117"/>
      <c r="F433" s="250"/>
      <c r="G433" s="523"/>
      <c r="H433" s="36"/>
      <c r="I433" s="37"/>
      <c r="J433" s="38"/>
      <c r="K433" s="39"/>
      <c r="L433" s="38"/>
      <c r="M433" s="39"/>
      <c r="N433" s="40"/>
      <c r="O433" s="34"/>
      <c r="P433" s="35"/>
      <c r="Q433" s="35"/>
      <c r="R433" s="35"/>
      <c r="S433" s="35"/>
      <c r="T433" s="35"/>
      <c r="U433" s="35"/>
      <c r="V433" s="35"/>
      <c r="W433" s="35"/>
      <c r="X433" s="35"/>
      <c r="Y433" s="35"/>
    </row>
    <row r="434" ht="14.25" customHeight="1">
      <c r="A434" s="83"/>
      <c r="B434" s="84"/>
      <c r="C434" s="108"/>
      <c r="D434" s="102"/>
      <c r="E434" s="117"/>
      <c r="F434" s="250"/>
      <c r="G434" s="523"/>
      <c r="H434" s="36"/>
      <c r="I434" s="37"/>
      <c r="J434" s="38"/>
      <c r="K434" s="39"/>
      <c r="L434" s="38"/>
      <c r="M434" s="39"/>
      <c r="N434" s="40"/>
      <c r="O434" s="34"/>
      <c r="P434" s="35"/>
      <c r="Q434" s="35"/>
      <c r="R434" s="35"/>
      <c r="S434" s="35"/>
      <c r="T434" s="35"/>
      <c r="U434" s="35"/>
      <c r="V434" s="35"/>
      <c r="W434" s="35"/>
      <c r="X434" s="35"/>
      <c r="Y434" s="35"/>
    </row>
    <row r="435" ht="14.25" customHeight="1">
      <c r="A435" s="83"/>
      <c r="B435" s="84"/>
      <c r="C435" s="108"/>
      <c r="D435" s="102"/>
      <c r="E435" s="117"/>
      <c r="F435" s="250"/>
      <c r="G435" s="523"/>
      <c r="H435" s="36"/>
      <c r="I435" s="37"/>
      <c r="J435" s="38"/>
      <c r="K435" s="39"/>
      <c r="L435" s="38"/>
      <c r="M435" s="39"/>
      <c r="N435" s="40"/>
      <c r="O435" s="34"/>
      <c r="P435" s="35"/>
      <c r="Q435" s="35"/>
      <c r="R435" s="35"/>
      <c r="S435" s="35"/>
      <c r="T435" s="35"/>
      <c r="U435" s="35"/>
      <c r="V435" s="35"/>
      <c r="W435" s="35"/>
      <c r="X435" s="35"/>
      <c r="Y435" s="35"/>
    </row>
    <row r="436" ht="14.25" customHeight="1">
      <c r="A436" s="83"/>
      <c r="B436" s="84"/>
      <c r="C436" s="108"/>
      <c r="D436" s="102"/>
      <c r="E436" s="117"/>
      <c r="F436" s="250"/>
      <c r="G436" s="523"/>
      <c r="H436" s="36"/>
      <c r="I436" s="37"/>
      <c r="J436" s="38"/>
      <c r="K436" s="39"/>
      <c r="L436" s="38"/>
      <c r="M436" s="39"/>
      <c r="N436" s="40"/>
      <c r="O436" s="34"/>
      <c r="P436" s="35"/>
      <c r="Q436" s="35"/>
      <c r="R436" s="35"/>
      <c r="S436" s="35"/>
      <c r="T436" s="35"/>
      <c r="U436" s="35"/>
      <c r="V436" s="35"/>
      <c r="W436" s="35"/>
      <c r="X436" s="35"/>
      <c r="Y436" s="35"/>
    </row>
    <row r="437" ht="14.25" customHeight="1">
      <c r="A437" s="83"/>
      <c r="B437" s="84"/>
      <c r="C437" s="108"/>
      <c r="D437" s="102"/>
      <c r="E437" s="117"/>
      <c r="F437" s="250"/>
      <c r="G437" s="523"/>
      <c r="H437" s="36"/>
      <c r="I437" s="37"/>
      <c r="J437" s="38"/>
      <c r="K437" s="39"/>
      <c r="L437" s="38"/>
      <c r="M437" s="39"/>
      <c r="N437" s="40"/>
      <c r="O437" s="34"/>
      <c r="P437" s="35"/>
      <c r="Q437" s="35"/>
      <c r="R437" s="35"/>
      <c r="S437" s="35"/>
      <c r="T437" s="35"/>
      <c r="U437" s="35"/>
      <c r="V437" s="35"/>
      <c r="W437" s="35"/>
      <c r="X437" s="35"/>
      <c r="Y437" s="35"/>
    </row>
    <row r="438" ht="14.25" customHeight="1">
      <c r="A438" s="83"/>
      <c r="B438" s="84"/>
      <c r="C438" s="108"/>
      <c r="D438" s="102"/>
      <c r="E438" s="117"/>
      <c r="F438" s="250"/>
      <c r="G438" s="523"/>
      <c r="H438" s="36"/>
      <c r="I438" s="37"/>
      <c r="J438" s="38"/>
      <c r="K438" s="39"/>
      <c r="L438" s="38"/>
      <c r="M438" s="39"/>
      <c r="N438" s="40"/>
      <c r="O438" s="34"/>
      <c r="P438" s="35"/>
      <c r="Q438" s="35"/>
      <c r="R438" s="35"/>
      <c r="S438" s="35"/>
      <c r="T438" s="35"/>
      <c r="U438" s="35"/>
      <c r="V438" s="35"/>
      <c r="W438" s="35"/>
      <c r="X438" s="35"/>
      <c r="Y438" s="35"/>
    </row>
    <row r="439" ht="14.25" customHeight="1">
      <c r="A439" s="83"/>
      <c r="B439" s="84"/>
      <c r="C439" s="108"/>
      <c r="D439" s="102"/>
      <c r="E439" s="117"/>
      <c r="F439" s="250"/>
      <c r="G439" s="523"/>
      <c r="H439" s="36"/>
      <c r="I439" s="37"/>
      <c r="J439" s="38"/>
      <c r="K439" s="39"/>
      <c r="L439" s="38"/>
      <c r="M439" s="39"/>
      <c r="N439" s="40"/>
      <c r="O439" s="34"/>
      <c r="P439" s="35"/>
      <c r="Q439" s="35"/>
      <c r="R439" s="35"/>
      <c r="S439" s="35"/>
      <c r="T439" s="35"/>
      <c r="U439" s="35"/>
      <c r="V439" s="35"/>
      <c r="W439" s="35"/>
      <c r="X439" s="35"/>
      <c r="Y439" s="35"/>
    </row>
    <row r="440" ht="14.25" customHeight="1">
      <c r="A440" s="83"/>
      <c r="B440" s="84"/>
      <c r="C440" s="108"/>
      <c r="D440" s="102"/>
      <c r="E440" s="117"/>
      <c r="F440" s="250"/>
      <c r="G440" s="523"/>
      <c r="H440" s="36"/>
      <c r="I440" s="37"/>
      <c r="J440" s="38"/>
      <c r="K440" s="39"/>
      <c r="L440" s="38"/>
      <c r="M440" s="39"/>
      <c r="N440" s="40"/>
      <c r="O440" s="34"/>
      <c r="P440" s="35"/>
      <c r="Q440" s="35"/>
      <c r="R440" s="35"/>
      <c r="S440" s="35"/>
      <c r="T440" s="35"/>
      <c r="U440" s="35"/>
      <c r="V440" s="35"/>
      <c r="W440" s="35"/>
      <c r="X440" s="35"/>
      <c r="Y440" s="35"/>
    </row>
    <row r="441" ht="14.25" customHeight="1">
      <c r="A441" s="83"/>
      <c r="B441" s="84"/>
      <c r="C441" s="108"/>
      <c r="D441" s="102"/>
      <c r="E441" s="117"/>
      <c r="F441" s="250"/>
      <c r="G441" s="523"/>
      <c r="H441" s="36"/>
      <c r="I441" s="37"/>
      <c r="J441" s="38"/>
      <c r="K441" s="39"/>
      <c r="L441" s="38"/>
      <c r="M441" s="39"/>
      <c r="N441" s="40"/>
      <c r="O441" s="34"/>
      <c r="P441" s="35"/>
      <c r="Q441" s="35"/>
      <c r="R441" s="35"/>
      <c r="S441" s="35"/>
      <c r="T441" s="35"/>
      <c r="U441" s="35"/>
      <c r="V441" s="35"/>
      <c r="W441" s="35"/>
      <c r="X441" s="35"/>
      <c r="Y441" s="35"/>
    </row>
    <row r="442" ht="14.25" customHeight="1">
      <c r="A442" s="83"/>
      <c r="B442" s="84"/>
      <c r="C442" s="108"/>
      <c r="D442" s="102"/>
      <c r="E442" s="117"/>
      <c r="F442" s="250"/>
      <c r="G442" s="523"/>
      <c r="H442" s="36"/>
      <c r="I442" s="37"/>
      <c r="J442" s="38"/>
      <c r="K442" s="39"/>
      <c r="L442" s="38"/>
      <c r="M442" s="39"/>
      <c r="N442" s="40"/>
      <c r="O442" s="34"/>
      <c r="P442" s="35"/>
      <c r="Q442" s="35"/>
      <c r="R442" s="35"/>
      <c r="S442" s="35"/>
      <c r="T442" s="35"/>
      <c r="U442" s="35"/>
      <c r="V442" s="35"/>
      <c r="W442" s="35"/>
      <c r="X442" s="35"/>
      <c r="Y442" s="35"/>
    </row>
    <row r="443" ht="14.25" customHeight="1">
      <c r="A443" s="83"/>
      <c r="B443" s="84"/>
      <c r="C443" s="108"/>
      <c r="D443" s="102"/>
      <c r="E443" s="117"/>
      <c r="F443" s="250"/>
      <c r="G443" s="523"/>
      <c r="H443" s="36"/>
      <c r="I443" s="37"/>
      <c r="J443" s="38"/>
      <c r="K443" s="39"/>
      <c r="L443" s="38"/>
      <c r="M443" s="39"/>
      <c r="N443" s="40"/>
      <c r="O443" s="34"/>
      <c r="P443" s="35"/>
      <c r="Q443" s="35"/>
      <c r="R443" s="35"/>
      <c r="S443" s="35"/>
      <c r="T443" s="35"/>
      <c r="U443" s="35"/>
      <c r="V443" s="35"/>
      <c r="W443" s="35"/>
      <c r="X443" s="35"/>
      <c r="Y443" s="35"/>
    </row>
    <row r="444" ht="14.25" customHeight="1">
      <c r="A444" s="83"/>
      <c r="B444" s="84"/>
      <c r="C444" s="108"/>
      <c r="D444" s="102"/>
      <c r="E444" s="117"/>
      <c r="F444" s="250"/>
      <c r="G444" s="523"/>
      <c r="H444" s="36"/>
      <c r="I444" s="37"/>
      <c r="J444" s="38"/>
      <c r="K444" s="39"/>
      <c r="L444" s="38"/>
      <c r="M444" s="39"/>
      <c r="N444" s="40"/>
      <c r="O444" s="34"/>
      <c r="P444" s="35"/>
      <c r="Q444" s="35"/>
      <c r="R444" s="35"/>
      <c r="S444" s="35"/>
      <c r="T444" s="35"/>
      <c r="U444" s="35"/>
      <c r="V444" s="35"/>
      <c r="W444" s="35"/>
      <c r="X444" s="35"/>
      <c r="Y444" s="35"/>
    </row>
    <row r="445" ht="14.25" customHeight="1">
      <c r="A445" s="83"/>
      <c r="B445" s="84"/>
      <c r="C445" s="108"/>
      <c r="D445" s="102"/>
      <c r="E445" s="117"/>
      <c r="F445" s="250"/>
      <c r="G445" s="523"/>
      <c r="H445" s="36"/>
      <c r="I445" s="37"/>
      <c r="J445" s="38"/>
      <c r="K445" s="39"/>
      <c r="L445" s="38"/>
      <c r="M445" s="39"/>
      <c r="N445" s="40"/>
      <c r="O445" s="34"/>
      <c r="P445" s="35"/>
      <c r="Q445" s="35"/>
      <c r="R445" s="35"/>
      <c r="S445" s="35"/>
      <c r="T445" s="35"/>
      <c r="U445" s="35"/>
      <c r="V445" s="35"/>
      <c r="W445" s="35"/>
      <c r="X445" s="35"/>
      <c r="Y445" s="35"/>
    </row>
    <row r="446" ht="14.25" customHeight="1">
      <c r="A446" s="83"/>
      <c r="B446" s="84"/>
      <c r="C446" s="108"/>
      <c r="D446" s="102"/>
      <c r="E446" s="117"/>
      <c r="F446" s="250"/>
      <c r="G446" s="523"/>
      <c r="H446" s="36"/>
      <c r="I446" s="37"/>
      <c r="J446" s="38"/>
      <c r="K446" s="39"/>
      <c r="L446" s="38"/>
      <c r="M446" s="39"/>
      <c r="N446" s="40"/>
      <c r="O446" s="34"/>
      <c r="P446" s="35"/>
      <c r="Q446" s="35"/>
      <c r="R446" s="35"/>
      <c r="S446" s="35"/>
      <c r="T446" s="35"/>
      <c r="U446" s="35"/>
      <c r="V446" s="35"/>
      <c r="W446" s="35"/>
      <c r="X446" s="35"/>
      <c r="Y446" s="35"/>
    </row>
    <row r="447" ht="14.25" customHeight="1">
      <c r="A447" s="83"/>
      <c r="B447" s="84"/>
      <c r="C447" s="108"/>
      <c r="D447" s="102"/>
      <c r="E447" s="117"/>
      <c r="F447" s="250"/>
      <c r="G447" s="523"/>
      <c r="H447" s="36"/>
      <c r="I447" s="37"/>
      <c r="J447" s="38"/>
      <c r="K447" s="39"/>
      <c r="L447" s="38"/>
      <c r="M447" s="39"/>
      <c r="N447" s="40"/>
      <c r="O447" s="34"/>
      <c r="P447" s="35"/>
      <c r="Q447" s="35"/>
      <c r="R447" s="35"/>
      <c r="S447" s="35"/>
      <c r="T447" s="35"/>
      <c r="U447" s="35"/>
      <c r="V447" s="35"/>
      <c r="W447" s="35"/>
      <c r="X447" s="35"/>
      <c r="Y447" s="35"/>
    </row>
    <row r="448" ht="14.25" customHeight="1">
      <c r="A448" s="83"/>
      <c r="B448" s="84"/>
      <c r="C448" s="108"/>
      <c r="D448" s="102"/>
      <c r="E448" s="117"/>
      <c r="F448" s="250"/>
      <c r="G448" s="523"/>
      <c r="H448" s="36"/>
      <c r="I448" s="37"/>
      <c r="J448" s="38"/>
      <c r="K448" s="39"/>
      <c r="L448" s="38"/>
      <c r="M448" s="39"/>
      <c r="N448" s="40"/>
      <c r="O448" s="34"/>
      <c r="P448" s="35"/>
      <c r="Q448" s="35"/>
      <c r="R448" s="35"/>
      <c r="S448" s="35"/>
      <c r="T448" s="35"/>
      <c r="U448" s="35"/>
      <c r="V448" s="35"/>
      <c r="W448" s="35"/>
      <c r="X448" s="35"/>
      <c r="Y448" s="35"/>
    </row>
    <row r="449" ht="14.25" customHeight="1">
      <c r="A449" s="83"/>
      <c r="B449" s="84"/>
      <c r="C449" s="108"/>
      <c r="D449" s="102"/>
      <c r="E449" s="117"/>
      <c r="F449" s="250"/>
      <c r="G449" s="523"/>
      <c r="H449" s="36"/>
      <c r="I449" s="37"/>
      <c r="J449" s="38"/>
      <c r="K449" s="39"/>
      <c r="L449" s="38"/>
      <c r="M449" s="39"/>
      <c r="N449" s="40"/>
      <c r="O449" s="34"/>
      <c r="P449" s="35"/>
      <c r="Q449" s="35"/>
      <c r="R449" s="35"/>
      <c r="S449" s="35"/>
      <c r="T449" s="35"/>
      <c r="U449" s="35"/>
      <c r="V449" s="35"/>
      <c r="W449" s="35"/>
      <c r="X449" s="35"/>
      <c r="Y449" s="35"/>
    </row>
    <row r="450" ht="14.25" customHeight="1">
      <c r="A450" s="83"/>
      <c r="B450" s="84"/>
      <c r="C450" s="108"/>
      <c r="D450" s="102"/>
      <c r="E450" s="117"/>
      <c r="F450" s="250"/>
      <c r="G450" s="523"/>
      <c r="H450" s="36"/>
      <c r="I450" s="37"/>
      <c r="J450" s="38"/>
      <c r="K450" s="39"/>
      <c r="L450" s="38"/>
      <c r="M450" s="39"/>
      <c r="N450" s="40"/>
      <c r="O450" s="34"/>
      <c r="P450" s="35"/>
      <c r="Q450" s="35"/>
      <c r="R450" s="35"/>
      <c r="S450" s="35"/>
      <c r="T450" s="35"/>
      <c r="U450" s="35"/>
      <c r="V450" s="35"/>
      <c r="W450" s="35"/>
      <c r="X450" s="35"/>
      <c r="Y450" s="35"/>
    </row>
    <row r="451" ht="14.25" customHeight="1">
      <c r="A451" s="83"/>
      <c r="B451" s="84"/>
      <c r="C451" s="108"/>
      <c r="D451" s="102"/>
      <c r="E451" s="117"/>
      <c r="F451" s="250"/>
      <c r="G451" s="523"/>
      <c r="H451" s="36"/>
      <c r="I451" s="37"/>
      <c r="J451" s="38"/>
      <c r="K451" s="39"/>
      <c r="L451" s="38"/>
      <c r="M451" s="39"/>
      <c r="N451" s="40"/>
      <c r="O451" s="34"/>
      <c r="P451" s="35"/>
      <c r="Q451" s="35"/>
      <c r="R451" s="35"/>
      <c r="S451" s="35"/>
      <c r="T451" s="35"/>
      <c r="U451" s="35"/>
      <c r="V451" s="35"/>
      <c r="W451" s="35"/>
      <c r="X451" s="35"/>
      <c r="Y451" s="35"/>
    </row>
    <row r="452" ht="14.25" customHeight="1">
      <c r="A452" s="83"/>
      <c r="B452" s="84"/>
      <c r="C452" s="108"/>
      <c r="D452" s="102"/>
      <c r="E452" s="117"/>
      <c r="F452" s="250"/>
      <c r="G452" s="523"/>
      <c r="H452" s="36"/>
      <c r="I452" s="37"/>
      <c r="J452" s="38"/>
      <c r="K452" s="39"/>
      <c r="L452" s="38"/>
      <c r="M452" s="39"/>
      <c r="N452" s="40"/>
      <c r="O452" s="34"/>
      <c r="P452" s="35"/>
      <c r="Q452" s="35"/>
      <c r="R452" s="35"/>
      <c r="S452" s="35"/>
      <c r="T452" s="35"/>
      <c r="U452" s="35"/>
      <c r="V452" s="35"/>
      <c r="W452" s="35"/>
      <c r="X452" s="35"/>
      <c r="Y452" s="35"/>
    </row>
    <row r="453" ht="14.25" customHeight="1">
      <c r="A453" s="83"/>
      <c r="B453" s="84"/>
      <c r="C453" s="108"/>
      <c r="D453" s="102"/>
      <c r="E453" s="117"/>
      <c r="F453" s="250"/>
      <c r="G453" s="523"/>
      <c r="H453" s="36"/>
      <c r="I453" s="37"/>
      <c r="J453" s="38"/>
      <c r="K453" s="39"/>
      <c r="L453" s="38"/>
      <c r="M453" s="39"/>
      <c r="N453" s="40"/>
      <c r="O453" s="34"/>
      <c r="P453" s="35"/>
      <c r="Q453" s="35"/>
      <c r="R453" s="35"/>
      <c r="S453" s="35"/>
      <c r="T453" s="35"/>
      <c r="U453" s="35"/>
      <c r="V453" s="35"/>
      <c r="W453" s="35"/>
      <c r="X453" s="35"/>
      <c r="Y453" s="35"/>
    </row>
    <row r="454" ht="14.25" customHeight="1">
      <c r="A454" s="83"/>
      <c r="B454" s="84"/>
      <c r="C454" s="108"/>
      <c r="D454" s="102"/>
      <c r="E454" s="117"/>
      <c r="F454" s="250"/>
      <c r="G454" s="523"/>
      <c r="H454" s="36"/>
      <c r="I454" s="37"/>
      <c r="J454" s="38"/>
      <c r="K454" s="39"/>
      <c r="L454" s="38"/>
      <c r="M454" s="39"/>
      <c r="N454" s="40"/>
      <c r="O454" s="34"/>
      <c r="P454" s="35"/>
      <c r="Q454" s="35"/>
      <c r="R454" s="35"/>
      <c r="S454" s="35"/>
      <c r="T454" s="35"/>
      <c r="U454" s="35"/>
      <c r="V454" s="35"/>
      <c r="W454" s="35"/>
      <c r="X454" s="35"/>
      <c r="Y454" s="35"/>
    </row>
    <row r="455" ht="14.25" customHeight="1">
      <c r="A455" s="83"/>
      <c r="B455" s="84"/>
      <c r="C455" s="108"/>
      <c r="D455" s="102"/>
      <c r="E455" s="117"/>
      <c r="F455" s="250"/>
      <c r="G455" s="523"/>
      <c r="H455" s="36"/>
      <c r="I455" s="37"/>
      <c r="J455" s="38"/>
      <c r="K455" s="39"/>
      <c r="L455" s="38"/>
      <c r="M455" s="39"/>
      <c r="N455" s="40"/>
      <c r="O455" s="34"/>
      <c r="P455" s="35"/>
      <c r="Q455" s="35"/>
      <c r="R455" s="35"/>
      <c r="S455" s="35"/>
      <c r="T455" s="35"/>
      <c r="U455" s="35"/>
      <c r="V455" s="35"/>
      <c r="W455" s="35"/>
      <c r="X455" s="35"/>
      <c r="Y455" s="35"/>
    </row>
    <row r="456" ht="14.25" customHeight="1">
      <c r="A456" s="83"/>
      <c r="B456" s="84"/>
      <c r="C456" s="108"/>
      <c r="D456" s="102"/>
      <c r="E456" s="117"/>
      <c r="F456" s="250"/>
      <c r="G456" s="523"/>
      <c r="H456" s="36"/>
      <c r="I456" s="37"/>
      <c r="J456" s="38"/>
      <c r="K456" s="39"/>
      <c r="L456" s="38"/>
      <c r="M456" s="39"/>
      <c r="N456" s="40"/>
      <c r="O456" s="34"/>
      <c r="P456" s="35"/>
      <c r="Q456" s="35"/>
      <c r="R456" s="35"/>
      <c r="S456" s="35"/>
      <c r="T456" s="35"/>
      <c r="U456" s="35"/>
      <c r="V456" s="35"/>
      <c r="W456" s="35"/>
      <c r="X456" s="35"/>
      <c r="Y456" s="35"/>
    </row>
    <row r="457" ht="14.25" customHeight="1">
      <c r="A457" s="83"/>
      <c r="B457" s="84"/>
      <c r="C457" s="108"/>
      <c r="D457" s="102"/>
      <c r="E457" s="117"/>
      <c r="F457" s="250"/>
      <c r="G457" s="523"/>
      <c r="H457" s="36"/>
      <c r="I457" s="37"/>
      <c r="J457" s="38"/>
      <c r="K457" s="39"/>
      <c r="L457" s="38"/>
      <c r="M457" s="39"/>
      <c r="N457" s="40"/>
      <c r="O457" s="34"/>
      <c r="P457" s="35"/>
      <c r="Q457" s="35"/>
      <c r="R457" s="35"/>
      <c r="S457" s="35"/>
      <c r="T457" s="35"/>
      <c r="U457" s="35"/>
      <c r="V457" s="35"/>
      <c r="W457" s="35"/>
      <c r="X457" s="35"/>
      <c r="Y457" s="35"/>
    </row>
    <row r="458" ht="14.25" customHeight="1">
      <c r="A458" s="83"/>
      <c r="B458" s="84"/>
      <c r="C458" s="108"/>
      <c r="D458" s="102"/>
      <c r="E458" s="117"/>
      <c r="F458" s="250"/>
      <c r="G458" s="523"/>
      <c r="H458" s="36"/>
      <c r="I458" s="37"/>
      <c r="J458" s="38"/>
      <c r="K458" s="39"/>
      <c r="L458" s="38"/>
      <c r="M458" s="39"/>
      <c r="N458" s="40"/>
      <c r="O458" s="34"/>
      <c r="P458" s="35"/>
      <c r="Q458" s="35"/>
      <c r="R458" s="35"/>
      <c r="S458" s="35"/>
      <c r="T458" s="35"/>
      <c r="U458" s="35"/>
      <c r="V458" s="35"/>
      <c r="W458" s="35"/>
      <c r="X458" s="35"/>
      <c r="Y458" s="35"/>
    </row>
    <row r="459" ht="14.25" customHeight="1">
      <c r="A459" s="83"/>
      <c r="B459" s="84"/>
      <c r="C459" s="108"/>
      <c r="D459" s="102"/>
      <c r="E459" s="117"/>
      <c r="F459" s="250"/>
      <c r="G459" s="523"/>
      <c r="H459" s="36"/>
      <c r="I459" s="37"/>
      <c r="J459" s="38"/>
      <c r="K459" s="39"/>
      <c r="L459" s="38"/>
      <c r="M459" s="39"/>
      <c r="N459" s="40"/>
      <c r="O459" s="34"/>
      <c r="P459" s="35"/>
      <c r="Q459" s="35"/>
      <c r="R459" s="35"/>
      <c r="S459" s="35"/>
      <c r="T459" s="35"/>
      <c r="U459" s="35"/>
      <c r="V459" s="35"/>
      <c r="W459" s="35"/>
      <c r="X459" s="35"/>
      <c r="Y459" s="35"/>
    </row>
    <row r="460" ht="14.25" customHeight="1">
      <c r="A460" s="83"/>
      <c r="B460" s="84"/>
      <c r="C460" s="108"/>
      <c r="D460" s="102"/>
      <c r="E460" s="117"/>
      <c r="F460" s="250"/>
      <c r="G460" s="523"/>
      <c r="H460" s="36"/>
      <c r="I460" s="37"/>
      <c r="J460" s="38"/>
      <c r="K460" s="39"/>
      <c r="L460" s="38"/>
      <c r="M460" s="39"/>
      <c r="N460" s="40"/>
      <c r="O460" s="34"/>
      <c r="P460" s="35"/>
      <c r="Q460" s="35"/>
      <c r="R460" s="35"/>
      <c r="S460" s="35"/>
      <c r="T460" s="35"/>
      <c r="U460" s="35"/>
      <c r="V460" s="35"/>
      <c r="W460" s="35"/>
      <c r="X460" s="35"/>
      <c r="Y460" s="35"/>
    </row>
    <row r="461" ht="14.25" customHeight="1">
      <c r="A461" s="83"/>
      <c r="B461" s="84"/>
      <c r="C461" s="108"/>
      <c r="D461" s="102"/>
      <c r="E461" s="117"/>
      <c r="F461" s="250"/>
      <c r="G461" s="523"/>
      <c r="H461" s="36"/>
      <c r="I461" s="37"/>
      <c r="J461" s="38"/>
      <c r="K461" s="39"/>
      <c r="L461" s="38"/>
      <c r="M461" s="39"/>
      <c r="N461" s="40"/>
      <c r="O461" s="34"/>
      <c r="P461" s="35"/>
      <c r="Q461" s="35"/>
      <c r="R461" s="35"/>
      <c r="S461" s="35"/>
      <c r="T461" s="35"/>
      <c r="U461" s="35"/>
      <c r="V461" s="35"/>
      <c r="W461" s="35"/>
      <c r="X461" s="35"/>
      <c r="Y461" s="35"/>
    </row>
    <row r="462" ht="14.25" customHeight="1">
      <c r="A462" s="83"/>
      <c r="B462" s="84"/>
      <c r="C462" s="108"/>
      <c r="D462" s="102"/>
      <c r="E462" s="117"/>
      <c r="F462" s="250"/>
      <c r="G462" s="523"/>
      <c r="H462" s="36"/>
      <c r="I462" s="37"/>
      <c r="J462" s="38"/>
      <c r="K462" s="39"/>
      <c r="L462" s="38"/>
      <c r="M462" s="39"/>
      <c r="N462" s="40"/>
      <c r="O462" s="34"/>
      <c r="P462" s="35"/>
      <c r="Q462" s="35"/>
      <c r="R462" s="35"/>
      <c r="S462" s="35"/>
      <c r="T462" s="35"/>
      <c r="U462" s="35"/>
      <c r="V462" s="35"/>
      <c r="W462" s="35"/>
      <c r="X462" s="35"/>
      <c r="Y462" s="35"/>
    </row>
    <row r="463" ht="14.25" customHeight="1">
      <c r="A463" s="83"/>
      <c r="B463" s="84"/>
      <c r="C463" s="108"/>
      <c r="D463" s="102"/>
      <c r="E463" s="117"/>
      <c r="F463" s="250"/>
      <c r="G463" s="523"/>
      <c r="H463" s="36"/>
      <c r="I463" s="37"/>
      <c r="J463" s="38"/>
      <c r="K463" s="39"/>
      <c r="L463" s="38"/>
      <c r="M463" s="39"/>
      <c r="N463" s="40"/>
      <c r="O463" s="34"/>
      <c r="P463" s="35"/>
      <c r="Q463" s="35"/>
      <c r="R463" s="35"/>
      <c r="S463" s="35"/>
      <c r="T463" s="35"/>
      <c r="U463" s="35"/>
      <c r="V463" s="35"/>
      <c r="W463" s="35"/>
      <c r="X463" s="35"/>
      <c r="Y463" s="35"/>
    </row>
    <row r="464" ht="14.25" customHeight="1">
      <c r="A464" s="83"/>
      <c r="B464" s="84"/>
      <c r="C464" s="108"/>
      <c r="D464" s="102"/>
      <c r="E464" s="117"/>
      <c r="F464" s="250"/>
      <c r="G464" s="523"/>
      <c r="H464" s="36"/>
      <c r="I464" s="37"/>
      <c r="J464" s="38"/>
      <c r="K464" s="39"/>
      <c r="L464" s="38"/>
      <c r="M464" s="39"/>
      <c r="N464" s="40"/>
      <c r="O464" s="34"/>
      <c r="P464" s="35"/>
      <c r="Q464" s="35"/>
      <c r="R464" s="35"/>
      <c r="S464" s="35"/>
      <c r="T464" s="35"/>
      <c r="U464" s="35"/>
      <c r="V464" s="35"/>
      <c r="W464" s="35"/>
      <c r="X464" s="35"/>
      <c r="Y464" s="35"/>
    </row>
    <row r="465" ht="14.25" customHeight="1">
      <c r="A465" s="83"/>
      <c r="B465" s="84"/>
      <c r="C465" s="108"/>
      <c r="D465" s="102"/>
      <c r="E465" s="117"/>
      <c r="F465" s="250"/>
      <c r="G465" s="523"/>
      <c r="H465" s="36"/>
      <c r="I465" s="37"/>
      <c r="J465" s="38"/>
      <c r="K465" s="39"/>
      <c r="L465" s="38"/>
      <c r="M465" s="39"/>
      <c r="N465" s="40"/>
      <c r="O465" s="34"/>
      <c r="P465" s="35"/>
      <c r="Q465" s="35"/>
      <c r="R465" s="35"/>
      <c r="S465" s="35"/>
      <c r="T465" s="35"/>
      <c r="U465" s="35"/>
      <c r="V465" s="35"/>
      <c r="W465" s="35"/>
      <c r="X465" s="35"/>
      <c r="Y465" s="35"/>
    </row>
    <row r="466" ht="14.25" customHeight="1">
      <c r="A466" s="83"/>
      <c r="B466" s="84"/>
      <c r="C466" s="108"/>
      <c r="D466" s="102"/>
      <c r="E466" s="117"/>
      <c r="F466" s="250"/>
      <c r="G466" s="523"/>
      <c r="H466" s="36"/>
      <c r="I466" s="37"/>
      <c r="J466" s="38"/>
      <c r="K466" s="39"/>
      <c r="L466" s="38"/>
      <c r="M466" s="39"/>
      <c r="N466" s="40"/>
      <c r="O466" s="34"/>
      <c r="P466" s="35"/>
      <c r="Q466" s="35"/>
      <c r="R466" s="35"/>
      <c r="S466" s="35"/>
      <c r="T466" s="35"/>
      <c r="U466" s="35"/>
      <c r="V466" s="35"/>
      <c r="W466" s="35"/>
      <c r="X466" s="35"/>
      <c r="Y466" s="35"/>
    </row>
    <row r="467" ht="14.25" customHeight="1">
      <c r="A467" s="83"/>
      <c r="B467" s="84"/>
      <c r="C467" s="108"/>
      <c r="D467" s="102"/>
      <c r="E467" s="117"/>
      <c r="F467" s="250"/>
      <c r="G467" s="523"/>
      <c r="H467" s="36"/>
      <c r="I467" s="37"/>
      <c r="J467" s="38"/>
      <c r="K467" s="39"/>
      <c r="L467" s="38"/>
      <c r="M467" s="39"/>
      <c r="N467" s="40"/>
      <c r="O467" s="34"/>
      <c r="P467" s="35"/>
      <c r="Q467" s="35"/>
      <c r="R467" s="35"/>
      <c r="S467" s="35"/>
      <c r="T467" s="35"/>
      <c r="U467" s="35"/>
      <c r="V467" s="35"/>
      <c r="W467" s="35"/>
      <c r="X467" s="35"/>
      <c r="Y467" s="35"/>
    </row>
    <row r="468" ht="14.25" customHeight="1">
      <c r="A468" s="83"/>
      <c r="B468" s="84"/>
      <c r="C468" s="108"/>
      <c r="D468" s="102"/>
      <c r="E468" s="117"/>
      <c r="F468" s="250"/>
      <c r="G468" s="523"/>
      <c r="H468" s="36"/>
      <c r="I468" s="37"/>
      <c r="J468" s="38"/>
      <c r="K468" s="39"/>
      <c r="L468" s="38"/>
      <c r="M468" s="39"/>
      <c r="N468" s="40"/>
      <c r="O468" s="34"/>
      <c r="P468" s="35"/>
      <c r="Q468" s="35"/>
      <c r="R468" s="35"/>
      <c r="S468" s="35"/>
      <c r="T468" s="35"/>
      <c r="U468" s="35"/>
      <c r="V468" s="35"/>
      <c r="W468" s="35"/>
      <c r="X468" s="35"/>
      <c r="Y468" s="35"/>
    </row>
    <row r="469" ht="14.25" customHeight="1">
      <c r="A469" s="83"/>
      <c r="B469" s="84"/>
      <c r="C469" s="108"/>
      <c r="D469" s="102"/>
      <c r="E469" s="117"/>
      <c r="F469" s="250"/>
      <c r="G469" s="523"/>
      <c r="H469" s="36"/>
      <c r="I469" s="37"/>
      <c r="J469" s="38"/>
      <c r="K469" s="39"/>
      <c r="L469" s="38"/>
      <c r="M469" s="39"/>
      <c r="N469" s="40"/>
      <c r="O469" s="34"/>
      <c r="P469" s="35"/>
      <c r="Q469" s="35"/>
      <c r="R469" s="35"/>
      <c r="S469" s="35"/>
      <c r="T469" s="35"/>
      <c r="U469" s="35"/>
      <c r="V469" s="35"/>
      <c r="W469" s="35"/>
      <c r="X469" s="35"/>
      <c r="Y469" s="35"/>
    </row>
    <row r="470" ht="14.25" customHeight="1">
      <c r="A470" s="83"/>
      <c r="B470" s="84"/>
      <c r="C470" s="108"/>
      <c r="D470" s="102"/>
      <c r="E470" s="117"/>
      <c r="F470" s="250"/>
      <c r="G470" s="523"/>
      <c r="H470" s="36"/>
      <c r="I470" s="37"/>
      <c r="J470" s="38"/>
      <c r="K470" s="39"/>
      <c r="L470" s="38"/>
      <c r="M470" s="39"/>
      <c r="N470" s="40"/>
      <c r="O470" s="34"/>
      <c r="P470" s="35"/>
      <c r="Q470" s="35"/>
      <c r="R470" s="35"/>
      <c r="S470" s="35"/>
      <c r="T470" s="35"/>
      <c r="U470" s="35"/>
      <c r="V470" s="35"/>
      <c r="W470" s="35"/>
      <c r="X470" s="35"/>
      <c r="Y470" s="35"/>
    </row>
    <row r="471" ht="14.25" customHeight="1">
      <c r="A471" s="83"/>
      <c r="B471" s="84"/>
      <c r="C471" s="108"/>
      <c r="D471" s="102"/>
      <c r="E471" s="117"/>
      <c r="F471" s="250"/>
      <c r="G471" s="523"/>
      <c r="H471" s="36"/>
      <c r="I471" s="37"/>
      <c r="J471" s="38"/>
      <c r="K471" s="39"/>
      <c r="L471" s="38"/>
      <c r="M471" s="39"/>
      <c r="N471" s="40"/>
      <c r="O471" s="34"/>
      <c r="P471" s="35"/>
      <c r="Q471" s="35"/>
      <c r="R471" s="35"/>
      <c r="S471" s="35"/>
      <c r="T471" s="35"/>
      <c r="U471" s="35"/>
      <c r="V471" s="35"/>
      <c r="W471" s="35"/>
      <c r="X471" s="35"/>
      <c r="Y471" s="35"/>
    </row>
    <row r="472" ht="14.25" customHeight="1">
      <c r="A472" s="83"/>
      <c r="B472" s="84"/>
      <c r="C472" s="108"/>
      <c r="D472" s="102"/>
      <c r="E472" s="117"/>
      <c r="F472" s="250"/>
      <c r="G472" s="523"/>
      <c r="H472" s="36"/>
      <c r="I472" s="37"/>
      <c r="J472" s="38"/>
      <c r="K472" s="39"/>
      <c r="L472" s="38"/>
      <c r="M472" s="39"/>
      <c r="N472" s="40"/>
      <c r="O472" s="34"/>
      <c r="P472" s="35"/>
      <c r="Q472" s="35"/>
      <c r="R472" s="35"/>
      <c r="S472" s="35"/>
      <c r="T472" s="35"/>
      <c r="U472" s="35"/>
      <c r="V472" s="35"/>
      <c r="W472" s="35"/>
      <c r="X472" s="35"/>
      <c r="Y472" s="35"/>
    </row>
    <row r="473" ht="14.25" customHeight="1">
      <c r="A473" s="83"/>
      <c r="B473" s="84"/>
      <c r="C473" s="108"/>
      <c r="D473" s="102"/>
      <c r="E473" s="117"/>
      <c r="F473" s="250"/>
      <c r="G473" s="523"/>
      <c r="H473" s="36"/>
      <c r="I473" s="37"/>
      <c r="J473" s="38"/>
      <c r="K473" s="39"/>
      <c r="L473" s="38"/>
      <c r="M473" s="39"/>
      <c r="N473" s="40"/>
      <c r="O473" s="34"/>
      <c r="P473" s="35"/>
      <c r="Q473" s="35"/>
      <c r="R473" s="35"/>
      <c r="S473" s="35"/>
      <c r="T473" s="35"/>
      <c r="U473" s="35"/>
      <c r="V473" s="35"/>
      <c r="W473" s="35"/>
      <c r="X473" s="35"/>
      <c r="Y473" s="35"/>
    </row>
    <row r="474" ht="14.25" customHeight="1">
      <c r="A474" s="83"/>
      <c r="B474" s="84"/>
      <c r="C474" s="108"/>
      <c r="D474" s="102"/>
      <c r="E474" s="117"/>
      <c r="F474" s="250"/>
      <c r="G474" s="523"/>
      <c r="H474" s="36"/>
      <c r="I474" s="37"/>
      <c r="J474" s="38"/>
      <c r="K474" s="39"/>
      <c r="L474" s="38"/>
      <c r="M474" s="39"/>
      <c r="N474" s="40"/>
      <c r="O474" s="34"/>
      <c r="P474" s="35"/>
      <c r="Q474" s="35"/>
      <c r="R474" s="35"/>
      <c r="S474" s="35"/>
      <c r="T474" s="35"/>
      <c r="U474" s="35"/>
      <c r="V474" s="35"/>
      <c r="W474" s="35"/>
      <c r="X474" s="35"/>
      <c r="Y474" s="35"/>
    </row>
    <row r="475" ht="14.25" customHeight="1">
      <c r="A475" s="83"/>
      <c r="B475" s="84"/>
      <c r="C475" s="108"/>
      <c r="D475" s="102"/>
      <c r="E475" s="117"/>
      <c r="F475" s="250"/>
      <c r="G475" s="523"/>
      <c r="H475" s="36"/>
      <c r="I475" s="37"/>
      <c r="J475" s="38"/>
      <c r="K475" s="39"/>
      <c r="L475" s="38"/>
      <c r="M475" s="39"/>
      <c r="N475" s="40"/>
      <c r="O475" s="34"/>
      <c r="P475" s="35"/>
      <c r="Q475" s="35"/>
      <c r="R475" s="35"/>
      <c r="S475" s="35"/>
      <c r="T475" s="35"/>
      <c r="U475" s="35"/>
      <c r="V475" s="35"/>
      <c r="W475" s="35"/>
      <c r="X475" s="35"/>
      <c r="Y475" s="35"/>
    </row>
    <row r="476" ht="14.25" customHeight="1">
      <c r="A476" s="83"/>
      <c r="B476" s="84"/>
      <c r="C476" s="108"/>
      <c r="D476" s="102"/>
      <c r="E476" s="117"/>
      <c r="F476" s="250"/>
      <c r="G476" s="523"/>
      <c r="H476" s="36"/>
      <c r="I476" s="37"/>
      <c r="J476" s="38"/>
      <c r="K476" s="39"/>
      <c r="L476" s="38"/>
      <c r="M476" s="39"/>
      <c r="N476" s="40"/>
      <c r="O476" s="34"/>
      <c r="P476" s="35"/>
      <c r="Q476" s="35"/>
      <c r="R476" s="35"/>
      <c r="S476" s="35"/>
      <c r="T476" s="35"/>
      <c r="U476" s="35"/>
      <c r="V476" s="35"/>
      <c r="W476" s="35"/>
      <c r="X476" s="35"/>
      <c r="Y476" s="35"/>
    </row>
    <row r="477" ht="14.25" customHeight="1">
      <c r="A477" s="83"/>
      <c r="B477" s="84"/>
      <c r="C477" s="108"/>
      <c r="D477" s="102"/>
      <c r="E477" s="117"/>
      <c r="F477" s="250"/>
      <c r="G477" s="523"/>
      <c r="H477" s="36"/>
      <c r="I477" s="37"/>
      <c r="J477" s="38"/>
      <c r="K477" s="39"/>
      <c r="L477" s="38"/>
      <c r="M477" s="39"/>
      <c r="N477" s="40"/>
      <c r="O477" s="34"/>
      <c r="P477" s="35"/>
      <c r="Q477" s="35"/>
      <c r="R477" s="35"/>
      <c r="S477" s="35"/>
      <c r="T477" s="35"/>
      <c r="U477" s="35"/>
      <c r="V477" s="35"/>
      <c r="W477" s="35"/>
      <c r="X477" s="35"/>
      <c r="Y477" s="35"/>
    </row>
    <row r="478" ht="14.25" customHeight="1">
      <c r="A478" s="83"/>
      <c r="B478" s="84"/>
      <c r="C478" s="108"/>
      <c r="D478" s="102"/>
      <c r="E478" s="117"/>
      <c r="F478" s="250"/>
      <c r="G478" s="523"/>
      <c r="H478" s="36"/>
      <c r="I478" s="37"/>
      <c r="J478" s="38"/>
      <c r="K478" s="39"/>
      <c r="L478" s="38"/>
      <c r="M478" s="39"/>
      <c r="N478" s="40"/>
      <c r="O478" s="34"/>
      <c r="P478" s="35"/>
      <c r="Q478" s="35"/>
      <c r="R478" s="35"/>
      <c r="S478" s="35"/>
      <c r="T478" s="35"/>
      <c r="U478" s="35"/>
      <c r="V478" s="35"/>
      <c r="W478" s="35"/>
      <c r="X478" s="35"/>
      <c r="Y478" s="35"/>
    </row>
    <row r="479" ht="14.25" customHeight="1">
      <c r="A479" s="83"/>
      <c r="B479" s="84"/>
      <c r="C479" s="108"/>
      <c r="D479" s="102"/>
      <c r="E479" s="117"/>
      <c r="F479" s="250"/>
      <c r="G479" s="523"/>
      <c r="H479" s="36"/>
      <c r="I479" s="37"/>
      <c r="J479" s="38"/>
      <c r="K479" s="39"/>
      <c r="L479" s="38"/>
      <c r="M479" s="39"/>
      <c r="N479" s="40"/>
      <c r="O479" s="34"/>
      <c r="P479" s="35"/>
      <c r="Q479" s="35"/>
      <c r="R479" s="35"/>
      <c r="S479" s="35"/>
      <c r="T479" s="35"/>
      <c r="U479" s="35"/>
      <c r="V479" s="35"/>
      <c r="W479" s="35"/>
      <c r="X479" s="35"/>
      <c r="Y479" s="35"/>
    </row>
    <row r="480" ht="14.25" customHeight="1">
      <c r="A480" s="83"/>
      <c r="B480" s="84"/>
      <c r="C480" s="108"/>
      <c r="D480" s="102"/>
      <c r="E480" s="117"/>
      <c r="F480" s="250"/>
      <c r="G480" s="523"/>
      <c r="H480" s="36"/>
      <c r="I480" s="37"/>
      <c r="J480" s="38"/>
      <c r="K480" s="39"/>
      <c r="L480" s="38"/>
      <c r="M480" s="39"/>
      <c r="N480" s="40"/>
      <c r="O480" s="34"/>
      <c r="P480" s="35"/>
      <c r="Q480" s="35"/>
      <c r="R480" s="35"/>
      <c r="S480" s="35"/>
      <c r="T480" s="35"/>
      <c r="U480" s="35"/>
      <c r="V480" s="35"/>
      <c r="W480" s="35"/>
      <c r="X480" s="35"/>
      <c r="Y480" s="35"/>
    </row>
    <row r="481" ht="14.25" customHeight="1">
      <c r="A481" s="83"/>
      <c r="B481" s="84"/>
      <c r="C481" s="108"/>
      <c r="D481" s="102"/>
      <c r="E481" s="117"/>
      <c r="F481" s="250"/>
      <c r="G481" s="523"/>
      <c r="H481" s="36"/>
      <c r="I481" s="37"/>
      <c r="J481" s="38"/>
      <c r="K481" s="39"/>
      <c r="L481" s="38"/>
      <c r="M481" s="39"/>
      <c r="N481" s="40"/>
      <c r="O481" s="34"/>
      <c r="P481" s="35"/>
      <c r="Q481" s="35"/>
      <c r="R481" s="35"/>
      <c r="S481" s="35"/>
      <c r="T481" s="35"/>
      <c r="U481" s="35"/>
      <c r="V481" s="35"/>
      <c r="W481" s="35"/>
      <c r="X481" s="35"/>
      <c r="Y481" s="35"/>
    </row>
    <row r="482" ht="14.25" customHeight="1">
      <c r="A482" s="83"/>
      <c r="B482" s="84"/>
      <c r="C482" s="108"/>
      <c r="D482" s="102"/>
      <c r="E482" s="117"/>
      <c r="F482" s="250"/>
      <c r="G482" s="523"/>
      <c r="H482" s="36"/>
      <c r="I482" s="37"/>
      <c r="J482" s="38"/>
      <c r="K482" s="39"/>
      <c r="L482" s="38"/>
      <c r="M482" s="39"/>
      <c r="N482" s="40"/>
      <c r="O482" s="34"/>
      <c r="P482" s="35"/>
      <c r="Q482" s="35"/>
      <c r="R482" s="35"/>
      <c r="S482" s="35"/>
      <c r="T482" s="35"/>
      <c r="U482" s="35"/>
      <c r="V482" s="35"/>
      <c r="W482" s="35"/>
      <c r="X482" s="35"/>
      <c r="Y482" s="35"/>
    </row>
    <row r="483" ht="14.25" customHeight="1">
      <c r="A483" s="83"/>
      <c r="B483" s="84"/>
      <c r="C483" s="108"/>
      <c r="D483" s="102"/>
      <c r="E483" s="117"/>
      <c r="F483" s="250"/>
      <c r="G483" s="523"/>
      <c r="H483" s="36"/>
      <c r="I483" s="37"/>
      <c r="J483" s="38"/>
      <c r="K483" s="39"/>
      <c r="L483" s="38"/>
      <c r="M483" s="39"/>
      <c r="N483" s="40"/>
      <c r="O483" s="34"/>
      <c r="P483" s="35"/>
      <c r="Q483" s="35"/>
      <c r="R483" s="35"/>
      <c r="S483" s="35"/>
      <c r="T483" s="35"/>
      <c r="U483" s="35"/>
      <c r="V483" s="35"/>
      <c r="W483" s="35"/>
      <c r="X483" s="35"/>
      <c r="Y483" s="35"/>
    </row>
    <row r="484" ht="14.25" customHeight="1">
      <c r="A484" s="83"/>
      <c r="B484" s="84"/>
      <c r="C484" s="108"/>
      <c r="D484" s="102"/>
      <c r="E484" s="117"/>
      <c r="F484" s="250"/>
      <c r="G484" s="523"/>
      <c r="H484" s="36"/>
      <c r="I484" s="37"/>
      <c r="J484" s="38"/>
      <c r="K484" s="39"/>
      <c r="L484" s="38"/>
      <c r="M484" s="39"/>
      <c r="N484" s="40"/>
      <c r="O484" s="34"/>
      <c r="P484" s="35"/>
      <c r="Q484" s="35"/>
      <c r="R484" s="35"/>
      <c r="S484" s="35"/>
      <c r="T484" s="35"/>
      <c r="U484" s="35"/>
      <c r="V484" s="35"/>
      <c r="W484" s="35"/>
      <c r="X484" s="35"/>
      <c r="Y484" s="35"/>
    </row>
    <row r="485" ht="14.25" customHeight="1">
      <c r="A485" s="83"/>
      <c r="B485" s="84"/>
      <c r="C485" s="108"/>
      <c r="D485" s="102"/>
      <c r="E485" s="117"/>
      <c r="F485" s="250"/>
      <c r="G485" s="523"/>
      <c r="H485" s="36"/>
      <c r="I485" s="37"/>
      <c r="J485" s="38"/>
      <c r="K485" s="39"/>
      <c r="L485" s="38"/>
      <c r="M485" s="39"/>
      <c r="N485" s="40"/>
      <c r="O485" s="34"/>
      <c r="P485" s="35"/>
      <c r="Q485" s="35"/>
      <c r="R485" s="35"/>
      <c r="S485" s="35"/>
      <c r="T485" s="35"/>
      <c r="U485" s="35"/>
      <c r="V485" s="35"/>
      <c r="W485" s="35"/>
      <c r="X485" s="35"/>
      <c r="Y485" s="35"/>
    </row>
    <row r="486" ht="14.25" customHeight="1">
      <c r="A486" s="83"/>
      <c r="B486" s="84"/>
      <c r="C486" s="108"/>
      <c r="D486" s="102"/>
      <c r="E486" s="117"/>
      <c r="F486" s="250"/>
      <c r="G486" s="523"/>
      <c r="H486" s="36"/>
      <c r="I486" s="37"/>
      <c r="J486" s="38"/>
      <c r="K486" s="39"/>
      <c r="L486" s="38"/>
      <c r="M486" s="39"/>
      <c r="N486" s="40"/>
      <c r="O486" s="34"/>
      <c r="P486" s="35"/>
      <c r="Q486" s="35"/>
      <c r="R486" s="35"/>
      <c r="S486" s="35"/>
      <c r="T486" s="35"/>
      <c r="U486" s="35"/>
      <c r="V486" s="35"/>
      <c r="W486" s="35"/>
      <c r="X486" s="35"/>
      <c r="Y486" s="35"/>
    </row>
    <row r="487" ht="14.25" customHeight="1">
      <c r="A487" s="83"/>
      <c r="B487" s="84"/>
      <c r="C487" s="108"/>
      <c r="D487" s="102"/>
      <c r="E487" s="117"/>
      <c r="F487" s="250"/>
      <c r="G487" s="523"/>
      <c r="H487" s="36"/>
      <c r="I487" s="37"/>
      <c r="J487" s="38"/>
      <c r="K487" s="39"/>
      <c r="L487" s="38"/>
      <c r="M487" s="39"/>
      <c r="N487" s="40"/>
      <c r="O487" s="34"/>
      <c r="P487" s="35"/>
      <c r="Q487" s="35"/>
      <c r="R487" s="35"/>
      <c r="S487" s="35"/>
      <c r="T487" s="35"/>
      <c r="U487" s="35"/>
      <c r="V487" s="35"/>
      <c r="W487" s="35"/>
      <c r="X487" s="35"/>
      <c r="Y487" s="35"/>
    </row>
    <row r="488" ht="14.25" customHeight="1">
      <c r="A488" s="83"/>
      <c r="B488" s="84"/>
      <c r="C488" s="108"/>
      <c r="D488" s="102"/>
      <c r="E488" s="117"/>
      <c r="F488" s="250"/>
      <c r="G488" s="523"/>
      <c r="H488" s="36"/>
      <c r="I488" s="37"/>
      <c r="J488" s="38"/>
      <c r="K488" s="39"/>
      <c r="L488" s="38"/>
      <c r="M488" s="39"/>
      <c r="N488" s="40"/>
      <c r="O488" s="34"/>
      <c r="P488" s="35"/>
      <c r="Q488" s="35"/>
      <c r="R488" s="35"/>
      <c r="S488" s="35"/>
      <c r="T488" s="35"/>
      <c r="U488" s="35"/>
      <c r="V488" s="35"/>
      <c r="W488" s="35"/>
      <c r="X488" s="35"/>
      <c r="Y488" s="35"/>
    </row>
    <row r="489" ht="14.25" customHeight="1">
      <c r="A489" s="83"/>
      <c r="B489" s="84"/>
      <c r="C489" s="108"/>
      <c r="D489" s="102"/>
      <c r="E489" s="117"/>
      <c r="F489" s="250"/>
      <c r="G489" s="523"/>
      <c r="H489" s="36"/>
      <c r="I489" s="37"/>
      <c r="J489" s="38"/>
      <c r="K489" s="39"/>
      <c r="L489" s="38"/>
      <c r="M489" s="39"/>
      <c r="N489" s="40"/>
      <c r="O489" s="34"/>
      <c r="P489" s="35"/>
      <c r="Q489" s="35"/>
      <c r="R489" s="35"/>
      <c r="S489" s="35"/>
      <c r="T489" s="35"/>
      <c r="U489" s="35"/>
      <c r="V489" s="35"/>
      <c r="W489" s="35"/>
      <c r="X489" s="35"/>
      <c r="Y489" s="35"/>
    </row>
    <row r="490" ht="14.25" customHeight="1">
      <c r="A490" s="83"/>
      <c r="B490" s="84"/>
      <c r="C490" s="108"/>
      <c r="D490" s="102"/>
      <c r="E490" s="117"/>
      <c r="F490" s="250"/>
      <c r="G490" s="523"/>
      <c r="H490" s="36"/>
      <c r="I490" s="37"/>
      <c r="J490" s="38"/>
      <c r="K490" s="39"/>
      <c r="L490" s="38"/>
      <c r="M490" s="39"/>
      <c r="N490" s="40"/>
      <c r="O490" s="34"/>
      <c r="P490" s="35"/>
      <c r="Q490" s="35"/>
      <c r="R490" s="35"/>
      <c r="S490" s="35"/>
      <c r="T490" s="35"/>
      <c r="U490" s="35"/>
      <c r="V490" s="35"/>
      <c r="W490" s="35"/>
      <c r="X490" s="35"/>
      <c r="Y490" s="35"/>
    </row>
    <row r="491" ht="14.25" customHeight="1">
      <c r="A491" s="83"/>
      <c r="B491" s="84"/>
      <c r="C491" s="108"/>
      <c r="D491" s="102"/>
      <c r="E491" s="117"/>
      <c r="F491" s="250"/>
      <c r="G491" s="523"/>
      <c r="H491" s="36"/>
      <c r="I491" s="37"/>
      <c r="J491" s="38"/>
      <c r="K491" s="39"/>
      <c r="L491" s="38"/>
      <c r="M491" s="39"/>
      <c r="N491" s="40"/>
      <c r="O491" s="34"/>
      <c r="P491" s="35"/>
      <c r="Q491" s="35"/>
      <c r="R491" s="35"/>
      <c r="S491" s="35"/>
      <c r="T491" s="35"/>
      <c r="U491" s="35"/>
      <c r="V491" s="35"/>
      <c r="W491" s="35"/>
      <c r="X491" s="35"/>
      <c r="Y491" s="35"/>
    </row>
    <row r="492" ht="14.25" customHeight="1">
      <c r="A492" s="83"/>
      <c r="B492" s="84"/>
      <c r="C492" s="108"/>
      <c r="D492" s="102"/>
      <c r="E492" s="117"/>
      <c r="F492" s="250"/>
      <c r="G492" s="523"/>
      <c r="H492" s="36"/>
      <c r="I492" s="37"/>
      <c r="J492" s="38"/>
      <c r="K492" s="39"/>
      <c r="L492" s="38"/>
      <c r="M492" s="39"/>
      <c r="N492" s="40"/>
      <c r="O492" s="34"/>
      <c r="P492" s="35"/>
      <c r="Q492" s="35"/>
      <c r="R492" s="35"/>
      <c r="S492" s="35"/>
      <c r="T492" s="35"/>
      <c r="U492" s="35"/>
      <c r="V492" s="35"/>
      <c r="W492" s="35"/>
      <c r="X492" s="35"/>
      <c r="Y492" s="35"/>
    </row>
    <row r="493" ht="14.25" customHeight="1">
      <c r="A493" s="83"/>
      <c r="B493" s="84"/>
      <c r="C493" s="108"/>
      <c r="D493" s="102"/>
      <c r="E493" s="117"/>
      <c r="F493" s="250"/>
      <c r="G493" s="523"/>
      <c r="H493" s="36"/>
      <c r="I493" s="37"/>
      <c r="J493" s="38"/>
      <c r="K493" s="39"/>
      <c r="L493" s="38"/>
      <c r="M493" s="39"/>
      <c r="N493" s="40"/>
      <c r="O493" s="34"/>
      <c r="P493" s="35"/>
      <c r="Q493" s="35"/>
      <c r="R493" s="35"/>
      <c r="S493" s="35"/>
      <c r="T493" s="35"/>
      <c r="U493" s="35"/>
      <c r="V493" s="35"/>
      <c r="W493" s="35"/>
      <c r="X493" s="35"/>
      <c r="Y493" s="35"/>
    </row>
    <row r="494" ht="14.25" customHeight="1">
      <c r="A494" s="83"/>
      <c r="B494" s="84"/>
      <c r="C494" s="108"/>
      <c r="D494" s="102"/>
      <c r="E494" s="117"/>
      <c r="F494" s="250"/>
      <c r="G494" s="523"/>
      <c r="H494" s="36"/>
      <c r="I494" s="37"/>
      <c r="J494" s="38"/>
      <c r="K494" s="39"/>
      <c r="L494" s="38"/>
      <c r="M494" s="39"/>
      <c r="N494" s="40"/>
      <c r="O494" s="34"/>
      <c r="P494" s="35"/>
      <c r="Q494" s="35"/>
      <c r="R494" s="35"/>
      <c r="S494" s="35"/>
      <c r="T494" s="35"/>
      <c r="U494" s="35"/>
      <c r="V494" s="35"/>
      <c r="W494" s="35"/>
      <c r="X494" s="35"/>
      <c r="Y494" s="35"/>
    </row>
    <row r="495" ht="14.25" customHeight="1">
      <c r="A495" s="83"/>
      <c r="B495" s="84"/>
      <c r="C495" s="108"/>
      <c r="D495" s="102"/>
      <c r="E495" s="117"/>
      <c r="F495" s="250"/>
      <c r="G495" s="523"/>
      <c r="H495" s="36"/>
      <c r="I495" s="37"/>
      <c r="J495" s="38"/>
      <c r="K495" s="39"/>
      <c r="L495" s="38"/>
      <c r="M495" s="39"/>
      <c r="N495" s="40"/>
      <c r="O495" s="34"/>
      <c r="P495" s="35"/>
      <c r="Q495" s="35"/>
      <c r="R495" s="35"/>
      <c r="S495" s="35"/>
      <c r="T495" s="35"/>
      <c r="U495" s="35"/>
      <c r="V495" s="35"/>
      <c r="W495" s="35"/>
      <c r="X495" s="35"/>
      <c r="Y495" s="35"/>
    </row>
    <row r="496" ht="14.25" customHeight="1">
      <c r="A496" s="83"/>
      <c r="B496" s="84"/>
      <c r="C496" s="108"/>
      <c r="D496" s="102"/>
      <c r="E496" s="117"/>
      <c r="F496" s="250"/>
      <c r="G496" s="523"/>
      <c r="H496" s="36"/>
      <c r="I496" s="37"/>
      <c r="J496" s="38"/>
      <c r="K496" s="39"/>
      <c r="L496" s="38"/>
      <c r="M496" s="39"/>
      <c r="N496" s="40"/>
      <c r="O496" s="34"/>
      <c r="P496" s="35"/>
      <c r="Q496" s="35"/>
      <c r="R496" s="35"/>
      <c r="S496" s="35"/>
      <c r="T496" s="35"/>
      <c r="U496" s="35"/>
      <c r="V496" s="35"/>
      <c r="W496" s="35"/>
      <c r="X496" s="35"/>
      <c r="Y496" s="35"/>
    </row>
    <row r="497" ht="14.25" customHeight="1">
      <c r="A497" s="83"/>
      <c r="B497" s="84"/>
      <c r="C497" s="108"/>
      <c r="D497" s="102"/>
      <c r="E497" s="117"/>
      <c r="F497" s="250"/>
      <c r="G497" s="523"/>
      <c r="H497" s="36"/>
      <c r="I497" s="37"/>
      <c r="J497" s="38"/>
      <c r="K497" s="39"/>
      <c r="L497" s="38"/>
      <c r="M497" s="39"/>
      <c r="N497" s="40"/>
      <c r="O497" s="34"/>
      <c r="P497" s="35"/>
      <c r="Q497" s="35"/>
      <c r="R497" s="35"/>
      <c r="S497" s="35"/>
      <c r="T497" s="35"/>
      <c r="U497" s="35"/>
      <c r="V497" s="35"/>
      <c r="W497" s="35"/>
      <c r="X497" s="35"/>
      <c r="Y497" s="35"/>
    </row>
    <row r="498" ht="14.25" customHeight="1">
      <c r="A498" s="83"/>
      <c r="B498" s="84"/>
      <c r="C498" s="108"/>
      <c r="D498" s="102"/>
      <c r="E498" s="117"/>
      <c r="F498" s="250"/>
      <c r="G498" s="523"/>
      <c r="H498" s="36"/>
      <c r="I498" s="37"/>
      <c r="J498" s="38"/>
      <c r="K498" s="39"/>
      <c r="L498" s="38"/>
      <c r="M498" s="39"/>
      <c r="N498" s="40"/>
      <c r="O498" s="34"/>
      <c r="P498" s="35"/>
      <c r="Q498" s="35"/>
      <c r="R498" s="35"/>
      <c r="S498" s="35"/>
      <c r="T498" s="35"/>
      <c r="U498" s="35"/>
      <c r="V498" s="35"/>
      <c r="W498" s="35"/>
      <c r="X498" s="35"/>
      <c r="Y498" s="35"/>
    </row>
    <row r="499" ht="14.25" customHeight="1">
      <c r="A499" s="83"/>
      <c r="B499" s="84"/>
      <c r="C499" s="108"/>
      <c r="D499" s="102"/>
      <c r="E499" s="117"/>
      <c r="F499" s="250"/>
      <c r="G499" s="523"/>
      <c r="H499" s="36"/>
      <c r="I499" s="37"/>
      <c r="J499" s="38"/>
      <c r="K499" s="39"/>
      <c r="L499" s="38"/>
      <c r="M499" s="39"/>
      <c r="N499" s="40"/>
      <c r="O499" s="34"/>
      <c r="P499" s="35"/>
      <c r="Q499" s="35"/>
      <c r="R499" s="35"/>
      <c r="S499" s="35"/>
      <c r="T499" s="35"/>
      <c r="U499" s="35"/>
      <c r="V499" s="35"/>
      <c r="W499" s="35"/>
      <c r="X499" s="35"/>
      <c r="Y499" s="35"/>
    </row>
    <row r="500" ht="14.25" customHeight="1">
      <c r="A500" s="83"/>
      <c r="B500" s="84"/>
      <c r="C500" s="108"/>
      <c r="D500" s="102"/>
      <c r="E500" s="117"/>
      <c r="F500" s="250"/>
      <c r="G500" s="523"/>
      <c r="H500" s="36"/>
      <c r="I500" s="37"/>
      <c r="J500" s="38"/>
      <c r="K500" s="39"/>
      <c r="L500" s="38"/>
      <c r="M500" s="39"/>
      <c r="N500" s="40"/>
      <c r="O500" s="34"/>
      <c r="P500" s="35"/>
      <c r="Q500" s="35"/>
      <c r="R500" s="35"/>
      <c r="S500" s="35"/>
      <c r="T500" s="35"/>
      <c r="U500" s="35"/>
      <c r="V500" s="35"/>
      <c r="W500" s="35"/>
      <c r="X500" s="35"/>
      <c r="Y500" s="35"/>
    </row>
    <row r="501" ht="14.25" customHeight="1">
      <c r="A501" s="83"/>
      <c r="B501" s="84"/>
      <c r="C501" s="108"/>
      <c r="D501" s="102"/>
      <c r="E501" s="117"/>
      <c r="F501" s="250"/>
      <c r="G501" s="523"/>
      <c r="H501" s="36"/>
      <c r="I501" s="37"/>
      <c r="J501" s="38"/>
      <c r="K501" s="39"/>
      <c r="L501" s="38"/>
      <c r="M501" s="39"/>
      <c r="N501" s="40"/>
      <c r="O501" s="34"/>
      <c r="P501" s="35"/>
      <c r="Q501" s="35"/>
      <c r="R501" s="35"/>
      <c r="S501" s="35"/>
      <c r="T501" s="35"/>
      <c r="U501" s="35"/>
      <c r="V501" s="35"/>
      <c r="W501" s="35"/>
      <c r="X501" s="35"/>
      <c r="Y501" s="35"/>
    </row>
    <row r="502" ht="14.25" customHeight="1">
      <c r="A502" s="83"/>
      <c r="B502" s="84"/>
      <c r="C502" s="108"/>
      <c r="D502" s="102"/>
      <c r="E502" s="117"/>
      <c r="F502" s="250"/>
      <c r="G502" s="523"/>
      <c r="H502" s="36"/>
      <c r="I502" s="37"/>
      <c r="J502" s="38"/>
      <c r="K502" s="39"/>
      <c r="L502" s="38"/>
      <c r="M502" s="39"/>
      <c r="N502" s="40"/>
      <c r="O502" s="34"/>
      <c r="P502" s="35"/>
      <c r="Q502" s="35"/>
      <c r="R502" s="35"/>
      <c r="S502" s="35"/>
      <c r="T502" s="35"/>
      <c r="U502" s="35"/>
      <c r="V502" s="35"/>
      <c r="W502" s="35"/>
      <c r="X502" s="35"/>
      <c r="Y502" s="35"/>
    </row>
    <row r="503" ht="14.25" customHeight="1">
      <c r="A503" s="83"/>
      <c r="B503" s="84"/>
      <c r="C503" s="108"/>
      <c r="D503" s="102"/>
      <c r="E503" s="117"/>
      <c r="F503" s="250"/>
      <c r="G503" s="523"/>
      <c r="H503" s="36"/>
      <c r="I503" s="37"/>
      <c r="J503" s="38"/>
      <c r="K503" s="39"/>
      <c r="L503" s="38"/>
      <c r="M503" s="39"/>
      <c r="N503" s="40"/>
      <c r="O503" s="34"/>
      <c r="P503" s="35"/>
      <c r="Q503" s="35"/>
      <c r="R503" s="35"/>
      <c r="S503" s="35"/>
      <c r="T503" s="35"/>
      <c r="U503" s="35"/>
      <c r="V503" s="35"/>
      <c r="W503" s="35"/>
      <c r="X503" s="35"/>
      <c r="Y503" s="35"/>
    </row>
    <row r="504" ht="14.25" customHeight="1">
      <c r="A504" s="83"/>
      <c r="B504" s="84"/>
      <c r="C504" s="108"/>
      <c r="D504" s="102"/>
      <c r="E504" s="117"/>
      <c r="F504" s="250"/>
      <c r="G504" s="523"/>
      <c r="H504" s="36"/>
      <c r="I504" s="37"/>
      <c r="J504" s="38"/>
      <c r="K504" s="39"/>
      <c r="L504" s="38"/>
      <c r="M504" s="39"/>
      <c r="N504" s="40"/>
      <c r="O504" s="34"/>
      <c r="P504" s="35"/>
      <c r="Q504" s="35"/>
      <c r="R504" s="35"/>
      <c r="S504" s="35"/>
      <c r="T504" s="35"/>
      <c r="U504" s="35"/>
      <c r="V504" s="35"/>
      <c r="W504" s="35"/>
      <c r="X504" s="35"/>
      <c r="Y504" s="35"/>
    </row>
    <row r="505" ht="14.25" customHeight="1">
      <c r="A505" s="83"/>
      <c r="B505" s="84"/>
      <c r="C505" s="108"/>
      <c r="D505" s="102"/>
      <c r="E505" s="117"/>
      <c r="F505" s="250"/>
      <c r="G505" s="523"/>
      <c r="H505" s="36"/>
      <c r="I505" s="37"/>
      <c r="J505" s="38"/>
      <c r="K505" s="39"/>
      <c r="L505" s="38"/>
      <c r="M505" s="39"/>
      <c r="N505" s="40"/>
      <c r="O505" s="34"/>
      <c r="P505" s="35"/>
      <c r="Q505" s="35"/>
      <c r="R505" s="35"/>
      <c r="S505" s="35"/>
      <c r="T505" s="35"/>
      <c r="U505" s="35"/>
      <c r="V505" s="35"/>
      <c r="W505" s="35"/>
      <c r="X505" s="35"/>
      <c r="Y505" s="35"/>
    </row>
    <row r="506" ht="14.25" customHeight="1">
      <c r="A506" s="83"/>
      <c r="B506" s="84"/>
      <c r="C506" s="108"/>
      <c r="D506" s="102"/>
      <c r="E506" s="117"/>
      <c r="F506" s="250"/>
      <c r="G506" s="523"/>
      <c r="H506" s="36"/>
      <c r="I506" s="37"/>
      <c r="J506" s="38"/>
      <c r="K506" s="39"/>
      <c r="L506" s="38"/>
      <c r="M506" s="39"/>
      <c r="N506" s="40"/>
      <c r="O506" s="34"/>
      <c r="P506" s="35"/>
      <c r="Q506" s="35"/>
      <c r="R506" s="35"/>
      <c r="S506" s="35"/>
      <c r="T506" s="35"/>
      <c r="U506" s="35"/>
      <c r="V506" s="35"/>
      <c r="W506" s="35"/>
      <c r="X506" s="35"/>
      <c r="Y506" s="35"/>
    </row>
    <row r="507" ht="14.25" customHeight="1">
      <c r="A507" s="83"/>
      <c r="B507" s="84"/>
      <c r="C507" s="108"/>
      <c r="D507" s="102"/>
      <c r="E507" s="117"/>
      <c r="F507" s="250"/>
      <c r="G507" s="523"/>
      <c r="H507" s="36"/>
      <c r="I507" s="37"/>
      <c r="J507" s="38"/>
      <c r="K507" s="39"/>
      <c r="L507" s="38"/>
      <c r="M507" s="39"/>
      <c r="N507" s="40"/>
      <c r="O507" s="34"/>
      <c r="P507" s="35"/>
      <c r="Q507" s="35"/>
      <c r="R507" s="35"/>
      <c r="S507" s="35"/>
      <c r="T507" s="35"/>
      <c r="U507" s="35"/>
      <c r="V507" s="35"/>
      <c r="W507" s="35"/>
      <c r="X507" s="35"/>
      <c r="Y507" s="35"/>
    </row>
    <row r="508" ht="14.25" customHeight="1">
      <c r="A508" s="83"/>
      <c r="B508" s="84"/>
      <c r="C508" s="108"/>
      <c r="D508" s="102"/>
      <c r="E508" s="117"/>
      <c r="F508" s="250"/>
      <c r="G508" s="523"/>
      <c r="H508" s="36"/>
      <c r="I508" s="37"/>
      <c r="J508" s="38"/>
      <c r="K508" s="39"/>
      <c r="L508" s="38"/>
      <c r="M508" s="39"/>
      <c r="N508" s="40"/>
      <c r="O508" s="34"/>
      <c r="P508" s="35"/>
      <c r="Q508" s="35"/>
      <c r="R508" s="35"/>
      <c r="S508" s="35"/>
      <c r="T508" s="35"/>
      <c r="U508" s="35"/>
      <c r="V508" s="35"/>
      <c r="W508" s="35"/>
      <c r="X508" s="35"/>
      <c r="Y508" s="35"/>
    </row>
    <row r="509" ht="14.25" customHeight="1">
      <c r="A509" s="83"/>
      <c r="B509" s="84"/>
      <c r="C509" s="108"/>
      <c r="D509" s="102"/>
      <c r="E509" s="117"/>
      <c r="F509" s="250"/>
      <c r="G509" s="523"/>
      <c r="H509" s="36"/>
      <c r="I509" s="37"/>
      <c r="J509" s="38"/>
      <c r="K509" s="39"/>
      <c r="L509" s="38"/>
      <c r="M509" s="39"/>
      <c r="N509" s="40"/>
      <c r="O509" s="34"/>
      <c r="P509" s="35"/>
      <c r="Q509" s="35"/>
      <c r="R509" s="35"/>
      <c r="S509" s="35"/>
      <c r="T509" s="35"/>
      <c r="U509" s="35"/>
      <c r="V509" s="35"/>
      <c r="W509" s="35"/>
      <c r="X509" s="35"/>
      <c r="Y509" s="35"/>
    </row>
    <row r="510" ht="14.25" customHeight="1">
      <c r="A510" s="83"/>
      <c r="B510" s="84"/>
      <c r="C510" s="108"/>
      <c r="D510" s="102"/>
      <c r="E510" s="117"/>
      <c r="F510" s="250"/>
      <c r="G510" s="523"/>
      <c r="H510" s="36"/>
      <c r="I510" s="37"/>
      <c r="J510" s="38"/>
      <c r="K510" s="39"/>
      <c r="L510" s="38"/>
      <c r="M510" s="39"/>
      <c r="N510" s="40"/>
      <c r="O510" s="34"/>
      <c r="P510" s="35"/>
      <c r="Q510" s="35"/>
      <c r="R510" s="35"/>
      <c r="S510" s="35"/>
      <c r="T510" s="35"/>
      <c r="U510" s="35"/>
      <c r="V510" s="35"/>
      <c r="W510" s="35"/>
      <c r="X510" s="35"/>
      <c r="Y510" s="35"/>
    </row>
    <row r="511" ht="14.25" customHeight="1">
      <c r="A511" s="83"/>
      <c r="B511" s="84"/>
      <c r="C511" s="108"/>
      <c r="D511" s="102"/>
      <c r="E511" s="117"/>
      <c r="F511" s="250"/>
      <c r="G511" s="523"/>
      <c r="H511" s="36"/>
      <c r="I511" s="37"/>
      <c r="J511" s="38"/>
      <c r="K511" s="39"/>
      <c r="L511" s="38"/>
      <c r="M511" s="39"/>
      <c r="N511" s="40"/>
      <c r="O511" s="34"/>
      <c r="P511" s="35"/>
      <c r="Q511" s="35"/>
      <c r="R511" s="35"/>
      <c r="S511" s="35"/>
      <c r="T511" s="35"/>
      <c r="U511" s="35"/>
      <c r="V511" s="35"/>
      <c r="W511" s="35"/>
      <c r="X511" s="35"/>
      <c r="Y511" s="35"/>
    </row>
    <row r="512" ht="14.25" customHeight="1">
      <c r="A512" s="83"/>
      <c r="B512" s="84"/>
      <c r="C512" s="108"/>
      <c r="D512" s="102"/>
      <c r="E512" s="117"/>
      <c r="F512" s="250"/>
      <c r="G512" s="523"/>
      <c r="H512" s="36"/>
      <c r="I512" s="37"/>
      <c r="J512" s="38"/>
      <c r="K512" s="39"/>
      <c r="L512" s="38"/>
      <c r="M512" s="39"/>
      <c r="N512" s="40"/>
      <c r="O512" s="34"/>
      <c r="P512" s="35"/>
      <c r="Q512" s="35"/>
      <c r="R512" s="35"/>
      <c r="S512" s="35"/>
      <c r="T512" s="35"/>
      <c r="U512" s="35"/>
      <c r="V512" s="35"/>
      <c r="W512" s="35"/>
      <c r="X512" s="35"/>
      <c r="Y512" s="35"/>
    </row>
    <row r="513" ht="14.25" customHeight="1">
      <c r="A513" s="83"/>
      <c r="B513" s="84"/>
      <c r="C513" s="108"/>
      <c r="D513" s="102"/>
      <c r="E513" s="117"/>
      <c r="F513" s="250"/>
      <c r="G513" s="523"/>
      <c r="H513" s="36"/>
      <c r="I513" s="37"/>
      <c r="J513" s="38"/>
      <c r="K513" s="39"/>
      <c r="L513" s="38"/>
      <c r="M513" s="39"/>
      <c r="N513" s="40"/>
      <c r="O513" s="34"/>
      <c r="P513" s="35"/>
      <c r="Q513" s="35"/>
      <c r="R513" s="35"/>
      <c r="S513" s="35"/>
      <c r="T513" s="35"/>
      <c r="U513" s="35"/>
      <c r="V513" s="35"/>
      <c r="W513" s="35"/>
      <c r="X513" s="35"/>
      <c r="Y513" s="35"/>
    </row>
    <row r="514" ht="14.25" customHeight="1">
      <c r="A514" s="83"/>
      <c r="B514" s="84"/>
      <c r="C514" s="108"/>
      <c r="D514" s="102"/>
      <c r="E514" s="117"/>
      <c r="F514" s="250"/>
      <c r="G514" s="523"/>
      <c r="H514" s="36"/>
      <c r="I514" s="37"/>
      <c r="J514" s="38"/>
      <c r="K514" s="39"/>
      <c r="L514" s="38"/>
      <c r="M514" s="39"/>
      <c r="N514" s="40"/>
      <c r="O514" s="34"/>
      <c r="P514" s="35"/>
      <c r="Q514" s="35"/>
      <c r="R514" s="35"/>
      <c r="S514" s="35"/>
      <c r="T514" s="35"/>
      <c r="U514" s="35"/>
      <c r="V514" s="35"/>
      <c r="W514" s="35"/>
      <c r="X514" s="35"/>
      <c r="Y514" s="35"/>
    </row>
    <row r="515" ht="14.25" customHeight="1">
      <c r="A515" s="83"/>
      <c r="B515" s="84"/>
      <c r="C515" s="108"/>
      <c r="D515" s="102"/>
      <c r="E515" s="117"/>
      <c r="F515" s="250"/>
      <c r="G515" s="523"/>
      <c r="H515" s="36"/>
      <c r="I515" s="37"/>
      <c r="J515" s="38"/>
      <c r="K515" s="39"/>
      <c r="L515" s="38"/>
      <c r="M515" s="39"/>
      <c r="N515" s="40"/>
      <c r="O515" s="34"/>
      <c r="P515" s="35"/>
      <c r="Q515" s="35"/>
      <c r="R515" s="35"/>
      <c r="S515" s="35"/>
      <c r="T515" s="35"/>
      <c r="U515" s="35"/>
      <c r="V515" s="35"/>
      <c r="W515" s="35"/>
      <c r="X515" s="35"/>
      <c r="Y515" s="35"/>
    </row>
    <row r="516" ht="14.25" customHeight="1">
      <c r="A516" s="83"/>
      <c r="B516" s="84"/>
      <c r="C516" s="108"/>
      <c r="D516" s="102"/>
      <c r="E516" s="117"/>
      <c r="F516" s="250"/>
      <c r="G516" s="523"/>
      <c r="H516" s="36"/>
      <c r="I516" s="37"/>
      <c r="J516" s="38"/>
      <c r="K516" s="39"/>
      <c r="L516" s="38"/>
      <c r="M516" s="39"/>
      <c r="N516" s="40"/>
      <c r="O516" s="34"/>
      <c r="P516" s="35"/>
      <c r="Q516" s="35"/>
      <c r="R516" s="35"/>
      <c r="S516" s="35"/>
      <c r="T516" s="35"/>
      <c r="U516" s="35"/>
      <c r="V516" s="35"/>
      <c r="W516" s="35"/>
      <c r="X516" s="35"/>
      <c r="Y516" s="35"/>
    </row>
    <row r="517" ht="14.25" customHeight="1">
      <c r="A517" s="83"/>
      <c r="B517" s="84"/>
      <c r="C517" s="108"/>
      <c r="D517" s="102"/>
      <c r="E517" s="117"/>
      <c r="F517" s="250"/>
      <c r="G517" s="523"/>
      <c r="H517" s="36"/>
      <c r="I517" s="37"/>
      <c r="J517" s="38"/>
      <c r="K517" s="39"/>
      <c r="L517" s="38"/>
      <c r="M517" s="39"/>
      <c r="N517" s="40"/>
      <c r="O517" s="34"/>
      <c r="P517" s="35"/>
      <c r="Q517" s="35"/>
      <c r="R517" s="35"/>
      <c r="S517" s="35"/>
      <c r="T517" s="35"/>
      <c r="U517" s="35"/>
      <c r="V517" s="35"/>
      <c r="W517" s="35"/>
      <c r="X517" s="35"/>
      <c r="Y517" s="35"/>
    </row>
    <row r="518" ht="14.25" customHeight="1">
      <c r="A518" s="83"/>
      <c r="B518" s="84"/>
      <c r="C518" s="108"/>
      <c r="D518" s="102"/>
      <c r="E518" s="117"/>
      <c r="F518" s="250"/>
      <c r="G518" s="523"/>
      <c r="H518" s="36"/>
      <c r="I518" s="37"/>
      <c r="J518" s="38"/>
      <c r="K518" s="39"/>
      <c r="L518" s="38"/>
      <c r="M518" s="39"/>
      <c r="N518" s="40"/>
      <c r="O518" s="34"/>
      <c r="P518" s="35"/>
      <c r="Q518" s="35"/>
      <c r="R518" s="35"/>
      <c r="S518" s="35"/>
      <c r="T518" s="35"/>
      <c r="U518" s="35"/>
      <c r="V518" s="35"/>
      <c r="W518" s="35"/>
      <c r="X518" s="35"/>
      <c r="Y518" s="35"/>
    </row>
    <row r="519" ht="14.25" customHeight="1">
      <c r="A519" s="83"/>
      <c r="B519" s="84"/>
      <c r="C519" s="108"/>
      <c r="D519" s="102"/>
      <c r="E519" s="117"/>
      <c r="F519" s="250"/>
      <c r="G519" s="523"/>
      <c r="H519" s="36"/>
      <c r="I519" s="37"/>
      <c r="J519" s="38"/>
      <c r="K519" s="39"/>
      <c r="L519" s="38"/>
      <c r="M519" s="39"/>
      <c r="N519" s="40"/>
      <c r="O519" s="34"/>
      <c r="P519" s="35"/>
      <c r="Q519" s="35"/>
      <c r="R519" s="35"/>
      <c r="S519" s="35"/>
      <c r="T519" s="35"/>
      <c r="U519" s="35"/>
      <c r="V519" s="35"/>
      <c r="W519" s="35"/>
      <c r="X519" s="35"/>
      <c r="Y519" s="35"/>
    </row>
    <row r="520" ht="14.25" customHeight="1">
      <c r="A520" s="83"/>
      <c r="B520" s="84"/>
      <c r="C520" s="108"/>
      <c r="D520" s="102"/>
      <c r="E520" s="117"/>
      <c r="F520" s="250"/>
      <c r="G520" s="523"/>
      <c r="H520" s="36"/>
      <c r="I520" s="37"/>
      <c r="J520" s="38"/>
      <c r="K520" s="39"/>
      <c r="L520" s="38"/>
      <c r="M520" s="39"/>
      <c r="N520" s="40"/>
      <c r="O520" s="34"/>
      <c r="P520" s="35"/>
      <c r="Q520" s="35"/>
      <c r="R520" s="35"/>
      <c r="S520" s="35"/>
      <c r="T520" s="35"/>
      <c r="U520" s="35"/>
      <c r="V520" s="35"/>
      <c r="W520" s="35"/>
      <c r="X520" s="35"/>
      <c r="Y520" s="35"/>
    </row>
    <row r="521" ht="14.25" customHeight="1">
      <c r="A521" s="83"/>
      <c r="B521" s="84"/>
      <c r="C521" s="108"/>
      <c r="D521" s="102"/>
      <c r="E521" s="117"/>
      <c r="F521" s="250"/>
      <c r="G521" s="523"/>
      <c r="H521" s="36"/>
      <c r="I521" s="37"/>
      <c r="J521" s="38"/>
      <c r="K521" s="39"/>
      <c r="L521" s="38"/>
      <c r="M521" s="39"/>
      <c r="N521" s="40"/>
      <c r="O521" s="34"/>
      <c r="P521" s="35"/>
      <c r="Q521" s="35"/>
      <c r="R521" s="35"/>
      <c r="S521" s="35"/>
      <c r="T521" s="35"/>
      <c r="U521" s="35"/>
      <c r="V521" s="35"/>
      <c r="W521" s="35"/>
      <c r="X521" s="35"/>
      <c r="Y521" s="35"/>
    </row>
    <row r="522" ht="14.25" customHeight="1">
      <c r="A522" s="83"/>
      <c r="B522" s="84"/>
      <c r="C522" s="108"/>
      <c r="D522" s="102"/>
      <c r="E522" s="117"/>
      <c r="F522" s="250"/>
      <c r="G522" s="523"/>
      <c r="H522" s="36"/>
      <c r="I522" s="37"/>
      <c r="J522" s="38"/>
      <c r="K522" s="39"/>
      <c r="L522" s="38"/>
      <c r="M522" s="39"/>
      <c r="N522" s="40"/>
      <c r="O522" s="34"/>
      <c r="P522" s="35"/>
      <c r="Q522" s="35"/>
      <c r="R522" s="35"/>
      <c r="S522" s="35"/>
      <c r="T522" s="35"/>
      <c r="U522" s="35"/>
      <c r="V522" s="35"/>
      <c r="W522" s="35"/>
      <c r="X522" s="35"/>
      <c r="Y522" s="35"/>
    </row>
    <row r="523" ht="14.25" customHeight="1">
      <c r="A523" s="83"/>
      <c r="B523" s="84"/>
      <c r="C523" s="108"/>
      <c r="D523" s="102"/>
      <c r="E523" s="117"/>
      <c r="F523" s="250"/>
      <c r="G523" s="523"/>
      <c r="H523" s="36"/>
      <c r="I523" s="37"/>
      <c r="J523" s="38"/>
      <c r="K523" s="39"/>
      <c r="L523" s="38"/>
      <c r="M523" s="39"/>
      <c r="N523" s="40"/>
      <c r="O523" s="34"/>
      <c r="P523" s="35"/>
      <c r="Q523" s="35"/>
      <c r="R523" s="35"/>
      <c r="S523" s="35"/>
      <c r="T523" s="35"/>
      <c r="U523" s="35"/>
      <c r="V523" s="35"/>
      <c r="W523" s="35"/>
      <c r="X523" s="35"/>
      <c r="Y523" s="35"/>
    </row>
    <row r="524" ht="14.25" customHeight="1">
      <c r="A524" s="83"/>
      <c r="B524" s="84"/>
      <c r="C524" s="108"/>
      <c r="D524" s="102"/>
      <c r="E524" s="117"/>
      <c r="F524" s="250"/>
      <c r="G524" s="523"/>
      <c r="H524" s="36"/>
      <c r="I524" s="37"/>
      <c r="J524" s="38"/>
      <c r="K524" s="39"/>
      <c r="L524" s="38"/>
      <c r="M524" s="39"/>
      <c r="N524" s="40"/>
      <c r="O524" s="34"/>
      <c r="P524" s="35"/>
      <c r="Q524" s="35"/>
      <c r="R524" s="35"/>
      <c r="S524" s="35"/>
      <c r="T524" s="35"/>
      <c r="U524" s="35"/>
      <c r="V524" s="35"/>
      <c r="W524" s="35"/>
      <c r="X524" s="35"/>
      <c r="Y524" s="35"/>
    </row>
    <row r="525" ht="14.25" customHeight="1">
      <c r="A525" s="83"/>
      <c r="B525" s="84"/>
      <c r="C525" s="108"/>
      <c r="D525" s="102"/>
      <c r="E525" s="117"/>
      <c r="F525" s="250"/>
      <c r="G525" s="523"/>
      <c r="H525" s="36"/>
      <c r="I525" s="37"/>
      <c r="J525" s="38"/>
      <c r="K525" s="39"/>
      <c r="L525" s="38"/>
      <c r="M525" s="39"/>
      <c r="N525" s="40"/>
      <c r="O525" s="34"/>
      <c r="P525" s="35"/>
      <c r="Q525" s="35"/>
      <c r="R525" s="35"/>
      <c r="S525" s="35"/>
      <c r="T525" s="35"/>
      <c r="U525" s="35"/>
      <c r="V525" s="35"/>
      <c r="W525" s="35"/>
      <c r="X525" s="35"/>
      <c r="Y525" s="35"/>
    </row>
    <row r="526" ht="14.25" customHeight="1">
      <c r="A526" s="83"/>
      <c r="B526" s="84"/>
      <c r="C526" s="108"/>
      <c r="D526" s="102"/>
      <c r="E526" s="117"/>
      <c r="F526" s="250"/>
      <c r="G526" s="523"/>
      <c r="H526" s="36"/>
      <c r="I526" s="37"/>
      <c r="J526" s="38"/>
      <c r="K526" s="39"/>
      <c r="L526" s="38"/>
      <c r="M526" s="39"/>
      <c r="N526" s="40"/>
      <c r="O526" s="34"/>
      <c r="P526" s="35"/>
      <c r="Q526" s="35"/>
      <c r="R526" s="35"/>
      <c r="S526" s="35"/>
      <c r="T526" s="35"/>
      <c r="U526" s="35"/>
      <c r="V526" s="35"/>
      <c r="W526" s="35"/>
      <c r="X526" s="35"/>
      <c r="Y526" s="35"/>
    </row>
    <row r="527" ht="14.25" customHeight="1">
      <c r="A527" s="83"/>
      <c r="B527" s="84"/>
      <c r="C527" s="108"/>
      <c r="D527" s="102"/>
      <c r="E527" s="117"/>
      <c r="F527" s="250"/>
      <c r="G527" s="523"/>
      <c r="H527" s="36"/>
      <c r="I527" s="37"/>
      <c r="J527" s="38"/>
      <c r="K527" s="39"/>
      <c r="L527" s="38"/>
      <c r="M527" s="39"/>
      <c r="N527" s="40"/>
      <c r="O527" s="34"/>
      <c r="P527" s="35"/>
      <c r="Q527" s="35"/>
      <c r="R527" s="35"/>
      <c r="S527" s="35"/>
      <c r="T527" s="35"/>
      <c r="U527" s="35"/>
      <c r="V527" s="35"/>
      <c r="W527" s="35"/>
      <c r="X527" s="35"/>
      <c r="Y527" s="35"/>
    </row>
    <row r="528" ht="14.25" customHeight="1">
      <c r="A528" s="83"/>
      <c r="B528" s="84"/>
      <c r="C528" s="108"/>
      <c r="D528" s="102"/>
      <c r="E528" s="117"/>
      <c r="F528" s="250"/>
      <c r="G528" s="523"/>
      <c r="H528" s="36"/>
      <c r="I528" s="37"/>
      <c r="J528" s="38"/>
      <c r="K528" s="39"/>
      <c r="L528" s="38"/>
      <c r="M528" s="39"/>
      <c r="N528" s="40"/>
      <c r="O528" s="34"/>
      <c r="P528" s="35"/>
      <c r="Q528" s="35"/>
      <c r="R528" s="35"/>
      <c r="S528" s="35"/>
      <c r="T528" s="35"/>
      <c r="U528" s="35"/>
      <c r="V528" s="35"/>
      <c r="W528" s="35"/>
      <c r="X528" s="35"/>
      <c r="Y528" s="35"/>
    </row>
    <row r="529" ht="14.25" customHeight="1">
      <c r="A529" s="83"/>
      <c r="B529" s="84"/>
      <c r="C529" s="108"/>
      <c r="D529" s="102"/>
      <c r="E529" s="117"/>
      <c r="F529" s="250"/>
      <c r="G529" s="523"/>
      <c r="H529" s="36"/>
      <c r="I529" s="37"/>
      <c r="J529" s="38"/>
      <c r="K529" s="39"/>
      <c r="L529" s="38"/>
      <c r="M529" s="39"/>
      <c r="N529" s="40"/>
      <c r="O529" s="34"/>
      <c r="P529" s="35"/>
      <c r="Q529" s="35"/>
      <c r="R529" s="35"/>
      <c r="S529" s="35"/>
      <c r="T529" s="35"/>
      <c r="U529" s="35"/>
      <c r="V529" s="35"/>
      <c r="W529" s="35"/>
      <c r="X529" s="35"/>
      <c r="Y529" s="35"/>
    </row>
    <row r="530" ht="14.25" customHeight="1">
      <c r="A530" s="136"/>
      <c r="B530" s="137"/>
      <c r="C530" s="251"/>
      <c r="D530" s="452"/>
      <c r="E530" s="136"/>
      <c r="F530" s="253"/>
      <c r="G530" s="527"/>
      <c r="H530" s="141"/>
      <c r="I530" s="141"/>
      <c r="J530" s="142"/>
      <c r="K530" s="142"/>
      <c r="L530" s="142"/>
      <c r="M530" s="142"/>
      <c r="N530" s="136"/>
      <c r="O530" s="34"/>
      <c r="P530" s="35"/>
      <c r="Q530" s="35"/>
      <c r="R530" s="35"/>
      <c r="S530" s="35"/>
      <c r="T530" s="35"/>
      <c r="U530" s="35"/>
      <c r="V530" s="35"/>
      <c r="W530" s="35"/>
      <c r="X530" s="35"/>
      <c r="Y530" s="35"/>
    </row>
    <row r="531" ht="14.25" customHeight="1">
      <c r="A531" s="136"/>
      <c r="B531" s="137"/>
      <c r="C531" s="251"/>
      <c r="D531" s="452"/>
      <c r="E531" s="136"/>
      <c r="F531" s="253"/>
      <c r="G531" s="527"/>
      <c r="H531" s="141"/>
      <c r="I531" s="141"/>
      <c r="J531" s="142"/>
      <c r="K531" s="142"/>
      <c r="L531" s="142"/>
      <c r="M531" s="142"/>
      <c r="N531" s="136"/>
      <c r="O531" s="34"/>
      <c r="P531" s="35"/>
      <c r="Q531" s="35"/>
      <c r="R531" s="35"/>
      <c r="S531" s="35"/>
      <c r="T531" s="35"/>
      <c r="U531" s="35"/>
      <c r="V531" s="35"/>
      <c r="W531" s="35"/>
      <c r="X531" s="35"/>
      <c r="Y531" s="35"/>
    </row>
    <row r="532" ht="14.25" customHeight="1">
      <c r="A532" s="136"/>
      <c r="B532" s="137"/>
      <c r="C532" s="251"/>
      <c r="D532" s="452"/>
      <c r="E532" s="136"/>
      <c r="F532" s="253"/>
      <c r="G532" s="527"/>
      <c r="H532" s="141"/>
      <c r="I532" s="141"/>
      <c r="J532" s="142"/>
      <c r="K532" s="142"/>
      <c r="L532" s="142"/>
      <c r="M532" s="142"/>
      <c r="N532" s="136"/>
      <c r="O532" s="34"/>
      <c r="P532" s="35"/>
      <c r="Q532" s="35"/>
      <c r="R532" s="35"/>
      <c r="S532" s="35"/>
      <c r="T532" s="35"/>
      <c r="U532" s="35"/>
      <c r="V532" s="35"/>
      <c r="W532" s="35"/>
      <c r="X532" s="35"/>
      <c r="Y532" s="35"/>
    </row>
    <row r="533" ht="14.25" customHeight="1">
      <c r="A533" s="136"/>
      <c r="B533" s="137"/>
      <c r="C533" s="251"/>
      <c r="D533" s="452"/>
      <c r="E533" s="136"/>
      <c r="F533" s="253"/>
      <c r="G533" s="527"/>
      <c r="H533" s="141"/>
      <c r="I533" s="141"/>
      <c r="J533" s="142"/>
      <c r="K533" s="142"/>
      <c r="L533" s="142"/>
      <c r="M533" s="142"/>
      <c r="N533" s="136"/>
      <c r="O533" s="34"/>
      <c r="P533" s="35"/>
      <c r="Q533" s="35"/>
      <c r="R533" s="35"/>
      <c r="S533" s="35"/>
      <c r="T533" s="35"/>
      <c r="U533" s="35"/>
      <c r="V533" s="35"/>
      <c r="W533" s="35"/>
      <c r="X533" s="35"/>
      <c r="Y533" s="35"/>
    </row>
    <row r="534" ht="14.25" customHeight="1">
      <c r="A534" s="136"/>
      <c r="B534" s="137"/>
      <c r="C534" s="251"/>
      <c r="D534" s="452"/>
      <c r="E534" s="136"/>
      <c r="F534" s="253"/>
      <c r="G534" s="527"/>
      <c r="H534" s="141"/>
      <c r="I534" s="141"/>
      <c r="J534" s="142"/>
      <c r="K534" s="142"/>
      <c r="L534" s="142"/>
      <c r="M534" s="142"/>
      <c r="N534" s="136"/>
      <c r="O534" s="34"/>
      <c r="P534" s="35"/>
      <c r="Q534" s="35"/>
      <c r="R534" s="35"/>
      <c r="S534" s="35"/>
      <c r="T534" s="35"/>
      <c r="U534" s="35"/>
      <c r="V534" s="35"/>
      <c r="W534" s="35"/>
      <c r="X534" s="35"/>
      <c r="Y534" s="35"/>
    </row>
    <row r="535" ht="14.25" customHeight="1">
      <c r="A535" s="136"/>
      <c r="B535" s="137"/>
      <c r="C535" s="251"/>
      <c r="D535" s="452"/>
      <c r="E535" s="136"/>
      <c r="F535" s="253"/>
      <c r="G535" s="527"/>
      <c r="H535" s="141"/>
      <c r="I535" s="141"/>
      <c r="J535" s="142"/>
      <c r="K535" s="142"/>
      <c r="L535" s="142"/>
      <c r="M535" s="142"/>
      <c r="N535" s="136"/>
      <c r="O535" s="34"/>
      <c r="P535" s="35"/>
      <c r="Q535" s="35"/>
      <c r="R535" s="35"/>
      <c r="S535" s="35"/>
      <c r="T535" s="35"/>
      <c r="U535" s="35"/>
      <c r="V535" s="35"/>
      <c r="W535" s="35"/>
      <c r="X535" s="35"/>
      <c r="Y535" s="35"/>
    </row>
    <row r="536" ht="14.25" customHeight="1">
      <c r="A536" s="136"/>
      <c r="B536" s="137"/>
      <c r="C536" s="251"/>
      <c r="D536" s="452"/>
      <c r="E536" s="136"/>
      <c r="F536" s="253"/>
      <c r="G536" s="527"/>
      <c r="H536" s="141"/>
      <c r="I536" s="141"/>
      <c r="J536" s="142"/>
      <c r="K536" s="142"/>
      <c r="L536" s="142"/>
      <c r="M536" s="142"/>
      <c r="N536" s="136"/>
      <c r="O536" s="34"/>
      <c r="P536" s="35"/>
      <c r="Q536" s="35"/>
      <c r="R536" s="35"/>
      <c r="S536" s="35"/>
      <c r="T536" s="35"/>
      <c r="U536" s="35"/>
      <c r="V536" s="35"/>
      <c r="W536" s="35"/>
      <c r="X536" s="35"/>
      <c r="Y536" s="35"/>
    </row>
    <row r="537" ht="14.25" customHeight="1">
      <c r="A537" s="136"/>
      <c r="B537" s="137"/>
      <c r="C537" s="251"/>
      <c r="D537" s="452"/>
      <c r="E537" s="136"/>
      <c r="F537" s="253"/>
      <c r="G537" s="527"/>
      <c r="H537" s="141"/>
      <c r="I537" s="141"/>
      <c r="J537" s="142"/>
      <c r="K537" s="142"/>
      <c r="L537" s="142"/>
      <c r="M537" s="142"/>
      <c r="N537" s="136"/>
      <c r="O537" s="34"/>
      <c r="P537" s="35"/>
      <c r="Q537" s="35"/>
      <c r="R537" s="35"/>
      <c r="S537" s="35"/>
      <c r="T537" s="35"/>
      <c r="U537" s="35"/>
      <c r="V537" s="35"/>
      <c r="W537" s="35"/>
      <c r="X537" s="35"/>
      <c r="Y537" s="35"/>
    </row>
    <row r="538" ht="14.25" customHeight="1">
      <c r="A538" s="136"/>
      <c r="B538" s="137"/>
      <c r="C538" s="251"/>
      <c r="D538" s="452"/>
      <c r="E538" s="136"/>
      <c r="F538" s="253"/>
      <c r="G538" s="527"/>
      <c r="H538" s="141"/>
      <c r="I538" s="141"/>
      <c r="J538" s="142"/>
      <c r="K538" s="142"/>
      <c r="L538" s="142"/>
      <c r="M538" s="142"/>
      <c r="N538" s="136"/>
      <c r="O538" s="34"/>
      <c r="P538" s="35"/>
      <c r="Q538" s="35"/>
      <c r="R538" s="35"/>
      <c r="S538" s="35"/>
      <c r="T538" s="35"/>
      <c r="U538" s="35"/>
      <c r="V538" s="35"/>
      <c r="W538" s="35"/>
      <c r="X538" s="35"/>
      <c r="Y538" s="35"/>
    </row>
    <row r="539" ht="14.25" customHeight="1">
      <c r="A539" s="136"/>
      <c r="B539" s="137"/>
      <c r="C539" s="251"/>
      <c r="D539" s="452"/>
      <c r="E539" s="136"/>
      <c r="F539" s="253"/>
      <c r="G539" s="527"/>
      <c r="H539" s="141"/>
      <c r="I539" s="141"/>
      <c r="J539" s="142"/>
      <c r="K539" s="142"/>
      <c r="L539" s="142"/>
      <c r="M539" s="142"/>
      <c r="N539" s="136"/>
      <c r="O539" s="34"/>
      <c r="P539" s="35"/>
      <c r="Q539" s="35"/>
      <c r="R539" s="35"/>
      <c r="S539" s="35"/>
      <c r="T539" s="35"/>
      <c r="U539" s="35"/>
      <c r="V539" s="35"/>
      <c r="W539" s="35"/>
      <c r="X539" s="35"/>
      <c r="Y539" s="35"/>
    </row>
    <row r="540" ht="14.25" customHeight="1">
      <c r="A540" s="136"/>
      <c r="B540" s="137"/>
      <c r="C540" s="251"/>
      <c r="D540" s="452"/>
      <c r="E540" s="136"/>
      <c r="F540" s="253"/>
      <c r="G540" s="527"/>
      <c r="H540" s="141"/>
      <c r="I540" s="141"/>
      <c r="J540" s="142"/>
      <c r="K540" s="142"/>
      <c r="L540" s="142"/>
      <c r="M540" s="142"/>
      <c r="N540" s="136"/>
      <c r="O540" s="34"/>
      <c r="P540" s="35"/>
      <c r="Q540" s="35"/>
      <c r="R540" s="35"/>
      <c r="S540" s="35"/>
      <c r="T540" s="35"/>
      <c r="U540" s="35"/>
      <c r="V540" s="35"/>
      <c r="W540" s="35"/>
      <c r="X540" s="35"/>
      <c r="Y540" s="35"/>
    </row>
    <row r="541" ht="14.25" customHeight="1">
      <c r="A541" s="136"/>
      <c r="B541" s="137"/>
      <c r="C541" s="251"/>
      <c r="D541" s="452"/>
      <c r="E541" s="136"/>
      <c r="F541" s="253"/>
      <c r="G541" s="527"/>
      <c r="H541" s="141"/>
      <c r="I541" s="141"/>
      <c r="J541" s="142"/>
      <c r="K541" s="142"/>
      <c r="L541" s="142"/>
      <c r="M541" s="142"/>
      <c r="N541" s="136"/>
      <c r="O541" s="34"/>
      <c r="P541" s="35"/>
      <c r="Q541" s="35"/>
      <c r="R541" s="35"/>
      <c r="S541" s="35"/>
      <c r="T541" s="35"/>
      <c r="U541" s="35"/>
      <c r="V541" s="35"/>
      <c r="W541" s="35"/>
      <c r="X541" s="35"/>
      <c r="Y541" s="35"/>
    </row>
    <row r="542" ht="14.25" customHeight="1">
      <c r="A542" s="136"/>
      <c r="B542" s="137"/>
      <c r="C542" s="251"/>
      <c r="D542" s="452"/>
      <c r="E542" s="136"/>
      <c r="F542" s="253"/>
      <c r="G542" s="527"/>
      <c r="H542" s="141"/>
      <c r="I542" s="141"/>
      <c r="J542" s="142"/>
      <c r="K542" s="142"/>
      <c r="L542" s="142"/>
      <c r="M542" s="142"/>
      <c r="N542" s="136"/>
      <c r="O542" s="34"/>
      <c r="P542" s="35"/>
      <c r="Q542" s="35"/>
      <c r="R542" s="35"/>
      <c r="S542" s="35"/>
      <c r="T542" s="35"/>
      <c r="U542" s="35"/>
      <c r="V542" s="35"/>
      <c r="W542" s="35"/>
      <c r="X542" s="35"/>
      <c r="Y542" s="35"/>
    </row>
    <row r="543" ht="14.25" customHeight="1">
      <c r="A543" s="136"/>
      <c r="B543" s="137"/>
      <c r="C543" s="251"/>
      <c r="D543" s="452"/>
      <c r="E543" s="136"/>
      <c r="F543" s="253"/>
      <c r="G543" s="527"/>
      <c r="H543" s="141"/>
      <c r="I543" s="141"/>
      <c r="J543" s="142"/>
      <c r="K543" s="142"/>
      <c r="L543" s="142"/>
      <c r="M543" s="142"/>
      <c r="N543" s="136"/>
      <c r="O543" s="34"/>
      <c r="P543" s="35"/>
      <c r="Q543" s="35"/>
      <c r="R543" s="35"/>
      <c r="S543" s="35"/>
      <c r="T543" s="35"/>
      <c r="U543" s="35"/>
      <c r="V543" s="35"/>
      <c r="W543" s="35"/>
      <c r="X543" s="35"/>
      <c r="Y543" s="35"/>
    </row>
    <row r="544" ht="14.25" customHeight="1">
      <c r="A544" s="136"/>
      <c r="B544" s="137"/>
      <c r="C544" s="251"/>
      <c r="D544" s="452"/>
      <c r="E544" s="136"/>
      <c r="F544" s="253"/>
      <c r="G544" s="527"/>
      <c r="H544" s="141"/>
      <c r="I544" s="141"/>
      <c r="J544" s="142"/>
      <c r="K544" s="142"/>
      <c r="L544" s="142"/>
      <c r="M544" s="142"/>
      <c r="N544" s="136"/>
      <c r="O544" s="34"/>
      <c r="P544" s="35"/>
      <c r="Q544" s="35"/>
      <c r="R544" s="35"/>
      <c r="S544" s="35"/>
      <c r="T544" s="35"/>
      <c r="U544" s="35"/>
      <c r="V544" s="35"/>
      <c r="W544" s="35"/>
      <c r="X544" s="35"/>
      <c r="Y544" s="35"/>
    </row>
    <row r="545" ht="14.25" customHeight="1">
      <c r="A545" s="136"/>
      <c r="B545" s="137"/>
      <c r="C545" s="251"/>
      <c r="D545" s="452"/>
      <c r="E545" s="136"/>
      <c r="F545" s="253"/>
      <c r="G545" s="527"/>
      <c r="H545" s="141"/>
      <c r="I545" s="141"/>
      <c r="J545" s="142"/>
      <c r="K545" s="142"/>
      <c r="L545" s="142"/>
      <c r="M545" s="142"/>
      <c r="N545" s="136"/>
      <c r="O545" s="34"/>
      <c r="P545" s="35"/>
      <c r="Q545" s="35"/>
      <c r="R545" s="35"/>
      <c r="S545" s="35"/>
      <c r="T545" s="35"/>
      <c r="U545" s="35"/>
      <c r="V545" s="35"/>
      <c r="W545" s="35"/>
      <c r="X545" s="35"/>
      <c r="Y545" s="35"/>
    </row>
    <row r="546" ht="14.25" customHeight="1">
      <c r="A546" s="136"/>
      <c r="B546" s="137"/>
      <c r="C546" s="251"/>
      <c r="D546" s="452"/>
      <c r="E546" s="136"/>
      <c r="F546" s="253"/>
      <c r="G546" s="527"/>
      <c r="H546" s="141"/>
      <c r="I546" s="141"/>
      <c r="J546" s="142"/>
      <c r="K546" s="142"/>
      <c r="L546" s="142"/>
      <c r="M546" s="142"/>
      <c r="N546" s="136"/>
      <c r="O546" s="34"/>
      <c r="P546" s="35"/>
      <c r="Q546" s="35"/>
      <c r="R546" s="35"/>
      <c r="S546" s="35"/>
      <c r="T546" s="35"/>
      <c r="U546" s="35"/>
      <c r="V546" s="35"/>
      <c r="W546" s="35"/>
      <c r="X546" s="35"/>
      <c r="Y546" s="35"/>
    </row>
    <row r="547" ht="14.25" customHeight="1">
      <c r="A547" s="136"/>
      <c r="B547" s="137"/>
      <c r="C547" s="251"/>
      <c r="D547" s="452"/>
      <c r="E547" s="136"/>
      <c r="F547" s="253"/>
      <c r="G547" s="527"/>
      <c r="H547" s="141"/>
      <c r="I547" s="141"/>
      <c r="J547" s="142"/>
      <c r="K547" s="142"/>
      <c r="L547" s="142"/>
      <c r="M547" s="142"/>
      <c r="N547" s="136"/>
      <c r="O547" s="34"/>
      <c r="P547" s="35"/>
      <c r="Q547" s="35"/>
      <c r="R547" s="35"/>
      <c r="S547" s="35"/>
      <c r="T547" s="35"/>
      <c r="U547" s="35"/>
      <c r="V547" s="35"/>
      <c r="W547" s="35"/>
      <c r="X547" s="35"/>
      <c r="Y547" s="35"/>
    </row>
    <row r="548" ht="14.25" customHeight="1">
      <c r="A548" s="136"/>
      <c r="B548" s="137"/>
      <c r="C548" s="251"/>
      <c r="D548" s="452"/>
      <c r="E548" s="136"/>
      <c r="F548" s="253"/>
      <c r="G548" s="527"/>
      <c r="H548" s="141"/>
      <c r="I548" s="141"/>
      <c r="J548" s="142"/>
      <c r="K548" s="142"/>
      <c r="L548" s="142"/>
      <c r="M548" s="142"/>
      <c r="N548" s="136"/>
      <c r="O548" s="34"/>
      <c r="P548" s="35"/>
      <c r="Q548" s="35"/>
      <c r="R548" s="35"/>
      <c r="S548" s="35"/>
      <c r="T548" s="35"/>
      <c r="U548" s="35"/>
      <c r="V548" s="35"/>
      <c r="W548" s="35"/>
      <c r="X548" s="35"/>
      <c r="Y548" s="35"/>
    </row>
    <row r="549" ht="14.25" customHeight="1">
      <c r="A549" s="136"/>
      <c r="B549" s="137"/>
      <c r="C549" s="251"/>
      <c r="D549" s="452"/>
      <c r="E549" s="136"/>
      <c r="F549" s="253"/>
      <c r="G549" s="527"/>
      <c r="H549" s="141"/>
      <c r="I549" s="141"/>
      <c r="J549" s="142"/>
      <c r="K549" s="142"/>
      <c r="L549" s="142"/>
      <c r="M549" s="142"/>
      <c r="N549" s="136"/>
      <c r="O549" s="34"/>
      <c r="P549" s="35"/>
      <c r="Q549" s="35"/>
      <c r="R549" s="35"/>
      <c r="S549" s="35"/>
      <c r="T549" s="35"/>
      <c r="U549" s="35"/>
      <c r="V549" s="35"/>
      <c r="W549" s="35"/>
      <c r="X549" s="35"/>
      <c r="Y549" s="35"/>
    </row>
    <row r="550" ht="14.25" customHeight="1">
      <c r="A550" s="136"/>
      <c r="B550" s="137"/>
      <c r="C550" s="251"/>
      <c r="D550" s="452"/>
      <c r="E550" s="136"/>
      <c r="F550" s="253"/>
      <c r="G550" s="527"/>
      <c r="H550" s="141"/>
      <c r="I550" s="141"/>
      <c r="J550" s="142"/>
      <c r="K550" s="142"/>
      <c r="L550" s="142"/>
      <c r="M550" s="142"/>
      <c r="N550" s="136"/>
      <c r="O550" s="34"/>
      <c r="P550" s="35"/>
      <c r="Q550" s="35"/>
      <c r="R550" s="35"/>
      <c r="S550" s="35"/>
      <c r="T550" s="35"/>
      <c r="U550" s="35"/>
      <c r="V550" s="35"/>
      <c r="W550" s="35"/>
      <c r="X550" s="35"/>
      <c r="Y550" s="35"/>
    </row>
    <row r="551" ht="14.25" customHeight="1">
      <c r="A551" s="136"/>
      <c r="B551" s="137"/>
      <c r="C551" s="251"/>
      <c r="D551" s="452"/>
      <c r="E551" s="136"/>
      <c r="F551" s="253"/>
      <c r="G551" s="527"/>
      <c r="H551" s="141"/>
      <c r="I551" s="141"/>
      <c r="J551" s="142"/>
      <c r="K551" s="142"/>
      <c r="L551" s="142"/>
      <c r="M551" s="142"/>
      <c r="N551" s="136"/>
      <c r="O551" s="34"/>
      <c r="P551" s="35"/>
      <c r="Q551" s="35"/>
      <c r="R551" s="35"/>
      <c r="S551" s="35"/>
      <c r="T551" s="35"/>
      <c r="U551" s="35"/>
      <c r="V551" s="35"/>
      <c r="W551" s="35"/>
      <c r="X551" s="35"/>
      <c r="Y551" s="35"/>
    </row>
    <row r="552" ht="14.25" customHeight="1">
      <c r="A552" s="136"/>
      <c r="B552" s="137"/>
      <c r="C552" s="251"/>
      <c r="D552" s="452"/>
      <c r="E552" s="136"/>
      <c r="F552" s="253"/>
      <c r="G552" s="527"/>
      <c r="H552" s="141"/>
      <c r="I552" s="141"/>
      <c r="J552" s="142"/>
      <c r="K552" s="142"/>
      <c r="L552" s="142"/>
      <c r="M552" s="142"/>
      <c r="N552" s="136"/>
      <c r="O552" s="34"/>
      <c r="P552" s="35"/>
      <c r="Q552" s="35"/>
      <c r="R552" s="35"/>
      <c r="S552" s="35"/>
      <c r="T552" s="35"/>
      <c r="U552" s="35"/>
      <c r="V552" s="35"/>
      <c r="W552" s="35"/>
      <c r="X552" s="35"/>
      <c r="Y552" s="35"/>
    </row>
    <row r="553" ht="14.25" customHeight="1">
      <c r="A553" s="136"/>
      <c r="B553" s="137"/>
      <c r="C553" s="251"/>
      <c r="D553" s="452"/>
      <c r="E553" s="136"/>
      <c r="F553" s="253"/>
      <c r="G553" s="527"/>
      <c r="H553" s="141"/>
      <c r="I553" s="141"/>
      <c r="J553" s="142"/>
      <c r="K553" s="142"/>
      <c r="L553" s="142"/>
      <c r="M553" s="142"/>
      <c r="N553" s="136"/>
      <c r="O553" s="34"/>
      <c r="P553" s="35"/>
      <c r="Q553" s="35"/>
      <c r="R553" s="35"/>
      <c r="S553" s="35"/>
      <c r="T553" s="35"/>
      <c r="U553" s="35"/>
      <c r="V553" s="35"/>
      <c r="W553" s="35"/>
      <c r="X553" s="35"/>
      <c r="Y553" s="35"/>
    </row>
    <row r="554" ht="14.25" customHeight="1">
      <c r="A554" s="136"/>
      <c r="B554" s="137"/>
      <c r="C554" s="251"/>
      <c r="D554" s="452"/>
      <c r="E554" s="136"/>
      <c r="F554" s="253"/>
      <c r="G554" s="527"/>
      <c r="H554" s="141"/>
      <c r="I554" s="141"/>
      <c r="J554" s="142"/>
      <c r="K554" s="142"/>
      <c r="L554" s="142"/>
      <c r="M554" s="142"/>
      <c r="N554" s="136"/>
      <c r="O554" s="34"/>
      <c r="P554" s="35"/>
      <c r="Q554" s="35"/>
      <c r="R554" s="35"/>
      <c r="S554" s="35"/>
      <c r="T554" s="35"/>
      <c r="U554" s="35"/>
      <c r="V554" s="35"/>
      <c r="W554" s="35"/>
      <c r="X554" s="35"/>
      <c r="Y554" s="35"/>
    </row>
    <row r="555" ht="14.25" customHeight="1">
      <c r="A555" s="136"/>
      <c r="B555" s="137"/>
      <c r="C555" s="251"/>
      <c r="D555" s="452"/>
      <c r="E555" s="136"/>
      <c r="F555" s="253"/>
      <c r="G555" s="527"/>
      <c r="H555" s="141"/>
      <c r="I555" s="141"/>
      <c r="J555" s="142"/>
      <c r="K555" s="142"/>
      <c r="L555" s="142"/>
      <c r="M555" s="142"/>
      <c r="N555" s="136"/>
      <c r="O555" s="34"/>
      <c r="P555" s="35"/>
      <c r="Q555" s="35"/>
      <c r="R555" s="35"/>
      <c r="S555" s="35"/>
      <c r="T555" s="35"/>
      <c r="U555" s="35"/>
      <c r="V555" s="35"/>
      <c r="W555" s="35"/>
      <c r="X555" s="35"/>
      <c r="Y555" s="35"/>
    </row>
    <row r="556" ht="14.25" customHeight="1">
      <c r="A556" s="136"/>
      <c r="B556" s="137"/>
      <c r="C556" s="251"/>
      <c r="D556" s="452"/>
      <c r="E556" s="136"/>
      <c r="F556" s="253"/>
      <c r="G556" s="527"/>
      <c r="H556" s="141"/>
      <c r="I556" s="141"/>
      <c r="J556" s="142"/>
      <c r="K556" s="142"/>
      <c r="L556" s="142"/>
      <c r="M556" s="142"/>
      <c r="N556" s="136"/>
      <c r="O556" s="34"/>
      <c r="P556" s="35"/>
      <c r="Q556" s="35"/>
      <c r="R556" s="35"/>
      <c r="S556" s="35"/>
      <c r="T556" s="35"/>
      <c r="U556" s="35"/>
      <c r="V556" s="35"/>
      <c r="W556" s="35"/>
      <c r="X556" s="35"/>
      <c r="Y556" s="35"/>
    </row>
    <row r="557" ht="14.25" customHeight="1">
      <c r="A557" s="136"/>
      <c r="B557" s="137"/>
      <c r="C557" s="251"/>
      <c r="D557" s="452"/>
      <c r="E557" s="136"/>
      <c r="F557" s="253"/>
      <c r="G557" s="527"/>
      <c r="H557" s="141"/>
      <c r="I557" s="141"/>
      <c r="J557" s="142"/>
      <c r="K557" s="142"/>
      <c r="L557" s="142"/>
      <c r="M557" s="142"/>
      <c r="N557" s="136"/>
      <c r="O557" s="34"/>
      <c r="P557" s="35"/>
      <c r="Q557" s="35"/>
      <c r="R557" s="35"/>
      <c r="S557" s="35"/>
      <c r="T557" s="35"/>
      <c r="U557" s="35"/>
      <c r="V557" s="35"/>
      <c r="W557" s="35"/>
      <c r="X557" s="35"/>
      <c r="Y557" s="35"/>
    </row>
    <row r="558" ht="14.25" customHeight="1">
      <c r="A558" s="136"/>
      <c r="B558" s="137"/>
      <c r="C558" s="251"/>
      <c r="D558" s="452"/>
      <c r="E558" s="136"/>
      <c r="F558" s="253"/>
      <c r="G558" s="527"/>
      <c r="H558" s="141"/>
      <c r="I558" s="141"/>
      <c r="J558" s="142"/>
      <c r="K558" s="142"/>
      <c r="L558" s="142"/>
      <c r="M558" s="142"/>
      <c r="N558" s="136"/>
      <c r="O558" s="34"/>
      <c r="P558" s="35"/>
      <c r="Q558" s="35"/>
      <c r="R558" s="35"/>
      <c r="S558" s="35"/>
      <c r="T558" s="35"/>
      <c r="U558" s="35"/>
      <c r="V558" s="35"/>
      <c r="W558" s="35"/>
      <c r="X558" s="35"/>
      <c r="Y558" s="35"/>
    </row>
    <row r="559" ht="14.25" customHeight="1">
      <c r="A559" s="136"/>
      <c r="B559" s="137"/>
      <c r="C559" s="251"/>
      <c r="D559" s="452"/>
      <c r="E559" s="136"/>
      <c r="F559" s="253"/>
      <c r="G559" s="527"/>
      <c r="H559" s="141"/>
      <c r="I559" s="141"/>
      <c r="J559" s="142"/>
      <c r="K559" s="142"/>
      <c r="L559" s="142"/>
      <c r="M559" s="142"/>
      <c r="N559" s="136"/>
      <c r="O559" s="34"/>
      <c r="P559" s="35"/>
      <c r="Q559" s="35"/>
      <c r="R559" s="35"/>
      <c r="S559" s="35"/>
      <c r="T559" s="35"/>
      <c r="U559" s="35"/>
      <c r="V559" s="35"/>
      <c r="W559" s="35"/>
      <c r="X559" s="35"/>
      <c r="Y559" s="35"/>
    </row>
    <row r="560" ht="14.25" customHeight="1">
      <c r="A560" s="136"/>
      <c r="B560" s="137"/>
      <c r="C560" s="251"/>
      <c r="D560" s="452"/>
      <c r="E560" s="136"/>
      <c r="F560" s="253"/>
      <c r="G560" s="527"/>
      <c r="H560" s="141"/>
      <c r="I560" s="141"/>
      <c r="J560" s="142"/>
      <c r="K560" s="142"/>
      <c r="L560" s="142"/>
      <c r="M560" s="142"/>
      <c r="N560" s="136"/>
      <c r="O560" s="34"/>
      <c r="P560" s="35"/>
      <c r="Q560" s="35"/>
      <c r="R560" s="35"/>
      <c r="S560" s="35"/>
      <c r="T560" s="35"/>
      <c r="U560" s="35"/>
      <c r="V560" s="35"/>
      <c r="W560" s="35"/>
      <c r="X560" s="35"/>
      <c r="Y560" s="35"/>
    </row>
    <row r="561" ht="14.25" customHeight="1">
      <c r="A561" s="136"/>
      <c r="B561" s="137"/>
      <c r="C561" s="251"/>
      <c r="D561" s="452"/>
      <c r="E561" s="136"/>
      <c r="F561" s="253"/>
      <c r="G561" s="527"/>
      <c r="H561" s="141"/>
      <c r="I561" s="141"/>
      <c r="J561" s="142"/>
      <c r="K561" s="142"/>
      <c r="L561" s="142"/>
      <c r="M561" s="142"/>
      <c r="N561" s="136"/>
      <c r="O561" s="34"/>
      <c r="P561" s="35"/>
      <c r="Q561" s="35"/>
      <c r="R561" s="35"/>
      <c r="S561" s="35"/>
      <c r="T561" s="35"/>
      <c r="U561" s="35"/>
      <c r="V561" s="35"/>
      <c r="W561" s="35"/>
      <c r="X561" s="35"/>
      <c r="Y561" s="35"/>
    </row>
    <row r="562" ht="14.25" customHeight="1">
      <c r="A562" s="136"/>
      <c r="B562" s="137"/>
      <c r="C562" s="251"/>
      <c r="D562" s="452"/>
      <c r="E562" s="136"/>
      <c r="F562" s="253"/>
      <c r="G562" s="527"/>
      <c r="H562" s="141"/>
      <c r="I562" s="141"/>
      <c r="J562" s="142"/>
      <c r="K562" s="142"/>
      <c r="L562" s="142"/>
      <c r="M562" s="142"/>
      <c r="N562" s="136"/>
      <c r="O562" s="34"/>
      <c r="P562" s="35"/>
      <c r="Q562" s="35"/>
      <c r="R562" s="35"/>
      <c r="S562" s="35"/>
      <c r="T562" s="35"/>
      <c r="U562" s="35"/>
      <c r="V562" s="35"/>
      <c r="W562" s="35"/>
      <c r="X562" s="35"/>
      <c r="Y562" s="35"/>
    </row>
    <row r="563" ht="14.25" customHeight="1">
      <c r="A563" s="136"/>
      <c r="B563" s="137"/>
      <c r="C563" s="251"/>
      <c r="D563" s="452"/>
      <c r="E563" s="136"/>
      <c r="F563" s="253"/>
      <c r="G563" s="527"/>
      <c r="H563" s="141"/>
      <c r="I563" s="141"/>
      <c r="J563" s="142"/>
      <c r="K563" s="142"/>
      <c r="L563" s="142"/>
      <c r="M563" s="142"/>
      <c r="N563" s="136"/>
      <c r="O563" s="34"/>
      <c r="P563" s="35"/>
      <c r="Q563" s="35"/>
      <c r="R563" s="35"/>
      <c r="S563" s="35"/>
      <c r="T563" s="35"/>
      <c r="U563" s="35"/>
      <c r="V563" s="35"/>
      <c r="W563" s="35"/>
      <c r="X563" s="35"/>
      <c r="Y563" s="35"/>
    </row>
    <row r="564" ht="14.25" customHeight="1">
      <c r="A564" s="136"/>
      <c r="B564" s="137"/>
      <c r="C564" s="251"/>
      <c r="D564" s="452"/>
      <c r="E564" s="136"/>
      <c r="F564" s="253"/>
      <c r="G564" s="527"/>
      <c r="H564" s="141"/>
      <c r="I564" s="141"/>
      <c r="J564" s="142"/>
      <c r="K564" s="142"/>
      <c r="L564" s="142"/>
      <c r="M564" s="142"/>
      <c r="N564" s="136"/>
      <c r="O564" s="34"/>
      <c r="P564" s="35"/>
      <c r="Q564" s="35"/>
      <c r="R564" s="35"/>
      <c r="S564" s="35"/>
      <c r="T564" s="35"/>
      <c r="U564" s="35"/>
      <c r="V564" s="35"/>
      <c r="W564" s="35"/>
      <c r="X564" s="35"/>
      <c r="Y564" s="35"/>
    </row>
    <row r="565" ht="14.25" customHeight="1">
      <c r="A565" s="136"/>
      <c r="B565" s="137"/>
      <c r="C565" s="251"/>
      <c r="D565" s="452"/>
      <c r="E565" s="136"/>
      <c r="F565" s="253"/>
      <c r="G565" s="527"/>
      <c r="H565" s="141"/>
      <c r="I565" s="141"/>
      <c r="J565" s="142"/>
      <c r="K565" s="142"/>
      <c r="L565" s="142"/>
      <c r="M565" s="142"/>
      <c r="N565" s="136"/>
      <c r="O565" s="34"/>
      <c r="P565" s="35"/>
      <c r="Q565" s="35"/>
      <c r="R565" s="35"/>
      <c r="S565" s="35"/>
      <c r="T565" s="35"/>
      <c r="U565" s="35"/>
      <c r="V565" s="35"/>
      <c r="W565" s="35"/>
      <c r="X565" s="35"/>
      <c r="Y565" s="35"/>
    </row>
    <row r="566" ht="14.25" customHeight="1">
      <c r="A566" s="136"/>
      <c r="B566" s="137"/>
      <c r="C566" s="251"/>
      <c r="D566" s="452"/>
      <c r="E566" s="136"/>
      <c r="F566" s="253"/>
      <c r="G566" s="527"/>
      <c r="H566" s="141"/>
      <c r="I566" s="141"/>
      <c r="J566" s="142"/>
      <c r="K566" s="142"/>
      <c r="L566" s="142"/>
      <c r="M566" s="142"/>
      <c r="N566" s="136"/>
      <c r="O566" s="34"/>
      <c r="P566" s="35"/>
      <c r="Q566" s="35"/>
      <c r="R566" s="35"/>
      <c r="S566" s="35"/>
      <c r="T566" s="35"/>
      <c r="U566" s="35"/>
      <c r="V566" s="35"/>
      <c r="W566" s="35"/>
      <c r="X566" s="35"/>
      <c r="Y566" s="35"/>
    </row>
    <row r="567" ht="14.25" customHeight="1">
      <c r="A567" s="136"/>
      <c r="B567" s="137"/>
      <c r="C567" s="251"/>
      <c r="D567" s="452"/>
      <c r="E567" s="136"/>
      <c r="F567" s="253"/>
      <c r="G567" s="527"/>
      <c r="H567" s="141"/>
      <c r="I567" s="141"/>
      <c r="J567" s="142"/>
      <c r="K567" s="142"/>
      <c r="L567" s="142"/>
      <c r="M567" s="142"/>
      <c r="N567" s="136"/>
      <c r="O567" s="34"/>
      <c r="P567" s="35"/>
      <c r="Q567" s="35"/>
      <c r="R567" s="35"/>
      <c r="S567" s="35"/>
      <c r="T567" s="35"/>
      <c r="U567" s="35"/>
      <c r="V567" s="35"/>
      <c r="W567" s="35"/>
      <c r="X567" s="35"/>
      <c r="Y567" s="35"/>
    </row>
    <row r="568" ht="14.25" customHeight="1">
      <c r="A568" s="136"/>
      <c r="B568" s="137"/>
      <c r="C568" s="251"/>
      <c r="D568" s="452"/>
      <c r="E568" s="136"/>
      <c r="F568" s="253"/>
      <c r="G568" s="527"/>
      <c r="H568" s="141"/>
      <c r="I568" s="141"/>
      <c r="J568" s="142"/>
      <c r="K568" s="142"/>
      <c r="L568" s="142"/>
      <c r="M568" s="142"/>
      <c r="N568" s="136"/>
      <c r="O568" s="34"/>
      <c r="P568" s="35"/>
      <c r="Q568" s="35"/>
      <c r="R568" s="35"/>
      <c r="S568" s="35"/>
      <c r="T568" s="35"/>
      <c r="U568" s="35"/>
      <c r="V568" s="35"/>
      <c r="W568" s="35"/>
      <c r="X568" s="35"/>
      <c r="Y568" s="35"/>
    </row>
    <row r="569" ht="14.25" customHeight="1">
      <c r="A569" s="136"/>
      <c r="B569" s="137"/>
      <c r="C569" s="251"/>
      <c r="D569" s="452"/>
      <c r="E569" s="136"/>
      <c r="F569" s="253"/>
      <c r="G569" s="527"/>
      <c r="H569" s="141"/>
      <c r="I569" s="141"/>
      <c r="J569" s="142"/>
      <c r="K569" s="142"/>
      <c r="L569" s="142"/>
      <c r="M569" s="142"/>
      <c r="N569" s="136"/>
      <c r="O569" s="34"/>
      <c r="P569" s="35"/>
      <c r="Q569" s="35"/>
      <c r="R569" s="35"/>
      <c r="S569" s="35"/>
      <c r="T569" s="35"/>
      <c r="U569" s="35"/>
      <c r="V569" s="35"/>
      <c r="W569" s="35"/>
      <c r="X569" s="35"/>
      <c r="Y569" s="35"/>
    </row>
    <row r="570" ht="14.25" customHeight="1">
      <c r="A570" s="136"/>
      <c r="B570" s="137"/>
      <c r="C570" s="251"/>
      <c r="D570" s="452"/>
      <c r="E570" s="136"/>
      <c r="F570" s="253"/>
      <c r="G570" s="527"/>
      <c r="H570" s="141"/>
      <c r="I570" s="141"/>
      <c r="J570" s="142"/>
      <c r="K570" s="142"/>
      <c r="L570" s="142"/>
      <c r="M570" s="142"/>
      <c r="N570" s="136"/>
      <c r="O570" s="34"/>
      <c r="P570" s="35"/>
      <c r="Q570" s="35"/>
      <c r="R570" s="35"/>
      <c r="S570" s="35"/>
      <c r="T570" s="35"/>
      <c r="U570" s="35"/>
      <c r="V570" s="35"/>
      <c r="W570" s="35"/>
      <c r="X570" s="35"/>
      <c r="Y570" s="35"/>
    </row>
    <row r="571" ht="14.25" customHeight="1">
      <c r="A571" s="136"/>
      <c r="B571" s="137"/>
      <c r="C571" s="251"/>
      <c r="D571" s="452"/>
      <c r="E571" s="136"/>
      <c r="F571" s="253"/>
      <c r="G571" s="527"/>
      <c r="H571" s="141"/>
      <c r="I571" s="141"/>
      <c r="J571" s="142"/>
      <c r="K571" s="142"/>
      <c r="L571" s="142"/>
      <c r="M571" s="142"/>
      <c r="N571" s="136"/>
      <c r="O571" s="34"/>
      <c r="P571" s="35"/>
      <c r="Q571" s="35"/>
      <c r="R571" s="35"/>
      <c r="S571" s="35"/>
      <c r="T571" s="35"/>
      <c r="U571" s="35"/>
      <c r="V571" s="35"/>
      <c r="W571" s="35"/>
      <c r="X571" s="35"/>
      <c r="Y571" s="35"/>
    </row>
    <row r="572" ht="14.25" customHeight="1">
      <c r="A572" s="136"/>
      <c r="B572" s="137"/>
      <c r="C572" s="251"/>
      <c r="D572" s="452"/>
      <c r="E572" s="136"/>
      <c r="F572" s="253"/>
      <c r="G572" s="527"/>
      <c r="H572" s="141"/>
      <c r="I572" s="141"/>
      <c r="J572" s="142"/>
      <c r="K572" s="142"/>
      <c r="L572" s="142"/>
      <c r="M572" s="142"/>
      <c r="N572" s="136"/>
      <c r="O572" s="34"/>
      <c r="P572" s="35"/>
      <c r="Q572" s="35"/>
      <c r="R572" s="35"/>
      <c r="S572" s="35"/>
      <c r="T572" s="35"/>
      <c r="U572" s="35"/>
      <c r="V572" s="35"/>
      <c r="W572" s="35"/>
      <c r="X572" s="35"/>
      <c r="Y572" s="35"/>
    </row>
    <row r="573" ht="14.25" customHeight="1">
      <c r="A573" s="136"/>
      <c r="B573" s="137"/>
      <c r="C573" s="251"/>
      <c r="D573" s="452"/>
      <c r="E573" s="136"/>
      <c r="F573" s="253"/>
      <c r="G573" s="527"/>
      <c r="H573" s="141"/>
      <c r="I573" s="141"/>
      <c r="J573" s="142"/>
      <c r="K573" s="142"/>
      <c r="L573" s="142"/>
      <c r="M573" s="142"/>
      <c r="N573" s="136"/>
      <c r="O573" s="34"/>
      <c r="P573" s="35"/>
      <c r="Q573" s="35"/>
      <c r="R573" s="35"/>
      <c r="S573" s="35"/>
      <c r="T573" s="35"/>
      <c r="U573" s="35"/>
      <c r="V573" s="35"/>
      <c r="W573" s="35"/>
      <c r="X573" s="35"/>
      <c r="Y573" s="35"/>
    </row>
    <row r="574" ht="14.25" customHeight="1">
      <c r="A574" s="136"/>
      <c r="B574" s="137"/>
      <c r="C574" s="251"/>
      <c r="D574" s="452"/>
      <c r="E574" s="136"/>
      <c r="F574" s="253"/>
      <c r="G574" s="527"/>
      <c r="H574" s="141"/>
      <c r="I574" s="141"/>
      <c r="J574" s="142"/>
      <c r="K574" s="142"/>
      <c r="L574" s="142"/>
      <c r="M574" s="142"/>
      <c r="N574" s="136"/>
      <c r="O574" s="34"/>
      <c r="P574" s="35"/>
      <c r="Q574" s="35"/>
      <c r="R574" s="35"/>
      <c r="S574" s="35"/>
      <c r="T574" s="35"/>
      <c r="U574" s="35"/>
      <c r="V574" s="35"/>
      <c r="W574" s="35"/>
      <c r="X574" s="35"/>
      <c r="Y574" s="35"/>
    </row>
    <row r="575" ht="14.25" customHeight="1">
      <c r="A575" s="136"/>
      <c r="B575" s="137"/>
      <c r="C575" s="251"/>
      <c r="D575" s="452"/>
      <c r="E575" s="136"/>
      <c r="F575" s="253"/>
      <c r="G575" s="527"/>
      <c r="H575" s="141"/>
      <c r="I575" s="141"/>
      <c r="J575" s="142"/>
      <c r="K575" s="142"/>
      <c r="L575" s="142"/>
      <c r="M575" s="142"/>
      <c r="N575" s="136"/>
      <c r="O575" s="34"/>
      <c r="P575" s="35"/>
      <c r="Q575" s="35"/>
      <c r="R575" s="35"/>
      <c r="S575" s="35"/>
      <c r="T575" s="35"/>
      <c r="U575" s="35"/>
      <c r="V575" s="35"/>
      <c r="W575" s="35"/>
      <c r="X575" s="35"/>
      <c r="Y575" s="35"/>
    </row>
    <row r="576" ht="14.25" customHeight="1">
      <c r="A576" s="136"/>
      <c r="B576" s="137"/>
      <c r="C576" s="251"/>
      <c r="D576" s="452"/>
      <c r="E576" s="136"/>
      <c r="F576" s="253"/>
      <c r="G576" s="527"/>
      <c r="H576" s="141"/>
      <c r="I576" s="141"/>
      <c r="J576" s="142"/>
      <c r="K576" s="142"/>
      <c r="L576" s="142"/>
      <c r="M576" s="142"/>
      <c r="N576" s="136"/>
      <c r="O576" s="34"/>
      <c r="P576" s="35"/>
      <c r="Q576" s="35"/>
      <c r="R576" s="35"/>
      <c r="S576" s="35"/>
      <c r="T576" s="35"/>
      <c r="U576" s="35"/>
      <c r="V576" s="35"/>
      <c r="W576" s="35"/>
      <c r="X576" s="35"/>
      <c r="Y576" s="35"/>
    </row>
    <row r="577" ht="14.25" customHeight="1">
      <c r="A577" s="136"/>
      <c r="B577" s="137"/>
      <c r="C577" s="251"/>
      <c r="D577" s="452"/>
      <c r="E577" s="136"/>
      <c r="F577" s="253"/>
      <c r="G577" s="527"/>
      <c r="H577" s="141"/>
      <c r="I577" s="141"/>
      <c r="J577" s="142"/>
      <c r="K577" s="142"/>
      <c r="L577" s="142"/>
      <c r="M577" s="142"/>
      <c r="N577" s="136"/>
      <c r="O577" s="34"/>
      <c r="P577" s="35"/>
      <c r="Q577" s="35"/>
      <c r="R577" s="35"/>
      <c r="S577" s="35"/>
      <c r="T577" s="35"/>
      <c r="U577" s="35"/>
      <c r="V577" s="35"/>
      <c r="W577" s="35"/>
      <c r="X577" s="35"/>
      <c r="Y577" s="35"/>
    </row>
    <row r="578" ht="14.25" customHeight="1">
      <c r="A578" s="136"/>
      <c r="B578" s="137"/>
      <c r="C578" s="251"/>
      <c r="D578" s="452"/>
      <c r="E578" s="136"/>
      <c r="F578" s="253"/>
      <c r="G578" s="527"/>
      <c r="H578" s="141"/>
      <c r="I578" s="141"/>
      <c r="J578" s="142"/>
      <c r="K578" s="142"/>
      <c r="L578" s="142"/>
      <c r="M578" s="142"/>
      <c r="N578" s="136"/>
      <c r="O578" s="34"/>
      <c r="P578" s="35"/>
      <c r="Q578" s="35"/>
      <c r="R578" s="35"/>
      <c r="S578" s="35"/>
      <c r="T578" s="35"/>
      <c r="U578" s="35"/>
      <c r="V578" s="35"/>
      <c r="W578" s="35"/>
      <c r="X578" s="35"/>
      <c r="Y578" s="35"/>
    </row>
    <row r="579" ht="14.25" customHeight="1">
      <c r="A579" s="136"/>
      <c r="B579" s="137"/>
      <c r="C579" s="251"/>
      <c r="D579" s="452"/>
      <c r="E579" s="136"/>
      <c r="F579" s="253"/>
      <c r="G579" s="527"/>
      <c r="H579" s="141"/>
      <c r="I579" s="141"/>
      <c r="J579" s="142"/>
      <c r="K579" s="142"/>
      <c r="L579" s="142"/>
      <c r="M579" s="142"/>
      <c r="N579" s="136"/>
      <c r="O579" s="34"/>
      <c r="P579" s="35"/>
      <c r="Q579" s="35"/>
      <c r="R579" s="35"/>
      <c r="S579" s="35"/>
      <c r="T579" s="35"/>
      <c r="U579" s="35"/>
      <c r="V579" s="35"/>
      <c r="W579" s="35"/>
      <c r="X579" s="35"/>
      <c r="Y579" s="35"/>
    </row>
    <row r="580" ht="14.25" customHeight="1">
      <c r="A580" s="136"/>
      <c r="B580" s="137"/>
      <c r="C580" s="251"/>
      <c r="D580" s="452"/>
      <c r="E580" s="136"/>
      <c r="F580" s="253"/>
      <c r="G580" s="527"/>
      <c r="H580" s="141"/>
      <c r="I580" s="141"/>
      <c r="J580" s="142"/>
      <c r="K580" s="142"/>
      <c r="L580" s="142"/>
      <c r="M580" s="142"/>
      <c r="N580" s="136"/>
      <c r="O580" s="34"/>
      <c r="P580" s="35"/>
      <c r="Q580" s="35"/>
      <c r="R580" s="35"/>
      <c r="S580" s="35"/>
      <c r="T580" s="35"/>
      <c r="U580" s="35"/>
      <c r="V580" s="35"/>
      <c r="W580" s="35"/>
      <c r="X580" s="35"/>
      <c r="Y580" s="35"/>
    </row>
    <row r="581" ht="14.25" customHeight="1">
      <c r="A581" s="136"/>
      <c r="B581" s="137"/>
      <c r="C581" s="251"/>
      <c r="D581" s="452"/>
      <c r="E581" s="136"/>
      <c r="F581" s="253"/>
      <c r="G581" s="527"/>
      <c r="H581" s="141"/>
      <c r="I581" s="141"/>
      <c r="J581" s="142"/>
      <c r="K581" s="142"/>
      <c r="L581" s="142"/>
      <c r="M581" s="142"/>
      <c r="N581" s="136"/>
      <c r="O581" s="34"/>
      <c r="P581" s="35"/>
      <c r="Q581" s="35"/>
      <c r="R581" s="35"/>
      <c r="S581" s="35"/>
      <c r="T581" s="35"/>
      <c r="U581" s="35"/>
      <c r="V581" s="35"/>
      <c r="W581" s="35"/>
      <c r="X581" s="35"/>
      <c r="Y581" s="35"/>
    </row>
    <row r="582" ht="14.25" customHeight="1">
      <c r="A582" s="136"/>
      <c r="B582" s="137"/>
      <c r="C582" s="251"/>
      <c r="D582" s="452"/>
      <c r="E582" s="136"/>
      <c r="F582" s="253"/>
      <c r="G582" s="527"/>
      <c r="H582" s="141"/>
      <c r="I582" s="141"/>
      <c r="J582" s="142"/>
      <c r="K582" s="142"/>
      <c r="L582" s="142"/>
      <c r="M582" s="142"/>
      <c r="N582" s="136"/>
      <c r="O582" s="34"/>
      <c r="P582" s="35"/>
      <c r="Q582" s="35"/>
      <c r="R582" s="35"/>
      <c r="S582" s="35"/>
      <c r="T582" s="35"/>
      <c r="U582" s="35"/>
      <c r="V582" s="35"/>
      <c r="W582" s="35"/>
      <c r="X582" s="35"/>
      <c r="Y582" s="35"/>
    </row>
    <row r="583" ht="14.25" customHeight="1">
      <c r="A583" s="136"/>
      <c r="B583" s="137"/>
      <c r="C583" s="251"/>
      <c r="D583" s="452"/>
      <c r="E583" s="136"/>
      <c r="F583" s="253"/>
      <c r="G583" s="527"/>
      <c r="H583" s="141"/>
      <c r="I583" s="141"/>
      <c r="J583" s="142"/>
      <c r="K583" s="142"/>
      <c r="L583" s="142"/>
      <c r="M583" s="142"/>
      <c r="N583" s="136"/>
      <c r="O583" s="34"/>
      <c r="P583" s="35"/>
      <c r="Q583" s="35"/>
      <c r="R583" s="35"/>
      <c r="S583" s="35"/>
      <c r="T583" s="35"/>
      <c r="U583" s="35"/>
      <c r="V583" s="35"/>
      <c r="W583" s="35"/>
      <c r="X583" s="35"/>
      <c r="Y583" s="35"/>
    </row>
    <row r="584" ht="14.25" customHeight="1">
      <c r="A584" s="136"/>
      <c r="B584" s="137"/>
      <c r="C584" s="251"/>
      <c r="D584" s="452"/>
      <c r="E584" s="136"/>
      <c r="F584" s="253"/>
      <c r="G584" s="527"/>
      <c r="H584" s="141"/>
      <c r="I584" s="141"/>
      <c r="J584" s="142"/>
      <c r="K584" s="142"/>
      <c r="L584" s="142"/>
      <c r="M584" s="142"/>
      <c r="N584" s="136"/>
      <c r="O584" s="34"/>
      <c r="P584" s="35"/>
      <c r="Q584" s="35"/>
      <c r="R584" s="35"/>
      <c r="S584" s="35"/>
      <c r="T584" s="35"/>
      <c r="U584" s="35"/>
      <c r="V584" s="35"/>
      <c r="W584" s="35"/>
      <c r="X584" s="35"/>
      <c r="Y584" s="35"/>
    </row>
    <row r="585" ht="14.25" customHeight="1">
      <c r="A585" s="136"/>
      <c r="B585" s="137"/>
      <c r="C585" s="251"/>
      <c r="D585" s="452"/>
      <c r="E585" s="136"/>
      <c r="F585" s="253"/>
      <c r="G585" s="527"/>
      <c r="H585" s="141"/>
      <c r="I585" s="141"/>
      <c r="J585" s="142"/>
      <c r="K585" s="142"/>
      <c r="L585" s="142"/>
      <c r="M585" s="142"/>
      <c r="N585" s="136"/>
      <c r="O585" s="34"/>
      <c r="P585" s="35"/>
      <c r="Q585" s="35"/>
      <c r="R585" s="35"/>
      <c r="S585" s="35"/>
      <c r="T585" s="35"/>
      <c r="U585" s="35"/>
      <c r="V585" s="35"/>
      <c r="W585" s="35"/>
      <c r="X585" s="35"/>
      <c r="Y585" s="35"/>
    </row>
    <row r="586" ht="14.25" customHeight="1">
      <c r="A586" s="136"/>
      <c r="B586" s="137"/>
      <c r="C586" s="251"/>
      <c r="D586" s="452"/>
      <c r="E586" s="136"/>
      <c r="F586" s="253"/>
      <c r="G586" s="527"/>
      <c r="H586" s="141"/>
      <c r="I586" s="141"/>
      <c r="J586" s="142"/>
      <c r="K586" s="142"/>
      <c r="L586" s="142"/>
      <c r="M586" s="142"/>
      <c r="N586" s="136"/>
      <c r="O586" s="34"/>
      <c r="P586" s="35"/>
      <c r="Q586" s="35"/>
      <c r="R586" s="35"/>
      <c r="S586" s="35"/>
      <c r="T586" s="35"/>
      <c r="U586" s="35"/>
      <c r="V586" s="35"/>
      <c r="W586" s="35"/>
      <c r="X586" s="35"/>
      <c r="Y586" s="35"/>
    </row>
    <row r="587" ht="14.25" customHeight="1">
      <c r="A587" s="136"/>
      <c r="B587" s="137"/>
      <c r="C587" s="251"/>
      <c r="D587" s="452"/>
      <c r="E587" s="136"/>
      <c r="F587" s="253"/>
      <c r="G587" s="527"/>
      <c r="H587" s="141"/>
      <c r="I587" s="141"/>
      <c r="J587" s="142"/>
      <c r="K587" s="142"/>
      <c r="L587" s="142"/>
      <c r="M587" s="142"/>
      <c r="N587" s="136"/>
      <c r="O587" s="34"/>
      <c r="P587" s="35"/>
      <c r="Q587" s="35"/>
      <c r="R587" s="35"/>
      <c r="S587" s="35"/>
      <c r="T587" s="35"/>
      <c r="U587" s="35"/>
      <c r="V587" s="35"/>
      <c r="W587" s="35"/>
      <c r="X587" s="35"/>
      <c r="Y587" s="35"/>
    </row>
    <row r="588" ht="14.25" customHeight="1">
      <c r="A588" s="136"/>
      <c r="B588" s="137"/>
      <c r="C588" s="251"/>
      <c r="D588" s="452"/>
      <c r="E588" s="136"/>
      <c r="F588" s="253"/>
      <c r="G588" s="527"/>
      <c r="H588" s="141"/>
      <c r="I588" s="141"/>
      <c r="J588" s="142"/>
      <c r="K588" s="142"/>
      <c r="L588" s="142"/>
      <c r="M588" s="142"/>
      <c r="N588" s="136"/>
      <c r="O588" s="34"/>
      <c r="P588" s="35"/>
      <c r="Q588" s="35"/>
      <c r="R588" s="35"/>
      <c r="S588" s="35"/>
      <c r="T588" s="35"/>
      <c r="U588" s="35"/>
      <c r="V588" s="35"/>
      <c r="W588" s="35"/>
      <c r="X588" s="35"/>
      <c r="Y588" s="35"/>
    </row>
    <row r="589" ht="14.25" customHeight="1">
      <c r="A589" s="136"/>
      <c r="B589" s="137"/>
      <c r="C589" s="251"/>
      <c r="D589" s="452"/>
      <c r="E589" s="136"/>
      <c r="F589" s="253"/>
      <c r="G589" s="527"/>
      <c r="H589" s="141"/>
      <c r="I589" s="141"/>
      <c r="J589" s="142"/>
      <c r="K589" s="142"/>
      <c r="L589" s="142"/>
      <c r="M589" s="142"/>
      <c r="N589" s="136"/>
      <c r="O589" s="34"/>
      <c r="P589" s="35"/>
      <c r="Q589" s="35"/>
      <c r="R589" s="35"/>
      <c r="S589" s="35"/>
      <c r="T589" s="35"/>
      <c r="U589" s="35"/>
      <c r="V589" s="35"/>
      <c r="W589" s="35"/>
      <c r="X589" s="35"/>
      <c r="Y589" s="35"/>
    </row>
    <row r="590" ht="14.25" customHeight="1">
      <c r="A590" s="136"/>
      <c r="B590" s="137"/>
      <c r="C590" s="251"/>
      <c r="D590" s="452"/>
      <c r="E590" s="136"/>
      <c r="F590" s="253"/>
      <c r="G590" s="527"/>
      <c r="H590" s="141"/>
      <c r="I590" s="141"/>
      <c r="J590" s="142"/>
      <c r="K590" s="142"/>
      <c r="L590" s="142"/>
      <c r="M590" s="142"/>
      <c r="N590" s="136"/>
      <c r="O590" s="34"/>
      <c r="P590" s="35"/>
      <c r="Q590" s="35"/>
      <c r="R590" s="35"/>
      <c r="S590" s="35"/>
      <c r="T590" s="35"/>
      <c r="U590" s="35"/>
      <c r="V590" s="35"/>
      <c r="W590" s="35"/>
      <c r="X590" s="35"/>
      <c r="Y590" s="35"/>
    </row>
    <row r="591" ht="14.25" customHeight="1">
      <c r="A591" s="136"/>
      <c r="B591" s="137"/>
      <c r="C591" s="251"/>
      <c r="D591" s="452"/>
      <c r="E591" s="136"/>
      <c r="F591" s="253"/>
      <c r="G591" s="527"/>
      <c r="H591" s="141"/>
      <c r="I591" s="141"/>
      <c r="J591" s="142"/>
      <c r="K591" s="142"/>
      <c r="L591" s="142"/>
      <c r="M591" s="142"/>
      <c r="N591" s="136"/>
      <c r="O591" s="34"/>
      <c r="P591" s="35"/>
      <c r="Q591" s="35"/>
      <c r="R591" s="35"/>
      <c r="S591" s="35"/>
      <c r="T591" s="35"/>
      <c r="U591" s="35"/>
      <c r="V591" s="35"/>
      <c r="W591" s="35"/>
      <c r="X591" s="35"/>
      <c r="Y591" s="35"/>
    </row>
    <row r="592" ht="14.25" customHeight="1">
      <c r="A592" s="136"/>
      <c r="B592" s="137"/>
      <c r="C592" s="251"/>
      <c r="D592" s="452"/>
      <c r="E592" s="136"/>
      <c r="F592" s="253"/>
      <c r="G592" s="527"/>
      <c r="H592" s="141"/>
      <c r="I592" s="141"/>
      <c r="J592" s="142"/>
      <c r="K592" s="142"/>
      <c r="L592" s="142"/>
      <c r="M592" s="142"/>
      <c r="N592" s="136"/>
      <c r="O592" s="34"/>
      <c r="P592" s="35"/>
      <c r="Q592" s="35"/>
      <c r="R592" s="35"/>
      <c r="S592" s="35"/>
      <c r="T592" s="35"/>
      <c r="U592" s="35"/>
      <c r="V592" s="35"/>
      <c r="W592" s="35"/>
      <c r="X592" s="35"/>
      <c r="Y592" s="35"/>
    </row>
    <row r="593" ht="14.25" customHeight="1">
      <c r="A593" s="136"/>
      <c r="B593" s="137"/>
      <c r="C593" s="251"/>
      <c r="D593" s="452"/>
      <c r="E593" s="136"/>
      <c r="F593" s="253"/>
      <c r="G593" s="527"/>
      <c r="H593" s="141"/>
      <c r="I593" s="141"/>
      <c r="J593" s="142"/>
      <c r="K593" s="142"/>
      <c r="L593" s="142"/>
      <c r="M593" s="142"/>
      <c r="N593" s="136"/>
      <c r="O593" s="34"/>
      <c r="P593" s="35"/>
      <c r="Q593" s="35"/>
      <c r="R593" s="35"/>
      <c r="S593" s="35"/>
      <c r="T593" s="35"/>
      <c r="U593" s="35"/>
      <c r="V593" s="35"/>
      <c r="W593" s="35"/>
      <c r="X593" s="35"/>
      <c r="Y593" s="35"/>
    </row>
    <row r="594" ht="14.25" customHeight="1">
      <c r="A594" s="136"/>
      <c r="B594" s="137"/>
      <c r="C594" s="251"/>
      <c r="D594" s="452"/>
      <c r="E594" s="136"/>
      <c r="F594" s="253"/>
      <c r="G594" s="527"/>
      <c r="H594" s="141"/>
      <c r="I594" s="141"/>
      <c r="J594" s="142"/>
      <c r="K594" s="142"/>
      <c r="L594" s="142"/>
      <c r="M594" s="142"/>
      <c r="N594" s="136"/>
      <c r="O594" s="34"/>
      <c r="P594" s="35"/>
      <c r="Q594" s="35"/>
      <c r="R594" s="35"/>
      <c r="S594" s="35"/>
      <c r="T594" s="35"/>
      <c r="U594" s="35"/>
      <c r="V594" s="35"/>
      <c r="W594" s="35"/>
      <c r="X594" s="35"/>
      <c r="Y594" s="35"/>
    </row>
    <row r="595" ht="14.25" customHeight="1">
      <c r="A595" s="136"/>
      <c r="B595" s="137"/>
      <c r="C595" s="251"/>
      <c r="D595" s="452"/>
      <c r="E595" s="136"/>
      <c r="F595" s="253"/>
      <c r="G595" s="527"/>
      <c r="H595" s="141"/>
      <c r="I595" s="141"/>
      <c r="J595" s="142"/>
      <c r="K595" s="142"/>
      <c r="L595" s="142"/>
      <c r="M595" s="142"/>
      <c r="N595" s="136"/>
      <c r="O595" s="34"/>
      <c r="P595" s="35"/>
      <c r="Q595" s="35"/>
      <c r="R595" s="35"/>
      <c r="S595" s="35"/>
      <c r="T595" s="35"/>
      <c r="U595" s="35"/>
      <c r="V595" s="35"/>
      <c r="W595" s="35"/>
      <c r="X595" s="35"/>
      <c r="Y595" s="35"/>
    </row>
    <row r="596" ht="14.25" customHeight="1">
      <c r="A596" s="136"/>
      <c r="B596" s="137"/>
      <c r="C596" s="251"/>
      <c r="D596" s="452"/>
      <c r="E596" s="136"/>
      <c r="F596" s="253"/>
      <c r="G596" s="527"/>
      <c r="H596" s="141"/>
      <c r="I596" s="141"/>
      <c r="J596" s="142"/>
      <c r="K596" s="142"/>
      <c r="L596" s="142"/>
      <c r="M596" s="142"/>
      <c r="N596" s="136"/>
      <c r="O596" s="34"/>
      <c r="P596" s="35"/>
      <c r="Q596" s="35"/>
      <c r="R596" s="35"/>
      <c r="S596" s="35"/>
      <c r="T596" s="35"/>
      <c r="U596" s="35"/>
      <c r="V596" s="35"/>
      <c r="W596" s="35"/>
      <c r="X596" s="35"/>
      <c r="Y596" s="35"/>
    </row>
    <row r="597" ht="14.25" customHeight="1">
      <c r="A597" s="136"/>
      <c r="B597" s="137"/>
      <c r="C597" s="251"/>
      <c r="D597" s="452"/>
      <c r="E597" s="136"/>
      <c r="F597" s="253"/>
      <c r="G597" s="527"/>
      <c r="H597" s="141"/>
      <c r="I597" s="141"/>
      <c r="J597" s="142"/>
      <c r="K597" s="142"/>
      <c r="L597" s="142"/>
      <c r="M597" s="142"/>
      <c r="N597" s="136"/>
      <c r="O597" s="34"/>
      <c r="P597" s="35"/>
      <c r="Q597" s="35"/>
      <c r="R597" s="35"/>
      <c r="S597" s="35"/>
      <c r="T597" s="35"/>
      <c r="U597" s="35"/>
      <c r="V597" s="35"/>
      <c r="W597" s="35"/>
      <c r="X597" s="35"/>
      <c r="Y597" s="35"/>
    </row>
    <row r="598" ht="14.25" customHeight="1">
      <c r="A598" s="136"/>
      <c r="B598" s="137"/>
      <c r="C598" s="251"/>
      <c r="D598" s="452"/>
      <c r="E598" s="136"/>
      <c r="F598" s="253"/>
      <c r="G598" s="527"/>
      <c r="H598" s="141"/>
      <c r="I598" s="141"/>
      <c r="J598" s="142"/>
      <c r="K598" s="142"/>
      <c r="L598" s="142"/>
      <c r="M598" s="142"/>
      <c r="N598" s="136"/>
      <c r="O598" s="34"/>
      <c r="P598" s="35"/>
      <c r="Q598" s="35"/>
      <c r="R598" s="35"/>
      <c r="S598" s="35"/>
      <c r="T598" s="35"/>
      <c r="U598" s="35"/>
      <c r="V598" s="35"/>
      <c r="W598" s="35"/>
      <c r="X598" s="35"/>
      <c r="Y598" s="35"/>
    </row>
    <row r="599" ht="14.25" customHeight="1">
      <c r="A599" s="136"/>
      <c r="B599" s="137"/>
      <c r="C599" s="251"/>
      <c r="D599" s="452"/>
      <c r="E599" s="136"/>
      <c r="F599" s="253"/>
      <c r="G599" s="527"/>
      <c r="H599" s="141"/>
      <c r="I599" s="141"/>
      <c r="J599" s="142"/>
      <c r="K599" s="142"/>
      <c r="L599" s="142"/>
      <c r="M599" s="142"/>
      <c r="N599" s="136"/>
      <c r="O599" s="34"/>
      <c r="P599" s="35"/>
      <c r="Q599" s="35"/>
      <c r="R599" s="35"/>
      <c r="S599" s="35"/>
      <c r="T599" s="35"/>
      <c r="U599" s="35"/>
      <c r="V599" s="35"/>
      <c r="W599" s="35"/>
      <c r="X599" s="35"/>
      <c r="Y599" s="35"/>
    </row>
    <row r="600" ht="14.25" customHeight="1">
      <c r="A600" s="136"/>
      <c r="B600" s="137"/>
      <c r="C600" s="251"/>
      <c r="D600" s="452"/>
      <c r="E600" s="136"/>
      <c r="F600" s="253"/>
      <c r="G600" s="527"/>
      <c r="H600" s="141"/>
      <c r="I600" s="141"/>
      <c r="J600" s="142"/>
      <c r="K600" s="142"/>
      <c r="L600" s="142"/>
      <c r="M600" s="142"/>
      <c r="N600" s="136"/>
      <c r="O600" s="34"/>
      <c r="P600" s="35"/>
      <c r="Q600" s="35"/>
      <c r="R600" s="35"/>
      <c r="S600" s="35"/>
      <c r="T600" s="35"/>
      <c r="U600" s="35"/>
      <c r="V600" s="35"/>
      <c r="W600" s="35"/>
      <c r="X600" s="35"/>
      <c r="Y600" s="35"/>
    </row>
    <row r="601" ht="14.25" customHeight="1">
      <c r="A601" s="136"/>
      <c r="B601" s="137"/>
      <c r="C601" s="251"/>
      <c r="D601" s="452"/>
      <c r="E601" s="136"/>
      <c r="F601" s="253"/>
      <c r="G601" s="527"/>
      <c r="H601" s="141"/>
      <c r="I601" s="141"/>
      <c r="J601" s="142"/>
      <c r="K601" s="142"/>
      <c r="L601" s="142"/>
      <c r="M601" s="142"/>
      <c r="N601" s="136"/>
      <c r="O601" s="34"/>
      <c r="P601" s="35"/>
      <c r="Q601" s="35"/>
      <c r="R601" s="35"/>
      <c r="S601" s="35"/>
      <c r="T601" s="35"/>
      <c r="U601" s="35"/>
      <c r="V601" s="35"/>
      <c r="W601" s="35"/>
      <c r="X601" s="35"/>
      <c r="Y601" s="35"/>
    </row>
    <row r="602" ht="14.25" customHeight="1">
      <c r="A602" s="136"/>
      <c r="B602" s="137"/>
      <c r="C602" s="251"/>
      <c r="D602" s="452"/>
      <c r="E602" s="136"/>
      <c r="F602" s="253"/>
      <c r="G602" s="527"/>
      <c r="H602" s="141"/>
      <c r="I602" s="141"/>
      <c r="J602" s="142"/>
      <c r="K602" s="142"/>
      <c r="L602" s="142"/>
      <c r="M602" s="142"/>
      <c r="N602" s="136"/>
      <c r="O602" s="34"/>
      <c r="P602" s="35"/>
      <c r="Q602" s="35"/>
      <c r="R602" s="35"/>
      <c r="S602" s="35"/>
      <c r="T602" s="35"/>
      <c r="U602" s="35"/>
      <c r="V602" s="35"/>
      <c r="W602" s="35"/>
      <c r="X602" s="35"/>
      <c r="Y602" s="35"/>
    </row>
    <row r="603" ht="14.25" customHeight="1">
      <c r="A603" s="136"/>
      <c r="B603" s="137"/>
      <c r="C603" s="251"/>
      <c r="D603" s="452"/>
      <c r="E603" s="136"/>
      <c r="F603" s="253"/>
      <c r="G603" s="527"/>
      <c r="H603" s="141"/>
      <c r="I603" s="141"/>
      <c r="J603" s="142"/>
      <c r="K603" s="142"/>
      <c r="L603" s="142"/>
      <c r="M603" s="142"/>
      <c r="N603" s="136"/>
      <c r="O603" s="34"/>
      <c r="P603" s="35"/>
      <c r="Q603" s="35"/>
      <c r="R603" s="35"/>
      <c r="S603" s="35"/>
      <c r="T603" s="35"/>
      <c r="U603" s="35"/>
      <c r="V603" s="35"/>
      <c r="W603" s="35"/>
      <c r="X603" s="35"/>
      <c r="Y603" s="35"/>
    </row>
    <row r="604" ht="14.25" customHeight="1">
      <c r="A604" s="136"/>
      <c r="B604" s="137"/>
      <c r="C604" s="251"/>
      <c r="D604" s="452"/>
      <c r="E604" s="136"/>
      <c r="F604" s="253"/>
      <c r="G604" s="527"/>
      <c r="H604" s="141"/>
      <c r="I604" s="141"/>
      <c r="J604" s="142"/>
      <c r="K604" s="142"/>
      <c r="L604" s="142"/>
      <c r="M604" s="142"/>
      <c r="N604" s="136"/>
      <c r="O604" s="34"/>
      <c r="P604" s="35"/>
      <c r="Q604" s="35"/>
      <c r="R604" s="35"/>
      <c r="S604" s="35"/>
      <c r="T604" s="35"/>
      <c r="U604" s="35"/>
      <c r="V604" s="35"/>
      <c r="W604" s="35"/>
      <c r="X604" s="35"/>
      <c r="Y604" s="35"/>
    </row>
    <row r="605" ht="14.25" customHeight="1">
      <c r="A605" s="136"/>
      <c r="B605" s="137"/>
      <c r="C605" s="251"/>
      <c r="D605" s="452"/>
      <c r="E605" s="136"/>
      <c r="F605" s="253"/>
      <c r="G605" s="527"/>
      <c r="H605" s="141"/>
      <c r="I605" s="141"/>
      <c r="J605" s="142"/>
      <c r="K605" s="142"/>
      <c r="L605" s="142"/>
      <c r="M605" s="142"/>
      <c r="N605" s="136"/>
      <c r="O605" s="34"/>
      <c r="P605" s="35"/>
      <c r="Q605" s="35"/>
      <c r="R605" s="35"/>
      <c r="S605" s="35"/>
      <c r="T605" s="35"/>
      <c r="U605" s="35"/>
      <c r="V605" s="35"/>
      <c r="W605" s="35"/>
      <c r="X605" s="35"/>
      <c r="Y605" s="35"/>
    </row>
    <row r="606" ht="14.25" customHeight="1">
      <c r="A606" s="136"/>
      <c r="B606" s="137"/>
      <c r="C606" s="251"/>
      <c r="D606" s="452"/>
      <c r="E606" s="136"/>
      <c r="F606" s="253"/>
      <c r="G606" s="527"/>
      <c r="H606" s="141"/>
      <c r="I606" s="141"/>
      <c r="J606" s="142"/>
      <c r="K606" s="142"/>
      <c r="L606" s="142"/>
      <c r="M606" s="142"/>
      <c r="N606" s="136"/>
      <c r="O606" s="34"/>
      <c r="P606" s="35"/>
      <c r="Q606" s="35"/>
      <c r="R606" s="35"/>
      <c r="S606" s="35"/>
      <c r="T606" s="35"/>
      <c r="U606" s="35"/>
      <c r="V606" s="35"/>
      <c r="W606" s="35"/>
      <c r="X606" s="35"/>
      <c r="Y606" s="35"/>
    </row>
    <row r="607" ht="14.25" customHeight="1">
      <c r="A607" s="136"/>
      <c r="B607" s="137"/>
      <c r="C607" s="251"/>
      <c r="D607" s="452"/>
      <c r="E607" s="136"/>
      <c r="F607" s="253"/>
      <c r="G607" s="527"/>
      <c r="H607" s="141"/>
      <c r="I607" s="141"/>
      <c r="J607" s="142"/>
      <c r="K607" s="142"/>
      <c r="L607" s="142"/>
      <c r="M607" s="142"/>
      <c r="N607" s="136"/>
      <c r="O607" s="34"/>
      <c r="P607" s="35"/>
      <c r="Q607" s="35"/>
      <c r="R607" s="35"/>
      <c r="S607" s="35"/>
      <c r="T607" s="35"/>
      <c r="U607" s="35"/>
      <c r="V607" s="35"/>
      <c r="W607" s="35"/>
      <c r="X607" s="35"/>
      <c r="Y607" s="35"/>
    </row>
    <row r="608" ht="14.25" customHeight="1">
      <c r="A608" s="136"/>
      <c r="B608" s="137"/>
      <c r="C608" s="251"/>
      <c r="D608" s="452"/>
      <c r="E608" s="136"/>
      <c r="F608" s="253"/>
      <c r="G608" s="527"/>
      <c r="H608" s="141"/>
      <c r="I608" s="141"/>
      <c r="J608" s="142"/>
      <c r="K608" s="142"/>
      <c r="L608" s="142"/>
      <c r="M608" s="142"/>
      <c r="N608" s="136"/>
      <c r="O608" s="34"/>
      <c r="P608" s="35"/>
      <c r="Q608" s="35"/>
      <c r="R608" s="35"/>
      <c r="S608" s="35"/>
      <c r="T608" s="35"/>
      <c r="U608" s="35"/>
      <c r="V608" s="35"/>
      <c r="W608" s="35"/>
      <c r="X608" s="35"/>
      <c r="Y608" s="35"/>
    </row>
    <row r="609" ht="14.25" customHeight="1">
      <c r="A609" s="136"/>
      <c r="B609" s="137"/>
      <c r="C609" s="251"/>
      <c r="D609" s="452"/>
      <c r="E609" s="136"/>
      <c r="F609" s="253"/>
      <c r="G609" s="527"/>
      <c r="H609" s="141"/>
      <c r="I609" s="141"/>
      <c r="J609" s="142"/>
      <c r="K609" s="142"/>
      <c r="L609" s="142"/>
      <c r="M609" s="142"/>
      <c r="N609" s="136"/>
      <c r="O609" s="34"/>
      <c r="P609" s="35"/>
      <c r="Q609" s="35"/>
      <c r="R609" s="35"/>
      <c r="S609" s="35"/>
      <c r="T609" s="35"/>
      <c r="U609" s="35"/>
      <c r="V609" s="35"/>
      <c r="W609" s="35"/>
      <c r="X609" s="35"/>
      <c r="Y609" s="35"/>
    </row>
    <row r="610" ht="14.25" customHeight="1">
      <c r="A610" s="136"/>
      <c r="B610" s="137"/>
      <c r="C610" s="251"/>
      <c r="D610" s="452"/>
      <c r="E610" s="136"/>
      <c r="F610" s="253"/>
      <c r="G610" s="527"/>
      <c r="H610" s="141"/>
      <c r="I610" s="141"/>
      <c r="J610" s="142"/>
      <c r="K610" s="142"/>
      <c r="L610" s="142"/>
      <c r="M610" s="142"/>
      <c r="N610" s="136"/>
      <c r="O610" s="34"/>
      <c r="P610" s="35"/>
      <c r="Q610" s="35"/>
      <c r="R610" s="35"/>
      <c r="S610" s="35"/>
      <c r="T610" s="35"/>
      <c r="U610" s="35"/>
      <c r="V610" s="35"/>
      <c r="W610" s="35"/>
      <c r="X610" s="35"/>
      <c r="Y610" s="35"/>
    </row>
    <row r="611" ht="14.25" customHeight="1">
      <c r="A611" s="136"/>
      <c r="B611" s="137"/>
      <c r="C611" s="251"/>
      <c r="D611" s="452"/>
      <c r="E611" s="136"/>
      <c r="F611" s="253"/>
      <c r="G611" s="527"/>
      <c r="H611" s="141"/>
      <c r="I611" s="141"/>
      <c r="J611" s="142"/>
      <c r="K611" s="142"/>
      <c r="L611" s="142"/>
      <c r="M611" s="142"/>
      <c r="N611" s="136"/>
      <c r="O611" s="34"/>
      <c r="P611" s="35"/>
      <c r="Q611" s="35"/>
      <c r="R611" s="35"/>
      <c r="S611" s="35"/>
      <c r="T611" s="35"/>
      <c r="U611" s="35"/>
      <c r="V611" s="35"/>
      <c r="W611" s="35"/>
      <c r="X611" s="35"/>
      <c r="Y611" s="35"/>
    </row>
    <row r="612" ht="14.25" customHeight="1">
      <c r="A612" s="136"/>
      <c r="B612" s="137"/>
      <c r="C612" s="251"/>
      <c r="D612" s="452"/>
      <c r="E612" s="136"/>
      <c r="F612" s="253"/>
      <c r="G612" s="527"/>
      <c r="H612" s="141"/>
      <c r="I612" s="141"/>
      <c r="J612" s="142"/>
      <c r="K612" s="142"/>
      <c r="L612" s="142"/>
      <c r="M612" s="142"/>
      <c r="N612" s="136"/>
      <c r="O612" s="34"/>
      <c r="P612" s="35"/>
      <c r="Q612" s="35"/>
      <c r="R612" s="35"/>
      <c r="S612" s="35"/>
      <c r="T612" s="35"/>
      <c r="U612" s="35"/>
      <c r="V612" s="35"/>
      <c r="W612" s="35"/>
      <c r="X612" s="35"/>
      <c r="Y612" s="35"/>
    </row>
    <row r="613" ht="14.25" customHeight="1">
      <c r="A613" s="136"/>
      <c r="B613" s="137"/>
      <c r="C613" s="251"/>
      <c r="D613" s="452"/>
      <c r="E613" s="136"/>
      <c r="F613" s="253"/>
      <c r="G613" s="527"/>
      <c r="H613" s="141"/>
      <c r="I613" s="141"/>
      <c r="J613" s="142"/>
      <c r="K613" s="142"/>
      <c r="L613" s="142"/>
      <c r="M613" s="142"/>
      <c r="N613" s="136"/>
      <c r="O613" s="34"/>
      <c r="P613" s="35"/>
      <c r="Q613" s="35"/>
      <c r="R613" s="35"/>
      <c r="S613" s="35"/>
      <c r="T613" s="35"/>
      <c r="U613" s="35"/>
      <c r="V613" s="35"/>
      <c r="W613" s="35"/>
      <c r="X613" s="35"/>
      <c r="Y613" s="35"/>
    </row>
    <row r="614" ht="14.25" customHeight="1">
      <c r="A614" s="136"/>
      <c r="B614" s="137"/>
      <c r="C614" s="251"/>
      <c r="D614" s="452"/>
      <c r="E614" s="136"/>
      <c r="F614" s="253"/>
      <c r="G614" s="527"/>
      <c r="H614" s="141"/>
      <c r="I614" s="141"/>
      <c r="J614" s="142"/>
      <c r="K614" s="142"/>
      <c r="L614" s="142"/>
      <c r="M614" s="142"/>
      <c r="N614" s="136"/>
      <c r="O614" s="34"/>
      <c r="P614" s="35"/>
      <c r="Q614" s="35"/>
      <c r="R614" s="35"/>
      <c r="S614" s="35"/>
      <c r="T614" s="35"/>
      <c r="U614" s="35"/>
      <c r="V614" s="35"/>
      <c r="W614" s="35"/>
      <c r="X614" s="35"/>
      <c r="Y614" s="35"/>
    </row>
    <row r="615" ht="14.25" customHeight="1">
      <c r="A615" s="136"/>
      <c r="B615" s="137"/>
      <c r="C615" s="251"/>
      <c r="D615" s="452"/>
      <c r="E615" s="136"/>
      <c r="F615" s="253"/>
      <c r="G615" s="527"/>
      <c r="H615" s="141"/>
      <c r="I615" s="141"/>
      <c r="J615" s="142"/>
      <c r="K615" s="142"/>
      <c r="L615" s="142"/>
      <c r="M615" s="142"/>
      <c r="N615" s="136"/>
      <c r="O615" s="34"/>
      <c r="P615" s="35"/>
      <c r="Q615" s="35"/>
      <c r="R615" s="35"/>
      <c r="S615" s="35"/>
      <c r="T615" s="35"/>
      <c r="U615" s="35"/>
      <c r="V615" s="35"/>
      <c r="W615" s="35"/>
      <c r="X615" s="35"/>
      <c r="Y615" s="35"/>
    </row>
    <row r="616" ht="14.25" customHeight="1">
      <c r="A616" s="136"/>
      <c r="B616" s="137"/>
      <c r="C616" s="251"/>
      <c r="D616" s="452"/>
      <c r="E616" s="136"/>
      <c r="F616" s="253"/>
      <c r="G616" s="527"/>
      <c r="H616" s="141"/>
      <c r="I616" s="141"/>
      <c r="J616" s="142"/>
      <c r="K616" s="142"/>
      <c r="L616" s="142"/>
      <c r="M616" s="142"/>
      <c r="N616" s="136"/>
      <c r="O616" s="34"/>
      <c r="P616" s="35"/>
      <c r="Q616" s="35"/>
      <c r="R616" s="35"/>
      <c r="S616" s="35"/>
      <c r="T616" s="35"/>
      <c r="U616" s="35"/>
      <c r="V616" s="35"/>
      <c r="W616" s="35"/>
      <c r="X616" s="35"/>
      <c r="Y616" s="35"/>
    </row>
    <row r="617" ht="14.25" customHeight="1">
      <c r="A617" s="136"/>
      <c r="B617" s="137"/>
      <c r="C617" s="251"/>
      <c r="D617" s="452"/>
      <c r="E617" s="136"/>
      <c r="F617" s="253"/>
      <c r="G617" s="527"/>
      <c r="H617" s="141"/>
      <c r="I617" s="141"/>
      <c r="J617" s="142"/>
      <c r="K617" s="142"/>
      <c r="L617" s="142"/>
      <c r="M617" s="142"/>
      <c r="N617" s="136"/>
      <c r="O617" s="34"/>
      <c r="P617" s="35"/>
      <c r="Q617" s="35"/>
      <c r="R617" s="35"/>
      <c r="S617" s="35"/>
      <c r="T617" s="35"/>
      <c r="U617" s="35"/>
      <c r="V617" s="35"/>
      <c r="W617" s="35"/>
      <c r="X617" s="35"/>
      <c r="Y617" s="35"/>
    </row>
    <row r="618" ht="14.25" customHeight="1">
      <c r="A618" s="136"/>
      <c r="B618" s="137"/>
      <c r="C618" s="251"/>
      <c r="D618" s="452"/>
      <c r="E618" s="136"/>
      <c r="F618" s="253"/>
      <c r="G618" s="527"/>
      <c r="H618" s="141"/>
      <c r="I618" s="141"/>
      <c r="J618" s="142"/>
      <c r="K618" s="142"/>
      <c r="L618" s="142"/>
      <c r="M618" s="142"/>
      <c r="N618" s="136"/>
      <c r="O618" s="34"/>
      <c r="P618" s="35"/>
      <c r="Q618" s="35"/>
      <c r="R618" s="35"/>
      <c r="S618" s="35"/>
      <c r="T618" s="35"/>
      <c r="U618" s="35"/>
      <c r="V618" s="35"/>
      <c r="W618" s="35"/>
      <c r="X618" s="35"/>
      <c r="Y618" s="35"/>
    </row>
    <row r="619" ht="14.25" customHeight="1">
      <c r="A619" s="136"/>
      <c r="B619" s="137"/>
      <c r="C619" s="251"/>
      <c r="D619" s="452"/>
      <c r="E619" s="136"/>
      <c r="F619" s="253"/>
      <c r="G619" s="527"/>
      <c r="H619" s="141"/>
      <c r="I619" s="141"/>
      <c r="J619" s="142"/>
      <c r="K619" s="142"/>
      <c r="L619" s="142"/>
      <c r="M619" s="142"/>
      <c r="N619" s="136"/>
      <c r="O619" s="34"/>
      <c r="P619" s="35"/>
      <c r="Q619" s="35"/>
      <c r="R619" s="35"/>
      <c r="S619" s="35"/>
      <c r="T619" s="35"/>
      <c r="U619" s="35"/>
      <c r="V619" s="35"/>
      <c r="W619" s="35"/>
      <c r="X619" s="35"/>
      <c r="Y619" s="35"/>
    </row>
    <row r="620" ht="14.25" customHeight="1">
      <c r="A620" s="136"/>
      <c r="B620" s="137"/>
      <c r="C620" s="251"/>
      <c r="D620" s="452"/>
      <c r="E620" s="136"/>
      <c r="F620" s="253"/>
      <c r="G620" s="527"/>
      <c r="H620" s="141"/>
      <c r="I620" s="141"/>
      <c r="J620" s="142"/>
      <c r="K620" s="142"/>
      <c r="L620" s="142"/>
      <c r="M620" s="142"/>
      <c r="N620" s="136"/>
      <c r="O620" s="34"/>
      <c r="P620" s="35"/>
      <c r="Q620" s="35"/>
      <c r="R620" s="35"/>
      <c r="S620" s="35"/>
      <c r="T620" s="35"/>
      <c r="U620" s="35"/>
      <c r="V620" s="35"/>
      <c r="W620" s="35"/>
      <c r="X620" s="35"/>
      <c r="Y620" s="35"/>
    </row>
    <row r="621" ht="14.25" customHeight="1">
      <c r="A621" s="136"/>
      <c r="B621" s="137"/>
      <c r="C621" s="251"/>
      <c r="D621" s="452"/>
      <c r="E621" s="136"/>
      <c r="F621" s="253"/>
      <c r="G621" s="527"/>
      <c r="H621" s="141"/>
      <c r="I621" s="141"/>
      <c r="J621" s="142"/>
      <c r="K621" s="142"/>
      <c r="L621" s="142"/>
      <c r="M621" s="142"/>
      <c r="N621" s="136"/>
      <c r="O621" s="34"/>
      <c r="P621" s="35"/>
      <c r="Q621" s="35"/>
      <c r="R621" s="35"/>
      <c r="S621" s="35"/>
      <c r="T621" s="35"/>
      <c r="U621" s="35"/>
      <c r="V621" s="35"/>
      <c r="W621" s="35"/>
      <c r="X621" s="35"/>
      <c r="Y621" s="35"/>
    </row>
    <row r="622" ht="14.25" customHeight="1">
      <c r="A622" s="136"/>
      <c r="B622" s="137"/>
      <c r="C622" s="251"/>
      <c r="D622" s="452"/>
      <c r="E622" s="136"/>
      <c r="F622" s="253"/>
      <c r="G622" s="527"/>
      <c r="H622" s="141"/>
      <c r="I622" s="141"/>
      <c r="J622" s="142"/>
      <c r="K622" s="142"/>
      <c r="L622" s="142"/>
      <c r="M622" s="142"/>
      <c r="N622" s="136"/>
      <c r="O622" s="34"/>
      <c r="P622" s="35"/>
      <c r="Q622" s="35"/>
      <c r="R622" s="35"/>
      <c r="S622" s="35"/>
      <c r="T622" s="35"/>
      <c r="U622" s="35"/>
      <c r="V622" s="35"/>
      <c r="W622" s="35"/>
      <c r="X622" s="35"/>
      <c r="Y622" s="35"/>
    </row>
    <row r="623" ht="14.25" customHeight="1">
      <c r="A623" s="136"/>
      <c r="B623" s="137"/>
      <c r="C623" s="251"/>
      <c r="D623" s="452"/>
      <c r="E623" s="136"/>
      <c r="F623" s="253"/>
      <c r="G623" s="527"/>
      <c r="H623" s="141"/>
      <c r="I623" s="141"/>
      <c r="J623" s="142"/>
      <c r="K623" s="142"/>
      <c r="L623" s="142"/>
      <c r="M623" s="142"/>
      <c r="N623" s="136"/>
      <c r="O623" s="34"/>
      <c r="P623" s="35"/>
      <c r="Q623" s="35"/>
      <c r="R623" s="35"/>
      <c r="S623" s="35"/>
      <c r="T623" s="35"/>
      <c r="U623" s="35"/>
      <c r="V623" s="35"/>
      <c r="W623" s="35"/>
      <c r="X623" s="35"/>
      <c r="Y623" s="35"/>
    </row>
    <row r="624" ht="14.25" customHeight="1">
      <c r="A624" s="136"/>
      <c r="B624" s="137"/>
      <c r="C624" s="251"/>
      <c r="D624" s="452"/>
      <c r="E624" s="136"/>
      <c r="F624" s="253"/>
      <c r="G624" s="527"/>
      <c r="H624" s="141"/>
      <c r="I624" s="141"/>
      <c r="J624" s="142"/>
      <c r="K624" s="142"/>
      <c r="L624" s="142"/>
      <c r="M624" s="142"/>
      <c r="N624" s="136"/>
      <c r="O624" s="34"/>
      <c r="P624" s="35"/>
      <c r="Q624" s="35"/>
      <c r="R624" s="35"/>
      <c r="S624" s="35"/>
      <c r="T624" s="35"/>
      <c r="U624" s="35"/>
      <c r="V624" s="35"/>
      <c r="W624" s="35"/>
      <c r="X624" s="35"/>
      <c r="Y624" s="35"/>
    </row>
    <row r="625" ht="14.25" customHeight="1">
      <c r="A625" s="136"/>
      <c r="B625" s="137"/>
      <c r="C625" s="251"/>
      <c r="D625" s="452"/>
      <c r="E625" s="136"/>
      <c r="F625" s="253"/>
      <c r="G625" s="527"/>
      <c r="H625" s="141"/>
      <c r="I625" s="141"/>
      <c r="J625" s="142"/>
      <c r="K625" s="142"/>
      <c r="L625" s="142"/>
      <c r="M625" s="142"/>
      <c r="N625" s="136"/>
      <c r="O625" s="34"/>
      <c r="P625" s="35"/>
      <c r="Q625" s="35"/>
      <c r="R625" s="35"/>
      <c r="S625" s="35"/>
      <c r="T625" s="35"/>
      <c r="U625" s="35"/>
      <c r="V625" s="35"/>
      <c r="W625" s="35"/>
      <c r="X625" s="35"/>
      <c r="Y625" s="35"/>
    </row>
    <row r="626" ht="14.25" customHeight="1">
      <c r="A626" s="136"/>
      <c r="B626" s="137"/>
      <c r="C626" s="251"/>
      <c r="D626" s="452"/>
      <c r="E626" s="136"/>
      <c r="F626" s="253"/>
      <c r="G626" s="527"/>
      <c r="H626" s="141"/>
      <c r="I626" s="141"/>
      <c r="J626" s="142"/>
      <c r="K626" s="142"/>
      <c r="L626" s="142"/>
      <c r="M626" s="142"/>
      <c r="N626" s="136"/>
      <c r="O626" s="34"/>
      <c r="P626" s="35"/>
      <c r="Q626" s="35"/>
      <c r="R626" s="35"/>
      <c r="S626" s="35"/>
      <c r="T626" s="35"/>
      <c r="U626" s="35"/>
      <c r="V626" s="35"/>
      <c r="W626" s="35"/>
      <c r="X626" s="35"/>
      <c r="Y626" s="35"/>
    </row>
    <row r="627" ht="14.25" customHeight="1">
      <c r="A627" s="136"/>
      <c r="B627" s="137"/>
      <c r="C627" s="251"/>
      <c r="D627" s="452"/>
      <c r="E627" s="136"/>
      <c r="F627" s="253"/>
      <c r="G627" s="527"/>
      <c r="H627" s="141"/>
      <c r="I627" s="141"/>
      <c r="J627" s="142"/>
      <c r="K627" s="142"/>
      <c r="L627" s="142"/>
      <c r="M627" s="142"/>
      <c r="N627" s="136"/>
      <c r="O627" s="34"/>
      <c r="P627" s="35"/>
      <c r="Q627" s="35"/>
      <c r="R627" s="35"/>
      <c r="S627" s="35"/>
      <c r="T627" s="35"/>
      <c r="U627" s="35"/>
      <c r="V627" s="35"/>
      <c r="W627" s="35"/>
      <c r="X627" s="35"/>
      <c r="Y627" s="35"/>
    </row>
    <row r="628" ht="14.25" customHeight="1">
      <c r="A628" s="136"/>
      <c r="B628" s="137"/>
      <c r="C628" s="251"/>
      <c r="D628" s="452"/>
      <c r="E628" s="136"/>
      <c r="F628" s="253"/>
      <c r="G628" s="527"/>
      <c r="H628" s="141"/>
      <c r="I628" s="141"/>
      <c r="J628" s="142"/>
      <c r="K628" s="142"/>
      <c r="L628" s="142"/>
      <c r="M628" s="142"/>
      <c r="N628" s="136"/>
      <c r="O628" s="34"/>
      <c r="P628" s="35"/>
      <c r="Q628" s="35"/>
      <c r="R628" s="35"/>
      <c r="S628" s="35"/>
      <c r="T628" s="35"/>
      <c r="U628" s="35"/>
      <c r="V628" s="35"/>
      <c r="W628" s="35"/>
      <c r="X628" s="35"/>
      <c r="Y628" s="35"/>
    </row>
    <row r="629" ht="14.25" customHeight="1">
      <c r="A629" s="136"/>
      <c r="B629" s="137"/>
      <c r="C629" s="251"/>
      <c r="D629" s="452"/>
      <c r="E629" s="136"/>
      <c r="F629" s="253"/>
      <c r="G629" s="527"/>
      <c r="H629" s="141"/>
      <c r="I629" s="141"/>
      <c r="J629" s="142"/>
      <c r="K629" s="142"/>
      <c r="L629" s="142"/>
      <c r="M629" s="142"/>
      <c r="N629" s="136"/>
      <c r="O629" s="34"/>
      <c r="P629" s="35"/>
      <c r="Q629" s="35"/>
      <c r="R629" s="35"/>
      <c r="S629" s="35"/>
      <c r="T629" s="35"/>
      <c r="U629" s="35"/>
      <c r="V629" s="35"/>
      <c r="W629" s="35"/>
      <c r="X629" s="35"/>
      <c r="Y629" s="35"/>
    </row>
    <row r="630" ht="14.25" customHeight="1">
      <c r="A630" s="136"/>
      <c r="B630" s="137"/>
      <c r="C630" s="251"/>
      <c r="D630" s="452"/>
      <c r="E630" s="136"/>
      <c r="F630" s="253"/>
      <c r="G630" s="527"/>
      <c r="H630" s="141"/>
      <c r="I630" s="141"/>
      <c r="J630" s="142"/>
      <c r="K630" s="142"/>
      <c r="L630" s="142"/>
      <c r="M630" s="142"/>
      <c r="N630" s="136"/>
      <c r="O630" s="34"/>
      <c r="P630" s="35"/>
      <c r="Q630" s="35"/>
      <c r="R630" s="35"/>
      <c r="S630" s="35"/>
      <c r="T630" s="35"/>
      <c r="U630" s="35"/>
      <c r="V630" s="35"/>
      <c r="W630" s="35"/>
      <c r="X630" s="35"/>
      <c r="Y630" s="35"/>
    </row>
    <row r="631" ht="14.25" customHeight="1">
      <c r="A631" s="136"/>
      <c r="B631" s="137"/>
      <c r="C631" s="251"/>
      <c r="D631" s="452"/>
      <c r="E631" s="136"/>
      <c r="F631" s="253"/>
      <c r="G631" s="527"/>
      <c r="H631" s="141"/>
      <c r="I631" s="141"/>
      <c r="J631" s="142"/>
      <c r="K631" s="142"/>
      <c r="L631" s="142"/>
      <c r="M631" s="142"/>
      <c r="N631" s="136"/>
      <c r="O631" s="34"/>
      <c r="P631" s="35"/>
      <c r="Q631" s="35"/>
      <c r="R631" s="35"/>
      <c r="S631" s="35"/>
      <c r="T631" s="35"/>
      <c r="U631" s="35"/>
      <c r="V631" s="35"/>
      <c r="W631" s="35"/>
      <c r="X631" s="35"/>
      <c r="Y631" s="35"/>
    </row>
    <row r="632" ht="14.25" customHeight="1">
      <c r="A632" s="136"/>
      <c r="B632" s="137"/>
      <c r="C632" s="251"/>
      <c r="D632" s="452"/>
      <c r="E632" s="136"/>
      <c r="F632" s="253"/>
      <c r="G632" s="527"/>
      <c r="H632" s="141"/>
      <c r="I632" s="141"/>
      <c r="J632" s="142"/>
      <c r="K632" s="142"/>
      <c r="L632" s="142"/>
      <c r="M632" s="142"/>
      <c r="N632" s="136"/>
      <c r="O632" s="34"/>
      <c r="P632" s="35"/>
      <c r="Q632" s="35"/>
      <c r="R632" s="35"/>
      <c r="S632" s="35"/>
      <c r="T632" s="35"/>
      <c r="U632" s="35"/>
      <c r="V632" s="35"/>
      <c r="W632" s="35"/>
      <c r="X632" s="35"/>
      <c r="Y632" s="35"/>
    </row>
    <row r="633" ht="14.25" customHeight="1">
      <c r="A633" s="136"/>
      <c r="B633" s="137"/>
      <c r="C633" s="251"/>
      <c r="D633" s="452"/>
      <c r="E633" s="136"/>
      <c r="F633" s="253"/>
      <c r="G633" s="527"/>
      <c r="H633" s="141"/>
      <c r="I633" s="141"/>
      <c r="J633" s="142"/>
      <c r="K633" s="142"/>
      <c r="L633" s="142"/>
      <c r="M633" s="142"/>
      <c r="N633" s="136"/>
      <c r="O633" s="34"/>
      <c r="P633" s="35"/>
      <c r="Q633" s="35"/>
      <c r="R633" s="35"/>
      <c r="S633" s="35"/>
      <c r="T633" s="35"/>
      <c r="U633" s="35"/>
      <c r="V633" s="35"/>
      <c r="W633" s="35"/>
      <c r="X633" s="35"/>
      <c r="Y633" s="35"/>
    </row>
    <row r="634" ht="14.25" customHeight="1">
      <c r="A634" s="136"/>
      <c r="B634" s="137"/>
      <c r="C634" s="251"/>
      <c r="D634" s="452"/>
      <c r="E634" s="136"/>
      <c r="F634" s="253"/>
      <c r="G634" s="527"/>
      <c r="H634" s="141"/>
      <c r="I634" s="141"/>
      <c r="J634" s="142"/>
      <c r="K634" s="142"/>
      <c r="L634" s="142"/>
      <c r="M634" s="142"/>
      <c r="N634" s="136"/>
      <c r="O634" s="34"/>
      <c r="P634" s="35"/>
      <c r="Q634" s="35"/>
      <c r="R634" s="35"/>
      <c r="S634" s="35"/>
      <c r="T634" s="35"/>
      <c r="U634" s="35"/>
      <c r="V634" s="35"/>
      <c r="W634" s="35"/>
      <c r="X634" s="35"/>
      <c r="Y634" s="35"/>
    </row>
    <row r="635" ht="14.25" customHeight="1">
      <c r="A635" s="136"/>
      <c r="B635" s="137"/>
      <c r="C635" s="251"/>
      <c r="D635" s="452"/>
      <c r="E635" s="136"/>
      <c r="F635" s="253"/>
      <c r="G635" s="527"/>
      <c r="H635" s="141"/>
      <c r="I635" s="141"/>
      <c r="J635" s="142"/>
      <c r="K635" s="142"/>
      <c r="L635" s="142"/>
      <c r="M635" s="142"/>
      <c r="N635" s="136"/>
      <c r="O635" s="34"/>
      <c r="P635" s="35"/>
      <c r="Q635" s="35"/>
      <c r="R635" s="35"/>
      <c r="S635" s="35"/>
      <c r="T635" s="35"/>
      <c r="U635" s="35"/>
      <c r="V635" s="35"/>
      <c r="W635" s="35"/>
      <c r="X635" s="35"/>
      <c r="Y635" s="35"/>
    </row>
    <row r="636" ht="14.25" customHeight="1">
      <c r="A636" s="136"/>
      <c r="B636" s="137"/>
      <c r="C636" s="251"/>
      <c r="D636" s="452"/>
      <c r="E636" s="136"/>
      <c r="F636" s="253"/>
      <c r="G636" s="527"/>
      <c r="H636" s="141"/>
      <c r="I636" s="141"/>
      <c r="J636" s="142"/>
      <c r="K636" s="142"/>
      <c r="L636" s="142"/>
      <c r="M636" s="142"/>
      <c r="N636" s="136"/>
      <c r="O636" s="34"/>
      <c r="P636" s="35"/>
      <c r="Q636" s="35"/>
      <c r="R636" s="35"/>
      <c r="S636" s="35"/>
      <c r="T636" s="35"/>
      <c r="U636" s="35"/>
      <c r="V636" s="35"/>
      <c r="W636" s="35"/>
      <c r="X636" s="35"/>
      <c r="Y636" s="35"/>
    </row>
    <row r="637" ht="14.25" customHeight="1">
      <c r="A637" s="136"/>
      <c r="B637" s="137"/>
      <c r="C637" s="251"/>
      <c r="D637" s="452"/>
      <c r="E637" s="136"/>
      <c r="F637" s="253"/>
      <c r="G637" s="527"/>
      <c r="H637" s="141"/>
      <c r="I637" s="141"/>
      <c r="J637" s="142"/>
      <c r="K637" s="142"/>
      <c r="L637" s="142"/>
      <c r="M637" s="142"/>
      <c r="N637" s="136"/>
      <c r="O637" s="34"/>
      <c r="P637" s="35"/>
      <c r="Q637" s="35"/>
      <c r="R637" s="35"/>
      <c r="S637" s="35"/>
      <c r="T637" s="35"/>
      <c r="U637" s="35"/>
      <c r="V637" s="35"/>
      <c r="W637" s="35"/>
      <c r="X637" s="35"/>
      <c r="Y637" s="35"/>
    </row>
    <row r="638" ht="14.25" customHeight="1">
      <c r="A638" s="136"/>
      <c r="B638" s="137"/>
      <c r="C638" s="251"/>
      <c r="D638" s="452"/>
      <c r="E638" s="136"/>
      <c r="F638" s="253"/>
      <c r="G638" s="527"/>
      <c r="H638" s="141"/>
      <c r="I638" s="141"/>
      <c r="J638" s="142"/>
      <c r="K638" s="142"/>
      <c r="L638" s="142"/>
      <c r="M638" s="142"/>
      <c r="N638" s="136"/>
      <c r="O638" s="34"/>
      <c r="P638" s="35"/>
      <c r="Q638" s="35"/>
      <c r="R638" s="35"/>
      <c r="S638" s="35"/>
      <c r="T638" s="35"/>
      <c r="U638" s="35"/>
      <c r="V638" s="35"/>
      <c r="W638" s="35"/>
      <c r="X638" s="35"/>
      <c r="Y638" s="35"/>
    </row>
    <row r="639" ht="14.25" customHeight="1">
      <c r="A639" s="136"/>
      <c r="B639" s="137"/>
      <c r="C639" s="251"/>
      <c r="D639" s="452"/>
      <c r="E639" s="136"/>
      <c r="F639" s="253"/>
      <c r="G639" s="527"/>
      <c r="H639" s="141"/>
      <c r="I639" s="141"/>
      <c r="J639" s="142"/>
      <c r="K639" s="142"/>
      <c r="L639" s="142"/>
      <c r="M639" s="142"/>
      <c r="N639" s="136"/>
      <c r="O639" s="34"/>
      <c r="P639" s="35"/>
      <c r="Q639" s="35"/>
      <c r="R639" s="35"/>
      <c r="S639" s="35"/>
      <c r="T639" s="35"/>
      <c r="U639" s="35"/>
      <c r="V639" s="35"/>
      <c r="W639" s="35"/>
      <c r="X639" s="35"/>
      <c r="Y639" s="35"/>
    </row>
    <row r="640" ht="14.25" customHeight="1">
      <c r="A640" s="136"/>
      <c r="B640" s="137"/>
      <c r="C640" s="251"/>
      <c r="D640" s="452"/>
      <c r="E640" s="136"/>
      <c r="F640" s="253"/>
      <c r="G640" s="527"/>
      <c r="H640" s="141"/>
      <c r="I640" s="141"/>
      <c r="J640" s="142"/>
      <c r="K640" s="142"/>
      <c r="L640" s="142"/>
      <c r="M640" s="142"/>
      <c r="N640" s="136"/>
      <c r="O640" s="34"/>
      <c r="P640" s="35"/>
      <c r="Q640" s="35"/>
      <c r="R640" s="35"/>
      <c r="S640" s="35"/>
      <c r="T640" s="35"/>
      <c r="U640" s="35"/>
      <c r="V640" s="35"/>
      <c r="W640" s="35"/>
      <c r="X640" s="35"/>
      <c r="Y640" s="35"/>
    </row>
    <row r="641" ht="14.25" customHeight="1">
      <c r="A641" s="136"/>
      <c r="B641" s="137"/>
      <c r="C641" s="251"/>
      <c r="D641" s="452"/>
      <c r="E641" s="136"/>
      <c r="F641" s="253"/>
      <c r="G641" s="527"/>
      <c r="H641" s="141"/>
      <c r="I641" s="141"/>
      <c r="J641" s="142"/>
      <c r="K641" s="142"/>
      <c r="L641" s="142"/>
      <c r="M641" s="142"/>
      <c r="N641" s="136"/>
      <c r="O641" s="34"/>
      <c r="P641" s="35"/>
      <c r="Q641" s="35"/>
      <c r="R641" s="35"/>
      <c r="S641" s="35"/>
      <c r="T641" s="35"/>
      <c r="U641" s="35"/>
      <c r="V641" s="35"/>
      <c r="W641" s="35"/>
      <c r="X641" s="35"/>
      <c r="Y641" s="35"/>
    </row>
    <row r="642" ht="14.25" customHeight="1">
      <c r="A642" s="136"/>
      <c r="B642" s="137"/>
      <c r="C642" s="251"/>
      <c r="D642" s="452"/>
      <c r="E642" s="136"/>
      <c r="F642" s="253"/>
      <c r="G642" s="527"/>
      <c r="H642" s="141"/>
      <c r="I642" s="141"/>
      <c r="J642" s="142"/>
      <c r="K642" s="142"/>
      <c r="L642" s="142"/>
      <c r="M642" s="142"/>
      <c r="N642" s="136"/>
      <c r="O642" s="34"/>
      <c r="P642" s="35"/>
      <c r="Q642" s="35"/>
      <c r="R642" s="35"/>
      <c r="S642" s="35"/>
      <c r="T642" s="35"/>
      <c r="U642" s="35"/>
      <c r="V642" s="35"/>
      <c r="W642" s="35"/>
      <c r="X642" s="35"/>
      <c r="Y642" s="35"/>
    </row>
    <row r="643" ht="14.25" customHeight="1">
      <c r="A643" s="136"/>
      <c r="B643" s="137"/>
      <c r="C643" s="251"/>
      <c r="D643" s="452"/>
      <c r="E643" s="136"/>
      <c r="F643" s="253"/>
      <c r="G643" s="527"/>
      <c r="H643" s="141"/>
      <c r="I643" s="141"/>
      <c r="J643" s="142"/>
      <c r="K643" s="142"/>
      <c r="L643" s="142"/>
      <c r="M643" s="142"/>
      <c r="N643" s="136"/>
      <c r="O643" s="34"/>
      <c r="P643" s="35"/>
      <c r="Q643" s="35"/>
      <c r="R643" s="35"/>
      <c r="S643" s="35"/>
      <c r="T643" s="35"/>
      <c r="U643" s="35"/>
      <c r="V643" s="35"/>
      <c r="W643" s="35"/>
      <c r="X643" s="35"/>
      <c r="Y643" s="35"/>
    </row>
    <row r="644" ht="14.25" customHeight="1">
      <c r="A644" s="136"/>
      <c r="B644" s="137"/>
      <c r="C644" s="251"/>
      <c r="D644" s="452"/>
      <c r="E644" s="136"/>
      <c r="F644" s="253"/>
      <c r="G644" s="527"/>
      <c r="H644" s="141"/>
      <c r="I644" s="141"/>
      <c r="J644" s="142"/>
      <c r="K644" s="142"/>
      <c r="L644" s="142"/>
      <c r="M644" s="142"/>
      <c r="N644" s="136"/>
      <c r="O644" s="34"/>
      <c r="P644" s="35"/>
      <c r="Q644" s="35"/>
      <c r="R644" s="35"/>
      <c r="S644" s="35"/>
      <c r="T644" s="35"/>
      <c r="U644" s="35"/>
      <c r="V644" s="35"/>
      <c r="W644" s="35"/>
      <c r="X644" s="35"/>
      <c r="Y644" s="35"/>
    </row>
    <row r="645" ht="14.25" customHeight="1">
      <c r="A645" s="136"/>
      <c r="B645" s="137"/>
      <c r="C645" s="251"/>
      <c r="D645" s="452"/>
      <c r="E645" s="136"/>
      <c r="F645" s="253"/>
      <c r="G645" s="527"/>
      <c r="H645" s="141"/>
      <c r="I645" s="141"/>
      <c r="J645" s="142"/>
      <c r="K645" s="142"/>
      <c r="L645" s="142"/>
      <c r="M645" s="142"/>
      <c r="N645" s="136"/>
      <c r="O645" s="34"/>
      <c r="P645" s="35"/>
      <c r="Q645" s="35"/>
      <c r="R645" s="35"/>
      <c r="S645" s="35"/>
      <c r="T645" s="35"/>
      <c r="U645" s="35"/>
      <c r="V645" s="35"/>
      <c r="W645" s="35"/>
      <c r="X645" s="35"/>
      <c r="Y645" s="35"/>
    </row>
    <row r="646" ht="14.25" customHeight="1">
      <c r="A646" s="136"/>
      <c r="B646" s="137"/>
      <c r="C646" s="251"/>
      <c r="D646" s="452"/>
      <c r="E646" s="136"/>
      <c r="F646" s="253"/>
      <c r="G646" s="527"/>
      <c r="H646" s="141"/>
      <c r="I646" s="141"/>
      <c r="J646" s="142"/>
      <c r="K646" s="142"/>
      <c r="L646" s="142"/>
      <c r="M646" s="142"/>
      <c r="N646" s="136"/>
      <c r="O646" s="34"/>
      <c r="P646" s="35"/>
      <c r="Q646" s="35"/>
      <c r="R646" s="35"/>
      <c r="S646" s="35"/>
      <c r="T646" s="35"/>
      <c r="U646" s="35"/>
      <c r="V646" s="35"/>
      <c r="W646" s="35"/>
      <c r="X646" s="35"/>
      <c r="Y646" s="35"/>
    </row>
    <row r="647" ht="14.25" customHeight="1">
      <c r="A647" s="136"/>
      <c r="B647" s="137"/>
      <c r="C647" s="251"/>
      <c r="D647" s="452"/>
      <c r="E647" s="136"/>
      <c r="F647" s="253"/>
      <c r="G647" s="527"/>
      <c r="H647" s="141"/>
      <c r="I647" s="141"/>
      <c r="J647" s="142"/>
      <c r="K647" s="142"/>
      <c r="L647" s="142"/>
      <c r="M647" s="142"/>
      <c r="N647" s="136"/>
      <c r="O647" s="34"/>
      <c r="P647" s="35"/>
      <c r="Q647" s="35"/>
      <c r="R647" s="35"/>
      <c r="S647" s="35"/>
      <c r="T647" s="35"/>
      <c r="U647" s="35"/>
      <c r="V647" s="35"/>
      <c r="W647" s="35"/>
      <c r="X647" s="35"/>
      <c r="Y647" s="35"/>
    </row>
    <row r="648" ht="14.25" customHeight="1">
      <c r="A648" s="136"/>
      <c r="B648" s="137"/>
      <c r="C648" s="251"/>
      <c r="D648" s="452"/>
      <c r="E648" s="136"/>
      <c r="F648" s="253"/>
      <c r="G648" s="527"/>
      <c r="H648" s="141"/>
      <c r="I648" s="141"/>
      <c r="J648" s="142"/>
      <c r="K648" s="142"/>
      <c r="L648" s="142"/>
      <c r="M648" s="142"/>
      <c r="N648" s="136"/>
      <c r="O648" s="34"/>
      <c r="P648" s="35"/>
      <c r="Q648" s="35"/>
      <c r="R648" s="35"/>
      <c r="S648" s="35"/>
      <c r="T648" s="35"/>
      <c r="U648" s="35"/>
      <c r="V648" s="35"/>
      <c r="W648" s="35"/>
      <c r="X648" s="35"/>
      <c r="Y648" s="35"/>
    </row>
    <row r="649" ht="14.25" customHeight="1">
      <c r="A649" s="136"/>
      <c r="B649" s="137"/>
      <c r="C649" s="251"/>
      <c r="D649" s="452"/>
      <c r="E649" s="136"/>
      <c r="F649" s="253"/>
      <c r="G649" s="527"/>
      <c r="H649" s="141"/>
      <c r="I649" s="141"/>
      <c r="J649" s="142"/>
      <c r="K649" s="142"/>
      <c r="L649" s="142"/>
      <c r="M649" s="142"/>
      <c r="N649" s="136"/>
      <c r="O649" s="34"/>
      <c r="P649" s="35"/>
      <c r="Q649" s="35"/>
      <c r="R649" s="35"/>
      <c r="S649" s="35"/>
      <c r="T649" s="35"/>
      <c r="U649" s="35"/>
      <c r="V649" s="35"/>
      <c r="W649" s="35"/>
      <c r="X649" s="35"/>
      <c r="Y649" s="35"/>
    </row>
    <row r="650" ht="14.25" customHeight="1">
      <c r="A650" s="136"/>
      <c r="B650" s="137"/>
      <c r="C650" s="251"/>
      <c r="D650" s="452"/>
      <c r="E650" s="136"/>
      <c r="F650" s="253"/>
      <c r="G650" s="527"/>
      <c r="H650" s="141"/>
      <c r="I650" s="141"/>
      <c r="J650" s="142"/>
      <c r="K650" s="142"/>
      <c r="L650" s="142"/>
      <c r="M650" s="142"/>
      <c r="N650" s="136"/>
      <c r="O650" s="34"/>
      <c r="P650" s="35"/>
      <c r="Q650" s="35"/>
      <c r="R650" s="35"/>
      <c r="S650" s="35"/>
      <c r="T650" s="35"/>
      <c r="U650" s="35"/>
      <c r="V650" s="35"/>
      <c r="W650" s="35"/>
      <c r="X650" s="35"/>
      <c r="Y650" s="35"/>
    </row>
    <row r="651" ht="14.25" customHeight="1">
      <c r="A651" s="136"/>
      <c r="B651" s="137"/>
      <c r="C651" s="251"/>
      <c r="D651" s="452"/>
      <c r="E651" s="136"/>
      <c r="F651" s="253"/>
      <c r="G651" s="527"/>
      <c r="H651" s="141"/>
      <c r="I651" s="141"/>
      <c r="J651" s="142"/>
      <c r="K651" s="142"/>
      <c r="L651" s="142"/>
      <c r="M651" s="142"/>
      <c r="N651" s="136"/>
      <c r="O651" s="34"/>
      <c r="P651" s="35"/>
      <c r="Q651" s="35"/>
      <c r="R651" s="35"/>
      <c r="S651" s="35"/>
      <c r="T651" s="35"/>
      <c r="U651" s="35"/>
      <c r="V651" s="35"/>
      <c r="W651" s="35"/>
      <c r="X651" s="35"/>
      <c r="Y651" s="35"/>
    </row>
    <row r="652" ht="14.25" customHeight="1">
      <c r="A652" s="136"/>
      <c r="B652" s="137"/>
      <c r="C652" s="251"/>
      <c r="D652" s="452"/>
      <c r="E652" s="136"/>
      <c r="F652" s="253"/>
      <c r="G652" s="527"/>
      <c r="H652" s="141"/>
      <c r="I652" s="141"/>
      <c r="J652" s="142"/>
      <c r="K652" s="142"/>
      <c r="L652" s="142"/>
      <c r="M652" s="142"/>
      <c r="N652" s="136"/>
      <c r="O652" s="34"/>
      <c r="P652" s="35"/>
      <c r="Q652" s="35"/>
      <c r="R652" s="35"/>
      <c r="S652" s="35"/>
      <c r="T652" s="35"/>
      <c r="U652" s="35"/>
      <c r="V652" s="35"/>
      <c r="W652" s="35"/>
      <c r="X652" s="35"/>
      <c r="Y652" s="35"/>
    </row>
    <row r="653" ht="14.25" customHeight="1">
      <c r="A653" s="136"/>
      <c r="B653" s="137"/>
      <c r="C653" s="251"/>
      <c r="D653" s="452"/>
      <c r="E653" s="136"/>
      <c r="F653" s="253"/>
      <c r="G653" s="527"/>
      <c r="H653" s="141"/>
      <c r="I653" s="141"/>
      <c r="J653" s="142"/>
      <c r="K653" s="142"/>
      <c r="L653" s="142"/>
      <c r="M653" s="142"/>
      <c r="N653" s="136"/>
      <c r="O653" s="34"/>
      <c r="P653" s="35"/>
      <c r="Q653" s="35"/>
      <c r="R653" s="35"/>
      <c r="S653" s="35"/>
      <c r="T653" s="35"/>
      <c r="U653" s="35"/>
      <c r="V653" s="35"/>
      <c r="W653" s="35"/>
      <c r="X653" s="35"/>
      <c r="Y653" s="35"/>
    </row>
    <row r="654" ht="14.25" customHeight="1">
      <c r="A654" s="136"/>
      <c r="B654" s="137"/>
      <c r="C654" s="251"/>
      <c r="D654" s="452"/>
      <c r="E654" s="136"/>
      <c r="F654" s="253"/>
      <c r="G654" s="527"/>
      <c r="H654" s="141"/>
      <c r="I654" s="141"/>
      <c r="J654" s="142"/>
      <c r="K654" s="142"/>
      <c r="L654" s="142"/>
      <c r="M654" s="142"/>
      <c r="N654" s="136"/>
      <c r="O654" s="34"/>
      <c r="P654" s="35"/>
      <c r="Q654" s="35"/>
      <c r="R654" s="35"/>
      <c r="S654" s="35"/>
      <c r="T654" s="35"/>
      <c r="U654" s="35"/>
      <c r="V654" s="35"/>
      <c r="W654" s="35"/>
      <c r="X654" s="35"/>
      <c r="Y654" s="35"/>
    </row>
    <row r="655" ht="14.25" customHeight="1">
      <c r="A655" s="136"/>
      <c r="B655" s="137"/>
      <c r="C655" s="251"/>
      <c r="D655" s="452"/>
      <c r="E655" s="136"/>
      <c r="F655" s="253"/>
      <c r="G655" s="527"/>
      <c r="H655" s="141"/>
      <c r="I655" s="141"/>
      <c r="J655" s="142"/>
      <c r="K655" s="142"/>
      <c r="L655" s="142"/>
      <c r="M655" s="142"/>
      <c r="N655" s="136"/>
      <c r="O655" s="34"/>
      <c r="P655" s="35"/>
      <c r="Q655" s="35"/>
      <c r="R655" s="35"/>
      <c r="S655" s="35"/>
      <c r="T655" s="35"/>
      <c r="U655" s="35"/>
      <c r="V655" s="35"/>
      <c r="W655" s="35"/>
      <c r="X655" s="35"/>
      <c r="Y655" s="35"/>
    </row>
    <row r="656" ht="14.25" customHeight="1">
      <c r="A656" s="136"/>
      <c r="B656" s="137"/>
      <c r="C656" s="251"/>
      <c r="D656" s="452"/>
      <c r="E656" s="136"/>
      <c r="F656" s="253"/>
      <c r="G656" s="527"/>
      <c r="H656" s="141"/>
      <c r="I656" s="141"/>
      <c r="J656" s="142"/>
      <c r="K656" s="142"/>
      <c r="L656" s="142"/>
      <c r="M656" s="142"/>
      <c r="N656" s="136"/>
      <c r="O656" s="34"/>
      <c r="P656" s="35"/>
      <c r="Q656" s="35"/>
      <c r="R656" s="35"/>
      <c r="S656" s="35"/>
      <c r="T656" s="35"/>
      <c r="U656" s="35"/>
      <c r="V656" s="35"/>
      <c r="W656" s="35"/>
      <c r="X656" s="35"/>
      <c r="Y656" s="35"/>
    </row>
    <row r="657" ht="14.25" customHeight="1">
      <c r="A657" s="136"/>
      <c r="B657" s="137"/>
      <c r="C657" s="251"/>
      <c r="D657" s="452"/>
      <c r="E657" s="136"/>
      <c r="F657" s="253"/>
      <c r="G657" s="527"/>
      <c r="H657" s="141"/>
      <c r="I657" s="141"/>
      <c r="J657" s="142"/>
      <c r="K657" s="142"/>
      <c r="L657" s="142"/>
      <c r="M657" s="142"/>
      <c r="N657" s="136"/>
      <c r="O657" s="34"/>
      <c r="P657" s="35"/>
      <c r="Q657" s="35"/>
      <c r="R657" s="35"/>
      <c r="S657" s="35"/>
      <c r="T657" s="35"/>
      <c r="U657" s="35"/>
      <c r="V657" s="35"/>
      <c r="W657" s="35"/>
      <c r="X657" s="35"/>
      <c r="Y657" s="35"/>
    </row>
    <row r="658" ht="14.25" customHeight="1">
      <c r="A658" s="136"/>
      <c r="B658" s="137"/>
      <c r="C658" s="251"/>
      <c r="D658" s="452"/>
      <c r="E658" s="136"/>
      <c r="F658" s="253"/>
      <c r="G658" s="527"/>
      <c r="H658" s="141"/>
      <c r="I658" s="141"/>
      <c r="J658" s="142"/>
      <c r="K658" s="142"/>
      <c r="L658" s="142"/>
      <c r="M658" s="142"/>
      <c r="N658" s="136"/>
      <c r="O658" s="34"/>
      <c r="P658" s="35"/>
      <c r="Q658" s="35"/>
      <c r="R658" s="35"/>
      <c r="S658" s="35"/>
      <c r="T658" s="35"/>
      <c r="U658" s="35"/>
      <c r="V658" s="35"/>
      <c r="W658" s="35"/>
      <c r="X658" s="35"/>
      <c r="Y658" s="35"/>
    </row>
    <row r="659" ht="14.25" customHeight="1">
      <c r="A659" s="136"/>
      <c r="B659" s="137"/>
      <c r="C659" s="251"/>
      <c r="D659" s="452"/>
      <c r="E659" s="136"/>
      <c r="F659" s="253"/>
      <c r="G659" s="527"/>
      <c r="H659" s="141"/>
      <c r="I659" s="141"/>
      <c r="J659" s="142"/>
      <c r="K659" s="142"/>
      <c r="L659" s="142"/>
      <c r="M659" s="142"/>
      <c r="N659" s="136"/>
      <c r="O659" s="34"/>
      <c r="P659" s="35"/>
      <c r="Q659" s="35"/>
      <c r="R659" s="35"/>
      <c r="S659" s="35"/>
      <c r="T659" s="35"/>
      <c r="U659" s="35"/>
      <c r="V659" s="35"/>
      <c r="W659" s="35"/>
      <c r="X659" s="35"/>
      <c r="Y659" s="35"/>
    </row>
    <row r="660" ht="14.25" customHeight="1">
      <c r="A660" s="136"/>
      <c r="B660" s="137"/>
      <c r="C660" s="251"/>
      <c r="D660" s="452"/>
      <c r="E660" s="136"/>
      <c r="F660" s="253"/>
      <c r="G660" s="527"/>
      <c r="H660" s="141"/>
      <c r="I660" s="141"/>
      <c r="J660" s="142"/>
      <c r="K660" s="142"/>
      <c r="L660" s="142"/>
      <c r="M660" s="142"/>
      <c r="N660" s="136"/>
      <c r="O660" s="34"/>
      <c r="P660" s="35"/>
      <c r="Q660" s="35"/>
      <c r="R660" s="35"/>
      <c r="S660" s="35"/>
      <c r="T660" s="35"/>
      <c r="U660" s="35"/>
      <c r="V660" s="35"/>
      <c r="W660" s="35"/>
      <c r="X660" s="35"/>
      <c r="Y660" s="35"/>
    </row>
    <row r="661" ht="14.25" customHeight="1">
      <c r="A661" s="136"/>
      <c r="B661" s="137"/>
      <c r="C661" s="251"/>
      <c r="D661" s="452"/>
      <c r="E661" s="136"/>
      <c r="F661" s="253"/>
      <c r="G661" s="527"/>
      <c r="H661" s="141"/>
      <c r="I661" s="141"/>
      <c r="J661" s="142"/>
      <c r="K661" s="142"/>
      <c r="L661" s="142"/>
      <c r="M661" s="142"/>
      <c r="N661" s="136"/>
      <c r="O661" s="34"/>
      <c r="P661" s="35"/>
      <c r="Q661" s="35"/>
      <c r="R661" s="35"/>
      <c r="S661" s="35"/>
      <c r="T661" s="35"/>
      <c r="U661" s="35"/>
      <c r="V661" s="35"/>
      <c r="W661" s="35"/>
      <c r="X661" s="35"/>
      <c r="Y661" s="35"/>
    </row>
    <row r="662" ht="14.25" customHeight="1">
      <c r="A662" s="136"/>
      <c r="B662" s="137"/>
      <c r="C662" s="251"/>
      <c r="D662" s="452"/>
      <c r="E662" s="136"/>
      <c r="F662" s="253"/>
      <c r="G662" s="527"/>
      <c r="H662" s="141"/>
      <c r="I662" s="141"/>
      <c r="J662" s="142"/>
      <c r="K662" s="142"/>
      <c r="L662" s="142"/>
      <c r="M662" s="142"/>
      <c r="N662" s="136"/>
      <c r="O662" s="34"/>
      <c r="P662" s="35"/>
      <c r="Q662" s="35"/>
      <c r="R662" s="35"/>
      <c r="S662" s="35"/>
      <c r="T662" s="35"/>
      <c r="U662" s="35"/>
      <c r="V662" s="35"/>
      <c r="W662" s="35"/>
      <c r="X662" s="35"/>
      <c r="Y662" s="35"/>
    </row>
    <row r="663" ht="14.25" customHeight="1">
      <c r="A663" s="136"/>
      <c r="B663" s="137"/>
      <c r="C663" s="251"/>
      <c r="D663" s="452"/>
      <c r="E663" s="136"/>
      <c r="F663" s="253"/>
      <c r="G663" s="527"/>
      <c r="H663" s="141"/>
      <c r="I663" s="141"/>
      <c r="J663" s="142"/>
      <c r="K663" s="142"/>
      <c r="L663" s="142"/>
      <c r="M663" s="142"/>
      <c r="N663" s="136"/>
      <c r="O663" s="34"/>
      <c r="P663" s="35"/>
      <c r="Q663" s="35"/>
      <c r="R663" s="35"/>
      <c r="S663" s="35"/>
      <c r="T663" s="35"/>
      <c r="U663" s="35"/>
      <c r="V663" s="35"/>
      <c r="W663" s="35"/>
      <c r="X663" s="35"/>
      <c r="Y663" s="35"/>
    </row>
    <row r="664" ht="14.25" customHeight="1">
      <c r="A664" s="136"/>
      <c r="B664" s="137"/>
      <c r="C664" s="251"/>
      <c r="D664" s="452"/>
      <c r="E664" s="136"/>
      <c r="F664" s="253"/>
      <c r="G664" s="527"/>
      <c r="H664" s="141"/>
      <c r="I664" s="141"/>
      <c r="J664" s="142"/>
      <c r="K664" s="142"/>
      <c r="L664" s="142"/>
      <c r="M664" s="142"/>
      <c r="N664" s="136"/>
      <c r="O664" s="34"/>
      <c r="P664" s="35"/>
      <c r="Q664" s="35"/>
      <c r="R664" s="35"/>
      <c r="S664" s="35"/>
      <c r="T664" s="35"/>
      <c r="U664" s="35"/>
      <c r="V664" s="35"/>
      <c r="W664" s="35"/>
      <c r="X664" s="35"/>
      <c r="Y664" s="35"/>
    </row>
    <row r="665" ht="14.25" customHeight="1">
      <c r="A665" s="136"/>
      <c r="B665" s="137"/>
      <c r="C665" s="251"/>
      <c r="D665" s="452"/>
      <c r="E665" s="136"/>
      <c r="F665" s="253"/>
      <c r="G665" s="527"/>
      <c r="H665" s="141"/>
      <c r="I665" s="141"/>
      <c r="J665" s="142"/>
      <c r="K665" s="142"/>
      <c r="L665" s="142"/>
      <c r="M665" s="142"/>
      <c r="N665" s="136"/>
      <c r="O665" s="34"/>
      <c r="P665" s="35"/>
      <c r="Q665" s="35"/>
      <c r="R665" s="35"/>
      <c r="S665" s="35"/>
      <c r="T665" s="35"/>
      <c r="U665" s="35"/>
      <c r="V665" s="35"/>
      <c r="W665" s="35"/>
      <c r="X665" s="35"/>
      <c r="Y665" s="35"/>
    </row>
    <row r="666" ht="14.25" customHeight="1">
      <c r="A666" s="136"/>
      <c r="B666" s="137"/>
      <c r="C666" s="251"/>
      <c r="D666" s="452"/>
      <c r="E666" s="136"/>
      <c r="F666" s="253"/>
      <c r="G666" s="527"/>
      <c r="H666" s="141"/>
      <c r="I666" s="141"/>
      <c r="J666" s="142"/>
      <c r="K666" s="142"/>
      <c r="L666" s="142"/>
      <c r="M666" s="142"/>
      <c r="N666" s="136"/>
      <c r="O666" s="34"/>
      <c r="P666" s="35"/>
      <c r="Q666" s="35"/>
      <c r="R666" s="35"/>
      <c r="S666" s="35"/>
      <c r="T666" s="35"/>
      <c r="U666" s="35"/>
      <c r="V666" s="35"/>
      <c r="W666" s="35"/>
      <c r="X666" s="35"/>
      <c r="Y666" s="35"/>
    </row>
    <row r="667" ht="14.25" customHeight="1">
      <c r="A667" s="136"/>
      <c r="B667" s="137"/>
      <c r="C667" s="251"/>
      <c r="D667" s="452"/>
      <c r="E667" s="136"/>
      <c r="F667" s="253"/>
      <c r="G667" s="527"/>
      <c r="H667" s="141"/>
      <c r="I667" s="141"/>
      <c r="J667" s="142"/>
      <c r="K667" s="142"/>
      <c r="L667" s="142"/>
      <c r="M667" s="142"/>
      <c r="N667" s="136"/>
      <c r="O667" s="34"/>
      <c r="P667" s="35"/>
      <c r="Q667" s="35"/>
      <c r="R667" s="35"/>
      <c r="S667" s="35"/>
      <c r="T667" s="35"/>
      <c r="U667" s="35"/>
      <c r="V667" s="35"/>
      <c r="W667" s="35"/>
      <c r="X667" s="35"/>
      <c r="Y667" s="35"/>
    </row>
    <row r="668" ht="14.25" customHeight="1">
      <c r="A668" s="136"/>
      <c r="B668" s="137"/>
      <c r="C668" s="251"/>
      <c r="D668" s="452"/>
      <c r="E668" s="136"/>
      <c r="F668" s="253"/>
      <c r="G668" s="527"/>
      <c r="H668" s="141"/>
      <c r="I668" s="141"/>
      <c r="J668" s="142"/>
      <c r="K668" s="142"/>
      <c r="L668" s="142"/>
      <c r="M668" s="142"/>
      <c r="N668" s="136"/>
      <c r="O668" s="34"/>
      <c r="P668" s="35"/>
      <c r="Q668" s="35"/>
      <c r="R668" s="35"/>
      <c r="S668" s="35"/>
      <c r="T668" s="35"/>
      <c r="U668" s="35"/>
      <c r="V668" s="35"/>
      <c r="W668" s="35"/>
      <c r="X668" s="35"/>
      <c r="Y668" s="35"/>
    </row>
    <row r="669" ht="14.25" customHeight="1">
      <c r="A669" s="136"/>
      <c r="B669" s="137"/>
      <c r="C669" s="251"/>
      <c r="D669" s="452"/>
      <c r="E669" s="136"/>
      <c r="F669" s="253"/>
      <c r="G669" s="527"/>
      <c r="H669" s="141"/>
      <c r="I669" s="141"/>
      <c r="J669" s="142"/>
      <c r="K669" s="142"/>
      <c r="L669" s="142"/>
      <c r="M669" s="142"/>
      <c r="N669" s="136"/>
      <c r="O669" s="34"/>
      <c r="P669" s="35"/>
      <c r="Q669" s="35"/>
      <c r="R669" s="35"/>
      <c r="S669" s="35"/>
      <c r="T669" s="35"/>
      <c r="U669" s="35"/>
      <c r="V669" s="35"/>
      <c r="W669" s="35"/>
      <c r="X669" s="35"/>
      <c r="Y669" s="35"/>
    </row>
    <row r="670" ht="14.25" customHeight="1">
      <c r="A670" s="136"/>
      <c r="B670" s="137"/>
      <c r="C670" s="251"/>
      <c r="D670" s="452"/>
      <c r="E670" s="136"/>
      <c r="F670" s="253"/>
      <c r="G670" s="527"/>
      <c r="H670" s="141"/>
      <c r="I670" s="141"/>
      <c r="J670" s="142"/>
      <c r="K670" s="142"/>
      <c r="L670" s="142"/>
      <c r="M670" s="142"/>
      <c r="N670" s="136"/>
      <c r="O670" s="34"/>
      <c r="P670" s="35"/>
      <c r="Q670" s="35"/>
      <c r="R670" s="35"/>
      <c r="S670" s="35"/>
      <c r="T670" s="35"/>
      <c r="U670" s="35"/>
      <c r="V670" s="35"/>
      <c r="W670" s="35"/>
      <c r="X670" s="35"/>
      <c r="Y670" s="35"/>
    </row>
    <row r="671" ht="14.25" customHeight="1">
      <c r="A671" s="136"/>
      <c r="B671" s="137"/>
      <c r="C671" s="251"/>
      <c r="D671" s="452"/>
      <c r="E671" s="136"/>
      <c r="F671" s="253"/>
      <c r="G671" s="527"/>
      <c r="H671" s="141"/>
      <c r="I671" s="141"/>
      <c r="J671" s="142"/>
      <c r="K671" s="142"/>
      <c r="L671" s="142"/>
      <c r="M671" s="142"/>
      <c r="N671" s="136"/>
      <c r="O671" s="34"/>
      <c r="P671" s="35"/>
      <c r="Q671" s="35"/>
      <c r="R671" s="35"/>
      <c r="S671" s="35"/>
      <c r="T671" s="35"/>
      <c r="U671" s="35"/>
      <c r="V671" s="35"/>
      <c r="W671" s="35"/>
      <c r="X671" s="35"/>
      <c r="Y671" s="35"/>
    </row>
    <row r="672" ht="14.25" customHeight="1">
      <c r="A672" s="136"/>
      <c r="B672" s="137"/>
      <c r="C672" s="251"/>
      <c r="D672" s="452"/>
      <c r="E672" s="136"/>
      <c r="F672" s="253"/>
      <c r="G672" s="527"/>
      <c r="H672" s="141"/>
      <c r="I672" s="141"/>
      <c r="J672" s="142"/>
      <c r="K672" s="142"/>
      <c r="L672" s="142"/>
      <c r="M672" s="142"/>
      <c r="N672" s="136"/>
      <c r="O672" s="34"/>
      <c r="P672" s="35"/>
      <c r="Q672" s="35"/>
      <c r="R672" s="35"/>
      <c r="S672" s="35"/>
      <c r="T672" s="35"/>
      <c r="U672" s="35"/>
      <c r="V672" s="35"/>
      <c r="W672" s="35"/>
      <c r="X672" s="35"/>
      <c r="Y672" s="35"/>
    </row>
    <row r="673" ht="14.25" customHeight="1">
      <c r="A673" s="136"/>
      <c r="B673" s="137"/>
      <c r="C673" s="251"/>
      <c r="D673" s="452"/>
      <c r="E673" s="136"/>
      <c r="F673" s="253"/>
      <c r="G673" s="527"/>
      <c r="H673" s="141"/>
      <c r="I673" s="141"/>
      <c r="J673" s="142"/>
      <c r="K673" s="142"/>
      <c r="L673" s="142"/>
      <c r="M673" s="142"/>
      <c r="N673" s="136"/>
      <c r="O673" s="34"/>
      <c r="P673" s="35"/>
      <c r="Q673" s="35"/>
      <c r="R673" s="35"/>
      <c r="S673" s="35"/>
      <c r="T673" s="35"/>
      <c r="U673" s="35"/>
      <c r="V673" s="35"/>
      <c r="W673" s="35"/>
      <c r="X673" s="35"/>
      <c r="Y673" s="35"/>
    </row>
    <row r="674" ht="14.25" customHeight="1">
      <c r="A674" s="136"/>
      <c r="B674" s="137"/>
      <c r="C674" s="251"/>
      <c r="D674" s="452"/>
      <c r="E674" s="136"/>
      <c r="F674" s="253"/>
      <c r="G674" s="527"/>
      <c r="H674" s="141"/>
      <c r="I674" s="141"/>
      <c r="J674" s="142"/>
      <c r="K674" s="142"/>
      <c r="L674" s="142"/>
      <c r="M674" s="142"/>
      <c r="N674" s="136"/>
      <c r="O674" s="34"/>
      <c r="P674" s="35"/>
      <c r="Q674" s="35"/>
      <c r="R674" s="35"/>
      <c r="S674" s="35"/>
      <c r="T674" s="35"/>
      <c r="U674" s="35"/>
      <c r="V674" s="35"/>
      <c r="W674" s="35"/>
      <c r="X674" s="35"/>
      <c r="Y674" s="35"/>
    </row>
    <row r="675" ht="14.25" customHeight="1">
      <c r="A675" s="136"/>
      <c r="B675" s="137"/>
      <c r="C675" s="251"/>
      <c r="D675" s="452"/>
      <c r="E675" s="136"/>
      <c r="F675" s="253"/>
      <c r="G675" s="527"/>
      <c r="H675" s="141"/>
      <c r="I675" s="141"/>
      <c r="J675" s="142"/>
      <c r="K675" s="142"/>
      <c r="L675" s="142"/>
      <c r="M675" s="142"/>
      <c r="N675" s="136"/>
      <c r="O675" s="34"/>
      <c r="P675" s="35"/>
      <c r="Q675" s="35"/>
      <c r="R675" s="35"/>
      <c r="S675" s="35"/>
      <c r="T675" s="35"/>
      <c r="U675" s="35"/>
      <c r="V675" s="35"/>
      <c r="W675" s="35"/>
      <c r="X675" s="35"/>
      <c r="Y675" s="35"/>
    </row>
    <row r="676" ht="14.25" customHeight="1">
      <c r="A676" s="136"/>
      <c r="B676" s="137"/>
      <c r="C676" s="251"/>
      <c r="D676" s="452"/>
      <c r="E676" s="136"/>
      <c r="F676" s="253"/>
      <c r="G676" s="527"/>
      <c r="H676" s="141"/>
      <c r="I676" s="141"/>
      <c r="J676" s="142"/>
      <c r="K676" s="142"/>
      <c r="L676" s="142"/>
      <c r="M676" s="142"/>
      <c r="N676" s="136"/>
      <c r="O676" s="34"/>
      <c r="P676" s="35"/>
      <c r="Q676" s="35"/>
      <c r="R676" s="35"/>
      <c r="S676" s="35"/>
      <c r="T676" s="35"/>
      <c r="U676" s="35"/>
      <c r="V676" s="35"/>
      <c r="W676" s="35"/>
      <c r="X676" s="35"/>
      <c r="Y676" s="35"/>
    </row>
    <row r="677" ht="14.25" customHeight="1">
      <c r="A677" s="136"/>
      <c r="B677" s="137"/>
      <c r="C677" s="251"/>
      <c r="D677" s="452"/>
      <c r="E677" s="136"/>
      <c r="F677" s="253"/>
      <c r="G677" s="527"/>
      <c r="H677" s="141"/>
      <c r="I677" s="141"/>
      <c r="J677" s="142"/>
      <c r="K677" s="142"/>
      <c r="L677" s="142"/>
      <c r="M677" s="142"/>
      <c r="N677" s="136"/>
      <c r="O677" s="34"/>
      <c r="P677" s="35"/>
      <c r="Q677" s="35"/>
      <c r="R677" s="35"/>
      <c r="S677" s="35"/>
      <c r="T677" s="35"/>
      <c r="U677" s="35"/>
      <c r="V677" s="35"/>
      <c r="W677" s="35"/>
      <c r="X677" s="35"/>
      <c r="Y677" s="35"/>
    </row>
    <row r="678" ht="14.25" customHeight="1">
      <c r="A678" s="136"/>
      <c r="B678" s="137"/>
      <c r="C678" s="251"/>
      <c r="D678" s="452"/>
      <c r="E678" s="136"/>
      <c r="F678" s="253"/>
      <c r="G678" s="527"/>
      <c r="H678" s="141"/>
      <c r="I678" s="141"/>
      <c r="J678" s="142"/>
      <c r="K678" s="142"/>
      <c r="L678" s="142"/>
      <c r="M678" s="142"/>
      <c r="N678" s="136"/>
      <c r="O678" s="34"/>
      <c r="P678" s="35"/>
      <c r="Q678" s="35"/>
      <c r="R678" s="35"/>
      <c r="S678" s="35"/>
      <c r="T678" s="35"/>
      <c r="U678" s="35"/>
      <c r="V678" s="35"/>
      <c r="W678" s="35"/>
      <c r="X678" s="35"/>
      <c r="Y678" s="35"/>
    </row>
    <row r="679" ht="14.25" customHeight="1">
      <c r="A679" s="136"/>
      <c r="B679" s="137"/>
      <c r="C679" s="251"/>
      <c r="D679" s="452"/>
      <c r="E679" s="136"/>
      <c r="F679" s="253"/>
      <c r="G679" s="527"/>
      <c r="H679" s="141"/>
      <c r="I679" s="141"/>
      <c r="J679" s="142"/>
      <c r="K679" s="142"/>
      <c r="L679" s="142"/>
      <c r="M679" s="142"/>
      <c r="N679" s="136"/>
      <c r="O679" s="34"/>
      <c r="P679" s="35"/>
      <c r="Q679" s="35"/>
      <c r="R679" s="35"/>
      <c r="S679" s="35"/>
      <c r="T679" s="35"/>
      <c r="U679" s="35"/>
      <c r="V679" s="35"/>
      <c r="W679" s="35"/>
      <c r="X679" s="35"/>
      <c r="Y679" s="35"/>
    </row>
    <row r="680" ht="14.25" customHeight="1">
      <c r="A680" s="136"/>
      <c r="B680" s="137"/>
      <c r="C680" s="251"/>
      <c r="D680" s="452"/>
      <c r="E680" s="136"/>
      <c r="F680" s="253"/>
      <c r="G680" s="527"/>
      <c r="H680" s="141"/>
      <c r="I680" s="141"/>
      <c r="J680" s="142"/>
      <c r="K680" s="142"/>
      <c r="L680" s="142"/>
      <c r="M680" s="142"/>
      <c r="N680" s="136"/>
      <c r="O680" s="34"/>
      <c r="P680" s="35"/>
      <c r="Q680" s="35"/>
      <c r="R680" s="35"/>
      <c r="S680" s="35"/>
      <c r="T680" s="35"/>
      <c r="U680" s="35"/>
      <c r="V680" s="35"/>
      <c r="W680" s="35"/>
      <c r="X680" s="35"/>
      <c r="Y680" s="35"/>
    </row>
    <row r="681" ht="14.25" customHeight="1">
      <c r="A681" s="136"/>
      <c r="B681" s="137"/>
      <c r="C681" s="251"/>
      <c r="D681" s="452"/>
      <c r="E681" s="136"/>
      <c r="F681" s="253"/>
      <c r="G681" s="527"/>
      <c r="H681" s="141"/>
      <c r="I681" s="141"/>
      <c r="J681" s="142"/>
      <c r="K681" s="142"/>
      <c r="L681" s="142"/>
      <c r="M681" s="142"/>
      <c r="N681" s="136"/>
      <c r="O681" s="34"/>
      <c r="P681" s="35"/>
      <c r="Q681" s="35"/>
      <c r="R681" s="35"/>
      <c r="S681" s="35"/>
      <c r="T681" s="35"/>
      <c r="U681" s="35"/>
      <c r="V681" s="35"/>
      <c r="W681" s="35"/>
      <c r="X681" s="35"/>
      <c r="Y681" s="35"/>
    </row>
    <row r="682" ht="14.25" customHeight="1">
      <c r="A682" s="136"/>
      <c r="B682" s="137"/>
      <c r="C682" s="251"/>
      <c r="D682" s="452"/>
      <c r="E682" s="136"/>
      <c r="F682" s="253"/>
      <c r="G682" s="527"/>
      <c r="H682" s="141"/>
      <c r="I682" s="141"/>
      <c r="J682" s="142"/>
      <c r="K682" s="142"/>
      <c r="L682" s="142"/>
      <c r="M682" s="142"/>
      <c r="N682" s="136"/>
      <c r="O682" s="34"/>
      <c r="P682" s="35"/>
      <c r="Q682" s="35"/>
      <c r="R682" s="35"/>
      <c r="S682" s="35"/>
      <c r="T682" s="35"/>
      <c r="U682" s="35"/>
      <c r="V682" s="35"/>
      <c r="W682" s="35"/>
      <c r="X682" s="35"/>
      <c r="Y682" s="35"/>
    </row>
    <row r="683" ht="14.25" customHeight="1">
      <c r="A683" s="136"/>
      <c r="B683" s="137"/>
      <c r="C683" s="251"/>
      <c r="D683" s="452"/>
      <c r="E683" s="136"/>
      <c r="F683" s="253"/>
      <c r="G683" s="527"/>
      <c r="H683" s="141"/>
      <c r="I683" s="141"/>
      <c r="J683" s="142"/>
      <c r="K683" s="142"/>
      <c r="L683" s="142"/>
      <c r="M683" s="142"/>
      <c r="N683" s="136"/>
      <c r="O683" s="34"/>
      <c r="P683" s="35"/>
      <c r="Q683" s="35"/>
      <c r="R683" s="35"/>
      <c r="S683" s="35"/>
      <c r="T683" s="35"/>
      <c r="U683" s="35"/>
      <c r="V683" s="35"/>
      <c r="W683" s="35"/>
      <c r="X683" s="35"/>
      <c r="Y683" s="35"/>
    </row>
    <row r="684" ht="14.25" customHeight="1">
      <c r="A684" s="136"/>
      <c r="B684" s="137"/>
      <c r="C684" s="251"/>
      <c r="D684" s="452"/>
      <c r="E684" s="136"/>
      <c r="F684" s="253"/>
      <c r="G684" s="527"/>
      <c r="H684" s="141"/>
      <c r="I684" s="141"/>
      <c r="J684" s="142"/>
      <c r="K684" s="142"/>
      <c r="L684" s="142"/>
      <c r="M684" s="142"/>
      <c r="N684" s="136"/>
      <c r="O684" s="34"/>
      <c r="P684" s="35"/>
      <c r="Q684" s="35"/>
      <c r="R684" s="35"/>
      <c r="S684" s="35"/>
      <c r="T684" s="35"/>
      <c r="U684" s="35"/>
      <c r="V684" s="35"/>
      <c r="W684" s="35"/>
      <c r="X684" s="35"/>
      <c r="Y684" s="35"/>
    </row>
    <row r="685" ht="14.25" customHeight="1">
      <c r="A685" s="136"/>
      <c r="B685" s="137"/>
      <c r="C685" s="251"/>
      <c r="D685" s="452"/>
      <c r="E685" s="136"/>
      <c r="F685" s="253"/>
      <c r="G685" s="527"/>
      <c r="H685" s="141"/>
      <c r="I685" s="141"/>
      <c r="J685" s="142"/>
      <c r="K685" s="142"/>
      <c r="L685" s="142"/>
      <c r="M685" s="142"/>
      <c r="N685" s="136"/>
      <c r="O685" s="34"/>
      <c r="P685" s="35"/>
      <c r="Q685" s="35"/>
      <c r="R685" s="35"/>
      <c r="S685" s="35"/>
      <c r="T685" s="35"/>
      <c r="U685" s="35"/>
      <c r="V685" s="35"/>
      <c r="W685" s="35"/>
      <c r="X685" s="35"/>
      <c r="Y685" s="35"/>
    </row>
    <row r="686" ht="14.25" customHeight="1">
      <c r="A686" s="136"/>
      <c r="B686" s="137"/>
      <c r="C686" s="251"/>
      <c r="D686" s="452"/>
      <c r="E686" s="136"/>
      <c r="F686" s="253"/>
      <c r="G686" s="527"/>
      <c r="H686" s="141"/>
      <c r="I686" s="141"/>
      <c r="J686" s="142"/>
      <c r="K686" s="142"/>
      <c r="L686" s="142"/>
      <c r="M686" s="142"/>
      <c r="N686" s="136"/>
      <c r="O686" s="34"/>
      <c r="P686" s="35"/>
      <c r="Q686" s="35"/>
      <c r="R686" s="35"/>
      <c r="S686" s="35"/>
      <c r="T686" s="35"/>
      <c r="U686" s="35"/>
      <c r="V686" s="35"/>
      <c r="W686" s="35"/>
      <c r="X686" s="35"/>
      <c r="Y686" s="35"/>
    </row>
    <row r="687" ht="14.25" customHeight="1">
      <c r="A687" s="136"/>
      <c r="B687" s="137"/>
      <c r="C687" s="251"/>
      <c r="D687" s="452"/>
      <c r="E687" s="136"/>
      <c r="F687" s="253"/>
      <c r="G687" s="527"/>
      <c r="H687" s="141"/>
      <c r="I687" s="141"/>
      <c r="J687" s="142"/>
      <c r="K687" s="142"/>
      <c r="L687" s="142"/>
      <c r="M687" s="142"/>
      <c r="N687" s="136"/>
      <c r="O687" s="34"/>
      <c r="P687" s="35"/>
      <c r="Q687" s="35"/>
      <c r="R687" s="35"/>
      <c r="S687" s="35"/>
      <c r="T687" s="35"/>
      <c r="U687" s="35"/>
      <c r="V687" s="35"/>
      <c r="W687" s="35"/>
      <c r="X687" s="35"/>
      <c r="Y687" s="35"/>
    </row>
    <row r="688" ht="14.25" customHeight="1">
      <c r="A688" s="136"/>
      <c r="B688" s="137"/>
      <c r="C688" s="251"/>
      <c r="D688" s="452"/>
      <c r="E688" s="136"/>
      <c r="F688" s="253"/>
      <c r="G688" s="527"/>
      <c r="H688" s="141"/>
      <c r="I688" s="141"/>
      <c r="J688" s="142"/>
      <c r="K688" s="142"/>
      <c r="L688" s="142"/>
      <c r="M688" s="142"/>
      <c r="N688" s="136"/>
      <c r="O688" s="34"/>
      <c r="P688" s="35"/>
      <c r="Q688" s="35"/>
      <c r="R688" s="35"/>
      <c r="S688" s="35"/>
      <c r="T688" s="35"/>
      <c r="U688" s="35"/>
      <c r="V688" s="35"/>
      <c r="W688" s="35"/>
      <c r="X688" s="35"/>
      <c r="Y688" s="35"/>
    </row>
    <row r="689" ht="14.25" customHeight="1">
      <c r="A689" s="136"/>
      <c r="B689" s="137"/>
      <c r="C689" s="251"/>
      <c r="D689" s="452"/>
      <c r="E689" s="136"/>
      <c r="F689" s="253"/>
      <c r="G689" s="527"/>
      <c r="H689" s="141"/>
      <c r="I689" s="141"/>
      <c r="J689" s="142"/>
      <c r="K689" s="142"/>
      <c r="L689" s="142"/>
      <c r="M689" s="142"/>
      <c r="N689" s="136"/>
      <c r="O689" s="34"/>
      <c r="P689" s="35"/>
      <c r="Q689" s="35"/>
      <c r="R689" s="35"/>
      <c r="S689" s="35"/>
      <c r="T689" s="35"/>
      <c r="U689" s="35"/>
      <c r="V689" s="35"/>
      <c r="W689" s="35"/>
      <c r="X689" s="35"/>
      <c r="Y689" s="35"/>
    </row>
    <row r="690" ht="14.25" customHeight="1">
      <c r="A690" s="136"/>
      <c r="B690" s="137"/>
      <c r="C690" s="251"/>
      <c r="D690" s="452"/>
      <c r="E690" s="136"/>
      <c r="F690" s="253"/>
      <c r="G690" s="527"/>
      <c r="H690" s="141"/>
      <c r="I690" s="141"/>
      <c r="J690" s="142"/>
      <c r="K690" s="142"/>
      <c r="L690" s="142"/>
      <c r="M690" s="142"/>
      <c r="N690" s="136"/>
      <c r="O690" s="34"/>
      <c r="P690" s="35"/>
      <c r="Q690" s="35"/>
      <c r="R690" s="35"/>
      <c r="S690" s="35"/>
      <c r="T690" s="35"/>
      <c r="U690" s="35"/>
      <c r="V690" s="35"/>
      <c r="W690" s="35"/>
      <c r="X690" s="35"/>
      <c r="Y690" s="35"/>
    </row>
    <row r="691" ht="14.25" customHeight="1">
      <c r="A691" s="136"/>
      <c r="B691" s="137"/>
      <c r="C691" s="251"/>
      <c r="D691" s="452"/>
      <c r="E691" s="136"/>
      <c r="F691" s="253"/>
      <c r="G691" s="527"/>
      <c r="H691" s="141"/>
      <c r="I691" s="141"/>
      <c r="J691" s="142"/>
      <c r="K691" s="142"/>
      <c r="L691" s="142"/>
      <c r="M691" s="142"/>
      <c r="N691" s="136"/>
      <c r="O691" s="34"/>
      <c r="P691" s="35"/>
      <c r="Q691" s="35"/>
      <c r="R691" s="35"/>
      <c r="S691" s="35"/>
      <c r="T691" s="35"/>
      <c r="U691" s="35"/>
      <c r="V691" s="35"/>
      <c r="W691" s="35"/>
      <c r="X691" s="35"/>
      <c r="Y691" s="35"/>
    </row>
    <row r="692" ht="14.25" customHeight="1">
      <c r="A692" s="136"/>
      <c r="B692" s="137"/>
      <c r="C692" s="251"/>
      <c r="D692" s="452"/>
      <c r="E692" s="136"/>
      <c r="F692" s="253"/>
      <c r="G692" s="527"/>
      <c r="H692" s="141"/>
      <c r="I692" s="141"/>
      <c r="J692" s="142"/>
      <c r="K692" s="142"/>
      <c r="L692" s="142"/>
      <c r="M692" s="142"/>
      <c r="N692" s="136"/>
      <c r="O692" s="34"/>
      <c r="P692" s="35"/>
      <c r="Q692" s="35"/>
      <c r="R692" s="35"/>
      <c r="S692" s="35"/>
      <c r="T692" s="35"/>
      <c r="U692" s="35"/>
      <c r="V692" s="35"/>
      <c r="W692" s="35"/>
      <c r="X692" s="35"/>
      <c r="Y692" s="35"/>
    </row>
    <row r="693" ht="14.25" customHeight="1">
      <c r="A693" s="136"/>
      <c r="B693" s="137"/>
      <c r="C693" s="251"/>
      <c r="D693" s="452"/>
      <c r="E693" s="136"/>
      <c r="F693" s="253"/>
      <c r="G693" s="527"/>
      <c r="H693" s="141"/>
      <c r="I693" s="141"/>
      <c r="J693" s="142"/>
      <c r="K693" s="142"/>
      <c r="L693" s="142"/>
      <c r="M693" s="142"/>
      <c r="N693" s="136"/>
      <c r="O693" s="34"/>
      <c r="P693" s="35"/>
      <c r="Q693" s="35"/>
      <c r="R693" s="35"/>
      <c r="S693" s="35"/>
      <c r="T693" s="35"/>
      <c r="U693" s="35"/>
      <c r="V693" s="35"/>
      <c r="W693" s="35"/>
      <c r="X693" s="35"/>
      <c r="Y693" s="35"/>
    </row>
    <row r="694" ht="14.25" customHeight="1">
      <c r="A694" s="136"/>
      <c r="B694" s="137"/>
      <c r="C694" s="251"/>
      <c r="D694" s="452"/>
      <c r="E694" s="136"/>
      <c r="F694" s="253"/>
      <c r="G694" s="527"/>
      <c r="H694" s="141"/>
      <c r="I694" s="141"/>
      <c r="J694" s="142"/>
      <c r="K694" s="142"/>
      <c r="L694" s="142"/>
      <c r="M694" s="142"/>
      <c r="N694" s="136"/>
      <c r="O694" s="34"/>
      <c r="P694" s="35"/>
      <c r="Q694" s="35"/>
      <c r="R694" s="35"/>
      <c r="S694" s="35"/>
      <c r="T694" s="35"/>
      <c r="U694" s="35"/>
      <c r="V694" s="35"/>
      <c r="W694" s="35"/>
      <c r="X694" s="35"/>
      <c r="Y694" s="35"/>
    </row>
    <row r="695" ht="14.25" customHeight="1">
      <c r="A695" s="136"/>
      <c r="B695" s="137"/>
      <c r="C695" s="251"/>
      <c r="D695" s="452"/>
      <c r="E695" s="136"/>
      <c r="F695" s="253"/>
      <c r="G695" s="527"/>
      <c r="H695" s="141"/>
      <c r="I695" s="141"/>
      <c r="J695" s="142"/>
      <c r="K695" s="142"/>
      <c r="L695" s="142"/>
      <c r="M695" s="142"/>
      <c r="N695" s="136"/>
      <c r="O695" s="34"/>
      <c r="P695" s="35"/>
      <c r="Q695" s="35"/>
      <c r="R695" s="35"/>
      <c r="S695" s="35"/>
      <c r="T695" s="35"/>
      <c r="U695" s="35"/>
      <c r="V695" s="35"/>
      <c r="W695" s="35"/>
      <c r="X695" s="35"/>
      <c r="Y695" s="35"/>
    </row>
    <row r="696" ht="14.25" customHeight="1">
      <c r="A696" s="136"/>
      <c r="B696" s="137"/>
      <c r="C696" s="251"/>
      <c r="D696" s="452"/>
      <c r="E696" s="136"/>
      <c r="F696" s="253"/>
      <c r="G696" s="527"/>
      <c r="H696" s="141"/>
      <c r="I696" s="141"/>
      <c r="J696" s="142"/>
      <c r="K696" s="142"/>
      <c r="L696" s="142"/>
      <c r="M696" s="142"/>
      <c r="N696" s="136"/>
      <c r="O696" s="34"/>
      <c r="P696" s="35"/>
      <c r="Q696" s="35"/>
      <c r="R696" s="35"/>
      <c r="S696" s="35"/>
      <c r="T696" s="35"/>
      <c r="U696" s="35"/>
      <c r="V696" s="35"/>
      <c r="W696" s="35"/>
      <c r="X696" s="35"/>
      <c r="Y696" s="35"/>
    </row>
    <row r="697" ht="14.25" customHeight="1">
      <c r="A697" s="136"/>
      <c r="B697" s="137"/>
      <c r="C697" s="251"/>
      <c r="D697" s="452"/>
      <c r="E697" s="136"/>
      <c r="F697" s="253"/>
      <c r="G697" s="527"/>
      <c r="H697" s="141"/>
      <c r="I697" s="141"/>
      <c r="J697" s="142"/>
      <c r="K697" s="142"/>
      <c r="L697" s="142"/>
      <c r="M697" s="142"/>
      <c r="N697" s="136"/>
      <c r="O697" s="34"/>
      <c r="P697" s="35"/>
      <c r="Q697" s="35"/>
      <c r="R697" s="35"/>
      <c r="S697" s="35"/>
      <c r="T697" s="35"/>
      <c r="U697" s="35"/>
      <c r="V697" s="35"/>
      <c r="W697" s="35"/>
      <c r="X697" s="35"/>
      <c r="Y697" s="35"/>
    </row>
    <row r="698" ht="14.25" customHeight="1">
      <c r="A698" s="136"/>
      <c r="B698" s="137"/>
      <c r="C698" s="251"/>
      <c r="D698" s="452"/>
      <c r="E698" s="136"/>
      <c r="F698" s="253"/>
      <c r="G698" s="527"/>
      <c r="H698" s="141"/>
      <c r="I698" s="141"/>
      <c r="J698" s="142"/>
      <c r="K698" s="142"/>
      <c r="L698" s="142"/>
      <c r="M698" s="142"/>
      <c r="N698" s="136"/>
      <c r="O698" s="34"/>
      <c r="P698" s="35"/>
      <c r="Q698" s="35"/>
      <c r="R698" s="35"/>
      <c r="S698" s="35"/>
      <c r="T698" s="35"/>
      <c r="U698" s="35"/>
      <c r="V698" s="35"/>
      <c r="W698" s="35"/>
      <c r="X698" s="35"/>
      <c r="Y698" s="35"/>
    </row>
    <row r="699" ht="14.25" customHeight="1">
      <c r="A699" s="136"/>
      <c r="B699" s="137"/>
      <c r="C699" s="251"/>
      <c r="D699" s="452"/>
      <c r="E699" s="136"/>
      <c r="F699" s="253"/>
      <c r="G699" s="527"/>
      <c r="H699" s="141"/>
      <c r="I699" s="141"/>
      <c r="J699" s="142"/>
      <c r="K699" s="142"/>
      <c r="L699" s="142"/>
      <c r="M699" s="142"/>
      <c r="N699" s="136"/>
      <c r="O699" s="34"/>
      <c r="P699" s="35"/>
      <c r="Q699" s="35"/>
      <c r="R699" s="35"/>
      <c r="S699" s="35"/>
      <c r="T699" s="35"/>
      <c r="U699" s="35"/>
      <c r="V699" s="35"/>
      <c r="W699" s="35"/>
      <c r="X699" s="35"/>
      <c r="Y699" s="35"/>
    </row>
    <row r="700" ht="14.25" customHeight="1">
      <c r="A700" s="136"/>
      <c r="B700" s="137"/>
      <c r="C700" s="251"/>
      <c r="D700" s="452"/>
      <c r="E700" s="136"/>
      <c r="F700" s="253"/>
      <c r="G700" s="527"/>
      <c r="H700" s="141"/>
      <c r="I700" s="141"/>
      <c r="J700" s="142"/>
      <c r="K700" s="142"/>
      <c r="L700" s="142"/>
      <c r="M700" s="142"/>
      <c r="N700" s="136"/>
      <c r="O700" s="34"/>
      <c r="P700" s="35"/>
      <c r="Q700" s="35"/>
      <c r="R700" s="35"/>
      <c r="S700" s="35"/>
      <c r="T700" s="35"/>
      <c r="U700" s="35"/>
      <c r="V700" s="35"/>
      <c r="W700" s="35"/>
      <c r="X700" s="35"/>
      <c r="Y700" s="35"/>
    </row>
    <row r="701" ht="14.25" customHeight="1">
      <c r="A701" s="136"/>
      <c r="B701" s="137"/>
      <c r="C701" s="251"/>
      <c r="D701" s="452"/>
      <c r="E701" s="136"/>
      <c r="F701" s="253"/>
      <c r="G701" s="527"/>
      <c r="H701" s="141"/>
      <c r="I701" s="141"/>
      <c r="J701" s="142"/>
      <c r="K701" s="142"/>
      <c r="L701" s="142"/>
      <c r="M701" s="142"/>
      <c r="N701" s="136"/>
      <c r="O701" s="34"/>
      <c r="P701" s="35"/>
      <c r="Q701" s="35"/>
      <c r="R701" s="35"/>
      <c r="S701" s="35"/>
      <c r="T701" s="35"/>
      <c r="U701" s="35"/>
      <c r="V701" s="35"/>
      <c r="W701" s="35"/>
      <c r="X701" s="35"/>
      <c r="Y701" s="35"/>
    </row>
    <row r="702" ht="14.25" customHeight="1">
      <c r="A702" s="136"/>
      <c r="B702" s="137"/>
      <c r="C702" s="251"/>
      <c r="D702" s="452"/>
      <c r="E702" s="136"/>
      <c r="F702" s="253"/>
      <c r="G702" s="527"/>
      <c r="H702" s="141"/>
      <c r="I702" s="141"/>
      <c r="J702" s="142"/>
      <c r="K702" s="142"/>
      <c r="L702" s="142"/>
      <c r="M702" s="142"/>
      <c r="N702" s="136"/>
      <c r="O702" s="34"/>
      <c r="P702" s="35"/>
      <c r="Q702" s="35"/>
      <c r="R702" s="35"/>
      <c r="S702" s="35"/>
      <c r="T702" s="35"/>
      <c r="U702" s="35"/>
      <c r="V702" s="35"/>
      <c r="W702" s="35"/>
      <c r="X702" s="35"/>
      <c r="Y702" s="35"/>
    </row>
    <row r="703" ht="14.25" customHeight="1">
      <c r="A703" s="136"/>
      <c r="B703" s="137"/>
      <c r="C703" s="251"/>
      <c r="D703" s="452"/>
      <c r="E703" s="136"/>
      <c r="F703" s="253"/>
      <c r="G703" s="527"/>
      <c r="H703" s="141"/>
      <c r="I703" s="141"/>
      <c r="J703" s="142"/>
      <c r="K703" s="142"/>
      <c r="L703" s="142"/>
      <c r="M703" s="142"/>
      <c r="N703" s="136"/>
      <c r="O703" s="34"/>
      <c r="P703" s="35"/>
      <c r="Q703" s="35"/>
      <c r="R703" s="35"/>
      <c r="S703" s="35"/>
      <c r="T703" s="35"/>
      <c r="U703" s="35"/>
      <c r="V703" s="35"/>
      <c r="W703" s="35"/>
      <c r="X703" s="35"/>
      <c r="Y703" s="35"/>
    </row>
    <row r="704" ht="14.25" customHeight="1">
      <c r="A704" s="136"/>
      <c r="B704" s="137"/>
      <c r="C704" s="251"/>
      <c r="D704" s="452"/>
      <c r="E704" s="136"/>
      <c r="F704" s="253"/>
      <c r="G704" s="527"/>
      <c r="H704" s="141"/>
      <c r="I704" s="141"/>
      <c r="J704" s="142"/>
      <c r="K704" s="142"/>
      <c r="L704" s="142"/>
      <c r="M704" s="142"/>
      <c r="N704" s="136"/>
      <c r="O704" s="34"/>
      <c r="P704" s="35"/>
      <c r="Q704" s="35"/>
      <c r="R704" s="35"/>
      <c r="S704" s="35"/>
      <c r="T704" s="35"/>
      <c r="U704" s="35"/>
      <c r="V704" s="35"/>
      <c r="W704" s="35"/>
      <c r="X704" s="35"/>
      <c r="Y704" s="35"/>
    </row>
    <row r="705" ht="14.25" customHeight="1">
      <c r="A705" s="136"/>
      <c r="B705" s="137"/>
      <c r="C705" s="251"/>
      <c r="D705" s="452"/>
      <c r="E705" s="136"/>
      <c r="F705" s="253"/>
      <c r="G705" s="527"/>
      <c r="H705" s="141"/>
      <c r="I705" s="141"/>
      <c r="J705" s="142"/>
      <c r="K705" s="142"/>
      <c r="L705" s="142"/>
      <c r="M705" s="142"/>
      <c r="N705" s="136"/>
      <c r="O705" s="34"/>
      <c r="P705" s="35"/>
      <c r="Q705" s="35"/>
      <c r="R705" s="35"/>
      <c r="S705" s="35"/>
      <c r="T705" s="35"/>
      <c r="U705" s="35"/>
      <c r="V705" s="35"/>
      <c r="W705" s="35"/>
      <c r="X705" s="35"/>
      <c r="Y705" s="35"/>
    </row>
    <row r="706" ht="14.25" customHeight="1">
      <c r="A706" s="136"/>
      <c r="B706" s="137"/>
      <c r="C706" s="251"/>
      <c r="D706" s="452"/>
      <c r="E706" s="136"/>
      <c r="F706" s="253"/>
      <c r="G706" s="527"/>
      <c r="H706" s="141"/>
      <c r="I706" s="141"/>
      <c r="J706" s="142"/>
      <c r="K706" s="142"/>
      <c r="L706" s="142"/>
      <c r="M706" s="142"/>
      <c r="N706" s="136"/>
      <c r="O706" s="34"/>
      <c r="P706" s="35"/>
      <c r="Q706" s="35"/>
      <c r="R706" s="35"/>
      <c r="S706" s="35"/>
      <c r="T706" s="35"/>
      <c r="U706" s="35"/>
      <c r="V706" s="35"/>
      <c r="W706" s="35"/>
      <c r="X706" s="35"/>
      <c r="Y706" s="35"/>
    </row>
    <row r="707" ht="14.25" customHeight="1">
      <c r="A707" s="136"/>
      <c r="B707" s="137"/>
      <c r="C707" s="251"/>
      <c r="D707" s="452"/>
      <c r="E707" s="136"/>
      <c r="F707" s="253"/>
      <c r="G707" s="527"/>
      <c r="H707" s="141"/>
      <c r="I707" s="141"/>
      <c r="J707" s="142"/>
      <c r="K707" s="142"/>
      <c r="L707" s="142"/>
      <c r="M707" s="142"/>
      <c r="N707" s="136"/>
      <c r="O707" s="34"/>
      <c r="P707" s="35"/>
      <c r="Q707" s="35"/>
      <c r="R707" s="35"/>
      <c r="S707" s="35"/>
      <c r="T707" s="35"/>
      <c r="U707" s="35"/>
      <c r="V707" s="35"/>
      <c r="W707" s="35"/>
      <c r="X707" s="35"/>
      <c r="Y707" s="35"/>
    </row>
    <row r="708" ht="14.25" customHeight="1">
      <c r="A708" s="136"/>
      <c r="B708" s="137"/>
      <c r="C708" s="251"/>
      <c r="D708" s="452"/>
      <c r="E708" s="136"/>
      <c r="F708" s="253"/>
      <c r="G708" s="527"/>
      <c r="H708" s="141"/>
      <c r="I708" s="141"/>
      <c r="J708" s="142"/>
      <c r="K708" s="142"/>
      <c r="L708" s="142"/>
      <c r="M708" s="142"/>
      <c r="N708" s="136"/>
      <c r="O708" s="34"/>
      <c r="P708" s="35"/>
      <c r="Q708" s="35"/>
      <c r="R708" s="35"/>
      <c r="S708" s="35"/>
      <c r="T708" s="35"/>
      <c r="U708" s="35"/>
      <c r="V708" s="35"/>
      <c r="W708" s="35"/>
      <c r="X708" s="35"/>
      <c r="Y708" s="35"/>
    </row>
    <row r="709" ht="14.25" customHeight="1">
      <c r="A709" s="136"/>
      <c r="B709" s="137"/>
      <c r="C709" s="251"/>
      <c r="D709" s="452"/>
      <c r="E709" s="136"/>
      <c r="F709" s="253"/>
      <c r="G709" s="527"/>
      <c r="H709" s="141"/>
      <c r="I709" s="141"/>
      <c r="J709" s="142"/>
      <c r="K709" s="142"/>
      <c r="L709" s="142"/>
      <c r="M709" s="142"/>
      <c r="N709" s="136"/>
      <c r="O709" s="34"/>
      <c r="P709" s="35"/>
      <c r="Q709" s="35"/>
      <c r="R709" s="35"/>
      <c r="S709" s="35"/>
      <c r="T709" s="35"/>
      <c r="U709" s="35"/>
      <c r="V709" s="35"/>
      <c r="W709" s="35"/>
      <c r="X709" s="35"/>
      <c r="Y709" s="35"/>
    </row>
    <row r="710" ht="14.25" customHeight="1">
      <c r="A710" s="136"/>
      <c r="B710" s="137"/>
      <c r="C710" s="251"/>
      <c r="D710" s="452"/>
      <c r="E710" s="136"/>
      <c r="F710" s="253"/>
      <c r="G710" s="527"/>
      <c r="H710" s="141"/>
      <c r="I710" s="141"/>
      <c r="J710" s="142"/>
      <c r="K710" s="142"/>
      <c r="L710" s="142"/>
      <c r="M710" s="142"/>
      <c r="N710" s="136"/>
      <c r="O710" s="34"/>
      <c r="P710" s="35"/>
      <c r="Q710" s="35"/>
      <c r="R710" s="35"/>
      <c r="S710" s="35"/>
      <c r="T710" s="35"/>
      <c r="U710" s="35"/>
      <c r="V710" s="35"/>
      <c r="W710" s="35"/>
      <c r="X710" s="35"/>
      <c r="Y710" s="35"/>
    </row>
    <row r="711" ht="14.25" customHeight="1">
      <c r="A711" s="136"/>
      <c r="B711" s="137"/>
      <c r="C711" s="251"/>
      <c r="D711" s="452"/>
      <c r="E711" s="136"/>
      <c r="F711" s="253"/>
      <c r="G711" s="527"/>
      <c r="H711" s="141"/>
      <c r="I711" s="141"/>
      <c r="J711" s="142"/>
      <c r="K711" s="142"/>
      <c r="L711" s="142"/>
      <c r="M711" s="142"/>
      <c r="N711" s="136"/>
      <c r="O711" s="34"/>
      <c r="P711" s="35"/>
      <c r="Q711" s="35"/>
      <c r="R711" s="35"/>
      <c r="S711" s="35"/>
      <c r="T711" s="35"/>
      <c r="U711" s="35"/>
      <c r="V711" s="35"/>
      <c r="W711" s="35"/>
      <c r="X711" s="35"/>
      <c r="Y711" s="35"/>
    </row>
    <row r="712" ht="14.25" customHeight="1">
      <c r="A712" s="136"/>
      <c r="B712" s="137"/>
      <c r="C712" s="251"/>
      <c r="D712" s="452"/>
      <c r="E712" s="136"/>
      <c r="F712" s="253"/>
      <c r="G712" s="527"/>
      <c r="H712" s="141"/>
      <c r="I712" s="141"/>
      <c r="J712" s="142"/>
      <c r="K712" s="142"/>
      <c r="L712" s="142"/>
      <c r="M712" s="142"/>
      <c r="N712" s="136"/>
      <c r="O712" s="34"/>
      <c r="P712" s="35"/>
      <c r="Q712" s="35"/>
      <c r="R712" s="35"/>
      <c r="S712" s="35"/>
      <c r="T712" s="35"/>
      <c r="U712" s="35"/>
      <c r="V712" s="35"/>
      <c r="W712" s="35"/>
      <c r="X712" s="35"/>
      <c r="Y712" s="35"/>
    </row>
    <row r="713" ht="14.25" customHeight="1">
      <c r="A713" s="136"/>
      <c r="B713" s="137"/>
      <c r="C713" s="251"/>
      <c r="D713" s="452"/>
      <c r="E713" s="136"/>
      <c r="F713" s="253"/>
      <c r="G713" s="527"/>
      <c r="H713" s="141"/>
      <c r="I713" s="141"/>
      <c r="J713" s="142"/>
      <c r="K713" s="142"/>
      <c r="L713" s="142"/>
      <c r="M713" s="142"/>
      <c r="N713" s="136"/>
      <c r="O713" s="34"/>
      <c r="P713" s="35"/>
      <c r="Q713" s="35"/>
      <c r="R713" s="35"/>
      <c r="S713" s="35"/>
      <c r="T713" s="35"/>
      <c r="U713" s="35"/>
      <c r="V713" s="35"/>
      <c r="W713" s="35"/>
      <c r="X713" s="35"/>
      <c r="Y713" s="35"/>
    </row>
    <row r="714" ht="14.25" customHeight="1">
      <c r="A714" s="136"/>
      <c r="B714" s="137"/>
      <c r="C714" s="251"/>
      <c r="D714" s="452"/>
      <c r="E714" s="136"/>
      <c r="F714" s="253"/>
      <c r="G714" s="527"/>
      <c r="H714" s="141"/>
      <c r="I714" s="141"/>
      <c r="J714" s="142"/>
      <c r="K714" s="142"/>
      <c r="L714" s="142"/>
      <c r="M714" s="142"/>
      <c r="N714" s="136"/>
      <c r="O714" s="34"/>
      <c r="P714" s="35"/>
      <c r="Q714" s="35"/>
      <c r="R714" s="35"/>
      <c r="S714" s="35"/>
      <c r="T714" s="35"/>
      <c r="U714" s="35"/>
      <c r="V714" s="35"/>
      <c r="W714" s="35"/>
      <c r="X714" s="35"/>
      <c r="Y714" s="35"/>
    </row>
    <row r="715" ht="14.25" customHeight="1">
      <c r="A715" s="136"/>
      <c r="B715" s="137"/>
      <c r="C715" s="251"/>
      <c r="D715" s="452"/>
      <c r="E715" s="136"/>
      <c r="F715" s="253"/>
      <c r="G715" s="527"/>
      <c r="H715" s="141"/>
      <c r="I715" s="141"/>
      <c r="J715" s="142"/>
      <c r="K715" s="142"/>
      <c r="L715" s="142"/>
      <c r="M715" s="142"/>
      <c r="N715" s="136"/>
      <c r="O715" s="34"/>
      <c r="P715" s="35"/>
      <c r="Q715" s="35"/>
      <c r="R715" s="35"/>
      <c r="S715" s="35"/>
      <c r="T715" s="35"/>
      <c r="U715" s="35"/>
      <c r="V715" s="35"/>
      <c r="W715" s="35"/>
      <c r="X715" s="35"/>
      <c r="Y715" s="35"/>
    </row>
    <row r="716" ht="14.25" customHeight="1">
      <c r="A716" s="136"/>
      <c r="B716" s="137"/>
      <c r="C716" s="251"/>
      <c r="D716" s="452"/>
      <c r="E716" s="136"/>
      <c r="F716" s="253"/>
      <c r="G716" s="527"/>
      <c r="H716" s="141"/>
      <c r="I716" s="141"/>
      <c r="J716" s="142"/>
      <c r="K716" s="142"/>
      <c r="L716" s="142"/>
      <c r="M716" s="142"/>
      <c r="N716" s="136"/>
      <c r="O716" s="34"/>
      <c r="P716" s="35"/>
      <c r="Q716" s="35"/>
      <c r="R716" s="35"/>
      <c r="S716" s="35"/>
      <c r="T716" s="35"/>
      <c r="U716" s="35"/>
      <c r="V716" s="35"/>
      <c r="W716" s="35"/>
      <c r="X716" s="35"/>
      <c r="Y716" s="35"/>
    </row>
    <row r="717" ht="14.25" customHeight="1">
      <c r="A717" s="136"/>
      <c r="B717" s="137"/>
      <c r="C717" s="251"/>
      <c r="D717" s="452"/>
      <c r="E717" s="136"/>
      <c r="F717" s="253"/>
      <c r="G717" s="527"/>
      <c r="H717" s="141"/>
      <c r="I717" s="141"/>
      <c r="J717" s="142"/>
      <c r="K717" s="142"/>
      <c r="L717" s="142"/>
      <c r="M717" s="142"/>
      <c r="N717" s="136"/>
      <c r="O717" s="34"/>
      <c r="P717" s="35"/>
      <c r="Q717" s="35"/>
      <c r="R717" s="35"/>
      <c r="S717" s="35"/>
      <c r="T717" s="35"/>
      <c r="U717" s="35"/>
      <c r="V717" s="35"/>
      <c r="W717" s="35"/>
      <c r="X717" s="35"/>
      <c r="Y717" s="35"/>
    </row>
    <row r="718" ht="14.25" customHeight="1">
      <c r="A718" s="136"/>
      <c r="B718" s="137"/>
      <c r="C718" s="251"/>
      <c r="D718" s="452"/>
      <c r="E718" s="136"/>
      <c r="F718" s="253"/>
      <c r="G718" s="527"/>
      <c r="H718" s="141"/>
      <c r="I718" s="141"/>
      <c r="J718" s="142"/>
      <c r="K718" s="142"/>
      <c r="L718" s="142"/>
      <c r="M718" s="142"/>
      <c r="N718" s="136"/>
      <c r="O718" s="34"/>
      <c r="P718" s="35"/>
      <c r="Q718" s="35"/>
      <c r="R718" s="35"/>
      <c r="S718" s="35"/>
      <c r="T718" s="35"/>
      <c r="U718" s="35"/>
      <c r="V718" s="35"/>
      <c r="W718" s="35"/>
      <c r="X718" s="35"/>
      <c r="Y718" s="35"/>
    </row>
    <row r="719" ht="14.25" customHeight="1">
      <c r="A719" s="136"/>
      <c r="B719" s="137"/>
      <c r="C719" s="251"/>
      <c r="D719" s="452"/>
      <c r="E719" s="136"/>
      <c r="F719" s="253"/>
      <c r="G719" s="527"/>
      <c r="H719" s="141"/>
      <c r="I719" s="141"/>
      <c r="J719" s="142"/>
      <c r="K719" s="142"/>
      <c r="L719" s="142"/>
      <c r="M719" s="142"/>
      <c r="N719" s="136"/>
      <c r="O719" s="34"/>
      <c r="P719" s="35"/>
      <c r="Q719" s="35"/>
      <c r="R719" s="35"/>
      <c r="S719" s="35"/>
      <c r="T719" s="35"/>
      <c r="U719" s="35"/>
      <c r="V719" s="35"/>
      <c r="W719" s="35"/>
      <c r="X719" s="35"/>
      <c r="Y719" s="35"/>
    </row>
    <row r="720" ht="14.25" customHeight="1">
      <c r="A720" s="136"/>
      <c r="B720" s="137"/>
      <c r="C720" s="251"/>
      <c r="D720" s="452"/>
      <c r="E720" s="136"/>
      <c r="F720" s="253"/>
      <c r="G720" s="527"/>
      <c r="H720" s="141"/>
      <c r="I720" s="141"/>
      <c r="J720" s="142"/>
      <c r="K720" s="142"/>
      <c r="L720" s="142"/>
      <c r="M720" s="142"/>
      <c r="N720" s="136"/>
      <c r="O720" s="34"/>
      <c r="P720" s="35"/>
      <c r="Q720" s="35"/>
      <c r="R720" s="35"/>
      <c r="S720" s="35"/>
      <c r="T720" s="35"/>
      <c r="U720" s="35"/>
      <c r="V720" s="35"/>
      <c r="W720" s="35"/>
      <c r="X720" s="35"/>
      <c r="Y720" s="35"/>
    </row>
    <row r="721" ht="14.25" customHeight="1">
      <c r="A721" s="136"/>
      <c r="B721" s="137"/>
      <c r="C721" s="251"/>
      <c r="D721" s="452"/>
      <c r="E721" s="136"/>
      <c r="F721" s="253"/>
      <c r="G721" s="527"/>
      <c r="H721" s="141"/>
      <c r="I721" s="141"/>
      <c r="J721" s="142"/>
      <c r="K721" s="142"/>
      <c r="L721" s="142"/>
      <c r="M721" s="142"/>
      <c r="N721" s="136"/>
      <c r="O721" s="34"/>
      <c r="P721" s="35"/>
      <c r="Q721" s="35"/>
      <c r="R721" s="35"/>
      <c r="S721" s="35"/>
      <c r="T721" s="35"/>
      <c r="U721" s="35"/>
      <c r="V721" s="35"/>
      <c r="W721" s="35"/>
      <c r="X721" s="35"/>
      <c r="Y721" s="35"/>
    </row>
    <row r="722" ht="14.25" customHeight="1">
      <c r="A722" s="136"/>
      <c r="B722" s="137"/>
      <c r="C722" s="251"/>
      <c r="D722" s="452"/>
      <c r="E722" s="136"/>
      <c r="F722" s="253"/>
      <c r="G722" s="527"/>
      <c r="H722" s="141"/>
      <c r="I722" s="141"/>
      <c r="J722" s="142"/>
      <c r="K722" s="142"/>
      <c r="L722" s="142"/>
      <c r="M722" s="142"/>
      <c r="N722" s="136"/>
      <c r="O722" s="34"/>
      <c r="P722" s="35"/>
      <c r="Q722" s="35"/>
      <c r="R722" s="35"/>
      <c r="S722" s="35"/>
      <c r="T722" s="35"/>
      <c r="U722" s="35"/>
      <c r="V722" s="35"/>
      <c r="W722" s="35"/>
      <c r="X722" s="35"/>
      <c r="Y722" s="35"/>
    </row>
    <row r="723" ht="14.25" customHeight="1">
      <c r="A723" s="136"/>
      <c r="B723" s="137"/>
      <c r="C723" s="251"/>
      <c r="D723" s="452"/>
      <c r="E723" s="136"/>
      <c r="F723" s="253"/>
      <c r="G723" s="527"/>
      <c r="H723" s="141"/>
      <c r="I723" s="141"/>
      <c r="J723" s="142"/>
      <c r="K723" s="142"/>
      <c r="L723" s="142"/>
      <c r="M723" s="142"/>
      <c r="N723" s="136"/>
      <c r="O723" s="34"/>
      <c r="P723" s="35"/>
      <c r="Q723" s="35"/>
      <c r="R723" s="35"/>
      <c r="S723" s="35"/>
      <c r="T723" s="35"/>
      <c r="U723" s="35"/>
      <c r="V723" s="35"/>
      <c r="W723" s="35"/>
      <c r="X723" s="35"/>
      <c r="Y723" s="35"/>
    </row>
    <row r="724" ht="14.25" customHeight="1">
      <c r="A724" s="136"/>
      <c r="B724" s="137"/>
      <c r="C724" s="251"/>
      <c r="D724" s="452"/>
      <c r="E724" s="136"/>
      <c r="F724" s="253"/>
      <c r="G724" s="527"/>
      <c r="H724" s="141"/>
      <c r="I724" s="141"/>
      <c r="J724" s="142"/>
      <c r="K724" s="142"/>
      <c r="L724" s="142"/>
      <c r="M724" s="142"/>
      <c r="N724" s="136"/>
      <c r="O724" s="34"/>
      <c r="P724" s="35"/>
      <c r="Q724" s="35"/>
      <c r="R724" s="35"/>
      <c r="S724" s="35"/>
      <c r="T724" s="35"/>
      <c r="U724" s="35"/>
      <c r="V724" s="35"/>
      <c r="W724" s="35"/>
      <c r="X724" s="35"/>
      <c r="Y724" s="35"/>
    </row>
    <row r="725" ht="14.25" customHeight="1">
      <c r="A725" s="136"/>
      <c r="B725" s="137"/>
      <c r="C725" s="251"/>
      <c r="D725" s="452"/>
      <c r="E725" s="136"/>
      <c r="F725" s="253"/>
      <c r="G725" s="527"/>
      <c r="H725" s="141"/>
      <c r="I725" s="141"/>
      <c r="J725" s="142"/>
      <c r="K725" s="142"/>
      <c r="L725" s="142"/>
      <c r="M725" s="142"/>
      <c r="N725" s="136"/>
      <c r="O725" s="34"/>
      <c r="P725" s="35"/>
      <c r="Q725" s="35"/>
      <c r="R725" s="35"/>
      <c r="S725" s="35"/>
      <c r="T725" s="35"/>
      <c r="U725" s="35"/>
      <c r="V725" s="35"/>
      <c r="W725" s="35"/>
      <c r="X725" s="35"/>
      <c r="Y725" s="35"/>
    </row>
    <row r="726" ht="14.25" customHeight="1">
      <c r="A726" s="136"/>
      <c r="B726" s="137"/>
      <c r="C726" s="251"/>
      <c r="D726" s="452"/>
      <c r="E726" s="136"/>
      <c r="F726" s="253"/>
      <c r="G726" s="527"/>
      <c r="H726" s="141"/>
      <c r="I726" s="141"/>
      <c r="J726" s="142"/>
      <c r="K726" s="142"/>
      <c r="L726" s="142"/>
      <c r="M726" s="142"/>
      <c r="N726" s="136"/>
      <c r="O726" s="34"/>
      <c r="P726" s="35"/>
      <c r="Q726" s="35"/>
      <c r="R726" s="35"/>
      <c r="S726" s="35"/>
      <c r="T726" s="35"/>
      <c r="U726" s="35"/>
      <c r="V726" s="35"/>
      <c r="W726" s="35"/>
      <c r="X726" s="35"/>
      <c r="Y726" s="35"/>
    </row>
    <row r="727" ht="14.25" customHeight="1">
      <c r="A727" s="136"/>
      <c r="B727" s="137"/>
      <c r="C727" s="251"/>
      <c r="D727" s="452"/>
      <c r="E727" s="136"/>
      <c r="F727" s="253"/>
      <c r="G727" s="527"/>
      <c r="H727" s="141"/>
      <c r="I727" s="141"/>
      <c r="J727" s="142"/>
      <c r="K727" s="142"/>
      <c r="L727" s="142"/>
      <c r="M727" s="142"/>
      <c r="N727" s="136"/>
      <c r="O727" s="34"/>
      <c r="P727" s="35"/>
      <c r="Q727" s="35"/>
      <c r="R727" s="35"/>
      <c r="S727" s="35"/>
      <c r="T727" s="35"/>
      <c r="U727" s="35"/>
      <c r="V727" s="35"/>
      <c r="W727" s="35"/>
      <c r="X727" s="35"/>
      <c r="Y727" s="35"/>
    </row>
    <row r="728" ht="14.25" customHeight="1">
      <c r="A728" s="136"/>
      <c r="B728" s="137"/>
      <c r="C728" s="251"/>
      <c r="D728" s="452"/>
      <c r="E728" s="136"/>
      <c r="F728" s="253"/>
      <c r="G728" s="527"/>
      <c r="H728" s="141"/>
      <c r="I728" s="141"/>
      <c r="J728" s="142"/>
      <c r="K728" s="142"/>
      <c r="L728" s="142"/>
      <c r="M728" s="142"/>
      <c r="N728" s="136"/>
      <c r="O728" s="34"/>
      <c r="P728" s="35"/>
      <c r="Q728" s="35"/>
      <c r="R728" s="35"/>
      <c r="S728" s="35"/>
      <c r="T728" s="35"/>
      <c r="U728" s="35"/>
      <c r="V728" s="35"/>
      <c r="W728" s="35"/>
      <c r="X728" s="35"/>
      <c r="Y728" s="35"/>
    </row>
    <row r="729" ht="14.25" customHeight="1">
      <c r="A729" s="136"/>
      <c r="B729" s="137"/>
      <c r="C729" s="251"/>
      <c r="D729" s="452"/>
      <c r="E729" s="136"/>
      <c r="F729" s="253"/>
      <c r="G729" s="527"/>
      <c r="H729" s="141"/>
      <c r="I729" s="141"/>
      <c r="J729" s="142"/>
      <c r="K729" s="142"/>
      <c r="L729" s="142"/>
      <c r="M729" s="142"/>
      <c r="N729" s="136"/>
      <c r="O729" s="34"/>
      <c r="P729" s="35"/>
      <c r="Q729" s="35"/>
      <c r="R729" s="35"/>
      <c r="S729" s="35"/>
      <c r="T729" s="35"/>
      <c r="U729" s="35"/>
      <c r="V729" s="35"/>
      <c r="W729" s="35"/>
      <c r="X729" s="35"/>
      <c r="Y729" s="35"/>
    </row>
    <row r="730" ht="14.25" customHeight="1">
      <c r="A730" s="136"/>
      <c r="B730" s="137"/>
      <c r="C730" s="251"/>
      <c r="D730" s="452"/>
      <c r="E730" s="136"/>
      <c r="F730" s="253"/>
      <c r="G730" s="527"/>
      <c r="H730" s="141"/>
      <c r="I730" s="141"/>
      <c r="J730" s="142"/>
      <c r="K730" s="142"/>
      <c r="L730" s="142"/>
      <c r="M730" s="142"/>
      <c r="N730" s="136"/>
      <c r="O730" s="34"/>
      <c r="P730" s="35"/>
      <c r="Q730" s="35"/>
      <c r="R730" s="35"/>
      <c r="S730" s="35"/>
      <c r="T730" s="35"/>
      <c r="U730" s="35"/>
      <c r="V730" s="35"/>
      <c r="W730" s="35"/>
      <c r="X730" s="35"/>
      <c r="Y730" s="35"/>
    </row>
    <row r="731" ht="14.25" customHeight="1">
      <c r="A731" s="136"/>
      <c r="B731" s="137"/>
      <c r="C731" s="251"/>
      <c r="D731" s="452"/>
      <c r="E731" s="136"/>
      <c r="F731" s="253"/>
      <c r="G731" s="527"/>
      <c r="H731" s="141"/>
      <c r="I731" s="141"/>
      <c r="J731" s="142"/>
      <c r="K731" s="142"/>
      <c r="L731" s="142"/>
      <c r="M731" s="142"/>
      <c r="N731" s="136"/>
      <c r="O731" s="34"/>
      <c r="P731" s="35"/>
      <c r="Q731" s="35"/>
      <c r="R731" s="35"/>
      <c r="S731" s="35"/>
      <c r="T731" s="35"/>
      <c r="U731" s="35"/>
      <c r="V731" s="35"/>
      <c r="W731" s="35"/>
      <c r="X731" s="35"/>
      <c r="Y731" s="35"/>
    </row>
    <row r="732" ht="14.25" customHeight="1">
      <c r="A732" s="136"/>
      <c r="B732" s="137"/>
      <c r="C732" s="251"/>
      <c r="D732" s="452"/>
      <c r="E732" s="136"/>
      <c r="F732" s="253"/>
      <c r="G732" s="527"/>
      <c r="H732" s="141"/>
      <c r="I732" s="141"/>
      <c r="J732" s="142"/>
      <c r="K732" s="142"/>
      <c r="L732" s="142"/>
      <c r="M732" s="142"/>
      <c r="N732" s="136"/>
      <c r="O732" s="34"/>
      <c r="P732" s="35"/>
      <c r="Q732" s="35"/>
      <c r="R732" s="35"/>
      <c r="S732" s="35"/>
      <c r="T732" s="35"/>
      <c r="U732" s="35"/>
      <c r="V732" s="35"/>
      <c r="W732" s="35"/>
      <c r="X732" s="35"/>
      <c r="Y732" s="35"/>
    </row>
    <row r="733" ht="14.25" customHeight="1">
      <c r="A733" s="136"/>
      <c r="B733" s="137"/>
      <c r="C733" s="251"/>
      <c r="D733" s="452"/>
      <c r="E733" s="136"/>
      <c r="F733" s="253"/>
      <c r="G733" s="527"/>
      <c r="H733" s="141"/>
      <c r="I733" s="141"/>
      <c r="J733" s="142"/>
      <c r="K733" s="142"/>
      <c r="L733" s="142"/>
      <c r="M733" s="142"/>
      <c r="N733" s="136"/>
      <c r="O733" s="34"/>
      <c r="P733" s="35"/>
      <c r="Q733" s="35"/>
      <c r="R733" s="35"/>
      <c r="S733" s="35"/>
      <c r="T733" s="35"/>
      <c r="U733" s="35"/>
      <c r="V733" s="35"/>
      <c r="W733" s="35"/>
      <c r="X733" s="35"/>
      <c r="Y733" s="35"/>
    </row>
    <row r="734" ht="14.25" customHeight="1">
      <c r="A734" s="136"/>
      <c r="B734" s="137"/>
      <c r="C734" s="251"/>
      <c r="D734" s="452"/>
      <c r="E734" s="136"/>
      <c r="F734" s="253"/>
      <c r="G734" s="527"/>
      <c r="H734" s="141"/>
      <c r="I734" s="141"/>
      <c r="J734" s="142"/>
      <c r="K734" s="142"/>
      <c r="L734" s="142"/>
      <c r="M734" s="142"/>
      <c r="N734" s="136"/>
      <c r="O734" s="34"/>
      <c r="P734" s="35"/>
      <c r="Q734" s="35"/>
      <c r="R734" s="35"/>
      <c r="S734" s="35"/>
      <c r="T734" s="35"/>
      <c r="U734" s="35"/>
      <c r="V734" s="35"/>
      <c r="W734" s="35"/>
      <c r="X734" s="35"/>
      <c r="Y734" s="35"/>
    </row>
    <row r="735" ht="14.25" customHeight="1">
      <c r="A735" s="136"/>
      <c r="B735" s="137"/>
      <c r="C735" s="251"/>
      <c r="D735" s="452"/>
      <c r="E735" s="136"/>
      <c r="F735" s="253"/>
      <c r="G735" s="527"/>
      <c r="H735" s="141"/>
      <c r="I735" s="141"/>
      <c r="J735" s="142"/>
      <c r="K735" s="142"/>
      <c r="L735" s="142"/>
      <c r="M735" s="142"/>
      <c r="N735" s="136"/>
      <c r="O735" s="34"/>
      <c r="P735" s="35"/>
      <c r="Q735" s="35"/>
      <c r="R735" s="35"/>
      <c r="S735" s="35"/>
      <c r="T735" s="35"/>
      <c r="U735" s="35"/>
      <c r="V735" s="35"/>
      <c r="W735" s="35"/>
      <c r="X735" s="35"/>
      <c r="Y735" s="35"/>
    </row>
    <row r="736" ht="14.25" customHeight="1">
      <c r="A736" s="136"/>
      <c r="B736" s="137"/>
      <c r="C736" s="251"/>
      <c r="D736" s="452"/>
      <c r="E736" s="136"/>
      <c r="F736" s="253"/>
      <c r="G736" s="527"/>
      <c r="H736" s="141"/>
      <c r="I736" s="141"/>
      <c r="J736" s="142"/>
      <c r="K736" s="142"/>
      <c r="L736" s="142"/>
      <c r="M736" s="142"/>
      <c r="N736" s="136"/>
      <c r="O736" s="34"/>
      <c r="P736" s="35"/>
      <c r="Q736" s="35"/>
      <c r="R736" s="35"/>
      <c r="S736" s="35"/>
      <c r="T736" s="35"/>
      <c r="U736" s="35"/>
      <c r="V736" s="35"/>
      <c r="W736" s="35"/>
      <c r="X736" s="35"/>
      <c r="Y736" s="35"/>
    </row>
    <row r="737" ht="14.25" customHeight="1">
      <c r="A737" s="136"/>
      <c r="B737" s="137"/>
      <c r="C737" s="251"/>
      <c r="D737" s="452"/>
      <c r="E737" s="136"/>
      <c r="F737" s="253"/>
      <c r="G737" s="527"/>
      <c r="H737" s="141"/>
      <c r="I737" s="141"/>
      <c r="J737" s="142"/>
      <c r="K737" s="142"/>
      <c r="L737" s="142"/>
      <c r="M737" s="142"/>
      <c r="N737" s="136"/>
      <c r="O737" s="34"/>
      <c r="P737" s="35"/>
      <c r="Q737" s="35"/>
      <c r="R737" s="35"/>
      <c r="S737" s="35"/>
      <c r="T737" s="35"/>
      <c r="U737" s="35"/>
      <c r="V737" s="35"/>
      <c r="W737" s="35"/>
      <c r="X737" s="35"/>
      <c r="Y737" s="35"/>
    </row>
    <row r="738" ht="14.25" customHeight="1">
      <c r="A738" s="136"/>
      <c r="B738" s="137"/>
      <c r="C738" s="251"/>
      <c r="D738" s="452"/>
      <c r="E738" s="136"/>
      <c r="F738" s="253"/>
      <c r="G738" s="527"/>
      <c r="H738" s="141"/>
      <c r="I738" s="141"/>
      <c r="J738" s="142"/>
      <c r="K738" s="142"/>
      <c r="L738" s="142"/>
      <c r="M738" s="142"/>
      <c r="N738" s="136"/>
      <c r="O738" s="34"/>
      <c r="P738" s="35"/>
      <c r="Q738" s="35"/>
      <c r="R738" s="35"/>
      <c r="S738" s="35"/>
      <c r="T738" s="35"/>
      <c r="U738" s="35"/>
      <c r="V738" s="35"/>
      <c r="W738" s="35"/>
      <c r="X738" s="35"/>
      <c r="Y738" s="35"/>
    </row>
    <row r="739" ht="14.25" customHeight="1">
      <c r="A739" s="136"/>
      <c r="B739" s="137"/>
      <c r="C739" s="251"/>
      <c r="D739" s="452"/>
      <c r="E739" s="136"/>
      <c r="F739" s="253"/>
      <c r="G739" s="527"/>
      <c r="H739" s="141"/>
      <c r="I739" s="141"/>
      <c r="J739" s="142"/>
      <c r="K739" s="142"/>
      <c r="L739" s="142"/>
      <c r="M739" s="142"/>
      <c r="N739" s="136"/>
      <c r="O739" s="34"/>
      <c r="P739" s="35"/>
      <c r="Q739" s="35"/>
      <c r="R739" s="35"/>
      <c r="S739" s="35"/>
      <c r="T739" s="35"/>
      <c r="U739" s="35"/>
      <c r="V739" s="35"/>
      <c r="W739" s="35"/>
      <c r="X739" s="35"/>
      <c r="Y739" s="35"/>
    </row>
    <row r="740" ht="14.25" customHeight="1">
      <c r="A740" s="136"/>
      <c r="B740" s="137"/>
      <c r="C740" s="251"/>
      <c r="D740" s="452"/>
      <c r="E740" s="136"/>
      <c r="F740" s="253"/>
      <c r="G740" s="527"/>
      <c r="H740" s="141"/>
      <c r="I740" s="141"/>
      <c r="J740" s="142"/>
      <c r="K740" s="142"/>
      <c r="L740" s="142"/>
      <c r="M740" s="142"/>
      <c r="N740" s="136"/>
      <c r="O740" s="34"/>
      <c r="P740" s="35"/>
      <c r="Q740" s="35"/>
      <c r="R740" s="35"/>
      <c r="S740" s="35"/>
      <c r="T740" s="35"/>
      <c r="U740" s="35"/>
      <c r="V740" s="35"/>
      <c r="W740" s="35"/>
      <c r="X740" s="35"/>
      <c r="Y740" s="35"/>
    </row>
    <row r="741" ht="14.25" customHeight="1">
      <c r="A741" s="136"/>
      <c r="B741" s="137"/>
      <c r="C741" s="251"/>
      <c r="D741" s="452"/>
      <c r="E741" s="136"/>
      <c r="F741" s="253"/>
      <c r="G741" s="527"/>
      <c r="H741" s="141"/>
      <c r="I741" s="141"/>
      <c r="J741" s="142"/>
      <c r="K741" s="142"/>
      <c r="L741" s="142"/>
      <c r="M741" s="142"/>
      <c r="N741" s="136"/>
      <c r="O741" s="34"/>
      <c r="P741" s="35"/>
      <c r="Q741" s="35"/>
      <c r="R741" s="35"/>
      <c r="S741" s="35"/>
      <c r="T741" s="35"/>
      <c r="U741" s="35"/>
      <c r="V741" s="35"/>
      <c r="W741" s="35"/>
      <c r="X741" s="35"/>
      <c r="Y741" s="35"/>
    </row>
    <row r="742" ht="14.25" customHeight="1">
      <c r="A742" s="136"/>
      <c r="B742" s="137"/>
      <c r="C742" s="251"/>
      <c r="D742" s="452"/>
      <c r="E742" s="136"/>
      <c r="F742" s="253"/>
      <c r="G742" s="527"/>
      <c r="H742" s="141"/>
      <c r="I742" s="141"/>
      <c r="J742" s="142"/>
      <c r="K742" s="142"/>
      <c r="L742" s="142"/>
      <c r="M742" s="142"/>
      <c r="N742" s="136"/>
      <c r="O742" s="34"/>
      <c r="P742" s="35"/>
      <c r="Q742" s="35"/>
      <c r="R742" s="35"/>
      <c r="S742" s="35"/>
      <c r="T742" s="35"/>
      <c r="U742" s="35"/>
      <c r="V742" s="35"/>
      <c r="W742" s="35"/>
      <c r="X742" s="35"/>
      <c r="Y742" s="35"/>
    </row>
    <row r="743" ht="14.25" customHeight="1">
      <c r="A743" s="136"/>
      <c r="B743" s="137"/>
      <c r="C743" s="251"/>
      <c r="D743" s="452"/>
      <c r="E743" s="136"/>
      <c r="F743" s="253"/>
      <c r="G743" s="527"/>
      <c r="H743" s="141"/>
      <c r="I743" s="141"/>
      <c r="J743" s="142"/>
      <c r="K743" s="142"/>
      <c r="L743" s="142"/>
      <c r="M743" s="142"/>
      <c r="N743" s="136"/>
      <c r="O743" s="34"/>
      <c r="P743" s="35"/>
      <c r="Q743" s="35"/>
      <c r="R743" s="35"/>
      <c r="S743" s="35"/>
      <c r="T743" s="35"/>
      <c r="U743" s="35"/>
      <c r="V743" s="35"/>
      <c r="W743" s="35"/>
      <c r="X743" s="35"/>
      <c r="Y743" s="35"/>
    </row>
    <row r="744" ht="14.25" customHeight="1">
      <c r="A744" s="136"/>
      <c r="B744" s="137"/>
      <c r="C744" s="251"/>
      <c r="D744" s="452"/>
      <c r="E744" s="136"/>
      <c r="F744" s="253"/>
      <c r="G744" s="527"/>
      <c r="H744" s="141"/>
      <c r="I744" s="141"/>
      <c r="J744" s="142"/>
      <c r="K744" s="142"/>
      <c r="L744" s="142"/>
      <c r="M744" s="142"/>
      <c r="N744" s="136"/>
      <c r="O744" s="34"/>
      <c r="P744" s="35"/>
      <c r="Q744" s="35"/>
      <c r="R744" s="35"/>
      <c r="S744" s="35"/>
      <c r="T744" s="35"/>
      <c r="U744" s="35"/>
      <c r="V744" s="35"/>
      <c r="W744" s="35"/>
      <c r="X744" s="35"/>
      <c r="Y744" s="35"/>
    </row>
    <row r="745" ht="14.25" customHeight="1">
      <c r="A745" s="136"/>
      <c r="B745" s="137"/>
      <c r="C745" s="251"/>
      <c r="D745" s="452"/>
      <c r="E745" s="136"/>
      <c r="F745" s="253"/>
      <c r="G745" s="527"/>
      <c r="H745" s="141"/>
      <c r="I745" s="141"/>
      <c r="J745" s="142"/>
      <c r="K745" s="142"/>
      <c r="L745" s="142"/>
      <c r="M745" s="142"/>
      <c r="N745" s="136"/>
      <c r="O745" s="34"/>
      <c r="P745" s="35"/>
      <c r="Q745" s="35"/>
      <c r="R745" s="35"/>
      <c r="S745" s="35"/>
      <c r="T745" s="35"/>
      <c r="U745" s="35"/>
      <c r="V745" s="35"/>
      <c r="W745" s="35"/>
      <c r="X745" s="35"/>
      <c r="Y745" s="35"/>
    </row>
    <row r="746" ht="14.25" customHeight="1">
      <c r="A746" s="136"/>
      <c r="B746" s="137"/>
      <c r="C746" s="251"/>
      <c r="D746" s="452"/>
      <c r="E746" s="136"/>
      <c r="F746" s="253"/>
      <c r="G746" s="527"/>
      <c r="H746" s="141"/>
      <c r="I746" s="141"/>
      <c r="J746" s="142"/>
      <c r="K746" s="142"/>
      <c r="L746" s="142"/>
      <c r="M746" s="142"/>
      <c r="N746" s="136"/>
      <c r="O746" s="34"/>
      <c r="P746" s="35"/>
      <c r="Q746" s="35"/>
      <c r="R746" s="35"/>
      <c r="S746" s="35"/>
      <c r="T746" s="35"/>
      <c r="U746" s="35"/>
      <c r="V746" s="35"/>
      <c r="W746" s="35"/>
      <c r="X746" s="35"/>
      <c r="Y746" s="35"/>
    </row>
    <row r="747" ht="14.25" customHeight="1">
      <c r="A747" s="136"/>
      <c r="B747" s="137"/>
      <c r="C747" s="251"/>
      <c r="D747" s="452"/>
      <c r="E747" s="136"/>
      <c r="F747" s="253"/>
      <c r="G747" s="527"/>
      <c r="H747" s="141"/>
      <c r="I747" s="141"/>
      <c r="J747" s="142"/>
      <c r="K747" s="142"/>
      <c r="L747" s="142"/>
      <c r="M747" s="142"/>
      <c r="N747" s="136"/>
      <c r="O747" s="34"/>
      <c r="P747" s="35"/>
      <c r="Q747" s="35"/>
      <c r="R747" s="35"/>
      <c r="S747" s="35"/>
      <c r="T747" s="35"/>
      <c r="U747" s="35"/>
      <c r="V747" s="35"/>
      <c r="W747" s="35"/>
      <c r="X747" s="35"/>
      <c r="Y747" s="35"/>
    </row>
    <row r="748" ht="14.25" customHeight="1">
      <c r="A748" s="136"/>
      <c r="B748" s="137"/>
      <c r="C748" s="251"/>
      <c r="D748" s="452"/>
      <c r="E748" s="136"/>
      <c r="F748" s="253"/>
      <c r="G748" s="527"/>
      <c r="H748" s="141"/>
      <c r="I748" s="141"/>
      <c r="J748" s="142"/>
      <c r="K748" s="142"/>
      <c r="L748" s="142"/>
      <c r="M748" s="142"/>
      <c r="N748" s="136"/>
      <c r="O748" s="34"/>
      <c r="P748" s="35"/>
      <c r="Q748" s="35"/>
      <c r="R748" s="35"/>
      <c r="S748" s="35"/>
      <c r="T748" s="35"/>
      <c r="U748" s="35"/>
      <c r="V748" s="35"/>
      <c r="W748" s="35"/>
      <c r="X748" s="35"/>
      <c r="Y748" s="35"/>
    </row>
    <row r="749" ht="14.25" customHeight="1">
      <c r="A749" s="136"/>
      <c r="B749" s="137"/>
      <c r="C749" s="251"/>
      <c r="D749" s="452"/>
      <c r="E749" s="136"/>
      <c r="F749" s="253"/>
      <c r="G749" s="527"/>
      <c r="H749" s="141"/>
      <c r="I749" s="141"/>
      <c r="J749" s="142"/>
      <c r="K749" s="142"/>
      <c r="L749" s="142"/>
      <c r="M749" s="142"/>
      <c r="N749" s="136"/>
      <c r="O749" s="34"/>
      <c r="P749" s="35"/>
      <c r="Q749" s="35"/>
      <c r="R749" s="35"/>
      <c r="S749" s="35"/>
      <c r="T749" s="35"/>
      <c r="U749" s="35"/>
      <c r="V749" s="35"/>
      <c r="W749" s="35"/>
      <c r="X749" s="35"/>
      <c r="Y749" s="35"/>
    </row>
    <row r="750" ht="14.25" customHeight="1">
      <c r="A750" s="136"/>
      <c r="B750" s="137"/>
      <c r="C750" s="251"/>
      <c r="D750" s="452"/>
      <c r="E750" s="136"/>
      <c r="F750" s="253"/>
      <c r="G750" s="527"/>
      <c r="H750" s="141"/>
      <c r="I750" s="141"/>
      <c r="J750" s="142"/>
      <c r="K750" s="142"/>
      <c r="L750" s="142"/>
      <c r="M750" s="142"/>
      <c r="N750" s="136"/>
      <c r="O750" s="34"/>
      <c r="P750" s="35"/>
      <c r="Q750" s="35"/>
      <c r="R750" s="35"/>
      <c r="S750" s="35"/>
      <c r="T750" s="35"/>
      <c r="U750" s="35"/>
      <c r="V750" s="35"/>
      <c r="W750" s="35"/>
      <c r="X750" s="35"/>
      <c r="Y750" s="35"/>
    </row>
    <row r="751" ht="14.25" customHeight="1">
      <c r="A751" s="136"/>
      <c r="B751" s="137"/>
      <c r="C751" s="251"/>
      <c r="D751" s="452"/>
      <c r="E751" s="136"/>
      <c r="F751" s="253"/>
      <c r="G751" s="527"/>
      <c r="H751" s="141"/>
      <c r="I751" s="141"/>
      <c r="J751" s="142"/>
      <c r="K751" s="142"/>
      <c r="L751" s="142"/>
      <c r="M751" s="142"/>
      <c r="N751" s="136"/>
      <c r="O751" s="34"/>
      <c r="P751" s="35"/>
      <c r="Q751" s="35"/>
      <c r="R751" s="35"/>
      <c r="S751" s="35"/>
      <c r="T751" s="35"/>
      <c r="U751" s="35"/>
      <c r="V751" s="35"/>
      <c r="W751" s="35"/>
      <c r="X751" s="35"/>
      <c r="Y751" s="35"/>
    </row>
    <row r="752" ht="14.25" customHeight="1">
      <c r="A752" s="136"/>
      <c r="B752" s="137"/>
      <c r="C752" s="251"/>
      <c r="D752" s="452"/>
      <c r="E752" s="136"/>
      <c r="F752" s="253"/>
      <c r="G752" s="527"/>
      <c r="H752" s="141"/>
      <c r="I752" s="141"/>
      <c r="J752" s="142"/>
      <c r="K752" s="142"/>
      <c r="L752" s="142"/>
      <c r="M752" s="142"/>
      <c r="N752" s="136"/>
      <c r="O752" s="34"/>
      <c r="P752" s="35"/>
      <c r="Q752" s="35"/>
      <c r="R752" s="35"/>
      <c r="S752" s="35"/>
      <c r="T752" s="35"/>
      <c r="U752" s="35"/>
      <c r="V752" s="35"/>
      <c r="W752" s="35"/>
      <c r="X752" s="35"/>
      <c r="Y752" s="35"/>
    </row>
    <row r="753" ht="14.25" customHeight="1">
      <c r="A753" s="136"/>
      <c r="B753" s="137"/>
      <c r="C753" s="251"/>
      <c r="D753" s="452"/>
      <c r="E753" s="136"/>
      <c r="F753" s="253"/>
      <c r="G753" s="527"/>
      <c r="H753" s="141"/>
      <c r="I753" s="141"/>
      <c r="J753" s="142"/>
      <c r="K753" s="142"/>
      <c r="L753" s="142"/>
      <c r="M753" s="142"/>
      <c r="N753" s="136"/>
      <c r="O753" s="34"/>
      <c r="P753" s="35"/>
      <c r="Q753" s="35"/>
      <c r="R753" s="35"/>
      <c r="S753" s="35"/>
      <c r="T753" s="35"/>
      <c r="U753" s="35"/>
      <c r="V753" s="35"/>
      <c r="W753" s="35"/>
      <c r="X753" s="35"/>
      <c r="Y753" s="35"/>
    </row>
    <row r="754" ht="14.25" customHeight="1">
      <c r="A754" s="136"/>
      <c r="B754" s="137"/>
      <c r="C754" s="251"/>
      <c r="D754" s="452"/>
      <c r="E754" s="136"/>
      <c r="F754" s="253"/>
      <c r="G754" s="527"/>
      <c r="H754" s="141"/>
      <c r="I754" s="141"/>
      <c r="J754" s="142"/>
      <c r="K754" s="142"/>
      <c r="L754" s="142"/>
      <c r="M754" s="142"/>
      <c r="N754" s="136"/>
      <c r="O754" s="34"/>
      <c r="P754" s="35"/>
      <c r="Q754" s="35"/>
      <c r="R754" s="35"/>
      <c r="S754" s="35"/>
      <c r="T754" s="35"/>
      <c r="U754" s="35"/>
      <c r="V754" s="35"/>
      <c r="W754" s="35"/>
      <c r="X754" s="35"/>
      <c r="Y754" s="35"/>
    </row>
    <row r="755" ht="14.25" customHeight="1">
      <c r="A755" s="136"/>
      <c r="B755" s="137"/>
      <c r="C755" s="251"/>
      <c r="D755" s="452"/>
      <c r="E755" s="136"/>
      <c r="F755" s="253"/>
      <c r="G755" s="527"/>
      <c r="H755" s="141"/>
      <c r="I755" s="141"/>
      <c r="J755" s="142"/>
      <c r="K755" s="142"/>
      <c r="L755" s="142"/>
      <c r="M755" s="142"/>
      <c r="N755" s="136"/>
      <c r="O755" s="34"/>
      <c r="P755" s="35"/>
      <c r="Q755" s="35"/>
      <c r="R755" s="35"/>
      <c r="S755" s="35"/>
      <c r="T755" s="35"/>
      <c r="U755" s="35"/>
      <c r="V755" s="35"/>
      <c r="W755" s="35"/>
      <c r="X755" s="35"/>
      <c r="Y755" s="35"/>
    </row>
    <row r="756" ht="14.25" customHeight="1">
      <c r="A756" s="136"/>
      <c r="B756" s="137"/>
      <c r="C756" s="251"/>
      <c r="D756" s="452"/>
      <c r="E756" s="136"/>
      <c r="F756" s="253"/>
      <c r="G756" s="527"/>
      <c r="H756" s="141"/>
      <c r="I756" s="141"/>
      <c r="J756" s="142"/>
      <c r="K756" s="142"/>
      <c r="L756" s="142"/>
      <c r="M756" s="142"/>
      <c r="N756" s="136"/>
      <c r="O756" s="34"/>
      <c r="P756" s="35"/>
      <c r="Q756" s="35"/>
      <c r="R756" s="35"/>
      <c r="S756" s="35"/>
      <c r="T756" s="35"/>
      <c r="U756" s="35"/>
      <c r="V756" s="35"/>
      <c r="W756" s="35"/>
      <c r="X756" s="35"/>
      <c r="Y756" s="35"/>
    </row>
    <row r="757" ht="14.25" customHeight="1">
      <c r="A757" s="136"/>
      <c r="B757" s="137"/>
      <c r="C757" s="251"/>
      <c r="D757" s="452"/>
      <c r="E757" s="136"/>
      <c r="F757" s="253"/>
      <c r="G757" s="527"/>
      <c r="H757" s="141"/>
      <c r="I757" s="141"/>
      <c r="J757" s="142"/>
      <c r="K757" s="142"/>
      <c r="L757" s="142"/>
      <c r="M757" s="142"/>
      <c r="N757" s="136"/>
      <c r="O757" s="34"/>
      <c r="P757" s="35"/>
      <c r="Q757" s="35"/>
      <c r="R757" s="35"/>
      <c r="S757" s="35"/>
      <c r="T757" s="35"/>
      <c r="U757" s="35"/>
      <c r="V757" s="35"/>
      <c r="W757" s="35"/>
      <c r="X757" s="35"/>
      <c r="Y757" s="35"/>
    </row>
    <row r="758" ht="14.25" customHeight="1">
      <c r="A758" s="136"/>
      <c r="B758" s="137"/>
      <c r="C758" s="251"/>
      <c r="D758" s="452"/>
      <c r="E758" s="136"/>
      <c r="F758" s="253"/>
      <c r="G758" s="527"/>
      <c r="H758" s="141"/>
      <c r="I758" s="141"/>
      <c r="J758" s="142"/>
      <c r="K758" s="142"/>
      <c r="L758" s="142"/>
      <c r="M758" s="142"/>
      <c r="N758" s="136"/>
      <c r="O758" s="34"/>
      <c r="P758" s="35"/>
      <c r="Q758" s="35"/>
      <c r="R758" s="35"/>
      <c r="S758" s="35"/>
      <c r="T758" s="35"/>
      <c r="U758" s="35"/>
      <c r="V758" s="35"/>
      <c r="W758" s="35"/>
      <c r="X758" s="35"/>
      <c r="Y758" s="35"/>
    </row>
    <row r="759" ht="14.25" customHeight="1">
      <c r="A759" s="136"/>
      <c r="B759" s="137"/>
      <c r="C759" s="251"/>
      <c r="D759" s="452"/>
      <c r="E759" s="136"/>
      <c r="F759" s="253"/>
      <c r="G759" s="527"/>
      <c r="H759" s="141"/>
      <c r="I759" s="141"/>
      <c r="J759" s="142"/>
      <c r="K759" s="142"/>
      <c r="L759" s="142"/>
      <c r="M759" s="142"/>
      <c r="N759" s="136"/>
      <c r="O759" s="34"/>
      <c r="P759" s="35"/>
      <c r="Q759" s="35"/>
      <c r="R759" s="35"/>
      <c r="S759" s="35"/>
      <c r="T759" s="35"/>
      <c r="U759" s="35"/>
      <c r="V759" s="35"/>
      <c r="W759" s="35"/>
      <c r="X759" s="35"/>
      <c r="Y759" s="35"/>
    </row>
    <row r="760" ht="14.25" customHeight="1">
      <c r="A760" s="136"/>
      <c r="B760" s="137"/>
      <c r="C760" s="251"/>
      <c r="D760" s="452"/>
      <c r="E760" s="136"/>
      <c r="F760" s="253"/>
      <c r="G760" s="527"/>
      <c r="H760" s="141"/>
      <c r="I760" s="141"/>
      <c r="J760" s="142"/>
      <c r="K760" s="142"/>
      <c r="L760" s="142"/>
      <c r="M760" s="142"/>
      <c r="N760" s="136"/>
      <c r="O760" s="34"/>
      <c r="P760" s="35"/>
      <c r="Q760" s="35"/>
      <c r="R760" s="35"/>
      <c r="S760" s="35"/>
      <c r="T760" s="35"/>
      <c r="U760" s="35"/>
      <c r="V760" s="35"/>
      <c r="W760" s="35"/>
      <c r="X760" s="35"/>
      <c r="Y760" s="35"/>
    </row>
    <row r="761" ht="14.25" customHeight="1">
      <c r="A761" s="136"/>
      <c r="B761" s="137"/>
      <c r="C761" s="251"/>
      <c r="D761" s="452"/>
      <c r="E761" s="136"/>
      <c r="F761" s="253"/>
      <c r="G761" s="527"/>
      <c r="H761" s="141"/>
      <c r="I761" s="141"/>
      <c r="J761" s="142"/>
      <c r="K761" s="142"/>
      <c r="L761" s="142"/>
      <c r="M761" s="142"/>
      <c r="N761" s="136"/>
      <c r="O761" s="34"/>
      <c r="P761" s="35"/>
      <c r="Q761" s="35"/>
      <c r="R761" s="35"/>
      <c r="S761" s="35"/>
      <c r="T761" s="35"/>
      <c r="U761" s="35"/>
      <c r="V761" s="35"/>
      <c r="W761" s="35"/>
      <c r="X761" s="35"/>
      <c r="Y761" s="35"/>
    </row>
    <row r="762" ht="14.25" customHeight="1">
      <c r="A762" s="136"/>
      <c r="B762" s="137"/>
      <c r="C762" s="251"/>
      <c r="D762" s="452"/>
      <c r="E762" s="136"/>
      <c r="F762" s="253"/>
      <c r="G762" s="527"/>
      <c r="H762" s="141"/>
      <c r="I762" s="141"/>
      <c r="J762" s="142"/>
      <c r="K762" s="142"/>
      <c r="L762" s="142"/>
      <c r="M762" s="142"/>
      <c r="N762" s="136"/>
      <c r="O762" s="34"/>
      <c r="P762" s="35"/>
      <c r="Q762" s="35"/>
      <c r="R762" s="35"/>
      <c r="S762" s="35"/>
      <c r="T762" s="35"/>
      <c r="U762" s="35"/>
      <c r="V762" s="35"/>
      <c r="W762" s="35"/>
      <c r="X762" s="35"/>
      <c r="Y762" s="35"/>
    </row>
    <row r="763" ht="14.25" customHeight="1">
      <c r="A763" s="136"/>
      <c r="B763" s="137"/>
      <c r="C763" s="251"/>
      <c r="D763" s="452"/>
      <c r="E763" s="136"/>
      <c r="F763" s="253"/>
      <c r="G763" s="527"/>
      <c r="H763" s="141"/>
      <c r="I763" s="141"/>
      <c r="J763" s="142"/>
      <c r="K763" s="142"/>
      <c r="L763" s="142"/>
      <c r="M763" s="142"/>
      <c r="N763" s="136"/>
      <c r="O763" s="34"/>
      <c r="P763" s="35"/>
      <c r="Q763" s="35"/>
      <c r="R763" s="35"/>
      <c r="S763" s="35"/>
      <c r="T763" s="35"/>
      <c r="U763" s="35"/>
      <c r="V763" s="35"/>
      <c r="W763" s="35"/>
      <c r="X763" s="35"/>
      <c r="Y763" s="35"/>
    </row>
    <row r="764" ht="14.25" customHeight="1">
      <c r="A764" s="136"/>
      <c r="B764" s="137"/>
      <c r="C764" s="251"/>
      <c r="D764" s="452"/>
      <c r="E764" s="136"/>
      <c r="F764" s="253"/>
      <c r="G764" s="527"/>
      <c r="H764" s="141"/>
      <c r="I764" s="141"/>
      <c r="J764" s="142"/>
      <c r="K764" s="142"/>
      <c r="L764" s="142"/>
      <c r="M764" s="142"/>
      <c r="N764" s="136"/>
      <c r="O764" s="34"/>
      <c r="P764" s="35"/>
      <c r="Q764" s="35"/>
      <c r="R764" s="35"/>
      <c r="S764" s="35"/>
      <c r="T764" s="35"/>
      <c r="U764" s="35"/>
      <c r="V764" s="35"/>
      <c r="W764" s="35"/>
      <c r="X764" s="35"/>
      <c r="Y764" s="35"/>
    </row>
    <row r="765" ht="14.25" customHeight="1">
      <c r="A765" s="136"/>
      <c r="B765" s="137"/>
      <c r="C765" s="251"/>
      <c r="D765" s="452"/>
      <c r="E765" s="136"/>
      <c r="F765" s="253"/>
      <c r="G765" s="527"/>
      <c r="H765" s="141"/>
      <c r="I765" s="141"/>
      <c r="J765" s="142"/>
      <c r="K765" s="142"/>
      <c r="L765" s="142"/>
      <c r="M765" s="142"/>
      <c r="N765" s="136"/>
      <c r="O765" s="34"/>
      <c r="P765" s="35"/>
      <c r="Q765" s="35"/>
      <c r="R765" s="35"/>
      <c r="S765" s="35"/>
      <c r="T765" s="35"/>
      <c r="U765" s="35"/>
      <c r="V765" s="35"/>
      <c r="W765" s="35"/>
      <c r="X765" s="35"/>
      <c r="Y765" s="35"/>
    </row>
    <row r="766" ht="14.25" customHeight="1">
      <c r="A766" s="136"/>
      <c r="B766" s="137"/>
      <c r="C766" s="251"/>
      <c r="D766" s="452"/>
      <c r="E766" s="136"/>
      <c r="F766" s="253"/>
      <c r="G766" s="527"/>
      <c r="H766" s="141"/>
      <c r="I766" s="141"/>
      <c r="J766" s="142"/>
      <c r="K766" s="142"/>
      <c r="L766" s="142"/>
      <c r="M766" s="142"/>
      <c r="N766" s="136"/>
      <c r="O766" s="34"/>
      <c r="P766" s="35"/>
      <c r="Q766" s="35"/>
      <c r="R766" s="35"/>
      <c r="S766" s="35"/>
      <c r="T766" s="35"/>
      <c r="U766" s="35"/>
      <c r="V766" s="35"/>
      <c r="W766" s="35"/>
      <c r="X766" s="35"/>
      <c r="Y766" s="35"/>
    </row>
    <row r="767" ht="14.25" customHeight="1">
      <c r="A767" s="136"/>
      <c r="B767" s="137"/>
      <c r="C767" s="251"/>
      <c r="D767" s="452"/>
      <c r="E767" s="136"/>
      <c r="F767" s="253"/>
      <c r="G767" s="527"/>
      <c r="H767" s="141"/>
      <c r="I767" s="141"/>
      <c r="J767" s="142"/>
      <c r="K767" s="142"/>
      <c r="L767" s="142"/>
      <c r="M767" s="142"/>
      <c r="N767" s="136"/>
      <c r="O767" s="34"/>
      <c r="P767" s="35"/>
      <c r="Q767" s="35"/>
      <c r="R767" s="35"/>
      <c r="S767" s="35"/>
      <c r="T767" s="35"/>
      <c r="U767" s="35"/>
      <c r="V767" s="35"/>
      <c r="W767" s="35"/>
      <c r="X767" s="35"/>
      <c r="Y767" s="35"/>
    </row>
    <row r="768" ht="14.25" customHeight="1">
      <c r="A768" s="136"/>
      <c r="B768" s="137"/>
      <c r="C768" s="251"/>
      <c r="D768" s="452"/>
      <c r="E768" s="136"/>
      <c r="F768" s="253"/>
      <c r="G768" s="527"/>
      <c r="H768" s="141"/>
      <c r="I768" s="141"/>
      <c r="J768" s="142"/>
      <c r="K768" s="142"/>
      <c r="L768" s="142"/>
      <c r="M768" s="142"/>
      <c r="N768" s="136"/>
      <c r="O768" s="34"/>
      <c r="P768" s="35"/>
      <c r="Q768" s="35"/>
      <c r="R768" s="35"/>
      <c r="S768" s="35"/>
      <c r="T768" s="35"/>
      <c r="U768" s="35"/>
      <c r="V768" s="35"/>
      <c r="W768" s="35"/>
      <c r="X768" s="35"/>
      <c r="Y768" s="35"/>
    </row>
    <row r="769" ht="14.25" customHeight="1">
      <c r="A769" s="136"/>
      <c r="B769" s="137"/>
      <c r="C769" s="251"/>
      <c r="D769" s="452"/>
      <c r="E769" s="136"/>
      <c r="F769" s="253"/>
      <c r="G769" s="527"/>
      <c r="H769" s="141"/>
      <c r="I769" s="141"/>
      <c r="J769" s="142"/>
      <c r="K769" s="142"/>
      <c r="L769" s="142"/>
      <c r="M769" s="142"/>
      <c r="N769" s="136"/>
      <c r="O769" s="34"/>
      <c r="P769" s="35"/>
      <c r="Q769" s="35"/>
      <c r="R769" s="35"/>
      <c r="S769" s="35"/>
      <c r="T769" s="35"/>
      <c r="U769" s="35"/>
      <c r="V769" s="35"/>
      <c r="W769" s="35"/>
      <c r="X769" s="35"/>
      <c r="Y769" s="35"/>
    </row>
    <row r="770" ht="14.25" customHeight="1">
      <c r="A770" s="136"/>
      <c r="B770" s="137"/>
      <c r="C770" s="251"/>
      <c r="D770" s="452"/>
      <c r="E770" s="136"/>
      <c r="F770" s="253"/>
      <c r="G770" s="527"/>
      <c r="H770" s="141"/>
      <c r="I770" s="141"/>
      <c r="J770" s="142"/>
      <c r="K770" s="142"/>
      <c r="L770" s="142"/>
      <c r="M770" s="142"/>
      <c r="N770" s="136"/>
      <c r="O770" s="34"/>
      <c r="P770" s="35"/>
      <c r="Q770" s="35"/>
      <c r="R770" s="35"/>
      <c r="S770" s="35"/>
      <c r="T770" s="35"/>
      <c r="U770" s="35"/>
      <c r="V770" s="35"/>
      <c r="W770" s="35"/>
      <c r="X770" s="35"/>
      <c r="Y770" s="35"/>
    </row>
    <row r="771" ht="14.25" customHeight="1">
      <c r="A771" s="136"/>
      <c r="B771" s="137"/>
      <c r="C771" s="251"/>
      <c r="D771" s="452"/>
      <c r="E771" s="136"/>
      <c r="F771" s="253"/>
      <c r="G771" s="527"/>
      <c r="H771" s="141"/>
      <c r="I771" s="141"/>
      <c r="J771" s="142"/>
      <c r="K771" s="142"/>
      <c r="L771" s="142"/>
      <c r="M771" s="142"/>
      <c r="N771" s="136"/>
      <c r="O771" s="34"/>
      <c r="P771" s="35"/>
      <c r="Q771" s="35"/>
      <c r="R771" s="35"/>
      <c r="S771" s="35"/>
      <c r="T771" s="35"/>
      <c r="U771" s="35"/>
      <c r="V771" s="35"/>
      <c r="W771" s="35"/>
      <c r="X771" s="35"/>
      <c r="Y771" s="35"/>
    </row>
    <row r="772" ht="14.25" customHeight="1">
      <c r="A772" s="136"/>
      <c r="B772" s="137"/>
      <c r="C772" s="251"/>
      <c r="D772" s="452"/>
      <c r="E772" s="136"/>
      <c r="F772" s="253"/>
      <c r="G772" s="527"/>
      <c r="H772" s="141"/>
      <c r="I772" s="141"/>
      <c r="J772" s="142"/>
      <c r="K772" s="142"/>
      <c r="L772" s="142"/>
      <c r="M772" s="142"/>
      <c r="N772" s="136"/>
      <c r="O772" s="34"/>
      <c r="P772" s="35"/>
      <c r="Q772" s="35"/>
      <c r="R772" s="35"/>
      <c r="S772" s="35"/>
      <c r="T772" s="35"/>
      <c r="U772" s="35"/>
      <c r="V772" s="35"/>
      <c r="W772" s="35"/>
      <c r="X772" s="35"/>
      <c r="Y772" s="35"/>
    </row>
    <row r="773" ht="14.25" customHeight="1">
      <c r="A773" s="136"/>
      <c r="B773" s="137"/>
      <c r="C773" s="251"/>
      <c r="D773" s="452"/>
      <c r="E773" s="136"/>
      <c r="F773" s="253"/>
      <c r="G773" s="527"/>
      <c r="H773" s="141"/>
      <c r="I773" s="141"/>
      <c r="J773" s="142"/>
      <c r="K773" s="142"/>
      <c r="L773" s="142"/>
      <c r="M773" s="142"/>
      <c r="N773" s="136"/>
      <c r="O773" s="34"/>
      <c r="P773" s="35"/>
      <c r="Q773" s="35"/>
      <c r="R773" s="35"/>
      <c r="S773" s="35"/>
      <c r="T773" s="35"/>
      <c r="U773" s="35"/>
      <c r="V773" s="35"/>
      <c r="W773" s="35"/>
      <c r="X773" s="35"/>
      <c r="Y773" s="35"/>
    </row>
    <row r="774" ht="14.25" customHeight="1">
      <c r="A774" s="136"/>
      <c r="B774" s="137"/>
      <c r="C774" s="251"/>
      <c r="D774" s="452"/>
      <c r="E774" s="136"/>
      <c r="F774" s="253"/>
      <c r="G774" s="527"/>
      <c r="H774" s="141"/>
      <c r="I774" s="141"/>
      <c r="J774" s="142"/>
      <c r="K774" s="142"/>
      <c r="L774" s="142"/>
      <c r="M774" s="142"/>
      <c r="N774" s="136"/>
      <c r="O774" s="34"/>
      <c r="P774" s="35"/>
      <c r="Q774" s="35"/>
      <c r="R774" s="35"/>
      <c r="S774" s="35"/>
      <c r="T774" s="35"/>
      <c r="U774" s="35"/>
      <c r="V774" s="35"/>
      <c r="W774" s="35"/>
      <c r="X774" s="35"/>
      <c r="Y774" s="35"/>
    </row>
    <row r="775" ht="14.25" customHeight="1">
      <c r="A775" s="136"/>
      <c r="B775" s="137"/>
      <c r="C775" s="251"/>
      <c r="D775" s="452"/>
      <c r="E775" s="136"/>
      <c r="F775" s="253"/>
      <c r="G775" s="527"/>
      <c r="H775" s="141"/>
      <c r="I775" s="141"/>
      <c r="J775" s="142"/>
      <c r="K775" s="142"/>
      <c r="L775" s="142"/>
      <c r="M775" s="142"/>
      <c r="N775" s="136"/>
      <c r="O775" s="34"/>
      <c r="P775" s="35"/>
      <c r="Q775" s="35"/>
      <c r="R775" s="35"/>
      <c r="S775" s="35"/>
      <c r="T775" s="35"/>
      <c r="U775" s="35"/>
      <c r="V775" s="35"/>
      <c r="W775" s="35"/>
      <c r="X775" s="35"/>
      <c r="Y775" s="35"/>
    </row>
    <row r="776" ht="14.25" customHeight="1">
      <c r="A776" s="136"/>
      <c r="B776" s="137"/>
      <c r="C776" s="251"/>
      <c r="D776" s="452"/>
      <c r="E776" s="136"/>
      <c r="F776" s="253"/>
      <c r="G776" s="527"/>
      <c r="H776" s="141"/>
      <c r="I776" s="141"/>
      <c r="J776" s="142"/>
      <c r="K776" s="142"/>
      <c r="L776" s="142"/>
      <c r="M776" s="142"/>
      <c r="N776" s="136"/>
      <c r="O776" s="34"/>
      <c r="P776" s="35"/>
      <c r="Q776" s="35"/>
      <c r="R776" s="35"/>
      <c r="S776" s="35"/>
      <c r="T776" s="35"/>
      <c r="U776" s="35"/>
      <c r="V776" s="35"/>
      <c r="W776" s="35"/>
      <c r="X776" s="35"/>
      <c r="Y776" s="35"/>
    </row>
    <row r="777" ht="14.25" customHeight="1">
      <c r="A777" s="136"/>
      <c r="B777" s="137"/>
      <c r="C777" s="251"/>
      <c r="D777" s="452"/>
      <c r="E777" s="136"/>
      <c r="F777" s="253"/>
      <c r="G777" s="527"/>
      <c r="H777" s="141"/>
      <c r="I777" s="141"/>
      <c r="J777" s="142"/>
      <c r="K777" s="142"/>
      <c r="L777" s="142"/>
      <c r="M777" s="142"/>
      <c r="N777" s="136"/>
      <c r="O777" s="34"/>
      <c r="P777" s="35"/>
      <c r="Q777" s="35"/>
      <c r="R777" s="35"/>
      <c r="S777" s="35"/>
      <c r="T777" s="35"/>
      <c r="U777" s="35"/>
      <c r="V777" s="35"/>
      <c r="W777" s="35"/>
      <c r="X777" s="35"/>
      <c r="Y777" s="35"/>
    </row>
    <row r="778" ht="14.25" customHeight="1">
      <c r="A778" s="136"/>
      <c r="B778" s="137"/>
      <c r="C778" s="251"/>
      <c r="D778" s="452"/>
      <c r="E778" s="136"/>
      <c r="F778" s="253"/>
      <c r="G778" s="527"/>
      <c r="H778" s="141"/>
      <c r="I778" s="141"/>
      <c r="J778" s="142"/>
      <c r="K778" s="142"/>
      <c r="L778" s="142"/>
      <c r="M778" s="142"/>
      <c r="N778" s="136"/>
      <c r="O778" s="34"/>
      <c r="P778" s="35"/>
      <c r="Q778" s="35"/>
      <c r="R778" s="35"/>
      <c r="S778" s="35"/>
      <c r="T778" s="35"/>
      <c r="U778" s="35"/>
      <c r="V778" s="35"/>
      <c r="W778" s="35"/>
      <c r="X778" s="35"/>
      <c r="Y778" s="35"/>
    </row>
    <row r="779" ht="14.25" customHeight="1">
      <c r="A779" s="136"/>
      <c r="B779" s="137"/>
      <c r="C779" s="251"/>
      <c r="D779" s="452"/>
      <c r="E779" s="136"/>
      <c r="F779" s="253"/>
      <c r="G779" s="527"/>
      <c r="H779" s="141"/>
      <c r="I779" s="141"/>
      <c r="J779" s="142"/>
      <c r="K779" s="142"/>
      <c r="L779" s="142"/>
      <c r="M779" s="142"/>
      <c r="N779" s="136"/>
      <c r="O779" s="34"/>
      <c r="P779" s="35"/>
      <c r="Q779" s="35"/>
      <c r="R779" s="35"/>
      <c r="S779" s="35"/>
      <c r="T779" s="35"/>
      <c r="U779" s="35"/>
      <c r="V779" s="35"/>
      <c r="W779" s="35"/>
      <c r="X779" s="35"/>
      <c r="Y779" s="35"/>
    </row>
    <row r="780" ht="14.25" customHeight="1">
      <c r="A780" s="136"/>
      <c r="B780" s="137"/>
      <c r="C780" s="251"/>
      <c r="D780" s="452"/>
      <c r="E780" s="136"/>
      <c r="F780" s="253"/>
      <c r="G780" s="527"/>
      <c r="H780" s="141"/>
      <c r="I780" s="141"/>
      <c r="J780" s="142"/>
      <c r="K780" s="142"/>
      <c r="L780" s="142"/>
      <c r="M780" s="142"/>
      <c r="N780" s="136"/>
      <c r="O780" s="34"/>
      <c r="P780" s="35"/>
      <c r="Q780" s="35"/>
      <c r="R780" s="35"/>
      <c r="S780" s="35"/>
      <c r="T780" s="35"/>
      <c r="U780" s="35"/>
      <c r="V780" s="35"/>
      <c r="W780" s="35"/>
      <c r="X780" s="35"/>
      <c r="Y780" s="35"/>
    </row>
    <row r="781" ht="14.25" customHeight="1">
      <c r="A781" s="136"/>
      <c r="B781" s="137"/>
      <c r="C781" s="251"/>
      <c r="D781" s="452"/>
      <c r="E781" s="136"/>
      <c r="F781" s="253"/>
      <c r="G781" s="527"/>
      <c r="H781" s="141"/>
      <c r="I781" s="141"/>
      <c r="J781" s="142"/>
      <c r="K781" s="142"/>
      <c r="L781" s="142"/>
      <c r="M781" s="142"/>
      <c r="N781" s="136"/>
      <c r="O781" s="34"/>
      <c r="P781" s="35"/>
      <c r="Q781" s="35"/>
      <c r="R781" s="35"/>
      <c r="S781" s="35"/>
      <c r="T781" s="35"/>
      <c r="U781" s="35"/>
      <c r="V781" s="35"/>
      <c r="W781" s="35"/>
      <c r="X781" s="35"/>
      <c r="Y781" s="35"/>
    </row>
    <row r="782" ht="14.25" customHeight="1">
      <c r="A782" s="136"/>
      <c r="B782" s="137"/>
      <c r="C782" s="251"/>
      <c r="D782" s="452"/>
      <c r="E782" s="136"/>
      <c r="F782" s="253"/>
      <c r="G782" s="527"/>
      <c r="H782" s="141"/>
      <c r="I782" s="141"/>
      <c r="J782" s="142"/>
      <c r="K782" s="142"/>
      <c r="L782" s="142"/>
      <c r="M782" s="142"/>
      <c r="N782" s="136"/>
      <c r="O782" s="34"/>
      <c r="P782" s="35"/>
      <c r="Q782" s="35"/>
      <c r="R782" s="35"/>
      <c r="S782" s="35"/>
      <c r="T782" s="35"/>
      <c r="U782" s="35"/>
      <c r="V782" s="35"/>
      <c r="W782" s="35"/>
      <c r="X782" s="35"/>
      <c r="Y782" s="35"/>
    </row>
    <row r="783" ht="14.25" customHeight="1">
      <c r="A783" s="136"/>
      <c r="B783" s="137"/>
      <c r="C783" s="251"/>
      <c r="D783" s="452"/>
      <c r="E783" s="136"/>
      <c r="F783" s="253"/>
      <c r="G783" s="527"/>
      <c r="H783" s="141"/>
      <c r="I783" s="141"/>
      <c r="J783" s="142"/>
      <c r="K783" s="142"/>
      <c r="L783" s="142"/>
      <c r="M783" s="142"/>
      <c r="N783" s="136"/>
      <c r="O783" s="34"/>
      <c r="P783" s="35"/>
      <c r="Q783" s="35"/>
      <c r="R783" s="35"/>
      <c r="S783" s="35"/>
      <c r="T783" s="35"/>
      <c r="U783" s="35"/>
      <c r="V783" s="35"/>
      <c r="W783" s="35"/>
      <c r="X783" s="35"/>
      <c r="Y783" s="35"/>
    </row>
    <row r="784" ht="14.25" customHeight="1">
      <c r="A784" s="136"/>
      <c r="B784" s="137"/>
      <c r="C784" s="251"/>
      <c r="D784" s="452"/>
      <c r="E784" s="136"/>
      <c r="F784" s="253"/>
      <c r="G784" s="527"/>
      <c r="H784" s="141"/>
      <c r="I784" s="141"/>
      <c r="J784" s="142"/>
      <c r="K784" s="142"/>
      <c r="L784" s="142"/>
      <c r="M784" s="142"/>
      <c r="N784" s="136"/>
      <c r="O784" s="34"/>
      <c r="P784" s="35"/>
      <c r="Q784" s="35"/>
      <c r="R784" s="35"/>
      <c r="S784" s="35"/>
      <c r="T784" s="35"/>
      <c r="U784" s="35"/>
      <c r="V784" s="35"/>
      <c r="W784" s="35"/>
      <c r="X784" s="35"/>
      <c r="Y784" s="35"/>
    </row>
    <row r="785" ht="14.25" customHeight="1">
      <c r="A785" s="136"/>
      <c r="B785" s="137"/>
      <c r="C785" s="251"/>
      <c r="D785" s="452"/>
      <c r="E785" s="136"/>
      <c r="F785" s="253"/>
      <c r="G785" s="527"/>
      <c r="H785" s="141"/>
      <c r="I785" s="141"/>
      <c r="J785" s="142"/>
      <c r="K785" s="142"/>
      <c r="L785" s="142"/>
      <c r="M785" s="142"/>
      <c r="N785" s="136"/>
      <c r="O785" s="34"/>
      <c r="P785" s="35"/>
      <c r="Q785" s="35"/>
      <c r="R785" s="35"/>
      <c r="S785" s="35"/>
      <c r="T785" s="35"/>
      <c r="U785" s="35"/>
      <c r="V785" s="35"/>
      <c r="W785" s="35"/>
      <c r="X785" s="35"/>
      <c r="Y785" s="35"/>
    </row>
    <row r="786" ht="14.25" customHeight="1">
      <c r="A786" s="136"/>
      <c r="B786" s="137"/>
      <c r="C786" s="251"/>
      <c r="D786" s="452"/>
      <c r="E786" s="136"/>
      <c r="F786" s="253"/>
      <c r="G786" s="527"/>
      <c r="H786" s="141"/>
      <c r="I786" s="141"/>
      <c r="J786" s="142"/>
      <c r="K786" s="142"/>
      <c r="L786" s="142"/>
      <c r="M786" s="142"/>
      <c r="N786" s="136"/>
      <c r="O786" s="34"/>
      <c r="P786" s="35"/>
      <c r="Q786" s="35"/>
      <c r="R786" s="35"/>
      <c r="S786" s="35"/>
      <c r="T786" s="35"/>
      <c r="U786" s="35"/>
      <c r="V786" s="35"/>
      <c r="W786" s="35"/>
      <c r="X786" s="35"/>
      <c r="Y786" s="35"/>
    </row>
    <row r="787" ht="14.25" customHeight="1">
      <c r="A787" s="136"/>
      <c r="B787" s="137"/>
      <c r="C787" s="251"/>
      <c r="D787" s="452"/>
      <c r="E787" s="136"/>
      <c r="F787" s="253"/>
      <c r="G787" s="527"/>
      <c r="H787" s="141"/>
      <c r="I787" s="141"/>
      <c r="J787" s="142"/>
      <c r="K787" s="142"/>
      <c r="L787" s="142"/>
      <c r="M787" s="142"/>
      <c r="N787" s="136"/>
      <c r="O787" s="34"/>
      <c r="P787" s="35"/>
      <c r="Q787" s="35"/>
      <c r="R787" s="35"/>
      <c r="S787" s="35"/>
      <c r="T787" s="35"/>
      <c r="U787" s="35"/>
      <c r="V787" s="35"/>
      <c r="W787" s="35"/>
      <c r="X787" s="35"/>
      <c r="Y787" s="35"/>
    </row>
    <row r="788" ht="14.25" customHeight="1">
      <c r="A788" s="136"/>
      <c r="B788" s="137"/>
      <c r="C788" s="251"/>
      <c r="D788" s="452"/>
      <c r="E788" s="136"/>
      <c r="F788" s="253"/>
      <c r="G788" s="527"/>
      <c r="H788" s="141"/>
      <c r="I788" s="141"/>
      <c r="J788" s="142"/>
      <c r="K788" s="142"/>
      <c r="L788" s="142"/>
      <c r="M788" s="142"/>
      <c r="N788" s="136"/>
      <c r="O788" s="34"/>
      <c r="P788" s="35"/>
      <c r="Q788" s="35"/>
      <c r="R788" s="35"/>
      <c r="S788" s="35"/>
      <c r="T788" s="35"/>
      <c r="U788" s="35"/>
      <c r="V788" s="35"/>
      <c r="W788" s="35"/>
      <c r="X788" s="35"/>
      <c r="Y788" s="35"/>
    </row>
    <row r="789" ht="14.25" customHeight="1">
      <c r="A789" s="136"/>
      <c r="B789" s="137"/>
      <c r="C789" s="251"/>
      <c r="D789" s="452"/>
      <c r="E789" s="136"/>
      <c r="F789" s="253"/>
      <c r="G789" s="527"/>
      <c r="H789" s="141"/>
      <c r="I789" s="141"/>
      <c r="J789" s="142"/>
      <c r="K789" s="142"/>
      <c r="L789" s="142"/>
      <c r="M789" s="142"/>
      <c r="N789" s="136"/>
      <c r="O789" s="34"/>
      <c r="P789" s="35"/>
      <c r="Q789" s="35"/>
      <c r="R789" s="35"/>
      <c r="S789" s="35"/>
      <c r="T789" s="35"/>
      <c r="U789" s="35"/>
      <c r="V789" s="35"/>
      <c r="W789" s="35"/>
      <c r="X789" s="35"/>
      <c r="Y789" s="35"/>
    </row>
    <row r="790" ht="14.25" customHeight="1">
      <c r="A790" s="136"/>
      <c r="B790" s="137"/>
      <c r="C790" s="251"/>
      <c r="D790" s="452"/>
      <c r="E790" s="136"/>
      <c r="F790" s="253"/>
      <c r="G790" s="527"/>
      <c r="H790" s="141"/>
      <c r="I790" s="141"/>
      <c r="J790" s="142"/>
      <c r="K790" s="142"/>
      <c r="L790" s="142"/>
      <c r="M790" s="142"/>
      <c r="N790" s="136"/>
      <c r="O790" s="34"/>
      <c r="P790" s="35"/>
      <c r="Q790" s="35"/>
      <c r="R790" s="35"/>
      <c r="S790" s="35"/>
      <c r="T790" s="35"/>
      <c r="U790" s="35"/>
      <c r="V790" s="35"/>
      <c r="W790" s="35"/>
      <c r="X790" s="35"/>
      <c r="Y790" s="35"/>
    </row>
    <row r="791" ht="14.25" customHeight="1">
      <c r="A791" s="136"/>
      <c r="B791" s="137"/>
      <c r="C791" s="251"/>
      <c r="D791" s="452"/>
      <c r="E791" s="136"/>
      <c r="F791" s="253"/>
      <c r="G791" s="527"/>
      <c r="H791" s="141"/>
      <c r="I791" s="141"/>
      <c r="J791" s="142"/>
      <c r="K791" s="142"/>
      <c r="L791" s="142"/>
      <c r="M791" s="142"/>
      <c r="N791" s="136"/>
      <c r="O791" s="34"/>
      <c r="P791" s="35"/>
      <c r="Q791" s="35"/>
      <c r="R791" s="35"/>
      <c r="S791" s="35"/>
      <c r="T791" s="35"/>
      <c r="U791" s="35"/>
      <c r="V791" s="35"/>
      <c r="W791" s="35"/>
      <c r="X791" s="35"/>
      <c r="Y791" s="35"/>
    </row>
    <row r="792" ht="14.25" customHeight="1">
      <c r="A792" s="136"/>
      <c r="B792" s="137"/>
      <c r="C792" s="251"/>
      <c r="D792" s="452"/>
      <c r="E792" s="136"/>
      <c r="F792" s="253"/>
      <c r="G792" s="527"/>
      <c r="H792" s="141"/>
      <c r="I792" s="141"/>
      <c r="J792" s="142"/>
      <c r="K792" s="142"/>
      <c r="L792" s="142"/>
      <c r="M792" s="142"/>
      <c r="N792" s="136"/>
      <c r="O792" s="34"/>
      <c r="P792" s="35"/>
      <c r="Q792" s="35"/>
      <c r="R792" s="35"/>
      <c r="S792" s="35"/>
      <c r="T792" s="35"/>
      <c r="U792" s="35"/>
      <c r="V792" s="35"/>
      <c r="W792" s="35"/>
      <c r="X792" s="35"/>
      <c r="Y792" s="35"/>
    </row>
    <row r="793" ht="14.25" customHeight="1">
      <c r="A793" s="136"/>
      <c r="B793" s="137"/>
      <c r="C793" s="251"/>
      <c r="D793" s="452"/>
      <c r="E793" s="136"/>
      <c r="F793" s="253"/>
      <c r="G793" s="527"/>
      <c r="H793" s="141"/>
      <c r="I793" s="141"/>
      <c r="J793" s="142"/>
      <c r="K793" s="142"/>
      <c r="L793" s="142"/>
      <c r="M793" s="142"/>
      <c r="N793" s="136"/>
      <c r="O793" s="34"/>
      <c r="P793" s="35"/>
      <c r="Q793" s="35"/>
      <c r="R793" s="35"/>
      <c r="S793" s="35"/>
      <c r="T793" s="35"/>
      <c r="U793" s="35"/>
      <c r="V793" s="35"/>
      <c r="W793" s="35"/>
      <c r="X793" s="35"/>
      <c r="Y793" s="35"/>
    </row>
    <row r="794" ht="14.25" customHeight="1">
      <c r="A794" s="136"/>
      <c r="B794" s="137"/>
      <c r="C794" s="251"/>
      <c r="D794" s="452"/>
      <c r="E794" s="136"/>
      <c r="F794" s="253"/>
      <c r="G794" s="527"/>
      <c r="H794" s="141"/>
      <c r="I794" s="141"/>
      <c r="J794" s="142"/>
      <c r="K794" s="142"/>
      <c r="L794" s="142"/>
      <c r="M794" s="142"/>
      <c r="N794" s="136"/>
      <c r="O794" s="34"/>
      <c r="P794" s="35"/>
      <c r="Q794" s="35"/>
      <c r="R794" s="35"/>
      <c r="S794" s="35"/>
      <c r="T794" s="35"/>
      <c r="U794" s="35"/>
      <c r="V794" s="35"/>
      <c r="W794" s="35"/>
      <c r="X794" s="35"/>
      <c r="Y794" s="35"/>
    </row>
    <row r="795" ht="14.25" customHeight="1">
      <c r="A795" s="136"/>
      <c r="B795" s="137"/>
      <c r="C795" s="251"/>
      <c r="D795" s="452"/>
      <c r="E795" s="136"/>
      <c r="F795" s="253"/>
      <c r="G795" s="527"/>
      <c r="H795" s="141"/>
      <c r="I795" s="141"/>
      <c r="J795" s="142"/>
      <c r="K795" s="142"/>
      <c r="L795" s="142"/>
      <c r="M795" s="142"/>
      <c r="N795" s="136"/>
      <c r="O795" s="34"/>
      <c r="P795" s="35"/>
      <c r="Q795" s="35"/>
      <c r="R795" s="35"/>
      <c r="S795" s="35"/>
      <c r="T795" s="35"/>
      <c r="U795" s="35"/>
      <c r="V795" s="35"/>
      <c r="W795" s="35"/>
      <c r="X795" s="35"/>
      <c r="Y795" s="35"/>
    </row>
    <row r="796" ht="14.25" customHeight="1">
      <c r="A796" s="136"/>
      <c r="B796" s="137"/>
      <c r="C796" s="251"/>
      <c r="D796" s="452"/>
      <c r="E796" s="136"/>
      <c r="F796" s="253"/>
      <c r="G796" s="527"/>
      <c r="H796" s="141"/>
      <c r="I796" s="141"/>
      <c r="J796" s="142"/>
      <c r="K796" s="142"/>
      <c r="L796" s="142"/>
      <c r="M796" s="142"/>
      <c r="N796" s="136"/>
      <c r="O796" s="34"/>
      <c r="P796" s="35"/>
      <c r="Q796" s="35"/>
      <c r="R796" s="35"/>
      <c r="S796" s="35"/>
      <c r="T796" s="35"/>
      <c r="U796" s="35"/>
      <c r="V796" s="35"/>
      <c r="W796" s="35"/>
      <c r="X796" s="35"/>
      <c r="Y796" s="35"/>
    </row>
    <row r="797" ht="14.25" customHeight="1">
      <c r="A797" s="136"/>
      <c r="B797" s="137"/>
      <c r="C797" s="251"/>
      <c r="D797" s="452"/>
      <c r="E797" s="136"/>
      <c r="F797" s="253"/>
      <c r="G797" s="527"/>
      <c r="H797" s="141"/>
      <c r="I797" s="141"/>
      <c r="J797" s="142"/>
      <c r="K797" s="142"/>
      <c r="L797" s="142"/>
      <c r="M797" s="142"/>
      <c r="N797" s="136"/>
      <c r="O797" s="34"/>
      <c r="P797" s="35"/>
      <c r="Q797" s="35"/>
      <c r="R797" s="35"/>
      <c r="S797" s="35"/>
      <c r="T797" s="35"/>
      <c r="U797" s="35"/>
      <c r="V797" s="35"/>
      <c r="W797" s="35"/>
      <c r="X797" s="35"/>
      <c r="Y797" s="35"/>
    </row>
    <row r="798" ht="14.25" customHeight="1">
      <c r="A798" s="136"/>
      <c r="B798" s="137"/>
      <c r="C798" s="251"/>
      <c r="D798" s="452"/>
      <c r="E798" s="136"/>
      <c r="F798" s="253"/>
      <c r="G798" s="527"/>
      <c r="H798" s="141"/>
      <c r="I798" s="141"/>
      <c r="J798" s="142"/>
      <c r="K798" s="142"/>
      <c r="L798" s="142"/>
      <c r="M798" s="142"/>
      <c r="N798" s="136"/>
      <c r="O798" s="34"/>
      <c r="P798" s="35"/>
      <c r="Q798" s="35"/>
      <c r="R798" s="35"/>
      <c r="S798" s="35"/>
      <c r="T798" s="35"/>
      <c r="U798" s="35"/>
      <c r="V798" s="35"/>
      <c r="W798" s="35"/>
      <c r="X798" s="35"/>
      <c r="Y798" s="35"/>
    </row>
    <row r="799" ht="14.25" customHeight="1">
      <c r="A799" s="136"/>
      <c r="B799" s="137"/>
      <c r="C799" s="251"/>
      <c r="D799" s="452"/>
      <c r="E799" s="136"/>
      <c r="F799" s="253"/>
      <c r="G799" s="527"/>
      <c r="H799" s="141"/>
      <c r="I799" s="141"/>
      <c r="J799" s="142"/>
      <c r="K799" s="142"/>
      <c r="L799" s="142"/>
      <c r="M799" s="142"/>
      <c r="N799" s="136"/>
      <c r="O799" s="34"/>
      <c r="P799" s="35"/>
      <c r="Q799" s="35"/>
      <c r="R799" s="35"/>
      <c r="S799" s="35"/>
      <c r="T799" s="35"/>
      <c r="U799" s="35"/>
      <c r="V799" s="35"/>
      <c r="W799" s="35"/>
      <c r="X799" s="35"/>
      <c r="Y799" s="35"/>
    </row>
    <row r="800" ht="14.25" customHeight="1">
      <c r="A800" s="136"/>
      <c r="B800" s="137"/>
      <c r="C800" s="251"/>
      <c r="D800" s="452"/>
      <c r="E800" s="136"/>
      <c r="F800" s="253"/>
      <c r="G800" s="527"/>
      <c r="H800" s="141"/>
      <c r="I800" s="141"/>
      <c r="J800" s="142"/>
      <c r="K800" s="142"/>
      <c r="L800" s="142"/>
      <c r="M800" s="142"/>
      <c r="N800" s="136"/>
      <c r="O800" s="34"/>
      <c r="P800" s="35"/>
      <c r="Q800" s="35"/>
      <c r="R800" s="35"/>
      <c r="S800" s="35"/>
      <c r="T800" s="35"/>
      <c r="U800" s="35"/>
      <c r="V800" s="35"/>
      <c r="W800" s="35"/>
      <c r="X800" s="35"/>
      <c r="Y800" s="35"/>
    </row>
    <row r="801" ht="14.25" customHeight="1">
      <c r="A801" s="136"/>
      <c r="B801" s="137"/>
      <c r="C801" s="251"/>
      <c r="D801" s="452"/>
      <c r="E801" s="136"/>
      <c r="F801" s="253"/>
      <c r="G801" s="527"/>
      <c r="H801" s="141"/>
      <c r="I801" s="141"/>
      <c r="J801" s="142"/>
      <c r="K801" s="142"/>
      <c r="L801" s="142"/>
      <c r="M801" s="142"/>
      <c r="N801" s="136"/>
      <c r="O801" s="34"/>
      <c r="P801" s="35"/>
      <c r="Q801" s="35"/>
      <c r="R801" s="35"/>
      <c r="S801" s="35"/>
      <c r="T801" s="35"/>
      <c r="U801" s="35"/>
      <c r="V801" s="35"/>
      <c r="W801" s="35"/>
      <c r="X801" s="35"/>
      <c r="Y801" s="35"/>
    </row>
    <row r="802" ht="14.25" customHeight="1">
      <c r="A802" s="136"/>
      <c r="B802" s="137"/>
      <c r="C802" s="251"/>
      <c r="D802" s="452"/>
      <c r="E802" s="136"/>
      <c r="F802" s="253"/>
      <c r="G802" s="527"/>
      <c r="H802" s="141"/>
      <c r="I802" s="141"/>
      <c r="J802" s="142"/>
      <c r="K802" s="142"/>
      <c r="L802" s="142"/>
      <c r="M802" s="142"/>
      <c r="N802" s="136"/>
      <c r="O802" s="34"/>
      <c r="P802" s="35"/>
      <c r="Q802" s="35"/>
      <c r="R802" s="35"/>
      <c r="S802" s="35"/>
      <c r="T802" s="35"/>
      <c r="U802" s="35"/>
      <c r="V802" s="35"/>
      <c r="W802" s="35"/>
      <c r="X802" s="35"/>
      <c r="Y802" s="35"/>
    </row>
    <row r="803" ht="14.25" customHeight="1">
      <c r="A803" s="136"/>
      <c r="B803" s="137"/>
      <c r="C803" s="251"/>
      <c r="D803" s="452"/>
      <c r="E803" s="136"/>
      <c r="F803" s="253"/>
      <c r="G803" s="527"/>
      <c r="H803" s="141"/>
      <c r="I803" s="141"/>
      <c r="J803" s="142"/>
      <c r="K803" s="142"/>
      <c r="L803" s="142"/>
      <c r="M803" s="142"/>
      <c r="N803" s="136"/>
      <c r="O803" s="34"/>
      <c r="P803" s="35"/>
      <c r="Q803" s="35"/>
      <c r="R803" s="35"/>
      <c r="S803" s="35"/>
      <c r="T803" s="35"/>
      <c r="U803" s="35"/>
      <c r="V803" s="35"/>
      <c r="W803" s="35"/>
      <c r="X803" s="35"/>
      <c r="Y803" s="35"/>
    </row>
    <row r="804" ht="14.25" customHeight="1">
      <c r="A804" s="136"/>
      <c r="B804" s="137"/>
      <c r="C804" s="251"/>
      <c r="D804" s="452"/>
      <c r="E804" s="136"/>
      <c r="F804" s="253"/>
      <c r="G804" s="527"/>
      <c r="H804" s="141"/>
      <c r="I804" s="141"/>
      <c r="J804" s="142"/>
      <c r="K804" s="142"/>
      <c r="L804" s="142"/>
      <c r="M804" s="142"/>
      <c r="N804" s="136"/>
      <c r="O804" s="34"/>
      <c r="P804" s="35"/>
      <c r="Q804" s="35"/>
      <c r="R804" s="35"/>
      <c r="S804" s="35"/>
      <c r="T804" s="35"/>
      <c r="U804" s="35"/>
      <c r="V804" s="35"/>
      <c r="W804" s="35"/>
      <c r="X804" s="35"/>
      <c r="Y804" s="35"/>
    </row>
    <row r="805" ht="14.25" customHeight="1">
      <c r="A805" s="136"/>
      <c r="B805" s="137"/>
      <c r="C805" s="251"/>
      <c r="D805" s="452"/>
      <c r="E805" s="136"/>
      <c r="F805" s="253"/>
      <c r="G805" s="527"/>
      <c r="H805" s="141"/>
      <c r="I805" s="141"/>
      <c r="J805" s="142"/>
      <c r="K805" s="142"/>
      <c r="L805" s="142"/>
      <c r="M805" s="142"/>
      <c r="N805" s="136"/>
      <c r="O805" s="34"/>
      <c r="P805" s="35"/>
      <c r="Q805" s="35"/>
      <c r="R805" s="35"/>
      <c r="S805" s="35"/>
      <c r="T805" s="35"/>
      <c r="U805" s="35"/>
      <c r="V805" s="35"/>
      <c r="W805" s="35"/>
      <c r="X805" s="35"/>
      <c r="Y805" s="35"/>
    </row>
    <row r="806" ht="14.25" customHeight="1">
      <c r="A806" s="136"/>
      <c r="B806" s="137"/>
      <c r="C806" s="251"/>
      <c r="D806" s="452"/>
      <c r="E806" s="136"/>
      <c r="F806" s="253"/>
      <c r="G806" s="527"/>
      <c r="H806" s="141"/>
      <c r="I806" s="141"/>
      <c r="J806" s="142"/>
      <c r="K806" s="142"/>
      <c r="L806" s="142"/>
      <c r="M806" s="142"/>
      <c r="N806" s="136"/>
      <c r="O806" s="34"/>
      <c r="P806" s="35"/>
      <c r="Q806" s="35"/>
      <c r="R806" s="35"/>
      <c r="S806" s="35"/>
      <c r="T806" s="35"/>
      <c r="U806" s="35"/>
      <c r="V806" s="35"/>
      <c r="W806" s="35"/>
      <c r="X806" s="35"/>
      <c r="Y806" s="35"/>
    </row>
    <row r="807" ht="14.25" customHeight="1">
      <c r="A807" s="136"/>
      <c r="B807" s="137"/>
      <c r="C807" s="251"/>
      <c r="D807" s="452"/>
      <c r="E807" s="136"/>
      <c r="F807" s="253"/>
      <c r="G807" s="527"/>
      <c r="H807" s="141"/>
      <c r="I807" s="141"/>
      <c r="J807" s="142"/>
      <c r="K807" s="142"/>
      <c r="L807" s="142"/>
      <c r="M807" s="142"/>
      <c r="N807" s="136"/>
      <c r="O807" s="34"/>
      <c r="P807" s="35"/>
      <c r="Q807" s="35"/>
      <c r="R807" s="35"/>
      <c r="S807" s="35"/>
      <c r="T807" s="35"/>
      <c r="U807" s="35"/>
      <c r="V807" s="35"/>
      <c r="W807" s="35"/>
      <c r="X807" s="35"/>
      <c r="Y807" s="35"/>
    </row>
    <row r="808" ht="14.25" customHeight="1">
      <c r="A808" s="136"/>
      <c r="B808" s="137"/>
      <c r="C808" s="251"/>
      <c r="D808" s="452"/>
      <c r="E808" s="136"/>
      <c r="F808" s="253"/>
      <c r="G808" s="527"/>
      <c r="H808" s="141"/>
      <c r="I808" s="141"/>
      <c r="J808" s="142"/>
      <c r="K808" s="142"/>
      <c r="L808" s="142"/>
      <c r="M808" s="142"/>
      <c r="N808" s="136"/>
      <c r="O808" s="34"/>
      <c r="P808" s="35"/>
      <c r="Q808" s="35"/>
      <c r="R808" s="35"/>
      <c r="S808" s="35"/>
      <c r="T808" s="35"/>
      <c r="U808" s="35"/>
      <c r="V808" s="35"/>
      <c r="W808" s="35"/>
      <c r="X808" s="35"/>
      <c r="Y808" s="35"/>
    </row>
    <row r="809" ht="14.25" customHeight="1">
      <c r="A809" s="136"/>
      <c r="B809" s="137"/>
      <c r="C809" s="251"/>
      <c r="D809" s="452"/>
      <c r="E809" s="136"/>
      <c r="F809" s="253"/>
      <c r="G809" s="527"/>
      <c r="H809" s="141"/>
      <c r="I809" s="141"/>
      <c r="J809" s="142"/>
      <c r="K809" s="142"/>
      <c r="L809" s="142"/>
      <c r="M809" s="142"/>
      <c r="N809" s="136"/>
      <c r="O809" s="34"/>
      <c r="P809" s="35"/>
      <c r="Q809" s="35"/>
      <c r="R809" s="35"/>
      <c r="S809" s="35"/>
      <c r="T809" s="35"/>
      <c r="U809" s="35"/>
      <c r="V809" s="35"/>
      <c r="W809" s="35"/>
      <c r="X809" s="35"/>
      <c r="Y809" s="35"/>
    </row>
    <row r="810" ht="14.25" customHeight="1">
      <c r="A810" s="136"/>
      <c r="B810" s="137"/>
      <c r="C810" s="251"/>
      <c r="D810" s="452"/>
      <c r="E810" s="136"/>
      <c r="F810" s="253"/>
      <c r="G810" s="527"/>
      <c r="H810" s="141"/>
      <c r="I810" s="141"/>
      <c r="J810" s="142"/>
      <c r="K810" s="142"/>
      <c r="L810" s="142"/>
      <c r="M810" s="142"/>
      <c r="N810" s="136"/>
      <c r="O810" s="34"/>
      <c r="P810" s="35"/>
      <c r="Q810" s="35"/>
      <c r="R810" s="35"/>
      <c r="S810" s="35"/>
      <c r="T810" s="35"/>
      <c r="U810" s="35"/>
      <c r="V810" s="35"/>
      <c r="W810" s="35"/>
      <c r="X810" s="35"/>
      <c r="Y810" s="35"/>
    </row>
    <row r="811" ht="14.25" customHeight="1">
      <c r="A811" s="136"/>
      <c r="B811" s="137"/>
      <c r="C811" s="251"/>
      <c r="D811" s="452"/>
      <c r="E811" s="136"/>
      <c r="F811" s="253"/>
      <c r="G811" s="527"/>
      <c r="H811" s="141"/>
      <c r="I811" s="141"/>
      <c r="J811" s="142"/>
      <c r="K811" s="142"/>
      <c r="L811" s="142"/>
      <c r="M811" s="142"/>
      <c r="N811" s="136"/>
      <c r="O811" s="34"/>
      <c r="P811" s="35"/>
      <c r="Q811" s="35"/>
      <c r="R811" s="35"/>
      <c r="S811" s="35"/>
      <c r="T811" s="35"/>
      <c r="U811" s="35"/>
      <c r="V811" s="35"/>
      <c r="W811" s="35"/>
      <c r="X811" s="35"/>
      <c r="Y811" s="35"/>
    </row>
    <row r="812" ht="14.25" customHeight="1">
      <c r="A812" s="136"/>
      <c r="B812" s="137"/>
      <c r="C812" s="251"/>
      <c r="D812" s="452"/>
      <c r="E812" s="136"/>
      <c r="F812" s="253"/>
      <c r="G812" s="527"/>
      <c r="H812" s="141"/>
      <c r="I812" s="141"/>
      <c r="J812" s="142"/>
      <c r="K812" s="142"/>
      <c r="L812" s="142"/>
      <c r="M812" s="142"/>
      <c r="N812" s="136"/>
      <c r="O812" s="34"/>
      <c r="P812" s="35"/>
      <c r="Q812" s="35"/>
      <c r="R812" s="35"/>
      <c r="S812" s="35"/>
      <c r="T812" s="35"/>
      <c r="U812" s="35"/>
      <c r="V812" s="35"/>
      <c r="W812" s="35"/>
      <c r="X812" s="35"/>
      <c r="Y812" s="35"/>
    </row>
    <row r="813" ht="14.25" customHeight="1">
      <c r="A813" s="136"/>
      <c r="B813" s="137"/>
      <c r="C813" s="251"/>
      <c r="D813" s="452"/>
      <c r="E813" s="136"/>
      <c r="F813" s="253"/>
      <c r="G813" s="527"/>
      <c r="H813" s="141"/>
      <c r="I813" s="141"/>
      <c r="J813" s="142"/>
      <c r="K813" s="142"/>
      <c r="L813" s="142"/>
      <c r="M813" s="142"/>
      <c r="N813" s="136"/>
      <c r="O813" s="34"/>
      <c r="P813" s="35"/>
      <c r="Q813" s="35"/>
      <c r="R813" s="35"/>
      <c r="S813" s="35"/>
      <c r="T813" s="35"/>
      <c r="U813" s="35"/>
      <c r="V813" s="35"/>
      <c r="W813" s="35"/>
      <c r="X813" s="35"/>
      <c r="Y813" s="35"/>
    </row>
    <row r="814" ht="14.25" customHeight="1">
      <c r="A814" s="136"/>
      <c r="B814" s="137"/>
      <c r="C814" s="251"/>
      <c r="D814" s="452"/>
      <c r="E814" s="136"/>
      <c r="F814" s="253"/>
      <c r="G814" s="527"/>
      <c r="H814" s="141"/>
      <c r="I814" s="141"/>
      <c r="J814" s="142"/>
      <c r="K814" s="142"/>
      <c r="L814" s="142"/>
      <c r="M814" s="142"/>
      <c r="N814" s="136"/>
      <c r="O814" s="34"/>
      <c r="P814" s="35"/>
      <c r="Q814" s="35"/>
      <c r="R814" s="35"/>
      <c r="S814" s="35"/>
      <c r="T814" s="35"/>
      <c r="U814" s="35"/>
      <c r="V814" s="35"/>
      <c r="W814" s="35"/>
      <c r="X814" s="35"/>
      <c r="Y814" s="35"/>
    </row>
    <row r="815" ht="14.25" customHeight="1">
      <c r="A815" s="136"/>
      <c r="B815" s="137"/>
      <c r="C815" s="251"/>
      <c r="D815" s="452"/>
      <c r="E815" s="136"/>
      <c r="F815" s="253"/>
      <c r="G815" s="527"/>
      <c r="H815" s="141"/>
      <c r="I815" s="141"/>
      <c r="J815" s="142"/>
      <c r="K815" s="142"/>
      <c r="L815" s="142"/>
      <c r="M815" s="142"/>
      <c r="N815" s="136"/>
      <c r="O815" s="34"/>
      <c r="P815" s="35"/>
      <c r="Q815" s="35"/>
      <c r="R815" s="35"/>
      <c r="S815" s="35"/>
      <c r="T815" s="35"/>
      <c r="U815" s="35"/>
      <c r="V815" s="35"/>
      <c r="W815" s="35"/>
      <c r="X815" s="35"/>
      <c r="Y815" s="35"/>
    </row>
    <row r="816" ht="14.25" customHeight="1">
      <c r="A816" s="136"/>
      <c r="B816" s="137"/>
      <c r="C816" s="251"/>
      <c r="D816" s="452"/>
      <c r="E816" s="136"/>
      <c r="F816" s="253"/>
      <c r="G816" s="527"/>
      <c r="H816" s="141"/>
      <c r="I816" s="141"/>
      <c r="J816" s="142"/>
      <c r="K816" s="142"/>
      <c r="L816" s="142"/>
      <c r="M816" s="142"/>
      <c r="N816" s="136"/>
      <c r="O816" s="34"/>
      <c r="P816" s="35"/>
      <c r="Q816" s="35"/>
      <c r="R816" s="35"/>
      <c r="S816" s="35"/>
      <c r="T816" s="35"/>
      <c r="U816" s="35"/>
      <c r="V816" s="35"/>
      <c r="W816" s="35"/>
      <c r="X816" s="35"/>
      <c r="Y816" s="35"/>
    </row>
    <row r="817" ht="14.25" customHeight="1">
      <c r="A817" s="136"/>
      <c r="B817" s="137"/>
      <c r="C817" s="251"/>
      <c r="D817" s="452"/>
      <c r="E817" s="136"/>
      <c r="F817" s="253"/>
      <c r="G817" s="527"/>
      <c r="H817" s="141"/>
      <c r="I817" s="141"/>
      <c r="J817" s="142"/>
      <c r="K817" s="142"/>
      <c r="L817" s="142"/>
      <c r="M817" s="142"/>
      <c r="N817" s="136"/>
      <c r="O817" s="34"/>
      <c r="P817" s="35"/>
      <c r="Q817" s="35"/>
      <c r="R817" s="35"/>
      <c r="S817" s="35"/>
      <c r="T817" s="35"/>
      <c r="U817" s="35"/>
      <c r="V817" s="35"/>
      <c r="W817" s="35"/>
      <c r="X817" s="35"/>
      <c r="Y817" s="35"/>
    </row>
    <row r="818" ht="14.25" customHeight="1">
      <c r="A818" s="136"/>
      <c r="B818" s="137"/>
      <c r="C818" s="251"/>
      <c r="D818" s="452"/>
      <c r="E818" s="136"/>
      <c r="F818" s="253"/>
      <c r="G818" s="527"/>
      <c r="H818" s="141"/>
      <c r="I818" s="141"/>
      <c r="J818" s="142"/>
      <c r="K818" s="142"/>
      <c r="L818" s="142"/>
      <c r="M818" s="142"/>
      <c r="N818" s="136"/>
      <c r="O818" s="34"/>
      <c r="P818" s="35"/>
      <c r="Q818" s="35"/>
      <c r="R818" s="35"/>
      <c r="S818" s="35"/>
      <c r="T818" s="35"/>
      <c r="U818" s="35"/>
      <c r="V818" s="35"/>
      <c r="W818" s="35"/>
      <c r="X818" s="35"/>
      <c r="Y818" s="35"/>
    </row>
    <row r="819" ht="14.25" customHeight="1">
      <c r="A819" s="136"/>
      <c r="B819" s="137"/>
      <c r="C819" s="251"/>
      <c r="D819" s="452"/>
      <c r="E819" s="136"/>
      <c r="F819" s="253"/>
      <c r="G819" s="527"/>
      <c r="H819" s="141"/>
      <c r="I819" s="141"/>
      <c r="J819" s="142"/>
      <c r="K819" s="142"/>
      <c r="L819" s="142"/>
      <c r="M819" s="142"/>
      <c r="N819" s="136"/>
      <c r="O819" s="34"/>
      <c r="P819" s="35"/>
      <c r="Q819" s="35"/>
      <c r="R819" s="35"/>
      <c r="S819" s="35"/>
      <c r="T819" s="35"/>
      <c r="U819" s="35"/>
      <c r="V819" s="35"/>
      <c r="W819" s="35"/>
      <c r="X819" s="35"/>
      <c r="Y819" s="35"/>
    </row>
    <row r="820" ht="14.25" customHeight="1">
      <c r="A820" s="136"/>
      <c r="B820" s="137"/>
      <c r="C820" s="251"/>
      <c r="D820" s="452"/>
      <c r="E820" s="136"/>
      <c r="F820" s="253"/>
      <c r="G820" s="527"/>
      <c r="H820" s="141"/>
      <c r="I820" s="141"/>
      <c r="J820" s="142"/>
      <c r="K820" s="142"/>
      <c r="L820" s="142"/>
      <c r="M820" s="142"/>
      <c r="N820" s="136"/>
      <c r="O820" s="34"/>
      <c r="P820" s="35"/>
      <c r="Q820" s="35"/>
      <c r="R820" s="35"/>
      <c r="S820" s="35"/>
      <c r="T820" s="35"/>
      <c r="U820" s="35"/>
      <c r="V820" s="35"/>
      <c r="W820" s="35"/>
      <c r="X820" s="35"/>
      <c r="Y820" s="35"/>
    </row>
    <row r="821" ht="14.25" customHeight="1">
      <c r="A821" s="136"/>
      <c r="B821" s="137"/>
      <c r="C821" s="251"/>
      <c r="D821" s="452"/>
      <c r="E821" s="136"/>
      <c r="F821" s="253"/>
      <c r="G821" s="527"/>
      <c r="H821" s="141"/>
      <c r="I821" s="141"/>
      <c r="J821" s="142"/>
      <c r="K821" s="142"/>
      <c r="L821" s="142"/>
      <c r="M821" s="142"/>
      <c r="N821" s="136"/>
      <c r="O821" s="34"/>
      <c r="P821" s="35"/>
      <c r="Q821" s="35"/>
      <c r="R821" s="35"/>
      <c r="S821" s="35"/>
      <c r="T821" s="35"/>
      <c r="U821" s="35"/>
      <c r="V821" s="35"/>
      <c r="W821" s="35"/>
      <c r="X821" s="35"/>
      <c r="Y821" s="35"/>
    </row>
    <row r="822" ht="14.25" customHeight="1">
      <c r="A822" s="136"/>
      <c r="B822" s="137"/>
      <c r="C822" s="251"/>
      <c r="D822" s="452"/>
      <c r="E822" s="136"/>
      <c r="F822" s="253"/>
      <c r="G822" s="527"/>
      <c r="H822" s="141"/>
      <c r="I822" s="141"/>
      <c r="J822" s="142"/>
      <c r="K822" s="142"/>
      <c r="L822" s="142"/>
      <c r="M822" s="142"/>
      <c r="N822" s="136"/>
      <c r="O822" s="34"/>
      <c r="P822" s="35"/>
      <c r="Q822" s="35"/>
      <c r="R822" s="35"/>
      <c r="S822" s="35"/>
      <c r="T822" s="35"/>
      <c r="U822" s="35"/>
      <c r="V822" s="35"/>
      <c r="W822" s="35"/>
      <c r="X822" s="35"/>
      <c r="Y822" s="35"/>
    </row>
    <row r="823" ht="14.25" customHeight="1">
      <c r="A823" s="136"/>
      <c r="B823" s="137"/>
      <c r="C823" s="251"/>
      <c r="D823" s="452"/>
      <c r="E823" s="136"/>
      <c r="F823" s="253"/>
      <c r="G823" s="527"/>
      <c r="H823" s="141"/>
      <c r="I823" s="141"/>
      <c r="J823" s="142"/>
      <c r="K823" s="142"/>
      <c r="L823" s="142"/>
      <c r="M823" s="142"/>
      <c r="N823" s="136"/>
      <c r="O823" s="34"/>
      <c r="P823" s="35"/>
      <c r="Q823" s="35"/>
      <c r="R823" s="35"/>
      <c r="S823" s="35"/>
      <c r="T823" s="35"/>
      <c r="U823" s="35"/>
      <c r="V823" s="35"/>
      <c r="W823" s="35"/>
      <c r="X823" s="35"/>
      <c r="Y823" s="35"/>
    </row>
    <row r="824" ht="14.25" customHeight="1">
      <c r="A824" s="136"/>
      <c r="B824" s="137"/>
      <c r="C824" s="251"/>
      <c r="D824" s="452"/>
      <c r="E824" s="136"/>
      <c r="F824" s="253"/>
      <c r="G824" s="527"/>
      <c r="H824" s="141"/>
      <c r="I824" s="141"/>
      <c r="J824" s="142"/>
      <c r="K824" s="142"/>
      <c r="L824" s="142"/>
      <c r="M824" s="142"/>
      <c r="N824" s="136"/>
      <c r="O824" s="34"/>
      <c r="P824" s="35"/>
      <c r="Q824" s="35"/>
      <c r="R824" s="35"/>
      <c r="S824" s="35"/>
      <c r="T824" s="35"/>
      <c r="U824" s="35"/>
      <c r="V824" s="35"/>
      <c r="W824" s="35"/>
      <c r="X824" s="35"/>
      <c r="Y824" s="35"/>
    </row>
    <row r="825" ht="14.25" customHeight="1">
      <c r="A825" s="136"/>
      <c r="B825" s="137"/>
      <c r="C825" s="251"/>
      <c r="D825" s="452"/>
      <c r="E825" s="136"/>
      <c r="F825" s="253"/>
      <c r="G825" s="527"/>
      <c r="H825" s="141"/>
      <c r="I825" s="141"/>
      <c r="J825" s="142"/>
      <c r="K825" s="142"/>
      <c r="L825" s="142"/>
      <c r="M825" s="142"/>
      <c r="N825" s="136"/>
      <c r="O825" s="34"/>
      <c r="P825" s="35"/>
      <c r="Q825" s="35"/>
      <c r="R825" s="35"/>
      <c r="S825" s="35"/>
      <c r="T825" s="35"/>
      <c r="U825" s="35"/>
      <c r="V825" s="35"/>
      <c r="W825" s="35"/>
      <c r="X825" s="35"/>
      <c r="Y825" s="35"/>
    </row>
    <row r="826" ht="14.25" customHeight="1">
      <c r="A826" s="136"/>
      <c r="B826" s="137"/>
      <c r="C826" s="251"/>
      <c r="D826" s="452"/>
      <c r="E826" s="136"/>
      <c r="F826" s="253"/>
      <c r="G826" s="527"/>
      <c r="H826" s="141"/>
      <c r="I826" s="141"/>
      <c r="J826" s="142"/>
      <c r="K826" s="142"/>
      <c r="L826" s="142"/>
      <c r="M826" s="142"/>
      <c r="N826" s="136"/>
      <c r="O826" s="34"/>
      <c r="P826" s="35"/>
      <c r="Q826" s="35"/>
      <c r="R826" s="35"/>
      <c r="S826" s="35"/>
      <c r="T826" s="35"/>
      <c r="U826" s="35"/>
      <c r="V826" s="35"/>
      <c r="W826" s="35"/>
      <c r="X826" s="35"/>
      <c r="Y826" s="35"/>
    </row>
    <row r="827" ht="14.25" customHeight="1">
      <c r="A827" s="136"/>
      <c r="B827" s="137"/>
      <c r="C827" s="251"/>
      <c r="D827" s="452"/>
      <c r="E827" s="136"/>
      <c r="F827" s="253"/>
      <c r="G827" s="527"/>
      <c r="H827" s="141"/>
      <c r="I827" s="141"/>
      <c r="J827" s="142"/>
      <c r="K827" s="142"/>
      <c r="L827" s="142"/>
      <c r="M827" s="142"/>
      <c r="N827" s="136"/>
      <c r="O827" s="34"/>
      <c r="P827" s="35"/>
      <c r="Q827" s="35"/>
      <c r="R827" s="35"/>
      <c r="S827" s="35"/>
      <c r="T827" s="35"/>
      <c r="U827" s="35"/>
      <c r="V827" s="35"/>
      <c r="W827" s="35"/>
      <c r="X827" s="35"/>
      <c r="Y827" s="35"/>
    </row>
    <row r="828" ht="14.25" customHeight="1">
      <c r="A828" s="136"/>
      <c r="B828" s="137"/>
      <c r="C828" s="251"/>
      <c r="D828" s="452"/>
      <c r="E828" s="136"/>
      <c r="F828" s="253"/>
      <c r="G828" s="527"/>
      <c r="H828" s="141"/>
      <c r="I828" s="141"/>
      <c r="J828" s="142"/>
      <c r="K828" s="142"/>
      <c r="L828" s="142"/>
      <c r="M828" s="142"/>
      <c r="N828" s="136"/>
      <c r="O828" s="34"/>
      <c r="P828" s="35"/>
      <c r="Q828" s="35"/>
      <c r="R828" s="35"/>
      <c r="S828" s="35"/>
      <c r="T828" s="35"/>
      <c r="U828" s="35"/>
      <c r="V828" s="35"/>
      <c r="W828" s="35"/>
      <c r="X828" s="35"/>
      <c r="Y828" s="35"/>
    </row>
    <row r="829" ht="14.25" customHeight="1">
      <c r="A829" s="136"/>
      <c r="B829" s="137"/>
      <c r="C829" s="251"/>
      <c r="D829" s="452"/>
      <c r="E829" s="136"/>
      <c r="F829" s="253"/>
      <c r="G829" s="527"/>
      <c r="H829" s="141"/>
      <c r="I829" s="141"/>
      <c r="J829" s="142"/>
      <c r="K829" s="142"/>
      <c r="L829" s="142"/>
      <c r="M829" s="142"/>
      <c r="N829" s="136"/>
      <c r="O829" s="34"/>
      <c r="P829" s="35"/>
      <c r="Q829" s="35"/>
      <c r="R829" s="35"/>
      <c r="S829" s="35"/>
      <c r="T829" s="35"/>
      <c r="U829" s="35"/>
      <c r="V829" s="35"/>
      <c r="W829" s="35"/>
      <c r="X829" s="35"/>
      <c r="Y829" s="35"/>
    </row>
    <row r="830" ht="14.25" customHeight="1">
      <c r="A830" s="136"/>
      <c r="B830" s="137"/>
      <c r="C830" s="251"/>
      <c r="D830" s="452"/>
      <c r="E830" s="136"/>
      <c r="F830" s="253"/>
      <c r="G830" s="527"/>
      <c r="H830" s="141"/>
      <c r="I830" s="141"/>
      <c r="J830" s="142"/>
      <c r="K830" s="142"/>
      <c r="L830" s="142"/>
      <c r="M830" s="142"/>
      <c r="N830" s="136"/>
      <c r="O830" s="34"/>
      <c r="P830" s="35"/>
      <c r="Q830" s="35"/>
      <c r="R830" s="35"/>
      <c r="S830" s="35"/>
      <c r="T830" s="35"/>
      <c r="U830" s="35"/>
      <c r="V830" s="35"/>
      <c r="W830" s="35"/>
      <c r="X830" s="35"/>
      <c r="Y830" s="35"/>
    </row>
    <row r="831" ht="14.25" customHeight="1">
      <c r="A831" s="136"/>
      <c r="B831" s="137"/>
      <c r="C831" s="251"/>
      <c r="D831" s="452"/>
      <c r="E831" s="136"/>
      <c r="F831" s="253"/>
      <c r="G831" s="527"/>
      <c r="H831" s="141"/>
      <c r="I831" s="141"/>
      <c r="J831" s="142"/>
      <c r="K831" s="142"/>
      <c r="L831" s="142"/>
      <c r="M831" s="142"/>
      <c r="N831" s="136"/>
      <c r="O831" s="34"/>
      <c r="P831" s="35"/>
      <c r="Q831" s="35"/>
      <c r="R831" s="35"/>
      <c r="S831" s="35"/>
      <c r="T831" s="35"/>
      <c r="U831" s="35"/>
      <c r="V831" s="35"/>
      <c r="W831" s="35"/>
      <c r="X831" s="35"/>
      <c r="Y831" s="35"/>
    </row>
    <row r="832" ht="14.25" customHeight="1">
      <c r="A832" s="136"/>
      <c r="B832" s="137"/>
      <c r="C832" s="251"/>
      <c r="D832" s="452"/>
      <c r="E832" s="136"/>
      <c r="F832" s="253"/>
      <c r="G832" s="527"/>
      <c r="H832" s="141"/>
      <c r="I832" s="141"/>
      <c r="J832" s="142"/>
      <c r="K832" s="142"/>
      <c r="L832" s="142"/>
      <c r="M832" s="142"/>
      <c r="N832" s="136"/>
      <c r="O832" s="34"/>
      <c r="P832" s="35"/>
      <c r="Q832" s="35"/>
      <c r="R832" s="35"/>
      <c r="S832" s="35"/>
      <c r="T832" s="35"/>
      <c r="U832" s="35"/>
      <c r="V832" s="35"/>
      <c r="W832" s="35"/>
      <c r="X832" s="35"/>
      <c r="Y832" s="35"/>
    </row>
    <row r="833" ht="14.25" customHeight="1">
      <c r="A833" s="136"/>
      <c r="B833" s="137"/>
      <c r="C833" s="251"/>
      <c r="D833" s="452"/>
      <c r="E833" s="136"/>
      <c r="F833" s="253"/>
      <c r="G833" s="527"/>
      <c r="H833" s="141"/>
      <c r="I833" s="141"/>
      <c r="J833" s="142"/>
      <c r="K833" s="142"/>
      <c r="L833" s="142"/>
      <c r="M833" s="142"/>
      <c r="N833" s="136"/>
      <c r="O833" s="34"/>
      <c r="P833" s="35"/>
      <c r="Q833" s="35"/>
      <c r="R833" s="35"/>
      <c r="S833" s="35"/>
      <c r="T833" s="35"/>
      <c r="U833" s="35"/>
      <c r="V833" s="35"/>
      <c r="W833" s="35"/>
      <c r="X833" s="35"/>
      <c r="Y833" s="35"/>
    </row>
    <row r="834" ht="14.25" customHeight="1">
      <c r="A834" s="136"/>
      <c r="B834" s="137"/>
      <c r="C834" s="251"/>
      <c r="D834" s="452"/>
      <c r="E834" s="136"/>
      <c r="F834" s="253"/>
      <c r="G834" s="527"/>
      <c r="H834" s="141"/>
      <c r="I834" s="141"/>
      <c r="J834" s="142"/>
      <c r="K834" s="142"/>
      <c r="L834" s="142"/>
      <c r="M834" s="142"/>
      <c r="N834" s="136"/>
      <c r="O834" s="34"/>
      <c r="P834" s="35"/>
      <c r="Q834" s="35"/>
      <c r="R834" s="35"/>
      <c r="S834" s="35"/>
      <c r="T834" s="35"/>
      <c r="U834" s="35"/>
      <c r="V834" s="35"/>
      <c r="W834" s="35"/>
      <c r="X834" s="35"/>
      <c r="Y834" s="35"/>
    </row>
    <row r="835" ht="14.25" customHeight="1">
      <c r="A835" s="136"/>
      <c r="B835" s="137"/>
      <c r="C835" s="251"/>
      <c r="D835" s="452"/>
      <c r="E835" s="136"/>
      <c r="F835" s="253"/>
      <c r="G835" s="527"/>
      <c r="H835" s="141"/>
      <c r="I835" s="141"/>
      <c r="J835" s="142"/>
      <c r="K835" s="142"/>
      <c r="L835" s="142"/>
      <c r="M835" s="142"/>
      <c r="N835" s="136"/>
      <c r="O835" s="34"/>
      <c r="P835" s="35"/>
      <c r="Q835" s="35"/>
      <c r="R835" s="35"/>
      <c r="S835" s="35"/>
      <c r="T835" s="35"/>
      <c r="U835" s="35"/>
      <c r="V835" s="35"/>
      <c r="W835" s="35"/>
      <c r="X835" s="35"/>
      <c r="Y835" s="35"/>
    </row>
    <row r="836" ht="14.25" customHeight="1">
      <c r="A836" s="136"/>
      <c r="B836" s="137"/>
      <c r="C836" s="251"/>
      <c r="D836" s="452"/>
      <c r="E836" s="136"/>
      <c r="F836" s="253"/>
      <c r="G836" s="527"/>
      <c r="H836" s="141"/>
      <c r="I836" s="141"/>
      <c r="J836" s="142"/>
      <c r="K836" s="142"/>
      <c r="L836" s="142"/>
      <c r="M836" s="142"/>
      <c r="N836" s="136"/>
      <c r="O836" s="34"/>
      <c r="P836" s="35"/>
      <c r="Q836" s="35"/>
      <c r="R836" s="35"/>
      <c r="S836" s="35"/>
      <c r="T836" s="35"/>
      <c r="U836" s="35"/>
      <c r="V836" s="35"/>
      <c r="W836" s="35"/>
      <c r="X836" s="35"/>
      <c r="Y836" s="35"/>
    </row>
    <row r="837" ht="14.25" customHeight="1">
      <c r="A837" s="136"/>
      <c r="B837" s="137"/>
      <c r="C837" s="251"/>
      <c r="D837" s="452"/>
      <c r="E837" s="136"/>
      <c r="F837" s="253"/>
      <c r="G837" s="527"/>
      <c r="H837" s="141"/>
      <c r="I837" s="141"/>
      <c r="J837" s="142"/>
      <c r="K837" s="142"/>
      <c r="L837" s="142"/>
      <c r="M837" s="142"/>
      <c r="N837" s="136"/>
      <c r="O837" s="34"/>
      <c r="P837" s="35"/>
      <c r="Q837" s="35"/>
      <c r="R837" s="35"/>
      <c r="S837" s="35"/>
      <c r="T837" s="35"/>
      <c r="U837" s="35"/>
      <c r="V837" s="35"/>
      <c r="W837" s="35"/>
      <c r="X837" s="35"/>
      <c r="Y837" s="35"/>
    </row>
    <row r="838" ht="14.25" customHeight="1">
      <c r="A838" s="136"/>
      <c r="B838" s="137"/>
      <c r="C838" s="251"/>
      <c r="D838" s="452"/>
      <c r="E838" s="136"/>
      <c r="F838" s="253"/>
      <c r="G838" s="527"/>
      <c r="H838" s="141"/>
      <c r="I838" s="141"/>
      <c r="J838" s="142"/>
      <c r="K838" s="142"/>
      <c r="L838" s="142"/>
      <c r="M838" s="142"/>
      <c r="N838" s="136"/>
      <c r="O838" s="34"/>
      <c r="P838" s="35"/>
      <c r="Q838" s="35"/>
      <c r="R838" s="35"/>
      <c r="S838" s="35"/>
      <c r="T838" s="35"/>
      <c r="U838" s="35"/>
      <c r="V838" s="35"/>
      <c r="W838" s="35"/>
      <c r="X838" s="35"/>
      <c r="Y838" s="35"/>
    </row>
    <row r="839" ht="14.25" customHeight="1">
      <c r="A839" s="136"/>
      <c r="B839" s="137"/>
      <c r="C839" s="251"/>
      <c r="D839" s="452"/>
      <c r="E839" s="136"/>
      <c r="F839" s="253"/>
      <c r="G839" s="527"/>
      <c r="H839" s="141"/>
      <c r="I839" s="141"/>
      <c r="J839" s="142"/>
      <c r="K839" s="142"/>
      <c r="L839" s="142"/>
      <c r="M839" s="142"/>
      <c r="N839" s="136"/>
      <c r="O839" s="34"/>
      <c r="P839" s="35"/>
      <c r="Q839" s="35"/>
      <c r="R839" s="35"/>
      <c r="S839" s="35"/>
      <c r="T839" s="35"/>
      <c r="U839" s="35"/>
      <c r="V839" s="35"/>
      <c r="W839" s="35"/>
      <c r="X839" s="35"/>
      <c r="Y839" s="35"/>
    </row>
    <row r="840" ht="14.25" customHeight="1">
      <c r="A840" s="136"/>
      <c r="B840" s="137"/>
      <c r="C840" s="251"/>
      <c r="D840" s="452"/>
      <c r="E840" s="136"/>
      <c r="F840" s="253"/>
      <c r="G840" s="527"/>
      <c r="H840" s="141"/>
      <c r="I840" s="141"/>
      <c r="J840" s="142"/>
      <c r="K840" s="142"/>
      <c r="L840" s="142"/>
      <c r="M840" s="142"/>
      <c r="N840" s="136"/>
      <c r="O840" s="34"/>
      <c r="P840" s="35"/>
      <c r="Q840" s="35"/>
      <c r="R840" s="35"/>
      <c r="S840" s="35"/>
      <c r="T840" s="35"/>
      <c r="U840" s="35"/>
      <c r="V840" s="35"/>
      <c r="W840" s="35"/>
      <c r="X840" s="35"/>
      <c r="Y840" s="35"/>
    </row>
    <row r="841" ht="14.25" customHeight="1">
      <c r="A841" s="136"/>
      <c r="B841" s="137"/>
      <c r="C841" s="251"/>
      <c r="D841" s="452"/>
      <c r="E841" s="136"/>
      <c r="F841" s="253"/>
      <c r="G841" s="527"/>
      <c r="H841" s="141"/>
      <c r="I841" s="141"/>
      <c r="J841" s="142"/>
      <c r="K841" s="142"/>
      <c r="L841" s="142"/>
      <c r="M841" s="142"/>
      <c r="N841" s="136"/>
      <c r="O841" s="34"/>
      <c r="P841" s="35"/>
      <c r="Q841" s="35"/>
      <c r="R841" s="35"/>
      <c r="S841" s="35"/>
      <c r="T841" s="35"/>
      <c r="U841" s="35"/>
      <c r="V841" s="35"/>
      <c r="W841" s="35"/>
      <c r="X841" s="35"/>
      <c r="Y841" s="35"/>
    </row>
    <row r="842" ht="14.25" customHeight="1">
      <c r="A842" s="136"/>
      <c r="B842" s="137"/>
      <c r="C842" s="251"/>
      <c r="D842" s="452"/>
      <c r="E842" s="136"/>
      <c r="F842" s="253"/>
      <c r="G842" s="527"/>
      <c r="H842" s="141"/>
      <c r="I842" s="141"/>
      <c r="J842" s="142"/>
      <c r="K842" s="142"/>
      <c r="L842" s="142"/>
      <c r="M842" s="142"/>
      <c r="N842" s="136"/>
      <c r="O842" s="34"/>
      <c r="P842" s="35"/>
      <c r="Q842" s="35"/>
      <c r="R842" s="35"/>
      <c r="S842" s="35"/>
      <c r="T842" s="35"/>
      <c r="U842" s="35"/>
      <c r="V842" s="35"/>
      <c r="W842" s="35"/>
      <c r="X842" s="35"/>
      <c r="Y842" s="35"/>
    </row>
    <row r="843" ht="14.25" customHeight="1">
      <c r="A843" s="136"/>
      <c r="B843" s="137"/>
      <c r="C843" s="251"/>
      <c r="D843" s="452"/>
      <c r="E843" s="136"/>
      <c r="F843" s="253"/>
      <c r="G843" s="527"/>
      <c r="H843" s="141"/>
      <c r="I843" s="141"/>
      <c r="J843" s="142"/>
      <c r="K843" s="142"/>
      <c r="L843" s="142"/>
      <c r="M843" s="142"/>
      <c r="N843" s="136"/>
      <c r="O843" s="34"/>
      <c r="P843" s="35"/>
      <c r="Q843" s="35"/>
      <c r="R843" s="35"/>
      <c r="S843" s="35"/>
      <c r="T843" s="35"/>
      <c r="U843" s="35"/>
      <c r="V843" s="35"/>
      <c r="W843" s="35"/>
      <c r="X843" s="35"/>
      <c r="Y843" s="35"/>
    </row>
    <row r="844" ht="14.25" customHeight="1">
      <c r="A844" s="136"/>
      <c r="B844" s="137"/>
      <c r="C844" s="251"/>
      <c r="D844" s="452"/>
      <c r="E844" s="136"/>
      <c r="F844" s="253"/>
      <c r="G844" s="527"/>
      <c r="H844" s="141"/>
      <c r="I844" s="141"/>
      <c r="J844" s="142"/>
      <c r="K844" s="142"/>
      <c r="L844" s="142"/>
      <c r="M844" s="142"/>
      <c r="N844" s="136"/>
      <c r="O844" s="34"/>
      <c r="P844" s="35"/>
      <c r="Q844" s="35"/>
      <c r="R844" s="35"/>
      <c r="S844" s="35"/>
      <c r="T844" s="35"/>
      <c r="U844" s="35"/>
      <c r="V844" s="35"/>
      <c r="W844" s="35"/>
      <c r="X844" s="35"/>
      <c r="Y844" s="35"/>
    </row>
    <row r="845" ht="14.25" customHeight="1">
      <c r="A845" s="136"/>
      <c r="B845" s="137"/>
      <c r="C845" s="251"/>
      <c r="D845" s="452"/>
      <c r="E845" s="136"/>
      <c r="F845" s="253"/>
      <c r="G845" s="527"/>
      <c r="H845" s="141"/>
      <c r="I845" s="141"/>
      <c r="J845" s="142"/>
      <c r="K845" s="142"/>
      <c r="L845" s="142"/>
      <c r="M845" s="142"/>
      <c r="N845" s="136"/>
      <c r="O845" s="34"/>
      <c r="P845" s="35"/>
      <c r="Q845" s="35"/>
      <c r="R845" s="35"/>
      <c r="S845" s="35"/>
      <c r="T845" s="35"/>
      <c r="U845" s="35"/>
      <c r="V845" s="35"/>
      <c r="W845" s="35"/>
      <c r="X845" s="35"/>
      <c r="Y845" s="35"/>
    </row>
    <row r="846" ht="14.25" customHeight="1">
      <c r="A846" s="136"/>
      <c r="B846" s="137"/>
      <c r="C846" s="251"/>
      <c r="D846" s="452"/>
      <c r="E846" s="136"/>
      <c r="F846" s="253"/>
      <c r="G846" s="527"/>
      <c r="H846" s="141"/>
      <c r="I846" s="141"/>
      <c r="J846" s="142"/>
      <c r="K846" s="142"/>
      <c r="L846" s="142"/>
      <c r="M846" s="142"/>
      <c r="N846" s="136"/>
      <c r="O846" s="34"/>
      <c r="P846" s="35"/>
      <c r="Q846" s="35"/>
      <c r="R846" s="35"/>
      <c r="S846" s="35"/>
      <c r="T846" s="35"/>
      <c r="U846" s="35"/>
      <c r="V846" s="35"/>
      <c r="W846" s="35"/>
      <c r="X846" s="35"/>
      <c r="Y846" s="35"/>
    </row>
    <row r="847" ht="14.25" customHeight="1">
      <c r="A847" s="136"/>
      <c r="B847" s="137"/>
      <c r="C847" s="251"/>
      <c r="D847" s="452"/>
      <c r="E847" s="136"/>
      <c r="F847" s="253"/>
      <c r="G847" s="527"/>
      <c r="H847" s="141"/>
      <c r="I847" s="141"/>
      <c r="J847" s="142"/>
      <c r="K847" s="142"/>
      <c r="L847" s="142"/>
      <c r="M847" s="142"/>
      <c r="N847" s="136"/>
      <c r="O847" s="34"/>
      <c r="P847" s="35"/>
      <c r="Q847" s="35"/>
      <c r="R847" s="35"/>
      <c r="S847" s="35"/>
      <c r="T847" s="35"/>
      <c r="U847" s="35"/>
      <c r="V847" s="35"/>
      <c r="W847" s="35"/>
      <c r="X847" s="35"/>
      <c r="Y847" s="35"/>
    </row>
    <row r="848" ht="14.25" customHeight="1">
      <c r="A848" s="136"/>
      <c r="B848" s="137"/>
      <c r="C848" s="251"/>
      <c r="D848" s="452"/>
      <c r="E848" s="136"/>
      <c r="F848" s="253"/>
      <c r="G848" s="527"/>
      <c r="H848" s="141"/>
      <c r="I848" s="141"/>
      <c r="J848" s="142"/>
      <c r="K848" s="142"/>
      <c r="L848" s="142"/>
      <c r="M848" s="142"/>
      <c r="N848" s="136"/>
      <c r="O848" s="34"/>
      <c r="P848" s="35"/>
      <c r="Q848" s="35"/>
      <c r="R848" s="35"/>
      <c r="S848" s="35"/>
      <c r="T848" s="35"/>
      <c r="U848" s="35"/>
      <c r="V848" s="35"/>
      <c r="W848" s="35"/>
      <c r="X848" s="35"/>
      <c r="Y848" s="35"/>
    </row>
    <row r="849" ht="14.25" customHeight="1">
      <c r="A849" s="136"/>
      <c r="B849" s="137"/>
      <c r="C849" s="251"/>
      <c r="D849" s="452"/>
      <c r="E849" s="136"/>
      <c r="F849" s="253"/>
      <c r="G849" s="527"/>
      <c r="H849" s="141"/>
      <c r="I849" s="141"/>
      <c r="J849" s="142"/>
      <c r="K849" s="142"/>
      <c r="L849" s="142"/>
      <c r="M849" s="142"/>
      <c r="N849" s="136"/>
      <c r="O849" s="34"/>
      <c r="P849" s="35"/>
      <c r="Q849" s="35"/>
      <c r="R849" s="35"/>
      <c r="S849" s="35"/>
      <c r="T849" s="35"/>
      <c r="U849" s="35"/>
      <c r="V849" s="35"/>
      <c r="W849" s="35"/>
      <c r="X849" s="35"/>
      <c r="Y849" s="35"/>
    </row>
    <row r="850" ht="14.25" customHeight="1">
      <c r="A850" s="136"/>
      <c r="B850" s="137"/>
      <c r="C850" s="251"/>
      <c r="D850" s="452"/>
      <c r="E850" s="136"/>
      <c r="F850" s="253"/>
      <c r="G850" s="527"/>
      <c r="H850" s="141"/>
      <c r="I850" s="141"/>
      <c r="J850" s="142"/>
      <c r="K850" s="142"/>
      <c r="L850" s="142"/>
      <c r="M850" s="142"/>
      <c r="N850" s="136"/>
      <c r="O850" s="34"/>
      <c r="P850" s="35"/>
      <c r="Q850" s="35"/>
      <c r="R850" s="35"/>
      <c r="S850" s="35"/>
      <c r="T850" s="35"/>
      <c r="U850" s="35"/>
      <c r="V850" s="35"/>
      <c r="W850" s="35"/>
      <c r="X850" s="35"/>
      <c r="Y850" s="35"/>
    </row>
    <row r="851" ht="14.25" customHeight="1">
      <c r="A851" s="136"/>
      <c r="B851" s="137"/>
      <c r="C851" s="251"/>
      <c r="D851" s="452"/>
      <c r="E851" s="136"/>
      <c r="F851" s="253"/>
      <c r="G851" s="527"/>
      <c r="H851" s="141"/>
      <c r="I851" s="141"/>
      <c r="J851" s="142"/>
      <c r="K851" s="142"/>
      <c r="L851" s="142"/>
      <c r="M851" s="142"/>
      <c r="N851" s="136"/>
      <c r="O851" s="34"/>
      <c r="P851" s="35"/>
      <c r="Q851" s="35"/>
      <c r="R851" s="35"/>
      <c r="S851" s="35"/>
      <c r="T851" s="35"/>
      <c r="U851" s="35"/>
      <c r="V851" s="35"/>
      <c r="W851" s="35"/>
      <c r="X851" s="35"/>
      <c r="Y851" s="35"/>
    </row>
    <row r="852" ht="14.25" customHeight="1">
      <c r="A852" s="136"/>
      <c r="B852" s="137"/>
      <c r="C852" s="251"/>
      <c r="D852" s="452"/>
      <c r="E852" s="136"/>
      <c r="F852" s="253"/>
      <c r="G852" s="527"/>
      <c r="H852" s="141"/>
      <c r="I852" s="141"/>
      <c r="J852" s="142"/>
      <c r="K852" s="142"/>
      <c r="L852" s="142"/>
      <c r="M852" s="142"/>
      <c r="N852" s="136"/>
      <c r="O852" s="34"/>
      <c r="P852" s="35"/>
      <c r="Q852" s="35"/>
      <c r="R852" s="35"/>
      <c r="S852" s="35"/>
      <c r="T852" s="35"/>
      <c r="U852" s="35"/>
      <c r="V852" s="35"/>
      <c r="W852" s="35"/>
      <c r="X852" s="35"/>
      <c r="Y852" s="35"/>
    </row>
    <row r="853" ht="14.25" customHeight="1">
      <c r="A853" s="136"/>
      <c r="B853" s="137"/>
      <c r="C853" s="251"/>
      <c r="D853" s="452"/>
      <c r="E853" s="136"/>
      <c r="F853" s="253"/>
      <c r="G853" s="527"/>
      <c r="H853" s="141"/>
      <c r="I853" s="141"/>
      <c r="J853" s="142"/>
      <c r="K853" s="142"/>
      <c r="L853" s="142"/>
      <c r="M853" s="142"/>
      <c r="N853" s="136"/>
      <c r="O853" s="34"/>
      <c r="P853" s="35"/>
      <c r="Q853" s="35"/>
      <c r="R853" s="35"/>
      <c r="S853" s="35"/>
      <c r="T853" s="35"/>
      <c r="U853" s="35"/>
      <c r="V853" s="35"/>
      <c r="W853" s="35"/>
      <c r="X853" s="35"/>
      <c r="Y853" s="35"/>
    </row>
    <row r="854" ht="14.25" customHeight="1">
      <c r="A854" s="136"/>
      <c r="B854" s="137"/>
      <c r="C854" s="251"/>
      <c r="D854" s="452"/>
      <c r="E854" s="136"/>
      <c r="F854" s="253"/>
      <c r="G854" s="527"/>
      <c r="H854" s="141"/>
      <c r="I854" s="141"/>
      <c r="J854" s="142"/>
      <c r="K854" s="142"/>
      <c r="L854" s="142"/>
      <c r="M854" s="142"/>
      <c r="N854" s="136"/>
      <c r="O854" s="34"/>
      <c r="P854" s="35"/>
      <c r="Q854" s="35"/>
      <c r="R854" s="35"/>
      <c r="S854" s="35"/>
      <c r="T854" s="35"/>
      <c r="U854" s="35"/>
      <c r="V854" s="35"/>
      <c r="W854" s="35"/>
      <c r="X854" s="35"/>
      <c r="Y854" s="35"/>
    </row>
    <row r="855" ht="14.25" customHeight="1">
      <c r="A855" s="136"/>
      <c r="B855" s="137"/>
      <c r="C855" s="251"/>
      <c r="D855" s="452"/>
      <c r="E855" s="136"/>
      <c r="F855" s="253"/>
      <c r="G855" s="527"/>
      <c r="H855" s="141"/>
      <c r="I855" s="141"/>
      <c r="J855" s="142"/>
      <c r="K855" s="142"/>
      <c r="L855" s="142"/>
      <c r="M855" s="142"/>
      <c r="N855" s="136"/>
      <c r="O855" s="34"/>
      <c r="P855" s="35"/>
      <c r="Q855" s="35"/>
      <c r="R855" s="35"/>
      <c r="S855" s="35"/>
      <c r="T855" s="35"/>
      <c r="U855" s="35"/>
      <c r="V855" s="35"/>
      <c r="W855" s="35"/>
      <c r="X855" s="35"/>
      <c r="Y855" s="35"/>
    </row>
    <row r="856" ht="14.25" customHeight="1">
      <c r="A856" s="136"/>
      <c r="B856" s="137"/>
      <c r="C856" s="251"/>
      <c r="D856" s="452"/>
      <c r="E856" s="136"/>
      <c r="F856" s="253"/>
      <c r="G856" s="527"/>
      <c r="H856" s="141"/>
      <c r="I856" s="141"/>
      <c r="J856" s="142"/>
      <c r="K856" s="142"/>
      <c r="L856" s="142"/>
      <c r="M856" s="142"/>
      <c r="N856" s="136"/>
      <c r="O856" s="34"/>
      <c r="P856" s="35"/>
      <c r="Q856" s="35"/>
      <c r="R856" s="35"/>
      <c r="S856" s="35"/>
      <c r="T856" s="35"/>
      <c r="U856" s="35"/>
      <c r="V856" s="35"/>
      <c r="W856" s="35"/>
      <c r="X856" s="35"/>
      <c r="Y856" s="35"/>
    </row>
    <row r="857" ht="14.25" customHeight="1">
      <c r="A857" s="136"/>
      <c r="B857" s="137"/>
      <c r="C857" s="251"/>
      <c r="D857" s="452"/>
      <c r="E857" s="136"/>
      <c r="F857" s="253"/>
      <c r="G857" s="527"/>
      <c r="H857" s="141"/>
      <c r="I857" s="141"/>
      <c r="J857" s="142"/>
      <c r="K857" s="142"/>
      <c r="L857" s="142"/>
      <c r="M857" s="142"/>
      <c r="N857" s="136"/>
      <c r="O857" s="34"/>
      <c r="P857" s="35"/>
      <c r="Q857" s="35"/>
      <c r="R857" s="35"/>
      <c r="S857" s="35"/>
      <c r="T857" s="35"/>
      <c r="U857" s="35"/>
      <c r="V857" s="35"/>
      <c r="W857" s="35"/>
      <c r="X857" s="35"/>
      <c r="Y857" s="35"/>
    </row>
    <row r="858" ht="14.25" customHeight="1">
      <c r="A858" s="136"/>
      <c r="B858" s="137"/>
      <c r="C858" s="251"/>
      <c r="D858" s="452"/>
      <c r="E858" s="136"/>
      <c r="F858" s="253"/>
      <c r="G858" s="527"/>
      <c r="H858" s="141"/>
      <c r="I858" s="141"/>
      <c r="J858" s="142"/>
      <c r="K858" s="142"/>
      <c r="L858" s="142"/>
      <c r="M858" s="142"/>
      <c r="N858" s="136"/>
      <c r="O858" s="34"/>
      <c r="P858" s="35"/>
      <c r="Q858" s="35"/>
      <c r="R858" s="35"/>
      <c r="S858" s="35"/>
      <c r="T858" s="35"/>
      <c r="U858" s="35"/>
      <c r="V858" s="35"/>
      <c r="W858" s="35"/>
      <c r="X858" s="35"/>
      <c r="Y858" s="35"/>
    </row>
    <row r="859" ht="14.25" customHeight="1">
      <c r="A859" s="136"/>
      <c r="B859" s="137"/>
      <c r="C859" s="251"/>
      <c r="D859" s="452"/>
      <c r="E859" s="136"/>
      <c r="F859" s="253"/>
      <c r="G859" s="527"/>
      <c r="H859" s="141"/>
      <c r="I859" s="141"/>
      <c r="J859" s="142"/>
      <c r="K859" s="142"/>
      <c r="L859" s="142"/>
      <c r="M859" s="142"/>
      <c r="N859" s="136"/>
      <c r="O859" s="34"/>
      <c r="P859" s="35"/>
      <c r="Q859" s="35"/>
      <c r="R859" s="35"/>
      <c r="S859" s="35"/>
      <c r="T859" s="35"/>
      <c r="U859" s="35"/>
      <c r="V859" s="35"/>
      <c r="W859" s="35"/>
      <c r="X859" s="35"/>
      <c r="Y859" s="35"/>
    </row>
    <row r="860" ht="14.25" customHeight="1">
      <c r="A860" s="136"/>
      <c r="B860" s="137"/>
      <c r="C860" s="251"/>
      <c r="D860" s="452"/>
      <c r="E860" s="136"/>
      <c r="F860" s="253"/>
      <c r="G860" s="527"/>
      <c r="H860" s="141"/>
      <c r="I860" s="141"/>
      <c r="J860" s="142"/>
      <c r="K860" s="142"/>
      <c r="L860" s="142"/>
      <c r="M860" s="142"/>
      <c r="N860" s="136"/>
      <c r="O860" s="34"/>
      <c r="P860" s="35"/>
      <c r="Q860" s="35"/>
      <c r="R860" s="35"/>
      <c r="S860" s="35"/>
      <c r="T860" s="35"/>
      <c r="U860" s="35"/>
      <c r="V860" s="35"/>
      <c r="W860" s="35"/>
      <c r="X860" s="35"/>
      <c r="Y860" s="35"/>
    </row>
    <row r="861" ht="14.25" customHeight="1">
      <c r="A861" s="136"/>
      <c r="B861" s="137"/>
      <c r="C861" s="251"/>
      <c r="D861" s="452"/>
      <c r="E861" s="136"/>
      <c r="F861" s="253"/>
      <c r="G861" s="527"/>
      <c r="H861" s="141"/>
      <c r="I861" s="141"/>
      <c r="J861" s="142"/>
      <c r="K861" s="142"/>
      <c r="L861" s="142"/>
      <c r="M861" s="142"/>
      <c r="N861" s="136"/>
      <c r="O861" s="34"/>
      <c r="P861" s="35"/>
      <c r="Q861" s="35"/>
      <c r="R861" s="35"/>
      <c r="S861" s="35"/>
      <c r="T861" s="35"/>
      <c r="U861" s="35"/>
      <c r="V861" s="35"/>
      <c r="W861" s="35"/>
      <c r="X861" s="35"/>
      <c r="Y861" s="35"/>
    </row>
    <row r="862" ht="14.25" customHeight="1">
      <c r="A862" s="136"/>
      <c r="B862" s="137"/>
      <c r="C862" s="251"/>
      <c r="D862" s="452"/>
      <c r="E862" s="136"/>
      <c r="F862" s="253"/>
      <c r="G862" s="527"/>
      <c r="H862" s="141"/>
      <c r="I862" s="141"/>
      <c r="J862" s="142"/>
      <c r="K862" s="142"/>
      <c r="L862" s="142"/>
      <c r="M862" s="142"/>
      <c r="N862" s="136"/>
      <c r="O862" s="34"/>
      <c r="P862" s="35"/>
      <c r="Q862" s="35"/>
      <c r="R862" s="35"/>
      <c r="S862" s="35"/>
      <c r="T862" s="35"/>
      <c r="U862" s="35"/>
      <c r="V862" s="35"/>
      <c r="W862" s="35"/>
      <c r="X862" s="35"/>
      <c r="Y862" s="35"/>
    </row>
    <row r="863" ht="14.25" customHeight="1">
      <c r="A863" s="136"/>
      <c r="B863" s="137"/>
      <c r="C863" s="251"/>
      <c r="D863" s="452"/>
      <c r="E863" s="136"/>
      <c r="F863" s="253"/>
      <c r="G863" s="527"/>
      <c r="H863" s="141"/>
      <c r="I863" s="141"/>
      <c r="J863" s="142"/>
      <c r="K863" s="142"/>
      <c r="L863" s="142"/>
      <c r="M863" s="142"/>
      <c r="N863" s="136"/>
      <c r="O863" s="34"/>
      <c r="P863" s="35"/>
      <c r="Q863" s="35"/>
      <c r="R863" s="35"/>
      <c r="S863" s="35"/>
      <c r="T863" s="35"/>
      <c r="U863" s="35"/>
      <c r="V863" s="35"/>
      <c r="W863" s="35"/>
      <c r="X863" s="35"/>
      <c r="Y863" s="35"/>
    </row>
    <row r="864" ht="14.25" customHeight="1">
      <c r="A864" s="136"/>
      <c r="B864" s="137"/>
      <c r="C864" s="251"/>
      <c r="D864" s="452"/>
      <c r="E864" s="136"/>
      <c r="F864" s="253"/>
      <c r="G864" s="527"/>
      <c r="H864" s="141"/>
      <c r="I864" s="141"/>
      <c r="J864" s="142"/>
      <c r="K864" s="142"/>
      <c r="L864" s="142"/>
      <c r="M864" s="142"/>
      <c r="N864" s="136"/>
      <c r="O864" s="34"/>
      <c r="P864" s="35"/>
      <c r="Q864" s="35"/>
      <c r="R864" s="35"/>
      <c r="S864" s="35"/>
      <c r="T864" s="35"/>
      <c r="U864" s="35"/>
      <c r="V864" s="35"/>
      <c r="W864" s="35"/>
      <c r="X864" s="35"/>
      <c r="Y864" s="35"/>
    </row>
    <row r="865" ht="14.25" customHeight="1">
      <c r="A865" s="136"/>
      <c r="B865" s="137"/>
      <c r="C865" s="251"/>
      <c r="D865" s="452"/>
      <c r="E865" s="136"/>
      <c r="F865" s="253"/>
      <c r="G865" s="527"/>
      <c r="H865" s="141"/>
      <c r="I865" s="141"/>
      <c r="J865" s="142"/>
      <c r="K865" s="142"/>
      <c r="L865" s="142"/>
      <c r="M865" s="142"/>
      <c r="N865" s="136"/>
      <c r="O865" s="34"/>
      <c r="P865" s="35"/>
      <c r="Q865" s="35"/>
      <c r="R865" s="35"/>
      <c r="S865" s="35"/>
      <c r="T865" s="35"/>
      <c r="U865" s="35"/>
      <c r="V865" s="35"/>
      <c r="W865" s="35"/>
      <c r="X865" s="35"/>
      <c r="Y865" s="35"/>
    </row>
    <row r="866" ht="14.25" customHeight="1">
      <c r="A866" s="136"/>
      <c r="B866" s="137"/>
      <c r="C866" s="251"/>
      <c r="D866" s="452"/>
      <c r="E866" s="136"/>
      <c r="F866" s="253"/>
      <c r="G866" s="527"/>
      <c r="H866" s="141"/>
      <c r="I866" s="141"/>
      <c r="J866" s="142"/>
      <c r="K866" s="142"/>
      <c r="L866" s="142"/>
      <c r="M866" s="142"/>
      <c r="N866" s="136"/>
      <c r="O866" s="34"/>
      <c r="P866" s="35"/>
      <c r="Q866" s="35"/>
      <c r="R866" s="35"/>
      <c r="S866" s="35"/>
      <c r="T866" s="35"/>
      <c r="U866" s="35"/>
      <c r="V866" s="35"/>
      <c r="W866" s="35"/>
      <c r="X866" s="35"/>
      <c r="Y866" s="35"/>
    </row>
    <row r="867" ht="14.25" customHeight="1">
      <c r="A867" s="136"/>
      <c r="B867" s="137"/>
      <c r="C867" s="251"/>
      <c r="D867" s="452"/>
      <c r="E867" s="136"/>
      <c r="F867" s="253"/>
      <c r="G867" s="527"/>
      <c r="H867" s="141"/>
      <c r="I867" s="141"/>
      <c r="J867" s="142"/>
      <c r="K867" s="142"/>
      <c r="L867" s="142"/>
      <c r="M867" s="142"/>
      <c r="N867" s="136"/>
      <c r="O867" s="34"/>
      <c r="P867" s="35"/>
      <c r="Q867" s="35"/>
      <c r="R867" s="35"/>
      <c r="S867" s="35"/>
      <c r="T867" s="35"/>
      <c r="U867" s="35"/>
      <c r="V867" s="35"/>
      <c r="W867" s="35"/>
      <c r="X867" s="35"/>
      <c r="Y867" s="35"/>
    </row>
    <row r="868" ht="14.25" customHeight="1">
      <c r="A868" s="136"/>
      <c r="B868" s="137"/>
      <c r="C868" s="251"/>
      <c r="D868" s="452"/>
      <c r="E868" s="136"/>
      <c r="F868" s="253"/>
      <c r="G868" s="527"/>
      <c r="H868" s="141"/>
      <c r="I868" s="141"/>
      <c r="J868" s="142"/>
      <c r="K868" s="142"/>
      <c r="L868" s="142"/>
      <c r="M868" s="142"/>
      <c r="N868" s="136"/>
      <c r="O868" s="34"/>
      <c r="P868" s="35"/>
      <c r="Q868" s="35"/>
      <c r="R868" s="35"/>
      <c r="S868" s="35"/>
      <c r="T868" s="35"/>
      <c r="U868" s="35"/>
      <c r="V868" s="35"/>
      <c r="W868" s="35"/>
      <c r="X868" s="35"/>
      <c r="Y868" s="35"/>
    </row>
    <row r="869" ht="14.25" customHeight="1">
      <c r="A869" s="136"/>
      <c r="B869" s="137"/>
      <c r="C869" s="251"/>
      <c r="D869" s="452"/>
      <c r="E869" s="136"/>
      <c r="F869" s="253"/>
      <c r="G869" s="527"/>
      <c r="H869" s="141"/>
      <c r="I869" s="141"/>
      <c r="J869" s="142"/>
      <c r="K869" s="142"/>
      <c r="L869" s="142"/>
      <c r="M869" s="142"/>
      <c r="N869" s="136"/>
      <c r="O869" s="34"/>
      <c r="P869" s="35"/>
      <c r="Q869" s="35"/>
      <c r="R869" s="35"/>
      <c r="S869" s="35"/>
      <c r="T869" s="35"/>
      <c r="U869" s="35"/>
      <c r="V869" s="35"/>
      <c r="W869" s="35"/>
      <c r="X869" s="35"/>
      <c r="Y869" s="35"/>
    </row>
    <row r="870" ht="14.25" customHeight="1">
      <c r="A870" s="136"/>
      <c r="B870" s="137"/>
      <c r="C870" s="251"/>
      <c r="D870" s="452"/>
      <c r="E870" s="136"/>
      <c r="F870" s="253"/>
      <c r="G870" s="527"/>
      <c r="H870" s="141"/>
      <c r="I870" s="141"/>
      <c r="J870" s="142"/>
      <c r="K870" s="142"/>
      <c r="L870" s="142"/>
      <c r="M870" s="142"/>
      <c r="N870" s="136"/>
      <c r="O870" s="34"/>
      <c r="P870" s="35"/>
      <c r="Q870" s="35"/>
      <c r="R870" s="35"/>
      <c r="S870" s="35"/>
      <c r="T870" s="35"/>
      <c r="U870" s="35"/>
      <c r="V870" s="35"/>
      <c r="W870" s="35"/>
      <c r="X870" s="35"/>
      <c r="Y870" s="35"/>
    </row>
    <row r="871" ht="14.25" customHeight="1">
      <c r="A871" s="136"/>
      <c r="B871" s="137"/>
      <c r="C871" s="251"/>
      <c r="D871" s="452"/>
      <c r="E871" s="136"/>
      <c r="F871" s="253"/>
      <c r="G871" s="527"/>
      <c r="H871" s="141"/>
      <c r="I871" s="141"/>
      <c r="J871" s="142"/>
      <c r="K871" s="142"/>
      <c r="L871" s="142"/>
      <c r="M871" s="142"/>
      <c r="N871" s="136"/>
      <c r="O871" s="34"/>
      <c r="P871" s="35"/>
      <c r="Q871" s="35"/>
      <c r="R871" s="35"/>
      <c r="S871" s="35"/>
      <c r="T871" s="35"/>
      <c r="U871" s="35"/>
      <c r="V871" s="35"/>
      <c r="W871" s="35"/>
      <c r="X871" s="35"/>
      <c r="Y871" s="35"/>
    </row>
    <row r="872" ht="14.25" customHeight="1">
      <c r="A872" s="136"/>
      <c r="B872" s="137"/>
      <c r="C872" s="251"/>
      <c r="D872" s="452"/>
      <c r="E872" s="136"/>
      <c r="F872" s="253"/>
      <c r="G872" s="527"/>
      <c r="H872" s="141"/>
      <c r="I872" s="141"/>
      <c r="J872" s="142"/>
      <c r="K872" s="142"/>
      <c r="L872" s="142"/>
      <c r="M872" s="142"/>
      <c r="N872" s="136"/>
      <c r="O872" s="34"/>
      <c r="P872" s="35"/>
      <c r="Q872" s="35"/>
      <c r="R872" s="35"/>
      <c r="S872" s="35"/>
      <c r="T872" s="35"/>
      <c r="U872" s="35"/>
      <c r="V872" s="35"/>
      <c r="W872" s="35"/>
      <c r="X872" s="35"/>
      <c r="Y872" s="35"/>
    </row>
    <row r="873" ht="14.25" customHeight="1">
      <c r="A873" s="136"/>
      <c r="B873" s="137"/>
      <c r="C873" s="251"/>
      <c r="D873" s="452"/>
      <c r="E873" s="136"/>
      <c r="F873" s="253"/>
      <c r="G873" s="527"/>
      <c r="H873" s="141"/>
      <c r="I873" s="141"/>
      <c r="J873" s="142"/>
      <c r="K873" s="142"/>
      <c r="L873" s="142"/>
      <c r="M873" s="142"/>
      <c r="N873" s="136"/>
      <c r="O873" s="34"/>
      <c r="P873" s="35"/>
      <c r="Q873" s="35"/>
      <c r="R873" s="35"/>
      <c r="S873" s="35"/>
      <c r="T873" s="35"/>
      <c r="U873" s="35"/>
      <c r="V873" s="35"/>
      <c r="W873" s="35"/>
      <c r="X873" s="35"/>
      <c r="Y873" s="35"/>
    </row>
    <row r="874" ht="14.25" customHeight="1">
      <c r="A874" s="136"/>
      <c r="B874" s="137"/>
      <c r="C874" s="251"/>
      <c r="D874" s="452"/>
      <c r="E874" s="136"/>
      <c r="F874" s="253"/>
      <c r="G874" s="527"/>
      <c r="H874" s="141"/>
      <c r="I874" s="141"/>
      <c r="J874" s="142"/>
      <c r="K874" s="142"/>
      <c r="L874" s="142"/>
      <c r="M874" s="142"/>
      <c r="N874" s="136"/>
      <c r="O874" s="34"/>
      <c r="P874" s="35"/>
      <c r="Q874" s="35"/>
      <c r="R874" s="35"/>
      <c r="S874" s="35"/>
      <c r="T874" s="35"/>
      <c r="U874" s="35"/>
      <c r="V874" s="35"/>
      <c r="W874" s="35"/>
      <c r="X874" s="35"/>
      <c r="Y874" s="35"/>
    </row>
    <row r="875" ht="14.25" customHeight="1">
      <c r="A875" s="136"/>
      <c r="B875" s="137"/>
      <c r="C875" s="251"/>
      <c r="D875" s="452"/>
      <c r="E875" s="136"/>
      <c r="F875" s="253"/>
      <c r="G875" s="527"/>
      <c r="H875" s="141"/>
      <c r="I875" s="141"/>
      <c r="J875" s="142"/>
      <c r="K875" s="142"/>
      <c r="L875" s="142"/>
      <c r="M875" s="142"/>
      <c r="N875" s="136"/>
      <c r="O875" s="34"/>
      <c r="P875" s="35"/>
      <c r="Q875" s="35"/>
      <c r="R875" s="35"/>
      <c r="S875" s="35"/>
      <c r="T875" s="35"/>
      <c r="U875" s="35"/>
      <c r="V875" s="35"/>
      <c r="W875" s="35"/>
      <c r="X875" s="35"/>
      <c r="Y875" s="35"/>
    </row>
    <row r="876" ht="14.25" customHeight="1">
      <c r="A876" s="136"/>
      <c r="B876" s="137"/>
      <c r="C876" s="251"/>
      <c r="D876" s="452"/>
      <c r="E876" s="136"/>
      <c r="F876" s="253"/>
      <c r="G876" s="527"/>
      <c r="H876" s="141"/>
      <c r="I876" s="141"/>
      <c r="J876" s="142"/>
      <c r="K876" s="142"/>
      <c r="L876" s="142"/>
      <c r="M876" s="142"/>
      <c r="N876" s="136"/>
      <c r="O876" s="34"/>
      <c r="P876" s="35"/>
      <c r="Q876" s="35"/>
      <c r="R876" s="35"/>
      <c r="S876" s="35"/>
      <c r="T876" s="35"/>
      <c r="U876" s="35"/>
      <c r="V876" s="35"/>
      <c r="W876" s="35"/>
      <c r="X876" s="35"/>
      <c r="Y876" s="35"/>
    </row>
    <row r="877" ht="14.25" customHeight="1">
      <c r="A877" s="136"/>
      <c r="B877" s="137"/>
      <c r="C877" s="251"/>
      <c r="D877" s="452"/>
      <c r="E877" s="136"/>
      <c r="F877" s="253"/>
      <c r="G877" s="527"/>
      <c r="H877" s="141"/>
      <c r="I877" s="141"/>
      <c r="J877" s="142"/>
      <c r="K877" s="142"/>
      <c r="L877" s="142"/>
      <c r="M877" s="142"/>
      <c r="N877" s="136"/>
      <c r="O877" s="34"/>
      <c r="P877" s="35"/>
      <c r="Q877" s="35"/>
      <c r="R877" s="35"/>
      <c r="S877" s="35"/>
      <c r="T877" s="35"/>
      <c r="U877" s="35"/>
      <c r="V877" s="35"/>
      <c r="W877" s="35"/>
      <c r="X877" s="35"/>
      <c r="Y877" s="35"/>
    </row>
    <row r="878" ht="14.25" customHeight="1">
      <c r="A878" s="136"/>
      <c r="B878" s="137"/>
      <c r="C878" s="251"/>
      <c r="D878" s="452"/>
      <c r="E878" s="136"/>
      <c r="F878" s="253"/>
      <c r="G878" s="527"/>
      <c r="H878" s="141"/>
      <c r="I878" s="141"/>
      <c r="J878" s="142"/>
      <c r="K878" s="142"/>
      <c r="L878" s="142"/>
      <c r="M878" s="142"/>
      <c r="N878" s="136"/>
      <c r="O878" s="34"/>
      <c r="P878" s="35"/>
      <c r="Q878" s="35"/>
      <c r="R878" s="35"/>
      <c r="S878" s="35"/>
      <c r="T878" s="35"/>
      <c r="U878" s="35"/>
      <c r="V878" s="35"/>
      <c r="W878" s="35"/>
      <c r="X878" s="35"/>
      <c r="Y878" s="35"/>
    </row>
    <row r="879" ht="14.25" customHeight="1">
      <c r="A879" s="136"/>
      <c r="B879" s="137"/>
      <c r="C879" s="251"/>
      <c r="D879" s="452"/>
      <c r="E879" s="136"/>
      <c r="F879" s="253"/>
      <c r="G879" s="527"/>
      <c r="H879" s="141"/>
      <c r="I879" s="141"/>
      <c r="J879" s="142"/>
      <c r="K879" s="142"/>
      <c r="L879" s="142"/>
      <c r="M879" s="142"/>
      <c r="N879" s="136"/>
      <c r="O879" s="34"/>
      <c r="P879" s="35"/>
      <c r="Q879" s="35"/>
      <c r="R879" s="35"/>
      <c r="S879" s="35"/>
      <c r="T879" s="35"/>
      <c r="U879" s="35"/>
      <c r="V879" s="35"/>
      <c r="W879" s="35"/>
      <c r="X879" s="35"/>
      <c r="Y879" s="35"/>
    </row>
    <row r="880" ht="14.25" customHeight="1">
      <c r="A880" s="136"/>
      <c r="B880" s="137"/>
      <c r="C880" s="251"/>
      <c r="D880" s="452"/>
      <c r="E880" s="136"/>
      <c r="F880" s="253"/>
      <c r="G880" s="527"/>
      <c r="H880" s="141"/>
      <c r="I880" s="141"/>
      <c r="J880" s="142"/>
      <c r="K880" s="142"/>
      <c r="L880" s="142"/>
      <c r="M880" s="142"/>
      <c r="N880" s="136"/>
      <c r="O880" s="34"/>
      <c r="P880" s="35"/>
      <c r="Q880" s="35"/>
      <c r="R880" s="35"/>
      <c r="S880" s="35"/>
      <c r="T880" s="35"/>
      <c r="U880" s="35"/>
      <c r="V880" s="35"/>
      <c r="W880" s="35"/>
      <c r="X880" s="35"/>
      <c r="Y880" s="35"/>
    </row>
    <row r="881" ht="14.25" customHeight="1">
      <c r="A881" s="136"/>
      <c r="B881" s="137"/>
      <c r="C881" s="251"/>
      <c r="D881" s="452"/>
      <c r="E881" s="136"/>
      <c r="F881" s="253"/>
      <c r="G881" s="527"/>
      <c r="H881" s="141"/>
      <c r="I881" s="141"/>
      <c r="J881" s="142"/>
      <c r="K881" s="142"/>
      <c r="L881" s="142"/>
      <c r="M881" s="142"/>
      <c r="N881" s="136"/>
      <c r="O881" s="34"/>
      <c r="P881" s="35"/>
      <c r="Q881" s="35"/>
      <c r="R881" s="35"/>
      <c r="S881" s="35"/>
      <c r="T881" s="35"/>
      <c r="U881" s="35"/>
      <c r="V881" s="35"/>
      <c r="W881" s="35"/>
      <c r="X881" s="35"/>
      <c r="Y881" s="35"/>
    </row>
    <row r="882" ht="14.25" customHeight="1">
      <c r="A882" s="136"/>
      <c r="B882" s="137"/>
      <c r="C882" s="251"/>
      <c r="D882" s="452"/>
      <c r="E882" s="136"/>
      <c r="F882" s="253"/>
      <c r="G882" s="527"/>
      <c r="H882" s="141"/>
      <c r="I882" s="141"/>
      <c r="J882" s="142"/>
      <c r="K882" s="142"/>
      <c r="L882" s="142"/>
      <c r="M882" s="142"/>
      <c r="N882" s="136"/>
      <c r="O882" s="34"/>
      <c r="P882" s="35"/>
      <c r="Q882" s="35"/>
      <c r="R882" s="35"/>
      <c r="S882" s="35"/>
      <c r="T882" s="35"/>
      <c r="U882" s="35"/>
      <c r="V882" s="35"/>
      <c r="W882" s="35"/>
      <c r="X882" s="35"/>
      <c r="Y882" s="35"/>
    </row>
    <row r="883" ht="14.25" customHeight="1">
      <c r="A883" s="136"/>
      <c r="B883" s="137"/>
      <c r="C883" s="251"/>
      <c r="D883" s="452"/>
      <c r="E883" s="136"/>
      <c r="F883" s="253"/>
      <c r="G883" s="527"/>
      <c r="H883" s="141"/>
      <c r="I883" s="141"/>
      <c r="J883" s="142"/>
      <c r="K883" s="142"/>
      <c r="L883" s="142"/>
      <c r="M883" s="142"/>
      <c r="N883" s="136"/>
      <c r="O883" s="34"/>
      <c r="P883" s="35"/>
      <c r="Q883" s="35"/>
      <c r="R883" s="35"/>
      <c r="S883" s="35"/>
      <c r="T883" s="35"/>
      <c r="U883" s="35"/>
      <c r="V883" s="35"/>
      <c r="W883" s="35"/>
      <c r="X883" s="35"/>
      <c r="Y883" s="35"/>
    </row>
    <row r="884" ht="14.25" customHeight="1">
      <c r="A884" s="136"/>
      <c r="B884" s="137"/>
      <c r="C884" s="251"/>
      <c r="D884" s="452"/>
      <c r="E884" s="136"/>
      <c r="F884" s="253"/>
      <c r="G884" s="527"/>
      <c r="H884" s="141"/>
      <c r="I884" s="141"/>
      <c r="J884" s="142"/>
      <c r="K884" s="142"/>
      <c r="L884" s="142"/>
      <c r="M884" s="142"/>
      <c r="N884" s="136"/>
      <c r="O884" s="34"/>
      <c r="P884" s="35"/>
      <c r="Q884" s="35"/>
      <c r="R884" s="35"/>
      <c r="S884" s="35"/>
      <c r="T884" s="35"/>
      <c r="U884" s="35"/>
      <c r="V884" s="35"/>
      <c r="W884" s="35"/>
      <c r="X884" s="35"/>
      <c r="Y884" s="35"/>
    </row>
    <row r="885" ht="14.25" customHeight="1">
      <c r="A885" s="136"/>
      <c r="B885" s="137"/>
      <c r="C885" s="251"/>
      <c r="D885" s="452"/>
      <c r="E885" s="136"/>
      <c r="F885" s="253"/>
      <c r="G885" s="527"/>
      <c r="H885" s="141"/>
      <c r="I885" s="141"/>
      <c r="J885" s="142"/>
      <c r="K885" s="142"/>
      <c r="L885" s="142"/>
      <c r="M885" s="142"/>
      <c r="N885" s="136"/>
      <c r="O885" s="34"/>
      <c r="P885" s="35"/>
      <c r="Q885" s="35"/>
      <c r="R885" s="35"/>
      <c r="S885" s="35"/>
      <c r="T885" s="35"/>
      <c r="U885" s="35"/>
      <c r="V885" s="35"/>
      <c r="W885" s="35"/>
      <c r="X885" s="35"/>
      <c r="Y885" s="35"/>
    </row>
    <row r="886" ht="14.25" customHeight="1">
      <c r="A886" s="136"/>
      <c r="B886" s="137"/>
      <c r="C886" s="251"/>
      <c r="D886" s="452"/>
      <c r="E886" s="136"/>
      <c r="F886" s="253"/>
      <c r="G886" s="527"/>
      <c r="H886" s="141"/>
      <c r="I886" s="141"/>
      <c r="J886" s="142"/>
      <c r="K886" s="142"/>
      <c r="L886" s="142"/>
      <c r="M886" s="142"/>
      <c r="N886" s="136"/>
      <c r="O886" s="34"/>
      <c r="P886" s="35"/>
      <c r="Q886" s="35"/>
      <c r="R886" s="35"/>
      <c r="S886" s="35"/>
      <c r="T886" s="35"/>
      <c r="U886" s="35"/>
      <c r="V886" s="35"/>
      <c r="W886" s="35"/>
      <c r="X886" s="35"/>
      <c r="Y886" s="35"/>
    </row>
    <row r="887" ht="14.25" customHeight="1">
      <c r="A887" s="136"/>
      <c r="B887" s="137"/>
      <c r="C887" s="251"/>
      <c r="D887" s="452"/>
      <c r="E887" s="136"/>
      <c r="F887" s="253"/>
      <c r="G887" s="527"/>
      <c r="H887" s="141"/>
      <c r="I887" s="141"/>
      <c r="J887" s="142"/>
      <c r="K887" s="142"/>
      <c r="L887" s="142"/>
      <c r="M887" s="142"/>
      <c r="N887" s="136"/>
      <c r="O887" s="34"/>
      <c r="P887" s="35"/>
      <c r="Q887" s="35"/>
      <c r="R887" s="35"/>
      <c r="S887" s="35"/>
      <c r="T887" s="35"/>
      <c r="U887" s="35"/>
      <c r="V887" s="35"/>
      <c r="W887" s="35"/>
      <c r="X887" s="35"/>
      <c r="Y887" s="35"/>
    </row>
    <row r="888" ht="14.25" customHeight="1">
      <c r="A888" s="136"/>
      <c r="B888" s="137"/>
      <c r="C888" s="251"/>
      <c r="D888" s="452"/>
      <c r="E888" s="136"/>
      <c r="F888" s="253"/>
      <c r="G888" s="527"/>
      <c r="H888" s="141"/>
      <c r="I888" s="141"/>
      <c r="J888" s="142"/>
      <c r="K888" s="142"/>
      <c r="L888" s="142"/>
      <c r="M888" s="142"/>
      <c r="N888" s="136"/>
      <c r="O888" s="34"/>
      <c r="P888" s="35"/>
      <c r="Q888" s="35"/>
      <c r="R888" s="35"/>
      <c r="S888" s="35"/>
      <c r="T888" s="35"/>
      <c r="U888" s="35"/>
      <c r="V888" s="35"/>
      <c r="W888" s="35"/>
      <c r="X888" s="35"/>
      <c r="Y888" s="35"/>
    </row>
    <row r="889" ht="14.25" customHeight="1">
      <c r="A889" s="136"/>
      <c r="B889" s="137"/>
      <c r="C889" s="251"/>
      <c r="D889" s="452"/>
      <c r="E889" s="136"/>
      <c r="F889" s="253"/>
      <c r="G889" s="527"/>
      <c r="H889" s="141"/>
      <c r="I889" s="141"/>
      <c r="J889" s="142"/>
      <c r="K889" s="142"/>
      <c r="L889" s="142"/>
      <c r="M889" s="142"/>
      <c r="N889" s="136"/>
      <c r="O889" s="34"/>
      <c r="P889" s="35"/>
      <c r="Q889" s="35"/>
      <c r="R889" s="35"/>
      <c r="S889" s="35"/>
      <c r="T889" s="35"/>
      <c r="U889" s="35"/>
      <c r="V889" s="35"/>
      <c r="W889" s="35"/>
      <c r="X889" s="35"/>
      <c r="Y889" s="35"/>
    </row>
    <row r="890" ht="14.25" customHeight="1">
      <c r="A890" s="136"/>
      <c r="B890" s="137"/>
      <c r="C890" s="251"/>
      <c r="D890" s="452"/>
      <c r="E890" s="136"/>
      <c r="F890" s="253"/>
      <c r="G890" s="527"/>
      <c r="H890" s="141"/>
      <c r="I890" s="141"/>
      <c r="J890" s="142"/>
      <c r="K890" s="142"/>
      <c r="L890" s="142"/>
      <c r="M890" s="142"/>
      <c r="N890" s="136"/>
      <c r="O890" s="34"/>
      <c r="P890" s="35"/>
      <c r="Q890" s="35"/>
      <c r="R890" s="35"/>
      <c r="S890" s="35"/>
      <c r="T890" s="35"/>
      <c r="U890" s="35"/>
      <c r="V890" s="35"/>
      <c r="W890" s="35"/>
      <c r="X890" s="35"/>
      <c r="Y890" s="35"/>
    </row>
    <row r="891" ht="14.25" customHeight="1">
      <c r="A891" s="136"/>
      <c r="B891" s="137"/>
      <c r="C891" s="251"/>
      <c r="D891" s="452"/>
      <c r="E891" s="136"/>
      <c r="F891" s="253"/>
      <c r="G891" s="527"/>
      <c r="H891" s="141"/>
      <c r="I891" s="141"/>
      <c r="J891" s="142"/>
      <c r="K891" s="142"/>
      <c r="L891" s="142"/>
      <c r="M891" s="142"/>
      <c r="N891" s="136"/>
      <c r="O891" s="34"/>
      <c r="P891" s="35"/>
      <c r="Q891" s="35"/>
      <c r="R891" s="35"/>
      <c r="S891" s="35"/>
      <c r="T891" s="35"/>
      <c r="U891" s="35"/>
      <c r="V891" s="35"/>
      <c r="W891" s="35"/>
      <c r="X891" s="35"/>
      <c r="Y891" s="35"/>
    </row>
    <row r="892" ht="14.25" customHeight="1">
      <c r="A892" s="136"/>
      <c r="B892" s="137"/>
      <c r="C892" s="251"/>
      <c r="D892" s="452"/>
      <c r="E892" s="136"/>
      <c r="F892" s="253"/>
      <c r="G892" s="527"/>
      <c r="H892" s="141"/>
      <c r="I892" s="141"/>
      <c r="J892" s="142"/>
      <c r="K892" s="142"/>
      <c r="L892" s="142"/>
      <c r="M892" s="142"/>
      <c r="N892" s="136"/>
      <c r="O892" s="34"/>
      <c r="P892" s="35"/>
      <c r="Q892" s="35"/>
      <c r="R892" s="35"/>
      <c r="S892" s="35"/>
      <c r="T892" s="35"/>
      <c r="U892" s="35"/>
      <c r="V892" s="35"/>
      <c r="W892" s="35"/>
      <c r="X892" s="35"/>
      <c r="Y892" s="35"/>
    </row>
    <row r="893" ht="14.25" customHeight="1">
      <c r="A893" s="136"/>
      <c r="B893" s="137"/>
      <c r="C893" s="251"/>
      <c r="D893" s="452"/>
      <c r="E893" s="136"/>
      <c r="F893" s="253"/>
      <c r="G893" s="527"/>
      <c r="H893" s="141"/>
      <c r="I893" s="141"/>
      <c r="J893" s="142"/>
      <c r="K893" s="142"/>
      <c r="L893" s="142"/>
      <c r="M893" s="142"/>
      <c r="N893" s="136"/>
      <c r="O893" s="34"/>
      <c r="P893" s="35"/>
      <c r="Q893" s="35"/>
      <c r="R893" s="35"/>
      <c r="S893" s="35"/>
      <c r="T893" s="35"/>
      <c r="U893" s="35"/>
      <c r="V893" s="35"/>
      <c r="W893" s="35"/>
      <c r="X893" s="35"/>
      <c r="Y893" s="35"/>
    </row>
    <row r="894" ht="14.25" customHeight="1">
      <c r="A894" s="136"/>
      <c r="B894" s="137"/>
      <c r="C894" s="251"/>
      <c r="D894" s="452"/>
      <c r="E894" s="136"/>
      <c r="F894" s="253"/>
      <c r="G894" s="527"/>
      <c r="H894" s="141"/>
      <c r="I894" s="141"/>
      <c r="J894" s="142"/>
      <c r="K894" s="142"/>
      <c r="L894" s="142"/>
      <c r="M894" s="142"/>
      <c r="N894" s="136"/>
      <c r="O894" s="34"/>
      <c r="P894" s="35"/>
      <c r="Q894" s="35"/>
      <c r="R894" s="35"/>
      <c r="S894" s="35"/>
      <c r="T894" s="35"/>
      <c r="U894" s="35"/>
      <c r="V894" s="35"/>
      <c r="W894" s="35"/>
      <c r="X894" s="35"/>
      <c r="Y894" s="35"/>
    </row>
    <row r="895" ht="14.25" customHeight="1">
      <c r="A895" s="136"/>
      <c r="B895" s="137"/>
      <c r="C895" s="251"/>
      <c r="D895" s="452"/>
      <c r="E895" s="136"/>
      <c r="F895" s="253"/>
      <c r="G895" s="527"/>
      <c r="H895" s="141"/>
      <c r="I895" s="141"/>
      <c r="J895" s="142"/>
      <c r="K895" s="142"/>
      <c r="L895" s="142"/>
      <c r="M895" s="142"/>
      <c r="N895" s="136"/>
      <c r="O895" s="34"/>
      <c r="P895" s="35"/>
      <c r="Q895" s="35"/>
      <c r="R895" s="35"/>
      <c r="S895" s="35"/>
      <c r="T895" s="35"/>
      <c r="U895" s="35"/>
      <c r="V895" s="35"/>
      <c r="W895" s="35"/>
      <c r="X895" s="35"/>
      <c r="Y895" s="35"/>
    </row>
    <row r="896" ht="14.25" customHeight="1">
      <c r="A896" s="136"/>
      <c r="B896" s="137"/>
      <c r="C896" s="251"/>
      <c r="D896" s="452"/>
      <c r="E896" s="136"/>
      <c r="F896" s="253"/>
      <c r="G896" s="527"/>
      <c r="H896" s="141"/>
      <c r="I896" s="141"/>
      <c r="J896" s="142"/>
      <c r="K896" s="142"/>
      <c r="L896" s="142"/>
      <c r="M896" s="142"/>
      <c r="N896" s="136"/>
      <c r="O896" s="34"/>
      <c r="P896" s="35"/>
      <c r="Q896" s="35"/>
      <c r="R896" s="35"/>
      <c r="S896" s="35"/>
      <c r="T896" s="35"/>
      <c r="U896" s="35"/>
      <c r="V896" s="35"/>
      <c r="W896" s="35"/>
      <c r="X896" s="35"/>
      <c r="Y896" s="35"/>
    </row>
    <row r="897" ht="14.25" customHeight="1">
      <c r="A897" s="136"/>
      <c r="B897" s="137"/>
      <c r="C897" s="251"/>
      <c r="D897" s="452"/>
      <c r="E897" s="136"/>
      <c r="F897" s="253"/>
      <c r="G897" s="527"/>
      <c r="H897" s="141"/>
      <c r="I897" s="141"/>
      <c r="J897" s="142"/>
      <c r="K897" s="142"/>
      <c r="L897" s="142"/>
      <c r="M897" s="142"/>
      <c r="N897" s="136"/>
      <c r="O897" s="34"/>
      <c r="P897" s="35"/>
      <c r="Q897" s="35"/>
      <c r="R897" s="35"/>
      <c r="S897" s="35"/>
      <c r="T897" s="35"/>
      <c r="U897" s="35"/>
      <c r="V897" s="35"/>
      <c r="W897" s="35"/>
      <c r="X897" s="35"/>
      <c r="Y897" s="35"/>
    </row>
    <row r="898" ht="14.25" customHeight="1">
      <c r="A898" s="136"/>
      <c r="B898" s="137"/>
      <c r="C898" s="251"/>
      <c r="D898" s="452"/>
      <c r="E898" s="136"/>
      <c r="F898" s="253"/>
      <c r="G898" s="527"/>
      <c r="H898" s="141"/>
      <c r="I898" s="141"/>
      <c r="J898" s="142"/>
      <c r="K898" s="142"/>
      <c r="L898" s="142"/>
      <c r="M898" s="142"/>
      <c r="N898" s="136"/>
      <c r="O898" s="34"/>
      <c r="P898" s="35"/>
      <c r="Q898" s="35"/>
      <c r="R898" s="35"/>
      <c r="S898" s="35"/>
      <c r="T898" s="35"/>
      <c r="U898" s="35"/>
      <c r="V898" s="35"/>
      <c r="W898" s="35"/>
      <c r="X898" s="35"/>
      <c r="Y898" s="35"/>
    </row>
    <row r="899" ht="14.25" customHeight="1">
      <c r="A899" s="136"/>
      <c r="B899" s="137"/>
      <c r="C899" s="251"/>
      <c r="D899" s="452"/>
      <c r="E899" s="136"/>
      <c r="F899" s="253"/>
      <c r="G899" s="527"/>
      <c r="H899" s="141"/>
      <c r="I899" s="141"/>
      <c r="J899" s="142"/>
      <c r="K899" s="142"/>
      <c r="L899" s="142"/>
      <c r="M899" s="142"/>
      <c r="N899" s="136"/>
      <c r="O899" s="34"/>
      <c r="P899" s="35"/>
      <c r="Q899" s="35"/>
      <c r="R899" s="35"/>
      <c r="S899" s="35"/>
      <c r="T899" s="35"/>
      <c r="U899" s="35"/>
      <c r="V899" s="35"/>
      <c r="W899" s="35"/>
      <c r="X899" s="35"/>
      <c r="Y899" s="35"/>
    </row>
    <row r="900" ht="14.25" customHeight="1">
      <c r="A900" s="136"/>
      <c r="B900" s="137"/>
      <c r="C900" s="251"/>
      <c r="D900" s="452"/>
      <c r="E900" s="136"/>
      <c r="F900" s="253"/>
      <c r="G900" s="527"/>
      <c r="H900" s="141"/>
      <c r="I900" s="141"/>
      <c r="J900" s="142"/>
      <c r="K900" s="142"/>
      <c r="L900" s="142"/>
      <c r="M900" s="142"/>
      <c r="N900" s="136"/>
      <c r="O900" s="34"/>
      <c r="P900" s="35"/>
      <c r="Q900" s="35"/>
      <c r="R900" s="35"/>
      <c r="S900" s="35"/>
      <c r="T900" s="35"/>
      <c r="U900" s="35"/>
      <c r="V900" s="35"/>
      <c r="W900" s="35"/>
      <c r="X900" s="35"/>
      <c r="Y900" s="35"/>
    </row>
    <row r="901" ht="14.25" customHeight="1">
      <c r="A901" s="136"/>
      <c r="B901" s="137"/>
      <c r="C901" s="251"/>
      <c r="D901" s="452"/>
      <c r="E901" s="136"/>
      <c r="F901" s="253"/>
      <c r="G901" s="527"/>
      <c r="H901" s="141"/>
      <c r="I901" s="141"/>
      <c r="J901" s="142"/>
      <c r="K901" s="142"/>
      <c r="L901" s="142"/>
      <c r="M901" s="142"/>
      <c r="N901" s="136"/>
      <c r="O901" s="34"/>
      <c r="P901" s="35"/>
      <c r="Q901" s="35"/>
      <c r="R901" s="35"/>
      <c r="S901" s="35"/>
      <c r="T901" s="35"/>
      <c r="U901" s="35"/>
      <c r="V901" s="35"/>
      <c r="W901" s="35"/>
      <c r="X901" s="35"/>
      <c r="Y901" s="35"/>
    </row>
    <row r="902" ht="14.25" customHeight="1">
      <c r="A902" s="136"/>
      <c r="B902" s="137"/>
      <c r="C902" s="251"/>
      <c r="D902" s="452"/>
      <c r="E902" s="136"/>
      <c r="F902" s="253"/>
      <c r="G902" s="527"/>
      <c r="H902" s="141"/>
      <c r="I902" s="141"/>
      <c r="J902" s="142"/>
      <c r="K902" s="142"/>
      <c r="L902" s="142"/>
      <c r="M902" s="142"/>
      <c r="N902" s="136"/>
      <c r="O902" s="34"/>
      <c r="P902" s="35"/>
      <c r="Q902" s="35"/>
      <c r="R902" s="35"/>
      <c r="S902" s="35"/>
      <c r="T902" s="35"/>
      <c r="U902" s="35"/>
      <c r="V902" s="35"/>
      <c r="W902" s="35"/>
      <c r="X902" s="35"/>
      <c r="Y902" s="35"/>
    </row>
    <row r="903" ht="14.25" customHeight="1">
      <c r="A903" s="136"/>
      <c r="B903" s="137"/>
      <c r="C903" s="251"/>
      <c r="D903" s="452"/>
      <c r="E903" s="136"/>
      <c r="F903" s="253"/>
      <c r="G903" s="527"/>
      <c r="H903" s="141"/>
      <c r="I903" s="141"/>
      <c r="J903" s="142"/>
      <c r="K903" s="142"/>
      <c r="L903" s="142"/>
      <c r="M903" s="142"/>
      <c r="N903" s="136"/>
      <c r="O903" s="34"/>
      <c r="P903" s="35"/>
      <c r="Q903" s="35"/>
      <c r="R903" s="35"/>
      <c r="S903" s="35"/>
      <c r="T903" s="35"/>
      <c r="U903" s="35"/>
      <c r="V903" s="35"/>
      <c r="W903" s="35"/>
      <c r="X903" s="35"/>
      <c r="Y903" s="35"/>
    </row>
    <row r="904" ht="14.25" customHeight="1">
      <c r="A904" s="136"/>
      <c r="B904" s="137"/>
      <c r="C904" s="251"/>
      <c r="D904" s="452"/>
      <c r="E904" s="136"/>
      <c r="F904" s="253"/>
      <c r="G904" s="527"/>
      <c r="H904" s="141"/>
      <c r="I904" s="141"/>
      <c r="J904" s="142"/>
      <c r="K904" s="142"/>
      <c r="L904" s="142"/>
      <c r="M904" s="142"/>
      <c r="N904" s="136"/>
      <c r="O904" s="34"/>
      <c r="P904" s="35"/>
      <c r="Q904" s="35"/>
      <c r="R904" s="35"/>
      <c r="S904" s="35"/>
      <c r="T904" s="35"/>
      <c r="U904" s="35"/>
      <c r="V904" s="35"/>
      <c r="W904" s="35"/>
      <c r="X904" s="35"/>
      <c r="Y904" s="35"/>
    </row>
    <row r="905" ht="14.25" customHeight="1">
      <c r="A905" s="136"/>
      <c r="B905" s="137"/>
      <c r="C905" s="251"/>
      <c r="D905" s="452"/>
      <c r="E905" s="136"/>
      <c r="F905" s="253"/>
      <c r="G905" s="527"/>
      <c r="H905" s="141"/>
      <c r="I905" s="141"/>
      <c r="J905" s="142"/>
      <c r="K905" s="142"/>
      <c r="L905" s="142"/>
      <c r="M905" s="142"/>
      <c r="N905" s="136"/>
      <c r="O905" s="34"/>
      <c r="P905" s="35"/>
      <c r="Q905" s="35"/>
      <c r="R905" s="35"/>
      <c r="S905" s="35"/>
      <c r="T905" s="35"/>
      <c r="U905" s="35"/>
      <c r="V905" s="35"/>
      <c r="W905" s="35"/>
      <c r="X905" s="35"/>
      <c r="Y905" s="35"/>
    </row>
    <row r="906" ht="14.25" customHeight="1">
      <c r="A906" s="136"/>
      <c r="B906" s="137"/>
      <c r="C906" s="251"/>
      <c r="D906" s="452"/>
      <c r="E906" s="136"/>
      <c r="F906" s="253"/>
      <c r="G906" s="527"/>
      <c r="H906" s="141"/>
      <c r="I906" s="141"/>
      <c r="J906" s="142"/>
      <c r="K906" s="142"/>
      <c r="L906" s="142"/>
      <c r="M906" s="142"/>
      <c r="N906" s="136"/>
      <c r="O906" s="34"/>
      <c r="P906" s="35"/>
      <c r="Q906" s="35"/>
      <c r="R906" s="35"/>
      <c r="S906" s="35"/>
      <c r="T906" s="35"/>
      <c r="U906" s="35"/>
      <c r="V906" s="35"/>
      <c r="W906" s="35"/>
      <c r="X906" s="35"/>
      <c r="Y906" s="35"/>
    </row>
    <row r="907" ht="14.25" customHeight="1">
      <c r="A907" s="136"/>
      <c r="B907" s="137"/>
      <c r="C907" s="251"/>
      <c r="D907" s="452"/>
      <c r="E907" s="136"/>
      <c r="F907" s="253"/>
      <c r="G907" s="527"/>
      <c r="H907" s="141"/>
      <c r="I907" s="141"/>
      <c r="J907" s="142"/>
      <c r="K907" s="142"/>
      <c r="L907" s="142"/>
      <c r="M907" s="142"/>
      <c r="N907" s="136"/>
      <c r="O907" s="34"/>
      <c r="P907" s="35"/>
      <c r="Q907" s="35"/>
      <c r="R907" s="35"/>
      <c r="S907" s="35"/>
      <c r="T907" s="35"/>
      <c r="U907" s="35"/>
      <c r="V907" s="35"/>
      <c r="W907" s="35"/>
      <c r="X907" s="35"/>
      <c r="Y907" s="35"/>
    </row>
    <row r="908" ht="14.25" customHeight="1">
      <c r="A908" s="136"/>
      <c r="B908" s="137"/>
      <c r="C908" s="251"/>
      <c r="D908" s="452"/>
      <c r="E908" s="136"/>
      <c r="F908" s="253"/>
      <c r="G908" s="527"/>
      <c r="H908" s="141"/>
      <c r="I908" s="141"/>
      <c r="J908" s="142"/>
      <c r="K908" s="142"/>
      <c r="L908" s="142"/>
      <c r="M908" s="142"/>
      <c r="N908" s="136"/>
      <c r="O908" s="34"/>
      <c r="P908" s="35"/>
      <c r="Q908" s="35"/>
      <c r="R908" s="35"/>
      <c r="S908" s="35"/>
      <c r="T908" s="35"/>
      <c r="U908" s="35"/>
      <c r="V908" s="35"/>
      <c r="W908" s="35"/>
      <c r="X908" s="35"/>
      <c r="Y908" s="35"/>
    </row>
    <row r="909" ht="14.25" customHeight="1">
      <c r="A909" s="136"/>
      <c r="B909" s="137"/>
      <c r="C909" s="251"/>
      <c r="D909" s="452"/>
      <c r="E909" s="136"/>
      <c r="F909" s="253"/>
      <c r="G909" s="527"/>
      <c r="H909" s="141"/>
      <c r="I909" s="141"/>
      <c r="J909" s="142"/>
      <c r="K909" s="142"/>
      <c r="L909" s="142"/>
      <c r="M909" s="142"/>
      <c r="N909" s="136"/>
      <c r="O909" s="34"/>
      <c r="P909" s="35"/>
      <c r="Q909" s="35"/>
      <c r="R909" s="35"/>
      <c r="S909" s="35"/>
      <c r="T909" s="35"/>
      <c r="U909" s="35"/>
      <c r="V909" s="35"/>
      <c r="W909" s="35"/>
      <c r="X909" s="35"/>
      <c r="Y909" s="35"/>
    </row>
    <row r="910" ht="14.25" customHeight="1">
      <c r="A910" s="136"/>
      <c r="B910" s="137"/>
      <c r="C910" s="251"/>
      <c r="D910" s="452"/>
      <c r="E910" s="136"/>
      <c r="F910" s="253"/>
      <c r="G910" s="527"/>
      <c r="H910" s="141"/>
      <c r="I910" s="141"/>
      <c r="J910" s="142"/>
      <c r="K910" s="142"/>
      <c r="L910" s="142"/>
      <c r="M910" s="142"/>
      <c r="N910" s="136"/>
      <c r="O910" s="34"/>
      <c r="P910" s="35"/>
      <c r="Q910" s="35"/>
      <c r="R910" s="35"/>
      <c r="S910" s="35"/>
      <c r="T910" s="35"/>
      <c r="U910" s="35"/>
      <c r="V910" s="35"/>
      <c r="W910" s="35"/>
      <c r="X910" s="35"/>
      <c r="Y910" s="35"/>
    </row>
    <row r="911" ht="14.25" customHeight="1">
      <c r="A911" s="136"/>
      <c r="B911" s="137"/>
      <c r="C911" s="251"/>
      <c r="D911" s="452"/>
      <c r="E911" s="136"/>
      <c r="F911" s="253"/>
      <c r="G911" s="527"/>
      <c r="H911" s="141"/>
      <c r="I911" s="141"/>
      <c r="J911" s="142"/>
      <c r="K911" s="142"/>
      <c r="L911" s="142"/>
      <c r="M911" s="142"/>
      <c r="N911" s="136"/>
      <c r="O911" s="34"/>
      <c r="P911" s="35"/>
      <c r="Q911" s="35"/>
      <c r="R911" s="35"/>
      <c r="S911" s="35"/>
      <c r="T911" s="35"/>
      <c r="U911" s="35"/>
      <c r="V911" s="35"/>
      <c r="W911" s="35"/>
      <c r="X911" s="35"/>
      <c r="Y911" s="35"/>
    </row>
    <row r="912" ht="14.25" customHeight="1">
      <c r="A912" s="136"/>
      <c r="B912" s="137"/>
      <c r="C912" s="251"/>
      <c r="D912" s="452"/>
      <c r="E912" s="136"/>
      <c r="F912" s="253"/>
      <c r="G912" s="527"/>
      <c r="H912" s="141"/>
      <c r="I912" s="141"/>
      <c r="J912" s="142"/>
      <c r="K912" s="142"/>
      <c r="L912" s="142"/>
      <c r="M912" s="142"/>
      <c r="N912" s="136"/>
      <c r="O912" s="34"/>
      <c r="P912" s="35"/>
      <c r="Q912" s="35"/>
      <c r="R912" s="35"/>
      <c r="S912" s="35"/>
      <c r="T912" s="35"/>
      <c r="U912" s="35"/>
      <c r="V912" s="35"/>
      <c r="W912" s="35"/>
      <c r="X912" s="35"/>
      <c r="Y912" s="35"/>
    </row>
    <row r="913" ht="14.25" customHeight="1">
      <c r="A913" s="136"/>
      <c r="B913" s="137"/>
      <c r="C913" s="251"/>
      <c r="D913" s="452"/>
      <c r="E913" s="136"/>
      <c r="F913" s="253"/>
      <c r="G913" s="527"/>
      <c r="H913" s="141"/>
      <c r="I913" s="141"/>
      <c r="J913" s="142"/>
      <c r="K913" s="142"/>
      <c r="L913" s="142"/>
      <c r="M913" s="142"/>
      <c r="N913" s="136"/>
      <c r="O913" s="34"/>
      <c r="P913" s="35"/>
      <c r="Q913" s="35"/>
      <c r="R913" s="35"/>
      <c r="S913" s="35"/>
      <c r="T913" s="35"/>
      <c r="U913" s="35"/>
      <c r="V913" s="35"/>
      <c r="W913" s="35"/>
      <c r="X913" s="35"/>
      <c r="Y913" s="35"/>
    </row>
    <row r="914" ht="14.25" customHeight="1">
      <c r="A914" s="136"/>
      <c r="B914" s="137"/>
      <c r="C914" s="251"/>
      <c r="D914" s="452"/>
      <c r="E914" s="136"/>
      <c r="F914" s="253"/>
      <c r="G914" s="527"/>
      <c r="H914" s="141"/>
      <c r="I914" s="141"/>
      <c r="J914" s="142"/>
      <c r="K914" s="142"/>
      <c r="L914" s="142"/>
      <c r="M914" s="142"/>
      <c r="N914" s="136"/>
      <c r="O914" s="34"/>
      <c r="P914" s="35"/>
      <c r="Q914" s="35"/>
      <c r="R914" s="35"/>
      <c r="S914" s="35"/>
      <c r="T914" s="35"/>
      <c r="U914" s="35"/>
      <c r="V914" s="35"/>
      <c r="W914" s="35"/>
      <c r="X914" s="35"/>
      <c r="Y914" s="35"/>
    </row>
    <row r="915" ht="14.25" customHeight="1">
      <c r="A915" s="136"/>
      <c r="B915" s="137"/>
      <c r="C915" s="251"/>
      <c r="D915" s="452"/>
      <c r="E915" s="136"/>
      <c r="F915" s="253"/>
      <c r="G915" s="527"/>
      <c r="H915" s="141"/>
      <c r="I915" s="141"/>
      <c r="J915" s="142"/>
      <c r="K915" s="142"/>
      <c r="L915" s="142"/>
      <c r="M915" s="142"/>
      <c r="N915" s="136"/>
      <c r="O915" s="34"/>
      <c r="P915" s="35"/>
      <c r="Q915" s="35"/>
      <c r="R915" s="35"/>
      <c r="S915" s="35"/>
      <c r="T915" s="35"/>
      <c r="U915" s="35"/>
      <c r="V915" s="35"/>
      <c r="W915" s="35"/>
      <c r="X915" s="35"/>
      <c r="Y915" s="35"/>
    </row>
    <row r="916" ht="14.25" customHeight="1">
      <c r="A916" s="136"/>
      <c r="B916" s="137"/>
      <c r="C916" s="251"/>
      <c r="D916" s="452"/>
      <c r="E916" s="136"/>
      <c r="F916" s="253"/>
      <c r="G916" s="527"/>
      <c r="H916" s="141"/>
      <c r="I916" s="141"/>
      <c r="J916" s="142"/>
      <c r="K916" s="142"/>
      <c r="L916" s="142"/>
      <c r="M916" s="142"/>
      <c r="N916" s="136"/>
      <c r="O916" s="34"/>
      <c r="P916" s="35"/>
      <c r="Q916" s="35"/>
      <c r="R916" s="35"/>
      <c r="S916" s="35"/>
      <c r="T916" s="35"/>
      <c r="U916" s="35"/>
      <c r="V916" s="35"/>
      <c r="W916" s="35"/>
      <c r="X916" s="35"/>
      <c r="Y916" s="35"/>
    </row>
    <row r="917" ht="14.25" customHeight="1">
      <c r="A917" s="136"/>
      <c r="B917" s="137"/>
      <c r="C917" s="251"/>
      <c r="D917" s="452"/>
      <c r="E917" s="136"/>
      <c r="F917" s="253"/>
      <c r="G917" s="527"/>
      <c r="H917" s="141"/>
      <c r="I917" s="141"/>
      <c r="J917" s="142"/>
      <c r="K917" s="142"/>
      <c r="L917" s="142"/>
      <c r="M917" s="142"/>
      <c r="N917" s="136"/>
      <c r="O917" s="34"/>
      <c r="P917" s="35"/>
      <c r="Q917" s="35"/>
      <c r="R917" s="35"/>
      <c r="S917" s="35"/>
      <c r="T917" s="35"/>
      <c r="U917" s="35"/>
      <c r="V917" s="35"/>
      <c r="W917" s="35"/>
      <c r="X917" s="35"/>
      <c r="Y917" s="35"/>
    </row>
    <row r="918" ht="14.25" customHeight="1">
      <c r="A918" s="136"/>
      <c r="B918" s="137"/>
      <c r="C918" s="251"/>
      <c r="D918" s="452"/>
      <c r="E918" s="136"/>
      <c r="F918" s="253"/>
      <c r="G918" s="527"/>
      <c r="H918" s="141"/>
      <c r="I918" s="141"/>
      <c r="J918" s="142"/>
      <c r="K918" s="142"/>
      <c r="L918" s="142"/>
      <c r="M918" s="142"/>
      <c r="N918" s="136"/>
      <c r="O918" s="34"/>
      <c r="P918" s="35"/>
      <c r="Q918" s="35"/>
      <c r="R918" s="35"/>
      <c r="S918" s="35"/>
      <c r="T918" s="35"/>
      <c r="U918" s="35"/>
      <c r="V918" s="35"/>
      <c r="W918" s="35"/>
      <c r="X918" s="35"/>
      <c r="Y918" s="35"/>
    </row>
    <row r="919" ht="14.25" customHeight="1">
      <c r="A919" s="136"/>
      <c r="B919" s="137"/>
      <c r="C919" s="251"/>
      <c r="D919" s="452"/>
      <c r="E919" s="136"/>
      <c r="F919" s="253"/>
      <c r="G919" s="527"/>
      <c r="H919" s="141"/>
      <c r="I919" s="141"/>
      <c r="J919" s="142"/>
      <c r="K919" s="142"/>
      <c r="L919" s="142"/>
      <c r="M919" s="142"/>
      <c r="N919" s="136"/>
      <c r="O919" s="34"/>
      <c r="P919" s="35"/>
      <c r="Q919" s="35"/>
      <c r="R919" s="35"/>
      <c r="S919" s="35"/>
      <c r="T919" s="35"/>
      <c r="U919" s="35"/>
      <c r="V919" s="35"/>
      <c r="W919" s="35"/>
      <c r="X919" s="35"/>
      <c r="Y919" s="35"/>
    </row>
    <row r="920" ht="14.25" customHeight="1">
      <c r="A920" s="136"/>
      <c r="B920" s="137"/>
      <c r="C920" s="251"/>
      <c r="D920" s="452"/>
      <c r="E920" s="136"/>
      <c r="F920" s="253"/>
      <c r="G920" s="527"/>
      <c r="H920" s="141"/>
      <c r="I920" s="141"/>
      <c r="J920" s="142"/>
      <c r="K920" s="142"/>
      <c r="L920" s="142"/>
      <c r="M920" s="142"/>
      <c r="N920" s="136"/>
      <c r="O920" s="34"/>
      <c r="P920" s="35"/>
      <c r="Q920" s="35"/>
      <c r="R920" s="35"/>
      <c r="S920" s="35"/>
      <c r="T920" s="35"/>
      <c r="U920" s="35"/>
      <c r="V920" s="35"/>
      <c r="W920" s="35"/>
      <c r="X920" s="35"/>
      <c r="Y920" s="35"/>
    </row>
    <row r="921" ht="14.25" customHeight="1">
      <c r="A921" s="136"/>
      <c r="B921" s="137"/>
      <c r="C921" s="251"/>
      <c r="D921" s="452"/>
      <c r="E921" s="136"/>
      <c r="F921" s="253"/>
      <c r="G921" s="527"/>
      <c r="H921" s="141"/>
      <c r="I921" s="141"/>
      <c r="J921" s="142"/>
      <c r="K921" s="142"/>
      <c r="L921" s="142"/>
      <c r="M921" s="142"/>
      <c r="N921" s="136"/>
      <c r="O921" s="34"/>
      <c r="P921" s="35"/>
      <c r="Q921" s="35"/>
      <c r="R921" s="35"/>
      <c r="S921" s="35"/>
      <c r="T921" s="35"/>
      <c r="U921" s="35"/>
      <c r="V921" s="35"/>
      <c r="W921" s="35"/>
      <c r="X921" s="35"/>
      <c r="Y921" s="35"/>
    </row>
    <row r="922" ht="14.25" customHeight="1">
      <c r="A922" s="136"/>
      <c r="B922" s="137"/>
      <c r="C922" s="251"/>
      <c r="D922" s="452"/>
      <c r="E922" s="136"/>
      <c r="F922" s="253"/>
      <c r="G922" s="527"/>
      <c r="H922" s="141"/>
      <c r="I922" s="141"/>
      <c r="J922" s="142"/>
      <c r="K922" s="142"/>
      <c r="L922" s="142"/>
      <c r="M922" s="142"/>
      <c r="N922" s="136"/>
      <c r="O922" s="34"/>
      <c r="P922" s="35"/>
      <c r="Q922" s="35"/>
      <c r="R922" s="35"/>
      <c r="S922" s="35"/>
      <c r="T922" s="35"/>
      <c r="U922" s="35"/>
      <c r="V922" s="35"/>
      <c r="W922" s="35"/>
      <c r="X922" s="35"/>
      <c r="Y922" s="35"/>
    </row>
    <row r="923" ht="14.25" customHeight="1">
      <c r="A923" s="136"/>
      <c r="B923" s="137"/>
      <c r="C923" s="251"/>
      <c r="D923" s="452"/>
      <c r="E923" s="136"/>
      <c r="F923" s="253"/>
      <c r="G923" s="527"/>
      <c r="H923" s="141"/>
      <c r="I923" s="141"/>
      <c r="J923" s="142"/>
      <c r="K923" s="142"/>
      <c r="L923" s="142"/>
      <c r="M923" s="142"/>
      <c r="N923" s="136"/>
      <c r="O923" s="34"/>
      <c r="P923" s="35"/>
      <c r="Q923" s="35"/>
      <c r="R923" s="35"/>
      <c r="S923" s="35"/>
      <c r="T923" s="35"/>
      <c r="U923" s="35"/>
      <c r="V923" s="35"/>
      <c r="W923" s="35"/>
      <c r="X923" s="35"/>
      <c r="Y923" s="35"/>
    </row>
    <row r="924" ht="14.25" customHeight="1">
      <c r="A924" s="136"/>
      <c r="B924" s="137"/>
      <c r="C924" s="251"/>
      <c r="D924" s="452"/>
      <c r="E924" s="136"/>
      <c r="F924" s="253"/>
      <c r="G924" s="527"/>
      <c r="H924" s="141"/>
      <c r="I924" s="141"/>
      <c r="J924" s="142"/>
      <c r="K924" s="142"/>
      <c r="L924" s="142"/>
      <c r="M924" s="142"/>
      <c r="N924" s="136"/>
      <c r="O924" s="34"/>
      <c r="P924" s="35"/>
      <c r="Q924" s="35"/>
      <c r="R924" s="35"/>
      <c r="S924" s="35"/>
      <c r="T924" s="35"/>
      <c r="U924" s="35"/>
      <c r="V924" s="35"/>
      <c r="W924" s="35"/>
      <c r="X924" s="35"/>
      <c r="Y924" s="35"/>
    </row>
    <row r="925" ht="14.25" customHeight="1">
      <c r="A925" s="136"/>
      <c r="B925" s="137"/>
      <c r="C925" s="251"/>
      <c r="D925" s="452"/>
      <c r="E925" s="136"/>
      <c r="F925" s="253"/>
      <c r="G925" s="527"/>
      <c r="H925" s="141"/>
      <c r="I925" s="141"/>
      <c r="J925" s="142"/>
      <c r="K925" s="142"/>
      <c r="L925" s="142"/>
      <c r="M925" s="142"/>
      <c r="N925" s="136"/>
      <c r="O925" s="34"/>
      <c r="P925" s="35"/>
      <c r="Q925" s="35"/>
      <c r="R925" s="35"/>
      <c r="S925" s="35"/>
      <c r="T925" s="35"/>
      <c r="U925" s="35"/>
      <c r="V925" s="35"/>
      <c r="W925" s="35"/>
      <c r="X925" s="35"/>
      <c r="Y925" s="35"/>
    </row>
    <row r="926" ht="14.25" customHeight="1">
      <c r="A926" s="136"/>
      <c r="B926" s="137"/>
      <c r="C926" s="251"/>
      <c r="D926" s="452"/>
      <c r="E926" s="136"/>
      <c r="F926" s="253"/>
      <c r="G926" s="527"/>
      <c r="H926" s="141"/>
      <c r="I926" s="141"/>
      <c r="J926" s="142"/>
      <c r="K926" s="142"/>
      <c r="L926" s="142"/>
      <c r="M926" s="142"/>
      <c r="N926" s="136"/>
      <c r="O926" s="34"/>
      <c r="P926" s="35"/>
      <c r="Q926" s="35"/>
      <c r="R926" s="35"/>
      <c r="S926" s="35"/>
      <c r="T926" s="35"/>
      <c r="U926" s="35"/>
      <c r="V926" s="35"/>
      <c r="W926" s="35"/>
      <c r="X926" s="35"/>
      <c r="Y926" s="35"/>
    </row>
    <row r="927" ht="14.25" customHeight="1">
      <c r="A927" s="136"/>
      <c r="B927" s="137"/>
      <c r="C927" s="251"/>
      <c r="D927" s="452"/>
      <c r="E927" s="136"/>
      <c r="F927" s="253"/>
      <c r="G927" s="527"/>
      <c r="H927" s="141"/>
      <c r="I927" s="141"/>
      <c r="J927" s="142"/>
      <c r="K927" s="142"/>
      <c r="L927" s="142"/>
      <c r="M927" s="142"/>
      <c r="N927" s="136"/>
      <c r="O927" s="34"/>
      <c r="P927" s="35"/>
      <c r="Q927" s="35"/>
      <c r="R927" s="35"/>
      <c r="S927" s="35"/>
      <c r="T927" s="35"/>
      <c r="U927" s="35"/>
      <c r="V927" s="35"/>
      <c r="W927" s="35"/>
      <c r="X927" s="35"/>
      <c r="Y927" s="35"/>
    </row>
    <row r="928" ht="14.25" customHeight="1">
      <c r="A928" s="136"/>
      <c r="B928" s="137"/>
      <c r="C928" s="251"/>
      <c r="D928" s="452"/>
      <c r="E928" s="136"/>
      <c r="F928" s="253"/>
      <c r="G928" s="527"/>
      <c r="H928" s="141"/>
      <c r="I928" s="141"/>
      <c r="J928" s="142"/>
      <c r="K928" s="142"/>
      <c r="L928" s="142"/>
      <c r="M928" s="142"/>
      <c r="N928" s="136"/>
      <c r="O928" s="34"/>
      <c r="P928" s="35"/>
      <c r="Q928" s="35"/>
      <c r="R928" s="35"/>
      <c r="S928" s="35"/>
      <c r="T928" s="35"/>
      <c r="U928" s="35"/>
      <c r="V928" s="35"/>
      <c r="W928" s="35"/>
      <c r="X928" s="35"/>
      <c r="Y928" s="35"/>
    </row>
    <row r="929" ht="14.25" customHeight="1">
      <c r="A929" s="136"/>
      <c r="B929" s="137"/>
      <c r="C929" s="251"/>
      <c r="D929" s="452"/>
      <c r="E929" s="136"/>
      <c r="F929" s="253"/>
      <c r="G929" s="527"/>
      <c r="H929" s="141"/>
      <c r="I929" s="141"/>
      <c r="J929" s="142"/>
      <c r="K929" s="142"/>
      <c r="L929" s="142"/>
      <c r="M929" s="142"/>
      <c r="N929" s="136"/>
      <c r="O929" s="34"/>
      <c r="P929" s="35"/>
      <c r="Q929" s="35"/>
      <c r="R929" s="35"/>
      <c r="S929" s="35"/>
      <c r="T929" s="35"/>
      <c r="U929" s="35"/>
      <c r="V929" s="35"/>
      <c r="W929" s="35"/>
      <c r="X929" s="35"/>
      <c r="Y929" s="35"/>
    </row>
    <row r="930" ht="14.25" customHeight="1">
      <c r="A930" s="136"/>
      <c r="B930" s="137"/>
      <c r="C930" s="251"/>
      <c r="D930" s="452"/>
      <c r="E930" s="136"/>
      <c r="F930" s="253"/>
      <c r="G930" s="527"/>
      <c r="H930" s="141"/>
      <c r="I930" s="141"/>
      <c r="J930" s="142"/>
      <c r="K930" s="142"/>
      <c r="L930" s="142"/>
      <c r="M930" s="142"/>
      <c r="N930" s="136"/>
      <c r="O930" s="34"/>
      <c r="P930" s="35"/>
      <c r="Q930" s="35"/>
      <c r="R930" s="35"/>
      <c r="S930" s="35"/>
      <c r="T930" s="35"/>
      <c r="U930" s="35"/>
      <c r="V930" s="35"/>
      <c r="W930" s="35"/>
      <c r="X930" s="35"/>
      <c r="Y930" s="35"/>
    </row>
    <row r="931" ht="14.25" customHeight="1">
      <c r="A931" s="136"/>
      <c r="B931" s="137"/>
      <c r="C931" s="251"/>
      <c r="D931" s="452"/>
      <c r="E931" s="136"/>
      <c r="F931" s="253"/>
      <c r="G931" s="527"/>
      <c r="H931" s="141"/>
      <c r="I931" s="141"/>
      <c r="J931" s="142"/>
      <c r="K931" s="142"/>
      <c r="L931" s="142"/>
      <c r="M931" s="142"/>
      <c r="N931" s="136"/>
      <c r="O931" s="34"/>
      <c r="P931" s="35"/>
      <c r="Q931" s="35"/>
      <c r="R931" s="35"/>
      <c r="S931" s="35"/>
      <c r="T931" s="35"/>
      <c r="U931" s="35"/>
      <c r="V931" s="35"/>
      <c r="W931" s="35"/>
      <c r="X931" s="35"/>
      <c r="Y931" s="35"/>
    </row>
    <row r="932" ht="14.25" customHeight="1">
      <c r="A932" s="136"/>
      <c r="B932" s="137"/>
      <c r="C932" s="251"/>
      <c r="D932" s="452"/>
      <c r="E932" s="136"/>
      <c r="F932" s="253"/>
      <c r="G932" s="527"/>
      <c r="H932" s="141"/>
      <c r="I932" s="141"/>
      <c r="J932" s="142"/>
      <c r="K932" s="142"/>
      <c r="L932" s="142"/>
      <c r="M932" s="142"/>
      <c r="N932" s="136"/>
      <c r="O932" s="34"/>
      <c r="P932" s="35"/>
      <c r="Q932" s="35"/>
      <c r="R932" s="35"/>
      <c r="S932" s="35"/>
      <c r="T932" s="35"/>
      <c r="U932" s="35"/>
      <c r="V932" s="35"/>
      <c r="W932" s="35"/>
      <c r="X932" s="35"/>
      <c r="Y932" s="35"/>
    </row>
    <row r="933" ht="14.25" customHeight="1">
      <c r="A933" s="136"/>
      <c r="B933" s="137"/>
      <c r="C933" s="251"/>
      <c r="D933" s="452"/>
      <c r="E933" s="136"/>
      <c r="F933" s="253"/>
      <c r="G933" s="527"/>
      <c r="H933" s="141"/>
      <c r="I933" s="141"/>
      <c r="J933" s="142"/>
      <c r="K933" s="142"/>
      <c r="L933" s="142"/>
      <c r="M933" s="142"/>
      <c r="N933" s="136"/>
      <c r="O933" s="34"/>
      <c r="P933" s="35"/>
      <c r="Q933" s="35"/>
      <c r="R933" s="35"/>
      <c r="S933" s="35"/>
      <c r="T933" s="35"/>
      <c r="U933" s="35"/>
      <c r="V933" s="35"/>
      <c r="W933" s="35"/>
      <c r="X933" s="35"/>
      <c r="Y933" s="35"/>
    </row>
    <row r="934" ht="14.25" customHeight="1">
      <c r="A934" s="136"/>
      <c r="B934" s="137"/>
      <c r="C934" s="251"/>
      <c r="D934" s="452"/>
      <c r="E934" s="136"/>
      <c r="F934" s="253"/>
      <c r="G934" s="527"/>
      <c r="H934" s="141"/>
      <c r="I934" s="141"/>
      <c r="J934" s="142"/>
      <c r="K934" s="142"/>
      <c r="L934" s="142"/>
      <c r="M934" s="142"/>
      <c r="N934" s="136"/>
      <c r="O934" s="34"/>
      <c r="P934" s="35"/>
      <c r="Q934" s="35"/>
      <c r="R934" s="35"/>
      <c r="S934" s="35"/>
      <c r="T934" s="35"/>
      <c r="U934" s="35"/>
      <c r="V934" s="35"/>
      <c r="W934" s="35"/>
      <c r="X934" s="35"/>
      <c r="Y934" s="35"/>
    </row>
    <row r="935" ht="14.25" customHeight="1">
      <c r="A935" s="136"/>
      <c r="B935" s="137"/>
      <c r="C935" s="251"/>
      <c r="D935" s="452"/>
      <c r="E935" s="136"/>
      <c r="F935" s="253"/>
      <c r="G935" s="527"/>
      <c r="H935" s="141"/>
      <c r="I935" s="141"/>
      <c r="J935" s="142"/>
      <c r="K935" s="142"/>
      <c r="L935" s="142"/>
      <c r="M935" s="142"/>
      <c r="N935" s="136"/>
      <c r="O935" s="34"/>
      <c r="P935" s="35"/>
      <c r="Q935" s="35"/>
      <c r="R935" s="35"/>
      <c r="S935" s="35"/>
      <c r="T935" s="35"/>
      <c r="U935" s="35"/>
      <c r="V935" s="35"/>
      <c r="W935" s="35"/>
      <c r="X935" s="35"/>
      <c r="Y935" s="35"/>
    </row>
    <row r="936" ht="14.25" customHeight="1">
      <c r="A936" s="136"/>
      <c r="B936" s="137"/>
      <c r="C936" s="251"/>
      <c r="D936" s="452"/>
      <c r="E936" s="136"/>
      <c r="F936" s="253"/>
      <c r="G936" s="527"/>
      <c r="H936" s="141"/>
      <c r="I936" s="141"/>
      <c r="J936" s="142"/>
      <c r="K936" s="142"/>
      <c r="L936" s="142"/>
      <c r="M936" s="142"/>
      <c r="N936" s="136"/>
      <c r="O936" s="34"/>
      <c r="P936" s="35"/>
      <c r="Q936" s="35"/>
      <c r="R936" s="35"/>
      <c r="S936" s="35"/>
      <c r="T936" s="35"/>
      <c r="U936" s="35"/>
      <c r="V936" s="35"/>
      <c r="W936" s="35"/>
      <c r="X936" s="35"/>
      <c r="Y936" s="35"/>
    </row>
    <row r="937" ht="14.25" customHeight="1">
      <c r="A937" s="136"/>
      <c r="B937" s="137"/>
      <c r="C937" s="251"/>
      <c r="D937" s="452"/>
      <c r="E937" s="136"/>
      <c r="F937" s="253"/>
      <c r="G937" s="527"/>
      <c r="H937" s="141"/>
      <c r="I937" s="141"/>
      <c r="J937" s="142"/>
      <c r="K937" s="142"/>
      <c r="L937" s="142"/>
      <c r="M937" s="142"/>
      <c r="N937" s="136"/>
      <c r="O937" s="34"/>
      <c r="P937" s="35"/>
      <c r="Q937" s="35"/>
      <c r="R937" s="35"/>
      <c r="S937" s="35"/>
      <c r="T937" s="35"/>
      <c r="U937" s="35"/>
      <c r="V937" s="35"/>
      <c r="W937" s="35"/>
      <c r="X937" s="35"/>
      <c r="Y937" s="35"/>
    </row>
    <row r="938" ht="14.25" customHeight="1">
      <c r="A938" s="136"/>
      <c r="B938" s="137"/>
      <c r="C938" s="251"/>
      <c r="D938" s="452"/>
      <c r="E938" s="136"/>
      <c r="F938" s="253"/>
      <c r="G938" s="527"/>
      <c r="H938" s="141"/>
      <c r="I938" s="141"/>
      <c r="J938" s="142"/>
      <c r="K938" s="142"/>
      <c r="L938" s="142"/>
      <c r="M938" s="142"/>
      <c r="N938" s="136"/>
      <c r="O938" s="34"/>
      <c r="P938" s="35"/>
      <c r="Q938" s="35"/>
      <c r="R938" s="35"/>
      <c r="S938" s="35"/>
      <c r="T938" s="35"/>
      <c r="U938" s="35"/>
      <c r="V938" s="35"/>
      <c r="W938" s="35"/>
      <c r="X938" s="35"/>
      <c r="Y938" s="35"/>
    </row>
    <row r="939" ht="14.25" customHeight="1">
      <c r="A939" s="136"/>
      <c r="B939" s="137"/>
      <c r="C939" s="251"/>
      <c r="D939" s="452"/>
      <c r="E939" s="136"/>
      <c r="F939" s="253"/>
      <c r="G939" s="527"/>
      <c r="H939" s="141"/>
      <c r="I939" s="141"/>
      <c r="J939" s="142"/>
      <c r="K939" s="142"/>
      <c r="L939" s="142"/>
      <c r="M939" s="142"/>
      <c r="N939" s="136"/>
      <c r="O939" s="34"/>
      <c r="P939" s="35"/>
      <c r="Q939" s="35"/>
      <c r="R939" s="35"/>
      <c r="S939" s="35"/>
      <c r="T939" s="35"/>
      <c r="U939" s="35"/>
      <c r="V939" s="35"/>
      <c r="W939" s="35"/>
      <c r="X939" s="35"/>
      <c r="Y939" s="35"/>
    </row>
    <row r="940" ht="14.25" customHeight="1">
      <c r="A940" s="136"/>
      <c r="B940" s="137"/>
      <c r="C940" s="251"/>
      <c r="D940" s="452"/>
      <c r="E940" s="136"/>
      <c r="F940" s="253"/>
      <c r="G940" s="527"/>
      <c r="H940" s="141"/>
      <c r="I940" s="141"/>
      <c r="J940" s="142"/>
      <c r="K940" s="142"/>
      <c r="L940" s="142"/>
      <c r="M940" s="142"/>
      <c r="N940" s="136"/>
      <c r="O940" s="34"/>
      <c r="P940" s="35"/>
      <c r="Q940" s="35"/>
      <c r="R940" s="35"/>
      <c r="S940" s="35"/>
      <c r="T940" s="35"/>
      <c r="U940" s="35"/>
      <c r="V940" s="35"/>
      <c r="W940" s="35"/>
      <c r="X940" s="35"/>
      <c r="Y940" s="35"/>
    </row>
    <row r="941" ht="14.25" customHeight="1">
      <c r="A941" s="136"/>
      <c r="B941" s="137"/>
      <c r="C941" s="251"/>
      <c r="D941" s="452"/>
      <c r="E941" s="136"/>
      <c r="F941" s="253"/>
      <c r="G941" s="527"/>
      <c r="H941" s="141"/>
      <c r="I941" s="141"/>
      <c r="J941" s="142"/>
      <c r="K941" s="142"/>
      <c r="L941" s="142"/>
      <c r="M941" s="142"/>
      <c r="N941" s="136"/>
      <c r="O941" s="34"/>
      <c r="P941" s="35"/>
      <c r="Q941" s="35"/>
      <c r="R941" s="35"/>
      <c r="S941" s="35"/>
      <c r="T941" s="35"/>
      <c r="U941" s="35"/>
      <c r="V941" s="35"/>
      <c r="W941" s="35"/>
      <c r="X941" s="35"/>
      <c r="Y941" s="35"/>
    </row>
    <row r="942" ht="14.25" customHeight="1">
      <c r="A942" s="136"/>
      <c r="B942" s="137"/>
      <c r="C942" s="251"/>
      <c r="D942" s="452"/>
      <c r="E942" s="136"/>
      <c r="F942" s="253"/>
      <c r="G942" s="527"/>
      <c r="H942" s="141"/>
      <c r="I942" s="141"/>
      <c r="J942" s="142"/>
      <c r="K942" s="142"/>
      <c r="L942" s="142"/>
      <c r="M942" s="142"/>
      <c r="N942" s="136"/>
      <c r="O942" s="34"/>
      <c r="P942" s="35"/>
      <c r="Q942" s="35"/>
      <c r="R942" s="35"/>
      <c r="S942" s="35"/>
      <c r="T942" s="35"/>
      <c r="U942" s="35"/>
      <c r="V942" s="35"/>
      <c r="W942" s="35"/>
      <c r="X942" s="35"/>
      <c r="Y942" s="35"/>
    </row>
    <row r="943" ht="14.25" customHeight="1">
      <c r="A943" s="136"/>
      <c r="B943" s="137"/>
      <c r="C943" s="251"/>
      <c r="D943" s="452"/>
      <c r="E943" s="136"/>
      <c r="F943" s="253"/>
      <c r="G943" s="527"/>
      <c r="H943" s="141"/>
      <c r="I943" s="141"/>
      <c r="J943" s="142"/>
      <c r="K943" s="142"/>
      <c r="L943" s="142"/>
      <c r="M943" s="142"/>
      <c r="N943" s="136"/>
      <c r="O943" s="34"/>
      <c r="P943" s="35"/>
      <c r="Q943" s="35"/>
      <c r="R943" s="35"/>
      <c r="S943" s="35"/>
      <c r="T943" s="35"/>
      <c r="U943" s="35"/>
      <c r="V943" s="35"/>
      <c r="W943" s="35"/>
      <c r="X943" s="35"/>
      <c r="Y943" s="35"/>
    </row>
    <row r="944" ht="14.25" customHeight="1">
      <c r="A944" s="136"/>
      <c r="B944" s="137"/>
      <c r="C944" s="251"/>
      <c r="D944" s="452"/>
      <c r="E944" s="136"/>
      <c r="F944" s="253"/>
      <c r="G944" s="527"/>
      <c r="H944" s="141"/>
      <c r="I944" s="141"/>
      <c r="J944" s="142"/>
      <c r="K944" s="142"/>
      <c r="L944" s="142"/>
      <c r="M944" s="142"/>
      <c r="N944" s="136"/>
      <c r="O944" s="34"/>
      <c r="P944" s="35"/>
      <c r="Q944" s="35"/>
      <c r="R944" s="35"/>
      <c r="S944" s="35"/>
      <c r="T944" s="35"/>
      <c r="U944" s="35"/>
      <c r="V944" s="35"/>
      <c r="W944" s="35"/>
      <c r="X944" s="35"/>
      <c r="Y944" s="35"/>
    </row>
    <row r="945" ht="14.25" customHeight="1">
      <c r="A945" s="136"/>
      <c r="B945" s="137"/>
      <c r="C945" s="251"/>
      <c r="D945" s="452"/>
      <c r="E945" s="136"/>
      <c r="F945" s="253"/>
      <c r="G945" s="527"/>
      <c r="H945" s="141"/>
      <c r="I945" s="141"/>
      <c r="J945" s="142"/>
      <c r="K945" s="142"/>
      <c r="L945" s="142"/>
      <c r="M945" s="142"/>
      <c r="N945" s="136"/>
      <c r="O945" s="34"/>
      <c r="P945" s="35"/>
      <c r="Q945" s="35"/>
      <c r="R945" s="35"/>
      <c r="S945" s="35"/>
      <c r="T945" s="35"/>
      <c r="U945" s="35"/>
      <c r="V945" s="35"/>
      <c r="W945" s="35"/>
      <c r="X945" s="35"/>
      <c r="Y945" s="35"/>
    </row>
    <row r="946" ht="14.25" customHeight="1">
      <c r="A946" s="136"/>
      <c r="B946" s="137"/>
      <c r="C946" s="251"/>
      <c r="D946" s="452"/>
      <c r="E946" s="136"/>
      <c r="F946" s="253"/>
      <c r="G946" s="527"/>
      <c r="H946" s="141"/>
      <c r="I946" s="141"/>
      <c r="J946" s="142"/>
      <c r="K946" s="142"/>
      <c r="L946" s="142"/>
      <c r="M946" s="142"/>
      <c r="N946" s="136"/>
      <c r="O946" s="34"/>
      <c r="P946" s="35"/>
      <c r="Q946" s="35"/>
      <c r="R946" s="35"/>
      <c r="S946" s="35"/>
      <c r="T946" s="35"/>
      <c r="U946" s="35"/>
      <c r="V946" s="35"/>
      <c r="W946" s="35"/>
      <c r="X946" s="35"/>
      <c r="Y946" s="35"/>
    </row>
    <row r="947" ht="14.25" customHeight="1">
      <c r="A947" s="136"/>
      <c r="B947" s="137"/>
      <c r="C947" s="251"/>
      <c r="D947" s="452"/>
      <c r="E947" s="136"/>
      <c r="F947" s="253"/>
      <c r="G947" s="527"/>
      <c r="H947" s="141"/>
      <c r="I947" s="141"/>
      <c r="J947" s="142"/>
      <c r="K947" s="142"/>
      <c r="L947" s="142"/>
      <c r="M947" s="142"/>
      <c r="N947" s="136"/>
      <c r="O947" s="34"/>
      <c r="P947" s="35"/>
      <c r="Q947" s="35"/>
      <c r="R947" s="35"/>
      <c r="S947" s="35"/>
      <c r="T947" s="35"/>
      <c r="U947" s="35"/>
      <c r="V947" s="35"/>
      <c r="W947" s="35"/>
      <c r="X947" s="35"/>
      <c r="Y947" s="35"/>
    </row>
    <row r="948" ht="14.25" customHeight="1">
      <c r="A948" s="136"/>
      <c r="B948" s="137"/>
      <c r="C948" s="251"/>
      <c r="D948" s="452"/>
      <c r="E948" s="136"/>
      <c r="F948" s="253"/>
      <c r="G948" s="527"/>
      <c r="H948" s="141"/>
      <c r="I948" s="141"/>
      <c r="J948" s="142"/>
      <c r="K948" s="142"/>
      <c r="L948" s="142"/>
      <c r="M948" s="142"/>
      <c r="N948" s="136"/>
      <c r="O948" s="34"/>
      <c r="P948" s="35"/>
      <c r="Q948" s="35"/>
      <c r="R948" s="35"/>
      <c r="S948" s="35"/>
      <c r="T948" s="35"/>
      <c r="U948" s="35"/>
      <c r="V948" s="35"/>
      <c r="W948" s="35"/>
      <c r="X948" s="35"/>
      <c r="Y948" s="35"/>
    </row>
    <row r="949" ht="14.25" customHeight="1">
      <c r="A949" s="136"/>
      <c r="B949" s="137"/>
      <c r="C949" s="251"/>
      <c r="D949" s="452"/>
      <c r="E949" s="136"/>
      <c r="F949" s="253"/>
      <c r="G949" s="527"/>
      <c r="H949" s="141"/>
      <c r="I949" s="141"/>
      <c r="J949" s="142"/>
      <c r="K949" s="142"/>
      <c r="L949" s="142"/>
      <c r="M949" s="142"/>
      <c r="N949" s="136"/>
      <c r="O949" s="34"/>
      <c r="P949" s="35"/>
      <c r="Q949" s="35"/>
      <c r="R949" s="35"/>
      <c r="S949" s="35"/>
      <c r="T949" s="35"/>
      <c r="U949" s="35"/>
      <c r="V949" s="35"/>
      <c r="W949" s="35"/>
      <c r="X949" s="35"/>
      <c r="Y949" s="35"/>
    </row>
    <row r="950" ht="14.25" customHeight="1">
      <c r="A950" s="136"/>
      <c r="B950" s="137"/>
      <c r="C950" s="251"/>
      <c r="D950" s="452"/>
      <c r="E950" s="136"/>
      <c r="F950" s="253"/>
      <c r="G950" s="527"/>
      <c r="H950" s="141"/>
      <c r="I950" s="141"/>
      <c r="J950" s="142"/>
      <c r="K950" s="142"/>
      <c r="L950" s="142"/>
      <c r="M950" s="142"/>
      <c r="N950" s="136"/>
      <c r="O950" s="34"/>
      <c r="P950" s="35"/>
      <c r="Q950" s="35"/>
      <c r="R950" s="35"/>
      <c r="S950" s="35"/>
      <c r="T950" s="35"/>
      <c r="U950" s="35"/>
      <c r="V950" s="35"/>
      <c r="W950" s="35"/>
      <c r="X950" s="35"/>
      <c r="Y950" s="35"/>
    </row>
    <row r="951" ht="14.25" customHeight="1">
      <c r="A951" s="136"/>
      <c r="B951" s="137"/>
      <c r="C951" s="251"/>
      <c r="D951" s="452"/>
      <c r="E951" s="136"/>
      <c r="F951" s="253"/>
      <c r="G951" s="527"/>
      <c r="H951" s="141"/>
      <c r="I951" s="141"/>
      <c r="J951" s="142"/>
      <c r="K951" s="142"/>
      <c r="L951" s="142"/>
      <c r="M951" s="142"/>
      <c r="N951" s="136"/>
      <c r="O951" s="34"/>
      <c r="P951" s="35"/>
      <c r="Q951" s="35"/>
      <c r="R951" s="35"/>
      <c r="S951" s="35"/>
      <c r="T951" s="35"/>
      <c r="U951" s="35"/>
      <c r="V951" s="35"/>
      <c r="W951" s="35"/>
      <c r="X951" s="35"/>
      <c r="Y951" s="35"/>
    </row>
    <row r="952" ht="14.25" customHeight="1">
      <c r="A952" s="136"/>
      <c r="B952" s="137"/>
      <c r="C952" s="251"/>
      <c r="D952" s="452"/>
      <c r="E952" s="136"/>
      <c r="F952" s="253"/>
      <c r="G952" s="527"/>
      <c r="H952" s="141"/>
      <c r="I952" s="141"/>
      <c r="J952" s="142"/>
      <c r="K952" s="142"/>
      <c r="L952" s="142"/>
      <c r="M952" s="142"/>
      <c r="N952" s="136"/>
      <c r="O952" s="34"/>
      <c r="P952" s="35"/>
      <c r="Q952" s="35"/>
      <c r="R952" s="35"/>
      <c r="S952" s="35"/>
      <c r="T952" s="35"/>
      <c r="U952" s="35"/>
      <c r="V952" s="35"/>
      <c r="W952" s="35"/>
      <c r="X952" s="35"/>
      <c r="Y952" s="35"/>
    </row>
    <row r="953" ht="14.25" customHeight="1">
      <c r="A953" s="136"/>
      <c r="B953" s="137"/>
      <c r="C953" s="251"/>
      <c r="D953" s="452"/>
      <c r="E953" s="136"/>
      <c r="F953" s="253"/>
      <c r="G953" s="527"/>
      <c r="H953" s="141"/>
      <c r="I953" s="141"/>
      <c r="J953" s="142"/>
      <c r="K953" s="142"/>
      <c r="L953" s="142"/>
      <c r="M953" s="142"/>
      <c r="N953" s="136"/>
      <c r="O953" s="34"/>
      <c r="P953" s="35"/>
      <c r="Q953" s="35"/>
      <c r="R953" s="35"/>
      <c r="S953" s="35"/>
      <c r="T953" s="35"/>
      <c r="U953" s="35"/>
      <c r="V953" s="35"/>
      <c r="W953" s="35"/>
      <c r="X953" s="35"/>
      <c r="Y953" s="35"/>
    </row>
    <row r="954" ht="14.25" customHeight="1">
      <c r="A954" s="136"/>
      <c r="B954" s="137"/>
      <c r="C954" s="251"/>
      <c r="D954" s="452"/>
      <c r="E954" s="136"/>
      <c r="F954" s="253"/>
      <c r="G954" s="527"/>
      <c r="H954" s="141"/>
      <c r="I954" s="141"/>
      <c r="J954" s="142"/>
      <c r="K954" s="142"/>
      <c r="L954" s="142"/>
      <c r="M954" s="142"/>
      <c r="N954" s="136"/>
      <c r="O954" s="34"/>
      <c r="P954" s="35"/>
      <c r="Q954" s="35"/>
      <c r="R954" s="35"/>
      <c r="S954" s="35"/>
      <c r="T954" s="35"/>
      <c r="U954" s="35"/>
      <c r="V954" s="35"/>
      <c r="W954" s="35"/>
      <c r="X954" s="35"/>
      <c r="Y954" s="35"/>
    </row>
    <row r="955" ht="14.25" customHeight="1">
      <c r="A955" s="136"/>
      <c r="B955" s="137"/>
      <c r="C955" s="251"/>
      <c r="D955" s="452"/>
      <c r="E955" s="136"/>
      <c r="F955" s="253"/>
      <c r="G955" s="527"/>
      <c r="H955" s="141"/>
      <c r="I955" s="141"/>
      <c r="J955" s="142"/>
      <c r="K955" s="142"/>
      <c r="L955" s="142"/>
      <c r="M955" s="142"/>
      <c r="N955" s="136"/>
      <c r="O955" s="34"/>
      <c r="P955" s="35"/>
      <c r="Q955" s="35"/>
      <c r="R955" s="35"/>
      <c r="S955" s="35"/>
      <c r="T955" s="35"/>
      <c r="U955" s="35"/>
      <c r="V955" s="35"/>
      <c r="W955" s="35"/>
      <c r="X955" s="35"/>
      <c r="Y955" s="35"/>
    </row>
    <row r="956" ht="14.25" customHeight="1">
      <c r="A956" s="136"/>
      <c r="B956" s="137"/>
      <c r="C956" s="251"/>
      <c r="D956" s="452"/>
      <c r="E956" s="136"/>
      <c r="F956" s="253"/>
      <c r="G956" s="527"/>
      <c r="H956" s="141"/>
      <c r="I956" s="141"/>
      <c r="J956" s="142"/>
      <c r="K956" s="142"/>
      <c r="L956" s="142"/>
      <c r="M956" s="142"/>
      <c r="N956" s="136"/>
      <c r="O956" s="34"/>
      <c r="P956" s="35"/>
      <c r="Q956" s="35"/>
      <c r="R956" s="35"/>
      <c r="S956" s="35"/>
      <c r="T956" s="35"/>
      <c r="U956" s="35"/>
      <c r="V956" s="35"/>
      <c r="W956" s="35"/>
      <c r="X956" s="35"/>
      <c r="Y956" s="35"/>
    </row>
    <row r="957" ht="14.25" customHeight="1">
      <c r="A957" s="136"/>
      <c r="B957" s="137"/>
      <c r="C957" s="251"/>
      <c r="D957" s="452"/>
      <c r="E957" s="136"/>
      <c r="F957" s="253"/>
      <c r="G957" s="527"/>
      <c r="H957" s="141"/>
      <c r="I957" s="141"/>
      <c r="J957" s="142"/>
      <c r="K957" s="142"/>
      <c r="L957" s="142"/>
      <c r="M957" s="142"/>
      <c r="N957" s="136"/>
      <c r="O957" s="34"/>
      <c r="P957" s="35"/>
      <c r="Q957" s="35"/>
      <c r="R957" s="35"/>
      <c r="S957" s="35"/>
      <c r="T957" s="35"/>
      <c r="U957" s="35"/>
      <c r="V957" s="35"/>
      <c r="W957" s="35"/>
      <c r="X957" s="35"/>
      <c r="Y957" s="35"/>
    </row>
    <row r="958" ht="14.25" customHeight="1">
      <c r="A958" s="136"/>
      <c r="B958" s="137"/>
      <c r="C958" s="251"/>
      <c r="D958" s="452"/>
      <c r="E958" s="136"/>
      <c r="F958" s="253"/>
      <c r="G958" s="527"/>
      <c r="H958" s="141"/>
      <c r="I958" s="141"/>
      <c r="J958" s="142"/>
      <c r="K958" s="142"/>
      <c r="L958" s="142"/>
      <c r="M958" s="142"/>
      <c r="N958" s="136"/>
      <c r="O958" s="34"/>
      <c r="P958" s="35"/>
      <c r="Q958" s="35"/>
      <c r="R958" s="35"/>
      <c r="S958" s="35"/>
      <c r="T958" s="35"/>
      <c r="U958" s="35"/>
      <c r="V958" s="35"/>
      <c r="W958" s="35"/>
      <c r="X958" s="35"/>
      <c r="Y958" s="35"/>
    </row>
    <row r="959" ht="14.25" customHeight="1">
      <c r="A959" s="136"/>
      <c r="B959" s="137"/>
      <c r="C959" s="251"/>
      <c r="D959" s="452"/>
      <c r="E959" s="136"/>
      <c r="F959" s="253"/>
      <c r="G959" s="527"/>
      <c r="H959" s="141"/>
      <c r="I959" s="141"/>
      <c r="J959" s="142"/>
      <c r="K959" s="142"/>
      <c r="L959" s="142"/>
      <c r="M959" s="142"/>
      <c r="N959" s="136"/>
      <c r="O959" s="34"/>
      <c r="P959" s="35"/>
      <c r="Q959" s="35"/>
      <c r="R959" s="35"/>
      <c r="S959" s="35"/>
      <c r="T959" s="35"/>
      <c r="U959" s="35"/>
      <c r="V959" s="35"/>
      <c r="W959" s="35"/>
      <c r="X959" s="35"/>
      <c r="Y959" s="35"/>
    </row>
    <row r="960" ht="14.25" customHeight="1">
      <c r="A960" s="136"/>
      <c r="B960" s="137"/>
      <c r="C960" s="251"/>
      <c r="D960" s="452"/>
      <c r="E960" s="136"/>
      <c r="F960" s="253"/>
      <c r="G960" s="527"/>
      <c r="H960" s="141"/>
      <c r="I960" s="141"/>
      <c r="J960" s="142"/>
      <c r="K960" s="142"/>
      <c r="L960" s="142"/>
      <c r="M960" s="142"/>
      <c r="N960" s="136"/>
      <c r="O960" s="34"/>
      <c r="P960" s="35"/>
      <c r="Q960" s="35"/>
      <c r="R960" s="35"/>
      <c r="S960" s="35"/>
      <c r="T960" s="35"/>
      <c r="U960" s="35"/>
      <c r="V960" s="35"/>
      <c r="W960" s="35"/>
      <c r="X960" s="35"/>
      <c r="Y960" s="35"/>
    </row>
    <row r="961" ht="14.25" customHeight="1">
      <c r="A961" s="136"/>
      <c r="B961" s="137"/>
      <c r="C961" s="251"/>
      <c r="D961" s="452"/>
      <c r="E961" s="136"/>
      <c r="F961" s="253"/>
      <c r="G961" s="527"/>
      <c r="H961" s="141"/>
      <c r="I961" s="141"/>
      <c r="J961" s="142"/>
      <c r="K961" s="142"/>
      <c r="L961" s="142"/>
      <c r="M961" s="142"/>
      <c r="N961" s="136"/>
      <c r="O961" s="34"/>
      <c r="P961" s="35"/>
      <c r="Q961" s="35"/>
      <c r="R961" s="35"/>
      <c r="S961" s="35"/>
      <c r="T961" s="35"/>
      <c r="U961" s="35"/>
      <c r="V961" s="35"/>
      <c r="W961" s="35"/>
      <c r="X961" s="35"/>
      <c r="Y961" s="35"/>
    </row>
    <row r="962" ht="14.25" customHeight="1">
      <c r="A962" s="136"/>
      <c r="B962" s="137"/>
      <c r="C962" s="251"/>
      <c r="D962" s="452"/>
      <c r="E962" s="136"/>
      <c r="F962" s="253"/>
      <c r="G962" s="527"/>
      <c r="H962" s="141"/>
      <c r="I962" s="141"/>
      <c r="J962" s="142"/>
      <c r="K962" s="142"/>
      <c r="L962" s="142"/>
      <c r="M962" s="142"/>
      <c r="N962" s="136"/>
      <c r="O962" s="34"/>
      <c r="P962" s="35"/>
      <c r="Q962" s="35"/>
      <c r="R962" s="35"/>
      <c r="S962" s="35"/>
      <c r="T962" s="35"/>
      <c r="U962" s="35"/>
      <c r="V962" s="35"/>
      <c r="W962" s="35"/>
      <c r="X962" s="35"/>
      <c r="Y962" s="35"/>
    </row>
    <row r="963" ht="14.25" customHeight="1">
      <c r="A963" s="136"/>
      <c r="B963" s="137"/>
      <c r="C963" s="251"/>
      <c r="D963" s="452"/>
      <c r="E963" s="136"/>
      <c r="F963" s="253"/>
      <c r="G963" s="527"/>
      <c r="H963" s="141"/>
      <c r="I963" s="141"/>
      <c r="J963" s="142"/>
      <c r="K963" s="142"/>
      <c r="L963" s="142"/>
      <c r="M963" s="142"/>
      <c r="N963" s="136"/>
      <c r="O963" s="34"/>
      <c r="P963" s="35"/>
      <c r="Q963" s="35"/>
      <c r="R963" s="35"/>
      <c r="S963" s="35"/>
      <c r="T963" s="35"/>
      <c r="U963" s="35"/>
      <c r="V963" s="35"/>
      <c r="W963" s="35"/>
      <c r="X963" s="35"/>
      <c r="Y963" s="35"/>
    </row>
    <row r="964" ht="14.25" customHeight="1">
      <c r="A964" s="136"/>
      <c r="B964" s="137"/>
      <c r="C964" s="251"/>
      <c r="D964" s="452"/>
      <c r="E964" s="136"/>
      <c r="F964" s="253"/>
      <c r="G964" s="527"/>
      <c r="H964" s="141"/>
      <c r="I964" s="141"/>
      <c r="J964" s="142"/>
      <c r="K964" s="142"/>
      <c r="L964" s="142"/>
      <c r="M964" s="142"/>
      <c r="N964" s="136"/>
      <c r="O964" s="34"/>
      <c r="P964" s="35"/>
      <c r="Q964" s="35"/>
      <c r="R964" s="35"/>
      <c r="S964" s="35"/>
      <c r="T964" s="35"/>
      <c r="U964" s="35"/>
      <c r="V964" s="35"/>
      <c r="W964" s="35"/>
      <c r="X964" s="35"/>
      <c r="Y964" s="35"/>
    </row>
    <row r="965" ht="14.25" customHeight="1">
      <c r="A965" s="136"/>
      <c r="B965" s="137"/>
      <c r="C965" s="251"/>
      <c r="D965" s="452"/>
      <c r="E965" s="136"/>
      <c r="F965" s="253"/>
      <c r="G965" s="527"/>
      <c r="H965" s="141"/>
      <c r="I965" s="141"/>
      <c r="J965" s="142"/>
      <c r="K965" s="142"/>
      <c r="L965" s="142"/>
      <c r="M965" s="142"/>
      <c r="N965" s="136"/>
      <c r="O965" s="34"/>
      <c r="P965" s="35"/>
      <c r="Q965" s="35"/>
      <c r="R965" s="35"/>
      <c r="S965" s="35"/>
      <c r="T965" s="35"/>
      <c r="U965" s="35"/>
      <c r="V965" s="35"/>
      <c r="W965" s="35"/>
      <c r="X965" s="35"/>
      <c r="Y965" s="35"/>
    </row>
    <row r="966" ht="14.25" customHeight="1">
      <c r="A966" s="136"/>
      <c r="B966" s="137"/>
      <c r="C966" s="251"/>
      <c r="D966" s="452"/>
      <c r="E966" s="136"/>
      <c r="F966" s="253"/>
      <c r="G966" s="527"/>
      <c r="H966" s="141"/>
      <c r="I966" s="141"/>
      <c r="J966" s="142"/>
      <c r="K966" s="142"/>
      <c r="L966" s="142"/>
      <c r="M966" s="142"/>
      <c r="N966" s="136"/>
      <c r="O966" s="34"/>
      <c r="P966" s="35"/>
      <c r="Q966" s="35"/>
      <c r="R966" s="35"/>
      <c r="S966" s="35"/>
      <c r="T966" s="35"/>
      <c r="U966" s="35"/>
      <c r="V966" s="35"/>
      <c r="W966" s="35"/>
      <c r="X966" s="35"/>
      <c r="Y966" s="35"/>
    </row>
    <row r="967" ht="14.25" customHeight="1">
      <c r="A967" s="136"/>
      <c r="B967" s="137"/>
      <c r="C967" s="251"/>
      <c r="D967" s="452"/>
      <c r="E967" s="136"/>
      <c r="F967" s="253"/>
      <c r="G967" s="527"/>
      <c r="H967" s="141"/>
      <c r="I967" s="141"/>
      <c r="J967" s="142"/>
      <c r="K967" s="142"/>
      <c r="L967" s="142"/>
      <c r="M967" s="142"/>
      <c r="N967" s="136"/>
      <c r="O967" s="34"/>
      <c r="P967" s="35"/>
      <c r="Q967" s="35"/>
      <c r="R967" s="35"/>
      <c r="S967" s="35"/>
      <c r="T967" s="35"/>
      <c r="U967" s="35"/>
      <c r="V967" s="35"/>
      <c r="W967" s="35"/>
      <c r="X967" s="35"/>
      <c r="Y967" s="35"/>
    </row>
    <row r="968" ht="14.25" customHeight="1">
      <c r="A968" s="136"/>
      <c r="B968" s="137"/>
      <c r="C968" s="251"/>
      <c r="D968" s="452"/>
      <c r="E968" s="136"/>
      <c r="F968" s="253"/>
      <c r="G968" s="527"/>
      <c r="H968" s="141"/>
      <c r="I968" s="141"/>
      <c r="J968" s="142"/>
      <c r="K968" s="142"/>
      <c r="L968" s="142"/>
      <c r="M968" s="142"/>
      <c r="N968" s="136"/>
      <c r="O968" s="34"/>
      <c r="P968" s="35"/>
      <c r="Q968" s="35"/>
      <c r="R968" s="35"/>
      <c r="S968" s="35"/>
      <c r="T968" s="35"/>
      <c r="U968" s="35"/>
      <c r="V968" s="35"/>
      <c r="W968" s="35"/>
      <c r="X968" s="35"/>
      <c r="Y968" s="35"/>
    </row>
    <row r="969" ht="14.25" customHeight="1">
      <c r="A969" s="136"/>
      <c r="B969" s="137"/>
      <c r="C969" s="251"/>
      <c r="D969" s="452"/>
      <c r="E969" s="136"/>
      <c r="F969" s="253"/>
      <c r="G969" s="527"/>
      <c r="H969" s="141"/>
      <c r="I969" s="141"/>
      <c r="J969" s="142"/>
      <c r="K969" s="142"/>
      <c r="L969" s="142"/>
      <c r="M969" s="142"/>
      <c r="N969" s="136"/>
      <c r="O969" s="34"/>
      <c r="P969" s="35"/>
      <c r="Q969" s="35"/>
      <c r="R969" s="35"/>
      <c r="S969" s="35"/>
      <c r="T969" s="35"/>
      <c r="U969" s="35"/>
      <c r="V969" s="35"/>
      <c r="W969" s="35"/>
      <c r="X969" s="35"/>
      <c r="Y969" s="35"/>
    </row>
    <row r="970" ht="14.25" customHeight="1">
      <c r="A970" s="136"/>
      <c r="B970" s="137"/>
      <c r="C970" s="251"/>
      <c r="D970" s="452"/>
      <c r="E970" s="136"/>
      <c r="F970" s="253"/>
      <c r="G970" s="527"/>
      <c r="H970" s="141"/>
      <c r="I970" s="141"/>
      <c r="J970" s="142"/>
      <c r="K970" s="142"/>
      <c r="L970" s="142"/>
      <c r="M970" s="142"/>
      <c r="N970" s="136"/>
      <c r="O970" s="34"/>
      <c r="P970" s="35"/>
      <c r="Q970" s="35"/>
      <c r="R970" s="35"/>
      <c r="S970" s="35"/>
      <c r="T970" s="35"/>
      <c r="U970" s="35"/>
      <c r="V970" s="35"/>
      <c r="W970" s="35"/>
      <c r="X970" s="35"/>
      <c r="Y970" s="35"/>
    </row>
    <row r="971" ht="14.25" customHeight="1">
      <c r="A971" s="136"/>
      <c r="B971" s="137"/>
      <c r="C971" s="251"/>
      <c r="D971" s="452"/>
      <c r="E971" s="136"/>
      <c r="F971" s="253"/>
      <c r="G971" s="527"/>
      <c r="H971" s="141"/>
      <c r="I971" s="141"/>
      <c r="J971" s="142"/>
      <c r="K971" s="142"/>
      <c r="L971" s="142"/>
      <c r="M971" s="142"/>
      <c r="N971" s="136"/>
      <c r="O971" s="34"/>
      <c r="P971" s="35"/>
      <c r="Q971" s="35"/>
      <c r="R971" s="35"/>
      <c r="S971" s="35"/>
      <c r="T971" s="35"/>
      <c r="U971" s="35"/>
      <c r="V971" s="35"/>
      <c r="W971" s="35"/>
      <c r="X971" s="35"/>
      <c r="Y971" s="35"/>
    </row>
    <row r="972" ht="14.25" customHeight="1">
      <c r="A972" s="136"/>
      <c r="B972" s="137"/>
      <c r="C972" s="251"/>
      <c r="D972" s="452"/>
      <c r="E972" s="136"/>
      <c r="F972" s="253"/>
      <c r="G972" s="527"/>
      <c r="H972" s="141"/>
      <c r="I972" s="141"/>
      <c r="J972" s="142"/>
      <c r="K972" s="142"/>
      <c r="L972" s="142"/>
      <c r="M972" s="142"/>
      <c r="N972" s="136"/>
      <c r="O972" s="34"/>
      <c r="P972" s="35"/>
      <c r="Q972" s="35"/>
      <c r="R972" s="35"/>
      <c r="S972" s="35"/>
      <c r="T972" s="35"/>
      <c r="U972" s="35"/>
      <c r="V972" s="35"/>
      <c r="W972" s="35"/>
      <c r="X972" s="35"/>
      <c r="Y972" s="35"/>
    </row>
    <row r="973" ht="14.25" customHeight="1">
      <c r="A973" s="136"/>
      <c r="B973" s="137"/>
      <c r="C973" s="251"/>
      <c r="D973" s="452"/>
      <c r="E973" s="136"/>
      <c r="F973" s="253"/>
      <c r="G973" s="527"/>
      <c r="H973" s="141"/>
      <c r="I973" s="141"/>
      <c r="J973" s="142"/>
      <c r="K973" s="142"/>
      <c r="L973" s="142"/>
      <c r="M973" s="142"/>
      <c r="N973" s="136"/>
      <c r="O973" s="34"/>
      <c r="P973" s="35"/>
      <c r="Q973" s="35"/>
      <c r="R973" s="35"/>
      <c r="S973" s="35"/>
      <c r="T973" s="35"/>
      <c r="U973" s="35"/>
      <c r="V973" s="35"/>
      <c r="W973" s="35"/>
      <c r="X973" s="35"/>
      <c r="Y973" s="35"/>
    </row>
    <row r="974" ht="14.25" customHeight="1">
      <c r="A974" s="136"/>
      <c r="B974" s="137"/>
      <c r="C974" s="251"/>
      <c r="D974" s="452"/>
      <c r="E974" s="136"/>
      <c r="F974" s="253"/>
      <c r="G974" s="527"/>
      <c r="H974" s="141"/>
      <c r="I974" s="141"/>
      <c r="J974" s="142"/>
      <c r="K974" s="142"/>
      <c r="L974" s="142"/>
      <c r="M974" s="142"/>
      <c r="N974" s="136"/>
      <c r="O974" s="34"/>
      <c r="P974" s="35"/>
      <c r="Q974" s="35"/>
      <c r="R974" s="35"/>
      <c r="S974" s="35"/>
      <c r="T974" s="35"/>
      <c r="U974" s="35"/>
      <c r="V974" s="35"/>
      <c r="W974" s="35"/>
      <c r="X974" s="35"/>
      <c r="Y974" s="35"/>
    </row>
    <row r="975" ht="14.25" customHeight="1">
      <c r="A975" s="136"/>
      <c r="B975" s="137"/>
      <c r="C975" s="251"/>
      <c r="D975" s="452"/>
      <c r="E975" s="136"/>
      <c r="F975" s="253"/>
      <c r="G975" s="527"/>
      <c r="H975" s="141"/>
      <c r="I975" s="141"/>
      <c r="J975" s="142"/>
      <c r="K975" s="142"/>
      <c r="L975" s="142"/>
      <c r="M975" s="142"/>
      <c r="N975" s="136"/>
      <c r="O975" s="34"/>
      <c r="P975" s="35"/>
      <c r="Q975" s="35"/>
      <c r="R975" s="35"/>
      <c r="S975" s="35"/>
      <c r="T975" s="35"/>
      <c r="U975" s="35"/>
      <c r="V975" s="35"/>
      <c r="W975" s="35"/>
      <c r="X975" s="35"/>
      <c r="Y975" s="35"/>
    </row>
    <row r="976" ht="14.25" customHeight="1">
      <c r="A976" s="136"/>
      <c r="B976" s="137"/>
      <c r="C976" s="251"/>
      <c r="D976" s="452"/>
      <c r="E976" s="136"/>
      <c r="F976" s="253"/>
      <c r="G976" s="527"/>
      <c r="H976" s="141"/>
      <c r="I976" s="141"/>
      <c r="J976" s="142"/>
      <c r="K976" s="142"/>
      <c r="L976" s="142"/>
      <c r="M976" s="142"/>
      <c r="N976" s="136"/>
      <c r="O976" s="34"/>
      <c r="P976" s="35"/>
      <c r="Q976" s="35"/>
      <c r="R976" s="35"/>
      <c r="S976" s="35"/>
      <c r="T976" s="35"/>
      <c r="U976" s="35"/>
      <c r="V976" s="35"/>
      <c r="W976" s="35"/>
      <c r="X976" s="35"/>
      <c r="Y976" s="35"/>
    </row>
    <row r="977" ht="14.25" customHeight="1">
      <c r="A977" s="136"/>
      <c r="B977" s="137"/>
      <c r="C977" s="251"/>
      <c r="D977" s="452"/>
      <c r="E977" s="136"/>
      <c r="F977" s="253"/>
      <c r="G977" s="527"/>
      <c r="H977" s="141"/>
      <c r="I977" s="141"/>
      <c r="J977" s="142"/>
      <c r="K977" s="142"/>
      <c r="L977" s="142"/>
      <c r="M977" s="142"/>
      <c r="N977" s="136"/>
      <c r="O977" s="34"/>
      <c r="P977" s="35"/>
      <c r="Q977" s="35"/>
      <c r="R977" s="35"/>
      <c r="S977" s="35"/>
      <c r="T977" s="35"/>
      <c r="U977" s="35"/>
      <c r="V977" s="35"/>
      <c r="W977" s="35"/>
      <c r="X977" s="35"/>
      <c r="Y977" s="35"/>
    </row>
    <row r="978" ht="14.25" customHeight="1">
      <c r="A978" s="136"/>
      <c r="B978" s="137"/>
      <c r="C978" s="251"/>
      <c r="D978" s="452"/>
      <c r="E978" s="136"/>
      <c r="F978" s="253"/>
      <c r="G978" s="527"/>
      <c r="H978" s="141"/>
      <c r="I978" s="141"/>
      <c r="J978" s="142"/>
      <c r="K978" s="142"/>
      <c r="L978" s="142"/>
      <c r="M978" s="142"/>
      <c r="N978" s="136"/>
      <c r="O978" s="34"/>
      <c r="P978" s="35"/>
      <c r="Q978" s="35"/>
      <c r="R978" s="35"/>
      <c r="S978" s="35"/>
      <c r="T978" s="35"/>
      <c r="U978" s="35"/>
      <c r="V978" s="35"/>
      <c r="W978" s="35"/>
      <c r="X978" s="35"/>
      <c r="Y978" s="35"/>
    </row>
    <row r="979" ht="14.25" customHeight="1">
      <c r="A979" s="136"/>
      <c r="B979" s="137"/>
      <c r="C979" s="251"/>
      <c r="D979" s="452"/>
      <c r="E979" s="136"/>
      <c r="F979" s="253"/>
      <c r="G979" s="527"/>
      <c r="H979" s="141"/>
      <c r="I979" s="141"/>
      <c r="J979" s="142"/>
      <c r="K979" s="142"/>
      <c r="L979" s="142"/>
      <c r="M979" s="142"/>
      <c r="N979" s="136"/>
      <c r="O979" s="34"/>
      <c r="P979" s="35"/>
      <c r="Q979" s="35"/>
      <c r="R979" s="35"/>
      <c r="S979" s="35"/>
      <c r="T979" s="35"/>
      <c r="U979" s="35"/>
      <c r="V979" s="35"/>
      <c r="W979" s="35"/>
      <c r="X979" s="35"/>
      <c r="Y979" s="35"/>
    </row>
    <row r="980" ht="14.25" customHeight="1">
      <c r="A980" s="136"/>
      <c r="B980" s="137"/>
      <c r="C980" s="251"/>
      <c r="D980" s="452"/>
      <c r="E980" s="136"/>
      <c r="F980" s="253"/>
      <c r="G980" s="527"/>
      <c r="H980" s="141"/>
      <c r="I980" s="141"/>
      <c r="J980" s="142"/>
      <c r="K980" s="142"/>
      <c r="L980" s="142"/>
      <c r="M980" s="142"/>
      <c r="N980" s="136"/>
      <c r="O980" s="34"/>
      <c r="P980" s="35"/>
      <c r="Q980" s="35"/>
      <c r="R980" s="35"/>
      <c r="S980" s="35"/>
      <c r="T980" s="35"/>
      <c r="U980" s="35"/>
      <c r="V980" s="35"/>
      <c r="W980" s="35"/>
      <c r="X980" s="35"/>
      <c r="Y980" s="35"/>
    </row>
    <row r="981" ht="14.25" customHeight="1">
      <c r="A981" s="136"/>
      <c r="B981" s="137"/>
      <c r="C981" s="251"/>
      <c r="D981" s="452"/>
      <c r="E981" s="136"/>
      <c r="F981" s="253"/>
      <c r="G981" s="527"/>
      <c r="H981" s="141"/>
      <c r="I981" s="141"/>
      <c r="J981" s="142"/>
      <c r="K981" s="142"/>
      <c r="L981" s="142"/>
      <c r="M981" s="142"/>
      <c r="N981" s="136"/>
      <c r="O981" s="34"/>
      <c r="P981" s="35"/>
      <c r="Q981" s="35"/>
      <c r="R981" s="35"/>
      <c r="S981" s="35"/>
      <c r="T981" s="35"/>
      <c r="U981" s="35"/>
      <c r="V981" s="35"/>
      <c r="W981" s="35"/>
      <c r="X981" s="35"/>
      <c r="Y981" s="35"/>
    </row>
    <row r="982" ht="14.25" customHeight="1">
      <c r="A982" s="136"/>
      <c r="B982" s="137"/>
      <c r="C982" s="251"/>
      <c r="D982" s="452"/>
      <c r="E982" s="136"/>
      <c r="F982" s="253"/>
      <c r="G982" s="527"/>
      <c r="H982" s="141"/>
      <c r="I982" s="141"/>
      <c r="J982" s="142"/>
      <c r="K982" s="142"/>
      <c r="L982" s="142"/>
      <c r="M982" s="142"/>
      <c r="N982" s="136"/>
      <c r="O982" s="34"/>
      <c r="P982" s="35"/>
      <c r="Q982" s="35"/>
      <c r="R982" s="35"/>
      <c r="S982" s="35"/>
      <c r="T982" s="35"/>
      <c r="U982" s="35"/>
      <c r="V982" s="35"/>
      <c r="W982" s="35"/>
      <c r="X982" s="35"/>
      <c r="Y982" s="35"/>
    </row>
    <row r="983" ht="14.25" customHeight="1">
      <c r="A983" s="136"/>
      <c r="B983" s="137"/>
      <c r="C983" s="251"/>
      <c r="D983" s="452"/>
      <c r="E983" s="136"/>
      <c r="F983" s="253"/>
      <c r="G983" s="527"/>
      <c r="H983" s="141"/>
      <c r="I983" s="141"/>
      <c r="J983" s="142"/>
      <c r="K983" s="142"/>
      <c r="L983" s="142"/>
      <c r="M983" s="142"/>
      <c r="N983" s="136"/>
      <c r="O983" s="34"/>
      <c r="P983" s="35"/>
      <c r="Q983" s="35"/>
      <c r="R983" s="35"/>
      <c r="S983" s="35"/>
      <c r="T983" s="35"/>
      <c r="U983" s="35"/>
      <c r="V983" s="35"/>
      <c r="W983" s="35"/>
      <c r="X983" s="35"/>
      <c r="Y983" s="35"/>
    </row>
    <row r="984" ht="14.25" customHeight="1">
      <c r="A984" s="136"/>
      <c r="B984" s="137"/>
      <c r="C984" s="251"/>
      <c r="D984" s="452"/>
      <c r="E984" s="136"/>
      <c r="F984" s="253"/>
      <c r="G984" s="527"/>
      <c r="H984" s="141"/>
      <c r="I984" s="141"/>
      <c r="J984" s="142"/>
      <c r="K984" s="142"/>
      <c r="L984" s="142"/>
      <c r="M984" s="142"/>
      <c r="N984" s="136"/>
      <c r="O984" s="34"/>
      <c r="P984" s="35"/>
      <c r="Q984" s="35"/>
      <c r="R984" s="35"/>
      <c r="S984" s="35"/>
      <c r="T984" s="35"/>
      <c r="U984" s="35"/>
      <c r="V984" s="35"/>
      <c r="W984" s="35"/>
      <c r="X984" s="35"/>
      <c r="Y984" s="35"/>
    </row>
    <row r="985" ht="14.25" customHeight="1">
      <c r="A985" s="136"/>
      <c r="B985" s="137"/>
      <c r="C985" s="251"/>
      <c r="D985" s="452"/>
      <c r="E985" s="136"/>
      <c r="F985" s="253"/>
      <c r="G985" s="527"/>
      <c r="H985" s="141"/>
      <c r="I985" s="141"/>
      <c r="J985" s="142"/>
      <c r="K985" s="142"/>
      <c r="L985" s="142"/>
      <c r="M985" s="142"/>
      <c r="N985" s="136"/>
      <c r="O985" s="34"/>
      <c r="P985" s="35"/>
      <c r="Q985" s="35"/>
      <c r="R985" s="35"/>
      <c r="S985" s="35"/>
      <c r="T985" s="35"/>
      <c r="U985" s="35"/>
      <c r="V985" s="35"/>
      <c r="W985" s="35"/>
      <c r="X985" s="35"/>
      <c r="Y985" s="35"/>
    </row>
    <row r="986" ht="14.25" customHeight="1">
      <c r="A986" s="136"/>
      <c r="B986" s="137"/>
      <c r="C986" s="251"/>
      <c r="D986" s="452"/>
      <c r="E986" s="136"/>
      <c r="F986" s="253"/>
      <c r="G986" s="527"/>
      <c r="H986" s="141"/>
      <c r="I986" s="141"/>
      <c r="J986" s="142"/>
      <c r="K986" s="142"/>
      <c r="L986" s="142"/>
      <c r="M986" s="142"/>
      <c r="N986" s="136"/>
      <c r="O986" s="34"/>
      <c r="P986" s="35"/>
      <c r="Q986" s="35"/>
      <c r="R986" s="35"/>
      <c r="S986" s="35"/>
      <c r="T986" s="35"/>
      <c r="U986" s="35"/>
      <c r="V986" s="35"/>
      <c r="W986" s="35"/>
      <c r="X986" s="35"/>
      <c r="Y986" s="35"/>
    </row>
    <row r="987" ht="14.25" customHeight="1">
      <c r="A987" s="136"/>
      <c r="B987" s="137"/>
      <c r="C987" s="251"/>
      <c r="D987" s="452"/>
      <c r="E987" s="136"/>
      <c r="F987" s="253"/>
      <c r="G987" s="527"/>
      <c r="H987" s="141"/>
      <c r="I987" s="141"/>
      <c r="J987" s="142"/>
      <c r="K987" s="142"/>
      <c r="L987" s="142"/>
      <c r="M987" s="142"/>
      <c r="N987" s="136"/>
      <c r="O987" s="34"/>
      <c r="P987" s="35"/>
      <c r="Q987" s="35"/>
      <c r="R987" s="35"/>
      <c r="S987" s="35"/>
      <c r="T987" s="35"/>
      <c r="U987" s="35"/>
      <c r="V987" s="35"/>
      <c r="W987" s="35"/>
      <c r="X987" s="35"/>
      <c r="Y987" s="35"/>
    </row>
    <row r="988" ht="14.25" customHeight="1">
      <c r="A988" s="136"/>
      <c r="B988" s="137"/>
      <c r="C988" s="251"/>
      <c r="D988" s="452"/>
      <c r="E988" s="136"/>
      <c r="F988" s="253"/>
      <c r="G988" s="527"/>
      <c r="H988" s="141"/>
      <c r="I988" s="141"/>
      <c r="J988" s="142"/>
      <c r="K988" s="142"/>
      <c r="L988" s="142"/>
      <c r="M988" s="142"/>
      <c r="N988" s="136"/>
      <c r="O988" s="34"/>
      <c r="P988" s="35"/>
      <c r="Q988" s="35"/>
      <c r="R988" s="35"/>
      <c r="S988" s="35"/>
      <c r="T988" s="35"/>
      <c r="U988" s="35"/>
      <c r="V988" s="35"/>
      <c r="W988" s="35"/>
      <c r="X988" s="35"/>
      <c r="Y988" s="35"/>
    </row>
    <row r="989" ht="14.25" customHeight="1">
      <c r="A989" s="136"/>
      <c r="B989" s="137"/>
      <c r="C989" s="251"/>
      <c r="D989" s="452"/>
      <c r="E989" s="136"/>
      <c r="F989" s="253"/>
      <c r="G989" s="527"/>
      <c r="H989" s="141"/>
      <c r="I989" s="141"/>
      <c r="J989" s="142"/>
      <c r="K989" s="142"/>
      <c r="L989" s="142"/>
      <c r="M989" s="142"/>
      <c r="N989" s="136"/>
      <c r="O989" s="34"/>
      <c r="P989" s="35"/>
      <c r="Q989" s="35"/>
      <c r="R989" s="35"/>
      <c r="S989" s="35"/>
      <c r="T989" s="35"/>
      <c r="U989" s="35"/>
      <c r="V989" s="35"/>
      <c r="W989" s="35"/>
      <c r="X989" s="35"/>
      <c r="Y989" s="35"/>
    </row>
    <row r="990" ht="14.25" customHeight="1">
      <c r="A990" s="136"/>
      <c r="B990" s="137"/>
      <c r="C990" s="251"/>
      <c r="D990" s="452"/>
      <c r="E990" s="136"/>
      <c r="F990" s="253"/>
      <c r="G990" s="527"/>
      <c r="H990" s="141"/>
      <c r="I990" s="141"/>
      <c r="J990" s="142"/>
      <c r="K990" s="142"/>
      <c r="L990" s="142"/>
      <c r="M990" s="142"/>
      <c r="N990" s="136"/>
      <c r="O990" s="34"/>
      <c r="P990" s="35"/>
      <c r="Q990" s="35"/>
      <c r="R990" s="35"/>
      <c r="S990" s="35"/>
      <c r="T990" s="35"/>
      <c r="U990" s="35"/>
      <c r="V990" s="35"/>
      <c r="W990" s="35"/>
      <c r="X990" s="35"/>
      <c r="Y990" s="35"/>
    </row>
    <row r="991" ht="14.25" customHeight="1">
      <c r="A991" s="136"/>
      <c r="B991" s="137"/>
      <c r="C991" s="251"/>
      <c r="D991" s="452"/>
      <c r="E991" s="136"/>
      <c r="F991" s="253"/>
      <c r="G991" s="527"/>
      <c r="H991" s="141"/>
      <c r="I991" s="141"/>
      <c r="J991" s="142"/>
      <c r="K991" s="142"/>
      <c r="L991" s="142"/>
      <c r="M991" s="142"/>
      <c r="N991" s="136"/>
      <c r="O991" s="34"/>
      <c r="P991" s="35"/>
      <c r="Q991" s="35"/>
      <c r="R991" s="35"/>
      <c r="S991" s="35"/>
      <c r="T991" s="35"/>
      <c r="U991" s="35"/>
      <c r="V991" s="35"/>
      <c r="W991" s="35"/>
      <c r="X991" s="35"/>
      <c r="Y991" s="35"/>
    </row>
    <row r="992" ht="14.25" customHeight="1">
      <c r="A992" s="136"/>
      <c r="B992" s="137"/>
      <c r="C992" s="251"/>
      <c r="D992" s="452"/>
      <c r="E992" s="136"/>
      <c r="F992" s="253"/>
      <c r="G992" s="527"/>
      <c r="H992" s="141"/>
      <c r="I992" s="141"/>
      <c r="J992" s="142"/>
      <c r="K992" s="142"/>
      <c r="L992" s="142"/>
      <c r="M992" s="142"/>
      <c r="N992" s="136"/>
      <c r="O992" s="34"/>
      <c r="P992" s="35"/>
      <c r="Q992" s="35"/>
      <c r="R992" s="35"/>
      <c r="S992" s="35"/>
      <c r="T992" s="35"/>
      <c r="U992" s="35"/>
      <c r="V992" s="35"/>
      <c r="W992" s="35"/>
      <c r="X992" s="35"/>
      <c r="Y992" s="35"/>
    </row>
    <row r="993" ht="14.25" customHeight="1">
      <c r="A993" s="136"/>
      <c r="B993" s="137"/>
      <c r="C993" s="251"/>
      <c r="D993" s="452"/>
      <c r="E993" s="136"/>
      <c r="F993" s="253"/>
      <c r="G993" s="527"/>
      <c r="H993" s="141"/>
      <c r="I993" s="141"/>
      <c r="J993" s="142"/>
      <c r="K993" s="142"/>
      <c r="L993" s="142"/>
      <c r="M993" s="142"/>
      <c r="N993" s="136"/>
      <c r="O993" s="34"/>
      <c r="P993" s="35"/>
      <c r="Q993" s="35"/>
      <c r="R993" s="35"/>
      <c r="S993" s="35"/>
      <c r="T993" s="35"/>
      <c r="U993" s="35"/>
      <c r="V993" s="35"/>
      <c r="W993" s="35"/>
      <c r="X993" s="35"/>
      <c r="Y993" s="35"/>
    </row>
    <row r="994" ht="14.25" customHeight="1">
      <c r="A994" s="136"/>
      <c r="B994" s="137"/>
      <c r="C994" s="251"/>
      <c r="D994" s="452"/>
      <c r="E994" s="136"/>
      <c r="F994" s="253"/>
      <c r="G994" s="527"/>
      <c r="H994" s="141"/>
      <c r="I994" s="141"/>
      <c r="J994" s="142"/>
      <c r="K994" s="142"/>
      <c r="L994" s="142"/>
      <c r="M994" s="142"/>
      <c r="N994" s="136"/>
      <c r="O994" s="34"/>
      <c r="P994" s="35"/>
      <c r="Q994" s="35"/>
      <c r="R994" s="35"/>
      <c r="S994" s="35"/>
      <c r="T994" s="35"/>
      <c r="U994" s="35"/>
      <c r="V994" s="35"/>
      <c r="W994" s="35"/>
      <c r="X994" s="35"/>
      <c r="Y994" s="35"/>
    </row>
    <row r="995" ht="14.25" customHeight="1">
      <c r="A995" s="136"/>
      <c r="B995" s="137"/>
      <c r="C995" s="251"/>
      <c r="D995" s="452"/>
      <c r="E995" s="136"/>
      <c r="F995" s="253"/>
      <c r="G995" s="527"/>
      <c r="H995" s="141"/>
      <c r="I995" s="141"/>
      <c r="J995" s="142"/>
      <c r="K995" s="142"/>
      <c r="L995" s="142"/>
      <c r="M995" s="142"/>
      <c r="N995" s="136"/>
      <c r="O995" s="34"/>
      <c r="P995" s="35"/>
      <c r="Q995" s="35"/>
      <c r="R995" s="35"/>
      <c r="S995" s="35"/>
      <c r="T995" s="35"/>
      <c r="U995" s="35"/>
      <c r="V995" s="35"/>
      <c r="W995" s="35"/>
      <c r="X995" s="35"/>
      <c r="Y995" s="35"/>
    </row>
    <row r="996" ht="14.25" customHeight="1">
      <c r="A996" s="136"/>
      <c r="B996" s="137"/>
      <c r="C996" s="251"/>
      <c r="D996" s="452"/>
      <c r="E996" s="136"/>
      <c r="F996" s="253"/>
      <c r="G996" s="527"/>
      <c r="H996" s="141"/>
      <c r="I996" s="141"/>
      <c r="J996" s="142"/>
      <c r="K996" s="142"/>
      <c r="L996" s="142"/>
      <c r="M996" s="142"/>
      <c r="N996" s="136"/>
      <c r="O996" s="34"/>
      <c r="P996" s="35"/>
      <c r="Q996" s="35"/>
      <c r="R996" s="35"/>
      <c r="S996" s="35"/>
      <c r="T996" s="35"/>
      <c r="U996" s="35"/>
      <c r="V996" s="35"/>
      <c r="W996" s="35"/>
      <c r="X996" s="35"/>
      <c r="Y996" s="35"/>
    </row>
    <row r="997" ht="14.25" customHeight="1">
      <c r="A997" s="136"/>
      <c r="B997" s="137"/>
      <c r="C997" s="251"/>
      <c r="D997" s="452"/>
      <c r="E997" s="136"/>
      <c r="F997" s="253"/>
      <c r="G997" s="527"/>
      <c r="H997" s="141"/>
      <c r="I997" s="141"/>
      <c r="J997" s="142"/>
      <c r="K997" s="142"/>
      <c r="L997" s="142"/>
      <c r="M997" s="142"/>
      <c r="N997" s="136"/>
      <c r="O997" s="34"/>
      <c r="P997" s="35"/>
      <c r="Q997" s="35"/>
      <c r="R997" s="35"/>
      <c r="S997" s="35"/>
      <c r="T997" s="35"/>
      <c r="U997" s="35"/>
      <c r="V997" s="35"/>
      <c r="W997" s="35"/>
      <c r="X997" s="35"/>
      <c r="Y997" s="35"/>
    </row>
    <row r="998" ht="14.25" customHeight="1">
      <c r="A998" s="136"/>
      <c r="B998" s="137"/>
      <c r="C998" s="251"/>
      <c r="D998" s="452"/>
      <c r="E998" s="136"/>
      <c r="F998" s="253"/>
      <c r="G998" s="527"/>
      <c r="H998" s="141"/>
      <c r="I998" s="141"/>
      <c r="J998" s="142"/>
      <c r="K998" s="142"/>
      <c r="L998" s="142"/>
      <c r="M998" s="142"/>
      <c r="N998" s="136"/>
      <c r="O998" s="34"/>
      <c r="P998" s="35"/>
      <c r="Q998" s="35"/>
      <c r="R998" s="35"/>
      <c r="S998" s="35"/>
      <c r="T998" s="35"/>
      <c r="U998" s="35"/>
      <c r="V998" s="35"/>
      <c r="W998" s="35"/>
      <c r="X998" s="35"/>
      <c r="Y998" s="35"/>
    </row>
    <row r="999" ht="14.25" customHeight="1">
      <c r="A999" s="136"/>
      <c r="B999" s="137"/>
      <c r="C999" s="251"/>
      <c r="D999" s="452"/>
      <c r="E999" s="136"/>
      <c r="F999" s="253"/>
      <c r="G999" s="527"/>
      <c r="H999" s="141"/>
      <c r="I999" s="141"/>
      <c r="J999" s="142"/>
      <c r="K999" s="142"/>
      <c r="L999" s="142"/>
      <c r="M999" s="142"/>
      <c r="N999" s="136"/>
      <c r="O999" s="34"/>
      <c r="P999" s="35"/>
      <c r="Q999" s="35"/>
      <c r="R999" s="35"/>
      <c r="S999" s="35"/>
      <c r="T999" s="35"/>
      <c r="U999" s="35"/>
      <c r="V999" s="35"/>
      <c r="W999" s="35"/>
      <c r="X999" s="35"/>
      <c r="Y999" s="35"/>
    </row>
    <row r="1000" ht="14.25" customHeight="1">
      <c r="A1000" s="136"/>
      <c r="B1000" s="137"/>
      <c r="C1000" s="251"/>
      <c r="D1000" s="452"/>
      <c r="E1000" s="136"/>
      <c r="F1000" s="253"/>
      <c r="G1000" s="527"/>
      <c r="H1000" s="141"/>
      <c r="I1000" s="141"/>
      <c r="J1000" s="142"/>
      <c r="K1000" s="142"/>
      <c r="L1000" s="142"/>
      <c r="M1000" s="142"/>
      <c r="N1000" s="136"/>
      <c r="O1000" s="34"/>
      <c r="P1000" s="35"/>
      <c r="Q1000" s="35"/>
      <c r="R1000" s="35"/>
      <c r="S1000" s="35"/>
      <c r="T1000" s="35"/>
      <c r="U1000" s="35"/>
      <c r="V1000" s="35"/>
      <c r="W1000" s="35"/>
      <c r="X1000" s="35"/>
      <c r="Y1000" s="35"/>
    </row>
  </sheetData>
  <mergeCells count="10">
    <mergeCell ref="H1:I1"/>
    <mergeCell ref="J1:K1"/>
    <mergeCell ref="L1:M1"/>
    <mergeCell ref="A1:A2"/>
    <mergeCell ref="B1:B2"/>
    <mergeCell ref="C1:C2"/>
    <mergeCell ref="D1:D2"/>
    <mergeCell ref="E1:E2"/>
    <mergeCell ref="F1:F2"/>
    <mergeCell ref="G1:G2"/>
  </mergeCells>
  <dataValidations>
    <dataValidation type="custom" allowBlank="1" showErrorMessage="1" sqref="C3:C5 C8:C48 C50:C70">
      <formula1>LTE(LEN(C3),(22))</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57"/>
    <col customWidth="1" min="2" max="2" width="31.86"/>
    <col customWidth="1" min="3" max="3" width="24.86"/>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5" width="9.86"/>
  </cols>
  <sheetData>
    <row r="1" ht="14.25" customHeight="1">
      <c r="A1" s="497" t="s">
        <v>1740</v>
      </c>
      <c r="B1" s="217" t="s">
        <v>555</v>
      </c>
      <c r="C1" s="2" t="s">
        <v>2</v>
      </c>
      <c r="D1" s="2" t="s">
        <v>3</v>
      </c>
      <c r="E1" s="2" t="s">
        <v>4</v>
      </c>
      <c r="F1" s="218" t="s">
        <v>3067</v>
      </c>
      <c r="G1" s="498" t="s">
        <v>7</v>
      </c>
      <c r="H1" s="5" t="s">
        <v>8</v>
      </c>
      <c r="I1" s="6"/>
      <c r="J1" s="7" t="s">
        <v>9</v>
      </c>
      <c r="K1" s="6"/>
      <c r="L1" s="8" t="s">
        <v>10</v>
      </c>
      <c r="M1" s="6"/>
      <c r="N1" s="219" t="s">
        <v>11</v>
      </c>
      <c r="O1" s="10"/>
      <c r="P1" s="11"/>
      <c r="Q1" s="11"/>
      <c r="R1" s="11"/>
      <c r="S1" s="11"/>
      <c r="T1" s="11"/>
      <c r="U1" s="11"/>
      <c r="V1" s="11"/>
      <c r="W1" s="11"/>
      <c r="X1" s="11"/>
      <c r="Y1" s="11"/>
    </row>
    <row r="2" ht="31.5" customHeight="1">
      <c r="A2" s="500"/>
      <c r="B2" s="12"/>
      <c r="C2" s="13"/>
      <c r="D2" s="13"/>
      <c r="E2" s="13"/>
      <c r="F2" s="13"/>
      <c r="G2" s="14"/>
      <c r="H2" s="15" t="s">
        <v>3244</v>
      </c>
      <c r="I2" s="16" t="s">
        <v>3245</v>
      </c>
      <c r="J2" s="17" t="s">
        <v>3246</v>
      </c>
      <c r="K2" s="18" t="s">
        <v>3247</v>
      </c>
      <c r="L2" s="19" t="s">
        <v>3248</v>
      </c>
      <c r="M2" s="20" t="s">
        <v>3249</v>
      </c>
      <c r="N2" s="220"/>
      <c r="O2" s="10"/>
      <c r="P2" s="11"/>
      <c r="Q2" s="11"/>
      <c r="R2" s="11"/>
      <c r="S2" s="11"/>
      <c r="T2" s="11"/>
      <c r="U2" s="11"/>
      <c r="V2" s="11"/>
      <c r="W2" s="11"/>
      <c r="X2" s="11"/>
      <c r="Y2" s="11"/>
    </row>
    <row r="3" ht="14.25" customHeight="1">
      <c r="A3" s="221"/>
      <c r="B3" s="538"/>
      <c r="C3" s="539"/>
      <c r="D3" s="504"/>
      <c r="E3" s="504"/>
      <c r="F3" s="225"/>
      <c r="G3" s="506"/>
      <c r="H3" s="29">
        <f t="shared" ref="H3:H329" si="1">F3*0.5+F3</f>
        <v>0</v>
      </c>
      <c r="I3" s="30">
        <f t="shared" ref="I3:I329" si="2">F3*0.3+F3</f>
        <v>0</v>
      </c>
      <c r="J3" s="31">
        <f t="shared" ref="J3:J329" si="3">F3*0.3+F3</f>
        <v>0</v>
      </c>
      <c r="K3" s="32">
        <f t="shared" ref="K3:K329" si="4">F3*0.2+F3</f>
        <v>0</v>
      </c>
      <c r="L3" s="31">
        <f t="shared" ref="L3:L329" si="5">F3*0.15+F3</f>
        <v>0</v>
      </c>
      <c r="M3" s="32">
        <f t="shared" ref="M3:M329" si="6">F3*0.1+F3</f>
        <v>0</v>
      </c>
      <c r="N3" s="40"/>
      <c r="O3" s="34"/>
      <c r="P3" s="35"/>
      <c r="Q3" s="35"/>
      <c r="R3" s="35"/>
      <c r="S3" s="35"/>
      <c r="T3" s="35"/>
      <c r="U3" s="35"/>
      <c r="V3" s="35"/>
      <c r="W3" s="35"/>
      <c r="X3" s="35"/>
      <c r="Y3" s="35"/>
    </row>
    <row r="4" ht="14.25" customHeight="1">
      <c r="A4" s="221"/>
      <c r="B4" s="536"/>
      <c r="C4" s="342"/>
      <c r="D4" s="508"/>
      <c r="E4" s="85"/>
      <c r="F4" s="225"/>
      <c r="G4" s="506"/>
      <c r="H4" s="36">
        <f t="shared" si="1"/>
        <v>0</v>
      </c>
      <c r="I4" s="37">
        <f t="shared" si="2"/>
        <v>0</v>
      </c>
      <c r="J4" s="38">
        <f t="shared" si="3"/>
        <v>0</v>
      </c>
      <c r="K4" s="39">
        <f t="shared" si="4"/>
        <v>0</v>
      </c>
      <c r="L4" s="38">
        <f t="shared" si="5"/>
        <v>0</v>
      </c>
      <c r="M4" s="39">
        <f t="shared" si="6"/>
        <v>0</v>
      </c>
      <c r="N4" s="40"/>
      <c r="O4" s="34"/>
      <c r="P4" s="35"/>
      <c r="Q4" s="35"/>
      <c r="R4" s="35"/>
      <c r="S4" s="35"/>
      <c r="T4" s="35"/>
      <c r="U4" s="35"/>
      <c r="V4" s="35"/>
      <c r="W4" s="35"/>
      <c r="X4" s="35"/>
      <c r="Y4" s="35"/>
    </row>
    <row r="5" ht="14.25" customHeight="1">
      <c r="A5" s="221"/>
      <c r="B5" s="536"/>
      <c r="C5" s="540"/>
      <c r="D5" s="223"/>
      <c r="E5" s="117"/>
      <c r="F5" s="225"/>
      <c r="G5" s="506"/>
      <c r="H5" s="36">
        <f t="shared" si="1"/>
        <v>0</v>
      </c>
      <c r="I5" s="37">
        <f t="shared" si="2"/>
        <v>0</v>
      </c>
      <c r="J5" s="38">
        <f t="shared" si="3"/>
        <v>0</v>
      </c>
      <c r="K5" s="39">
        <f t="shared" si="4"/>
        <v>0</v>
      </c>
      <c r="L5" s="38">
        <f t="shared" si="5"/>
        <v>0</v>
      </c>
      <c r="M5" s="39">
        <f t="shared" si="6"/>
        <v>0</v>
      </c>
      <c r="N5" s="40"/>
      <c r="O5" s="34"/>
      <c r="P5" s="35"/>
      <c r="Q5" s="35"/>
      <c r="R5" s="35"/>
      <c r="S5" s="35"/>
      <c r="T5" s="35"/>
      <c r="U5" s="35"/>
      <c r="V5" s="35"/>
      <c r="W5" s="35"/>
      <c r="X5" s="35"/>
      <c r="Y5" s="35"/>
    </row>
    <row r="6" ht="14.25" customHeight="1">
      <c r="A6" s="221"/>
      <c r="B6" s="536"/>
      <c r="C6" s="541"/>
      <c r="D6" s="223"/>
      <c r="E6" s="85"/>
      <c r="F6" s="225"/>
      <c r="G6" s="506"/>
      <c r="H6" s="36">
        <f t="shared" si="1"/>
        <v>0</v>
      </c>
      <c r="I6" s="37">
        <f t="shared" si="2"/>
        <v>0</v>
      </c>
      <c r="J6" s="38">
        <f t="shared" si="3"/>
        <v>0</v>
      </c>
      <c r="K6" s="39">
        <f t="shared" si="4"/>
        <v>0</v>
      </c>
      <c r="L6" s="38">
        <f t="shared" si="5"/>
        <v>0</v>
      </c>
      <c r="M6" s="39">
        <f t="shared" si="6"/>
        <v>0</v>
      </c>
      <c r="N6" s="40"/>
      <c r="O6" s="34"/>
      <c r="P6" s="35"/>
      <c r="Q6" s="35"/>
      <c r="R6" s="35"/>
      <c r="S6" s="35"/>
      <c r="T6" s="35"/>
      <c r="U6" s="35"/>
      <c r="V6" s="35"/>
      <c r="W6" s="35"/>
      <c r="X6" s="35"/>
      <c r="Y6" s="35"/>
    </row>
    <row r="7" ht="14.25" customHeight="1">
      <c r="A7" s="221"/>
      <c r="B7" s="536"/>
      <c r="C7" s="117"/>
      <c r="D7" s="212"/>
      <c r="E7" s="211"/>
      <c r="F7" s="214"/>
      <c r="G7" s="506"/>
      <c r="H7" s="36">
        <f t="shared" si="1"/>
        <v>0</v>
      </c>
      <c r="I7" s="37">
        <f t="shared" si="2"/>
        <v>0</v>
      </c>
      <c r="J7" s="38">
        <f t="shared" si="3"/>
        <v>0</v>
      </c>
      <c r="K7" s="39">
        <f t="shared" si="4"/>
        <v>0</v>
      </c>
      <c r="L7" s="38">
        <f t="shared" si="5"/>
        <v>0</v>
      </c>
      <c r="M7" s="39">
        <f t="shared" si="6"/>
        <v>0</v>
      </c>
      <c r="N7" s="40"/>
      <c r="O7" s="34"/>
      <c r="P7" s="35"/>
      <c r="Q7" s="35"/>
      <c r="R7" s="35"/>
      <c r="S7" s="35"/>
      <c r="T7" s="35"/>
      <c r="U7" s="35"/>
      <c r="V7" s="35"/>
      <c r="W7" s="35"/>
      <c r="X7" s="35"/>
      <c r="Y7" s="35"/>
    </row>
    <row r="8" ht="14.25" customHeight="1">
      <c r="A8" s="221"/>
      <c r="B8" s="536"/>
      <c r="C8" s="542"/>
      <c r="D8" s="543"/>
      <c r="E8" s="211"/>
      <c r="F8" s="214"/>
      <c r="G8" s="523"/>
      <c r="H8" s="36">
        <f t="shared" si="1"/>
        <v>0</v>
      </c>
      <c r="I8" s="37">
        <f t="shared" si="2"/>
        <v>0</v>
      </c>
      <c r="J8" s="38">
        <f t="shared" si="3"/>
        <v>0</v>
      </c>
      <c r="K8" s="39">
        <f t="shared" si="4"/>
        <v>0</v>
      </c>
      <c r="L8" s="38">
        <f t="shared" si="5"/>
        <v>0</v>
      </c>
      <c r="M8" s="39">
        <f t="shared" si="6"/>
        <v>0</v>
      </c>
      <c r="N8" s="40"/>
      <c r="O8" s="34"/>
      <c r="P8" s="35"/>
      <c r="Q8" s="35"/>
      <c r="R8" s="35"/>
      <c r="S8" s="35"/>
      <c r="T8" s="35"/>
      <c r="U8" s="35"/>
      <c r="V8" s="35"/>
      <c r="W8" s="35"/>
      <c r="X8" s="35"/>
      <c r="Y8" s="35"/>
    </row>
    <row r="9" ht="14.25" customHeight="1">
      <c r="A9" s="221"/>
      <c r="B9" s="536"/>
      <c r="C9" s="542"/>
      <c r="D9" s="543"/>
      <c r="E9" s="211"/>
      <c r="F9" s="214"/>
      <c r="G9" s="506"/>
      <c r="H9" s="36">
        <f t="shared" si="1"/>
        <v>0</v>
      </c>
      <c r="I9" s="37">
        <f t="shared" si="2"/>
        <v>0</v>
      </c>
      <c r="J9" s="38">
        <f t="shared" si="3"/>
        <v>0</v>
      </c>
      <c r="K9" s="39">
        <f t="shared" si="4"/>
        <v>0</v>
      </c>
      <c r="L9" s="38">
        <f t="shared" si="5"/>
        <v>0</v>
      </c>
      <c r="M9" s="39">
        <f t="shared" si="6"/>
        <v>0</v>
      </c>
      <c r="N9" s="40"/>
      <c r="O9" s="34"/>
      <c r="P9" s="35"/>
      <c r="Q9" s="35"/>
      <c r="R9" s="35"/>
      <c r="S9" s="35"/>
      <c r="T9" s="35"/>
      <c r="U9" s="35"/>
      <c r="V9" s="35"/>
      <c r="W9" s="35"/>
      <c r="X9" s="35"/>
      <c r="Y9" s="35"/>
    </row>
    <row r="10" ht="14.25" customHeight="1">
      <c r="A10" s="221"/>
      <c r="B10" s="536"/>
      <c r="C10" s="211"/>
      <c r="D10" s="530"/>
      <c r="E10" s="211"/>
      <c r="F10" s="214"/>
      <c r="G10" s="523"/>
      <c r="H10" s="36">
        <f t="shared" si="1"/>
        <v>0</v>
      </c>
      <c r="I10" s="37">
        <f t="shared" si="2"/>
        <v>0</v>
      </c>
      <c r="J10" s="38">
        <f t="shared" si="3"/>
        <v>0</v>
      </c>
      <c r="K10" s="39">
        <f t="shared" si="4"/>
        <v>0</v>
      </c>
      <c r="L10" s="38">
        <f t="shared" si="5"/>
        <v>0</v>
      </c>
      <c r="M10" s="39">
        <f t="shared" si="6"/>
        <v>0</v>
      </c>
      <c r="N10" s="40"/>
      <c r="O10" s="34"/>
      <c r="P10" s="35"/>
      <c r="Q10" s="35"/>
      <c r="R10" s="35"/>
      <c r="S10" s="35"/>
      <c r="T10" s="35"/>
      <c r="U10" s="35"/>
      <c r="V10" s="35"/>
      <c r="W10" s="35"/>
      <c r="X10" s="35"/>
      <c r="Y10" s="35"/>
    </row>
    <row r="11" ht="14.25" customHeight="1">
      <c r="A11" s="221"/>
      <c r="B11" s="536"/>
      <c r="C11" s="211"/>
      <c r="D11" s="212"/>
      <c r="E11" s="211"/>
      <c r="F11" s="214"/>
      <c r="G11" s="506"/>
      <c r="H11" s="36">
        <f t="shared" si="1"/>
        <v>0</v>
      </c>
      <c r="I11" s="37">
        <f t="shared" si="2"/>
        <v>0</v>
      </c>
      <c r="J11" s="38">
        <f t="shared" si="3"/>
        <v>0</v>
      </c>
      <c r="K11" s="39">
        <f t="shared" si="4"/>
        <v>0</v>
      </c>
      <c r="L11" s="38">
        <f t="shared" si="5"/>
        <v>0</v>
      </c>
      <c r="M11" s="39">
        <f t="shared" si="6"/>
        <v>0</v>
      </c>
      <c r="N11" s="40"/>
      <c r="O11" s="34"/>
      <c r="P11" s="35"/>
      <c r="Q11" s="35"/>
      <c r="R11" s="35"/>
      <c r="S11" s="35"/>
      <c r="T11" s="35"/>
      <c r="U11" s="35"/>
      <c r="V11" s="35"/>
      <c r="W11" s="35"/>
      <c r="X11" s="35"/>
      <c r="Y11" s="35"/>
    </row>
    <row r="12" ht="14.25" customHeight="1">
      <c r="A12" s="221"/>
      <c r="B12" s="536"/>
      <c r="C12" s="542"/>
      <c r="D12" s="544"/>
      <c r="E12" s="213"/>
      <c r="F12" s="214"/>
      <c r="G12" s="523"/>
      <c r="H12" s="36">
        <f t="shared" si="1"/>
        <v>0</v>
      </c>
      <c r="I12" s="37">
        <f t="shared" si="2"/>
        <v>0</v>
      </c>
      <c r="J12" s="38">
        <f t="shared" si="3"/>
        <v>0</v>
      </c>
      <c r="K12" s="39">
        <f t="shared" si="4"/>
        <v>0</v>
      </c>
      <c r="L12" s="38">
        <f t="shared" si="5"/>
        <v>0</v>
      </c>
      <c r="M12" s="39">
        <f t="shared" si="6"/>
        <v>0</v>
      </c>
      <c r="N12" s="40"/>
      <c r="O12" s="34"/>
      <c r="P12" s="35"/>
      <c r="Q12" s="35"/>
      <c r="R12" s="35"/>
      <c r="S12" s="35"/>
      <c r="T12" s="35"/>
      <c r="U12" s="35"/>
      <c r="V12" s="35"/>
      <c r="W12" s="35"/>
      <c r="X12" s="35"/>
      <c r="Y12" s="35"/>
    </row>
    <row r="13" ht="14.25" customHeight="1">
      <c r="A13" s="221"/>
      <c r="B13" s="536"/>
      <c r="C13" s="211"/>
      <c r="D13" s="532"/>
      <c r="E13" s="213"/>
      <c r="F13" s="214"/>
      <c r="G13" s="506"/>
      <c r="H13" s="36">
        <f t="shared" si="1"/>
        <v>0</v>
      </c>
      <c r="I13" s="37">
        <f t="shared" si="2"/>
        <v>0</v>
      </c>
      <c r="J13" s="38">
        <f t="shared" si="3"/>
        <v>0</v>
      </c>
      <c r="K13" s="39">
        <f t="shared" si="4"/>
        <v>0</v>
      </c>
      <c r="L13" s="38">
        <f t="shared" si="5"/>
        <v>0</v>
      </c>
      <c r="M13" s="39">
        <f t="shared" si="6"/>
        <v>0</v>
      </c>
      <c r="N13" s="40"/>
      <c r="O13" s="34"/>
      <c r="P13" s="35"/>
      <c r="Q13" s="35"/>
      <c r="R13" s="35"/>
      <c r="S13" s="35"/>
      <c r="T13" s="35"/>
      <c r="U13" s="35"/>
      <c r="V13" s="35"/>
      <c r="W13" s="35"/>
      <c r="X13" s="35"/>
      <c r="Y13" s="35"/>
    </row>
    <row r="14" ht="14.25" customHeight="1">
      <c r="A14" s="221"/>
      <c r="B14" s="536"/>
      <c r="C14" s="211"/>
      <c r="D14" s="212"/>
      <c r="E14" s="213"/>
      <c r="F14" s="214"/>
      <c r="G14" s="523"/>
      <c r="H14" s="36">
        <f t="shared" si="1"/>
        <v>0</v>
      </c>
      <c r="I14" s="37">
        <f t="shared" si="2"/>
        <v>0</v>
      </c>
      <c r="J14" s="38">
        <f t="shared" si="3"/>
        <v>0</v>
      </c>
      <c r="K14" s="39">
        <f t="shared" si="4"/>
        <v>0</v>
      </c>
      <c r="L14" s="38">
        <f t="shared" si="5"/>
        <v>0</v>
      </c>
      <c r="M14" s="39">
        <f t="shared" si="6"/>
        <v>0</v>
      </c>
      <c r="N14" s="40"/>
      <c r="O14" s="34"/>
      <c r="P14" s="35"/>
      <c r="Q14" s="35"/>
      <c r="R14" s="35"/>
      <c r="S14" s="35"/>
      <c r="T14" s="35"/>
      <c r="U14" s="35"/>
      <c r="V14" s="35"/>
      <c r="W14" s="35"/>
      <c r="X14" s="35"/>
      <c r="Y14" s="35"/>
    </row>
    <row r="15" ht="14.25" customHeight="1">
      <c r="A15" s="221"/>
      <c r="B15" s="536"/>
      <c r="C15" s="211"/>
      <c r="D15" s="212"/>
      <c r="E15" s="213"/>
      <c r="F15" s="214"/>
      <c r="G15" s="506"/>
      <c r="H15" s="36">
        <f t="shared" si="1"/>
        <v>0</v>
      </c>
      <c r="I15" s="37">
        <f t="shared" si="2"/>
        <v>0</v>
      </c>
      <c r="J15" s="38">
        <f t="shared" si="3"/>
        <v>0</v>
      </c>
      <c r="K15" s="39">
        <f t="shared" si="4"/>
        <v>0</v>
      </c>
      <c r="L15" s="38">
        <f t="shared" si="5"/>
        <v>0</v>
      </c>
      <c r="M15" s="39">
        <f t="shared" si="6"/>
        <v>0</v>
      </c>
      <c r="N15" s="40"/>
      <c r="O15" s="34"/>
      <c r="P15" s="35"/>
      <c r="Q15" s="35"/>
      <c r="R15" s="35"/>
      <c r="S15" s="35"/>
      <c r="T15" s="35"/>
      <c r="U15" s="35"/>
      <c r="V15" s="35"/>
      <c r="W15" s="35"/>
      <c r="X15" s="35"/>
      <c r="Y15" s="35"/>
    </row>
    <row r="16" ht="14.25" customHeight="1">
      <c r="A16" s="221"/>
      <c r="B16" s="536"/>
      <c r="C16" s="211"/>
      <c r="D16" s="212"/>
      <c r="E16" s="213"/>
      <c r="F16" s="214"/>
      <c r="G16" s="523"/>
      <c r="H16" s="36">
        <f t="shared" si="1"/>
        <v>0</v>
      </c>
      <c r="I16" s="37">
        <f t="shared" si="2"/>
        <v>0</v>
      </c>
      <c r="J16" s="38">
        <f t="shared" si="3"/>
        <v>0</v>
      </c>
      <c r="K16" s="39">
        <f t="shared" si="4"/>
        <v>0</v>
      </c>
      <c r="L16" s="38">
        <f t="shared" si="5"/>
        <v>0</v>
      </c>
      <c r="M16" s="39">
        <f t="shared" si="6"/>
        <v>0</v>
      </c>
      <c r="N16" s="40"/>
      <c r="O16" s="34"/>
      <c r="P16" s="35"/>
      <c r="Q16" s="35"/>
      <c r="R16" s="35"/>
      <c r="S16" s="35"/>
      <c r="T16" s="35"/>
      <c r="U16" s="35"/>
      <c r="V16" s="35"/>
      <c r="W16" s="35"/>
      <c r="X16" s="35"/>
      <c r="Y16" s="35"/>
    </row>
    <row r="17" ht="14.25" customHeight="1">
      <c r="A17" s="221"/>
      <c r="B17" s="536"/>
      <c r="C17" s="211"/>
      <c r="D17" s="212"/>
      <c r="E17" s="213"/>
      <c r="F17" s="214"/>
      <c r="G17" s="506"/>
      <c r="H17" s="36">
        <f t="shared" si="1"/>
        <v>0</v>
      </c>
      <c r="I17" s="37">
        <f t="shared" si="2"/>
        <v>0</v>
      </c>
      <c r="J17" s="38">
        <f t="shared" si="3"/>
        <v>0</v>
      </c>
      <c r="K17" s="39">
        <f t="shared" si="4"/>
        <v>0</v>
      </c>
      <c r="L17" s="38">
        <f t="shared" si="5"/>
        <v>0</v>
      </c>
      <c r="M17" s="39">
        <f t="shared" si="6"/>
        <v>0</v>
      </c>
      <c r="N17" s="40"/>
      <c r="O17" s="34"/>
      <c r="P17" s="35"/>
      <c r="Q17" s="35"/>
      <c r="R17" s="35"/>
      <c r="S17" s="35"/>
      <c r="T17" s="35"/>
      <c r="U17" s="35"/>
      <c r="V17" s="35"/>
      <c r="W17" s="35"/>
      <c r="X17" s="35"/>
      <c r="Y17" s="35"/>
    </row>
    <row r="18" ht="14.25" customHeight="1">
      <c r="A18" s="221"/>
      <c r="B18" s="536"/>
      <c r="C18" s="211"/>
      <c r="D18" s="212"/>
      <c r="E18" s="213"/>
      <c r="F18" s="214"/>
      <c r="G18" s="523"/>
      <c r="H18" s="36">
        <f t="shared" si="1"/>
        <v>0</v>
      </c>
      <c r="I18" s="37">
        <f t="shared" si="2"/>
        <v>0</v>
      </c>
      <c r="J18" s="38">
        <f t="shared" si="3"/>
        <v>0</v>
      </c>
      <c r="K18" s="39">
        <f t="shared" si="4"/>
        <v>0</v>
      </c>
      <c r="L18" s="38">
        <f t="shared" si="5"/>
        <v>0</v>
      </c>
      <c r="M18" s="39">
        <f t="shared" si="6"/>
        <v>0</v>
      </c>
      <c r="N18" s="40"/>
      <c r="O18" s="34"/>
      <c r="P18" s="35"/>
      <c r="Q18" s="35"/>
      <c r="R18" s="35"/>
      <c r="S18" s="35"/>
      <c r="T18" s="35"/>
      <c r="U18" s="35"/>
      <c r="V18" s="35"/>
      <c r="W18" s="35"/>
      <c r="X18" s="35"/>
      <c r="Y18" s="35"/>
    </row>
    <row r="19" ht="14.25" customHeight="1">
      <c r="A19" s="221"/>
      <c r="B19" s="536"/>
      <c r="C19" s="211"/>
      <c r="D19" s="212"/>
      <c r="E19" s="213"/>
      <c r="F19" s="214"/>
      <c r="G19" s="506"/>
      <c r="H19" s="36">
        <f t="shared" si="1"/>
        <v>0</v>
      </c>
      <c r="I19" s="37">
        <f t="shared" si="2"/>
        <v>0</v>
      </c>
      <c r="J19" s="38">
        <f t="shared" si="3"/>
        <v>0</v>
      </c>
      <c r="K19" s="39">
        <f t="shared" si="4"/>
        <v>0</v>
      </c>
      <c r="L19" s="38">
        <f t="shared" si="5"/>
        <v>0</v>
      </c>
      <c r="M19" s="39">
        <f t="shared" si="6"/>
        <v>0</v>
      </c>
      <c r="N19" s="40"/>
      <c r="O19" s="34"/>
      <c r="P19" s="35"/>
      <c r="Q19" s="35"/>
      <c r="R19" s="35"/>
      <c r="S19" s="35"/>
      <c r="T19" s="35"/>
      <c r="U19" s="35"/>
      <c r="V19" s="35"/>
      <c r="W19" s="35"/>
      <c r="X19" s="35"/>
      <c r="Y19" s="35"/>
    </row>
    <row r="20" ht="14.25" customHeight="1">
      <c r="A20" s="221"/>
      <c r="B20" s="536"/>
      <c r="C20" s="211"/>
      <c r="D20" s="212"/>
      <c r="E20" s="213"/>
      <c r="F20" s="214"/>
      <c r="G20" s="523"/>
      <c r="H20" s="36">
        <f t="shared" si="1"/>
        <v>0</v>
      </c>
      <c r="I20" s="37">
        <f t="shared" si="2"/>
        <v>0</v>
      </c>
      <c r="J20" s="38">
        <f t="shared" si="3"/>
        <v>0</v>
      </c>
      <c r="K20" s="39">
        <f t="shared" si="4"/>
        <v>0</v>
      </c>
      <c r="L20" s="38">
        <f t="shared" si="5"/>
        <v>0</v>
      </c>
      <c r="M20" s="39">
        <f t="shared" si="6"/>
        <v>0</v>
      </c>
      <c r="N20" s="40"/>
      <c r="O20" s="34"/>
      <c r="P20" s="35"/>
      <c r="Q20" s="35"/>
      <c r="R20" s="35"/>
      <c r="S20" s="35"/>
      <c r="T20" s="35"/>
      <c r="U20" s="35"/>
      <c r="V20" s="35"/>
      <c r="W20" s="35"/>
      <c r="X20" s="35"/>
      <c r="Y20" s="35"/>
    </row>
    <row r="21" ht="14.25" customHeight="1">
      <c r="A21" s="221"/>
      <c r="B21" s="536"/>
      <c r="C21" s="211"/>
      <c r="D21" s="212"/>
      <c r="E21" s="213"/>
      <c r="F21" s="214"/>
      <c r="G21" s="506"/>
      <c r="H21" s="36">
        <f t="shared" si="1"/>
        <v>0</v>
      </c>
      <c r="I21" s="37">
        <f t="shared" si="2"/>
        <v>0</v>
      </c>
      <c r="J21" s="38">
        <f t="shared" si="3"/>
        <v>0</v>
      </c>
      <c r="K21" s="39">
        <f t="shared" si="4"/>
        <v>0</v>
      </c>
      <c r="L21" s="38">
        <f t="shared" si="5"/>
        <v>0</v>
      </c>
      <c r="M21" s="39">
        <f t="shared" si="6"/>
        <v>0</v>
      </c>
      <c r="N21" s="40"/>
      <c r="O21" s="34"/>
      <c r="P21" s="35"/>
      <c r="Q21" s="35"/>
      <c r="R21" s="35"/>
      <c r="S21" s="35"/>
      <c r="T21" s="35"/>
      <c r="U21" s="35"/>
      <c r="V21" s="35"/>
      <c r="W21" s="35"/>
      <c r="X21" s="35"/>
      <c r="Y21" s="35"/>
    </row>
    <row r="22" ht="14.25" customHeight="1">
      <c r="A22" s="221"/>
      <c r="B22" s="536"/>
      <c r="C22" s="211"/>
      <c r="D22" s="212"/>
      <c r="E22" s="213"/>
      <c r="F22" s="214"/>
      <c r="G22" s="523"/>
      <c r="H22" s="36">
        <f t="shared" si="1"/>
        <v>0</v>
      </c>
      <c r="I22" s="37">
        <f t="shared" si="2"/>
        <v>0</v>
      </c>
      <c r="J22" s="38">
        <f t="shared" si="3"/>
        <v>0</v>
      </c>
      <c r="K22" s="39">
        <f t="shared" si="4"/>
        <v>0</v>
      </c>
      <c r="L22" s="38">
        <f t="shared" si="5"/>
        <v>0</v>
      </c>
      <c r="M22" s="39">
        <f t="shared" si="6"/>
        <v>0</v>
      </c>
      <c r="N22" s="40"/>
      <c r="O22" s="34"/>
      <c r="P22" s="35"/>
      <c r="Q22" s="35"/>
      <c r="R22" s="35"/>
      <c r="S22" s="35"/>
      <c r="T22" s="35"/>
      <c r="U22" s="35"/>
      <c r="V22" s="35"/>
      <c r="W22" s="35"/>
      <c r="X22" s="35"/>
      <c r="Y22" s="35"/>
    </row>
    <row r="23" ht="14.25" customHeight="1">
      <c r="A23" s="221"/>
      <c r="B23" s="536"/>
      <c r="C23" s="211"/>
      <c r="D23" s="212"/>
      <c r="E23" s="213"/>
      <c r="F23" s="214"/>
      <c r="G23" s="506"/>
      <c r="H23" s="36">
        <f t="shared" si="1"/>
        <v>0</v>
      </c>
      <c r="I23" s="37">
        <f t="shared" si="2"/>
        <v>0</v>
      </c>
      <c r="J23" s="38">
        <f t="shared" si="3"/>
        <v>0</v>
      </c>
      <c r="K23" s="39">
        <f t="shared" si="4"/>
        <v>0</v>
      </c>
      <c r="L23" s="38">
        <f t="shared" si="5"/>
        <v>0</v>
      </c>
      <c r="M23" s="39">
        <f t="shared" si="6"/>
        <v>0</v>
      </c>
      <c r="N23" s="40"/>
      <c r="O23" s="34"/>
      <c r="P23" s="35"/>
      <c r="Q23" s="35"/>
      <c r="R23" s="35"/>
      <c r="S23" s="35"/>
      <c r="T23" s="35"/>
      <c r="U23" s="35"/>
      <c r="V23" s="35"/>
      <c r="W23" s="35"/>
      <c r="X23" s="35"/>
      <c r="Y23" s="35"/>
    </row>
    <row r="24" ht="14.25" customHeight="1">
      <c r="A24" s="221"/>
      <c r="B24" s="536"/>
      <c r="C24" s="211"/>
      <c r="D24" s="212"/>
      <c r="E24" s="213"/>
      <c r="F24" s="214"/>
      <c r="G24" s="523"/>
      <c r="H24" s="36">
        <f t="shared" si="1"/>
        <v>0</v>
      </c>
      <c r="I24" s="37">
        <f t="shared" si="2"/>
        <v>0</v>
      </c>
      <c r="J24" s="38">
        <f t="shared" si="3"/>
        <v>0</v>
      </c>
      <c r="K24" s="39">
        <f t="shared" si="4"/>
        <v>0</v>
      </c>
      <c r="L24" s="38">
        <f t="shared" si="5"/>
        <v>0</v>
      </c>
      <c r="M24" s="39">
        <f t="shared" si="6"/>
        <v>0</v>
      </c>
      <c r="N24" s="40"/>
      <c r="O24" s="34"/>
      <c r="P24" s="35"/>
      <c r="Q24" s="35"/>
      <c r="R24" s="35"/>
      <c r="S24" s="35"/>
      <c r="T24" s="35"/>
      <c r="U24" s="35"/>
      <c r="V24" s="35"/>
      <c r="W24" s="35"/>
      <c r="X24" s="35"/>
      <c r="Y24" s="35"/>
    </row>
    <row r="25" ht="14.25" customHeight="1">
      <c r="A25" s="221"/>
      <c r="B25" s="536"/>
      <c r="C25" s="211"/>
      <c r="D25" s="212"/>
      <c r="E25" s="213"/>
      <c r="F25" s="214"/>
      <c r="G25" s="506"/>
      <c r="H25" s="36">
        <f t="shared" si="1"/>
        <v>0</v>
      </c>
      <c r="I25" s="37">
        <f t="shared" si="2"/>
        <v>0</v>
      </c>
      <c r="J25" s="38">
        <f t="shared" si="3"/>
        <v>0</v>
      </c>
      <c r="K25" s="39">
        <f t="shared" si="4"/>
        <v>0</v>
      </c>
      <c r="L25" s="38">
        <f t="shared" si="5"/>
        <v>0</v>
      </c>
      <c r="M25" s="39">
        <f t="shared" si="6"/>
        <v>0</v>
      </c>
      <c r="N25" s="40"/>
      <c r="O25" s="34"/>
      <c r="P25" s="35"/>
      <c r="Q25" s="35"/>
      <c r="R25" s="35"/>
      <c r="S25" s="35"/>
      <c r="T25" s="35"/>
      <c r="U25" s="35"/>
      <c r="V25" s="35"/>
      <c r="W25" s="35"/>
      <c r="X25" s="35"/>
      <c r="Y25" s="35"/>
    </row>
    <row r="26" ht="14.25" customHeight="1">
      <c r="A26" s="221"/>
      <c r="B26" s="536"/>
      <c r="C26" s="211"/>
      <c r="D26" s="212"/>
      <c r="E26" s="213"/>
      <c r="F26" s="214"/>
      <c r="G26" s="523"/>
      <c r="H26" s="36">
        <f t="shared" si="1"/>
        <v>0</v>
      </c>
      <c r="I26" s="37">
        <f t="shared" si="2"/>
        <v>0</v>
      </c>
      <c r="J26" s="38">
        <f t="shared" si="3"/>
        <v>0</v>
      </c>
      <c r="K26" s="39">
        <f t="shared" si="4"/>
        <v>0</v>
      </c>
      <c r="L26" s="38">
        <f t="shared" si="5"/>
        <v>0</v>
      </c>
      <c r="M26" s="39">
        <f t="shared" si="6"/>
        <v>0</v>
      </c>
      <c r="N26" s="40"/>
      <c r="O26" s="34"/>
      <c r="P26" s="35"/>
      <c r="Q26" s="35"/>
      <c r="R26" s="35"/>
      <c r="S26" s="35"/>
      <c r="T26" s="35"/>
      <c r="U26" s="35"/>
      <c r="V26" s="35"/>
      <c r="W26" s="35"/>
      <c r="X26" s="35"/>
      <c r="Y26" s="35"/>
    </row>
    <row r="27" ht="14.25" customHeight="1">
      <c r="A27" s="221"/>
      <c r="B27" s="537"/>
      <c r="C27" s="211"/>
      <c r="D27" s="212"/>
      <c r="E27" s="213"/>
      <c r="F27" s="214"/>
      <c r="G27" s="506"/>
      <c r="H27" s="36">
        <f t="shared" si="1"/>
        <v>0</v>
      </c>
      <c r="I27" s="37">
        <f t="shared" si="2"/>
        <v>0</v>
      </c>
      <c r="J27" s="38">
        <f t="shared" si="3"/>
        <v>0</v>
      </c>
      <c r="K27" s="39">
        <f t="shared" si="4"/>
        <v>0</v>
      </c>
      <c r="L27" s="38">
        <f t="shared" si="5"/>
        <v>0</v>
      </c>
      <c r="M27" s="39">
        <f t="shared" si="6"/>
        <v>0</v>
      </c>
      <c r="N27" s="40"/>
      <c r="O27" s="34"/>
      <c r="P27" s="35"/>
      <c r="Q27" s="35"/>
      <c r="R27" s="35"/>
      <c r="S27" s="35"/>
      <c r="T27" s="35"/>
      <c r="U27" s="35"/>
      <c r="V27" s="35"/>
      <c r="W27" s="35"/>
      <c r="X27" s="35"/>
      <c r="Y27" s="35"/>
    </row>
    <row r="28" ht="14.25" customHeight="1">
      <c r="A28" s="221"/>
      <c r="B28" s="536"/>
      <c r="C28" s="211"/>
      <c r="D28" s="212"/>
      <c r="E28" s="213"/>
      <c r="F28" s="214"/>
      <c r="G28" s="523"/>
      <c r="H28" s="36">
        <f t="shared" si="1"/>
        <v>0</v>
      </c>
      <c r="I28" s="37">
        <f t="shared" si="2"/>
        <v>0</v>
      </c>
      <c r="J28" s="38">
        <f t="shared" si="3"/>
        <v>0</v>
      </c>
      <c r="K28" s="39">
        <f t="shared" si="4"/>
        <v>0</v>
      </c>
      <c r="L28" s="38">
        <f t="shared" si="5"/>
        <v>0</v>
      </c>
      <c r="M28" s="39">
        <f t="shared" si="6"/>
        <v>0</v>
      </c>
      <c r="N28" s="40"/>
      <c r="O28" s="34"/>
      <c r="P28" s="35"/>
      <c r="Q28" s="35"/>
      <c r="R28" s="35"/>
      <c r="S28" s="35"/>
      <c r="T28" s="35"/>
      <c r="U28" s="35"/>
      <c r="V28" s="35"/>
      <c r="W28" s="35"/>
      <c r="X28" s="35"/>
      <c r="Y28" s="35"/>
    </row>
    <row r="29" ht="14.25" customHeight="1">
      <c r="A29" s="221"/>
      <c r="B29" s="536"/>
      <c r="C29" s="211"/>
      <c r="D29" s="212"/>
      <c r="E29" s="213"/>
      <c r="F29" s="214"/>
      <c r="G29" s="506"/>
      <c r="H29" s="36">
        <f t="shared" si="1"/>
        <v>0</v>
      </c>
      <c r="I29" s="37">
        <f t="shared" si="2"/>
        <v>0</v>
      </c>
      <c r="J29" s="38">
        <f t="shared" si="3"/>
        <v>0</v>
      </c>
      <c r="K29" s="39">
        <f t="shared" si="4"/>
        <v>0</v>
      </c>
      <c r="L29" s="38">
        <f t="shared" si="5"/>
        <v>0</v>
      </c>
      <c r="M29" s="39">
        <f t="shared" si="6"/>
        <v>0</v>
      </c>
      <c r="N29" s="40"/>
      <c r="O29" s="34"/>
      <c r="P29" s="35"/>
      <c r="Q29" s="35"/>
      <c r="R29" s="35"/>
      <c r="S29" s="35"/>
      <c r="T29" s="35"/>
      <c r="U29" s="35"/>
      <c r="V29" s="35"/>
      <c r="W29" s="35"/>
      <c r="X29" s="35"/>
      <c r="Y29" s="35"/>
    </row>
    <row r="30" ht="19.5" customHeight="1">
      <c r="A30" s="221"/>
      <c r="B30" s="536"/>
      <c r="C30" s="211"/>
      <c r="D30" s="212"/>
      <c r="E30" s="213"/>
      <c r="F30" s="214"/>
      <c r="G30" s="523"/>
      <c r="H30" s="36">
        <f t="shared" si="1"/>
        <v>0</v>
      </c>
      <c r="I30" s="37">
        <f t="shared" si="2"/>
        <v>0</v>
      </c>
      <c r="J30" s="38">
        <f t="shared" si="3"/>
        <v>0</v>
      </c>
      <c r="K30" s="39">
        <f t="shared" si="4"/>
        <v>0</v>
      </c>
      <c r="L30" s="38">
        <f t="shared" si="5"/>
        <v>0</v>
      </c>
      <c r="M30" s="39">
        <f t="shared" si="6"/>
        <v>0</v>
      </c>
      <c r="N30" s="40"/>
      <c r="O30" s="34"/>
      <c r="P30" s="35"/>
      <c r="Q30" s="35"/>
      <c r="R30" s="35"/>
      <c r="S30" s="35"/>
      <c r="T30" s="35"/>
      <c r="U30" s="35"/>
      <c r="V30" s="35"/>
      <c r="W30" s="35"/>
      <c r="X30" s="35"/>
      <c r="Y30" s="35"/>
    </row>
    <row r="31" ht="14.25" customHeight="1">
      <c r="A31" s="221"/>
      <c r="B31" s="536"/>
      <c r="C31" s="211"/>
      <c r="D31" s="212"/>
      <c r="E31" s="213"/>
      <c r="F31" s="214"/>
      <c r="G31" s="506"/>
      <c r="H31" s="36">
        <f t="shared" si="1"/>
        <v>0</v>
      </c>
      <c r="I31" s="37">
        <f t="shared" si="2"/>
        <v>0</v>
      </c>
      <c r="J31" s="38">
        <f t="shared" si="3"/>
        <v>0</v>
      </c>
      <c r="K31" s="39">
        <f t="shared" si="4"/>
        <v>0</v>
      </c>
      <c r="L31" s="38">
        <f t="shared" si="5"/>
        <v>0</v>
      </c>
      <c r="M31" s="39">
        <f t="shared" si="6"/>
        <v>0</v>
      </c>
      <c r="N31" s="40"/>
      <c r="O31" s="34"/>
      <c r="P31" s="35"/>
      <c r="Q31" s="35"/>
      <c r="R31" s="35"/>
      <c r="S31" s="35"/>
      <c r="T31" s="35"/>
      <c r="U31" s="35"/>
      <c r="V31" s="35"/>
      <c r="W31" s="35"/>
      <c r="X31" s="35"/>
      <c r="Y31" s="35"/>
    </row>
    <row r="32" ht="14.25" customHeight="1">
      <c r="A32" s="221"/>
      <c r="B32" s="536"/>
      <c r="C32" s="211"/>
      <c r="D32" s="212"/>
      <c r="E32" s="213"/>
      <c r="F32" s="214"/>
      <c r="G32" s="523"/>
      <c r="H32" s="36">
        <f t="shared" si="1"/>
        <v>0</v>
      </c>
      <c r="I32" s="37">
        <f t="shared" si="2"/>
        <v>0</v>
      </c>
      <c r="J32" s="38">
        <f t="shared" si="3"/>
        <v>0</v>
      </c>
      <c r="K32" s="39">
        <f t="shared" si="4"/>
        <v>0</v>
      </c>
      <c r="L32" s="38">
        <f t="shared" si="5"/>
        <v>0</v>
      </c>
      <c r="M32" s="39">
        <f t="shared" si="6"/>
        <v>0</v>
      </c>
      <c r="N32" s="40"/>
      <c r="O32" s="34"/>
      <c r="P32" s="35"/>
      <c r="Q32" s="35"/>
      <c r="R32" s="35"/>
      <c r="S32" s="35"/>
      <c r="T32" s="35"/>
      <c r="U32" s="35"/>
      <c r="V32" s="35"/>
      <c r="W32" s="35"/>
      <c r="X32" s="35"/>
      <c r="Y32" s="35"/>
    </row>
    <row r="33" ht="14.25" customHeight="1">
      <c r="A33" s="221"/>
      <c r="B33" s="536"/>
      <c r="C33" s="211"/>
      <c r="D33" s="212"/>
      <c r="E33" s="213"/>
      <c r="F33" s="214"/>
      <c r="G33" s="506"/>
      <c r="H33" s="36">
        <f t="shared" si="1"/>
        <v>0</v>
      </c>
      <c r="I33" s="37">
        <f t="shared" si="2"/>
        <v>0</v>
      </c>
      <c r="J33" s="38">
        <f t="shared" si="3"/>
        <v>0</v>
      </c>
      <c r="K33" s="39">
        <f t="shared" si="4"/>
        <v>0</v>
      </c>
      <c r="L33" s="38">
        <f t="shared" si="5"/>
        <v>0</v>
      </c>
      <c r="M33" s="39">
        <f t="shared" si="6"/>
        <v>0</v>
      </c>
      <c r="N33" s="40"/>
      <c r="O33" s="34"/>
      <c r="P33" s="35"/>
      <c r="Q33" s="35"/>
      <c r="R33" s="35"/>
      <c r="S33" s="35"/>
      <c r="T33" s="35"/>
      <c r="U33" s="35"/>
      <c r="V33" s="35"/>
      <c r="W33" s="35"/>
      <c r="X33" s="35"/>
      <c r="Y33" s="35"/>
    </row>
    <row r="34" ht="14.25" customHeight="1">
      <c r="A34" s="221"/>
      <c r="B34" s="536"/>
      <c r="C34" s="211"/>
      <c r="D34" s="212"/>
      <c r="E34" s="213"/>
      <c r="F34" s="214"/>
      <c r="G34" s="523"/>
      <c r="H34" s="36">
        <f t="shared" si="1"/>
        <v>0</v>
      </c>
      <c r="I34" s="37">
        <f t="shared" si="2"/>
        <v>0</v>
      </c>
      <c r="J34" s="38">
        <f t="shared" si="3"/>
        <v>0</v>
      </c>
      <c r="K34" s="39">
        <f t="shared" si="4"/>
        <v>0</v>
      </c>
      <c r="L34" s="38">
        <f t="shared" si="5"/>
        <v>0</v>
      </c>
      <c r="M34" s="39">
        <f t="shared" si="6"/>
        <v>0</v>
      </c>
      <c r="N34" s="40"/>
      <c r="O34" s="34"/>
      <c r="P34" s="35"/>
      <c r="Q34" s="35"/>
      <c r="R34" s="35"/>
      <c r="S34" s="35"/>
      <c r="T34" s="35"/>
      <c r="U34" s="35"/>
      <c r="V34" s="35"/>
      <c r="W34" s="35"/>
      <c r="X34" s="35"/>
      <c r="Y34" s="35"/>
    </row>
    <row r="35" ht="14.25" customHeight="1">
      <c r="A35" s="221"/>
      <c r="B35" s="536"/>
      <c r="C35" s="211"/>
      <c r="D35" s="212"/>
      <c r="E35" s="213"/>
      <c r="F35" s="214"/>
      <c r="G35" s="506"/>
      <c r="H35" s="36">
        <f t="shared" si="1"/>
        <v>0</v>
      </c>
      <c r="I35" s="37">
        <f t="shared" si="2"/>
        <v>0</v>
      </c>
      <c r="J35" s="38">
        <f t="shared" si="3"/>
        <v>0</v>
      </c>
      <c r="K35" s="39">
        <f t="shared" si="4"/>
        <v>0</v>
      </c>
      <c r="L35" s="38">
        <f t="shared" si="5"/>
        <v>0</v>
      </c>
      <c r="M35" s="39">
        <f t="shared" si="6"/>
        <v>0</v>
      </c>
      <c r="N35" s="40"/>
      <c r="O35" s="34"/>
      <c r="P35" s="35"/>
      <c r="Q35" s="35"/>
      <c r="R35" s="35"/>
      <c r="S35" s="35"/>
      <c r="T35" s="35"/>
      <c r="U35" s="35"/>
      <c r="V35" s="35"/>
      <c r="W35" s="35"/>
      <c r="X35" s="35"/>
      <c r="Y35" s="35"/>
    </row>
    <row r="36" ht="14.25" customHeight="1">
      <c r="A36" s="221"/>
      <c r="B36" s="536"/>
      <c r="C36" s="211"/>
      <c r="D36" s="212"/>
      <c r="E36" s="213"/>
      <c r="F36" s="214"/>
      <c r="G36" s="523"/>
      <c r="H36" s="36">
        <f t="shared" si="1"/>
        <v>0</v>
      </c>
      <c r="I36" s="37">
        <f t="shared" si="2"/>
        <v>0</v>
      </c>
      <c r="J36" s="38">
        <f t="shared" si="3"/>
        <v>0</v>
      </c>
      <c r="K36" s="39">
        <f t="shared" si="4"/>
        <v>0</v>
      </c>
      <c r="L36" s="38">
        <f t="shared" si="5"/>
        <v>0</v>
      </c>
      <c r="M36" s="39">
        <f t="shared" si="6"/>
        <v>0</v>
      </c>
      <c r="N36" s="40"/>
      <c r="O36" s="34"/>
      <c r="P36" s="35"/>
      <c r="Q36" s="35"/>
      <c r="R36" s="35"/>
      <c r="S36" s="35"/>
      <c r="T36" s="35"/>
      <c r="U36" s="35"/>
      <c r="V36" s="35"/>
      <c r="W36" s="35"/>
      <c r="X36" s="35"/>
      <c r="Y36" s="35"/>
    </row>
    <row r="37" ht="14.25" customHeight="1">
      <c r="A37" s="221"/>
      <c r="B37" s="536"/>
      <c r="C37" s="211"/>
      <c r="D37" s="212"/>
      <c r="E37" s="213"/>
      <c r="F37" s="214"/>
      <c r="G37" s="506"/>
      <c r="H37" s="36">
        <f t="shared" si="1"/>
        <v>0</v>
      </c>
      <c r="I37" s="37">
        <f t="shared" si="2"/>
        <v>0</v>
      </c>
      <c r="J37" s="38">
        <f t="shared" si="3"/>
        <v>0</v>
      </c>
      <c r="K37" s="39">
        <f t="shared" si="4"/>
        <v>0</v>
      </c>
      <c r="L37" s="38">
        <f t="shared" si="5"/>
        <v>0</v>
      </c>
      <c r="M37" s="39">
        <f t="shared" si="6"/>
        <v>0</v>
      </c>
      <c r="N37" s="40"/>
      <c r="O37" s="34"/>
      <c r="P37" s="35"/>
      <c r="Q37" s="35"/>
      <c r="R37" s="35"/>
      <c r="S37" s="35"/>
      <c r="T37" s="35"/>
      <c r="U37" s="35"/>
      <c r="V37" s="35"/>
      <c r="W37" s="35"/>
      <c r="X37" s="35"/>
      <c r="Y37" s="35"/>
    </row>
    <row r="38" ht="14.25" customHeight="1">
      <c r="A38" s="221"/>
      <c r="B38" s="536"/>
      <c r="C38" s="211"/>
      <c r="D38" s="212"/>
      <c r="E38" s="213"/>
      <c r="F38" s="214"/>
      <c r="G38" s="523"/>
      <c r="H38" s="36">
        <f t="shared" si="1"/>
        <v>0</v>
      </c>
      <c r="I38" s="37">
        <f t="shared" si="2"/>
        <v>0</v>
      </c>
      <c r="J38" s="38">
        <f t="shared" si="3"/>
        <v>0</v>
      </c>
      <c r="K38" s="39">
        <f t="shared" si="4"/>
        <v>0</v>
      </c>
      <c r="L38" s="38">
        <f t="shared" si="5"/>
        <v>0</v>
      </c>
      <c r="M38" s="39">
        <f t="shared" si="6"/>
        <v>0</v>
      </c>
      <c r="N38" s="40"/>
      <c r="O38" s="34"/>
      <c r="P38" s="35"/>
      <c r="Q38" s="35"/>
      <c r="R38" s="35"/>
      <c r="S38" s="35"/>
      <c r="T38" s="35"/>
      <c r="U38" s="35"/>
      <c r="V38" s="35"/>
      <c r="W38" s="35"/>
      <c r="X38" s="35"/>
      <c r="Y38" s="35"/>
    </row>
    <row r="39" ht="14.25" customHeight="1">
      <c r="A39" s="221"/>
      <c r="B39" s="536"/>
      <c r="C39" s="211"/>
      <c r="D39" s="212"/>
      <c r="E39" s="213"/>
      <c r="F39" s="214"/>
      <c r="G39" s="506"/>
      <c r="H39" s="36">
        <f t="shared" si="1"/>
        <v>0</v>
      </c>
      <c r="I39" s="37">
        <f t="shared" si="2"/>
        <v>0</v>
      </c>
      <c r="J39" s="38">
        <f t="shared" si="3"/>
        <v>0</v>
      </c>
      <c r="K39" s="39">
        <f t="shared" si="4"/>
        <v>0</v>
      </c>
      <c r="L39" s="38">
        <f t="shared" si="5"/>
        <v>0</v>
      </c>
      <c r="M39" s="39">
        <f t="shared" si="6"/>
        <v>0</v>
      </c>
      <c r="N39" s="40"/>
      <c r="O39" s="34"/>
      <c r="P39" s="35"/>
      <c r="Q39" s="35"/>
      <c r="R39" s="35"/>
      <c r="S39" s="35"/>
      <c r="T39" s="35"/>
      <c r="U39" s="35"/>
      <c r="V39" s="35"/>
      <c r="W39" s="35"/>
      <c r="X39" s="35"/>
      <c r="Y39" s="35"/>
    </row>
    <row r="40" ht="14.25" customHeight="1">
      <c r="A40" s="221"/>
      <c r="B40" s="536"/>
      <c r="C40" s="211"/>
      <c r="D40" s="212"/>
      <c r="E40" s="213"/>
      <c r="F40" s="214"/>
      <c r="G40" s="523"/>
      <c r="H40" s="36">
        <f t="shared" si="1"/>
        <v>0</v>
      </c>
      <c r="I40" s="37">
        <f t="shared" si="2"/>
        <v>0</v>
      </c>
      <c r="J40" s="38">
        <f t="shared" si="3"/>
        <v>0</v>
      </c>
      <c r="K40" s="39">
        <f t="shared" si="4"/>
        <v>0</v>
      </c>
      <c r="L40" s="38">
        <f t="shared" si="5"/>
        <v>0</v>
      </c>
      <c r="M40" s="39">
        <f t="shared" si="6"/>
        <v>0</v>
      </c>
      <c r="N40" s="40"/>
      <c r="O40" s="34"/>
      <c r="P40" s="35"/>
      <c r="Q40" s="35"/>
      <c r="R40" s="35"/>
      <c r="S40" s="35"/>
      <c r="T40" s="35"/>
      <c r="U40" s="35"/>
      <c r="V40" s="35"/>
      <c r="W40" s="35"/>
      <c r="X40" s="35"/>
      <c r="Y40" s="35"/>
    </row>
    <row r="41" ht="14.25" customHeight="1">
      <c r="A41" s="221"/>
      <c r="B41" s="536"/>
      <c r="C41" s="211"/>
      <c r="D41" s="212"/>
      <c r="E41" s="213"/>
      <c r="F41" s="214"/>
      <c r="G41" s="506"/>
      <c r="H41" s="36">
        <f t="shared" si="1"/>
        <v>0</v>
      </c>
      <c r="I41" s="37">
        <f t="shared" si="2"/>
        <v>0</v>
      </c>
      <c r="J41" s="38">
        <f t="shared" si="3"/>
        <v>0</v>
      </c>
      <c r="K41" s="39">
        <f t="shared" si="4"/>
        <v>0</v>
      </c>
      <c r="L41" s="38">
        <f t="shared" si="5"/>
        <v>0</v>
      </c>
      <c r="M41" s="39">
        <f t="shared" si="6"/>
        <v>0</v>
      </c>
      <c r="N41" s="40"/>
      <c r="O41" s="34"/>
      <c r="P41" s="35"/>
      <c r="Q41" s="35"/>
      <c r="R41" s="35"/>
      <c r="S41" s="35"/>
      <c r="T41" s="35"/>
      <c r="U41" s="35"/>
      <c r="V41" s="35"/>
      <c r="W41" s="35"/>
      <c r="X41" s="35"/>
      <c r="Y41" s="35"/>
    </row>
    <row r="42" ht="14.25" customHeight="1">
      <c r="A42" s="221"/>
      <c r="B42" s="536"/>
      <c r="C42" s="211"/>
      <c r="D42" s="212"/>
      <c r="E42" s="213"/>
      <c r="F42" s="214"/>
      <c r="G42" s="523"/>
      <c r="H42" s="36">
        <f t="shared" si="1"/>
        <v>0</v>
      </c>
      <c r="I42" s="37">
        <f t="shared" si="2"/>
        <v>0</v>
      </c>
      <c r="J42" s="38">
        <f t="shared" si="3"/>
        <v>0</v>
      </c>
      <c r="K42" s="39">
        <f t="shared" si="4"/>
        <v>0</v>
      </c>
      <c r="L42" s="38">
        <f t="shared" si="5"/>
        <v>0</v>
      </c>
      <c r="M42" s="39">
        <f t="shared" si="6"/>
        <v>0</v>
      </c>
      <c r="N42" s="40"/>
      <c r="O42" s="34"/>
      <c r="P42" s="35"/>
      <c r="Q42" s="35"/>
      <c r="R42" s="35"/>
      <c r="S42" s="35"/>
      <c r="T42" s="35"/>
      <c r="U42" s="35"/>
      <c r="V42" s="35"/>
      <c r="W42" s="35"/>
      <c r="X42" s="35"/>
      <c r="Y42" s="35"/>
    </row>
    <row r="43" ht="14.25" customHeight="1">
      <c r="A43" s="221"/>
      <c r="B43" s="536"/>
      <c r="C43" s="211"/>
      <c r="D43" s="212"/>
      <c r="E43" s="213"/>
      <c r="F43" s="214"/>
      <c r="G43" s="506"/>
      <c r="H43" s="36">
        <f t="shared" si="1"/>
        <v>0</v>
      </c>
      <c r="I43" s="37">
        <f t="shared" si="2"/>
        <v>0</v>
      </c>
      <c r="J43" s="38">
        <f t="shared" si="3"/>
        <v>0</v>
      </c>
      <c r="K43" s="39">
        <f t="shared" si="4"/>
        <v>0</v>
      </c>
      <c r="L43" s="38">
        <f t="shared" si="5"/>
        <v>0</v>
      </c>
      <c r="M43" s="39">
        <f t="shared" si="6"/>
        <v>0</v>
      </c>
      <c r="N43" s="40"/>
      <c r="O43" s="34"/>
      <c r="P43" s="35"/>
      <c r="Q43" s="35"/>
      <c r="R43" s="35"/>
      <c r="S43" s="35"/>
      <c r="T43" s="35"/>
      <c r="U43" s="35"/>
      <c r="V43" s="35"/>
      <c r="W43" s="35"/>
      <c r="X43" s="35"/>
      <c r="Y43" s="35"/>
    </row>
    <row r="44" ht="14.25" customHeight="1">
      <c r="A44" s="221"/>
      <c r="B44" s="536"/>
      <c r="C44" s="211"/>
      <c r="D44" s="212"/>
      <c r="E44" s="213"/>
      <c r="F44" s="214"/>
      <c r="G44" s="523"/>
      <c r="H44" s="36">
        <f t="shared" si="1"/>
        <v>0</v>
      </c>
      <c r="I44" s="37">
        <f t="shared" si="2"/>
        <v>0</v>
      </c>
      <c r="J44" s="38">
        <f t="shared" si="3"/>
        <v>0</v>
      </c>
      <c r="K44" s="39">
        <f t="shared" si="4"/>
        <v>0</v>
      </c>
      <c r="L44" s="38">
        <f t="shared" si="5"/>
        <v>0</v>
      </c>
      <c r="M44" s="39">
        <f t="shared" si="6"/>
        <v>0</v>
      </c>
      <c r="N44" s="40"/>
      <c r="O44" s="34"/>
      <c r="P44" s="35"/>
      <c r="Q44" s="35"/>
      <c r="R44" s="35"/>
      <c r="S44" s="35"/>
      <c r="T44" s="35"/>
      <c r="U44" s="35"/>
      <c r="V44" s="35"/>
      <c r="W44" s="35"/>
      <c r="X44" s="35"/>
      <c r="Y44" s="35"/>
    </row>
    <row r="45" ht="14.25" customHeight="1">
      <c r="A45" s="221"/>
      <c r="B45" s="536"/>
      <c r="C45" s="211"/>
      <c r="D45" s="212"/>
      <c r="E45" s="213"/>
      <c r="F45" s="214"/>
      <c r="G45" s="506"/>
      <c r="H45" s="36">
        <f t="shared" si="1"/>
        <v>0</v>
      </c>
      <c r="I45" s="37">
        <f t="shared" si="2"/>
        <v>0</v>
      </c>
      <c r="J45" s="38">
        <f t="shared" si="3"/>
        <v>0</v>
      </c>
      <c r="K45" s="39">
        <f t="shared" si="4"/>
        <v>0</v>
      </c>
      <c r="L45" s="38">
        <f t="shared" si="5"/>
        <v>0</v>
      </c>
      <c r="M45" s="39">
        <f t="shared" si="6"/>
        <v>0</v>
      </c>
      <c r="N45" s="40"/>
      <c r="O45" s="34"/>
      <c r="P45" s="35"/>
      <c r="Q45" s="35"/>
      <c r="R45" s="35"/>
      <c r="S45" s="35"/>
      <c r="T45" s="35"/>
      <c r="U45" s="35"/>
      <c r="V45" s="35"/>
      <c r="W45" s="35"/>
      <c r="X45" s="35"/>
      <c r="Y45" s="35"/>
    </row>
    <row r="46" ht="14.25" customHeight="1">
      <c r="A46" s="221"/>
      <c r="B46" s="536"/>
      <c r="C46" s="211"/>
      <c r="D46" s="212"/>
      <c r="E46" s="213"/>
      <c r="F46" s="214"/>
      <c r="G46" s="523"/>
      <c r="H46" s="36">
        <f t="shared" si="1"/>
        <v>0</v>
      </c>
      <c r="I46" s="37">
        <f t="shared" si="2"/>
        <v>0</v>
      </c>
      <c r="J46" s="38">
        <f t="shared" si="3"/>
        <v>0</v>
      </c>
      <c r="K46" s="39">
        <f t="shared" si="4"/>
        <v>0</v>
      </c>
      <c r="L46" s="38">
        <f t="shared" si="5"/>
        <v>0</v>
      </c>
      <c r="M46" s="39">
        <f t="shared" si="6"/>
        <v>0</v>
      </c>
      <c r="N46" s="40"/>
      <c r="O46" s="34"/>
      <c r="P46" s="35"/>
      <c r="Q46" s="35"/>
      <c r="R46" s="35"/>
      <c r="S46" s="35"/>
      <c r="T46" s="35"/>
      <c r="U46" s="35"/>
      <c r="V46" s="35"/>
      <c r="W46" s="35"/>
      <c r="X46" s="35"/>
      <c r="Y46" s="35"/>
    </row>
    <row r="47" ht="14.25" customHeight="1">
      <c r="A47" s="221"/>
      <c r="B47" s="536"/>
      <c r="C47" s="211"/>
      <c r="D47" s="212"/>
      <c r="E47" s="213"/>
      <c r="F47" s="214"/>
      <c r="G47" s="506"/>
      <c r="H47" s="36">
        <f t="shared" si="1"/>
        <v>0</v>
      </c>
      <c r="I47" s="37">
        <f t="shared" si="2"/>
        <v>0</v>
      </c>
      <c r="J47" s="38">
        <f t="shared" si="3"/>
        <v>0</v>
      </c>
      <c r="K47" s="39">
        <f t="shared" si="4"/>
        <v>0</v>
      </c>
      <c r="L47" s="38">
        <f t="shared" si="5"/>
        <v>0</v>
      </c>
      <c r="M47" s="39">
        <f t="shared" si="6"/>
        <v>0</v>
      </c>
      <c r="N47" s="40"/>
      <c r="O47" s="34"/>
      <c r="P47" s="35"/>
      <c r="Q47" s="35"/>
      <c r="R47" s="35"/>
      <c r="S47" s="35"/>
      <c r="T47" s="35"/>
      <c r="U47" s="35"/>
      <c r="V47" s="35"/>
      <c r="W47" s="35"/>
      <c r="X47" s="35"/>
      <c r="Y47" s="35"/>
    </row>
    <row r="48" ht="14.25" customHeight="1">
      <c r="A48" s="221"/>
      <c r="B48" s="536"/>
      <c r="C48" s="211"/>
      <c r="D48" s="212"/>
      <c r="E48" s="213"/>
      <c r="F48" s="214"/>
      <c r="G48" s="523"/>
      <c r="H48" s="36">
        <f t="shared" si="1"/>
        <v>0</v>
      </c>
      <c r="I48" s="37">
        <f t="shared" si="2"/>
        <v>0</v>
      </c>
      <c r="J48" s="38">
        <f t="shared" si="3"/>
        <v>0</v>
      </c>
      <c r="K48" s="39">
        <f t="shared" si="4"/>
        <v>0</v>
      </c>
      <c r="L48" s="38">
        <f t="shared" si="5"/>
        <v>0</v>
      </c>
      <c r="M48" s="39">
        <f t="shared" si="6"/>
        <v>0</v>
      </c>
      <c r="N48" s="40"/>
      <c r="O48" s="34"/>
      <c r="P48" s="35"/>
      <c r="Q48" s="35"/>
      <c r="R48" s="35"/>
      <c r="S48" s="35"/>
      <c r="T48" s="35"/>
      <c r="U48" s="35"/>
      <c r="V48" s="35"/>
      <c r="W48" s="35"/>
      <c r="X48" s="35"/>
      <c r="Y48" s="35"/>
    </row>
    <row r="49" ht="14.25" customHeight="1">
      <c r="A49" s="221"/>
      <c r="B49" s="536"/>
      <c r="C49" s="211"/>
      <c r="D49" s="212"/>
      <c r="E49" s="213"/>
      <c r="F49" s="214"/>
      <c r="G49" s="506"/>
      <c r="H49" s="36">
        <f t="shared" si="1"/>
        <v>0</v>
      </c>
      <c r="I49" s="37">
        <f t="shared" si="2"/>
        <v>0</v>
      </c>
      <c r="J49" s="38">
        <f t="shared" si="3"/>
        <v>0</v>
      </c>
      <c r="K49" s="39">
        <f t="shared" si="4"/>
        <v>0</v>
      </c>
      <c r="L49" s="38">
        <f t="shared" si="5"/>
        <v>0</v>
      </c>
      <c r="M49" s="39">
        <f t="shared" si="6"/>
        <v>0</v>
      </c>
      <c r="N49" s="40"/>
      <c r="O49" s="34"/>
      <c r="P49" s="35"/>
      <c r="Q49" s="35"/>
      <c r="R49" s="35"/>
      <c r="S49" s="35"/>
      <c r="T49" s="35"/>
      <c r="U49" s="35"/>
      <c r="V49" s="35"/>
      <c r="W49" s="35"/>
      <c r="X49" s="35"/>
      <c r="Y49" s="35"/>
    </row>
    <row r="50" ht="14.25" customHeight="1">
      <c r="A50" s="221"/>
      <c r="B50" s="536"/>
      <c r="C50" s="211"/>
      <c r="D50" s="212"/>
      <c r="E50" s="213"/>
      <c r="F50" s="214"/>
      <c r="G50" s="523"/>
      <c r="H50" s="36">
        <f t="shared" si="1"/>
        <v>0</v>
      </c>
      <c r="I50" s="37">
        <f t="shared" si="2"/>
        <v>0</v>
      </c>
      <c r="J50" s="38">
        <f t="shared" si="3"/>
        <v>0</v>
      </c>
      <c r="K50" s="39">
        <f t="shared" si="4"/>
        <v>0</v>
      </c>
      <c r="L50" s="38">
        <f t="shared" si="5"/>
        <v>0</v>
      </c>
      <c r="M50" s="39">
        <f t="shared" si="6"/>
        <v>0</v>
      </c>
      <c r="N50" s="40"/>
      <c r="O50" s="34"/>
      <c r="P50" s="35"/>
      <c r="Q50" s="35"/>
      <c r="R50" s="35"/>
      <c r="S50" s="35"/>
      <c r="T50" s="35"/>
      <c r="U50" s="35"/>
      <c r="V50" s="35"/>
      <c r="W50" s="35"/>
      <c r="X50" s="35"/>
      <c r="Y50" s="35"/>
    </row>
    <row r="51" ht="14.25" customHeight="1">
      <c r="A51" s="221"/>
      <c r="B51" s="536"/>
      <c r="C51" s="211"/>
      <c r="D51" s="212"/>
      <c r="E51" s="213"/>
      <c r="F51" s="214"/>
      <c r="G51" s="506"/>
      <c r="H51" s="36">
        <f t="shared" si="1"/>
        <v>0</v>
      </c>
      <c r="I51" s="37">
        <f t="shared" si="2"/>
        <v>0</v>
      </c>
      <c r="J51" s="38">
        <f t="shared" si="3"/>
        <v>0</v>
      </c>
      <c r="K51" s="39">
        <f t="shared" si="4"/>
        <v>0</v>
      </c>
      <c r="L51" s="38">
        <f t="shared" si="5"/>
        <v>0</v>
      </c>
      <c r="M51" s="39">
        <f t="shared" si="6"/>
        <v>0</v>
      </c>
      <c r="N51" s="40"/>
      <c r="O51" s="34"/>
      <c r="P51" s="35"/>
      <c r="Q51" s="35"/>
      <c r="R51" s="35"/>
      <c r="S51" s="35"/>
      <c r="T51" s="35"/>
      <c r="U51" s="35"/>
      <c r="V51" s="35"/>
      <c r="W51" s="35"/>
      <c r="X51" s="35"/>
      <c r="Y51" s="35"/>
    </row>
    <row r="52" ht="14.25" customHeight="1">
      <c r="A52" s="221"/>
      <c r="B52" s="536"/>
      <c r="C52" s="211"/>
      <c r="D52" s="212"/>
      <c r="E52" s="213"/>
      <c r="F52" s="214"/>
      <c r="G52" s="523"/>
      <c r="H52" s="36">
        <f t="shared" si="1"/>
        <v>0</v>
      </c>
      <c r="I52" s="37">
        <f t="shared" si="2"/>
        <v>0</v>
      </c>
      <c r="J52" s="38">
        <f t="shared" si="3"/>
        <v>0</v>
      </c>
      <c r="K52" s="39">
        <f t="shared" si="4"/>
        <v>0</v>
      </c>
      <c r="L52" s="38">
        <f t="shared" si="5"/>
        <v>0</v>
      </c>
      <c r="M52" s="39">
        <f t="shared" si="6"/>
        <v>0</v>
      </c>
      <c r="N52" s="40"/>
      <c r="O52" s="34"/>
      <c r="P52" s="35"/>
      <c r="Q52" s="35"/>
      <c r="R52" s="35"/>
      <c r="S52" s="35"/>
      <c r="T52" s="35"/>
      <c r="U52" s="35"/>
      <c r="V52" s="35"/>
      <c r="W52" s="35"/>
      <c r="X52" s="35"/>
      <c r="Y52" s="35"/>
    </row>
    <row r="53" ht="14.25" customHeight="1">
      <c r="A53" s="221"/>
      <c r="B53" s="536"/>
      <c r="C53" s="211"/>
      <c r="D53" s="212"/>
      <c r="E53" s="234"/>
      <c r="F53" s="214"/>
      <c r="G53" s="506"/>
      <c r="H53" s="36">
        <f t="shared" si="1"/>
        <v>0</v>
      </c>
      <c r="I53" s="37">
        <f t="shared" si="2"/>
        <v>0</v>
      </c>
      <c r="J53" s="38">
        <f t="shared" si="3"/>
        <v>0</v>
      </c>
      <c r="K53" s="39">
        <f t="shared" si="4"/>
        <v>0</v>
      </c>
      <c r="L53" s="38">
        <f t="shared" si="5"/>
        <v>0</v>
      </c>
      <c r="M53" s="39">
        <f t="shared" si="6"/>
        <v>0</v>
      </c>
      <c r="N53" s="40"/>
      <c r="O53" s="34"/>
      <c r="P53" s="35"/>
      <c r="Q53" s="35"/>
      <c r="R53" s="35"/>
      <c r="S53" s="35"/>
      <c r="T53" s="35"/>
      <c r="U53" s="35"/>
      <c r="V53" s="35"/>
      <c r="W53" s="35"/>
      <c r="X53" s="35"/>
      <c r="Y53" s="35"/>
    </row>
    <row r="54" ht="14.25" customHeight="1">
      <c r="A54" s="221"/>
      <c r="B54" s="536"/>
      <c r="C54" s="211"/>
      <c r="D54" s="212"/>
      <c r="E54" s="213"/>
      <c r="F54" s="214"/>
      <c r="G54" s="523"/>
      <c r="H54" s="36">
        <f t="shared" si="1"/>
        <v>0</v>
      </c>
      <c r="I54" s="37">
        <f t="shared" si="2"/>
        <v>0</v>
      </c>
      <c r="J54" s="38">
        <f t="shared" si="3"/>
        <v>0</v>
      </c>
      <c r="K54" s="39">
        <f t="shared" si="4"/>
        <v>0</v>
      </c>
      <c r="L54" s="38">
        <f t="shared" si="5"/>
        <v>0</v>
      </c>
      <c r="M54" s="39">
        <f t="shared" si="6"/>
        <v>0</v>
      </c>
      <c r="N54" s="40"/>
      <c r="O54" s="34"/>
      <c r="P54" s="35"/>
      <c r="Q54" s="35"/>
      <c r="R54" s="35"/>
      <c r="S54" s="35"/>
      <c r="T54" s="35"/>
      <c r="U54" s="35"/>
      <c r="V54" s="35"/>
      <c r="W54" s="35"/>
      <c r="X54" s="35"/>
      <c r="Y54" s="35"/>
    </row>
    <row r="55" ht="14.25" customHeight="1">
      <c r="A55" s="221"/>
      <c r="B55" s="536"/>
      <c r="C55" s="211"/>
      <c r="D55" s="212"/>
      <c r="E55" s="213"/>
      <c r="F55" s="214"/>
      <c r="G55" s="506"/>
      <c r="H55" s="36">
        <f t="shared" si="1"/>
        <v>0</v>
      </c>
      <c r="I55" s="37">
        <f t="shared" si="2"/>
        <v>0</v>
      </c>
      <c r="J55" s="38">
        <f t="shared" si="3"/>
        <v>0</v>
      </c>
      <c r="K55" s="39">
        <f t="shared" si="4"/>
        <v>0</v>
      </c>
      <c r="L55" s="38">
        <f t="shared" si="5"/>
        <v>0</v>
      </c>
      <c r="M55" s="39">
        <f t="shared" si="6"/>
        <v>0</v>
      </c>
      <c r="N55" s="40"/>
      <c r="O55" s="34"/>
      <c r="P55" s="35"/>
      <c r="Q55" s="35"/>
      <c r="R55" s="35"/>
      <c r="S55" s="35"/>
      <c r="T55" s="35"/>
      <c r="U55" s="35"/>
      <c r="V55" s="35"/>
      <c r="W55" s="35"/>
      <c r="X55" s="35"/>
      <c r="Y55" s="35"/>
    </row>
    <row r="56" ht="14.25" customHeight="1">
      <c r="A56" s="221"/>
      <c r="B56" s="536"/>
      <c r="C56" s="211"/>
      <c r="D56" s="212"/>
      <c r="E56" s="213"/>
      <c r="F56" s="92"/>
      <c r="G56" s="523"/>
      <c r="H56" s="36">
        <f t="shared" si="1"/>
        <v>0</v>
      </c>
      <c r="I56" s="37">
        <f t="shared" si="2"/>
        <v>0</v>
      </c>
      <c r="J56" s="38">
        <f t="shared" si="3"/>
        <v>0</v>
      </c>
      <c r="K56" s="39">
        <f t="shared" si="4"/>
        <v>0</v>
      </c>
      <c r="L56" s="38">
        <f t="shared" si="5"/>
        <v>0</v>
      </c>
      <c r="M56" s="39">
        <f t="shared" si="6"/>
        <v>0</v>
      </c>
      <c r="N56" s="40"/>
      <c r="O56" s="34"/>
      <c r="P56" s="35"/>
      <c r="Q56" s="35"/>
      <c r="R56" s="35"/>
      <c r="S56" s="35"/>
      <c r="T56" s="35"/>
      <c r="U56" s="35"/>
      <c r="V56" s="35"/>
      <c r="W56" s="35"/>
      <c r="X56" s="35"/>
      <c r="Y56" s="35"/>
    </row>
    <row r="57" ht="14.25" customHeight="1">
      <c r="A57" s="221"/>
      <c r="B57" s="536"/>
      <c r="C57" s="211"/>
      <c r="D57" s="212"/>
      <c r="E57" s="213"/>
      <c r="F57" s="214"/>
      <c r="G57" s="506"/>
      <c r="H57" s="36">
        <f t="shared" si="1"/>
        <v>0</v>
      </c>
      <c r="I57" s="37">
        <f t="shared" si="2"/>
        <v>0</v>
      </c>
      <c r="J57" s="38">
        <f t="shared" si="3"/>
        <v>0</v>
      </c>
      <c r="K57" s="39">
        <f t="shared" si="4"/>
        <v>0</v>
      </c>
      <c r="L57" s="38">
        <f t="shared" si="5"/>
        <v>0</v>
      </c>
      <c r="M57" s="39">
        <f t="shared" si="6"/>
        <v>0</v>
      </c>
      <c r="N57" s="40"/>
      <c r="O57" s="34"/>
      <c r="P57" s="35"/>
      <c r="Q57" s="35"/>
      <c r="R57" s="35"/>
      <c r="S57" s="35"/>
      <c r="T57" s="35"/>
      <c r="U57" s="35"/>
      <c r="V57" s="35"/>
      <c r="W57" s="35"/>
      <c r="X57" s="35"/>
      <c r="Y57" s="35"/>
    </row>
    <row r="58" ht="14.25" customHeight="1">
      <c r="A58" s="221"/>
      <c r="B58" s="536"/>
      <c r="C58" s="211"/>
      <c r="D58" s="212"/>
      <c r="E58" s="234"/>
      <c r="F58" s="214"/>
      <c r="G58" s="523"/>
      <c r="H58" s="36">
        <f t="shared" si="1"/>
        <v>0</v>
      </c>
      <c r="I58" s="37">
        <f t="shared" si="2"/>
        <v>0</v>
      </c>
      <c r="J58" s="38">
        <f t="shared" si="3"/>
        <v>0</v>
      </c>
      <c r="K58" s="39">
        <f t="shared" si="4"/>
        <v>0</v>
      </c>
      <c r="L58" s="38">
        <f t="shared" si="5"/>
        <v>0</v>
      </c>
      <c r="M58" s="39">
        <f t="shared" si="6"/>
        <v>0</v>
      </c>
      <c r="N58" s="40"/>
      <c r="O58" s="34"/>
      <c r="P58" s="35"/>
      <c r="Q58" s="35"/>
      <c r="R58" s="35"/>
      <c r="S58" s="35"/>
      <c r="T58" s="35"/>
      <c r="U58" s="35"/>
      <c r="V58" s="35"/>
      <c r="W58" s="35"/>
      <c r="X58" s="35"/>
      <c r="Y58" s="35"/>
    </row>
    <row r="59" ht="14.25" customHeight="1">
      <c r="A59" s="221"/>
      <c r="B59" s="536"/>
      <c r="C59" s="211"/>
      <c r="D59" s="212"/>
      <c r="E59" s="213"/>
      <c r="F59" s="214"/>
      <c r="G59" s="506"/>
      <c r="H59" s="36">
        <f t="shared" si="1"/>
        <v>0</v>
      </c>
      <c r="I59" s="37">
        <f t="shared" si="2"/>
        <v>0</v>
      </c>
      <c r="J59" s="38">
        <f t="shared" si="3"/>
        <v>0</v>
      </c>
      <c r="K59" s="39">
        <f t="shared" si="4"/>
        <v>0</v>
      </c>
      <c r="L59" s="38">
        <f t="shared" si="5"/>
        <v>0</v>
      </c>
      <c r="M59" s="39">
        <f t="shared" si="6"/>
        <v>0</v>
      </c>
      <c r="N59" s="40"/>
      <c r="O59" s="34"/>
      <c r="P59" s="35"/>
      <c r="Q59" s="35"/>
      <c r="R59" s="35"/>
      <c r="S59" s="35"/>
      <c r="T59" s="35"/>
      <c r="U59" s="35"/>
      <c r="V59" s="35"/>
      <c r="W59" s="35"/>
      <c r="X59" s="35"/>
      <c r="Y59" s="35"/>
    </row>
    <row r="60" ht="14.25" customHeight="1">
      <c r="A60" s="221"/>
      <c r="B60" s="231"/>
      <c r="C60" s="233"/>
      <c r="D60" s="212"/>
      <c r="E60" s="213"/>
      <c r="F60" s="214"/>
      <c r="G60" s="523"/>
      <c r="H60" s="36">
        <f t="shared" si="1"/>
        <v>0</v>
      </c>
      <c r="I60" s="37">
        <f t="shared" si="2"/>
        <v>0</v>
      </c>
      <c r="J60" s="38">
        <f t="shared" si="3"/>
        <v>0</v>
      </c>
      <c r="K60" s="39">
        <f t="shared" si="4"/>
        <v>0</v>
      </c>
      <c r="L60" s="38">
        <f t="shared" si="5"/>
        <v>0</v>
      </c>
      <c r="M60" s="39">
        <f t="shared" si="6"/>
        <v>0</v>
      </c>
      <c r="N60" s="40"/>
      <c r="O60" s="34"/>
      <c r="P60" s="35"/>
      <c r="Q60" s="35"/>
      <c r="R60" s="35"/>
      <c r="S60" s="35"/>
      <c r="T60" s="35"/>
      <c r="U60" s="35"/>
      <c r="V60" s="35"/>
      <c r="W60" s="35"/>
      <c r="X60" s="35"/>
      <c r="Y60" s="35"/>
    </row>
    <row r="61" ht="14.25" customHeight="1">
      <c r="A61" s="221"/>
      <c r="B61" s="231"/>
      <c r="C61" s="233"/>
      <c r="D61" s="212"/>
      <c r="E61" s="213"/>
      <c r="F61" s="214"/>
      <c r="G61" s="506"/>
      <c r="H61" s="36">
        <f t="shared" si="1"/>
        <v>0</v>
      </c>
      <c r="I61" s="37">
        <f t="shared" si="2"/>
        <v>0</v>
      </c>
      <c r="J61" s="38">
        <f t="shared" si="3"/>
        <v>0</v>
      </c>
      <c r="K61" s="39">
        <f t="shared" si="4"/>
        <v>0</v>
      </c>
      <c r="L61" s="38">
        <f t="shared" si="5"/>
        <v>0</v>
      </c>
      <c r="M61" s="39">
        <f t="shared" si="6"/>
        <v>0</v>
      </c>
      <c r="N61" s="40"/>
      <c r="O61" s="34"/>
      <c r="P61" s="35"/>
      <c r="Q61" s="35"/>
      <c r="R61" s="35"/>
      <c r="S61" s="35"/>
      <c r="T61" s="35"/>
      <c r="U61" s="35"/>
      <c r="V61" s="35"/>
      <c r="W61" s="35"/>
      <c r="X61" s="35"/>
      <c r="Y61" s="35"/>
    </row>
    <row r="62" ht="14.25" customHeight="1">
      <c r="A62" s="221"/>
      <c r="B62" s="231"/>
      <c r="C62" s="233"/>
      <c r="D62" s="212"/>
      <c r="E62" s="213"/>
      <c r="F62" s="214"/>
      <c r="G62" s="523"/>
      <c r="H62" s="36">
        <f t="shared" si="1"/>
        <v>0</v>
      </c>
      <c r="I62" s="37">
        <f t="shared" si="2"/>
        <v>0</v>
      </c>
      <c r="J62" s="38">
        <f t="shared" si="3"/>
        <v>0</v>
      </c>
      <c r="K62" s="39">
        <f t="shared" si="4"/>
        <v>0</v>
      </c>
      <c r="L62" s="38">
        <f t="shared" si="5"/>
        <v>0</v>
      </c>
      <c r="M62" s="39">
        <f t="shared" si="6"/>
        <v>0</v>
      </c>
      <c r="N62" s="40"/>
      <c r="O62" s="34"/>
      <c r="P62" s="35"/>
      <c r="Q62" s="35"/>
      <c r="R62" s="35"/>
      <c r="S62" s="35"/>
      <c r="T62" s="35"/>
      <c r="U62" s="35"/>
      <c r="V62" s="35"/>
      <c r="W62" s="35"/>
      <c r="X62" s="35"/>
      <c r="Y62" s="35"/>
    </row>
    <row r="63" ht="14.25" customHeight="1">
      <c r="A63" s="221"/>
      <c r="B63" s="231"/>
      <c r="C63" s="233"/>
      <c r="D63" s="212"/>
      <c r="E63" s="213"/>
      <c r="F63" s="214"/>
      <c r="G63" s="506"/>
      <c r="H63" s="36">
        <f t="shared" si="1"/>
        <v>0</v>
      </c>
      <c r="I63" s="37">
        <f t="shared" si="2"/>
        <v>0</v>
      </c>
      <c r="J63" s="38">
        <f t="shared" si="3"/>
        <v>0</v>
      </c>
      <c r="K63" s="39">
        <f t="shared" si="4"/>
        <v>0</v>
      </c>
      <c r="L63" s="38">
        <f t="shared" si="5"/>
        <v>0</v>
      </c>
      <c r="M63" s="39">
        <f t="shared" si="6"/>
        <v>0</v>
      </c>
      <c r="N63" s="40"/>
      <c r="O63" s="34"/>
      <c r="P63" s="35"/>
      <c r="Q63" s="35"/>
      <c r="R63" s="35"/>
      <c r="S63" s="35"/>
      <c r="T63" s="35"/>
      <c r="U63" s="35"/>
      <c r="V63" s="35"/>
      <c r="W63" s="35"/>
      <c r="X63" s="35"/>
      <c r="Y63" s="35"/>
    </row>
    <row r="64" ht="14.25" customHeight="1">
      <c r="A64" s="221"/>
      <c r="B64" s="231"/>
      <c r="C64" s="233"/>
      <c r="D64" s="212"/>
      <c r="E64" s="213"/>
      <c r="F64" s="214"/>
      <c r="G64" s="523">
        <v>44805.0</v>
      </c>
      <c r="H64" s="36">
        <f t="shared" si="1"/>
        <v>0</v>
      </c>
      <c r="I64" s="37">
        <f t="shared" si="2"/>
        <v>0</v>
      </c>
      <c r="J64" s="38">
        <f t="shared" si="3"/>
        <v>0</v>
      </c>
      <c r="K64" s="39">
        <f t="shared" si="4"/>
        <v>0</v>
      </c>
      <c r="L64" s="38">
        <f t="shared" si="5"/>
        <v>0</v>
      </c>
      <c r="M64" s="39">
        <f t="shared" si="6"/>
        <v>0</v>
      </c>
      <c r="N64" s="40"/>
      <c r="O64" s="34"/>
      <c r="P64" s="35"/>
      <c r="Q64" s="35"/>
      <c r="R64" s="35"/>
      <c r="S64" s="35"/>
      <c r="T64" s="35"/>
      <c r="U64" s="35"/>
      <c r="V64" s="35"/>
      <c r="W64" s="35"/>
      <c r="X64" s="35"/>
      <c r="Y64" s="35"/>
    </row>
    <row r="65" ht="14.25" customHeight="1">
      <c r="A65" s="221"/>
      <c r="B65" s="231"/>
      <c r="C65" s="233"/>
      <c r="D65" s="212"/>
      <c r="E65" s="213"/>
      <c r="F65" s="214"/>
      <c r="G65" s="506">
        <v>44805.0</v>
      </c>
      <c r="H65" s="36">
        <f t="shared" si="1"/>
        <v>0</v>
      </c>
      <c r="I65" s="37">
        <f t="shared" si="2"/>
        <v>0</v>
      </c>
      <c r="J65" s="38">
        <f t="shared" si="3"/>
        <v>0</v>
      </c>
      <c r="K65" s="39">
        <f t="shared" si="4"/>
        <v>0</v>
      </c>
      <c r="L65" s="38">
        <f t="shared" si="5"/>
        <v>0</v>
      </c>
      <c r="M65" s="39">
        <f t="shared" si="6"/>
        <v>0</v>
      </c>
      <c r="N65" s="40"/>
      <c r="O65" s="34"/>
      <c r="P65" s="35"/>
      <c r="Q65" s="35"/>
      <c r="R65" s="35"/>
      <c r="S65" s="35"/>
      <c r="T65" s="35"/>
      <c r="U65" s="35"/>
      <c r="V65" s="35"/>
      <c r="W65" s="35"/>
      <c r="X65" s="35"/>
      <c r="Y65" s="35"/>
    </row>
    <row r="66" ht="14.25" customHeight="1">
      <c r="A66" s="221"/>
      <c r="B66" s="231"/>
      <c r="C66" s="233"/>
      <c r="D66" s="212"/>
      <c r="E66" s="213"/>
      <c r="F66" s="214"/>
      <c r="G66" s="523">
        <v>44805.0</v>
      </c>
      <c r="H66" s="36">
        <f t="shared" si="1"/>
        <v>0</v>
      </c>
      <c r="I66" s="37">
        <f t="shared" si="2"/>
        <v>0</v>
      </c>
      <c r="J66" s="38">
        <f t="shared" si="3"/>
        <v>0</v>
      </c>
      <c r="K66" s="39">
        <f t="shared" si="4"/>
        <v>0</v>
      </c>
      <c r="L66" s="38">
        <f t="shared" si="5"/>
        <v>0</v>
      </c>
      <c r="M66" s="39">
        <f t="shared" si="6"/>
        <v>0</v>
      </c>
      <c r="N66" s="40"/>
      <c r="O66" s="34"/>
      <c r="P66" s="35"/>
      <c r="Q66" s="35"/>
      <c r="R66" s="35"/>
      <c r="S66" s="35"/>
      <c r="T66" s="35"/>
      <c r="U66" s="35"/>
      <c r="V66" s="35"/>
      <c r="W66" s="35"/>
      <c r="X66" s="35"/>
      <c r="Y66" s="35"/>
    </row>
    <row r="67" ht="14.25" customHeight="1">
      <c r="A67" s="221"/>
      <c r="B67" s="231"/>
      <c r="C67" s="233"/>
      <c r="D67" s="212"/>
      <c r="E67" s="213"/>
      <c r="F67" s="214"/>
      <c r="G67" s="506">
        <v>44805.0</v>
      </c>
      <c r="H67" s="36">
        <f t="shared" si="1"/>
        <v>0</v>
      </c>
      <c r="I67" s="37">
        <f t="shared" si="2"/>
        <v>0</v>
      </c>
      <c r="J67" s="38">
        <f t="shared" si="3"/>
        <v>0</v>
      </c>
      <c r="K67" s="39">
        <f t="shared" si="4"/>
        <v>0</v>
      </c>
      <c r="L67" s="38">
        <f t="shared" si="5"/>
        <v>0</v>
      </c>
      <c r="M67" s="39">
        <f t="shared" si="6"/>
        <v>0</v>
      </c>
      <c r="N67" s="40"/>
      <c r="O67" s="34"/>
      <c r="P67" s="35"/>
      <c r="Q67" s="35"/>
      <c r="R67" s="35"/>
      <c r="S67" s="35"/>
      <c r="T67" s="35"/>
      <c r="U67" s="35"/>
      <c r="V67" s="35"/>
      <c r="W67" s="35"/>
      <c r="X67" s="35"/>
      <c r="Y67" s="35"/>
    </row>
    <row r="68" ht="14.25" customHeight="1">
      <c r="A68" s="221"/>
      <c r="B68" s="231"/>
      <c r="C68" s="233"/>
      <c r="D68" s="212"/>
      <c r="E68" s="213"/>
      <c r="F68" s="214"/>
      <c r="G68" s="523">
        <v>44805.0</v>
      </c>
      <c r="H68" s="36">
        <f t="shared" si="1"/>
        <v>0</v>
      </c>
      <c r="I68" s="37">
        <f t="shared" si="2"/>
        <v>0</v>
      </c>
      <c r="J68" s="38">
        <f t="shared" si="3"/>
        <v>0</v>
      </c>
      <c r="K68" s="39">
        <f t="shared" si="4"/>
        <v>0</v>
      </c>
      <c r="L68" s="38">
        <f t="shared" si="5"/>
        <v>0</v>
      </c>
      <c r="M68" s="39">
        <f t="shared" si="6"/>
        <v>0</v>
      </c>
      <c r="N68" s="40"/>
      <c r="O68" s="34"/>
      <c r="P68" s="35"/>
      <c r="Q68" s="35"/>
      <c r="R68" s="35"/>
      <c r="S68" s="35"/>
      <c r="T68" s="35"/>
      <c r="U68" s="35"/>
      <c r="V68" s="35"/>
      <c r="W68" s="35"/>
      <c r="X68" s="35"/>
      <c r="Y68" s="35"/>
    </row>
    <row r="69" ht="14.25" customHeight="1">
      <c r="A69" s="221"/>
      <c r="B69" s="231"/>
      <c r="C69" s="233"/>
      <c r="D69" s="212"/>
      <c r="E69" s="213"/>
      <c r="F69" s="214"/>
      <c r="G69" s="506">
        <v>44805.0</v>
      </c>
      <c r="H69" s="36">
        <f t="shared" si="1"/>
        <v>0</v>
      </c>
      <c r="I69" s="37">
        <f t="shared" si="2"/>
        <v>0</v>
      </c>
      <c r="J69" s="38">
        <f t="shared" si="3"/>
        <v>0</v>
      </c>
      <c r="K69" s="39">
        <f t="shared" si="4"/>
        <v>0</v>
      </c>
      <c r="L69" s="38">
        <f t="shared" si="5"/>
        <v>0</v>
      </c>
      <c r="M69" s="39">
        <f t="shared" si="6"/>
        <v>0</v>
      </c>
      <c r="N69" s="40"/>
      <c r="O69" s="34"/>
      <c r="Q69" s="76"/>
      <c r="R69" s="76"/>
      <c r="S69" s="76"/>
      <c r="T69" s="76"/>
      <c r="U69" s="76"/>
      <c r="V69" s="76"/>
      <c r="W69" s="76"/>
      <c r="X69" s="76"/>
      <c r="Y69" s="76"/>
    </row>
    <row r="70" ht="14.25" customHeight="1">
      <c r="A70" s="221"/>
      <c r="B70" s="231"/>
      <c r="C70" s="233"/>
      <c r="D70" s="212"/>
      <c r="E70" s="213"/>
      <c r="F70" s="214"/>
      <c r="G70" s="523">
        <v>44805.0</v>
      </c>
      <c r="H70" s="36">
        <f t="shared" si="1"/>
        <v>0</v>
      </c>
      <c r="I70" s="37">
        <f t="shared" si="2"/>
        <v>0</v>
      </c>
      <c r="J70" s="38">
        <f t="shared" si="3"/>
        <v>0</v>
      </c>
      <c r="K70" s="39">
        <f t="shared" si="4"/>
        <v>0</v>
      </c>
      <c r="L70" s="38">
        <f t="shared" si="5"/>
        <v>0</v>
      </c>
      <c r="M70" s="39">
        <f t="shared" si="6"/>
        <v>0</v>
      </c>
      <c r="N70" s="40"/>
      <c r="O70" s="34"/>
      <c r="P70" s="35"/>
      <c r="Q70" s="35"/>
      <c r="R70" s="35"/>
      <c r="S70" s="35"/>
      <c r="T70" s="35"/>
      <c r="U70" s="35"/>
      <c r="V70" s="35"/>
      <c r="W70" s="35"/>
      <c r="X70" s="35"/>
      <c r="Y70" s="35"/>
    </row>
    <row r="71" ht="14.25" customHeight="1">
      <c r="A71" s="221"/>
      <c r="B71" s="231"/>
      <c r="C71" s="233"/>
      <c r="D71" s="212"/>
      <c r="E71" s="213"/>
      <c r="F71" s="214"/>
      <c r="G71" s="506">
        <v>44805.0</v>
      </c>
      <c r="H71" s="36">
        <f t="shared" si="1"/>
        <v>0</v>
      </c>
      <c r="I71" s="37">
        <f t="shared" si="2"/>
        <v>0</v>
      </c>
      <c r="J71" s="38">
        <f t="shared" si="3"/>
        <v>0</v>
      </c>
      <c r="K71" s="39">
        <f t="shared" si="4"/>
        <v>0</v>
      </c>
      <c r="L71" s="38">
        <f t="shared" si="5"/>
        <v>0</v>
      </c>
      <c r="M71" s="39">
        <f t="shared" si="6"/>
        <v>0</v>
      </c>
      <c r="N71" s="40"/>
      <c r="O71" s="34"/>
      <c r="Q71" s="76"/>
      <c r="R71" s="76"/>
      <c r="S71" s="76"/>
      <c r="T71" s="76"/>
      <c r="U71" s="76"/>
      <c r="V71" s="76"/>
      <c r="W71" s="76"/>
      <c r="X71" s="76"/>
      <c r="Y71" s="76"/>
    </row>
    <row r="72" ht="14.25" customHeight="1">
      <c r="A72" s="221"/>
      <c r="B72" s="231"/>
      <c r="C72" s="233"/>
      <c r="D72" s="212"/>
      <c r="E72" s="213"/>
      <c r="F72" s="214"/>
      <c r="G72" s="523">
        <v>44805.0</v>
      </c>
      <c r="H72" s="36">
        <f t="shared" si="1"/>
        <v>0</v>
      </c>
      <c r="I72" s="37">
        <f t="shared" si="2"/>
        <v>0</v>
      </c>
      <c r="J72" s="38">
        <f t="shared" si="3"/>
        <v>0</v>
      </c>
      <c r="K72" s="39">
        <f t="shared" si="4"/>
        <v>0</v>
      </c>
      <c r="L72" s="38">
        <f t="shared" si="5"/>
        <v>0</v>
      </c>
      <c r="M72" s="39">
        <f t="shared" si="6"/>
        <v>0</v>
      </c>
      <c r="N72" s="40"/>
      <c r="O72" s="34"/>
      <c r="P72" s="35"/>
      <c r="Q72" s="35"/>
      <c r="R72" s="35"/>
      <c r="S72" s="35"/>
      <c r="T72" s="35"/>
      <c r="U72" s="35"/>
      <c r="V72" s="35"/>
      <c r="W72" s="35"/>
      <c r="X72" s="35"/>
      <c r="Y72" s="35"/>
    </row>
    <row r="73" ht="14.25" customHeight="1">
      <c r="A73" s="221"/>
      <c r="B73" s="231"/>
      <c r="C73" s="233"/>
      <c r="D73" s="212"/>
      <c r="E73" s="213"/>
      <c r="F73" s="214"/>
      <c r="G73" s="506">
        <v>44805.0</v>
      </c>
      <c r="H73" s="36">
        <f t="shared" si="1"/>
        <v>0</v>
      </c>
      <c r="I73" s="37">
        <f t="shared" si="2"/>
        <v>0</v>
      </c>
      <c r="J73" s="38">
        <f t="shared" si="3"/>
        <v>0</v>
      </c>
      <c r="K73" s="39">
        <f t="shared" si="4"/>
        <v>0</v>
      </c>
      <c r="L73" s="38">
        <f t="shared" si="5"/>
        <v>0</v>
      </c>
      <c r="M73" s="39">
        <f t="shared" si="6"/>
        <v>0</v>
      </c>
      <c r="N73" s="40"/>
      <c r="O73" s="34"/>
      <c r="P73" s="35"/>
      <c r="Q73" s="35"/>
      <c r="R73" s="35"/>
      <c r="S73" s="35"/>
      <c r="T73" s="35"/>
      <c r="U73" s="35"/>
      <c r="V73" s="35"/>
      <c r="W73" s="35"/>
      <c r="X73" s="35"/>
      <c r="Y73" s="35"/>
    </row>
    <row r="74" ht="14.25" customHeight="1">
      <c r="A74" s="221"/>
      <c r="B74" s="231"/>
      <c r="C74" s="233"/>
      <c r="D74" s="212"/>
      <c r="E74" s="213"/>
      <c r="F74" s="214"/>
      <c r="G74" s="523">
        <v>44805.0</v>
      </c>
      <c r="H74" s="36">
        <f t="shared" si="1"/>
        <v>0</v>
      </c>
      <c r="I74" s="37">
        <f t="shared" si="2"/>
        <v>0</v>
      </c>
      <c r="J74" s="38">
        <f t="shared" si="3"/>
        <v>0</v>
      </c>
      <c r="K74" s="39">
        <f t="shared" si="4"/>
        <v>0</v>
      </c>
      <c r="L74" s="38">
        <f t="shared" si="5"/>
        <v>0</v>
      </c>
      <c r="M74" s="39">
        <f t="shared" si="6"/>
        <v>0</v>
      </c>
      <c r="N74" s="40"/>
      <c r="O74" s="34"/>
      <c r="P74" s="35"/>
      <c r="Q74" s="35"/>
      <c r="R74" s="35"/>
      <c r="S74" s="35"/>
      <c r="T74" s="35"/>
      <c r="U74" s="35"/>
      <c r="V74" s="35"/>
      <c r="W74" s="35"/>
      <c r="X74" s="35"/>
      <c r="Y74" s="35"/>
    </row>
    <row r="75" ht="14.25" customHeight="1">
      <c r="A75" s="221"/>
      <c r="B75" s="231"/>
      <c r="C75" s="233"/>
      <c r="D75" s="212"/>
      <c r="E75" s="213"/>
      <c r="F75" s="214"/>
      <c r="G75" s="506">
        <v>44805.0</v>
      </c>
      <c r="H75" s="36">
        <f t="shared" si="1"/>
        <v>0</v>
      </c>
      <c r="I75" s="37">
        <f t="shared" si="2"/>
        <v>0</v>
      </c>
      <c r="J75" s="38">
        <f t="shared" si="3"/>
        <v>0</v>
      </c>
      <c r="K75" s="39">
        <f t="shared" si="4"/>
        <v>0</v>
      </c>
      <c r="L75" s="38">
        <f t="shared" si="5"/>
        <v>0</v>
      </c>
      <c r="M75" s="39">
        <f t="shared" si="6"/>
        <v>0</v>
      </c>
      <c r="N75" s="40"/>
      <c r="O75" s="34"/>
      <c r="P75" s="35"/>
      <c r="Q75" s="35"/>
      <c r="R75" s="35"/>
      <c r="S75" s="35"/>
      <c r="T75" s="35"/>
      <c r="U75" s="35"/>
      <c r="V75" s="35"/>
      <c r="W75" s="35"/>
      <c r="X75" s="35"/>
      <c r="Y75" s="35"/>
    </row>
    <row r="76" ht="14.25" customHeight="1">
      <c r="A76" s="221"/>
      <c r="B76" s="231"/>
      <c r="C76" s="233"/>
      <c r="D76" s="212"/>
      <c r="E76" s="213"/>
      <c r="F76" s="214"/>
      <c r="G76" s="523">
        <v>44805.0</v>
      </c>
      <c r="H76" s="36">
        <f t="shared" si="1"/>
        <v>0</v>
      </c>
      <c r="I76" s="37">
        <f t="shared" si="2"/>
        <v>0</v>
      </c>
      <c r="J76" s="38">
        <f t="shared" si="3"/>
        <v>0</v>
      </c>
      <c r="K76" s="39">
        <f t="shared" si="4"/>
        <v>0</v>
      </c>
      <c r="L76" s="38">
        <f t="shared" si="5"/>
        <v>0</v>
      </c>
      <c r="M76" s="39">
        <f t="shared" si="6"/>
        <v>0</v>
      </c>
      <c r="N76" s="40"/>
      <c r="O76" s="34"/>
      <c r="P76" s="35"/>
      <c r="Q76" s="35"/>
      <c r="R76" s="35"/>
      <c r="S76" s="35"/>
      <c r="T76" s="35"/>
      <c r="U76" s="35"/>
      <c r="V76" s="35"/>
      <c r="W76" s="35"/>
      <c r="X76" s="35"/>
      <c r="Y76" s="35"/>
    </row>
    <row r="77" ht="14.25" customHeight="1">
      <c r="A77" s="221"/>
      <c r="B77" s="231"/>
      <c r="C77" s="233"/>
      <c r="D77" s="212"/>
      <c r="E77" s="213"/>
      <c r="F77" s="214"/>
      <c r="G77" s="506">
        <v>44805.0</v>
      </c>
      <c r="H77" s="36">
        <f t="shared" si="1"/>
        <v>0</v>
      </c>
      <c r="I77" s="37">
        <f t="shared" si="2"/>
        <v>0</v>
      </c>
      <c r="J77" s="38">
        <f t="shared" si="3"/>
        <v>0</v>
      </c>
      <c r="K77" s="39">
        <f t="shared" si="4"/>
        <v>0</v>
      </c>
      <c r="L77" s="38">
        <f t="shared" si="5"/>
        <v>0</v>
      </c>
      <c r="M77" s="39">
        <f t="shared" si="6"/>
        <v>0</v>
      </c>
      <c r="N77" s="40"/>
      <c r="O77" s="34"/>
      <c r="P77" s="35"/>
      <c r="Q77" s="35"/>
      <c r="R77" s="35"/>
      <c r="S77" s="35"/>
      <c r="T77" s="35"/>
      <c r="U77" s="35"/>
      <c r="V77" s="35"/>
      <c r="W77" s="35"/>
      <c r="X77" s="35"/>
      <c r="Y77" s="35"/>
    </row>
    <row r="78" ht="14.25" customHeight="1">
      <c r="A78" s="221"/>
      <c r="B78" s="231"/>
      <c r="C78" s="233"/>
      <c r="D78" s="212"/>
      <c r="E78" s="213"/>
      <c r="F78" s="214"/>
      <c r="G78" s="523">
        <v>44805.0</v>
      </c>
      <c r="H78" s="36">
        <f t="shared" si="1"/>
        <v>0</v>
      </c>
      <c r="I78" s="37">
        <f t="shared" si="2"/>
        <v>0</v>
      </c>
      <c r="J78" s="38">
        <f t="shared" si="3"/>
        <v>0</v>
      </c>
      <c r="K78" s="39">
        <f t="shared" si="4"/>
        <v>0</v>
      </c>
      <c r="L78" s="38">
        <f t="shared" si="5"/>
        <v>0</v>
      </c>
      <c r="M78" s="39">
        <f t="shared" si="6"/>
        <v>0</v>
      </c>
      <c r="N78" s="40"/>
      <c r="O78" s="34"/>
      <c r="P78" s="35"/>
      <c r="Q78" s="35"/>
      <c r="R78" s="35"/>
      <c r="S78" s="35"/>
      <c r="T78" s="35"/>
      <c r="U78" s="35"/>
      <c r="V78" s="35"/>
      <c r="W78" s="35"/>
      <c r="X78" s="35"/>
      <c r="Y78" s="35"/>
    </row>
    <row r="79" ht="14.25" customHeight="1">
      <c r="A79" s="221"/>
      <c r="B79" s="231"/>
      <c r="C79" s="233"/>
      <c r="D79" s="212"/>
      <c r="E79" s="213"/>
      <c r="F79" s="214"/>
      <c r="G79" s="506">
        <v>44805.0</v>
      </c>
      <c r="H79" s="36">
        <f t="shared" si="1"/>
        <v>0</v>
      </c>
      <c r="I79" s="37">
        <f t="shared" si="2"/>
        <v>0</v>
      </c>
      <c r="J79" s="38">
        <f t="shared" si="3"/>
        <v>0</v>
      </c>
      <c r="K79" s="39">
        <f t="shared" si="4"/>
        <v>0</v>
      </c>
      <c r="L79" s="38">
        <f t="shared" si="5"/>
        <v>0</v>
      </c>
      <c r="M79" s="39">
        <f t="shared" si="6"/>
        <v>0</v>
      </c>
      <c r="N79" s="40"/>
      <c r="O79" s="34"/>
      <c r="P79" s="35"/>
      <c r="Q79" s="35"/>
      <c r="R79" s="35"/>
      <c r="S79" s="35"/>
      <c r="T79" s="35"/>
      <c r="U79" s="35"/>
      <c r="V79" s="35"/>
      <c r="W79" s="35"/>
      <c r="X79" s="35"/>
      <c r="Y79" s="35"/>
    </row>
    <row r="80" ht="14.25" customHeight="1">
      <c r="A80" s="221"/>
      <c r="B80" s="231"/>
      <c r="C80" s="233"/>
      <c r="D80" s="212"/>
      <c r="E80" s="213"/>
      <c r="F80" s="214"/>
      <c r="G80" s="523">
        <v>44805.0</v>
      </c>
      <c r="H80" s="36">
        <f t="shared" si="1"/>
        <v>0</v>
      </c>
      <c r="I80" s="37">
        <f t="shared" si="2"/>
        <v>0</v>
      </c>
      <c r="J80" s="38">
        <f t="shared" si="3"/>
        <v>0</v>
      </c>
      <c r="K80" s="39">
        <f t="shared" si="4"/>
        <v>0</v>
      </c>
      <c r="L80" s="38">
        <f t="shared" si="5"/>
        <v>0</v>
      </c>
      <c r="M80" s="39">
        <f t="shared" si="6"/>
        <v>0</v>
      </c>
      <c r="N80" s="40"/>
      <c r="O80" s="34"/>
      <c r="P80" s="35"/>
      <c r="Q80" s="35"/>
      <c r="R80" s="35"/>
      <c r="S80" s="35"/>
      <c r="T80" s="35"/>
      <c r="U80" s="35"/>
      <c r="V80" s="35"/>
      <c r="W80" s="35"/>
      <c r="X80" s="35"/>
      <c r="Y80" s="35"/>
    </row>
    <row r="81" ht="14.25" customHeight="1">
      <c r="A81" s="221"/>
      <c r="B81" s="231"/>
      <c r="C81" s="233"/>
      <c r="D81" s="212"/>
      <c r="E81" s="213"/>
      <c r="F81" s="214"/>
      <c r="G81" s="506">
        <v>44805.0</v>
      </c>
      <c r="H81" s="36">
        <f t="shared" si="1"/>
        <v>0</v>
      </c>
      <c r="I81" s="37">
        <f t="shared" si="2"/>
        <v>0</v>
      </c>
      <c r="J81" s="38">
        <f t="shared" si="3"/>
        <v>0</v>
      </c>
      <c r="K81" s="39">
        <f t="shared" si="4"/>
        <v>0</v>
      </c>
      <c r="L81" s="38">
        <f t="shared" si="5"/>
        <v>0</v>
      </c>
      <c r="M81" s="39">
        <f t="shared" si="6"/>
        <v>0</v>
      </c>
      <c r="N81" s="40"/>
      <c r="O81" s="34"/>
      <c r="P81" s="35"/>
      <c r="Q81" s="35"/>
      <c r="R81" s="35"/>
      <c r="S81" s="35"/>
      <c r="T81" s="35"/>
      <c r="U81" s="35"/>
      <c r="V81" s="35"/>
      <c r="W81" s="35"/>
      <c r="X81" s="35"/>
      <c r="Y81" s="35"/>
    </row>
    <row r="82" ht="14.25" customHeight="1">
      <c r="A82" s="221"/>
      <c r="B82" s="231"/>
      <c r="C82" s="233"/>
      <c r="D82" s="212"/>
      <c r="E82" s="213"/>
      <c r="F82" s="214"/>
      <c r="G82" s="523">
        <v>44805.0</v>
      </c>
      <c r="H82" s="36">
        <f t="shared" si="1"/>
        <v>0</v>
      </c>
      <c r="I82" s="37">
        <f t="shared" si="2"/>
        <v>0</v>
      </c>
      <c r="J82" s="38">
        <f t="shared" si="3"/>
        <v>0</v>
      </c>
      <c r="K82" s="39">
        <f t="shared" si="4"/>
        <v>0</v>
      </c>
      <c r="L82" s="38">
        <f t="shared" si="5"/>
        <v>0</v>
      </c>
      <c r="M82" s="39">
        <f t="shared" si="6"/>
        <v>0</v>
      </c>
      <c r="N82" s="40"/>
      <c r="O82" s="34"/>
      <c r="P82" s="35"/>
      <c r="Q82" s="35"/>
      <c r="R82" s="35"/>
      <c r="S82" s="35"/>
      <c r="T82" s="35"/>
      <c r="U82" s="35"/>
      <c r="V82" s="35"/>
      <c r="W82" s="35"/>
      <c r="X82" s="35"/>
      <c r="Y82" s="35"/>
    </row>
    <row r="83" ht="14.25" customHeight="1">
      <c r="A83" s="221"/>
      <c r="B83" s="231"/>
      <c r="C83" s="233"/>
      <c r="D83" s="212"/>
      <c r="E83" s="213"/>
      <c r="F83" s="214"/>
      <c r="G83" s="506">
        <v>44805.0</v>
      </c>
      <c r="H83" s="36">
        <f t="shared" si="1"/>
        <v>0</v>
      </c>
      <c r="I83" s="37">
        <f t="shared" si="2"/>
        <v>0</v>
      </c>
      <c r="J83" s="38">
        <f t="shared" si="3"/>
        <v>0</v>
      </c>
      <c r="K83" s="39">
        <f t="shared" si="4"/>
        <v>0</v>
      </c>
      <c r="L83" s="38">
        <f t="shared" si="5"/>
        <v>0</v>
      </c>
      <c r="M83" s="39">
        <f t="shared" si="6"/>
        <v>0</v>
      </c>
      <c r="N83" s="40"/>
      <c r="O83" s="34"/>
      <c r="P83" s="35"/>
      <c r="Q83" s="35"/>
      <c r="R83" s="35"/>
      <c r="S83" s="35"/>
      <c r="T83" s="35"/>
      <c r="U83" s="35"/>
      <c r="V83" s="35"/>
      <c r="W83" s="35"/>
      <c r="X83" s="35"/>
      <c r="Y83" s="35"/>
    </row>
    <row r="84" ht="14.25" customHeight="1">
      <c r="A84" s="221"/>
      <c r="B84" s="231"/>
      <c r="C84" s="233"/>
      <c r="D84" s="212"/>
      <c r="E84" s="213"/>
      <c r="F84" s="214"/>
      <c r="G84" s="523">
        <v>44805.0</v>
      </c>
      <c r="H84" s="36">
        <f t="shared" si="1"/>
        <v>0</v>
      </c>
      <c r="I84" s="37">
        <f t="shared" si="2"/>
        <v>0</v>
      </c>
      <c r="J84" s="38">
        <f t="shared" si="3"/>
        <v>0</v>
      </c>
      <c r="K84" s="39">
        <f t="shared" si="4"/>
        <v>0</v>
      </c>
      <c r="L84" s="38">
        <f t="shared" si="5"/>
        <v>0</v>
      </c>
      <c r="M84" s="39">
        <f t="shared" si="6"/>
        <v>0</v>
      </c>
      <c r="N84" s="40"/>
      <c r="O84" s="34"/>
      <c r="P84" s="35"/>
      <c r="Q84" s="35"/>
      <c r="R84" s="35"/>
      <c r="S84" s="35"/>
      <c r="T84" s="35"/>
      <c r="U84" s="35"/>
      <c r="V84" s="35"/>
      <c r="W84" s="35"/>
      <c r="X84" s="35"/>
      <c r="Y84" s="35"/>
    </row>
    <row r="85" ht="14.25" customHeight="1">
      <c r="A85" s="221"/>
      <c r="B85" s="231"/>
      <c r="C85" s="233"/>
      <c r="D85" s="212"/>
      <c r="E85" s="213"/>
      <c r="F85" s="214"/>
      <c r="G85" s="506">
        <v>44805.0</v>
      </c>
      <c r="H85" s="36">
        <f t="shared" si="1"/>
        <v>0</v>
      </c>
      <c r="I85" s="37">
        <f t="shared" si="2"/>
        <v>0</v>
      </c>
      <c r="J85" s="38">
        <f t="shared" si="3"/>
        <v>0</v>
      </c>
      <c r="K85" s="39">
        <f t="shared" si="4"/>
        <v>0</v>
      </c>
      <c r="L85" s="38">
        <f t="shared" si="5"/>
        <v>0</v>
      </c>
      <c r="M85" s="39">
        <f t="shared" si="6"/>
        <v>0</v>
      </c>
      <c r="N85" s="40"/>
      <c r="O85" s="34"/>
      <c r="P85" s="35"/>
      <c r="Q85" s="35"/>
      <c r="R85" s="35"/>
      <c r="S85" s="35"/>
      <c r="T85" s="35"/>
      <c r="U85" s="35"/>
      <c r="V85" s="35"/>
      <c r="W85" s="35"/>
      <c r="X85" s="35"/>
      <c r="Y85" s="35"/>
    </row>
    <row r="86" ht="14.25" customHeight="1">
      <c r="A86" s="221"/>
      <c r="B86" s="231"/>
      <c r="C86" s="233"/>
      <c r="D86" s="212"/>
      <c r="E86" s="213"/>
      <c r="F86" s="214"/>
      <c r="G86" s="523">
        <v>44805.0</v>
      </c>
      <c r="H86" s="36">
        <f t="shared" si="1"/>
        <v>0</v>
      </c>
      <c r="I86" s="37">
        <f t="shared" si="2"/>
        <v>0</v>
      </c>
      <c r="J86" s="38">
        <f t="shared" si="3"/>
        <v>0</v>
      </c>
      <c r="K86" s="39">
        <f t="shared" si="4"/>
        <v>0</v>
      </c>
      <c r="L86" s="38">
        <f t="shared" si="5"/>
        <v>0</v>
      </c>
      <c r="M86" s="39">
        <f t="shared" si="6"/>
        <v>0</v>
      </c>
      <c r="N86" s="40"/>
      <c r="O86" s="78"/>
      <c r="P86" s="76"/>
      <c r="Q86" s="76"/>
      <c r="R86" s="76"/>
      <c r="S86" s="76"/>
      <c r="T86" s="76"/>
      <c r="U86" s="76"/>
      <c r="V86" s="76"/>
      <c r="W86" s="76"/>
      <c r="X86" s="76"/>
      <c r="Y86" s="76"/>
    </row>
    <row r="87" ht="14.25" customHeight="1">
      <c r="A87" s="221"/>
      <c r="B87" s="231"/>
      <c r="C87" s="233"/>
      <c r="D87" s="212"/>
      <c r="E87" s="213"/>
      <c r="F87" s="214"/>
      <c r="G87" s="506">
        <v>44805.0</v>
      </c>
      <c r="H87" s="36">
        <f t="shared" si="1"/>
        <v>0</v>
      </c>
      <c r="I87" s="37">
        <f t="shared" si="2"/>
        <v>0</v>
      </c>
      <c r="J87" s="38">
        <f t="shared" si="3"/>
        <v>0</v>
      </c>
      <c r="K87" s="39">
        <f t="shared" si="4"/>
        <v>0</v>
      </c>
      <c r="L87" s="38">
        <f t="shared" si="5"/>
        <v>0</v>
      </c>
      <c r="M87" s="39">
        <f t="shared" si="6"/>
        <v>0</v>
      </c>
      <c r="N87" s="40"/>
      <c r="O87" s="78"/>
      <c r="P87" s="35"/>
      <c r="Q87" s="35"/>
      <c r="R87" s="35"/>
      <c r="S87" s="35"/>
      <c r="T87" s="35"/>
      <c r="U87" s="35"/>
      <c r="V87" s="35"/>
      <c r="W87" s="35"/>
      <c r="X87" s="35"/>
      <c r="Y87" s="35"/>
    </row>
    <row r="88" ht="14.25" customHeight="1">
      <c r="A88" s="221"/>
      <c r="B88" s="231"/>
      <c r="C88" s="233"/>
      <c r="D88" s="212"/>
      <c r="E88" s="213"/>
      <c r="F88" s="214"/>
      <c r="G88" s="523">
        <v>44805.0</v>
      </c>
      <c r="H88" s="36">
        <f t="shared" si="1"/>
        <v>0</v>
      </c>
      <c r="I88" s="37">
        <f t="shared" si="2"/>
        <v>0</v>
      </c>
      <c r="J88" s="38">
        <f t="shared" si="3"/>
        <v>0</v>
      </c>
      <c r="K88" s="39">
        <f t="shared" si="4"/>
        <v>0</v>
      </c>
      <c r="L88" s="38">
        <f t="shared" si="5"/>
        <v>0</v>
      </c>
      <c r="M88" s="39">
        <f t="shared" si="6"/>
        <v>0</v>
      </c>
      <c r="N88" s="40"/>
      <c r="O88" s="78"/>
      <c r="P88" s="35"/>
      <c r="Q88" s="35"/>
      <c r="R88" s="35"/>
      <c r="S88" s="35"/>
      <c r="T88" s="35"/>
      <c r="U88" s="35"/>
      <c r="V88" s="35"/>
      <c r="W88" s="35"/>
      <c r="X88" s="35"/>
      <c r="Y88" s="35"/>
    </row>
    <row r="89" ht="14.25" customHeight="1">
      <c r="A89" s="221"/>
      <c r="B89" s="231"/>
      <c r="C89" s="233"/>
      <c r="D89" s="212"/>
      <c r="E89" s="213"/>
      <c r="F89" s="214"/>
      <c r="G89" s="506">
        <v>44805.0</v>
      </c>
      <c r="H89" s="36">
        <f t="shared" si="1"/>
        <v>0</v>
      </c>
      <c r="I89" s="37">
        <f t="shared" si="2"/>
        <v>0</v>
      </c>
      <c r="J89" s="38">
        <f t="shared" si="3"/>
        <v>0</v>
      </c>
      <c r="K89" s="39">
        <f t="shared" si="4"/>
        <v>0</v>
      </c>
      <c r="L89" s="38">
        <f t="shared" si="5"/>
        <v>0</v>
      </c>
      <c r="M89" s="39">
        <f t="shared" si="6"/>
        <v>0</v>
      </c>
      <c r="N89" s="40"/>
      <c r="O89" s="34"/>
      <c r="P89" s="35"/>
      <c r="Q89" s="35"/>
      <c r="R89" s="35"/>
      <c r="S89" s="35"/>
      <c r="T89" s="35"/>
      <c r="U89" s="35"/>
      <c r="V89" s="35"/>
      <c r="W89" s="35"/>
      <c r="X89" s="35"/>
      <c r="Y89" s="35"/>
    </row>
    <row r="90" ht="14.25" customHeight="1">
      <c r="A90" s="221"/>
      <c r="B90" s="231"/>
      <c r="C90" s="233"/>
      <c r="D90" s="212"/>
      <c r="E90" s="213"/>
      <c r="F90" s="214"/>
      <c r="G90" s="523">
        <v>44805.0</v>
      </c>
      <c r="H90" s="36">
        <f t="shared" si="1"/>
        <v>0</v>
      </c>
      <c r="I90" s="37">
        <f t="shared" si="2"/>
        <v>0</v>
      </c>
      <c r="J90" s="38">
        <f t="shared" si="3"/>
        <v>0</v>
      </c>
      <c r="K90" s="39">
        <f t="shared" si="4"/>
        <v>0</v>
      </c>
      <c r="L90" s="38">
        <f t="shared" si="5"/>
        <v>0</v>
      </c>
      <c r="M90" s="39">
        <f t="shared" si="6"/>
        <v>0</v>
      </c>
      <c r="N90" s="40"/>
      <c r="O90" s="78"/>
      <c r="P90" s="35"/>
      <c r="Q90" s="35"/>
      <c r="R90" s="35"/>
      <c r="S90" s="35"/>
      <c r="T90" s="35"/>
      <c r="U90" s="35"/>
      <c r="V90" s="35"/>
      <c r="W90" s="35"/>
      <c r="X90" s="35"/>
      <c r="Y90" s="35"/>
    </row>
    <row r="91" ht="14.25" customHeight="1">
      <c r="A91" s="221"/>
      <c r="B91" s="231"/>
      <c r="C91" s="233"/>
      <c r="D91" s="212"/>
      <c r="E91" s="213"/>
      <c r="F91" s="214"/>
      <c r="G91" s="506">
        <v>44805.0</v>
      </c>
      <c r="H91" s="36">
        <f t="shared" si="1"/>
        <v>0</v>
      </c>
      <c r="I91" s="37">
        <f t="shared" si="2"/>
        <v>0</v>
      </c>
      <c r="J91" s="38">
        <f t="shared" si="3"/>
        <v>0</v>
      </c>
      <c r="K91" s="39">
        <f t="shared" si="4"/>
        <v>0</v>
      </c>
      <c r="L91" s="38">
        <f t="shared" si="5"/>
        <v>0</v>
      </c>
      <c r="M91" s="39">
        <f t="shared" si="6"/>
        <v>0</v>
      </c>
      <c r="N91" s="40"/>
      <c r="O91" s="34"/>
      <c r="P91" s="35"/>
      <c r="Q91" s="35"/>
      <c r="R91" s="35"/>
      <c r="S91" s="35"/>
      <c r="T91" s="35"/>
      <c r="U91" s="35"/>
      <c r="V91" s="35"/>
      <c r="W91" s="35"/>
      <c r="X91" s="35"/>
      <c r="Y91" s="35"/>
    </row>
    <row r="92" ht="14.25" customHeight="1">
      <c r="A92" s="221"/>
      <c r="B92" s="231"/>
      <c r="C92" s="233"/>
      <c r="D92" s="212"/>
      <c r="E92" s="213"/>
      <c r="F92" s="214"/>
      <c r="G92" s="523">
        <v>44805.0</v>
      </c>
      <c r="H92" s="36">
        <f t="shared" si="1"/>
        <v>0</v>
      </c>
      <c r="I92" s="37">
        <f t="shared" si="2"/>
        <v>0</v>
      </c>
      <c r="J92" s="38">
        <f t="shared" si="3"/>
        <v>0</v>
      </c>
      <c r="K92" s="39">
        <f t="shared" si="4"/>
        <v>0</v>
      </c>
      <c r="L92" s="38">
        <f t="shared" si="5"/>
        <v>0</v>
      </c>
      <c r="M92" s="39">
        <f t="shared" si="6"/>
        <v>0</v>
      </c>
      <c r="N92" s="40"/>
      <c r="O92" s="78"/>
      <c r="P92" s="35"/>
      <c r="Q92" s="35"/>
      <c r="R92" s="35"/>
      <c r="S92" s="35"/>
      <c r="T92" s="35"/>
      <c r="U92" s="35"/>
      <c r="V92" s="35"/>
      <c r="W92" s="35"/>
      <c r="X92" s="35"/>
      <c r="Y92" s="35"/>
    </row>
    <row r="93" ht="14.25" customHeight="1">
      <c r="A93" s="221"/>
      <c r="B93" s="231"/>
      <c r="C93" s="233"/>
      <c r="D93" s="212"/>
      <c r="E93" s="213"/>
      <c r="F93" s="214"/>
      <c r="G93" s="506">
        <v>44805.0</v>
      </c>
      <c r="H93" s="36">
        <f t="shared" si="1"/>
        <v>0</v>
      </c>
      <c r="I93" s="37">
        <f t="shared" si="2"/>
        <v>0</v>
      </c>
      <c r="J93" s="38">
        <f t="shared" si="3"/>
        <v>0</v>
      </c>
      <c r="K93" s="39">
        <f t="shared" si="4"/>
        <v>0</v>
      </c>
      <c r="L93" s="38">
        <f t="shared" si="5"/>
        <v>0</v>
      </c>
      <c r="M93" s="39">
        <f t="shared" si="6"/>
        <v>0</v>
      </c>
      <c r="N93" s="40"/>
      <c r="O93" s="78"/>
      <c r="P93" s="35"/>
      <c r="Q93" s="35"/>
      <c r="R93" s="35"/>
      <c r="S93" s="35"/>
      <c r="T93" s="35"/>
      <c r="U93" s="35"/>
      <c r="V93" s="35"/>
      <c r="W93" s="35"/>
      <c r="X93" s="35"/>
      <c r="Y93" s="35"/>
    </row>
    <row r="94" ht="14.25" customHeight="1">
      <c r="A94" s="221"/>
      <c r="B94" s="231"/>
      <c r="C94" s="233"/>
      <c r="D94" s="212"/>
      <c r="E94" s="213"/>
      <c r="F94" s="214"/>
      <c r="G94" s="523">
        <v>44805.0</v>
      </c>
      <c r="H94" s="36">
        <f t="shared" si="1"/>
        <v>0</v>
      </c>
      <c r="I94" s="37">
        <f t="shared" si="2"/>
        <v>0</v>
      </c>
      <c r="J94" s="38">
        <f t="shared" si="3"/>
        <v>0</v>
      </c>
      <c r="K94" s="39">
        <f t="shared" si="4"/>
        <v>0</v>
      </c>
      <c r="L94" s="38">
        <f t="shared" si="5"/>
        <v>0</v>
      </c>
      <c r="M94" s="39">
        <f t="shared" si="6"/>
        <v>0</v>
      </c>
      <c r="N94" s="40"/>
      <c r="O94" s="78"/>
      <c r="P94" s="35"/>
      <c r="Q94" s="35"/>
      <c r="R94" s="35"/>
      <c r="S94" s="35"/>
      <c r="T94" s="35"/>
      <c r="U94" s="35"/>
      <c r="V94" s="35"/>
      <c r="W94" s="35"/>
      <c r="X94" s="35"/>
      <c r="Y94" s="35"/>
    </row>
    <row r="95" ht="14.25" customHeight="1">
      <c r="A95" s="221"/>
      <c r="B95" s="231"/>
      <c r="C95" s="233"/>
      <c r="D95" s="212"/>
      <c r="E95" s="213"/>
      <c r="F95" s="214"/>
      <c r="G95" s="506">
        <v>44805.0</v>
      </c>
      <c r="H95" s="36">
        <f t="shared" si="1"/>
        <v>0</v>
      </c>
      <c r="I95" s="37">
        <f t="shared" si="2"/>
        <v>0</v>
      </c>
      <c r="J95" s="38">
        <f t="shared" si="3"/>
        <v>0</v>
      </c>
      <c r="K95" s="39">
        <f t="shared" si="4"/>
        <v>0</v>
      </c>
      <c r="L95" s="38">
        <f t="shared" si="5"/>
        <v>0</v>
      </c>
      <c r="M95" s="39">
        <f t="shared" si="6"/>
        <v>0</v>
      </c>
      <c r="N95" s="40"/>
      <c r="O95" s="34"/>
      <c r="P95" s="35"/>
      <c r="Q95" s="35"/>
      <c r="R95" s="35"/>
      <c r="S95" s="35"/>
      <c r="T95" s="35"/>
      <c r="U95" s="35"/>
      <c r="V95" s="35"/>
      <c r="W95" s="35"/>
      <c r="X95" s="35"/>
      <c r="Y95" s="35"/>
    </row>
    <row r="96" ht="14.25" customHeight="1">
      <c r="A96" s="221"/>
      <c r="B96" s="231"/>
      <c r="C96" s="233"/>
      <c r="D96" s="212"/>
      <c r="E96" s="213"/>
      <c r="F96" s="214"/>
      <c r="G96" s="523">
        <v>44805.0</v>
      </c>
      <c r="H96" s="36">
        <f t="shared" si="1"/>
        <v>0</v>
      </c>
      <c r="I96" s="37">
        <f t="shared" si="2"/>
        <v>0</v>
      </c>
      <c r="J96" s="38">
        <f t="shared" si="3"/>
        <v>0</v>
      </c>
      <c r="K96" s="39">
        <f t="shared" si="4"/>
        <v>0</v>
      </c>
      <c r="L96" s="38">
        <f t="shared" si="5"/>
        <v>0</v>
      </c>
      <c r="M96" s="39">
        <f t="shared" si="6"/>
        <v>0</v>
      </c>
      <c r="N96" s="40"/>
      <c r="O96" s="34"/>
      <c r="P96" s="35"/>
      <c r="Q96" s="35"/>
      <c r="R96" s="35"/>
      <c r="S96" s="35"/>
      <c r="T96" s="35"/>
      <c r="U96" s="35"/>
      <c r="V96" s="35"/>
      <c r="W96" s="35"/>
      <c r="X96" s="35"/>
      <c r="Y96" s="35"/>
    </row>
    <row r="97" ht="14.25" customHeight="1">
      <c r="A97" s="221"/>
      <c r="B97" s="231"/>
      <c r="C97" s="233"/>
      <c r="D97" s="212"/>
      <c r="E97" s="213"/>
      <c r="F97" s="214"/>
      <c r="G97" s="506">
        <v>44805.0</v>
      </c>
      <c r="H97" s="36">
        <f t="shared" si="1"/>
        <v>0</v>
      </c>
      <c r="I97" s="37">
        <f t="shared" si="2"/>
        <v>0</v>
      </c>
      <c r="J97" s="38">
        <f t="shared" si="3"/>
        <v>0</v>
      </c>
      <c r="K97" s="39">
        <f t="shared" si="4"/>
        <v>0</v>
      </c>
      <c r="L97" s="38">
        <f t="shared" si="5"/>
        <v>0</v>
      </c>
      <c r="M97" s="39">
        <f t="shared" si="6"/>
        <v>0</v>
      </c>
      <c r="N97" s="40"/>
      <c r="O97" s="34"/>
      <c r="P97" s="35"/>
      <c r="Q97" s="35"/>
      <c r="R97" s="35"/>
      <c r="S97" s="35"/>
      <c r="T97" s="35"/>
      <c r="U97" s="35"/>
      <c r="V97" s="35"/>
      <c r="W97" s="35"/>
      <c r="X97" s="35"/>
      <c r="Y97" s="35"/>
    </row>
    <row r="98" ht="14.25" customHeight="1">
      <c r="A98" s="221"/>
      <c r="B98" s="231"/>
      <c r="C98" s="233"/>
      <c r="D98" s="212"/>
      <c r="E98" s="213"/>
      <c r="F98" s="214"/>
      <c r="G98" s="523">
        <v>44805.0</v>
      </c>
      <c r="H98" s="36">
        <f t="shared" si="1"/>
        <v>0</v>
      </c>
      <c r="I98" s="37">
        <f t="shared" si="2"/>
        <v>0</v>
      </c>
      <c r="J98" s="38">
        <f t="shared" si="3"/>
        <v>0</v>
      </c>
      <c r="K98" s="39">
        <f t="shared" si="4"/>
        <v>0</v>
      </c>
      <c r="L98" s="38">
        <f t="shared" si="5"/>
        <v>0</v>
      </c>
      <c r="M98" s="39">
        <f t="shared" si="6"/>
        <v>0</v>
      </c>
      <c r="N98" s="40"/>
      <c r="O98" s="34"/>
      <c r="P98" s="35"/>
      <c r="Q98" s="35"/>
      <c r="R98" s="35"/>
      <c r="S98" s="35"/>
      <c r="T98" s="35"/>
      <c r="U98" s="35"/>
      <c r="V98" s="35"/>
      <c r="W98" s="35"/>
      <c r="X98" s="35"/>
      <c r="Y98" s="35"/>
    </row>
    <row r="99" ht="14.25" customHeight="1">
      <c r="A99" s="221"/>
      <c r="B99" s="231"/>
      <c r="C99" s="233"/>
      <c r="D99" s="212"/>
      <c r="E99" s="213"/>
      <c r="F99" s="214"/>
      <c r="G99" s="506">
        <v>44805.0</v>
      </c>
      <c r="H99" s="36">
        <f t="shared" si="1"/>
        <v>0</v>
      </c>
      <c r="I99" s="37">
        <f t="shared" si="2"/>
        <v>0</v>
      </c>
      <c r="J99" s="38">
        <f t="shared" si="3"/>
        <v>0</v>
      </c>
      <c r="K99" s="39">
        <f t="shared" si="4"/>
        <v>0</v>
      </c>
      <c r="L99" s="38">
        <f t="shared" si="5"/>
        <v>0</v>
      </c>
      <c r="M99" s="39">
        <f t="shared" si="6"/>
        <v>0</v>
      </c>
      <c r="N99" s="40"/>
      <c r="O99" s="34"/>
      <c r="P99" s="35"/>
      <c r="Q99" s="35"/>
      <c r="R99" s="35"/>
      <c r="S99" s="35"/>
      <c r="T99" s="35"/>
      <c r="U99" s="35"/>
      <c r="V99" s="35"/>
      <c r="W99" s="35"/>
      <c r="X99" s="35"/>
      <c r="Y99" s="35"/>
    </row>
    <row r="100" ht="14.25" customHeight="1">
      <c r="A100" s="221"/>
      <c r="B100" s="231"/>
      <c r="C100" s="233"/>
      <c r="D100" s="212"/>
      <c r="E100" s="213"/>
      <c r="F100" s="214"/>
      <c r="G100" s="523">
        <v>44805.0</v>
      </c>
      <c r="H100" s="36">
        <f t="shared" si="1"/>
        <v>0</v>
      </c>
      <c r="I100" s="37">
        <f t="shared" si="2"/>
        <v>0</v>
      </c>
      <c r="J100" s="38">
        <f t="shared" si="3"/>
        <v>0</v>
      </c>
      <c r="K100" s="39">
        <f t="shared" si="4"/>
        <v>0</v>
      </c>
      <c r="L100" s="38">
        <f t="shared" si="5"/>
        <v>0</v>
      </c>
      <c r="M100" s="39">
        <f t="shared" si="6"/>
        <v>0</v>
      </c>
      <c r="N100" s="40"/>
      <c r="O100" s="34"/>
      <c r="P100" s="35"/>
      <c r="Q100" s="35"/>
      <c r="R100" s="35"/>
      <c r="S100" s="35"/>
      <c r="T100" s="35"/>
      <c r="U100" s="35"/>
      <c r="V100" s="35"/>
      <c r="W100" s="35"/>
      <c r="X100" s="35"/>
      <c r="Y100" s="35"/>
    </row>
    <row r="101" ht="14.25" customHeight="1">
      <c r="A101" s="221"/>
      <c r="B101" s="231"/>
      <c r="C101" s="233"/>
      <c r="D101" s="212"/>
      <c r="E101" s="213"/>
      <c r="F101" s="214"/>
      <c r="G101" s="506">
        <v>44805.0</v>
      </c>
      <c r="H101" s="36">
        <f t="shared" si="1"/>
        <v>0</v>
      </c>
      <c r="I101" s="37">
        <f t="shared" si="2"/>
        <v>0</v>
      </c>
      <c r="J101" s="38">
        <f t="shared" si="3"/>
        <v>0</v>
      </c>
      <c r="K101" s="39">
        <f t="shared" si="4"/>
        <v>0</v>
      </c>
      <c r="L101" s="38">
        <f t="shared" si="5"/>
        <v>0</v>
      </c>
      <c r="M101" s="39">
        <f t="shared" si="6"/>
        <v>0</v>
      </c>
      <c r="N101" s="40"/>
      <c r="O101" s="34"/>
      <c r="P101" s="35"/>
      <c r="Q101" s="35"/>
      <c r="R101" s="35"/>
      <c r="S101" s="35"/>
      <c r="T101" s="35"/>
      <c r="U101" s="35"/>
      <c r="V101" s="35"/>
      <c r="W101" s="35"/>
      <c r="X101" s="35"/>
      <c r="Y101" s="35"/>
    </row>
    <row r="102" ht="14.25" customHeight="1">
      <c r="A102" s="221"/>
      <c r="B102" s="231"/>
      <c r="C102" s="233"/>
      <c r="D102" s="212"/>
      <c r="E102" s="213"/>
      <c r="F102" s="214"/>
      <c r="G102" s="523">
        <v>44805.0</v>
      </c>
      <c r="H102" s="36">
        <f t="shared" si="1"/>
        <v>0</v>
      </c>
      <c r="I102" s="37">
        <f t="shared" si="2"/>
        <v>0</v>
      </c>
      <c r="J102" s="38">
        <f t="shared" si="3"/>
        <v>0</v>
      </c>
      <c r="K102" s="39">
        <f t="shared" si="4"/>
        <v>0</v>
      </c>
      <c r="L102" s="38">
        <f t="shared" si="5"/>
        <v>0</v>
      </c>
      <c r="M102" s="39">
        <f t="shared" si="6"/>
        <v>0</v>
      </c>
      <c r="N102" s="40"/>
      <c r="O102" s="78"/>
      <c r="P102" s="35"/>
      <c r="Q102" s="35"/>
      <c r="R102" s="35"/>
      <c r="S102" s="35"/>
      <c r="T102" s="35"/>
      <c r="U102" s="35"/>
      <c r="V102" s="35"/>
      <c r="W102" s="35"/>
      <c r="X102" s="35"/>
      <c r="Y102" s="35"/>
    </row>
    <row r="103" ht="14.25" customHeight="1">
      <c r="A103" s="221"/>
      <c r="B103" s="231"/>
      <c r="C103" s="233"/>
      <c r="D103" s="212"/>
      <c r="E103" s="213"/>
      <c r="F103" s="214"/>
      <c r="G103" s="506">
        <v>44805.0</v>
      </c>
      <c r="H103" s="36">
        <f t="shared" si="1"/>
        <v>0</v>
      </c>
      <c r="I103" s="37">
        <f t="shared" si="2"/>
        <v>0</v>
      </c>
      <c r="J103" s="38">
        <f t="shared" si="3"/>
        <v>0</v>
      </c>
      <c r="K103" s="39">
        <f t="shared" si="4"/>
        <v>0</v>
      </c>
      <c r="L103" s="38">
        <f t="shared" si="5"/>
        <v>0</v>
      </c>
      <c r="M103" s="39">
        <f t="shared" si="6"/>
        <v>0</v>
      </c>
      <c r="N103" s="40"/>
      <c r="O103" s="78"/>
      <c r="P103" s="35"/>
      <c r="Q103" s="35"/>
      <c r="R103" s="35"/>
      <c r="S103" s="35"/>
      <c r="T103" s="35"/>
      <c r="U103" s="35"/>
      <c r="V103" s="35"/>
      <c r="W103" s="35"/>
      <c r="X103" s="35"/>
      <c r="Y103" s="35"/>
    </row>
    <row r="104" ht="14.25" customHeight="1">
      <c r="A104" s="221"/>
      <c r="B104" s="231"/>
      <c r="C104" s="233"/>
      <c r="D104" s="212"/>
      <c r="E104" s="213"/>
      <c r="F104" s="214"/>
      <c r="G104" s="523">
        <v>44805.0</v>
      </c>
      <c r="H104" s="36">
        <f t="shared" si="1"/>
        <v>0</v>
      </c>
      <c r="I104" s="37">
        <f t="shared" si="2"/>
        <v>0</v>
      </c>
      <c r="J104" s="38">
        <f t="shared" si="3"/>
        <v>0</v>
      </c>
      <c r="K104" s="39">
        <f t="shared" si="4"/>
        <v>0</v>
      </c>
      <c r="L104" s="38">
        <f t="shared" si="5"/>
        <v>0</v>
      </c>
      <c r="M104" s="39">
        <f t="shared" si="6"/>
        <v>0</v>
      </c>
      <c r="N104" s="40"/>
      <c r="O104" s="78"/>
      <c r="P104" s="35"/>
      <c r="Q104" s="35"/>
      <c r="R104" s="35"/>
      <c r="S104" s="35"/>
      <c r="T104" s="35"/>
      <c r="U104" s="35"/>
      <c r="V104" s="35"/>
      <c r="W104" s="35"/>
      <c r="X104" s="35"/>
      <c r="Y104" s="35"/>
    </row>
    <row r="105" ht="14.25" customHeight="1">
      <c r="A105" s="221"/>
      <c r="B105" s="231"/>
      <c r="C105" s="233"/>
      <c r="D105" s="212"/>
      <c r="E105" s="213"/>
      <c r="F105" s="214"/>
      <c r="G105" s="506">
        <v>44805.0</v>
      </c>
      <c r="H105" s="36">
        <f t="shared" si="1"/>
        <v>0</v>
      </c>
      <c r="I105" s="37">
        <f t="shared" si="2"/>
        <v>0</v>
      </c>
      <c r="J105" s="38">
        <f t="shared" si="3"/>
        <v>0</v>
      </c>
      <c r="K105" s="39">
        <f t="shared" si="4"/>
        <v>0</v>
      </c>
      <c r="L105" s="38">
        <f t="shared" si="5"/>
        <v>0</v>
      </c>
      <c r="M105" s="39">
        <f t="shared" si="6"/>
        <v>0</v>
      </c>
      <c r="N105" s="40"/>
      <c r="O105" s="78"/>
      <c r="P105" s="35"/>
      <c r="Q105" s="35"/>
      <c r="R105" s="35"/>
      <c r="S105" s="35"/>
      <c r="T105" s="35"/>
      <c r="U105" s="35"/>
      <c r="V105" s="35"/>
      <c r="W105" s="35"/>
      <c r="X105" s="35"/>
      <c r="Y105" s="35"/>
    </row>
    <row r="106" ht="14.25" customHeight="1">
      <c r="A106" s="221"/>
      <c r="B106" s="231"/>
      <c r="C106" s="233"/>
      <c r="D106" s="212"/>
      <c r="E106" s="213"/>
      <c r="F106" s="214"/>
      <c r="G106" s="523">
        <v>44805.0</v>
      </c>
      <c r="H106" s="36">
        <f t="shared" si="1"/>
        <v>0</v>
      </c>
      <c r="I106" s="37">
        <f t="shared" si="2"/>
        <v>0</v>
      </c>
      <c r="J106" s="38">
        <f t="shared" si="3"/>
        <v>0</v>
      </c>
      <c r="K106" s="39">
        <f t="shared" si="4"/>
        <v>0</v>
      </c>
      <c r="L106" s="38">
        <f t="shared" si="5"/>
        <v>0</v>
      </c>
      <c r="M106" s="39">
        <f t="shared" si="6"/>
        <v>0</v>
      </c>
      <c r="N106" s="40"/>
      <c r="O106" s="78"/>
      <c r="P106" s="35"/>
      <c r="Q106" s="35"/>
      <c r="R106" s="35"/>
      <c r="S106" s="35"/>
      <c r="T106" s="35"/>
      <c r="U106" s="35"/>
      <c r="V106" s="35"/>
      <c r="W106" s="35"/>
      <c r="X106" s="35"/>
      <c r="Y106" s="35"/>
    </row>
    <row r="107" ht="14.25" customHeight="1">
      <c r="A107" s="221"/>
      <c r="B107" s="231"/>
      <c r="C107" s="233"/>
      <c r="D107" s="212"/>
      <c r="E107" s="213"/>
      <c r="F107" s="214"/>
      <c r="G107" s="506">
        <v>44805.0</v>
      </c>
      <c r="H107" s="36">
        <f t="shared" si="1"/>
        <v>0</v>
      </c>
      <c r="I107" s="37">
        <f t="shared" si="2"/>
        <v>0</v>
      </c>
      <c r="J107" s="38">
        <f t="shared" si="3"/>
        <v>0</v>
      </c>
      <c r="K107" s="39">
        <f t="shared" si="4"/>
        <v>0</v>
      </c>
      <c r="L107" s="38">
        <f t="shared" si="5"/>
        <v>0</v>
      </c>
      <c r="M107" s="39">
        <f t="shared" si="6"/>
        <v>0</v>
      </c>
      <c r="N107" s="40"/>
      <c r="O107" s="78"/>
      <c r="P107" s="35"/>
      <c r="Q107" s="35"/>
      <c r="R107" s="35"/>
      <c r="S107" s="35"/>
      <c r="T107" s="35"/>
      <c r="U107" s="35"/>
      <c r="V107" s="35"/>
      <c r="W107" s="35"/>
      <c r="X107" s="35"/>
      <c r="Y107" s="35"/>
    </row>
    <row r="108" ht="14.25" customHeight="1">
      <c r="A108" s="221"/>
      <c r="B108" s="231"/>
      <c r="C108" s="233"/>
      <c r="D108" s="212"/>
      <c r="E108" s="213"/>
      <c r="F108" s="214"/>
      <c r="G108" s="523">
        <v>44805.0</v>
      </c>
      <c r="H108" s="36">
        <f t="shared" si="1"/>
        <v>0</v>
      </c>
      <c r="I108" s="37">
        <f t="shared" si="2"/>
        <v>0</v>
      </c>
      <c r="J108" s="38">
        <f t="shared" si="3"/>
        <v>0</v>
      </c>
      <c r="K108" s="39">
        <f t="shared" si="4"/>
        <v>0</v>
      </c>
      <c r="L108" s="38">
        <f t="shared" si="5"/>
        <v>0</v>
      </c>
      <c r="M108" s="39">
        <f t="shared" si="6"/>
        <v>0</v>
      </c>
      <c r="N108" s="40"/>
      <c r="O108" s="78"/>
      <c r="P108" s="35"/>
      <c r="Q108" s="35"/>
      <c r="R108" s="35"/>
      <c r="S108" s="35"/>
      <c r="T108" s="35"/>
      <c r="U108" s="35"/>
      <c r="V108" s="35"/>
      <c r="W108" s="35"/>
      <c r="X108" s="35"/>
      <c r="Y108" s="35"/>
    </row>
    <row r="109" ht="14.25" customHeight="1">
      <c r="A109" s="221"/>
      <c r="B109" s="231"/>
      <c r="C109" s="233"/>
      <c r="D109" s="212"/>
      <c r="E109" s="213"/>
      <c r="F109" s="214"/>
      <c r="G109" s="506">
        <v>44805.0</v>
      </c>
      <c r="H109" s="36">
        <f t="shared" si="1"/>
        <v>0</v>
      </c>
      <c r="I109" s="37">
        <f t="shared" si="2"/>
        <v>0</v>
      </c>
      <c r="J109" s="38">
        <f t="shared" si="3"/>
        <v>0</v>
      </c>
      <c r="K109" s="39">
        <f t="shared" si="4"/>
        <v>0</v>
      </c>
      <c r="L109" s="38">
        <f t="shared" si="5"/>
        <v>0</v>
      </c>
      <c r="M109" s="39">
        <f t="shared" si="6"/>
        <v>0</v>
      </c>
      <c r="N109" s="40"/>
      <c r="O109" s="78"/>
      <c r="P109" s="35"/>
      <c r="Q109" s="35"/>
      <c r="R109" s="35"/>
      <c r="S109" s="35"/>
      <c r="T109" s="35"/>
      <c r="U109" s="35"/>
      <c r="V109" s="35"/>
      <c r="W109" s="35"/>
      <c r="X109" s="35"/>
      <c r="Y109" s="35"/>
    </row>
    <row r="110" ht="14.25" customHeight="1">
      <c r="A110" s="221"/>
      <c r="B110" s="231"/>
      <c r="C110" s="233"/>
      <c r="D110" s="212"/>
      <c r="E110" s="213"/>
      <c r="F110" s="214"/>
      <c r="G110" s="523">
        <v>44805.0</v>
      </c>
      <c r="H110" s="36">
        <f t="shared" si="1"/>
        <v>0</v>
      </c>
      <c r="I110" s="37">
        <f t="shared" si="2"/>
        <v>0</v>
      </c>
      <c r="J110" s="38">
        <f t="shared" si="3"/>
        <v>0</v>
      </c>
      <c r="K110" s="39">
        <f t="shared" si="4"/>
        <v>0</v>
      </c>
      <c r="L110" s="38">
        <f t="shared" si="5"/>
        <v>0</v>
      </c>
      <c r="M110" s="39">
        <f t="shared" si="6"/>
        <v>0</v>
      </c>
      <c r="N110" s="40"/>
      <c r="O110" s="78"/>
      <c r="P110" s="35"/>
      <c r="Q110" s="35"/>
      <c r="R110" s="35"/>
      <c r="S110" s="35"/>
      <c r="T110" s="35"/>
      <c r="U110" s="35"/>
      <c r="V110" s="35"/>
      <c r="W110" s="35"/>
      <c r="X110" s="35"/>
      <c r="Y110" s="35"/>
    </row>
    <row r="111" ht="14.25" customHeight="1">
      <c r="A111" s="221"/>
      <c r="B111" s="231"/>
      <c r="C111" s="233"/>
      <c r="D111" s="212"/>
      <c r="E111" s="213"/>
      <c r="F111" s="214"/>
      <c r="G111" s="506">
        <v>44805.0</v>
      </c>
      <c r="H111" s="36">
        <f t="shared" si="1"/>
        <v>0</v>
      </c>
      <c r="I111" s="37">
        <f t="shared" si="2"/>
        <v>0</v>
      </c>
      <c r="J111" s="38">
        <f t="shared" si="3"/>
        <v>0</v>
      </c>
      <c r="K111" s="39">
        <f t="shared" si="4"/>
        <v>0</v>
      </c>
      <c r="L111" s="38">
        <f t="shared" si="5"/>
        <v>0</v>
      </c>
      <c r="M111" s="39">
        <f t="shared" si="6"/>
        <v>0</v>
      </c>
      <c r="N111" s="40"/>
      <c r="O111" s="78"/>
      <c r="P111" s="35"/>
      <c r="Q111" s="35"/>
      <c r="R111" s="35"/>
      <c r="S111" s="35"/>
      <c r="T111" s="35"/>
      <c r="U111" s="35"/>
      <c r="V111" s="35"/>
      <c r="W111" s="35"/>
      <c r="X111" s="35"/>
      <c r="Y111" s="35"/>
    </row>
    <row r="112" ht="14.25" customHeight="1">
      <c r="A112" s="221"/>
      <c r="B112" s="231"/>
      <c r="C112" s="233"/>
      <c r="D112" s="212"/>
      <c r="E112" s="213"/>
      <c r="F112" s="214"/>
      <c r="G112" s="523">
        <v>44805.0</v>
      </c>
      <c r="H112" s="36">
        <f t="shared" si="1"/>
        <v>0</v>
      </c>
      <c r="I112" s="37">
        <f t="shared" si="2"/>
        <v>0</v>
      </c>
      <c r="J112" s="38">
        <f t="shared" si="3"/>
        <v>0</v>
      </c>
      <c r="K112" s="39">
        <f t="shared" si="4"/>
        <v>0</v>
      </c>
      <c r="L112" s="38">
        <f t="shared" si="5"/>
        <v>0</v>
      </c>
      <c r="M112" s="39">
        <f t="shared" si="6"/>
        <v>0</v>
      </c>
      <c r="N112" s="40"/>
      <c r="O112" s="78"/>
      <c r="P112" s="35"/>
      <c r="Q112" s="35"/>
      <c r="R112" s="35"/>
      <c r="S112" s="35"/>
      <c r="T112" s="35"/>
      <c r="U112" s="35"/>
      <c r="V112" s="35"/>
      <c r="W112" s="35"/>
      <c r="X112" s="35"/>
      <c r="Y112" s="35"/>
    </row>
    <row r="113" ht="14.25" customHeight="1">
      <c r="A113" s="221"/>
      <c r="B113" s="231"/>
      <c r="C113" s="233"/>
      <c r="D113" s="212"/>
      <c r="E113" s="213"/>
      <c r="F113" s="214"/>
      <c r="G113" s="506">
        <v>44805.0</v>
      </c>
      <c r="H113" s="36">
        <f t="shared" si="1"/>
        <v>0</v>
      </c>
      <c r="I113" s="37">
        <f t="shared" si="2"/>
        <v>0</v>
      </c>
      <c r="J113" s="38">
        <f t="shared" si="3"/>
        <v>0</v>
      </c>
      <c r="K113" s="39">
        <f t="shared" si="4"/>
        <v>0</v>
      </c>
      <c r="L113" s="38">
        <f t="shared" si="5"/>
        <v>0</v>
      </c>
      <c r="M113" s="39">
        <f t="shared" si="6"/>
        <v>0</v>
      </c>
      <c r="N113" s="40"/>
      <c r="O113" s="78"/>
      <c r="P113" s="35"/>
      <c r="Q113" s="35"/>
      <c r="R113" s="35"/>
      <c r="S113" s="35"/>
      <c r="T113" s="35"/>
      <c r="U113" s="35"/>
      <c r="V113" s="35"/>
      <c r="W113" s="35"/>
      <c r="X113" s="35"/>
      <c r="Y113" s="35"/>
    </row>
    <row r="114" ht="14.25" customHeight="1">
      <c r="A114" s="221"/>
      <c r="B114" s="231"/>
      <c r="C114" s="233"/>
      <c r="D114" s="212"/>
      <c r="E114" s="213"/>
      <c r="F114" s="214"/>
      <c r="G114" s="523">
        <v>44805.0</v>
      </c>
      <c r="H114" s="36">
        <f t="shared" si="1"/>
        <v>0</v>
      </c>
      <c r="I114" s="37">
        <f t="shared" si="2"/>
        <v>0</v>
      </c>
      <c r="J114" s="38">
        <f t="shared" si="3"/>
        <v>0</v>
      </c>
      <c r="K114" s="39">
        <f t="shared" si="4"/>
        <v>0</v>
      </c>
      <c r="L114" s="38">
        <f t="shared" si="5"/>
        <v>0</v>
      </c>
      <c r="M114" s="39">
        <f t="shared" si="6"/>
        <v>0</v>
      </c>
      <c r="N114" s="40"/>
      <c r="O114" s="78"/>
      <c r="P114" s="35"/>
      <c r="Q114" s="35"/>
      <c r="R114" s="35"/>
      <c r="S114" s="35"/>
      <c r="T114" s="35"/>
      <c r="U114" s="35"/>
      <c r="V114" s="35"/>
      <c r="W114" s="35"/>
      <c r="X114" s="35"/>
      <c r="Y114" s="35"/>
    </row>
    <row r="115" ht="14.25" customHeight="1">
      <c r="A115" s="221"/>
      <c r="B115" s="231"/>
      <c r="C115" s="233"/>
      <c r="D115" s="212"/>
      <c r="E115" s="213"/>
      <c r="F115" s="214"/>
      <c r="G115" s="506">
        <v>44805.0</v>
      </c>
      <c r="H115" s="36">
        <f t="shared" si="1"/>
        <v>0</v>
      </c>
      <c r="I115" s="37">
        <f t="shared" si="2"/>
        <v>0</v>
      </c>
      <c r="J115" s="38">
        <f t="shared" si="3"/>
        <v>0</v>
      </c>
      <c r="K115" s="39">
        <f t="shared" si="4"/>
        <v>0</v>
      </c>
      <c r="L115" s="38">
        <f t="shared" si="5"/>
        <v>0</v>
      </c>
      <c r="M115" s="39">
        <f t="shared" si="6"/>
        <v>0</v>
      </c>
      <c r="N115" s="40"/>
      <c r="O115" s="78"/>
      <c r="P115" s="35"/>
      <c r="Q115" s="35"/>
      <c r="R115" s="35"/>
      <c r="S115" s="35"/>
      <c r="T115" s="35"/>
      <c r="U115" s="35"/>
      <c r="V115" s="35"/>
      <c r="W115" s="35"/>
      <c r="X115" s="35"/>
      <c r="Y115" s="35"/>
    </row>
    <row r="116" ht="14.25" customHeight="1">
      <c r="A116" s="221"/>
      <c r="B116" s="231"/>
      <c r="C116" s="233"/>
      <c r="D116" s="212"/>
      <c r="E116" s="213"/>
      <c r="F116" s="214"/>
      <c r="G116" s="523">
        <v>44805.0</v>
      </c>
      <c r="H116" s="36">
        <f t="shared" si="1"/>
        <v>0</v>
      </c>
      <c r="I116" s="37">
        <f t="shared" si="2"/>
        <v>0</v>
      </c>
      <c r="J116" s="38">
        <f t="shared" si="3"/>
        <v>0</v>
      </c>
      <c r="K116" s="39">
        <f t="shared" si="4"/>
        <v>0</v>
      </c>
      <c r="L116" s="38">
        <f t="shared" si="5"/>
        <v>0</v>
      </c>
      <c r="M116" s="39">
        <f t="shared" si="6"/>
        <v>0</v>
      </c>
      <c r="N116" s="40"/>
      <c r="O116" s="78"/>
      <c r="P116" s="35"/>
      <c r="Q116" s="35"/>
      <c r="R116" s="35"/>
      <c r="S116" s="35"/>
      <c r="T116" s="35"/>
      <c r="U116" s="35"/>
      <c r="V116" s="35"/>
      <c r="W116" s="35"/>
      <c r="X116" s="35"/>
      <c r="Y116" s="35"/>
    </row>
    <row r="117" ht="14.25" customHeight="1">
      <c r="A117" s="221"/>
      <c r="B117" s="231"/>
      <c r="C117" s="233"/>
      <c r="D117" s="212"/>
      <c r="E117" s="213"/>
      <c r="F117" s="214"/>
      <c r="G117" s="506">
        <v>44805.0</v>
      </c>
      <c r="H117" s="36">
        <f t="shared" si="1"/>
        <v>0</v>
      </c>
      <c r="I117" s="37">
        <f t="shared" si="2"/>
        <v>0</v>
      </c>
      <c r="J117" s="38">
        <f t="shared" si="3"/>
        <v>0</v>
      </c>
      <c r="K117" s="39">
        <f t="shared" si="4"/>
        <v>0</v>
      </c>
      <c r="L117" s="38">
        <f t="shared" si="5"/>
        <v>0</v>
      </c>
      <c r="M117" s="39">
        <f t="shared" si="6"/>
        <v>0</v>
      </c>
      <c r="N117" s="40"/>
      <c r="O117" s="78"/>
      <c r="P117" s="35"/>
      <c r="Q117" s="35"/>
      <c r="R117" s="35"/>
      <c r="S117" s="35"/>
      <c r="T117" s="35"/>
      <c r="U117" s="35"/>
      <c r="V117" s="35"/>
      <c r="W117" s="35"/>
      <c r="X117" s="35"/>
      <c r="Y117" s="35"/>
    </row>
    <row r="118" ht="14.25" customHeight="1">
      <c r="A118" s="221"/>
      <c r="B118" s="231"/>
      <c r="C118" s="233"/>
      <c r="D118" s="212"/>
      <c r="E118" s="213"/>
      <c r="F118" s="214"/>
      <c r="G118" s="523">
        <v>44805.0</v>
      </c>
      <c r="H118" s="36">
        <f t="shared" si="1"/>
        <v>0</v>
      </c>
      <c r="I118" s="37">
        <f t="shared" si="2"/>
        <v>0</v>
      </c>
      <c r="J118" s="38">
        <f t="shared" si="3"/>
        <v>0</v>
      </c>
      <c r="K118" s="39">
        <f t="shared" si="4"/>
        <v>0</v>
      </c>
      <c r="L118" s="38">
        <f t="shared" si="5"/>
        <v>0</v>
      </c>
      <c r="M118" s="39">
        <f t="shared" si="6"/>
        <v>0</v>
      </c>
      <c r="N118" s="40"/>
      <c r="O118" s="78"/>
      <c r="P118" s="35"/>
      <c r="Q118" s="35"/>
      <c r="R118" s="35"/>
      <c r="S118" s="35"/>
      <c r="T118" s="35"/>
      <c r="U118" s="35"/>
      <c r="V118" s="35"/>
      <c r="W118" s="35"/>
      <c r="X118" s="35"/>
      <c r="Y118" s="35"/>
    </row>
    <row r="119" ht="14.25" customHeight="1">
      <c r="A119" s="221"/>
      <c r="B119" s="231"/>
      <c r="C119" s="233"/>
      <c r="D119" s="212"/>
      <c r="E119" s="213"/>
      <c r="F119" s="214"/>
      <c r="G119" s="506">
        <v>44805.0</v>
      </c>
      <c r="H119" s="36">
        <f t="shared" si="1"/>
        <v>0</v>
      </c>
      <c r="I119" s="37">
        <f t="shared" si="2"/>
        <v>0</v>
      </c>
      <c r="J119" s="38">
        <f t="shared" si="3"/>
        <v>0</v>
      </c>
      <c r="K119" s="39">
        <f t="shared" si="4"/>
        <v>0</v>
      </c>
      <c r="L119" s="38">
        <f t="shared" si="5"/>
        <v>0</v>
      </c>
      <c r="M119" s="39">
        <f t="shared" si="6"/>
        <v>0</v>
      </c>
      <c r="N119" s="40"/>
      <c r="O119" s="78"/>
      <c r="P119" s="35"/>
      <c r="Q119" s="35"/>
      <c r="R119" s="35"/>
      <c r="S119" s="35"/>
      <c r="T119" s="35"/>
      <c r="U119" s="35"/>
      <c r="V119" s="35"/>
      <c r="W119" s="35"/>
      <c r="X119" s="35"/>
      <c r="Y119" s="35"/>
    </row>
    <row r="120" ht="14.25" customHeight="1">
      <c r="A120" s="221"/>
      <c r="B120" s="231"/>
      <c r="C120" s="233"/>
      <c r="D120" s="212"/>
      <c r="E120" s="213"/>
      <c r="F120" s="214"/>
      <c r="G120" s="523">
        <v>44805.0</v>
      </c>
      <c r="H120" s="36">
        <f t="shared" si="1"/>
        <v>0</v>
      </c>
      <c r="I120" s="37">
        <f t="shared" si="2"/>
        <v>0</v>
      </c>
      <c r="J120" s="38">
        <f t="shared" si="3"/>
        <v>0</v>
      </c>
      <c r="K120" s="39">
        <f t="shared" si="4"/>
        <v>0</v>
      </c>
      <c r="L120" s="38">
        <f t="shared" si="5"/>
        <v>0</v>
      </c>
      <c r="M120" s="39">
        <f t="shared" si="6"/>
        <v>0</v>
      </c>
      <c r="N120" s="40"/>
      <c r="O120" s="78"/>
      <c r="P120" s="35"/>
      <c r="Q120" s="35"/>
      <c r="R120" s="35"/>
      <c r="S120" s="35"/>
      <c r="T120" s="35"/>
      <c r="U120" s="35"/>
      <c r="V120" s="35"/>
      <c r="W120" s="35"/>
      <c r="X120" s="35"/>
      <c r="Y120" s="35"/>
    </row>
    <row r="121" ht="14.25" customHeight="1">
      <c r="A121" s="221"/>
      <c r="B121" s="231"/>
      <c r="C121" s="233"/>
      <c r="D121" s="212"/>
      <c r="E121" s="213"/>
      <c r="F121" s="214"/>
      <c r="G121" s="506">
        <v>44805.0</v>
      </c>
      <c r="H121" s="36">
        <f t="shared" si="1"/>
        <v>0</v>
      </c>
      <c r="I121" s="37">
        <f t="shared" si="2"/>
        <v>0</v>
      </c>
      <c r="J121" s="38">
        <f t="shared" si="3"/>
        <v>0</v>
      </c>
      <c r="K121" s="39">
        <f t="shared" si="4"/>
        <v>0</v>
      </c>
      <c r="L121" s="38">
        <f t="shared" si="5"/>
        <v>0</v>
      </c>
      <c r="M121" s="39">
        <f t="shared" si="6"/>
        <v>0</v>
      </c>
      <c r="N121" s="40"/>
      <c r="O121" s="78"/>
      <c r="P121" s="35"/>
      <c r="Q121" s="35"/>
      <c r="R121" s="35"/>
      <c r="S121" s="35"/>
      <c r="T121" s="35"/>
      <c r="U121" s="35"/>
      <c r="V121" s="35"/>
      <c r="W121" s="35"/>
      <c r="X121" s="35"/>
      <c r="Y121" s="35"/>
    </row>
    <row r="122" ht="14.25" customHeight="1">
      <c r="A122" s="221"/>
      <c r="B122" s="231"/>
      <c r="C122" s="233"/>
      <c r="D122" s="212"/>
      <c r="E122" s="213"/>
      <c r="F122" s="214"/>
      <c r="G122" s="523">
        <v>44805.0</v>
      </c>
      <c r="H122" s="36">
        <f t="shared" si="1"/>
        <v>0</v>
      </c>
      <c r="I122" s="37">
        <f t="shared" si="2"/>
        <v>0</v>
      </c>
      <c r="J122" s="38">
        <f t="shared" si="3"/>
        <v>0</v>
      </c>
      <c r="K122" s="39">
        <f t="shared" si="4"/>
        <v>0</v>
      </c>
      <c r="L122" s="38">
        <f t="shared" si="5"/>
        <v>0</v>
      </c>
      <c r="M122" s="39">
        <f t="shared" si="6"/>
        <v>0</v>
      </c>
      <c r="N122" s="40"/>
      <c r="O122" s="78"/>
      <c r="P122" s="35"/>
      <c r="Q122" s="35"/>
      <c r="R122" s="35"/>
      <c r="S122" s="35"/>
      <c r="T122" s="35"/>
      <c r="U122" s="35"/>
      <c r="V122" s="35"/>
      <c r="W122" s="35"/>
      <c r="X122" s="35"/>
      <c r="Y122" s="35"/>
    </row>
    <row r="123" ht="14.25" customHeight="1">
      <c r="A123" s="221"/>
      <c r="B123" s="231"/>
      <c r="C123" s="233"/>
      <c r="D123" s="212"/>
      <c r="E123" s="213"/>
      <c r="F123" s="214"/>
      <c r="G123" s="506">
        <v>44805.0</v>
      </c>
      <c r="H123" s="36">
        <f t="shared" si="1"/>
        <v>0</v>
      </c>
      <c r="I123" s="37">
        <f t="shared" si="2"/>
        <v>0</v>
      </c>
      <c r="J123" s="38">
        <f t="shared" si="3"/>
        <v>0</v>
      </c>
      <c r="K123" s="39">
        <f t="shared" si="4"/>
        <v>0</v>
      </c>
      <c r="L123" s="38">
        <f t="shared" si="5"/>
        <v>0</v>
      </c>
      <c r="M123" s="39">
        <f t="shared" si="6"/>
        <v>0</v>
      </c>
      <c r="N123" s="40"/>
      <c r="O123" s="78"/>
      <c r="P123" s="35"/>
      <c r="Q123" s="35"/>
      <c r="R123" s="35"/>
      <c r="S123" s="35"/>
      <c r="T123" s="35"/>
      <c r="U123" s="35"/>
      <c r="V123" s="35"/>
      <c r="W123" s="35"/>
      <c r="X123" s="35"/>
      <c r="Y123" s="35"/>
    </row>
    <row r="124" ht="14.25" customHeight="1">
      <c r="A124" s="221"/>
      <c r="B124" s="231"/>
      <c r="C124" s="233"/>
      <c r="D124" s="212"/>
      <c r="E124" s="213"/>
      <c r="F124" s="214"/>
      <c r="G124" s="523">
        <v>44805.0</v>
      </c>
      <c r="H124" s="36">
        <f t="shared" si="1"/>
        <v>0</v>
      </c>
      <c r="I124" s="37">
        <f t="shared" si="2"/>
        <v>0</v>
      </c>
      <c r="J124" s="38">
        <f t="shared" si="3"/>
        <v>0</v>
      </c>
      <c r="K124" s="39">
        <f t="shared" si="4"/>
        <v>0</v>
      </c>
      <c r="L124" s="38">
        <f t="shared" si="5"/>
        <v>0</v>
      </c>
      <c r="M124" s="39">
        <f t="shared" si="6"/>
        <v>0</v>
      </c>
      <c r="N124" s="40"/>
      <c r="O124" s="78"/>
      <c r="P124" s="35"/>
      <c r="Q124" s="35"/>
      <c r="R124" s="35"/>
      <c r="S124" s="35"/>
      <c r="T124" s="35"/>
      <c r="U124" s="35"/>
      <c r="V124" s="35"/>
      <c r="W124" s="35"/>
      <c r="X124" s="35"/>
      <c r="Y124" s="35"/>
    </row>
    <row r="125" ht="14.25" customHeight="1">
      <c r="A125" s="221"/>
      <c r="B125" s="231"/>
      <c r="C125" s="233"/>
      <c r="D125" s="212"/>
      <c r="E125" s="213"/>
      <c r="F125" s="214"/>
      <c r="G125" s="506">
        <v>44805.0</v>
      </c>
      <c r="H125" s="36">
        <f t="shared" si="1"/>
        <v>0</v>
      </c>
      <c r="I125" s="37">
        <f t="shared" si="2"/>
        <v>0</v>
      </c>
      <c r="J125" s="38">
        <f t="shared" si="3"/>
        <v>0</v>
      </c>
      <c r="K125" s="39">
        <f t="shared" si="4"/>
        <v>0</v>
      </c>
      <c r="L125" s="38">
        <f t="shared" si="5"/>
        <v>0</v>
      </c>
      <c r="M125" s="39">
        <f t="shared" si="6"/>
        <v>0</v>
      </c>
      <c r="N125" s="40"/>
      <c r="O125" s="78"/>
      <c r="P125" s="35"/>
      <c r="Q125" s="35"/>
      <c r="R125" s="35"/>
      <c r="S125" s="35"/>
      <c r="T125" s="35"/>
      <c r="U125" s="35"/>
      <c r="V125" s="35"/>
      <c r="W125" s="35"/>
      <c r="X125" s="35"/>
      <c r="Y125" s="35"/>
    </row>
    <row r="126" ht="14.25" customHeight="1">
      <c r="A126" s="221"/>
      <c r="B126" s="231"/>
      <c r="C126" s="233"/>
      <c r="D126" s="212"/>
      <c r="E126" s="213"/>
      <c r="F126" s="214"/>
      <c r="G126" s="523">
        <v>44805.0</v>
      </c>
      <c r="H126" s="36">
        <f t="shared" si="1"/>
        <v>0</v>
      </c>
      <c r="I126" s="37">
        <f t="shared" si="2"/>
        <v>0</v>
      </c>
      <c r="J126" s="38">
        <f t="shared" si="3"/>
        <v>0</v>
      </c>
      <c r="K126" s="39">
        <f t="shared" si="4"/>
        <v>0</v>
      </c>
      <c r="L126" s="38">
        <f t="shared" si="5"/>
        <v>0</v>
      </c>
      <c r="M126" s="39">
        <f t="shared" si="6"/>
        <v>0</v>
      </c>
      <c r="N126" s="40"/>
      <c r="O126" s="78"/>
      <c r="P126" s="35"/>
      <c r="Q126" s="35"/>
      <c r="R126" s="35"/>
      <c r="S126" s="35"/>
      <c r="T126" s="35"/>
      <c r="U126" s="35"/>
      <c r="V126" s="35"/>
      <c r="W126" s="35"/>
      <c r="X126" s="35"/>
      <c r="Y126" s="35"/>
    </row>
    <row r="127" ht="14.25" customHeight="1">
      <c r="A127" s="221"/>
      <c r="B127" s="231"/>
      <c r="C127" s="233"/>
      <c r="D127" s="212"/>
      <c r="E127" s="213"/>
      <c r="F127" s="214"/>
      <c r="G127" s="506">
        <v>44805.0</v>
      </c>
      <c r="H127" s="36">
        <f t="shared" si="1"/>
        <v>0</v>
      </c>
      <c r="I127" s="37">
        <f t="shared" si="2"/>
        <v>0</v>
      </c>
      <c r="J127" s="38">
        <f t="shared" si="3"/>
        <v>0</v>
      </c>
      <c r="K127" s="39">
        <f t="shared" si="4"/>
        <v>0</v>
      </c>
      <c r="L127" s="38">
        <f t="shared" si="5"/>
        <v>0</v>
      </c>
      <c r="M127" s="39">
        <f t="shared" si="6"/>
        <v>0</v>
      </c>
      <c r="N127" s="40"/>
      <c r="O127" s="78"/>
      <c r="P127" s="35"/>
      <c r="Q127" s="35"/>
      <c r="R127" s="35"/>
      <c r="S127" s="35"/>
      <c r="T127" s="35"/>
      <c r="U127" s="35"/>
      <c r="V127" s="35"/>
      <c r="W127" s="35"/>
      <c r="X127" s="35"/>
      <c r="Y127" s="35"/>
    </row>
    <row r="128" ht="14.25" customHeight="1">
      <c r="A128" s="221"/>
      <c r="B128" s="231"/>
      <c r="C128" s="233"/>
      <c r="D128" s="212"/>
      <c r="E128" s="213"/>
      <c r="F128" s="214"/>
      <c r="G128" s="523">
        <v>44805.0</v>
      </c>
      <c r="H128" s="36">
        <f t="shared" si="1"/>
        <v>0</v>
      </c>
      <c r="I128" s="37">
        <f t="shared" si="2"/>
        <v>0</v>
      </c>
      <c r="J128" s="38">
        <f t="shared" si="3"/>
        <v>0</v>
      </c>
      <c r="K128" s="39">
        <f t="shared" si="4"/>
        <v>0</v>
      </c>
      <c r="L128" s="38">
        <f t="shared" si="5"/>
        <v>0</v>
      </c>
      <c r="M128" s="39">
        <f t="shared" si="6"/>
        <v>0</v>
      </c>
      <c r="N128" s="40"/>
      <c r="O128" s="78"/>
      <c r="P128" s="35"/>
      <c r="Q128" s="35"/>
      <c r="R128" s="35"/>
      <c r="S128" s="35"/>
      <c r="T128" s="35"/>
      <c r="U128" s="35"/>
      <c r="V128" s="35"/>
      <c r="W128" s="35"/>
      <c r="X128" s="35"/>
      <c r="Y128" s="35"/>
    </row>
    <row r="129" ht="14.25" customHeight="1">
      <c r="A129" s="221"/>
      <c r="B129" s="231"/>
      <c r="C129" s="233"/>
      <c r="D129" s="212"/>
      <c r="E129" s="213"/>
      <c r="F129" s="214"/>
      <c r="G129" s="506">
        <v>44805.0</v>
      </c>
      <c r="H129" s="36">
        <f t="shared" si="1"/>
        <v>0</v>
      </c>
      <c r="I129" s="37">
        <f t="shared" si="2"/>
        <v>0</v>
      </c>
      <c r="J129" s="38">
        <f t="shared" si="3"/>
        <v>0</v>
      </c>
      <c r="K129" s="39">
        <f t="shared" si="4"/>
        <v>0</v>
      </c>
      <c r="L129" s="38">
        <f t="shared" si="5"/>
        <v>0</v>
      </c>
      <c r="M129" s="39">
        <f t="shared" si="6"/>
        <v>0</v>
      </c>
      <c r="N129" s="40"/>
      <c r="O129" s="78"/>
      <c r="P129" s="35"/>
      <c r="Q129" s="35"/>
      <c r="R129" s="35"/>
      <c r="S129" s="35"/>
      <c r="T129" s="35"/>
      <c r="U129" s="35"/>
      <c r="V129" s="35"/>
      <c r="W129" s="35"/>
      <c r="X129" s="35"/>
      <c r="Y129" s="35"/>
    </row>
    <row r="130" ht="14.25" customHeight="1">
      <c r="A130" s="221"/>
      <c r="B130" s="231"/>
      <c r="C130" s="233"/>
      <c r="D130" s="212"/>
      <c r="E130" s="213"/>
      <c r="F130" s="214"/>
      <c r="G130" s="523">
        <v>44805.0</v>
      </c>
      <c r="H130" s="36">
        <f t="shared" si="1"/>
        <v>0</v>
      </c>
      <c r="I130" s="37">
        <f t="shared" si="2"/>
        <v>0</v>
      </c>
      <c r="J130" s="38">
        <f t="shared" si="3"/>
        <v>0</v>
      </c>
      <c r="K130" s="39">
        <f t="shared" si="4"/>
        <v>0</v>
      </c>
      <c r="L130" s="38">
        <f t="shared" si="5"/>
        <v>0</v>
      </c>
      <c r="M130" s="39">
        <f t="shared" si="6"/>
        <v>0</v>
      </c>
      <c r="N130" s="40"/>
      <c r="O130" s="78"/>
      <c r="P130" s="35"/>
      <c r="Q130" s="35"/>
      <c r="R130" s="35"/>
      <c r="S130" s="35"/>
      <c r="T130" s="35"/>
      <c r="U130" s="35"/>
      <c r="V130" s="35"/>
      <c r="W130" s="35"/>
      <c r="X130" s="35"/>
      <c r="Y130" s="35"/>
    </row>
    <row r="131" ht="14.25" customHeight="1">
      <c r="A131" s="221"/>
      <c r="B131" s="231"/>
      <c r="C131" s="233"/>
      <c r="D131" s="212"/>
      <c r="E131" s="213"/>
      <c r="F131" s="214"/>
      <c r="G131" s="506">
        <v>44805.0</v>
      </c>
      <c r="H131" s="36">
        <f t="shared" si="1"/>
        <v>0</v>
      </c>
      <c r="I131" s="37">
        <f t="shared" si="2"/>
        <v>0</v>
      </c>
      <c r="J131" s="38">
        <f t="shared" si="3"/>
        <v>0</v>
      </c>
      <c r="K131" s="39">
        <f t="shared" si="4"/>
        <v>0</v>
      </c>
      <c r="L131" s="38">
        <f t="shared" si="5"/>
        <v>0</v>
      </c>
      <c r="M131" s="39">
        <f t="shared" si="6"/>
        <v>0</v>
      </c>
      <c r="N131" s="40"/>
      <c r="O131" s="78"/>
      <c r="P131" s="35"/>
      <c r="Q131" s="35"/>
      <c r="R131" s="35"/>
      <c r="S131" s="35"/>
      <c r="T131" s="35"/>
      <c r="U131" s="35"/>
      <c r="V131" s="35"/>
      <c r="W131" s="35"/>
      <c r="X131" s="35"/>
      <c r="Y131" s="35"/>
    </row>
    <row r="132" ht="14.25" customHeight="1">
      <c r="A132" s="221"/>
      <c r="B132" s="231"/>
      <c r="C132" s="233"/>
      <c r="D132" s="212"/>
      <c r="E132" s="213"/>
      <c r="F132" s="214"/>
      <c r="G132" s="523">
        <v>44805.0</v>
      </c>
      <c r="H132" s="36">
        <f t="shared" si="1"/>
        <v>0</v>
      </c>
      <c r="I132" s="37">
        <f t="shared" si="2"/>
        <v>0</v>
      </c>
      <c r="J132" s="38">
        <f t="shared" si="3"/>
        <v>0</v>
      </c>
      <c r="K132" s="39">
        <f t="shared" si="4"/>
        <v>0</v>
      </c>
      <c r="L132" s="38">
        <f t="shared" si="5"/>
        <v>0</v>
      </c>
      <c r="M132" s="39">
        <f t="shared" si="6"/>
        <v>0</v>
      </c>
      <c r="N132" s="40"/>
      <c r="O132" s="78"/>
      <c r="P132" s="35"/>
      <c r="Q132" s="35"/>
      <c r="R132" s="35"/>
      <c r="S132" s="35"/>
      <c r="T132" s="35"/>
      <c r="U132" s="35"/>
      <c r="V132" s="35"/>
      <c r="W132" s="35"/>
      <c r="X132" s="35"/>
      <c r="Y132" s="35"/>
    </row>
    <row r="133" ht="14.25" customHeight="1">
      <c r="A133" s="221"/>
      <c r="B133" s="231"/>
      <c r="C133" s="233"/>
      <c r="D133" s="212"/>
      <c r="E133" s="213"/>
      <c r="F133" s="214"/>
      <c r="G133" s="506">
        <v>44805.0</v>
      </c>
      <c r="H133" s="36">
        <f t="shared" si="1"/>
        <v>0</v>
      </c>
      <c r="I133" s="37">
        <f t="shared" si="2"/>
        <v>0</v>
      </c>
      <c r="J133" s="38">
        <f t="shared" si="3"/>
        <v>0</v>
      </c>
      <c r="K133" s="39">
        <f t="shared" si="4"/>
        <v>0</v>
      </c>
      <c r="L133" s="38">
        <f t="shared" si="5"/>
        <v>0</v>
      </c>
      <c r="M133" s="39">
        <f t="shared" si="6"/>
        <v>0</v>
      </c>
      <c r="N133" s="40"/>
      <c r="O133" s="78"/>
      <c r="P133" s="35"/>
      <c r="Q133" s="35"/>
      <c r="R133" s="35"/>
      <c r="S133" s="35"/>
      <c r="T133" s="35"/>
      <c r="U133" s="35"/>
      <c r="V133" s="35"/>
      <c r="W133" s="35"/>
      <c r="X133" s="35"/>
      <c r="Y133" s="35"/>
    </row>
    <row r="134" ht="14.25" customHeight="1">
      <c r="A134" s="221"/>
      <c r="B134" s="231"/>
      <c r="C134" s="233"/>
      <c r="D134" s="212"/>
      <c r="E134" s="213"/>
      <c r="F134" s="214"/>
      <c r="G134" s="523">
        <v>44805.0</v>
      </c>
      <c r="H134" s="36">
        <f t="shared" si="1"/>
        <v>0</v>
      </c>
      <c r="I134" s="37">
        <f t="shared" si="2"/>
        <v>0</v>
      </c>
      <c r="J134" s="38">
        <f t="shared" si="3"/>
        <v>0</v>
      </c>
      <c r="K134" s="39">
        <f t="shared" si="4"/>
        <v>0</v>
      </c>
      <c r="L134" s="38">
        <f t="shared" si="5"/>
        <v>0</v>
      </c>
      <c r="M134" s="39">
        <f t="shared" si="6"/>
        <v>0</v>
      </c>
      <c r="N134" s="40"/>
      <c r="O134" s="78"/>
      <c r="P134" s="35"/>
      <c r="Q134" s="35"/>
      <c r="R134" s="35"/>
      <c r="S134" s="35"/>
      <c r="T134" s="35"/>
      <c r="U134" s="35"/>
      <c r="V134" s="35"/>
      <c r="W134" s="35"/>
      <c r="X134" s="35"/>
      <c r="Y134" s="35"/>
    </row>
    <row r="135" ht="14.25" customHeight="1">
      <c r="A135" s="221"/>
      <c r="B135" s="231"/>
      <c r="C135" s="233"/>
      <c r="D135" s="212"/>
      <c r="E135" s="213"/>
      <c r="F135" s="214"/>
      <c r="G135" s="506">
        <v>44805.0</v>
      </c>
      <c r="H135" s="36">
        <f t="shared" si="1"/>
        <v>0</v>
      </c>
      <c r="I135" s="37">
        <f t="shared" si="2"/>
        <v>0</v>
      </c>
      <c r="J135" s="38">
        <f t="shared" si="3"/>
        <v>0</v>
      </c>
      <c r="K135" s="39">
        <f t="shared" si="4"/>
        <v>0</v>
      </c>
      <c r="L135" s="38">
        <f t="shared" si="5"/>
        <v>0</v>
      </c>
      <c r="M135" s="39">
        <f t="shared" si="6"/>
        <v>0</v>
      </c>
      <c r="N135" s="40"/>
      <c r="O135" s="78"/>
      <c r="P135" s="35"/>
      <c r="Q135" s="35"/>
      <c r="R135" s="35"/>
      <c r="S135" s="35"/>
      <c r="T135" s="35"/>
      <c r="U135" s="35"/>
      <c r="V135" s="35"/>
      <c r="W135" s="35"/>
      <c r="X135" s="35"/>
      <c r="Y135" s="35"/>
    </row>
    <row r="136" ht="14.25" customHeight="1">
      <c r="A136" s="221"/>
      <c r="B136" s="231"/>
      <c r="C136" s="233"/>
      <c r="D136" s="212"/>
      <c r="E136" s="213"/>
      <c r="F136" s="214"/>
      <c r="G136" s="523">
        <v>44805.0</v>
      </c>
      <c r="H136" s="36">
        <f t="shared" si="1"/>
        <v>0</v>
      </c>
      <c r="I136" s="37">
        <f t="shared" si="2"/>
        <v>0</v>
      </c>
      <c r="J136" s="38">
        <f t="shared" si="3"/>
        <v>0</v>
      </c>
      <c r="K136" s="39">
        <f t="shared" si="4"/>
        <v>0</v>
      </c>
      <c r="L136" s="38">
        <f t="shared" si="5"/>
        <v>0</v>
      </c>
      <c r="M136" s="39">
        <f t="shared" si="6"/>
        <v>0</v>
      </c>
      <c r="N136" s="40"/>
      <c r="O136" s="78"/>
      <c r="P136" s="35"/>
      <c r="Q136" s="35"/>
      <c r="R136" s="35"/>
      <c r="S136" s="35"/>
      <c r="T136" s="35"/>
      <c r="U136" s="35"/>
      <c r="V136" s="35"/>
      <c r="W136" s="35"/>
      <c r="X136" s="35"/>
      <c r="Y136" s="35"/>
    </row>
    <row r="137" ht="14.25" customHeight="1">
      <c r="A137" s="221"/>
      <c r="B137" s="231"/>
      <c r="C137" s="233"/>
      <c r="D137" s="212"/>
      <c r="E137" s="213"/>
      <c r="F137" s="214"/>
      <c r="G137" s="506">
        <v>44805.0</v>
      </c>
      <c r="H137" s="36">
        <f t="shared" si="1"/>
        <v>0</v>
      </c>
      <c r="I137" s="37">
        <f t="shared" si="2"/>
        <v>0</v>
      </c>
      <c r="J137" s="38">
        <f t="shared" si="3"/>
        <v>0</v>
      </c>
      <c r="K137" s="39">
        <f t="shared" si="4"/>
        <v>0</v>
      </c>
      <c r="L137" s="38">
        <f t="shared" si="5"/>
        <v>0</v>
      </c>
      <c r="M137" s="39">
        <f t="shared" si="6"/>
        <v>0</v>
      </c>
      <c r="N137" s="40"/>
      <c r="O137" s="78"/>
      <c r="P137" s="35"/>
      <c r="Q137" s="35"/>
      <c r="R137" s="35"/>
      <c r="S137" s="35"/>
      <c r="T137" s="35"/>
      <c r="U137" s="35"/>
      <c r="V137" s="35"/>
      <c r="W137" s="35"/>
      <c r="X137" s="35"/>
      <c r="Y137" s="35"/>
    </row>
    <row r="138" ht="14.25" customHeight="1">
      <c r="A138" s="221"/>
      <c r="B138" s="231"/>
      <c r="C138" s="233"/>
      <c r="D138" s="212"/>
      <c r="E138" s="213"/>
      <c r="F138" s="214"/>
      <c r="G138" s="523">
        <v>44805.0</v>
      </c>
      <c r="H138" s="36">
        <f t="shared" si="1"/>
        <v>0</v>
      </c>
      <c r="I138" s="37">
        <f t="shared" si="2"/>
        <v>0</v>
      </c>
      <c r="J138" s="38">
        <f t="shared" si="3"/>
        <v>0</v>
      </c>
      <c r="K138" s="39">
        <f t="shared" si="4"/>
        <v>0</v>
      </c>
      <c r="L138" s="38">
        <f t="shared" si="5"/>
        <v>0</v>
      </c>
      <c r="M138" s="39">
        <f t="shared" si="6"/>
        <v>0</v>
      </c>
      <c r="N138" s="40"/>
      <c r="O138" s="78"/>
      <c r="P138" s="35"/>
      <c r="Q138" s="35"/>
      <c r="R138" s="35"/>
      <c r="S138" s="35"/>
      <c r="T138" s="35"/>
      <c r="U138" s="35"/>
      <c r="V138" s="35"/>
      <c r="W138" s="35"/>
      <c r="X138" s="35"/>
      <c r="Y138" s="35"/>
    </row>
    <row r="139" ht="14.25" customHeight="1">
      <c r="A139" s="221"/>
      <c r="B139" s="231"/>
      <c r="C139" s="233"/>
      <c r="D139" s="212"/>
      <c r="E139" s="213"/>
      <c r="F139" s="214"/>
      <c r="G139" s="506">
        <v>44805.0</v>
      </c>
      <c r="H139" s="36">
        <f t="shared" si="1"/>
        <v>0</v>
      </c>
      <c r="I139" s="37">
        <f t="shared" si="2"/>
        <v>0</v>
      </c>
      <c r="J139" s="38">
        <f t="shared" si="3"/>
        <v>0</v>
      </c>
      <c r="K139" s="39">
        <f t="shared" si="4"/>
        <v>0</v>
      </c>
      <c r="L139" s="38">
        <f t="shared" si="5"/>
        <v>0</v>
      </c>
      <c r="M139" s="39">
        <f t="shared" si="6"/>
        <v>0</v>
      </c>
      <c r="N139" s="40"/>
      <c r="O139" s="78"/>
      <c r="P139" s="35"/>
      <c r="Q139" s="35"/>
      <c r="R139" s="35"/>
      <c r="S139" s="35"/>
      <c r="T139" s="35"/>
      <c r="U139" s="35"/>
      <c r="V139" s="35"/>
      <c r="W139" s="35"/>
      <c r="X139" s="35"/>
      <c r="Y139" s="35"/>
    </row>
    <row r="140" ht="14.25" customHeight="1">
      <c r="A140" s="221"/>
      <c r="B140" s="231"/>
      <c r="C140" s="233"/>
      <c r="D140" s="212"/>
      <c r="E140" s="213"/>
      <c r="F140" s="214"/>
      <c r="G140" s="523">
        <v>44805.0</v>
      </c>
      <c r="H140" s="36">
        <f t="shared" si="1"/>
        <v>0</v>
      </c>
      <c r="I140" s="37">
        <f t="shared" si="2"/>
        <v>0</v>
      </c>
      <c r="J140" s="38">
        <f t="shared" si="3"/>
        <v>0</v>
      </c>
      <c r="K140" s="39">
        <f t="shared" si="4"/>
        <v>0</v>
      </c>
      <c r="L140" s="38">
        <f t="shared" si="5"/>
        <v>0</v>
      </c>
      <c r="M140" s="39">
        <f t="shared" si="6"/>
        <v>0</v>
      </c>
      <c r="N140" s="40"/>
      <c r="O140" s="78"/>
      <c r="P140" s="35"/>
      <c r="Q140" s="35"/>
      <c r="R140" s="35"/>
      <c r="S140" s="35"/>
      <c r="T140" s="35"/>
      <c r="U140" s="35"/>
      <c r="V140" s="35"/>
      <c r="W140" s="35"/>
      <c r="X140" s="35"/>
      <c r="Y140" s="35"/>
    </row>
    <row r="141" ht="14.25" customHeight="1">
      <c r="A141" s="221"/>
      <c r="B141" s="231"/>
      <c r="C141" s="233"/>
      <c r="D141" s="212"/>
      <c r="E141" s="213"/>
      <c r="F141" s="214"/>
      <c r="G141" s="506">
        <v>44805.0</v>
      </c>
      <c r="H141" s="36">
        <f t="shared" si="1"/>
        <v>0</v>
      </c>
      <c r="I141" s="37">
        <f t="shared" si="2"/>
        <v>0</v>
      </c>
      <c r="J141" s="38">
        <f t="shared" si="3"/>
        <v>0</v>
      </c>
      <c r="K141" s="39">
        <f t="shared" si="4"/>
        <v>0</v>
      </c>
      <c r="L141" s="38">
        <f t="shared" si="5"/>
        <v>0</v>
      </c>
      <c r="M141" s="39">
        <f t="shared" si="6"/>
        <v>0</v>
      </c>
      <c r="N141" s="40"/>
      <c r="O141" s="78"/>
      <c r="P141" s="35"/>
      <c r="Q141" s="35"/>
      <c r="R141" s="35"/>
      <c r="S141" s="35"/>
      <c r="T141" s="35"/>
      <c r="U141" s="35"/>
      <c r="V141" s="35"/>
      <c r="W141" s="35"/>
      <c r="X141" s="35"/>
      <c r="Y141" s="35"/>
    </row>
    <row r="142" ht="14.25" customHeight="1">
      <c r="A142" s="221"/>
      <c r="B142" s="231"/>
      <c r="C142" s="233"/>
      <c r="D142" s="212"/>
      <c r="E142" s="213"/>
      <c r="F142" s="214"/>
      <c r="G142" s="523">
        <v>44805.0</v>
      </c>
      <c r="H142" s="36">
        <f t="shared" si="1"/>
        <v>0</v>
      </c>
      <c r="I142" s="37">
        <f t="shared" si="2"/>
        <v>0</v>
      </c>
      <c r="J142" s="38">
        <f t="shared" si="3"/>
        <v>0</v>
      </c>
      <c r="K142" s="39">
        <f t="shared" si="4"/>
        <v>0</v>
      </c>
      <c r="L142" s="38">
        <f t="shared" si="5"/>
        <v>0</v>
      </c>
      <c r="M142" s="39">
        <f t="shared" si="6"/>
        <v>0</v>
      </c>
      <c r="N142" s="40"/>
      <c r="O142" s="78"/>
      <c r="P142" s="35"/>
      <c r="Q142" s="35"/>
      <c r="R142" s="35"/>
      <c r="S142" s="35"/>
      <c r="T142" s="35"/>
      <c r="U142" s="35"/>
      <c r="V142" s="35"/>
      <c r="W142" s="35"/>
      <c r="X142" s="35"/>
      <c r="Y142" s="35"/>
    </row>
    <row r="143" ht="14.25" customHeight="1">
      <c r="A143" s="221"/>
      <c r="B143" s="231"/>
      <c r="C143" s="233"/>
      <c r="D143" s="212"/>
      <c r="E143" s="213"/>
      <c r="F143" s="214"/>
      <c r="G143" s="506">
        <v>44805.0</v>
      </c>
      <c r="H143" s="36">
        <f t="shared" si="1"/>
        <v>0</v>
      </c>
      <c r="I143" s="37">
        <f t="shared" si="2"/>
        <v>0</v>
      </c>
      <c r="J143" s="38">
        <f t="shared" si="3"/>
        <v>0</v>
      </c>
      <c r="K143" s="39">
        <f t="shared" si="4"/>
        <v>0</v>
      </c>
      <c r="L143" s="38">
        <f t="shared" si="5"/>
        <v>0</v>
      </c>
      <c r="M143" s="39">
        <f t="shared" si="6"/>
        <v>0</v>
      </c>
      <c r="N143" s="40"/>
      <c r="O143" s="78"/>
      <c r="P143" s="35"/>
      <c r="Q143" s="35"/>
      <c r="R143" s="35"/>
      <c r="S143" s="35"/>
      <c r="T143" s="35"/>
      <c r="U143" s="35"/>
      <c r="V143" s="35"/>
      <c r="W143" s="35"/>
      <c r="X143" s="35"/>
      <c r="Y143" s="35"/>
    </row>
    <row r="144" ht="14.25" customHeight="1">
      <c r="A144" s="221"/>
      <c r="B144" s="231"/>
      <c r="C144" s="233"/>
      <c r="D144" s="212"/>
      <c r="E144" s="213"/>
      <c r="F144" s="214"/>
      <c r="G144" s="523">
        <v>44805.0</v>
      </c>
      <c r="H144" s="36">
        <f t="shared" si="1"/>
        <v>0</v>
      </c>
      <c r="I144" s="37">
        <f t="shared" si="2"/>
        <v>0</v>
      </c>
      <c r="J144" s="38">
        <f t="shared" si="3"/>
        <v>0</v>
      </c>
      <c r="K144" s="39">
        <f t="shared" si="4"/>
        <v>0</v>
      </c>
      <c r="L144" s="38">
        <f t="shared" si="5"/>
        <v>0</v>
      </c>
      <c r="M144" s="39">
        <f t="shared" si="6"/>
        <v>0</v>
      </c>
      <c r="N144" s="40"/>
      <c r="O144" s="78"/>
      <c r="P144" s="35"/>
      <c r="Q144" s="35"/>
      <c r="R144" s="35"/>
      <c r="S144" s="35"/>
      <c r="T144" s="35"/>
      <c r="U144" s="35"/>
      <c r="V144" s="35"/>
      <c r="W144" s="35"/>
      <c r="X144" s="35"/>
      <c r="Y144" s="35"/>
    </row>
    <row r="145" ht="14.25" customHeight="1">
      <c r="A145" s="221"/>
      <c r="B145" s="231"/>
      <c r="C145" s="233"/>
      <c r="D145" s="212"/>
      <c r="E145" s="213"/>
      <c r="F145" s="214"/>
      <c r="G145" s="506">
        <v>44805.0</v>
      </c>
      <c r="H145" s="36">
        <f t="shared" si="1"/>
        <v>0</v>
      </c>
      <c r="I145" s="37">
        <f t="shared" si="2"/>
        <v>0</v>
      </c>
      <c r="J145" s="38">
        <f t="shared" si="3"/>
        <v>0</v>
      </c>
      <c r="K145" s="39">
        <f t="shared" si="4"/>
        <v>0</v>
      </c>
      <c r="L145" s="38">
        <f t="shared" si="5"/>
        <v>0</v>
      </c>
      <c r="M145" s="39">
        <f t="shared" si="6"/>
        <v>0</v>
      </c>
      <c r="N145" s="40"/>
      <c r="O145" s="34"/>
      <c r="P145" s="35"/>
      <c r="Q145" s="35"/>
      <c r="R145" s="35"/>
      <c r="S145" s="35"/>
      <c r="T145" s="35"/>
      <c r="U145" s="35"/>
      <c r="V145" s="35"/>
      <c r="W145" s="35"/>
      <c r="X145" s="35"/>
      <c r="Y145" s="35"/>
    </row>
    <row r="146" ht="14.25" customHeight="1">
      <c r="A146" s="221"/>
      <c r="B146" s="231"/>
      <c r="C146" s="233"/>
      <c r="D146" s="212"/>
      <c r="E146" s="213"/>
      <c r="F146" s="214"/>
      <c r="G146" s="523">
        <v>44805.0</v>
      </c>
      <c r="H146" s="36">
        <f t="shared" si="1"/>
        <v>0</v>
      </c>
      <c r="I146" s="37">
        <f t="shared" si="2"/>
        <v>0</v>
      </c>
      <c r="J146" s="38">
        <f t="shared" si="3"/>
        <v>0</v>
      </c>
      <c r="K146" s="39">
        <f t="shared" si="4"/>
        <v>0</v>
      </c>
      <c r="L146" s="38">
        <f t="shared" si="5"/>
        <v>0</v>
      </c>
      <c r="M146" s="39">
        <f t="shared" si="6"/>
        <v>0</v>
      </c>
      <c r="N146" s="40"/>
      <c r="O146" s="34"/>
      <c r="P146" s="35"/>
      <c r="Q146" s="35"/>
      <c r="R146" s="35"/>
      <c r="S146" s="35"/>
      <c r="T146" s="35"/>
      <c r="U146" s="35"/>
      <c r="V146" s="35"/>
      <c r="W146" s="35"/>
      <c r="X146" s="35"/>
      <c r="Y146" s="35"/>
    </row>
    <row r="147" ht="14.25" customHeight="1">
      <c r="A147" s="221"/>
      <c r="B147" s="231"/>
      <c r="C147" s="233"/>
      <c r="D147" s="212"/>
      <c r="E147" s="213"/>
      <c r="F147" s="214"/>
      <c r="G147" s="506">
        <v>44805.0</v>
      </c>
      <c r="H147" s="36">
        <f t="shared" si="1"/>
        <v>0</v>
      </c>
      <c r="I147" s="37">
        <f t="shared" si="2"/>
        <v>0</v>
      </c>
      <c r="J147" s="38">
        <f t="shared" si="3"/>
        <v>0</v>
      </c>
      <c r="K147" s="39">
        <f t="shared" si="4"/>
        <v>0</v>
      </c>
      <c r="L147" s="38">
        <f t="shared" si="5"/>
        <v>0</v>
      </c>
      <c r="M147" s="39">
        <f t="shared" si="6"/>
        <v>0</v>
      </c>
      <c r="N147" s="40"/>
      <c r="O147" s="34"/>
      <c r="P147" s="35"/>
      <c r="Q147" s="35"/>
      <c r="R147" s="35"/>
      <c r="S147" s="35"/>
      <c r="T147" s="35"/>
      <c r="U147" s="35"/>
      <c r="V147" s="35"/>
      <c r="W147" s="35"/>
      <c r="X147" s="35"/>
      <c r="Y147" s="35"/>
    </row>
    <row r="148" ht="14.25" customHeight="1">
      <c r="A148" s="221"/>
      <c r="B148" s="231"/>
      <c r="C148" s="233"/>
      <c r="D148" s="212"/>
      <c r="E148" s="213"/>
      <c r="F148" s="214"/>
      <c r="G148" s="523">
        <v>44805.0</v>
      </c>
      <c r="H148" s="36">
        <f t="shared" si="1"/>
        <v>0</v>
      </c>
      <c r="I148" s="37">
        <f t="shared" si="2"/>
        <v>0</v>
      </c>
      <c r="J148" s="38">
        <f t="shared" si="3"/>
        <v>0</v>
      </c>
      <c r="K148" s="39">
        <f t="shared" si="4"/>
        <v>0</v>
      </c>
      <c r="L148" s="38">
        <f t="shared" si="5"/>
        <v>0</v>
      </c>
      <c r="M148" s="39">
        <f t="shared" si="6"/>
        <v>0</v>
      </c>
      <c r="N148" s="40"/>
      <c r="O148" s="34"/>
      <c r="P148" s="35"/>
      <c r="Q148" s="35"/>
      <c r="R148" s="35"/>
      <c r="S148" s="35"/>
      <c r="T148" s="35"/>
      <c r="U148" s="35"/>
      <c r="V148" s="35"/>
      <c r="W148" s="35"/>
      <c r="X148" s="35"/>
      <c r="Y148" s="35"/>
    </row>
    <row r="149" ht="14.25" customHeight="1">
      <c r="A149" s="221"/>
      <c r="B149" s="231"/>
      <c r="C149" s="233"/>
      <c r="D149" s="212"/>
      <c r="E149" s="213"/>
      <c r="F149" s="214"/>
      <c r="G149" s="506">
        <v>44805.0</v>
      </c>
      <c r="H149" s="36">
        <f t="shared" si="1"/>
        <v>0</v>
      </c>
      <c r="I149" s="37">
        <f t="shared" si="2"/>
        <v>0</v>
      </c>
      <c r="J149" s="38">
        <f t="shared" si="3"/>
        <v>0</v>
      </c>
      <c r="K149" s="39">
        <f t="shared" si="4"/>
        <v>0</v>
      </c>
      <c r="L149" s="38">
        <f t="shared" si="5"/>
        <v>0</v>
      </c>
      <c r="M149" s="39">
        <f t="shared" si="6"/>
        <v>0</v>
      </c>
      <c r="N149" s="40"/>
      <c r="O149" s="34"/>
      <c r="P149" s="35"/>
      <c r="Q149" s="35"/>
      <c r="R149" s="35"/>
      <c r="S149" s="35"/>
      <c r="T149" s="35"/>
      <c r="U149" s="35"/>
      <c r="V149" s="35"/>
      <c r="W149" s="35"/>
      <c r="X149" s="35"/>
      <c r="Y149" s="35"/>
    </row>
    <row r="150" ht="14.25" customHeight="1">
      <c r="A150" s="221"/>
      <c r="B150" s="231"/>
      <c r="C150" s="233"/>
      <c r="D150" s="212"/>
      <c r="E150" s="213"/>
      <c r="F150" s="214"/>
      <c r="G150" s="523">
        <v>44805.0</v>
      </c>
      <c r="H150" s="36">
        <f t="shared" si="1"/>
        <v>0</v>
      </c>
      <c r="I150" s="37">
        <f t="shared" si="2"/>
        <v>0</v>
      </c>
      <c r="J150" s="38">
        <f t="shared" si="3"/>
        <v>0</v>
      </c>
      <c r="K150" s="39">
        <f t="shared" si="4"/>
        <v>0</v>
      </c>
      <c r="L150" s="38">
        <f t="shared" si="5"/>
        <v>0</v>
      </c>
      <c r="M150" s="39">
        <f t="shared" si="6"/>
        <v>0</v>
      </c>
      <c r="N150" s="40"/>
      <c r="O150" s="34"/>
      <c r="P150" s="35"/>
      <c r="Q150" s="35"/>
      <c r="R150" s="35"/>
      <c r="S150" s="35"/>
      <c r="T150" s="35"/>
      <c r="U150" s="35"/>
      <c r="V150" s="35"/>
      <c r="W150" s="35"/>
      <c r="X150" s="35"/>
      <c r="Y150" s="35"/>
    </row>
    <row r="151" ht="14.25" customHeight="1">
      <c r="A151" s="221"/>
      <c r="B151" s="231"/>
      <c r="C151" s="233"/>
      <c r="D151" s="212"/>
      <c r="E151" s="213"/>
      <c r="F151" s="214"/>
      <c r="G151" s="506">
        <v>44805.0</v>
      </c>
      <c r="H151" s="36">
        <f t="shared" si="1"/>
        <v>0</v>
      </c>
      <c r="I151" s="37">
        <f t="shared" si="2"/>
        <v>0</v>
      </c>
      <c r="J151" s="38">
        <f t="shared" si="3"/>
        <v>0</v>
      </c>
      <c r="K151" s="39">
        <f t="shared" si="4"/>
        <v>0</v>
      </c>
      <c r="L151" s="38">
        <f t="shared" si="5"/>
        <v>0</v>
      </c>
      <c r="M151" s="39">
        <f t="shared" si="6"/>
        <v>0</v>
      </c>
      <c r="N151" s="40"/>
      <c r="O151" s="78"/>
      <c r="P151" s="35"/>
      <c r="Q151" s="35"/>
      <c r="R151" s="35"/>
      <c r="S151" s="35"/>
      <c r="T151" s="35"/>
      <c r="U151" s="35"/>
      <c r="V151" s="35"/>
      <c r="W151" s="35"/>
      <c r="X151" s="35"/>
      <c r="Y151" s="35"/>
    </row>
    <row r="152" ht="14.25" customHeight="1">
      <c r="A152" s="221"/>
      <c r="B152" s="231"/>
      <c r="C152" s="233"/>
      <c r="D152" s="212"/>
      <c r="E152" s="213"/>
      <c r="F152" s="214"/>
      <c r="G152" s="523">
        <v>44805.0</v>
      </c>
      <c r="H152" s="36">
        <f t="shared" si="1"/>
        <v>0</v>
      </c>
      <c r="I152" s="37">
        <f t="shared" si="2"/>
        <v>0</v>
      </c>
      <c r="J152" s="38">
        <f t="shared" si="3"/>
        <v>0</v>
      </c>
      <c r="K152" s="39">
        <f t="shared" si="4"/>
        <v>0</v>
      </c>
      <c r="L152" s="38">
        <f t="shared" si="5"/>
        <v>0</v>
      </c>
      <c r="M152" s="39">
        <f t="shared" si="6"/>
        <v>0</v>
      </c>
      <c r="N152" s="40"/>
      <c r="O152" s="78"/>
      <c r="P152" s="35"/>
      <c r="Q152" s="35"/>
      <c r="R152" s="35"/>
      <c r="S152" s="35"/>
      <c r="T152" s="35"/>
      <c r="U152" s="35"/>
      <c r="V152" s="35"/>
      <c r="W152" s="35"/>
      <c r="X152" s="35"/>
      <c r="Y152" s="35"/>
    </row>
    <row r="153" ht="14.25" customHeight="1">
      <c r="A153" s="221"/>
      <c r="B153" s="231"/>
      <c r="C153" s="233"/>
      <c r="D153" s="212"/>
      <c r="E153" s="213"/>
      <c r="F153" s="214"/>
      <c r="G153" s="506">
        <v>44805.0</v>
      </c>
      <c r="H153" s="36">
        <f t="shared" si="1"/>
        <v>0</v>
      </c>
      <c r="I153" s="37">
        <f t="shared" si="2"/>
        <v>0</v>
      </c>
      <c r="J153" s="38">
        <f t="shared" si="3"/>
        <v>0</v>
      </c>
      <c r="K153" s="39">
        <f t="shared" si="4"/>
        <v>0</v>
      </c>
      <c r="L153" s="38">
        <f t="shared" si="5"/>
        <v>0</v>
      </c>
      <c r="M153" s="39">
        <f t="shared" si="6"/>
        <v>0</v>
      </c>
      <c r="N153" s="40"/>
      <c r="O153" s="78"/>
      <c r="P153" s="35"/>
      <c r="Q153" s="35"/>
      <c r="R153" s="35"/>
      <c r="S153" s="35"/>
      <c r="T153" s="35"/>
      <c r="U153" s="35"/>
      <c r="V153" s="35"/>
      <c r="W153" s="35"/>
      <c r="X153" s="35"/>
      <c r="Y153" s="35"/>
    </row>
    <row r="154" ht="14.25" customHeight="1">
      <c r="A154" s="221"/>
      <c r="B154" s="231"/>
      <c r="C154" s="233"/>
      <c r="D154" s="212"/>
      <c r="E154" s="213"/>
      <c r="F154" s="214"/>
      <c r="G154" s="523">
        <v>44805.0</v>
      </c>
      <c r="H154" s="36">
        <f t="shared" si="1"/>
        <v>0</v>
      </c>
      <c r="I154" s="37">
        <f t="shared" si="2"/>
        <v>0</v>
      </c>
      <c r="J154" s="38">
        <f t="shared" si="3"/>
        <v>0</v>
      </c>
      <c r="K154" s="39">
        <f t="shared" si="4"/>
        <v>0</v>
      </c>
      <c r="L154" s="38">
        <f t="shared" si="5"/>
        <v>0</v>
      </c>
      <c r="M154" s="39">
        <f t="shared" si="6"/>
        <v>0</v>
      </c>
      <c r="N154" s="40"/>
      <c r="O154" s="78"/>
      <c r="P154" s="35"/>
      <c r="Q154" s="35"/>
      <c r="R154" s="35"/>
      <c r="S154" s="35"/>
      <c r="T154" s="35"/>
      <c r="U154" s="35"/>
      <c r="V154" s="35"/>
      <c r="W154" s="35"/>
      <c r="X154" s="35"/>
      <c r="Y154" s="35"/>
    </row>
    <row r="155" ht="14.25" customHeight="1">
      <c r="A155" s="221"/>
      <c r="B155" s="231"/>
      <c r="C155" s="233"/>
      <c r="D155" s="212"/>
      <c r="E155" s="213"/>
      <c r="F155" s="214"/>
      <c r="G155" s="506">
        <v>44805.0</v>
      </c>
      <c r="H155" s="36">
        <f t="shared" si="1"/>
        <v>0</v>
      </c>
      <c r="I155" s="37">
        <f t="shared" si="2"/>
        <v>0</v>
      </c>
      <c r="J155" s="38">
        <f t="shared" si="3"/>
        <v>0</v>
      </c>
      <c r="K155" s="39">
        <f t="shared" si="4"/>
        <v>0</v>
      </c>
      <c r="L155" s="38">
        <f t="shared" si="5"/>
        <v>0</v>
      </c>
      <c r="M155" s="39">
        <f t="shared" si="6"/>
        <v>0</v>
      </c>
      <c r="N155" s="40"/>
      <c r="O155" s="78"/>
      <c r="P155" s="35"/>
      <c r="Q155" s="35"/>
      <c r="R155" s="35"/>
      <c r="S155" s="35"/>
      <c r="T155" s="35"/>
      <c r="U155" s="35"/>
      <c r="V155" s="35"/>
      <c r="W155" s="35"/>
      <c r="X155" s="35"/>
      <c r="Y155" s="35"/>
    </row>
    <row r="156" ht="14.25" customHeight="1">
      <c r="A156" s="221"/>
      <c r="B156" s="231"/>
      <c r="C156" s="233"/>
      <c r="D156" s="212"/>
      <c r="E156" s="213"/>
      <c r="F156" s="214"/>
      <c r="G156" s="523">
        <v>44805.0</v>
      </c>
      <c r="H156" s="36">
        <f t="shared" si="1"/>
        <v>0</v>
      </c>
      <c r="I156" s="37">
        <f t="shared" si="2"/>
        <v>0</v>
      </c>
      <c r="J156" s="38">
        <f t="shared" si="3"/>
        <v>0</v>
      </c>
      <c r="K156" s="39">
        <f t="shared" si="4"/>
        <v>0</v>
      </c>
      <c r="L156" s="38">
        <f t="shared" si="5"/>
        <v>0</v>
      </c>
      <c r="M156" s="39">
        <f t="shared" si="6"/>
        <v>0</v>
      </c>
      <c r="N156" s="40"/>
      <c r="O156" s="78"/>
      <c r="P156" s="35"/>
      <c r="Q156" s="35"/>
      <c r="R156" s="35"/>
      <c r="S156" s="35"/>
      <c r="T156" s="35"/>
      <c r="U156" s="35"/>
      <c r="V156" s="35"/>
      <c r="W156" s="35"/>
      <c r="X156" s="35"/>
      <c r="Y156" s="35"/>
    </row>
    <row r="157" ht="14.25" customHeight="1">
      <c r="A157" s="221"/>
      <c r="B157" s="231"/>
      <c r="C157" s="233"/>
      <c r="D157" s="212"/>
      <c r="E157" s="213"/>
      <c r="F157" s="214"/>
      <c r="G157" s="506">
        <v>44805.0</v>
      </c>
      <c r="H157" s="36">
        <f t="shared" si="1"/>
        <v>0</v>
      </c>
      <c r="I157" s="37">
        <f t="shared" si="2"/>
        <v>0</v>
      </c>
      <c r="J157" s="38">
        <f t="shared" si="3"/>
        <v>0</v>
      </c>
      <c r="K157" s="39">
        <f t="shared" si="4"/>
        <v>0</v>
      </c>
      <c r="L157" s="38">
        <f t="shared" si="5"/>
        <v>0</v>
      </c>
      <c r="M157" s="39">
        <f t="shared" si="6"/>
        <v>0</v>
      </c>
      <c r="N157" s="40"/>
      <c r="O157" s="78"/>
      <c r="P157" s="35"/>
      <c r="Q157" s="35"/>
      <c r="R157" s="35"/>
      <c r="S157" s="35"/>
      <c r="T157" s="35"/>
      <c r="U157" s="35"/>
      <c r="V157" s="35"/>
      <c r="W157" s="35"/>
      <c r="X157" s="35"/>
      <c r="Y157" s="35"/>
    </row>
    <row r="158" ht="14.25" customHeight="1">
      <c r="A158" s="221"/>
      <c r="B158" s="231"/>
      <c r="C158" s="233"/>
      <c r="D158" s="212"/>
      <c r="E158" s="213"/>
      <c r="F158" s="214"/>
      <c r="G158" s="523">
        <v>44805.0</v>
      </c>
      <c r="H158" s="36">
        <f t="shared" si="1"/>
        <v>0</v>
      </c>
      <c r="I158" s="37">
        <f t="shared" si="2"/>
        <v>0</v>
      </c>
      <c r="J158" s="38">
        <f t="shared" si="3"/>
        <v>0</v>
      </c>
      <c r="K158" s="39">
        <f t="shared" si="4"/>
        <v>0</v>
      </c>
      <c r="L158" s="38">
        <f t="shared" si="5"/>
        <v>0</v>
      </c>
      <c r="M158" s="39">
        <f t="shared" si="6"/>
        <v>0</v>
      </c>
      <c r="N158" s="40"/>
      <c r="O158" s="78"/>
      <c r="P158" s="35"/>
      <c r="Q158" s="35"/>
      <c r="R158" s="35"/>
      <c r="S158" s="35"/>
      <c r="T158" s="35"/>
      <c r="U158" s="35"/>
      <c r="V158" s="35"/>
      <c r="W158" s="35"/>
      <c r="X158" s="35"/>
      <c r="Y158" s="35"/>
    </row>
    <row r="159" ht="14.25" customHeight="1">
      <c r="A159" s="221"/>
      <c r="B159" s="231"/>
      <c r="C159" s="233"/>
      <c r="D159" s="212"/>
      <c r="E159" s="213"/>
      <c r="F159" s="214"/>
      <c r="G159" s="506">
        <v>44805.0</v>
      </c>
      <c r="H159" s="36">
        <f t="shared" si="1"/>
        <v>0</v>
      </c>
      <c r="I159" s="37">
        <f t="shared" si="2"/>
        <v>0</v>
      </c>
      <c r="J159" s="38">
        <f t="shared" si="3"/>
        <v>0</v>
      </c>
      <c r="K159" s="39">
        <f t="shared" si="4"/>
        <v>0</v>
      </c>
      <c r="L159" s="38">
        <f t="shared" si="5"/>
        <v>0</v>
      </c>
      <c r="M159" s="39">
        <f t="shared" si="6"/>
        <v>0</v>
      </c>
      <c r="N159" s="40"/>
      <c r="O159" s="78"/>
      <c r="P159" s="35"/>
      <c r="Q159" s="35"/>
      <c r="R159" s="35"/>
      <c r="S159" s="35"/>
      <c r="T159" s="35"/>
      <c r="U159" s="35"/>
      <c r="V159" s="35"/>
      <c r="W159" s="35"/>
      <c r="X159" s="35"/>
      <c r="Y159" s="35"/>
    </row>
    <row r="160" ht="14.25" customHeight="1">
      <c r="A160" s="221"/>
      <c r="B160" s="231"/>
      <c r="C160" s="233"/>
      <c r="D160" s="212"/>
      <c r="E160" s="213"/>
      <c r="F160" s="214"/>
      <c r="G160" s="523">
        <v>44805.0</v>
      </c>
      <c r="H160" s="36">
        <f t="shared" si="1"/>
        <v>0</v>
      </c>
      <c r="I160" s="37">
        <f t="shared" si="2"/>
        <v>0</v>
      </c>
      <c r="J160" s="38">
        <f t="shared" si="3"/>
        <v>0</v>
      </c>
      <c r="K160" s="39">
        <f t="shared" si="4"/>
        <v>0</v>
      </c>
      <c r="L160" s="38">
        <f t="shared" si="5"/>
        <v>0</v>
      </c>
      <c r="M160" s="39">
        <f t="shared" si="6"/>
        <v>0</v>
      </c>
      <c r="N160" s="40"/>
      <c r="O160" s="78"/>
      <c r="P160" s="35"/>
      <c r="Q160" s="35"/>
      <c r="R160" s="35"/>
      <c r="S160" s="35"/>
      <c r="T160" s="35"/>
      <c r="U160" s="35"/>
      <c r="V160" s="35"/>
      <c r="W160" s="35"/>
      <c r="X160" s="35"/>
      <c r="Y160" s="35"/>
    </row>
    <row r="161" ht="14.25" customHeight="1">
      <c r="A161" s="221"/>
      <c r="B161" s="231"/>
      <c r="C161" s="116"/>
      <c r="D161" s="223"/>
      <c r="E161" s="85"/>
      <c r="F161" s="107"/>
      <c r="G161" s="506">
        <v>44805.0</v>
      </c>
      <c r="H161" s="36">
        <f t="shared" si="1"/>
        <v>0</v>
      </c>
      <c r="I161" s="37">
        <f t="shared" si="2"/>
        <v>0</v>
      </c>
      <c r="J161" s="38">
        <f t="shared" si="3"/>
        <v>0</v>
      </c>
      <c r="K161" s="39">
        <f t="shared" si="4"/>
        <v>0</v>
      </c>
      <c r="L161" s="38">
        <f t="shared" si="5"/>
        <v>0</v>
      </c>
      <c r="M161" s="39">
        <f t="shared" si="6"/>
        <v>0</v>
      </c>
      <c r="N161" s="40"/>
      <c r="O161" s="78"/>
      <c r="P161" s="35"/>
      <c r="Q161" s="35"/>
      <c r="R161" s="35"/>
      <c r="S161" s="35"/>
      <c r="T161" s="35"/>
      <c r="U161" s="35"/>
      <c r="V161" s="35"/>
      <c r="W161" s="35"/>
      <c r="X161" s="35"/>
      <c r="Y161" s="35"/>
    </row>
    <row r="162" ht="14.25" customHeight="1">
      <c r="A162" s="221"/>
      <c r="B162" s="231"/>
      <c r="C162" s="116"/>
      <c r="D162" s="223"/>
      <c r="E162" s="85"/>
      <c r="F162" s="107"/>
      <c r="G162" s="523">
        <v>44805.0</v>
      </c>
      <c r="H162" s="36">
        <f t="shared" si="1"/>
        <v>0</v>
      </c>
      <c r="I162" s="37">
        <f t="shared" si="2"/>
        <v>0</v>
      </c>
      <c r="J162" s="38">
        <f t="shared" si="3"/>
        <v>0</v>
      </c>
      <c r="K162" s="39">
        <f t="shared" si="4"/>
        <v>0</v>
      </c>
      <c r="L162" s="38">
        <f t="shared" si="5"/>
        <v>0</v>
      </c>
      <c r="M162" s="39">
        <f t="shared" si="6"/>
        <v>0</v>
      </c>
      <c r="N162" s="40"/>
      <c r="O162" s="78"/>
      <c r="P162" s="35"/>
      <c r="Q162" s="35"/>
      <c r="R162" s="35"/>
      <c r="S162" s="35"/>
      <c r="T162" s="35"/>
      <c r="U162" s="35"/>
      <c r="V162" s="35"/>
      <c r="W162" s="35"/>
      <c r="X162" s="35"/>
      <c r="Y162" s="35"/>
    </row>
    <row r="163" ht="14.25" customHeight="1">
      <c r="A163" s="221"/>
      <c r="B163" s="231"/>
      <c r="C163" s="116"/>
      <c r="D163" s="223"/>
      <c r="E163" s="85"/>
      <c r="F163" s="107"/>
      <c r="G163" s="506">
        <v>44805.0</v>
      </c>
      <c r="H163" s="36">
        <f t="shared" si="1"/>
        <v>0</v>
      </c>
      <c r="I163" s="37">
        <f t="shared" si="2"/>
        <v>0</v>
      </c>
      <c r="J163" s="38">
        <f t="shared" si="3"/>
        <v>0</v>
      </c>
      <c r="K163" s="39">
        <f t="shared" si="4"/>
        <v>0</v>
      </c>
      <c r="L163" s="38">
        <f t="shared" si="5"/>
        <v>0</v>
      </c>
      <c r="M163" s="39">
        <f t="shared" si="6"/>
        <v>0</v>
      </c>
      <c r="N163" s="40"/>
      <c r="O163" s="78"/>
      <c r="P163" s="35"/>
      <c r="Q163" s="35"/>
      <c r="R163" s="35"/>
      <c r="S163" s="35"/>
      <c r="T163" s="35"/>
      <c r="U163" s="35"/>
      <c r="V163" s="35"/>
      <c r="W163" s="35"/>
      <c r="X163" s="35"/>
      <c r="Y163" s="35"/>
    </row>
    <row r="164" ht="14.25" customHeight="1">
      <c r="A164" s="221"/>
      <c r="B164" s="231"/>
      <c r="C164" s="126"/>
      <c r="D164" s="508"/>
      <c r="E164" s="48"/>
      <c r="F164" s="107"/>
      <c r="G164" s="523">
        <v>44805.0</v>
      </c>
      <c r="H164" s="36">
        <f t="shared" si="1"/>
        <v>0</v>
      </c>
      <c r="I164" s="37">
        <f t="shared" si="2"/>
        <v>0</v>
      </c>
      <c r="J164" s="38">
        <f t="shared" si="3"/>
        <v>0</v>
      </c>
      <c r="K164" s="39">
        <f t="shared" si="4"/>
        <v>0</v>
      </c>
      <c r="L164" s="38">
        <f t="shared" si="5"/>
        <v>0</v>
      </c>
      <c r="M164" s="39">
        <f t="shared" si="6"/>
        <v>0</v>
      </c>
      <c r="N164" s="40"/>
      <c r="O164" s="78"/>
      <c r="P164" s="35"/>
      <c r="Q164" s="35"/>
      <c r="R164" s="35"/>
      <c r="S164" s="35"/>
      <c r="T164" s="35"/>
      <c r="U164" s="35"/>
      <c r="V164" s="35"/>
      <c r="W164" s="35"/>
      <c r="X164" s="35"/>
      <c r="Y164" s="35"/>
    </row>
    <row r="165" ht="14.25" customHeight="1">
      <c r="A165" s="221"/>
      <c r="B165" s="231"/>
      <c r="C165" s="126"/>
      <c r="D165" s="223"/>
      <c r="E165" s="85"/>
      <c r="F165" s="107"/>
      <c r="G165" s="506">
        <v>44805.0</v>
      </c>
      <c r="H165" s="36">
        <f t="shared" si="1"/>
        <v>0</v>
      </c>
      <c r="I165" s="37">
        <f t="shared" si="2"/>
        <v>0</v>
      </c>
      <c r="J165" s="38">
        <f t="shared" si="3"/>
        <v>0</v>
      </c>
      <c r="K165" s="39">
        <f t="shared" si="4"/>
        <v>0</v>
      </c>
      <c r="L165" s="38">
        <f t="shared" si="5"/>
        <v>0</v>
      </c>
      <c r="M165" s="39">
        <f t="shared" si="6"/>
        <v>0</v>
      </c>
      <c r="N165" s="40"/>
      <c r="O165" s="78"/>
      <c r="P165" s="35"/>
      <c r="Q165" s="35"/>
      <c r="R165" s="35"/>
      <c r="S165" s="35"/>
      <c r="T165" s="35"/>
      <c r="U165" s="35"/>
      <c r="V165" s="35"/>
      <c r="W165" s="35"/>
      <c r="X165" s="35"/>
      <c r="Y165" s="35"/>
    </row>
    <row r="166" ht="14.25" customHeight="1">
      <c r="A166" s="221"/>
      <c r="B166" s="231"/>
      <c r="C166" s="126"/>
      <c r="D166" s="223"/>
      <c r="E166" s="85"/>
      <c r="F166" s="107"/>
      <c r="G166" s="523">
        <v>44805.0</v>
      </c>
      <c r="H166" s="36">
        <f t="shared" si="1"/>
        <v>0</v>
      </c>
      <c r="I166" s="37">
        <f t="shared" si="2"/>
        <v>0</v>
      </c>
      <c r="J166" s="38">
        <f t="shared" si="3"/>
        <v>0</v>
      </c>
      <c r="K166" s="39">
        <f t="shared" si="4"/>
        <v>0</v>
      </c>
      <c r="L166" s="38">
        <f t="shared" si="5"/>
        <v>0</v>
      </c>
      <c r="M166" s="39">
        <f t="shared" si="6"/>
        <v>0</v>
      </c>
      <c r="N166" s="40"/>
      <c r="O166" s="78"/>
      <c r="P166" s="35"/>
      <c r="Q166" s="35"/>
      <c r="R166" s="35"/>
      <c r="S166" s="35"/>
      <c r="T166" s="35"/>
      <c r="U166" s="35"/>
      <c r="V166" s="35"/>
      <c r="W166" s="35"/>
      <c r="X166" s="35"/>
      <c r="Y166" s="35"/>
    </row>
    <row r="167" ht="14.25" customHeight="1">
      <c r="A167" s="221"/>
      <c r="B167" s="231"/>
      <c r="C167" s="116"/>
      <c r="D167" s="223"/>
      <c r="E167" s="85"/>
      <c r="F167" s="107"/>
      <c r="G167" s="506">
        <v>44805.0</v>
      </c>
      <c r="H167" s="36">
        <f t="shared" si="1"/>
        <v>0</v>
      </c>
      <c r="I167" s="37">
        <f t="shared" si="2"/>
        <v>0</v>
      </c>
      <c r="J167" s="38">
        <f t="shared" si="3"/>
        <v>0</v>
      </c>
      <c r="K167" s="39">
        <f t="shared" si="4"/>
        <v>0</v>
      </c>
      <c r="L167" s="38">
        <f t="shared" si="5"/>
        <v>0</v>
      </c>
      <c r="M167" s="39">
        <f t="shared" si="6"/>
        <v>0</v>
      </c>
      <c r="N167" s="40"/>
      <c r="O167" s="78"/>
      <c r="P167" s="35"/>
      <c r="Q167" s="35"/>
      <c r="R167" s="35"/>
      <c r="S167" s="35"/>
      <c r="T167" s="35"/>
      <c r="U167" s="35"/>
      <c r="V167" s="35"/>
      <c r="W167" s="35"/>
      <c r="X167" s="35"/>
      <c r="Y167" s="35"/>
    </row>
    <row r="168" ht="14.25" customHeight="1">
      <c r="A168" s="221"/>
      <c r="B168" s="231"/>
      <c r="C168" s="116"/>
      <c r="D168" s="223"/>
      <c r="E168" s="85"/>
      <c r="F168" s="107"/>
      <c r="G168" s="523">
        <v>44805.0</v>
      </c>
      <c r="H168" s="36">
        <f t="shared" si="1"/>
        <v>0</v>
      </c>
      <c r="I168" s="37">
        <f t="shared" si="2"/>
        <v>0</v>
      </c>
      <c r="J168" s="38">
        <f t="shared" si="3"/>
        <v>0</v>
      </c>
      <c r="K168" s="39">
        <f t="shared" si="4"/>
        <v>0</v>
      </c>
      <c r="L168" s="38">
        <f t="shared" si="5"/>
        <v>0</v>
      </c>
      <c r="M168" s="39">
        <f t="shared" si="6"/>
        <v>0</v>
      </c>
      <c r="N168" s="40"/>
      <c r="O168" s="78"/>
      <c r="P168" s="35"/>
      <c r="Q168" s="35"/>
      <c r="R168" s="35"/>
      <c r="S168" s="35"/>
      <c r="T168" s="35"/>
      <c r="U168" s="35"/>
      <c r="V168" s="35"/>
      <c r="W168" s="35"/>
      <c r="X168" s="35"/>
      <c r="Y168" s="35"/>
    </row>
    <row r="169" ht="14.25" customHeight="1">
      <c r="A169" s="221"/>
      <c r="B169" s="231"/>
      <c r="C169" s="108"/>
      <c r="D169" s="223"/>
      <c r="E169" s="42"/>
      <c r="F169" s="109"/>
      <c r="G169" s="506">
        <v>44805.0</v>
      </c>
      <c r="H169" s="36">
        <f t="shared" si="1"/>
        <v>0</v>
      </c>
      <c r="I169" s="37">
        <f t="shared" si="2"/>
        <v>0</v>
      </c>
      <c r="J169" s="38">
        <f t="shared" si="3"/>
        <v>0</v>
      </c>
      <c r="K169" s="39">
        <f t="shared" si="4"/>
        <v>0</v>
      </c>
      <c r="L169" s="38">
        <f t="shared" si="5"/>
        <v>0</v>
      </c>
      <c r="M169" s="39">
        <f t="shared" si="6"/>
        <v>0</v>
      </c>
      <c r="N169" s="40"/>
      <c r="O169" s="34"/>
      <c r="P169" s="35"/>
      <c r="Q169" s="35"/>
      <c r="R169" s="35"/>
      <c r="S169" s="35"/>
      <c r="T169" s="35"/>
      <c r="U169" s="35"/>
      <c r="V169" s="35"/>
      <c r="W169" s="35"/>
      <c r="X169" s="35"/>
      <c r="Y169" s="35"/>
    </row>
    <row r="170" ht="14.25" customHeight="1">
      <c r="A170" s="221"/>
      <c r="B170" s="231"/>
      <c r="C170" s="106"/>
      <c r="D170" s="223"/>
      <c r="E170" s="85"/>
      <c r="F170" s="107"/>
      <c r="G170" s="523">
        <v>44805.0</v>
      </c>
      <c r="H170" s="36">
        <f t="shared" si="1"/>
        <v>0</v>
      </c>
      <c r="I170" s="37">
        <f t="shared" si="2"/>
        <v>0</v>
      </c>
      <c r="J170" s="38">
        <f t="shared" si="3"/>
        <v>0</v>
      </c>
      <c r="K170" s="39">
        <f t="shared" si="4"/>
        <v>0</v>
      </c>
      <c r="L170" s="38">
        <f t="shared" si="5"/>
        <v>0</v>
      </c>
      <c r="M170" s="39">
        <f t="shared" si="6"/>
        <v>0</v>
      </c>
      <c r="N170" s="40"/>
      <c r="O170" s="34"/>
      <c r="P170" s="35"/>
      <c r="Q170" s="35"/>
      <c r="R170" s="35"/>
      <c r="S170" s="35"/>
      <c r="T170" s="35"/>
      <c r="U170" s="35"/>
      <c r="V170" s="35"/>
      <c r="W170" s="35"/>
      <c r="X170" s="35"/>
      <c r="Y170" s="35"/>
    </row>
    <row r="171" ht="14.25" customHeight="1">
      <c r="A171" s="221"/>
      <c r="B171" s="231"/>
      <c r="C171" s="106"/>
      <c r="D171" s="223"/>
      <c r="E171" s="85"/>
      <c r="F171" s="107"/>
      <c r="G171" s="506">
        <v>44805.0</v>
      </c>
      <c r="H171" s="36">
        <f t="shared" si="1"/>
        <v>0</v>
      </c>
      <c r="I171" s="37">
        <f t="shared" si="2"/>
        <v>0</v>
      </c>
      <c r="J171" s="38">
        <f t="shared" si="3"/>
        <v>0</v>
      </c>
      <c r="K171" s="39">
        <f t="shared" si="4"/>
        <v>0</v>
      </c>
      <c r="L171" s="38">
        <f t="shared" si="5"/>
        <v>0</v>
      </c>
      <c r="M171" s="39">
        <f t="shared" si="6"/>
        <v>0</v>
      </c>
      <c r="N171" s="40"/>
      <c r="O171" s="34"/>
      <c r="P171" s="35"/>
      <c r="Q171" s="35"/>
      <c r="R171" s="35"/>
      <c r="S171" s="35"/>
      <c r="T171" s="35"/>
      <c r="U171" s="35"/>
      <c r="V171" s="35"/>
      <c r="W171" s="35"/>
      <c r="X171" s="35"/>
      <c r="Y171" s="35"/>
    </row>
    <row r="172" ht="14.25" customHeight="1">
      <c r="A172" s="221"/>
      <c r="B172" s="231"/>
      <c r="C172" s="106"/>
      <c r="D172" s="223"/>
      <c r="E172" s="85"/>
      <c r="F172" s="107"/>
      <c r="G172" s="523">
        <v>44805.0</v>
      </c>
      <c r="H172" s="36">
        <f t="shared" si="1"/>
        <v>0</v>
      </c>
      <c r="I172" s="37">
        <f t="shared" si="2"/>
        <v>0</v>
      </c>
      <c r="J172" s="38">
        <f t="shared" si="3"/>
        <v>0</v>
      </c>
      <c r="K172" s="39">
        <f t="shared" si="4"/>
        <v>0</v>
      </c>
      <c r="L172" s="38">
        <f t="shared" si="5"/>
        <v>0</v>
      </c>
      <c r="M172" s="39">
        <f t="shared" si="6"/>
        <v>0</v>
      </c>
      <c r="N172" s="40"/>
      <c r="O172" s="34"/>
      <c r="P172" s="35"/>
      <c r="Q172" s="35"/>
      <c r="R172" s="35"/>
      <c r="S172" s="35"/>
      <c r="T172" s="35"/>
      <c r="U172" s="35"/>
      <c r="V172" s="35"/>
      <c r="W172" s="35"/>
      <c r="X172" s="35"/>
      <c r="Y172" s="35"/>
    </row>
    <row r="173" ht="14.25" customHeight="1">
      <c r="A173" s="221"/>
      <c r="B173" s="231"/>
      <c r="C173" s="106"/>
      <c r="D173" s="223"/>
      <c r="E173" s="85"/>
      <c r="F173" s="107"/>
      <c r="G173" s="506">
        <v>44805.0</v>
      </c>
      <c r="H173" s="36">
        <f t="shared" si="1"/>
        <v>0</v>
      </c>
      <c r="I173" s="37">
        <f t="shared" si="2"/>
        <v>0</v>
      </c>
      <c r="J173" s="38">
        <f t="shared" si="3"/>
        <v>0</v>
      </c>
      <c r="K173" s="39">
        <f t="shared" si="4"/>
        <v>0</v>
      </c>
      <c r="L173" s="38">
        <f t="shared" si="5"/>
        <v>0</v>
      </c>
      <c r="M173" s="39">
        <f t="shared" si="6"/>
        <v>0</v>
      </c>
      <c r="N173" s="40"/>
      <c r="O173" s="34"/>
      <c r="P173" s="35"/>
      <c r="Q173" s="35"/>
      <c r="R173" s="35"/>
      <c r="S173" s="35"/>
      <c r="T173" s="35"/>
      <c r="U173" s="35"/>
      <c r="V173" s="35"/>
      <c r="W173" s="35"/>
      <c r="X173" s="35"/>
      <c r="Y173" s="35"/>
    </row>
    <row r="174" ht="14.25" customHeight="1">
      <c r="A174" s="221"/>
      <c r="B174" s="231"/>
      <c r="C174" s="106"/>
      <c r="D174" s="223"/>
      <c r="E174" s="85"/>
      <c r="F174" s="107"/>
      <c r="G174" s="523">
        <v>44805.0</v>
      </c>
      <c r="H174" s="36">
        <f t="shared" si="1"/>
        <v>0</v>
      </c>
      <c r="I174" s="37">
        <f t="shared" si="2"/>
        <v>0</v>
      </c>
      <c r="J174" s="38">
        <f t="shared" si="3"/>
        <v>0</v>
      </c>
      <c r="K174" s="39">
        <f t="shared" si="4"/>
        <v>0</v>
      </c>
      <c r="L174" s="38">
        <f t="shared" si="5"/>
        <v>0</v>
      </c>
      <c r="M174" s="39">
        <f t="shared" si="6"/>
        <v>0</v>
      </c>
      <c r="N174" s="40"/>
      <c r="O174" s="34"/>
      <c r="P174" s="35"/>
      <c r="Q174" s="35"/>
      <c r="R174" s="35"/>
      <c r="S174" s="35"/>
      <c r="T174" s="35"/>
      <c r="U174" s="35"/>
      <c r="V174" s="35"/>
      <c r="W174" s="35"/>
      <c r="X174" s="35"/>
      <c r="Y174" s="35"/>
    </row>
    <row r="175" ht="14.25" customHeight="1">
      <c r="A175" s="221"/>
      <c r="B175" s="231"/>
      <c r="C175" s="115"/>
      <c r="D175" s="223"/>
      <c r="E175" s="105"/>
      <c r="F175" s="107"/>
      <c r="G175" s="506">
        <v>44805.0</v>
      </c>
      <c r="H175" s="36">
        <f t="shared" si="1"/>
        <v>0</v>
      </c>
      <c r="I175" s="37">
        <f t="shared" si="2"/>
        <v>0</v>
      </c>
      <c r="J175" s="38">
        <f t="shared" si="3"/>
        <v>0</v>
      </c>
      <c r="K175" s="39">
        <f t="shared" si="4"/>
        <v>0</v>
      </c>
      <c r="L175" s="38">
        <f t="shared" si="5"/>
        <v>0</v>
      </c>
      <c r="M175" s="39">
        <f t="shared" si="6"/>
        <v>0</v>
      </c>
      <c r="N175" s="40"/>
      <c r="O175" s="34"/>
      <c r="P175" s="35"/>
      <c r="Q175" s="35"/>
      <c r="R175" s="35"/>
      <c r="S175" s="35"/>
      <c r="T175" s="35"/>
      <c r="U175" s="35"/>
      <c r="V175" s="35"/>
      <c r="W175" s="35"/>
      <c r="X175" s="35"/>
      <c r="Y175" s="35"/>
    </row>
    <row r="176" ht="14.25" customHeight="1">
      <c r="A176" s="221"/>
      <c r="B176" s="231"/>
      <c r="C176" s="106"/>
      <c r="D176" s="223"/>
      <c r="E176" s="85"/>
      <c r="F176" s="107"/>
      <c r="G176" s="523">
        <v>44805.0</v>
      </c>
      <c r="H176" s="36">
        <f t="shared" si="1"/>
        <v>0</v>
      </c>
      <c r="I176" s="37">
        <f t="shared" si="2"/>
        <v>0</v>
      </c>
      <c r="J176" s="38">
        <f t="shared" si="3"/>
        <v>0</v>
      </c>
      <c r="K176" s="39">
        <f t="shared" si="4"/>
        <v>0</v>
      </c>
      <c r="L176" s="38">
        <f t="shared" si="5"/>
        <v>0</v>
      </c>
      <c r="M176" s="39">
        <f t="shared" si="6"/>
        <v>0</v>
      </c>
      <c r="N176" s="40"/>
      <c r="O176" s="34"/>
      <c r="P176" s="35"/>
      <c r="Q176" s="35"/>
      <c r="R176" s="35"/>
      <c r="S176" s="35"/>
      <c r="T176" s="35"/>
      <c r="U176" s="35"/>
      <c r="V176" s="35"/>
      <c r="W176" s="35"/>
      <c r="X176" s="35"/>
      <c r="Y176" s="35"/>
    </row>
    <row r="177" ht="14.25" customHeight="1">
      <c r="A177" s="221"/>
      <c r="B177" s="231"/>
      <c r="C177" s="108"/>
      <c r="D177" s="525"/>
      <c r="E177" s="85"/>
      <c r="F177" s="107"/>
      <c r="G177" s="506">
        <v>44805.0</v>
      </c>
      <c r="H177" s="36">
        <f t="shared" si="1"/>
        <v>0</v>
      </c>
      <c r="I177" s="37">
        <f t="shared" si="2"/>
        <v>0</v>
      </c>
      <c r="J177" s="38">
        <f t="shared" si="3"/>
        <v>0</v>
      </c>
      <c r="K177" s="39">
        <f t="shared" si="4"/>
        <v>0</v>
      </c>
      <c r="L177" s="38">
        <f t="shared" si="5"/>
        <v>0</v>
      </c>
      <c r="M177" s="39">
        <f t="shared" si="6"/>
        <v>0</v>
      </c>
      <c r="N177" s="40"/>
      <c r="O177" s="34"/>
      <c r="P177" s="35"/>
      <c r="Q177" s="35"/>
      <c r="R177" s="35"/>
      <c r="S177" s="35"/>
      <c r="T177" s="35"/>
      <c r="U177" s="35"/>
      <c r="V177" s="35"/>
      <c r="W177" s="35"/>
      <c r="X177" s="35"/>
      <c r="Y177" s="35"/>
    </row>
    <row r="178" ht="14.25" customHeight="1">
      <c r="A178" s="221"/>
      <c r="B178" s="231"/>
      <c r="C178" s="115"/>
      <c r="D178" s="223"/>
      <c r="E178" s="85"/>
      <c r="F178" s="238"/>
      <c r="G178" s="523">
        <v>44805.0</v>
      </c>
      <c r="H178" s="36">
        <f t="shared" si="1"/>
        <v>0</v>
      </c>
      <c r="I178" s="37">
        <f t="shared" si="2"/>
        <v>0</v>
      </c>
      <c r="J178" s="38">
        <f t="shared" si="3"/>
        <v>0</v>
      </c>
      <c r="K178" s="39">
        <f t="shared" si="4"/>
        <v>0</v>
      </c>
      <c r="L178" s="38">
        <f t="shared" si="5"/>
        <v>0</v>
      </c>
      <c r="M178" s="39">
        <f t="shared" si="6"/>
        <v>0</v>
      </c>
      <c r="N178" s="40"/>
      <c r="O178" s="34"/>
      <c r="P178" s="35"/>
      <c r="Q178" s="35"/>
      <c r="R178" s="35"/>
      <c r="S178" s="35"/>
      <c r="T178" s="35"/>
      <c r="U178" s="35"/>
      <c r="V178" s="35"/>
      <c r="W178" s="35"/>
      <c r="X178" s="35"/>
      <c r="Y178" s="35"/>
    </row>
    <row r="179" ht="14.25" customHeight="1">
      <c r="A179" s="221"/>
      <c r="B179" s="231"/>
      <c r="C179" s="115"/>
      <c r="D179" s="223"/>
      <c r="E179" s="85"/>
      <c r="F179" s="238"/>
      <c r="G179" s="506">
        <v>44805.0</v>
      </c>
      <c r="H179" s="36">
        <f t="shared" si="1"/>
        <v>0</v>
      </c>
      <c r="I179" s="37">
        <f t="shared" si="2"/>
        <v>0</v>
      </c>
      <c r="J179" s="38">
        <f t="shared" si="3"/>
        <v>0</v>
      </c>
      <c r="K179" s="39">
        <f t="shared" si="4"/>
        <v>0</v>
      </c>
      <c r="L179" s="38">
        <f t="shared" si="5"/>
        <v>0</v>
      </c>
      <c r="M179" s="39">
        <f t="shared" si="6"/>
        <v>0</v>
      </c>
      <c r="N179" s="40"/>
      <c r="O179" s="34"/>
      <c r="P179" s="35"/>
      <c r="Q179" s="35"/>
      <c r="R179" s="35"/>
      <c r="S179" s="35"/>
      <c r="T179" s="35"/>
      <c r="U179" s="35"/>
      <c r="V179" s="35"/>
      <c r="W179" s="35"/>
      <c r="X179" s="35"/>
      <c r="Y179" s="35"/>
    </row>
    <row r="180" ht="14.25" customHeight="1">
      <c r="A180" s="221"/>
      <c r="B180" s="231"/>
      <c r="C180" s="115"/>
      <c r="D180" s="223"/>
      <c r="E180" s="85"/>
      <c r="F180" s="238"/>
      <c r="G180" s="523">
        <v>44805.0</v>
      </c>
      <c r="H180" s="36">
        <f t="shared" si="1"/>
        <v>0</v>
      </c>
      <c r="I180" s="37">
        <f t="shared" si="2"/>
        <v>0</v>
      </c>
      <c r="J180" s="38">
        <f t="shared" si="3"/>
        <v>0</v>
      </c>
      <c r="K180" s="39">
        <f t="shared" si="4"/>
        <v>0</v>
      </c>
      <c r="L180" s="38">
        <f t="shared" si="5"/>
        <v>0</v>
      </c>
      <c r="M180" s="39">
        <f t="shared" si="6"/>
        <v>0</v>
      </c>
      <c r="N180" s="40"/>
      <c r="O180" s="34"/>
      <c r="P180" s="35"/>
      <c r="Q180" s="35"/>
      <c r="R180" s="35"/>
      <c r="S180" s="35"/>
      <c r="T180" s="35"/>
      <c r="U180" s="35"/>
      <c r="V180" s="35"/>
      <c r="W180" s="35"/>
      <c r="X180" s="35"/>
      <c r="Y180" s="35"/>
    </row>
    <row r="181" ht="14.25" customHeight="1">
      <c r="A181" s="221"/>
      <c r="B181" s="231"/>
      <c r="C181" s="106"/>
      <c r="D181" s="223"/>
      <c r="E181" s="85"/>
      <c r="F181" s="238"/>
      <c r="G181" s="506">
        <v>44805.0</v>
      </c>
      <c r="H181" s="36">
        <f t="shared" si="1"/>
        <v>0</v>
      </c>
      <c r="I181" s="37">
        <f t="shared" si="2"/>
        <v>0</v>
      </c>
      <c r="J181" s="38">
        <f t="shared" si="3"/>
        <v>0</v>
      </c>
      <c r="K181" s="39">
        <f t="shared" si="4"/>
        <v>0</v>
      </c>
      <c r="L181" s="38">
        <f t="shared" si="5"/>
        <v>0</v>
      </c>
      <c r="M181" s="39">
        <f t="shared" si="6"/>
        <v>0</v>
      </c>
      <c r="N181" s="40"/>
      <c r="O181" s="34"/>
      <c r="P181" s="35"/>
      <c r="Q181" s="35"/>
      <c r="R181" s="35"/>
      <c r="S181" s="35"/>
      <c r="T181" s="35"/>
      <c r="U181" s="35"/>
      <c r="V181" s="35"/>
      <c r="W181" s="35"/>
      <c r="X181" s="35"/>
      <c r="Y181" s="35"/>
    </row>
    <row r="182" ht="14.25" customHeight="1">
      <c r="A182" s="221"/>
      <c r="B182" s="231"/>
      <c r="C182" s="106"/>
      <c r="D182" s="223"/>
      <c r="E182" s="85"/>
      <c r="F182" s="238"/>
      <c r="G182" s="523">
        <v>44805.0</v>
      </c>
      <c r="H182" s="36">
        <f t="shared" si="1"/>
        <v>0</v>
      </c>
      <c r="I182" s="37">
        <f t="shared" si="2"/>
        <v>0</v>
      </c>
      <c r="J182" s="38">
        <f t="shared" si="3"/>
        <v>0</v>
      </c>
      <c r="K182" s="39">
        <f t="shared" si="4"/>
        <v>0</v>
      </c>
      <c r="L182" s="38">
        <f t="shared" si="5"/>
        <v>0</v>
      </c>
      <c r="M182" s="39">
        <f t="shared" si="6"/>
        <v>0</v>
      </c>
      <c r="N182" s="40"/>
      <c r="O182" s="34"/>
      <c r="P182" s="35"/>
      <c r="Q182" s="35"/>
      <c r="R182" s="35"/>
      <c r="S182" s="35"/>
      <c r="T182" s="35"/>
      <c r="U182" s="35"/>
      <c r="V182" s="35"/>
      <c r="W182" s="35"/>
      <c r="X182" s="35"/>
      <c r="Y182" s="35"/>
    </row>
    <row r="183" ht="14.25" customHeight="1">
      <c r="A183" s="221"/>
      <c r="B183" s="231"/>
      <c r="C183" s="106"/>
      <c r="D183" s="223"/>
      <c r="E183" s="85"/>
      <c r="F183" s="238"/>
      <c r="G183" s="506">
        <v>44805.0</v>
      </c>
      <c r="H183" s="36">
        <f t="shared" si="1"/>
        <v>0</v>
      </c>
      <c r="I183" s="37">
        <f t="shared" si="2"/>
        <v>0</v>
      </c>
      <c r="J183" s="38">
        <f t="shared" si="3"/>
        <v>0</v>
      </c>
      <c r="K183" s="39">
        <f t="shared" si="4"/>
        <v>0</v>
      </c>
      <c r="L183" s="38">
        <f t="shared" si="5"/>
        <v>0</v>
      </c>
      <c r="M183" s="39">
        <f t="shared" si="6"/>
        <v>0</v>
      </c>
      <c r="N183" s="40"/>
      <c r="O183" s="34"/>
      <c r="P183" s="35"/>
      <c r="Q183" s="35"/>
      <c r="R183" s="35"/>
      <c r="S183" s="35"/>
      <c r="T183" s="35"/>
      <c r="U183" s="35"/>
      <c r="V183" s="35"/>
      <c r="W183" s="35"/>
      <c r="X183" s="35"/>
      <c r="Y183" s="35"/>
    </row>
    <row r="184" ht="14.25" customHeight="1">
      <c r="A184" s="221"/>
      <c r="B184" s="231"/>
      <c r="C184" s="115"/>
      <c r="D184" s="223"/>
      <c r="E184" s="85"/>
      <c r="F184" s="238"/>
      <c r="G184" s="523">
        <v>44805.0</v>
      </c>
      <c r="H184" s="36">
        <f t="shared" si="1"/>
        <v>0</v>
      </c>
      <c r="I184" s="37">
        <f t="shared" si="2"/>
        <v>0</v>
      </c>
      <c r="J184" s="38">
        <f t="shared" si="3"/>
        <v>0</v>
      </c>
      <c r="K184" s="39">
        <f t="shared" si="4"/>
        <v>0</v>
      </c>
      <c r="L184" s="38">
        <f t="shared" si="5"/>
        <v>0</v>
      </c>
      <c r="M184" s="39">
        <f t="shared" si="6"/>
        <v>0</v>
      </c>
      <c r="N184" s="40"/>
      <c r="O184" s="34"/>
      <c r="P184" s="35"/>
      <c r="Q184" s="35"/>
      <c r="R184" s="35"/>
      <c r="S184" s="35"/>
      <c r="T184" s="35"/>
      <c r="U184" s="35"/>
      <c r="V184" s="35"/>
      <c r="W184" s="35"/>
      <c r="X184" s="35"/>
      <c r="Y184" s="35"/>
    </row>
    <row r="185" ht="14.25" customHeight="1">
      <c r="A185" s="221"/>
      <c r="B185" s="231"/>
      <c r="C185" s="106"/>
      <c r="D185" s="223"/>
      <c r="E185" s="85"/>
      <c r="F185" s="238"/>
      <c r="G185" s="506">
        <v>44805.0</v>
      </c>
      <c r="H185" s="36">
        <f t="shared" si="1"/>
        <v>0</v>
      </c>
      <c r="I185" s="37">
        <f t="shared" si="2"/>
        <v>0</v>
      </c>
      <c r="J185" s="38">
        <f t="shared" si="3"/>
        <v>0</v>
      </c>
      <c r="K185" s="39">
        <f t="shared" si="4"/>
        <v>0</v>
      </c>
      <c r="L185" s="38">
        <f t="shared" si="5"/>
        <v>0</v>
      </c>
      <c r="M185" s="39">
        <f t="shared" si="6"/>
        <v>0</v>
      </c>
      <c r="N185" s="40"/>
      <c r="O185" s="34"/>
      <c r="P185" s="35"/>
      <c r="Q185" s="35"/>
      <c r="R185" s="35"/>
      <c r="S185" s="35"/>
      <c r="T185" s="35"/>
      <c r="U185" s="35"/>
      <c r="V185" s="35"/>
      <c r="W185" s="35"/>
      <c r="X185" s="35"/>
      <c r="Y185" s="35"/>
    </row>
    <row r="186" ht="14.25" customHeight="1">
      <c r="A186" s="221"/>
      <c r="B186" s="231"/>
      <c r="C186" s="106"/>
      <c r="D186" s="223"/>
      <c r="E186" s="85"/>
      <c r="F186" s="238"/>
      <c r="G186" s="523">
        <v>44805.0</v>
      </c>
      <c r="H186" s="36">
        <f t="shared" si="1"/>
        <v>0</v>
      </c>
      <c r="I186" s="37">
        <f t="shared" si="2"/>
        <v>0</v>
      </c>
      <c r="J186" s="38">
        <f t="shared" si="3"/>
        <v>0</v>
      </c>
      <c r="K186" s="39">
        <f t="shared" si="4"/>
        <v>0</v>
      </c>
      <c r="L186" s="38">
        <f t="shared" si="5"/>
        <v>0</v>
      </c>
      <c r="M186" s="39">
        <f t="shared" si="6"/>
        <v>0</v>
      </c>
      <c r="N186" s="40"/>
      <c r="O186" s="34"/>
      <c r="P186" s="35"/>
      <c r="Q186" s="35"/>
      <c r="R186" s="35"/>
      <c r="S186" s="35"/>
      <c r="T186" s="35"/>
      <c r="U186" s="35"/>
      <c r="V186" s="35"/>
      <c r="W186" s="35"/>
      <c r="X186" s="35"/>
      <c r="Y186" s="35"/>
    </row>
    <row r="187" ht="14.25" customHeight="1">
      <c r="A187" s="221"/>
      <c r="B187" s="231"/>
      <c r="C187" s="106"/>
      <c r="D187" s="223"/>
      <c r="E187" s="85"/>
      <c r="F187" s="238"/>
      <c r="G187" s="506">
        <v>44805.0</v>
      </c>
      <c r="H187" s="36">
        <f t="shared" si="1"/>
        <v>0</v>
      </c>
      <c r="I187" s="37">
        <f t="shared" si="2"/>
        <v>0</v>
      </c>
      <c r="J187" s="38">
        <f t="shared" si="3"/>
        <v>0</v>
      </c>
      <c r="K187" s="39">
        <f t="shared" si="4"/>
        <v>0</v>
      </c>
      <c r="L187" s="38">
        <f t="shared" si="5"/>
        <v>0</v>
      </c>
      <c r="M187" s="39">
        <f t="shared" si="6"/>
        <v>0</v>
      </c>
      <c r="N187" s="40"/>
      <c r="O187" s="34"/>
      <c r="P187" s="35"/>
      <c r="Q187" s="35"/>
      <c r="R187" s="35"/>
      <c r="S187" s="35"/>
      <c r="T187" s="35"/>
      <c r="U187" s="35"/>
      <c r="V187" s="35"/>
      <c r="W187" s="35"/>
      <c r="X187" s="35"/>
      <c r="Y187" s="35"/>
    </row>
    <row r="188" ht="14.25" customHeight="1">
      <c r="A188" s="221"/>
      <c r="B188" s="231"/>
      <c r="C188" s="106"/>
      <c r="D188" s="223"/>
      <c r="E188" s="85"/>
      <c r="F188" s="238"/>
      <c r="G188" s="523">
        <v>44805.0</v>
      </c>
      <c r="H188" s="36">
        <f t="shared" si="1"/>
        <v>0</v>
      </c>
      <c r="I188" s="37">
        <f t="shared" si="2"/>
        <v>0</v>
      </c>
      <c r="J188" s="38">
        <f t="shared" si="3"/>
        <v>0</v>
      </c>
      <c r="K188" s="39">
        <f t="shared" si="4"/>
        <v>0</v>
      </c>
      <c r="L188" s="38">
        <f t="shared" si="5"/>
        <v>0</v>
      </c>
      <c r="M188" s="39">
        <f t="shared" si="6"/>
        <v>0</v>
      </c>
      <c r="N188" s="40"/>
      <c r="O188" s="34"/>
      <c r="P188" s="35"/>
      <c r="Q188" s="35"/>
      <c r="R188" s="35"/>
      <c r="S188" s="35"/>
      <c r="T188" s="35"/>
      <c r="U188" s="35"/>
      <c r="V188" s="35"/>
      <c r="W188" s="35"/>
      <c r="X188" s="35"/>
      <c r="Y188" s="35"/>
    </row>
    <row r="189" ht="14.25" customHeight="1">
      <c r="A189" s="221"/>
      <c r="B189" s="231"/>
      <c r="C189" s="106"/>
      <c r="D189" s="223"/>
      <c r="E189" s="85"/>
      <c r="F189" s="238"/>
      <c r="G189" s="506">
        <v>44805.0</v>
      </c>
      <c r="H189" s="36">
        <f t="shared" si="1"/>
        <v>0</v>
      </c>
      <c r="I189" s="37">
        <f t="shared" si="2"/>
        <v>0</v>
      </c>
      <c r="J189" s="38">
        <f t="shared" si="3"/>
        <v>0</v>
      </c>
      <c r="K189" s="39">
        <f t="shared" si="4"/>
        <v>0</v>
      </c>
      <c r="L189" s="38">
        <f t="shared" si="5"/>
        <v>0</v>
      </c>
      <c r="M189" s="39">
        <f t="shared" si="6"/>
        <v>0</v>
      </c>
      <c r="N189" s="40"/>
      <c r="O189" s="34"/>
      <c r="P189" s="35"/>
      <c r="Q189" s="35"/>
      <c r="R189" s="35"/>
      <c r="S189" s="35"/>
      <c r="T189" s="35"/>
      <c r="U189" s="35"/>
      <c r="V189" s="35"/>
      <c r="W189" s="35"/>
      <c r="X189" s="35"/>
      <c r="Y189" s="35"/>
    </row>
    <row r="190" ht="14.25" customHeight="1">
      <c r="A190" s="221"/>
      <c r="B190" s="231"/>
      <c r="C190" s="106"/>
      <c r="D190" s="223"/>
      <c r="E190" s="85"/>
      <c r="F190" s="238"/>
      <c r="G190" s="523">
        <v>44805.0</v>
      </c>
      <c r="H190" s="36">
        <f t="shared" si="1"/>
        <v>0</v>
      </c>
      <c r="I190" s="37">
        <f t="shared" si="2"/>
        <v>0</v>
      </c>
      <c r="J190" s="38">
        <f t="shared" si="3"/>
        <v>0</v>
      </c>
      <c r="K190" s="39">
        <f t="shared" si="4"/>
        <v>0</v>
      </c>
      <c r="L190" s="38">
        <f t="shared" si="5"/>
        <v>0</v>
      </c>
      <c r="M190" s="39">
        <f t="shared" si="6"/>
        <v>0</v>
      </c>
      <c r="N190" s="40"/>
      <c r="O190" s="34"/>
      <c r="P190" s="35"/>
      <c r="Q190" s="35"/>
      <c r="R190" s="35"/>
      <c r="S190" s="35"/>
      <c r="T190" s="35"/>
      <c r="U190" s="35"/>
      <c r="V190" s="35"/>
      <c r="W190" s="35"/>
      <c r="X190" s="35"/>
      <c r="Y190" s="35"/>
    </row>
    <row r="191" ht="14.25" customHeight="1">
      <c r="A191" s="221"/>
      <c r="B191" s="231"/>
      <c r="C191" s="106"/>
      <c r="D191" s="223"/>
      <c r="E191" s="85"/>
      <c r="F191" s="238"/>
      <c r="G191" s="506">
        <v>44805.0</v>
      </c>
      <c r="H191" s="36">
        <f t="shared" si="1"/>
        <v>0</v>
      </c>
      <c r="I191" s="37">
        <f t="shared" si="2"/>
        <v>0</v>
      </c>
      <c r="J191" s="38">
        <f t="shared" si="3"/>
        <v>0</v>
      </c>
      <c r="K191" s="39">
        <f t="shared" si="4"/>
        <v>0</v>
      </c>
      <c r="L191" s="38">
        <f t="shared" si="5"/>
        <v>0</v>
      </c>
      <c r="M191" s="39">
        <f t="shared" si="6"/>
        <v>0</v>
      </c>
      <c r="N191" s="40"/>
      <c r="O191" s="34"/>
      <c r="P191" s="35"/>
      <c r="Q191" s="35"/>
      <c r="R191" s="35"/>
      <c r="S191" s="35"/>
      <c r="T191" s="35"/>
      <c r="U191" s="35"/>
      <c r="V191" s="35"/>
      <c r="W191" s="35"/>
      <c r="X191" s="35"/>
      <c r="Y191" s="35"/>
    </row>
    <row r="192" ht="14.25" customHeight="1">
      <c r="A192" s="221"/>
      <c r="B192" s="231"/>
      <c r="C192" s="106"/>
      <c r="D192" s="223"/>
      <c r="E192" s="85"/>
      <c r="F192" s="238"/>
      <c r="G192" s="523">
        <v>44805.0</v>
      </c>
      <c r="H192" s="36">
        <f t="shared" si="1"/>
        <v>0</v>
      </c>
      <c r="I192" s="37">
        <f t="shared" si="2"/>
        <v>0</v>
      </c>
      <c r="J192" s="38">
        <f t="shared" si="3"/>
        <v>0</v>
      </c>
      <c r="K192" s="39">
        <f t="shared" si="4"/>
        <v>0</v>
      </c>
      <c r="L192" s="38">
        <f t="shared" si="5"/>
        <v>0</v>
      </c>
      <c r="M192" s="39">
        <f t="shared" si="6"/>
        <v>0</v>
      </c>
      <c r="N192" s="40"/>
      <c r="O192" s="34"/>
      <c r="P192" s="35"/>
      <c r="Q192" s="35"/>
      <c r="R192" s="35"/>
      <c r="S192" s="35"/>
      <c r="T192" s="35"/>
      <c r="U192" s="35"/>
      <c r="V192" s="35"/>
      <c r="W192" s="35"/>
      <c r="X192" s="35"/>
      <c r="Y192" s="35"/>
    </row>
    <row r="193" ht="14.25" customHeight="1">
      <c r="A193" s="221"/>
      <c r="B193" s="231"/>
      <c r="C193" s="108"/>
      <c r="D193" s="525"/>
      <c r="E193" s="85"/>
      <c r="F193" s="238"/>
      <c r="G193" s="506">
        <v>44805.0</v>
      </c>
      <c r="H193" s="36">
        <f t="shared" si="1"/>
        <v>0</v>
      </c>
      <c r="I193" s="37">
        <f t="shared" si="2"/>
        <v>0</v>
      </c>
      <c r="J193" s="38">
        <f t="shared" si="3"/>
        <v>0</v>
      </c>
      <c r="K193" s="39">
        <f t="shared" si="4"/>
        <v>0</v>
      </c>
      <c r="L193" s="38">
        <f t="shared" si="5"/>
        <v>0</v>
      </c>
      <c r="M193" s="39">
        <f t="shared" si="6"/>
        <v>0</v>
      </c>
      <c r="N193" s="40"/>
      <c r="O193" s="34"/>
      <c r="P193" s="35"/>
      <c r="Q193" s="35"/>
      <c r="R193" s="35"/>
      <c r="S193" s="35"/>
      <c r="T193" s="35"/>
      <c r="U193" s="35"/>
      <c r="V193" s="35"/>
      <c r="W193" s="35"/>
      <c r="X193" s="35"/>
      <c r="Y193" s="35"/>
    </row>
    <row r="194" ht="14.25" customHeight="1">
      <c r="A194" s="221"/>
      <c r="B194" s="231"/>
      <c r="C194" s="108"/>
      <c r="D194" s="525"/>
      <c r="E194" s="85"/>
      <c r="F194" s="238"/>
      <c r="G194" s="523">
        <v>44805.0</v>
      </c>
      <c r="H194" s="36">
        <f t="shared" si="1"/>
        <v>0</v>
      </c>
      <c r="I194" s="37">
        <f t="shared" si="2"/>
        <v>0</v>
      </c>
      <c r="J194" s="38">
        <f t="shared" si="3"/>
        <v>0</v>
      </c>
      <c r="K194" s="39">
        <f t="shared" si="4"/>
        <v>0</v>
      </c>
      <c r="L194" s="38">
        <f t="shared" si="5"/>
        <v>0</v>
      </c>
      <c r="M194" s="39">
        <f t="shared" si="6"/>
        <v>0</v>
      </c>
      <c r="N194" s="40"/>
      <c r="O194" s="34"/>
      <c r="P194" s="35"/>
      <c r="Q194" s="35"/>
      <c r="R194" s="35"/>
      <c r="S194" s="35"/>
      <c r="T194" s="35"/>
      <c r="U194" s="35"/>
      <c r="V194" s="35"/>
      <c r="W194" s="35"/>
      <c r="X194" s="35"/>
      <c r="Y194" s="35"/>
    </row>
    <row r="195" ht="14.25" customHeight="1">
      <c r="A195" s="221"/>
      <c r="B195" s="231"/>
      <c r="C195" s="106"/>
      <c r="D195" s="223"/>
      <c r="E195" s="85"/>
      <c r="F195" s="238"/>
      <c r="G195" s="506">
        <v>44805.0</v>
      </c>
      <c r="H195" s="36">
        <f t="shared" si="1"/>
        <v>0</v>
      </c>
      <c r="I195" s="37">
        <f t="shared" si="2"/>
        <v>0</v>
      </c>
      <c r="J195" s="38">
        <f t="shared" si="3"/>
        <v>0</v>
      </c>
      <c r="K195" s="39">
        <f t="shared" si="4"/>
        <v>0</v>
      </c>
      <c r="L195" s="38">
        <f t="shared" si="5"/>
        <v>0</v>
      </c>
      <c r="M195" s="39">
        <f t="shared" si="6"/>
        <v>0</v>
      </c>
      <c r="N195" s="40"/>
      <c r="O195" s="34"/>
      <c r="P195" s="35"/>
      <c r="Q195" s="35"/>
      <c r="R195" s="35"/>
      <c r="S195" s="35"/>
      <c r="T195" s="35"/>
      <c r="U195" s="35"/>
      <c r="V195" s="35"/>
      <c r="W195" s="35"/>
      <c r="X195" s="35"/>
      <c r="Y195" s="35"/>
    </row>
    <row r="196" ht="14.25" customHeight="1">
      <c r="A196" s="221"/>
      <c r="B196" s="231"/>
      <c r="C196" s="106"/>
      <c r="D196" s="223"/>
      <c r="E196" s="85"/>
      <c r="F196" s="238"/>
      <c r="G196" s="523">
        <v>44805.0</v>
      </c>
      <c r="H196" s="36">
        <f t="shared" si="1"/>
        <v>0</v>
      </c>
      <c r="I196" s="37">
        <f t="shared" si="2"/>
        <v>0</v>
      </c>
      <c r="J196" s="38">
        <f t="shared" si="3"/>
        <v>0</v>
      </c>
      <c r="K196" s="39">
        <f t="shared" si="4"/>
        <v>0</v>
      </c>
      <c r="L196" s="38">
        <f t="shared" si="5"/>
        <v>0</v>
      </c>
      <c r="M196" s="39">
        <f t="shared" si="6"/>
        <v>0</v>
      </c>
      <c r="N196" s="40"/>
      <c r="O196" s="34"/>
      <c r="P196" s="35"/>
      <c r="Q196" s="35"/>
      <c r="R196" s="35"/>
      <c r="S196" s="35"/>
      <c r="T196" s="35"/>
      <c r="U196" s="35"/>
      <c r="V196" s="35"/>
      <c r="W196" s="35"/>
      <c r="X196" s="35"/>
      <c r="Y196" s="35"/>
    </row>
    <row r="197" ht="14.25" customHeight="1">
      <c r="A197" s="221"/>
      <c r="B197" s="231"/>
      <c r="C197" s="106"/>
      <c r="D197" s="223"/>
      <c r="E197" s="85"/>
      <c r="F197" s="238"/>
      <c r="G197" s="506">
        <v>44805.0</v>
      </c>
      <c r="H197" s="36">
        <f t="shared" si="1"/>
        <v>0</v>
      </c>
      <c r="I197" s="37">
        <f t="shared" si="2"/>
        <v>0</v>
      </c>
      <c r="J197" s="38">
        <f t="shared" si="3"/>
        <v>0</v>
      </c>
      <c r="K197" s="39">
        <f t="shared" si="4"/>
        <v>0</v>
      </c>
      <c r="L197" s="38">
        <f t="shared" si="5"/>
        <v>0</v>
      </c>
      <c r="M197" s="39">
        <f t="shared" si="6"/>
        <v>0</v>
      </c>
      <c r="N197" s="40"/>
      <c r="O197" s="34"/>
      <c r="P197" s="35"/>
      <c r="Q197" s="35"/>
      <c r="R197" s="35"/>
      <c r="S197" s="35"/>
      <c r="T197" s="35"/>
      <c r="U197" s="35"/>
      <c r="V197" s="35"/>
      <c r="W197" s="35"/>
      <c r="X197" s="35"/>
      <c r="Y197" s="35"/>
    </row>
    <row r="198" ht="14.25" customHeight="1">
      <c r="A198" s="221"/>
      <c r="B198" s="231"/>
      <c r="C198" s="106"/>
      <c r="D198" s="223"/>
      <c r="E198" s="85"/>
      <c r="F198" s="238"/>
      <c r="G198" s="523">
        <v>44805.0</v>
      </c>
      <c r="H198" s="36">
        <f t="shared" si="1"/>
        <v>0</v>
      </c>
      <c r="I198" s="37">
        <f t="shared" si="2"/>
        <v>0</v>
      </c>
      <c r="J198" s="38">
        <f t="shared" si="3"/>
        <v>0</v>
      </c>
      <c r="K198" s="39">
        <f t="shared" si="4"/>
        <v>0</v>
      </c>
      <c r="L198" s="38">
        <f t="shared" si="5"/>
        <v>0</v>
      </c>
      <c r="M198" s="39">
        <f t="shared" si="6"/>
        <v>0</v>
      </c>
      <c r="N198" s="40"/>
      <c r="O198" s="34"/>
      <c r="P198" s="35"/>
      <c r="Q198" s="35"/>
      <c r="R198" s="35"/>
      <c r="S198" s="35"/>
      <c r="T198" s="35"/>
      <c r="U198" s="35"/>
      <c r="V198" s="35"/>
      <c r="W198" s="35"/>
      <c r="X198" s="35"/>
      <c r="Y198" s="35"/>
    </row>
    <row r="199" ht="14.25" customHeight="1">
      <c r="A199" s="221"/>
      <c r="B199" s="231"/>
      <c r="C199" s="106"/>
      <c r="D199" s="223"/>
      <c r="E199" s="85"/>
      <c r="F199" s="238"/>
      <c r="G199" s="506">
        <v>44805.0</v>
      </c>
      <c r="H199" s="36">
        <f t="shared" si="1"/>
        <v>0</v>
      </c>
      <c r="I199" s="37">
        <f t="shared" si="2"/>
        <v>0</v>
      </c>
      <c r="J199" s="38">
        <f t="shared" si="3"/>
        <v>0</v>
      </c>
      <c r="K199" s="39">
        <f t="shared" si="4"/>
        <v>0</v>
      </c>
      <c r="L199" s="38">
        <f t="shared" si="5"/>
        <v>0</v>
      </c>
      <c r="M199" s="39">
        <f t="shared" si="6"/>
        <v>0</v>
      </c>
      <c r="N199" s="40"/>
      <c r="O199" s="34"/>
      <c r="P199" s="35"/>
      <c r="Q199" s="35"/>
      <c r="R199" s="35"/>
      <c r="S199" s="35"/>
      <c r="T199" s="35"/>
      <c r="U199" s="35"/>
      <c r="V199" s="35"/>
      <c r="W199" s="35"/>
      <c r="X199" s="35"/>
      <c r="Y199" s="35"/>
    </row>
    <row r="200" ht="14.25" customHeight="1">
      <c r="A200" s="221"/>
      <c r="B200" s="231"/>
      <c r="C200" s="108"/>
      <c r="D200" s="223"/>
      <c r="E200" s="85"/>
      <c r="F200" s="239"/>
      <c r="G200" s="523">
        <v>44805.0</v>
      </c>
      <c r="H200" s="36">
        <f t="shared" si="1"/>
        <v>0</v>
      </c>
      <c r="I200" s="37">
        <f t="shared" si="2"/>
        <v>0</v>
      </c>
      <c r="J200" s="38">
        <f t="shared" si="3"/>
        <v>0</v>
      </c>
      <c r="K200" s="39">
        <f t="shared" si="4"/>
        <v>0</v>
      </c>
      <c r="L200" s="38">
        <f t="shared" si="5"/>
        <v>0</v>
      </c>
      <c r="M200" s="39">
        <f t="shared" si="6"/>
        <v>0</v>
      </c>
      <c r="N200" s="40"/>
      <c r="O200" s="34"/>
      <c r="P200" s="35"/>
      <c r="Q200" s="35"/>
      <c r="R200" s="35"/>
      <c r="S200" s="35"/>
      <c r="T200" s="35"/>
      <c r="U200" s="35"/>
      <c r="V200" s="35"/>
      <c r="W200" s="35"/>
      <c r="X200" s="35"/>
      <c r="Y200" s="35"/>
    </row>
    <row r="201" ht="14.25" customHeight="1">
      <c r="A201" s="221"/>
      <c r="B201" s="231"/>
      <c r="C201" s="106"/>
      <c r="D201" s="240"/>
      <c r="E201" s="85"/>
      <c r="F201" s="238"/>
      <c r="G201" s="506">
        <v>44805.0</v>
      </c>
      <c r="H201" s="36">
        <f t="shared" si="1"/>
        <v>0</v>
      </c>
      <c r="I201" s="37">
        <f t="shared" si="2"/>
        <v>0</v>
      </c>
      <c r="J201" s="38">
        <f t="shared" si="3"/>
        <v>0</v>
      </c>
      <c r="K201" s="39">
        <f t="shared" si="4"/>
        <v>0</v>
      </c>
      <c r="L201" s="38">
        <f t="shared" si="5"/>
        <v>0</v>
      </c>
      <c r="M201" s="39">
        <f t="shared" si="6"/>
        <v>0</v>
      </c>
      <c r="N201" s="40"/>
      <c r="O201" s="34"/>
      <c r="P201" s="35"/>
      <c r="Q201" s="35"/>
      <c r="R201" s="35"/>
      <c r="S201" s="35"/>
      <c r="T201" s="35"/>
      <c r="U201" s="35"/>
      <c r="V201" s="35"/>
      <c r="W201" s="35"/>
      <c r="X201" s="35"/>
      <c r="Y201" s="35"/>
    </row>
    <row r="202" ht="14.25" customHeight="1">
      <c r="A202" s="221"/>
      <c r="B202" s="231"/>
      <c r="C202" s="106"/>
      <c r="D202" s="240"/>
      <c r="E202" s="85"/>
      <c r="F202" s="238"/>
      <c r="G202" s="523">
        <v>44805.0</v>
      </c>
      <c r="H202" s="36">
        <f t="shared" si="1"/>
        <v>0</v>
      </c>
      <c r="I202" s="37">
        <f t="shared" si="2"/>
        <v>0</v>
      </c>
      <c r="J202" s="38">
        <f t="shared" si="3"/>
        <v>0</v>
      </c>
      <c r="K202" s="39">
        <f t="shared" si="4"/>
        <v>0</v>
      </c>
      <c r="L202" s="38">
        <f t="shared" si="5"/>
        <v>0</v>
      </c>
      <c r="M202" s="39">
        <f t="shared" si="6"/>
        <v>0</v>
      </c>
      <c r="N202" s="40"/>
      <c r="O202" s="34"/>
      <c r="P202" s="35"/>
      <c r="Q202" s="35"/>
      <c r="R202" s="35"/>
      <c r="S202" s="35"/>
      <c r="T202" s="35"/>
      <c r="U202" s="35"/>
      <c r="V202" s="35"/>
      <c r="W202" s="35"/>
      <c r="X202" s="35"/>
      <c r="Y202" s="35"/>
    </row>
    <row r="203" ht="14.25" customHeight="1">
      <c r="A203" s="221"/>
      <c r="B203" s="231"/>
      <c r="C203" s="106"/>
      <c r="D203" s="525"/>
      <c r="E203" s="110"/>
      <c r="F203" s="238"/>
      <c r="G203" s="506">
        <v>44805.0</v>
      </c>
      <c r="H203" s="36">
        <f t="shared" si="1"/>
        <v>0</v>
      </c>
      <c r="I203" s="37">
        <f t="shared" si="2"/>
        <v>0</v>
      </c>
      <c r="J203" s="38">
        <f t="shared" si="3"/>
        <v>0</v>
      </c>
      <c r="K203" s="39">
        <f t="shared" si="4"/>
        <v>0</v>
      </c>
      <c r="L203" s="38">
        <f t="shared" si="5"/>
        <v>0</v>
      </c>
      <c r="M203" s="39">
        <f t="shared" si="6"/>
        <v>0</v>
      </c>
      <c r="N203" s="40"/>
      <c r="O203" s="34"/>
      <c r="P203" s="35"/>
      <c r="Q203" s="35"/>
      <c r="R203" s="35"/>
      <c r="S203" s="35"/>
      <c r="T203" s="35"/>
      <c r="U203" s="35"/>
      <c r="V203" s="35"/>
      <c r="W203" s="35"/>
      <c r="X203" s="35"/>
      <c r="Y203" s="35"/>
    </row>
    <row r="204" ht="14.25" customHeight="1">
      <c r="A204" s="221"/>
      <c r="B204" s="231"/>
      <c r="C204" s="108"/>
      <c r="D204" s="525"/>
      <c r="E204" s="85"/>
      <c r="F204" s="238"/>
      <c r="G204" s="523">
        <v>44805.0</v>
      </c>
      <c r="H204" s="36">
        <f t="shared" si="1"/>
        <v>0</v>
      </c>
      <c r="I204" s="37">
        <f t="shared" si="2"/>
        <v>0</v>
      </c>
      <c r="J204" s="38">
        <f t="shared" si="3"/>
        <v>0</v>
      </c>
      <c r="K204" s="39">
        <f t="shared" si="4"/>
        <v>0</v>
      </c>
      <c r="L204" s="38">
        <f t="shared" si="5"/>
        <v>0</v>
      </c>
      <c r="M204" s="39">
        <f t="shared" si="6"/>
        <v>0</v>
      </c>
      <c r="N204" s="40"/>
      <c r="O204" s="34"/>
      <c r="P204" s="35"/>
      <c r="Q204" s="35"/>
      <c r="R204" s="35"/>
      <c r="S204" s="35"/>
      <c r="T204" s="35"/>
      <c r="U204" s="35"/>
      <c r="V204" s="35"/>
      <c r="W204" s="35"/>
      <c r="X204" s="35"/>
      <c r="Y204" s="35"/>
    </row>
    <row r="205" ht="14.25" customHeight="1">
      <c r="A205" s="221"/>
      <c r="B205" s="231"/>
      <c r="C205" s="108"/>
      <c r="D205" s="525"/>
      <c r="E205" s="85"/>
      <c r="F205" s="238"/>
      <c r="G205" s="506">
        <v>44805.0</v>
      </c>
      <c r="H205" s="36">
        <f t="shared" si="1"/>
        <v>0</v>
      </c>
      <c r="I205" s="37">
        <f t="shared" si="2"/>
        <v>0</v>
      </c>
      <c r="J205" s="38">
        <f t="shared" si="3"/>
        <v>0</v>
      </c>
      <c r="K205" s="39">
        <f t="shared" si="4"/>
        <v>0</v>
      </c>
      <c r="L205" s="38">
        <f t="shared" si="5"/>
        <v>0</v>
      </c>
      <c r="M205" s="39">
        <f t="shared" si="6"/>
        <v>0</v>
      </c>
      <c r="N205" s="40"/>
      <c r="O205" s="34"/>
      <c r="P205" s="35"/>
      <c r="Q205" s="35"/>
      <c r="R205" s="35"/>
      <c r="S205" s="35"/>
      <c r="T205" s="35"/>
      <c r="U205" s="35"/>
      <c r="V205" s="35"/>
      <c r="W205" s="35"/>
      <c r="X205" s="35"/>
      <c r="Y205" s="35"/>
    </row>
    <row r="206" ht="14.25" customHeight="1">
      <c r="A206" s="221"/>
      <c r="B206" s="231"/>
      <c r="C206" s="111"/>
      <c r="D206" s="241"/>
      <c r="E206" s="85"/>
      <c r="F206" s="242"/>
      <c r="G206" s="523">
        <v>44805.0</v>
      </c>
      <c r="H206" s="36">
        <f t="shared" si="1"/>
        <v>0</v>
      </c>
      <c r="I206" s="37">
        <f t="shared" si="2"/>
        <v>0</v>
      </c>
      <c r="J206" s="38">
        <f t="shared" si="3"/>
        <v>0</v>
      </c>
      <c r="K206" s="39">
        <f t="shared" si="4"/>
        <v>0</v>
      </c>
      <c r="L206" s="38">
        <f t="shared" si="5"/>
        <v>0</v>
      </c>
      <c r="M206" s="39">
        <f t="shared" si="6"/>
        <v>0</v>
      </c>
      <c r="N206" s="40"/>
      <c r="O206" s="34"/>
      <c r="P206" s="35"/>
      <c r="Q206" s="35"/>
      <c r="R206" s="35"/>
      <c r="S206" s="35"/>
      <c r="T206" s="35"/>
      <c r="U206" s="35"/>
      <c r="V206" s="35"/>
      <c r="W206" s="35"/>
      <c r="X206" s="35"/>
      <c r="Y206" s="35"/>
    </row>
    <row r="207" ht="14.25" customHeight="1">
      <c r="A207" s="221"/>
      <c r="B207" s="231"/>
      <c r="C207" s="111"/>
      <c r="D207" s="241"/>
      <c r="E207" s="85"/>
      <c r="F207" s="242"/>
      <c r="G207" s="506">
        <v>44805.0</v>
      </c>
      <c r="H207" s="36">
        <f t="shared" si="1"/>
        <v>0</v>
      </c>
      <c r="I207" s="37">
        <f t="shared" si="2"/>
        <v>0</v>
      </c>
      <c r="J207" s="38">
        <f t="shared" si="3"/>
        <v>0</v>
      </c>
      <c r="K207" s="39">
        <f t="shared" si="4"/>
        <v>0</v>
      </c>
      <c r="L207" s="38">
        <f t="shared" si="5"/>
        <v>0</v>
      </c>
      <c r="M207" s="39">
        <f t="shared" si="6"/>
        <v>0</v>
      </c>
      <c r="N207" s="40"/>
      <c r="O207" s="34"/>
      <c r="P207" s="35"/>
      <c r="Q207" s="35"/>
      <c r="R207" s="35"/>
      <c r="S207" s="35"/>
      <c r="T207" s="35"/>
      <c r="U207" s="35"/>
      <c r="V207" s="35"/>
      <c r="W207" s="35"/>
      <c r="X207" s="35"/>
      <c r="Y207" s="35"/>
    </row>
    <row r="208" ht="14.25" customHeight="1">
      <c r="A208" s="221"/>
      <c r="B208" s="231"/>
      <c r="C208" s="111"/>
      <c r="D208" s="241"/>
      <c r="E208" s="85"/>
      <c r="F208" s="242"/>
      <c r="G208" s="523">
        <v>44805.0</v>
      </c>
      <c r="H208" s="36">
        <f t="shared" si="1"/>
        <v>0</v>
      </c>
      <c r="I208" s="37">
        <f t="shared" si="2"/>
        <v>0</v>
      </c>
      <c r="J208" s="38">
        <f t="shared" si="3"/>
        <v>0</v>
      </c>
      <c r="K208" s="39">
        <f t="shared" si="4"/>
        <v>0</v>
      </c>
      <c r="L208" s="38">
        <f t="shared" si="5"/>
        <v>0</v>
      </c>
      <c r="M208" s="39">
        <f t="shared" si="6"/>
        <v>0</v>
      </c>
      <c r="N208" s="40"/>
      <c r="O208" s="34"/>
      <c r="P208" s="35"/>
      <c r="Q208" s="35"/>
      <c r="R208" s="35"/>
      <c r="S208" s="35"/>
      <c r="T208" s="35"/>
      <c r="U208" s="35"/>
      <c r="V208" s="35"/>
      <c r="W208" s="35"/>
      <c r="X208" s="35"/>
      <c r="Y208" s="35"/>
    </row>
    <row r="209" ht="14.25" customHeight="1">
      <c r="A209" s="221"/>
      <c r="B209" s="231"/>
      <c r="C209" s="111"/>
      <c r="D209" s="241"/>
      <c r="E209" s="85"/>
      <c r="F209" s="242"/>
      <c r="G209" s="506">
        <v>44805.0</v>
      </c>
      <c r="H209" s="36">
        <f t="shared" si="1"/>
        <v>0</v>
      </c>
      <c r="I209" s="37">
        <f t="shared" si="2"/>
        <v>0</v>
      </c>
      <c r="J209" s="38">
        <f t="shared" si="3"/>
        <v>0</v>
      </c>
      <c r="K209" s="39">
        <f t="shared" si="4"/>
        <v>0</v>
      </c>
      <c r="L209" s="38">
        <f t="shared" si="5"/>
        <v>0</v>
      </c>
      <c r="M209" s="39">
        <f t="shared" si="6"/>
        <v>0</v>
      </c>
      <c r="N209" s="40"/>
      <c r="O209" s="34"/>
      <c r="P209" s="35"/>
      <c r="Q209" s="35"/>
      <c r="R209" s="35"/>
      <c r="S209" s="35"/>
      <c r="T209" s="35"/>
      <c r="U209" s="35"/>
      <c r="V209" s="35"/>
      <c r="W209" s="35"/>
      <c r="X209" s="35"/>
      <c r="Y209" s="35"/>
    </row>
    <row r="210" ht="14.25" customHeight="1">
      <c r="A210" s="221"/>
      <c r="B210" s="231"/>
      <c r="C210" s="111"/>
      <c r="D210" s="241"/>
      <c r="E210" s="85"/>
      <c r="F210" s="242"/>
      <c r="G210" s="523">
        <v>44805.0</v>
      </c>
      <c r="H210" s="36">
        <f t="shared" si="1"/>
        <v>0</v>
      </c>
      <c r="I210" s="37">
        <f t="shared" si="2"/>
        <v>0</v>
      </c>
      <c r="J210" s="38">
        <f t="shared" si="3"/>
        <v>0</v>
      </c>
      <c r="K210" s="39">
        <f t="shared" si="4"/>
        <v>0</v>
      </c>
      <c r="L210" s="38">
        <f t="shared" si="5"/>
        <v>0</v>
      </c>
      <c r="M210" s="39">
        <f t="shared" si="6"/>
        <v>0</v>
      </c>
      <c r="N210" s="40"/>
      <c r="O210" s="34"/>
      <c r="P210" s="35"/>
      <c r="Q210" s="35"/>
      <c r="R210" s="35"/>
      <c r="S210" s="35"/>
      <c r="T210" s="35"/>
      <c r="U210" s="35"/>
      <c r="V210" s="35"/>
      <c r="W210" s="35"/>
      <c r="X210" s="35"/>
      <c r="Y210" s="35"/>
    </row>
    <row r="211" ht="14.25" customHeight="1">
      <c r="A211" s="221"/>
      <c r="B211" s="231"/>
      <c r="C211" s="111"/>
      <c r="D211" s="241"/>
      <c r="E211" s="85"/>
      <c r="F211" s="242"/>
      <c r="G211" s="506">
        <v>44805.0</v>
      </c>
      <c r="H211" s="36">
        <f t="shared" si="1"/>
        <v>0</v>
      </c>
      <c r="I211" s="37">
        <f t="shared" si="2"/>
        <v>0</v>
      </c>
      <c r="J211" s="38">
        <f t="shared" si="3"/>
        <v>0</v>
      </c>
      <c r="K211" s="39">
        <f t="shared" si="4"/>
        <v>0</v>
      </c>
      <c r="L211" s="38">
        <f t="shared" si="5"/>
        <v>0</v>
      </c>
      <c r="M211" s="39">
        <f t="shared" si="6"/>
        <v>0</v>
      </c>
      <c r="N211" s="40"/>
      <c r="O211" s="34"/>
      <c r="P211" s="35"/>
      <c r="Q211" s="35"/>
      <c r="R211" s="35"/>
      <c r="S211" s="35"/>
      <c r="T211" s="35"/>
      <c r="U211" s="35"/>
      <c r="V211" s="35"/>
      <c r="W211" s="35"/>
      <c r="X211" s="35"/>
      <c r="Y211" s="35"/>
    </row>
    <row r="212" ht="14.25" customHeight="1">
      <c r="A212" s="221"/>
      <c r="B212" s="231"/>
      <c r="C212" s="111"/>
      <c r="D212" s="241"/>
      <c r="E212" s="85"/>
      <c r="F212" s="242"/>
      <c r="G212" s="523">
        <v>44805.0</v>
      </c>
      <c r="H212" s="36">
        <f t="shared" si="1"/>
        <v>0</v>
      </c>
      <c r="I212" s="37">
        <f t="shared" si="2"/>
        <v>0</v>
      </c>
      <c r="J212" s="38">
        <f t="shared" si="3"/>
        <v>0</v>
      </c>
      <c r="K212" s="39">
        <f t="shared" si="4"/>
        <v>0</v>
      </c>
      <c r="L212" s="38">
        <f t="shared" si="5"/>
        <v>0</v>
      </c>
      <c r="M212" s="39">
        <f t="shared" si="6"/>
        <v>0</v>
      </c>
      <c r="N212" s="40"/>
      <c r="O212" s="34"/>
      <c r="P212" s="35"/>
      <c r="Q212" s="35"/>
      <c r="R212" s="35"/>
      <c r="S212" s="35"/>
      <c r="T212" s="35"/>
      <c r="U212" s="35"/>
      <c r="V212" s="35"/>
      <c r="W212" s="35"/>
      <c r="X212" s="35"/>
      <c r="Y212" s="35"/>
    </row>
    <row r="213" ht="14.25" customHeight="1">
      <c r="A213" s="221"/>
      <c r="B213" s="231"/>
      <c r="C213" s="111"/>
      <c r="D213" s="241"/>
      <c r="E213" s="85"/>
      <c r="F213" s="242"/>
      <c r="G213" s="506">
        <v>44805.0</v>
      </c>
      <c r="H213" s="36">
        <f t="shared" si="1"/>
        <v>0</v>
      </c>
      <c r="I213" s="37">
        <f t="shared" si="2"/>
        <v>0</v>
      </c>
      <c r="J213" s="38">
        <f t="shared" si="3"/>
        <v>0</v>
      </c>
      <c r="K213" s="39">
        <f t="shared" si="4"/>
        <v>0</v>
      </c>
      <c r="L213" s="38">
        <f t="shared" si="5"/>
        <v>0</v>
      </c>
      <c r="M213" s="39">
        <f t="shared" si="6"/>
        <v>0</v>
      </c>
      <c r="N213" s="40"/>
      <c r="O213" s="34"/>
      <c r="P213" s="35"/>
      <c r="Q213" s="35"/>
      <c r="R213" s="35"/>
      <c r="S213" s="35"/>
      <c r="T213" s="35"/>
      <c r="U213" s="35"/>
      <c r="V213" s="35"/>
      <c r="W213" s="35"/>
      <c r="X213" s="35"/>
      <c r="Y213" s="35"/>
    </row>
    <row r="214" ht="14.25" customHeight="1">
      <c r="A214" s="221"/>
      <c r="B214" s="231"/>
      <c r="C214" s="111"/>
      <c r="D214" s="241"/>
      <c r="E214" s="85"/>
      <c r="F214" s="242"/>
      <c r="G214" s="523">
        <v>44805.0</v>
      </c>
      <c r="H214" s="36">
        <f t="shared" si="1"/>
        <v>0</v>
      </c>
      <c r="I214" s="37">
        <f t="shared" si="2"/>
        <v>0</v>
      </c>
      <c r="J214" s="38">
        <f t="shared" si="3"/>
        <v>0</v>
      </c>
      <c r="K214" s="39">
        <f t="shared" si="4"/>
        <v>0</v>
      </c>
      <c r="L214" s="38">
        <f t="shared" si="5"/>
        <v>0</v>
      </c>
      <c r="M214" s="39">
        <f t="shared" si="6"/>
        <v>0</v>
      </c>
      <c r="N214" s="40"/>
      <c r="O214" s="34"/>
      <c r="P214" s="35"/>
      <c r="Q214" s="35"/>
      <c r="R214" s="35"/>
      <c r="S214" s="35"/>
      <c r="T214" s="35"/>
      <c r="U214" s="35"/>
      <c r="V214" s="35"/>
      <c r="W214" s="35"/>
      <c r="X214" s="35"/>
      <c r="Y214" s="35"/>
    </row>
    <row r="215" ht="14.25" customHeight="1">
      <c r="A215" s="221"/>
      <c r="B215" s="231"/>
      <c r="C215" s="111"/>
      <c r="D215" s="241"/>
      <c r="E215" s="85"/>
      <c r="F215" s="242"/>
      <c r="G215" s="506">
        <v>44805.0</v>
      </c>
      <c r="H215" s="36">
        <f t="shared" si="1"/>
        <v>0</v>
      </c>
      <c r="I215" s="37">
        <f t="shared" si="2"/>
        <v>0</v>
      </c>
      <c r="J215" s="38">
        <f t="shared" si="3"/>
        <v>0</v>
      </c>
      <c r="K215" s="39">
        <f t="shared" si="4"/>
        <v>0</v>
      </c>
      <c r="L215" s="38">
        <f t="shared" si="5"/>
        <v>0</v>
      </c>
      <c r="M215" s="39">
        <f t="shared" si="6"/>
        <v>0</v>
      </c>
      <c r="N215" s="40"/>
      <c r="O215" s="34"/>
      <c r="P215" s="35"/>
      <c r="Q215" s="35"/>
      <c r="R215" s="35"/>
      <c r="S215" s="35"/>
      <c r="T215" s="35"/>
      <c r="U215" s="35"/>
      <c r="V215" s="35"/>
      <c r="W215" s="35"/>
      <c r="X215" s="35"/>
      <c r="Y215" s="35"/>
    </row>
    <row r="216" ht="14.25" customHeight="1">
      <c r="A216" s="221"/>
      <c r="B216" s="231"/>
      <c r="C216" s="111"/>
      <c r="D216" s="241"/>
      <c r="E216" s="85"/>
      <c r="F216" s="242"/>
      <c r="G216" s="523">
        <v>44805.0</v>
      </c>
      <c r="H216" s="36">
        <f t="shared" si="1"/>
        <v>0</v>
      </c>
      <c r="I216" s="37">
        <f t="shared" si="2"/>
        <v>0</v>
      </c>
      <c r="J216" s="38">
        <f t="shared" si="3"/>
        <v>0</v>
      </c>
      <c r="K216" s="39">
        <f t="shared" si="4"/>
        <v>0</v>
      </c>
      <c r="L216" s="38">
        <f t="shared" si="5"/>
        <v>0</v>
      </c>
      <c r="M216" s="39">
        <f t="shared" si="6"/>
        <v>0</v>
      </c>
      <c r="N216" s="40"/>
      <c r="O216" s="34"/>
      <c r="P216" s="35"/>
      <c r="Q216" s="35"/>
      <c r="R216" s="35"/>
      <c r="S216" s="35"/>
      <c r="T216" s="35"/>
      <c r="U216" s="35"/>
      <c r="V216" s="35"/>
      <c r="W216" s="35"/>
      <c r="X216" s="35"/>
      <c r="Y216" s="35"/>
    </row>
    <row r="217" ht="14.25" customHeight="1">
      <c r="A217" s="221"/>
      <c r="B217" s="231"/>
      <c r="C217" s="113"/>
      <c r="D217" s="241"/>
      <c r="E217" s="85"/>
      <c r="F217" s="243"/>
      <c r="G217" s="506">
        <v>44805.0</v>
      </c>
      <c r="H217" s="36">
        <f t="shared" si="1"/>
        <v>0</v>
      </c>
      <c r="I217" s="37">
        <f t="shared" si="2"/>
        <v>0</v>
      </c>
      <c r="J217" s="38">
        <f t="shared" si="3"/>
        <v>0</v>
      </c>
      <c r="K217" s="39">
        <f t="shared" si="4"/>
        <v>0</v>
      </c>
      <c r="L217" s="38">
        <f t="shared" si="5"/>
        <v>0</v>
      </c>
      <c r="M217" s="39">
        <f t="shared" si="6"/>
        <v>0</v>
      </c>
      <c r="N217" s="40"/>
      <c r="O217" s="34"/>
      <c r="P217" s="35"/>
      <c r="Q217" s="35"/>
      <c r="R217" s="35"/>
      <c r="S217" s="35"/>
      <c r="T217" s="35"/>
      <c r="U217" s="35"/>
      <c r="V217" s="35"/>
      <c r="W217" s="35"/>
      <c r="X217" s="35"/>
      <c r="Y217" s="35"/>
    </row>
    <row r="218" ht="14.25" customHeight="1">
      <c r="A218" s="221"/>
      <c r="B218" s="231"/>
      <c r="C218" s="108"/>
      <c r="D218" s="241"/>
      <c r="E218" s="85"/>
      <c r="F218" s="242"/>
      <c r="G218" s="523">
        <v>44805.0</v>
      </c>
      <c r="H218" s="36">
        <f t="shared" si="1"/>
        <v>0</v>
      </c>
      <c r="I218" s="37">
        <f t="shared" si="2"/>
        <v>0</v>
      </c>
      <c r="J218" s="38">
        <f t="shared" si="3"/>
        <v>0</v>
      </c>
      <c r="K218" s="39">
        <f t="shared" si="4"/>
        <v>0</v>
      </c>
      <c r="L218" s="38">
        <f t="shared" si="5"/>
        <v>0</v>
      </c>
      <c r="M218" s="39">
        <f t="shared" si="6"/>
        <v>0</v>
      </c>
      <c r="N218" s="40"/>
      <c r="O218" s="34"/>
      <c r="P218" s="35"/>
      <c r="Q218" s="35"/>
      <c r="R218" s="35"/>
      <c r="S218" s="35"/>
      <c r="T218" s="35"/>
      <c r="U218" s="35"/>
      <c r="V218" s="35"/>
      <c r="W218" s="35"/>
      <c r="X218" s="35"/>
      <c r="Y218" s="35"/>
    </row>
    <row r="219" ht="14.25" customHeight="1">
      <c r="A219" s="221"/>
      <c r="B219" s="231"/>
      <c r="C219" s="108"/>
      <c r="D219" s="241"/>
      <c r="E219" s="101"/>
      <c r="F219" s="242"/>
      <c r="G219" s="506">
        <v>44805.0</v>
      </c>
      <c r="H219" s="36">
        <f t="shared" si="1"/>
        <v>0</v>
      </c>
      <c r="I219" s="37">
        <f t="shared" si="2"/>
        <v>0</v>
      </c>
      <c r="J219" s="38">
        <f t="shared" si="3"/>
        <v>0</v>
      </c>
      <c r="K219" s="39">
        <f t="shared" si="4"/>
        <v>0</v>
      </c>
      <c r="L219" s="38">
        <f t="shared" si="5"/>
        <v>0</v>
      </c>
      <c r="M219" s="39">
        <f t="shared" si="6"/>
        <v>0</v>
      </c>
      <c r="N219" s="40"/>
      <c r="O219" s="34"/>
      <c r="P219" s="35"/>
      <c r="Q219" s="35"/>
      <c r="R219" s="35"/>
      <c r="S219" s="35"/>
      <c r="T219" s="35"/>
      <c r="U219" s="35"/>
      <c r="V219" s="35"/>
      <c r="W219" s="35"/>
      <c r="X219" s="35"/>
      <c r="Y219" s="35"/>
    </row>
    <row r="220" ht="14.25" customHeight="1">
      <c r="A220" s="221"/>
      <c r="B220" s="231"/>
      <c r="C220" s="108"/>
      <c r="D220" s="241"/>
      <c r="E220" s="101"/>
      <c r="F220" s="242"/>
      <c r="G220" s="523">
        <v>44805.0</v>
      </c>
      <c r="H220" s="36">
        <f t="shared" si="1"/>
        <v>0</v>
      </c>
      <c r="I220" s="37">
        <f t="shared" si="2"/>
        <v>0</v>
      </c>
      <c r="J220" s="38">
        <f t="shared" si="3"/>
        <v>0</v>
      </c>
      <c r="K220" s="39">
        <f t="shared" si="4"/>
        <v>0</v>
      </c>
      <c r="L220" s="38">
        <f t="shared" si="5"/>
        <v>0</v>
      </c>
      <c r="M220" s="39">
        <f t="shared" si="6"/>
        <v>0</v>
      </c>
      <c r="N220" s="40"/>
      <c r="O220" s="34"/>
      <c r="P220" s="35"/>
      <c r="Q220" s="35"/>
      <c r="R220" s="35"/>
      <c r="S220" s="35"/>
      <c r="T220" s="35"/>
      <c r="U220" s="35"/>
      <c r="V220" s="35"/>
      <c r="W220" s="35"/>
      <c r="X220" s="35"/>
      <c r="Y220" s="35"/>
    </row>
    <row r="221" ht="14.25" customHeight="1">
      <c r="A221" s="221"/>
      <c r="B221" s="231"/>
      <c r="C221" s="108"/>
      <c r="D221" s="241"/>
      <c r="E221" s="101"/>
      <c r="F221" s="242"/>
      <c r="G221" s="506">
        <v>44805.0</v>
      </c>
      <c r="H221" s="36">
        <f t="shared" si="1"/>
        <v>0</v>
      </c>
      <c r="I221" s="37">
        <f t="shared" si="2"/>
        <v>0</v>
      </c>
      <c r="J221" s="38">
        <f t="shared" si="3"/>
        <v>0</v>
      </c>
      <c r="K221" s="39">
        <f t="shared" si="4"/>
        <v>0</v>
      </c>
      <c r="L221" s="38">
        <f t="shared" si="5"/>
        <v>0</v>
      </c>
      <c r="M221" s="39">
        <f t="shared" si="6"/>
        <v>0</v>
      </c>
      <c r="N221" s="40"/>
      <c r="O221" s="34"/>
      <c r="P221" s="35"/>
      <c r="Q221" s="35"/>
      <c r="R221" s="35"/>
      <c r="S221" s="35"/>
      <c r="T221" s="35"/>
      <c r="U221" s="35"/>
      <c r="V221" s="35"/>
      <c r="W221" s="35"/>
      <c r="X221" s="35"/>
      <c r="Y221" s="35"/>
    </row>
    <row r="222" ht="14.25" customHeight="1">
      <c r="A222" s="221"/>
      <c r="B222" s="231"/>
      <c r="C222" s="108"/>
      <c r="D222" s="241"/>
      <c r="E222" s="101"/>
      <c r="F222" s="242"/>
      <c r="G222" s="523">
        <v>44805.0</v>
      </c>
      <c r="H222" s="36">
        <f t="shared" si="1"/>
        <v>0</v>
      </c>
      <c r="I222" s="37">
        <f t="shared" si="2"/>
        <v>0</v>
      </c>
      <c r="J222" s="38">
        <f t="shared" si="3"/>
        <v>0</v>
      </c>
      <c r="K222" s="39">
        <f t="shared" si="4"/>
        <v>0</v>
      </c>
      <c r="L222" s="38">
        <f t="shared" si="5"/>
        <v>0</v>
      </c>
      <c r="M222" s="39">
        <f t="shared" si="6"/>
        <v>0</v>
      </c>
      <c r="N222" s="40"/>
      <c r="O222" s="34"/>
      <c r="P222" s="35"/>
      <c r="Q222" s="35"/>
      <c r="R222" s="35"/>
      <c r="S222" s="35"/>
      <c r="T222" s="35"/>
      <c r="U222" s="35"/>
      <c r="V222" s="35"/>
      <c r="W222" s="35"/>
      <c r="X222" s="35"/>
      <c r="Y222" s="35"/>
    </row>
    <row r="223" ht="14.25" customHeight="1">
      <c r="A223" s="221"/>
      <c r="B223" s="231"/>
      <c r="C223" s="115"/>
      <c r="D223" s="237"/>
      <c r="E223" s="101"/>
      <c r="F223" s="243"/>
      <c r="G223" s="506">
        <v>44805.0</v>
      </c>
      <c r="H223" s="36">
        <f t="shared" si="1"/>
        <v>0</v>
      </c>
      <c r="I223" s="37">
        <f t="shared" si="2"/>
        <v>0</v>
      </c>
      <c r="J223" s="38">
        <f t="shared" si="3"/>
        <v>0</v>
      </c>
      <c r="K223" s="39">
        <f t="shared" si="4"/>
        <v>0</v>
      </c>
      <c r="L223" s="38">
        <f t="shared" si="5"/>
        <v>0</v>
      </c>
      <c r="M223" s="39">
        <f t="shared" si="6"/>
        <v>0</v>
      </c>
      <c r="N223" s="40"/>
      <c r="O223" s="34"/>
      <c r="P223" s="35"/>
      <c r="Q223" s="35"/>
      <c r="R223" s="35"/>
      <c r="S223" s="35"/>
      <c r="T223" s="35"/>
      <c r="U223" s="35"/>
      <c r="V223" s="35"/>
      <c r="W223" s="35"/>
      <c r="X223" s="35"/>
      <c r="Y223" s="35"/>
    </row>
    <row r="224" ht="14.25" customHeight="1">
      <c r="A224" s="221"/>
      <c r="B224" s="231"/>
      <c r="C224" s="113"/>
      <c r="D224" s="237"/>
      <c r="E224" s="101"/>
      <c r="F224" s="243"/>
      <c r="G224" s="523">
        <v>44805.0</v>
      </c>
      <c r="H224" s="36">
        <f t="shared" si="1"/>
        <v>0</v>
      </c>
      <c r="I224" s="37">
        <f t="shared" si="2"/>
        <v>0</v>
      </c>
      <c r="J224" s="38">
        <f t="shared" si="3"/>
        <v>0</v>
      </c>
      <c r="K224" s="39">
        <f t="shared" si="4"/>
        <v>0</v>
      </c>
      <c r="L224" s="38">
        <f t="shared" si="5"/>
        <v>0</v>
      </c>
      <c r="M224" s="39">
        <f t="shared" si="6"/>
        <v>0</v>
      </c>
      <c r="N224" s="40"/>
      <c r="O224" s="34"/>
      <c r="P224" s="35"/>
      <c r="Q224" s="35"/>
      <c r="R224" s="35"/>
      <c r="S224" s="35"/>
      <c r="T224" s="35"/>
      <c r="U224" s="35"/>
      <c r="V224" s="35"/>
      <c r="W224" s="35"/>
      <c r="X224" s="35"/>
      <c r="Y224" s="35"/>
    </row>
    <row r="225" ht="14.25" customHeight="1">
      <c r="A225" s="221"/>
      <c r="B225" s="231"/>
      <c r="C225" s="113"/>
      <c r="D225" s="237"/>
      <c r="E225" s="100"/>
      <c r="F225" s="243"/>
      <c r="G225" s="506">
        <v>44805.0</v>
      </c>
      <c r="H225" s="36">
        <f t="shared" si="1"/>
        <v>0</v>
      </c>
      <c r="I225" s="37">
        <f t="shared" si="2"/>
        <v>0</v>
      </c>
      <c r="J225" s="38">
        <f t="shared" si="3"/>
        <v>0</v>
      </c>
      <c r="K225" s="39">
        <f t="shared" si="4"/>
        <v>0</v>
      </c>
      <c r="L225" s="38">
        <f t="shared" si="5"/>
        <v>0</v>
      </c>
      <c r="M225" s="39">
        <f t="shared" si="6"/>
        <v>0</v>
      </c>
      <c r="N225" s="40"/>
      <c r="O225" s="34"/>
      <c r="P225" s="35"/>
      <c r="Q225" s="35"/>
      <c r="R225" s="35"/>
      <c r="S225" s="35"/>
      <c r="T225" s="35"/>
      <c r="U225" s="35"/>
      <c r="V225" s="35"/>
      <c r="W225" s="35"/>
      <c r="X225" s="35"/>
      <c r="Y225" s="35"/>
    </row>
    <row r="226" ht="14.25" customHeight="1">
      <c r="A226" s="221"/>
      <c r="B226" s="231"/>
      <c r="C226" s="111"/>
      <c r="D226" s="237"/>
      <c r="E226" s="101"/>
      <c r="F226" s="242"/>
      <c r="G226" s="523">
        <v>44805.0</v>
      </c>
      <c r="H226" s="36">
        <f t="shared" si="1"/>
        <v>0</v>
      </c>
      <c r="I226" s="37">
        <f t="shared" si="2"/>
        <v>0</v>
      </c>
      <c r="J226" s="38">
        <f t="shared" si="3"/>
        <v>0</v>
      </c>
      <c r="K226" s="39">
        <f t="shared" si="4"/>
        <v>0</v>
      </c>
      <c r="L226" s="38">
        <f t="shared" si="5"/>
        <v>0</v>
      </c>
      <c r="M226" s="39">
        <f t="shared" si="6"/>
        <v>0</v>
      </c>
      <c r="N226" s="40"/>
      <c r="O226" s="34"/>
      <c r="P226" s="35"/>
      <c r="Q226" s="35"/>
      <c r="R226" s="35"/>
      <c r="S226" s="35"/>
      <c r="T226" s="35"/>
      <c r="U226" s="35"/>
      <c r="V226" s="35"/>
      <c r="W226" s="35"/>
      <c r="X226" s="35"/>
      <c r="Y226" s="35"/>
    </row>
    <row r="227" ht="14.25" customHeight="1">
      <c r="A227" s="221"/>
      <c r="B227" s="231"/>
      <c r="C227" s="115"/>
      <c r="D227" s="237"/>
      <c r="E227" s="101"/>
      <c r="F227" s="243"/>
      <c r="G227" s="506">
        <v>44805.0</v>
      </c>
      <c r="H227" s="36">
        <f t="shared" si="1"/>
        <v>0</v>
      </c>
      <c r="I227" s="37">
        <f t="shared" si="2"/>
        <v>0</v>
      </c>
      <c r="J227" s="38">
        <f t="shared" si="3"/>
        <v>0</v>
      </c>
      <c r="K227" s="39">
        <f t="shared" si="4"/>
        <v>0</v>
      </c>
      <c r="L227" s="38">
        <f t="shared" si="5"/>
        <v>0</v>
      </c>
      <c r="M227" s="39">
        <f t="shared" si="6"/>
        <v>0</v>
      </c>
      <c r="N227" s="40"/>
      <c r="O227" s="34"/>
      <c r="P227" s="35"/>
      <c r="Q227" s="35"/>
      <c r="R227" s="35"/>
      <c r="S227" s="35"/>
      <c r="T227" s="35"/>
      <c r="U227" s="35"/>
      <c r="V227" s="35"/>
      <c r="W227" s="35"/>
      <c r="X227" s="35"/>
      <c r="Y227" s="35"/>
    </row>
    <row r="228" ht="14.25" customHeight="1">
      <c r="A228" s="221"/>
      <c r="B228" s="231"/>
      <c r="C228" s="113"/>
      <c r="D228" s="237"/>
      <c r="E228" s="101"/>
      <c r="F228" s="242"/>
      <c r="G228" s="523">
        <v>44805.0</v>
      </c>
      <c r="H228" s="36">
        <f t="shared" si="1"/>
        <v>0</v>
      </c>
      <c r="I228" s="37">
        <f t="shared" si="2"/>
        <v>0</v>
      </c>
      <c r="J228" s="38">
        <f t="shared" si="3"/>
        <v>0</v>
      </c>
      <c r="K228" s="39">
        <f t="shared" si="4"/>
        <v>0</v>
      </c>
      <c r="L228" s="38">
        <f t="shared" si="5"/>
        <v>0</v>
      </c>
      <c r="M228" s="39">
        <f t="shared" si="6"/>
        <v>0</v>
      </c>
      <c r="N228" s="40"/>
      <c r="O228" s="34"/>
      <c r="P228" s="35"/>
      <c r="Q228" s="35"/>
      <c r="R228" s="35"/>
      <c r="S228" s="35"/>
      <c r="T228" s="35"/>
      <c r="U228" s="35"/>
      <c r="V228" s="35"/>
      <c r="W228" s="35"/>
      <c r="X228" s="35"/>
      <c r="Y228" s="35"/>
    </row>
    <row r="229" ht="14.25" customHeight="1">
      <c r="A229" s="221"/>
      <c r="B229" s="231"/>
      <c r="C229" s="113"/>
      <c r="D229" s="237"/>
      <c r="E229" s="101"/>
      <c r="F229" s="243"/>
      <c r="G229" s="506">
        <v>44805.0</v>
      </c>
      <c r="H229" s="36">
        <f t="shared" si="1"/>
        <v>0</v>
      </c>
      <c r="I229" s="37">
        <f t="shared" si="2"/>
        <v>0</v>
      </c>
      <c r="J229" s="38">
        <f t="shared" si="3"/>
        <v>0</v>
      </c>
      <c r="K229" s="39">
        <f t="shared" si="4"/>
        <v>0</v>
      </c>
      <c r="L229" s="38">
        <f t="shared" si="5"/>
        <v>0</v>
      </c>
      <c r="M229" s="39">
        <f t="shared" si="6"/>
        <v>0</v>
      </c>
      <c r="N229" s="40"/>
      <c r="O229" s="34"/>
      <c r="P229" s="35"/>
      <c r="Q229" s="35"/>
      <c r="R229" s="35"/>
      <c r="S229" s="35"/>
      <c r="T229" s="35"/>
      <c r="U229" s="35"/>
      <c r="V229" s="35"/>
      <c r="W229" s="35"/>
      <c r="X229" s="35"/>
      <c r="Y229" s="35"/>
    </row>
    <row r="230" ht="14.25" customHeight="1">
      <c r="A230" s="221"/>
      <c r="B230" s="231"/>
      <c r="C230" s="108"/>
      <c r="D230" s="237"/>
      <c r="E230" s="101"/>
      <c r="F230" s="238"/>
      <c r="G230" s="523">
        <v>44805.0</v>
      </c>
      <c r="H230" s="36">
        <f t="shared" si="1"/>
        <v>0</v>
      </c>
      <c r="I230" s="37">
        <f t="shared" si="2"/>
        <v>0</v>
      </c>
      <c r="J230" s="38">
        <f t="shared" si="3"/>
        <v>0</v>
      </c>
      <c r="K230" s="39">
        <f t="shared" si="4"/>
        <v>0</v>
      </c>
      <c r="L230" s="38">
        <f t="shared" si="5"/>
        <v>0</v>
      </c>
      <c r="M230" s="39">
        <f t="shared" si="6"/>
        <v>0</v>
      </c>
      <c r="N230" s="40"/>
      <c r="O230" s="34"/>
      <c r="P230" s="35"/>
      <c r="Q230" s="35"/>
      <c r="R230" s="35"/>
      <c r="S230" s="35"/>
      <c r="T230" s="35"/>
      <c r="U230" s="35"/>
      <c r="V230" s="35"/>
      <c r="W230" s="35"/>
      <c r="X230" s="35"/>
      <c r="Y230" s="35"/>
    </row>
    <row r="231" ht="14.25" customHeight="1">
      <c r="A231" s="221"/>
      <c r="B231" s="231"/>
      <c r="C231" s="108"/>
      <c r="D231" s="237"/>
      <c r="E231" s="101"/>
      <c r="F231" s="243"/>
      <c r="G231" s="506">
        <v>44805.0</v>
      </c>
      <c r="H231" s="36">
        <f t="shared" si="1"/>
        <v>0</v>
      </c>
      <c r="I231" s="37">
        <f t="shared" si="2"/>
        <v>0</v>
      </c>
      <c r="J231" s="38">
        <f t="shared" si="3"/>
        <v>0</v>
      </c>
      <c r="K231" s="39">
        <f t="shared" si="4"/>
        <v>0</v>
      </c>
      <c r="L231" s="38">
        <f t="shared" si="5"/>
        <v>0</v>
      </c>
      <c r="M231" s="39">
        <f t="shared" si="6"/>
        <v>0</v>
      </c>
      <c r="N231" s="40"/>
      <c r="O231" s="34"/>
      <c r="P231" s="35"/>
      <c r="Q231" s="35"/>
      <c r="R231" s="35"/>
      <c r="S231" s="35"/>
      <c r="T231" s="35"/>
      <c r="U231" s="35"/>
      <c r="V231" s="35"/>
      <c r="W231" s="35"/>
      <c r="X231" s="35"/>
      <c r="Y231" s="35"/>
    </row>
    <row r="232" ht="14.25" customHeight="1">
      <c r="A232" s="221"/>
      <c r="B232" s="231"/>
      <c r="C232" s="113"/>
      <c r="D232" s="237"/>
      <c r="E232" s="101"/>
      <c r="F232" s="242"/>
      <c r="G232" s="523">
        <v>44805.0</v>
      </c>
      <c r="H232" s="36">
        <f t="shared" si="1"/>
        <v>0</v>
      </c>
      <c r="I232" s="37">
        <f t="shared" si="2"/>
        <v>0</v>
      </c>
      <c r="J232" s="38">
        <f t="shared" si="3"/>
        <v>0</v>
      </c>
      <c r="K232" s="39">
        <f t="shared" si="4"/>
        <v>0</v>
      </c>
      <c r="L232" s="38">
        <f t="shared" si="5"/>
        <v>0</v>
      </c>
      <c r="M232" s="39">
        <f t="shared" si="6"/>
        <v>0</v>
      </c>
      <c r="N232" s="40"/>
      <c r="O232" s="34"/>
      <c r="P232" s="35"/>
      <c r="Q232" s="35"/>
      <c r="R232" s="35"/>
      <c r="S232" s="35"/>
      <c r="T232" s="35"/>
      <c r="U232" s="35"/>
      <c r="V232" s="35"/>
      <c r="W232" s="35"/>
      <c r="X232" s="35"/>
      <c r="Y232" s="35"/>
    </row>
    <row r="233" ht="14.25" customHeight="1">
      <c r="A233" s="221"/>
      <c r="B233" s="231"/>
      <c r="C233" s="108"/>
      <c r="D233" s="241"/>
      <c r="E233" s="101"/>
      <c r="F233" s="242"/>
      <c r="G233" s="506">
        <v>44805.0</v>
      </c>
      <c r="H233" s="36">
        <f t="shared" si="1"/>
        <v>0</v>
      </c>
      <c r="I233" s="37">
        <f t="shared" si="2"/>
        <v>0</v>
      </c>
      <c r="J233" s="38">
        <f t="shared" si="3"/>
        <v>0</v>
      </c>
      <c r="K233" s="39">
        <f t="shared" si="4"/>
        <v>0</v>
      </c>
      <c r="L233" s="38">
        <f t="shared" si="5"/>
        <v>0</v>
      </c>
      <c r="M233" s="39">
        <f t="shared" si="6"/>
        <v>0</v>
      </c>
      <c r="N233" s="40"/>
      <c r="O233" s="34"/>
      <c r="P233" s="35"/>
      <c r="Q233" s="35"/>
      <c r="R233" s="35"/>
      <c r="S233" s="35"/>
      <c r="T233" s="35"/>
      <c r="U233" s="35"/>
      <c r="V233" s="35"/>
      <c r="W233" s="35"/>
      <c r="X233" s="35"/>
      <c r="Y233" s="35"/>
    </row>
    <row r="234" ht="14.25" customHeight="1">
      <c r="A234" s="221"/>
      <c r="B234" s="231"/>
      <c r="C234" s="108"/>
      <c r="D234" s="241"/>
      <c r="E234" s="101"/>
      <c r="F234" s="242"/>
      <c r="G234" s="523">
        <v>44805.0</v>
      </c>
      <c r="H234" s="36">
        <f t="shared" si="1"/>
        <v>0</v>
      </c>
      <c r="I234" s="37">
        <f t="shared" si="2"/>
        <v>0</v>
      </c>
      <c r="J234" s="38">
        <f t="shared" si="3"/>
        <v>0</v>
      </c>
      <c r="K234" s="39">
        <f t="shared" si="4"/>
        <v>0</v>
      </c>
      <c r="L234" s="38">
        <f t="shared" si="5"/>
        <v>0</v>
      </c>
      <c r="M234" s="39">
        <f t="shared" si="6"/>
        <v>0</v>
      </c>
      <c r="N234" s="40"/>
      <c r="O234" s="34"/>
      <c r="P234" s="35"/>
      <c r="Q234" s="35"/>
      <c r="R234" s="35"/>
      <c r="S234" s="35"/>
      <c r="T234" s="35"/>
      <c r="U234" s="35"/>
      <c r="V234" s="35"/>
      <c r="W234" s="35"/>
      <c r="X234" s="35"/>
      <c r="Y234" s="35"/>
    </row>
    <row r="235" ht="14.25" customHeight="1">
      <c r="A235" s="221"/>
      <c r="B235" s="231"/>
      <c r="C235" s="108"/>
      <c r="D235" s="241"/>
      <c r="E235" s="101"/>
      <c r="F235" s="242"/>
      <c r="G235" s="506">
        <v>44805.0</v>
      </c>
      <c r="H235" s="36">
        <f t="shared" si="1"/>
        <v>0</v>
      </c>
      <c r="I235" s="37">
        <f t="shared" si="2"/>
        <v>0</v>
      </c>
      <c r="J235" s="38">
        <f t="shared" si="3"/>
        <v>0</v>
      </c>
      <c r="K235" s="39">
        <f t="shared" si="4"/>
        <v>0</v>
      </c>
      <c r="L235" s="38">
        <f t="shared" si="5"/>
        <v>0</v>
      </c>
      <c r="M235" s="39">
        <f t="shared" si="6"/>
        <v>0</v>
      </c>
      <c r="N235" s="40"/>
      <c r="O235" s="34"/>
      <c r="P235" s="35"/>
      <c r="Q235" s="35"/>
      <c r="R235" s="35"/>
      <c r="S235" s="35"/>
      <c r="T235" s="35"/>
      <c r="U235" s="35"/>
      <c r="V235" s="35"/>
      <c r="W235" s="35"/>
      <c r="X235" s="35"/>
      <c r="Y235" s="35"/>
    </row>
    <row r="236" ht="14.25" customHeight="1">
      <c r="A236" s="221"/>
      <c r="B236" s="231"/>
      <c r="C236" s="116"/>
      <c r="D236" s="237"/>
      <c r="E236" s="117"/>
      <c r="F236" s="244"/>
      <c r="G236" s="523">
        <v>44805.0</v>
      </c>
      <c r="H236" s="36">
        <f t="shared" si="1"/>
        <v>0</v>
      </c>
      <c r="I236" s="37">
        <f t="shared" si="2"/>
        <v>0</v>
      </c>
      <c r="J236" s="38">
        <f t="shared" si="3"/>
        <v>0</v>
      </c>
      <c r="K236" s="39">
        <f t="shared" si="4"/>
        <v>0</v>
      </c>
      <c r="L236" s="38">
        <f t="shared" si="5"/>
        <v>0</v>
      </c>
      <c r="M236" s="39">
        <f t="shared" si="6"/>
        <v>0</v>
      </c>
      <c r="N236" s="40"/>
      <c r="O236" s="34"/>
      <c r="P236" s="35"/>
      <c r="Q236" s="35"/>
      <c r="R236" s="35"/>
      <c r="S236" s="35"/>
      <c r="T236" s="35"/>
      <c r="U236" s="35"/>
      <c r="V236" s="35"/>
      <c r="W236" s="35"/>
      <c r="X236" s="35"/>
      <c r="Y236" s="35"/>
    </row>
    <row r="237" ht="14.25" customHeight="1">
      <c r="A237" s="221"/>
      <c r="B237" s="231"/>
      <c r="C237" s="116"/>
      <c r="D237" s="237"/>
      <c r="E237" s="117"/>
      <c r="F237" s="244"/>
      <c r="G237" s="506">
        <v>44805.0</v>
      </c>
      <c r="H237" s="36">
        <f t="shared" si="1"/>
        <v>0</v>
      </c>
      <c r="I237" s="37">
        <f t="shared" si="2"/>
        <v>0</v>
      </c>
      <c r="J237" s="38">
        <f t="shared" si="3"/>
        <v>0</v>
      </c>
      <c r="K237" s="39">
        <f t="shared" si="4"/>
        <v>0</v>
      </c>
      <c r="L237" s="38">
        <f t="shared" si="5"/>
        <v>0</v>
      </c>
      <c r="M237" s="39">
        <f t="shared" si="6"/>
        <v>0</v>
      </c>
      <c r="N237" s="40"/>
      <c r="O237" s="34"/>
      <c r="P237" s="35"/>
      <c r="Q237" s="35"/>
      <c r="R237" s="35"/>
      <c r="S237" s="35"/>
      <c r="T237" s="35"/>
      <c r="U237" s="35"/>
      <c r="V237" s="35"/>
      <c r="W237" s="35"/>
      <c r="X237" s="35"/>
      <c r="Y237" s="35"/>
    </row>
    <row r="238" ht="14.25" customHeight="1">
      <c r="A238" s="221"/>
      <c r="B238" s="231"/>
      <c r="C238" s="116"/>
      <c r="D238" s="237"/>
      <c r="E238" s="117"/>
      <c r="F238" s="244"/>
      <c r="G238" s="523">
        <v>44805.0</v>
      </c>
      <c r="H238" s="36">
        <f t="shared" si="1"/>
        <v>0</v>
      </c>
      <c r="I238" s="37">
        <f t="shared" si="2"/>
        <v>0</v>
      </c>
      <c r="J238" s="38">
        <f t="shared" si="3"/>
        <v>0</v>
      </c>
      <c r="K238" s="39">
        <f t="shared" si="4"/>
        <v>0</v>
      </c>
      <c r="L238" s="38">
        <f t="shared" si="5"/>
        <v>0</v>
      </c>
      <c r="M238" s="39">
        <f t="shared" si="6"/>
        <v>0</v>
      </c>
      <c r="N238" s="40"/>
      <c r="O238" s="34"/>
      <c r="P238" s="35"/>
      <c r="Q238" s="35"/>
      <c r="R238" s="35"/>
      <c r="S238" s="35"/>
      <c r="T238" s="35"/>
      <c r="U238" s="35"/>
      <c r="V238" s="35"/>
      <c r="W238" s="35"/>
      <c r="X238" s="35"/>
      <c r="Y238" s="35"/>
    </row>
    <row r="239" ht="14.25" customHeight="1">
      <c r="A239" s="221"/>
      <c r="B239" s="231"/>
      <c r="C239" s="116"/>
      <c r="D239" s="237"/>
      <c r="E239" s="117"/>
      <c r="F239" s="244"/>
      <c r="G239" s="506">
        <v>44805.0</v>
      </c>
      <c r="H239" s="36">
        <f t="shared" si="1"/>
        <v>0</v>
      </c>
      <c r="I239" s="37">
        <f t="shared" si="2"/>
        <v>0</v>
      </c>
      <c r="J239" s="38">
        <f t="shared" si="3"/>
        <v>0</v>
      </c>
      <c r="K239" s="39">
        <f t="shared" si="4"/>
        <v>0</v>
      </c>
      <c r="L239" s="38">
        <f t="shared" si="5"/>
        <v>0</v>
      </c>
      <c r="M239" s="39">
        <f t="shared" si="6"/>
        <v>0</v>
      </c>
      <c r="N239" s="40"/>
      <c r="O239" s="34"/>
      <c r="P239" s="35"/>
      <c r="Q239" s="35"/>
      <c r="R239" s="35"/>
      <c r="S239" s="35"/>
      <c r="T239" s="35"/>
      <c r="U239" s="35"/>
      <c r="V239" s="35"/>
      <c r="W239" s="35"/>
      <c r="X239" s="35"/>
      <c r="Y239" s="35"/>
    </row>
    <row r="240" ht="14.25" customHeight="1">
      <c r="A240" s="221"/>
      <c r="B240" s="231"/>
      <c r="C240" s="116"/>
      <c r="D240" s="237"/>
      <c r="E240" s="117"/>
      <c r="F240" s="244"/>
      <c r="G240" s="523">
        <v>44805.0</v>
      </c>
      <c r="H240" s="36">
        <f t="shared" si="1"/>
        <v>0</v>
      </c>
      <c r="I240" s="37">
        <f t="shared" si="2"/>
        <v>0</v>
      </c>
      <c r="J240" s="38">
        <f t="shared" si="3"/>
        <v>0</v>
      </c>
      <c r="K240" s="39">
        <f t="shared" si="4"/>
        <v>0</v>
      </c>
      <c r="L240" s="38">
        <f t="shared" si="5"/>
        <v>0</v>
      </c>
      <c r="M240" s="39">
        <f t="shared" si="6"/>
        <v>0</v>
      </c>
      <c r="N240" s="40"/>
      <c r="O240" s="34"/>
      <c r="P240" s="35"/>
      <c r="Q240" s="35"/>
      <c r="R240" s="35"/>
      <c r="S240" s="35"/>
      <c r="T240" s="35"/>
      <c r="U240" s="35"/>
      <c r="V240" s="35"/>
      <c r="W240" s="35"/>
      <c r="X240" s="35"/>
      <c r="Y240" s="35"/>
    </row>
    <row r="241" ht="14.25" customHeight="1">
      <c r="A241" s="221"/>
      <c r="B241" s="231"/>
      <c r="C241" s="116"/>
      <c r="D241" s="237"/>
      <c r="E241" s="117"/>
      <c r="F241" s="244"/>
      <c r="G241" s="506">
        <v>44805.0</v>
      </c>
      <c r="H241" s="36">
        <f t="shared" si="1"/>
        <v>0</v>
      </c>
      <c r="I241" s="37">
        <f t="shared" si="2"/>
        <v>0</v>
      </c>
      <c r="J241" s="38">
        <f t="shared" si="3"/>
        <v>0</v>
      </c>
      <c r="K241" s="39">
        <f t="shared" si="4"/>
        <v>0</v>
      </c>
      <c r="L241" s="38">
        <f t="shared" si="5"/>
        <v>0</v>
      </c>
      <c r="M241" s="39">
        <f t="shared" si="6"/>
        <v>0</v>
      </c>
      <c r="N241" s="40"/>
      <c r="O241" s="34"/>
      <c r="P241" s="35"/>
      <c r="Q241" s="35"/>
      <c r="R241" s="35"/>
      <c r="S241" s="35"/>
      <c r="T241" s="35"/>
      <c r="U241" s="35"/>
      <c r="V241" s="35"/>
      <c r="W241" s="35"/>
      <c r="X241" s="35"/>
      <c r="Y241" s="35"/>
    </row>
    <row r="242" ht="14.25" customHeight="1">
      <c r="A242" s="221"/>
      <c r="B242" s="231"/>
      <c r="C242" s="116"/>
      <c r="D242" s="237"/>
      <c r="E242" s="117"/>
      <c r="F242" s="244"/>
      <c r="G242" s="523">
        <v>44805.0</v>
      </c>
      <c r="H242" s="36">
        <f t="shared" si="1"/>
        <v>0</v>
      </c>
      <c r="I242" s="37">
        <f t="shared" si="2"/>
        <v>0</v>
      </c>
      <c r="J242" s="38">
        <f t="shared" si="3"/>
        <v>0</v>
      </c>
      <c r="K242" s="39">
        <f t="shared" si="4"/>
        <v>0</v>
      </c>
      <c r="L242" s="38">
        <f t="shared" si="5"/>
        <v>0</v>
      </c>
      <c r="M242" s="39">
        <f t="shared" si="6"/>
        <v>0</v>
      </c>
      <c r="N242" s="40"/>
      <c r="O242" s="34"/>
      <c r="P242" s="35"/>
      <c r="Q242" s="35"/>
      <c r="R242" s="35"/>
      <c r="S242" s="35"/>
      <c r="T242" s="35"/>
      <c r="U242" s="35"/>
      <c r="V242" s="35"/>
      <c r="W242" s="35"/>
      <c r="X242" s="35"/>
      <c r="Y242" s="35"/>
    </row>
    <row r="243" ht="14.25" customHeight="1">
      <c r="A243" s="221"/>
      <c r="B243" s="231"/>
      <c r="C243" s="115"/>
      <c r="D243" s="237"/>
      <c r="E243" s="117"/>
      <c r="F243" s="244"/>
      <c r="G243" s="506">
        <v>44805.0</v>
      </c>
      <c r="H243" s="36">
        <f t="shared" si="1"/>
        <v>0</v>
      </c>
      <c r="I243" s="37">
        <f t="shared" si="2"/>
        <v>0</v>
      </c>
      <c r="J243" s="38">
        <f t="shared" si="3"/>
        <v>0</v>
      </c>
      <c r="K243" s="39">
        <f t="shared" si="4"/>
        <v>0</v>
      </c>
      <c r="L243" s="38">
        <f t="shared" si="5"/>
        <v>0</v>
      </c>
      <c r="M243" s="39">
        <f t="shared" si="6"/>
        <v>0</v>
      </c>
      <c r="N243" s="40"/>
      <c r="O243" s="34"/>
      <c r="P243" s="35"/>
      <c r="Q243" s="35"/>
      <c r="R243" s="35"/>
      <c r="S243" s="35"/>
      <c r="T243" s="35"/>
      <c r="U243" s="35"/>
      <c r="V243" s="35"/>
      <c r="W243" s="35"/>
      <c r="X243" s="35"/>
      <c r="Y243" s="35"/>
    </row>
    <row r="244" ht="14.25" customHeight="1">
      <c r="A244" s="221"/>
      <c r="B244" s="231"/>
      <c r="C244" s="108"/>
      <c r="D244" s="237"/>
      <c r="E244" s="117"/>
      <c r="F244" s="245"/>
      <c r="G244" s="523">
        <v>44805.0</v>
      </c>
      <c r="H244" s="36">
        <f t="shared" si="1"/>
        <v>0</v>
      </c>
      <c r="I244" s="37">
        <f t="shared" si="2"/>
        <v>0</v>
      </c>
      <c r="J244" s="38">
        <f t="shared" si="3"/>
        <v>0</v>
      </c>
      <c r="K244" s="39">
        <f t="shared" si="4"/>
        <v>0</v>
      </c>
      <c r="L244" s="38">
        <f t="shared" si="5"/>
        <v>0</v>
      </c>
      <c r="M244" s="39">
        <f t="shared" si="6"/>
        <v>0</v>
      </c>
      <c r="N244" s="40"/>
      <c r="O244" s="34"/>
      <c r="P244" s="35"/>
      <c r="Q244" s="35"/>
      <c r="R244" s="35"/>
      <c r="S244" s="35"/>
      <c r="T244" s="35"/>
      <c r="U244" s="35"/>
      <c r="V244" s="35"/>
      <c r="W244" s="35"/>
      <c r="X244" s="35"/>
      <c r="Y244" s="35"/>
    </row>
    <row r="245" ht="14.25" customHeight="1">
      <c r="A245" s="221"/>
      <c r="B245" s="231"/>
      <c r="C245" s="108"/>
      <c r="D245" s="237"/>
      <c r="E245" s="117"/>
      <c r="F245" s="245"/>
      <c r="G245" s="506">
        <v>44805.0</v>
      </c>
      <c r="H245" s="36">
        <f t="shared" si="1"/>
        <v>0</v>
      </c>
      <c r="I245" s="37">
        <f t="shared" si="2"/>
        <v>0</v>
      </c>
      <c r="J245" s="38">
        <f t="shared" si="3"/>
        <v>0</v>
      </c>
      <c r="K245" s="39">
        <f t="shared" si="4"/>
        <v>0</v>
      </c>
      <c r="L245" s="38">
        <f t="shared" si="5"/>
        <v>0</v>
      </c>
      <c r="M245" s="39">
        <f t="shared" si="6"/>
        <v>0</v>
      </c>
      <c r="N245" s="40"/>
      <c r="O245" s="34"/>
      <c r="P245" s="35"/>
      <c r="Q245" s="35"/>
      <c r="R245" s="35"/>
      <c r="S245" s="35"/>
      <c r="T245" s="35"/>
      <c r="U245" s="35"/>
      <c r="V245" s="35"/>
      <c r="W245" s="35"/>
      <c r="X245" s="35"/>
      <c r="Y245" s="35"/>
    </row>
    <row r="246" ht="14.25" customHeight="1">
      <c r="A246" s="221"/>
      <c r="B246" s="231"/>
      <c r="C246" s="108"/>
      <c r="D246" s="237"/>
      <c r="E246" s="117"/>
      <c r="F246" s="245"/>
      <c r="G246" s="523">
        <v>44805.0</v>
      </c>
      <c r="H246" s="36">
        <f t="shared" si="1"/>
        <v>0</v>
      </c>
      <c r="I246" s="37">
        <f t="shared" si="2"/>
        <v>0</v>
      </c>
      <c r="J246" s="38">
        <f t="shared" si="3"/>
        <v>0</v>
      </c>
      <c r="K246" s="39">
        <f t="shared" si="4"/>
        <v>0</v>
      </c>
      <c r="L246" s="38">
        <f t="shared" si="5"/>
        <v>0</v>
      </c>
      <c r="M246" s="39">
        <f t="shared" si="6"/>
        <v>0</v>
      </c>
      <c r="N246" s="40"/>
      <c r="O246" s="34"/>
      <c r="P246" s="35"/>
      <c r="Q246" s="35"/>
      <c r="R246" s="35"/>
      <c r="S246" s="35"/>
      <c r="T246" s="35"/>
      <c r="U246" s="35"/>
      <c r="V246" s="35"/>
      <c r="W246" s="35"/>
      <c r="X246" s="35"/>
      <c r="Y246" s="35"/>
    </row>
    <row r="247" ht="14.25" customHeight="1">
      <c r="A247" s="221"/>
      <c r="B247" s="231"/>
      <c r="C247" s="108"/>
      <c r="D247" s="223"/>
      <c r="E247" s="117"/>
      <c r="F247" s="245"/>
      <c r="G247" s="506">
        <v>44805.0</v>
      </c>
      <c r="H247" s="36">
        <f t="shared" si="1"/>
        <v>0</v>
      </c>
      <c r="I247" s="37">
        <f t="shared" si="2"/>
        <v>0</v>
      </c>
      <c r="J247" s="38">
        <f t="shared" si="3"/>
        <v>0</v>
      </c>
      <c r="K247" s="39">
        <f t="shared" si="4"/>
        <v>0</v>
      </c>
      <c r="L247" s="38">
        <f t="shared" si="5"/>
        <v>0</v>
      </c>
      <c r="M247" s="39">
        <f t="shared" si="6"/>
        <v>0</v>
      </c>
      <c r="N247" s="40"/>
      <c r="O247" s="34"/>
      <c r="P247" s="35"/>
      <c r="Q247" s="35"/>
      <c r="R247" s="35"/>
      <c r="S247" s="35"/>
      <c r="T247" s="35"/>
      <c r="U247" s="35"/>
      <c r="V247" s="35"/>
      <c r="W247" s="35"/>
      <c r="X247" s="35"/>
      <c r="Y247" s="35"/>
    </row>
    <row r="248" ht="14.25" customHeight="1">
      <c r="A248" s="221"/>
      <c r="B248" s="231"/>
      <c r="C248" s="108"/>
      <c r="D248" s="237"/>
      <c r="E248" s="117"/>
      <c r="F248" s="245"/>
      <c r="G248" s="523">
        <v>44805.0</v>
      </c>
      <c r="H248" s="36">
        <f t="shared" si="1"/>
        <v>0</v>
      </c>
      <c r="I248" s="37">
        <f t="shared" si="2"/>
        <v>0</v>
      </c>
      <c r="J248" s="38">
        <f t="shared" si="3"/>
        <v>0</v>
      </c>
      <c r="K248" s="39">
        <f t="shared" si="4"/>
        <v>0</v>
      </c>
      <c r="L248" s="38">
        <f t="shared" si="5"/>
        <v>0</v>
      </c>
      <c r="M248" s="39">
        <f t="shared" si="6"/>
        <v>0</v>
      </c>
      <c r="N248" s="40"/>
      <c r="O248" s="34"/>
      <c r="P248" s="35"/>
      <c r="Q248" s="35"/>
      <c r="R248" s="35"/>
      <c r="S248" s="35"/>
      <c r="T248" s="35"/>
      <c r="U248" s="35"/>
      <c r="V248" s="35"/>
      <c r="W248" s="35"/>
      <c r="X248" s="35"/>
      <c r="Y248" s="35"/>
    </row>
    <row r="249" ht="14.25" customHeight="1">
      <c r="A249" s="221"/>
      <c r="B249" s="231"/>
      <c r="C249" s="108"/>
      <c r="D249" s="237"/>
      <c r="E249" s="117"/>
      <c r="F249" s="245"/>
      <c r="G249" s="506">
        <v>44805.0</v>
      </c>
      <c r="H249" s="36">
        <f t="shared" si="1"/>
        <v>0</v>
      </c>
      <c r="I249" s="37">
        <f t="shared" si="2"/>
        <v>0</v>
      </c>
      <c r="J249" s="38">
        <f t="shared" si="3"/>
        <v>0</v>
      </c>
      <c r="K249" s="39">
        <f t="shared" si="4"/>
        <v>0</v>
      </c>
      <c r="L249" s="38">
        <f t="shared" si="5"/>
        <v>0</v>
      </c>
      <c r="M249" s="39">
        <f t="shared" si="6"/>
        <v>0</v>
      </c>
      <c r="N249" s="40"/>
      <c r="O249" s="34"/>
      <c r="P249" s="35"/>
      <c r="Q249" s="35"/>
      <c r="R249" s="35"/>
      <c r="S249" s="35"/>
      <c r="T249" s="35"/>
      <c r="U249" s="35"/>
      <c r="V249" s="35"/>
      <c r="W249" s="35"/>
      <c r="X249" s="35"/>
      <c r="Y249" s="35"/>
    </row>
    <row r="250" ht="14.25" customHeight="1">
      <c r="A250" s="221"/>
      <c r="B250" s="231"/>
      <c r="C250" s="108"/>
      <c r="D250" s="237"/>
      <c r="E250" s="117"/>
      <c r="F250" s="245"/>
      <c r="G250" s="523">
        <v>44805.0</v>
      </c>
      <c r="H250" s="36">
        <f t="shared" si="1"/>
        <v>0</v>
      </c>
      <c r="I250" s="37">
        <f t="shared" si="2"/>
        <v>0</v>
      </c>
      <c r="J250" s="38">
        <f t="shared" si="3"/>
        <v>0</v>
      </c>
      <c r="K250" s="39">
        <f t="shared" si="4"/>
        <v>0</v>
      </c>
      <c r="L250" s="38">
        <f t="shared" si="5"/>
        <v>0</v>
      </c>
      <c r="M250" s="39">
        <f t="shared" si="6"/>
        <v>0</v>
      </c>
      <c r="N250" s="40"/>
      <c r="O250" s="34"/>
      <c r="P250" s="35"/>
      <c r="Q250" s="35"/>
      <c r="R250" s="35"/>
      <c r="S250" s="35"/>
      <c r="T250" s="35"/>
      <c r="U250" s="35"/>
      <c r="V250" s="35"/>
      <c r="W250" s="35"/>
      <c r="X250" s="35"/>
      <c r="Y250" s="35"/>
    </row>
    <row r="251" ht="14.25" customHeight="1">
      <c r="A251" s="221"/>
      <c r="B251" s="231"/>
      <c r="C251" s="108"/>
      <c r="D251" s="237"/>
      <c r="E251" s="117"/>
      <c r="F251" s="245"/>
      <c r="G251" s="506">
        <v>44805.0</v>
      </c>
      <c r="H251" s="36">
        <f t="shared" si="1"/>
        <v>0</v>
      </c>
      <c r="I251" s="37">
        <f t="shared" si="2"/>
        <v>0</v>
      </c>
      <c r="J251" s="38">
        <f t="shared" si="3"/>
        <v>0</v>
      </c>
      <c r="K251" s="39">
        <f t="shared" si="4"/>
        <v>0</v>
      </c>
      <c r="L251" s="38">
        <f t="shared" si="5"/>
        <v>0</v>
      </c>
      <c r="M251" s="39">
        <f t="shared" si="6"/>
        <v>0</v>
      </c>
      <c r="N251" s="40"/>
      <c r="O251" s="34"/>
      <c r="P251" s="35"/>
      <c r="Q251" s="35"/>
      <c r="R251" s="35"/>
      <c r="S251" s="35"/>
      <c r="T251" s="35"/>
      <c r="U251" s="35"/>
      <c r="V251" s="35"/>
      <c r="W251" s="35"/>
      <c r="X251" s="35"/>
      <c r="Y251" s="35"/>
    </row>
    <row r="252" ht="14.25" customHeight="1">
      <c r="A252" s="221"/>
      <c r="B252" s="231"/>
      <c r="C252" s="108"/>
      <c r="D252" s="237"/>
      <c r="E252" s="117"/>
      <c r="F252" s="245"/>
      <c r="G252" s="523">
        <v>44805.0</v>
      </c>
      <c r="H252" s="36">
        <f t="shared" si="1"/>
        <v>0</v>
      </c>
      <c r="I252" s="37">
        <f t="shared" si="2"/>
        <v>0</v>
      </c>
      <c r="J252" s="38">
        <f t="shared" si="3"/>
        <v>0</v>
      </c>
      <c r="K252" s="39">
        <f t="shared" si="4"/>
        <v>0</v>
      </c>
      <c r="L252" s="38">
        <f t="shared" si="5"/>
        <v>0</v>
      </c>
      <c r="M252" s="39">
        <f t="shared" si="6"/>
        <v>0</v>
      </c>
      <c r="N252" s="40"/>
      <c r="O252" s="34"/>
      <c r="P252" s="35"/>
      <c r="Q252" s="35"/>
      <c r="R252" s="35"/>
      <c r="S252" s="35"/>
      <c r="T252" s="35"/>
      <c r="U252" s="35"/>
      <c r="V252" s="35"/>
      <c r="W252" s="35"/>
      <c r="X252" s="35"/>
      <c r="Y252" s="35"/>
    </row>
    <row r="253" ht="14.25" customHeight="1">
      <c r="A253" s="221"/>
      <c r="B253" s="231"/>
      <c r="C253" s="108"/>
      <c r="D253" s="237"/>
      <c r="E253" s="117"/>
      <c r="F253" s="245"/>
      <c r="G253" s="506">
        <v>44805.0</v>
      </c>
      <c r="H253" s="36">
        <f t="shared" si="1"/>
        <v>0</v>
      </c>
      <c r="I253" s="37">
        <f t="shared" si="2"/>
        <v>0</v>
      </c>
      <c r="J253" s="38">
        <f t="shared" si="3"/>
        <v>0</v>
      </c>
      <c r="K253" s="39">
        <f t="shared" si="4"/>
        <v>0</v>
      </c>
      <c r="L253" s="38">
        <f t="shared" si="5"/>
        <v>0</v>
      </c>
      <c r="M253" s="39">
        <f t="shared" si="6"/>
        <v>0</v>
      </c>
      <c r="N253" s="40"/>
      <c r="O253" s="34"/>
      <c r="P253" s="35"/>
      <c r="Q253" s="35"/>
      <c r="R253" s="35"/>
      <c r="S253" s="35"/>
      <c r="T253" s="35"/>
      <c r="U253" s="35"/>
      <c r="V253" s="35"/>
      <c r="W253" s="35"/>
      <c r="X253" s="35"/>
      <c r="Y253" s="35"/>
    </row>
    <row r="254" ht="14.25" customHeight="1">
      <c r="A254" s="221"/>
      <c r="B254" s="231"/>
      <c r="C254" s="108"/>
      <c r="D254" s="237"/>
      <c r="E254" s="117"/>
      <c r="F254" s="244"/>
      <c r="G254" s="523">
        <v>44805.0</v>
      </c>
      <c r="H254" s="36">
        <f t="shared" si="1"/>
        <v>0</v>
      </c>
      <c r="I254" s="37">
        <f t="shared" si="2"/>
        <v>0</v>
      </c>
      <c r="J254" s="38">
        <f t="shared" si="3"/>
        <v>0</v>
      </c>
      <c r="K254" s="39">
        <f t="shared" si="4"/>
        <v>0</v>
      </c>
      <c r="L254" s="38">
        <f t="shared" si="5"/>
        <v>0</v>
      </c>
      <c r="M254" s="39">
        <f t="shared" si="6"/>
        <v>0</v>
      </c>
      <c r="N254" s="40"/>
      <c r="O254" s="34"/>
      <c r="P254" s="35"/>
      <c r="Q254" s="35"/>
      <c r="R254" s="35"/>
      <c r="S254" s="35"/>
      <c r="T254" s="35"/>
      <c r="U254" s="35"/>
      <c r="V254" s="35"/>
      <c r="W254" s="35"/>
      <c r="X254" s="35"/>
      <c r="Y254" s="35"/>
    </row>
    <row r="255" ht="14.25" customHeight="1">
      <c r="A255" s="221"/>
      <c r="B255" s="231"/>
      <c r="C255" s="108"/>
      <c r="D255" s="223"/>
      <c r="E255" s="117"/>
      <c r="F255" s="246"/>
      <c r="G255" s="506">
        <v>44805.0</v>
      </c>
      <c r="H255" s="36">
        <f t="shared" si="1"/>
        <v>0</v>
      </c>
      <c r="I255" s="37">
        <f t="shared" si="2"/>
        <v>0</v>
      </c>
      <c r="J255" s="38">
        <f t="shared" si="3"/>
        <v>0</v>
      </c>
      <c r="K255" s="39">
        <f t="shared" si="4"/>
        <v>0</v>
      </c>
      <c r="L255" s="38">
        <f t="shared" si="5"/>
        <v>0</v>
      </c>
      <c r="M255" s="39">
        <f t="shared" si="6"/>
        <v>0</v>
      </c>
      <c r="N255" s="40"/>
      <c r="O255" s="34"/>
      <c r="P255" s="35"/>
      <c r="Q255" s="35"/>
      <c r="R255" s="35"/>
      <c r="S255" s="35"/>
      <c r="T255" s="35"/>
      <c r="U255" s="35"/>
      <c r="V255" s="35"/>
      <c r="W255" s="35"/>
      <c r="X255" s="35"/>
      <c r="Y255" s="35"/>
    </row>
    <row r="256" ht="14.25" customHeight="1">
      <c r="A256" s="221"/>
      <c r="B256" s="231"/>
      <c r="C256" s="108"/>
      <c r="D256" s="247"/>
      <c r="E256" s="117"/>
      <c r="F256" s="246"/>
      <c r="G256" s="523">
        <v>44805.0</v>
      </c>
      <c r="H256" s="36">
        <f t="shared" si="1"/>
        <v>0</v>
      </c>
      <c r="I256" s="37">
        <f t="shared" si="2"/>
        <v>0</v>
      </c>
      <c r="J256" s="38">
        <f t="shared" si="3"/>
        <v>0</v>
      </c>
      <c r="K256" s="39">
        <f t="shared" si="4"/>
        <v>0</v>
      </c>
      <c r="L256" s="38">
        <f t="shared" si="5"/>
        <v>0</v>
      </c>
      <c r="M256" s="39">
        <f t="shared" si="6"/>
        <v>0</v>
      </c>
      <c r="N256" s="40"/>
      <c r="O256" s="34"/>
      <c r="P256" s="35"/>
      <c r="Q256" s="35"/>
      <c r="R256" s="35"/>
      <c r="S256" s="35"/>
      <c r="T256" s="35"/>
      <c r="U256" s="35"/>
      <c r="V256" s="35"/>
      <c r="W256" s="35"/>
      <c r="X256" s="35"/>
      <c r="Y256" s="35"/>
    </row>
    <row r="257" ht="14.25" customHeight="1">
      <c r="A257" s="221"/>
      <c r="B257" s="231"/>
      <c r="C257" s="108"/>
      <c r="D257" s="223"/>
      <c r="E257" s="117"/>
      <c r="F257" s="246"/>
      <c r="G257" s="506">
        <v>44805.0</v>
      </c>
      <c r="H257" s="36">
        <f t="shared" si="1"/>
        <v>0</v>
      </c>
      <c r="I257" s="37">
        <f t="shared" si="2"/>
        <v>0</v>
      </c>
      <c r="J257" s="38">
        <f t="shared" si="3"/>
        <v>0</v>
      </c>
      <c r="K257" s="39">
        <f t="shared" si="4"/>
        <v>0</v>
      </c>
      <c r="L257" s="38">
        <f t="shared" si="5"/>
        <v>0</v>
      </c>
      <c r="M257" s="39">
        <f t="shared" si="6"/>
        <v>0</v>
      </c>
      <c r="N257" s="40"/>
      <c r="O257" s="34"/>
      <c r="P257" s="35"/>
      <c r="Q257" s="35"/>
      <c r="R257" s="35"/>
      <c r="S257" s="35"/>
      <c r="T257" s="35"/>
      <c r="U257" s="35"/>
      <c r="V257" s="35"/>
      <c r="W257" s="35"/>
      <c r="X257" s="35"/>
      <c r="Y257" s="35"/>
    </row>
    <row r="258" ht="14.25" customHeight="1">
      <c r="A258" s="221"/>
      <c r="B258" s="231"/>
      <c r="C258" s="108"/>
      <c r="D258" s="223"/>
      <c r="E258" s="117"/>
      <c r="F258" s="246"/>
      <c r="G258" s="523">
        <v>44805.0</v>
      </c>
      <c r="H258" s="36">
        <f t="shared" si="1"/>
        <v>0</v>
      </c>
      <c r="I258" s="37">
        <f t="shared" si="2"/>
        <v>0</v>
      </c>
      <c r="J258" s="38">
        <f t="shared" si="3"/>
        <v>0</v>
      </c>
      <c r="K258" s="39">
        <f t="shared" si="4"/>
        <v>0</v>
      </c>
      <c r="L258" s="38">
        <f t="shared" si="5"/>
        <v>0</v>
      </c>
      <c r="M258" s="39">
        <f t="shared" si="6"/>
        <v>0</v>
      </c>
      <c r="N258" s="40"/>
      <c r="O258" s="34"/>
      <c r="P258" s="35"/>
      <c r="Q258" s="35"/>
      <c r="R258" s="35"/>
      <c r="S258" s="35"/>
      <c r="T258" s="35"/>
      <c r="U258" s="35"/>
      <c r="V258" s="35"/>
      <c r="W258" s="35"/>
      <c r="X258" s="35"/>
      <c r="Y258" s="35"/>
    </row>
    <row r="259" ht="14.25" customHeight="1">
      <c r="A259" s="221"/>
      <c r="B259" s="231"/>
      <c r="C259" s="108"/>
      <c r="D259" s="223"/>
      <c r="E259" s="117"/>
      <c r="F259" s="246"/>
      <c r="G259" s="506">
        <v>44805.0</v>
      </c>
      <c r="H259" s="36">
        <f t="shared" si="1"/>
        <v>0</v>
      </c>
      <c r="I259" s="37">
        <f t="shared" si="2"/>
        <v>0</v>
      </c>
      <c r="J259" s="38">
        <f t="shared" si="3"/>
        <v>0</v>
      </c>
      <c r="K259" s="39">
        <f t="shared" si="4"/>
        <v>0</v>
      </c>
      <c r="L259" s="38">
        <f t="shared" si="5"/>
        <v>0</v>
      </c>
      <c r="M259" s="39">
        <f t="shared" si="6"/>
        <v>0</v>
      </c>
      <c r="N259" s="40"/>
      <c r="O259" s="34"/>
      <c r="P259" s="35"/>
      <c r="Q259" s="35"/>
      <c r="R259" s="35"/>
      <c r="S259" s="35"/>
      <c r="T259" s="35"/>
      <c r="U259" s="35"/>
      <c r="V259" s="35"/>
      <c r="W259" s="35"/>
      <c r="X259" s="35"/>
      <c r="Y259" s="35"/>
    </row>
    <row r="260" ht="14.25" customHeight="1">
      <c r="A260" s="221"/>
      <c r="B260" s="231"/>
      <c r="C260" s="108"/>
      <c r="D260" s="223"/>
      <c r="E260" s="117"/>
      <c r="F260" s="246"/>
      <c r="G260" s="523">
        <v>44805.0</v>
      </c>
      <c r="H260" s="36">
        <f t="shared" si="1"/>
        <v>0</v>
      </c>
      <c r="I260" s="37">
        <f t="shared" si="2"/>
        <v>0</v>
      </c>
      <c r="J260" s="38">
        <f t="shared" si="3"/>
        <v>0</v>
      </c>
      <c r="K260" s="39">
        <f t="shared" si="4"/>
        <v>0</v>
      </c>
      <c r="L260" s="38">
        <f t="shared" si="5"/>
        <v>0</v>
      </c>
      <c r="M260" s="39">
        <f t="shared" si="6"/>
        <v>0</v>
      </c>
      <c r="N260" s="40"/>
      <c r="O260" s="34"/>
      <c r="P260" s="35"/>
      <c r="Q260" s="35"/>
      <c r="R260" s="35"/>
      <c r="S260" s="35"/>
      <c r="T260" s="35"/>
      <c r="U260" s="35"/>
      <c r="V260" s="35"/>
      <c r="W260" s="35"/>
      <c r="X260" s="35"/>
      <c r="Y260" s="35"/>
    </row>
    <row r="261" ht="14.25" customHeight="1">
      <c r="A261" s="221"/>
      <c r="B261" s="231"/>
      <c r="C261" s="108"/>
      <c r="D261" s="223"/>
      <c r="E261" s="117"/>
      <c r="F261" s="245"/>
      <c r="G261" s="506">
        <v>44805.0</v>
      </c>
      <c r="H261" s="36">
        <f t="shared" si="1"/>
        <v>0</v>
      </c>
      <c r="I261" s="37">
        <f t="shared" si="2"/>
        <v>0</v>
      </c>
      <c r="J261" s="38">
        <f t="shared" si="3"/>
        <v>0</v>
      </c>
      <c r="K261" s="39">
        <f t="shared" si="4"/>
        <v>0</v>
      </c>
      <c r="L261" s="38">
        <f t="shared" si="5"/>
        <v>0</v>
      </c>
      <c r="M261" s="39">
        <f t="shared" si="6"/>
        <v>0</v>
      </c>
      <c r="N261" s="40"/>
      <c r="O261" s="34"/>
      <c r="P261" s="35"/>
      <c r="Q261" s="35"/>
      <c r="R261" s="35"/>
      <c r="S261" s="35"/>
      <c r="T261" s="35"/>
      <c r="U261" s="35"/>
      <c r="V261" s="35"/>
      <c r="W261" s="35"/>
      <c r="X261" s="35"/>
      <c r="Y261" s="35"/>
    </row>
    <row r="262" ht="14.25" customHeight="1">
      <c r="A262" s="221"/>
      <c r="B262" s="231"/>
      <c r="C262" s="110"/>
      <c r="D262" s="223"/>
      <c r="E262" s="117"/>
      <c r="F262" s="245"/>
      <c r="G262" s="523">
        <v>44805.0</v>
      </c>
      <c r="H262" s="36">
        <f t="shared" si="1"/>
        <v>0</v>
      </c>
      <c r="I262" s="37">
        <f t="shared" si="2"/>
        <v>0</v>
      </c>
      <c r="J262" s="38">
        <f t="shared" si="3"/>
        <v>0</v>
      </c>
      <c r="K262" s="39">
        <f t="shared" si="4"/>
        <v>0</v>
      </c>
      <c r="L262" s="38">
        <f t="shared" si="5"/>
        <v>0</v>
      </c>
      <c r="M262" s="39">
        <f t="shared" si="6"/>
        <v>0</v>
      </c>
      <c r="N262" s="40"/>
      <c r="O262" s="34"/>
      <c r="P262" s="35"/>
      <c r="Q262" s="35"/>
      <c r="R262" s="35"/>
      <c r="S262" s="35"/>
      <c r="T262" s="35"/>
      <c r="U262" s="35"/>
      <c r="V262" s="35"/>
      <c r="W262" s="35"/>
      <c r="X262" s="35"/>
      <c r="Y262" s="35"/>
    </row>
    <row r="263" ht="14.25" customHeight="1">
      <c r="A263" s="221"/>
      <c r="B263" s="231"/>
      <c r="C263" s="115"/>
      <c r="D263" s="237"/>
      <c r="E263" s="117"/>
      <c r="F263" s="245"/>
      <c r="G263" s="506">
        <v>44805.0</v>
      </c>
      <c r="H263" s="36">
        <f t="shared" si="1"/>
        <v>0</v>
      </c>
      <c r="I263" s="37">
        <f t="shared" si="2"/>
        <v>0</v>
      </c>
      <c r="J263" s="38">
        <f t="shared" si="3"/>
        <v>0</v>
      </c>
      <c r="K263" s="39">
        <f t="shared" si="4"/>
        <v>0</v>
      </c>
      <c r="L263" s="38">
        <f t="shared" si="5"/>
        <v>0</v>
      </c>
      <c r="M263" s="39">
        <f t="shared" si="6"/>
        <v>0</v>
      </c>
      <c r="N263" s="40"/>
      <c r="O263" s="34"/>
      <c r="P263" s="35"/>
      <c r="Q263" s="35"/>
      <c r="R263" s="35"/>
      <c r="S263" s="35"/>
      <c r="T263" s="35"/>
      <c r="U263" s="35"/>
      <c r="V263" s="35"/>
      <c r="W263" s="35"/>
      <c r="X263" s="35"/>
      <c r="Y263" s="35"/>
    </row>
    <row r="264" ht="14.25" customHeight="1">
      <c r="A264" s="221"/>
      <c r="B264" s="231"/>
      <c r="C264" s="115"/>
      <c r="D264" s="237"/>
      <c r="E264" s="117"/>
      <c r="F264" s="245"/>
      <c r="G264" s="523">
        <v>44805.0</v>
      </c>
      <c r="H264" s="36">
        <f t="shared" si="1"/>
        <v>0</v>
      </c>
      <c r="I264" s="37">
        <f t="shared" si="2"/>
        <v>0</v>
      </c>
      <c r="J264" s="38">
        <f t="shared" si="3"/>
        <v>0</v>
      </c>
      <c r="K264" s="39">
        <f t="shared" si="4"/>
        <v>0</v>
      </c>
      <c r="L264" s="38">
        <f t="shared" si="5"/>
        <v>0</v>
      </c>
      <c r="M264" s="39">
        <f t="shared" si="6"/>
        <v>0</v>
      </c>
      <c r="N264" s="40"/>
      <c r="O264" s="34"/>
      <c r="P264" s="35"/>
      <c r="Q264" s="35"/>
      <c r="R264" s="35"/>
      <c r="S264" s="35"/>
      <c r="T264" s="35"/>
      <c r="U264" s="35"/>
      <c r="V264" s="35"/>
      <c r="W264" s="35"/>
      <c r="X264" s="35"/>
      <c r="Y264" s="35"/>
    </row>
    <row r="265" ht="14.25" customHeight="1">
      <c r="A265" s="221"/>
      <c r="B265" s="231"/>
      <c r="C265" s="115"/>
      <c r="D265" s="237"/>
      <c r="E265" s="117"/>
      <c r="F265" s="245"/>
      <c r="G265" s="506">
        <v>44805.0</v>
      </c>
      <c r="H265" s="36">
        <f t="shared" si="1"/>
        <v>0</v>
      </c>
      <c r="I265" s="37">
        <f t="shared" si="2"/>
        <v>0</v>
      </c>
      <c r="J265" s="38">
        <f t="shared" si="3"/>
        <v>0</v>
      </c>
      <c r="K265" s="39">
        <f t="shared" si="4"/>
        <v>0</v>
      </c>
      <c r="L265" s="38">
        <f t="shared" si="5"/>
        <v>0</v>
      </c>
      <c r="M265" s="39">
        <f t="shared" si="6"/>
        <v>0</v>
      </c>
      <c r="N265" s="40"/>
      <c r="O265" s="34"/>
      <c r="P265" s="35"/>
      <c r="Q265" s="35"/>
      <c r="R265" s="35"/>
      <c r="S265" s="35"/>
      <c r="T265" s="35"/>
      <c r="U265" s="35"/>
      <c r="V265" s="35"/>
      <c r="W265" s="35"/>
      <c r="X265" s="35"/>
      <c r="Y265" s="35"/>
    </row>
    <row r="266" ht="14.25" customHeight="1">
      <c r="A266" s="221"/>
      <c r="B266" s="231"/>
      <c r="C266" s="115"/>
      <c r="D266" s="237"/>
      <c r="E266" s="117"/>
      <c r="F266" s="245"/>
      <c r="G266" s="523">
        <v>44805.0</v>
      </c>
      <c r="H266" s="36">
        <f t="shared" si="1"/>
        <v>0</v>
      </c>
      <c r="I266" s="37">
        <f t="shared" si="2"/>
        <v>0</v>
      </c>
      <c r="J266" s="38">
        <f t="shared" si="3"/>
        <v>0</v>
      </c>
      <c r="K266" s="39">
        <f t="shared" si="4"/>
        <v>0</v>
      </c>
      <c r="L266" s="38">
        <f t="shared" si="5"/>
        <v>0</v>
      </c>
      <c r="M266" s="39">
        <f t="shared" si="6"/>
        <v>0</v>
      </c>
      <c r="N266" s="40"/>
      <c r="O266" s="34"/>
      <c r="P266" s="35"/>
      <c r="Q266" s="35"/>
      <c r="R266" s="35"/>
      <c r="S266" s="35"/>
      <c r="T266" s="35"/>
      <c r="U266" s="35"/>
      <c r="V266" s="35"/>
      <c r="W266" s="35"/>
      <c r="X266" s="35"/>
      <c r="Y266" s="35"/>
    </row>
    <row r="267" ht="14.25" customHeight="1">
      <c r="A267" s="221"/>
      <c r="B267" s="231"/>
      <c r="C267" s="108"/>
      <c r="D267" s="237"/>
      <c r="E267" s="117"/>
      <c r="F267" s="245"/>
      <c r="G267" s="506">
        <v>44805.0</v>
      </c>
      <c r="H267" s="36">
        <f t="shared" si="1"/>
        <v>0</v>
      </c>
      <c r="I267" s="37">
        <f t="shared" si="2"/>
        <v>0</v>
      </c>
      <c r="J267" s="38">
        <f t="shared" si="3"/>
        <v>0</v>
      </c>
      <c r="K267" s="39">
        <f t="shared" si="4"/>
        <v>0</v>
      </c>
      <c r="L267" s="38">
        <f t="shared" si="5"/>
        <v>0</v>
      </c>
      <c r="M267" s="39">
        <f t="shared" si="6"/>
        <v>0</v>
      </c>
      <c r="N267" s="40"/>
      <c r="O267" s="34"/>
      <c r="P267" s="35"/>
      <c r="Q267" s="35"/>
      <c r="R267" s="35"/>
      <c r="S267" s="35"/>
      <c r="T267" s="35"/>
      <c r="U267" s="35"/>
      <c r="V267" s="35"/>
      <c r="W267" s="35"/>
      <c r="X267" s="35"/>
      <c r="Y267" s="35"/>
    </row>
    <row r="268" ht="14.25" customHeight="1">
      <c r="A268" s="221"/>
      <c r="B268" s="231"/>
      <c r="C268" s="116"/>
      <c r="D268" s="237"/>
      <c r="E268" s="117"/>
      <c r="F268" s="245"/>
      <c r="G268" s="523">
        <v>44805.0</v>
      </c>
      <c r="H268" s="36">
        <f t="shared" si="1"/>
        <v>0</v>
      </c>
      <c r="I268" s="37">
        <f t="shared" si="2"/>
        <v>0</v>
      </c>
      <c r="J268" s="38">
        <f t="shared" si="3"/>
        <v>0</v>
      </c>
      <c r="K268" s="39">
        <f t="shared" si="4"/>
        <v>0</v>
      </c>
      <c r="L268" s="38">
        <f t="shared" si="5"/>
        <v>0</v>
      </c>
      <c r="M268" s="39">
        <f t="shared" si="6"/>
        <v>0</v>
      </c>
      <c r="N268" s="40"/>
      <c r="O268" s="34"/>
      <c r="P268" s="35"/>
      <c r="Q268" s="35"/>
      <c r="R268" s="35"/>
      <c r="S268" s="35"/>
      <c r="T268" s="35"/>
      <c r="U268" s="35"/>
      <c r="V268" s="35"/>
      <c r="W268" s="35"/>
      <c r="X268" s="35"/>
      <c r="Y268" s="35"/>
    </row>
    <row r="269" ht="14.25" customHeight="1">
      <c r="A269" s="221"/>
      <c r="B269" s="231"/>
      <c r="C269" s="126"/>
      <c r="D269" s="237"/>
      <c r="E269" s="117"/>
      <c r="F269" s="245"/>
      <c r="G269" s="506">
        <v>44805.0</v>
      </c>
      <c r="H269" s="36">
        <f t="shared" si="1"/>
        <v>0</v>
      </c>
      <c r="I269" s="37">
        <f t="shared" si="2"/>
        <v>0</v>
      </c>
      <c r="J269" s="38">
        <f t="shared" si="3"/>
        <v>0</v>
      </c>
      <c r="K269" s="39">
        <f t="shared" si="4"/>
        <v>0</v>
      </c>
      <c r="L269" s="38">
        <f t="shared" si="5"/>
        <v>0</v>
      </c>
      <c r="M269" s="39">
        <f t="shared" si="6"/>
        <v>0</v>
      </c>
      <c r="N269" s="40"/>
      <c r="O269" s="34"/>
      <c r="P269" s="35"/>
      <c r="Q269" s="35"/>
      <c r="R269" s="35"/>
      <c r="S269" s="35"/>
      <c r="T269" s="35"/>
      <c r="U269" s="35"/>
      <c r="V269" s="35"/>
      <c r="W269" s="35"/>
      <c r="X269" s="35"/>
      <c r="Y269" s="35"/>
    </row>
    <row r="270" ht="14.25" customHeight="1">
      <c r="A270" s="221"/>
      <c r="B270" s="231"/>
      <c r="C270" s="115"/>
      <c r="D270" s="237"/>
      <c r="E270" s="117"/>
      <c r="F270" s="245"/>
      <c r="G270" s="523">
        <v>44805.0</v>
      </c>
      <c r="H270" s="36">
        <f t="shared" si="1"/>
        <v>0</v>
      </c>
      <c r="I270" s="37">
        <f t="shared" si="2"/>
        <v>0</v>
      </c>
      <c r="J270" s="38">
        <f t="shared" si="3"/>
        <v>0</v>
      </c>
      <c r="K270" s="39">
        <f t="shared" si="4"/>
        <v>0</v>
      </c>
      <c r="L270" s="38">
        <f t="shared" si="5"/>
        <v>0</v>
      </c>
      <c r="M270" s="39">
        <f t="shared" si="6"/>
        <v>0</v>
      </c>
      <c r="N270" s="40"/>
      <c r="O270" s="34"/>
      <c r="P270" s="35"/>
      <c r="Q270" s="35"/>
      <c r="R270" s="35"/>
      <c r="S270" s="35"/>
      <c r="T270" s="35"/>
      <c r="U270" s="35"/>
      <c r="V270" s="35"/>
      <c r="W270" s="35"/>
      <c r="X270" s="35"/>
      <c r="Y270" s="35"/>
    </row>
    <row r="271" ht="14.25" customHeight="1">
      <c r="A271" s="221"/>
      <c r="B271" s="231"/>
      <c r="C271" s="116"/>
      <c r="D271" s="237"/>
      <c r="E271" s="117"/>
      <c r="F271" s="245"/>
      <c r="G271" s="506">
        <v>44805.0</v>
      </c>
      <c r="H271" s="36">
        <f t="shared" si="1"/>
        <v>0</v>
      </c>
      <c r="I271" s="37">
        <f t="shared" si="2"/>
        <v>0</v>
      </c>
      <c r="J271" s="38">
        <f t="shared" si="3"/>
        <v>0</v>
      </c>
      <c r="K271" s="39">
        <f t="shared" si="4"/>
        <v>0</v>
      </c>
      <c r="L271" s="38">
        <f t="shared" si="5"/>
        <v>0</v>
      </c>
      <c r="M271" s="39">
        <f t="shared" si="6"/>
        <v>0</v>
      </c>
      <c r="N271" s="40"/>
      <c r="O271" s="34"/>
      <c r="P271" s="35"/>
      <c r="Q271" s="35"/>
      <c r="R271" s="35"/>
      <c r="S271" s="35"/>
      <c r="T271" s="35"/>
      <c r="U271" s="35"/>
      <c r="V271" s="35"/>
      <c r="W271" s="35"/>
      <c r="X271" s="35"/>
      <c r="Y271" s="35"/>
    </row>
    <row r="272" ht="14.25" customHeight="1">
      <c r="A272" s="221"/>
      <c r="B272" s="231"/>
      <c r="C272" s="116"/>
      <c r="D272" s="237"/>
      <c r="E272" s="117"/>
      <c r="F272" s="245"/>
      <c r="G272" s="523">
        <v>44805.0</v>
      </c>
      <c r="H272" s="36">
        <f t="shared" si="1"/>
        <v>0</v>
      </c>
      <c r="I272" s="37">
        <f t="shared" si="2"/>
        <v>0</v>
      </c>
      <c r="J272" s="38">
        <f t="shared" si="3"/>
        <v>0</v>
      </c>
      <c r="K272" s="39">
        <f t="shared" si="4"/>
        <v>0</v>
      </c>
      <c r="L272" s="38">
        <f t="shared" si="5"/>
        <v>0</v>
      </c>
      <c r="M272" s="39">
        <f t="shared" si="6"/>
        <v>0</v>
      </c>
      <c r="N272" s="40"/>
      <c r="O272" s="34"/>
      <c r="P272" s="35"/>
      <c r="Q272" s="35"/>
      <c r="R272" s="35"/>
      <c r="S272" s="35"/>
      <c r="T272" s="35"/>
      <c r="U272" s="35"/>
      <c r="V272" s="35"/>
      <c r="W272" s="35"/>
      <c r="X272" s="35"/>
      <c r="Y272" s="35"/>
    </row>
    <row r="273" ht="14.25" customHeight="1">
      <c r="A273" s="221"/>
      <c r="B273" s="231"/>
      <c r="C273" s="116"/>
      <c r="D273" s="237"/>
      <c r="E273" s="117"/>
      <c r="F273" s="245"/>
      <c r="G273" s="506">
        <v>44805.0</v>
      </c>
      <c r="H273" s="36">
        <f t="shared" si="1"/>
        <v>0</v>
      </c>
      <c r="I273" s="37">
        <f t="shared" si="2"/>
        <v>0</v>
      </c>
      <c r="J273" s="38">
        <f t="shared" si="3"/>
        <v>0</v>
      </c>
      <c r="K273" s="39">
        <f t="shared" si="4"/>
        <v>0</v>
      </c>
      <c r="L273" s="38">
        <f t="shared" si="5"/>
        <v>0</v>
      </c>
      <c r="M273" s="39">
        <f t="shared" si="6"/>
        <v>0</v>
      </c>
      <c r="N273" s="40"/>
      <c r="O273" s="34"/>
      <c r="P273" s="35"/>
      <c r="Q273" s="35"/>
      <c r="R273" s="35"/>
      <c r="S273" s="35"/>
      <c r="T273" s="35"/>
      <c r="U273" s="35"/>
      <c r="V273" s="35"/>
      <c r="W273" s="35"/>
      <c r="X273" s="35"/>
      <c r="Y273" s="35"/>
    </row>
    <row r="274" ht="14.25" customHeight="1">
      <c r="A274" s="221"/>
      <c r="B274" s="231"/>
      <c r="C274" s="116"/>
      <c r="D274" s="237"/>
      <c r="E274" s="117"/>
      <c r="F274" s="245"/>
      <c r="G274" s="523">
        <v>44805.0</v>
      </c>
      <c r="H274" s="36">
        <f t="shared" si="1"/>
        <v>0</v>
      </c>
      <c r="I274" s="37">
        <f t="shared" si="2"/>
        <v>0</v>
      </c>
      <c r="J274" s="38">
        <f t="shared" si="3"/>
        <v>0</v>
      </c>
      <c r="K274" s="39">
        <f t="shared" si="4"/>
        <v>0</v>
      </c>
      <c r="L274" s="38">
        <f t="shared" si="5"/>
        <v>0</v>
      </c>
      <c r="M274" s="39">
        <f t="shared" si="6"/>
        <v>0</v>
      </c>
      <c r="N274" s="40"/>
      <c r="O274" s="34"/>
      <c r="P274" s="35"/>
      <c r="Q274" s="35"/>
      <c r="R274" s="35"/>
      <c r="S274" s="35"/>
      <c r="T274" s="35"/>
      <c r="U274" s="35"/>
      <c r="V274" s="35"/>
      <c r="W274" s="35"/>
      <c r="X274" s="35"/>
      <c r="Y274" s="35"/>
    </row>
    <row r="275" ht="14.25" customHeight="1">
      <c r="A275" s="221"/>
      <c r="B275" s="231"/>
      <c r="C275" s="116"/>
      <c r="D275" s="237"/>
      <c r="E275" s="117"/>
      <c r="F275" s="245"/>
      <c r="G275" s="506">
        <v>44805.0</v>
      </c>
      <c r="H275" s="36">
        <f t="shared" si="1"/>
        <v>0</v>
      </c>
      <c r="I275" s="37">
        <f t="shared" si="2"/>
        <v>0</v>
      </c>
      <c r="J275" s="38">
        <f t="shared" si="3"/>
        <v>0</v>
      </c>
      <c r="K275" s="39">
        <f t="shared" si="4"/>
        <v>0</v>
      </c>
      <c r="L275" s="38">
        <f t="shared" si="5"/>
        <v>0</v>
      </c>
      <c r="M275" s="39">
        <f t="shared" si="6"/>
        <v>0</v>
      </c>
      <c r="N275" s="40"/>
      <c r="O275" s="34"/>
      <c r="P275" s="35"/>
      <c r="Q275" s="35"/>
      <c r="R275" s="35"/>
      <c r="S275" s="35"/>
      <c r="T275" s="35"/>
      <c r="U275" s="35"/>
      <c r="V275" s="35"/>
      <c r="W275" s="35"/>
      <c r="X275" s="35"/>
      <c r="Y275" s="35"/>
    </row>
    <row r="276" ht="14.25" customHeight="1">
      <c r="A276" s="221"/>
      <c r="B276" s="231"/>
      <c r="C276" s="116"/>
      <c r="D276" s="237"/>
      <c r="E276" s="117"/>
      <c r="F276" s="245"/>
      <c r="G276" s="523">
        <v>44805.0</v>
      </c>
      <c r="H276" s="36">
        <f t="shared" si="1"/>
        <v>0</v>
      </c>
      <c r="I276" s="37">
        <f t="shared" si="2"/>
        <v>0</v>
      </c>
      <c r="J276" s="38">
        <f t="shared" si="3"/>
        <v>0</v>
      </c>
      <c r="K276" s="39">
        <f t="shared" si="4"/>
        <v>0</v>
      </c>
      <c r="L276" s="38">
        <f t="shared" si="5"/>
        <v>0</v>
      </c>
      <c r="M276" s="39">
        <f t="shared" si="6"/>
        <v>0</v>
      </c>
      <c r="N276" s="40"/>
      <c r="O276" s="34"/>
      <c r="P276" s="35"/>
      <c r="Q276" s="35"/>
      <c r="R276" s="35"/>
      <c r="S276" s="35"/>
      <c r="T276" s="35"/>
      <c r="U276" s="35"/>
      <c r="V276" s="35"/>
      <c r="W276" s="35"/>
      <c r="X276" s="35"/>
      <c r="Y276" s="35"/>
    </row>
    <row r="277" ht="14.25" customHeight="1">
      <c r="A277" s="221"/>
      <c r="B277" s="231"/>
      <c r="C277" s="116"/>
      <c r="D277" s="100"/>
      <c r="E277" s="117"/>
      <c r="F277" s="245"/>
      <c r="G277" s="506">
        <v>44805.0</v>
      </c>
      <c r="H277" s="36">
        <f t="shared" si="1"/>
        <v>0</v>
      </c>
      <c r="I277" s="37">
        <f t="shared" si="2"/>
        <v>0</v>
      </c>
      <c r="J277" s="38">
        <f t="shared" si="3"/>
        <v>0</v>
      </c>
      <c r="K277" s="39">
        <f t="shared" si="4"/>
        <v>0</v>
      </c>
      <c r="L277" s="38">
        <f t="shared" si="5"/>
        <v>0</v>
      </c>
      <c r="M277" s="39">
        <f t="shared" si="6"/>
        <v>0</v>
      </c>
      <c r="N277" s="40"/>
      <c r="O277" s="34"/>
      <c r="P277" s="35"/>
      <c r="Q277" s="35"/>
      <c r="R277" s="35"/>
      <c r="S277" s="35"/>
      <c r="T277" s="35"/>
      <c r="U277" s="35"/>
      <c r="V277" s="35"/>
      <c r="W277" s="35"/>
      <c r="X277" s="35"/>
      <c r="Y277" s="35"/>
    </row>
    <row r="278" ht="14.25" customHeight="1">
      <c r="A278" s="221"/>
      <c r="B278" s="231"/>
      <c r="C278" s="116"/>
      <c r="D278" s="100"/>
      <c r="E278" s="117"/>
      <c r="F278" s="245"/>
      <c r="G278" s="523">
        <v>44805.0</v>
      </c>
      <c r="H278" s="36">
        <f t="shared" si="1"/>
        <v>0</v>
      </c>
      <c r="I278" s="37">
        <f t="shared" si="2"/>
        <v>0</v>
      </c>
      <c r="J278" s="38">
        <f t="shared" si="3"/>
        <v>0</v>
      </c>
      <c r="K278" s="39">
        <f t="shared" si="4"/>
        <v>0</v>
      </c>
      <c r="L278" s="38">
        <f t="shared" si="5"/>
        <v>0</v>
      </c>
      <c r="M278" s="39">
        <f t="shared" si="6"/>
        <v>0</v>
      </c>
      <c r="N278" s="40"/>
      <c r="O278" s="34"/>
      <c r="P278" s="35"/>
      <c r="Q278" s="35"/>
      <c r="R278" s="35"/>
      <c r="S278" s="35"/>
      <c r="T278" s="35"/>
      <c r="U278" s="35"/>
      <c r="V278" s="35"/>
      <c r="W278" s="35"/>
      <c r="X278" s="35"/>
      <c r="Y278" s="35"/>
    </row>
    <row r="279" ht="14.25" customHeight="1">
      <c r="A279" s="221"/>
      <c r="B279" s="231"/>
      <c r="C279" s="116"/>
      <c r="D279" s="100"/>
      <c r="E279" s="117"/>
      <c r="F279" s="245"/>
      <c r="G279" s="506">
        <v>44805.0</v>
      </c>
      <c r="H279" s="36">
        <f t="shared" si="1"/>
        <v>0</v>
      </c>
      <c r="I279" s="37">
        <f t="shared" si="2"/>
        <v>0</v>
      </c>
      <c r="J279" s="38">
        <f t="shared" si="3"/>
        <v>0</v>
      </c>
      <c r="K279" s="39">
        <f t="shared" si="4"/>
        <v>0</v>
      </c>
      <c r="L279" s="38">
        <f t="shared" si="5"/>
        <v>0</v>
      </c>
      <c r="M279" s="39">
        <f t="shared" si="6"/>
        <v>0</v>
      </c>
      <c r="N279" s="40"/>
      <c r="O279" s="34"/>
      <c r="P279" s="35"/>
      <c r="Q279" s="35"/>
      <c r="R279" s="35"/>
      <c r="S279" s="35"/>
      <c r="T279" s="35"/>
      <c r="U279" s="35"/>
      <c r="V279" s="35"/>
      <c r="W279" s="35"/>
      <c r="X279" s="35"/>
      <c r="Y279" s="35"/>
    </row>
    <row r="280" ht="14.25" customHeight="1">
      <c r="A280" s="221"/>
      <c r="B280" s="231"/>
      <c r="C280" s="116"/>
      <c r="D280" s="100"/>
      <c r="E280" s="117"/>
      <c r="F280" s="245"/>
      <c r="G280" s="523">
        <v>44805.0</v>
      </c>
      <c r="H280" s="36">
        <f t="shared" si="1"/>
        <v>0</v>
      </c>
      <c r="I280" s="37">
        <f t="shared" si="2"/>
        <v>0</v>
      </c>
      <c r="J280" s="38">
        <f t="shared" si="3"/>
        <v>0</v>
      </c>
      <c r="K280" s="39">
        <f t="shared" si="4"/>
        <v>0</v>
      </c>
      <c r="L280" s="38">
        <f t="shared" si="5"/>
        <v>0</v>
      </c>
      <c r="M280" s="39">
        <f t="shared" si="6"/>
        <v>0</v>
      </c>
      <c r="N280" s="40"/>
      <c r="O280" s="34"/>
      <c r="P280" s="35"/>
      <c r="Q280" s="35"/>
      <c r="R280" s="35"/>
      <c r="S280" s="35"/>
      <c r="T280" s="35"/>
      <c r="U280" s="35"/>
      <c r="V280" s="35"/>
      <c r="W280" s="35"/>
      <c r="X280" s="35"/>
      <c r="Y280" s="35"/>
    </row>
    <row r="281" ht="14.25" customHeight="1">
      <c r="A281" s="221"/>
      <c r="B281" s="231"/>
      <c r="C281" s="116"/>
      <c r="D281" s="100"/>
      <c r="E281" s="117"/>
      <c r="F281" s="245"/>
      <c r="G281" s="506">
        <v>44805.0</v>
      </c>
      <c r="H281" s="36">
        <f t="shared" si="1"/>
        <v>0</v>
      </c>
      <c r="I281" s="37">
        <f t="shared" si="2"/>
        <v>0</v>
      </c>
      <c r="J281" s="38">
        <f t="shared" si="3"/>
        <v>0</v>
      </c>
      <c r="K281" s="39">
        <f t="shared" si="4"/>
        <v>0</v>
      </c>
      <c r="L281" s="38">
        <f t="shared" si="5"/>
        <v>0</v>
      </c>
      <c r="M281" s="39">
        <f t="shared" si="6"/>
        <v>0</v>
      </c>
      <c r="N281" s="40"/>
      <c r="O281" s="34"/>
      <c r="P281" s="35"/>
      <c r="Q281" s="35"/>
      <c r="R281" s="35"/>
      <c r="S281" s="35"/>
      <c r="T281" s="35"/>
      <c r="U281" s="35"/>
      <c r="V281" s="35"/>
      <c r="W281" s="35"/>
      <c r="X281" s="35"/>
      <c r="Y281" s="35"/>
    </row>
    <row r="282" ht="14.25" customHeight="1">
      <c r="A282" s="221"/>
      <c r="B282" s="231"/>
      <c r="C282" s="108"/>
      <c r="D282" s="100"/>
      <c r="E282" s="117"/>
      <c r="F282" s="245"/>
      <c r="G282" s="523">
        <v>44805.0</v>
      </c>
      <c r="H282" s="36">
        <f t="shared" si="1"/>
        <v>0</v>
      </c>
      <c r="I282" s="37">
        <f t="shared" si="2"/>
        <v>0</v>
      </c>
      <c r="J282" s="38">
        <f t="shared" si="3"/>
        <v>0</v>
      </c>
      <c r="K282" s="39">
        <f t="shared" si="4"/>
        <v>0</v>
      </c>
      <c r="L282" s="38">
        <f t="shared" si="5"/>
        <v>0</v>
      </c>
      <c r="M282" s="39">
        <f t="shared" si="6"/>
        <v>0</v>
      </c>
      <c r="N282" s="40"/>
      <c r="O282" s="34"/>
      <c r="P282" s="35"/>
      <c r="Q282" s="35"/>
      <c r="R282" s="35"/>
      <c r="S282" s="35"/>
      <c r="T282" s="35"/>
      <c r="U282" s="35"/>
      <c r="V282" s="35"/>
      <c r="W282" s="35"/>
      <c r="X282" s="35"/>
      <c r="Y282" s="35"/>
    </row>
    <row r="283" ht="14.25" customHeight="1">
      <c r="A283" s="221"/>
      <c r="B283" s="231"/>
      <c r="C283" s="108"/>
      <c r="D283" s="85"/>
      <c r="E283" s="117"/>
      <c r="F283" s="245"/>
      <c r="G283" s="506">
        <v>44805.0</v>
      </c>
      <c r="H283" s="36">
        <f t="shared" si="1"/>
        <v>0</v>
      </c>
      <c r="I283" s="37">
        <f t="shared" si="2"/>
        <v>0</v>
      </c>
      <c r="J283" s="38">
        <f t="shared" si="3"/>
        <v>0</v>
      </c>
      <c r="K283" s="39">
        <f t="shared" si="4"/>
        <v>0</v>
      </c>
      <c r="L283" s="38">
        <f t="shared" si="5"/>
        <v>0</v>
      </c>
      <c r="M283" s="39">
        <f t="shared" si="6"/>
        <v>0</v>
      </c>
      <c r="N283" s="40"/>
      <c r="O283" s="34"/>
      <c r="P283" s="35"/>
      <c r="Q283" s="35"/>
      <c r="R283" s="35"/>
      <c r="S283" s="35"/>
      <c r="T283" s="35"/>
      <c r="U283" s="35"/>
      <c r="V283" s="35"/>
      <c r="W283" s="35"/>
      <c r="X283" s="35"/>
      <c r="Y283" s="35"/>
    </row>
    <row r="284" ht="14.25" customHeight="1">
      <c r="A284" s="221"/>
      <c r="B284" s="231"/>
      <c r="C284" s="108"/>
      <c r="D284" s="85"/>
      <c r="E284" s="117"/>
      <c r="F284" s="245"/>
      <c r="G284" s="523">
        <v>44805.0</v>
      </c>
      <c r="H284" s="36">
        <f t="shared" si="1"/>
        <v>0</v>
      </c>
      <c r="I284" s="37">
        <f t="shared" si="2"/>
        <v>0</v>
      </c>
      <c r="J284" s="38">
        <f t="shared" si="3"/>
        <v>0</v>
      </c>
      <c r="K284" s="39">
        <f t="shared" si="4"/>
        <v>0</v>
      </c>
      <c r="L284" s="38">
        <f t="shared" si="5"/>
        <v>0</v>
      </c>
      <c r="M284" s="39">
        <f t="shared" si="6"/>
        <v>0</v>
      </c>
      <c r="N284" s="40"/>
      <c r="O284" s="34"/>
      <c r="P284" s="35"/>
      <c r="Q284" s="35"/>
      <c r="R284" s="35"/>
      <c r="S284" s="35"/>
      <c r="T284" s="35"/>
      <c r="U284" s="35"/>
      <c r="V284" s="35"/>
      <c r="W284" s="35"/>
      <c r="X284" s="35"/>
      <c r="Y284" s="35"/>
    </row>
    <row r="285" ht="14.25" customHeight="1">
      <c r="A285" s="221"/>
      <c r="B285" s="231"/>
      <c r="C285" s="108"/>
      <c r="D285" s="100"/>
      <c r="E285" s="117"/>
      <c r="F285" s="245"/>
      <c r="G285" s="506">
        <v>44805.0</v>
      </c>
      <c r="H285" s="36">
        <f t="shared" si="1"/>
        <v>0</v>
      </c>
      <c r="I285" s="37">
        <f t="shared" si="2"/>
        <v>0</v>
      </c>
      <c r="J285" s="38">
        <f t="shared" si="3"/>
        <v>0</v>
      </c>
      <c r="K285" s="39">
        <f t="shared" si="4"/>
        <v>0</v>
      </c>
      <c r="L285" s="38">
        <f t="shared" si="5"/>
        <v>0</v>
      </c>
      <c r="M285" s="39">
        <f t="shared" si="6"/>
        <v>0</v>
      </c>
      <c r="N285" s="40"/>
      <c r="O285" s="34"/>
      <c r="P285" s="35"/>
      <c r="Q285" s="35"/>
      <c r="R285" s="35"/>
      <c r="S285" s="35"/>
      <c r="T285" s="35"/>
      <c r="U285" s="35"/>
      <c r="V285" s="35"/>
      <c r="W285" s="35"/>
      <c r="X285" s="35"/>
      <c r="Y285" s="35"/>
    </row>
    <row r="286" ht="14.25" customHeight="1">
      <c r="A286" s="221"/>
      <c r="B286" s="231"/>
      <c r="C286" s="116"/>
      <c r="D286" s="100"/>
      <c r="E286" s="117"/>
      <c r="F286" s="245"/>
      <c r="G286" s="523">
        <v>44805.0</v>
      </c>
      <c r="H286" s="36">
        <f t="shared" si="1"/>
        <v>0</v>
      </c>
      <c r="I286" s="37">
        <f t="shared" si="2"/>
        <v>0</v>
      </c>
      <c r="J286" s="38">
        <f t="shared" si="3"/>
        <v>0</v>
      </c>
      <c r="K286" s="39">
        <f t="shared" si="4"/>
        <v>0</v>
      </c>
      <c r="L286" s="38">
        <f t="shared" si="5"/>
        <v>0</v>
      </c>
      <c r="M286" s="39">
        <f t="shared" si="6"/>
        <v>0</v>
      </c>
      <c r="N286" s="40"/>
      <c r="O286" s="34"/>
      <c r="P286" s="35"/>
      <c r="Q286" s="35"/>
      <c r="R286" s="35"/>
      <c r="S286" s="35"/>
      <c r="T286" s="35"/>
      <c r="U286" s="35"/>
      <c r="V286" s="35"/>
      <c r="W286" s="35"/>
      <c r="X286" s="35"/>
      <c r="Y286" s="35"/>
    </row>
    <row r="287" ht="14.25" customHeight="1">
      <c r="A287" s="221"/>
      <c r="B287" s="231"/>
      <c r="C287" s="116"/>
      <c r="D287" s="100"/>
      <c r="E287" s="117"/>
      <c r="F287" s="245"/>
      <c r="G287" s="506">
        <v>44805.0</v>
      </c>
      <c r="H287" s="36">
        <f t="shared" si="1"/>
        <v>0</v>
      </c>
      <c r="I287" s="37">
        <f t="shared" si="2"/>
        <v>0</v>
      </c>
      <c r="J287" s="38">
        <f t="shared" si="3"/>
        <v>0</v>
      </c>
      <c r="K287" s="39">
        <f t="shared" si="4"/>
        <v>0</v>
      </c>
      <c r="L287" s="38">
        <f t="shared" si="5"/>
        <v>0</v>
      </c>
      <c r="M287" s="39">
        <f t="shared" si="6"/>
        <v>0</v>
      </c>
      <c r="N287" s="40"/>
      <c r="O287" s="34"/>
      <c r="P287" s="35"/>
      <c r="Q287" s="35"/>
      <c r="R287" s="35"/>
      <c r="S287" s="35"/>
      <c r="T287" s="35"/>
      <c r="U287" s="35"/>
      <c r="V287" s="35"/>
      <c r="W287" s="35"/>
      <c r="X287" s="35"/>
      <c r="Y287" s="35"/>
    </row>
    <row r="288" ht="14.25" customHeight="1">
      <c r="A288" s="221"/>
      <c r="B288" s="231"/>
      <c r="C288" s="116"/>
      <c r="D288" s="100"/>
      <c r="E288" s="117"/>
      <c r="F288" s="245"/>
      <c r="G288" s="523">
        <v>44805.0</v>
      </c>
      <c r="H288" s="36">
        <f t="shared" si="1"/>
        <v>0</v>
      </c>
      <c r="I288" s="37">
        <f t="shared" si="2"/>
        <v>0</v>
      </c>
      <c r="J288" s="38">
        <f t="shared" si="3"/>
        <v>0</v>
      </c>
      <c r="K288" s="39">
        <f t="shared" si="4"/>
        <v>0</v>
      </c>
      <c r="L288" s="38">
        <f t="shared" si="5"/>
        <v>0</v>
      </c>
      <c r="M288" s="39">
        <f t="shared" si="6"/>
        <v>0</v>
      </c>
      <c r="N288" s="40"/>
      <c r="O288" s="34"/>
      <c r="P288" s="35"/>
      <c r="Q288" s="35"/>
      <c r="R288" s="35"/>
      <c r="S288" s="35"/>
      <c r="T288" s="35"/>
      <c r="U288" s="35"/>
      <c r="V288" s="35"/>
      <c r="W288" s="35"/>
      <c r="X288" s="35"/>
      <c r="Y288" s="35"/>
    </row>
    <row r="289" ht="14.25" customHeight="1">
      <c r="A289" s="221"/>
      <c r="B289" s="231"/>
      <c r="C289" s="116"/>
      <c r="D289" s="100"/>
      <c r="E289" s="117"/>
      <c r="F289" s="245"/>
      <c r="G289" s="506">
        <v>44805.0</v>
      </c>
      <c r="H289" s="36">
        <f t="shared" si="1"/>
        <v>0</v>
      </c>
      <c r="I289" s="37">
        <f t="shared" si="2"/>
        <v>0</v>
      </c>
      <c r="J289" s="38">
        <f t="shared" si="3"/>
        <v>0</v>
      </c>
      <c r="K289" s="39">
        <f t="shared" si="4"/>
        <v>0</v>
      </c>
      <c r="L289" s="38">
        <f t="shared" si="5"/>
        <v>0</v>
      </c>
      <c r="M289" s="39">
        <f t="shared" si="6"/>
        <v>0</v>
      </c>
      <c r="N289" s="40"/>
      <c r="O289" s="34"/>
      <c r="P289" s="35"/>
      <c r="Q289" s="35"/>
      <c r="R289" s="35"/>
      <c r="S289" s="35"/>
      <c r="T289" s="35"/>
      <c r="U289" s="35"/>
      <c r="V289" s="35"/>
      <c r="W289" s="35"/>
      <c r="X289" s="35"/>
      <c r="Y289" s="35"/>
    </row>
    <row r="290" ht="14.25" customHeight="1">
      <c r="A290" s="221"/>
      <c r="B290" s="231"/>
      <c r="C290" s="116"/>
      <c r="D290" s="100"/>
      <c r="E290" s="117"/>
      <c r="F290" s="245"/>
      <c r="G290" s="523">
        <v>44805.0</v>
      </c>
      <c r="H290" s="36">
        <f t="shared" si="1"/>
        <v>0</v>
      </c>
      <c r="I290" s="37">
        <f t="shared" si="2"/>
        <v>0</v>
      </c>
      <c r="J290" s="38">
        <f t="shared" si="3"/>
        <v>0</v>
      </c>
      <c r="K290" s="39">
        <f t="shared" si="4"/>
        <v>0</v>
      </c>
      <c r="L290" s="38">
        <f t="shared" si="5"/>
        <v>0</v>
      </c>
      <c r="M290" s="39">
        <f t="shared" si="6"/>
        <v>0</v>
      </c>
      <c r="N290" s="40"/>
      <c r="O290" s="34"/>
      <c r="P290" s="35"/>
      <c r="Q290" s="35"/>
      <c r="R290" s="35"/>
      <c r="S290" s="35"/>
      <c r="T290" s="35"/>
      <c r="U290" s="35"/>
      <c r="V290" s="35"/>
      <c r="W290" s="35"/>
      <c r="X290" s="35"/>
      <c r="Y290" s="35"/>
    </row>
    <row r="291" ht="14.25" customHeight="1">
      <c r="A291" s="221"/>
      <c r="B291" s="231"/>
      <c r="C291" s="116"/>
      <c r="D291" s="100"/>
      <c r="E291" s="117"/>
      <c r="F291" s="245"/>
      <c r="G291" s="506">
        <v>44805.0</v>
      </c>
      <c r="H291" s="36">
        <f t="shared" si="1"/>
        <v>0</v>
      </c>
      <c r="I291" s="37">
        <f t="shared" si="2"/>
        <v>0</v>
      </c>
      <c r="J291" s="38">
        <f t="shared" si="3"/>
        <v>0</v>
      </c>
      <c r="K291" s="39">
        <f t="shared" si="4"/>
        <v>0</v>
      </c>
      <c r="L291" s="38">
        <f t="shared" si="5"/>
        <v>0</v>
      </c>
      <c r="M291" s="39">
        <f t="shared" si="6"/>
        <v>0</v>
      </c>
      <c r="N291" s="40"/>
      <c r="O291" s="34"/>
      <c r="P291" s="35"/>
      <c r="Q291" s="35"/>
      <c r="R291" s="35"/>
      <c r="S291" s="35"/>
      <c r="T291" s="35"/>
      <c r="U291" s="35"/>
      <c r="V291" s="35"/>
      <c r="W291" s="35"/>
      <c r="X291" s="35"/>
      <c r="Y291" s="35"/>
    </row>
    <row r="292" ht="14.25" customHeight="1">
      <c r="A292" s="221"/>
      <c r="B292" s="231"/>
      <c r="C292" s="116"/>
      <c r="D292" s="100"/>
      <c r="E292" s="117"/>
      <c r="F292" s="245"/>
      <c r="G292" s="523">
        <v>44805.0</v>
      </c>
      <c r="H292" s="36">
        <f t="shared" si="1"/>
        <v>0</v>
      </c>
      <c r="I292" s="37">
        <f t="shared" si="2"/>
        <v>0</v>
      </c>
      <c r="J292" s="38">
        <f t="shared" si="3"/>
        <v>0</v>
      </c>
      <c r="K292" s="39">
        <f t="shared" si="4"/>
        <v>0</v>
      </c>
      <c r="L292" s="38">
        <f t="shared" si="5"/>
        <v>0</v>
      </c>
      <c r="M292" s="39">
        <f t="shared" si="6"/>
        <v>0</v>
      </c>
      <c r="N292" s="40"/>
      <c r="O292" s="34"/>
      <c r="P292" s="35"/>
      <c r="Q292" s="35"/>
      <c r="R292" s="35"/>
      <c r="S292" s="35"/>
      <c r="T292" s="35"/>
      <c r="U292" s="35"/>
      <c r="V292" s="35"/>
      <c r="W292" s="35"/>
      <c r="X292" s="35"/>
      <c r="Y292" s="35"/>
    </row>
    <row r="293" ht="14.25" customHeight="1">
      <c r="A293" s="221"/>
      <c r="B293" s="231"/>
      <c r="C293" s="116"/>
      <c r="D293" s="100"/>
      <c r="E293" s="117"/>
      <c r="F293" s="245"/>
      <c r="G293" s="506">
        <v>44805.0</v>
      </c>
      <c r="H293" s="36">
        <f t="shared" si="1"/>
        <v>0</v>
      </c>
      <c r="I293" s="37">
        <f t="shared" si="2"/>
        <v>0</v>
      </c>
      <c r="J293" s="38">
        <f t="shared" si="3"/>
        <v>0</v>
      </c>
      <c r="K293" s="39">
        <f t="shared" si="4"/>
        <v>0</v>
      </c>
      <c r="L293" s="38">
        <f t="shared" si="5"/>
        <v>0</v>
      </c>
      <c r="M293" s="39">
        <f t="shared" si="6"/>
        <v>0</v>
      </c>
      <c r="N293" s="40"/>
      <c r="O293" s="34"/>
      <c r="P293" s="35"/>
      <c r="Q293" s="35"/>
      <c r="R293" s="35"/>
      <c r="S293" s="35"/>
      <c r="T293" s="35"/>
      <c r="U293" s="35"/>
      <c r="V293" s="35"/>
      <c r="W293" s="35"/>
      <c r="X293" s="35"/>
      <c r="Y293" s="35"/>
    </row>
    <row r="294" ht="14.25" customHeight="1">
      <c r="A294" s="221"/>
      <c r="B294" s="231"/>
      <c r="C294" s="108"/>
      <c r="D294" s="85"/>
      <c r="E294" s="117"/>
      <c r="F294" s="245"/>
      <c r="G294" s="523">
        <v>44805.0</v>
      </c>
      <c r="H294" s="36">
        <f t="shared" si="1"/>
        <v>0</v>
      </c>
      <c r="I294" s="37">
        <f t="shared" si="2"/>
        <v>0</v>
      </c>
      <c r="J294" s="38">
        <f t="shared" si="3"/>
        <v>0</v>
      </c>
      <c r="K294" s="39">
        <f t="shared" si="4"/>
        <v>0</v>
      </c>
      <c r="L294" s="38">
        <f t="shared" si="5"/>
        <v>0</v>
      </c>
      <c r="M294" s="39">
        <f t="shared" si="6"/>
        <v>0</v>
      </c>
      <c r="N294" s="40"/>
      <c r="O294" s="34"/>
      <c r="P294" s="35"/>
      <c r="Q294" s="35"/>
      <c r="R294" s="35"/>
      <c r="S294" s="35"/>
      <c r="T294" s="35"/>
      <c r="U294" s="35"/>
      <c r="V294" s="35"/>
      <c r="W294" s="35"/>
      <c r="X294" s="35"/>
      <c r="Y294" s="35"/>
    </row>
    <row r="295" ht="14.25" customHeight="1">
      <c r="A295" s="221"/>
      <c r="B295" s="231"/>
      <c r="C295" s="108"/>
      <c r="D295" s="85"/>
      <c r="E295" s="117"/>
      <c r="F295" s="245"/>
      <c r="G295" s="506">
        <v>44805.0</v>
      </c>
      <c r="H295" s="36">
        <f t="shared" si="1"/>
        <v>0</v>
      </c>
      <c r="I295" s="37">
        <f t="shared" si="2"/>
        <v>0</v>
      </c>
      <c r="J295" s="38">
        <f t="shared" si="3"/>
        <v>0</v>
      </c>
      <c r="K295" s="39">
        <f t="shared" si="4"/>
        <v>0</v>
      </c>
      <c r="L295" s="38">
        <f t="shared" si="5"/>
        <v>0</v>
      </c>
      <c r="M295" s="39">
        <f t="shared" si="6"/>
        <v>0</v>
      </c>
      <c r="N295" s="40"/>
      <c r="O295" s="34"/>
      <c r="P295" s="35"/>
      <c r="Q295" s="35"/>
      <c r="R295" s="35"/>
      <c r="S295" s="35"/>
      <c r="T295" s="35"/>
      <c r="U295" s="35"/>
      <c r="V295" s="35"/>
      <c r="W295" s="35"/>
      <c r="X295" s="35"/>
      <c r="Y295" s="35"/>
    </row>
    <row r="296" ht="14.25" customHeight="1">
      <c r="A296" s="221"/>
      <c r="B296" s="231"/>
      <c r="C296" s="115"/>
      <c r="D296" s="100"/>
      <c r="E296" s="117"/>
      <c r="F296" s="245"/>
      <c r="G296" s="523">
        <v>44805.0</v>
      </c>
      <c r="H296" s="36">
        <f t="shared" si="1"/>
        <v>0</v>
      </c>
      <c r="I296" s="37">
        <f t="shared" si="2"/>
        <v>0</v>
      </c>
      <c r="J296" s="38">
        <f t="shared" si="3"/>
        <v>0</v>
      </c>
      <c r="K296" s="39">
        <f t="shared" si="4"/>
        <v>0</v>
      </c>
      <c r="L296" s="38">
        <f t="shared" si="5"/>
        <v>0</v>
      </c>
      <c r="M296" s="39">
        <f t="shared" si="6"/>
        <v>0</v>
      </c>
      <c r="N296" s="40"/>
      <c r="O296" s="34"/>
      <c r="P296" s="35"/>
      <c r="Q296" s="35"/>
      <c r="R296" s="35"/>
      <c r="S296" s="35"/>
      <c r="T296" s="35"/>
      <c r="U296" s="35"/>
      <c r="V296" s="35"/>
      <c r="W296" s="35"/>
      <c r="X296" s="35"/>
      <c r="Y296" s="35"/>
    </row>
    <row r="297" ht="14.25" customHeight="1">
      <c r="A297" s="221"/>
      <c r="B297" s="231"/>
      <c r="C297" s="116"/>
      <c r="D297" s="100"/>
      <c r="E297" s="117"/>
      <c r="F297" s="245"/>
      <c r="G297" s="506">
        <v>44805.0</v>
      </c>
      <c r="H297" s="36">
        <f t="shared" si="1"/>
        <v>0</v>
      </c>
      <c r="I297" s="37">
        <f t="shared" si="2"/>
        <v>0</v>
      </c>
      <c r="J297" s="38">
        <f t="shared" si="3"/>
        <v>0</v>
      </c>
      <c r="K297" s="39">
        <f t="shared" si="4"/>
        <v>0</v>
      </c>
      <c r="L297" s="38">
        <f t="shared" si="5"/>
        <v>0</v>
      </c>
      <c r="M297" s="39">
        <f t="shared" si="6"/>
        <v>0</v>
      </c>
      <c r="N297" s="40"/>
      <c r="O297" s="34"/>
      <c r="P297" s="35"/>
      <c r="Q297" s="35"/>
      <c r="R297" s="35"/>
      <c r="S297" s="35"/>
      <c r="T297" s="35"/>
      <c r="U297" s="35"/>
      <c r="V297" s="35"/>
      <c r="W297" s="35"/>
      <c r="X297" s="35"/>
      <c r="Y297" s="35"/>
    </row>
    <row r="298" ht="14.25" customHeight="1">
      <c r="A298" s="221"/>
      <c r="B298" s="231"/>
      <c r="C298" s="116"/>
      <c r="D298" s="100"/>
      <c r="E298" s="117"/>
      <c r="F298" s="245"/>
      <c r="G298" s="523">
        <v>44805.0</v>
      </c>
      <c r="H298" s="36">
        <f t="shared" si="1"/>
        <v>0</v>
      </c>
      <c r="I298" s="37">
        <f t="shared" si="2"/>
        <v>0</v>
      </c>
      <c r="J298" s="38">
        <f t="shared" si="3"/>
        <v>0</v>
      </c>
      <c r="K298" s="39">
        <f t="shared" si="4"/>
        <v>0</v>
      </c>
      <c r="L298" s="38">
        <f t="shared" si="5"/>
        <v>0</v>
      </c>
      <c r="M298" s="39">
        <f t="shared" si="6"/>
        <v>0</v>
      </c>
      <c r="N298" s="40"/>
      <c r="O298" s="34"/>
      <c r="P298" s="35"/>
      <c r="Q298" s="35"/>
      <c r="R298" s="35"/>
      <c r="S298" s="35"/>
      <c r="T298" s="35"/>
      <c r="U298" s="35"/>
      <c r="V298" s="35"/>
      <c r="W298" s="35"/>
      <c r="X298" s="35"/>
      <c r="Y298" s="35"/>
    </row>
    <row r="299" ht="14.25" customHeight="1">
      <c r="A299" s="221"/>
      <c r="B299" s="231"/>
      <c r="C299" s="115"/>
      <c r="D299" s="100"/>
      <c r="E299" s="117"/>
      <c r="F299" s="245"/>
      <c r="G299" s="506">
        <v>44805.0</v>
      </c>
      <c r="H299" s="36">
        <f t="shared" si="1"/>
        <v>0</v>
      </c>
      <c r="I299" s="37">
        <f t="shared" si="2"/>
        <v>0</v>
      </c>
      <c r="J299" s="38">
        <f t="shared" si="3"/>
        <v>0</v>
      </c>
      <c r="K299" s="39">
        <f t="shared" si="4"/>
        <v>0</v>
      </c>
      <c r="L299" s="38">
        <f t="shared" si="5"/>
        <v>0</v>
      </c>
      <c r="M299" s="39">
        <f t="shared" si="6"/>
        <v>0</v>
      </c>
      <c r="N299" s="40"/>
      <c r="O299" s="34"/>
      <c r="P299" s="35"/>
      <c r="Q299" s="35"/>
      <c r="R299" s="35"/>
      <c r="S299" s="35"/>
      <c r="T299" s="35"/>
      <c r="U299" s="35"/>
      <c r="V299" s="35"/>
      <c r="W299" s="35"/>
      <c r="X299" s="35"/>
      <c r="Y299" s="35"/>
    </row>
    <row r="300" ht="14.25" customHeight="1">
      <c r="A300" s="221"/>
      <c r="B300" s="231"/>
      <c r="C300" s="115"/>
      <c r="D300" s="100"/>
      <c r="E300" s="117"/>
      <c r="F300" s="245"/>
      <c r="G300" s="523">
        <v>44805.0</v>
      </c>
      <c r="H300" s="36">
        <f t="shared" si="1"/>
        <v>0</v>
      </c>
      <c r="I300" s="37">
        <f t="shared" si="2"/>
        <v>0</v>
      </c>
      <c r="J300" s="38">
        <f t="shared" si="3"/>
        <v>0</v>
      </c>
      <c r="K300" s="39">
        <f t="shared" si="4"/>
        <v>0</v>
      </c>
      <c r="L300" s="38">
        <f t="shared" si="5"/>
        <v>0</v>
      </c>
      <c r="M300" s="39">
        <f t="shared" si="6"/>
        <v>0</v>
      </c>
      <c r="N300" s="40"/>
      <c r="O300" s="34"/>
      <c r="P300" s="35"/>
      <c r="Q300" s="35"/>
      <c r="R300" s="35"/>
      <c r="S300" s="35"/>
      <c r="T300" s="35"/>
      <c r="U300" s="35"/>
      <c r="V300" s="35"/>
      <c r="W300" s="35"/>
      <c r="X300" s="35"/>
      <c r="Y300" s="35"/>
    </row>
    <row r="301" ht="14.25" customHeight="1">
      <c r="A301" s="221"/>
      <c r="B301" s="231"/>
      <c r="C301" s="115"/>
      <c r="D301" s="85"/>
      <c r="E301" s="117"/>
      <c r="F301" s="245"/>
      <c r="G301" s="506">
        <v>44805.0</v>
      </c>
      <c r="H301" s="36">
        <f t="shared" si="1"/>
        <v>0</v>
      </c>
      <c r="I301" s="37">
        <f t="shared" si="2"/>
        <v>0</v>
      </c>
      <c r="J301" s="38">
        <f t="shared" si="3"/>
        <v>0</v>
      </c>
      <c r="K301" s="39">
        <f t="shared" si="4"/>
        <v>0</v>
      </c>
      <c r="L301" s="38">
        <f t="shared" si="5"/>
        <v>0</v>
      </c>
      <c r="M301" s="39">
        <f t="shared" si="6"/>
        <v>0</v>
      </c>
      <c r="N301" s="40"/>
      <c r="O301" s="34"/>
      <c r="P301" s="35"/>
      <c r="Q301" s="35"/>
      <c r="R301" s="35"/>
      <c r="S301" s="35"/>
      <c r="T301" s="35"/>
      <c r="U301" s="35"/>
      <c r="V301" s="35"/>
      <c r="W301" s="35"/>
      <c r="X301" s="35"/>
      <c r="Y301" s="35"/>
    </row>
    <row r="302" ht="14.25" customHeight="1">
      <c r="A302" s="221"/>
      <c r="B302" s="231"/>
      <c r="C302" s="129"/>
      <c r="D302" s="89"/>
      <c r="E302" s="117"/>
      <c r="F302" s="245"/>
      <c r="G302" s="523">
        <v>44805.0</v>
      </c>
      <c r="H302" s="36">
        <f t="shared" si="1"/>
        <v>0</v>
      </c>
      <c r="I302" s="37">
        <f t="shared" si="2"/>
        <v>0</v>
      </c>
      <c r="J302" s="38">
        <f t="shared" si="3"/>
        <v>0</v>
      </c>
      <c r="K302" s="39">
        <f t="shared" si="4"/>
        <v>0</v>
      </c>
      <c r="L302" s="38">
        <f t="shared" si="5"/>
        <v>0</v>
      </c>
      <c r="M302" s="39">
        <f t="shared" si="6"/>
        <v>0</v>
      </c>
      <c r="N302" s="40"/>
      <c r="O302" s="34"/>
      <c r="P302" s="35"/>
      <c r="Q302" s="35"/>
      <c r="R302" s="35"/>
      <c r="S302" s="35"/>
      <c r="T302" s="35"/>
      <c r="U302" s="35"/>
      <c r="V302" s="35"/>
      <c r="W302" s="35"/>
      <c r="X302" s="35"/>
      <c r="Y302" s="35"/>
    </row>
    <row r="303" ht="14.25" customHeight="1">
      <c r="A303" s="221"/>
      <c r="B303" s="231"/>
      <c r="C303" s="110"/>
      <c r="D303" s="102"/>
      <c r="E303" s="117"/>
      <c r="F303" s="245"/>
      <c r="G303" s="506">
        <v>44805.0</v>
      </c>
      <c r="H303" s="36">
        <f t="shared" si="1"/>
        <v>0</v>
      </c>
      <c r="I303" s="37">
        <f t="shared" si="2"/>
        <v>0</v>
      </c>
      <c r="J303" s="38">
        <f t="shared" si="3"/>
        <v>0</v>
      </c>
      <c r="K303" s="39">
        <f t="shared" si="4"/>
        <v>0</v>
      </c>
      <c r="L303" s="38">
        <f t="shared" si="5"/>
        <v>0</v>
      </c>
      <c r="M303" s="39">
        <f t="shared" si="6"/>
        <v>0</v>
      </c>
      <c r="N303" s="40"/>
      <c r="O303" s="34"/>
      <c r="P303" s="35"/>
      <c r="Q303" s="35"/>
      <c r="R303" s="35"/>
      <c r="S303" s="35"/>
      <c r="T303" s="35"/>
      <c r="U303" s="35"/>
      <c r="V303" s="35"/>
      <c r="W303" s="35"/>
      <c r="X303" s="35"/>
      <c r="Y303" s="35"/>
    </row>
    <row r="304" ht="14.25" customHeight="1">
      <c r="A304" s="221"/>
      <c r="B304" s="231"/>
      <c r="C304" s="116"/>
      <c r="D304" s="85"/>
      <c r="E304" s="117"/>
      <c r="F304" s="245"/>
      <c r="G304" s="523">
        <v>44805.0</v>
      </c>
      <c r="H304" s="36">
        <f t="shared" si="1"/>
        <v>0</v>
      </c>
      <c r="I304" s="37">
        <f t="shared" si="2"/>
        <v>0</v>
      </c>
      <c r="J304" s="38">
        <f t="shared" si="3"/>
        <v>0</v>
      </c>
      <c r="K304" s="39">
        <f t="shared" si="4"/>
        <v>0</v>
      </c>
      <c r="L304" s="38">
        <f t="shared" si="5"/>
        <v>0</v>
      </c>
      <c r="M304" s="39">
        <f t="shared" si="6"/>
        <v>0</v>
      </c>
      <c r="N304" s="40"/>
      <c r="O304" s="34"/>
      <c r="P304" s="35"/>
      <c r="Q304" s="35"/>
      <c r="R304" s="35"/>
      <c r="S304" s="35"/>
      <c r="T304" s="35"/>
      <c r="U304" s="35"/>
      <c r="V304" s="35"/>
      <c r="W304" s="35"/>
      <c r="X304" s="35"/>
      <c r="Y304" s="35"/>
    </row>
    <row r="305" ht="14.25" customHeight="1">
      <c r="A305" s="221"/>
      <c r="B305" s="231"/>
      <c r="C305" s="116"/>
      <c r="D305" s="85"/>
      <c r="E305" s="117"/>
      <c r="F305" s="245"/>
      <c r="G305" s="506">
        <v>44805.0</v>
      </c>
      <c r="H305" s="36">
        <f t="shared" si="1"/>
        <v>0</v>
      </c>
      <c r="I305" s="37">
        <f t="shared" si="2"/>
        <v>0</v>
      </c>
      <c r="J305" s="38">
        <f t="shared" si="3"/>
        <v>0</v>
      </c>
      <c r="K305" s="39">
        <f t="shared" si="4"/>
        <v>0</v>
      </c>
      <c r="L305" s="38">
        <f t="shared" si="5"/>
        <v>0</v>
      </c>
      <c r="M305" s="39">
        <f t="shared" si="6"/>
        <v>0</v>
      </c>
      <c r="N305" s="40"/>
      <c r="O305" s="34"/>
      <c r="P305" s="35"/>
      <c r="Q305" s="35"/>
      <c r="R305" s="35"/>
      <c r="S305" s="35"/>
      <c r="T305" s="35"/>
      <c r="U305" s="35"/>
      <c r="V305" s="35"/>
      <c r="W305" s="35"/>
      <c r="X305" s="35"/>
      <c r="Y305" s="35"/>
    </row>
    <row r="306" ht="14.25" customHeight="1">
      <c r="A306" s="221"/>
      <c r="B306" s="231"/>
      <c r="C306" s="116"/>
      <c r="D306" s="85"/>
      <c r="E306" s="117"/>
      <c r="F306" s="245"/>
      <c r="G306" s="523">
        <v>44805.0</v>
      </c>
      <c r="H306" s="36">
        <f t="shared" si="1"/>
        <v>0</v>
      </c>
      <c r="I306" s="37">
        <f t="shared" si="2"/>
        <v>0</v>
      </c>
      <c r="J306" s="38">
        <f t="shared" si="3"/>
        <v>0</v>
      </c>
      <c r="K306" s="39">
        <f t="shared" si="4"/>
        <v>0</v>
      </c>
      <c r="L306" s="38">
        <f t="shared" si="5"/>
        <v>0</v>
      </c>
      <c r="M306" s="39">
        <f t="shared" si="6"/>
        <v>0</v>
      </c>
      <c r="N306" s="40"/>
      <c r="O306" s="34"/>
      <c r="P306" s="35"/>
      <c r="Q306" s="35"/>
      <c r="R306" s="35"/>
      <c r="S306" s="35"/>
      <c r="T306" s="35"/>
      <c r="U306" s="35"/>
      <c r="V306" s="35"/>
      <c r="W306" s="35"/>
      <c r="X306" s="35"/>
      <c r="Y306" s="35"/>
    </row>
    <row r="307" ht="14.25" customHeight="1">
      <c r="A307" s="221"/>
      <c r="B307" s="231"/>
      <c r="C307" s="116"/>
      <c r="D307" s="85"/>
      <c r="E307" s="117"/>
      <c r="F307" s="245"/>
      <c r="G307" s="506">
        <v>44805.0</v>
      </c>
      <c r="H307" s="36">
        <f t="shared" si="1"/>
        <v>0</v>
      </c>
      <c r="I307" s="37">
        <f t="shared" si="2"/>
        <v>0</v>
      </c>
      <c r="J307" s="38">
        <f t="shared" si="3"/>
        <v>0</v>
      </c>
      <c r="K307" s="39">
        <f t="shared" si="4"/>
        <v>0</v>
      </c>
      <c r="L307" s="38">
        <f t="shared" si="5"/>
        <v>0</v>
      </c>
      <c r="M307" s="39">
        <f t="shared" si="6"/>
        <v>0</v>
      </c>
      <c r="N307" s="40"/>
      <c r="O307" s="34"/>
      <c r="P307" s="35"/>
      <c r="Q307" s="35"/>
      <c r="R307" s="35"/>
      <c r="S307" s="35"/>
      <c r="T307" s="35"/>
      <c r="U307" s="35"/>
      <c r="V307" s="35"/>
      <c r="W307" s="35"/>
      <c r="X307" s="35"/>
      <c r="Y307" s="35"/>
    </row>
    <row r="308" ht="14.25" customHeight="1">
      <c r="A308" s="221"/>
      <c r="B308" s="231"/>
      <c r="C308" s="110"/>
      <c r="D308" s="122"/>
      <c r="E308" s="117"/>
      <c r="F308" s="245"/>
      <c r="G308" s="523">
        <v>44805.0</v>
      </c>
      <c r="H308" s="36">
        <f t="shared" si="1"/>
        <v>0</v>
      </c>
      <c r="I308" s="37">
        <f t="shared" si="2"/>
        <v>0</v>
      </c>
      <c r="J308" s="38">
        <f t="shared" si="3"/>
        <v>0</v>
      </c>
      <c r="K308" s="39">
        <f t="shared" si="4"/>
        <v>0</v>
      </c>
      <c r="L308" s="38">
        <f t="shared" si="5"/>
        <v>0</v>
      </c>
      <c r="M308" s="39">
        <f t="shared" si="6"/>
        <v>0</v>
      </c>
      <c r="N308" s="40"/>
      <c r="O308" s="34"/>
      <c r="P308" s="35"/>
      <c r="Q308" s="35"/>
      <c r="R308" s="35"/>
      <c r="S308" s="35"/>
      <c r="T308" s="35"/>
      <c r="U308" s="35"/>
      <c r="V308" s="35"/>
      <c r="W308" s="35"/>
      <c r="X308" s="35"/>
      <c r="Y308" s="35"/>
    </row>
    <row r="309" ht="14.25" customHeight="1">
      <c r="A309" s="221"/>
      <c r="B309" s="231"/>
      <c r="C309" s="110"/>
      <c r="D309" s="122"/>
      <c r="E309" s="117"/>
      <c r="F309" s="245"/>
      <c r="G309" s="506">
        <v>44805.0</v>
      </c>
      <c r="H309" s="36">
        <f t="shared" si="1"/>
        <v>0</v>
      </c>
      <c r="I309" s="37">
        <f t="shared" si="2"/>
        <v>0</v>
      </c>
      <c r="J309" s="38">
        <f t="shared" si="3"/>
        <v>0</v>
      </c>
      <c r="K309" s="39">
        <f t="shared" si="4"/>
        <v>0</v>
      </c>
      <c r="L309" s="38">
        <f t="shared" si="5"/>
        <v>0</v>
      </c>
      <c r="M309" s="39">
        <f t="shared" si="6"/>
        <v>0</v>
      </c>
      <c r="N309" s="40"/>
      <c r="O309" s="34"/>
      <c r="P309" s="35"/>
      <c r="Q309" s="35"/>
      <c r="R309" s="35"/>
      <c r="S309" s="35"/>
      <c r="T309" s="35"/>
      <c r="U309" s="35"/>
      <c r="V309" s="35"/>
      <c r="W309" s="35"/>
      <c r="X309" s="35"/>
      <c r="Y309" s="35"/>
    </row>
    <row r="310" ht="14.25" customHeight="1">
      <c r="A310" s="221"/>
      <c r="B310" s="231"/>
      <c r="C310" s="110"/>
      <c r="D310" s="102"/>
      <c r="E310" s="117"/>
      <c r="F310" s="245"/>
      <c r="G310" s="523">
        <v>44805.0</v>
      </c>
      <c r="H310" s="36">
        <f t="shared" si="1"/>
        <v>0</v>
      </c>
      <c r="I310" s="37">
        <f t="shared" si="2"/>
        <v>0</v>
      </c>
      <c r="J310" s="38">
        <f t="shared" si="3"/>
        <v>0</v>
      </c>
      <c r="K310" s="39">
        <f t="shared" si="4"/>
        <v>0</v>
      </c>
      <c r="L310" s="38">
        <f t="shared" si="5"/>
        <v>0</v>
      </c>
      <c r="M310" s="39">
        <f t="shared" si="6"/>
        <v>0</v>
      </c>
      <c r="N310" s="40"/>
      <c r="O310" s="34"/>
      <c r="P310" s="35"/>
      <c r="Q310" s="35"/>
      <c r="R310" s="35"/>
      <c r="S310" s="35"/>
      <c r="T310" s="35"/>
      <c r="U310" s="35"/>
      <c r="V310" s="35"/>
      <c r="W310" s="35"/>
      <c r="X310" s="35"/>
      <c r="Y310" s="35"/>
    </row>
    <row r="311" ht="14.25" customHeight="1">
      <c r="A311" s="221"/>
      <c r="B311" s="231"/>
      <c r="C311" s="108"/>
      <c r="D311" s="85"/>
      <c r="E311" s="117"/>
      <c r="F311" s="245"/>
      <c r="G311" s="506">
        <v>44805.0</v>
      </c>
      <c r="H311" s="36">
        <f t="shared" si="1"/>
        <v>0</v>
      </c>
      <c r="I311" s="37">
        <f t="shared" si="2"/>
        <v>0</v>
      </c>
      <c r="J311" s="38">
        <f t="shared" si="3"/>
        <v>0</v>
      </c>
      <c r="K311" s="39">
        <f t="shared" si="4"/>
        <v>0</v>
      </c>
      <c r="L311" s="38">
        <f t="shared" si="5"/>
        <v>0</v>
      </c>
      <c r="M311" s="39">
        <f t="shared" si="6"/>
        <v>0</v>
      </c>
      <c r="N311" s="40"/>
      <c r="O311" s="34"/>
      <c r="P311" s="35"/>
      <c r="Q311" s="35"/>
      <c r="R311" s="35"/>
      <c r="S311" s="35"/>
      <c r="T311" s="35"/>
      <c r="U311" s="35"/>
      <c r="V311" s="35"/>
      <c r="W311" s="35"/>
      <c r="X311" s="35"/>
      <c r="Y311" s="35"/>
    </row>
    <row r="312" ht="14.25" customHeight="1">
      <c r="A312" s="221"/>
      <c r="B312" s="231"/>
      <c r="C312" s="108"/>
      <c r="D312" s="85"/>
      <c r="E312" s="117"/>
      <c r="F312" s="245"/>
      <c r="G312" s="523">
        <v>44805.0</v>
      </c>
      <c r="H312" s="36">
        <f t="shared" si="1"/>
        <v>0</v>
      </c>
      <c r="I312" s="37">
        <f t="shared" si="2"/>
        <v>0</v>
      </c>
      <c r="J312" s="38">
        <f t="shared" si="3"/>
        <v>0</v>
      </c>
      <c r="K312" s="39">
        <f t="shared" si="4"/>
        <v>0</v>
      </c>
      <c r="L312" s="38">
        <f t="shared" si="5"/>
        <v>0</v>
      </c>
      <c r="M312" s="39">
        <f t="shared" si="6"/>
        <v>0</v>
      </c>
      <c r="N312" s="40"/>
      <c r="O312" s="34"/>
      <c r="P312" s="35"/>
      <c r="Q312" s="35"/>
      <c r="R312" s="35"/>
      <c r="S312" s="35"/>
      <c r="T312" s="35"/>
      <c r="U312" s="35"/>
      <c r="V312" s="35"/>
      <c r="W312" s="35"/>
      <c r="X312" s="35"/>
      <c r="Y312" s="35"/>
    </row>
    <row r="313" ht="14.25" customHeight="1">
      <c r="A313" s="221"/>
      <c r="B313" s="231"/>
      <c r="C313" s="108"/>
      <c r="D313" s="85"/>
      <c r="E313" s="117"/>
      <c r="F313" s="245"/>
      <c r="G313" s="506">
        <v>44805.0</v>
      </c>
      <c r="H313" s="36">
        <f t="shared" si="1"/>
        <v>0</v>
      </c>
      <c r="I313" s="37">
        <f t="shared" si="2"/>
        <v>0</v>
      </c>
      <c r="J313" s="38">
        <f t="shared" si="3"/>
        <v>0</v>
      </c>
      <c r="K313" s="39">
        <f t="shared" si="4"/>
        <v>0</v>
      </c>
      <c r="L313" s="38">
        <f t="shared" si="5"/>
        <v>0</v>
      </c>
      <c r="M313" s="39">
        <f t="shared" si="6"/>
        <v>0</v>
      </c>
      <c r="N313" s="40"/>
      <c r="O313" s="34"/>
      <c r="P313" s="35"/>
      <c r="Q313" s="35"/>
      <c r="R313" s="35"/>
      <c r="S313" s="35"/>
      <c r="T313" s="35"/>
      <c r="U313" s="35"/>
      <c r="V313" s="35"/>
      <c r="W313" s="35"/>
      <c r="X313" s="35"/>
      <c r="Y313" s="35"/>
    </row>
    <row r="314" ht="14.25" customHeight="1">
      <c r="A314" s="221"/>
      <c r="B314" s="231"/>
      <c r="C314" s="108"/>
      <c r="D314" s="85"/>
      <c r="E314" s="117"/>
      <c r="F314" s="245"/>
      <c r="G314" s="523">
        <v>44805.0</v>
      </c>
      <c r="H314" s="36">
        <f t="shared" si="1"/>
        <v>0</v>
      </c>
      <c r="I314" s="37">
        <f t="shared" si="2"/>
        <v>0</v>
      </c>
      <c r="J314" s="38">
        <f t="shared" si="3"/>
        <v>0</v>
      </c>
      <c r="K314" s="39">
        <f t="shared" si="4"/>
        <v>0</v>
      </c>
      <c r="L314" s="38">
        <f t="shared" si="5"/>
        <v>0</v>
      </c>
      <c r="M314" s="39">
        <f t="shared" si="6"/>
        <v>0</v>
      </c>
      <c r="N314" s="40"/>
      <c r="O314" s="34"/>
      <c r="P314" s="35"/>
      <c r="Q314" s="35"/>
      <c r="R314" s="35"/>
      <c r="S314" s="35"/>
      <c r="T314" s="35"/>
      <c r="U314" s="35"/>
      <c r="V314" s="35"/>
      <c r="W314" s="35"/>
      <c r="X314" s="35"/>
      <c r="Y314" s="35"/>
    </row>
    <row r="315" ht="14.25" customHeight="1">
      <c r="A315" s="221"/>
      <c r="B315" s="231"/>
      <c r="C315" s="108"/>
      <c r="D315" s="85"/>
      <c r="E315" s="117"/>
      <c r="F315" s="245"/>
      <c r="G315" s="506">
        <v>44805.0</v>
      </c>
      <c r="H315" s="36">
        <f t="shared" si="1"/>
        <v>0</v>
      </c>
      <c r="I315" s="37">
        <f t="shared" si="2"/>
        <v>0</v>
      </c>
      <c r="J315" s="38">
        <f t="shared" si="3"/>
        <v>0</v>
      </c>
      <c r="K315" s="39">
        <f t="shared" si="4"/>
        <v>0</v>
      </c>
      <c r="L315" s="38">
        <f t="shared" si="5"/>
        <v>0</v>
      </c>
      <c r="M315" s="39">
        <f t="shared" si="6"/>
        <v>0</v>
      </c>
      <c r="N315" s="40"/>
      <c r="O315" s="34"/>
      <c r="P315" s="35"/>
      <c r="Q315" s="35"/>
      <c r="R315" s="35"/>
      <c r="S315" s="35"/>
      <c r="T315" s="35"/>
      <c r="U315" s="35"/>
      <c r="V315" s="35"/>
      <c r="W315" s="35"/>
      <c r="X315" s="35"/>
      <c r="Y315" s="35"/>
    </row>
    <row r="316" ht="14.25" customHeight="1">
      <c r="A316" s="221"/>
      <c r="B316" s="231"/>
      <c r="C316" s="108"/>
      <c r="D316" s="85"/>
      <c r="E316" s="117"/>
      <c r="F316" s="245"/>
      <c r="G316" s="523">
        <v>44805.0</v>
      </c>
      <c r="H316" s="36">
        <f t="shared" si="1"/>
        <v>0</v>
      </c>
      <c r="I316" s="37">
        <f t="shared" si="2"/>
        <v>0</v>
      </c>
      <c r="J316" s="38">
        <f t="shared" si="3"/>
        <v>0</v>
      </c>
      <c r="K316" s="39">
        <f t="shared" si="4"/>
        <v>0</v>
      </c>
      <c r="L316" s="38">
        <f t="shared" si="5"/>
        <v>0</v>
      </c>
      <c r="M316" s="39">
        <f t="shared" si="6"/>
        <v>0</v>
      </c>
      <c r="N316" s="40"/>
      <c r="O316" s="34"/>
      <c r="P316" s="35"/>
      <c r="Q316" s="35"/>
      <c r="R316" s="35"/>
      <c r="S316" s="35"/>
      <c r="T316" s="35"/>
      <c r="U316" s="35"/>
      <c r="V316" s="35"/>
      <c r="W316" s="35"/>
      <c r="X316" s="35"/>
      <c r="Y316" s="35"/>
    </row>
    <row r="317" ht="14.25" customHeight="1">
      <c r="A317" s="221"/>
      <c r="B317" s="231"/>
      <c r="C317" s="108"/>
      <c r="D317" s="85"/>
      <c r="E317" s="117"/>
      <c r="F317" s="245"/>
      <c r="G317" s="506">
        <v>44805.0</v>
      </c>
      <c r="H317" s="36">
        <f t="shared" si="1"/>
        <v>0</v>
      </c>
      <c r="I317" s="37">
        <f t="shared" si="2"/>
        <v>0</v>
      </c>
      <c r="J317" s="38">
        <f t="shared" si="3"/>
        <v>0</v>
      </c>
      <c r="K317" s="39">
        <f t="shared" si="4"/>
        <v>0</v>
      </c>
      <c r="L317" s="38">
        <f t="shared" si="5"/>
        <v>0</v>
      </c>
      <c r="M317" s="39">
        <f t="shared" si="6"/>
        <v>0</v>
      </c>
      <c r="N317" s="40"/>
      <c r="O317" s="34"/>
      <c r="P317" s="35"/>
      <c r="Q317" s="35"/>
      <c r="R317" s="35"/>
      <c r="S317" s="35"/>
      <c r="T317" s="35"/>
      <c r="U317" s="35"/>
      <c r="V317" s="35"/>
      <c r="W317" s="35"/>
      <c r="X317" s="35"/>
      <c r="Y317" s="35"/>
    </row>
    <row r="318" ht="14.25" customHeight="1">
      <c r="A318" s="221"/>
      <c r="B318" s="231"/>
      <c r="C318" s="129"/>
      <c r="D318" s="85"/>
      <c r="E318" s="117"/>
      <c r="F318" s="245"/>
      <c r="G318" s="523">
        <v>44805.0</v>
      </c>
      <c r="H318" s="36">
        <f t="shared" si="1"/>
        <v>0</v>
      </c>
      <c r="I318" s="37">
        <f t="shared" si="2"/>
        <v>0</v>
      </c>
      <c r="J318" s="38">
        <f t="shared" si="3"/>
        <v>0</v>
      </c>
      <c r="K318" s="39">
        <f t="shared" si="4"/>
        <v>0</v>
      </c>
      <c r="L318" s="38">
        <f t="shared" si="5"/>
        <v>0</v>
      </c>
      <c r="M318" s="39">
        <f t="shared" si="6"/>
        <v>0</v>
      </c>
      <c r="N318" s="40"/>
      <c r="O318" s="34"/>
      <c r="P318" s="35"/>
      <c r="Q318" s="35"/>
      <c r="R318" s="35"/>
      <c r="S318" s="35"/>
      <c r="T318" s="35"/>
      <c r="U318" s="35"/>
      <c r="V318" s="35"/>
      <c r="W318" s="35"/>
      <c r="X318" s="35"/>
      <c r="Y318" s="35"/>
    </row>
    <row r="319" ht="14.25" customHeight="1">
      <c r="A319" s="221"/>
      <c r="B319" s="231"/>
      <c r="C319" s="108"/>
      <c r="D319" s="102"/>
      <c r="E319" s="117"/>
      <c r="F319" s="245"/>
      <c r="G319" s="506">
        <v>44805.0</v>
      </c>
      <c r="H319" s="36">
        <f t="shared" si="1"/>
        <v>0</v>
      </c>
      <c r="I319" s="37">
        <f t="shared" si="2"/>
        <v>0</v>
      </c>
      <c r="J319" s="38">
        <f t="shared" si="3"/>
        <v>0</v>
      </c>
      <c r="K319" s="39">
        <f t="shared" si="4"/>
        <v>0</v>
      </c>
      <c r="L319" s="38">
        <f t="shared" si="5"/>
        <v>0</v>
      </c>
      <c r="M319" s="39">
        <f t="shared" si="6"/>
        <v>0</v>
      </c>
      <c r="N319" s="40"/>
      <c r="O319" s="34"/>
      <c r="P319" s="35"/>
      <c r="Q319" s="35"/>
      <c r="R319" s="35"/>
      <c r="S319" s="35"/>
      <c r="T319" s="35"/>
      <c r="U319" s="35"/>
      <c r="V319" s="35"/>
      <c r="W319" s="35"/>
      <c r="X319" s="35"/>
      <c r="Y319" s="35"/>
    </row>
    <row r="320" ht="14.25" customHeight="1">
      <c r="A320" s="221"/>
      <c r="B320" s="231"/>
      <c r="C320" s="108"/>
      <c r="D320" s="90"/>
      <c r="E320" s="117"/>
      <c r="F320" s="245"/>
      <c r="G320" s="523">
        <v>44805.0</v>
      </c>
      <c r="H320" s="36">
        <f t="shared" si="1"/>
        <v>0</v>
      </c>
      <c r="I320" s="37">
        <f t="shared" si="2"/>
        <v>0</v>
      </c>
      <c r="J320" s="38">
        <f t="shared" si="3"/>
        <v>0</v>
      </c>
      <c r="K320" s="39">
        <f t="shared" si="4"/>
        <v>0</v>
      </c>
      <c r="L320" s="38">
        <f t="shared" si="5"/>
        <v>0</v>
      </c>
      <c r="M320" s="39">
        <f t="shared" si="6"/>
        <v>0</v>
      </c>
      <c r="N320" s="40"/>
      <c r="O320" s="34"/>
      <c r="P320" s="35"/>
      <c r="Q320" s="35"/>
      <c r="R320" s="35"/>
      <c r="S320" s="35"/>
      <c r="T320" s="35"/>
      <c r="U320" s="35"/>
      <c r="V320" s="35"/>
      <c r="W320" s="35"/>
      <c r="X320" s="35"/>
      <c r="Y320" s="35"/>
    </row>
    <row r="321" ht="14.25" customHeight="1">
      <c r="A321" s="221"/>
      <c r="B321" s="231"/>
      <c r="C321" s="132"/>
      <c r="D321" s="42"/>
      <c r="E321" s="117"/>
      <c r="F321" s="248"/>
      <c r="G321" s="506">
        <v>44805.0</v>
      </c>
      <c r="H321" s="36">
        <f t="shared" si="1"/>
        <v>0</v>
      </c>
      <c r="I321" s="37">
        <f t="shared" si="2"/>
        <v>0</v>
      </c>
      <c r="J321" s="38">
        <f t="shared" si="3"/>
        <v>0</v>
      </c>
      <c r="K321" s="39">
        <f t="shared" si="4"/>
        <v>0</v>
      </c>
      <c r="L321" s="38">
        <f t="shared" si="5"/>
        <v>0</v>
      </c>
      <c r="M321" s="39">
        <f t="shared" si="6"/>
        <v>0</v>
      </c>
      <c r="N321" s="40"/>
      <c r="O321" s="34"/>
      <c r="P321" s="35"/>
      <c r="Q321" s="35"/>
      <c r="R321" s="35"/>
      <c r="S321" s="35"/>
      <c r="T321" s="35"/>
      <c r="U321" s="35"/>
      <c r="V321" s="35"/>
      <c r="W321" s="35"/>
      <c r="X321" s="35"/>
      <c r="Y321" s="35"/>
    </row>
    <row r="322" ht="14.25" customHeight="1">
      <c r="A322" s="221"/>
      <c r="B322" s="231"/>
      <c r="C322" s="115"/>
      <c r="D322" s="100"/>
      <c r="E322" s="117"/>
      <c r="F322" s="249"/>
      <c r="G322" s="523">
        <v>44805.0</v>
      </c>
      <c r="H322" s="36">
        <f t="shared" si="1"/>
        <v>0</v>
      </c>
      <c r="I322" s="37">
        <f t="shared" si="2"/>
        <v>0</v>
      </c>
      <c r="J322" s="38">
        <f t="shared" si="3"/>
        <v>0</v>
      </c>
      <c r="K322" s="39">
        <f t="shared" si="4"/>
        <v>0</v>
      </c>
      <c r="L322" s="38">
        <f t="shared" si="5"/>
        <v>0</v>
      </c>
      <c r="M322" s="39">
        <f t="shared" si="6"/>
        <v>0</v>
      </c>
      <c r="N322" s="40"/>
      <c r="O322" s="34"/>
      <c r="P322" s="35"/>
      <c r="Q322" s="35"/>
      <c r="R322" s="35"/>
      <c r="S322" s="35"/>
      <c r="T322" s="35"/>
      <c r="U322" s="35"/>
      <c r="V322" s="35"/>
      <c r="W322" s="35"/>
      <c r="X322" s="35"/>
      <c r="Y322" s="35"/>
    </row>
    <row r="323" ht="14.25" customHeight="1">
      <c r="A323" s="221"/>
      <c r="B323" s="231"/>
      <c r="C323" s="115"/>
      <c r="D323" s="100"/>
      <c r="E323" s="117"/>
      <c r="F323" s="249"/>
      <c r="G323" s="506">
        <v>44805.0</v>
      </c>
      <c r="H323" s="36">
        <f t="shared" si="1"/>
        <v>0</v>
      </c>
      <c r="I323" s="37">
        <f t="shared" si="2"/>
        <v>0</v>
      </c>
      <c r="J323" s="38">
        <f t="shared" si="3"/>
        <v>0</v>
      </c>
      <c r="K323" s="39">
        <f t="shared" si="4"/>
        <v>0</v>
      </c>
      <c r="L323" s="38">
        <f t="shared" si="5"/>
        <v>0</v>
      </c>
      <c r="M323" s="39">
        <f t="shared" si="6"/>
        <v>0</v>
      </c>
      <c r="N323" s="40"/>
      <c r="O323" s="34"/>
      <c r="P323" s="35"/>
      <c r="Q323" s="35"/>
      <c r="R323" s="35"/>
      <c r="S323" s="35"/>
      <c r="T323" s="35"/>
      <c r="U323" s="35"/>
      <c r="V323" s="35"/>
      <c r="W323" s="35"/>
      <c r="X323" s="35"/>
      <c r="Y323" s="35"/>
    </row>
    <row r="324" ht="14.25" customHeight="1">
      <c r="A324" s="221"/>
      <c r="B324" s="231"/>
      <c r="C324" s="115"/>
      <c r="D324" s="100"/>
      <c r="E324" s="117"/>
      <c r="F324" s="249"/>
      <c r="G324" s="523">
        <v>44805.0</v>
      </c>
      <c r="H324" s="36">
        <f t="shared" si="1"/>
        <v>0</v>
      </c>
      <c r="I324" s="37">
        <f t="shared" si="2"/>
        <v>0</v>
      </c>
      <c r="J324" s="38">
        <f t="shared" si="3"/>
        <v>0</v>
      </c>
      <c r="K324" s="39">
        <f t="shared" si="4"/>
        <v>0</v>
      </c>
      <c r="L324" s="38">
        <f t="shared" si="5"/>
        <v>0</v>
      </c>
      <c r="M324" s="39">
        <f t="shared" si="6"/>
        <v>0</v>
      </c>
      <c r="N324" s="40"/>
      <c r="O324" s="34"/>
      <c r="P324" s="35"/>
      <c r="Q324" s="35"/>
      <c r="R324" s="35"/>
      <c r="S324" s="35"/>
      <c r="T324" s="35"/>
      <c r="U324" s="35"/>
      <c r="V324" s="35"/>
      <c r="W324" s="35"/>
      <c r="X324" s="35"/>
      <c r="Y324" s="35"/>
    </row>
    <row r="325" ht="14.25" customHeight="1">
      <c r="A325" s="221"/>
      <c r="B325" s="231"/>
      <c r="C325" s="115"/>
      <c r="D325" s="100"/>
      <c r="E325" s="117"/>
      <c r="F325" s="249"/>
      <c r="G325" s="506">
        <v>44805.0</v>
      </c>
      <c r="H325" s="36">
        <f t="shared" si="1"/>
        <v>0</v>
      </c>
      <c r="I325" s="37">
        <f t="shared" si="2"/>
        <v>0</v>
      </c>
      <c r="J325" s="38">
        <f t="shared" si="3"/>
        <v>0</v>
      </c>
      <c r="K325" s="39">
        <f t="shared" si="4"/>
        <v>0</v>
      </c>
      <c r="L325" s="38">
        <f t="shared" si="5"/>
        <v>0</v>
      </c>
      <c r="M325" s="39">
        <f t="shared" si="6"/>
        <v>0</v>
      </c>
      <c r="N325" s="40"/>
      <c r="O325" s="34"/>
      <c r="P325" s="35"/>
      <c r="Q325" s="35"/>
      <c r="R325" s="35"/>
      <c r="S325" s="35"/>
      <c r="T325" s="35"/>
      <c r="U325" s="35"/>
      <c r="V325" s="35"/>
      <c r="W325" s="35"/>
      <c r="X325" s="35"/>
      <c r="Y325" s="35"/>
    </row>
    <row r="326" ht="14.25" customHeight="1">
      <c r="A326" s="221"/>
      <c r="B326" s="231"/>
      <c r="C326" s="115"/>
      <c r="D326" s="100"/>
      <c r="E326" s="117"/>
      <c r="F326" s="249"/>
      <c r="G326" s="523">
        <v>44805.0</v>
      </c>
      <c r="H326" s="36">
        <f t="shared" si="1"/>
        <v>0</v>
      </c>
      <c r="I326" s="37">
        <f t="shared" si="2"/>
        <v>0</v>
      </c>
      <c r="J326" s="38">
        <f t="shared" si="3"/>
        <v>0</v>
      </c>
      <c r="K326" s="39">
        <f t="shared" si="4"/>
        <v>0</v>
      </c>
      <c r="L326" s="38">
        <f t="shared" si="5"/>
        <v>0</v>
      </c>
      <c r="M326" s="39">
        <f t="shared" si="6"/>
        <v>0</v>
      </c>
      <c r="N326" s="40"/>
      <c r="O326" s="34"/>
      <c r="P326" s="35"/>
      <c r="Q326" s="35"/>
      <c r="R326" s="35"/>
      <c r="S326" s="35"/>
      <c r="T326" s="35"/>
      <c r="U326" s="35"/>
      <c r="V326" s="35"/>
      <c r="W326" s="35"/>
      <c r="X326" s="35"/>
      <c r="Y326" s="35"/>
    </row>
    <row r="327" ht="14.25" customHeight="1">
      <c r="A327" s="221"/>
      <c r="B327" s="231"/>
      <c r="C327" s="115"/>
      <c r="D327" s="100"/>
      <c r="E327" s="117"/>
      <c r="F327" s="249"/>
      <c r="G327" s="506">
        <v>44805.0</v>
      </c>
      <c r="H327" s="36">
        <f t="shared" si="1"/>
        <v>0</v>
      </c>
      <c r="I327" s="37">
        <f t="shared" si="2"/>
        <v>0</v>
      </c>
      <c r="J327" s="38">
        <f t="shared" si="3"/>
        <v>0</v>
      </c>
      <c r="K327" s="39">
        <f t="shared" si="4"/>
        <v>0</v>
      </c>
      <c r="L327" s="38">
        <f t="shared" si="5"/>
        <v>0</v>
      </c>
      <c r="M327" s="39">
        <f t="shared" si="6"/>
        <v>0</v>
      </c>
      <c r="N327" s="40"/>
      <c r="O327" s="34"/>
      <c r="P327" s="35"/>
      <c r="Q327" s="35"/>
      <c r="R327" s="35"/>
      <c r="S327" s="35"/>
      <c r="T327" s="35"/>
      <c r="U327" s="35"/>
      <c r="V327" s="35"/>
      <c r="W327" s="35"/>
      <c r="X327" s="35"/>
      <c r="Y327" s="35"/>
    </row>
    <row r="328" ht="14.25" customHeight="1">
      <c r="A328" s="221"/>
      <c r="B328" s="231"/>
      <c r="C328" s="115"/>
      <c r="D328" s="100"/>
      <c r="E328" s="117"/>
      <c r="F328" s="238"/>
      <c r="G328" s="523">
        <v>44805.0</v>
      </c>
      <c r="H328" s="36">
        <f t="shared" si="1"/>
        <v>0</v>
      </c>
      <c r="I328" s="37">
        <f t="shared" si="2"/>
        <v>0</v>
      </c>
      <c r="J328" s="38">
        <f t="shared" si="3"/>
        <v>0</v>
      </c>
      <c r="K328" s="39">
        <f t="shared" si="4"/>
        <v>0</v>
      </c>
      <c r="L328" s="38">
        <f t="shared" si="5"/>
        <v>0</v>
      </c>
      <c r="M328" s="39">
        <f t="shared" si="6"/>
        <v>0</v>
      </c>
      <c r="N328" s="40"/>
      <c r="O328" s="34"/>
      <c r="P328" s="35"/>
      <c r="Q328" s="35"/>
      <c r="R328" s="35"/>
      <c r="S328" s="35"/>
      <c r="T328" s="35"/>
      <c r="U328" s="35"/>
      <c r="V328" s="35"/>
      <c r="W328" s="35"/>
      <c r="X328" s="35"/>
      <c r="Y328" s="35"/>
    </row>
    <row r="329" ht="14.25" customHeight="1">
      <c r="A329" s="221"/>
      <c r="B329" s="231"/>
      <c r="C329" s="108"/>
      <c r="D329" s="85"/>
      <c r="E329" s="117"/>
      <c r="F329" s="242"/>
      <c r="G329" s="506">
        <v>44805.0</v>
      </c>
      <c r="H329" s="36">
        <f t="shared" si="1"/>
        <v>0</v>
      </c>
      <c r="I329" s="37">
        <f t="shared" si="2"/>
        <v>0</v>
      </c>
      <c r="J329" s="38">
        <f t="shared" si="3"/>
        <v>0</v>
      </c>
      <c r="K329" s="39">
        <f t="shared" si="4"/>
        <v>0</v>
      </c>
      <c r="L329" s="38">
        <f t="shared" si="5"/>
        <v>0</v>
      </c>
      <c r="M329" s="39">
        <f t="shared" si="6"/>
        <v>0</v>
      </c>
      <c r="N329" s="40"/>
      <c r="O329" s="34"/>
      <c r="P329" s="35"/>
      <c r="Q329" s="35"/>
      <c r="R329" s="35"/>
      <c r="S329" s="35"/>
      <c r="T329" s="35"/>
      <c r="U329" s="35"/>
      <c r="V329" s="35"/>
      <c r="W329" s="35"/>
      <c r="X329" s="35"/>
      <c r="Y329" s="35"/>
    </row>
    <row r="330" ht="14.25" customHeight="1">
      <c r="A330" s="83"/>
      <c r="B330" s="84"/>
      <c r="C330" s="108"/>
      <c r="D330" s="102"/>
      <c r="E330" s="117"/>
      <c r="F330" s="250"/>
      <c r="G330" s="523"/>
      <c r="H330" s="36"/>
      <c r="I330" s="37"/>
      <c r="J330" s="38"/>
      <c r="K330" s="39"/>
      <c r="L330" s="38"/>
      <c r="M330" s="39"/>
      <c r="N330" s="40"/>
      <c r="O330" s="34"/>
      <c r="P330" s="35"/>
      <c r="Q330" s="35"/>
      <c r="R330" s="35"/>
      <c r="S330" s="35"/>
      <c r="T330" s="35"/>
      <c r="U330" s="35"/>
      <c r="V330" s="35"/>
      <c r="W330" s="35"/>
      <c r="X330" s="35"/>
      <c r="Y330" s="35"/>
    </row>
    <row r="331" ht="14.25" customHeight="1">
      <c r="A331" s="83"/>
      <c r="B331" s="84"/>
      <c r="C331" s="108"/>
      <c r="D331" s="102"/>
      <c r="E331" s="117"/>
      <c r="F331" s="250"/>
      <c r="G331" s="523"/>
      <c r="H331" s="36"/>
      <c r="I331" s="37"/>
      <c r="J331" s="38"/>
      <c r="K331" s="39"/>
      <c r="L331" s="38"/>
      <c r="M331" s="39"/>
      <c r="N331" s="40"/>
      <c r="O331" s="34"/>
      <c r="P331" s="35"/>
      <c r="Q331" s="35"/>
      <c r="R331" s="35"/>
      <c r="S331" s="35"/>
      <c r="T331" s="35"/>
      <c r="U331" s="35"/>
      <c r="V331" s="35"/>
      <c r="W331" s="35"/>
      <c r="X331" s="35"/>
      <c r="Y331" s="35"/>
    </row>
    <row r="332" ht="14.25" customHeight="1">
      <c r="A332" s="83"/>
      <c r="B332" s="84"/>
      <c r="C332" s="108"/>
      <c r="D332" s="102"/>
      <c r="E332" s="117"/>
      <c r="F332" s="250"/>
      <c r="G332" s="523"/>
      <c r="H332" s="36"/>
      <c r="I332" s="37"/>
      <c r="J332" s="38"/>
      <c r="K332" s="39"/>
      <c r="L332" s="38"/>
      <c r="M332" s="39"/>
      <c r="N332" s="40"/>
      <c r="O332" s="34"/>
      <c r="P332" s="35"/>
      <c r="Q332" s="35"/>
      <c r="R332" s="35"/>
      <c r="S332" s="35"/>
      <c r="T332" s="35"/>
      <c r="U332" s="35"/>
      <c r="V332" s="35"/>
      <c r="W332" s="35"/>
      <c r="X332" s="35"/>
      <c r="Y332" s="35"/>
    </row>
    <row r="333" ht="14.25" customHeight="1">
      <c r="A333" s="83"/>
      <c r="B333" s="84"/>
      <c r="C333" s="108"/>
      <c r="D333" s="102"/>
      <c r="E333" s="117"/>
      <c r="F333" s="250"/>
      <c r="G333" s="523"/>
      <c r="H333" s="36"/>
      <c r="I333" s="37"/>
      <c r="J333" s="38"/>
      <c r="K333" s="39"/>
      <c r="L333" s="38"/>
      <c r="M333" s="39"/>
      <c r="N333" s="40"/>
      <c r="O333" s="34"/>
      <c r="P333" s="35"/>
      <c r="Q333" s="35"/>
      <c r="R333" s="35"/>
      <c r="S333" s="35"/>
      <c r="T333" s="35"/>
      <c r="U333" s="35"/>
      <c r="V333" s="35"/>
      <c r="W333" s="35"/>
      <c r="X333" s="35"/>
      <c r="Y333" s="35"/>
    </row>
    <row r="334" ht="14.25" customHeight="1">
      <c r="A334" s="83"/>
      <c r="B334" s="84"/>
      <c r="C334" s="108"/>
      <c r="D334" s="102"/>
      <c r="E334" s="117"/>
      <c r="F334" s="250"/>
      <c r="G334" s="523"/>
      <c r="H334" s="36"/>
      <c r="I334" s="37"/>
      <c r="J334" s="38"/>
      <c r="K334" s="39"/>
      <c r="L334" s="38"/>
      <c r="M334" s="39"/>
      <c r="N334" s="40"/>
      <c r="O334" s="34"/>
      <c r="P334" s="35"/>
      <c r="Q334" s="35"/>
      <c r="R334" s="35"/>
      <c r="S334" s="35"/>
      <c r="T334" s="35"/>
      <c r="U334" s="35"/>
      <c r="V334" s="35"/>
      <c r="W334" s="35"/>
      <c r="X334" s="35"/>
      <c r="Y334" s="35"/>
    </row>
    <row r="335" ht="14.25" customHeight="1">
      <c r="A335" s="83"/>
      <c r="B335" s="84"/>
      <c r="C335" s="108"/>
      <c r="D335" s="102"/>
      <c r="E335" s="117"/>
      <c r="F335" s="250"/>
      <c r="G335" s="523"/>
      <c r="H335" s="36"/>
      <c r="I335" s="37"/>
      <c r="J335" s="38"/>
      <c r="K335" s="39"/>
      <c r="L335" s="38"/>
      <c r="M335" s="39"/>
      <c r="N335" s="40"/>
      <c r="O335" s="34"/>
      <c r="P335" s="35"/>
      <c r="Q335" s="35"/>
      <c r="R335" s="35"/>
      <c r="S335" s="35"/>
      <c r="T335" s="35"/>
      <c r="U335" s="35"/>
      <c r="V335" s="35"/>
      <c r="W335" s="35"/>
      <c r="X335" s="35"/>
      <c r="Y335" s="35"/>
    </row>
    <row r="336" ht="14.25" customHeight="1">
      <c r="A336" s="83"/>
      <c r="B336" s="84"/>
      <c r="C336" s="108"/>
      <c r="D336" s="102"/>
      <c r="E336" s="117"/>
      <c r="F336" s="250"/>
      <c r="G336" s="523"/>
      <c r="H336" s="36"/>
      <c r="I336" s="37"/>
      <c r="J336" s="38"/>
      <c r="K336" s="39"/>
      <c r="L336" s="38"/>
      <c r="M336" s="39"/>
      <c r="N336" s="40"/>
      <c r="O336" s="34"/>
      <c r="P336" s="35"/>
      <c r="Q336" s="35"/>
      <c r="R336" s="35"/>
      <c r="S336" s="35"/>
      <c r="T336" s="35"/>
      <c r="U336" s="35"/>
      <c r="V336" s="35"/>
      <c r="W336" s="35"/>
      <c r="X336" s="35"/>
      <c r="Y336" s="35"/>
    </row>
    <row r="337" ht="14.25" customHeight="1">
      <c r="A337" s="83"/>
      <c r="B337" s="84"/>
      <c r="C337" s="108"/>
      <c r="D337" s="102"/>
      <c r="E337" s="117"/>
      <c r="F337" s="250"/>
      <c r="G337" s="523"/>
      <c r="H337" s="36"/>
      <c r="I337" s="37"/>
      <c r="J337" s="38"/>
      <c r="K337" s="39"/>
      <c r="L337" s="38"/>
      <c r="M337" s="39"/>
      <c r="N337" s="40"/>
      <c r="O337" s="34"/>
      <c r="P337" s="35"/>
      <c r="Q337" s="35"/>
      <c r="R337" s="35"/>
      <c r="S337" s="35"/>
      <c r="T337" s="35"/>
      <c r="U337" s="35"/>
      <c r="V337" s="35"/>
      <c r="W337" s="35"/>
      <c r="X337" s="35"/>
      <c r="Y337" s="35"/>
    </row>
    <row r="338" ht="14.25" customHeight="1">
      <c r="A338" s="83"/>
      <c r="B338" s="84"/>
      <c r="C338" s="108"/>
      <c r="D338" s="102"/>
      <c r="E338" s="117"/>
      <c r="F338" s="250"/>
      <c r="G338" s="523"/>
      <c r="H338" s="36"/>
      <c r="I338" s="37"/>
      <c r="J338" s="38"/>
      <c r="K338" s="39"/>
      <c r="L338" s="38"/>
      <c r="M338" s="39"/>
      <c r="N338" s="40"/>
      <c r="O338" s="34"/>
      <c r="P338" s="35"/>
      <c r="Q338" s="35"/>
      <c r="R338" s="35"/>
      <c r="S338" s="35"/>
      <c r="T338" s="35"/>
      <c r="U338" s="35"/>
      <c r="V338" s="35"/>
      <c r="W338" s="35"/>
      <c r="X338" s="35"/>
      <c r="Y338" s="35"/>
    </row>
    <row r="339" ht="14.25" customHeight="1">
      <c r="A339" s="83"/>
      <c r="B339" s="84"/>
      <c r="C339" s="108"/>
      <c r="D339" s="102"/>
      <c r="E339" s="117"/>
      <c r="F339" s="250"/>
      <c r="G339" s="523"/>
      <c r="H339" s="36"/>
      <c r="I339" s="37"/>
      <c r="J339" s="38"/>
      <c r="K339" s="39"/>
      <c r="L339" s="38"/>
      <c r="M339" s="39"/>
      <c r="N339" s="40"/>
      <c r="O339" s="34"/>
      <c r="P339" s="35"/>
      <c r="Q339" s="35"/>
      <c r="R339" s="35"/>
      <c r="S339" s="35"/>
      <c r="T339" s="35"/>
      <c r="U339" s="35"/>
      <c r="V339" s="35"/>
      <c r="W339" s="35"/>
      <c r="X339" s="35"/>
      <c r="Y339" s="35"/>
    </row>
    <row r="340" ht="14.25" customHeight="1">
      <c r="A340" s="83"/>
      <c r="B340" s="84"/>
      <c r="C340" s="108"/>
      <c r="D340" s="102"/>
      <c r="E340" s="117"/>
      <c r="F340" s="250"/>
      <c r="G340" s="523"/>
      <c r="H340" s="36"/>
      <c r="I340" s="37"/>
      <c r="J340" s="38"/>
      <c r="K340" s="39"/>
      <c r="L340" s="38"/>
      <c r="M340" s="39"/>
      <c r="N340" s="40"/>
      <c r="O340" s="34"/>
      <c r="P340" s="35"/>
      <c r="Q340" s="35"/>
      <c r="R340" s="35"/>
      <c r="S340" s="35"/>
      <c r="T340" s="35"/>
      <c r="U340" s="35"/>
      <c r="V340" s="35"/>
      <c r="W340" s="35"/>
      <c r="X340" s="35"/>
      <c r="Y340" s="35"/>
    </row>
    <row r="341" ht="14.25" customHeight="1">
      <c r="A341" s="83"/>
      <c r="B341" s="84"/>
      <c r="C341" s="108"/>
      <c r="D341" s="102"/>
      <c r="E341" s="117"/>
      <c r="F341" s="250"/>
      <c r="G341" s="523"/>
      <c r="H341" s="36"/>
      <c r="I341" s="37"/>
      <c r="J341" s="38"/>
      <c r="K341" s="39"/>
      <c r="L341" s="38"/>
      <c r="M341" s="39"/>
      <c r="N341" s="40"/>
      <c r="O341" s="34"/>
      <c r="P341" s="35"/>
      <c r="Q341" s="35"/>
      <c r="R341" s="35"/>
      <c r="S341" s="35"/>
      <c r="T341" s="35"/>
      <c r="U341" s="35"/>
      <c r="V341" s="35"/>
      <c r="W341" s="35"/>
      <c r="X341" s="35"/>
      <c r="Y341" s="35"/>
    </row>
    <row r="342" ht="14.25" customHeight="1">
      <c r="A342" s="83"/>
      <c r="B342" s="84"/>
      <c r="C342" s="108"/>
      <c r="D342" s="102"/>
      <c r="E342" s="117"/>
      <c r="F342" s="250"/>
      <c r="G342" s="523"/>
      <c r="H342" s="36"/>
      <c r="I342" s="37"/>
      <c r="J342" s="38"/>
      <c r="K342" s="39"/>
      <c r="L342" s="38"/>
      <c r="M342" s="39"/>
      <c r="N342" s="40"/>
      <c r="O342" s="34"/>
      <c r="P342" s="35"/>
      <c r="Q342" s="35"/>
      <c r="R342" s="35"/>
      <c r="S342" s="35"/>
      <c r="T342" s="35"/>
      <c r="U342" s="35"/>
      <c r="V342" s="35"/>
      <c r="W342" s="35"/>
      <c r="X342" s="35"/>
      <c r="Y342" s="35"/>
    </row>
    <row r="343" ht="14.25" customHeight="1">
      <c r="A343" s="83"/>
      <c r="B343" s="84"/>
      <c r="C343" s="108"/>
      <c r="D343" s="102"/>
      <c r="E343" s="117"/>
      <c r="F343" s="250"/>
      <c r="G343" s="523"/>
      <c r="H343" s="36"/>
      <c r="I343" s="37"/>
      <c r="J343" s="38"/>
      <c r="K343" s="39"/>
      <c r="L343" s="38"/>
      <c r="M343" s="39"/>
      <c r="N343" s="40"/>
      <c r="O343" s="34"/>
      <c r="P343" s="35"/>
      <c r="Q343" s="35"/>
      <c r="R343" s="35"/>
      <c r="S343" s="35"/>
      <c r="T343" s="35"/>
      <c r="U343" s="35"/>
      <c r="V343" s="35"/>
      <c r="W343" s="35"/>
      <c r="X343" s="35"/>
      <c r="Y343" s="35"/>
    </row>
    <row r="344" ht="14.25" customHeight="1">
      <c r="A344" s="83"/>
      <c r="B344" s="84"/>
      <c r="C344" s="108"/>
      <c r="D344" s="102"/>
      <c r="E344" s="117"/>
      <c r="F344" s="250"/>
      <c r="G344" s="523"/>
      <c r="H344" s="36"/>
      <c r="I344" s="37"/>
      <c r="J344" s="38"/>
      <c r="K344" s="39"/>
      <c r="L344" s="38"/>
      <c r="M344" s="39"/>
      <c r="N344" s="40"/>
      <c r="O344" s="34"/>
      <c r="P344" s="35"/>
      <c r="Q344" s="35"/>
      <c r="R344" s="35"/>
      <c r="S344" s="35"/>
      <c r="T344" s="35"/>
      <c r="U344" s="35"/>
      <c r="V344" s="35"/>
      <c r="W344" s="35"/>
      <c r="X344" s="35"/>
      <c r="Y344" s="35"/>
    </row>
    <row r="345" ht="14.25" customHeight="1">
      <c r="A345" s="83"/>
      <c r="B345" s="84"/>
      <c r="C345" s="108"/>
      <c r="D345" s="102"/>
      <c r="E345" s="117"/>
      <c r="F345" s="250"/>
      <c r="G345" s="523"/>
      <c r="H345" s="36"/>
      <c r="I345" s="37"/>
      <c r="J345" s="38"/>
      <c r="K345" s="39"/>
      <c r="L345" s="38"/>
      <c r="M345" s="39"/>
      <c r="N345" s="40"/>
      <c r="O345" s="34"/>
      <c r="P345" s="35"/>
      <c r="Q345" s="35"/>
      <c r="R345" s="35"/>
      <c r="S345" s="35"/>
      <c r="T345" s="35"/>
      <c r="U345" s="35"/>
      <c r="V345" s="35"/>
      <c r="W345" s="35"/>
      <c r="X345" s="35"/>
      <c r="Y345" s="35"/>
    </row>
    <row r="346" ht="14.25" customHeight="1">
      <c r="A346" s="83"/>
      <c r="B346" s="84"/>
      <c r="C346" s="108"/>
      <c r="D346" s="102"/>
      <c r="E346" s="117"/>
      <c r="F346" s="250"/>
      <c r="G346" s="523"/>
      <c r="H346" s="36"/>
      <c r="I346" s="37"/>
      <c r="J346" s="38"/>
      <c r="K346" s="39"/>
      <c r="L346" s="38"/>
      <c r="M346" s="39"/>
      <c r="N346" s="40"/>
      <c r="O346" s="34"/>
      <c r="P346" s="35"/>
      <c r="Q346" s="35"/>
      <c r="R346" s="35"/>
      <c r="S346" s="35"/>
      <c r="T346" s="35"/>
      <c r="U346" s="35"/>
      <c r="V346" s="35"/>
      <c r="W346" s="35"/>
      <c r="X346" s="35"/>
      <c r="Y346" s="35"/>
    </row>
    <row r="347" ht="14.25" customHeight="1">
      <c r="A347" s="83"/>
      <c r="B347" s="84"/>
      <c r="C347" s="108"/>
      <c r="D347" s="102"/>
      <c r="E347" s="117"/>
      <c r="F347" s="250"/>
      <c r="G347" s="523"/>
      <c r="H347" s="36"/>
      <c r="I347" s="37"/>
      <c r="J347" s="38"/>
      <c r="K347" s="39"/>
      <c r="L347" s="38"/>
      <c r="M347" s="39"/>
      <c r="N347" s="40"/>
      <c r="O347" s="34"/>
      <c r="P347" s="35"/>
      <c r="Q347" s="35"/>
      <c r="R347" s="35"/>
      <c r="S347" s="35"/>
      <c r="T347" s="35"/>
      <c r="U347" s="35"/>
      <c r="V347" s="35"/>
      <c r="W347" s="35"/>
      <c r="X347" s="35"/>
      <c r="Y347" s="35"/>
    </row>
    <row r="348" ht="14.25" customHeight="1">
      <c r="A348" s="83"/>
      <c r="B348" s="84"/>
      <c r="C348" s="108"/>
      <c r="D348" s="102"/>
      <c r="E348" s="117"/>
      <c r="F348" s="250"/>
      <c r="G348" s="523"/>
      <c r="H348" s="36"/>
      <c r="I348" s="37"/>
      <c r="J348" s="38"/>
      <c r="K348" s="39"/>
      <c r="L348" s="38"/>
      <c r="M348" s="39"/>
      <c r="N348" s="40"/>
      <c r="O348" s="34"/>
      <c r="P348" s="35"/>
      <c r="Q348" s="35"/>
      <c r="R348" s="35"/>
      <c r="S348" s="35"/>
      <c r="T348" s="35"/>
      <c r="U348" s="35"/>
      <c r="V348" s="35"/>
      <c r="W348" s="35"/>
      <c r="X348" s="35"/>
      <c r="Y348" s="35"/>
    </row>
    <row r="349" ht="14.25" customHeight="1">
      <c r="A349" s="83"/>
      <c r="B349" s="84"/>
      <c r="C349" s="108"/>
      <c r="D349" s="102"/>
      <c r="E349" s="117"/>
      <c r="F349" s="250"/>
      <c r="G349" s="523"/>
      <c r="H349" s="36"/>
      <c r="I349" s="37"/>
      <c r="J349" s="38"/>
      <c r="K349" s="39"/>
      <c r="L349" s="38"/>
      <c r="M349" s="39"/>
      <c r="N349" s="40"/>
      <c r="O349" s="34"/>
      <c r="P349" s="35"/>
      <c r="Q349" s="35"/>
      <c r="R349" s="35"/>
      <c r="S349" s="35"/>
      <c r="T349" s="35"/>
      <c r="U349" s="35"/>
      <c r="V349" s="35"/>
      <c r="W349" s="35"/>
      <c r="X349" s="35"/>
      <c r="Y349" s="35"/>
    </row>
    <row r="350" ht="14.25" customHeight="1">
      <c r="A350" s="83"/>
      <c r="B350" s="84"/>
      <c r="C350" s="108"/>
      <c r="D350" s="102"/>
      <c r="E350" s="117"/>
      <c r="F350" s="250"/>
      <c r="G350" s="523"/>
      <c r="H350" s="36"/>
      <c r="I350" s="37"/>
      <c r="J350" s="38"/>
      <c r="K350" s="39"/>
      <c r="L350" s="38"/>
      <c r="M350" s="39"/>
      <c r="N350" s="40"/>
      <c r="O350" s="34"/>
      <c r="P350" s="35"/>
      <c r="Q350" s="35"/>
      <c r="R350" s="35"/>
      <c r="S350" s="35"/>
      <c r="T350" s="35"/>
      <c r="U350" s="35"/>
      <c r="V350" s="35"/>
      <c r="W350" s="35"/>
      <c r="X350" s="35"/>
      <c r="Y350" s="35"/>
    </row>
    <row r="351" ht="14.25" customHeight="1">
      <c r="A351" s="83"/>
      <c r="B351" s="84"/>
      <c r="C351" s="108"/>
      <c r="D351" s="102"/>
      <c r="E351" s="117"/>
      <c r="F351" s="250"/>
      <c r="G351" s="523"/>
      <c r="H351" s="36"/>
      <c r="I351" s="37"/>
      <c r="J351" s="38"/>
      <c r="K351" s="39"/>
      <c r="L351" s="38"/>
      <c r="M351" s="39"/>
      <c r="N351" s="40"/>
      <c r="O351" s="34"/>
      <c r="P351" s="35"/>
      <c r="Q351" s="35"/>
      <c r="R351" s="35"/>
      <c r="S351" s="35"/>
      <c r="T351" s="35"/>
      <c r="U351" s="35"/>
      <c r="V351" s="35"/>
      <c r="W351" s="35"/>
      <c r="X351" s="35"/>
      <c r="Y351" s="35"/>
    </row>
    <row r="352" ht="14.25" customHeight="1">
      <c r="A352" s="83"/>
      <c r="B352" s="84"/>
      <c r="C352" s="108"/>
      <c r="D352" s="102"/>
      <c r="E352" s="117"/>
      <c r="F352" s="250"/>
      <c r="G352" s="523"/>
      <c r="H352" s="36"/>
      <c r="I352" s="37"/>
      <c r="J352" s="38"/>
      <c r="K352" s="39"/>
      <c r="L352" s="38"/>
      <c r="M352" s="39"/>
      <c r="N352" s="40"/>
      <c r="O352" s="34"/>
      <c r="P352" s="35"/>
      <c r="Q352" s="35"/>
      <c r="R352" s="35"/>
      <c r="S352" s="35"/>
      <c r="T352" s="35"/>
      <c r="U352" s="35"/>
      <c r="V352" s="35"/>
      <c r="W352" s="35"/>
      <c r="X352" s="35"/>
      <c r="Y352" s="35"/>
    </row>
    <row r="353" ht="14.25" customHeight="1">
      <c r="A353" s="83"/>
      <c r="B353" s="84"/>
      <c r="C353" s="108"/>
      <c r="D353" s="102"/>
      <c r="E353" s="117"/>
      <c r="F353" s="250"/>
      <c r="G353" s="523"/>
      <c r="H353" s="36"/>
      <c r="I353" s="37"/>
      <c r="J353" s="38"/>
      <c r="K353" s="39"/>
      <c r="L353" s="38"/>
      <c r="M353" s="39"/>
      <c r="N353" s="40"/>
      <c r="O353" s="34"/>
      <c r="P353" s="35"/>
      <c r="Q353" s="35"/>
      <c r="R353" s="35"/>
      <c r="S353" s="35"/>
      <c r="T353" s="35"/>
      <c r="U353" s="35"/>
      <c r="V353" s="35"/>
      <c r="W353" s="35"/>
      <c r="X353" s="35"/>
      <c r="Y353" s="35"/>
    </row>
    <row r="354" ht="14.25" customHeight="1">
      <c r="A354" s="83"/>
      <c r="B354" s="84"/>
      <c r="C354" s="108"/>
      <c r="D354" s="102"/>
      <c r="E354" s="117"/>
      <c r="F354" s="250"/>
      <c r="G354" s="523"/>
      <c r="H354" s="36"/>
      <c r="I354" s="37"/>
      <c r="J354" s="38"/>
      <c r="K354" s="39"/>
      <c r="L354" s="38"/>
      <c r="M354" s="39"/>
      <c r="N354" s="40"/>
      <c r="O354" s="34"/>
      <c r="P354" s="35"/>
      <c r="Q354" s="35"/>
      <c r="R354" s="35"/>
      <c r="S354" s="35"/>
      <c r="T354" s="35"/>
      <c r="U354" s="35"/>
      <c r="V354" s="35"/>
      <c r="W354" s="35"/>
      <c r="X354" s="35"/>
      <c r="Y354" s="35"/>
    </row>
    <row r="355" ht="14.25" customHeight="1">
      <c r="A355" s="83"/>
      <c r="B355" s="84"/>
      <c r="C355" s="108"/>
      <c r="D355" s="102"/>
      <c r="E355" s="117"/>
      <c r="F355" s="250"/>
      <c r="G355" s="523"/>
      <c r="H355" s="36"/>
      <c r="I355" s="37"/>
      <c r="J355" s="38"/>
      <c r="K355" s="39"/>
      <c r="L355" s="38"/>
      <c r="M355" s="39"/>
      <c r="N355" s="40"/>
      <c r="O355" s="34"/>
      <c r="P355" s="35"/>
      <c r="Q355" s="35"/>
      <c r="R355" s="35"/>
      <c r="S355" s="35"/>
      <c r="T355" s="35"/>
      <c r="U355" s="35"/>
      <c r="V355" s="35"/>
      <c r="W355" s="35"/>
      <c r="X355" s="35"/>
      <c r="Y355" s="35"/>
    </row>
    <row r="356" ht="14.25" customHeight="1">
      <c r="A356" s="83"/>
      <c r="B356" s="84"/>
      <c r="C356" s="108"/>
      <c r="D356" s="102"/>
      <c r="E356" s="117"/>
      <c r="F356" s="250"/>
      <c r="G356" s="523"/>
      <c r="H356" s="36"/>
      <c r="I356" s="37"/>
      <c r="J356" s="38"/>
      <c r="K356" s="39"/>
      <c r="L356" s="38"/>
      <c r="M356" s="39"/>
      <c r="N356" s="40"/>
      <c r="O356" s="34"/>
      <c r="P356" s="35"/>
      <c r="Q356" s="35"/>
      <c r="R356" s="35"/>
      <c r="S356" s="35"/>
      <c r="T356" s="35"/>
      <c r="U356" s="35"/>
      <c r="V356" s="35"/>
      <c r="W356" s="35"/>
      <c r="X356" s="35"/>
      <c r="Y356" s="35"/>
    </row>
    <row r="357" ht="14.25" customHeight="1">
      <c r="A357" s="83"/>
      <c r="B357" s="84"/>
      <c r="C357" s="108"/>
      <c r="D357" s="102"/>
      <c r="E357" s="117"/>
      <c r="F357" s="250"/>
      <c r="G357" s="523"/>
      <c r="H357" s="36"/>
      <c r="I357" s="37"/>
      <c r="J357" s="38"/>
      <c r="K357" s="39"/>
      <c r="L357" s="38"/>
      <c r="M357" s="39"/>
      <c r="N357" s="40"/>
      <c r="O357" s="34"/>
      <c r="P357" s="35"/>
      <c r="Q357" s="35"/>
      <c r="R357" s="35"/>
      <c r="S357" s="35"/>
      <c r="T357" s="35"/>
      <c r="U357" s="35"/>
      <c r="V357" s="35"/>
      <c r="W357" s="35"/>
      <c r="X357" s="35"/>
      <c r="Y357" s="35"/>
    </row>
    <row r="358" ht="14.25" customHeight="1">
      <c r="A358" s="83"/>
      <c r="B358" s="84"/>
      <c r="C358" s="108"/>
      <c r="D358" s="102"/>
      <c r="E358" s="117"/>
      <c r="F358" s="250"/>
      <c r="G358" s="523"/>
      <c r="H358" s="36"/>
      <c r="I358" s="37"/>
      <c r="J358" s="38"/>
      <c r="K358" s="39"/>
      <c r="L358" s="38"/>
      <c r="M358" s="39"/>
      <c r="N358" s="40"/>
      <c r="O358" s="34"/>
      <c r="P358" s="35"/>
      <c r="Q358" s="35"/>
      <c r="R358" s="35"/>
      <c r="S358" s="35"/>
      <c r="T358" s="35"/>
      <c r="U358" s="35"/>
      <c r="V358" s="35"/>
      <c r="W358" s="35"/>
      <c r="X358" s="35"/>
      <c r="Y358" s="35"/>
    </row>
    <row r="359" ht="14.25" customHeight="1">
      <c r="A359" s="83"/>
      <c r="B359" s="84"/>
      <c r="C359" s="108"/>
      <c r="D359" s="102"/>
      <c r="E359" s="117"/>
      <c r="F359" s="250"/>
      <c r="G359" s="523"/>
      <c r="H359" s="36"/>
      <c r="I359" s="37"/>
      <c r="J359" s="38"/>
      <c r="K359" s="39"/>
      <c r="L359" s="38"/>
      <c r="M359" s="39"/>
      <c r="N359" s="40"/>
      <c r="O359" s="34"/>
      <c r="P359" s="35"/>
      <c r="Q359" s="35"/>
      <c r="R359" s="35"/>
      <c r="S359" s="35"/>
      <c r="T359" s="35"/>
      <c r="U359" s="35"/>
      <c r="V359" s="35"/>
      <c r="W359" s="35"/>
      <c r="X359" s="35"/>
      <c r="Y359" s="35"/>
    </row>
    <row r="360" ht="14.25" customHeight="1">
      <c r="A360" s="83"/>
      <c r="B360" s="84"/>
      <c r="C360" s="108"/>
      <c r="D360" s="102"/>
      <c r="E360" s="117"/>
      <c r="F360" s="250"/>
      <c r="G360" s="523"/>
      <c r="H360" s="36"/>
      <c r="I360" s="37"/>
      <c r="J360" s="38"/>
      <c r="K360" s="39"/>
      <c r="L360" s="38"/>
      <c r="M360" s="39"/>
      <c r="N360" s="40"/>
      <c r="O360" s="34"/>
      <c r="P360" s="35"/>
      <c r="Q360" s="35"/>
      <c r="R360" s="35"/>
      <c r="S360" s="35"/>
      <c r="T360" s="35"/>
      <c r="U360" s="35"/>
      <c r="V360" s="35"/>
      <c r="W360" s="35"/>
      <c r="X360" s="35"/>
      <c r="Y360" s="35"/>
    </row>
    <row r="361" ht="14.25" customHeight="1">
      <c r="A361" s="83"/>
      <c r="B361" s="84"/>
      <c r="C361" s="108"/>
      <c r="D361" s="102"/>
      <c r="E361" s="117"/>
      <c r="F361" s="250"/>
      <c r="G361" s="523"/>
      <c r="H361" s="36"/>
      <c r="I361" s="37"/>
      <c r="J361" s="38"/>
      <c r="K361" s="39"/>
      <c r="L361" s="38"/>
      <c r="M361" s="39"/>
      <c r="N361" s="40"/>
      <c r="O361" s="34"/>
      <c r="P361" s="35"/>
      <c r="Q361" s="35"/>
      <c r="R361" s="35"/>
      <c r="S361" s="35"/>
      <c r="T361" s="35"/>
      <c r="U361" s="35"/>
      <c r="V361" s="35"/>
      <c r="W361" s="35"/>
      <c r="X361" s="35"/>
      <c r="Y361" s="35"/>
    </row>
    <row r="362" ht="14.25" customHeight="1">
      <c r="A362" s="83"/>
      <c r="B362" s="84"/>
      <c r="C362" s="108"/>
      <c r="D362" s="102"/>
      <c r="E362" s="117"/>
      <c r="F362" s="250"/>
      <c r="G362" s="523"/>
      <c r="H362" s="36"/>
      <c r="I362" s="37"/>
      <c r="J362" s="38"/>
      <c r="K362" s="39"/>
      <c r="L362" s="38"/>
      <c r="M362" s="39"/>
      <c r="N362" s="40"/>
      <c r="O362" s="34"/>
      <c r="P362" s="35"/>
      <c r="Q362" s="35"/>
      <c r="R362" s="35"/>
      <c r="S362" s="35"/>
      <c r="T362" s="35"/>
      <c r="U362" s="35"/>
      <c r="V362" s="35"/>
      <c r="W362" s="35"/>
      <c r="X362" s="35"/>
      <c r="Y362" s="35"/>
    </row>
    <row r="363" ht="14.25" customHeight="1">
      <c r="A363" s="83"/>
      <c r="B363" s="84"/>
      <c r="C363" s="108"/>
      <c r="D363" s="102"/>
      <c r="E363" s="117"/>
      <c r="F363" s="250"/>
      <c r="G363" s="523"/>
      <c r="H363" s="36"/>
      <c r="I363" s="37"/>
      <c r="J363" s="38"/>
      <c r="K363" s="39"/>
      <c r="L363" s="38"/>
      <c r="M363" s="39"/>
      <c r="N363" s="40"/>
      <c r="O363" s="34"/>
      <c r="P363" s="35"/>
      <c r="Q363" s="35"/>
      <c r="R363" s="35"/>
      <c r="S363" s="35"/>
      <c r="T363" s="35"/>
      <c r="U363" s="35"/>
      <c r="V363" s="35"/>
      <c r="W363" s="35"/>
      <c r="X363" s="35"/>
      <c r="Y363" s="35"/>
    </row>
    <row r="364" ht="14.25" customHeight="1">
      <c r="A364" s="83"/>
      <c r="B364" s="84"/>
      <c r="C364" s="108"/>
      <c r="D364" s="102"/>
      <c r="E364" s="117"/>
      <c r="F364" s="250"/>
      <c r="G364" s="523"/>
      <c r="H364" s="36"/>
      <c r="I364" s="37"/>
      <c r="J364" s="38"/>
      <c r="K364" s="39"/>
      <c r="L364" s="38"/>
      <c r="M364" s="39"/>
      <c r="N364" s="40"/>
      <c r="O364" s="34"/>
      <c r="P364" s="35"/>
      <c r="Q364" s="35"/>
      <c r="R364" s="35"/>
      <c r="S364" s="35"/>
      <c r="T364" s="35"/>
      <c r="U364" s="35"/>
      <c r="V364" s="35"/>
      <c r="W364" s="35"/>
      <c r="X364" s="35"/>
      <c r="Y364" s="35"/>
    </row>
    <row r="365" ht="14.25" customHeight="1">
      <c r="A365" s="83"/>
      <c r="B365" s="84"/>
      <c r="C365" s="108"/>
      <c r="D365" s="102"/>
      <c r="E365" s="117"/>
      <c r="F365" s="250"/>
      <c r="G365" s="523"/>
      <c r="H365" s="36"/>
      <c r="I365" s="37"/>
      <c r="J365" s="38"/>
      <c r="K365" s="39"/>
      <c r="L365" s="38"/>
      <c r="M365" s="39"/>
      <c r="N365" s="40"/>
      <c r="O365" s="34"/>
      <c r="P365" s="35"/>
      <c r="Q365" s="35"/>
      <c r="R365" s="35"/>
      <c r="S365" s="35"/>
      <c r="T365" s="35"/>
      <c r="U365" s="35"/>
      <c r="V365" s="35"/>
      <c r="W365" s="35"/>
      <c r="X365" s="35"/>
      <c r="Y365" s="35"/>
    </row>
    <row r="366" ht="14.25" customHeight="1">
      <c r="A366" s="83"/>
      <c r="B366" s="84"/>
      <c r="C366" s="108"/>
      <c r="D366" s="102"/>
      <c r="E366" s="117"/>
      <c r="F366" s="250"/>
      <c r="G366" s="523"/>
      <c r="H366" s="36"/>
      <c r="I366" s="37"/>
      <c r="J366" s="38"/>
      <c r="K366" s="39"/>
      <c r="L366" s="38"/>
      <c r="M366" s="39"/>
      <c r="N366" s="40"/>
      <c r="O366" s="34"/>
      <c r="P366" s="35"/>
      <c r="Q366" s="35"/>
      <c r="R366" s="35"/>
      <c r="S366" s="35"/>
      <c r="T366" s="35"/>
      <c r="U366" s="35"/>
      <c r="V366" s="35"/>
      <c r="W366" s="35"/>
      <c r="X366" s="35"/>
      <c r="Y366" s="35"/>
    </row>
    <row r="367" ht="14.25" customHeight="1">
      <c r="A367" s="83"/>
      <c r="B367" s="84"/>
      <c r="C367" s="108"/>
      <c r="D367" s="102"/>
      <c r="E367" s="117"/>
      <c r="F367" s="250"/>
      <c r="G367" s="523"/>
      <c r="H367" s="36"/>
      <c r="I367" s="37"/>
      <c r="J367" s="38"/>
      <c r="K367" s="39"/>
      <c r="L367" s="38"/>
      <c r="M367" s="39"/>
      <c r="N367" s="40"/>
      <c r="O367" s="34"/>
      <c r="P367" s="35"/>
      <c r="Q367" s="35"/>
      <c r="R367" s="35"/>
      <c r="S367" s="35"/>
      <c r="T367" s="35"/>
      <c r="U367" s="35"/>
      <c r="V367" s="35"/>
      <c r="W367" s="35"/>
      <c r="X367" s="35"/>
      <c r="Y367" s="35"/>
    </row>
    <row r="368" ht="14.25" customHeight="1">
      <c r="A368" s="83"/>
      <c r="B368" s="84"/>
      <c r="C368" s="108"/>
      <c r="D368" s="102"/>
      <c r="E368" s="117"/>
      <c r="F368" s="250"/>
      <c r="G368" s="523"/>
      <c r="H368" s="36"/>
      <c r="I368" s="37"/>
      <c r="J368" s="38"/>
      <c r="K368" s="39"/>
      <c r="L368" s="38"/>
      <c r="M368" s="39"/>
      <c r="N368" s="40"/>
      <c r="O368" s="34"/>
      <c r="P368" s="35"/>
      <c r="Q368" s="35"/>
      <c r="R368" s="35"/>
      <c r="S368" s="35"/>
      <c r="T368" s="35"/>
      <c r="U368" s="35"/>
      <c r="V368" s="35"/>
      <c r="W368" s="35"/>
      <c r="X368" s="35"/>
      <c r="Y368" s="35"/>
    </row>
    <row r="369" ht="14.25" customHeight="1">
      <c r="A369" s="83"/>
      <c r="B369" s="84"/>
      <c r="C369" s="108"/>
      <c r="D369" s="102"/>
      <c r="E369" s="117"/>
      <c r="F369" s="250"/>
      <c r="G369" s="523"/>
      <c r="H369" s="36"/>
      <c r="I369" s="37"/>
      <c r="J369" s="38"/>
      <c r="K369" s="39"/>
      <c r="L369" s="38"/>
      <c r="M369" s="39"/>
      <c r="N369" s="40"/>
      <c r="O369" s="34"/>
      <c r="P369" s="35"/>
      <c r="Q369" s="35"/>
      <c r="R369" s="35"/>
      <c r="S369" s="35"/>
      <c r="T369" s="35"/>
      <c r="U369" s="35"/>
      <c r="V369" s="35"/>
      <c r="W369" s="35"/>
      <c r="X369" s="35"/>
      <c r="Y369" s="35"/>
    </row>
    <row r="370" ht="14.25" customHeight="1">
      <c r="A370" s="83"/>
      <c r="B370" s="84"/>
      <c r="C370" s="108"/>
      <c r="D370" s="102"/>
      <c r="E370" s="117"/>
      <c r="F370" s="250"/>
      <c r="G370" s="523"/>
      <c r="H370" s="36"/>
      <c r="I370" s="37"/>
      <c r="J370" s="38"/>
      <c r="K370" s="39"/>
      <c r="L370" s="38"/>
      <c r="M370" s="39"/>
      <c r="N370" s="40"/>
      <c r="O370" s="34"/>
      <c r="P370" s="35"/>
      <c r="Q370" s="35"/>
      <c r="R370" s="35"/>
      <c r="S370" s="35"/>
      <c r="T370" s="35"/>
      <c r="U370" s="35"/>
      <c r="V370" s="35"/>
      <c r="W370" s="35"/>
      <c r="X370" s="35"/>
      <c r="Y370" s="35"/>
    </row>
    <row r="371" ht="14.25" customHeight="1">
      <c r="A371" s="83"/>
      <c r="B371" s="84"/>
      <c r="C371" s="108"/>
      <c r="D371" s="102"/>
      <c r="E371" s="117"/>
      <c r="F371" s="250"/>
      <c r="G371" s="523"/>
      <c r="H371" s="36"/>
      <c r="I371" s="37"/>
      <c r="J371" s="38"/>
      <c r="K371" s="39"/>
      <c r="L371" s="38"/>
      <c r="M371" s="39"/>
      <c r="N371" s="40"/>
      <c r="O371" s="34"/>
      <c r="P371" s="35"/>
      <c r="Q371" s="35"/>
      <c r="R371" s="35"/>
      <c r="S371" s="35"/>
      <c r="T371" s="35"/>
      <c r="U371" s="35"/>
      <c r="V371" s="35"/>
      <c r="W371" s="35"/>
      <c r="X371" s="35"/>
      <c r="Y371" s="35"/>
    </row>
    <row r="372" ht="14.25" customHeight="1">
      <c r="A372" s="83"/>
      <c r="B372" s="84"/>
      <c r="C372" s="108"/>
      <c r="D372" s="102"/>
      <c r="E372" s="117"/>
      <c r="F372" s="250"/>
      <c r="G372" s="523"/>
      <c r="H372" s="36"/>
      <c r="I372" s="37"/>
      <c r="J372" s="38"/>
      <c r="K372" s="39"/>
      <c r="L372" s="38"/>
      <c r="M372" s="39"/>
      <c r="N372" s="40"/>
      <c r="O372" s="34"/>
      <c r="P372" s="35"/>
      <c r="Q372" s="35"/>
      <c r="R372" s="35"/>
      <c r="S372" s="35"/>
      <c r="T372" s="35"/>
      <c r="U372" s="35"/>
      <c r="V372" s="35"/>
      <c r="W372" s="35"/>
      <c r="X372" s="35"/>
      <c r="Y372" s="35"/>
    </row>
    <row r="373" ht="14.25" customHeight="1">
      <c r="A373" s="83"/>
      <c r="B373" s="84"/>
      <c r="C373" s="108"/>
      <c r="D373" s="102"/>
      <c r="E373" s="117"/>
      <c r="F373" s="250"/>
      <c r="G373" s="523"/>
      <c r="H373" s="36"/>
      <c r="I373" s="37"/>
      <c r="J373" s="38"/>
      <c r="K373" s="39"/>
      <c r="L373" s="38"/>
      <c r="M373" s="39"/>
      <c r="N373" s="40"/>
      <c r="O373" s="34"/>
      <c r="P373" s="35"/>
      <c r="Q373" s="35"/>
      <c r="R373" s="35"/>
      <c r="S373" s="35"/>
      <c r="T373" s="35"/>
      <c r="U373" s="35"/>
      <c r="V373" s="35"/>
      <c r="W373" s="35"/>
      <c r="X373" s="35"/>
      <c r="Y373" s="35"/>
    </row>
    <row r="374" ht="14.25" customHeight="1">
      <c r="A374" s="83"/>
      <c r="B374" s="84"/>
      <c r="C374" s="108"/>
      <c r="D374" s="102"/>
      <c r="E374" s="117"/>
      <c r="F374" s="250"/>
      <c r="G374" s="523"/>
      <c r="H374" s="36"/>
      <c r="I374" s="37"/>
      <c r="J374" s="38"/>
      <c r="K374" s="39"/>
      <c r="L374" s="38"/>
      <c r="M374" s="39"/>
      <c r="N374" s="40"/>
      <c r="O374" s="34"/>
      <c r="P374" s="35"/>
      <c r="Q374" s="35"/>
      <c r="R374" s="35"/>
      <c r="S374" s="35"/>
      <c r="T374" s="35"/>
      <c r="U374" s="35"/>
      <c r="V374" s="35"/>
      <c r="W374" s="35"/>
      <c r="X374" s="35"/>
      <c r="Y374" s="35"/>
    </row>
    <row r="375" ht="14.25" customHeight="1">
      <c r="A375" s="83"/>
      <c r="B375" s="84"/>
      <c r="C375" s="108"/>
      <c r="D375" s="102"/>
      <c r="E375" s="117"/>
      <c r="F375" s="250"/>
      <c r="G375" s="523"/>
      <c r="H375" s="36"/>
      <c r="I375" s="37"/>
      <c r="J375" s="38"/>
      <c r="K375" s="39"/>
      <c r="L375" s="38"/>
      <c r="M375" s="39"/>
      <c r="N375" s="40"/>
      <c r="O375" s="34"/>
      <c r="P375" s="35"/>
      <c r="Q375" s="35"/>
      <c r="R375" s="35"/>
      <c r="S375" s="35"/>
      <c r="T375" s="35"/>
      <c r="U375" s="35"/>
      <c r="V375" s="35"/>
      <c r="W375" s="35"/>
      <c r="X375" s="35"/>
      <c r="Y375" s="35"/>
    </row>
    <row r="376" ht="14.25" customHeight="1">
      <c r="A376" s="83"/>
      <c r="B376" s="84"/>
      <c r="C376" s="108"/>
      <c r="D376" s="102"/>
      <c r="E376" s="117"/>
      <c r="F376" s="250"/>
      <c r="G376" s="523"/>
      <c r="H376" s="36"/>
      <c r="I376" s="37"/>
      <c r="J376" s="38"/>
      <c r="K376" s="39"/>
      <c r="L376" s="38"/>
      <c r="M376" s="39"/>
      <c r="N376" s="40"/>
      <c r="O376" s="34"/>
      <c r="P376" s="35"/>
      <c r="Q376" s="35"/>
      <c r="R376" s="35"/>
      <c r="S376" s="35"/>
      <c r="T376" s="35"/>
      <c r="U376" s="35"/>
      <c r="V376" s="35"/>
      <c r="W376" s="35"/>
      <c r="X376" s="35"/>
      <c r="Y376" s="35"/>
    </row>
    <row r="377" ht="14.25" customHeight="1">
      <c r="A377" s="83"/>
      <c r="B377" s="84"/>
      <c r="C377" s="108"/>
      <c r="D377" s="102"/>
      <c r="E377" s="117"/>
      <c r="F377" s="250"/>
      <c r="G377" s="523"/>
      <c r="H377" s="36"/>
      <c r="I377" s="37"/>
      <c r="J377" s="38"/>
      <c r="K377" s="39"/>
      <c r="L377" s="38"/>
      <c r="M377" s="39"/>
      <c r="N377" s="40"/>
      <c r="O377" s="34"/>
      <c r="P377" s="35"/>
      <c r="Q377" s="35"/>
      <c r="R377" s="35"/>
      <c r="S377" s="35"/>
      <c r="T377" s="35"/>
      <c r="U377" s="35"/>
      <c r="V377" s="35"/>
      <c r="W377" s="35"/>
      <c r="X377" s="35"/>
      <c r="Y377" s="35"/>
    </row>
    <row r="378" ht="14.25" customHeight="1">
      <c r="A378" s="83"/>
      <c r="B378" s="84"/>
      <c r="C378" s="108"/>
      <c r="D378" s="102"/>
      <c r="E378" s="117"/>
      <c r="F378" s="250"/>
      <c r="G378" s="523"/>
      <c r="H378" s="36"/>
      <c r="I378" s="37"/>
      <c r="J378" s="38"/>
      <c r="K378" s="39"/>
      <c r="L378" s="38"/>
      <c r="M378" s="39"/>
      <c r="N378" s="40"/>
      <c r="O378" s="34"/>
      <c r="P378" s="35"/>
      <c r="Q378" s="35"/>
      <c r="R378" s="35"/>
      <c r="S378" s="35"/>
      <c r="T378" s="35"/>
      <c r="U378" s="35"/>
      <c r="V378" s="35"/>
      <c r="W378" s="35"/>
      <c r="X378" s="35"/>
      <c r="Y378" s="35"/>
    </row>
    <row r="379" ht="14.25" customHeight="1">
      <c r="A379" s="83"/>
      <c r="B379" s="84"/>
      <c r="C379" s="108"/>
      <c r="D379" s="102"/>
      <c r="E379" s="117"/>
      <c r="F379" s="250"/>
      <c r="G379" s="523"/>
      <c r="H379" s="36"/>
      <c r="I379" s="37"/>
      <c r="J379" s="38"/>
      <c r="K379" s="39"/>
      <c r="L379" s="38"/>
      <c r="M379" s="39"/>
      <c r="N379" s="40"/>
      <c r="O379" s="34"/>
      <c r="P379" s="35"/>
      <c r="Q379" s="35"/>
      <c r="R379" s="35"/>
      <c r="S379" s="35"/>
      <c r="T379" s="35"/>
      <c r="U379" s="35"/>
      <c r="V379" s="35"/>
      <c r="W379" s="35"/>
      <c r="X379" s="35"/>
      <c r="Y379" s="35"/>
    </row>
    <row r="380" ht="14.25" customHeight="1">
      <c r="A380" s="83"/>
      <c r="B380" s="84"/>
      <c r="C380" s="108"/>
      <c r="D380" s="102"/>
      <c r="E380" s="117"/>
      <c r="F380" s="250"/>
      <c r="G380" s="523"/>
      <c r="H380" s="36"/>
      <c r="I380" s="37"/>
      <c r="J380" s="38"/>
      <c r="K380" s="39"/>
      <c r="L380" s="38"/>
      <c r="M380" s="39"/>
      <c r="N380" s="40"/>
      <c r="O380" s="34"/>
      <c r="P380" s="35"/>
      <c r="Q380" s="35"/>
      <c r="R380" s="35"/>
      <c r="S380" s="35"/>
      <c r="T380" s="35"/>
      <c r="U380" s="35"/>
      <c r="V380" s="35"/>
      <c r="W380" s="35"/>
      <c r="X380" s="35"/>
      <c r="Y380" s="35"/>
    </row>
    <row r="381" ht="14.25" customHeight="1">
      <c r="A381" s="83"/>
      <c r="B381" s="84"/>
      <c r="C381" s="108"/>
      <c r="D381" s="102"/>
      <c r="E381" s="117"/>
      <c r="F381" s="250"/>
      <c r="G381" s="523"/>
      <c r="H381" s="36"/>
      <c r="I381" s="37"/>
      <c r="J381" s="38"/>
      <c r="K381" s="39"/>
      <c r="L381" s="38"/>
      <c r="M381" s="39"/>
      <c r="N381" s="40"/>
      <c r="O381" s="34"/>
      <c r="P381" s="35"/>
      <c r="Q381" s="35"/>
      <c r="R381" s="35"/>
      <c r="S381" s="35"/>
      <c r="T381" s="35"/>
      <c r="U381" s="35"/>
      <c r="V381" s="35"/>
      <c r="W381" s="35"/>
      <c r="X381" s="35"/>
      <c r="Y381" s="35"/>
    </row>
    <row r="382" ht="14.25" customHeight="1">
      <c r="A382" s="83"/>
      <c r="B382" s="84"/>
      <c r="C382" s="108"/>
      <c r="D382" s="102"/>
      <c r="E382" s="117"/>
      <c r="F382" s="250"/>
      <c r="G382" s="523"/>
      <c r="H382" s="36"/>
      <c r="I382" s="37"/>
      <c r="J382" s="38"/>
      <c r="K382" s="39"/>
      <c r="L382" s="38"/>
      <c r="M382" s="39"/>
      <c r="N382" s="40"/>
      <c r="O382" s="34"/>
      <c r="P382" s="35"/>
      <c r="Q382" s="35"/>
      <c r="R382" s="35"/>
      <c r="S382" s="35"/>
      <c r="T382" s="35"/>
      <c r="U382" s="35"/>
      <c r="V382" s="35"/>
      <c r="W382" s="35"/>
      <c r="X382" s="35"/>
      <c r="Y382" s="35"/>
    </row>
    <row r="383" ht="14.25" customHeight="1">
      <c r="A383" s="83"/>
      <c r="B383" s="84"/>
      <c r="C383" s="108"/>
      <c r="D383" s="102"/>
      <c r="E383" s="117"/>
      <c r="F383" s="250"/>
      <c r="G383" s="523"/>
      <c r="H383" s="36"/>
      <c r="I383" s="37"/>
      <c r="J383" s="38"/>
      <c r="K383" s="39"/>
      <c r="L383" s="38"/>
      <c r="M383" s="39"/>
      <c r="N383" s="40"/>
      <c r="O383" s="34"/>
      <c r="P383" s="35"/>
      <c r="Q383" s="35"/>
      <c r="R383" s="35"/>
      <c r="S383" s="35"/>
      <c r="T383" s="35"/>
      <c r="U383" s="35"/>
      <c r="V383" s="35"/>
      <c r="W383" s="35"/>
      <c r="X383" s="35"/>
      <c r="Y383" s="35"/>
    </row>
    <row r="384" ht="14.25" customHeight="1">
      <c r="A384" s="83"/>
      <c r="B384" s="84"/>
      <c r="C384" s="108"/>
      <c r="D384" s="102"/>
      <c r="E384" s="117"/>
      <c r="F384" s="250"/>
      <c r="G384" s="523"/>
      <c r="H384" s="36"/>
      <c r="I384" s="37"/>
      <c r="J384" s="38"/>
      <c r="K384" s="39"/>
      <c r="L384" s="38"/>
      <c r="M384" s="39"/>
      <c r="N384" s="40"/>
      <c r="O384" s="34"/>
      <c r="P384" s="35"/>
      <c r="Q384" s="35"/>
      <c r="R384" s="35"/>
      <c r="S384" s="35"/>
      <c r="T384" s="35"/>
      <c r="U384" s="35"/>
      <c r="V384" s="35"/>
      <c r="W384" s="35"/>
      <c r="X384" s="35"/>
      <c r="Y384" s="35"/>
    </row>
    <row r="385" ht="14.25" customHeight="1">
      <c r="A385" s="83"/>
      <c r="B385" s="84"/>
      <c r="C385" s="108"/>
      <c r="D385" s="102"/>
      <c r="E385" s="117"/>
      <c r="F385" s="250"/>
      <c r="G385" s="523"/>
      <c r="H385" s="36"/>
      <c r="I385" s="37"/>
      <c r="J385" s="38"/>
      <c r="K385" s="39"/>
      <c r="L385" s="38"/>
      <c r="M385" s="39"/>
      <c r="N385" s="40"/>
      <c r="O385" s="34"/>
      <c r="P385" s="35"/>
      <c r="Q385" s="35"/>
      <c r="R385" s="35"/>
      <c r="S385" s="35"/>
      <c r="T385" s="35"/>
      <c r="U385" s="35"/>
      <c r="V385" s="35"/>
      <c r="W385" s="35"/>
      <c r="X385" s="35"/>
      <c r="Y385" s="35"/>
    </row>
    <row r="386" ht="14.25" customHeight="1">
      <c r="A386" s="83"/>
      <c r="B386" s="84"/>
      <c r="C386" s="108"/>
      <c r="D386" s="102"/>
      <c r="E386" s="117"/>
      <c r="F386" s="250"/>
      <c r="G386" s="523"/>
      <c r="H386" s="36"/>
      <c r="I386" s="37"/>
      <c r="J386" s="38"/>
      <c r="K386" s="39"/>
      <c r="L386" s="38"/>
      <c r="M386" s="39"/>
      <c r="N386" s="40"/>
      <c r="O386" s="34"/>
      <c r="P386" s="35"/>
      <c r="Q386" s="35"/>
      <c r="R386" s="35"/>
      <c r="S386" s="35"/>
      <c r="T386" s="35"/>
      <c r="U386" s="35"/>
      <c r="V386" s="35"/>
      <c r="W386" s="35"/>
      <c r="X386" s="35"/>
      <c r="Y386" s="35"/>
    </row>
    <row r="387" ht="14.25" customHeight="1">
      <c r="A387" s="83"/>
      <c r="B387" s="84"/>
      <c r="C387" s="108"/>
      <c r="D387" s="102"/>
      <c r="E387" s="117"/>
      <c r="F387" s="250"/>
      <c r="G387" s="523"/>
      <c r="H387" s="36"/>
      <c r="I387" s="37"/>
      <c r="J387" s="38"/>
      <c r="K387" s="39"/>
      <c r="L387" s="38"/>
      <c r="M387" s="39"/>
      <c r="N387" s="40"/>
      <c r="O387" s="34"/>
      <c r="P387" s="35"/>
      <c r="Q387" s="35"/>
      <c r="R387" s="35"/>
      <c r="S387" s="35"/>
      <c r="T387" s="35"/>
      <c r="U387" s="35"/>
      <c r="V387" s="35"/>
      <c r="W387" s="35"/>
      <c r="X387" s="35"/>
      <c r="Y387" s="35"/>
    </row>
    <row r="388" ht="14.25" customHeight="1">
      <c r="A388" s="83"/>
      <c r="B388" s="84"/>
      <c r="C388" s="108"/>
      <c r="D388" s="102"/>
      <c r="E388" s="117"/>
      <c r="F388" s="250"/>
      <c r="G388" s="523"/>
      <c r="H388" s="36"/>
      <c r="I388" s="37"/>
      <c r="J388" s="38"/>
      <c r="K388" s="39"/>
      <c r="L388" s="38"/>
      <c r="M388" s="39"/>
      <c r="N388" s="40"/>
      <c r="O388" s="34"/>
      <c r="P388" s="35"/>
      <c r="Q388" s="35"/>
      <c r="R388" s="35"/>
      <c r="S388" s="35"/>
      <c r="T388" s="35"/>
      <c r="U388" s="35"/>
      <c r="V388" s="35"/>
      <c r="W388" s="35"/>
      <c r="X388" s="35"/>
      <c r="Y388" s="35"/>
    </row>
    <row r="389" ht="14.25" customHeight="1">
      <c r="A389" s="83"/>
      <c r="B389" s="84"/>
      <c r="C389" s="108"/>
      <c r="D389" s="102"/>
      <c r="E389" s="117"/>
      <c r="F389" s="250"/>
      <c r="G389" s="523"/>
      <c r="H389" s="36"/>
      <c r="I389" s="37"/>
      <c r="J389" s="38"/>
      <c r="K389" s="39"/>
      <c r="L389" s="38"/>
      <c r="M389" s="39"/>
      <c r="N389" s="40"/>
      <c r="O389" s="34"/>
      <c r="P389" s="35"/>
      <c r="Q389" s="35"/>
      <c r="R389" s="35"/>
      <c r="S389" s="35"/>
      <c r="T389" s="35"/>
      <c r="U389" s="35"/>
      <c r="V389" s="35"/>
      <c r="W389" s="35"/>
      <c r="X389" s="35"/>
      <c r="Y389" s="35"/>
    </row>
    <row r="390" ht="14.25" customHeight="1">
      <c r="A390" s="83"/>
      <c r="B390" s="84"/>
      <c r="C390" s="108"/>
      <c r="D390" s="102"/>
      <c r="E390" s="117"/>
      <c r="F390" s="250"/>
      <c r="G390" s="523"/>
      <c r="H390" s="36"/>
      <c r="I390" s="37"/>
      <c r="J390" s="38"/>
      <c r="K390" s="39"/>
      <c r="L390" s="38"/>
      <c r="M390" s="39"/>
      <c r="N390" s="40"/>
      <c r="O390" s="34"/>
      <c r="P390" s="35"/>
      <c r="Q390" s="35"/>
      <c r="R390" s="35"/>
      <c r="S390" s="35"/>
      <c r="T390" s="35"/>
      <c r="U390" s="35"/>
      <c r="V390" s="35"/>
      <c r="W390" s="35"/>
      <c r="X390" s="35"/>
      <c r="Y390" s="35"/>
    </row>
    <row r="391" ht="14.25" customHeight="1">
      <c r="A391" s="83"/>
      <c r="B391" s="84"/>
      <c r="C391" s="108"/>
      <c r="D391" s="102"/>
      <c r="E391" s="117"/>
      <c r="F391" s="250"/>
      <c r="G391" s="523"/>
      <c r="H391" s="36"/>
      <c r="I391" s="37"/>
      <c r="J391" s="38"/>
      <c r="K391" s="39"/>
      <c r="L391" s="38"/>
      <c r="M391" s="39"/>
      <c r="N391" s="40"/>
      <c r="O391" s="34"/>
      <c r="P391" s="35"/>
      <c r="Q391" s="35"/>
      <c r="R391" s="35"/>
      <c r="S391" s="35"/>
      <c r="T391" s="35"/>
      <c r="U391" s="35"/>
      <c r="V391" s="35"/>
      <c r="W391" s="35"/>
      <c r="X391" s="35"/>
      <c r="Y391" s="35"/>
    </row>
    <row r="392" ht="14.25" customHeight="1">
      <c r="A392" s="83"/>
      <c r="B392" s="84"/>
      <c r="C392" s="108"/>
      <c r="D392" s="102"/>
      <c r="E392" s="117"/>
      <c r="F392" s="250"/>
      <c r="G392" s="523"/>
      <c r="H392" s="36"/>
      <c r="I392" s="37"/>
      <c r="J392" s="38"/>
      <c r="K392" s="39"/>
      <c r="L392" s="38"/>
      <c r="M392" s="39"/>
      <c r="N392" s="40"/>
      <c r="O392" s="34"/>
      <c r="P392" s="35"/>
      <c r="Q392" s="35"/>
      <c r="R392" s="35"/>
      <c r="S392" s="35"/>
      <c r="T392" s="35"/>
      <c r="U392" s="35"/>
      <c r="V392" s="35"/>
      <c r="W392" s="35"/>
      <c r="X392" s="35"/>
      <c r="Y392" s="35"/>
    </row>
    <row r="393" ht="14.25" customHeight="1">
      <c r="A393" s="83"/>
      <c r="B393" s="84"/>
      <c r="C393" s="108"/>
      <c r="D393" s="102"/>
      <c r="E393" s="117"/>
      <c r="F393" s="250"/>
      <c r="G393" s="523"/>
      <c r="H393" s="36"/>
      <c r="I393" s="37"/>
      <c r="J393" s="38"/>
      <c r="K393" s="39"/>
      <c r="L393" s="38"/>
      <c r="M393" s="39"/>
      <c r="N393" s="40"/>
      <c r="O393" s="34"/>
      <c r="P393" s="35"/>
      <c r="Q393" s="35"/>
      <c r="R393" s="35"/>
      <c r="S393" s="35"/>
      <c r="T393" s="35"/>
      <c r="U393" s="35"/>
      <c r="V393" s="35"/>
      <c r="W393" s="35"/>
      <c r="X393" s="35"/>
      <c r="Y393" s="35"/>
    </row>
    <row r="394" ht="14.25" customHeight="1">
      <c r="A394" s="83"/>
      <c r="B394" s="84"/>
      <c r="C394" s="108"/>
      <c r="D394" s="102"/>
      <c r="E394" s="117"/>
      <c r="F394" s="250"/>
      <c r="G394" s="523"/>
      <c r="H394" s="36"/>
      <c r="I394" s="37"/>
      <c r="J394" s="38"/>
      <c r="K394" s="39"/>
      <c r="L394" s="38"/>
      <c r="M394" s="39"/>
      <c r="N394" s="40"/>
      <c r="O394" s="34"/>
      <c r="P394" s="35"/>
      <c r="Q394" s="35"/>
      <c r="R394" s="35"/>
      <c r="S394" s="35"/>
      <c r="T394" s="35"/>
      <c r="U394" s="35"/>
      <c r="V394" s="35"/>
      <c r="W394" s="35"/>
      <c r="X394" s="35"/>
      <c r="Y394" s="35"/>
    </row>
    <row r="395" ht="14.25" customHeight="1">
      <c r="A395" s="83"/>
      <c r="B395" s="84"/>
      <c r="C395" s="108"/>
      <c r="D395" s="102"/>
      <c r="E395" s="117"/>
      <c r="F395" s="250"/>
      <c r="G395" s="523"/>
      <c r="H395" s="36"/>
      <c r="I395" s="37"/>
      <c r="J395" s="38"/>
      <c r="K395" s="39"/>
      <c r="L395" s="38"/>
      <c r="M395" s="39"/>
      <c r="N395" s="40"/>
      <c r="O395" s="34"/>
      <c r="P395" s="35"/>
      <c r="Q395" s="35"/>
      <c r="R395" s="35"/>
      <c r="S395" s="35"/>
      <c r="T395" s="35"/>
      <c r="U395" s="35"/>
      <c r="V395" s="35"/>
      <c r="W395" s="35"/>
      <c r="X395" s="35"/>
      <c r="Y395" s="35"/>
    </row>
    <row r="396" ht="14.25" customHeight="1">
      <c r="A396" s="83"/>
      <c r="B396" s="84"/>
      <c r="C396" s="108"/>
      <c r="D396" s="102"/>
      <c r="E396" s="117"/>
      <c r="F396" s="250"/>
      <c r="G396" s="523"/>
      <c r="H396" s="36"/>
      <c r="I396" s="37"/>
      <c r="J396" s="38"/>
      <c r="K396" s="39"/>
      <c r="L396" s="38"/>
      <c r="M396" s="39"/>
      <c r="N396" s="40"/>
      <c r="O396" s="34"/>
      <c r="P396" s="35"/>
      <c r="Q396" s="35"/>
      <c r="R396" s="35"/>
      <c r="S396" s="35"/>
      <c r="T396" s="35"/>
      <c r="U396" s="35"/>
      <c r="V396" s="35"/>
      <c r="W396" s="35"/>
      <c r="X396" s="35"/>
      <c r="Y396" s="35"/>
    </row>
    <row r="397" ht="14.25" customHeight="1">
      <c r="A397" s="83"/>
      <c r="B397" s="84"/>
      <c r="C397" s="108"/>
      <c r="D397" s="102"/>
      <c r="E397" s="117"/>
      <c r="F397" s="250"/>
      <c r="G397" s="523"/>
      <c r="H397" s="36"/>
      <c r="I397" s="37"/>
      <c r="J397" s="38"/>
      <c r="K397" s="39"/>
      <c r="L397" s="38"/>
      <c r="M397" s="39"/>
      <c r="N397" s="40"/>
      <c r="O397" s="34"/>
      <c r="P397" s="35"/>
      <c r="Q397" s="35"/>
      <c r="R397" s="35"/>
      <c r="S397" s="35"/>
      <c r="T397" s="35"/>
      <c r="U397" s="35"/>
      <c r="V397" s="35"/>
      <c r="W397" s="35"/>
      <c r="X397" s="35"/>
      <c r="Y397" s="35"/>
    </row>
    <row r="398" ht="14.25" customHeight="1">
      <c r="A398" s="83"/>
      <c r="B398" s="84"/>
      <c r="C398" s="108"/>
      <c r="D398" s="102"/>
      <c r="E398" s="117"/>
      <c r="F398" s="250"/>
      <c r="G398" s="523"/>
      <c r="H398" s="36"/>
      <c r="I398" s="37"/>
      <c r="J398" s="38"/>
      <c r="K398" s="39"/>
      <c r="L398" s="38"/>
      <c r="M398" s="39"/>
      <c r="N398" s="40"/>
      <c r="O398" s="34"/>
      <c r="P398" s="35"/>
      <c r="Q398" s="35"/>
      <c r="R398" s="35"/>
      <c r="S398" s="35"/>
      <c r="T398" s="35"/>
      <c r="U398" s="35"/>
      <c r="V398" s="35"/>
      <c r="W398" s="35"/>
      <c r="X398" s="35"/>
      <c r="Y398" s="35"/>
    </row>
    <row r="399" ht="14.25" customHeight="1">
      <c r="A399" s="83"/>
      <c r="B399" s="84"/>
      <c r="C399" s="108"/>
      <c r="D399" s="102"/>
      <c r="E399" s="117"/>
      <c r="F399" s="250"/>
      <c r="G399" s="523"/>
      <c r="H399" s="36"/>
      <c r="I399" s="37"/>
      <c r="J399" s="38"/>
      <c r="K399" s="39"/>
      <c r="L399" s="38"/>
      <c r="M399" s="39"/>
      <c r="N399" s="40"/>
      <c r="O399" s="34"/>
      <c r="P399" s="35"/>
      <c r="Q399" s="35"/>
      <c r="R399" s="35"/>
      <c r="S399" s="35"/>
      <c r="T399" s="35"/>
      <c r="U399" s="35"/>
      <c r="V399" s="35"/>
      <c r="W399" s="35"/>
      <c r="X399" s="35"/>
      <c r="Y399" s="35"/>
    </row>
    <row r="400" ht="14.25" customHeight="1">
      <c r="A400" s="83"/>
      <c r="B400" s="84"/>
      <c r="C400" s="108"/>
      <c r="D400" s="102"/>
      <c r="E400" s="117"/>
      <c r="F400" s="250"/>
      <c r="G400" s="523"/>
      <c r="H400" s="36"/>
      <c r="I400" s="37"/>
      <c r="J400" s="38"/>
      <c r="K400" s="39"/>
      <c r="L400" s="38"/>
      <c r="M400" s="39"/>
      <c r="N400" s="40"/>
      <c r="O400" s="34"/>
      <c r="P400" s="35"/>
      <c r="Q400" s="35"/>
      <c r="R400" s="35"/>
      <c r="S400" s="35"/>
      <c r="T400" s="35"/>
      <c r="U400" s="35"/>
      <c r="V400" s="35"/>
      <c r="W400" s="35"/>
      <c r="X400" s="35"/>
      <c r="Y400" s="35"/>
    </row>
    <row r="401" ht="14.25" customHeight="1">
      <c r="A401" s="83"/>
      <c r="B401" s="84"/>
      <c r="C401" s="108"/>
      <c r="D401" s="102"/>
      <c r="E401" s="117"/>
      <c r="F401" s="250"/>
      <c r="G401" s="523"/>
      <c r="H401" s="36"/>
      <c r="I401" s="37"/>
      <c r="J401" s="38"/>
      <c r="K401" s="39"/>
      <c r="L401" s="38"/>
      <c r="M401" s="39"/>
      <c r="N401" s="40"/>
      <c r="O401" s="34"/>
      <c r="P401" s="35"/>
      <c r="Q401" s="35"/>
      <c r="R401" s="35"/>
      <c r="S401" s="35"/>
      <c r="T401" s="35"/>
      <c r="U401" s="35"/>
      <c r="V401" s="35"/>
      <c r="W401" s="35"/>
      <c r="X401" s="35"/>
      <c r="Y401" s="35"/>
    </row>
    <row r="402" ht="14.25" customHeight="1">
      <c r="A402" s="83"/>
      <c r="B402" s="84"/>
      <c r="C402" s="108"/>
      <c r="D402" s="102"/>
      <c r="E402" s="117"/>
      <c r="F402" s="250"/>
      <c r="G402" s="523"/>
      <c r="H402" s="36"/>
      <c r="I402" s="37"/>
      <c r="J402" s="38"/>
      <c r="K402" s="39"/>
      <c r="L402" s="38"/>
      <c r="M402" s="39"/>
      <c r="N402" s="40"/>
      <c r="O402" s="34"/>
      <c r="P402" s="35"/>
      <c r="Q402" s="35"/>
      <c r="R402" s="35"/>
      <c r="S402" s="35"/>
      <c r="T402" s="35"/>
      <c r="U402" s="35"/>
      <c r="V402" s="35"/>
      <c r="W402" s="35"/>
      <c r="X402" s="35"/>
      <c r="Y402" s="35"/>
    </row>
    <row r="403" ht="14.25" customHeight="1">
      <c r="A403" s="83"/>
      <c r="B403" s="84"/>
      <c r="C403" s="108"/>
      <c r="D403" s="102"/>
      <c r="E403" s="117"/>
      <c r="F403" s="250"/>
      <c r="G403" s="523"/>
      <c r="H403" s="36"/>
      <c r="I403" s="37"/>
      <c r="J403" s="38"/>
      <c r="K403" s="39"/>
      <c r="L403" s="38"/>
      <c r="M403" s="39"/>
      <c r="N403" s="40"/>
      <c r="O403" s="34"/>
      <c r="P403" s="35"/>
      <c r="Q403" s="35"/>
      <c r="R403" s="35"/>
      <c r="S403" s="35"/>
      <c r="T403" s="35"/>
      <c r="U403" s="35"/>
      <c r="V403" s="35"/>
      <c r="W403" s="35"/>
      <c r="X403" s="35"/>
      <c r="Y403" s="35"/>
    </row>
    <row r="404" ht="14.25" customHeight="1">
      <c r="A404" s="83"/>
      <c r="B404" s="84"/>
      <c r="C404" s="108"/>
      <c r="D404" s="102"/>
      <c r="E404" s="117"/>
      <c r="F404" s="250"/>
      <c r="G404" s="523"/>
      <c r="H404" s="36"/>
      <c r="I404" s="37"/>
      <c r="J404" s="38"/>
      <c r="K404" s="39"/>
      <c r="L404" s="38"/>
      <c r="M404" s="39"/>
      <c r="N404" s="40"/>
      <c r="O404" s="34"/>
      <c r="P404" s="35"/>
      <c r="Q404" s="35"/>
      <c r="R404" s="35"/>
      <c r="S404" s="35"/>
      <c r="T404" s="35"/>
      <c r="U404" s="35"/>
      <c r="V404" s="35"/>
      <c r="W404" s="35"/>
      <c r="X404" s="35"/>
      <c r="Y404" s="35"/>
    </row>
    <row r="405" ht="14.25" customHeight="1">
      <c r="A405" s="83"/>
      <c r="B405" s="84"/>
      <c r="C405" s="108"/>
      <c r="D405" s="102"/>
      <c r="E405" s="117"/>
      <c r="F405" s="250"/>
      <c r="G405" s="523"/>
      <c r="H405" s="36"/>
      <c r="I405" s="37"/>
      <c r="J405" s="38"/>
      <c r="K405" s="39"/>
      <c r="L405" s="38"/>
      <c r="M405" s="39"/>
      <c r="N405" s="40"/>
      <c r="O405" s="34"/>
      <c r="P405" s="35"/>
      <c r="Q405" s="35"/>
      <c r="R405" s="35"/>
      <c r="S405" s="35"/>
      <c r="T405" s="35"/>
      <c r="U405" s="35"/>
      <c r="V405" s="35"/>
      <c r="W405" s="35"/>
      <c r="X405" s="35"/>
      <c r="Y405" s="35"/>
    </row>
    <row r="406" ht="14.25" customHeight="1">
      <c r="A406" s="83"/>
      <c r="B406" s="84"/>
      <c r="C406" s="108"/>
      <c r="D406" s="102"/>
      <c r="E406" s="117"/>
      <c r="F406" s="250"/>
      <c r="G406" s="523"/>
      <c r="H406" s="36"/>
      <c r="I406" s="37"/>
      <c r="J406" s="38"/>
      <c r="K406" s="39"/>
      <c r="L406" s="38"/>
      <c r="M406" s="39"/>
      <c r="N406" s="40"/>
      <c r="O406" s="34"/>
      <c r="P406" s="35"/>
      <c r="Q406" s="35"/>
      <c r="R406" s="35"/>
      <c r="S406" s="35"/>
      <c r="T406" s="35"/>
      <c r="U406" s="35"/>
      <c r="V406" s="35"/>
      <c r="W406" s="35"/>
      <c r="X406" s="35"/>
      <c r="Y406" s="35"/>
    </row>
    <row r="407" ht="14.25" customHeight="1">
      <c r="A407" s="83"/>
      <c r="B407" s="84"/>
      <c r="C407" s="108"/>
      <c r="D407" s="102"/>
      <c r="E407" s="117"/>
      <c r="F407" s="250"/>
      <c r="G407" s="523"/>
      <c r="H407" s="36"/>
      <c r="I407" s="37"/>
      <c r="J407" s="38"/>
      <c r="K407" s="39"/>
      <c r="L407" s="38"/>
      <c r="M407" s="39"/>
      <c r="N407" s="40"/>
      <c r="O407" s="34"/>
      <c r="P407" s="35"/>
      <c r="Q407" s="35"/>
      <c r="R407" s="35"/>
      <c r="S407" s="35"/>
      <c r="T407" s="35"/>
      <c r="U407" s="35"/>
      <c r="V407" s="35"/>
      <c r="W407" s="35"/>
      <c r="X407" s="35"/>
      <c r="Y407" s="35"/>
    </row>
    <row r="408" ht="14.25" customHeight="1">
      <c r="A408" s="83"/>
      <c r="B408" s="84"/>
      <c r="C408" s="108"/>
      <c r="D408" s="102"/>
      <c r="E408" s="117"/>
      <c r="F408" s="250"/>
      <c r="G408" s="523"/>
      <c r="H408" s="36"/>
      <c r="I408" s="37"/>
      <c r="J408" s="38"/>
      <c r="K408" s="39"/>
      <c r="L408" s="38"/>
      <c r="M408" s="39"/>
      <c r="N408" s="40"/>
      <c r="O408" s="34"/>
      <c r="P408" s="35"/>
      <c r="Q408" s="35"/>
      <c r="R408" s="35"/>
      <c r="S408" s="35"/>
      <c r="T408" s="35"/>
      <c r="U408" s="35"/>
      <c r="V408" s="35"/>
      <c r="W408" s="35"/>
      <c r="X408" s="35"/>
      <c r="Y408" s="35"/>
    </row>
    <row r="409" ht="14.25" customHeight="1">
      <c r="A409" s="83"/>
      <c r="B409" s="84"/>
      <c r="C409" s="108"/>
      <c r="D409" s="102"/>
      <c r="E409" s="117"/>
      <c r="F409" s="250"/>
      <c r="G409" s="523"/>
      <c r="H409" s="36"/>
      <c r="I409" s="37"/>
      <c r="J409" s="38"/>
      <c r="K409" s="39"/>
      <c r="L409" s="38"/>
      <c r="M409" s="39"/>
      <c r="N409" s="40"/>
      <c r="O409" s="34"/>
      <c r="P409" s="35"/>
      <c r="Q409" s="35"/>
      <c r="R409" s="35"/>
      <c r="S409" s="35"/>
      <c r="T409" s="35"/>
      <c r="U409" s="35"/>
      <c r="V409" s="35"/>
      <c r="W409" s="35"/>
      <c r="X409" s="35"/>
      <c r="Y409" s="35"/>
    </row>
    <row r="410" ht="14.25" customHeight="1">
      <c r="A410" s="83"/>
      <c r="B410" s="84"/>
      <c r="C410" s="108"/>
      <c r="D410" s="102"/>
      <c r="E410" s="117"/>
      <c r="F410" s="250"/>
      <c r="G410" s="523"/>
      <c r="H410" s="36"/>
      <c r="I410" s="37"/>
      <c r="J410" s="38"/>
      <c r="K410" s="39"/>
      <c r="L410" s="38"/>
      <c r="M410" s="39"/>
      <c r="N410" s="40"/>
      <c r="O410" s="34"/>
      <c r="P410" s="35"/>
      <c r="Q410" s="35"/>
      <c r="R410" s="35"/>
      <c r="S410" s="35"/>
      <c r="T410" s="35"/>
      <c r="U410" s="35"/>
      <c r="V410" s="35"/>
      <c r="W410" s="35"/>
      <c r="X410" s="35"/>
      <c r="Y410" s="35"/>
    </row>
    <row r="411" ht="14.25" customHeight="1">
      <c r="A411" s="83"/>
      <c r="B411" s="84"/>
      <c r="C411" s="108"/>
      <c r="D411" s="102"/>
      <c r="E411" s="117"/>
      <c r="F411" s="250"/>
      <c r="G411" s="523"/>
      <c r="H411" s="36"/>
      <c r="I411" s="37"/>
      <c r="J411" s="38"/>
      <c r="K411" s="39"/>
      <c r="L411" s="38"/>
      <c r="M411" s="39"/>
      <c r="N411" s="40"/>
      <c r="O411" s="34"/>
      <c r="P411" s="35"/>
      <c r="Q411" s="35"/>
      <c r="R411" s="35"/>
      <c r="S411" s="35"/>
      <c r="T411" s="35"/>
      <c r="U411" s="35"/>
      <c r="V411" s="35"/>
      <c r="W411" s="35"/>
      <c r="X411" s="35"/>
      <c r="Y411" s="35"/>
    </row>
    <row r="412" ht="14.25" customHeight="1">
      <c r="A412" s="83"/>
      <c r="B412" s="84"/>
      <c r="C412" s="108"/>
      <c r="D412" s="102"/>
      <c r="E412" s="117"/>
      <c r="F412" s="250"/>
      <c r="G412" s="523"/>
      <c r="H412" s="36"/>
      <c r="I412" s="37"/>
      <c r="J412" s="38"/>
      <c r="K412" s="39"/>
      <c r="L412" s="38"/>
      <c r="M412" s="39"/>
      <c r="N412" s="40"/>
      <c r="O412" s="34"/>
      <c r="P412" s="35"/>
      <c r="Q412" s="35"/>
      <c r="R412" s="35"/>
      <c r="S412" s="35"/>
      <c r="T412" s="35"/>
      <c r="U412" s="35"/>
      <c r="V412" s="35"/>
      <c r="W412" s="35"/>
      <c r="X412" s="35"/>
      <c r="Y412" s="35"/>
    </row>
    <row r="413" ht="14.25" customHeight="1">
      <c r="A413" s="83"/>
      <c r="B413" s="84"/>
      <c r="C413" s="108"/>
      <c r="D413" s="102"/>
      <c r="E413" s="117"/>
      <c r="F413" s="250"/>
      <c r="G413" s="523"/>
      <c r="H413" s="36"/>
      <c r="I413" s="37"/>
      <c r="J413" s="38"/>
      <c r="K413" s="39"/>
      <c r="L413" s="38"/>
      <c r="M413" s="39"/>
      <c r="N413" s="40"/>
      <c r="O413" s="34"/>
      <c r="P413" s="35"/>
      <c r="Q413" s="35"/>
      <c r="R413" s="35"/>
      <c r="S413" s="35"/>
      <c r="T413" s="35"/>
      <c r="U413" s="35"/>
      <c r="V413" s="35"/>
      <c r="W413" s="35"/>
      <c r="X413" s="35"/>
      <c r="Y413" s="35"/>
    </row>
    <row r="414" ht="14.25" customHeight="1">
      <c r="A414" s="83"/>
      <c r="B414" s="84"/>
      <c r="C414" s="108"/>
      <c r="D414" s="102"/>
      <c r="E414" s="117"/>
      <c r="F414" s="250"/>
      <c r="G414" s="523"/>
      <c r="H414" s="36"/>
      <c r="I414" s="37"/>
      <c r="J414" s="38"/>
      <c r="K414" s="39"/>
      <c r="L414" s="38"/>
      <c r="M414" s="39"/>
      <c r="N414" s="40"/>
      <c r="O414" s="34"/>
      <c r="P414" s="35"/>
      <c r="Q414" s="35"/>
      <c r="R414" s="35"/>
      <c r="S414" s="35"/>
      <c r="T414" s="35"/>
      <c r="U414" s="35"/>
      <c r="V414" s="35"/>
      <c r="W414" s="35"/>
      <c r="X414" s="35"/>
      <c r="Y414" s="35"/>
    </row>
    <row r="415" ht="14.25" customHeight="1">
      <c r="A415" s="83"/>
      <c r="B415" s="84"/>
      <c r="C415" s="108"/>
      <c r="D415" s="102"/>
      <c r="E415" s="117"/>
      <c r="F415" s="250"/>
      <c r="G415" s="523"/>
      <c r="H415" s="36"/>
      <c r="I415" s="37"/>
      <c r="J415" s="38"/>
      <c r="K415" s="39"/>
      <c r="L415" s="38"/>
      <c r="M415" s="39"/>
      <c r="N415" s="40"/>
      <c r="O415" s="34"/>
      <c r="P415" s="35"/>
      <c r="Q415" s="35"/>
      <c r="R415" s="35"/>
      <c r="S415" s="35"/>
      <c r="T415" s="35"/>
      <c r="U415" s="35"/>
      <c r="V415" s="35"/>
      <c r="W415" s="35"/>
      <c r="X415" s="35"/>
      <c r="Y415" s="35"/>
    </row>
    <row r="416" ht="14.25" customHeight="1">
      <c r="A416" s="83"/>
      <c r="B416" s="84"/>
      <c r="C416" s="108"/>
      <c r="D416" s="102"/>
      <c r="E416" s="117"/>
      <c r="F416" s="250"/>
      <c r="G416" s="523"/>
      <c r="H416" s="36"/>
      <c r="I416" s="37"/>
      <c r="J416" s="38"/>
      <c r="K416" s="39"/>
      <c r="L416" s="38"/>
      <c r="M416" s="39"/>
      <c r="N416" s="40"/>
      <c r="O416" s="34"/>
      <c r="P416" s="35"/>
      <c r="Q416" s="35"/>
      <c r="R416" s="35"/>
      <c r="S416" s="35"/>
      <c r="T416" s="35"/>
      <c r="U416" s="35"/>
      <c r="V416" s="35"/>
      <c r="W416" s="35"/>
      <c r="X416" s="35"/>
      <c r="Y416" s="35"/>
    </row>
    <row r="417" ht="14.25" customHeight="1">
      <c r="A417" s="83"/>
      <c r="B417" s="84"/>
      <c r="C417" s="108"/>
      <c r="D417" s="102"/>
      <c r="E417" s="117"/>
      <c r="F417" s="250"/>
      <c r="G417" s="523"/>
      <c r="H417" s="36"/>
      <c r="I417" s="37"/>
      <c r="J417" s="38"/>
      <c r="K417" s="39"/>
      <c r="L417" s="38"/>
      <c r="M417" s="39"/>
      <c r="N417" s="40"/>
      <c r="O417" s="34"/>
      <c r="P417" s="35"/>
      <c r="Q417" s="35"/>
      <c r="R417" s="35"/>
      <c r="S417" s="35"/>
      <c r="T417" s="35"/>
      <c r="U417" s="35"/>
      <c r="V417" s="35"/>
      <c r="W417" s="35"/>
      <c r="X417" s="35"/>
      <c r="Y417" s="35"/>
    </row>
    <row r="418" ht="14.25" customHeight="1">
      <c r="A418" s="83"/>
      <c r="B418" s="84"/>
      <c r="C418" s="108"/>
      <c r="D418" s="102"/>
      <c r="E418" s="117"/>
      <c r="F418" s="250"/>
      <c r="G418" s="523"/>
      <c r="H418" s="36"/>
      <c r="I418" s="37"/>
      <c r="J418" s="38"/>
      <c r="K418" s="39"/>
      <c r="L418" s="38"/>
      <c r="M418" s="39"/>
      <c r="N418" s="40"/>
      <c r="O418" s="34"/>
      <c r="P418" s="35"/>
      <c r="Q418" s="35"/>
      <c r="R418" s="35"/>
      <c r="S418" s="35"/>
      <c r="T418" s="35"/>
      <c r="U418" s="35"/>
      <c r="V418" s="35"/>
      <c r="W418" s="35"/>
      <c r="X418" s="35"/>
      <c r="Y418" s="35"/>
    </row>
    <row r="419" ht="14.25" customHeight="1">
      <c r="A419" s="83"/>
      <c r="B419" s="84"/>
      <c r="C419" s="108"/>
      <c r="D419" s="102"/>
      <c r="E419" s="117"/>
      <c r="F419" s="250"/>
      <c r="G419" s="523"/>
      <c r="H419" s="36"/>
      <c r="I419" s="37"/>
      <c r="J419" s="38"/>
      <c r="K419" s="39"/>
      <c r="L419" s="38"/>
      <c r="M419" s="39"/>
      <c r="N419" s="40"/>
      <c r="O419" s="34"/>
      <c r="P419" s="35"/>
      <c r="Q419" s="35"/>
      <c r="R419" s="35"/>
      <c r="S419" s="35"/>
      <c r="T419" s="35"/>
      <c r="U419" s="35"/>
      <c r="V419" s="35"/>
      <c r="W419" s="35"/>
      <c r="X419" s="35"/>
      <c r="Y419" s="35"/>
    </row>
    <row r="420" ht="14.25" customHeight="1">
      <c r="A420" s="83"/>
      <c r="B420" s="84"/>
      <c r="C420" s="108"/>
      <c r="D420" s="102"/>
      <c r="E420" s="117"/>
      <c r="F420" s="250"/>
      <c r="G420" s="523"/>
      <c r="H420" s="36"/>
      <c r="I420" s="37"/>
      <c r="J420" s="38"/>
      <c r="K420" s="39"/>
      <c r="L420" s="38"/>
      <c r="M420" s="39"/>
      <c r="N420" s="40"/>
      <c r="O420" s="34"/>
      <c r="P420" s="35"/>
      <c r="Q420" s="35"/>
      <c r="R420" s="35"/>
      <c r="S420" s="35"/>
      <c r="T420" s="35"/>
      <c r="U420" s="35"/>
      <c r="V420" s="35"/>
      <c r="W420" s="35"/>
      <c r="X420" s="35"/>
      <c r="Y420" s="35"/>
    </row>
    <row r="421" ht="14.25" customHeight="1">
      <c r="A421" s="83"/>
      <c r="B421" s="84"/>
      <c r="C421" s="108"/>
      <c r="D421" s="102"/>
      <c r="E421" s="117"/>
      <c r="F421" s="250"/>
      <c r="G421" s="523"/>
      <c r="H421" s="36"/>
      <c r="I421" s="37"/>
      <c r="J421" s="38"/>
      <c r="K421" s="39"/>
      <c r="L421" s="38"/>
      <c r="M421" s="39"/>
      <c r="N421" s="40"/>
      <c r="O421" s="34"/>
      <c r="P421" s="35"/>
      <c r="Q421" s="35"/>
      <c r="R421" s="35"/>
      <c r="S421" s="35"/>
      <c r="T421" s="35"/>
      <c r="U421" s="35"/>
      <c r="V421" s="35"/>
      <c r="W421" s="35"/>
      <c r="X421" s="35"/>
      <c r="Y421" s="35"/>
    </row>
    <row r="422" ht="14.25" customHeight="1">
      <c r="A422" s="83"/>
      <c r="B422" s="84"/>
      <c r="C422" s="108"/>
      <c r="D422" s="102"/>
      <c r="E422" s="117"/>
      <c r="F422" s="250"/>
      <c r="G422" s="523"/>
      <c r="H422" s="36"/>
      <c r="I422" s="37"/>
      <c r="J422" s="38"/>
      <c r="K422" s="39"/>
      <c r="L422" s="38"/>
      <c r="M422" s="39"/>
      <c r="N422" s="40"/>
      <c r="O422" s="34"/>
      <c r="P422" s="35"/>
      <c r="Q422" s="35"/>
      <c r="R422" s="35"/>
      <c r="S422" s="35"/>
      <c r="T422" s="35"/>
      <c r="U422" s="35"/>
      <c r="V422" s="35"/>
      <c r="W422" s="35"/>
      <c r="X422" s="35"/>
      <c r="Y422" s="35"/>
    </row>
    <row r="423" ht="14.25" customHeight="1">
      <c r="A423" s="83"/>
      <c r="B423" s="84"/>
      <c r="C423" s="108"/>
      <c r="D423" s="102"/>
      <c r="E423" s="117"/>
      <c r="F423" s="250"/>
      <c r="G423" s="523"/>
      <c r="H423" s="36"/>
      <c r="I423" s="37"/>
      <c r="J423" s="38"/>
      <c r="K423" s="39"/>
      <c r="L423" s="38"/>
      <c r="M423" s="39"/>
      <c r="N423" s="40"/>
      <c r="O423" s="34"/>
      <c r="P423" s="35"/>
      <c r="Q423" s="35"/>
      <c r="R423" s="35"/>
      <c r="S423" s="35"/>
      <c r="T423" s="35"/>
      <c r="U423" s="35"/>
      <c r="V423" s="35"/>
      <c r="W423" s="35"/>
      <c r="X423" s="35"/>
      <c r="Y423" s="35"/>
    </row>
    <row r="424" ht="14.25" customHeight="1">
      <c r="A424" s="83"/>
      <c r="B424" s="84"/>
      <c r="C424" s="108"/>
      <c r="D424" s="102"/>
      <c r="E424" s="117"/>
      <c r="F424" s="250"/>
      <c r="G424" s="523"/>
      <c r="H424" s="36"/>
      <c r="I424" s="37"/>
      <c r="J424" s="38"/>
      <c r="K424" s="39"/>
      <c r="L424" s="38"/>
      <c r="M424" s="39"/>
      <c r="N424" s="40"/>
      <c r="O424" s="34"/>
      <c r="P424" s="35"/>
      <c r="Q424" s="35"/>
      <c r="R424" s="35"/>
      <c r="S424" s="35"/>
      <c r="T424" s="35"/>
      <c r="U424" s="35"/>
      <c r="V424" s="35"/>
      <c r="W424" s="35"/>
      <c r="X424" s="35"/>
      <c r="Y424" s="35"/>
    </row>
    <row r="425" ht="14.25" customHeight="1">
      <c r="A425" s="83"/>
      <c r="B425" s="84"/>
      <c r="C425" s="108"/>
      <c r="D425" s="102"/>
      <c r="E425" s="117"/>
      <c r="F425" s="250"/>
      <c r="G425" s="523"/>
      <c r="H425" s="36"/>
      <c r="I425" s="37"/>
      <c r="J425" s="38"/>
      <c r="K425" s="39"/>
      <c r="L425" s="38"/>
      <c r="M425" s="39"/>
      <c r="N425" s="40"/>
      <c r="O425" s="34"/>
      <c r="P425" s="35"/>
      <c r="Q425" s="35"/>
      <c r="R425" s="35"/>
      <c r="S425" s="35"/>
      <c r="T425" s="35"/>
      <c r="U425" s="35"/>
      <c r="V425" s="35"/>
      <c r="W425" s="35"/>
      <c r="X425" s="35"/>
      <c r="Y425" s="35"/>
    </row>
    <row r="426" ht="14.25" customHeight="1">
      <c r="A426" s="83"/>
      <c r="B426" s="84"/>
      <c r="C426" s="108"/>
      <c r="D426" s="102"/>
      <c r="E426" s="117"/>
      <c r="F426" s="250"/>
      <c r="G426" s="523"/>
      <c r="H426" s="36"/>
      <c r="I426" s="37"/>
      <c r="J426" s="38"/>
      <c r="K426" s="39"/>
      <c r="L426" s="38"/>
      <c r="M426" s="39"/>
      <c r="N426" s="40"/>
      <c r="O426" s="34"/>
      <c r="P426" s="35"/>
      <c r="Q426" s="35"/>
      <c r="R426" s="35"/>
      <c r="S426" s="35"/>
      <c r="T426" s="35"/>
      <c r="U426" s="35"/>
      <c r="V426" s="35"/>
      <c r="W426" s="35"/>
      <c r="X426" s="35"/>
      <c r="Y426" s="35"/>
    </row>
    <row r="427" ht="14.25" customHeight="1">
      <c r="A427" s="83"/>
      <c r="B427" s="84"/>
      <c r="C427" s="108"/>
      <c r="D427" s="102"/>
      <c r="E427" s="117"/>
      <c r="F427" s="250"/>
      <c r="G427" s="523"/>
      <c r="H427" s="36"/>
      <c r="I427" s="37"/>
      <c r="J427" s="38"/>
      <c r="K427" s="39"/>
      <c r="L427" s="38"/>
      <c r="M427" s="39"/>
      <c r="N427" s="40"/>
      <c r="O427" s="34"/>
      <c r="P427" s="35"/>
      <c r="Q427" s="35"/>
      <c r="R427" s="35"/>
      <c r="S427" s="35"/>
      <c r="T427" s="35"/>
      <c r="U427" s="35"/>
      <c r="V427" s="35"/>
      <c r="W427" s="35"/>
      <c r="X427" s="35"/>
      <c r="Y427" s="35"/>
    </row>
    <row r="428" ht="14.25" customHeight="1">
      <c r="A428" s="83"/>
      <c r="B428" s="84"/>
      <c r="C428" s="108"/>
      <c r="D428" s="102"/>
      <c r="E428" s="117"/>
      <c r="F428" s="250"/>
      <c r="G428" s="523"/>
      <c r="H428" s="36"/>
      <c r="I428" s="37"/>
      <c r="J428" s="38"/>
      <c r="K428" s="39"/>
      <c r="L428" s="38"/>
      <c r="M428" s="39"/>
      <c r="N428" s="40"/>
      <c r="O428" s="34"/>
      <c r="P428" s="35"/>
      <c r="Q428" s="35"/>
      <c r="R428" s="35"/>
      <c r="S428" s="35"/>
      <c r="T428" s="35"/>
      <c r="U428" s="35"/>
      <c r="V428" s="35"/>
      <c r="W428" s="35"/>
      <c r="X428" s="35"/>
      <c r="Y428" s="35"/>
    </row>
    <row r="429" ht="14.25" customHeight="1">
      <c r="A429" s="83"/>
      <c r="B429" s="84"/>
      <c r="C429" s="108"/>
      <c r="D429" s="102"/>
      <c r="E429" s="117"/>
      <c r="F429" s="250"/>
      <c r="G429" s="523"/>
      <c r="H429" s="36"/>
      <c r="I429" s="37"/>
      <c r="J429" s="38"/>
      <c r="K429" s="39"/>
      <c r="L429" s="38"/>
      <c r="M429" s="39"/>
      <c r="N429" s="40"/>
      <c r="O429" s="34"/>
      <c r="P429" s="35"/>
      <c r="Q429" s="35"/>
      <c r="R429" s="35"/>
      <c r="S429" s="35"/>
      <c r="T429" s="35"/>
      <c r="U429" s="35"/>
      <c r="V429" s="35"/>
      <c r="W429" s="35"/>
      <c r="X429" s="35"/>
      <c r="Y429" s="35"/>
    </row>
    <row r="430" ht="14.25" customHeight="1">
      <c r="A430" s="83"/>
      <c r="B430" s="84"/>
      <c r="C430" s="108"/>
      <c r="D430" s="102"/>
      <c r="E430" s="117"/>
      <c r="F430" s="250"/>
      <c r="G430" s="523"/>
      <c r="H430" s="36"/>
      <c r="I430" s="37"/>
      <c r="J430" s="38"/>
      <c r="K430" s="39"/>
      <c r="L430" s="38"/>
      <c r="M430" s="39"/>
      <c r="N430" s="40"/>
      <c r="O430" s="34"/>
      <c r="P430" s="35"/>
      <c r="Q430" s="35"/>
      <c r="R430" s="35"/>
      <c r="S430" s="35"/>
      <c r="T430" s="35"/>
      <c r="U430" s="35"/>
      <c r="V430" s="35"/>
      <c r="W430" s="35"/>
      <c r="X430" s="35"/>
      <c r="Y430" s="35"/>
    </row>
    <row r="431" ht="14.25" customHeight="1">
      <c r="A431" s="83"/>
      <c r="B431" s="84"/>
      <c r="C431" s="108"/>
      <c r="D431" s="102"/>
      <c r="E431" s="117"/>
      <c r="F431" s="250"/>
      <c r="G431" s="523"/>
      <c r="H431" s="36"/>
      <c r="I431" s="37"/>
      <c r="J431" s="38"/>
      <c r="K431" s="39"/>
      <c r="L431" s="38"/>
      <c r="M431" s="39"/>
      <c r="N431" s="40"/>
      <c r="O431" s="34"/>
      <c r="P431" s="35"/>
      <c r="Q431" s="35"/>
      <c r="R431" s="35"/>
      <c r="S431" s="35"/>
      <c r="T431" s="35"/>
      <c r="U431" s="35"/>
      <c r="V431" s="35"/>
      <c r="W431" s="35"/>
      <c r="X431" s="35"/>
      <c r="Y431" s="35"/>
    </row>
    <row r="432" ht="14.25" customHeight="1">
      <c r="A432" s="83"/>
      <c r="B432" s="84"/>
      <c r="C432" s="108"/>
      <c r="D432" s="102"/>
      <c r="E432" s="117"/>
      <c r="F432" s="250"/>
      <c r="G432" s="523"/>
      <c r="H432" s="36"/>
      <c r="I432" s="37"/>
      <c r="J432" s="38"/>
      <c r="K432" s="39"/>
      <c r="L432" s="38"/>
      <c r="M432" s="39"/>
      <c r="N432" s="40"/>
      <c r="O432" s="34"/>
      <c r="P432" s="35"/>
      <c r="Q432" s="35"/>
      <c r="R432" s="35"/>
      <c r="S432" s="35"/>
      <c r="T432" s="35"/>
      <c r="U432" s="35"/>
      <c r="V432" s="35"/>
      <c r="W432" s="35"/>
      <c r="X432" s="35"/>
      <c r="Y432" s="35"/>
    </row>
    <row r="433" ht="14.25" customHeight="1">
      <c r="A433" s="83"/>
      <c r="B433" s="84"/>
      <c r="C433" s="108"/>
      <c r="D433" s="102"/>
      <c r="E433" s="117"/>
      <c r="F433" s="250"/>
      <c r="G433" s="523"/>
      <c r="H433" s="36"/>
      <c r="I433" s="37"/>
      <c r="J433" s="38"/>
      <c r="K433" s="39"/>
      <c r="L433" s="38"/>
      <c r="M433" s="39"/>
      <c r="N433" s="40"/>
      <c r="O433" s="34"/>
      <c r="P433" s="35"/>
      <c r="Q433" s="35"/>
      <c r="R433" s="35"/>
      <c r="S433" s="35"/>
      <c r="T433" s="35"/>
      <c r="U433" s="35"/>
      <c r="V433" s="35"/>
      <c r="W433" s="35"/>
      <c r="X433" s="35"/>
      <c r="Y433" s="35"/>
    </row>
    <row r="434" ht="14.25" customHeight="1">
      <c r="A434" s="83"/>
      <c r="B434" s="84"/>
      <c r="C434" s="108"/>
      <c r="D434" s="102"/>
      <c r="E434" s="117"/>
      <c r="F434" s="250"/>
      <c r="G434" s="523"/>
      <c r="H434" s="36"/>
      <c r="I434" s="37"/>
      <c r="J434" s="38"/>
      <c r="K434" s="39"/>
      <c r="L434" s="38"/>
      <c r="M434" s="39"/>
      <c r="N434" s="40"/>
      <c r="O434" s="34"/>
      <c r="P434" s="35"/>
      <c r="Q434" s="35"/>
      <c r="R434" s="35"/>
      <c r="S434" s="35"/>
      <c r="T434" s="35"/>
      <c r="U434" s="35"/>
      <c r="V434" s="35"/>
      <c r="W434" s="35"/>
      <c r="X434" s="35"/>
      <c r="Y434" s="35"/>
    </row>
    <row r="435" ht="14.25" customHeight="1">
      <c r="A435" s="83"/>
      <c r="B435" s="84"/>
      <c r="C435" s="108"/>
      <c r="D435" s="102"/>
      <c r="E435" s="117"/>
      <c r="F435" s="250"/>
      <c r="G435" s="523"/>
      <c r="H435" s="36"/>
      <c r="I435" s="37"/>
      <c r="J435" s="38"/>
      <c r="K435" s="39"/>
      <c r="L435" s="38"/>
      <c r="M435" s="39"/>
      <c r="N435" s="40"/>
      <c r="O435" s="34"/>
      <c r="P435" s="35"/>
      <c r="Q435" s="35"/>
      <c r="R435" s="35"/>
      <c r="S435" s="35"/>
      <c r="T435" s="35"/>
      <c r="U435" s="35"/>
      <c r="V435" s="35"/>
      <c r="W435" s="35"/>
      <c r="X435" s="35"/>
      <c r="Y435" s="35"/>
    </row>
    <row r="436" ht="14.25" customHeight="1">
      <c r="A436" s="83"/>
      <c r="B436" s="84"/>
      <c r="C436" s="108"/>
      <c r="D436" s="102"/>
      <c r="E436" s="117"/>
      <c r="F436" s="250"/>
      <c r="G436" s="523"/>
      <c r="H436" s="36"/>
      <c r="I436" s="37"/>
      <c r="J436" s="38"/>
      <c r="K436" s="39"/>
      <c r="L436" s="38"/>
      <c r="M436" s="39"/>
      <c r="N436" s="40"/>
      <c r="O436" s="34"/>
      <c r="P436" s="35"/>
      <c r="Q436" s="35"/>
      <c r="R436" s="35"/>
      <c r="S436" s="35"/>
      <c r="T436" s="35"/>
      <c r="U436" s="35"/>
      <c r="V436" s="35"/>
      <c r="W436" s="35"/>
      <c r="X436" s="35"/>
      <c r="Y436" s="35"/>
    </row>
    <row r="437" ht="14.25" customHeight="1">
      <c r="A437" s="83"/>
      <c r="B437" s="84"/>
      <c r="C437" s="108"/>
      <c r="D437" s="102"/>
      <c r="E437" s="117"/>
      <c r="F437" s="250"/>
      <c r="G437" s="523"/>
      <c r="H437" s="36"/>
      <c r="I437" s="37"/>
      <c r="J437" s="38"/>
      <c r="K437" s="39"/>
      <c r="L437" s="38"/>
      <c r="M437" s="39"/>
      <c r="N437" s="40"/>
      <c r="O437" s="34"/>
      <c r="P437" s="35"/>
      <c r="Q437" s="35"/>
      <c r="R437" s="35"/>
      <c r="S437" s="35"/>
      <c r="T437" s="35"/>
      <c r="U437" s="35"/>
      <c r="V437" s="35"/>
      <c r="W437" s="35"/>
      <c r="X437" s="35"/>
      <c r="Y437" s="35"/>
    </row>
    <row r="438" ht="14.25" customHeight="1">
      <c r="A438" s="83"/>
      <c r="B438" s="84"/>
      <c r="C438" s="108"/>
      <c r="D438" s="102"/>
      <c r="E438" s="117"/>
      <c r="F438" s="250"/>
      <c r="G438" s="523"/>
      <c r="H438" s="36"/>
      <c r="I438" s="37"/>
      <c r="J438" s="38"/>
      <c r="K438" s="39"/>
      <c r="L438" s="38"/>
      <c r="M438" s="39"/>
      <c r="N438" s="40"/>
      <c r="O438" s="34"/>
      <c r="P438" s="35"/>
      <c r="Q438" s="35"/>
      <c r="R438" s="35"/>
      <c r="S438" s="35"/>
      <c r="T438" s="35"/>
      <c r="U438" s="35"/>
      <c r="V438" s="35"/>
      <c r="W438" s="35"/>
      <c r="X438" s="35"/>
      <c r="Y438" s="35"/>
    </row>
    <row r="439" ht="14.25" customHeight="1">
      <c r="A439" s="83"/>
      <c r="B439" s="84"/>
      <c r="C439" s="108"/>
      <c r="D439" s="102"/>
      <c r="E439" s="117"/>
      <c r="F439" s="250"/>
      <c r="G439" s="523"/>
      <c r="H439" s="36"/>
      <c r="I439" s="37"/>
      <c r="J439" s="38"/>
      <c r="K439" s="39"/>
      <c r="L439" s="38"/>
      <c r="M439" s="39"/>
      <c r="N439" s="40"/>
      <c r="O439" s="34"/>
      <c r="P439" s="35"/>
      <c r="Q439" s="35"/>
      <c r="R439" s="35"/>
      <c r="S439" s="35"/>
      <c r="T439" s="35"/>
      <c r="U439" s="35"/>
      <c r="V439" s="35"/>
      <c r="W439" s="35"/>
      <c r="X439" s="35"/>
      <c r="Y439" s="35"/>
    </row>
    <row r="440" ht="14.25" customHeight="1">
      <c r="A440" s="83"/>
      <c r="B440" s="84"/>
      <c r="C440" s="108"/>
      <c r="D440" s="102"/>
      <c r="E440" s="117"/>
      <c r="F440" s="250"/>
      <c r="G440" s="523"/>
      <c r="H440" s="36"/>
      <c r="I440" s="37"/>
      <c r="J440" s="38"/>
      <c r="K440" s="39"/>
      <c r="L440" s="38"/>
      <c r="M440" s="39"/>
      <c r="N440" s="40"/>
      <c r="O440" s="34"/>
      <c r="P440" s="35"/>
      <c r="Q440" s="35"/>
      <c r="R440" s="35"/>
      <c r="S440" s="35"/>
      <c r="T440" s="35"/>
      <c r="U440" s="35"/>
      <c r="V440" s="35"/>
      <c r="W440" s="35"/>
      <c r="X440" s="35"/>
      <c r="Y440" s="35"/>
    </row>
    <row r="441" ht="14.25" customHeight="1">
      <c r="A441" s="83"/>
      <c r="B441" s="84"/>
      <c r="C441" s="108"/>
      <c r="D441" s="102"/>
      <c r="E441" s="117"/>
      <c r="F441" s="250"/>
      <c r="G441" s="523"/>
      <c r="H441" s="36"/>
      <c r="I441" s="37"/>
      <c r="J441" s="38"/>
      <c r="K441" s="39"/>
      <c r="L441" s="38"/>
      <c r="M441" s="39"/>
      <c r="N441" s="40"/>
      <c r="O441" s="34"/>
      <c r="P441" s="35"/>
      <c r="Q441" s="35"/>
      <c r="R441" s="35"/>
      <c r="S441" s="35"/>
      <c r="T441" s="35"/>
      <c r="U441" s="35"/>
      <c r="V441" s="35"/>
      <c r="W441" s="35"/>
      <c r="X441" s="35"/>
      <c r="Y441" s="35"/>
    </row>
    <row r="442" ht="14.25" customHeight="1">
      <c r="A442" s="83"/>
      <c r="B442" s="84"/>
      <c r="C442" s="108"/>
      <c r="D442" s="102"/>
      <c r="E442" s="117"/>
      <c r="F442" s="250"/>
      <c r="G442" s="523"/>
      <c r="H442" s="36"/>
      <c r="I442" s="37"/>
      <c r="J442" s="38"/>
      <c r="K442" s="39"/>
      <c r="L442" s="38"/>
      <c r="M442" s="39"/>
      <c r="N442" s="40"/>
      <c r="O442" s="34"/>
      <c r="P442" s="35"/>
      <c r="Q442" s="35"/>
      <c r="R442" s="35"/>
      <c r="S442" s="35"/>
      <c r="T442" s="35"/>
      <c r="U442" s="35"/>
      <c r="V442" s="35"/>
      <c r="W442" s="35"/>
      <c r="X442" s="35"/>
      <c r="Y442" s="35"/>
    </row>
    <row r="443" ht="14.25" customHeight="1">
      <c r="A443" s="83"/>
      <c r="B443" s="84"/>
      <c r="C443" s="108"/>
      <c r="D443" s="102"/>
      <c r="E443" s="117"/>
      <c r="F443" s="250"/>
      <c r="G443" s="523"/>
      <c r="H443" s="36"/>
      <c r="I443" s="37"/>
      <c r="J443" s="38"/>
      <c r="K443" s="39"/>
      <c r="L443" s="38"/>
      <c r="M443" s="39"/>
      <c r="N443" s="40"/>
      <c r="O443" s="34"/>
      <c r="P443" s="35"/>
      <c r="Q443" s="35"/>
      <c r="R443" s="35"/>
      <c r="S443" s="35"/>
      <c r="T443" s="35"/>
      <c r="U443" s="35"/>
      <c r="V443" s="35"/>
      <c r="W443" s="35"/>
      <c r="X443" s="35"/>
      <c r="Y443" s="35"/>
    </row>
    <row r="444" ht="14.25" customHeight="1">
      <c r="A444" s="83"/>
      <c r="B444" s="84"/>
      <c r="C444" s="108"/>
      <c r="D444" s="102"/>
      <c r="E444" s="117"/>
      <c r="F444" s="250"/>
      <c r="G444" s="523"/>
      <c r="H444" s="36"/>
      <c r="I444" s="37"/>
      <c r="J444" s="38"/>
      <c r="K444" s="39"/>
      <c r="L444" s="38"/>
      <c r="M444" s="39"/>
      <c r="N444" s="40"/>
      <c r="O444" s="34"/>
      <c r="P444" s="35"/>
      <c r="Q444" s="35"/>
      <c r="R444" s="35"/>
      <c r="S444" s="35"/>
      <c r="T444" s="35"/>
      <c r="U444" s="35"/>
      <c r="V444" s="35"/>
      <c r="W444" s="35"/>
      <c r="X444" s="35"/>
      <c r="Y444" s="35"/>
    </row>
    <row r="445" ht="14.25" customHeight="1">
      <c r="A445" s="83"/>
      <c r="B445" s="84"/>
      <c r="C445" s="108"/>
      <c r="D445" s="102"/>
      <c r="E445" s="117"/>
      <c r="F445" s="250"/>
      <c r="G445" s="523"/>
      <c r="H445" s="36"/>
      <c r="I445" s="37"/>
      <c r="J445" s="38"/>
      <c r="K445" s="39"/>
      <c r="L445" s="38"/>
      <c r="M445" s="39"/>
      <c r="N445" s="40"/>
      <c r="O445" s="34"/>
      <c r="P445" s="35"/>
      <c r="Q445" s="35"/>
      <c r="R445" s="35"/>
      <c r="S445" s="35"/>
      <c r="T445" s="35"/>
      <c r="U445" s="35"/>
      <c r="V445" s="35"/>
      <c r="W445" s="35"/>
      <c r="X445" s="35"/>
      <c r="Y445" s="35"/>
    </row>
    <row r="446" ht="14.25" customHeight="1">
      <c r="A446" s="83"/>
      <c r="B446" s="84"/>
      <c r="C446" s="108"/>
      <c r="D446" s="102"/>
      <c r="E446" s="117"/>
      <c r="F446" s="250"/>
      <c r="G446" s="523"/>
      <c r="H446" s="36"/>
      <c r="I446" s="37"/>
      <c r="J446" s="38"/>
      <c r="K446" s="39"/>
      <c r="L446" s="38"/>
      <c r="M446" s="39"/>
      <c r="N446" s="40"/>
      <c r="O446" s="34"/>
      <c r="P446" s="35"/>
      <c r="Q446" s="35"/>
      <c r="R446" s="35"/>
      <c r="S446" s="35"/>
      <c r="T446" s="35"/>
      <c r="U446" s="35"/>
      <c r="V446" s="35"/>
      <c r="W446" s="35"/>
      <c r="X446" s="35"/>
      <c r="Y446" s="35"/>
    </row>
    <row r="447" ht="14.25" customHeight="1">
      <c r="A447" s="83"/>
      <c r="B447" s="84"/>
      <c r="C447" s="108"/>
      <c r="D447" s="102"/>
      <c r="E447" s="117"/>
      <c r="F447" s="250"/>
      <c r="G447" s="523"/>
      <c r="H447" s="36"/>
      <c r="I447" s="37"/>
      <c r="J447" s="38"/>
      <c r="K447" s="39"/>
      <c r="L447" s="38"/>
      <c r="M447" s="39"/>
      <c r="N447" s="40"/>
      <c r="O447" s="34"/>
      <c r="P447" s="35"/>
      <c r="Q447" s="35"/>
      <c r="R447" s="35"/>
      <c r="S447" s="35"/>
      <c r="T447" s="35"/>
      <c r="U447" s="35"/>
      <c r="V447" s="35"/>
      <c r="W447" s="35"/>
      <c r="X447" s="35"/>
      <c r="Y447" s="35"/>
    </row>
    <row r="448" ht="14.25" customHeight="1">
      <c r="A448" s="83"/>
      <c r="B448" s="84"/>
      <c r="C448" s="108"/>
      <c r="D448" s="102"/>
      <c r="E448" s="117"/>
      <c r="F448" s="250"/>
      <c r="G448" s="523"/>
      <c r="H448" s="36"/>
      <c r="I448" s="37"/>
      <c r="J448" s="38"/>
      <c r="K448" s="39"/>
      <c r="L448" s="38"/>
      <c r="M448" s="39"/>
      <c r="N448" s="40"/>
      <c r="O448" s="34"/>
      <c r="P448" s="35"/>
      <c r="Q448" s="35"/>
      <c r="R448" s="35"/>
      <c r="S448" s="35"/>
      <c r="T448" s="35"/>
      <c r="U448" s="35"/>
      <c r="V448" s="35"/>
      <c r="W448" s="35"/>
      <c r="X448" s="35"/>
      <c r="Y448" s="35"/>
    </row>
    <row r="449" ht="14.25" customHeight="1">
      <c r="A449" s="83"/>
      <c r="B449" s="84"/>
      <c r="C449" s="108"/>
      <c r="D449" s="102"/>
      <c r="E449" s="117"/>
      <c r="F449" s="250"/>
      <c r="G449" s="523"/>
      <c r="H449" s="36"/>
      <c r="I449" s="37"/>
      <c r="J449" s="38"/>
      <c r="K449" s="39"/>
      <c r="L449" s="38"/>
      <c r="M449" s="39"/>
      <c r="N449" s="40"/>
      <c r="O449" s="34"/>
      <c r="P449" s="35"/>
      <c r="Q449" s="35"/>
      <c r="R449" s="35"/>
      <c r="S449" s="35"/>
      <c r="T449" s="35"/>
      <c r="U449" s="35"/>
      <c r="V449" s="35"/>
      <c r="W449" s="35"/>
      <c r="X449" s="35"/>
      <c r="Y449" s="35"/>
    </row>
    <row r="450" ht="14.25" customHeight="1">
      <c r="A450" s="83"/>
      <c r="B450" s="84"/>
      <c r="C450" s="108"/>
      <c r="D450" s="102"/>
      <c r="E450" s="117"/>
      <c r="F450" s="250"/>
      <c r="G450" s="523"/>
      <c r="H450" s="36"/>
      <c r="I450" s="37"/>
      <c r="J450" s="38"/>
      <c r="K450" s="39"/>
      <c r="L450" s="38"/>
      <c r="M450" s="39"/>
      <c r="N450" s="40"/>
      <c r="O450" s="34"/>
      <c r="P450" s="35"/>
      <c r="Q450" s="35"/>
      <c r="R450" s="35"/>
      <c r="S450" s="35"/>
      <c r="T450" s="35"/>
      <c r="U450" s="35"/>
      <c r="V450" s="35"/>
      <c r="W450" s="35"/>
      <c r="X450" s="35"/>
      <c r="Y450" s="35"/>
    </row>
    <row r="451" ht="14.25" customHeight="1">
      <c r="A451" s="83"/>
      <c r="B451" s="84"/>
      <c r="C451" s="108"/>
      <c r="D451" s="102"/>
      <c r="E451" s="117"/>
      <c r="F451" s="250"/>
      <c r="G451" s="523"/>
      <c r="H451" s="36"/>
      <c r="I451" s="37"/>
      <c r="J451" s="38"/>
      <c r="K451" s="39"/>
      <c r="L451" s="38"/>
      <c r="M451" s="39"/>
      <c r="N451" s="40"/>
      <c r="O451" s="34"/>
      <c r="P451" s="35"/>
      <c r="Q451" s="35"/>
      <c r="R451" s="35"/>
      <c r="S451" s="35"/>
      <c r="T451" s="35"/>
      <c r="U451" s="35"/>
      <c r="V451" s="35"/>
      <c r="W451" s="35"/>
      <c r="X451" s="35"/>
      <c r="Y451" s="35"/>
    </row>
    <row r="452" ht="14.25" customHeight="1">
      <c r="A452" s="83"/>
      <c r="B452" s="84"/>
      <c r="C452" s="108"/>
      <c r="D452" s="102"/>
      <c r="E452" s="117"/>
      <c r="F452" s="250"/>
      <c r="G452" s="523"/>
      <c r="H452" s="36"/>
      <c r="I452" s="37"/>
      <c r="J452" s="38"/>
      <c r="K452" s="39"/>
      <c r="L452" s="38"/>
      <c r="M452" s="39"/>
      <c r="N452" s="40"/>
      <c r="O452" s="34"/>
      <c r="P452" s="35"/>
      <c r="Q452" s="35"/>
      <c r="R452" s="35"/>
      <c r="S452" s="35"/>
      <c r="T452" s="35"/>
      <c r="U452" s="35"/>
      <c r="V452" s="35"/>
      <c r="W452" s="35"/>
      <c r="X452" s="35"/>
      <c r="Y452" s="35"/>
    </row>
    <row r="453" ht="14.25" customHeight="1">
      <c r="A453" s="83"/>
      <c r="B453" s="84"/>
      <c r="C453" s="108"/>
      <c r="D453" s="102"/>
      <c r="E453" s="117"/>
      <c r="F453" s="250"/>
      <c r="G453" s="523"/>
      <c r="H453" s="36"/>
      <c r="I453" s="37"/>
      <c r="J453" s="38"/>
      <c r="K453" s="39"/>
      <c r="L453" s="38"/>
      <c r="M453" s="39"/>
      <c r="N453" s="40"/>
      <c r="O453" s="34"/>
      <c r="P453" s="35"/>
      <c r="Q453" s="35"/>
      <c r="R453" s="35"/>
      <c r="S453" s="35"/>
      <c r="T453" s="35"/>
      <c r="U453" s="35"/>
      <c r="V453" s="35"/>
      <c r="W453" s="35"/>
      <c r="X453" s="35"/>
      <c r="Y453" s="35"/>
    </row>
    <row r="454" ht="14.25" customHeight="1">
      <c r="A454" s="83"/>
      <c r="B454" s="84"/>
      <c r="C454" s="108"/>
      <c r="D454" s="102"/>
      <c r="E454" s="117"/>
      <c r="F454" s="250"/>
      <c r="G454" s="523"/>
      <c r="H454" s="36"/>
      <c r="I454" s="37"/>
      <c r="J454" s="38"/>
      <c r="K454" s="39"/>
      <c r="L454" s="38"/>
      <c r="M454" s="39"/>
      <c r="N454" s="40"/>
      <c r="O454" s="34"/>
      <c r="P454" s="35"/>
      <c r="Q454" s="35"/>
      <c r="R454" s="35"/>
      <c r="S454" s="35"/>
      <c r="T454" s="35"/>
      <c r="U454" s="35"/>
      <c r="V454" s="35"/>
      <c r="W454" s="35"/>
      <c r="X454" s="35"/>
      <c r="Y454" s="35"/>
    </row>
    <row r="455" ht="14.25" customHeight="1">
      <c r="A455" s="83"/>
      <c r="B455" s="84"/>
      <c r="C455" s="108"/>
      <c r="D455" s="102"/>
      <c r="E455" s="117"/>
      <c r="F455" s="250"/>
      <c r="G455" s="523"/>
      <c r="H455" s="36"/>
      <c r="I455" s="37"/>
      <c r="J455" s="38"/>
      <c r="K455" s="39"/>
      <c r="L455" s="38"/>
      <c r="M455" s="39"/>
      <c r="N455" s="40"/>
      <c r="O455" s="34"/>
      <c r="P455" s="35"/>
      <c r="Q455" s="35"/>
      <c r="R455" s="35"/>
      <c r="S455" s="35"/>
      <c r="T455" s="35"/>
      <c r="U455" s="35"/>
      <c r="V455" s="35"/>
      <c r="W455" s="35"/>
      <c r="X455" s="35"/>
      <c r="Y455" s="35"/>
    </row>
    <row r="456" ht="14.25" customHeight="1">
      <c r="A456" s="83"/>
      <c r="B456" s="84"/>
      <c r="C456" s="108"/>
      <c r="D456" s="102"/>
      <c r="E456" s="117"/>
      <c r="F456" s="250"/>
      <c r="G456" s="523"/>
      <c r="H456" s="36"/>
      <c r="I456" s="37"/>
      <c r="J456" s="38"/>
      <c r="K456" s="39"/>
      <c r="L456" s="38"/>
      <c r="M456" s="39"/>
      <c r="N456" s="40"/>
      <c r="O456" s="34"/>
      <c r="P456" s="35"/>
      <c r="Q456" s="35"/>
      <c r="R456" s="35"/>
      <c r="S456" s="35"/>
      <c r="T456" s="35"/>
      <c r="U456" s="35"/>
      <c r="V456" s="35"/>
      <c r="W456" s="35"/>
      <c r="X456" s="35"/>
      <c r="Y456" s="35"/>
    </row>
    <row r="457" ht="14.25" customHeight="1">
      <c r="A457" s="83"/>
      <c r="B457" s="84"/>
      <c r="C457" s="108"/>
      <c r="D457" s="102"/>
      <c r="E457" s="117"/>
      <c r="F457" s="250"/>
      <c r="G457" s="523"/>
      <c r="H457" s="36"/>
      <c r="I457" s="37"/>
      <c r="J457" s="38"/>
      <c r="K457" s="39"/>
      <c r="L457" s="38"/>
      <c r="M457" s="39"/>
      <c r="N457" s="40"/>
      <c r="O457" s="34"/>
      <c r="P457" s="35"/>
      <c r="Q457" s="35"/>
      <c r="R457" s="35"/>
      <c r="S457" s="35"/>
      <c r="T457" s="35"/>
      <c r="U457" s="35"/>
      <c r="V457" s="35"/>
      <c r="W457" s="35"/>
      <c r="X457" s="35"/>
      <c r="Y457" s="35"/>
    </row>
    <row r="458" ht="14.25" customHeight="1">
      <c r="A458" s="83"/>
      <c r="B458" s="84"/>
      <c r="C458" s="108"/>
      <c r="D458" s="102"/>
      <c r="E458" s="117"/>
      <c r="F458" s="250"/>
      <c r="G458" s="523"/>
      <c r="H458" s="36"/>
      <c r="I458" s="37"/>
      <c r="J458" s="38"/>
      <c r="K458" s="39"/>
      <c r="L458" s="38"/>
      <c r="M458" s="39"/>
      <c r="N458" s="40"/>
      <c r="O458" s="34"/>
      <c r="P458" s="35"/>
      <c r="Q458" s="35"/>
      <c r="R458" s="35"/>
      <c r="S458" s="35"/>
      <c r="T458" s="35"/>
      <c r="U458" s="35"/>
      <c r="V458" s="35"/>
      <c r="W458" s="35"/>
      <c r="X458" s="35"/>
      <c r="Y458" s="35"/>
    </row>
    <row r="459" ht="14.25" customHeight="1">
      <c r="A459" s="83"/>
      <c r="B459" s="84"/>
      <c r="C459" s="108"/>
      <c r="D459" s="102"/>
      <c r="E459" s="117"/>
      <c r="F459" s="250"/>
      <c r="G459" s="523"/>
      <c r="H459" s="36"/>
      <c r="I459" s="37"/>
      <c r="J459" s="38"/>
      <c r="K459" s="39"/>
      <c r="L459" s="38"/>
      <c r="M459" s="39"/>
      <c r="N459" s="40"/>
      <c r="O459" s="34"/>
      <c r="P459" s="35"/>
      <c r="Q459" s="35"/>
      <c r="R459" s="35"/>
      <c r="S459" s="35"/>
      <c r="T459" s="35"/>
      <c r="U459" s="35"/>
      <c r="V459" s="35"/>
      <c r="W459" s="35"/>
      <c r="X459" s="35"/>
      <c r="Y459" s="35"/>
    </row>
    <row r="460" ht="14.25" customHeight="1">
      <c r="A460" s="83"/>
      <c r="B460" s="84"/>
      <c r="C460" s="108"/>
      <c r="D460" s="102"/>
      <c r="E460" s="117"/>
      <c r="F460" s="250"/>
      <c r="G460" s="523"/>
      <c r="H460" s="36"/>
      <c r="I460" s="37"/>
      <c r="J460" s="38"/>
      <c r="K460" s="39"/>
      <c r="L460" s="38"/>
      <c r="M460" s="39"/>
      <c r="N460" s="40"/>
      <c r="O460" s="34"/>
      <c r="P460" s="35"/>
      <c r="Q460" s="35"/>
      <c r="R460" s="35"/>
      <c r="S460" s="35"/>
      <c r="T460" s="35"/>
      <c r="U460" s="35"/>
      <c r="V460" s="35"/>
      <c r="W460" s="35"/>
      <c r="X460" s="35"/>
      <c r="Y460" s="35"/>
    </row>
    <row r="461" ht="14.25" customHeight="1">
      <c r="A461" s="83"/>
      <c r="B461" s="84"/>
      <c r="C461" s="108"/>
      <c r="D461" s="102"/>
      <c r="E461" s="117"/>
      <c r="F461" s="250"/>
      <c r="G461" s="523"/>
      <c r="H461" s="36"/>
      <c r="I461" s="37"/>
      <c r="J461" s="38"/>
      <c r="K461" s="39"/>
      <c r="L461" s="38"/>
      <c r="M461" s="39"/>
      <c r="N461" s="40"/>
      <c r="O461" s="34"/>
      <c r="P461" s="35"/>
      <c r="Q461" s="35"/>
      <c r="R461" s="35"/>
      <c r="S461" s="35"/>
      <c r="T461" s="35"/>
      <c r="U461" s="35"/>
      <c r="V461" s="35"/>
      <c r="W461" s="35"/>
      <c r="X461" s="35"/>
      <c r="Y461" s="35"/>
    </row>
    <row r="462" ht="14.25" customHeight="1">
      <c r="A462" s="83"/>
      <c r="B462" s="84"/>
      <c r="C462" s="108"/>
      <c r="D462" s="102"/>
      <c r="E462" s="117"/>
      <c r="F462" s="250"/>
      <c r="G462" s="523"/>
      <c r="H462" s="36"/>
      <c r="I462" s="37"/>
      <c r="J462" s="38"/>
      <c r="K462" s="39"/>
      <c r="L462" s="38"/>
      <c r="M462" s="39"/>
      <c r="N462" s="40"/>
      <c r="O462" s="34"/>
      <c r="P462" s="35"/>
      <c r="Q462" s="35"/>
      <c r="R462" s="35"/>
      <c r="S462" s="35"/>
      <c r="T462" s="35"/>
      <c r="U462" s="35"/>
      <c r="V462" s="35"/>
      <c r="W462" s="35"/>
      <c r="X462" s="35"/>
      <c r="Y462" s="35"/>
    </row>
    <row r="463" ht="14.25" customHeight="1">
      <c r="A463" s="83"/>
      <c r="B463" s="84"/>
      <c r="C463" s="108"/>
      <c r="D463" s="102"/>
      <c r="E463" s="117"/>
      <c r="F463" s="250"/>
      <c r="G463" s="523"/>
      <c r="H463" s="36"/>
      <c r="I463" s="37"/>
      <c r="J463" s="38"/>
      <c r="K463" s="39"/>
      <c r="L463" s="38"/>
      <c r="M463" s="39"/>
      <c r="N463" s="40"/>
      <c r="O463" s="34"/>
      <c r="P463" s="35"/>
      <c r="Q463" s="35"/>
      <c r="R463" s="35"/>
      <c r="S463" s="35"/>
      <c r="T463" s="35"/>
      <c r="U463" s="35"/>
      <c r="V463" s="35"/>
      <c r="W463" s="35"/>
      <c r="X463" s="35"/>
      <c r="Y463" s="35"/>
    </row>
    <row r="464" ht="14.25" customHeight="1">
      <c r="A464" s="83"/>
      <c r="B464" s="84"/>
      <c r="C464" s="108"/>
      <c r="D464" s="102"/>
      <c r="E464" s="117"/>
      <c r="F464" s="250"/>
      <c r="G464" s="523"/>
      <c r="H464" s="36"/>
      <c r="I464" s="37"/>
      <c r="J464" s="38"/>
      <c r="K464" s="39"/>
      <c r="L464" s="38"/>
      <c r="M464" s="39"/>
      <c r="N464" s="40"/>
      <c r="O464" s="34"/>
      <c r="P464" s="35"/>
      <c r="Q464" s="35"/>
      <c r="R464" s="35"/>
      <c r="S464" s="35"/>
      <c r="T464" s="35"/>
      <c r="U464" s="35"/>
      <c r="V464" s="35"/>
      <c r="W464" s="35"/>
      <c r="X464" s="35"/>
      <c r="Y464" s="35"/>
    </row>
    <row r="465" ht="14.25" customHeight="1">
      <c r="A465" s="83"/>
      <c r="B465" s="84"/>
      <c r="C465" s="108"/>
      <c r="D465" s="102"/>
      <c r="E465" s="117"/>
      <c r="F465" s="250"/>
      <c r="G465" s="523"/>
      <c r="H465" s="36"/>
      <c r="I465" s="37"/>
      <c r="J465" s="38"/>
      <c r="K465" s="39"/>
      <c r="L465" s="38"/>
      <c r="M465" s="39"/>
      <c r="N465" s="40"/>
      <c r="O465" s="34"/>
      <c r="P465" s="35"/>
      <c r="Q465" s="35"/>
      <c r="R465" s="35"/>
      <c r="S465" s="35"/>
      <c r="T465" s="35"/>
      <c r="U465" s="35"/>
      <c r="V465" s="35"/>
      <c r="W465" s="35"/>
      <c r="X465" s="35"/>
      <c r="Y465" s="35"/>
    </row>
    <row r="466" ht="14.25" customHeight="1">
      <c r="A466" s="83"/>
      <c r="B466" s="84"/>
      <c r="C466" s="108"/>
      <c r="D466" s="102"/>
      <c r="E466" s="117"/>
      <c r="F466" s="250"/>
      <c r="G466" s="523"/>
      <c r="H466" s="36"/>
      <c r="I466" s="37"/>
      <c r="J466" s="38"/>
      <c r="K466" s="39"/>
      <c r="L466" s="38"/>
      <c r="M466" s="39"/>
      <c r="N466" s="40"/>
      <c r="O466" s="34"/>
      <c r="P466" s="35"/>
      <c r="Q466" s="35"/>
      <c r="R466" s="35"/>
      <c r="S466" s="35"/>
      <c r="T466" s="35"/>
      <c r="U466" s="35"/>
      <c r="V466" s="35"/>
      <c r="W466" s="35"/>
      <c r="X466" s="35"/>
      <c r="Y466" s="35"/>
    </row>
    <row r="467" ht="14.25" customHeight="1">
      <c r="A467" s="83"/>
      <c r="B467" s="84"/>
      <c r="C467" s="108"/>
      <c r="D467" s="102"/>
      <c r="E467" s="117"/>
      <c r="F467" s="250"/>
      <c r="G467" s="523"/>
      <c r="H467" s="36"/>
      <c r="I467" s="37"/>
      <c r="J467" s="38"/>
      <c r="K467" s="39"/>
      <c r="L467" s="38"/>
      <c r="M467" s="39"/>
      <c r="N467" s="40"/>
      <c r="O467" s="34"/>
      <c r="P467" s="35"/>
      <c r="Q467" s="35"/>
      <c r="R467" s="35"/>
      <c r="S467" s="35"/>
      <c r="T467" s="35"/>
      <c r="U467" s="35"/>
      <c r="V467" s="35"/>
      <c r="W467" s="35"/>
      <c r="X467" s="35"/>
      <c r="Y467" s="35"/>
    </row>
    <row r="468" ht="14.25" customHeight="1">
      <c r="A468" s="83"/>
      <c r="B468" s="84"/>
      <c r="C468" s="108"/>
      <c r="D468" s="102"/>
      <c r="E468" s="117"/>
      <c r="F468" s="250"/>
      <c r="G468" s="523"/>
      <c r="H468" s="36"/>
      <c r="I468" s="37"/>
      <c r="J468" s="38"/>
      <c r="K468" s="39"/>
      <c r="L468" s="38"/>
      <c r="M468" s="39"/>
      <c r="N468" s="40"/>
      <c r="O468" s="34"/>
      <c r="P468" s="35"/>
      <c r="Q468" s="35"/>
      <c r="R468" s="35"/>
      <c r="S468" s="35"/>
      <c r="T468" s="35"/>
      <c r="U468" s="35"/>
      <c r="V468" s="35"/>
      <c r="W468" s="35"/>
      <c r="X468" s="35"/>
      <c r="Y468" s="35"/>
    </row>
    <row r="469" ht="14.25" customHeight="1">
      <c r="A469" s="83"/>
      <c r="B469" s="84"/>
      <c r="C469" s="108"/>
      <c r="D469" s="102"/>
      <c r="E469" s="117"/>
      <c r="F469" s="250"/>
      <c r="G469" s="523"/>
      <c r="H469" s="36"/>
      <c r="I469" s="37"/>
      <c r="J469" s="38"/>
      <c r="K469" s="39"/>
      <c r="L469" s="38"/>
      <c r="M469" s="39"/>
      <c r="N469" s="40"/>
      <c r="O469" s="34"/>
      <c r="P469" s="35"/>
      <c r="Q469" s="35"/>
      <c r="R469" s="35"/>
      <c r="S469" s="35"/>
      <c r="T469" s="35"/>
      <c r="U469" s="35"/>
      <c r="V469" s="35"/>
      <c r="W469" s="35"/>
      <c r="X469" s="35"/>
      <c r="Y469" s="35"/>
    </row>
    <row r="470" ht="14.25" customHeight="1">
      <c r="A470" s="83"/>
      <c r="B470" s="84"/>
      <c r="C470" s="108"/>
      <c r="D470" s="102"/>
      <c r="E470" s="117"/>
      <c r="F470" s="250"/>
      <c r="G470" s="523"/>
      <c r="H470" s="36"/>
      <c r="I470" s="37"/>
      <c r="J470" s="38"/>
      <c r="K470" s="39"/>
      <c r="L470" s="38"/>
      <c r="M470" s="39"/>
      <c r="N470" s="40"/>
      <c r="O470" s="34"/>
      <c r="P470" s="35"/>
      <c r="Q470" s="35"/>
      <c r="R470" s="35"/>
      <c r="S470" s="35"/>
      <c r="T470" s="35"/>
      <c r="U470" s="35"/>
      <c r="V470" s="35"/>
      <c r="W470" s="35"/>
      <c r="X470" s="35"/>
      <c r="Y470" s="35"/>
    </row>
    <row r="471" ht="14.25" customHeight="1">
      <c r="A471" s="83"/>
      <c r="B471" s="84"/>
      <c r="C471" s="108"/>
      <c r="D471" s="102"/>
      <c r="E471" s="117"/>
      <c r="F471" s="250"/>
      <c r="G471" s="523"/>
      <c r="H471" s="36"/>
      <c r="I471" s="37"/>
      <c r="J471" s="38"/>
      <c r="K471" s="39"/>
      <c r="L471" s="38"/>
      <c r="M471" s="39"/>
      <c r="N471" s="40"/>
      <c r="O471" s="34"/>
      <c r="P471" s="35"/>
      <c r="Q471" s="35"/>
      <c r="R471" s="35"/>
      <c r="S471" s="35"/>
      <c r="T471" s="35"/>
      <c r="U471" s="35"/>
      <c r="V471" s="35"/>
      <c r="W471" s="35"/>
      <c r="X471" s="35"/>
      <c r="Y471" s="35"/>
    </row>
    <row r="472" ht="14.25" customHeight="1">
      <c r="A472" s="83"/>
      <c r="B472" s="84"/>
      <c r="C472" s="108"/>
      <c r="D472" s="102"/>
      <c r="E472" s="117"/>
      <c r="F472" s="250"/>
      <c r="G472" s="523"/>
      <c r="H472" s="36"/>
      <c r="I472" s="37"/>
      <c r="J472" s="38"/>
      <c r="K472" s="39"/>
      <c r="L472" s="38"/>
      <c r="M472" s="39"/>
      <c r="N472" s="40"/>
      <c r="O472" s="34"/>
      <c r="P472" s="35"/>
      <c r="Q472" s="35"/>
      <c r="R472" s="35"/>
      <c r="S472" s="35"/>
      <c r="T472" s="35"/>
      <c r="U472" s="35"/>
      <c r="V472" s="35"/>
      <c r="W472" s="35"/>
      <c r="X472" s="35"/>
      <c r="Y472" s="35"/>
    </row>
    <row r="473" ht="14.25" customHeight="1">
      <c r="A473" s="83"/>
      <c r="B473" s="84"/>
      <c r="C473" s="108"/>
      <c r="D473" s="102"/>
      <c r="E473" s="117"/>
      <c r="F473" s="250"/>
      <c r="G473" s="523"/>
      <c r="H473" s="36"/>
      <c r="I473" s="37"/>
      <c r="J473" s="38"/>
      <c r="K473" s="39"/>
      <c r="L473" s="38"/>
      <c r="M473" s="39"/>
      <c r="N473" s="40"/>
      <c r="O473" s="34"/>
      <c r="P473" s="35"/>
      <c r="Q473" s="35"/>
      <c r="R473" s="35"/>
      <c r="S473" s="35"/>
      <c r="T473" s="35"/>
      <c r="U473" s="35"/>
      <c r="V473" s="35"/>
      <c r="W473" s="35"/>
      <c r="X473" s="35"/>
      <c r="Y473" s="35"/>
    </row>
    <row r="474" ht="14.25" customHeight="1">
      <c r="A474" s="83"/>
      <c r="B474" s="84"/>
      <c r="C474" s="108"/>
      <c r="D474" s="102"/>
      <c r="E474" s="117"/>
      <c r="F474" s="250"/>
      <c r="G474" s="523"/>
      <c r="H474" s="36"/>
      <c r="I474" s="37"/>
      <c r="J474" s="38"/>
      <c r="K474" s="39"/>
      <c r="L474" s="38"/>
      <c r="M474" s="39"/>
      <c r="N474" s="40"/>
      <c r="O474" s="34"/>
      <c r="P474" s="35"/>
      <c r="Q474" s="35"/>
      <c r="R474" s="35"/>
      <c r="S474" s="35"/>
      <c r="T474" s="35"/>
      <c r="U474" s="35"/>
      <c r="V474" s="35"/>
      <c r="W474" s="35"/>
      <c r="X474" s="35"/>
      <c r="Y474" s="35"/>
    </row>
    <row r="475" ht="14.25" customHeight="1">
      <c r="A475" s="83"/>
      <c r="B475" s="84"/>
      <c r="C475" s="108"/>
      <c r="D475" s="102"/>
      <c r="E475" s="117"/>
      <c r="F475" s="250"/>
      <c r="G475" s="523"/>
      <c r="H475" s="36"/>
      <c r="I475" s="37"/>
      <c r="J475" s="38"/>
      <c r="K475" s="39"/>
      <c r="L475" s="38"/>
      <c r="M475" s="39"/>
      <c r="N475" s="40"/>
      <c r="O475" s="34"/>
      <c r="P475" s="35"/>
      <c r="Q475" s="35"/>
      <c r="R475" s="35"/>
      <c r="S475" s="35"/>
      <c r="T475" s="35"/>
      <c r="U475" s="35"/>
      <c r="V475" s="35"/>
      <c r="W475" s="35"/>
      <c r="X475" s="35"/>
      <c r="Y475" s="35"/>
    </row>
    <row r="476" ht="14.25" customHeight="1">
      <c r="A476" s="83"/>
      <c r="B476" s="84"/>
      <c r="C476" s="108"/>
      <c r="D476" s="102"/>
      <c r="E476" s="117"/>
      <c r="F476" s="250"/>
      <c r="G476" s="523"/>
      <c r="H476" s="36"/>
      <c r="I476" s="37"/>
      <c r="J476" s="38"/>
      <c r="K476" s="39"/>
      <c r="L476" s="38"/>
      <c r="M476" s="39"/>
      <c r="N476" s="40"/>
      <c r="O476" s="34"/>
      <c r="P476" s="35"/>
      <c r="Q476" s="35"/>
      <c r="R476" s="35"/>
      <c r="S476" s="35"/>
      <c r="T476" s="35"/>
      <c r="U476" s="35"/>
      <c r="V476" s="35"/>
      <c r="W476" s="35"/>
      <c r="X476" s="35"/>
      <c r="Y476" s="35"/>
    </row>
    <row r="477" ht="14.25" customHeight="1">
      <c r="A477" s="83"/>
      <c r="B477" s="84"/>
      <c r="C477" s="108"/>
      <c r="D477" s="102"/>
      <c r="E477" s="117"/>
      <c r="F477" s="250"/>
      <c r="G477" s="523"/>
      <c r="H477" s="36"/>
      <c r="I477" s="37"/>
      <c r="J477" s="38"/>
      <c r="K477" s="39"/>
      <c r="L477" s="38"/>
      <c r="M477" s="39"/>
      <c r="N477" s="40"/>
      <c r="O477" s="34"/>
      <c r="P477" s="35"/>
      <c r="Q477" s="35"/>
      <c r="R477" s="35"/>
      <c r="S477" s="35"/>
      <c r="T477" s="35"/>
      <c r="U477" s="35"/>
      <c r="V477" s="35"/>
      <c r="W477" s="35"/>
      <c r="X477" s="35"/>
      <c r="Y477" s="35"/>
    </row>
    <row r="478" ht="14.25" customHeight="1">
      <c r="A478" s="83"/>
      <c r="B478" s="84"/>
      <c r="C478" s="108"/>
      <c r="D478" s="102"/>
      <c r="E478" s="117"/>
      <c r="F478" s="250"/>
      <c r="G478" s="523"/>
      <c r="H478" s="36"/>
      <c r="I478" s="37"/>
      <c r="J478" s="38"/>
      <c r="K478" s="39"/>
      <c r="L478" s="38"/>
      <c r="M478" s="39"/>
      <c r="N478" s="40"/>
      <c r="O478" s="34"/>
      <c r="P478" s="35"/>
      <c r="Q478" s="35"/>
      <c r="R478" s="35"/>
      <c r="S478" s="35"/>
      <c r="T478" s="35"/>
      <c r="U478" s="35"/>
      <c r="V478" s="35"/>
      <c r="W478" s="35"/>
      <c r="X478" s="35"/>
      <c r="Y478" s="35"/>
    </row>
    <row r="479" ht="14.25" customHeight="1">
      <c r="A479" s="83"/>
      <c r="B479" s="84"/>
      <c r="C479" s="108"/>
      <c r="D479" s="102"/>
      <c r="E479" s="117"/>
      <c r="F479" s="250"/>
      <c r="G479" s="523"/>
      <c r="H479" s="36"/>
      <c r="I479" s="37"/>
      <c r="J479" s="38"/>
      <c r="K479" s="39"/>
      <c r="L479" s="38"/>
      <c r="M479" s="39"/>
      <c r="N479" s="40"/>
      <c r="O479" s="34"/>
      <c r="P479" s="35"/>
      <c r="Q479" s="35"/>
      <c r="R479" s="35"/>
      <c r="S479" s="35"/>
      <c r="T479" s="35"/>
      <c r="U479" s="35"/>
      <c r="V479" s="35"/>
      <c r="W479" s="35"/>
      <c r="X479" s="35"/>
      <c r="Y479" s="35"/>
    </row>
    <row r="480" ht="14.25" customHeight="1">
      <c r="A480" s="83"/>
      <c r="B480" s="84"/>
      <c r="C480" s="108"/>
      <c r="D480" s="102"/>
      <c r="E480" s="117"/>
      <c r="F480" s="250"/>
      <c r="G480" s="523"/>
      <c r="H480" s="36"/>
      <c r="I480" s="37"/>
      <c r="J480" s="38"/>
      <c r="K480" s="39"/>
      <c r="L480" s="38"/>
      <c r="M480" s="39"/>
      <c r="N480" s="40"/>
      <c r="O480" s="34"/>
      <c r="P480" s="35"/>
      <c r="Q480" s="35"/>
      <c r="R480" s="35"/>
      <c r="S480" s="35"/>
      <c r="T480" s="35"/>
      <c r="U480" s="35"/>
      <c r="V480" s="35"/>
      <c r="W480" s="35"/>
      <c r="X480" s="35"/>
      <c r="Y480" s="35"/>
    </row>
    <row r="481" ht="14.25" customHeight="1">
      <c r="A481" s="83"/>
      <c r="B481" s="84"/>
      <c r="C481" s="108"/>
      <c r="D481" s="102"/>
      <c r="E481" s="117"/>
      <c r="F481" s="250"/>
      <c r="G481" s="523"/>
      <c r="H481" s="36"/>
      <c r="I481" s="37"/>
      <c r="J481" s="38"/>
      <c r="K481" s="39"/>
      <c r="L481" s="38"/>
      <c r="M481" s="39"/>
      <c r="N481" s="40"/>
      <c r="O481" s="34"/>
      <c r="P481" s="35"/>
      <c r="Q481" s="35"/>
      <c r="R481" s="35"/>
      <c r="S481" s="35"/>
      <c r="T481" s="35"/>
      <c r="U481" s="35"/>
      <c r="V481" s="35"/>
      <c r="W481" s="35"/>
      <c r="X481" s="35"/>
      <c r="Y481" s="35"/>
    </row>
    <row r="482" ht="14.25" customHeight="1">
      <c r="A482" s="83"/>
      <c r="B482" s="84"/>
      <c r="C482" s="108"/>
      <c r="D482" s="102"/>
      <c r="E482" s="117"/>
      <c r="F482" s="250"/>
      <c r="G482" s="523"/>
      <c r="H482" s="36"/>
      <c r="I482" s="37"/>
      <c r="J482" s="38"/>
      <c r="K482" s="39"/>
      <c r="L482" s="38"/>
      <c r="M482" s="39"/>
      <c r="N482" s="40"/>
      <c r="O482" s="34"/>
      <c r="P482" s="35"/>
      <c r="Q482" s="35"/>
      <c r="R482" s="35"/>
      <c r="S482" s="35"/>
      <c r="T482" s="35"/>
      <c r="U482" s="35"/>
      <c r="V482" s="35"/>
      <c r="W482" s="35"/>
      <c r="X482" s="35"/>
      <c r="Y482" s="35"/>
    </row>
    <row r="483" ht="14.25" customHeight="1">
      <c r="A483" s="83"/>
      <c r="B483" s="84"/>
      <c r="C483" s="108"/>
      <c r="D483" s="102"/>
      <c r="E483" s="117"/>
      <c r="F483" s="250"/>
      <c r="G483" s="523"/>
      <c r="H483" s="36"/>
      <c r="I483" s="37"/>
      <c r="J483" s="38"/>
      <c r="K483" s="39"/>
      <c r="L483" s="38"/>
      <c r="M483" s="39"/>
      <c r="N483" s="40"/>
      <c r="O483" s="34"/>
      <c r="P483" s="35"/>
      <c r="Q483" s="35"/>
      <c r="R483" s="35"/>
      <c r="S483" s="35"/>
      <c r="T483" s="35"/>
      <c r="U483" s="35"/>
      <c r="V483" s="35"/>
      <c r="W483" s="35"/>
      <c r="X483" s="35"/>
      <c r="Y483" s="35"/>
    </row>
    <row r="484" ht="14.25" customHeight="1">
      <c r="A484" s="83"/>
      <c r="B484" s="84"/>
      <c r="C484" s="108"/>
      <c r="D484" s="102"/>
      <c r="E484" s="117"/>
      <c r="F484" s="250"/>
      <c r="G484" s="523"/>
      <c r="H484" s="36"/>
      <c r="I484" s="37"/>
      <c r="J484" s="38"/>
      <c r="K484" s="39"/>
      <c r="L484" s="38"/>
      <c r="M484" s="39"/>
      <c r="N484" s="40"/>
      <c r="O484" s="34"/>
      <c r="P484" s="35"/>
      <c r="Q484" s="35"/>
      <c r="R484" s="35"/>
      <c r="S484" s="35"/>
      <c r="T484" s="35"/>
      <c r="U484" s="35"/>
      <c r="V484" s="35"/>
      <c r="W484" s="35"/>
      <c r="X484" s="35"/>
      <c r="Y484" s="35"/>
    </row>
    <row r="485" ht="14.25" customHeight="1">
      <c r="A485" s="83"/>
      <c r="B485" s="84"/>
      <c r="C485" s="108"/>
      <c r="D485" s="102"/>
      <c r="E485" s="117"/>
      <c r="F485" s="250"/>
      <c r="G485" s="523"/>
      <c r="H485" s="36"/>
      <c r="I485" s="37"/>
      <c r="J485" s="38"/>
      <c r="K485" s="39"/>
      <c r="L485" s="38"/>
      <c r="M485" s="39"/>
      <c r="N485" s="40"/>
      <c r="O485" s="34"/>
      <c r="P485" s="35"/>
      <c r="Q485" s="35"/>
      <c r="R485" s="35"/>
      <c r="S485" s="35"/>
      <c r="T485" s="35"/>
      <c r="U485" s="35"/>
      <c r="V485" s="35"/>
      <c r="W485" s="35"/>
      <c r="X485" s="35"/>
      <c r="Y485" s="35"/>
    </row>
    <row r="486" ht="14.25" customHeight="1">
      <c r="A486" s="83"/>
      <c r="B486" s="84"/>
      <c r="C486" s="108"/>
      <c r="D486" s="102"/>
      <c r="E486" s="117"/>
      <c r="F486" s="250"/>
      <c r="G486" s="523"/>
      <c r="H486" s="36"/>
      <c r="I486" s="37"/>
      <c r="J486" s="38"/>
      <c r="K486" s="39"/>
      <c r="L486" s="38"/>
      <c r="M486" s="39"/>
      <c r="N486" s="40"/>
      <c r="O486" s="34"/>
      <c r="P486" s="35"/>
      <c r="Q486" s="35"/>
      <c r="R486" s="35"/>
      <c r="S486" s="35"/>
      <c r="T486" s="35"/>
      <c r="U486" s="35"/>
      <c r="V486" s="35"/>
      <c r="W486" s="35"/>
      <c r="X486" s="35"/>
      <c r="Y486" s="35"/>
    </row>
    <row r="487" ht="14.25" customHeight="1">
      <c r="A487" s="83"/>
      <c r="B487" s="84"/>
      <c r="C487" s="108"/>
      <c r="D487" s="102"/>
      <c r="E487" s="117"/>
      <c r="F487" s="250"/>
      <c r="G487" s="523"/>
      <c r="H487" s="36"/>
      <c r="I487" s="37"/>
      <c r="J487" s="38"/>
      <c r="K487" s="39"/>
      <c r="L487" s="38"/>
      <c r="M487" s="39"/>
      <c r="N487" s="40"/>
      <c r="O487" s="34"/>
      <c r="P487" s="35"/>
      <c r="Q487" s="35"/>
      <c r="R487" s="35"/>
      <c r="S487" s="35"/>
      <c r="T487" s="35"/>
      <c r="U487" s="35"/>
      <c r="V487" s="35"/>
      <c r="W487" s="35"/>
      <c r="X487" s="35"/>
      <c r="Y487" s="35"/>
    </row>
    <row r="488" ht="14.25" customHeight="1">
      <c r="A488" s="83"/>
      <c r="B488" s="84"/>
      <c r="C488" s="108"/>
      <c r="D488" s="102"/>
      <c r="E488" s="117"/>
      <c r="F488" s="250"/>
      <c r="G488" s="523"/>
      <c r="H488" s="36"/>
      <c r="I488" s="37"/>
      <c r="J488" s="38"/>
      <c r="K488" s="39"/>
      <c r="L488" s="38"/>
      <c r="M488" s="39"/>
      <c r="N488" s="40"/>
      <c r="O488" s="34"/>
      <c r="P488" s="35"/>
      <c r="Q488" s="35"/>
      <c r="R488" s="35"/>
      <c r="S488" s="35"/>
      <c r="T488" s="35"/>
      <c r="U488" s="35"/>
      <c r="V488" s="35"/>
      <c r="W488" s="35"/>
      <c r="X488" s="35"/>
      <c r="Y488" s="35"/>
    </row>
    <row r="489" ht="14.25" customHeight="1">
      <c r="A489" s="83"/>
      <c r="B489" s="84"/>
      <c r="C489" s="108"/>
      <c r="D489" s="102"/>
      <c r="E489" s="117"/>
      <c r="F489" s="250"/>
      <c r="G489" s="523"/>
      <c r="H489" s="36"/>
      <c r="I489" s="37"/>
      <c r="J489" s="38"/>
      <c r="K489" s="39"/>
      <c r="L489" s="38"/>
      <c r="M489" s="39"/>
      <c r="N489" s="40"/>
      <c r="O489" s="34"/>
      <c r="P489" s="35"/>
      <c r="Q489" s="35"/>
      <c r="R489" s="35"/>
      <c r="S489" s="35"/>
      <c r="T489" s="35"/>
      <c r="U489" s="35"/>
      <c r="V489" s="35"/>
      <c r="W489" s="35"/>
      <c r="X489" s="35"/>
      <c r="Y489" s="35"/>
    </row>
    <row r="490" ht="14.25" customHeight="1">
      <c r="A490" s="83"/>
      <c r="B490" s="84"/>
      <c r="C490" s="108"/>
      <c r="D490" s="102"/>
      <c r="E490" s="117"/>
      <c r="F490" s="250"/>
      <c r="G490" s="523"/>
      <c r="H490" s="36"/>
      <c r="I490" s="37"/>
      <c r="J490" s="38"/>
      <c r="K490" s="39"/>
      <c r="L490" s="38"/>
      <c r="M490" s="39"/>
      <c r="N490" s="40"/>
      <c r="O490" s="34"/>
      <c r="P490" s="35"/>
      <c r="Q490" s="35"/>
      <c r="R490" s="35"/>
      <c r="S490" s="35"/>
      <c r="T490" s="35"/>
      <c r="U490" s="35"/>
      <c r="V490" s="35"/>
      <c r="W490" s="35"/>
      <c r="X490" s="35"/>
      <c r="Y490" s="35"/>
    </row>
    <row r="491" ht="14.25" customHeight="1">
      <c r="A491" s="83"/>
      <c r="B491" s="84"/>
      <c r="C491" s="108"/>
      <c r="D491" s="102"/>
      <c r="E491" s="117"/>
      <c r="F491" s="250"/>
      <c r="G491" s="523"/>
      <c r="H491" s="36"/>
      <c r="I491" s="37"/>
      <c r="J491" s="38"/>
      <c r="K491" s="39"/>
      <c r="L491" s="38"/>
      <c r="M491" s="39"/>
      <c r="N491" s="40"/>
      <c r="O491" s="34"/>
      <c r="P491" s="35"/>
      <c r="Q491" s="35"/>
      <c r="R491" s="35"/>
      <c r="S491" s="35"/>
      <c r="T491" s="35"/>
      <c r="U491" s="35"/>
      <c r="V491" s="35"/>
      <c r="W491" s="35"/>
      <c r="X491" s="35"/>
      <c r="Y491" s="35"/>
    </row>
    <row r="492" ht="14.25" customHeight="1">
      <c r="A492" s="83"/>
      <c r="B492" s="84"/>
      <c r="C492" s="108"/>
      <c r="D492" s="102"/>
      <c r="E492" s="117"/>
      <c r="F492" s="250"/>
      <c r="G492" s="523"/>
      <c r="H492" s="36"/>
      <c r="I492" s="37"/>
      <c r="J492" s="38"/>
      <c r="K492" s="39"/>
      <c r="L492" s="38"/>
      <c r="M492" s="39"/>
      <c r="N492" s="40"/>
      <c r="O492" s="34"/>
      <c r="P492" s="35"/>
      <c r="Q492" s="35"/>
      <c r="R492" s="35"/>
      <c r="S492" s="35"/>
      <c r="T492" s="35"/>
      <c r="U492" s="35"/>
      <c r="V492" s="35"/>
      <c r="W492" s="35"/>
      <c r="X492" s="35"/>
      <c r="Y492" s="35"/>
    </row>
    <row r="493" ht="14.25" customHeight="1">
      <c r="A493" s="83"/>
      <c r="B493" s="84"/>
      <c r="C493" s="108"/>
      <c r="D493" s="102"/>
      <c r="E493" s="117"/>
      <c r="F493" s="250"/>
      <c r="G493" s="523"/>
      <c r="H493" s="36"/>
      <c r="I493" s="37"/>
      <c r="J493" s="38"/>
      <c r="K493" s="39"/>
      <c r="L493" s="38"/>
      <c r="M493" s="39"/>
      <c r="N493" s="40"/>
      <c r="O493" s="34"/>
      <c r="P493" s="35"/>
      <c r="Q493" s="35"/>
      <c r="R493" s="35"/>
      <c r="S493" s="35"/>
      <c r="T493" s="35"/>
      <c r="U493" s="35"/>
      <c r="V493" s="35"/>
      <c r="W493" s="35"/>
      <c r="X493" s="35"/>
      <c r="Y493" s="35"/>
    </row>
    <row r="494" ht="14.25" customHeight="1">
      <c r="A494" s="83"/>
      <c r="B494" s="84"/>
      <c r="C494" s="108"/>
      <c r="D494" s="102"/>
      <c r="E494" s="117"/>
      <c r="F494" s="250"/>
      <c r="G494" s="523"/>
      <c r="H494" s="36"/>
      <c r="I494" s="37"/>
      <c r="J494" s="38"/>
      <c r="K494" s="39"/>
      <c r="L494" s="38"/>
      <c r="M494" s="39"/>
      <c r="N494" s="40"/>
      <c r="O494" s="34"/>
      <c r="P494" s="35"/>
      <c r="Q494" s="35"/>
      <c r="R494" s="35"/>
      <c r="S494" s="35"/>
      <c r="T494" s="35"/>
      <c r="U494" s="35"/>
      <c r="V494" s="35"/>
      <c r="W494" s="35"/>
      <c r="X494" s="35"/>
      <c r="Y494" s="35"/>
    </row>
    <row r="495" ht="14.25" customHeight="1">
      <c r="A495" s="83"/>
      <c r="B495" s="84"/>
      <c r="C495" s="108"/>
      <c r="D495" s="102"/>
      <c r="E495" s="117"/>
      <c r="F495" s="250"/>
      <c r="G495" s="523"/>
      <c r="H495" s="36"/>
      <c r="I495" s="37"/>
      <c r="J495" s="38"/>
      <c r="K495" s="39"/>
      <c r="L495" s="38"/>
      <c r="M495" s="39"/>
      <c r="N495" s="40"/>
      <c r="O495" s="34"/>
      <c r="P495" s="35"/>
      <c r="Q495" s="35"/>
      <c r="R495" s="35"/>
      <c r="S495" s="35"/>
      <c r="T495" s="35"/>
      <c r="U495" s="35"/>
      <c r="V495" s="35"/>
      <c r="W495" s="35"/>
      <c r="X495" s="35"/>
      <c r="Y495" s="35"/>
    </row>
    <row r="496" ht="14.25" customHeight="1">
      <c r="A496" s="83"/>
      <c r="B496" s="84"/>
      <c r="C496" s="108"/>
      <c r="D496" s="102"/>
      <c r="E496" s="117"/>
      <c r="F496" s="250"/>
      <c r="G496" s="523"/>
      <c r="H496" s="36"/>
      <c r="I496" s="37"/>
      <c r="J496" s="38"/>
      <c r="K496" s="39"/>
      <c r="L496" s="38"/>
      <c r="M496" s="39"/>
      <c r="N496" s="40"/>
      <c r="O496" s="34"/>
      <c r="P496" s="35"/>
      <c r="Q496" s="35"/>
      <c r="R496" s="35"/>
      <c r="S496" s="35"/>
      <c r="T496" s="35"/>
      <c r="U496" s="35"/>
      <c r="V496" s="35"/>
      <c r="W496" s="35"/>
      <c r="X496" s="35"/>
      <c r="Y496" s="35"/>
    </row>
    <row r="497" ht="14.25" customHeight="1">
      <c r="A497" s="83"/>
      <c r="B497" s="84"/>
      <c r="C497" s="108"/>
      <c r="D497" s="102"/>
      <c r="E497" s="117"/>
      <c r="F497" s="250"/>
      <c r="G497" s="523"/>
      <c r="H497" s="36"/>
      <c r="I497" s="37"/>
      <c r="J497" s="38"/>
      <c r="K497" s="39"/>
      <c r="L497" s="38"/>
      <c r="M497" s="39"/>
      <c r="N497" s="40"/>
      <c r="O497" s="34"/>
      <c r="P497" s="35"/>
      <c r="Q497" s="35"/>
      <c r="R497" s="35"/>
      <c r="S497" s="35"/>
      <c r="T497" s="35"/>
      <c r="U497" s="35"/>
      <c r="V497" s="35"/>
      <c r="W497" s="35"/>
      <c r="X497" s="35"/>
      <c r="Y497" s="35"/>
    </row>
    <row r="498" ht="14.25" customHeight="1">
      <c r="A498" s="83"/>
      <c r="B498" s="84"/>
      <c r="C498" s="108"/>
      <c r="D498" s="102"/>
      <c r="E498" s="117"/>
      <c r="F498" s="250"/>
      <c r="G498" s="523"/>
      <c r="H498" s="36"/>
      <c r="I498" s="37"/>
      <c r="J498" s="38"/>
      <c r="K498" s="39"/>
      <c r="L498" s="38"/>
      <c r="M498" s="39"/>
      <c r="N498" s="40"/>
      <c r="O498" s="34"/>
      <c r="P498" s="35"/>
      <c r="Q498" s="35"/>
      <c r="R498" s="35"/>
      <c r="S498" s="35"/>
      <c r="T498" s="35"/>
      <c r="U498" s="35"/>
      <c r="V498" s="35"/>
      <c r="W498" s="35"/>
      <c r="X498" s="35"/>
      <c r="Y498" s="35"/>
    </row>
    <row r="499" ht="14.25" customHeight="1">
      <c r="A499" s="83"/>
      <c r="B499" s="84"/>
      <c r="C499" s="108"/>
      <c r="D499" s="102"/>
      <c r="E499" s="117"/>
      <c r="F499" s="250"/>
      <c r="G499" s="523"/>
      <c r="H499" s="36"/>
      <c r="I499" s="37"/>
      <c r="J499" s="38"/>
      <c r="K499" s="39"/>
      <c r="L499" s="38"/>
      <c r="M499" s="39"/>
      <c r="N499" s="40"/>
      <c r="O499" s="34"/>
      <c r="P499" s="35"/>
      <c r="Q499" s="35"/>
      <c r="R499" s="35"/>
      <c r="S499" s="35"/>
      <c r="T499" s="35"/>
      <c r="U499" s="35"/>
      <c r="V499" s="35"/>
      <c r="W499" s="35"/>
      <c r="X499" s="35"/>
      <c r="Y499" s="35"/>
    </row>
    <row r="500" ht="14.25" customHeight="1">
      <c r="A500" s="83"/>
      <c r="B500" s="84"/>
      <c r="C500" s="108"/>
      <c r="D500" s="102"/>
      <c r="E500" s="117"/>
      <c r="F500" s="250"/>
      <c r="G500" s="523"/>
      <c r="H500" s="36"/>
      <c r="I500" s="37"/>
      <c r="J500" s="38"/>
      <c r="K500" s="39"/>
      <c r="L500" s="38"/>
      <c r="M500" s="39"/>
      <c r="N500" s="40"/>
      <c r="O500" s="34"/>
      <c r="P500" s="35"/>
      <c r="Q500" s="35"/>
      <c r="R500" s="35"/>
      <c r="S500" s="35"/>
      <c r="T500" s="35"/>
      <c r="U500" s="35"/>
      <c r="V500" s="35"/>
      <c r="W500" s="35"/>
      <c r="X500" s="35"/>
      <c r="Y500" s="35"/>
    </row>
    <row r="501" ht="14.25" customHeight="1">
      <c r="A501" s="83"/>
      <c r="B501" s="84"/>
      <c r="C501" s="108"/>
      <c r="D501" s="102"/>
      <c r="E501" s="117"/>
      <c r="F501" s="250"/>
      <c r="G501" s="523"/>
      <c r="H501" s="36"/>
      <c r="I501" s="37"/>
      <c r="J501" s="38"/>
      <c r="K501" s="39"/>
      <c r="L501" s="38"/>
      <c r="M501" s="39"/>
      <c r="N501" s="40"/>
      <c r="O501" s="34"/>
      <c r="P501" s="35"/>
      <c r="Q501" s="35"/>
      <c r="R501" s="35"/>
      <c r="S501" s="35"/>
      <c r="T501" s="35"/>
      <c r="U501" s="35"/>
      <c r="V501" s="35"/>
      <c r="W501" s="35"/>
      <c r="X501" s="35"/>
      <c r="Y501" s="35"/>
    </row>
    <row r="502" ht="14.25" customHeight="1">
      <c r="A502" s="83"/>
      <c r="B502" s="84"/>
      <c r="C502" s="108"/>
      <c r="D502" s="102"/>
      <c r="E502" s="117"/>
      <c r="F502" s="250"/>
      <c r="G502" s="523"/>
      <c r="H502" s="36"/>
      <c r="I502" s="37"/>
      <c r="J502" s="38"/>
      <c r="K502" s="39"/>
      <c r="L502" s="38"/>
      <c r="M502" s="39"/>
      <c r="N502" s="40"/>
      <c r="O502" s="34"/>
      <c r="P502" s="35"/>
      <c r="Q502" s="35"/>
      <c r="R502" s="35"/>
      <c r="S502" s="35"/>
      <c r="T502" s="35"/>
      <c r="U502" s="35"/>
      <c r="V502" s="35"/>
      <c r="W502" s="35"/>
      <c r="X502" s="35"/>
      <c r="Y502" s="35"/>
    </row>
    <row r="503" ht="14.25" customHeight="1">
      <c r="A503" s="83"/>
      <c r="B503" s="84"/>
      <c r="C503" s="108"/>
      <c r="D503" s="102"/>
      <c r="E503" s="117"/>
      <c r="F503" s="250"/>
      <c r="G503" s="523"/>
      <c r="H503" s="36"/>
      <c r="I503" s="37"/>
      <c r="J503" s="38"/>
      <c r="K503" s="39"/>
      <c r="L503" s="38"/>
      <c r="M503" s="39"/>
      <c r="N503" s="40"/>
      <c r="O503" s="34"/>
      <c r="P503" s="35"/>
      <c r="Q503" s="35"/>
      <c r="R503" s="35"/>
      <c r="S503" s="35"/>
      <c r="T503" s="35"/>
      <c r="U503" s="35"/>
      <c r="V503" s="35"/>
      <c r="W503" s="35"/>
      <c r="X503" s="35"/>
      <c r="Y503" s="35"/>
    </row>
    <row r="504" ht="14.25" customHeight="1">
      <c r="A504" s="83"/>
      <c r="B504" s="84"/>
      <c r="C504" s="108"/>
      <c r="D504" s="102"/>
      <c r="E504" s="117"/>
      <c r="F504" s="250"/>
      <c r="G504" s="523"/>
      <c r="H504" s="36"/>
      <c r="I504" s="37"/>
      <c r="J504" s="38"/>
      <c r="K504" s="39"/>
      <c r="L504" s="38"/>
      <c r="M504" s="39"/>
      <c r="N504" s="40"/>
      <c r="O504" s="34"/>
      <c r="P504" s="35"/>
      <c r="Q504" s="35"/>
      <c r="R504" s="35"/>
      <c r="S504" s="35"/>
      <c r="T504" s="35"/>
      <c r="U504" s="35"/>
      <c r="V504" s="35"/>
      <c r="W504" s="35"/>
      <c r="X504" s="35"/>
      <c r="Y504" s="35"/>
    </row>
    <row r="505" ht="14.25" customHeight="1">
      <c r="A505" s="83"/>
      <c r="B505" s="84"/>
      <c r="C505" s="108"/>
      <c r="D505" s="102"/>
      <c r="E505" s="117"/>
      <c r="F505" s="250"/>
      <c r="G505" s="523"/>
      <c r="H505" s="36"/>
      <c r="I505" s="37"/>
      <c r="J505" s="38"/>
      <c r="K505" s="39"/>
      <c r="L505" s="38"/>
      <c r="M505" s="39"/>
      <c r="N505" s="40"/>
      <c r="O505" s="34"/>
      <c r="P505" s="35"/>
      <c r="Q505" s="35"/>
      <c r="R505" s="35"/>
      <c r="S505" s="35"/>
      <c r="T505" s="35"/>
      <c r="U505" s="35"/>
      <c r="V505" s="35"/>
      <c r="W505" s="35"/>
      <c r="X505" s="35"/>
      <c r="Y505" s="35"/>
    </row>
    <row r="506" ht="14.25" customHeight="1">
      <c r="A506" s="83"/>
      <c r="B506" s="84"/>
      <c r="C506" s="108"/>
      <c r="D506" s="102"/>
      <c r="E506" s="117"/>
      <c r="F506" s="250"/>
      <c r="G506" s="523"/>
      <c r="H506" s="36"/>
      <c r="I506" s="37"/>
      <c r="J506" s="38"/>
      <c r="K506" s="39"/>
      <c r="L506" s="38"/>
      <c r="M506" s="39"/>
      <c r="N506" s="40"/>
      <c r="O506" s="34"/>
      <c r="P506" s="35"/>
      <c r="Q506" s="35"/>
      <c r="R506" s="35"/>
      <c r="S506" s="35"/>
      <c r="T506" s="35"/>
      <c r="U506" s="35"/>
      <c r="V506" s="35"/>
      <c r="W506" s="35"/>
      <c r="X506" s="35"/>
      <c r="Y506" s="35"/>
    </row>
    <row r="507" ht="14.25" customHeight="1">
      <c r="A507" s="83"/>
      <c r="B507" s="84"/>
      <c r="C507" s="108"/>
      <c r="D507" s="102"/>
      <c r="E507" s="117"/>
      <c r="F507" s="250"/>
      <c r="G507" s="523"/>
      <c r="H507" s="36"/>
      <c r="I507" s="37"/>
      <c r="J507" s="38"/>
      <c r="K507" s="39"/>
      <c r="L507" s="38"/>
      <c r="M507" s="39"/>
      <c r="N507" s="40"/>
      <c r="O507" s="34"/>
      <c r="P507" s="35"/>
      <c r="Q507" s="35"/>
      <c r="R507" s="35"/>
      <c r="S507" s="35"/>
      <c r="T507" s="35"/>
      <c r="U507" s="35"/>
      <c r="V507" s="35"/>
      <c r="W507" s="35"/>
      <c r="X507" s="35"/>
      <c r="Y507" s="35"/>
    </row>
    <row r="508" ht="14.25" customHeight="1">
      <c r="A508" s="83"/>
      <c r="B508" s="84"/>
      <c r="C508" s="108"/>
      <c r="D508" s="102"/>
      <c r="E508" s="117"/>
      <c r="F508" s="250"/>
      <c r="G508" s="523"/>
      <c r="H508" s="36"/>
      <c r="I508" s="37"/>
      <c r="J508" s="38"/>
      <c r="K508" s="39"/>
      <c r="L508" s="38"/>
      <c r="M508" s="39"/>
      <c r="N508" s="40"/>
      <c r="O508" s="34"/>
      <c r="P508" s="35"/>
      <c r="Q508" s="35"/>
      <c r="R508" s="35"/>
      <c r="S508" s="35"/>
      <c r="T508" s="35"/>
      <c r="U508" s="35"/>
      <c r="V508" s="35"/>
      <c r="W508" s="35"/>
      <c r="X508" s="35"/>
      <c r="Y508" s="35"/>
    </row>
    <row r="509" ht="14.25" customHeight="1">
      <c r="A509" s="83"/>
      <c r="B509" s="84"/>
      <c r="C509" s="108"/>
      <c r="D509" s="102"/>
      <c r="E509" s="117"/>
      <c r="F509" s="250"/>
      <c r="G509" s="523"/>
      <c r="H509" s="36"/>
      <c r="I509" s="37"/>
      <c r="J509" s="38"/>
      <c r="K509" s="39"/>
      <c r="L509" s="38"/>
      <c r="M509" s="39"/>
      <c r="N509" s="40"/>
      <c r="O509" s="34"/>
      <c r="P509" s="35"/>
      <c r="Q509" s="35"/>
      <c r="R509" s="35"/>
      <c r="S509" s="35"/>
      <c r="T509" s="35"/>
      <c r="U509" s="35"/>
      <c r="V509" s="35"/>
      <c r="W509" s="35"/>
      <c r="X509" s="35"/>
      <c r="Y509" s="35"/>
    </row>
    <row r="510" ht="14.25" customHeight="1">
      <c r="A510" s="83"/>
      <c r="B510" s="84"/>
      <c r="C510" s="108"/>
      <c r="D510" s="102"/>
      <c r="E510" s="117"/>
      <c r="F510" s="250"/>
      <c r="G510" s="523"/>
      <c r="H510" s="36"/>
      <c r="I510" s="37"/>
      <c r="J510" s="38"/>
      <c r="K510" s="39"/>
      <c r="L510" s="38"/>
      <c r="M510" s="39"/>
      <c r="N510" s="40"/>
      <c r="O510" s="34"/>
      <c r="P510" s="35"/>
      <c r="Q510" s="35"/>
      <c r="R510" s="35"/>
      <c r="S510" s="35"/>
      <c r="T510" s="35"/>
      <c r="U510" s="35"/>
      <c r="V510" s="35"/>
      <c r="W510" s="35"/>
      <c r="X510" s="35"/>
      <c r="Y510" s="35"/>
    </row>
    <row r="511" ht="14.25" customHeight="1">
      <c r="A511" s="83"/>
      <c r="B511" s="84"/>
      <c r="C511" s="108"/>
      <c r="D511" s="102"/>
      <c r="E511" s="117"/>
      <c r="F511" s="250"/>
      <c r="G511" s="523"/>
      <c r="H511" s="36"/>
      <c r="I511" s="37"/>
      <c r="J511" s="38"/>
      <c r="K511" s="39"/>
      <c r="L511" s="38"/>
      <c r="M511" s="39"/>
      <c r="N511" s="40"/>
      <c r="O511" s="34"/>
      <c r="P511" s="35"/>
      <c r="Q511" s="35"/>
      <c r="R511" s="35"/>
      <c r="S511" s="35"/>
      <c r="T511" s="35"/>
      <c r="U511" s="35"/>
      <c r="V511" s="35"/>
      <c r="W511" s="35"/>
      <c r="X511" s="35"/>
      <c r="Y511" s="35"/>
    </row>
    <row r="512" ht="14.25" customHeight="1">
      <c r="A512" s="83"/>
      <c r="B512" s="84"/>
      <c r="C512" s="108"/>
      <c r="D512" s="102"/>
      <c r="E512" s="117"/>
      <c r="F512" s="250"/>
      <c r="G512" s="523"/>
      <c r="H512" s="36"/>
      <c r="I512" s="37"/>
      <c r="J512" s="38"/>
      <c r="K512" s="39"/>
      <c r="L512" s="38"/>
      <c r="M512" s="39"/>
      <c r="N512" s="40"/>
      <c r="O512" s="34"/>
      <c r="P512" s="35"/>
      <c r="Q512" s="35"/>
      <c r="R512" s="35"/>
      <c r="S512" s="35"/>
      <c r="T512" s="35"/>
      <c r="U512" s="35"/>
      <c r="V512" s="35"/>
      <c r="W512" s="35"/>
      <c r="X512" s="35"/>
      <c r="Y512" s="35"/>
    </row>
    <row r="513" ht="14.25" customHeight="1">
      <c r="A513" s="83"/>
      <c r="B513" s="84"/>
      <c r="C513" s="108"/>
      <c r="D513" s="102"/>
      <c r="E513" s="117"/>
      <c r="F513" s="250"/>
      <c r="G513" s="523"/>
      <c r="H513" s="36"/>
      <c r="I513" s="37"/>
      <c r="J513" s="38"/>
      <c r="K513" s="39"/>
      <c r="L513" s="38"/>
      <c r="M513" s="39"/>
      <c r="N513" s="40"/>
      <c r="O513" s="34"/>
      <c r="P513" s="35"/>
      <c r="Q513" s="35"/>
      <c r="R513" s="35"/>
      <c r="S513" s="35"/>
      <c r="T513" s="35"/>
      <c r="U513" s="35"/>
      <c r="V513" s="35"/>
      <c r="W513" s="35"/>
      <c r="X513" s="35"/>
      <c r="Y513" s="35"/>
    </row>
    <row r="514" ht="14.25" customHeight="1">
      <c r="A514" s="83"/>
      <c r="B514" s="84"/>
      <c r="C514" s="108"/>
      <c r="D514" s="102"/>
      <c r="E514" s="117"/>
      <c r="F514" s="250"/>
      <c r="G514" s="523"/>
      <c r="H514" s="36"/>
      <c r="I514" s="37"/>
      <c r="J514" s="38"/>
      <c r="K514" s="39"/>
      <c r="L514" s="38"/>
      <c r="M514" s="39"/>
      <c r="N514" s="40"/>
      <c r="O514" s="34"/>
      <c r="P514" s="35"/>
      <c r="Q514" s="35"/>
      <c r="R514" s="35"/>
      <c r="S514" s="35"/>
      <c r="T514" s="35"/>
      <c r="U514" s="35"/>
      <c r="V514" s="35"/>
      <c r="W514" s="35"/>
      <c r="X514" s="35"/>
      <c r="Y514" s="35"/>
    </row>
    <row r="515" ht="14.25" customHeight="1">
      <c r="A515" s="83"/>
      <c r="B515" s="84"/>
      <c r="C515" s="108"/>
      <c r="D515" s="102"/>
      <c r="E515" s="117"/>
      <c r="F515" s="250"/>
      <c r="G515" s="523"/>
      <c r="H515" s="36"/>
      <c r="I515" s="37"/>
      <c r="J515" s="38"/>
      <c r="K515" s="39"/>
      <c r="L515" s="38"/>
      <c r="M515" s="39"/>
      <c r="N515" s="40"/>
      <c r="O515" s="34"/>
      <c r="P515" s="35"/>
      <c r="Q515" s="35"/>
      <c r="R515" s="35"/>
      <c r="S515" s="35"/>
      <c r="T515" s="35"/>
      <c r="U515" s="35"/>
      <c r="V515" s="35"/>
      <c r="W515" s="35"/>
      <c r="X515" s="35"/>
      <c r="Y515" s="35"/>
    </row>
    <row r="516" ht="14.25" customHeight="1">
      <c r="A516" s="83"/>
      <c r="B516" s="84"/>
      <c r="C516" s="108"/>
      <c r="D516" s="102"/>
      <c r="E516" s="117"/>
      <c r="F516" s="250"/>
      <c r="G516" s="523"/>
      <c r="H516" s="36"/>
      <c r="I516" s="37"/>
      <c r="J516" s="38"/>
      <c r="K516" s="39"/>
      <c r="L516" s="38"/>
      <c r="M516" s="39"/>
      <c r="N516" s="40"/>
      <c r="O516" s="34"/>
      <c r="P516" s="35"/>
      <c r="Q516" s="35"/>
      <c r="R516" s="35"/>
      <c r="S516" s="35"/>
      <c r="T516" s="35"/>
      <c r="U516" s="35"/>
      <c r="V516" s="35"/>
      <c r="W516" s="35"/>
      <c r="X516" s="35"/>
      <c r="Y516" s="35"/>
    </row>
    <row r="517" ht="14.25" customHeight="1">
      <c r="A517" s="83"/>
      <c r="B517" s="84"/>
      <c r="C517" s="108"/>
      <c r="D517" s="102"/>
      <c r="E517" s="117"/>
      <c r="F517" s="250"/>
      <c r="G517" s="523"/>
      <c r="H517" s="36"/>
      <c r="I517" s="37"/>
      <c r="J517" s="38"/>
      <c r="K517" s="39"/>
      <c r="L517" s="38"/>
      <c r="M517" s="39"/>
      <c r="N517" s="40"/>
      <c r="O517" s="34"/>
      <c r="P517" s="35"/>
      <c r="Q517" s="35"/>
      <c r="R517" s="35"/>
      <c r="S517" s="35"/>
      <c r="T517" s="35"/>
      <c r="U517" s="35"/>
      <c r="V517" s="35"/>
      <c r="W517" s="35"/>
      <c r="X517" s="35"/>
      <c r="Y517" s="35"/>
    </row>
    <row r="518" ht="14.25" customHeight="1">
      <c r="A518" s="83"/>
      <c r="B518" s="84"/>
      <c r="C518" s="108"/>
      <c r="D518" s="102"/>
      <c r="E518" s="117"/>
      <c r="F518" s="250"/>
      <c r="G518" s="523"/>
      <c r="H518" s="36"/>
      <c r="I518" s="37"/>
      <c r="J518" s="38"/>
      <c r="K518" s="39"/>
      <c r="L518" s="38"/>
      <c r="M518" s="39"/>
      <c r="N518" s="40"/>
      <c r="O518" s="34"/>
      <c r="P518" s="35"/>
      <c r="Q518" s="35"/>
      <c r="R518" s="35"/>
      <c r="S518" s="35"/>
      <c r="T518" s="35"/>
      <c r="U518" s="35"/>
      <c r="V518" s="35"/>
      <c r="W518" s="35"/>
      <c r="X518" s="35"/>
      <c r="Y518" s="35"/>
    </row>
    <row r="519" ht="14.25" customHeight="1">
      <c r="A519" s="83"/>
      <c r="B519" s="84"/>
      <c r="C519" s="108"/>
      <c r="D519" s="102"/>
      <c r="E519" s="117"/>
      <c r="F519" s="250"/>
      <c r="G519" s="523"/>
      <c r="H519" s="36"/>
      <c r="I519" s="37"/>
      <c r="J519" s="38"/>
      <c r="K519" s="39"/>
      <c r="L519" s="38"/>
      <c r="M519" s="39"/>
      <c r="N519" s="40"/>
      <c r="O519" s="34"/>
      <c r="P519" s="35"/>
      <c r="Q519" s="35"/>
      <c r="R519" s="35"/>
      <c r="S519" s="35"/>
      <c r="T519" s="35"/>
      <c r="U519" s="35"/>
      <c r="V519" s="35"/>
      <c r="W519" s="35"/>
      <c r="X519" s="35"/>
      <c r="Y519" s="35"/>
    </row>
    <row r="520" ht="14.25" customHeight="1">
      <c r="A520" s="83"/>
      <c r="B520" s="84"/>
      <c r="C520" s="108"/>
      <c r="D520" s="102"/>
      <c r="E520" s="117"/>
      <c r="F520" s="250"/>
      <c r="G520" s="523"/>
      <c r="H520" s="36"/>
      <c r="I520" s="37"/>
      <c r="J520" s="38"/>
      <c r="K520" s="39"/>
      <c r="L520" s="38"/>
      <c r="M520" s="39"/>
      <c r="N520" s="40"/>
      <c r="O520" s="34"/>
      <c r="P520" s="35"/>
      <c r="Q520" s="35"/>
      <c r="R520" s="35"/>
      <c r="S520" s="35"/>
      <c r="T520" s="35"/>
      <c r="U520" s="35"/>
      <c r="V520" s="35"/>
      <c r="W520" s="35"/>
      <c r="X520" s="35"/>
      <c r="Y520" s="35"/>
    </row>
    <row r="521" ht="14.25" customHeight="1">
      <c r="A521" s="83"/>
      <c r="B521" s="84"/>
      <c r="C521" s="108"/>
      <c r="D521" s="102"/>
      <c r="E521" s="117"/>
      <c r="F521" s="250"/>
      <c r="G521" s="523"/>
      <c r="H521" s="36"/>
      <c r="I521" s="37"/>
      <c r="J521" s="38"/>
      <c r="K521" s="39"/>
      <c r="L521" s="38"/>
      <c r="M521" s="39"/>
      <c r="N521" s="40"/>
      <c r="O521" s="34"/>
      <c r="P521" s="35"/>
      <c r="Q521" s="35"/>
      <c r="R521" s="35"/>
      <c r="S521" s="35"/>
      <c r="T521" s="35"/>
      <c r="U521" s="35"/>
      <c r="V521" s="35"/>
      <c r="W521" s="35"/>
      <c r="X521" s="35"/>
      <c r="Y521" s="35"/>
    </row>
    <row r="522" ht="14.25" customHeight="1">
      <c r="A522" s="83"/>
      <c r="B522" s="84"/>
      <c r="C522" s="108"/>
      <c r="D522" s="102"/>
      <c r="E522" s="117"/>
      <c r="F522" s="250"/>
      <c r="G522" s="523"/>
      <c r="H522" s="36"/>
      <c r="I522" s="37"/>
      <c r="J522" s="38"/>
      <c r="K522" s="39"/>
      <c r="L522" s="38"/>
      <c r="M522" s="39"/>
      <c r="N522" s="40"/>
      <c r="O522" s="34"/>
      <c r="P522" s="35"/>
      <c r="Q522" s="35"/>
      <c r="R522" s="35"/>
      <c r="S522" s="35"/>
      <c r="T522" s="35"/>
      <c r="U522" s="35"/>
      <c r="V522" s="35"/>
      <c r="W522" s="35"/>
      <c r="X522" s="35"/>
      <c r="Y522" s="35"/>
    </row>
    <row r="523" ht="14.25" customHeight="1">
      <c r="A523" s="83"/>
      <c r="B523" s="84"/>
      <c r="C523" s="108"/>
      <c r="D523" s="102"/>
      <c r="E523" s="117"/>
      <c r="F523" s="250"/>
      <c r="G523" s="523"/>
      <c r="H523" s="36"/>
      <c r="I523" s="37"/>
      <c r="J523" s="38"/>
      <c r="K523" s="39"/>
      <c r="L523" s="38"/>
      <c r="M523" s="39"/>
      <c r="N523" s="40"/>
      <c r="O523" s="34"/>
      <c r="P523" s="35"/>
      <c r="Q523" s="35"/>
      <c r="R523" s="35"/>
      <c r="S523" s="35"/>
      <c r="T523" s="35"/>
      <c r="U523" s="35"/>
      <c r="V523" s="35"/>
      <c r="W523" s="35"/>
      <c r="X523" s="35"/>
      <c r="Y523" s="35"/>
    </row>
    <row r="524" ht="14.25" customHeight="1">
      <c r="A524" s="83"/>
      <c r="B524" s="84"/>
      <c r="C524" s="108"/>
      <c r="D524" s="102"/>
      <c r="E524" s="117"/>
      <c r="F524" s="250"/>
      <c r="G524" s="523"/>
      <c r="H524" s="36"/>
      <c r="I524" s="37"/>
      <c r="J524" s="38"/>
      <c r="K524" s="39"/>
      <c r="L524" s="38"/>
      <c r="M524" s="39"/>
      <c r="N524" s="40"/>
      <c r="O524" s="34"/>
      <c r="P524" s="35"/>
      <c r="Q524" s="35"/>
      <c r="R524" s="35"/>
      <c r="S524" s="35"/>
      <c r="T524" s="35"/>
      <c r="U524" s="35"/>
      <c r="V524" s="35"/>
      <c r="W524" s="35"/>
      <c r="X524" s="35"/>
      <c r="Y524" s="35"/>
    </row>
    <row r="525" ht="14.25" customHeight="1">
      <c r="A525" s="83"/>
      <c r="B525" s="84"/>
      <c r="C525" s="108"/>
      <c r="D525" s="102"/>
      <c r="E525" s="117"/>
      <c r="F525" s="250"/>
      <c r="G525" s="523"/>
      <c r="H525" s="36"/>
      <c r="I525" s="37"/>
      <c r="J525" s="38"/>
      <c r="K525" s="39"/>
      <c r="L525" s="38"/>
      <c r="M525" s="39"/>
      <c r="N525" s="40"/>
      <c r="O525" s="34"/>
      <c r="P525" s="35"/>
      <c r="Q525" s="35"/>
      <c r="R525" s="35"/>
      <c r="S525" s="35"/>
      <c r="T525" s="35"/>
      <c r="U525" s="35"/>
      <c r="V525" s="35"/>
      <c r="W525" s="35"/>
      <c r="X525" s="35"/>
      <c r="Y525" s="35"/>
    </row>
    <row r="526" ht="14.25" customHeight="1">
      <c r="A526" s="83"/>
      <c r="B526" s="84"/>
      <c r="C526" s="108"/>
      <c r="D526" s="102"/>
      <c r="E526" s="117"/>
      <c r="F526" s="250"/>
      <c r="G526" s="523"/>
      <c r="H526" s="36"/>
      <c r="I526" s="37"/>
      <c r="J526" s="38"/>
      <c r="K526" s="39"/>
      <c r="L526" s="38"/>
      <c r="M526" s="39"/>
      <c r="N526" s="40"/>
      <c r="O526" s="34"/>
      <c r="P526" s="35"/>
      <c r="Q526" s="35"/>
      <c r="R526" s="35"/>
      <c r="S526" s="35"/>
      <c r="T526" s="35"/>
      <c r="U526" s="35"/>
      <c r="V526" s="35"/>
      <c r="W526" s="35"/>
      <c r="X526" s="35"/>
      <c r="Y526" s="35"/>
    </row>
    <row r="527" ht="14.25" customHeight="1">
      <c r="A527" s="83"/>
      <c r="B527" s="84"/>
      <c r="C527" s="108"/>
      <c r="D527" s="102"/>
      <c r="E527" s="117"/>
      <c r="F527" s="250"/>
      <c r="G527" s="523"/>
      <c r="H527" s="36"/>
      <c r="I527" s="37"/>
      <c r="J527" s="38"/>
      <c r="K527" s="39"/>
      <c r="L527" s="38"/>
      <c r="M527" s="39"/>
      <c r="N527" s="40"/>
      <c r="O527" s="34"/>
      <c r="P527" s="35"/>
      <c r="Q527" s="35"/>
      <c r="R527" s="35"/>
      <c r="S527" s="35"/>
      <c r="T527" s="35"/>
      <c r="U527" s="35"/>
      <c r="V527" s="35"/>
      <c r="W527" s="35"/>
      <c r="X527" s="35"/>
      <c r="Y527" s="35"/>
    </row>
    <row r="528" ht="14.25" customHeight="1">
      <c r="A528" s="83"/>
      <c r="B528" s="84"/>
      <c r="C528" s="108"/>
      <c r="D528" s="102"/>
      <c r="E528" s="117"/>
      <c r="F528" s="250"/>
      <c r="G528" s="523"/>
      <c r="H528" s="36"/>
      <c r="I528" s="37"/>
      <c r="J528" s="38"/>
      <c r="K528" s="39"/>
      <c r="L528" s="38"/>
      <c r="M528" s="39"/>
      <c r="N528" s="40"/>
      <c r="O528" s="34"/>
      <c r="P528" s="35"/>
      <c r="Q528" s="35"/>
      <c r="R528" s="35"/>
      <c r="S528" s="35"/>
      <c r="T528" s="35"/>
      <c r="U528" s="35"/>
      <c r="V528" s="35"/>
      <c r="W528" s="35"/>
      <c r="X528" s="35"/>
      <c r="Y528" s="35"/>
    </row>
    <row r="529" ht="14.25" customHeight="1">
      <c r="A529" s="83"/>
      <c r="B529" s="84"/>
      <c r="C529" s="108"/>
      <c r="D529" s="102"/>
      <c r="E529" s="117"/>
      <c r="F529" s="250"/>
      <c r="G529" s="523"/>
      <c r="H529" s="36"/>
      <c r="I529" s="37"/>
      <c r="J529" s="38"/>
      <c r="K529" s="39"/>
      <c r="L529" s="38"/>
      <c r="M529" s="39"/>
      <c r="N529" s="40"/>
      <c r="O529" s="34"/>
      <c r="P529" s="35"/>
      <c r="Q529" s="35"/>
      <c r="R529" s="35"/>
      <c r="S529" s="35"/>
      <c r="T529" s="35"/>
      <c r="U529" s="35"/>
      <c r="V529" s="35"/>
      <c r="W529" s="35"/>
      <c r="X529" s="35"/>
      <c r="Y529" s="35"/>
    </row>
    <row r="530" ht="14.25" customHeight="1">
      <c r="A530" s="136"/>
      <c r="B530" s="137"/>
      <c r="C530" s="251"/>
      <c r="D530" s="452"/>
      <c r="E530" s="136"/>
      <c r="F530" s="253"/>
      <c r="G530" s="527"/>
      <c r="H530" s="141"/>
      <c r="I530" s="141"/>
      <c r="J530" s="142"/>
      <c r="K530" s="142"/>
      <c r="L530" s="142"/>
      <c r="M530" s="142"/>
      <c r="N530" s="136"/>
      <c r="O530" s="34"/>
      <c r="P530" s="35"/>
      <c r="Q530" s="35"/>
      <c r="R530" s="35"/>
      <c r="S530" s="35"/>
      <c r="T530" s="35"/>
      <c r="U530" s="35"/>
      <c r="V530" s="35"/>
      <c r="W530" s="35"/>
      <c r="X530" s="35"/>
      <c r="Y530" s="35"/>
    </row>
    <row r="531" ht="14.25" customHeight="1">
      <c r="A531" s="136"/>
      <c r="B531" s="137"/>
      <c r="C531" s="251"/>
      <c r="D531" s="452"/>
      <c r="E531" s="136"/>
      <c r="F531" s="253"/>
      <c r="G531" s="527"/>
      <c r="H531" s="141"/>
      <c r="I531" s="141"/>
      <c r="J531" s="142"/>
      <c r="K531" s="142"/>
      <c r="L531" s="142"/>
      <c r="M531" s="142"/>
      <c r="N531" s="136"/>
      <c r="O531" s="34"/>
      <c r="P531" s="35"/>
      <c r="Q531" s="35"/>
      <c r="R531" s="35"/>
      <c r="S531" s="35"/>
      <c r="T531" s="35"/>
      <c r="U531" s="35"/>
      <c r="V531" s="35"/>
      <c r="W531" s="35"/>
      <c r="X531" s="35"/>
      <c r="Y531" s="35"/>
    </row>
    <row r="532" ht="14.25" customHeight="1">
      <c r="A532" s="136"/>
      <c r="B532" s="137"/>
      <c r="C532" s="251"/>
      <c r="D532" s="452"/>
      <c r="E532" s="136"/>
      <c r="F532" s="253"/>
      <c r="G532" s="527"/>
      <c r="H532" s="141"/>
      <c r="I532" s="141"/>
      <c r="J532" s="142"/>
      <c r="K532" s="142"/>
      <c r="L532" s="142"/>
      <c r="M532" s="142"/>
      <c r="N532" s="136"/>
      <c r="O532" s="34"/>
      <c r="P532" s="35"/>
      <c r="Q532" s="35"/>
      <c r="R532" s="35"/>
      <c r="S532" s="35"/>
      <c r="T532" s="35"/>
      <c r="U532" s="35"/>
      <c r="V532" s="35"/>
      <c r="W532" s="35"/>
      <c r="X532" s="35"/>
      <c r="Y532" s="35"/>
    </row>
    <row r="533" ht="14.25" customHeight="1">
      <c r="A533" s="136"/>
      <c r="B533" s="137"/>
      <c r="C533" s="251"/>
      <c r="D533" s="452"/>
      <c r="E533" s="136"/>
      <c r="F533" s="253"/>
      <c r="G533" s="527"/>
      <c r="H533" s="141"/>
      <c r="I533" s="141"/>
      <c r="J533" s="142"/>
      <c r="K533" s="142"/>
      <c r="L533" s="142"/>
      <c r="M533" s="142"/>
      <c r="N533" s="136"/>
      <c r="O533" s="34"/>
      <c r="P533" s="35"/>
      <c r="Q533" s="35"/>
      <c r="R533" s="35"/>
      <c r="S533" s="35"/>
      <c r="T533" s="35"/>
      <c r="U533" s="35"/>
      <c r="V533" s="35"/>
      <c r="W533" s="35"/>
      <c r="X533" s="35"/>
      <c r="Y533" s="35"/>
    </row>
    <row r="534" ht="14.25" customHeight="1">
      <c r="A534" s="136"/>
      <c r="B534" s="137"/>
      <c r="C534" s="251"/>
      <c r="D534" s="452"/>
      <c r="E534" s="136"/>
      <c r="F534" s="253"/>
      <c r="G534" s="527"/>
      <c r="H534" s="141"/>
      <c r="I534" s="141"/>
      <c r="J534" s="142"/>
      <c r="K534" s="142"/>
      <c r="L534" s="142"/>
      <c r="M534" s="142"/>
      <c r="N534" s="136"/>
      <c r="O534" s="34"/>
      <c r="P534" s="35"/>
      <c r="Q534" s="35"/>
      <c r="R534" s="35"/>
      <c r="S534" s="35"/>
      <c r="T534" s="35"/>
      <c r="U534" s="35"/>
      <c r="V534" s="35"/>
      <c r="W534" s="35"/>
      <c r="X534" s="35"/>
      <c r="Y534" s="35"/>
    </row>
    <row r="535" ht="14.25" customHeight="1">
      <c r="A535" s="136"/>
      <c r="B535" s="137"/>
      <c r="C535" s="251"/>
      <c r="D535" s="452"/>
      <c r="E535" s="136"/>
      <c r="F535" s="253"/>
      <c r="G535" s="527"/>
      <c r="H535" s="141"/>
      <c r="I535" s="141"/>
      <c r="J535" s="142"/>
      <c r="K535" s="142"/>
      <c r="L535" s="142"/>
      <c r="M535" s="142"/>
      <c r="N535" s="136"/>
      <c r="O535" s="34"/>
      <c r="P535" s="35"/>
      <c r="Q535" s="35"/>
      <c r="R535" s="35"/>
      <c r="S535" s="35"/>
      <c r="T535" s="35"/>
      <c r="U535" s="35"/>
      <c r="V535" s="35"/>
      <c r="W535" s="35"/>
      <c r="X535" s="35"/>
      <c r="Y535" s="35"/>
    </row>
    <row r="536" ht="14.25" customHeight="1">
      <c r="A536" s="136"/>
      <c r="B536" s="137"/>
      <c r="C536" s="251"/>
      <c r="D536" s="452"/>
      <c r="E536" s="136"/>
      <c r="F536" s="253"/>
      <c r="G536" s="527"/>
      <c r="H536" s="141"/>
      <c r="I536" s="141"/>
      <c r="J536" s="142"/>
      <c r="K536" s="142"/>
      <c r="L536" s="142"/>
      <c r="M536" s="142"/>
      <c r="N536" s="136"/>
      <c r="O536" s="34"/>
      <c r="P536" s="35"/>
      <c r="Q536" s="35"/>
      <c r="R536" s="35"/>
      <c r="S536" s="35"/>
      <c r="T536" s="35"/>
      <c r="U536" s="35"/>
      <c r="V536" s="35"/>
      <c r="W536" s="35"/>
      <c r="X536" s="35"/>
      <c r="Y536" s="35"/>
    </row>
    <row r="537" ht="14.25" customHeight="1">
      <c r="A537" s="136"/>
      <c r="B537" s="137"/>
      <c r="C537" s="251"/>
      <c r="D537" s="452"/>
      <c r="E537" s="136"/>
      <c r="F537" s="253"/>
      <c r="G537" s="527"/>
      <c r="H537" s="141"/>
      <c r="I537" s="141"/>
      <c r="J537" s="142"/>
      <c r="K537" s="142"/>
      <c r="L537" s="142"/>
      <c r="M537" s="142"/>
      <c r="N537" s="136"/>
      <c r="O537" s="34"/>
      <c r="P537" s="35"/>
      <c r="Q537" s="35"/>
      <c r="R537" s="35"/>
      <c r="S537" s="35"/>
      <c r="T537" s="35"/>
      <c r="U537" s="35"/>
      <c r="V537" s="35"/>
      <c r="W537" s="35"/>
      <c r="X537" s="35"/>
      <c r="Y537" s="35"/>
    </row>
    <row r="538" ht="14.25" customHeight="1">
      <c r="A538" s="136"/>
      <c r="B538" s="137"/>
      <c r="C538" s="251"/>
      <c r="D538" s="452"/>
      <c r="E538" s="136"/>
      <c r="F538" s="253"/>
      <c r="G538" s="527"/>
      <c r="H538" s="141"/>
      <c r="I538" s="141"/>
      <c r="J538" s="142"/>
      <c r="K538" s="142"/>
      <c r="L538" s="142"/>
      <c r="M538" s="142"/>
      <c r="N538" s="136"/>
      <c r="O538" s="34"/>
      <c r="P538" s="35"/>
      <c r="Q538" s="35"/>
      <c r="R538" s="35"/>
      <c r="S538" s="35"/>
      <c r="T538" s="35"/>
      <c r="U538" s="35"/>
      <c r="V538" s="35"/>
      <c r="W538" s="35"/>
      <c r="X538" s="35"/>
      <c r="Y538" s="35"/>
    </row>
    <row r="539" ht="14.25" customHeight="1">
      <c r="A539" s="136"/>
      <c r="B539" s="137"/>
      <c r="C539" s="251"/>
      <c r="D539" s="452"/>
      <c r="E539" s="136"/>
      <c r="F539" s="253"/>
      <c r="G539" s="527"/>
      <c r="H539" s="141"/>
      <c r="I539" s="141"/>
      <c r="J539" s="142"/>
      <c r="K539" s="142"/>
      <c r="L539" s="142"/>
      <c r="M539" s="142"/>
      <c r="N539" s="136"/>
      <c r="O539" s="34"/>
      <c r="P539" s="35"/>
      <c r="Q539" s="35"/>
      <c r="R539" s="35"/>
      <c r="S539" s="35"/>
      <c r="T539" s="35"/>
      <c r="U539" s="35"/>
      <c r="V539" s="35"/>
      <c r="W539" s="35"/>
      <c r="X539" s="35"/>
      <c r="Y539" s="35"/>
    </row>
    <row r="540" ht="14.25" customHeight="1">
      <c r="A540" s="136"/>
      <c r="B540" s="137"/>
      <c r="C540" s="251"/>
      <c r="D540" s="452"/>
      <c r="E540" s="136"/>
      <c r="F540" s="253"/>
      <c r="G540" s="527"/>
      <c r="H540" s="141"/>
      <c r="I540" s="141"/>
      <c r="J540" s="142"/>
      <c r="K540" s="142"/>
      <c r="L540" s="142"/>
      <c r="M540" s="142"/>
      <c r="N540" s="136"/>
      <c r="O540" s="34"/>
      <c r="P540" s="35"/>
      <c r="Q540" s="35"/>
      <c r="R540" s="35"/>
      <c r="S540" s="35"/>
      <c r="T540" s="35"/>
      <c r="U540" s="35"/>
      <c r="V540" s="35"/>
      <c r="W540" s="35"/>
      <c r="X540" s="35"/>
      <c r="Y540" s="35"/>
    </row>
    <row r="541" ht="14.25" customHeight="1">
      <c r="A541" s="136"/>
      <c r="B541" s="137"/>
      <c r="C541" s="251"/>
      <c r="D541" s="452"/>
      <c r="E541" s="136"/>
      <c r="F541" s="253"/>
      <c r="G541" s="527"/>
      <c r="H541" s="141"/>
      <c r="I541" s="141"/>
      <c r="J541" s="142"/>
      <c r="K541" s="142"/>
      <c r="L541" s="142"/>
      <c r="M541" s="142"/>
      <c r="N541" s="136"/>
      <c r="O541" s="34"/>
      <c r="P541" s="35"/>
      <c r="Q541" s="35"/>
      <c r="R541" s="35"/>
      <c r="S541" s="35"/>
      <c r="T541" s="35"/>
      <c r="U541" s="35"/>
      <c r="V541" s="35"/>
      <c r="W541" s="35"/>
      <c r="X541" s="35"/>
      <c r="Y541" s="35"/>
    </row>
    <row r="542" ht="14.25" customHeight="1">
      <c r="A542" s="136"/>
      <c r="B542" s="137"/>
      <c r="C542" s="251"/>
      <c r="D542" s="452"/>
      <c r="E542" s="136"/>
      <c r="F542" s="253"/>
      <c r="G542" s="527"/>
      <c r="H542" s="141"/>
      <c r="I542" s="141"/>
      <c r="J542" s="142"/>
      <c r="K542" s="142"/>
      <c r="L542" s="142"/>
      <c r="M542" s="142"/>
      <c r="N542" s="136"/>
      <c r="O542" s="34"/>
      <c r="P542" s="35"/>
      <c r="Q542" s="35"/>
      <c r="R542" s="35"/>
      <c r="S542" s="35"/>
      <c r="T542" s="35"/>
      <c r="U542" s="35"/>
      <c r="V542" s="35"/>
      <c r="W542" s="35"/>
      <c r="X542" s="35"/>
      <c r="Y542" s="35"/>
    </row>
    <row r="543" ht="14.25" customHeight="1">
      <c r="A543" s="136"/>
      <c r="B543" s="137"/>
      <c r="C543" s="251"/>
      <c r="D543" s="452"/>
      <c r="E543" s="136"/>
      <c r="F543" s="253"/>
      <c r="G543" s="527"/>
      <c r="H543" s="141"/>
      <c r="I543" s="141"/>
      <c r="J543" s="142"/>
      <c r="K543" s="142"/>
      <c r="L543" s="142"/>
      <c r="M543" s="142"/>
      <c r="N543" s="136"/>
      <c r="O543" s="34"/>
      <c r="P543" s="35"/>
      <c r="Q543" s="35"/>
      <c r="R543" s="35"/>
      <c r="S543" s="35"/>
      <c r="T543" s="35"/>
      <c r="U543" s="35"/>
      <c r="V543" s="35"/>
      <c r="W543" s="35"/>
      <c r="X543" s="35"/>
      <c r="Y543" s="35"/>
    </row>
    <row r="544" ht="14.25" customHeight="1">
      <c r="A544" s="136"/>
      <c r="B544" s="137"/>
      <c r="C544" s="251"/>
      <c r="D544" s="452"/>
      <c r="E544" s="136"/>
      <c r="F544" s="253"/>
      <c r="G544" s="527"/>
      <c r="H544" s="141"/>
      <c r="I544" s="141"/>
      <c r="J544" s="142"/>
      <c r="K544" s="142"/>
      <c r="L544" s="142"/>
      <c r="M544" s="142"/>
      <c r="N544" s="136"/>
      <c r="O544" s="34"/>
      <c r="P544" s="35"/>
      <c r="Q544" s="35"/>
      <c r="R544" s="35"/>
      <c r="S544" s="35"/>
      <c r="T544" s="35"/>
      <c r="U544" s="35"/>
      <c r="V544" s="35"/>
      <c r="W544" s="35"/>
      <c r="X544" s="35"/>
      <c r="Y544" s="35"/>
    </row>
    <row r="545" ht="14.25" customHeight="1">
      <c r="A545" s="136"/>
      <c r="B545" s="137"/>
      <c r="C545" s="251"/>
      <c r="D545" s="452"/>
      <c r="E545" s="136"/>
      <c r="F545" s="253"/>
      <c r="G545" s="527"/>
      <c r="H545" s="141"/>
      <c r="I545" s="141"/>
      <c r="J545" s="142"/>
      <c r="K545" s="142"/>
      <c r="L545" s="142"/>
      <c r="M545" s="142"/>
      <c r="N545" s="136"/>
      <c r="O545" s="34"/>
      <c r="P545" s="35"/>
      <c r="Q545" s="35"/>
      <c r="R545" s="35"/>
      <c r="S545" s="35"/>
      <c r="T545" s="35"/>
      <c r="U545" s="35"/>
      <c r="V545" s="35"/>
      <c r="W545" s="35"/>
      <c r="X545" s="35"/>
      <c r="Y545" s="35"/>
    </row>
    <row r="546" ht="14.25" customHeight="1">
      <c r="A546" s="136"/>
      <c r="B546" s="137"/>
      <c r="C546" s="251"/>
      <c r="D546" s="452"/>
      <c r="E546" s="136"/>
      <c r="F546" s="253"/>
      <c r="G546" s="527"/>
      <c r="H546" s="141"/>
      <c r="I546" s="141"/>
      <c r="J546" s="142"/>
      <c r="K546" s="142"/>
      <c r="L546" s="142"/>
      <c r="M546" s="142"/>
      <c r="N546" s="136"/>
      <c r="O546" s="34"/>
      <c r="P546" s="35"/>
      <c r="Q546" s="35"/>
      <c r="R546" s="35"/>
      <c r="S546" s="35"/>
      <c r="T546" s="35"/>
      <c r="U546" s="35"/>
      <c r="V546" s="35"/>
      <c r="W546" s="35"/>
      <c r="X546" s="35"/>
      <c r="Y546" s="35"/>
    </row>
    <row r="547" ht="14.25" customHeight="1">
      <c r="A547" s="136"/>
      <c r="B547" s="137"/>
      <c r="C547" s="251"/>
      <c r="D547" s="452"/>
      <c r="E547" s="136"/>
      <c r="F547" s="253"/>
      <c r="G547" s="527"/>
      <c r="H547" s="141"/>
      <c r="I547" s="141"/>
      <c r="J547" s="142"/>
      <c r="K547" s="142"/>
      <c r="L547" s="142"/>
      <c r="M547" s="142"/>
      <c r="N547" s="136"/>
      <c r="O547" s="34"/>
      <c r="P547" s="35"/>
      <c r="Q547" s="35"/>
      <c r="R547" s="35"/>
      <c r="S547" s="35"/>
      <c r="T547" s="35"/>
      <c r="U547" s="35"/>
      <c r="V547" s="35"/>
      <c r="W547" s="35"/>
      <c r="X547" s="35"/>
      <c r="Y547" s="35"/>
    </row>
    <row r="548" ht="14.25" customHeight="1">
      <c r="A548" s="136"/>
      <c r="B548" s="137"/>
      <c r="C548" s="251"/>
      <c r="D548" s="452"/>
      <c r="E548" s="136"/>
      <c r="F548" s="253"/>
      <c r="G548" s="527"/>
      <c r="H548" s="141"/>
      <c r="I548" s="141"/>
      <c r="J548" s="142"/>
      <c r="K548" s="142"/>
      <c r="L548" s="142"/>
      <c r="M548" s="142"/>
      <c r="N548" s="136"/>
      <c r="O548" s="34"/>
      <c r="P548" s="35"/>
      <c r="Q548" s="35"/>
      <c r="R548" s="35"/>
      <c r="S548" s="35"/>
      <c r="T548" s="35"/>
      <c r="U548" s="35"/>
      <c r="V548" s="35"/>
      <c r="W548" s="35"/>
      <c r="X548" s="35"/>
      <c r="Y548" s="35"/>
    </row>
    <row r="549" ht="14.25" customHeight="1">
      <c r="A549" s="136"/>
      <c r="B549" s="137"/>
      <c r="C549" s="251"/>
      <c r="D549" s="452"/>
      <c r="E549" s="136"/>
      <c r="F549" s="253"/>
      <c r="G549" s="527"/>
      <c r="H549" s="141"/>
      <c r="I549" s="141"/>
      <c r="J549" s="142"/>
      <c r="K549" s="142"/>
      <c r="L549" s="142"/>
      <c r="M549" s="142"/>
      <c r="N549" s="136"/>
      <c r="O549" s="34"/>
      <c r="P549" s="35"/>
      <c r="Q549" s="35"/>
      <c r="R549" s="35"/>
      <c r="S549" s="35"/>
      <c r="T549" s="35"/>
      <c r="U549" s="35"/>
      <c r="V549" s="35"/>
      <c r="W549" s="35"/>
      <c r="X549" s="35"/>
      <c r="Y549" s="35"/>
    </row>
    <row r="550" ht="14.25" customHeight="1">
      <c r="A550" s="136"/>
      <c r="B550" s="137"/>
      <c r="C550" s="251"/>
      <c r="D550" s="452"/>
      <c r="E550" s="136"/>
      <c r="F550" s="253"/>
      <c r="G550" s="527"/>
      <c r="H550" s="141"/>
      <c r="I550" s="141"/>
      <c r="J550" s="142"/>
      <c r="K550" s="142"/>
      <c r="L550" s="142"/>
      <c r="M550" s="142"/>
      <c r="N550" s="136"/>
      <c r="O550" s="34"/>
      <c r="P550" s="35"/>
      <c r="Q550" s="35"/>
      <c r="R550" s="35"/>
      <c r="S550" s="35"/>
      <c r="T550" s="35"/>
      <c r="U550" s="35"/>
      <c r="V550" s="35"/>
      <c r="W550" s="35"/>
      <c r="X550" s="35"/>
      <c r="Y550" s="35"/>
    </row>
    <row r="551" ht="14.25" customHeight="1">
      <c r="A551" s="136"/>
      <c r="B551" s="137"/>
      <c r="C551" s="251"/>
      <c r="D551" s="452"/>
      <c r="E551" s="136"/>
      <c r="F551" s="253"/>
      <c r="G551" s="527"/>
      <c r="H551" s="141"/>
      <c r="I551" s="141"/>
      <c r="J551" s="142"/>
      <c r="K551" s="142"/>
      <c r="L551" s="142"/>
      <c r="M551" s="142"/>
      <c r="N551" s="136"/>
      <c r="O551" s="34"/>
      <c r="P551" s="35"/>
      <c r="Q551" s="35"/>
      <c r="R551" s="35"/>
      <c r="S551" s="35"/>
      <c r="T551" s="35"/>
      <c r="U551" s="35"/>
      <c r="V551" s="35"/>
      <c r="W551" s="35"/>
      <c r="X551" s="35"/>
      <c r="Y551" s="35"/>
    </row>
    <row r="552" ht="14.25" customHeight="1">
      <c r="A552" s="136"/>
      <c r="B552" s="137"/>
      <c r="C552" s="251"/>
      <c r="D552" s="452"/>
      <c r="E552" s="136"/>
      <c r="F552" s="253"/>
      <c r="G552" s="527"/>
      <c r="H552" s="141"/>
      <c r="I552" s="141"/>
      <c r="J552" s="142"/>
      <c r="K552" s="142"/>
      <c r="L552" s="142"/>
      <c r="M552" s="142"/>
      <c r="N552" s="136"/>
      <c r="O552" s="34"/>
      <c r="P552" s="35"/>
      <c r="Q552" s="35"/>
      <c r="R552" s="35"/>
      <c r="S552" s="35"/>
      <c r="T552" s="35"/>
      <c r="U552" s="35"/>
      <c r="V552" s="35"/>
      <c r="W552" s="35"/>
      <c r="X552" s="35"/>
      <c r="Y552" s="35"/>
    </row>
    <row r="553" ht="14.25" customHeight="1">
      <c r="A553" s="136"/>
      <c r="B553" s="137"/>
      <c r="C553" s="251"/>
      <c r="D553" s="452"/>
      <c r="E553" s="136"/>
      <c r="F553" s="253"/>
      <c r="G553" s="527"/>
      <c r="H553" s="141"/>
      <c r="I553" s="141"/>
      <c r="J553" s="142"/>
      <c r="K553" s="142"/>
      <c r="L553" s="142"/>
      <c r="M553" s="142"/>
      <c r="N553" s="136"/>
      <c r="O553" s="34"/>
      <c r="P553" s="35"/>
      <c r="Q553" s="35"/>
      <c r="R553" s="35"/>
      <c r="S553" s="35"/>
      <c r="T553" s="35"/>
      <c r="U553" s="35"/>
      <c r="V553" s="35"/>
      <c r="W553" s="35"/>
      <c r="X553" s="35"/>
      <c r="Y553" s="35"/>
    </row>
    <row r="554" ht="14.25" customHeight="1">
      <c r="A554" s="136"/>
      <c r="B554" s="137"/>
      <c r="C554" s="251"/>
      <c r="D554" s="452"/>
      <c r="E554" s="136"/>
      <c r="F554" s="253"/>
      <c r="G554" s="527"/>
      <c r="H554" s="141"/>
      <c r="I554" s="141"/>
      <c r="J554" s="142"/>
      <c r="K554" s="142"/>
      <c r="L554" s="142"/>
      <c r="M554" s="142"/>
      <c r="N554" s="136"/>
      <c r="O554" s="34"/>
      <c r="P554" s="35"/>
      <c r="Q554" s="35"/>
      <c r="R554" s="35"/>
      <c r="S554" s="35"/>
      <c r="T554" s="35"/>
      <c r="U554" s="35"/>
      <c r="V554" s="35"/>
      <c r="W554" s="35"/>
      <c r="X554" s="35"/>
      <c r="Y554" s="35"/>
    </row>
    <row r="555" ht="14.25" customHeight="1">
      <c r="A555" s="136"/>
      <c r="B555" s="137"/>
      <c r="C555" s="251"/>
      <c r="D555" s="452"/>
      <c r="E555" s="136"/>
      <c r="F555" s="253"/>
      <c r="G555" s="527"/>
      <c r="H555" s="141"/>
      <c r="I555" s="141"/>
      <c r="J555" s="142"/>
      <c r="K555" s="142"/>
      <c r="L555" s="142"/>
      <c r="M555" s="142"/>
      <c r="N555" s="136"/>
      <c r="O555" s="34"/>
      <c r="P555" s="35"/>
      <c r="Q555" s="35"/>
      <c r="R555" s="35"/>
      <c r="S555" s="35"/>
      <c r="T555" s="35"/>
      <c r="U555" s="35"/>
      <c r="V555" s="35"/>
      <c r="W555" s="35"/>
      <c r="X555" s="35"/>
      <c r="Y555" s="35"/>
    </row>
    <row r="556" ht="14.25" customHeight="1">
      <c r="A556" s="136"/>
      <c r="B556" s="137"/>
      <c r="C556" s="251"/>
      <c r="D556" s="452"/>
      <c r="E556" s="136"/>
      <c r="F556" s="253"/>
      <c r="G556" s="527"/>
      <c r="H556" s="141"/>
      <c r="I556" s="141"/>
      <c r="J556" s="142"/>
      <c r="K556" s="142"/>
      <c r="L556" s="142"/>
      <c r="M556" s="142"/>
      <c r="N556" s="136"/>
      <c r="O556" s="34"/>
      <c r="P556" s="35"/>
      <c r="Q556" s="35"/>
      <c r="R556" s="35"/>
      <c r="S556" s="35"/>
      <c r="T556" s="35"/>
      <c r="U556" s="35"/>
      <c r="V556" s="35"/>
      <c r="W556" s="35"/>
      <c r="X556" s="35"/>
      <c r="Y556" s="35"/>
    </row>
    <row r="557" ht="14.25" customHeight="1">
      <c r="A557" s="136"/>
      <c r="B557" s="137"/>
      <c r="C557" s="251"/>
      <c r="D557" s="452"/>
      <c r="E557" s="136"/>
      <c r="F557" s="253"/>
      <c r="G557" s="527"/>
      <c r="H557" s="141"/>
      <c r="I557" s="141"/>
      <c r="J557" s="142"/>
      <c r="K557" s="142"/>
      <c r="L557" s="142"/>
      <c r="M557" s="142"/>
      <c r="N557" s="136"/>
      <c r="O557" s="34"/>
      <c r="P557" s="35"/>
      <c r="Q557" s="35"/>
      <c r="R557" s="35"/>
      <c r="S557" s="35"/>
      <c r="T557" s="35"/>
      <c r="U557" s="35"/>
      <c r="V557" s="35"/>
      <c r="W557" s="35"/>
      <c r="X557" s="35"/>
      <c r="Y557" s="35"/>
    </row>
    <row r="558" ht="14.25" customHeight="1">
      <c r="A558" s="136"/>
      <c r="B558" s="137"/>
      <c r="C558" s="251"/>
      <c r="D558" s="452"/>
      <c r="E558" s="136"/>
      <c r="F558" s="253"/>
      <c r="G558" s="527"/>
      <c r="H558" s="141"/>
      <c r="I558" s="141"/>
      <c r="J558" s="142"/>
      <c r="K558" s="142"/>
      <c r="L558" s="142"/>
      <c r="M558" s="142"/>
      <c r="N558" s="136"/>
      <c r="O558" s="34"/>
      <c r="P558" s="35"/>
      <c r="Q558" s="35"/>
      <c r="R558" s="35"/>
      <c r="S558" s="35"/>
      <c r="T558" s="35"/>
      <c r="U558" s="35"/>
      <c r="V558" s="35"/>
      <c r="W558" s="35"/>
      <c r="X558" s="35"/>
      <c r="Y558" s="35"/>
    </row>
    <row r="559" ht="14.25" customHeight="1">
      <c r="A559" s="136"/>
      <c r="B559" s="137"/>
      <c r="C559" s="251"/>
      <c r="D559" s="452"/>
      <c r="E559" s="136"/>
      <c r="F559" s="253"/>
      <c r="G559" s="527"/>
      <c r="H559" s="141"/>
      <c r="I559" s="141"/>
      <c r="J559" s="142"/>
      <c r="K559" s="142"/>
      <c r="L559" s="142"/>
      <c r="M559" s="142"/>
      <c r="N559" s="136"/>
      <c r="O559" s="34"/>
      <c r="P559" s="35"/>
      <c r="Q559" s="35"/>
      <c r="R559" s="35"/>
      <c r="S559" s="35"/>
      <c r="T559" s="35"/>
      <c r="U559" s="35"/>
      <c r="V559" s="35"/>
      <c r="W559" s="35"/>
      <c r="X559" s="35"/>
      <c r="Y559" s="35"/>
    </row>
    <row r="560" ht="14.25" customHeight="1">
      <c r="A560" s="136"/>
      <c r="B560" s="137"/>
      <c r="C560" s="251"/>
      <c r="D560" s="452"/>
      <c r="E560" s="136"/>
      <c r="F560" s="253"/>
      <c r="G560" s="527"/>
      <c r="H560" s="141"/>
      <c r="I560" s="141"/>
      <c r="J560" s="142"/>
      <c r="K560" s="142"/>
      <c r="L560" s="142"/>
      <c r="M560" s="142"/>
      <c r="N560" s="136"/>
      <c r="O560" s="34"/>
      <c r="P560" s="35"/>
      <c r="Q560" s="35"/>
      <c r="R560" s="35"/>
      <c r="S560" s="35"/>
      <c r="T560" s="35"/>
      <c r="U560" s="35"/>
      <c r="V560" s="35"/>
      <c r="W560" s="35"/>
      <c r="X560" s="35"/>
      <c r="Y560" s="35"/>
    </row>
    <row r="561" ht="14.25" customHeight="1">
      <c r="A561" s="136"/>
      <c r="B561" s="137"/>
      <c r="C561" s="251"/>
      <c r="D561" s="452"/>
      <c r="E561" s="136"/>
      <c r="F561" s="253"/>
      <c r="G561" s="527"/>
      <c r="H561" s="141"/>
      <c r="I561" s="141"/>
      <c r="J561" s="142"/>
      <c r="K561" s="142"/>
      <c r="L561" s="142"/>
      <c r="M561" s="142"/>
      <c r="N561" s="136"/>
      <c r="O561" s="34"/>
      <c r="P561" s="35"/>
      <c r="Q561" s="35"/>
      <c r="R561" s="35"/>
      <c r="S561" s="35"/>
      <c r="T561" s="35"/>
      <c r="U561" s="35"/>
      <c r="V561" s="35"/>
      <c r="W561" s="35"/>
      <c r="X561" s="35"/>
      <c r="Y561" s="35"/>
    </row>
    <row r="562" ht="14.25" customHeight="1">
      <c r="A562" s="136"/>
      <c r="B562" s="137"/>
      <c r="C562" s="251"/>
      <c r="D562" s="452"/>
      <c r="E562" s="136"/>
      <c r="F562" s="253"/>
      <c r="G562" s="527"/>
      <c r="H562" s="141"/>
      <c r="I562" s="141"/>
      <c r="J562" s="142"/>
      <c r="K562" s="142"/>
      <c r="L562" s="142"/>
      <c r="M562" s="142"/>
      <c r="N562" s="136"/>
      <c r="O562" s="34"/>
      <c r="P562" s="35"/>
      <c r="Q562" s="35"/>
      <c r="R562" s="35"/>
      <c r="S562" s="35"/>
      <c r="T562" s="35"/>
      <c r="U562" s="35"/>
      <c r="V562" s="35"/>
      <c r="W562" s="35"/>
      <c r="X562" s="35"/>
      <c r="Y562" s="35"/>
    </row>
    <row r="563" ht="14.25" customHeight="1">
      <c r="A563" s="136"/>
      <c r="B563" s="137"/>
      <c r="C563" s="251"/>
      <c r="D563" s="452"/>
      <c r="E563" s="136"/>
      <c r="F563" s="253"/>
      <c r="G563" s="527"/>
      <c r="H563" s="141"/>
      <c r="I563" s="141"/>
      <c r="J563" s="142"/>
      <c r="K563" s="142"/>
      <c r="L563" s="142"/>
      <c r="M563" s="142"/>
      <c r="N563" s="136"/>
      <c r="O563" s="34"/>
      <c r="P563" s="35"/>
      <c r="Q563" s="35"/>
      <c r="R563" s="35"/>
      <c r="S563" s="35"/>
      <c r="T563" s="35"/>
      <c r="U563" s="35"/>
      <c r="V563" s="35"/>
      <c r="W563" s="35"/>
      <c r="X563" s="35"/>
      <c r="Y563" s="35"/>
    </row>
    <row r="564" ht="14.25" customHeight="1">
      <c r="A564" s="136"/>
      <c r="B564" s="137"/>
      <c r="C564" s="251"/>
      <c r="D564" s="452"/>
      <c r="E564" s="136"/>
      <c r="F564" s="253"/>
      <c r="G564" s="527"/>
      <c r="H564" s="141"/>
      <c r="I564" s="141"/>
      <c r="J564" s="142"/>
      <c r="K564" s="142"/>
      <c r="L564" s="142"/>
      <c r="M564" s="142"/>
      <c r="N564" s="136"/>
      <c r="O564" s="34"/>
      <c r="P564" s="35"/>
      <c r="Q564" s="35"/>
      <c r="R564" s="35"/>
      <c r="S564" s="35"/>
      <c r="T564" s="35"/>
      <c r="U564" s="35"/>
      <c r="V564" s="35"/>
      <c r="W564" s="35"/>
      <c r="X564" s="35"/>
      <c r="Y564" s="35"/>
    </row>
    <row r="565" ht="14.25" customHeight="1">
      <c r="A565" s="136"/>
      <c r="B565" s="137"/>
      <c r="C565" s="251"/>
      <c r="D565" s="452"/>
      <c r="E565" s="136"/>
      <c r="F565" s="253"/>
      <c r="G565" s="527"/>
      <c r="H565" s="141"/>
      <c r="I565" s="141"/>
      <c r="J565" s="142"/>
      <c r="K565" s="142"/>
      <c r="L565" s="142"/>
      <c r="M565" s="142"/>
      <c r="N565" s="136"/>
      <c r="O565" s="34"/>
      <c r="P565" s="35"/>
      <c r="Q565" s="35"/>
      <c r="R565" s="35"/>
      <c r="S565" s="35"/>
      <c r="T565" s="35"/>
      <c r="U565" s="35"/>
      <c r="V565" s="35"/>
      <c r="W565" s="35"/>
      <c r="X565" s="35"/>
      <c r="Y565" s="35"/>
    </row>
    <row r="566" ht="14.25" customHeight="1">
      <c r="A566" s="136"/>
      <c r="B566" s="137"/>
      <c r="C566" s="251"/>
      <c r="D566" s="452"/>
      <c r="E566" s="136"/>
      <c r="F566" s="253"/>
      <c r="G566" s="527"/>
      <c r="H566" s="141"/>
      <c r="I566" s="141"/>
      <c r="J566" s="142"/>
      <c r="K566" s="142"/>
      <c r="L566" s="142"/>
      <c r="M566" s="142"/>
      <c r="N566" s="136"/>
      <c r="O566" s="34"/>
      <c r="P566" s="35"/>
      <c r="Q566" s="35"/>
      <c r="R566" s="35"/>
      <c r="S566" s="35"/>
      <c r="T566" s="35"/>
      <c r="U566" s="35"/>
      <c r="V566" s="35"/>
      <c r="W566" s="35"/>
      <c r="X566" s="35"/>
      <c r="Y566" s="35"/>
    </row>
    <row r="567" ht="14.25" customHeight="1">
      <c r="A567" s="136"/>
      <c r="B567" s="137"/>
      <c r="C567" s="251"/>
      <c r="D567" s="452"/>
      <c r="E567" s="136"/>
      <c r="F567" s="253"/>
      <c r="G567" s="527"/>
      <c r="H567" s="141"/>
      <c r="I567" s="141"/>
      <c r="J567" s="142"/>
      <c r="K567" s="142"/>
      <c r="L567" s="142"/>
      <c r="M567" s="142"/>
      <c r="N567" s="136"/>
      <c r="O567" s="34"/>
      <c r="P567" s="35"/>
      <c r="Q567" s="35"/>
      <c r="R567" s="35"/>
      <c r="S567" s="35"/>
      <c r="T567" s="35"/>
      <c r="U567" s="35"/>
      <c r="V567" s="35"/>
      <c r="W567" s="35"/>
      <c r="X567" s="35"/>
      <c r="Y567" s="35"/>
    </row>
    <row r="568" ht="14.25" customHeight="1">
      <c r="A568" s="136"/>
      <c r="B568" s="137"/>
      <c r="C568" s="251"/>
      <c r="D568" s="452"/>
      <c r="E568" s="136"/>
      <c r="F568" s="253"/>
      <c r="G568" s="527"/>
      <c r="H568" s="141"/>
      <c r="I568" s="141"/>
      <c r="J568" s="142"/>
      <c r="K568" s="142"/>
      <c r="L568" s="142"/>
      <c r="M568" s="142"/>
      <c r="N568" s="136"/>
      <c r="O568" s="34"/>
      <c r="P568" s="35"/>
      <c r="Q568" s="35"/>
      <c r="R568" s="35"/>
      <c r="S568" s="35"/>
      <c r="T568" s="35"/>
      <c r="U568" s="35"/>
      <c r="V568" s="35"/>
      <c r="W568" s="35"/>
      <c r="X568" s="35"/>
      <c r="Y568" s="35"/>
    </row>
    <row r="569" ht="14.25" customHeight="1">
      <c r="A569" s="136"/>
      <c r="B569" s="137"/>
      <c r="C569" s="251"/>
      <c r="D569" s="452"/>
      <c r="E569" s="136"/>
      <c r="F569" s="253"/>
      <c r="G569" s="527"/>
      <c r="H569" s="141"/>
      <c r="I569" s="141"/>
      <c r="J569" s="142"/>
      <c r="K569" s="142"/>
      <c r="L569" s="142"/>
      <c r="M569" s="142"/>
      <c r="N569" s="136"/>
      <c r="O569" s="34"/>
      <c r="P569" s="35"/>
      <c r="Q569" s="35"/>
      <c r="R569" s="35"/>
      <c r="S569" s="35"/>
      <c r="T569" s="35"/>
      <c r="U569" s="35"/>
      <c r="V569" s="35"/>
      <c r="W569" s="35"/>
      <c r="X569" s="35"/>
      <c r="Y569" s="35"/>
    </row>
    <row r="570" ht="14.25" customHeight="1">
      <c r="A570" s="136"/>
      <c r="B570" s="137"/>
      <c r="C570" s="251"/>
      <c r="D570" s="452"/>
      <c r="E570" s="136"/>
      <c r="F570" s="253"/>
      <c r="G570" s="527"/>
      <c r="H570" s="141"/>
      <c r="I570" s="141"/>
      <c r="J570" s="142"/>
      <c r="K570" s="142"/>
      <c r="L570" s="142"/>
      <c r="M570" s="142"/>
      <c r="N570" s="136"/>
      <c r="O570" s="34"/>
      <c r="P570" s="35"/>
      <c r="Q570" s="35"/>
      <c r="R570" s="35"/>
      <c r="S570" s="35"/>
      <c r="T570" s="35"/>
      <c r="U570" s="35"/>
      <c r="V570" s="35"/>
      <c r="W570" s="35"/>
      <c r="X570" s="35"/>
      <c r="Y570" s="35"/>
    </row>
    <row r="571" ht="14.25" customHeight="1">
      <c r="A571" s="136"/>
      <c r="B571" s="137"/>
      <c r="C571" s="251"/>
      <c r="D571" s="452"/>
      <c r="E571" s="136"/>
      <c r="F571" s="253"/>
      <c r="G571" s="527"/>
      <c r="H571" s="141"/>
      <c r="I571" s="141"/>
      <c r="J571" s="142"/>
      <c r="K571" s="142"/>
      <c r="L571" s="142"/>
      <c r="M571" s="142"/>
      <c r="N571" s="136"/>
      <c r="O571" s="34"/>
      <c r="P571" s="35"/>
      <c r="Q571" s="35"/>
      <c r="R571" s="35"/>
      <c r="S571" s="35"/>
      <c r="T571" s="35"/>
      <c r="U571" s="35"/>
      <c r="V571" s="35"/>
      <c r="W571" s="35"/>
      <c r="X571" s="35"/>
      <c r="Y571" s="35"/>
    </row>
    <row r="572" ht="14.25" customHeight="1">
      <c r="A572" s="136"/>
      <c r="B572" s="137"/>
      <c r="C572" s="251"/>
      <c r="D572" s="452"/>
      <c r="E572" s="136"/>
      <c r="F572" s="253"/>
      <c r="G572" s="527"/>
      <c r="H572" s="141"/>
      <c r="I572" s="141"/>
      <c r="J572" s="142"/>
      <c r="K572" s="142"/>
      <c r="L572" s="142"/>
      <c r="M572" s="142"/>
      <c r="N572" s="136"/>
      <c r="O572" s="34"/>
      <c r="P572" s="35"/>
      <c r="Q572" s="35"/>
      <c r="R572" s="35"/>
      <c r="S572" s="35"/>
      <c r="T572" s="35"/>
      <c r="U572" s="35"/>
      <c r="V572" s="35"/>
      <c r="W572" s="35"/>
      <c r="X572" s="35"/>
      <c r="Y572" s="35"/>
    </row>
    <row r="573" ht="14.25" customHeight="1">
      <c r="A573" s="136"/>
      <c r="B573" s="137"/>
      <c r="C573" s="251"/>
      <c r="D573" s="452"/>
      <c r="E573" s="136"/>
      <c r="F573" s="253"/>
      <c r="G573" s="527"/>
      <c r="H573" s="141"/>
      <c r="I573" s="141"/>
      <c r="J573" s="142"/>
      <c r="K573" s="142"/>
      <c r="L573" s="142"/>
      <c r="M573" s="142"/>
      <c r="N573" s="136"/>
      <c r="O573" s="34"/>
      <c r="P573" s="35"/>
      <c r="Q573" s="35"/>
      <c r="R573" s="35"/>
      <c r="S573" s="35"/>
      <c r="T573" s="35"/>
      <c r="U573" s="35"/>
      <c r="V573" s="35"/>
      <c r="W573" s="35"/>
      <c r="X573" s="35"/>
      <c r="Y573" s="35"/>
    </row>
    <row r="574" ht="14.25" customHeight="1">
      <c r="A574" s="136"/>
      <c r="B574" s="137"/>
      <c r="C574" s="251"/>
      <c r="D574" s="452"/>
      <c r="E574" s="136"/>
      <c r="F574" s="253"/>
      <c r="G574" s="527"/>
      <c r="H574" s="141"/>
      <c r="I574" s="141"/>
      <c r="J574" s="142"/>
      <c r="K574" s="142"/>
      <c r="L574" s="142"/>
      <c r="M574" s="142"/>
      <c r="N574" s="136"/>
      <c r="O574" s="34"/>
      <c r="P574" s="35"/>
      <c r="Q574" s="35"/>
      <c r="R574" s="35"/>
      <c r="S574" s="35"/>
      <c r="T574" s="35"/>
      <c r="U574" s="35"/>
      <c r="V574" s="35"/>
      <c r="W574" s="35"/>
      <c r="X574" s="35"/>
      <c r="Y574" s="35"/>
    </row>
    <row r="575" ht="14.25" customHeight="1">
      <c r="A575" s="136"/>
      <c r="B575" s="137"/>
      <c r="C575" s="251"/>
      <c r="D575" s="452"/>
      <c r="E575" s="136"/>
      <c r="F575" s="253"/>
      <c r="G575" s="527"/>
      <c r="H575" s="141"/>
      <c r="I575" s="141"/>
      <c r="J575" s="142"/>
      <c r="K575" s="142"/>
      <c r="L575" s="142"/>
      <c r="M575" s="142"/>
      <c r="N575" s="136"/>
      <c r="O575" s="34"/>
      <c r="P575" s="35"/>
      <c r="Q575" s="35"/>
      <c r="R575" s="35"/>
      <c r="S575" s="35"/>
      <c r="T575" s="35"/>
      <c r="U575" s="35"/>
      <c r="V575" s="35"/>
      <c r="W575" s="35"/>
      <c r="X575" s="35"/>
      <c r="Y575" s="35"/>
    </row>
    <row r="576" ht="14.25" customHeight="1">
      <c r="A576" s="136"/>
      <c r="B576" s="137"/>
      <c r="C576" s="251"/>
      <c r="D576" s="452"/>
      <c r="E576" s="136"/>
      <c r="F576" s="253"/>
      <c r="G576" s="527"/>
      <c r="H576" s="141"/>
      <c r="I576" s="141"/>
      <c r="J576" s="142"/>
      <c r="K576" s="142"/>
      <c r="L576" s="142"/>
      <c r="M576" s="142"/>
      <c r="N576" s="136"/>
      <c r="O576" s="34"/>
      <c r="P576" s="35"/>
      <c r="Q576" s="35"/>
      <c r="R576" s="35"/>
      <c r="S576" s="35"/>
      <c r="T576" s="35"/>
      <c r="U576" s="35"/>
      <c r="V576" s="35"/>
      <c r="W576" s="35"/>
      <c r="X576" s="35"/>
      <c r="Y576" s="35"/>
    </row>
    <row r="577" ht="14.25" customHeight="1">
      <c r="A577" s="136"/>
      <c r="B577" s="137"/>
      <c r="C577" s="251"/>
      <c r="D577" s="452"/>
      <c r="E577" s="136"/>
      <c r="F577" s="253"/>
      <c r="G577" s="527"/>
      <c r="H577" s="141"/>
      <c r="I577" s="141"/>
      <c r="J577" s="142"/>
      <c r="K577" s="142"/>
      <c r="L577" s="142"/>
      <c r="M577" s="142"/>
      <c r="N577" s="136"/>
      <c r="O577" s="34"/>
      <c r="P577" s="35"/>
      <c r="Q577" s="35"/>
      <c r="R577" s="35"/>
      <c r="S577" s="35"/>
      <c r="T577" s="35"/>
      <c r="U577" s="35"/>
      <c r="V577" s="35"/>
      <c r="W577" s="35"/>
      <c r="X577" s="35"/>
      <c r="Y577" s="35"/>
    </row>
    <row r="578" ht="14.25" customHeight="1">
      <c r="A578" s="136"/>
      <c r="B578" s="137"/>
      <c r="C578" s="251"/>
      <c r="D578" s="452"/>
      <c r="E578" s="136"/>
      <c r="F578" s="253"/>
      <c r="G578" s="527"/>
      <c r="H578" s="141"/>
      <c r="I578" s="141"/>
      <c r="J578" s="142"/>
      <c r="K578" s="142"/>
      <c r="L578" s="142"/>
      <c r="M578" s="142"/>
      <c r="N578" s="136"/>
      <c r="O578" s="34"/>
      <c r="P578" s="35"/>
      <c r="Q578" s="35"/>
      <c r="R578" s="35"/>
      <c r="S578" s="35"/>
      <c r="T578" s="35"/>
      <c r="U578" s="35"/>
      <c r="V578" s="35"/>
      <c r="W578" s="35"/>
      <c r="X578" s="35"/>
      <c r="Y578" s="35"/>
    </row>
    <row r="579" ht="14.25" customHeight="1">
      <c r="A579" s="136"/>
      <c r="B579" s="137"/>
      <c r="C579" s="251"/>
      <c r="D579" s="452"/>
      <c r="E579" s="136"/>
      <c r="F579" s="253"/>
      <c r="G579" s="527"/>
      <c r="H579" s="141"/>
      <c r="I579" s="141"/>
      <c r="J579" s="142"/>
      <c r="K579" s="142"/>
      <c r="L579" s="142"/>
      <c r="M579" s="142"/>
      <c r="N579" s="136"/>
      <c r="O579" s="34"/>
      <c r="P579" s="35"/>
      <c r="Q579" s="35"/>
      <c r="R579" s="35"/>
      <c r="S579" s="35"/>
      <c r="T579" s="35"/>
      <c r="U579" s="35"/>
      <c r="V579" s="35"/>
      <c r="W579" s="35"/>
      <c r="X579" s="35"/>
      <c r="Y579" s="35"/>
    </row>
    <row r="580" ht="14.25" customHeight="1">
      <c r="A580" s="136"/>
      <c r="B580" s="137"/>
      <c r="C580" s="251"/>
      <c r="D580" s="452"/>
      <c r="E580" s="136"/>
      <c r="F580" s="253"/>
      <c r="G580" s="527"/>
      <c r="H580" s="141"/>
      <c r="I580" s="141"/>
      <c r="J580" s="142"/>
      <c r="K580" s="142"/>
      <c r="L580" s="142"/>
      <c r="M580" s="142"/>
      <c r="N580" s="136"/>
      <c r="O580" s="34"/>
      <c r="P580" s="35"/>
      <c r="Q580" s="35"/>
      <c r="R580" s="35"/>
      <c r="S580" s="35"/>
      <c r="T580" s="35"/>
      <c r="U580" s="35"/>
      <c r="V580" s="35"/>
      <c r="W580" s="35"/>
      <c r="X580" s="35"/>
      <c r="Y580" s="35"/>
    </row>
    <row r="581" ht="14.25" customHeight="1">
      <c r="A581" s="136"/>
      <c r="B581" s="137"/>
      <c r="C581" s="251"/>
      <c r="D581" s="452"/>
      <c r="E581" s="136"/>
      <c r="F581" s="253"/>
      <c r="G581" s="527"/>
      <c r="H581" s="141"/>
      <c r="I581" s="141"/>
      <c r="J581" s="142"/>
      <c r="K581" s="142"/>
      <c r="L581" s="142"/>
      <c r="M581" s="142"/>
      <c r="N581" s="136"/>
      <c r="O581" s="34"/>
      <c r="P581" s="35"/>
      <c r="Q581" s="35"/>
      <c r="R581" s="35"/>
      <c r="S581" s="35"/>
      <c r="T581" s="35"/>
      <c r="U581" s="35"/>
      <c r="V581" s="35"/>
      <c r="W581" s="35"/>
      <c r="X581" s="35"/>
      <c r="Y581" s="35"/>
    </row>
    <row r="582" ht="14.25" customHeight="1">
      <c r="A582" s="136"/>
      <c r="B582" s="137"/>
      <c r="C582" s="251"/>
      <c r="D582" s="452"/>
      <c r="E582" s="136"/>
      <c r="F582" s="253"/>
      <c r="G582" s="527"/>
      <c r="H582" s="141"/>
      <c r="I582" s="141"/>
      <c r="J582" s="142"/>
      <c r="K582" s="142"/>
      <c r="L582" s="142"/>
      <c r="M582" s="142"/>
      <c r="N582" s="136"/>
      <c r="O582" s="34"/>
      <c r="P582" s="35"/>
      <c r="Q582" s="35"/>
      <c r="R582" s="35"/>
      <c r="S582" s="35"/>
      <c r="T582" s="35"/>
      <c r="U582" s="35"/>
      <c r="V582" s="35"/>
      <c r="W582" s="35"/>
      <c r="X582" s="35"/>
      <c r="Y582" s="35"/>
    </row>
    <row r="583" ht="14.25" customHeight="1">
      <c r="A583" s="136"/>
      <c r="B583" s="137"/>
      <c r="C583" s="251"/>
      <c r="D583" s="452"/>
      <c r="E583" s="136"/>
      <c r="F583" s="253"/>
      <c r="G583" s="527"/>
      <c r="H583" s="141"/>
      <c r="I583" s="141"/>
      <c r="J583" s="142"/>
      <c r="K583" s="142"/>
      <c r="L583" s="142"/>
      <c r="M583" s="142"/>
      <c r="N583" s="136"/>
      <c r="O583" s="34"/>
      <c r="P583" s="35"/>
      <c r="Q583" s="35"/>
      <c r="R583" s="35"/>
      <c r="S583" s="35"/>
      <c r="T583" s="35"/>
      <c r="U583" s="35"/>
      <c r="V583" s="35"/>
      <c r="W583" s="35"/>
      <c r="X583" s="35"/>
      <c r="Y583" s="35"/>
    </row>
    <row r="584" ht="14.25" customHeight="1">
      <c r="A584" s="136"/>
      <c r="B584" s="137"/>
      <c r="C584" s="251"/>
      <c r="D584" s="452"/>
      <c r="E584" s="136"/>
      <c r="F584" s="253"/>
      <c r="G584" s="527"/>
      <c r="H584" s="141"/>
      <c r="I584" s="141"/>
      <c r="J584" s="142"/>
      <c r="K584" s="142"/>
      <c r="L584" s="142"/>
      <c r="M584" s="142"/>
      <c r="N584" s="136"/>
      <c r="O584" s="34"/>
      <c r="P584" s="35"/>
      <c r="Q584" s="35"/>
      <c r="R584" s="35"/>
      <c r="S584" s="35"/>
      <c r="T584" s="35"/>
      <c r="U584" s="35"/>
      <c r="V584" s="35"/>
      <c r="W584" s="35"/>
      <c r="X584" s="35"/>
      <c r="Y584" s="35"/>
    </row>
    <row r="585" ht="14.25" customHeight="1">
      <c r="A585" s="136"/>
      <c r="B585" s="137"/>
      <c r="C585" s="251"/>
      <c r="D585" s="452"/>
      <c r="E585" s="136"/>
      <c r="F585" s="253"/>
      <c r="G585" s="527"/>
      <c r="H585" s="141"/>
      <c r="I585" s="141"/>
      <c r="J585" s="142"/>
      <c r="K585" s="142"/>
      <c r="L585" s="142"/>
      <c r="M585" s="142"/>
      <c r="N585" s="136"/>
      <c r="O585" s="34"/>
      <c r="P585" s="35"/>
      <c r="Q585" s="35"/>
      <c r="R585" s="35"/>
      <c r="S585" s="35"/>
      <c r="T585" s="35"/>
      <c r="U585" s="35"/>
      <c r="V585" s="35"/>
      <c r="W585" s="35"/>
      <c r="X585" s="35"/>
      <c r="Y585" s="35"/>
    </row>
    <row r="586" ht="14.25" customHeight="1">
      <c r="A586" s="136"/>
      <c r="B586" s="137"/>
      <c r="C586" s="251"/>
      <c r="D586" s="452"/>
      <c r="E586" s="136"/>
      <c r="F586" s="253"/>
      <c r="G586" s="527"/>
      <c r="H586" s="141"/>
      <c r="I586" s="141"/>
      <c r="J586" s="142"/>
      <c r="K586" s="142"/>
      <c r="L586" s="142"/>
      <c r="M586" s="142"/>
      <c r="N586" s="136"/>
      <c r="O586" s="34"/>
      <c r="P586" s="35"/>
      <c r="Q586" s="35"/>
      <c r="R586" s="35"/>
      <c r="S586" s="35"/>
      <c r="T586" s="35"/>
      <c r="U586" s="35"/>
      <c r="V586" s="35"/>
      <c r="W586" s="35"/>
      <c r="X586" s="35"/>
      <c r="Y586" s="35"/>
    </row>
    <row r="587" ht="14.25" customHeight="1">
      <c r="A587" s="136"/>
      <c r="B587" s="137"/>
      <c r="C587" s="251"/>
      <c r="D587" s="452"/>
      <c r="E587" s="136"/>
      <c r="F587" s="253"/>
      <c r="G587" s="527"/>
      <c r="H587" s="141"/>
      <c r="I587" s="141"/>
      <c r="J587" s="142"/>
      <c r="K587" s="142"/>
      <c r="L587" s="142"/>
      <c r="M587" s="142"/>
      <c r="N587" s="136"/>
      <c r="O587" s="34"/>
      <c r="P587" s="35"/>
      <c r="Q587" s="35"/>
      <c r="R587" s="35"/>
      <c r="S587" s="35"/>
      <c r="T587" s="35"/>
      <c r="U587" s="35"/>
      <c r="V587" s="35"/>
      <c r="W587" s="35"/>
      <c r="X587" s="35"/>
      <c r="Y587" s="35"/>
    </row>
    <row r="588" ht="14.25" customHeight="1">
      <c r="A588" s="136"/>
      <c r="B588" s="137"/>
      <c r="C588" s="251"/>
      <c r="D588" s="452"/>
      <c r="E588" s="136"/>
      <c r="F588" s="253"/>
      <c r="G588" s="527"/>
      <c r="H588" s="141"/>
      <c r="I588" s="141"/>
      <c r="J588" s="142"/>
      <c r="K588" s="142"/>
      <c r="L588" s="142"/>
      <c r="M588" s="142"/>
      <c r="N588" s="136"/>
      <c r="O588" s="34"/>
      <c r="P588" s="35"/>
      <c r="Q588" s="35"/>
      <c r="R588" s="35"/>
      <c r="S588" s="35"/>
      <c r="T588" s="35"/>
      <c r="U588" s="35"/>
      <c r="V588" s="35"/>
      <c r="W588" s="35"/>
      <c r="X588" s="35"/>
      <c r="Y588" s="35"/>
    </row>
    <row r="589" ht="14.25" customHeight="1">
      <c r="A589" s="136"/>
      <c r="B589" s="137"/>
      <c r="C589" s="251"/>
      <c r="D589" s="452"/>
      <c r="E589" s="136"/>
      <c r="F589" s="253"/>
      <c r="G589" s="527"/>
      <c r="H589" s="141"/>
      <c r="I589" s="141"/>
      <c r="J589" s="142"/>
      <c r="K589" s="142"/>
      <c r="L589" s="142"/>
      <c r="M589" s="142"/>
      <c r="N589" s="136"/>
      <c r="O589" s="34"/>
      <c r="P589" s="35"/>
      <c r="Q589" s="35"/>
      <c r="R589" s="35"/>
      <c r="S589" s="35"/>
      <c r="T589" s="35"/>
      <c r="U589" s="35"/>
      <c r="V589" s="35"/>
      <c r="W589" s="35"/>
      <c r="X589" s="35"/>
      <c r="Y589" s="35"/>
    </row>
    <row r="590" ht="14.25" customHeight="1">
      <c r="A590" s="136"/>
      <c r="B590" s="137"/>
      <c r="C590" s="251"/>
      <c r="D590" s="452"/>
      <c r="E590" s="136"/>
      <c r="F590" s="253"/>
      <c r="G590" s="527"/>
      <c r="H590" s="141"/>
      <c r="I590" s="141"/>
      <c r="J590" s="142"/>
      <c r="K590" s="142"/>
      <c r="L590" s="142"/>
      <c r="M590" s="142"/>
      <c r="N590" s="136"/>
      <c r="O590" s="34"/>
      <c r="P590" s="35"/>
      <c r="Q590" s="35"/>
      <c r="R590" s="35"/>
      <c r="S590" s="35"/>
      <c r="T590" s="35"/>
      <c r="U590" s="35"/>
      <c r="V590" s="35"/>
      <c r="W590" s="35"/>
      <c r="X590" s="35"/>
      <c r="Y590" s="35"/>
    </row>
    <row r="591" ht="14.25" customHeight="1">
      <c r="A591" s="136"/>
      <c r="B591" s="137"/>
      <c r="C591" s="251"/>
      <c r="D591" s="452"/>
      <c r="E591" s="136"/>
      <c r="F591" s="253"/>
      <c r="G591" s="527"/>
      <c r="H591" s="141"/>
      <c r="I591" s="141"/>
      <c r="J591" s="142"/>
      <c r="K591" s="142"/>
      <c r="L591" s="142"/>
      <c r="M591" s="142"/>
      <c r="N591" s="136"/>
      <c r="O591" s="34"/>
      <c r="P591" s="35"/>
      <c r="Q591" s="35"/>
      <c r="R591" s="35"/>
      <c r="S591" s="35"/>
      <c r="T591" s="35"/>
      <c r="U591" s="35"/>
      <c r="V591" s="35"/>
      <c r="W591" s="35"/>
      <c r="X591" s="35"/>
      <c r="Y591" s="35"/>
    </row>
    <row r="592" ht="14.25" customHeight="1">
      <c r="A592" s="136"/>
      <c r="B592" s="137"/>
      <c r="C592" s="251"/>
      <c r="D592" s="452"/>
      <c r="E592" s="136"/>
      <c r="F592" s="253"/>
      <c r="G592" s="527"/>
      <c r="H592" s="141"/>
      <c r="I592" s="141"/>
      <c r="J592" s="142"/>
      <c r="K592" s="142"/>
      <c r="L592" s="142"/>
      <c r="M592" s="142"/>
      <c r="N592" s="136"/>
      <c r="O592" s="34"/>
      <c r="P592" s="35"/>
      <c r="Q592" s="35"/>
      <c r="R592" s="35"/>
      <c r="S592" s="35"/>
      <c r="T592" s="35"/>
      <c r="U592" s="35"/>
      <c r="V592" s="35"/>
      <c r="W592" s="35"/>
      <c r="X592" s="35"/>
      <c r="Y592" s="35"/>
    </row>
    <row r="593" ht="14.25" customHeight="1">
      <c r="A593" s="136"/>
      <c r="B593" s="137"/>
      <c r="C593" s="251"/>
      <c r="D593" s="452"/>
      <c r="E593" s="136"/>
      <c r="F593" s="253"/>
      <c r="G593" s="527"/>
      <c r="H593" s="141"/>
      <c r="I593" s="141"/>
      <c r="J593" s="142"/>
      <c r="K593" s="142"/>
      <c r="L593" s="142"/>
      <c r="M593" s="142"/>
      <c r="N593" s="136"/>
      <c r="O593" s="34"/>
      <c r="P593" s="35"/>
      <c r="Q593" s="35"/>
      <c r="R593" s="35"/>
      <c r="S593" s="35"/>
      <c r="T593" s="35"/>
      <c r="U593" s="35"/>
      <c r="V593" s="35"/>
      <c r="W593" s="35"/>
      <c r="X593" s="35"/>
      <c r="Y593" s="35"/>
    </row>
    <row r="594" ht="14.25" customHeight="1">
      <c r="A594" s="136"/>
      <c r="B594" s="137"/>
      <c r="C594" s="251"/>
      <c r="D594" s="452"/>
      <c r="E594" s="136"/>
      <c r="F594" s="253"/>
      <c r="G594" s="527"/>
      <c r="H594" s="141"/>
      <c r="I594" s="141"/>
      <c r="J594" s="142"/>
      <c r="K594" s="142"/>
      <c r="L594" s="142"/>
      <c r="M594" s="142"/>
      <c r="N594" s="136"/>
      <c r="O594" s="34"/>
      <c r="P594" s="35"/>
      <c r="Q594" s="35"/>
      <c r="R594" s="35"/>
      <c r="S594" s="35"/>
      <c r="T594" s="35"/>
      <c r="U594" s="35"/>
      <c r="V594" s="35"/>
      <c r="W594" s="35"/>
      <c r="X594" s="35"/>
      <c r="Y594" s="35"/>
    </row>
    <row r="595" ht="14.25" customHeight="1">
      <c r="A595" s="136"/>
      <c r="B595" s="137"/>
      <c r="C595" s="251"/>
      <c r="D595" s="452"/>
      <c r="E595" s="136"/>
      <c r="F595" s="253"/>
      <c r="G595" s="527"/>
      <c r="H595" s="141"/>
      <c r="I595" s="141"/>
      <c r="J595" s="142"/>
      <c r="K595" s="142"/>
      <c r="L595" s="142"/>
      <c r="M595" s="142"/>
      <c r="N595" s="136"/>
      <c r="O595" s="34"/>
      <c r="P595" s="35"/>
      <c r="Q595" s="35"/>
      <c r="R595" s="35"/>
      <c r="S595" s="35"/>
      <c r="T595" s="35"/>
      <c r="U595" s="35"/>
      <c r="V595" s="35"/>
      <c r="W595" s="35"/>
      <c r="X595" s="35"/>
      <c r="Y595" s="35"/>
    </row>
    <row r="596" ht="14.25" customHeight="1">
      <c r="A596" s="136"/>
      <c r="B596" s="137"/>
      <c r="C596" s="251"/>
      <c r="D596" s="452"/>
      <c r="E596" s="136"/>
      <c r="F596" s="253"/>
      <c r="G596" s="527"/>
      <c r="H596" s="141"/>
      <c r="I596" s="141"/>
      <c r="J596" s="142"/>
      <c r="K596" s="142"/>
      <c r="L596" s="142"/>
      <c r="M596" s="142"/>
      <c r="N596" s="136"/>
      <c r="O596" s="34"/>
      <c r="P596" s="35"/>
      <c r="Q596" s="35"/>
      <c r="R596" s="35"/>
      <c r="S596" s="35"/>
      <c r="T596" s="35"/>
      <c r="U596" s="35"/>
      <c r="V596" s="35"/>
      <c r="W596" s="35"/>
      <c r="X596" s="35"/>
      <c r="Y596" s="35"/>
    </row>
    <row r="597" ht="14.25" customHeight="1">
      <c r="A597" s="136"/>
      <c r="B597" s="137"/>
      <c r="C597" s="251"/>
      <c r="D597" s="452"/>
      <c r="E597" s="136"/>
      <c r="F597" s="253"/>
      <c r="G597" s="527"/>
      <c r="H597" s="141"/>
      <c r="I597" s="141"/>
      <c r="J597" s="142"/>
      <c r="K597" s="142"/>
      <c r="L597" s="142"/>
      <c r="M597" s="142"/>
      <c r="N597" s="136"/>
      <c r="O597" s="34"/>
      <c r="P597" s="35"/>
      <c r="Q597" s="35"/>
      <c r="R597" s="35"/>
      <c r="S597" s="35"/>
      <c r="T597" s="35"/>
      <c r="U597" s="35"/>
      <c r="V597" s="35"/>
      <c r="W597" s="35"/>
      <c r="X597" s="35"/>
      <c r="Y597" s="35"/>
    </row>
    <row r="598" ht="14.25" customHeight="1">
      <c r="A598" s="136"/>
      <c r="B598" s="137"/>
      <c r="C598" s="251"/>
      <c r="D598" s="452"/>
      <c r="E598" s="136"/>
      <c r="F598" s="253"/>
      <c r="G598" s="527"/>
      <c r="H598" s="141"/>
      <c r="I598" s="141"/>
      <c r="J598" s="142"/>
      <c r="K598" s="142"/>
      <c r="L598" s="142"/>
      <c r="M598" s="142"/>
      <c r="N598" s="136"/>
      <c r="O598" s="34"/>
      <c r="P598" s="35"/>
      <c r="Q598" s="35"/>
      <c r="R598" s="35"/>
      <c r="S598" s="35"/>
      <c r="T598" s="35"/>
      <c r="U598" s="35"/>
      <c r="V598" s="35"/>
      <c r="W598" s="35"/>
      <c r="X598" s="35"/>
      <c r="Y598" s="35"/>
    </row>
    <row r="599" ht="14.25" customHeight="1">
      <c r="A599" s="136"/>
      <c r="B599" s="137"/>
      <c r="C599" s="251"/>
      <c r="D599" s="452"/>
      <c r="E599" s="136"/>
      <c r="F599" s="253"/>
      <c r="G599" s="527"/>
      <c r="H599" s="141"/>
      <c r="I599" s="141"/>
      <c r="J599" s="142"/>
      <c r="K599" s="142"/>
      <c r="L599" s="142"/>
      <c r="M599" s="142"/>
      <c r="N599" s="136"/>
      <c r="O599" s="34"/>
      <c r="P599" s="35"/>
      <c r="Q599" s="35"/>
      <c r="R599" s="35"/>
      <c r="S599" s="35"/>
      <c r="T599" s="35"/>
      <c r="U599" s="35"/>
      <c r="V599" s="35"/>
      <c r="W599" s="35"/>
      <c r="X599" s="35"/>
      <c r="Y599" s="35"/>
    </row>
    <row r="600" ht="14.25" customHeight="1">
      <c r="A600" s="136"/>
      <c r="B600" s="137"/>
      <c r="C600" s="251"/>
      <c r="D600" s="452"/>
      <c r="E600" s="136"/>
      <c r="F600" s="253"/>
      <c r="G600" s="527"/>
      <c r="H600" s="141"/>
      <c r="I600" s="141"/>
      <c r="J600" s="142"/>
      <c r="K600" s="142"/>
      <c r="L600" s="142"/>
      <c r="M600" s="142"/>
      <c r="N600" s="136"/>
      <c r="O600" s="34"/>
      <c r="P600" s="35"/>
      <c r="Q600" s="35"/>
      <c r="R600" s="35"/>
      <c r="S600" s="35"/>
      <c r="T600" s="35"/>
      <c r="U600" s="35"/>
      <c r="V600" s="35"/>
      <c r="W600" s="35"/>
      <c r="X600" s="35"/>
      <c r="Y600" s="35"/>
    </row>
    <row r="601" ht="14.25" customHeight="1">
      <c r="A601" s="136"/>
      <c r="B601" s="137"/>
      <c r="C601" s="251"/>
      <c r="D601" s="452"/>
      <c r="E601" s="136"/>
      <c r="F601" s="253"/>
      <c r="G601" s="527"/>
      <c r="H601" s="141"/>
      <c r="I601" s="141"/>
      <c r="J601" s="142"/>
      <c r="K601" s="142"/>
      <c r="L601" s="142"/>
      <c r="M601" s="142"/>
      <c r="N601" s="136"/>
      <c r="O601" s="34"/>
      <c r="P601" s="35"/>
      <c r="Q601" s="35"/>
      <c r="R601" s="35"/>
      <c r="S601" s="35"/>
      <c r="T601" s="35"/>
      <c r="U601" s="35"/>
      <c r="V601" s="35"/>
      <c r="W601" s="35"/>
      <c r="X601" s="35"/>
      <c r="Y601" s="35"/>
    </row>
    <row r="602" ht="14.25" customHeight="1">
      <c r="A602" s="136"/>
      <c r="B602" s="137"/>
      <c r="C602" s="251"/>
      <c r="D602" s="452"/>
      <c r="E602" s="136"/>
      <c r="F602" s="253"/>
      <c r="G602" s="527"/>
      <c r="H602" s="141"/>
      <c r="I602" s="141"/>
      <c r="J602" s="142"/>
      <c r="K602" s="142"/>
      <c r="L602" s="142"/>
      <c r="M602" s="142"/>
      <c r="N602" s="136"/>
      <c r="O602" s="34"/>
      <c r="P602" s="35"/>
      <c r="Q602" s="35"/>
      <c r="R602" s="35"/>
      <c r="S602" s="35"/>
      <c r="T602" s="35"/>
      <c r="U602" s="35"/>
      <c r="V602" s="35"/>
      <c r="W602" s="35"/>
      <c r="X602" s="35"/>
      <c r="Y602" s="35"/>
    </row>
    <row r="603" ht="14.25" customHeight="1">
      <c r="A603" s="136"/>
      <c r="B603" s="137"/>
      <c r="C603" s="251"/>
      <c r="D603" s="452"/>
      <c r="E603" s="136"/>
      <c r="F603" s="253"/>
      <c r="G603" s="527"/>
      <c r="H603" s="141"/>
      <c r="I603" s="141"/>
      <c r="J603" s="142"/>
      <c r="K603" s="142"/>
      <c r="L603" s="142"/>
      <c r="M603" s="142"/>
      <c r="N603" s="136"/>
      <c r="O603" s="34"/>
      <c r="P603" s="35"/>
      <c r="Q603" s="35"/>
      <c r="R603" s="35"/>
      <c r="S603" s="35"/>
      <c r="T603" s="35"/>
      <c r="U603" s="35"/>
      <c r="V603" s="35"/>
      <c r="W603" s="35"/>
      <c r="X603" s="35"/>
      <c r="Y603" s="35"/>
    </row>
    <row r="604" ht="14.25" customHeight="1">
      <c r="A604" s="136"/>
      <c r="B604" s="137"/>
      <c r="C604" s="251"/>
      <c r="D604" s="452"/>
      <c r="E604" s="136"/>
      <c r="F604" s="253"/>
      <c r="G604" s="527"/>
      <c r="H604" s="141"/>
      <c r="I604" s="141"/>
      <c r="J604" s="142"/>
      <c r="K604" s="142"/>
      <c r="L604" s="142"/>
      <c r="M604" s="142"/>
      <c r="N604" s="136"/>
      <c r="O604" s="34"/>
      <c r="P604" s="35"/>
      <c r="Q604" s="35"/>
      <c r="R604" s="35"/>
      <c r="S604" s="35"/>
      <c r="T604" s="35"/>
      <c r="U604" s="35"/>
      <c r="V604" s="35"/>
      <c r="W604" s="35"/>
      <c r="X604" s="35"/>
      <c r="Y604" s="35"/>
    </row>
    <row r="605" ht="14.25" customHeight="1">
      <c r="A605" s="136"/>
      <c r="B605" s="137"/>
      <c r="C605" s="251"/>
      <c r="D605" s="452"/>
      <c r="E605" s="136"/>
      <c r="F605" s="253"/>
      <c r="G605" s="527"/>
      <c r="H605" s="141"/>
      <c r="I605" s="141"/>
      <c r="J605" s="142"/>
      <c r="K605" s="142"/>
      <c r="L605" s="142"/>
      <c r="M605" s="142"/>
      <c r="N605" s="136"/>
      <c r="O605" s="34"/>
      <c r="P605" s="35"/>
      <c r="Q605" s="35"/>
      <c r="R605" s="35"/>
      <c r="S605" s="35"/>
      <c r="T605" s="35"/>
      <c r="U605" s="35"/>
      <c r="V605" s="35"/>
      <c r="W605" s="35"/>
      <c r="X605" s="35"/>
      <c r="Y605" s="35"/>
    </row>
    <row r="606" ht="14.25" customHeight="1">
      <c r="A606" s="136"/>
      <c r="B606" s="137"/>
      <c r="C606" s="251"/>
      <c r="D606" s="452"/>
      <c r="E606" s="136"/>
      <c r="F606" s="253"/>
      <c r="G606" s="527"/>
      <c r="H606" s="141"/>
      <c r="I606" s="141"/>
      <c r="J606" s="142"/>
      <c r="K606" s="142"/>
      <c r="L606" s="142"/>
      <c r="M606" s="142"/>
      <c r="N606" s="136"/>
      <c r="O606" s="34"/>
      <c r="P606" s="35"/>
      <c r="Q606" s="35"/>
      <c r="R606" s="35"/>
      <c r="S606" s="35"/>
      <c r="T606" s="35"/>
      <c r="U606" s="35"/>
      <c r="V606" s="35"/>
      <c r="W606" s="35"/>
      <c r="X606" s="35"/>
      <c r="Y606" s="35"/>
    </row>
    <row r="607" ht="14.25" customHeight="1">
      <c r="A607" s="136"/>
      <c r="B607" s="137"/>
      <c r="C607" s="251"/>
      <c r="D607" s="452"/>
      <c r="E607" s="136"/>
      <c r="F607" s="253"/>
      <c r="G607" s="527"/>
      <c r="H607" s="141"/>
      <c r="I607" s="141"/>
      <c r="J607" s="142"/>
      <c r="K607" s="142"/>
      <c r="L607" s="142"/>
      <c r="M607" s="142"/>
      <c r="N607" s="136"/>
      <c r="O607" s="34"/>
      <c r="P607" s="35"/>
      <c r="Q607" s="35"/>
      <c r="R607" s="35"/>
      <c r="S607" s="35"/>
      <c r="T607" s="35"/>
      <c r="U607" s="35"/>
      <c r="V607" s="35"/>
      <c r="W607" s="35"/>
      <c r="X607" s="35"/>
      <c r="Y607" s="35"/>
    </row>
    <row r="608" ht="14.25" customHeight="1">
      <c r="A608" s="136"/>
      <c r="B608" s="137"/>
      <c r="C608" s="251"/>
      <c r="D608" s="452"/>
      <c r="E608" s="136"/>
      <c r="F608" s="253"/>
      <c r="G608" s="527"/>
      <c r="H608" s="141"/>
      <c r="I608" s="141"/>
      <c r="J608" s="142"/>
      <c r="K608" s="142"/>
      <c r="L608" s="142"/>
      <c r="M608" s="142"/>
      <c r="N608" s="136"/>
      <c r="O608" s="34"/>
      <c r="P608" s="35"/>
      <c r="Q608" s="35"/>
      <c r="R608" s="35"/>
      <c r="S608" s="35"/>
      <c r="T608" s="35"/>
      <c r="U608" s="35"/>
      <c r="V608" s="35"/>
      <c r="W608" s="35"/>
      <c r="X608" s="35"/>
      <c r="Y608" s="35"/>
    </row>
    <row r="609" ht="14.25" customHeight="1">
      <c r="A609" s="136"/>
      <c r="B609" s="137"/>
      <c r="C609" s="251"/>
      <c r="D609" s="452"/>
      <c r="E609" s="136"/>
      <c r="F609" s="253"/>
      <c r="G609" s="527"/>
      <c r="H609" s="141"/>
      <c r="I609" s="141"/>
      <c r="J609" s="142"/>
      <c r="K609" s="142"/>
      <c r="L609" s="142"/>
      <c r="M609" s="142"/>
      <c r="N609" s="136"/>
      <c r="O609" s="34"/>
      <c r="P609" s="35"/>
      <c r="Q609" s="35"/>
      <c r="R609" s="35"/>
      <c r="S609" s="35"/>
      <c r="T609" s="35"/>
      <c r="U609" s="35"/>
      <c r="V609" s="35"/>
      <c r="W609" s="35"/>
      <c r="X609" s="35"/>
      <c r="Y609" s="35"/>
    </row>
    <row r="610" ht="14.25" customHeight="1">
      <c r="A610" s="136"/>
      <c r="B610" s="137"/>
      <c r="C610" s="251"/>
      <c r="D610" s="452"/>
      <c r="E610" s="136"/>
      <c r="F610" s="253"/>
      <c r="G610" s="527"/>
      <c r="H610" s="141"/>
      <c r="I610" s="141"/>
      <c r="J610" s="142"/>
      <c r="K610" s="142"/>
      <c r="L610" s="142"/>
      <c r="M610" s="142"/>
      <c r="N610" s="136"/>
      <c r="O610" s="34"/>
      <c r="P610" s="35"/>
      <c r="Q610" s="35"/>
      <c r="R610" s="35"/>
      <c r="S610" s="35"/>
      <c r="T610" s="35"/>
      <c r="U610" s="35"/>
      <c r="V610" s="35"/>
      <c r="W610" s="35"/>
      <c r="X610" s="35"/>
      <c r="Y610" s="35"/>
    </row>
    <row r="611" ht="14.25" customHeight="1">
      <c r="A611" s="136"/>
      <c r="B611" s="137"/>
      <c r="C611" s="251"/>
      <c r="D611" s="452"/>
      <c r="E611" s="136"/>
      <c r="F611" s="253"/>
      <c r="G611" s="527"/>
      <c r="H611" s="141"/>
      <c r="I611" s="141"/>
      <c r="J611" s="142"/>
      <c r="K611" s="142"/>
      <c r="L611" s="142"/>
      <c r="M611" s="142"/>
      <c r="N611" s="136"/>
      <c r="O611" s="34"/>
      <c r="P611" s="35"/>
      <c r="Q611" s="35"/>
      <c r="R611" s="35"/>
      <c r="S611" s="35"/>
      <c r="T611" s="35"/>
      <c r="U611" s="35"/>
      <c r="V611" s="35"/>
      <c r="W611" s="35"/>
      <c r="X611" s="35"/>
      <c r="Y611" s="35"/>
    </row>
    <row r="612" ht="14.25" customHeight="1">
      <c r="A612" s="136"/>
      <c r="B612" s="137"/>
      <c r="C612" s="251"/>
      <c r="D612" s="452"/>
      <c r="E612" s="136"/>
      <c r="F612" s="253"/>
      <c r="G612" s="527"/>
      <c r="H612" s="141"/>
      <c r="I612" s="141"/>
      <c r="J612" s="142"/>
      <c r="K612" s="142"/>
      <c r="L612" s="142"/>
      <c r="M612" s="142"/>
      <c r="N612" s="136"/>
      <c r="O612" s="34"/>
      <c r="P612" s="35"/>
      <c r="Q612" s="35"/>
      <c r="R612" s="35"/>
      <c r="S612" s="35"/>
      <c r="T612" s="35"/>
      <c r="U612" s="35"/>
      <c r="V612" s="35"/>
      <c r="W612" s="35"/>
      <c r="X612" s="35"/>
      <c r="Y612" s="35"/>
    </row>
    <row r="613" ht="14.25" customHeight="1">
      <c r="A613" s="136"/>
      <c r="B613" s="137"/>
      <c r="C613" s="251"/>
      <c r="D613" s="452"/>
      <c r="E613" s="136"/>
      <c r="F613" s="253"/>
      <c r="G613" s="527"/>
      <c r="H613" s="141"/>
      <c r="I613" s="141"/>
      <c r="J613" s="142"/>
      <c r="K613" s="142"/>
      <c r="L613" s="142"/>
      <c r="M613" s="142"/>
      <c r="N613" s="136"/>
      <c r="O613" s="34"/>
      <c r="P613" s="35"/>
      <c r="Q613" s="35"/>
      <c r="R613" s="35"/>
      <c r="S613" s="35"/>
      <c r="T613" s="35"/>
      <c r="U613" s="35"/>
      <c r="V613" s="35"/>
      <c r="W613" s="35"/>
      <c r="X613" s="35"/>
      <c r="Y613" s="35"/>
    </row>
    <row r="614" ht="14.25" customHeight="1">
      <c r="A614" s="136"/>
      <c r="B614" s="137"/>
      <c r="C614" s="251"/>
      <c r="D614" s="452"/>
      <c r="E614" s="136"/>
      <c r="F614" s="253"/>
      <c r="G614" s="527"/>
      <c r="H614" s="141"/>
      <c r="I614" s="141"/>
      <c r="J614" s="142"/>
      <c r="K614" s="142"/>
      <c r="L614" s="142"/>
      <c r="M614" s="142"/>
      <c r="N614" s="136"/>
      <c r="O614" s="34"/>
      <c r="P614" s="35"/>
      <c r="Q614" s="35"/>
      <c r="R614" s="35"/>
      <c r="S614" s="35"/>
      <c r="T614" s="35"/>
      <c r="U614" s="35"/>
      <c r="V614" s="35"/>
      <c r="W614" s="35"/>
      <c r="X614" s="35"/>
      <c r="Y614" s="35"/>
    </row>
    <row r="615" ht="14.25" customHeight="1">
      <c r="A615" s="136"/>
      <c r="B615" s="137"/>
      <c r="C615" s="251"/>
      <c r="D615" s="452"/>
      <c r="E615" s="136"/>
      <c r="F615" s="253"/>
      <c r="G615" s="527"/>
      <c r="H615" s="141"/>
      <c r="I615" s="141"/>
      <c r="J615" s="142"/>
      <c r="K615" s="142"/>
      <c r="L615" s="142"/>
      <c r="M615" s="142"/>
      <c r="N615" s="136"/>
      <c r="O615" s="34"/>
      <c r="P615" s="35"/>
      <c r="Q615" s="35"/>
      <c r="R615" s="35"/>
      <c r="S615" s="35"/>
      <c r="T615" s="35"/>
      <c r="U615" s="35"/>
      <c r="V615" s="35"/>
      <c r="W615" s="35"/>
      <c r="X615" s="35"/>
      <c r="Y615" s="35"/>
    </row>
    <row r="616" ht="14.25" customHeight="1">
      <c r="A616" s="136"/>
      <c r="B616" s="137"/>
      <c r="C616" s="251"/>
      <c r="D616" s="452"/>
      <c r="E616" s="136"/>
      <c r="F616" s="253"/>
      <c r="G616" s="527"/>
      <c r="H616" s="141"/>
      <c r="I616" s="141"/>
      <c r="J616" s="142"/>
      <c r="K616" s="142"/>
      <c r="L616" s="142"/>
      <c r="M616" s="142"/>
      <c r="N616" s="136"/>
      <c r="O616" s="34"/>
      <c r="P616" s="35"/>
      <c r="Q616" s="35"/>
      <c r="R616" s="35"/>
      <c r="S616" s="35"/>
      <c r="T616" s="35"/>
      <c r="U616" s="35"/>
      <c r="V616" s="35"/>
      <c r="W616" s="35"/>
      <c r="X616" s="35"/>
      <c r="Y616" s="35"/>
    </row>
    <row r="617" ht="14.25" customHeight="1">
      <c r="A617" s="136"/>
      <c r="B617" s="137"/>
      <c r="C617" s="251"/>
      <c r="D617" s="452"/>
      <c r="E617" s="136"/>
      <c r="F617" s="253"/>
      <c r="G617" s="527"/>
      <c r="H617" s="141"/>
      <c r="I617" s="141"/>
      <c r="J617" s="142"/>
      <c r="K617" s="142"/>
      <c r="L617" s="142"/>
      <c r="M617" s="142"/>
      <c r="N617" s="136"/>
      <c r="O617" s="34"/>
      <c r="P617" s="35"/>
      <c r="Q617" s="35"/>
      <c r="R617" s="35"/>
      <c r="S617" s="35"/>
      <c r="T617" s="35"/>
      <c r="U617" s="35"/>
      <c r="V617" s="35"/>
      <c r="W617" s="35"/>
      <c r="X617" s="35"/>
      <c r="Y617" s="35"/>
    </row>
    <row r="618" ht="14.25" customHeight="1">
      <c r="A618" s="136"/>
      <c r="B618" s="137"/>
      <c r="C618" s="251"/>
      <c r="D618" s="452"/>
      <c r="E618" s="136"/>
      <c r="F618" s="253"/>
      <c r="G618" s="527"/>
      <c r="H618" s="141"/>
      <c r="I618" s="141"/>
      <c r="J618" s="142"/>
      <c r="K618" s="142"/>
      <c r="L618" s="142"/>
      <c r="M618" s="142"/>
      <c r="N618" s="136"/>
      <c r="O618" s="34"/>
      <c r="P618" s="35"/>
      <c r="Q618" s="35"/>
      <c r="R618" s="35"/>
      <c r="S618" s="35"/>
      <c r="T618" s="35"/>
      <c r="U618" s="35"/>
      <c r="V618" s="35"/>
      <c r="W618" s="35"/>
      <c r="X618" s="35"/>
      <c r="Y618" s="35"/>
    </row>
    <row r="619" ht="14.25" customHeight="1">
      <c r="A619" s="136"/>
      <c r="B619" s="137"/>
      <c r="C619" s="251"/>
      <c r="D619" s="452"/>
      <c r="E619" s="136"/>
      <c r="F619" s="253"/>
      <c r="G619" s="527"/>
      <c r="H619" s="141"/>
      <c r="I619" s="141"/>
      <c r="J619" s="142"/>
      <c r="K619" s="142"/>
      <c r="L619" s="142"/>
      <c r="M619" s="142"/>
      <c r="N619" s="136"/>
      <c r="O619" s="34"/>
      <c r="P619" s="35"/>
      <c r="Q619" s="35"/>
      <c r="R619" s="35"/>
      <c r="S619" s="35"/>
      <c r="T619" s="35"/>
      <c r="U619" s="35"/>
      <c r="V619" s="35"/>
      <c r="W619" s="35"/>
      <c r="X619" s="35"/>
      <c r="Y619" s="35"/>
    </row>
    <row r="620" ht="14.25" customHeight="1">
      <c r="A620" s="136"/>
      <c r="B620" s="137"/>
      <c r="C620" s="251"/>
      <c r="D620" s="452"/>
      <c r="E620" s="136"/>
      <c r="F620" s="253"/>
      <c r="G620" s="527"/>
      <c r="H620" s="141"/>
      <c r="I620" s="141"/>
      <c r="J620" s="142"/>
      <c r="K620" s="142"/>
      <c r="L620" s="142"/>
      <c r="M620" s="142"/>
      <c r="N620" s="136"/>
      <c r="O620" s="34"/>
      <c r="P620" s="35"/>
      <c r="Q620" s="35"/>
      <c r="R620" s="35"/>
      <c r="S620" s="35"/>
      <c r="T620" s="35"/>
      <c r="U620" s="35"/>
      <c r="V620" s="35"/>
      <c r="W620" s="35"/>
      <c r="X620" s="35"/>
      <c r="Y620" s="35"/>
    </row>
    <row r="621" ht="14.25" customHeight="1">
      <c r="A621" s="136"/>
      <c r="B621" s="137"/>
      <c r="C621" s="251"/>
      <c r="D621" s="452"/>
      <c r="E621" s="136"/>
      <c r="F621" s="253"/>
      <c r="G621" s="527"/>
      <c r="H621" s="141"/>
      <c r="I621" s="141"/>
      <c r="J621" s="142"/>
      <c r="K621" s="142"/>
      <c r="L621" s="142"/>
      <c r="M621" s="142"/>
      <c r="N621" s="136"/>
      <c r="O621" s="34"/>
      <c r="P621" s="35"/>
      <c r="Q621" s="35"/>
      <c r="R621" s="35"/>
      <c r="S621" s="35"/>
      <c r="T621" s="35"/>
      <c r="U621" s="35"/>
      <c r="V621" s="35"/>
      <c r="W621" s="35"/>
      <c r="X621" s="35"/>
      <c r="Y621" s="35"/>
    </row>
    <row r="622" ht="14.25" customHeight="1">
      <c r="A622" s="136"/>
      <c r="B622" s="137"/>
      <c r="C622" s="251"/>
      <c r="D622" s="452"/>
      <c r="E622" s="136"/>
      <c r="F622" s="253"/>
      <c r="G622" s="527"/>
      <c r="H622" s="141"/>
      <c r="I622" s="141"/>
      <c r="J622" s="142"/>
      <c r="K622" s="142"/>
      <c r="L622" s="142"/>
      <c r="M622" s="142"/>
      <c r="N622" s="136"/>
      <c r="O622" s="34"/>
      <c r="P622" s="35"/>
      <c r="Q622" s="35"/>
      <c r="R622" s="35"/>
      <c r="S622" s="35"/>
      <c r="T622" s="35"/>
      <c r="U622" s="35"/>
      <c r="V622" s="35"/>
      <c r="W622" s="35"/>
      <c r="X622" s="35"/>
      <c r="Y622" s="35"/>
    </row>
    <row r="623" ht="14.25" customHeight="1">
      <c r="A623" s="136"/>
      <c r="B623" s="137"/>
      <c r="C623" s="251"/>
      <c r="D623" s="452"/>
      <c r="E623" s="136"/>
      <c r="F623" s="253"/>
      <c r="G623" s="527"/>
      <c r="H623" s="141"/>
      <c r="I623" s="141"/>
      <c r="J623" s="142"/>
      <c r="K623" s="142"/>
      <c r="L623" s="142"/>
      <c r="M623" s="142"/>
      <c r="N623" s="136"/>
      <c r="O623" s="34"/>
      <c r="P623" s="35"/>
      <c r="Q623" s="35"/>
      <c r="R623" s="35"/>
      <c r="S623" s="35"/>
      <c r="T623" s="35"/>
      <c r="U623" s="35"/>
      <c r="V623" s="35"/>
      <c r="W623" s="35"/>
      <c r="X623" s="35"/>
      <c r="Y623" s="35"/>
    </row>
    <row r="624" ht="14.25" customHeight="1">
      <c r="A624" s="136"/>
      <c r="B624" s="137"/>
      <c r="C624" s="251"/>
      <c r="D624" s="452"/>
      <c r="E624" s="136"/>
      <c r="F624" s="253"/>
      <c r="G624" s="527"/>
      <c r="H624" s="141"/>
      <c r="I624" s="141"/>
      <c r="J624" s="142"/>
      <c r="K624" s="142"/>
      <c r="L624" s="142"/>
      <c r="M624" s="142"/>
      <c r="N624" s="136"/>
      <c r="O624" s="34"/>
      <c r="P624" s="35"/>
      <c r="Q624" s="35"/>
      <c r="R624" s="35"/>
      <c r="S624" s="35"/>
      <c r="T624" s="35"/>
      <c r="U624" s="35"/>
      <c r="V624" s="35"/>
      <c r="W624" s="35"/>
      <c r="X624" s="35"/>
      <c r="Y624" s="35"/>
    </row>
    <row r="625" ht="14.25" customHeight="1">
      <c r="A625" s="136"/>
      <c r="B625" s="137"/>
      <c r="C625" s="251"/>
      <c r="D625" s="452"/>
      <c r="E625" s="136"/>
      <c r="F625" s="253"/>
      <c r="G625" s="527"/>
      <c r="H625" s="141"/>
      <c r="I625" s="141"/>
      <c r="J625" s="142"/>
      <c r="K625" s="142"/>
      <c r="L625" s="142"/>
      <c r="M625" s="142"/>
      <c r="N625" s="136"/>
      <c r="O625" s="34"/>
      <c r="P625" s="35"/>
      <c r="Q625" s="35"/>
      <c r="R625" s="35"/>
      <c r="S625" s="35"/>
      <c r="T625" s="35"/>
      <c r="U625" s="35"/>
      <c r="V625" s="35"/>
      <c r="W625" s="35"/>
      <c r="X625" s="35"/>
      <c r="Y625" s="35"/>
    </row>
    <row r="626" ht="14.25" customHeight="1">
      <c r="A626" s="136"/>
      <c r="B626" s="137"/>
      <c r="C626" s="251"/>
      <c r="D626" s="452"/>
      <c r="E626" s="136"/>
      <c r="F626" s="253"/>
      <c r="G626" s="527"/>
      <c r="H626" s="141"/>
      <c r="I626" s="141"/>
      <c r="J626" s="142"/>
      <c r="K626" s="142"/>
      <c r="L626" s="142"/>
      <c r="M626" s="142"/>
      <c r="N626" s="136"/>
      <c r="O626" s="34"/>
      <c r="P626" s="35"/>
      <c r="Q626" s="35"/>
      <c r="R626" s="35"/>
      <c r="S626" s="35"/>
      <c r="T626" s="35"/>
      <c r="U626" s="35"/>
      <c r="V626" s="35"/>
      <c r="W626" s="35"/>
      <c r="X626" s="35"/>
      <c r="Y626" s="35"/>
    </row>
    <row r="627" ht="14.25" customHeight="1">
      <c r="A627" s="136"/>
      <c r="B627" s="137"/>
      <c r="C627" s="251"/>
      <c r="D627" s="452"/>
      <c r="E627" s="136"/>
      <c r="F627" s="253"/>
      <c r="G627" s="527"/>
      <c r="H627" s="141"/>
      <c r="I627" s="141"/>
      <c r="J627" s="142"/>
      <c r="K627" s="142"/>
      <c r="L627" s="142"/>
      <c r="M627" s="142"/>
      <c r="N627" s="136"/>
      <c r="O627" s="34"/>
      <c r="P627" s="35"/>
      <c r="Q627" s="35"/>
      <c r="R627" s="35"/>
      <c r="S627" s="35"/>
      <c r="T627" s="35"/>
      <c r="U627" s="35"/>
      <c r="V627" s="35"/>
      <c r="W627" s="35"/>
      <c r="X627" s="35"/>
      <c r="Y627" s="35"/>
    </row>
    <row r="628" ht="14.25" customHeight="1">
      <c r="A628" s="136"/>
      <c r="B628" s="137"/>
      <c r="C628" s="251"/>
      <c r="D628" s="452"/>
      <c r="E628" s="136"/>
      <c r="F628" s="253"/>
      <c r="G628" s="527"/>
      <c r="H628" s="141"/>
      <c r="I628" s="141"/>
      <c r="J628" s="142"/>
      <c r="K628" s="142"/>
      <c r="L628" s="142"/>
      <c r="M628" s="142"/>
      <c r="N628" s="136"/>
      <c r="O628" s="34"/>
      <c r="P628" s="35"/>
      <c r="Q628" s="35"/>
      <c r="R628" s="35"/>
      <c r="S628" s="35"/>
      <c r="T628" s="35"/>
      <c r="U628" s="35"/>
      <c r="V628" s="35"/>
      <c r="W628" s="35"/>
      <c r="X628" s="35"/>
      <c r="Y628" s="35"/>
    </row>
    <row r="629" ht="14.25" customHeight="1">
      <c r="A629" s="136"/>
      <c r="B629" s="137"/>
      <c r="C629" s="251"/>
      <c r="D629" s="452"/>
      <c r="E629" s="136"/>
      <c r="F629" s="253"/>
      <c r="G629" s="527"/>
      <c r="H629" s="141"/>
      <c r="I629" s="141"/>
      <c r="J629" s="142"/>
      <c r="K629" s="142"/>
      <c r="L629" s="142"/>
      <c r="M629" s="142"/>
      <c r="N629" s="136"/>
      <c r="O629" s="34"/>
      <c r="P629" s="35"/>
      <c r="Q629" s="35"/>
      <c r="R629" s="35"/>
      <c r="S629" s="35"/>
      <c r="T629" s="35"/>
      <c r="U629" s="35"/>
      <c r="V629" s="35"/>
      <c r="W629" s="35"/>
      <c r="X629" s="35"/>
      <c r="Y629" s="35"/>
    </row>
    <row r="630" ht="14.25" customHeight="1">
      <c r="A630" s="136"/>
      <c r="B630" s="137"/>
      <c r="C630" s="251"/>
      <c r="D630" s="452"/>
      <c r="E630" s="136"/>
      <c r="F630" s="253"/>
      <c r="G630" s="527"/>
      <c r="H630" s="141"/>
      <c r="I630" s="141"/>
      <c r="J630" s="142"/>
      <c r="K630" s="142"/>
      <c r="L630" s="142"/>
      <c r="M630" s="142"/>
      <c r="N630" s="136"/>
      <c r="O630" s="34"/>
      <c r="P630" s="35"/>
      <c r="Q630" s="35"/>
      <c r="R630" s="35"/>
      <c r="S630" s="35"/>
      <c r="T630" s="35"/>
      <c r="U630" s="35"/>
      <c r="V630" s="35"/>
      <c r="W630" s="35"/>
      <c r="X630" s="35"/>
      <c r="Y630" s="35"/>
    </row>
    <row r="631" ht="14.25" customHeight="1">
      <c r="A631" s="136"/>
      <c r="B631" s="137"/>
      <c r="C631" s="251"/>
      <c r="D631" s="452"/>
      <c r="E631" s="136"/>
      <c r="F631" s="253"/>
      <c r="G631" s="527"/>
      <c r="H631" s="141"/>
      <c r="I631" s="141"/>
      <c r="J631" s="142"/>
      <c r="K631" s="142"/>
      <c r="L631" s="142"/>
      <c r="M631" s="142"/>
      <c r="N631" s="136"/>
      <c r="O631" s="34"/>
      <c r="P631" s="35"/>
      <c r="Q631" s="35"/>
      <c r="R631" s="35"/>
      <c r="S631" s="35"/>
      <c r="T631" s="35"/>
      <c r="U631" s="35"/>
      <c r="V631" s="35"/>
      <c r="W631" s="35"/>
      <c r="X631" s="35"/>
      <c r="Y631" s="35"/>
    </row>
    <row r="632" ht="14.25" customHeight="1">
      <c r="A632" s="136"/>
      <c r="B632" s="137"/>
      <c r="C632" s="251"/>
      <c r="D632" s="452"/>
      <c r="E632" s="136"/>
      <c r="F632" s="253"/>
      <c r="G632" s="527"/>
      <c r="H632" s="141"/>
      <c r="I632" s="141"/>
      <c r="J632" s="142"/>
      <c r="K632" s="142"/>
      <c r="L632" s="142"/>
      <c r="M632" s="142"/>
      <c r="N632" s="136"/>
      <c r="O632" s="34"/>
      <c r="P632" s="35"/>
      <c r="Q632" s="35"/>
      <c r="R632" s="35"/>
      <c r="S632" s="35"/>
      <c r="T632" s="35"/>
      <c r="U632" s="35"/>
      <c r="V632" s="35"/>
      <c r="W632" s="35"/>
      <c r="X632" s="35"/>
      <c r="Y632" s="35"/>
    </row>
    <row r="633" ht="14.25" customHeight="1">
      <c r="A633" s="136"/>
      <c r="B633" s="137"/>
      <c r="C633" s="251"/>
      <c r="D633" s="452"/>
      <c r="E633" s="136"/>
      <c r="F633" s="253"/>
      <c r="G633" s="527"/>
      <c r="H633" s="141"/>
      <c r="I633" s="141"/>
      <c r="J633" s="142"/>
      <c r="K633" s="142"/>
      <c r="L633" s="142"/>
      <c r="M633" s="142"/>
      <c r="N633" s="136"/>
      <c r="O633" s="34"/>
      <c r="P633" s="35"/>
      <c r="Q633" s="35"/>
      <c r="R633" s="35"/>
      <c r="S633" s="35"/>
      <c r="T633" s="35"/>
      <c r="U633" s="35"/>
      <c r="V633" s="35"/>
      <c r="W633" s="35"/>
      <c r="X633" s="35"/>
      <c r="Y633" s="35"/>
    </row>
    <row r="634" ht="14.25" customHeight="1">
      <c r="A634" s="136"/>
      <c r="B634" s="137"/>
      <c r="C634" s="251"/>
      <c r="D634" s="452"/>
      <c r="E634" s="136"/>
      <c r="F634" s="253"/>
      <c r="G634" s="527"/>
      <c r="H634" s="141"/>
      <c r="I634" s="141"/>
      <c r="J634" s="142"/>
      <c r="K634" s="142"/>
      <c r="L634" s="142"/>
      <c r="M634" s="142"/>
      <c r="N634" s="136"/>
      <c r="O634" s="34"/>
      <c r="P634" s="35"/>
      <c r="Q634" s="35"/>
      <c r="R634" s="35"/>
      <c r="S634" s="35"/>
      <c r="T634" s="35"/>
      <c r="U634" s="35"/>
      <c r="V634" s="35"/>
      <c r="W634" s="35"/>
      <c r="X634" s="35"/>
      <c r="Y634" s="35"/>
    </row>
    <row r="635" ht="14.25" customHeight="1">
      <c r="A635" s="136"/>
      <c r="B635" s="137"/>
      <c r="C635" s="251"/>
      <c r="D635" s="452"/>
      <c r="E635" s="136"/>
      <c r="F635" s="253"/>
      <c r="G635" s="527"/>
      <c r="H635" s="141"/>
      <c r="I635" s="141"/>
      <c r="J635" s="142"/>
      <c r="K635" s="142"/>
      <c r="L635" s="142"/>
      <c r="M635" s="142"/>
      <c r="N635" s="136"/>
      <c r="O635" s="34"/>
      <c r="P635" s="35"/>
      <c r="Q635" s="35"/>
      <c r="R635" s="35"/>
      <c r="S635" s="35"/>
      <c r="T635" s="35"/>
      <c r="U635" s="35"/>
      <c r="V635" s="35"/>
      <c r="W635" s="35"/>
      <c r="X635" s="35"/>
      <c r="Y635" s="35"/>
    </row>
    <row r="636" ht="14.25" customHeight="1">
      <c r="A636" s="136"/>
      <c r="B636" s="137"/>
      <c r="C636" s="251"/>
      <c r="D636" s="452"/>
      <c r="E636" s="136"/>
      <c r="F636" s="253"/>
      <c r="G636" s="527"/>
      <c r="H636" s="141"/>
      <c r="I636" s="141"/>
      <c r="J636" s="142"/>
      <c r="K636" s="142"/>
      <c r="L636" s="142"/>
      <c r="M636" s="142"/>
      <c r="N636" s="136"/>
      <c r="O636" s="34"/>
      <c r="P636" s="35"/>
      <c r="Q636" s="35"/>
      <c r="R636" s="35"/>
      <c r="S636" s="35"/>
      <c r="T636" s="35"/>
      <c r="U636" s="35"/>
      <c r="V636" s="35"/>
      <c r="W636" s="35"/>
      <c r="X636" s="35"/>
      <c r="Y636" s="35"/>
    </row>
    <row r="637" ht="14.25" customHeight="1">
      <c r="A637" s="136"/>
      <c r="B637" s="137"/>
      <c r="C637" s="251"/>
      <c r="D637" s="452"/>
      <c r="E637" s="136"/>
      <c r="F637" s="253"/>
      <c r="G637" s="527"/>
      <c r="H637" s="141"/>
      <c r="I637" s="141"/>
      <c r="J637" s="142"/>
      <c r="K637" s="142"/>
      <c r="L637" s="142"/>
      <c r="M637" s="142"/>
      <c r="N637" s="136"/>
      <c r="O637" s="34"/>
      <c r="P637" s="35"/>
      <c r="Q637" s="35"/>
      <c r="R637" s="35"/>
      <c r="S637" s="35"/>
      <c r="T637" s="35"/>
      <c r="U637" s="35"/>
      <c r="V637" s="35"/>
      <c r="W637" s="35"/>
      <c r="X637" s="35"/>
      <c r="Y637" s="35"/>
    </row>
    <row r="638" ht="14.25" customHeight="1">
      <c r="A638" s="136"/>
      <c r="B638" s="137"/>
      <c r="C638" s="251"/>
      <c r="D638" s="452"/>
      <c r="E638" s="136"/>
      <c r="F638" s="253"/>
      <c r="G638" s="527"/>
      <c r="H638" s="141"/>
      <c r="I638" s="141"/>
      <c r="J638" s="142"/>
      <c r="K638" s="142"/>
      <c r="L638" s="142"/>
      <c r="M638" s="142"/>
      <c r="N638" s="136"/>
      <c r="O638" s="34"/>
      <c r="P638" s="35"/>
      <c r="Q638" s="35"/>
      <c r="R638" s="35"/>
      <c r="S638" s="35"/>
      <c r="T638" s="35"/>
      <c r="U638" s="35"/>
      <c r="V638" s="35"/>
      <c r="W638" s="35"/>
      <c r="X638" s="35"/>
      <c r="Y638" s="35"/>
    </row>
    <row r="639" ht="14.25" customHeight="1">
      <c r="A639" s="136"/>
      <c r="B639" s="137"/>
      <c r="C639" s="251"/>
      <c r="D639" s="452"/>
      <c r="E639" s="136"/>
      <c r="F639" s="253"/>
      <c r="G639" s="527"/>
      <c r="H639" s="141"/>
      <c r="I639" s="141"/>
      <c r="J639" s="142"/>
      <c r="K639" s="142"/>
      <c r="L639" s="142"/>
      <c r="M639" s="142"/>
      <c r="N639" s="136"/>
      <c r="O639" s="34"/>
      <c r="P639" s="35"/>
      <c r="Q639" s="35"/>
      <c r="R639" s="35"/>
      <c r="S639" s="35"/>
      <c r="T639" s="35"/>
      <c r="U639" s="35"/>
      <c r="V639" s="35"/>
      <c r="W639" s="35"/>
      <c r="X639" s="35"/>
      <c r="Y639" s="35"/>
    </row>
    <row r="640" ht="14.25" customHeight="1">
      <c r="A640" s="136"/>
      <c r="B640" s="137"/>
      <c r="C640" s="251"/>
      <c r="D640" s="452"/>
      <c r="E640" s="136"/>
      <c r="F640" s="253"/>
      <c r="G640" s="527"/>
      <c r="H640" s="141"/>
      <c r="I640" s="141"/>
      <c r="J640" s="142"/>
      <c r="K640" s="142"/>
      <c r="L640" s="142"/>
      <c r="M640" s="142"/>
      <c r="N640" s="136"/>
      <c r="O640" s="34"/>
      <c r="P640" s="35"/>
      <c r="Q640" s="35"/>
      <c r="R640" s="35"/>
      <c r="S640" s="35"/>
      <c r="T640" s="35"/>
      <c r="U640" s="35"/>
      <c r="V640" s="35"/>
      <c r="W640" s="35"/>
      <c r="X640" s="35"/>
      <c r="Y640" s="35"/>
    </row>
    <row r="641" ht="14.25" customHeight="1">
      <c r="A641" s="136"/>
      <c r="B641" s="137"/>
      <c r="C641" s="251"/>
      <c r="D641" s="452"/>
      <c r="E641" s="136"/>
      <c r="F641" s="253"/>
      <c r="G641" s="527"/>
      <c r="H641" s="141"/>
      <c r="I641" s="141"/>
      <c r="J641" s="142"/>
      <c r="K641" s="142"/>
      <c r="L641" s="142"/>
      <c r="M641" s="142"/>
      <c r="N641" s="136"/>
      <c r="O641" s="34"/>
      <c r="P641" s="35"/>
      <c r="Q641" s="35"/>
      <c r="R641" s="35"/>
      <c r="S641" s="35"/>
      <c r="T641" s="35"/>
      <c r="U641" s="35"/>
      <c r="V641" s="35"/>
      <c r="W641" s="35"/>
      <c r="X641" s="35"/>
      <c r="Y641" s="35"/>
    </row>
    <row r="642" ht="14.25" customHeight="1">
      <c r="A642" s="136"/>
      <c r="B642" s="137"/>
      <c r="C642" s="251"/>
      <c r="D642" s="452"/>
      <c r="E642" s="136"/>
      <c r="F642" s="253"/>
      <c r="G642" s="527"/>
      <c r="H642" s="141"/>
      <c r="I642" s="141"/>
      <c r="J642" s="142"/>
      <c r="K642" s="142"/>
      <c r="L642" s="142"/>
      <c r="M642" s="142"/>
      <c r="N642" s="136"/>
      <c r="O642" s="34"/>
      <c r="P642" s="35"/>
      <c r="Q642" s="35"/>
      <c r="R642" s="35"/>
      <c r="S642" s="35"/>
      <c r="T642" s="35"/>
      <c r="U642" s="35"/>
      <c r="V642" s="35"/>
      <c r="W642" s="35"/>
      <c r="X642" s="35"/>
      <c r="Y642" s="35"/>
    </row>
    <row r="643" ht="14.25" customHeight="1">
      <c r="A643" s="136"/>
      <c r="B643" s="137"/>
      <c r="C643" s="251"/>
      <c r="D643" s="452"/>
      <c r="E643" s="136"/>
      <c r="F643" s="253"/>
      <c r="G643" s="527"/>
      <c r="H643" s="141"/>
      <c r="I643" s="141"/>
      <c r="J643" s="142"/>
      <c r="K643" s="142"/>
      <c r="L643" s="142"/>
      <c r="M643" s="142"/>
      <c r="N643" s="136"/>
      <c r="O643" s="34"/>
      <c r="P643" s="35"/>
      <c r="Q643" s="35"/>
      <c r="R643" s="35"/>
      <c r="S643" s="35"/>
      <c r="T643" s="35"/>
      <c r="U643" s="35"/>
      <c r="V643" s="35"/>
      <c r="W643" s="35"/>
      <c r="X643" s="35"/>
      <c r="Y643" s="35"/>
    </row>
    <row r="644" ht="14.25" customHeight="1">
      <c r="A644" s="136"/>
      <c r="B644" s="137"/>
      <c r="C644" s="251"/>
      <c r="D644" s="452"/>
      <c r="E644" s="136"/>
      <c r="F644" s="253"/>
      <c r="G644" s="527"/>
      <c r="H644" s="141"/>
      <c r="I644" s="141"/>
      <c r="J644" s="142"/>
      <c r="K644" s="142"/>
      <c r="L644" s="142"/>
      <c r="M644" s="142"/>
      <c r="N644" s="136"/>
      <c r="O644" s="34"/>
      <c r="P644" s="35"/>
      <c r="Q644" s="35"/>
      <c r="R644" s="35"/>
      <c r="S644" s="35"/>
      <c r="T644" s="35"/>
      <c r="U644" s="35"/>
      <c r="V644" s="35"/>
      <c r="W644" s="35"/>
      <c r="X644" s="35"/>
      <c r="Y644" s="35"/>
    </row>
    <row r="645" ht="14.25" customHeight="1">
      <c r="A645" s="136"/>
      <c r="B645" s="137"/>
      <c r="C645" s="251"/>
      <c r="D645" s="452"/>
      <c r="E645" s="136"/>
      <c r="F645" s="253"/>
      <c r="G645" s="527"/>
      <c r="H645" s="141"/>
      <c r="I645" s="141"/>
      <c r="J645" s="142"/>
      <c r="K645" s="142"/>
      <c r="L645" s="142"/>
      <c r="M645" s="142"/>
      <c r="N645" s="136"/>
      <c r="O645" s="34"/>
      <c r="P645" s="35"/>
      <c r="Q645" s="35"/>
      <c r="R645" s="35"/>
      <c r="S645" s="35"/>
      <c r="T645" s="35"/>
      <c r="U645" s="35"/>
      <c r="V645" s="35"/>
      <c r="W645" s="35"/>
      <c r="X645" s="35"/>
      <c r="Y645" s="35"/>
    </row>
    <row r="646" ht="14.25" customHeight="1">
      <c r="A646" s="136"/>
      <c r="B646" s="137"/>
      <c r="C646" s="251"/>
      <c r="D646" s="452"/>
      <c r="E646" s="136"/>
      <c r="F646" s="253"/>
      <c r="G646" s="527"/>
      <c r="H646" s="141"/>
      <c r="I646" s="141"/>
      <c r="J646" s="142"/>
      <c r="K646" s="142"/>
      <c r="L646" s="142"/>
      <c r="M646" s="142"/>
      <c r="N646" s="136"/>
      <c r="O646" s="34"/>
      <c r="P646" s="35"/>
      <c r="Q646" s="35"/>
      <c r="R646" s="35"/>
      <c r="S646" s="35"/>
      <c r="T646" s="35"/>
      <c r="U646" s="35"/>
      <c r="V646" s="35"/>
      <c r="W646" s="35"/>
      <c r="X646" s="35"/>
      <c r="Y646" s="35"/>
    </row>
    <row r="647" ht="14.25" customHeight="1">
      <c r="A647" s="136"/>
      <c r="B647" s="137"/>
      <c r="C647" s="251"/>
      <c r="D647" s="452"/>
      <c r="E647" s="136"/>
      <c r="F647" s="253"/>
      <c r="G647" s="527"/>
      <c r="H647" s="141"/>
      <c r="I647" s="141"/>
      <c r="J647" s="142"/>
      <c r="K647" s="142"/>
      <c r="L647" s="142"/>
      <c r="M647" s="142"/>
      <c r="N647" s="136"/>
      <c r="O647" s="34"/>
      <c r="P647" s="35"/>
      <c r="Q647" s="35"/>
      <c r="R647" s="35"/>
      <c r="S647" s="35"/>
      <c r="T647" s="35"/>
      <c r="U647" s="35"/>
      <c r="V647" s="35"/>
      <c r="W647" s="35"/>
      <c r="X647" s="35"/>
      <c r="Y647" s="35"/>
    </row>
    <row r="648" ht="14.25" customHeight="1">
      <c r="A648" s="136"/>
      <c r="B648" s="137"/>
      <c r="C648" s="251"/>
      <c r="D648" s="452"/>
      <c r="E648" s="136"/>
      <c r="F648" s="253"/>
      <c r="G648" s="527"/>
      <c r="H648" s="141"/>
      <c r="I648" s="141"/>
      <c r="J648" s="142"/>
      <c r="K648" s="142"/>
      <c r="L648" s="142"/>
      <c r="M648" s="142"/>
      <c r="N648" s="136"/>
      <c r="O648" s="34"/>
      <c r="P648" s="35"/>
      <c r="Q648" s="35"/>
      <c r="R648" s="35"/>
      <c r="S648" s="35"/>
      <c r="T648" s="35"/>
      <c r="U648" s="35"/>
      <c r="V648" s="35"/>
      <c r="W648" s="35"/>
      <c r="X648" s="35"/>
      <c r="Y648" s="35"/>
    </row>
    <row r="649" ht="14.25" customHeight="1">
      <c r="A649" s="136"/>
      <c r="B649" s="137"/>
      <c r="C649" s="251"/>
      <c r="D649" s="452"/>
      <c r="E649" s="136"/>
      <c r="F649" s="253"/>
      <c r="G649" s="527"/>
      <c r="H649" s="141"/>
      <c r="I649" s="141"/>
      <c r="J649" s="142"/>
      <c r="K649" s="142"/>
      <c r="L649" s="142"/>
      <c r="M649" s="142"/>
      <c r="N649" s="136"/>
      <c r="O649" s="34"/>
      <c r="P649" s="35"/>
      <c r="Q649" s="35"/>
      <c r="R649" s="35"/>
      <c r="S649" s="35"/>
      <c r="T649" s="35"/>
      <c r="U649" s="35"/>
      <c r="V649" s="35"/>
      <c r="W649" s="35"/>
      <c r="X649" s="35"/>
      <c r="Y649" s="35"/>
    </row>
    <row r="650" ht="14.25" customHeight="1">
      <c r="A650" s="136"/>
      <c r="B650" s="137"/>
      <c r="C650" s="251"/>
      <c r="D650" s="452"/>
      <c r="E650" s="136"/>
      <c r="F650" s="253"/>
      <c r="G650" s="527"/>
      <c r="H650" s="141"/>
      <c r="I650" s="141"/>
      <c r="J650" s="142"/>
      <c r="K650" s="142"/>
      <c r="L650" s="142"/>
      <c r="M650" s="142"/>
      <c r="N650" s="136"/>
      <c r="O650" s="34"/>
      <c r="P650" s="35"/>
      <c r="Q650" s="35"/>
      <c r="R650" s="35"/>
      <c r="S650" s="35"/>
      <c r="T650" s="35"/>
      <c r="U650" s="35"/>
      <c r="V650" s="35"/>
      <c r="W650" s="35"/>
      <c r="X650" s="35"/>
      <c r="Y650" s="35"/>
    </row>
    <row r="651" ht="14.25" customHeight="1">
      <c r="A651" s="136"/>
      <c r="B651" s="137"/>
      <c r="C651" s="251"/>
      <c r="D651" s="452"/>
      <c r="E651" s="136"/>
      <c r="F651" s="253"/>
      <c r="G651" s="527"/>
      <c r="H651" s="141"/>
      <c r="I651" s="141"/>
      <c r="J651" s="142"/>
      <c r="K651" s="142"/>
      <c r="L651" s="142"/>
      <c r="M651" s="142"/>
      <c r="N651" s="136"/>
      <c r="O651" s="34"/>
      <c r="P651" s="35"/>
      <c r="Q651" s="35"/>
      <c r="R651" s="35"/>
      <c r="S651" s="35"/>
      <c r="T651" s="35"/>
      <c r="U651" s="35"/>
      <c r="V651" s="35"/>
      <c r="W651" s="35"/>
      <c r="X651" s="35"/>
      <c r="Y651" s="35"/>
    </row>
    <row r="652" ht="14.25" customHeight="1">
      <c r="A652" s="136"/>
      <c r="B652" s="137"/>
      <c r="C652" s="251"/>
      <c r="D652" s="452"/>
      <c r="E652" s="136"/>
      <c r="F652" s="253"/>
      <c r="G652" s="527"/>
      <c r="H652" s="141"/>
      <c r="I652" s="141"/>
      <c r="J652" s="142"/>
      <c r="K652" s="142"/>
      <c r="L652" s="142"/>
      <c r="M652" s="142"/>
      <c r="N652" s="136"/>
      <c r="O652" s="34"/>
      <c r="P652" s="35"/>
      <c r="Q652" s="35"/>
      <c r="R652" s="35"/>
      <c r="S652" s="35"/>
      <c r="T652" s="35"/>
      <c r="U652" s="35"/>
      <c r="V652" s="35"/>
      <c r="W652" s="35"/>
      <c r="X652" s="35"/>
      <c r="Y652" s="35"/>
    </row>
    <row r="653" ht="14.25" customHeight="1">
      <c r="A653" s="136"/>
      <c r="B653" s="137"/>
      <c r="C653" s="251"/>
      <c r="D653" s="452"/>
      <c r="E653" s="136"/>
      <c r="F653" s="253"/>
      <c r="G653" s="527"/>
      <c r="H653" s="141"/>
      <c r="I653" s="141"/>
      <c r="J653" s="142"/>
      <c r="K653" s="142"/>
      <c r="L653" s="142"/>
      <c r="M653" s="142"/>
      <c r="N653" s="136"/>
      <c r="O653" s="34"/>
      <c r="P653" s="35"/>
      <c r="Q653" s="35"/>
      <c r="R653" s="35"/>
      <c r="S653" s="35"/>
      <c r="T653" s="35"/>
      <c r="U653" s="35"/>
      <c r="V653" s="35"/>
      <c r="W653" s="35"/>
      <c r="X653" s="35"/>
      <c r="Y653" s="35"/>
    </row>
    <row r="654" ht="14.25" customHeight="1">
      <c r="A654" s="136"/>
      <c r="B654" s="137"/>
      <c r="C654" s="251"/>
      <c r="D654" s="452"/>
      <c r="E654" s="136"/>
      <c r="F654" s="253"/>
      <c r="G654" s="527"/>
      <c r="H654" s="141"/>
      <c r="I654" s="141"/>
      <c r="J654" s="142"/>
      <c r="K654" s="142"/>
      <c r="L654" s="142"/>
      <c r="M654" s="142"/>
      <c r="N654" s="136"/>
      <c r="O654" s="34"/>
      <c r="P654" s="35"/>
      <c r="Q654" s="35"/>
      <c r="R654" s="35"/>
      <c r="S654" s="35"/>
      <c r="T654" s="35"/>
      <c r="U654" s="35"/>
      <c r="V654" s="35"/>
      <c r="W654" s="35"/>
      <c r="X654" s="35"/>
      <c r="Y654" s="35"/>
    </row>
    <row r="655" ht="14.25" customHeight="1">
      <c r="A655" s="136"/>
      <c r="B655" s="137"/>
      <c r="C655" s="251"/>
      <c r="D655" s="452"/>
      <c r="E655" s="136"/>
      <c r="F655" s="253"/>
      <c r="G655" s="527"/>
      <c r="H655" s="141"/>
      <c r="I655" s="141"/>
      <c r="J655" s="142"/>
      <c r="K655" s="142"/>
      <c r="L655" s="142"/>
      <c r="M655" s="142"/>
      <c r="N655" s="136"/>
      <c r="O655" s="34"/>
      <c r="P655" s="35"/>
      <c r="Q655" s="35"/>
      <c r="R655" s="35"/>
      <c r="S655" s="35"/>
      <c r="T655" s="35"/>
      <c r="U655" s="35"/>
      <c r="V655" s="35"/>
      <c r="W655" s="35"/>
      <c r="X655" s="35"/>
      <c r="Y655" s="35"/>
    </row>
    <row r="656" ht="14.25" customHeight="1">
      <c r="A656" s="136"/>
      <c r="B656" s="137"/>
      <c r="C656" s="251"/>
      <c r="D656" s="452"/>
      <c r="E656" s="136"/>
      <c r="F656" s="253"/>
      <c r="G656" s="527"/>
      <c r="H656" s="141"/>
      <c r="I656" s="141"/>
      <c r="J656" s="142"/>
      <c r="K656" s="142"/>
      <c r="L656" s="142"/>
      <c r="M656" s="142"/>
      <c r="N656" s="136"/>
      <c r="O656" s="34"/>
      <c r="P656" s="35"/>
      <c r="Q656" s="35"/>
      <c r="R656" s="35"/>
      <c r="S656" s="35"/>
      <c r="T656" s="35"/>
      <c r="U656" s="35"/>
      <c r="V656" s="35"/>
      <c r="W656" s="35"/>
      <c r="X656" s="35"/>
      <c r="Y656" s="35"/>
    </row>
    <row r="657" ht="14.25" customHeight="1">
      <c r="A657" s="136"/>
      <c r="B657" s="137"/>
      <c r="C657" s="251"/>
      <c r="D657" s="452"/>
      <c r="E657" s="136"/>
      <c r="F657" s="253"/>
      <c r="G657" s="527"/>
      <c r="H657" s="141"/>
      <c r="I657" s="141"/>
      <c r="J657" s="142"/>
      <c r="K657" s="142"/>
      <c r="L657" s="142"/>
      <c r="M657" s="142"/>
      <c r="N657" s="136"/>
      <c r="O657" s="34"/>
      <c r="P657" s="35"/>
      <c r="Q657" s="35"/>
      <c r="R657" s="35"/>
      <c r="S657" s="35"/>
      <c r="T657" s="35"/>
      <c r="U657" s="35"/>
      <c r="V657" s="35"/>
      <c r="W657" s="35"/>
      <c r="X657" s="35"/>
      <c r="Y657" s="35"/>
    </row>
    <row r="658" ht="14.25" customHeight="1">
      <c r="A658" s="136"/>
      <c r="B658" s="137"/>
      <c r="C658" s="251"/>
      <c r="D658" s="452"/>
      <c r="E658" s="136"/>
      <c r="F658" s="253"/>
      <c r="G658" s="527"/>
      <c r="H658" s="141"/>
      <c r="I658" s="141"/>
      <c r="J658" s="142"/>
      <c r="K658" s="142"/>
      <c r="L658" s="142"/>
      <c r="M658" s="142"/>
      <c r="N658" s="136"/>
      <c r="O658" s="34"/>
      <c r="P658" s="35"/>
      <c r="Q658" s="35"/>
      <c r="R658" s="35"/>
      <c r="S658" s="35"/>
      <c r="T658" s="35"/>
      <c r="U658" s="35"/>
      <c r="V658" s="35"/>
      <c r="W658" s="35"/>
      <c r="X658" s="35"/>
      <c r="Y658" s="35"/>
    </row>
    <row r="659" ht="14.25" customHeight="1">
      <c r="A659" s="136"/>
      <c r="B659" s="137"/>
      <c r="C659" s="251"/>
      <c r="D659" s="452"/>
      <c r="E659" s="136"/>
      <c r="F659" s="253"/>
      <c r="G659" s="527"/>
      <c r="H659" s="141"/>
      <c r="I659" s="141"/>
      <c r="J659" s="142"/>
      <c r="K659" s="142"/>
      <c r="L659" s="142"/>
      <c r="M659" s="142"/>
      <c r="N659" s="136"/>
      <c r="O659" s="34"/>
      <c r="P659" s="35"/>
      <c r="Q659" s="35"/>
      <c r="R659" s="35"/>
      <c r="S659" s="35"/>
      <c r="T659" s="35"/>
      <c r="U659" s="35"/>
      <c r="V659" s="35"/>
      <c r="W659" s="35"/>
      <c r="X659" s="35"/>
      <c r="Y659" s="35"/>
    </row>
    <row r="660" ht="14.25" customHeight="1">
      <c r="A660" s="136"/>
      <c r="B660" s="137"/>
      <c r="C660" s="251"/>
      <c r="D660" s="452"/>
      <c r="E660" s="136"/>
      <c r="F660" s="253"/>
      <c r="G660" s="527"/>
      <c r="H660" s="141"/>
      <c r="I660" s="141"/>
      <c r="J660" s="142"/>
      <c r="K660" s="142"/>
      <c r="L660" s="142"/>
      <c r="M660" s="142"/>
      <c r="N660" s="136"/>
      <c r="O660" s="34"/>
      <c r="P660" s="35"/>
      <c r="Q660" s="35"/>
      <c r="R660" s="35"/>
      <c r="S660" s="35"/>
      <c r="T660" s="35"/>
      <c r="U660" s="35"/>
      <c r="V660" s="35"/>
      <c r="W660" s="35"/>
      <c r="X660" s="35"/>
      <c r="Y660" s="35"/>
    </row>
    <row r="661" ht="14.25" customHeight="1">
      <c r="A661" s="136"/>
      <c r="B661" s="137"/>
      <c r="C661" s="251"/>
      <c r="D661" s="452"/>
      <c r="E661" s="136"/>
      <c r="F661" s="253"/>
      <c r="G661" s="527"/>
      <c r="H661" s="141"/>
      <c r="I661" s="141"/>
      <c r="J661" s="142"/>
      <c r="K661" s="142"/>
      <c r="L661" s="142"/>
      <c r="M661" s="142"/>
      <c r="N661" s="136"/>
      <c r="O661" s="34"/>
      <c r="P661" s="35"/>
      <c r="Q661" s="35"/>
      <c r="R661" s="35"/>
      <c r="S661" s="35"/>
      <c r="T661" s="35"/>
      <c r="U661" s="35"/>
      <c r="V661" s="35"/>
      <c r="W661" s="35"/>
      <c r="X661" s="35"/>
      <c r="Y661" s="35"/>
    </row>
    <row r="662" ht="14.25" customHeight="1">
      <c r="A662" s="136"/>
      <c r="B662" s="137"/>
      <c r="C662" s="251"/>
      <c r="D662" s="452"/>
      <c r="E662" s="136"/>
      <c r="F662" s="253"/>
      <c r="G662" s="527"/>
      <c r="H662" s="141"/>
      <c r="I662" s="141"/>
      <c r="J662" s="142"/>
      <c r="K662" s="142"/>
      <c r="L662" s="142"/>
      <c r="M662" s="142"/>
      <c r="N662" s="136"/>
      <c r="O662" s="34"/>
      <c r="P662" s="35"/>
      <c r="Q662" s="35"/>
      <c r="R662" s="35"/>
      <c r="S662" s="35"/>
      <c r="T662" s="35"/>
      <c r="U662" s="35"/>
      <c r="V662" s="35"/>
      <c r="W662" s="35"/>
      <c r="X662" s="35"/>
      <c r="Y662" s="35"/>
    </row>
    <row r="663" ht="14.25" customHeight="1">
      <c r="A663" s="136"/>
      <c r="B663" s="137"/>
      <c r="C663" s="251"/>
      <c r="D663" s="452"/>
      <c r="E663" s="136"/>
      <c r="F663" s="253"/>
      <c r="G663" s="527"/>
      <c r="H663" s="141"/>
      <c r="I663" s="141"/>
      <c r="J663" s="142"/>
      <c r="K663" s="142"/>
      <c r="L663" s="142"/>
      <c r="M663" s="142"/>
      <c r="N663" s="136"/>
      <c r="O663" s="34"/>
      <c r="P663" s="35"/>
      <c r="Q663" s="35"/>
      <c r="R663" s="35"/>
      <c r="S663" s="35"/>
      <c r="T663" s="35"/>
      <c r="U663" s="35"/>
      <c r="V663" s="35"/>
      <c r="W663" s="35"/>
      <c r="X663" s="35"/>
      <c r="Y663" s="35"/>
    </row>
    <row r="664" ht="14.25" customHeight="1">
      <c r="A664" s="136"/>
      <c r="B664" s="137"/>
      <c r="C664" s="251"/>
      <c r="D664" s="452"/>
      <c r="E664" s="136"/>
      <c r="F664" s="253"/>
      <c r="G664" s="527"/>
      <c r="H664" s="141"/>
      <c r="I664" s="141"/>
      <c r="J664" s="142"/>
      <c r="K664" s="142"/>
      <c r="L664" s="142"/>
      <c r="M664" s="142"/>
      <c r="N664" s="136"/>
      <c r="O664" s="34"/>
      <c r="P664" s="35"/>
      <c r="Q664" s="35"/>
      <c r="R664" s="35"/>
      <c r="S664" s="35"/>
      <c r="T664" s="35"/>
      <c r="U664" s="35"/>
      <c r="V664" s="35"/>
      <c r="W664" s="35"/>
      <c r="X664" s="35"/>
      <c r="Y664" s="35"/>
    </row>
    <row r="665" ht="14.25" customHeight="1">
      <c r="A665" s="136"/>
      <c r="B665" s="137"/>
      <c r="C665" s="251"/>
      <c r="D665" s="452"/>
      <c r="E665" s="136"/>
      <c r="F665" s="253"/>
      <c r="G665" s="527"/>
      <c r="H665" s="141"/>
      <c r="I665" s="141"/>
      <c r="J665" s="142"/>
      <c r="K665" s="142"/>
      <c r="L665" s="142"/>
      <c r="M665" s="142"/>
      <c r="N665" s="136"/>
      <c r="O665" s="34"/>
      <c r="P665" s="35"/>
      <c r="Q665" s="35"/>
      <c r="R665" s="35"/>
      <c r="S665" s="35"/>
      <c r="T665" s="35"/>
      <c r="U665" s="35"/>
      <c r="V665" s="35"/>
      <c r="W665" s="35"/>
      <c r="X665" s="35"/>
      <c r="Y665" s="35"/>
    </row>
    <row r="666" ht="14.25" customHeight="1">
      <c r="A666" s="136"/>
      <c r="B666" s="137"/>
      <c r="C666" s="251"/>
      <c r="D666" s="452"/>
      <c r="E666" s="136"/>
      <c r="F666" s="253"/>
      <c r="G666" s="527"/>
      <c r="H666" s="141"/>
      <c r="I666" s="141"/>
      <c r="J666" s="142"/>
      <c r="K666" s="142"/>
      <c r="L666" s="142"/>
      <c r="M666" s="142"/>
      <c r="N666" s="136"/>
      <c r="O666" s="34"/>
      <c r="P666" s="35"/>
      <c r="Q666" s="35"/>
      <c r="R666" s="35"/>
      <c r="S666" s="35"/>
      <c r="T666" s="35"/>
      <c r="U666" s="35"/>
      <c r="V666" s="35"/>
      <c r="W666" s="35"/>
      <c r="X666" s="35"/>
      <c r="Y666" s="35"/>
    </row>
    <row r="667" ht="14.25" customHeight="1">
      <c r="A667" s="136"/>
      <c r="B667" s="137"/>
      <c r="C667" s="251"/>
      <c r="D667" s="452"/>
      <c r="E667" s="136"/>
      <c r="F667" s="253"/>
      <c r="G667" s="527"/>
      <c r="H667" s="141"/>
      <c r="I667" s="141"/>
      <c r="J667" s="142"/>
      <c r="K667" s="142"/>
      <c r="L667" s="142"/>
      <c r="M667" s="142"/>
      <c r="N667" s="136"/>
      <c r="O667" s="34"/>
      <c r="P667" s="35"/>
      <c r="Q667" s="35"/>
      <c r="R667" s="35"/>
      <c r="S667" s="35"/>
      <c r="T667" s="35"/>
      <c r="U667" s="35"/>
      <c r="V667" s="35"/>
      <c r="W667" s="35"/>
      <c r="X667" s="35"/>
      <c r="Y667" s="35"/>
    </row>
    <row r="668" ht="14.25" customHeight="1">
      <c r="A668" s="136"/>
      <c r="B668" s="137"/>
      <c r="C668" s="251"/>
      <c r="D668" s="452"/>
      <c r="E668" s="136"/>
      <c r="F668" s="253"/>
      <c r="G668" s="527"/>
      <c r="H668" s="141"/>
      <c r="I668" s="141"/>
      <c r="J668" s="142"/>
      <c r="K668" s="142"/>
      <c r="L668" s="142"/>
      <c r="M668" s="142"/>
      <c r="N668" s="136"/>
      <c r="O668" s="34"/>
      <c r="P668" s="35"/>
      <c r="Q668" s="35"/>
      <c r="R668" s="35"/>
      <c r="S668" s="35"/>
      <c r="T668" s="35"/>
      <c r="U668" s="35"/>
      <c r="V668" s="35"/>
      <c r="W668" s="35"/>
      <c r="X668" s="35"/>
      <c r="Y668" s="35"/>
    </row>
    <row r="669" ht="14.25" customHeight="1">
      <c r="A669" s="136"/>
      <c r="B669" s="137"/>
      <c r="C669" s="251"/>
      <c r="D669" s="452"/>
      <c r="E669" s="136"/>
      <c r="F669" s="253"/>
      <c r="G669" s="527"/>
      <c r="H669" s="141"/>
      <c r="I669" s="141"/>
      <c r="J669" s="142"/>
      <c r="K669" s="142"/>
      <c r="L669" s="142"/>
      <c r="M669" s="142"/>
      <c r="N669" s="136"/>
      <c r="O669" s="34"/>
      <c r="P669" s="35"/>
      <c r="Q669" s="35"/>
      <c r="R669" s="35"/>
      <c r="S669" s="35"/>
      <c r="T669" s="35"/>
      <c r="U669" s="35"/>
      <c r="V669" s="35"/>
      <c r="W669" s="35"/>
      <c r="X669" s="35"/>
      <c r="Y669" s="35"/>
    </row>
    <row r="670" ht="14.25" customHeight="1">
      <c r="A670" s="136"/>
      <c r="B670" s="137"/>
      <c r="C670" s="251"/>
      <c r="D670" s="452"/>
      <c r="E670" s="136"/>
      <c r="F670" s="253"/>
      <c r="G670" s="527"/>
      <c r="H670" s="141"/>
      <c r="I670" s="141"/>
      <c r="J670" s="142"/>
      <c r="K670" s="142"/>
      <c r="L670" s="142"/>
      <c r="M670" s="142"/>
      <c r="N670" s="136"/>
      <c r="O670" s="34"/>
      <c r="P670" s="35"/>
      <c r="Q670" s="35"/>
      <c r="R670" s="35"/>
      <c r="S670" s="35"/>
      <c r="T670" s="35"/>
      <c r="U670" s="35"/>
      <c r="V670" s="35"/>
      <c r="W670" s="35"/>
      <c r="X670" s="35"/>
      <c r="Y670" s="35"/>
    </row>
    <row r="671" ht="14.25" customHeight="1">
      <c r="A671" s="136"/>
      <c r="B671" s="137"/>
      <c r="C671" s="251"/>
      <c r="D671" s="452"/>
      <c r="E671" s="136"/>
      <c r="F671" s="253"/>
      <c r="G671" s="527"/>
      <c r="H671" s="141"/>
      <c r="I671" s="141"/>
      <c r="J671" s="142"/>
      <c r="K671" s="142"/>
      <c r="L671" s="142"/>
      <c r="M671" s="142"/>
      <c r="N671" s="136"/>
      <c r="O671" s="34"/>
      <c r="P671" s="35"/>
      <c r="Q671" s="35"/>
      <c r="R671" s="35"/>
      <c r="S671" s="35"/>
      <c r="T671" s="35"/>
      <c r="U671" s="35"/>
      <c r="V671" s="35"/>
      <c r="W671" s="35"/>
      <c r="X671" s="35"/>
      <c r="Y671" s="35"/>
    </row>
    <row r="672" ht="14.25" customHeight="1">
      <c r="A672" s="136"/>
      <c r="B672" s="137"/>
      <c r="C672" s="251"/>
      <c r="D672" s="452"/>
      <c r="E672" s="136"/>
      <c r="F672" s="253"/>
      <c r="G672" s="527"/>
      <c r="H672" s="141"/>
      <c r="I672" s="141"/>
      <c r="J672" s="142"/>
      <c r="K672" s="142"/>
      <c r="L672" s="142"/>
      <c r="M672" s="142"/>
      <c r="N672" s="136"/>
      <c r="O672" s="34"/>
      <c r="P672" s="35"/>
      <c r="Q672" s="35"/>
      <c r="R672" s="35"/>
      <c r="S672" s="35"/>
      <c r="T672" s="35"/>
      <c r="U672" s="35"/>
      <c r="V672" s="35"/>
      <c r="W672" s="35"/>
      <c r="X672" s="35"/>
      <c r="Y672" s="35"/>
    </row>
    <row r="673" ht="14.25" customHeight="1">
      <c r="A673" s="136"/>
      <c r="B673" s="137"/>
      <c r="C673" s="251"/>
      <c r="D673" s="452"/>
      <c r="E673" s="136"/>
      <c r="F673" s="253"/>
      <c r="G673" s="527"/>
      <c r="H673" s="141"/>
      <c r="I673" s="141"/>
      <c r="J673" s="142"/>
      <c r="K673" s="142"/>
      <c r="L673" s="142"/>
      <c r="M673" s="142"/>
      <c r="N673" s="136"/>
      <c r="O673" s="34"/>
      <c r="P673" s="35"/>
      <c r="Q673" s="35"/>
      <c r="R673" s="35"/>
      <c r="S673" s="35"/>
      <c r="T673" s="35"/>
      <c r="U673" s="35"/>
      <c r="V673" s="35"/>
      <c r="W673" s="35"/>
      <c r="X673" s="35"/>
      <c r="Y673" s="35"/>
    </row>
    <row r="674" ht="14.25" customHeight="1">
      <c r="A674" s="136"/>
      <c r="B674" s="137"/>
      <c r="C674" s="251"/>
      <c r="D674" s="452"/>
      <c r="E674" s="136"/>
      <c r="F674" s="253"/>
      <c r="G674" s="527"/>
      <c r="H674" s="141"/>
      <c r="I674" s="141"/>
      <c r="J674" s="142"/>
      <c r="K674" s="142"/>
      <c r="L674" s="142"/>
      <c r="M674" s="142"/>
      <c r="N674" s="136"/>
      <c r="O674" s="34"/>
      <c r="P674" s="35"/>
      <c r="Q674" s="35"/>
      <c r="R674" s="35"/>
      <c r="S674" s="35"/>
      <c r="T674" s="35"/>
      <c r="U674" s="35"/>
      <c r="V674" s="35"/>
      <c r="W674" s="35"/>
      <c r="X674" s="35"/>
      <c r="Y674" s="35"/>
    </row>
    <row r="675" ht="14.25" customHeight="1">
      <c r="A675" s="136"/>
      <c r="B675" s="137"/>
      <c r="C675" s="251"/>
      <c r="D675" s="452"/>
      <c r="E675" s="136"/>
      <c r="F675" s="253"/>
      <c r="G675" s="527"/>
      <c r="H675" s="141"/>
      <c r="I675" s="141"/>
      <c r="J675" s="142"/>
      <c r="K675" s="142"/>
      <c r="L675" s="142"/>
      <c r="M675" s="142"/>
      <c r="N675" s="136"/>
      <c r="O675" s="34"/>
      <c r="P675" s="35"/>
      <c r="Q675" s="35"/>
      <c r="R675" s="35"/>
      <c r="S675" s="35"/>
      <c r="T675" s="35"/>
      <c r="U675" s="35"/>
      <c r="V675" s="35"/>
      <c r="W675" s="35"/>
      <c r="X675" s="35"/>
      <c r="Y675" s="35"/>
    </row>
    <row r="676" ht="14.25" customHeight="1">
      <c r="A676" s="136"/>
      <c r="B676" s="137"/>
      <c r="C676" s="251"/>
      <c r="D676" s="452"/>
      <c r="E676" s="136"/>
      <c r="F676" s="253"/>
      <c r="G676" s="527"/>
      <c r="H676" s="141"/>
      <c r="I676" s="141"/>
      <c r="J676" s="142"/>
      <c r="K676" s="142"/>
      <c r="L676" s="142"/>
      <c r="M676" s="142"/>
      <c r="N676" s="136"/>
      <c r="O676" s="34"/>
      <c r="P676" s="35"/>
      <c r="Q676" s="35"/>
      <c r="R676" s="35"/>
      <c r="S676" s="35"/>
      <c r="T676" s="35"/>
      <c r="U676" s="35"/>
      <c r="V676" s="35"/>
      <c r="W676" s="35"/>
      <c r="X676" s="35"/>
      <c r="Y676" s="35"/>
    </row>
    <row r="677" ht="14.25" customHeight="1">
      <c r="A677" s="136"/>
      <c r="B677" s="137"/>
      <c r="C677" s="251"/>
      <c r="D677" s="452"/>
      <c r="E677" s="136"/>
      <c r="F677" s="253"/>
      <c r="G677" s="527"/>
      <c r="H677" s="141"/>
      <c r="I677" s="141"/>
      <c r="J677" s="142"/>
      <c r="K677" s="142"/>
      <c r="L677" s="142"/>
      <c r="M677" s="142"/>
      <c r="N677" s="136"/>
      <c r="O677" s="34"/>
      <c r="P677" s="35"/>
      <c r="Q677" s="35"/>
      <c r="R677" s="35"/>
      <c r="S677" s="35"/>
      <c r="T677" s="35"/>
      <c r="U677" s="35"/>
      <c r="V677" s="35"/>
      <c r="W677" s="35"/>
      <c r="X677" s="35"/>
      <c r="Y677" s="35"/>
    </row>
    <row r="678" ht="14.25" customHeight="1">
      <c r="A678" s="136"/>
      <c r="B678" s="137"/>
      <c r="C678" s="251"/>
      <c r="D678" s="452"/>
      <c r="E678" s="136"/>
      <c r="F678" s="253"/>
      <c r="G678" s="527"/>
      <c r="H678" s="141"/>
      <c r="I678" s="141"/>
      <c r="J678" s="142"/>
      <c r="K678" s="142"/>
      <c r="L678" s="142"/>
      <c r="M678" s="142"/>
      <c r="N678" s="136"/>
      <c r="O678" s="34"/>
      <c r="P678" s="35"/>
      <c r="Q678" s="35"/>
      <c r="R678" s="35"/>
      <c r="S678" s="35"/>
      <c r="T678" s="35"/>
      <c r="U678" s="35"/>
      <c r="V678" s="35"/>
      <c r="W678" s="35"/>
      <c r="X678" s="35"/>
      <c r="Y678" s="35"/>
    </row>
    <row r="679" ht="14.25" customHeight="1">
      <c r="A679" s="136"/>
      <c r="B679" s="137"/>
      <c r="C679" s="251"/>
      <c r="D679" s="452"/>
      <c r="E679" s="136"/>
      <c r="F679" s="253"/>
      <c r="G679" s="527"/>
      <c r="H679" s="141"/>
      <c r="I679" s="141"/>
      <c r="J679" s="142"/>
      <c r="K679" s="142"/>
      <c r="L679" s="142"/>
      <c r="M679" s="142"/>
      <c r="N679" s="136"/>
      <c r="O679" s="34"/>
      <c r="P679" s="35"/>
      <c r="Q679" s="35"/>
      <c r="R679" s="35"/>
      <c r="S679" s="35"/>
      <c r="T679" s="35"/>
      <c r="U679" s="35"/>
      <c r="V679" s="35"/>
      <c r="W679" s="35"/>
      <c r="X679" s="35"/>
      <c r="Y679" s="35"/>
    </row>
    <row r="680" ht="14.25" customHeight="1">
      <c r="A680" s="136"/>
      <c r="B680" s="137"/>
      <c r="C680" s="251"/>
      <c r="D680" s="452"/>
      <c r="E680" s="136"/>
      <c r="F680" s="253"/>
      <c r="G680" s="527"/>
      <c r="H680" s="141"/>
      <c r="I680" s="141"/>
      <c r="J680" s="142"/>
      <c r="K680" s="142"/>
      <c r="L680" s="142"/>
      <c r="M680" s="142"/>
      <c r="N680" s="136"/>
      <c r="O680" s="34"/>
      <c r="P680" s="35"/>
      <c r="Q680" s="35"/>
      <c r="R680" s="35"/>
      <c r="S680" s="35"/>
      <c r="T680" s="35"/>
      <c r="U680" s="35"/>
      <c r="V680" s="35"/>
      <c r="W680" s="35"/>
      <c r="X680" s="35"/>
      <c r="Y680" s="35"/>
    </row>
    <row r="681" ht="14.25" customHeight="1">
      <c r="A681" s="136"/>
      <c r="B681" s="137"/>
      <c r="C681" s="251"/>
      <c r="D681" s="452"/>
      <c r="E681" s="136"/>
      <c r="F681" s="253"/>
      <c r="G681" s="527"/>
      <c r="H681" s="141"/>
      <c r="I681" s="141"/>
      <c r="J681" s="142"/>
      <c r="K681" s="142"/>
      <c r="L681" s="142"/>
      <c r="M681" s="142"/>
      <c r="N681" s="136"/>
      <c r="O681" s="34"/>
      <c r="P681" s="35"/>
      <c r="Q681" s="35"/>
      <c r="R681" s="35"/>
      <c r="S681" s="35"/>
      <c r="T681" s="35"/>
      <c r="U681" s="35"/>
      <c r="V681" s="35"/>
      <c r="W681" s="35"/>
      <c r="X681" s="35"/>
      <c r="Y681" s="35"/>
    </row>
    <row r="682" ht="14.25" customHeight="1">
      <c r="A682" s="136"/>
      <c r="B682" s="137"/>
      <c r="C682" s="251"/>
      <c r="D682" s="452"/>
      <c r="E682" s="136"/>
      <c r="F682" s="253"/>
      <c r="G682" s="527"/>
      <c r="H682" s="141"/>
      <c r="I682" s="141"/>
      <c r="J682" s="142"/>
      <c r="K682" s="142"/>
      <c r="L682" s="142"/>
      <c r="M682" s="142"/>
      <c r="N682" s="136"/>
      <c r="O682" s="34"/>
      <c r="P682" s="35"/>
      <c r="Q682" s="35"/>
      <c r="R682" s="35"/>
      <c r="S682" s="35"/>
      <c r="T682" s="35"/>
      <c r="U682" s="35"/>
      <c r="V682" s="35"/>
      <c r="W682" s="35"/>
      <c r="X682" s="35"/>
      <c r="Y682" s="35"/>
    </row>
    <row r="683" ht="14.25" customHeight="1">
      <c r="A683" s="136"/>
      <c r="B683" s="137"/>
      <c r="C683" s="251"/>
      <c r="D683" s="452"/>
      <c r="E683" s="136"/>
      <c r="F683" s="253"/>
      <c r="G683" s="527"/>
      <c r="H683" s="141"/>
      <c r="I683" s="141"/>
      <c r="J683" s="142"/>
      <c r="K683" s="142"/>
      <c r="L683" s="142"/>
      <c r="M683" s="142"/>
      <c r="N683" s="136"/>
      <c r="O683" s="34"/>
      <c r="P683" s="35"/>
      <c r="Q683" s="35"/>
      <c r="R683" s="35"/>
      <c r="S683" s="35"/>
      <c r="T683" s="35"/>
      <c r="U683" s="35"/>
      <c r="V683" s="35"/>
      <c r="W683" s="35"/>
      <c r="X683" s="35"/>
      <c r="Y683" s="35"/>
    </row>
    <row r="684" ht="14.25" customHeight="1">
      <c r="A684" s="136"/>
      <c r="B684" s="137"/>
      <c r="C684" s="251"/>
      <c r="D684" s="452"/>
      <c r="E684" s="136"/>
      <c r="F684" s="253"/>
      <c r="G684" s="527"/>
      <c r="H684" s="141"/>
      <c r="I684" s="141"/>
      <c r="J684" s="142"/>
      <c r="K684" s="142"/>
      <c r="L684" s="142"/>
      <c r="M684" s="142"/>
      <c r="N684" s="136"/>
      <c r="O684" s="34"/>
      <c r="P684" s="35"/>
      <c r="Q684" s="35"/>
      <c r="R684" s="35"/>
      <c r="S684" s="35"/>
      <c r="T684" s="35"/>
      <c r="U684" s="35"/>
      <c r="V684" s="35"/>
      <c r="W684" s="35"/>
      <c r="X684" s="35"/>
      <c r="Y684" s="35"/>
    </row>
    <row r="685" ht="14.25" customHeight="1">
      <c r="A685" s="136"/>
      <c r="B685" s="137"/>
      <c r="C685" s="251"/>
      <c r="D685" s="452"/>
      <c r="E685" s="136"/>
      <c r="F685" s="253"/>
      <c r="G685" s="527"/>
      <c r="H685" s="141"/>
      <c r="I685" s="141"/>
      <c r="J685" s="142"/>
      <c r="K685" s="142"/>
      <c r="L685" s="142"/>
      <c r="M685" s="142"/>
      <c r="N685" s="136"/>
      <c r="O685" s="34"/>
      <c r="P685" s="35"/>
      <c r="Q685" s="35"/>
      <c r="R685" s="35"/>
      <c r="S685" s="35"/>
      <c r="T685" s="35"/>
      <c r="U685" s="35"/>
      <c r="V685" s="35"/>
      <c r="W685" s="35"/>
      <c r="X685" s="35"/>
      <c r="Y685" s="35"/>
    </row>
    <row r="686" ht="14.25" customHeight="1">
      <c r="A686" s="136"/>
      <c r="B686" s="137"/>
      <c r="C686" s="251"/>
      <c r="D686" s="452"/>
      <c r="E686" s="136"/>
      <c r="F686" s="253"/>
      <c r="G686" s="527"/>
      <c r="H686" s="141"/>
      <c r="I686" s="141"/>
      <c r="J686" s="142"/>
      <c r="K686" s="142"/>
      <c r="L686" s="142"/>
      <c r="M686" s="142"/>
      <c r="N686" s="136"/>
      <c r="O686" s="34"/>
      <c r="P686" s="35"/>
      <c r="Q686" s="35"/>
      <c r="R686" s="35"/>
      <c r="S686" s="35"/>
      <c r="T686" s="35"/>
      <c r="U686" s="35"/>
      <c r="V686" s="35"/>
      <c r="W686" s="35"/>
      <c r="X686" s="35"/>
      <c r="Y686" s="35"/>
    </row>
    <row r="687" ht="14.25" customHeight="1">
      <c r="A687" s="136"/>
      <c r="B687" s="137"/>
      <c r="C687" s="251"/>
      <c r="D687" s="452"/>
      <c r="E687" s="136"/>
      <c r="F687" s="253"/>
      <c r="G687" s="527"/>
      <c r="H687" s="141"/>
      <c r="I687" s="141"/>
      <c r="J687" s="142"/>
      <c r="K687" s="142"/>
      <c r="L687" s="142"/>
      <c r="M687" s="142"/>
      <c r="N687" s="136"/>
      <c r="O687" s="34"/>
      <c r="P687" s="35"/>
      <c r="Q687" s="35"/>
      <c r="R687" s="35"/>
      <c r="S687" s="35"/>
      <c r="T687" s="35"/>
      <c r="U687" s="35"/>
      <c r="V687" s="35"/>
      <c r="W687" s="35"/>
      <c r="X687" s="35"/>
      <c r="Y687" s="35"/>
    </row>
    <row r="688" ht="14.25" customHeight="1">
      <c r="A688" s="136"/>
      <c r="B688" s="137"/>
      <c r="C688" s="251"/>
      <c r="D688" s="452"/>
      <c r="E688" s="136"/>
      <c r="F688" s="253"/>
      <c r="G688" s="527"/>
      <c r="H688" s="141"/>
      <c r="I688" s="141"/>
      <c r="J688" s="142"/>
      <c r="K688" s="142"/>
      <c r="L688" s="142"/>
      <c r="M688" s="142"/>
      <c r="N688" s="136"/>
      <c r="O688" s="34"/>
      <c r="P688" s="35"/>
      <c r="Q688" s="35"/>
      <c r="R688" s="35"/>
      <c r="S688" s="35"/>
      <c r="T688" s="35"/>
      <c r="U688" s="35"/>
      <c r="V688" s="35"/>
      <c r="W688" s="35"/>
      <c r="X688" s="35"/>
      <c r="Y688" s="35"/>
    </row>
    <row r="689" ht="14.25" customHeight="1">
      <c r="A689" s="136"/>
      <c r="B689" s="137"/>
      <c r="C689" s="251"/>
      <c r="D689" s="452"/>
      <c r="E689" s="136"/>
      <c r="F689" s="253"/>
      <c r="G689" s="527"/>
      <c r="H689" s="141"/>
      <c r="I689" s="141"/>
      <c r="J689" s="142"/>
      <c r="K689" s="142"/>
      <c r="L689" s="142"/>
      <c r="M689" s="142"/>
      <c r="N689" s="136"/>
      <c r="O689" s="34"/>
      <c r="P689" s="35"/>
      <c r="Q689" s="35"/>
      <c r="R689" s="35"/>
      <c r="S689" s="35"/>
      <c r="T689" s="35"/>
      <c r="U689" s="35"/>
      <c r="V689" s="35"/>
      <c r="W689" s="35"/>
      <c r="X689" s="35"/>
      <c r="Y689" s="35"/>
    </row>
    <row r="690" ht="14.25" customHeight="1">
      <c r="A690" s="136"/>
      <c r="B690" s="137"/>
      <c r="C690" s="251"/>
      <c r="D690" s="452"/>
      <c r="E690" s="136"/>
      <c r="F690" s="253"/>
      <c r="G690" s="527"/>
      <c r="H690" s="141"/>
      <c r="I690" s="141"/>
      <c r="J690" s="142"/>
      <c r="K690" s="142"/>
      <c r="L690" s="142"/>
      <c r="M690" s="142"/>
      <c r="N690" s="136"/>
      <c r="O690" s="34"/>
      <c r="P690" s="35"/>
      <c r="Q690" s="35"/>
      <c r="R690" s="35"/>
      <c r="S690" s="35"/>
      <c r="T690" s="35"/>
      <c r="U690" s="35"/>
      <c r="V690" s="35"/>
      <c r="W690" s="35"/>
      <c r="X690" s="35"/>
      <c r="Y690" s="35"/>
    </row>
    <row r="691" ht="14.25" customHeight="1">
      <c r="A691" s="136"/>
      <c r="B691" s="137"/>
      <c r="C691" s="251"/>
      <c r="D691" s="452"/>
      <c r="E691" s="136"/>
      <c r="F691" s="253"/>
      <c r="G691" s="527"/>
      <c r="H691" s="141"/>
      <c r="I691" s="141"/>
      <c r="J691" s="142"/>
      <c r="K691" s="142"/>
      <c r="L691" s="142"/>
      <c r="M691" s="142"/>
      <c r="N691" s="136"/>
      <c r="O691" s="34"/>
      <c r="P691" s="35"/>
      <c r="Q691" s="35"/>
      <c r="R691" s="35"/>
      <c r="S691" s="35"/>
      <c r="T691" s="35"/>
      <c r="U691" s="35"/>
      <c r="V691" s="35"/>
      <c r="W691" s="35"/>
      <c r="X691" s="35"/>
      <c r="Y691" s="35"/>
    </row>
    <row r="692" ht="14.25" customHeight="1">
      <c r="A692" s="136"/>
      <c r="B692" s="137"/>
      <c r="C692" s="251"/>
      <c r="D692" s="452"/>
      <c r="E692" s="136"/>
      <c r="F692" s="253"/>
      <c r="G692" s="527"/>
      <c r="H692" s="141"/>
      <c r="I692" s="141"/>
      <c r="J692" s="142"/>
      <c r="K692" s="142"/>
      <c r="L692" s="142"/>
      <c r="M692" s="142"/>
      <c r="N692" s="136"/>
      <c r="O692" s="34"/>
      <c r="P692" s="35"/>
      <c r="Q692" s="35"/>
      <c r="R692" s="35"/>
      <c r="S692" s="35"/>
      <c r="T692" s="35"/>
      <c r="U692" s="35"/>
      <c r="V692" s="35"/>
      <c r="W692" s="35"/>
      <c r="X692" s="35"/>
      <c r="Y692" s="35"/>
    </row>
    <row r="693" ht="14.25" customHeight="1">
      <c r="A693" s="136"/>
      <c r="B693" s="137"/>
      <c r="C693" s="251"/>
      <c r="D693" s="452"/>
      <c r="E693" s="136"/>
      <c r="F693" s="253"/>
      <c r="G693" s="527"/>
      <c r="H693" s="141"/>
      <c r="I693" s="141"/>
      <c r="J693" s="142"/>
      <c r="K693" s="142"/>
      <c r="L693" s="142"/>
      <c r="M693" s="142"/>
      <c r="N693" s="136"/>
      <c r="O693" s="34"/>
      <c r="P693" s="35"/>
      <c r="Q693" s="35"/>
      <c r="R693" s="35"/>
      <c r="S693" s="35"/>
      <c r="T693" s="35"/>
      <c r="U693" s="35"/>
      <c r="V693" s="35"/>
      <c r="W693" s="35"/>
      <c r="X693" s="35"/>
      <c r="Y693" s="35"/>
    </row>
    <row r="694" ht="14.25" customHeight="1">
      <c r="A694" s="136"/>
      <c r="B694" s="137"/>
      <c r="C694" s="251"/>
      <c r="D694" s="452"/>
      <c r="E694" s="136"/>
      <c r="F694" s="253"/>
      <c r="G694" s="527"/>
      <c r="H694" s="141"/>
      <c r="I694" s="141"/>
      <c r="J694" s="142"/>
      <c r="K694" s="142"/>
      <c r="L694" s="142"/>
      <c r="M694" s="142"/>
      <c r="N694" s="136"/>
      <c r="O694" s="34"/>
      <c r="P694" s="35"/>
      <c r="Q694" s="35"/>
      <c r="R694" s="35"/>
      <c r="S694" s="35"/>
      <c r="T694" s="35"/>
      <c r="U694" s="35"/>
      <c r="V694" s="35"/>
      <c r="W694" s="35"/>
      <c r="X694" s="35"/>
      <c r="Y694" s="35"/>
    </row>
    <row r="695" ht="14.25" customHeight="1">
      <c r="A695" s="136"/>
      <c r="B695" s="137"/>
      <c r="C695" s="251"/>
      <c r="D695" s="452"/>
      <c r="E695" s="136"/>
      <c r="F695" s="253"/>
      <c r="G695" s="527"/>
      <c r="H695" s="141"/>
      <c r="I695" s="141"/>
      <c r="J695" s="142"/>
      <c r="K695" s="142"/>
      <c r="L695" s="142"/>
      <c r="M695" s="142"/>
      <c r="N695" s="136"/>
      <c r="O695" s="34"/>
      <c r="P695" s="35"/>
      <c r="Q695" s="35"/>
      <c r="R695" s="35"/>
      <c r="S695" s="35"/>
      <c r="T695" s="35"/>
      <c r="U695" s="35"/>
      <c r="V695" s="35"/>
      <c r="W695" s="35"/>
      <c r="X695" s="35"/>
      <c r="Y695" s="35"/>
    </row>
    <row r="696" ht="14.25" customHeight="1">
      <c r="A696" s="136"/>
      <c r="B696" s="137"/>
      <c r="C696" s="251"/>
      <c r="D696" s="452"/>
      <c r="E696" s="136"/>
      <c r="F696" s="253"/>
      <c r="G696" s="527"/>
      <c r="H696" s="141"/>
      <c r="I696" s="141"/>
      <c r="J696" s="142"/>
      <c r="K696" s="142"/>
      <c r="L696" s="142"/>
      <c r="M696" s="142"/>
      <c r="N696" s="136"/>
      <c r="O696" s="34"/>
      <c r="P696" s="35"/>
      <c r="Q696" s="35"/>
      <c r="R696" s="35"/>
      <c r="S696" s="35"/>
      <c r="T696" s="35"/>
      <c r="U696" s="35"/>
      <c r="V696" s="35"/>
      <c r="W696" s="35"/>
      <c r="X696" s="35"/>
      <c r="Y696" s="35"/>
    </row>
    <row r="697" ht="14.25" customHeight="1">
      <c r="A697" s="136"/>
      <c r="B697" s="137"/>
      <c r="C697" s="251"/>
      <c r="D697" s="452"/>
      <c r="E697" s="136"/>
      <c r="F697" s="253"/>
      <c r="G697" s="527"/>
      <c r="H697" s="141"/>
      <c r="I697" s="141"/>
      <c r="J697" s="142"/>
      <c r="K697" s="142"/>
      <c r="L697" s="142"/>
      <c r="M697" s="142"/>
      <c r="N697" s="136"/>
      <c r="O697" s="34"/>
      <c r="P697" s="35"/>
      <c r="Q697" s="35"/>
      <c r="R697" s="35"/>
      <c r="S697" s="35"/>
      <c r="T697" s="35"/>
      <c r="U697" s="35"/>
      <c r="V697" s="35"/>
      <c r="W697" s="35"/>
      <c r="X697" s="35"/>
      <c r="Y697" s="35"/>
    </row>
    <row r="698" ht="14.25" customHeight="1">
      <c r="A698" s="136"/>
      <c r="B698" s="137"/>
      <c r="C698" s="251"/>
      <c r="D698" s="452"/>
      <c r="E698" s="136"/>
      <c r="F698" s="253"/>
      <c r="G698" s="527"/>
      <c r="H698" s="141"/>
      <c r="I698" s="141"/>
      <c r="J698" s="142"/>
      <c r="K698" s="142"/>
      <c r="L698" s="142"/>
      <c r="M698" s="142"/>
      <c r="N698" s="136"/>
      <c r="O698" s="34"/>
      <c r="P698" s="35"/>
      <c r="Q698" s="35"/>
      <c r="R698" s="35"/>
      <c r="S698" s="35"/>
      <c r="T698" s="35"/>
      <c r="U698" s="35"/>
      <c r="V698" s="35"/>
      <c r="W698" s="35"/>
      <c r="X698" s="35"/>
      <c r="Y698" s="35"/>
    </row>
    <row r="699" ht="14.25" customHeight="1">
      <c r="A699" s="136"/>
      <c r="B699" s="137"/>
      <c r="C699" s="251"/>
      <c r="D699" s="452"/>
      <c r="E699" s="136"/>
      <c r="F699" s="253"/>
      <c r="G699" s="527"/>
      <c r="H699" s="141"/>
      <c r="I699" s="141"/>
      <c r="J699" s="142"/>
      <c r="K699" s="142"/>
      <c r="L699" s="142"/>
      <c r="M699" s="142"/>
      <c r="N699" s="136"/>
      <c r="O699" s="34"/>
      <c r="P699" s="35"/>
      <c r="Q699" s="35"/>
      <c r="R699" s="35"/>
      <c r="S699" s="35"/>
      <c r="T699" s="35"/>
      <c r="U699" s="35"/>
      <c r="V699" s="35"/>
      <c r="W699" s="35"/>
      <c r="X699" s="35"/>
      <c r="Y699" s="35"/>
    </row>
    <row r="700" ht="14.25" customHeight="1">
      <c r="A700" s="136"/>
      <c r="B700" s="137"/>
      <c r="C700" s="251"/>
      <c r="D700" s="452"/>
      <c r="E700" s="136"/>
      <c r="F700" s="253"/>
      <c r="G700" s="527"/>
      <c r="H700" s="141"/>
      <c r="I700" s="141"/>
      <c r="J700" s="142"/>
      <c r="K700" s="142"/>
      <c r="L700" s="142"/>
      <c r="M700" s="142"/>
      <c r="N700" s="136"/>
      <c r="O700" s="34"/>
      <c r="P700" s="35"/>
      <c r="Q700" s="35"/>
      <c r="R700" s="35"/>
      <c r="S700" s="35"/>
      <c r="T700" s="35"/>
      <c r="U700" s="35"/>
      <c r="V700" s="35"/>
      <c r="W700" s="35"/>
      <c r="X700" s="35"/>
      <c r="Y700" s="35"/>
    </row>
    <row r="701" ht="14.25" customHeight="1">
      <c r="A701" s="136"/>
      <c r="B701" s="137"/>
      <c r="C701" s="251"/>
      <c r="D701" s="452"/>
      <c r="E701" s="136"/>
      <c r="F701" s="253"/>
      <c r="G701" s="527"/>
      <c r="H701" s="141"/>
      <c r="I701" s="141"/>
      <c r="J701" s="142"/>
      <c r="K701" s="142"/>
      <c r="L701" s="142"/>
      <c r="M701" s="142"/>
      <c r="N701" s="136"/>
      <c r="O701" s="34"/>
      <c r="P701" s="35"/>
      <c r="Q701" s="35"/>
      <c r="R701" s="35"/>
      <c r="S701" s="35"/>
      <c r="T701" s="35"/>
      <c r="U701" s="35"/>
      <c r="V701" s="35"/>
      <c r="W701" s="35"/>
      <c r="X701" s="35"/>
      <c r="Y701" s="35"/>
    </row>
    <row r="702" ht="14.25" customHeight="1">
      <c r="A702" s="136"/>
      <c r="B702" s="137"/>
      <c r="C702" s="251"/>
      <c r="D702" s="452"/>
      <c r="E702" s="136"/>
      <c r="F702" s="253"/>
      <c r="G702" s="527"/>
      <c r="H702" s="141"/>
      <c r="I702" s="141"/>
      <c r="J702" s="142"/>
      <c r="K702" s="142"/>
      <c r="L702" s="142"/>
      <c r="M702" s="142"/>
      <c r="N702" s="136"/>
      <c r="O702" s="34"/>
      <c r="P702" s="35"/>
      <c r="Q702" s="35"/>
      <c r="R702" s="35"/>
      <c r="S702" s="35"/>
      <c r="T702" s="35"/>
      <c r="U702" s="35"/>
      <c r="V702" s="35"/>
      <c r="W702" s="35"/>
      <c r="X702" s="35"/>
      <c r="Y702" s="35"/>
    </row>
    <row r="703" ht="14.25" customHeight="1">
      <c r="A703" s="136"/>
      <c r="B703" s="137"/>
      <c r="C703" s="251"/>
      <c r="D703" s="452"/>
      <c r="E703" s="136"/>
      <c r="F703" s="253"/>
      <c r="G703" s="527"/>
      <c r="H703" s="141"/>
      <c r="I703" s="141"/>
      <c r="J703" s="142"/>
      <c r="K703" s="142"/>
      <c r="L703" s="142"/>
      <c r="M703" s="142"/>
      <c r="N703" s="136"/>
      <c r="O703" s="34"/>
      <c r="P703" s="35"/>
      <c r="Q703" s="35"/>
      <c r="R703" s="35"/>
      <c r="S703" s="35"/>
      <c r="T703" s="35"/>
      <c r="U703" s="35"/>
      <c r="V703" s="35"/>
      <c r="W703" s="35"/>
      <c r="X703" s="35"/>
      <c r="Y703" s="35"/>
    </row>
    <row r="704" ht="14.25" customHeight="1">
      <c r="A704" s="136"/>
      <c r="B704" s="137"/>
      <c r="C704" s="251"/>
      <c r="D704" s="452"/>
      <c r="E704" s="136"/>
      <c r="F704" s="253"/>
      <c r="G704" s="527"/>
      <c r="H704" s="141"/>
      <c r="I704" s="141"/>
      <c r="J704" s="142"/>
      <c r="K704" s="142"/>
      <c r="L704" s="142"/>
      <c r="M704" s="142"/>
      <c r="N704" s="136"/>
      <c r="O704" s="34"/>
      <c r="P704" s="35"/>
      <c r="Q704" s="35"/>
      <c r="R704" s="35"/>
      <c r="S704" s="35"/>
      <c r="T704" s="35"/>
      <c r="U704" s="35"/>
      <c r="V704" s="35"/>
      <c r="W704" s="35"/>
      <c r="X704" s="35"/>
      <c r="Y704" s="35"/>
    </row>
    <row r="705" ht="14.25" customHeight="1">
      <c r="A705" s="136"/>
      <c r="B705" s="137"/>
      <c r="C705" s="251"/>
      <c r="D705" s="452"/>
      <c r="E705" s="136"/>
      <c r="F705" s="253"/>
      <c r="G705" s="527"/>
      <c r="H705" s="141"/>
      <c r="I705" s="141"/>
      <c r="J705" s="142"/>
      <c r="K705" s="142"/>
      <c r="L705" s="142"/>
      <c r="M705" s="142"/>
      <c r="N705" s="136"/>
      <c r="O705" s="34"/>
      <c r="P705" s="35"/>
      <c r="Q705" s="35"/>
      <c r="R705" s="35"/>
      <c r="S705" s="35"/>
      <c r="T705" s="35"/>
      <c r="U705" s="35"/>
      <c r="V705" s="35"/>
      <c r="W705" s="35"/>
      <c r="X705" s="35"/>
      <c r="Y705" s="35"/>
    </row>
    <row r="706" ht="14.25" customHeight="1">
      <c r="A706" s="136"/>
      <c r="B706" s="137"/>
      <c r="C706" s="251"/>
      <c r="D706" s="452"/>
      <c r="E706" s="136"/>
      <c r="F706" s="253"/>
      <c r="G706" s="527"/>
      <c r="H706" s="141"/>
      <c r="I706" s="141"/>
      <c r="J706" s="142"/>
      <c r="K706" s="142"/>
      <c r="L706" s="142"/>
      <c r="M706" s="142"/>
      <c r="N706" s="136"/>
      <c r="O706" s="34"/>
      <c r="P706" s="35"/>
      <c r="Q706" s="35"/>
      <c r="R706" s="35"/>
      <c r="S706" s="35"/>
      <c r="T706" s="35"/>
      <c r="U706" s="35"/>
      <c r="V706" s="35"/>
      <c r="W706" s="35"/>
      <c r="X706" s="35"/>
      <c r="Y706" s="35"/>
    </row>
    <row r="707" ht="14.25" customHeight="1">
      <c r="A707" s="136"/>
      <c r="B707" s="137"/>
      <c r="C707" s="251"/>
      <c r="D707" s="452"/>
      <c r="E707" s="136"/>
      <c r="F707" s="253"/>
      <c r="G707" s="527"/>
      <c r="H707" s="141"/>
      <c r="I707" s="141"/>
      <c r="J707" s="142"/>
      <c r="K707" s="142"/>
      <c r="L707" s="142"/>
      <c r="M707" s="142"/>
      <c r="N707" s="136"/>
      <c r="O707" s="34"/>
      <c r="P707" s="35"/>
      <c r="Q707" s="35"/>
      <c r="R707" s="35"/>
      <c r="S707" s="35"/>
      <c r="T707" s="35"/>
      <c r="U707" s="35"/>
      <c r="V707" s="35"/>
      <c r="W707" s="35"/>
      <c r="X707" s="35"/>
      <c r="Y707" s="35"/>
    </row>
    <row r="708" ht="14.25" customHeight="1">
      <c r="A708" s="136"/>
      <c r="B708" s="137"/>
      <c r="C708" s="251"/>
      <c r="D708" s="452"/>
      <c r="E708" s="136"/>
      <c r="F708" s="253"/>
      <c r="G708" s="527"/>
      <c r="H708" s="141"/>
      <c r="I708" s="141"/>
      <c r="J708" s="142"/>
      <c r="K708" s="142"/>
      <c r="L708" s="142"/>
      <c r="M708" s="142"/>
      <c r="N708" s="136"/>
      <c r="O708" s="34"/>
      <c r="P708" s="35"/>
      <c r="Q708" s="35"/>
      <c r="R708" s="35"/>
      <c r="S708" s="35"/>
      <c r="T708" s="35"/>
      <c r="U708" s="35"/>
      <c r="V708" s="35"/>
      <c r="W708" s="35"/>
      <c r="X708" s="35"/>
      <c r="Y708" s="35"/>
    </row>
    <row r="709" ht="14.25" customHeight="1">
      <c r="A709" s="136"/>
      <c r="B709" s="137"/>
      <c r="C709" s="251"/>
      <c r="D709" s="452"/>
      <c r="E709" s="136"/>
      <c r="F709" s="253"/>
      <c r="G709" s="527"/>
      <c r="H709" s="141"/>
      <c r="I709" s="141"/>
      <c r="J709" s="142"/>
      <c r="K709" s="142"/>
      <c r="L709" s="142"/>
      <c r="M709" s="142"/>
      <c r="N709" s="136"/>
      <c r="O709" s="34"/>
      <c r="P709" s="35"/>
      <c r="Q709" s="35"/>
      <c r="R709" s="35"/>
      <c r="S709" s="35"/>
      <c r="T709" s="35"/>
      <c r="U709" s="35"/>
      <c r="V709" s="35"/>
      <c r="W709" s="35"/>
      <c r="X709" s="35"/>
      <c r="Y709" s="35"/>
    </row>
    <row r="710" ht="14.25" customHeight="1">
      <c r="A710" s="136"/>
      <c r="B710" s="137"/>
      <c r="C710" s="251"/>
      <c r="D710" s="452"/>
      <c r="E710" s="136"/>
      <c r="F710" s="253"/>
      <c r="G710" s="527"/>
      <c r="H710" s="141"/>
      <c r="I710" s="141"/>
      <c r="J710" s="142"/>
      <c r="K710" s="142"/>
      <c r="L710" s="142"/>
      <c r="M710" s="142"/>
      <c r="N710" s="136"/>
      <c r="O710" s="34"/>
      <c r="P710" s="35"/>
      <c r="Q710" s="35"/>
      <c r="R710" s="35"/>
      <c r="S710" s="35"/>
      <c r="T710" s="35"/>
      <c r="U710" s="35"/>
      <c r="V710" s="35"/>
      <c r="W710" s="35"/>
      <c r="X710" s="35"/>
      <c r="Y710" s="35"/>
    </row>
    <row r="711" ht="14.25" customHeight="1">
      <c r="A711" s="136"/>
      <c r="B711" s="137"/>
      <c r="C711" s="251"/>
      <c r="D711" s="452"/>
      <c r="E711" s="136"/>
      <c r="F711" s="253"/>
      <c r="G711" s="527"/>
      <c r="H711" s="141"/>
      <c r="I711" s="141"/>
      <c r="J711" s="142"/>
      <c r="K711" s="142"/>
      <c r="L711" s="142"/>
      <c r="M711" s="142"/>
      <c r="N711" s="136"/>
      <c r="O711" s="34"/>
      <c r="P711" s="35"/>
      <c r="Q711" s="35"/>
      <c r="R711" s="35"/>
      <c r="S711" s="35"/>
      <c r="T711" s="35"/>
      <c r="U711" s="35"/>
      <c r="V711" s="35"/>
      <c r="W711" s="35"/>
      <c r="X711" s="35"/>
      <c r="Y711" s="35"/>
    </row>
    <row r="712" ht="14.25" customHeight="1">
      <c r="A712" s="136"/>
      <c r="B712" s="137"/>
      <c r="C712" s="251"/>
      <c r="D712" s="452"/>
      <c r="E712" s="136"/>
      <c r="F712" s="253"/>
      <c r="G712" s="527"/>
      <c r="H712" s="141"/>
      <c r="I712" s="141"/>
      <c r="J712" s="142"/>
      <c r="K712" s="142"/>
      <c r="L712" s="142"/>
      <c r="M712" s="142"/>
      <c r="N712" s="136"/>
      <c r="O712" s="34"/>
      <c r="P712" s="35"/>
      <c r="Q712" s="35"/>
      <c r="R712" s="35"/>
      <c r="S712" s="35"/>
      <c r="T712" s="35"/>
      <c r="U712" s="35"/>
      <c r="V712" s="35"/>
      <c r="W712" s="35"/>
      <c r="X712" s="35"/>
      <c r="Y712" s="35"/>
    </row>
    <row r="713" ht="14.25" customHeight="1">
      <c r="A713" s="136"/>
      <c r="B713" s="137"/>
      <c r="C713" s="251"/>
      <c r="D713" s="452"/>
      <c r="E713" s="136"/>
      <c r="F713" s="253"/>
      <c r="G713" s="527"/>
      <c r="H713" s="141"/>
      <c r="I713" s="141"/>
      <c r="J713" s="142"/>
      <c r="K713" s="142"/>
      <c r="L713" s="142"/>
      <c r="M713" s="142"/>
      <c r="N713" s="136"/>
      <c r="O713" s="34"/>
      <c r="P713" s="35"/>
      <c r="Q713" s="35"/>
      <c r="R713" s="35"/>
      <c r="S713" s="35"/>
      <c r="T713" s="35"/>
      <c r="U713" s="35"/>
      <c r="V713" s="35"/>
      <c r="W713" s="35"/>
      <c r="X713" s="35"/>
      <c r="Y713" s="35"/>
    </row>
    <row r="714" ht="14.25" customHeight="1">
      <c r="A714" s="136"/>
      <c r="B714" s="137"/>
      <c r="C714" s="251"/>
      <c r="D714" s="452"/>
      <c r="E714" s="136"/>
      <c r="F714" s="253"/>
      <c r="G714" s="527"/>
      <c r="H714" s="141"/>
      <c r="I714" s="141"/>
      <c r="J714" s="142"/>
      <c r="K714" s="142"/>
      <c r="L714" s="142"/>
      <c r="M714" s="142"/>
      <c r="N714" s="136"/>
      <c r="O714" s="34"/>
      <c r="P714" s="35"/>
      <c r="Q714" s="35"/>
      <c r="R714" s="35"/>
      <c r="S714" s="35"/>
      <c r="T714" s="35"/>
      <c r="U714" s="35"/>
      <c r="V714" s="35"/>
      <c r="W714" s="35"/>
      <c r="X714" s="35"/>
      <c r="Y714" s="35"/>
    </row>
    <row r="715" ht="14.25" customHeight="1">
      <c r="A715" s="136"/>
      <c r="B715" s="137"/>
      <c r="C715" s="251"/>
      <c r="D715" s="452"/>
      <c r="E715" s="136"/>
      <c r="F715" s="253"/>
      <c r="G715" s="527"/>
      <c r="H715" s="141"/>
      <c r="I715" s="141"/>
      <c r="J715" s="142"/>
      <c r="K715" s="142"/>
      <c r="L715" s="142"/>
      <c r="M715" s="142"/>
      <c r="N715" s="136"/>
      <c r="O715" s="34"/>
      <c r="P715" s="35"/>
      <c r="Q715" s="35"/>
      <c r="R715" s="35"/>
      <c r="S715" s="35"/>
      <c r="T715" s="35"/>
      <c r="U715" s="35"/>
      <c r="V715" s="35"/>
      <c r="W715" s="35"/>
      <c r="X715" s="35"/>
      <c r="Y715" s="35"/>
    </row>
    <row r="716" ht="14.25" customHeight="1">
      <c r="A716" s="136"/>
      <c r="B716" s="137"/>
      <c r="C716" s="251"/>
      <c r="D716" s="452"/>
      <c r="E716" s="136"/>
      <c r="F716" s="253"/>
      <c r="G716" s="527"/>
      <c r="H716" s="141"/>
      <c r="I716" s="141"/>
      <c r="J716" s="142"/>
      <c r="K716" s="142"/>
      <c r="L716" s="142"/>
      <c r="M716" s="142"/>
      <c r="N716" s="136"/>
      <c r="O716" s="34"/>
      <c r="P716" s="35"/>
      <c r="Q716" s="35"/>
      <c r="R716" s="35"/>
      <c r="S716" s="35"/>
      <c r="T716" s="35"/>
      <c r="U716" s="35"/>
      <c r="V716" s="35"/>
      <c r="W716" s="35"/>
      <c r="X716" s="35"/>
      <c r="Y716" s="35"/>
    </row>
    <row r="717" ht="14.25" customHeight="1">
      <c r="A717" s="136"/>
      <c r="B717" s="137"/>
      <c r="C717" s="251"/>
      <c r="D717" s="452"/>
      <c r="E717" s="136"/>
      <c r="F717" s="253"/>
      <c r="G717" s="527"/>
      <c r="H717" s="141"/>
      <c r="I717" s="141"/>
      <c r="J717" s="142"/>
      <c r="K717" s="142"/>
      <c r="L717" s="142"/>
      <c r="M717" s="142"/>
      <c r="N717" s="136"/>
      <c r="O717" s="34"/>
      <c r="P717" s="35"/>
      <c r="Q717" s="35"/>
      <c r="R717" s="35"/>
      <c r="S717" s="35"/>
      <c r="T717" s="35"/>
      <c r="U717" s="35"/>
      <c r="V717" s="35"/>
      <c r="W717" s="35"/>
      <c r="X717" s="35"/>
      <c r="Y717" s="35"/>
    </row>
    <row r="718" ht="14.25" customHeight="1">
      <c r="A718" s="136"/>
      <c r="B718" s="137"/>
      <c r="C718" s="251"/>
      <c r="D718" s="452"/>
      <c r="E718" s="136"/>
      <c r="F718" s="253"/>
      <c r="G718" s="527"/>
      <c r="H718" s="141"/>
      <c r="I718" s="141"/>
      <c r="J718" s="142"/>
      <c r="K718" s="142"/>
      <c r="L718" s="142"/>
      <c r="M718" s="142"/>
      <c r="N718" s="136"/>
      <c r="O718" s="34"/>
      <c r="P718" s="35"/>
      <c r="Q718" s="35"/>
      <c r="R718" s="35"/>
      <c r="S718" s="35"/>
      <c r="T718" s="35"/>
      <c r="U718" s="35"/>
      <c r="V718" s="35"/>
      <c r="W718" s="35"/>
      <c r="X718" s="35"/>
      <c r="Y718" s="35"/>
    </row>
    <row r="719" ht="14.25" customHeight="1">
      <c r="A719" s="136"/>
      <c r="B719" s="137"/>
      <c r="C719" s="251"/>
      <c r="D719" s="452"/>
      <c r="E719" s="136"/>
      <c r="F719" s="253"/>
      <c r="G719" s="527"/>
      <c r="H719" s="141"/>
      <c r="I719" s="141"/>
      <c r="J719" s="142"/>
      <c r="K719" s="142"/>
      <c r="L719" s="142"/>
      <c r="M719" s="142"/>
      <c r="N719" s="136"/>
      <c r="O719" s="34"/>
      <c r="P719" s="35"/>
      <c r="Q719" s="35"/>
      <c r="R719" s="35"/>
      <c r="S719" s="35"/>
      <c r="T719" s="35"/>
      <c r="U719" s="35"/>
      <c r="V719" s="35"/>
      <c r="W719" s="35"/>
      <c r="X719" s="35"/>
      <c r="Y719" s="35"/>
    </row>
    <row r="720" ht="14.25" customHeight="1">
      <c r="A720" s="136"/>
      <c r="B720" s="137"/>
      <c r="C720" s="251"/>
      <c r="D720" s="452"/>
      <c r="E720" s="136"/>
      <c r="F720" s="253"/>
      <c r="G720" s="527"/>
      <c r="H720" s="141"/>
      <c r="I720" s="141"/>
      <c r="J720" s="142"/>
      <c r="K720" s="142"/>
      <c r="L720" s="142"/>
      <c r="M720" s="142"/>
      <c r="N720" s="136"/>
      <c r="O720" s="34"/>
      <c r="P720" s="35"/>
      <c r="Q720" s="35"/>
      <c r="R720" s="35"/>
      <c r="S720" s="35"/>
      <c r="T720" s="35"/>
      <c r="U720" s="35"/>
      <c r="V720" s="35"/>
      <c r="W720" s="35"/>
      <c r="X720" s="35"/>
      <c r="Y720" s="35"/>
    </row>
    <row r="721" ht="14.25" customHeight="1">
      <c r="A721" s="136"/>
      <c r="B721" s="137"/>
      <c r="C721" s="251"/>
      <c r="D721" s="452"/>
      <c r="E721" s="136"/>
      <c r="F721" s="253"/>
      <c r="G721" s="527"/>
      <c r="H721" s="141"/>
      <c r="I721" s="141"/>
      <c r="J721" s="142"/>
      <c r="K721" s="142"/>
      <c r="L721" s="142"/>
      <c r="M721" s="142"/>
      <c r="N721" s="136"/>
      <c r="O721" s="34"/>
      <c r="P721" s="35"/>
      <c r="Q721" s="35"/>
      <c r="R721" s="35"/>
      <c r="S721" s="35"/>
      <c r="T721" s="35"/>
      <c r="U721" s="35"/>
      <c r="V721" s="35"/>
      <c r="W721" s="35"/>
      <c r="X721" s="35"/>
      <c r="Y721" s="35"/>
    </row>
    <row r="722" ht="14.25" customHeight="1">
      <c r="A722" s="136"/>
      <c r="B722" s="137"/>
      <c r="C722" s="251"/>
      <c r="D722" s="452"/>
      <c r="E722" s="136"/>
      <c r="F722" s="253"/>
      <c r="G722" s="527"/>
      <c r="H722" s="141"/>
      <c r="I722" s="141"/>
      <c r="J722" s="142"/>
      <c r="K722" s="142"/>
      <c r="L722" s="142"/>
      <c r="M722" s="142"/>
      <c r="N722" s="136"/>
      <c r="O722" s="34"/>
      <c r="P722" s="35"/>
      <c r="Q722" s="35"/>
      <c r="R722" s="35"/>
      <c r="S722" s="35"/>
      <c r="T722" s="35"/>
      <c r="U722" s="35"/>
      <c r="V722" s="35"/>
      <c r="W722" s="35"/>
      <c r="X722" s="35"/>
      <c r="Y722" s="35"/>
    </row>
    <row r="723" ht="14.25" customHeight="1">
      <c r="A723" s="136"/>
      <c r="B723" s="137"/>
      <c r="C723" s="251"/>
      <c r="D723" s="452"/>
      <c r="E723" s="136"/>
      <c r="F723" s="253"/>
      <c r="G723" s="527"/>
      <c r="H723" s="141"/>
      <c r="I723" s="141"/>
      <c r="J723" s="142"/>
      <c r="K723" s="142"/>
      <c r="L723" s="142"/>
      <c r="M723" s="142"/>
      <c r="N723" s="136"/>
      <c r="O723" s="34"/>
      <c r="P723" s="35"/>
      <c r="Q723" s="35"/>
      <c r="R723" s="35"/>
      <c r="S723" s="35"/>
      <c r="T723" s="35"/>
      <c r="U723" s="35"/>
      <c r="V723" s="35"/>
      <c r="W723" s="35"/>
      <c r="X723" s="35"/>
      <c r="Y723" s="35"/>
    </row>
    <row r="724" ht="14.25" customHeight="1">
      <c r="A724" s="136"/>
      <c r="B724" s="137"/>
      <c r="C724" s="251"/>
      <c r="D724" s="452"/>
      <c r="E724" s="136"/>
      <c r="F724" s="253"/>
      <c r="G724" s="527"/>
      <c r="H724" s="141"/>
      <c r="I724" s="141"/>
      <c r="J724" s="142"/>
      <c r="K724" s="142"/>
      <c r="L724" s="142"/>
      <c r="M724" s="142"/>
      <c r="N724" s="136"/>
      <c r="O724" s="34"/>
      <c r="P724" s="35"/>
      <c r="Q724" s="35"/>
      <c r="R724" s="35"/>
      <c r="S724" s="35"/>
      <c r="T724" s="35"/>
      <c r="U724" s="35"/>
      <c r="V724" s="35"/>
      <c r="W724" s="35"/>
      <c r="X724" s="35"/>
      <c r="Y724" s="35"/>
    </row>
    <row r="725" ht="14.25" customHeight="1">
      <c r="A725" s="136"/>
      <c r="B725" s="137"/>
      <c r="C725" s="251"/>
      <c r="D725" s="452"/>
      <c r="E725" s="136"/>
      <c r="F725" s="253"/>
      <c r="G725" s="527"/>
      <c r="H725" s="141"/>
      <c r="I725" s="141"/>
      <c r="J725" s="142"/>
      <c r="K725" s="142"/>
      <c r="L725" s="142"/>
      <c r="M725" s="142"/>
      <c r="N725" s="136"/>
      <c r="O725" s="34"/>
      <c r="P725" s="35"/>
      <c r="Q725" s="35"/>
      <c r="R725" s="35"/>
      <c r="S725" s="35"/>
      <c r="T725" s="35"/>
      <c r="U725" s="35"/>
      <c r="V725" s="35"/>
      <c r="W725" s="35"/>
      <c r="X725" s="35"/>
      <c r="Y725" s="35"/>
    </row>
    <row r="726" ht="14.25" customHeight="1">
      <c r="A726" s="136"/>
      <c r="B726" s="137"/>
      <c r="C726" s="251"/>
      <c r="D726" s="452"/>
      <c r="E726" s="136"/>
      <c r="F726" s="253"/>
      <c r="G726" s="527"/>
      <c r="H726" s="141"/>
      <c r="I726" s="141"/>
      <c r="J726" s="142"/>
      <c r="K726" s="142"/>
      <c r="L726" s="142"/>
      <c r="M726" s="142"/>
      <c r="N726" s="136"/>
      <c r="O726" s="34"/>
      <c r="P726" s="35"/>
      <c r="Q726" s="35"/>
      <c r="R726" s="35"/>
      <c r="S726" s="35"/>
      <c r="T726" s="35"/>
      <c r="U726" s="35"/>
      <c r="V726" s="35"/>
      <c r="W726" s="35"/>
      <c r="X726" s="35"/>
      <c r="Y726" s="35"/>
    </row>
    <row r="727" ht="14.25" customHeight="1">
      <c r="A727" s="136"/>
      <c r="B727" s="137"/>
      <c r="C727" s="251"/>
      <c r="D727" s="452"/>
      <c r="E727" s="136"/>
      <c r="F727" s="253"/>
      <c r="G727" s="527"/>
      <c r="H727" s="141"/>
      <c r="I727" s="141"/>
      <c r="J727" s="142"/>
      <c r="K727" s="142"/>
      <c r="L727" s="142"/>
      <c r="M727" s="142"/>
      <c r="N727" s="136"/>
      <c r="O727" s="34"/>
      <c r="P727" s="35"/>
      <c r="Q727" s="35"/>
      <c r="R727" s="35"/>
      <c r="S727" s="35"/>
      <c r="T727" s="35"/>
      <c r="U727" s="35"/>
      <c r="V727" s="35"/>
      <c r="W727" s="35"/>
      <c r="X727" s="35"/>
      <c r="Y727" s="35"/>
    </row>
    <row r="728" ht="14.25" customHeight="1">
      <c r="A728" s="136"/>
      <c r="B728" s="137"/>
      <c r="C728" s="251"/>
      <c r="D728" s="452"/>
      <c r="E728" s="136"/>
      <c r="F728" s="253"/>
      <c r="G728" s="527"/>
      <c r="H728" s="141"/>
      <c r="I728" s="141"/>
      <c r="J728" s="142"/>
      <c r="K728" s="142"/>
      <c r="L728" s="142"/>
      <c r="M728" s="142"/>
      <c r="N728" s="136"/>
      <c r="O728" s="34"/>
      <c r="P728" s="35"/>
      <c r="Q728" s="35"/>
      <c r="R728" s="35"/>
      <c r="S728" s="35"/>
      <c r="T728" s="35"/>
      <c r="U728" s="35"/>
      <c r="V728" s="35"/>
      <c r="W728" s="35"/>
      <c r="X728" s="35"/>
      <c r="Y728" s="35"/>
    </row>
    <row r="729" ht="14.25" customHeight="1">
      <c r="A729" s="136"/>
      <c r="B729" s="137"/>
      <c r="C729" s="251"/>
      <c r="D729" s="452"/>
      <c r="E729" s="136"/>
      <c r="F729" s="253"/>
      <c r="G729" s="527"/>
      <c r="H729" s="141"/>
      <c r="I729" s="141"/>
      <c r="J729" s="142"/>
      <c r="K729" s="142"/>
      <c r="L729" s="142"/>
      <c r="M729" s="142"/>
      <c r="N729" s="136"/>
      <c r="O729" s="34"/>
      <c r="P729" s="35"/>
      <c r="Q729" s="35"/>
      <c r="R729" s="35"/>
      <c r="S729" s="35"/>
      <c r="T729" s="35"/>
      <c r="U729" s="35"/>
      <c r="V729" s="35"/>
      <c r="W729" s="35"/>
      <c r="X729" s="35"/>
      <c r="Y729" s="35"/>
    </row>
    <row r="730" ht="14.25" customHeight="1">
      <c r="A730" s="136"/>
      <c r="B730" s="137"/>
      <c r="C730" s="251"/>
      <c r="D730" s="452"/>
      <c r="E730" s="136"/>
      <c r="F730" s="253"/>
      <c r="G730" s="527"/>
      <c r="H730" s="141"/>
      <c r="I730" s="141"/>
      <c r="J730" s="142"/>
      <c r="K730" s="142"/>
      <c r="L730" s="142"/>
      <c r="M730" s="142"/>
      <c r="N730" s="136"/>
      <c r="O730" s="34"/>
      <c r="P730" s="35"/>
      <c r="Q730" s="35"/>
      <c r="R730" s="35"/>
      <c r="S730" s="35"/>
      <c r="T730" s="35"/>
      <c r="U730" s="35"/>
      <c r="V730" s="35"/>
      <c r="W730" s="35"/>
      <c r="X730" s="35"/>
      <c r="Y730" s="35"/>
    </row>
    <row r="731" ht="14.25" customHeight="1">
      <c r="A731" s="136"/>
      <c r="B731" s="137"/>
      <c r="C731" s="251"/>
      <c r="D731" s="452"/>
      <c r="E731" s="136"/>
      <c r="F731" s="253"/>
      <c r="G731" s="527"/>
      <c r="H731" s="141"/>
      <c r="I731" s="141"/>
      <c r="J731" s="142"/>
      <c r="K731" s="142"/>
      <c r="L731" s="142"/>
      <c r="M731" s="142"/>
      <c r="N731" s="136"/>
      <c r="O731" s="34"/>
      <c r="P731" s="35"/>
      <c r="Q731" s="35"/>
      <c r="R731" s="35"/>
      <c r="S731" s="35"/>
      <c r="T731" s="35"/>
      <c r="U731" s="35"/>
      <c r="V731" s="35"/>
      <c r="W731" s="35"/>
      <c r="X731" s="35"/>
      <c r="Y731" s="35"/>
    </row>
    <row r="732" ht="14.25" customHeight="1">
      <c r="A732" s="136"/>
      <c r="B732" s="137"/>
      <c r="C732" s="251"/>
      <c r="D732" s="452"/>
      <c r="E732" s="136"/>
      <c r="F732" s="253"/>
      <c r="G732" s="527"/>
      <c r="H732" s="141"/>
      <c r="I732" s="141"/>
      <c r="J732" s="142"/>
      <c r="K732" s="142"/>
      <c r="L732" s="142"/>
      <c r="M732" s="142"/>
      <c r="N732" s="136"/>
      <c r="O732" s="34"/>
      <c r="P732" s="35"/>
      <c r="Q732" s="35"/>
      <c r="R732" s="35"/>
      <c r="S732" s="35"/>
      <c r="T732" s="35"/>
      <c r="U732" s="35"/>
      <c r="V732" s="35"/>
      <c r="W732" s="35"/>
      <c r="X732" s="35"/>
      <c r="Y732" s="35"/>
    </row>
    <row r="733" ht="14.25" customHeight="1">
      <c r="A733" s="136"/>
      <c r="B733" s="137"/>
      <c r="C733" s="251"/>
      <c r="D733" s="452"/>
      <c r="E733" s="136"/>
      <c r="F733" s="253"/>
      <c r="G733" s="527"/>
      <c r="H733" s="141"/>
      <c r="I733" s="141"/>
      <c r="J733" s="142"/>
      <c r="K733" s="142"/>
      <c r="L733" s="142"/>
      <c r="M733" s="142"/>
      <c r="N733" s="136"/>
      <c r="O733" s="34"/>
      <c r="P733" s="35"/>
      <c r="Q733" s="35"/>
      <c r="R733" s="35"/>
      <c r="S733" s="35"/>
      <c r="T733" s="35"/>
      <c r="U733" s="35"/>
      <c r="V733" s="35"/>
      <c r="W733" s="35"/>
      <c r="X733" s="35"/>
      <c r="Y733" s="35"/>
    </row>
    <row r="734" ht="14.25" customHeight="1">
      <c r="A734" s="136"/>
      <c r="B734" s="137"/>
      <c r="C734" s="251"/>
      <c r="D734" s="452"/>
      <c r="E734" s="136"/>
      <c r="F734" s="253"/>
      <c r="G734" s="527"/>
      <c r="H734" s="141"/>
      <c r="I734" s="141"/>
      <c r="J734" s="142"/>
      <c r="K734" s="142"/>
      <c r="L734" s="142"/>
      <c r="M734" s="142"/>
      <c r="N734" s="136"/>
      <c r="O734" s="34"/>
      <c r="P734" s="35"/>
      <c r="Q734" s="35"/>
      <c r="R734" s="35"/>
      <c r="S734" s="35"/>
      <c r="T734" s="35"/>
      <c r="U734" s="35"/>
      <c r="V734" s="35"/>
      <c r="W734" s="35"/>
      <c r="X734" s="35"/>
      <c r="Y734" s="35"/>
    </row>
    <row r="735" ht="14.25" customHeight="1">
      <c r="A735" s="136"/>
      <c r="B735" s="137"/>
      <c r="C735" s="251"/>
      <c r="D735" s="452"/>
      <c r="E735" s="136"/>
      <c r="F735" s="253"/>
      <c r="G735" s="527"/>
      <c r="H735" s="141"/>
      <c r="I735" s="141"/>
      <c r="J735" s="142"/>
      <c r="K735" s="142"/>
      <c r="L735" s="142"/>
      <c r="M735" s="142"/>
      <c r="N735" s="136"/>
      <c r="O735" s="34"/>
      <c r="P735" s="35"/>
      <c r="Q735" s="35"/>
      <c r="R735" s="35"/>
      <c r="S735" s="35"/>
      <c r="T735" s="35"/>
      <c r="U735" s="35"/>
      <c r="V735" s="35"/>
      <c r="W735" s="35"/>
      <c r="X735" s="35"/>
      <c r="Y735" s="35"/>
    </row>
    <row r="736" ht="14.25" customHeight="1">
      <c r="A736" s="136"/>
      <c r="B736" s="137"/>
      <c r="C736" s="251"/>
      <c r="D736" s="452"/>
      <c r="E736" s="136"/>
      <c r="F736" s="253"/>
      <c r="G736" s="527"/>
      <c r="H736" s="141"/>
      <c r="I736" s="141"/>
      <c r="J736" s="142"/>
      <c r="K736" s="142"/>
      <c r="L736" s="142"/>
      <c r="M736" s="142"/>
      <c r="N736" s="136"/>
      <c r="O736" s="34"/>
      <c r="P736" s="35"/>
      <c r="Q736" s="35"/>
      <c r="R736" s="35"/>
      <c r="S736" s="35"/>
      <c r="T736" s="35"/>
      <c r="U736" s="35"/>
      <c r="V736" s="35"/>
      <c r="W736" s="35"/>
      <c r="X736" s="35"/>
      <c r="Y736" s="35"/>
    </row>
    <row r="737" ht="14.25" customHeight="1">
      <c r="A737" s="136"/>
      <c r="B737" s="137"/>
      <c r="C737" s="251"/>
      <c r="D737" s="452"/>
      <c r="E737" s="136"/>
      <c r="F737" s="253"/>
      <c r="G737" s="527"/>
      <c r="H737" s="141"/>
      <c r="I737" s="141"/>
      <c r="J737" s="142"/>
      <c r="K737" s="142"/>
      <c r="L737" s="142"/>
      <c r="M737" s="142"/>
      <c r="N737" s="136"/>
      <c r="O737" s="34"/>
      <c r="P737" s="35"/>
      <c r="Q737" s="35"/>
      <c r="R737" s="35"/>
      <c r="S737" s="35"/>
      <c r="T737" s="35"/>
      <c r="U737" s="35"/>
      <c r="V737" s="35"/>
      <c r="W737" s="35"/>
      <c r="X737" s="35"/>
      <c r="Y737" s="35"/>
    </row>
    <row r="738" ht="14.25" customHeight="1">
      <c r="A738" s="136"/>
      <c r="B738" s="137"/>
      <c r="C738" s="251"/>
      <c r="D738" s="452"/>
      <c r="E738" s="136"/>
      <c r="F738" s="253"/>
      <c r="G738" s="527"/>
      <c r="H738" s="141"/>
      <c r="I738" s="141"/>
      <c r="J738" s="142"/>
      <c r="K738" s="142"/>
      <c r="L738" s="142"/>
      <c r="M738" s="142"/>
      <c r="N738" s="136"/>
      <c r="O738" s="34"/>
      <c r="P738" s="35"/>
      <c r="Q738" s="35"/>
      <c r="R738" s="35"/>
      <c r="S738" s="35"/>
      <c r="T738" s="35"/>
      <c r="U738" s="35"/>
      <c r="V738" s="35"/>
      <c r="W738" s="35"/>
      <c r="X738" s="35"/>
      <c r="Y738" s="35"/>
    </row>
    <row r="739" ht="14.25" customHeight="1">
      <c r="A739" s="136"/>
      <c r="B739" s="137"/>
      <c r="C739" s="251"/>
      <c r="D739" s="452"/>
      <c r="E739" s="136"/>
      <c r="F739" s="253"/>
      <c r="G739" s="527"/>
      <c r="H739" s="141"/>
      <c r="I739" s="141"/>
      <c r="J739" s="142"/>
      <c r="K739" s="142"/>
      <c r="L739" s="142"/>
      <c r="M739" s="142"/>
      <c r="N739" s="136"/>
      <c r="O739" s="34"/>
      <c r="P739" s="35"/>
      <c r="Q739" s="35"/>
      <c r="R739" s="35"/>
      <c r="S739" s="35"/>
      <c r="T739" s="35"/>
      <c r="U739" s="35"/>
      <c r="V739" s="35"/>
      <c r="W739" s="35"/>
      <c r="X739" s="35"/>
      <c r="Y739" s="35"/>
    </row>
    <row r="740" ht="14.25" customHeight="1">
      <c r="A740" s="136"/>
      <c r="B740" s="137"/>
      <c r="C740" s="251"/>
      <c r="D740" s="452"/>
      <c r="E740" s="136"/>
      <c r="F740" s="253"/>
      <c r="G740" s="527"/>
      <c r="H740" s="141"/>
      <c r="I740" s="141"/>
      <c r="J740" s="142"/>
      <c r="K740" s="142"/>
      <c r="L740" s="142"/>
      <c r="M740" s="142"/>
      <c r="N740" s="136"/>
      <c r="O740" s="34"/>
      <c r="P740" s="35"/>
      <c r="Q740" s="35"/>
      <c r="R740" s="35"/>
      <c r="S740" s="35"/>
      <c r="T740" s="35"/>
      <c r="U740" s="35"/>
      <c r="V740" s="35"/>
      <c r="W740" s="35"/>
      <c r="X740" s="35"/>
      <c r="Y740" s="35"/>
    </row>
    <row r="741" ht="14.25" customHeight="1">
      <c r="A741" s="136"/>
      <c r="B741" s="137"/>
      <c r="C741" s="251"/>
      <c r="D741" s="452"/>
      <c r="E741" s="136"/>
      <c r="F741" s="253"/>
      <c r="G741" s="527"/>
      <c r="H741" s="141"/>
      <c r="I741" s="141"/>
      <c r="J741" s="142"/>
      <c r="K741" s="142"/>
      <c r="L741" s="142"/>
      <c r="M741" s="142"/>
      <c r="N741" s="136"/>
      <c r="O741" s="34"/>
      <c r="P741" s="35"/>
      <c r="Q741" s="35"/>
      <c r="R741" s="35"/>
      <c r="S741" s="35"/>
      <c r="T741" s="35"/>
      <c r="U741" s="35"/>
      <c r="V741" s="35"/>
      <c r="W741" s="35"/>
      <c r="X741" s="35"/>
      <c r="Y741" s="35"/>
    </row>
    <row r="742" ht="14.25" customHeight="1">
      <c r="A742" s="136"/>
      <c r="B742" s="137"/>
      <c r="C742" s="251"/>
      <c r="D742" s="452"/>
      <c r="E742" s="136"/>
      <c r="F742" s="253"/>
      <c r="G742" s="527"/>
      <c r="H742" s="141"/>
      <c r="I742" s="141"/>
      <c r="J742" s="142"/>
      <c r="K742" s="142"/>
      <c r="L742" s="142"/>
      <c r="M742" s="142"/>
      <c r="N742" s="136"/>
      <c r="O742" s="34"/>
      <c r="P742" s="35"/>
      <c r="Q742" s="35"/>
      <c r="R742" s="35"/>
      <c r="S742" s="35"/>
      <c r="T742" s="35"/>
      <c r="U742" s="35"/>
      <c r="V742" s="35"/>
      <c r="W742" s="35"/>
      <c r="X742" s="35"/>
      <c r="Y742" s="35"/>
    </row>
    <row r="743" ht="14.25" customHeight="1">
      <c r="A743" s="136"/>
      <c r="B743" s="137"/>
      <c r="C743" s="251"/>
      <c r="D743" s="452"/>
      <c r="E743" s="136"/>
      <c r="F743" s="253"/>
      <c r="G743" s="527"/>
      <c r="H743" s="141"/>
      <c r="I743" s="141"/>
      <c r="J743" s="142"/>
      <c r="K743" s="142"/>
      <c r="L743" s="142"/>
      <c r="M743" s="142"/>
      <c r="N743" s="136"/>
      <c r="O743" s="34"/>
      <c r="P743" s="35"/>
      <c r="Q743" s="35"/>
      <c r="R743" s="35"/>
      <c r="S743" s="35"/>
      <c r="T743" s="35"/>
      <c r="U743" s="35"/>
      <c r="V743" s="35"/>
      <c r="W743" s="35"/>
      <c r="X743" s="35"/>
      <c r="Y743" s="35"/>
    </row>
    <row r="744" ht="14.25" customHeight="1">
      <c r="A744" s="136"/>
      <c r="B744" s="137"/>
      <c r="C744" s="251"/>
      <c r="D744" s="452"/>
      <c r="E744" s="136"/>
      <c r="F744" s="253"/>
      <c r="G744" s="527"/>
      <c r="H744" s="141"/>
      <c r="I744" s="141"/>
      <c r="J744" s="142"/>
      <c r="K744" s="142"/>
      <c r="L744" s="142"/>
      <c r="M744" s="142"/>
      <c r="N744" s="136"/>
      <c r="O744" s="34"/>
      <c r="P744" s="35"/>
      <c r="Q744" s="35"/>
      <c r="R744" s="35"/>
      <c r="S744" s="35"/>
      <c r="T744" s="35"/>
      <c r="U744" s="35"/>
      <c r="V744" s="35"/>
      <c r="W744" s="35"/>
      <c r="X744" s="35"/>
      <c r="Y744" s="35"/>
    </row>
    <row r="745" ht="14.25" customHeight="1">
      <c r="A745" s="136"/>
      <c r="B745" s="137"/>
      <c r="C745" s="251"/>
      <c r="D745" s="452"/>
      <c r="E745" s="136"/>
      <c r="F745" s="253"/>
      <c r="G745" s="527"/>
      <c r="H745" s="141"/>
      <c r="I745" s="141"/>
      <c r="J745" s="142"/>
      <c r="K745" s="142"/>
      <c r="L745" s="142"/>
      <c r="M745" s="142"/>
      <c r="N745" s="136"/>
      <c r="O745" s="34"/>
      <c r="P745" s="35"/>
      <c r="Q745" s="35"/>
      <c r="R745" s="35"/>
      <c r="S745" s="35"/>
      <c r="T745" s="35"/>
      <c r="U745" s="35"/>
      <c r="V745" s="35"/>
      <c r="W745" s="35"/>
      <c r="X745" s="35"/>
      <c r="Y745" s="35"/>
    </row>
    <row r="746" ht="14.25" customHeight="1">
      <c r="A746" s="136"/>
      <c r="B746" s="137"/>
      <c r="C746" s="251"/>
      <c r="D746" s="452"/>
      <c r="E746" s="136"/>
      <c r="F746" s="253"/>
      <c r="G746" s="527"/>
      <c r="H746" s="141"/>
      <c r="I746" s="141"/>
      <c r="J746" s="142"/>
      <c r="K746" s="142"/>
      <c r="L746" s="142"/>
      <c r="M746" s="142"/>
      <c r="N746" s="136"/>
      <c r="O746" s="34"/>
      <c r="P746" s="35"/>
      <c r="Q746" s="35"/>
      <c r="R746" s="35"/>
      <c r="S746" s="35"/>
      <c r="T746" s="35"/>
      <c r="U746" s="35"/>
      <c r="V746" s="35"/>
      <c r="W746" s="35"/>
      <c r="X746" s="35"/>
      <c r="Y746" s="35"/>
    </row>
    <row r="747" ht="14.25" customHeight="1">
      <c r="A747" s="136"/>
      <c r="B747" s="137"/>
      <c r="C747" s="251"/>
      <c r="D747" s="452"/>
      <c r="E747" s="136"/>
      <c r="F747" s="253"/>
      <c r="G747" s="527"/>
      <c r="H747" s="141"/>
      <c r="I747" s="141"/>
      <c r="J747" s="142"/>
      <c r="K747" s="142"/>
      <c r="L747" s="142"/>
      <c r="M747" s="142"/>
      <c r="N747" s="136"/>
      <c r="O747" s="34"/>
      <c r="P747" s="35"/>
      <c r="Q747" s="35"/>
      <c r="R747" s="35"/>
      <c r="S747" s="35"/>
      <c r="T747" s="35"/>
      <c r="U747" s="35"/>
      <c r="V747" s="35"/>
      <c r="W747" s="35"/>
      <c r="X747" s="35"/>
      <c r="Y747" s="35"/>
    </row>
    <row r="748" ht="14.25" customHeight="1">
      <c r="A748" s="136"/>
      <c r="B748" s="137"/>
      <c r="C748" s="251"/>
      <c r="D748" s="452"/>
      <c r="E748" s="136"/>
      <c r="F748" s="253"/>
      <c r="G748" s="527"/>
      <c r="H748" s="141"/>
      <c r="I748" s="141"/>
      <c r="J748" s="142"/>
      <c r="K748" s="142"/>
      <c r="L748" s="142"/>
      <c r="M748" s="142"/>
      <c r="N748" s="136"/>
      <c r="O748" s="34"/>
      <c r="P748" s="35"/>
      <c r="Q748" s="35"/>
      <c r="R748" s="35"/>
      <c r="S748" s="35"/>
      <c r="T748" s="35"/>
      <c r="U748" s="35"/>
      <c r="V748" s="35"/>
      <c r="W748" s="35"/>
      <c r="X748" s="35"/>
      <c r="Y748" s="35"/>
    </row>
    <row r="749" ht="14.25" customHeight="1">
      <c r="A749" s="136"/>
      <c r="B749" s="137"/>
      <c r="C749" s="251"/>
      <c r="D749" s="452"/>
      <c r="E749" s="136"/>
      <c r="F749" s="253"/>
      <c r="G749" s="527"/>
      <c r="H749" s="141"/>
      <c r="I749" s="141"/>
      <c r="J749" s="142"/>
      <c r="K749" s="142"/>
      <c r="L749" s="142"/>
      <c r="M749" s="142"/>
      <c r="N749" s="136"/>
      <c r="O749" s="34"/>
      <c r="P749" s="35"/>
      <c r="Q749" s="35"/>
      <c r="R749" s="35"/>
      <c r="S749" s="35"/>
      <c r="T749" s="35"/>
      <c r="U749" s="35"/>
      <c r="V749" s="35"/>
      <c r="W749" s="35"/>
      <c r="X749" s="35"/>
      <c r="Y749" s="35"/>
    </row>
    <row r="750" ht="14.25" customHeight="1">
      <c r="A750" s="136"/>
      <c r="B750" s="137"/>
      <c r="C750" s="251"/>
      <c r="D750" s="452"/>
      <c r="E750" s="136"/>
      <c r="F750" s="253"/>
      <c r="G750" s="527"/>
      <c r="H750" s="141"/>
      <c r="I750" s="141"/>
      <c r="J750" s="142"/>
      <c r="K750" s="142"/>
      <c r="L750" s="142"/>
      <c r="M750" s="142"/>
      <c r="N750" s="136"/>
      <c r="O750" s="34"/>
      <c r="P750" s="35"/>
      <c r="Q750" s="35"/>
      <c r="R750" s="35"/>
      <c r="S750" s="35"/>
      <c r="T750" s="35"/>
      <c r="U750" s="35"/>
      <c r="V750" s="35"/>
      <c r="W750" s="35"/>
      <c r="X750" s="35"/>
      <c r="Y750" s="35"/>
    </row>
    <row r="751" ht="14.25" customHeight="1">
      <c r="A751" s="136"/>
      <c r="B751" s="137"/>
      <c r="C751" s="251"/>
      <c r="D751" s="452"/>
      <c r="E751" s="136"/>
      <c r="F751" s="253"/>
      <c r="G751" s="527"/>
      <c r="H751" s="141"/>
      <c r="I751" s="141"/>
      <c r="J751" s="142"/>
      <c r="K751" s="142"/>
      <c r="L751" s="142"/>
      <c r="M751" s="142"/>
      <c r="N751" s="136"/>
      <c r="O751" s="34"/>
      <c r="P751" s="35"/>
      <c r="Q751" s="35"/>
      <c r="R751" s="35"/>
      <c r="S751" s="35"/>
      <c r="T751" s="35"/>
      <c r="U751" s="35"/>
      <c r="V751" s="35"/>
      <c r="W751" s="35"/>
      <c r="X751" s="35"/>
      <c r="Y751" s="35"/>
    </row>
    <row r="752" ht="14.25" customHeight="1">
      <c r="A752" s="136"/>
      <c r="B752" s="137"/>
      <c r="C752" s="251"/>
      <c r="D752" s="452"/>
      <c r="E752" s="136"/>
      <c r="F752" s="253"/>
      <c r="G752" s="527"/>
      <c r="H752" s="141"/>
      <c r="I752" s="141"/>
      <c r="J752" s="142"/>
      <c r="K752" s="142"/>
      <c r="L752" s="142"/>
      <c r="M752" s="142"/>
      <c r="N752" s="136"/>
      <c r="O752" s="34"/>
      <c r="P752" s="35"/>
      <c r="Q752" s="35"/>
      <c r="R752" s="35"/>
      <c r="S752" s="35"/>
      <c r="T752" s="35"/>
      <c r="U752" s="35"/>
      <c r="V752" s="35"/>
      <c r="W752" s="35"/>
      <c r="X752" s="35"/>
      <c r="Y752" s="35"/>
    </row>
    <row r="753" ht="14.25" customHeight="1">
      <c r="A753" s="136"/>
      <c r="B753" s="137"/>
      <c r="C753" s="251"/>
      <c r="D753" s="452"/>
      <c r="E753" s="136"/>
      <c r="F753" s="253"/>
      <c r="G753" s="527"/>
      <c r="H753" s="141"/>
      <c r="I753" s="141"/>
      <c r="J753" s="142"/>
      <c r="K753" s="142"/>
      <c r="L753" s="142"/>
      <c r="M753" s="142"/>
      <c r="N753" s="136"/>
      <c r="O753" s="34"/>
      <c r="P753" s="35"/>
      <c r="Q753" s="35"/>
      <c r="R753" s="35"/>
      <c r="S753" s="35"/>
      <c r="T753" s="35"/>
      <c r="U753" s="35"/>
      <c r="V753" s="35"/>
      <c r="W753" s="35"/>
      <c r="X753" s="35"/>
      <c r="Y753" s="35"/>
    </row>
    <row r="754" ht="14.25" customHeight="1">
      <c r="A754" s="136"/>
      <c r="B754" s="137"/>
      <c r="C754" s="251"/>
      <c r="D754" s="452"/>
      <c r="E754" s="136"/>
      <c r="F754" s="253"/>
      <c r="G754" s="527"/>
      <c r="H754" s="141"/>
      <c r="I754" s="141"/>
      <c r="J754" s="142"/>
      <c r="K754" s="142"/>
      <c r="L754" s="142"/>
      <c r="M754" s="142"/>
      <c r="N754" s="136"/>
      <c r="O754" s="34"/>
      <c r="P754" s="35"/>
      <c r="Q754" s="35"/>
      <c r="R754" s="35"/>
      <c r="S754" s="35"/>
      <c r="T754" s="35"/>
      <c r="U754" s="35"/>
      <c r="V754" s="35"/>
      <c r="W754" s="35"/>
      <c r="X754" s="35"/>
      <c r="Y754" s="35"/>
    </row>
    <row r="755" ht="14.25" customHeight="1">
      <c r="A755" s="136"/>
      <c r="B755" s="137"/>
      <c r="C755" s="251"/>
      <c r="D755" s="452"/>
      <c r="E755" s="136"/>
      <c r="F755" s="253"/>
      <c r="G755" s="527"/>
      <c r="H755" s="141"/>
      <c r="I755" s="141"/>
      <c r="J755" s="142"/>
      <c r="K755" s="142"/>
      <c r="L755" s="142"/>
      <c r="M755" s="142"/>
      <c r="N755" s="136"/>
      <c r="O755" s="34"/>
      <c r="P755" s="35"/>
      <c r="Q755" s="35"/>
      <c r="R755" s="35"/>
      <c r="S755" s="35"/>
      <c r="T755" s="35"/>
      <c r="U755" s="35"/>
      <c r="V755" s="35"/>
      <c r="W755" s="35"/>
      <c r="X755" s="35"/>
      <c r="Y755" s="35"/>
    </row>
    <row r="756" ht="14.25" customHeight="1">
      <c r="A756" s="136"/>
      <c r="B756" s="137"/>
      <c r="C756" s="251"/>
      <c r="D756" s="452"/>
      <c r="E756" s="136"/>
      <c r="F756" s="253"/>
      <c r="G756" s="527"/>
      <c r="H756" s="141"/>
      <c r="I756" s="141"/>
      <c r="J756" s="142"/>
      <c r="K756" s="142"/>
      <c r="L756" s="142"/>
      <c r="M756" s="142"/>
      <c r="N756" s="136"/>
      <c r="O756" s="34"/>
      <c r="P756" s="35"/>
      <c r="Q756" s="35"/>
      <c r="R756" s="35"/>
      <c r="S756" s="35"/>
      <c r="T756" s="35"/>
      <c r="U756" s="35"/>
      <c r="V756" s="35"/>
      <c r="W756" s="35"/>
      <c r="X756" s="35"/>
      <c r="Y756" s="35"/>
    </row>
    <row r="757" ht="14.25" customHeight="1">
      <c r="A757" s="136"/>
      <c r="B757" s="137"/>
      <c r="C757" s="251"/>
      <c r="D757" s="452"/>
      <c r="E757" s="136"/>
      <c r="F757" s="253"/>
      <c r="G757" s="527"/>
      <c r="H757" s="141"/>
      <c r="I757" s="141"/>
      <c r="J757" s="142"/>
      <c r="K757" s="142"/>
      <c r="L757" s="142"/>
      <c r="M757" s="142"/>
      <c r="N757" s="136"/>
      <c r="O757" s="34"/>
      <c r="P757" s="35"/>
      <c r="Q757" s="35"/>
      <c r="R757" s="35"/>
      <c r="S757" s="35"/>
      <c r="T757" s="35"/>
      <c r="U757" s="35"/>
      <c r="V757" s="35"/>
      <c r="W757" s="35"/>
      <c r="X757" s="35"/>
      <c r="Y757" s="35"/>
    </row>
    <row r="758" ht="14.25" customHeight="1">
      <c r="A758" s="136"/>
      <c r="B758" s="137"/>
      <c r="C758" s="251"/>
      <c r="D758" s="452"/>
      <c r="E758" s="136"/>
      <c r="F758" s="253"/>
      <c r="G758" s="527"/>
      <c r="H758" s="141"/>
      <c r="I758" s="141"/>
      <c r="J758" s="142"/>
      <c r="K758" s="142"/>
      <c r="L758" s="142"/>
      <c r="M758" s="142"/>
      <c r="N758" s="136"/>
      <c r="O758" s="34"/>
      <c r="P758" s="35"/>
      <c r="Q758" s="35"/>
      <c r="R758" s="35"/>
      <c r="S758" s="35"/>
      <c r="T758" s="35"/>
      <c r="U758" s="35"/>
      <c r="V758" s="35"/>
      <c r="W758" s="35"/>
      <c r="X758" s="35"/>
      <c r="Y758" s="35"/>
    </row>
    <row r="759" ht="14.25" customHeight="1">
      <c r="A759" s="136"/>
      <c r="B759" s="137"/>
      <c r="C759" s="251"/>
      <c r="D759" s="452"/>
      <c r="E759" s="136"/>
      <c r="F759" s="253"/>
      <c r="G759" s="527"/>
      <c r="H759" s="141"/>
      <c r="I759" s="141"/>
      <c r="J759" s="142"/>
      <c r="K759" s="142"/>
      <c r="L759" s="142"/>
      <c r="M759" s="142"/>
      <c r="N759" s="136"/>
      <c r="O759" s="34"/>
      <c r="P759" s="35"/>
      <c r="Q759" s="35"/>
      <c r="R759" s="35"/>
      <c r="S759" s="35"/>
      <c r="T759" s="35"/>
      <c r="U759" s="35"/>
      <c r="V759" s="35"/>
      <c r="W759" s="35"/>
      <c r="X759" s="35"/>
      <c r="Y759" s="35"/>
    </row>
    <row r="760" ht="14.25" customHeight="1">
      <c r="A760" s="136"/>
      <c r="B760" s="137"/>
      <c r="C760" s="251"/>
      <c r="D760" s="452"/>
      <c r="E760" s="136"/>
      <c r="F760" s="253"/>
      <c r="G760" s="527"/>
      <c r="H760" s="141"/>
      <c r="I760" s="141"/>
      <c r="J760" s="142"/>
      <c r="K760" s="142"/>
      <c r="L760" s="142"/>
      <c r="M760" s="142"/>
      <c r="N760" s="136"/>
      <c r="O760" s="34"/>
      <c r="P760" s="35"/>
      <c r="Q760" s="35"/>
      <c r="R760" s="35"/>
      <c r="S760" s="35"/>
      <c r="T760" s="35"/>
      <c r="U760" s="35"/>
      <c r="V760" s="35"/>
      <c r="W760" s="35"/>
      <c r="X760" s="35"/>
      <c r="Y760" s="35"/>
    </row>
    <row r="761" ht="14.25" customHeight="1">
      <c r="A761" s="136"/>
      <c r="B761" s="137"/>
      <c r="C761" s="251"/>
      <c r="D761" s="452"/>
      <c r="E761" s="136"/>
      <c r="F761" s="253"/>
      <c r="G761" s="527"/>
      <c r="H761" s="141"/>
      <c r="I761" s="141"/>
      <c r="J761" s="142"/>
      <c r="K761" s="142"/>
      <c r="L761" s="142"/>
      <c r="M761" s="142"/>
      <c r="N761" s="136"/>
      <c r="O761" s="34"/>
      <c r="P761" s="35"/>
      <c r="Q761" s="35"/>
      <c r="R761" s="35"/>
      <c r="S761" s="35"/>
      <c r="T761" s="35"/>
      <c r="U761" s="35"/>
      <c r="V761" s="35"/>
      <c r="W761" s="35"/>
      <c r="X761" s="35"/>
      <c r="Y761" s="35"/>
    </row>
    <row r="762" ht="14.25" customHeight="1">
      <c r="A762" s="136"/>
      <c r="B762" s="137"/>
      <c r="C762" s="251"/>
      <c r="D762" s="452"/>
      <c r="E762" s="136"/>
      <c r="F762" s="253"/>
      <c r="G762" s="527"/>
      <c r="H762" s="141"/>
      <c r="I762" s="141"/>
      <c r="J762" s="142"/>
      <c r="K762" s="142"/>
      <c r="L762" s="142"/>
      <c r="M762" s="142"/>
      <c r="N762" s="136"/>
      <c r="O762" s="34"/>
      <c r="P762" s="35"/>
      <c r="Q762" s="35"/>
      <c r="R762" s="35"/>
      <c r="S762" s="35"/>
      <c r="T762" s="35"/>
      <c r="U762" s="35"/>
      <c r="V762" s="35"/>
      <c r="W762" s="35"/>
      <c r="X762" s="35"/>
      <c r="Y762" s="35"/>
    </row>
    <row r="763" ht="14.25" customHeight="1">
      <c r="A763" s="136"/>
      <c r="B763" s="137"/>
      <c r="C763" s="251"/>
      <c r="D763" s="452"/>
      <c r="E763" s="136"/>
      <c r="F763" s="253"/>
      <c r="G763" s="527"/>
      <c r="H763" s="141"/>
      <c r="I763" s="141"/>
      <c r="J763" s="142"/>
      <c r="K763" s="142"/>
      <c r="L763" s="142"/>
      <c r="M763" s="142"/>
      <c r="N763" s="136"/>
      <c r="O763" s="34"/>
      <c r="P763" s="35"/>
      <c r="Q763" s="35"/>
      <c r="R763" s="35"/>
      <c r="S763" s="35"/>
      <c r="T763" s="35"/>
      <c r="U763" s="35"/>
      <c r="V763" s="35"/>
      <c r="W763" s="35"/>
      <c r="X763" s="35"/>
      <c r="Y763" s="35"/>
    </row>
    <row r="764" ht="14.25" customHeight="1">
      <c r="A764" s="136"/>
      <c r="B764" s="137"/>
      <c r="C764" s="251"/>
      <c r="D764" s="452"/>
      <c r="E764" s="136"/>
      <c r="F764" s="253"/>
      <c r="G764" s="527"/>
      <c r="H764" s="141"/>
      <c r="I764" s="141"/>
      <c r="J764" s="142"/>
      <c r="K764" s="142"/>
      <c r="L764" s="142"/>
      <c r="M764" s="142"/>
      <c r="N764" s="136"/>
      <c r="O764" s="34"/>
      <c r="P764" s="35"/>
      <c r="Q764" s="35"/>
      <c r="R764" s="35"/>
      <c r="S764" s="35"/>
      <c r="T764" s="35"/>
      <c r="U764" s="35"/>
      <c r="V764" s="35"/>
      <c r="W764" s="35"/>
      <c r="X764" s="35"/>
      <c r="Y764" s="35"/>
    </row>
    <row r="765" ht="14.25" customHeight="1">
      <c r="A765" s="136"/>
      <c r="B765" s="137"/>
      <c r="C765" s="251"/>
      <c r="D765" s="452"/>
      <c r="E765" s="136"/>
      <c r="F765" s="253"/>
      <c r="G765" s="527"/>
      <c r="H765" s="141"/>
      <c r="I765" s="141"/>
      <c r="J765" s="142"/>
      <c r="K765" s="142"/>
      <c r="L765" s="142"/>
      <c r="M765" s="142"/>
      <c r="N765" s="136"/>
      <c r="O765" s="34"/>
      <c r="P765" s="35"/>
      <c r="Q765" s="35"/>
      <c r="R765" s="35"/>
      <c r="S765" s="35"/>
      <c r="T765" s="35"/>
      <c r="U765" s="35"/>
      <c r="V765" s="35"/>
      <c r="W765" s="35"/>
      <c r="X765" s="35"/>
      <c r="Y765" s="35"/>
    </row>
    <row r="766" ht="14.25" customHeight="1">
      <c r="A766" s="136"/>
      <c r="B766" s="137"/>
      <c r="C766" s="251"/>
      <c r="D766" s="452"/>
      <c r="E766" s="136"/>
      <c r="F766" s="253"/>
      <c r="G766" s="527"/>
      <c r="H766" s="141"/>
      <c r="I766" s="141"/>
      <c r="J766" s="142"/>
      <c r="K766" s="142"/>
      <c r="L766" s="142"/>
      <c r="M766" s="142"/>
      <c r="N766" s="136"/>
      <c r="O766" s="34"/>
      <c r="P766" s="35"/>
      <c r="Q766" s="35"/>
      <c r="R766" s="35"/>
      <c r="S766" s="35"/>
      <c r="T766" s="35"/>
      <c r="U766" s="35"/>
      <c r="V766" s="35"/>
      <c r="W766" s="35"/>
      <c r="X766" s="35"/>
      <c r="Y766" s="35"/>
    </row>
    <row r="767" ht="14.25" customHeight="1">
      <c r="A767" s="136"/>
      <c r="B767" s="137"/>
      <c r="C767" s="251"/>
      <c r="D767" s="452"/>
      <c r="E767" s="136"/>
      <c r="F767" s="253"/>
      <c r="G767" s="527"/>
      <c r="H767" s="141"/>
      <c r="I767" s="141"/>
      <c r="J767" s="142"/>
      <c r="K767" s="142"/>
      <c r="L767" s="142"/>
      <c r="M767" s="142"/>
      <c r="N767" s="136"/>
      <c r="O767" s="34"/>
      <c r="P767" s="35"/>
      <c r="Q767" s="35"/>
      <c r="R767" s="35"/>
      <c r="S767" s="35"/>
      <c r="T767" s="35"/>
      <c r="U767" s="35"/>
      <c r="V767" s="35"/>
      <c r="W767" s="35"/>
      <c r="X767" s="35"/>
      <c r="Y767" s="35"/>
    </row>
    <row r="768" ht="14.25" customHeight="1">
      <c r="A768" s="136"/>
      <c r="B768" s="137"/>
      <c r="C768" s="251"/>
      <c r="D768" s="452"/>
      <c r="E768" s="136"/>
      <c r="F768" s="253"/>
      <c r="G768" s="527"/>
      <c r="H768" s="141"/>
      <c r="I768" s="141"/>
      <c r="J768" s="142"/>
      <c r="K768" s="142"/>
      <c r="L768" s="142"/>
      <c r="M768" s="142"/>
      <c r="N768" s="136"/>
      <c r="O768" s="34"/>
      <c r="P768" s="35"/>
      <c r="Q768" s="35"/>
      <c r="R768" s="35"/>
      <c r="S768" s="35"/>
      <c r="T768" s="35"/>
      <c r="U768" s="35"/>
      <c r="V768" s="35"/>
      <c r="W768" s="35"/>
      <c r="X768" s="35"/>
      <c r="Y768" s="35"/>
    </row>
    <row r="769" ht="14.25" customHeight="1">
      <c r="A769" s="136"/>
      <c r="B769" s="137"/>
      <c r="C769" s="251"/>
      <c r="D769" s="452"/>
      <c r="E769" s="136"/>
      <c r="F769" s="253"/>
      <c r="G769" s="527"/>
      <c r="H769" s="141"/>
      <c r="I769" s="141"/>
      <c r="J769" s="142"/>
      <c r="K769" s="142"/>
      <c r="L769" s="142"/>
      <c r="M769" s="142"/>
      <c r="N769" s="136"/>
      <c r="O769" s="34"/>
      <c r="P769" s="35"/>
      <c r="Q769" s="35"/>
      <c r="R769" s="35"/>
      <c r="S769" s="35"/>
      <c r="T769" s="35"/>
      <c r="U769" s="35"/>
      <c r="V769" s="35"/>
      <c r="W769" s="35"/>
      <c r="X769" s="35"/>
      <c r="Y769" s="35"/>
    </row>
    <row r="770" ht="14.25" customHeight="1">
      <c r="A770" s="136"/>
      <c r="B770" s="137"/>
      <c r="C770" s="251"/>
      <c r="D770" s="452"/>
      <c r="E770" s="136"/>
      <c r="F770" s="253"/>
      <c r="G770" s="527"/>
      <c r="H770" s="141"/>
      <c r="I770" s="141"/>
      <c r="J770" s="142"/>
      <c r="K770" s="142"/>
      <c r="L770" s="142"/>
      <c r="M770" s="142"/>
      <c r="N770" s="136"/>
      <c r="O770" s="34"/>
      <c r="P770" s="35"/>
      <c r="Q770" s="35"/>
      <c r="R770" s="35"/>
      <c r="S770" s="35"/>
      <c r="T770" s="35"/>
      <c r="U770" s="35"/>
      <c r="V770" s="35"/>
      <c r="W770" s="35"/>
      <c r="X770" s="35"/>
      <c r="Y770" s="35"/>
    </row>
    <row r="771" ht="14.25" customHeight="1">
      <c r="A771" s="136"/>
      <c r="B771" s="137"/>
      <c r="C771" s="251"/>
      <c r="D771" s="452"/>
      <c r="E771" s="136"/>
      <c r="F771" s="253"/>
      <c r="G771" s="527"/>
      <c r="H771" s="141"/>
      <c r="I771" s="141"/>
      <c r="J771" s="142"/>
      <c r="K771" s="142"/>
      <c r="L771" s="142"/>
      <c r="M771" s="142"/>
      <c r="N771" s="136"/>
      <c r="O771" s="34"/>
      <c r="P771" s="35"/>
      <c r="Q771" s="35"/>
      <c r="R771" s="35"/>
      <c r="S771" s="35"/>
      <c r="T771" s="35"/>
      <c r="U771" s="35"/>
      <c r="V771" s="35"/>
      <c r="W771" s="35"/>
      <c r="X771" s="35"/>
      <c r="Y771" s="35"/>
    </row>
    <row r="772" ht="14.25" customHeight="1">
      <c r="A772" s="136"/>
      <c r="B772" s="137"/>
      <c r="C772" s="251"/>
      <c r="D772" s="452"/>
      <c r="E772" s="136"/>
      <c r="F772" s="253"/>
      <c r="G772" s="527"/>
      <c r="H772" s="141"/>
      <c r="I772" s="141"/>
      <c r="J772" s="142"/>
      <c r="K772" s="142"/>
      <c r="L772" s="142"/>
      <c r="M772" s="142"/>
      <c r="N772" s="136"/>
      <c r="O772" s="34"/>
      <c r="P772" s="35"/>
      <c r="Q772" s="35"/>
      <c r="R772" s="35"/>
      <c r="S772" s="35"/>
      <c r="T772" s="35"/>
      <c r="U772" s="35"/>
      <c r="V772" s="35"/>
      <c r="W772" s="35"/>
      <c r="X772" s="35"/>
      <c r="Y772" s="35"/>
    </row>
    <row r="773" ht="14.25" customHeight="1">
      <c r="A773" s="136"/>
      <c r="B773" s="137"/>
      <c r="C773" s="251"/>
      <c r="D773" s="452"/>
      <c r="E773" s="136"/>
      <c r="F773" s="253"/>
      <c r="G773" s="527"/>
      <c r="H773" s="141"/>
      <c r="I773" s="141"/>
      <c r="J773" s="142"/>
      <c r="K773" s="142"/>
      <c r="L773" s="142"/>
      <c r="M773" s="142"/>
      <c r="N773" s="136"/>
      <c r="O773" s="34"/>
      <c r="P773" s="35"/>
      <c r="Q773" s="35"/>
      <c r="R773" s="35"/>
      <c r="S773" s="35"/>
      <c r="T773" s="35"/>
      <c r="U773" s="35"/>
      <c r="V773" s="35"/>
      <c r="W773" s="35"/>
      <c r="X773" s="35"/>
      <c r="Y773" s="35"/>
    </row>
    <row r="774" ht="14.25" customHeight="1">
      <c r="A774" s="136"/>
      <c r="B774" s="137"/>
      <c r="C774" s="251"/>
      <c r="D774" s="452"/>
      <c r="E774" s="136"/>
      <c r="F774" s="253"/>
      <c r="G774" s="527"/>
      <c r="H774" s="141"/>
      <c r="I774" s="141"/>
      <c r="J774" s="142"/>
      <c r="K774" s="142"/>
      <c r="L774" s="142"/>
      <c r="M774" s="142"/>
      <c r="N774" s="136"/>
      <c r="O774" s="34"/>
      <c r="P774" s="35"/>
      <c r="Q774" s="35"/>
      <c r="R774" s="35"/>
      <c r="S774" s="35"/>
      <c r="T774" s="35"/>
      <c r="U774" s="35"/>
      <c r="V774" s="35"/>
      <c r="W774" s="35"/>
      <c r="X774" s="35"/>
      <c r="Y774" s="35"/>
    </row>
    <row r="775" ht="14.25" customHeight="1">
      <c r="A775" s="136"/>
      <c r="B775" s="137"/>
      <c r="C775" s="251"/>
      <c r="D775" s="452"/>
      <c r="E775" s="136"/>
      <c r="F775" s="253"/>
      <c r="G775" s="527"/>
      <c r="H775" s="141"/>
      <c r="I775" s="141"/>
      <c r="J775" s="142"/>
      <c r="K775" s="142"/>
      <c r="L775" s="142"/>
      <c r="M775" s="142"/>
      <c r="N775" s="136"/>
      <c r="O775" s="34"/>
      <c r="P775" s="35"/>
      <c r="Q775" s="35"/>
      <c r="R775" s="35"/>
      <c r="S775" s="35"/>
      <c r="T775" s="35"/>
      <c r="U775" s="35"/>
      <c r="V775" s="35"/>
      <c r="W775" s="35"/>
      <c r="X775" s="35"/>
      <c r="Y775" s="35"/>
    </row>
    <row r="776" ht="14.25" customHeight="1">
      <c r="A776" s="136"/>
      <c r="B776" s="137"/>
      <c r="C776" s="251"/>
      <c r="D776" s="452"/>
      <c r="E776" s="136"/>
      <c r="F776" s="253"/>
      <c r="G776" s="527"/>
      <c r="H776" s="141"/>
      <c r="I776" s="141"/>
      <c r="J776" s="142"/>
      <c r="K776" s="142"/>
      <c r="L776" s="142"/>
      <c r="M776" s="142"/>
      <c r="N776" s="136"/>
      <c r="O776" s="34"/>
      <c r="P776" s="35"/>
      <c r="Q776" s="35"/>
      <c r="R776" s="35"/>
      <c r="S776" s="35"/>
      <c r="T776" s="35"/>
      <c r="U776" s="35"/>
      <c r="V776" s="35"/>
      <c r="W776" s="35"/>
      <c r="X776" s="35"/>
      <c r="Y776" s="35"/>
    </row>
    <row r="777" ht="14.25" customHeight="1">
      <c r="A777" s="136"/>
      <c r="B777" s="137"/>
      <c r="C777" s="251"/>
      <c r="D777" s="452"/>
      <c r="E777" s="136"/>
      <c r="F777" s="253"/>
      <c r="G777" s="527"/>
      <c r="H777" s="141"/>
      <c r="I777" s="141"/>
      <c r="J777" s="142"/>
      <c r="K777" s="142"/>
      <c r="L777" s="142"/>
      <c r="M777" s="142"/>
      <c r="N777" s="136"/>
      <c r="O777" s="34"/>
      <c r="P777" s="35"/>
      <c r="Q777" s="35"/>
      <c r="R777" s="35"/>
      <c r="S777" s="35"/>
      <c r="T777" s="35"/>
      <c r="U777" s="35"/>
      <c r="V777" s="35"/>
      <c r="W777" s="35"/>
      <c r="X777" s="35"/>
      <c r="Y777" s="35"/>
    </row>
    <row r="778" ht="14.25" customHeight="1">
      <c r="A778" s="136"/>
      <c r="B778" s="137"/>
      <c r="C778" s="251"/>
      <c r="D778" s="452"/>
      <c r="E778" s="136"/>
      <c r="F778" s="253"/>
      <c r="G778" s="527"/>
      <c r="H778" s="141"/>
      <c r="I778" s="141"/>
      <c r="J778" s="142"/>
      <c r="K778" s="142"/>
      <c r="L778" s="142"/>
      <c r="M778" s="142"/>
      <c r="N778" s="136"/>
      <c r="O778" s="34"/>
      <c r="P778" s="35"/>
      <c r="Q778" s="35"/>
      <c r="R778" s="35"/>
      <c r="S778" s="35"/>
      <c r="T778" s="35"/>
      <c r="U778" s="35"/>
      <c r="V778" s="35"/>
      <c r="W778" s="35"/>
      <c r="X778" s="35"/>
      <c r="Y778" s="35"/>
    </row>
    <row r="779" ht="14.25" customHeight="1">
      <c r="A779" s="136"/>
      <c r="B779" s="137"/>
      <c r="C779" s="251"/>
      <c r="D779" s="452"/>
      <c r="E779" s="136"/>
      <c r="F779" s="253"/>
      <c r="G779" s="527"/>
      <c r="H779" s="141"/>
      <c r="I779" s="141"/>
      <c r="J779" s="142"/>
      <c r="K779" s="142"/>
      <c r="L779" s="142"/>
      <c r="M779" s="142"/>
      <c r="N779" s="136"/>
      <c r="O779" s="34"/>
      <c r="P779" s="35"/>
      <c r="Q779" s="35"/>
      <c r="R779" s="35"/>
      <c r="S779" s="35"/>
      <c r="T779" s="35"/>
      <c r="U779" s="35"/>
      <c r="V779" s="35"/>
      <c r="W779" s="35"/>
      <c r="X779" s="35"/>
      <c r="Y779" s="35"/>
    </row>
    <row r="780" ht="14.25" customHeight="1">
      <c r="A780" s="136"/>
      <c r="B780" s="137"/>
      <c r="C780" s="251"/>
      <c r="D780" s="452"/>
      <c r="E780" s="136"/>
      <c r="F780" s="253"/>
      <c r="G780" s="527"/>
      <c r="H780" s="141"/>
      <c r="I780" s="141"/>
      <c r="J780" s="142"/>
      <c r="K780" s="142"/>
      <c r="L780" s="142"/>
      <c r="M780" s="142"/>
      <c r="N780" s="136"/>
      <c r="O780" s="34"/>
      <c r="P780" s="35"/>
      <c r="Q780" s="35"/>
      <c r="R780" s="35"/>
      <c r="S780" s="35"/>
      <c r="T780" s="35"/>
      <c r="U780" s="35"/>
      <c r="V780" s="35"/>
      <c r="W780" s="35"/>
      <c r="X780" s="35"/>
      <c r="Y780" s="35"/>
    </row>
    <row r="781" ht="14.25" customHeight="1">
      <c r="A781" s="136"/>
      <c r="B781" s="137"/>
      <c r="C781" s="251"/>
      <c r="D781" s="452"/>
      <c r="E781" s="136"/>
      <c r="F781" s="253"/>
      <c r="G781" s="527"/>
      <c r="H781" s="141"/>
      <c r="I781" s="141"/>
      <c r="J781" s="142"/>
      <c r="K781" s="142"/>
      <c r="L781" s="142"/>
      <c r="M781" s="142"/>
      <c r="N781" s="136"/>
      <c r="O781" s="34"/>
      <c r="P781" s="35"/>
      <c r="Q781" s="35"/>
      <c r="R781" s="35"/>
      <c r="S781" s="35"/>
      <c r="T781" s="35"/>
      <c r="U781" s="35"/>
      <c r="V781" s="35"/>
      <c r="W781" s="35"/>
      <c r="X781" s="35"/>
      <c r="Y781" s="35"/>
    </row>
    <row r="782" ht="14.25" customHeight="1">
      <c r="A782" s="136"/>
      <c r="B782" s="137"/>
      <c r="C782" s="251"/>
      <c r="D782" s="452"/>
      <c r="E782" s="136"/>
      <c r="F782" s="253"/>
      <c r="G782" s="527"/>
      <c r="H782" s="141"/>
      <c r="I782" s="141"/>
      <c r="J782" s="142"/>
      <c r="K782" s="142"/>
      <c r="L782" s="142"/>
      <c r="M782" s="142"/>
      <c r="N782" s="136"/>
      <c r="O782" s="34"/>
      <c r="P782" s="35"/>
      <c r="Q782" s="35"/>
      <c r="R782" s="35"/>
      <c r="S782" s="35"/>
      <c r="T782" s="35"/>
      <c r="U782" s="35"/>
      <c r="V782" s="35"/>
      <c r="W782" s="35"/>
      <c r="X782" s="35"/>
      <c r="Y782" s="35"/>
    </row>
    <row r="783" ht="14.25" customHeight="1">
      <c r="A783" s="136"/>
      <c r="B783" s="137"/>
      <c r="C783" s="251"/>
      <c r="D783" s="452"/>
      <c r="E783" s="136"/>
      <c r="F783" s="253"/>
      <c r="G783" s="527"/>
      <c r="H783" s="141"/>
      <c r="I783" s="141"/>
      <c r="J783" s="142"/>
      <c r="K783" s="142"/>
      <c r="L783" s="142"/>
      <c r="M783" s="142"/>
      <c r="N783" s="136"/>
      <c r="O783" s="34"/>
      <c r="P783" s="35"/>
      <c r="Q783" s="35"/>
      <c r="R783" s="35"/>
      <c r="S783" s="35"/>
      <c r="T783" s="35"/>
      <c r="U783" s="35"/>
      <c r="V783" s="35"/>
      <c r="W783" s="35"/>
      <c r="X783" s="35"/>
      <c r="Y783" s="35"/>
    </row>
    <row r="784" ht="14.25" customHeight="1">
      <c r="A784" s="136"/>
      <c r="B784" s="137"/>
      <c r="C784" s="251"/>
      <c r="D784" s="452"/>
      <c r="E784" s="136"/>
      <c r="F784" s="253"/>
      <c r="G784" s="527"/>
      <c r="H784" s="141"/>
      <c r="I784" s="141"/>
      <c r="J784" s="142"/>
      <c r="K784" s="142"/>
      <c r="L784" s="142"/>
      <c r="M784" s="142"/>
      <c r="N784" s="136"/>
      <c r="O784" s="34"/>
      <c r="P784" s="35"/>
      <c r="Q784" s="35"/>
      <c r="R784" s="35"/>
      <c r="S784" s="35"/>
      <c r="T784" s="35"/>
      <c r="U784" s="35"/>
      <c r="V784" s="35"/>
      <c r="W784" s="35"/>
      <c r="X784" s="35"/>
      <c r="Y784" s="35"/>
    </row>
    <row r="785" ht="14.25" customHeight="1">
      <c r="A785" s="136"/>
      <c r="B785" s="137"/>
      <c r="C785" s="251"/>
      <c r="D785" s="452"/>
      <c r="E785" s="136"/>
      <c r="F785" s="253"/>
      <c r="G785" s="527"/>
      <c r="H785" s="141"/>
      <c r="I785" s="141"/>
      <c r="J785" s="142"/>
      <c r="K785" s="142"/>
      <c r="L785" s="142"/>
      <c r="M785" s="142"/>
      <c r="N785" s="136"/>
      <c r="O785" s="34"/>
      <c r="P785" s="35"/>
      <c r="Q785" s="35"/>
      <c r="R785" s="35"/>
      <c r="S785" s="35"/>
      <c r="T785" s="35"/>
      <c r="U785" s="35"/>
      <c r="V785" s="35"/>
      <c r="W785" s="35"/>
      <c r="X785" s="35"/>
      <c r="Y785" s="35"/>
    </row>
    <row r="786" ht="14.25" customHeight="1">
      <c r="A786" s="136"/>
      <c r="B786" s="137"/>
      <c r="C786" s="251"/>
      <c r="D786" s="452"/>
      <c r="E786" s="136"/>
      <c r="F786" s="253"/>
      <c r="G786" s="527"/>
      <c r="H786" s="141"/>
      <c r="I786" s="141"/>
      <c r="J786" s="142"/>
      <c r="K786" s="142"/>
      <c r="L786" s="142"/>
      <c r="M786" s="142"/>
      <c r="N786" s="136"/>
      <c r="O786" s="34"/>
      <c r="P786" s="35"/>
      <c r="Q786" s="35"/>
      <c r="R786" s="35"/>
      <c r="S786" s="35"/>
      <c r="T786" s="35"/>
      <c r="U786" s="35"/>
      <c r="V786" s="35"/>
      <c r="W786" s="35"/>
      <c r="X786" s="35"/>
      <c r="Y786" s="35"/>
    </row>
    <row r="787" ht="14.25" customHeight="1">
      <c r="A787" s="136"/>
      <c r="B787" s="137"/>
      <c r="C787" s="251"/>
      <c r="D787" s="452"/>
      <c r="E787" s="136"/>
      <c r="F787" s="253"/>
      <c r="G787" s="527"/>
      <c r="H787" s="141"/>
      <c r="I787" s="141"/>
      <c r="J787" s="142"/>
      <c r="K787" s="142"/>
      <c r="L787" s="142"/>
      <c r="M787" s="142"/>
      <c r="N787" s="136"/>
      <c r="O787" s="34"/>
      <c r="P787" s="35"/>
      <c r="Q787" s="35"/>
      <c r="R787" s="35"/>
      <c r="S787" s="35"/>
      <c r="T787" s="35"/>
      <c r="U787" s="35"/>
      <c r="V787" s="35"/>
      <c r="W787" s="35"/>
      <c r="X787" s="35"/>
      <c r="Y787" s="35"/>
    </row>
    <row r="788" ht="14.25" customHeight="1">
      <c r="A788" s="136"/>
      <c r="B788" s="137"/>
      <c r="C788" s="251"/>
      <c r="D788" s="452"/>
      <c r="E788" s="136"/>
      <c r="F788" s="253"/>
      <c r="G788" s="527"/>
      <c r="H788" s="141"/>
      <c r="I788" s="141"/>
      <c r="J788" s="142"/>
      <c r="K788" s="142"/>
      <c r="L788" s="142"/>
      <c r="M788" s="142"/>
      <c r="N788" s="136"/>
      <c r="O788" s="34"/>
      <c r="P788" s="35"/>
      <c r="Q788" s="35"/>
      <c r="R788" s="35"/>
      <c r="S788" s="35"/>
      <c r="T788" s="35"/>
      <c r="U788" s="35"/>
      <c r="V788" s="35"/>
      <c r="W788" s="35"/>
      <c r="X788" s="35"/>
      <c r="Y788" s="35"/>
    </row>
    <row r="789" ht="14.25" customHeight="1">
      <c r="A789" s="136"/>
      <c r="B789" s="137"/>
      <c r="C789" s="251"/>
      <c r="D789" s="452"/>
      <c r="E789" s="136"/>
      <c r="F789" s="253"/>
      <c r="G789" s="527"/>
      <c r="H789" s="141"/>
      <c r="I789" s="141"/>
      <c r="J789" s="142"/>
      <c r="K789" s="142"/>
      <c r="L789" s="142"/>
      <c r="M789" s="142"/>
      <c r="N789" s="136"/>
      <c r="O789" s="34"/>
      <c r="P789" s="35"/>
      <c r="Q789" s="35"/>
      <c r="R789" s="35"/>
      <c r="S789" s="35"/>
      <c r="T789" s="35"/>
      <c r="U789" s="35"/>
      <c r="V789" s="35"/>
      <c r="W789" s="35"/>
      <c r="X789" s="35"/>
      <c r="Y789" s="35"/>
    </row>
    <row r="790" ht="14.25" customHeight="1">
      <c r="A790" s="136"/>
      <c r="B790" s="137"/>
      <c r="C790" s="251"/>
      <c r="D790" s="452"/>
      <c r="E790" s="136"/>
      <c r="F790" s="253"/>
      <c r="G790" s="527"/>
      <c r="H790" s="141"/>
      <c r="I790" s="141"/>
      <c r="J790" s="142"/>
      <c r="K790" s="142"/>
      <c r="L790" s="142"/>
      <c r="M790" s="142"/>
      <c r="N790" s="136"/>
      <c r="O790" s="34"/>
      <c r="P790" s="35"/>
      <c r="Q790" s="35"/>
      <c r="R790" s="35"/>
      <c r="S790" s="35"/>
      <c r="T790" s="35"/>
      <c r="U790" s="35"/>
      <c r="V790" s="35"/>
      <c r="W790" s="35"/>
      <c r="X790" s="35"/>
      <c r="Y790" s="35"/>
    </row>
    <row r="791" ht="14.25" customHeight="1">
      <c r="A791" s="136"/>
      <c r="B791" s="137"/>
      <c r="C791" s="251"/>
      <c r="D791" s="452"/>
      <c r="E791" s="136"/>
      <c r="F791" s="253"/>
      <c r="G791" s="527"/>
      <c r="H791" s="141"/>
      <c r="I791" s="141"/>
      <c r="J791" s="142"/>
      <c r="K791" s="142"/>
      <c r="L791" s="142"/>
      <c r="M791" s="142"/>
      <c r="N791" s="136"/>
      <c r="O791" s="34"/>
      <c r="P791" s="35"/>
      <c r="Q791" s="35"/>
      <c r="R791" s="35"/>
      <c r="S791" s="35"/>
      <c r="T791" s="35"/>
      <c r="U791" s="35"/>
      <c r="V791" s="35"/>
      <c r="W791" s="35"/>
      <c r="X791" s="35"/>
      <c r="Y791" s="35"/>
    </row>
    <row r="792" ht="14.25" customHeight="1">
      <c r="A792" s="136"/>
      <c r="B792" s="137"/>
      <c r="C792" s="251"/>
      <c r="D792" s="452"/>
      <c r="E792" s="136"/>
      <c r="F792" s="253"/>
      <c r="G792" s="527"/>
      <c r="H792" s="141"/>
      <c r="I792" s="141"/>
      <c r="J792" s="142"/>
      <c r="K792" s="142"/>
      <c r="L792" s="142"/>
      <c r="M792" s="142"/>
      <c r="N792" s="136"/>
      <c r="O792" s="34"/>
      <c r="P792" s="35"/>
      <c r="Q792" s="35"/>
      <c r="R792" s="35"/>
      <c r="S792" s="35"/>
      <c r="T792" s="35"/>
      <c r="U792" s="35"/>
      <c r="V792" s="35"/>
      <c r="W792" s="35"/>
      <c r="X792" s="35"/>
      <c r="Y792" s="35"/>
    </row>
    <row r="793" ht="14.25" customHeight="1">
      <c r="A793" s="136"/>
      <c r="B793" s="137"/>
      <c r="C793" s="251"/>
      <c r="D793" s="452"/>
      <c r="E793" s="136"/>
      <c r="F793" s="253"/>
      <c r="G793" s="527"/>
      <c r="H793" s="141"/>
      <c r="I793" s="141"/>
      <c r="J793" s="142"/>
      <c r="K793" s="142"/>
      <c r="L793" s="142"/>
      <c r="M793" s="142"/>
      <c r="N793" s="136"/>
      <c r="O793" s="34"/>
      <c r="P793" s="35"/>
      <c r="Q793" s="35"/>
      <c r="R793" s="35"/>
      <c r="S793" s="35"/>
      <c r="T793" s="35"/>
      <c r="U793" s="35"/>
      <c r="V793" s="35"/>
      <c r="W793" s="35"/>
      <c r="X793" s="35"/>
      <c r="Y793" s="35"/>
    </row>
    <row r="794" ht="14.25" customHeight="1">
      <c r="A794" s="136"/>
      <c r="B794" s="137"/>
      <c r="C794" s="251"/>
      <c r="D794" s="452"/>
      <c r="E794" s="136"/>
      <c r="F794" s="253"/>
      <c r="G794" s="527"/>
      <c r="H794" s="141"/>
      <c r="I794" s="141"/>
      <c r="J794" s="142"/>
      <c r="K794" s="142"/>
      <c r="L794" s="142"/>
      <c r="M794" s="142"/>
      <c r="N794" s="136"/>
      <c r="O794" s="34"/>
      <c r="P794" s="35"/>
      <c r="Q794" s="35"/>
      <c r="R794" s="35"/>
      <c r="S794" s="35"/>
      <c r="T794" s="35"/>
      <c r="U794" s="35"/>
      <c r="V794" s="35"/>
      <c r="W794" s="35"/>
      <c r="X794" s="35"/>
      <c r="Y794" s="35"/>
    </row>
    <row r="795" ht="14.25" customHeight="1">
      <c r="A795" s="136"/>
      <c r="B795" s="137"/>
      <c r="C795" s="251"/>
      <c r="D795" s="452"/>
      <c r="E795" s="136"/>
      <c r="F795" s="253"/>
      <c r="G795" s="527"/>
      <c r="H795" s="141"/>
      <c r="I795" s="141"/>
      <c r="J795" s="142"/>
      <c r="K795" s="142"/>
      <c r="L795" s="142"/>
      <c r="M795" s="142"/>
      <c r="N795" s="136"/>
      <c r="O795" s="34"/>
      <c r="P795" s="35"/>
      <c r="Q795" s="35"/>
      <c r="R795" s="35"/>
      <c r="S795" s="35"/>
      <c r="T795" s="35"/>
      <c r="U795" s="35"/>
      <c r="V795" s="35"/>
      <c r="W795" s="35"/>
      <c r="X795" s="35"/>
      <c r="Y795" s="35"/>
    </row>
    <row r="796" ht="14.25" customHeight="1">
      <c r="A796" s="136"/>
      <c r="B796" s="137"/>
      <c r="C796" s="251"/>
      <c r="D796" s="452"/>
      <c r="E796" s="136"/>
      <c r="F796" s="253"/>
      <c r="G796" s="527"/>
      <c r="H796" s="141"/>
      <c r="I796" s="141"/>
      <c r="J796" s="142"/>
      <c r="K796" s="142"/>
      <c r="L796" s="142"/>
      <c r="M796" s="142"/>
      <c r="N796" s="136"/>
      <c r="O796" s="34"/>
      <c r="P796" s="35"/>
      <c r="Q796" s="35"/>
      <c r="R796" s="35"/>
      <c r="S796" s="35"/>
      <c r="T796" s="35"/>
      <c r="U796" s="35"/>
      <c r="V796" s="35"/>
      <c r="W796" s="35"/>
      <c r="X796" s="35"/>
      <c r="Y796" s="35"/>
    </row>
    <row r="797" ht="14.25" customHeight="1">
      <c r="A797" s="136"/>
      <c r="B797" s="137"/>
      <c r="C797" s="251"/>
      <c r="D797" s="452"/>
      <c r="E797" s="136"/>
      <c r="F797" s="253"/>
      <c r="G797" s="527"/>
      <c r="H797" s="141"/>
      <c r="I797" s="141"/>
      <c r="J797" s="142"/>
      <c r="K797" s="142"/>
      <c r="L797" s="142"/>
      <c r="M797" s="142"/>
      <c r="N797" s="136"/>
      <c r="O797" s="34"/>
      <c r="P797" s="35"/>
      <c r="Q797" s="35"/>
      <c r="R797" s="35"/>
      <c r="S797" s="35"/>
      <c r="T797" s="35"/>
      <c r="U797" s="35"/>
      <c r="V797" s="35"/>
      <c r="W797" s="35"/>
      <c r="X797" s="35"/>
      <c r="Y797" s="35"/>
    </row>
    <row r="798" ht="14.25" customHeight="1">
      <c r="A798" s="136"/>
      <c r="B798" s="137"/>
      <c r="C798" s="251"/>
      <c r="D798" s="452"/>
      <c r="E798" s="136"/>
      <c r="F798" s="253"/>
      <c r="G798" s="527"/>
      <c r="H798" s="141"/>
      <c r="I798" s="141"/>
      <c r="J798" s="142"/>
      <c r="K798" s="142"/>
      <c r="L798" s="142"/>
      <c r="M798" s="142"/>
      <c r="N798" s="136"/>
      <c r="O798" s="34"/>
      <c r="P798" s="35"/>
      <c r="Q798" s="35"/>
      <c r="R798" s="35"/>
      <c r="S798" s="35"/>
      <c r="T798" s="35"/>
      <c r="U798" s="35"/>
      <c r="V798" s="35"/>
      <c r="W798" s="35"/>
      <c r="X798" s="35"/>
      <c r="Y798" s="35"/>
    </row>
    <row r="799" ht="14.25" customHeight="1">
      <c r="A799" s="136"/>
      <c r="B799" s="137"/>
      <c r="C799" s="251"/>
      <c r="D799" s="452"/>
      <c r="E799" s="136"/>
      <c r="F799" s="253"/>
      <c r="G799" s="527"/>
      <c r="H799" s="141"/>
      <c r="I799" s="141"/>
      <c r="J799" s="142"/>
      <c r="K799" s="142"/>
      <c r="L799" s="142"/>
      <c r="M799" s="142"/>
      <c r="N799" s="136"/>
      <c r="O799" s="34"/>
      <c r="P799" s="35"/>
      <c r="Q799" s="35"/>
      <c r="R799" s="35"/>
      <c r="S799" s="35"/>
      <c r="T799" s="35"/>
      <c r="U799" s="35"/>
      <c r="V799" s="35"/>
      <c r="W799" s="35"/>
      <c r="X799" s="35"/>
      <c r="Y799" s="35"/>
    </row>
    <row r="800" ht="14.25" customHeight="1">
      <c r="A800" s="136"/>
      <c r="B800" s="137"/>
      <c r="C800" s="251"/>
      <c r="D800" s="452"/>
      <c r="E800" s="136"/>
      <c r="F800" s="253"/>
      <c r="G800" s="527"/>
      <c r="H800" s="141"/>
      <c r="I800" s="141"/>
      <c r="J800" s="142"/>
      <c r="K800" s="142"/>
      <c r="L800" s="142"/>
      <c r="M800" s="142"/>
      <c r="N800" s="136"/>
      <c r="O800" s="34"/>
      <c r="P800" s="35"/>
      <c r="Q800" s="35"/>
      <c r="R800" s="35"/>
      <c r="S800" s="35"/>
      <c r="T800" s="35"/>
      <c r="U800" s="35"/>
      <c r="V800" s="35"/>
      <c r="W800" s="35"/>
      <c r="X800" s="35"/>
      <c r="Y800" s="35"/>
    </row>
    <row r="801" ht="14.25" customHeight="1">
      <c r="A801" s="136"/>
      <c r="B801" s="137"/>
      <c r="C801" s="251"/>
      <c r="D801" s="452"/>
      <c r="E801" s="136"/>
      <c r="F801" s="253"/>
      <c r="G801" s="527"/>
      <c r="H801" s="141"/>
      <c r="I801" s="141"/>
      <c r="J801" s="142"/>
      <c r="K801" s="142"/>
      <c r="L801" s="142"/>
      <c r="M801" s="142"/>
      <c r="N801" s="136"/>
      <c r="O801" s="34"/>
      <c r="P801" s="35"/>
      <c r="Q801" s="35"/>
      <c r="R801" s="35"/>
      <c r="S801" s="35"/>
      <c r="T801" s="35"/>
      <c r="U801" s="35"/>
      <c r="V801" s="35"/>
      <c r="W801" s="35"/>
      <c r="X801" s="35"/>
      <c r="Y801" s="35"/>
    </row>
    <row r="802" ht="14.25" customHeight="1">
      <c r="A802" s="136"/>
      <c r="B802" s="137"/>
      <c r="C802" s="251"/>
      <c r="D802" s="452"/>
      <c r="E802" s="136"/>
      <c r="F802" s="253"/>
      <c r="G802" s="527"/>
      <c r="H802" s="141"/>
      <c r="I802" s="141"/>
      <c r="J802" s="142"/>
      <c r="K802" s="142"/>
      <c r="L802" s="142"/>
      <c r="M802" s="142"/>
      <c r="N802" s="136"/>
      <c r="O802" s="34"/>
      <c r="P802" s="35"/>
      <c r="Q802" s="35"/>
      <c r="R802" s="35"/>
      <c r="S802" s="35"/>
      <c r="T802" s="35"/>
      <c r="U802" s="35"/>
      <c r="V802" s="35"/>
      <c r="W802" s="35"/>
      <c r="X802" s="35"/>
      <c r="Y802" s="35"/>
    </row>
    <row r="803" ht="14.25" customHeight="1">
      <c r="A803" s="136"/>
      <c r="B803" s="137"/>
      <c r="C803" s="251"/>
      <c r="D803" s="452"/>
      <c r="E803" s="136"/>
      <c r="F803" s="253"/>
      <c r="G803" s="527"/>
      <c r="H803" s="141"/>
      <c r="I803" s="141"/>
      <c r="J803" s="142"/>
      <c r="K803" s="142"/>
      <c r="L803" s="142"/>
      <c r="M803" s="142"/>
      <c r="N803" s="136"/>
      <c r="O803" s="34"/>
      <c r="P803" s="35"/>
      <c r="Q803" s="35"/>
      <c r="R803" s="35"/>
      <c r="S803" s="35"/>
      <c r="T803" s="35"/>
      <c r="U803" s="35"/>
      <c r="V803" s="35"/>
      <c r="W803" s="35"/>
      <c r="X803" s="35"/>
      <c r="Y803" s="35"/>
    </row>
    <row r="804" ht="14.25" customHeight="1">
      <c r="A804" s="136"/>
      <c r="B804" s="137"/>
      <c r="C804" s="251"/>
      <c r="D804" s="452"/>
      <c r="E804" s="136"/>
      <c r="F804" s="253"/>
      <c r="G804" s="527"/>
      <c r="H804" s="141"/>
      <c r="I804" s="141"/>
      <c r="J804" s="142"/>
      <c r="K804" s="142"/>
      <c r="L804" s="142"/>
      <c r="M804" s="142"/>
      <c r="N804" s="136"/>
      <c r="O804" s="34"/>
      <c r="P804" s="35"/>
      <c r="Q804" s="35"/>
      <c r="R804" s="35"/>
      <c r="S804" s="35"/>
      <c r="T804" s="35"/>
      <c r="U804" s="35"/>
      <c r="V804" s="35"/>
      <c r="W804" s="35"/>
      <c r="X804" s="35"/>
      <c r="Y804" s="35"/>
    </row>
    <row r="805" ht="14.25" customHeight="1">
      <c r="A805" s="136"/>
      <c r="B805" s="137"/>
      <c r="C805" s="251"/>
      <c r="D805" s="452"/>
      <c r="E805" s="136"/>
      <c r="F805" s="253"/>
      <c r="G805" s="527"/>
      <c r="H805" s="141"/>
      <c r="I805" s="141"/>
      <c r="J805" s="142"/>
      <c r="K805" s="142"/>
      <c r="L805" s="142"/>
      <c r="M805" s="142"/>
      <c r="N805" s="136"/>
      <c r="O805" s="34"/>
      <c r="P805" s="35"/>
      <c r="Q805" s="35"/>
      <c r="R805" s="35"/>
      <c r="S805" s="35"/>
      <c r="T805" s="35"/>
      <c r="U805" s="35"/>
      <c r="V805" s="35"/>
      <c r="W805" s="35"/>
      <c r="X805" s="35"/>
      <c r="Y805" s="35"/>
    </row>
    <row r="806" ht="14.25" customHeight="1">
      <c r="A806" s="136"/>
      <c r="B806" s="137"/>
      <c r="C806" s="251"/>
      <c r="D806" s="452"/>
      <c r="E806" s="136"/>
      <c r="F806" s="253"/>
      <c r="G806" s="527"/>
      <c r="H806" s="141"/>
      <c r="I806" s="141"/>
      <c r="J806" s="142"/>
      <c r="K806" s="142"/>
      <c r="L806" s="142"/>
      <c r="M806" s="142"/>
      <c r="N806" s="136"/>
      <c r="O806" s="34"/>
      <c r="P806" s="35"/>
      <c r="Q806" s="35"/>
      <c r="R806" s="35"/>
      <c r="S806" s="35"/>
      <c r="T806" s="35"/>
      <c r="U806" s="35"/>
      <c r="V806" s="35"/>
      <c r="W806" s="35"/>
      <c r="X806" s="35"/>
      <c r="Y806" s="35"/>
    </row>
    <row r="807" ht="14.25" customHeight="1">
      <c r="A807" s="136"/>
      <c r="B807" s="137"/>
      <c r="C807" s="251"/>
      <c r="D807" s="452"/>
      <c r="E807" s="136"/>
      <c r="F807" s="253"/>
      <c r="G807" s="527"/>
      <c r="H807" s="141"/>
      <c r="I807" s="141"/>
      <c r="J807" s="142"/>
      <c r="K807" s="142"/>
      <c r="L807" s="142"/>
      <c r="M807" s="142"/>
      <c r="N807" s="136"/>
      <c r="O807" s="34"/>
      <c r="P807" s="35"/>
      <c r="Q807" s="35"/>
      <c r="R807" s="35"/>
      <c r="S807" s="35"/>
      <c r="T807" s="35"/>
      <c r="U807" s="35"/>
      <c r="V807" s="35"/>
      <c r="W807" s="35"/>
      <c r="X807" s="35"/>
      <c r="Y807" s="35"/>
    </row>
    <row r="808" ht="14.25" customHeight="1">
      <c r="A808" s="136"/>
      <c r="B808" s="137"/>
      <c r="C808" s="251"/>
      <c r="D808" s="452"/>
      <c r="E808" s="136"/>
      <c r="F808" s="253"/>
      <c r="G808" s="527"/>
      <c r="H808" s="141"/>
      <c r="I808" s="141"/>
      <c r="J808" s="142"/>
      <c r="K808" s="142"/>
      <c r="L808" s="142"/>
      <c r="M808" s="142"/>
      <c r="N808" s="136"/>
      <c r="O808" s="34"/>
      <c r="P808" s="35"/>
      <c r="Q808" s="35"/>
      <c r="R808" s="35"/>
      <c r="S808" s="35"/>
      <c r="T808" s="35"/>
      <c r="U808" s="35"/>
      <c r="V808" s="35"/>
      <c r="W808" s="35"/>
      <c r="X808" s="35"/>
      <c r="Y808" s="35"/>
    </row>
    <row r="809" ht="14.25" customHeight="1">
      <c r="A809" s="136"/>
      <c r="B809" s="137"/>
      <c r="C809" s="251"/>
      <c r="D809" s="452"/>
      <c r="E809" s="136"/>
      <c r="F809" s="253"/>
      <c r="G809" s="527"/>
      <c r="H809" s="141"/>
      <c r="I809" s="141"/>
      <c r="J809" s="142"/>
      <c r="K809" s="142"/>
      <c r="L809" s="142"/>
      <c r="M809" s="142"/>
      <c r="N809" s="136"/>
      <c r="O809" s="34"/>
      <c r="P809" s="35"/>
      <c r="Q809" s="35"/>
      <c r="R809" s="35"/>
      <c r="S809" s="35"/>
      <c r="T809" s="35"/>
      <c r="U809" s="35"/>
      <c r="V809" s="35"/>
      <c r="W809" s="35"/>
      <c r="X809" s="35"/>
      <c r="Y809" s="35"/>
    </row>
    <row r="810" ht="14.25" customHeight="1">
      <c r="A810" s="136"/>
      <c r="B810" s="137"/>
      <c r="C810" s="251"/>
      <c r="D810" s="452"/>
      <c r="E810" s="136"/>
      <c r="F810" s="253"/>
      <c r="G810" s="527"/>
      <c r="H810" s="141"/>
      <c r="I810" s="141"/>
      <c r="J810" s="142"/>
      <c r="K810" s="142"/>
      <c r="L810" s="142"/>
      <c r="M810" s="142"/>
      <c r="N810" s="136"/>
      <c r="O810" s="34"/>
      <c r="P810" s="35"/>
      <c r="Q810" s="35"/>
      <c r="R810" s="35"/>
      <c r="S810" s="35"/>
      <c r="T810" s="35"/>
      <c r="U810" s="35"/>
      <c r="V810" s="35"/>
      <c r="W810" s="35"/>
      <c r="X810" s="35"/>
      <c r="Y810" s="35"/>
    </row>
    <row r="811" ht="14.25" customHeight="1">
      <c r="A811" s="136"/>
      <c r="B811" s="137"/>
      <c r="C811" s="251"/>
      <c r="D811" s="452"/>
      <c r="E811" s="136"/>
      <c r="F811" s="253"/>
      <c r="G811" s="527"/>
      <c r="H811" s="141"/>
      <c r="I811" s="141"/>
      <c r="J811" s="142"/>
      <c r="K811" s="142"/>
      <c r="L811" s="142"/>
      <c r="M811" s="142"/>
      <c r="N811" s="136"/>
      <c r="O811" s="34"/>
      <c r="P811" s="35"/>
      <c r="Q811" s="35"/>
      <c r="R811" s="35"/>
      <c r="S811" s="35"/>
      <c r="T811" s="35"/>
      <c r="U811" s="35"/>
      <c r="V811" s="35"/>
      <c r="W811" s="35"/>
      <c r="X811" s="35"/>
      <c r="Y811" s="35"/>
    </row>
    <row r="812" ht="14.25" customHeight="1">
      <c r="A812" s="136"/>
      <c r="B812" s="137"/>
      <c r="C812" s="251"/>
      <c r="D812" s="452"/>
      <c r="E812" s="136"/>
      <c r="F812" s="253"/>
      <c r="G812" s="527"/>
      <c r="H812" s="141"/>
      <c r="I812" s="141"/>
      <c r="J812" s="142"/>
      <c r="K812" s="142"/>
      <c r="L812" s="142"/>
      <c r="M812" s="142"/>
      <c r="N812" s="136"/>
      <c r="O812" s="34"/>
      <c r="P812" s="35"/>
      <c r="Q812" s="35"/>
      <c r="R812" s="35"/>
      <c r="S812" s="35"/>
      <c r="T812" s="35"/>
      <c r="U812" s="35"/>
      <c r="V812" s="35"/>
      <c r="W812" s="35"/>
      <c r="X812" s="35"/>
      <c r="Y812" s="35"/>
    </row>
    <row r="813" ht="14.25" customHeight="1">
      <c r="A813" s="136"/>
      <c r="B813" s="137"/>
      <c r="C813" s="251"/>
      <c r="D813" s="452"/>
      <c r="E813" s="136"/>
      <c r="F813" s="253"/>
      <c r="G813" s="527"/>
      <c r="H813" s="141"/>
      <c r="I813" s="141"/>
      <c r="J813" s="142"/>
      <c r="K813" s="142"/>
      <c r="L813" s="142"/>
      <c r="M813" s="142"/>
      <c r="N813" s="136"/>
      <c r="O813" s="34"/>
      <c r="P813" s="35"/>
      <c r="Q813" s="35"/>
      <c r="R813" s="35"/>
      <c r="S813" s="35"/>
      <c r="T813" s="35"/>
      <c r="U813" s="35"/>
      <c r="V813" s="35"/>
      <c r="W813" s="35"/>
      <c r="X813" s="35"/>
      <c r="Y813" s="35"/>
    </row>
    <row r="814" ht="14.25" customHeight="1">
      <c r="A814" s="136"/>
      <c r="B814" s="137"/>
      <c r="C814" s="251"/>
      <c r="D814" s="452"/>
      <c r="E814" s="136"/>
      <c r="F814" s="253"/>
      <c r="G814" s="527"/>
      <c r="H814" s="141"/>
      <c r="I814" s="141"/>
      <c r="J814" s="142"/>
      <c r="K814" s="142"/>
      <c r="L814" s="142"/>
      <c r="M814" s="142"/>
      <c r="N814" s="136"/>
      <c r="O814" s="34"/>
      <c r="P814" s="35"/>
      <c r="Q814" s="35"/>
      <c r="R814" s="35"/>
      <c r="S814" s="35"/>
      <c r="T814" s="35"/>
      <c r="U814" s="35"/>
      <c r="V814" s="35"/>
      <c r="W814" s="35"/>
      <c r="X814" s="35"/>
      <c r="Y814" s="35"/>
    </row>
    <row r="815" ht="14.25" customHeight="1">
      <c r="A815" s="136"/>
      <c r="B815" s="137"/>
      <c r="C815" s="251"/>
      <c r="D815" s="452"/>
      <c r="E815" s="136"/>
      <c r="F815" s="253"/>
      <c r="G815" s="527"/>
      <c r="H815" s="141"/>
      <c r="I815" s="141"/>
      <c r="J815" s="142"/>
      <c r="K815" s="142"/>
      <c r="L815" s="142"/>
      <c r="M815" s="142"/>
      <c r="N815" s="136"/>
      <c r="O815" s="34"/>
      <c r="P815" s="35"/>
      <c r="Q815" s="35"/>
      <c r="R815" s="35"/>
      <c r="S815" s="35"/>
      <c r="T815" s="35"/>
      <c r="U815" s="35"/>
      <c r="V815" s="35"/>
      <c r="W815" s="35"/>
      <c r="X815" s="35"/>
      <c r="Y815" s="35"/>
    </row>
    <row r="816" ht="14.25" customHeight="1">
      <c r="A816" s="136"/>
      <c r="B816" s="137"/>
      <c r="C816" s="251"/>
      <c r="D816" s="452"/>
      <c r="E816" s="136"/>
      <c r="F816" s="253"/>
      <c r="G816" s="527"/>
      <c r="H816" s="141"/>
      <c r="I816" s="141"/>
      <c r="J816" s="142"/>
      <c r="K816" s="142"/>
      <c r="L816" s="142"/>
      <c r="M816" s="142"/>
      <c r="N816" s="136"/>
      <c r="O816" s="34"/>
      <c r="P816" s="35"/>
      <c r="Q816" s="35"/>
      <c r="R816" s="35"/>
      <c r="S816" s="35"/>
      <c r="T816" s="35"/>
      <c r="U816" s="35"/>
      <c r="V816" s="35"/>
      <c r="W816" s="35"/>
      <c r="X816" s="35"/>
      <c r="Y816" s="35"/>
    </row>
    <row r="817" ht="14.25" customHeight="1">
      <c r="A817" s="136"/>
      <c r="B817" s="137"/>
      <c r="C817" s="251"/>
      <c r="D817" s="452"/>
      <c r="E817" s="136"/>
      <c r="F817" s="253"/>
      <c r="G817" s="527"/>
      <c r="H817" s="141"/>
      <c r="I817" s="141"/>
      <c r="J817" s="142"/>
      <c r="K817" s="142"/>
      <c r="L817" s="142"/>
      <c r="M817" s="142"/>
      <c r="N817" s="136"/>
      <c r="O817" s="34"/>
      <c r="P817" s="35"/>
      <c r="Q817" s="35"/>
      <c r="R817" s="35"/>
      <c r="S817" s="35"/>
      <c r="T817" s="35"/>
      <c r="U817" s="35"/>
      <c r="V817" s="35"/>
      <c r="W817" s="35"/>
      <c r="X817" s="35"/>
      <c r="Y817" s="35"/>
    </row>
    <row r="818" ht="14.25" customHeight="1">
      <c r="A818" s="136"/>
      <c r="B818" s="137"/>
      <c r="C818" s="251"/>
      <c r="D818" s="452"/>
      <c r="E818" s="136"/>
      <c r="F818" s="253"/>
      <c r="G818" s="527"/>
      <c r="H818" s="141"/>
      <c r="I818" s="141"/>
      <c r="J818" s="142"/>
      <c r="K818" s="142"/>
      <c r="L818" s="142"/>
      <c r="M818" s="142"/>
      <c r="N818" s="136"/>
      <c r="O818" s="34"/>
      <c r="P818" s="35"/>
      <c r="Q818" s="35"/>
      <c r="R818" s="35"/>
      <c r="S818" s="35"/>
      <c r="T818" s="35"/>
      <c r="U818" s="35"/>
      <c r="V818" s="35"/>
      <c r="W818" s="35"/>
      <c r="X818" s="35"/>
      <c r="Y818" s="35"/>
    </row>
    <row r="819" ht="14.25" customHeight="1">
      <c r="A819" s="136"/>
      <c r="B819" s="137"/>
      <c r="C819" s="251"/>
      <c r="D819" s="452"/>
      <c r="E819" s="136"/>
      <c r="F819" s="253"/>
      <c r="G819" s="527"/>
      <c r="H819" s="141"/>
      <c r="I819" s="141"/>
      <c r="J819" s="142"/>
      <c r="K819" s="142"/>
      <c r="L819" s="142"/>
      <c r="M819" s="142"/>
      <c r="N819" s="136"/>
      <c r="O819" s="34"/>
      <c r="P819" s="35"/>
      <c r="Q819" s="35"/>
      <c r="R819" s="35"/>
      <c r="S819" s="35"/>
      <c r="T819" s="35"/>
      <c r="U819" s="35"/>
      <c r="V819" s="35"/>
      <c r="W819" s="35"/>
      <c r="X819" s="35"/>
      <c r="Y819" s="35"/>
    </row>
    <row r="820" ht="14.25" customHeight="1">
      <c r="A820" s="136"/>
      <c r="B820" s="137"/>
      <c r="C820" s="251"/>
      <c r="D820" s="452"/>
      <c r="E820" s="136"/>
      <c r="F820" s="253"/>
      <c r="G820" s="527"/>
      <c r="H820" s="141"/>
      <c r="I820" s="141"/>
      <c r="J820" s="142"/>
      <c r="K820" s="142"/>
      <c r="L820" s="142"/>
      <c r="M820" s="142"/>
      <c r="N820" s="136"/>
      <c r="O820" s="34"/>
      <c r="P820" s="35"/>
      <c r="Q820" s="35"/>
      <c r="R820" s="35"/>
      <c r="S820" s="35"/>
      <c r="T820" s="35"/>
      <c r="U820" s="35"/>
      <c r="V820" s="35"/>
      <c r="W820" s="35"/>
      <c r="X820" s="35"/>
      <c r="Y820" s="35"/>
    </row>
    <row r="821" ht="14.25" customHeight="1">
      <c r="A821" s="136"/>
      <c r="B821" s="137"/>
      <c r="C821" s="251"/>
      <c r="D821" s="452"/>
      <c r="E821" s="136"/>
      <c r="F821" s="253"/>
      <c r="G821" s="527"/>
      <c r="H821" s="141"/>
      <c r="I821" s="141"/>
      <c r="J821" s="142"/>
      <c r="K821" s="142"/>
      <c r="L821" s="142"/>
      <c r="M821" s="142"/>
      <c r="N821" s="136"/>
      <c r="O821" s="34"/>
      <c r="P821" s="35"/>
      <c r="Q821" s="35"/>
      <c r="R821" s="35"/>
      <c r="S821" s="35"/>
      <c r="T821" s="35"/>
      <c r="U821" s="35"/>
      <c r="V821" s="35"/>
      <c r="W821" s="35"/>
      <c r="X821" s="35"/>
      <c r="Y821" s="35"/>
    </row>
    <row r="822" ht="14.25" customHeight="1">
      <c r="A822" s="136"/>
      <c r="B822" s="137"/>
      <c r="C822" s="251"/>
      <c r="D822" s="452"/>
      <c r="E822" s="136"/>
      <c r="F822" s="253"/>
      <c r="G822" s="527"/>
      <c r="H822" s="141"/>
      <c r="I822" s="141"/>
      <c r="J822" s="142"/>
      <c r="K822" s="142"/>
      <c r="L822" s="142"/>
      <c r="M822" s="142"/>
      <c r="N822" s="136"/>
      <c r="O822" s="34"/>
      <c r="P822" s="35"/>
      <c r="Q822" s="35"/>
      <c r="R822" s="35"/>
      <c r="S822" s="35"/>
      <c r="T822" s="35"/>
      <c r="U822" s="35"/>
      <c r="V822" s="35"/>
      <c r="W822" s="35"/>
      <c r="X822" s="35"/>
      <c r="Y822" s="35"/>
    </row>
    <row r="823" ht="14.25" customHeight="1">
      <c r="A823" s="136"/>
      <c r="B823" s="137"/>
      <c r="C823" s="251"/>
      <c r="D823" s="452"/>
      <c r="E823" s="136"/>
      <c r="F823" s="253"/>
      <c r="G823" s="527"/>
      <c r="H823" s="141"/>
      <c r="I823" s="141"/>
      <c r="J823" s="142"/>
      <c r="K823" s="142"/>
      <c r="L823" s="142"/>
      <c r="M823" s="142"/>
      <c r="N823" s="136"/>
      <c r="O823" s="34"/>
      <c r="P823" s="35"/>
      <c r="Q823" s="35"/>
      <c r="R823" s="35"/>
      <c r="S823" s="35"/>
      <c r="T823" s="35"/>
      <c r="U823" s="35"/>
      <c r="V823" s="35"/>
      <c r="W823" s="35"/>
      <c r="X823" s="35"/>
      <c r="Y823" s="35"/>
    </row>
    <row r="824" ht="14.25" customHeight="1">
      <c r="A824" s="136"/>
      <c r="B824" s="137"/>
      <c r="C824" s="251"/>
      <c r="D824" s="452"/>
      <c r="E824" s="136"/>
      <c r="F824" s="253"/>
      <c r="G824" s="527"/>
      <c r="H824" s="141"/>
      <c r="I824" s="141"/>
      <c r="J824" s="142"/>
      <c r="K824" s="142"/>
      <c r="L824" s="142"/>
      <c r="M824" s="142"/>
      <c r="N824" s="136"/>
      <c r="O824" s="34"/>
      <c r="P824" s="35"/>
      <c r="Q824" s="35"/>
      <c r="R824" s="35"/>
      <c r="S824" s="35"/>
      <c r="T824" s="35"/>
      <c r="U824" s="35"/>
      <c r="V824" s="35"/>
      <c r="W824" s="35"/>
      <c r="X824" s="35"/>
      <c r="Y824" s="35"/>
    </row>
    <row r="825" ht="14.25" customHeight="1">
      <c r="A825" s="136"/>
      <c r="B825" s="137"/>
      <c r="C825" s="251"/>
      <c r="D825" s="452"/>
      <c r="E825" s="136"/>
      <c r="F825" s="253"/>
      <c r="G825" s="527"/>
      <c r="H825" s="141"/>
      <c r="I825" s="141"/>
      <c r="J825" s="142"/>
      <c r="K825" s="142"/>
      <c r="L825" s="142"/>
      <c r="M825" s="142"/>
      <c r="N825" s="136"/>
      <c r="O825" s="34"/>
      <c r="P825" s="35"/>
      <c r="Q825" s="35"/>
      <c r="R825" s="35"/>
      <c r="S825" s="35"/>
      <c r="T825" s="35"/>
      <c r="U825" s="35"/>
      <c r="V825" s="35"/>
      <c r="W825" s="35"/>
      <c r="X825" s="35"/>
      <c r="Y825" s="35"/>
    </row>
    <row r="826" ht="14.25" customHeight="1">
      <c r="A826" s="136"/>
      <c r="B826" s="137"/>
      <c r="C826" s="251"/>
      <c r="D826" s="452"/>
      <c r="E826" s="136"/>
      <c r="F826" s="253"/>
      <c r="G826" s="527"/>
      <c r="H826" s="141"/>
      <c r="I826" s="141"/>
      <c r="J826" s="142"/>
      <c r="K826" s="142"/>
      <c r="L826" s="142"/>
      <c r="M826" s="142"/>
      <c r="N826" s="136"/>
      <c r="O826" s="34"/>
      <c r="P826" s="35"/>
      <c r="Q826" s="35"/>
      <c r="R826" s="35"/>
      <c r="S826" s="35"/>
      <c r="T826" s="35"/>
      <c r="U826" s="35"/>
      <c r="V826" s="35"/>
      <c r="W826" s="35"/>
      <c r="X826" s="35"/>
      <c r="Y826" s="35"/>
    </row>
    <row r="827" ht="14.25" customHeight="1">
      <c r="A827" s="136"/>
      <c r="B827" s="137"/>
      <c r="C827" s="251"/>
      <c r="D827" s="452"/>
      <c r="E827" s="136"/>
      <c r="F827" s="253"/>
      <c r="G827" s="527"/>
      <c r="H827" s="141"/>
      <c r="I827" s="141"/>
      <c r="J827" s="142"/>
      <c r="K827" s="142"/>
      <c r="L827" s="142"/>
      <c r="M827" s="142"/>
      <c r="N827" s="136"/>
      <c r="O827" s="34"/>
      <c r="P827" s="35"/>
      <c r="Q827" s="35"/>
      <c r="R827" s="35"/>
      <c r="S827" s="35"/>
      <c r="T827" s="35"/>
      <c r="U827" s="35"/>
      <c r="V827" s="35"/>
      <c r="W827" s="35"/>
      <c r="X827" s="35"/>
      <c r="Y827" s="35"/>
    </row>
    <row r="828" ht="14.25" customHeight="1">
      <c r="A828" s="136"/>
      <c r="B828" s="137"/>
      <c r="C828" s="251"/>
      <c r="D828" s="452"/>
      <c r="E828" s="136"/>
      <c r="F828" s="253"/>
      <c r="G828" s="527"/>
      <c r="H828" s="141"/>
      <c r="I828" s="141"/>
      <c r="J828" s="142"/>
      <c r="K828" s="142"/>
      <c r="L828" s="142"/>
      <c r="M828" s="142"/>
      <c r="N828" s="136"/>
      <c r="O828" s="34"/>
      <c r="P828" s="35"/>
      <c r="Q828" s="35"/>
      <c r="R828" s="35"/>
      <c r="S828" s="35"/>
      <c r="T828" s="35"/>
      <c r="U828" s="35"/>
      <c r="V828" s="35"/>
      <c r="W828" s="35"/>
      <c r="X828" s="35"/>
      <c r="Y828" s="35"/>
    </row>
    <row r="829" ht="14.25" customHeight="1">
      <c r="A829" s="136"/>
      <c r="B829" s="137"/>
      <c r="C829" s="251"/>
      <c r="D829" s="452"/>
      <c r="E829" s="136"/>
      <c r="F829" s="253"/>
      <c r="G829" s="527"/>
      <c r="H829" s="141"/>
      <c r="I829" s="141"/>
      <c r="J829" s="142"/>
      <c r="K829" s="142"/>
      <c r="L829" s="142"/>
      <c r="M829" s="142"/>
      <c r="N829" s="136"/>
      <c r="O829" s="34"/>
      <c r="P829" s="35"/>
      <c r="Q829" s="35"/>
      <c r="R829" s="35"/>
      <c r="S829" s="35"/>
      <c r="T829" s="35"/>
      <c r="U829" s="35"/>
      <c r="V829" s="35"/>
      <c r="W829" s="35"/>
      <c r="X829" s="35"/>
      <c r="Y829" s="35"/>
    </row>
    <row r="830" ht="14.25" customHeight="1">
      <c r="A830" s="136"/>
      <c r="B830" s="137"/>
      <c r="C830" s="251"/>
      <c r="D830" s="452"/>
      <c r="E830" s="136"/>
      <c r="F830" s="253"/>
      <c r="G830" s="527"/>
      <c r="H830" s="141"/>
      <c r="I830" s="141"/>
      <c r="J830" s="142"/>
      <c r="K830" s="142"/>
      <c r="L830" s="142"/>
      <c r="M830" s="142"/>
      <c r="N830" s="136"/>
      <c r="O830" s="34"/>
      <c r="P830" s="35"/>
      <c r="Q830" s="35"/>
      <c r="R830" s="35"/>
      <c r="S830" s="35"/>
      <c r="T830" s="35"/>
      <c r="U830" s="35"/>
      <c r="V830" s="35"/>
      <c r="W830" s="35"/>
      <c r="X830" s="35"/>
      <c r="Y830" s="35"/>
    </row>
    <row r="831" ht="14.25" customHeight="1">
      <c r="A831" s="136"/>
      <c r="B831" s="137"/>
      <c r="C831" s="251"/>
      <c r="D831" s="452"/>
      <c r="E831" s="136"/>
      <c r="F831" s="253"/>
      <c r="G831" s="527"/>
      <c r="H831" s="141"/>
      <c r="I831" s="141"/>
      <c r="J831" s="142"/>
      <c r="K831" s="142"/>
      <c r="L831" s="142"/>
      <c r="M831" s="142"/>
      <c r="N831" s="136"/>
      <c r="O831" s="34"/>
      <c r="P831" s="35"/>
      <c r="Q831" s="35"/>
      <c r="R831" s="35"/>
      <c r="S831" s="35"/>
      <c r="T831" s="35"/>
      <c r="U831" s="35"/>
      <c r="V831" s="35"/>
      <c r="W831" s="35"/>
      <c r="X831" s="35"/>
      <c r="Y831" s="35"/>
    </row>
    <row r="832" ht="14.25" customHeight="1">
      <c r="A832" s="136"/>
      <c r="B832" s="137"/>
      <c r="C832" s="251"/>
      <c r="D832" s="452"/>
      <c r="E832" s="136"/>
      <c r="F832" s="253"/>
      <c r="G832" s="527"/>
      <c r="H832" s="141"/>
      <c r="I832" s="141"/>
      <c r="J832" s="142"/>
      <c r="K832" s="142"/>
      <c r="L832" s="142"/>
      <c r="M832" s="142"/>
      <c r="N832" s="136"/>
      <c r="O832" s="34"/>
      <c r="P832" s="35"/>
      <c r="Q832" s="35"/>
      <c r="R832" s="35"/>
      <c r="S832" s="35"/>
      <c r="T832" s="35"/>
      <c r="U832" s="35"/>
      <c r="V832" s="35"/>
      <c r="W832" s="35"/>
      <c r="X832" s="35"/>
      <c r="Y832" s="35"/>
    </row>
    <row r="833" ht="14.25" customHeight="1">
      <c r="A833" s="136"/>
      <c r="B833" s="137"/>
      <c r="C833" s="251"/>
      <c r="D833" s="452"/>
      <c r="E833" s="136"/>
      <c r="F833" s="253"/>
      <c r="G833" s="527"/>
      <c r="H833" s="141"/>
      <c r="I833" s="141"/>
      <c r="J833" s="142"/>
      <c r="K833" s="142"/>
      <c r="L833" s="142"/>
      <c r="M833" s="142"/>
      <c r="N833" s="136"/>
      <c r="O833" s="34"/>
      <c r="P833" s="35"/>
      <c r="Q833" s="35"/>
      <c r="R833" s="35"/>
      <c r="S833" s="35"/>
      <c r="T833" s="35"/>
      <c r="U833" s="35"/>
      <c r="V833" s="35"/>
      <c r="W833" s="35"/>
      <c r="X833" s="35"/>
      <c r="Y833" s="35"/>
    </row>
    <row r="834" ht="14.25" customHeight="1">
      <c r="A834" s="136"/>
      <c r="B834" s="137"/>
      <c r="C834" s="251"/>
      <c r="D834" s="452"/>
      <c r="E834" s="136"/>
      <c r="F834" s="253"/>
      <c r="G834" s="527"/>
      <c r="H834" s="141"/>
      <c r="I834" s="141"/>
      <c r="J834" s="142"/>
      <c r="K834" s="142"/>
      <c r="L834" s="142"/>
      <c r="M834" s="142"/>
      <c r="N834" s="136"/>
      <c r="O834" s="34"/>
      <c r="P834" s="35"/>
      <c r="Q834" s="35"/>
      <c r="R834" s="35"/>
      <c r="S834" s="35"/>
      <c r="T834" s="35"/>
      <c r="U834" s="35"/>
      <c r="V834" s="35"/>
      <c r="W834" s="35"/>
      <c r="X834" s="35"/>
      <c r="Y834" s="35"/>
    </row>
    <row r="835" ht="14.25" customHeight="1">
      <c r="A835" s="136"/>
      <c r="B835" s="137"/>
      <c r="C835" s="251"/>
      <c r="D835" s="452"/>
      <c r="E835" s="136"/>
      <c r="F835" s="253"/>
      <c r="G835" s="527"/>
      <c r="H835" s="141"/>
      <c r="I835" s="141"/>
      <c r="J835" s="142"/>
      <c r="K835" s="142"/>
      <c r="L835" s="142"/>
      <c r="M835" s="142"/>
      <c r="N835" s="136"/>
      <c r="O835" s="34"/>
      <c r="P835" s="35"/>
      <c r="Q835" s="35"/>
      <c r="R835" s="35"/>
      <c r="S835" s="35"/>
      <c r="T835" s="35"/>
      <c r="U835" s="35"/>
      <c r="V835" s="35"/>
      <c r="W835" s="35"/>
      <c r="X835" s="35"/>
      <c r="Y835" s="35"/>
    </row>
    <row r="836" ht="14.25" customHeight="1">
      <c r="A836" s="136"/>
      <c r="B836" s="137"/>
      <c r="C836" s="251"/>
      <c r="D836" s="452"/>
      <c r="E836" s="136"/>
      <c r="F836" s="253"/>
      <c r="G836" s="527"/>
      <c r="H836" s="141"/>
      <c r="I836" s="141"/>
      <c r="J836" s="142"/>
      <c r="K836" s="142"/>
      <c r="L836" s="142"/>
      <c r="M836" s="142"/>
      <c r="N836" s="136"/>
      <c r="O836" s="34"/>
      <c r="P836" s="35"/>
      <c r="Q836" s="35"/>
      <c r="R836" s="35"/>
      <c r="S836" s="35"/>
      <c r="T836" s="35"/>
      <c r="U836" s="35"/>
      <c r="V836" s="35"/>
      <c r="W836" s="35"/>
      <c r="X836" s="35"/>
      <c r="Y836" s="35"/>
    </row>
    <row r="837" ht="14.25" customHeight="1">
      <c r="A837" s="136"/>
      <c r="B837" s="137"/>
      <c r="C837" s="251"/>
      <c r="D837" s="452"/>
      <c r="E837" s="136"/>
      <c r="F837" s="253"/>
      <c r="G837" s="527"/>
      <c r="H837" s="141"/>
      <c r="I837" s="141"/>
      <c r="J837" s="142"/>
      <c r="K837" s="142"/>
      <c r="L837" s="142"/>
      <c r="M837" s="142"/>
      <c r="N837" s="136"/>
      <c r="O837" s="34"/>
      <c r="P837" s="35"/>
      <c r="Q837" s="35"/>
      <c r="R837" s="35"/>
      <c r="S837" s="35"/>
      <c r="T837" s="35"/>
      <c r="U837" s="35"/>
      <c r="V837" s="35"/>
      <c r="W837" s="35"/>
      <c r="X837" s="35"/>
      <c r="Y837" s="35"/>
    </row>
    <row r="838" ht="14.25" customHeight="1">
      <c r="A838" s="136"/>
      <c r="B838" s="137"/>
      <c r="C838" s="251"/>
      <c r="D838" s="452"/>
      <c r="E838" s="136"/>
      <c r="F838" s="253"/>
      <c r="G838" s="527"/>
      <c r="H838" s="141"/>
      <c r="I838" s="141"/>
      <c r="J838" s="142"/>
      <c r="K838" s="142"/>
      <c r="L838" s="142"/>
      <c r="M838" s="142"/>
      <c r="N838" s="136"/>
      <c r="O838" s="34"/>
      <c r="P838" s="35"/>
      <c r="Q838" s="35"/>
      <c r="R838" s="35"/>
      <c r="S838" s="35"/>
      <c r="T838" s="35"/>
      <c r="U838" s="35"/>
      <c r="V838" s="35"/>
      <c r="W838" s="35"/>
      <c r="X838" s="35"/>
      <c r="Y838" s="35"/>
    </row>
    <row r="839" ht="14.25" customHeight="1">
      <c r="A839" s="136"/>
      <c r="B839" s="137"/>
      <c r="C839" s="251"/>
      <c r="D839" s="452"/>
      <c r="E839" s="136"/>
      <c r="F839" s="253"/>
      <c r="G839" s="527"/>
      <c r="H839" s="141"/>
      <c r="I839" s="141"/>
      <c r="J839" s="142"/>
      <c r="K839" s="142"/>
      <c r="L839" s="142"/>
      <c r="M839" s="142"/>
      <c r="N839" s="136"/>
      <c r="O839" s="34"/>
      <c r="P839" s="35"/>
      <c r="Q839" s="35"/>
      <c r="R839" s="35"/>
      <c r="S839" s="35"/>
      <c r="T839" s="35"/>
      <c r="U839" s="35"/>
      <c r="V839" s="35"/>
      <c r="W839" s="35"/>
      <c r="X839" s="35"/>
      <c r="Y839" s="35"/>
    </row>
    <row r="840" ht="14.25" customHeight="1">
      <c r="A840" s="136"/>
      <c r="B840" s="137"/>
      <c r="C840" s="251"/>
      <c r="D840" s="452"/>
      <c r="E840" s="136"/>
      <c r="F840" s="253"/>
      <c r="G840" s="527"/>
      <c r="H840" s="141"/>
      <c r="I840" s="141"/>
      <c r="J840" s="142"/>
      <c r="K840" s="142"/>
      <c r="L840" s="142"/>
      <c r="M840" s="142"/>
      <c r="N840" s="136"/>
      <c r="O840" s="34"/>
      <c r="P840" s="35"/>
      <c r="Q840" s="35"/>
      <c r="R840" s="35"/>
      <c r="S840" s="35"/>
      <c r="T840" s="35"/>
      <c r="U840" s="35"/>
      <c r="V840" s="35"/>
      <c r="W840" s="35"/>
      <c r="X840" s="35"/>
      <c r="Y840" s="35"/>
    </row>
    <row r="841" ht="14.25" customHeight="1">
      <c r="A841" s="136"/>
      <c r="B841" s="137"/>
      <c r="C841" s="251"/>
      <c r="D841" s="452"/>
      <c r="E841" s="136"/>
      <c r="F841" s="253"/>
      <c r="G841" s="527"/>
      <c r="H841" s="141"/>
      <c r="I841" s="141"/>
      <c r="J841" s="142"/>
      <c r="K841" s="142"/>
      <c r="L841" s="142"/>
      <c r="M841" s="142"/>
      <c r="N841" s="136"/>
      <c r="O841" s="34"/>
      <c r="P841" s="35"/>
      <c r="Q841" s="35"/>
      <c r="R841" s="35"/>
      <c r="S841" s="35"/>
      <c r="T841" s="35"/>
      <c r="U841" s="35"/>
      <c r="V841" s="35"/>
      <c r="W841" s="35"/>
      <c r="X841" s="35"/>
      <c r="Y841" s="35"/>
    </row>
    <row r="842" ht="14.25" customHeight="1">
      <c r="A842" s="136"/>
      <c r="B842" s="137"/>
      <c r="C842" s="251"/>
      <c r="D842" s="452"/>
      <c r="E842" s="136"/>
      <c r="F842" s="253"/>
      <c r="G842" s="527"/>
      <c r="H842" s="141"/>
      <c r="I842" s="141"/>
      <c r="J842" s="142"/>
      <c r="K842" s="142"/>
      <c r="L842" s="142"/>
      <c r="M842" s="142"/>
      <c r="N842" s="136"/>
      <c r="O842" s="34"/>
      <c r="P842" s="35"/>
      <c r="Q842" s="35"/>
      <c r="R842" s="35"/>
      <c r="S842" s="35"/>
      <c r="T842" s="35"/>
      <c r="U842" s="35"/>
      <c r="V842" s="35"/>
      <c r="W842" s="35"/>
      <c r="X842" s="35"/>
      <c r="Y842" s="35"/>
    </row>
    <row r="843" ht="14.25" customHeight="1">
      <c r="A843" s="136"/>
      <c r="B843" s="137"/>
      <c r="C843" s="251"/>
      <c r="D843" s="452"/>
      <c r="E843" s="136"/>
      <c r="F843" s="253"/>
      <c r="G843" s="527"/>
      <c r="H843" s="141"/>
      <c r="I843" s="141"/>
      <c r="J843" s="142"/>
      <c r="K843" s="142"/>
      <c r="L843" s="142"/>
      <c r="M843" s="142"/>
      <c r="N843" s="136"/>
      <c r="O843" s="34"/>
      <c r="P843" s="35"/>
      <c r="Q843" s="35"/>
      <c r="R843" s="35"/>
      <c r="S843" s="35"/>
      <c r="T843" s="35"/>
      <c r="U843" s="35"/>
      <c r="V843" s="35"/>
      <c r="W843" s="35"/>
      <c r="X843" s="35"/>
      <c r="Y843" s="35"/>
    </row>
    <row r="844" ht="14.25" customHeight="1">
      <c r="A844" s="136"/>
      <c r="B844" s="137"/>
      <c r="C844" s="251"/>
      <c r="D844" s="452"/>
      <c r="E844" s="136"/>
      <c r="F844" s="253"/>
      <c r="G844" s="527"/>
      <c r="H844" s="141"/>
      <c r="I844" s="141"/>
      <c r="J844" s="142"/>
      <c r="K844" s="142"/>
      <c r="L844" s="142"/>
      <c r="M844" s="142"/>
      <c r="N844" s="136"/>
      <c r="O844" s="34"/>
      <c r="P844" s="35"/>
      <c r="Q844" s="35"/>
      <c r="R844" s="35"/>
      <c r="S844" s="35"/>
      <c r="T844" s="35"/>
      <c r="U844" s="35"/>
      <c r="V844" s="35"/>
      <c r="W844" s="35"/>
      <c r="X844" s="35"/>
      <c r="Y844" s="35"/>
    </row>
    <row r="845" ht="14.25" customHeight="1">
      <c r="A845" s="136"/>
      <c r="B845" s="137"/>
      <c r="C845" s="251"/>
      <c r="D845" s="452"/>
      <c r="E845" s="136"/>
      <c r="F845" s="253"/>
      <c r="G845" s="527"/>
      <c r="H845" s="141"/>
      <c r="I845" s="141"/>
      <c r="J845" s="142"/>
      <c r="K845" s="142"/>
      <c r="L845" s="142"/>
      <c r="M845" s="142"/>
      <c r="N845" s="136"/>
      <c r="O845" s="34"/>
      <c r="P845" s="35"/>
      <c r="Q845" s="35"/>
      <c r="R845" s="35"/>
      <c r="S845" s="35"/>
      <c r="T845" s="35"/>
      <c r="U845" s="35"/>
      <c r="V845" s="35"/>
      <c r="W845" s="35"/>
      <c r="X845" s="35"/>
      <c r="Y845" s="35"/>
    </row>
    <row r="846" ht="14.25" customHeight="1">
      <c r="A846" s="136"/>
      <c r="B846" s="137"/>
      <c r="C846" s="251"/>
      <c r="D846" s="452"/>
      <c r="E846" s="136"/>
      <c r="F846" s="253"/>
      <c r="G846" s="527"/>
      <c r="H846" s="141"/>
      <c r="I846" s="141"/>
      <c r="J846" s="142"/>
      <c r="K846" s="142"/>
      <c r="L846" s="142"/>
      <c r="M846" s="142"/>
      <c r="N846" s="136"/>
      <c r="O846" s="34"/>
      <c r="P846" s="35"/>
      <c r="Q846" s="35"/>
      <c r="R846" s="35"/>
      <c r="S846" s="35"/>
      <c r="T846" s="35"/>
      <c r="U846" s="35"/>
      <c r="V846" s="35"/>
      <c r="W846" s="35"/>
      <c r="X846" s="35"/>
      <c r="Y846" s="35"/>
    </row>
    <row r="847" ht="14.25" customHeight="1">
      <c r="A847" s="136"/>
      <c r="B847" s="137"/>
      <c r="C847" s="251"/>
      <c r="D847" s="452"/>
      <c r="E847" s="136"/>
      <c r="F847" s="253"/>
      <c r="G847" s="527"/>
      <c r="H847" s="141"/>
      <c r="I847" s="141"/>
      <c r="J847" s="142"/>
      <c r="K847" s="142"/>
      <c r="L847" s="142"/>
      <c r="M847" s="142"/>
      <c r="N847" s="136"/>
      <c r="O847" s="34"/>
      <c r="P847" s="35"/>
      <c r="Q847" s="35"/>
      <c r="R847" s="35"/>
      <c r="S847" s="35"/>
      <c r="T847" s="35"/>
      <c r="U847" s="35"/>
      <c r="V847" s="35"/>
      <c r="W847" s="35"/>
      <c r="X847" s="35"/>
      <c r="Y847" s="35"/>
    </row>
    <row r="848" ht="14.25" customHeight="1">
      <c r="A848" s="136"/>
      <c r="B848" s="137"/>
      <c r="C848" s="251"/>
      <c r="D848" s="452"/>
      <c r="E848" s="136"/>
      <c r="F848" s="253"/>
      <c r="G848" s="527"/>
      <c r="H848" s="141"/>
      <c r="I848" s="141"/>
      <c r="J848" s="142"/>
      <c r="K848" s="142"/>
      <c r="L848" s="142"/>
      <c r="M848" s="142"/>
      <c r="N848" s="136"/>
      <c r="O848" s="34"/>
      <c r="P848" s="35"/>
      <c r="Q848" s="35"/>
      <c r="R848" s="35"/>
      <c r="S848" s="35"/>
      <c r="T848" s="35"/>
      <c r="U848" s="35"/>
      <c r="V848" s="35"/>
      <c r="W848" s="35"/>
      <c r="X848" s="35"/>
      <c r="Y848" s="35"/>
    </row>
    <row r="849" ht="14.25" customHeight="1">
      <c r="A849" s="136"/>
      <c r="B849" s="137"/>
      <c r="C849" s="251"/>
      <c r="D849" s="452"/>
      <c r="E849" s="136"/>
      <c r="F849" s="253"/>
      <c r="G849" s="527"/>
      <c r="H849" s="141"/>
      <c r="I849" s="141"/>
      <c r="J849" s="142"/>
      <c r="K849" s="142"/>
      <c r="L849" s="142"/>
      <c r="M849" s="142"/>
      <c r="N849" s="136"/>
      <c r="O849" s="34"/>
      <c r="P849" s="35"/>
      <c r="Q849" s="35"/>
      <c r="R849" s="35"/>
      <c r="S849" s="35"/>
      <c r="T849" s="35"/>
      <c r="U849" s="35"/>
      <c r="V849" s="35"/>
      <c r="W849" s="35"/>
      <c r="X849" s="35"/>
      <c r="Y849" s="35"/>
    </row>
    <row r="850" ht="14.25" customHeight="1">
      <c r="A850" s="136"/>
      <c r="B850" s="137"/>
      <c r="C850" s="251"/>
      <c r="D850" s="452"/>
      <c r="E850" s="136"/>
      <c r="F850" s="253"/>
      <c r="G850" s="527"/>
      <c r="H850" s="141"/>
      <c r="I850" s="141"/>
      <c r="J850" s="142"/>
      <c r="K850" s="142"/>
      <c r="L850" s="142"/>
      <c r="M850" s="142"/>
      <c r="N850" s="136"/>
      <c r="O850" s="34"/>
      <c r="P850" s="35"/>
      <c r="Q850" s="35"/>
      <c r="R850" s="35"/>
      <c r="S850" s="35"/>
      <c r="T850" s="35"/>
      <c r="U850" s="35"/>
      <c r="V850" s="35"/>
      <c r="W850" s="35"/>
      <c r="X850" s="35"/>
      <c r="Y850" s="35"/>
    </row>
    <row r="851" ht="14.25" customHeight="1">
      <c r="A851" s="136"/>
      <c r="B851" s="137"/>
      <c r="C851" s="251"/>
      <c r="D851" s="452"/>
      <c r="E851" s="136"/>
      <c r="F851" s="253"/>
      <c r="G851" s="527"/>
      <c r="H851" s="141"/>
      <c r="I851" s="141"/>
      <c r="J851" s="142"/>
      <c r="K851" s="142"/>
      <c r="L851" s="142"/>
      <c r="M851" s="142"/>
      <c r="N851" s="136"/>
      <c r="O851" s="34"/>
      <c r="P851" s="35"/>
      <c r="Q851" s="35"/>
      <c r="R851" s="35"/>
      <c r="S851" s="35"/>
      <c r="T851" s="35"/>
      <c r="U851" s="35"/>
      <c r="V851" s="35"/>
      <c r="W851" s="35"/>
      <c r="X851" s="35"/>
      <c r="Y851" s="35"/>
    </row>
    <row r="852" ht="14.25" customHeight="1">
      <c r="A852" s="136"/>
      <c r="B852" s="137"/>
      <c r="C852" s="251"/>
      <c r="D852" s="452"/>
      <c r="E852" s="136"/>
      <c r="F852" s="253"/>
      <c r="G852" s="527"/>
      <c r="H852" s="141"/>
      <c r="I852" s="141"/>
      <c r="J852" s="142"/>
      <c r="K852" s="142"/>
      <c r="L852" s="142"/>
      <c r="M852" s="142"/>
      <c r="N852" s="136"/>
      <c r="O852" s="34"/>
      <c r="P852" s="35"/>
      <c r="Q852" s="35"/>
      <c r="R852" s="35"/>
      <c r="S852" s="35"/>
      <c r="T852" s="35"/>
      <c r="U852" s="35"/>
      <c r="V852" s="35"/>
      <c r="W852" s="35"/>
      <c r="X852" s="35"/>
      <c r="Y852" s="35"/>
    </row>
    <row r="853" ht="14.25" customHeight="1">
      <c r="A853" s="136"/>
      <c r="B853" s="137"/>
      <c r="C853" s="251"/>
      <c r="D853" s="452"/>
      <c r="E853" s="136"/>
      <c r="F853" s="253"/>
      <c r="G853" s="527"/>
      <c r="H853" s="141"/>
      <c r="I853" s="141"/>
      <c r="J853" s="142"/>
      <c r="K853" s="142"/>
      <c r="L853" s="142"/>
      <c r="M853" s="142"/>
      <c r="N853" s="136"/>
      <c r="O853" s="34"/>
      <c r="P853" s="35"/>
      <c r="Q853" s="35"/>
      <c r="R853" s="35"/>
      <c r="S853" s="35"/>
      <c r="T853" s="35"/>
      <c r="U853" s="35"/>
      <c r="V853" s="35"/>
      <c r="W853" s="35"/>
      <c r="X853" s="35"/>
      <c r="Y853" s="35"/>
    </row>
    <row r="854" ht="14.25" customHeight="1">
      <c r="A854" s="136"/>
      <c r="B854" s="137"/>
      <c r="C854" s="251"/>
      <c r="D854" s="452"/>
      <c r="E854" s="136"/>
      <c r="F854" s="253"/>
      <c r="G854" s="527"/>
      <c r="H854" s="141"/>
      <c r="I854" s="141"/>
      <c r="J854" s="142"/>
      <c r="K854" s="142"/>
      <c r="L854" s="142"/>
      <c r="M854" s="142"/>
      <c r="N854" s="136"/>
      <c r="O854" s="34"/>
      <c r="P854" s="35"/>
      <c r="Q854" s="35"/>
      <c r="R854" s="35"/>
      <c r="S854" s="35"/>
      <c r="T854" s="35"/>
      <c r="U854" s="35"/>
      <c r="V854" s="35"/>
      <c r="W854" s="35"/>
      <c r="X854" s="35"/>
      <c r="Y854" s="35"/>
    </row>
    <row r="855" ht="14.25" customHeight="1">
      <c r="A855" s="136"/>
      <c r="B855" s="137"/>
      <c r="C855" s="251"/>
      <c r="D855" s="452"/>
      <c r="E855" s="136"/>
      <c r="F855" s="253"/>
      <c r="G855" s="527"/>
      <c r="H855" s="141"/>
      <c r="I855" s="141"/>
      <c r="J855" s="142"/>
      <c r="K855" s="142"/>
      <c r="L855" s="142"/>
      <c r="M855" s="142"/>
      <c r="N855" s="136"/>
      <c r="O855" s="34"/>
      <c r="P855" s="35"/>
      <c r="Q855" s="35"/>
      <c r="R855" s="35"/>
      <c r="S855" s="35"/>
      <c r="T855" s="35"/>
      <c r="U855" s="35"/>
      <c r="V855" s="35"/>
      <c r="W855" s="35"/>
      <c r="X855" s="35"/>
      <c r="Y855" s="35"/>
    </row>
    <row r="856" ht="14.25" customHeight="1">
      <c r="A856" s="136"/>
      <c r="B856" s="137"/>
      <c r="C856" s="251"/>
      <c r="D856" s="452"/>
      <c r="E856" s="136"/>
      <c r="F856" s="253"/>
      <c r="G856" s="527"/>
      <c r="H856" s="141"/>
      <c r="I856" s="141"/>
      <c r="J856" s="142"/>
      <c r="K856" s="142"/>
      <c r="L856" s="142"/>
      <c r="M856" s="142"/>
      <c r="N856" s="136"/>
      <c r="O856" s="34"/>
      <c r="P856" s="35"/>
      <c r="Q856" s="35"/>
      <c r="R856" s="35"/>
      <c r="S856" s="35"/>
      <c r="T856" s="35"/>
      <c r="U856" s="35"/>
      <c r="V856" s="35"/>
      <c r="W856" s="35"/>
      <c r="X856" s="35"/>
      <c r="Y856" s="35"/>
    </row>
    <row r="857" ht="14.25" customHeight="1">
      <c r="A857" s="136"/>
      <c r="B857" s="137"/>
      <c r="C857" s="251"/>
      <c r="D857" s="452"/>
      <c r="E857" s="136"/>
      <c r="F857" s="253"/>
      <c r="G857" s="527"/>
      <c r="H857" s="141"/>
      <c r="I857" s="141"/>
      <c r="J857" s="142"/>
      <c r="K857" s="142"/>
      <c r="L857" s="142"/>
      <c r="M857" s="142"/>
      <c r="N857" s="136"/>
      <c r="O857" s="34"/>
      <c r="P857" s="35"/>
      <c r="Q857" s="35"/>
      <c r="R857" s="35"/>
      <c r="S857" s="35"/>
      <c r="T857" s="35"/>
      <c r="U857" s="35"/>
      <c r="V857" s="35"/>
      <c r="W857" s="35"/>
      <c r="X857" s="35"/>
      <c r="Y857" s="35"/>
    </row>
    <row r="858" ht="14.25" customHeight="1">
      <c r="A858" s="136"/>
      <c r="B858" s="137"/>
      <c r="C858" s="251"/>
      <c r="D858" s="452"/>
      <c r="E858" s="136"/>
      <c r="F858" s="253"/>
      <c r="G858" s="527"/>
      <c r="H858" s="141"/>
      <c r="I858" s="141"/>
      <c r="J858" s="142"/>
      <c r="K858" s="142"/>
      <c r="L858" s="142"/>
      <c r="M858" s="142"/>
      <c r="N858" s="136"/>
      <c r="O858" s="34"/>
      <c r="P858" s="35"/>
      <c r="Q858" s="35"/>
      <c r="R858" s="35"/>
      <c r="S858" s="35"/>
      <c r="T858" s="35"/>
      <c r="U858" s="35"/>
      <c r="V858" s="35"/>
      <c r="W858" s="35"/>
      <c r="X858" s="35"/>
      <c r="Y858" s="35"/>
    </row>
    <row r="859" ht="14.25" customHeight="1">
      <c r="A859" s="136"/>
      <c r="B859" s="137"/>
      <c r="C859" s="251"/>
      <c r="D859" s="452"/>
      <c r="E859" s="136"/>
      <c r="F859" s="253"/>
      <c r="G859" s="527"/>
      <c r="H859" s="141"/>
      <c r="I859" s="141"/>
      <c r="J859" s="142"/>
      <c r="K859" s="142"/>
      <c r="L859" s="142"/>
      <c r="M859" s="142"/>
      <c r="N859" s="136"/>
      <c r="O859" s="34"/>
      <c r="P859" s="35"/>
      <c r="Q859" s="35"/>
      <c r="R859" s="35"/>
      <c r="S859" s="35"/>
      <c r="T859" s="35"/>
      <c r="U859" s="35"/>
      <c r="V859" s="35"/>
      <c r="W859" s="35"/>
      <c r="X859" s="35"/>
      <c r="Y859" s="35"/>
    </row>
    <row r="860" ht="14.25" customHeight="1">
      <c r="A860" s="136"/>
      <c r="B860" s="137"/>
      <c r="C860" s="251"/>
      <c r="D860" s="452"/>
      <c r="E860" s="136"/>
      <c r="F860" s="253"/>
      <c r="G860" s="527"/>
      <c r="H860" s="141"/>
      <c r="I860" s="141"/>
      <c r="J860" s="142"/>
      <c r="K860" s="142"/>
      <c r="L860" s="142"/>
      <c r="M860" s="142"/>
      <c r="N860" s="136"/>
      <c r="O860" s="34"/>
      <c r="P860" s="35"/>
      <c r="Q860" s="35"/>
      <c r="R860" s="35"/>
      <c r="S860" s="35"/>
      <c r="T860" s="35"/>
      <c r="U860" s="35"/>
      <c r="V860" s="35"/>
      <c r="W860" s="35"/>
      <c r="X860" s="35"/>
      <c r="Y860" s="35"/>
    </row>
    <row r="861" ht="14.25" customHeight="1">
      <c r="A861" s="136"/>
      <c r="B861" s="137"/>
      <c r="C861" s="251"/>
      <c r="D861" s="452"/>
      <c r="E861" s="136"/>
      <c r="F861" s="253"/>
      <c r="G861" s="527"/>
      <c r="H861" s="141"/>
      <c r="I861" s="141"/>
      <c r="J861" s="142"/>
      <c r="K861" s="142"/>
      <c r="L861" s="142"/>
      <c r="M861" s="142"/>
      <c r="N861" s="136"/>
      <c r="O861" s="34"/>
      <c r="P861" s="35"/>
      <c r="Q861" s="35"/>
      <c r="R861" s="35"/>
      <c r="S861" s="35"/>
      <c r="T861" s="35"/>
      <c r="U861" s="35"/>
      <c r="V861" s="35"/>
      <c r="W861" s="35"/>
      <c r="X861" s="35"/>
      <c r="Y861" s="35"/>
    </row>
    <row r="862" ht="14.25" customHeight="1">
      <c r="A862" s="136"/>
      <c r="B862" s="137"/>
      <c r="C862" s="251"/>
      <c r="D862" s="452"/>
      <c r="E862" s="136"/>
      <c r="F862" s="253"/>
      <c r="G862" s="527"/>
      <c r="H862" s="141"/>
      <c r="I862" s="141"/>
      <c r="J862" s="142"/>
      <c r="K862" s="142"/>
      <c r="L862" s="142"/>
      <c r="M862" s="142"/>
      <c r="N862" s="136"/>
      <c r="O862" s="34"/>
      <c r="P862" s="35"/>
      <c r="Q862" s="35"/>
      <c r="R862" s="35"/>
      <c r="S862" s="35"/>
      <c r="T862" s="35"/>
      <c r="U862" s="35"/>
      <c r="V862" s="35"/>
      <c r="W862" s="35"/>
      <c r="X862" s="35"/>
      <c r="Y862" s="35"/>
    </row>
    <row r="863" ht="14.25" customHeight="1">
      <c r="A863" s="136"/>
      <c r="B863" s="137"/>
      <c r="C863" s="251"/>
      <c r="D863" s="452"/>
      <c r="E863" s="136"/>
      <c r="F863" s="253"/>
      <c r="G863" s="527"/>
      <c r="H863" s="141"/>
      <c r="I863" s="141"/>
      <c r="J863" s="142"/>
      <c r="K863" s="142"/>
      <c r="L863" s="142"/>
      <c r="M863" s="142"/>
      <c r="N863" s="136"/>
      <c r="O863" s="34"/>
      <c r="P863" s="35"/>
      <c r="Q863" s="35"/>
      <c r="R863" s="35"/>
      <c r="S863" s="35"/>
      <c r="T863" s="35"/>
      <c r="U863" s="35"/>
      <c r="V863" s="35"/>
      <c r="W863" s="35"/>
      <c r="X863" s="35"/>
      <c r="Y863" s="35"/>
    </row>
    <row r="864" ht="14.25" customHeight="1">
      <c r="A864" s="136"/>
      <c r="B864" s="137"/>
      <c r="C864" s="251"/>
      <c r="D864" s="452"/>
      <c r="E864" s="136"/>
      <c r="F864" s="253"/>
      <c r="G864" s="527"/>
      <c r="H864" s="141"/>
      <c r="I864" s="141"/>
      <c r="J864" s="142"/>
      <c r="K864" s="142"/>
      <c r="L864" s="142"/>
      <c r="M864" s="142"/>
      <c r="N864" s="136"/>
      <c r="O864" s="34"/>
      <c r="P864" s="35"/>
      <c r="Q864" s="35"/>
      <c r="R864" s="35"/>
      <c r="S864" s="35"/>
      <c r="T864" s="35"/>
      <c r="U864" s="35"/>
      <c r="V864" s="35"/>
      <c r="W864" s="35"/>
      <c r="X864" s="35"/>
      <c r="Y864" s="35"/>
    </row>
    <row r="865" ht="14.25" customHeight="1">
      <c r="A865" s="136"/>
      <c r="B865" s="137"/>
      <c r="C865" s="251"/>
      <c r="D865" s="452"/>
      <c r="E865" s="136"/>
      <c r="F865" s="253"/>
      <c r="G865" s="527"/>
      <c r="H865" s="141"/>
      <c r="I865" s="141"/>
      <c r="J865" s="142"/>
      <c r="K865" s="142"/>
      <c r="L865" s="142"/>
      <c r="M865" s="142"/>
      <c r="N865" s="136"/>
      <c r="O865" s="34"/>
      <c r="P865" s="35"/>
      <c r="Q865" s="35"/>
      <c r="R865" s="35"/>
      <c r="S865" s="35"/>
      <c r="T865" s="35"/>
      <c r="U865" s="35"/>
      <c r="V865" s="35"/>
      <c r="W865" s="35"/>
      <c r="X865" s="35"/>
      <c r="Y865" s="35"/>
    </row>
    <row r="866" ht="14.25" customHeight="1">
      <c r="A866" s="136"/>
      <c r="B866" s="137"/>
      <c r="C866" s="251"/>
      <c r="D866" s="452"/>
      <c r="E866" s="136"/>
      <c r="F866" s="253"/>
      <c r="G866" s="527"/>
      <c r="H866" s="141"/>
      <c r="I866" s="141"/>
      <c r="J866" s="142"/>
      <c r="K866" s="142"/>
      <c r="L866" s="142"/>
      <c r="M866" s="142"/>
      <c r="N866" s="136"/>
      <c r="O866" s="34"/>
      <c r="P866" s="35"/>
      <c r="Q866" s="35"/>
      <c r="R866" s="35"/>
      <c r="S866" s="35"/>
      <c r="T866" s="35"/>
      <c r="U866" s="35"/>
      <c r="V866" s="35"/>
      <c r="W866" s="35"/>
      <c r="X866" s="35"/>
      <c r="Y866" s="35"/>
    </row>
    <row r="867" ht="14.25" customHeight="1">
      <c r="A867" s="136"/>
      <c r="B867" s="137"/>
      <c r="C867" s="251"/>
      <c r="D867" s="452"/>
      <c r="E867" s="136"/>
      <c r="F867" s="253"/>
      <c r="G867" s="527"/>
      <c r="H867" s="141"/>
      <c r="I867" s="141"/>
      <c r="J867" s="142"/>
      <c r="K867" s="142"/>
      <c r="L867" s="142"/>
      <c r="M867" s="142"/>
      <c r="N867" s="136"/>
      <c r="O867" s="34"/>
      <c r="P867" s="35"/>
      <c r="Q867" s="35"/>
      <c r="R867" s="35"/>
      <c r="S867" s="35"/>
      <c r="T867" s="35"/>
      <c r="U867" s="35"/>
      <c r="V867" s="35"/>
      <c r="W867" s="35"/>
      <c r="X867" s="35"/>
      <c r="Y867" s="35"/>
    </row>
    <row r="868" ht="14.25" customHeight="1">
      <c r="A868" s="136"/>
      <c r="B868" s="137"/>
      <c r="C868" s="251"/>
      <c r="D868" s="452"/>
      <c r="E868" s="136"/>
      <c r="F868" s="253"/>
      <c r="G868" s="527"/>
      <c r="H868" s="141"/>
      <c r="I868" s="141"/>
      <c r="J868" s="142"/>
      <c r="K868" s="142"/>
      <c r="L868" s="142"/>
      <c r="M868" s="142"/>
      <c r="N868" s="136"/>
      <c r="O868" s="34"/>
      <c r="P868" s="35"/>
      <c r="Q868" s="35"/>
      <c r="R868" s="35"/>
      <c r="S868" s="35"/>
      <c r="T868" s="35"/>
      <c r="U868" s="35"/>
      <c r="V868" s="35"/>
      <c r="W868" s="35"/>
      <c r="X868" s="35"/>
      <c r="Y868" s="35"/>
    </row>
    <row r="869" ht="14.25" customHeight="1">
      <c r="A869" s="136"/>
      <c r="B869" s="137"/>
      <c r="C869" s="251"/>
      <c r="D869" s="452"/>
      <c r="E869" s="136"/>
      <c r="F869" s="253"/>
      <c r="G869" s="527"/>
      <c r="H869" s="141"/>
      <c r="I869" s="141"/>
      <c r="J869" s="142"/>
      <c r="K869" s="142"/>
      <c r="L869" s="142"/>
      <c r="M869" s="142"/>
      <c r="N869" s="136"/>
      <c r="O869" s="34"/>
      <c r="P869" s="35"/>
      <c r="Q869" s="35"/>
      <c r="R869" s="35"/>
      <c r="S869" s="35"/>
      <c r="T869" s="35"/>
      <c r="U869" s="35"/>
      <c r="V869" s="35"/>
      <c r="W869" s="35"/>
      <c r="X869" s="35"/>
      <c r="Y869" s="35"/>
    </row>
    <row r="870" ht="14.25" customHeight="1">
      <c r="A870" s="136"/>
      <c r="B870" s="137"/>
      <c r="C870" s="251"/>
      <c r="D870" s="452"/>
      <c r="E870" s="136"/>
      <c r="F870" s="253"/>
      <c r="G870" s="527"/>
      <c r="H870" s="141"/>
      <c r="I870" s="141"/>
      <c r="J870" s="142"/>
      <c r="K870" s="142"/>
      <c r="L870" s="142"/>
      <c r="M870" s="142"/>
      <c r="N870" s="136"/>
      <c r="O870" s="34"/>
      <c r="P870" s="35"/>
      <c r="Q870" s="35"/>
      <c r="R870" s="35"/>
      <c r="S870" s="35"/>
      <c r="T870" s="35"/>
      <c r="U870" s="35"/>
      <c r="V870" s="35"/>
      <c r="W870" s="35"/>
      <c r="X870" s="35"/>
      <c r="Y870" s="35"/>
    </row>
    <row r="871" ht="14.25" customHeight="1">
      <c r="A871" s="136"/>
      <c r="B871" s="137"/>
      <c r="C871" s="251"/>
      <c r="D871" s="452"/>
      <c r="E871" s="136"/>
      <c r="F871" s="253"/>
      <c r="G871" s="527"/>
      <c r="H871" s="141"/>
      <c r="I871" s="141"/>
      <c r="J871" s="142"/>
      <c r="K871" s="142"/>
      <c r="L871" s="142"/>
      <c r="M871" s="142"/>
      <c r="N871" s="136"/>
      <c r="O871" s="34"/>
      <c r="P871" s="35"/>
      <c r="Q871" s="35"/>
      <c r="R871" s="35"/>
      <c r="S871" s="35"/>
      <c r="T871" s="35"/>
      <c r="U871" s="35"/>
      <c r="V871" s="35"/>
      <c r="W871" s="35"/>
      <c r="X871" s="35"/>
      <c r="Y871" s="35"/>
    </row>
    <row r="872" ht="14.25" customHeight="1">
      <c r="A872" s="136"/>
      <c r="B872" s="137"/>
      <c r="C872" s="251"/>
      <c r="D872" s="452"/>
      <c r="E872" s="136"/>
      <c r="F872" s="253"/>
      <c r="G872" s="527"/>
      <c r="H872" s="141"/>
      <c r="I872" s="141"/>
      <c r="J872" s="142"/>
      <c r="K872" s="142"/>
      <c r="L872" s="142"/>
      <c r="M872" s="142"/>
      <c r="N872" s="136"/>
      <c r="O872" s="34"/>
      <c r="P872" s="35"/>
      <c r="Q872" s="35"/>
      <c r="R872" s="35"/>
      <c r="S872" s="35"/>
      <c r="T872" s="35"/>
      <c r="U872" s="35"/>
      <c r="V872" s="35"/>
      <c r="W872" s="35"/>
      <c r="X872" s="35"/>
      <c r="Y872" s="35"/>
    </row>
    <row r="873" ht="14.25" customHeight="1">
      <c r="A873" s="136"/>
      <c r="B873" s="137"/>
      <c r="C873" s="251"/>
      <c r="D873" s="452"/>
      <c r="E873" s="136"/>
      <c r="F873" s="253"/>
      <c r="G873" s="527"/>
      <c r="H873" s="141"/>
      <c r="I873" s="141"/>
      <c r="J873" s="142"/>
      <c r="K873" s="142"/>
      <c r="L873" s="142"/>
      <c r="M873" s="142"/>
      <c r="N873" s="136"/>
      <c r="O873" s="34"/>
      <c r="P873" s="35"/>
      <c r="Q873" s="35"/>
      <c r="R873" s="35"/>
      <c r="S873" s="35"/>
      <c r="T873" s="35"/>
      <c r="U873" s="35"/>
      <c r="V873" s="35"/>
      <c r="W873" s="35"/>
      <c r="X873" s="35"/>
      <c r="Y873" s="35"/>
    </row>
    <row r="874" ht="14.25" customHeight="1">
      <c r="A874" s="136"/>
      <c r="B874" s="137"/>
      <c r="C874" s="251"/>
      <c r="D874" s="452"/>
      <c r="E874" s="136"/>
      <c r="F874" s="253"/>
      <c r="G874" s="527"/>
      <c r="H874" s="141"/>
      <c r="I874" s="141"/>
      <c r="J874" s="142"/>
      <c r="K874" s="142"/>
      <c r="L874" s="142"/>
      <c r="M874" s="142"/>
      <c r="N874" s="136"/>
      <c r="O874" s="34"/>
      <c r="P874" s="35"/>
      <c r="Q874" s="35"/>
      <c r="R874" s="35"/>
      <c r="S874" s="35"/>
      <c r="T874" s="35"/>
      <c r="U874" s="35"/>
      <c r="V874" s="35"/>
      <c r="W874" s="35"/>
      <c r="X874" s="35"/>
      <c r="Y874" s="35"/>
    </row>
    <row r="875" ht="14.25" customHeight="1">
      <c r="A875" s="136"/>
      <c r="B875" s="137"/>
      <c r="C875" s="251"/>
      <c r="D875" s="452"/>
      <c r="E875" s="136"/>
      <c r="F875" s="253"/>
      <c r="G875" s="527"/>
      <c r="H875" s="141"/>
      <c r="I875" s="141"/>
      <c r="J875" s="142"/>
      <c r="K875" s="142"/>
      <c r="L875" s="142"/>
      <c r="M875" s="142"/>
      <c r="N875" s="136"/>
      <c r="O875" s="34"/>
      <c r="P875" s="35"/>
      <c r="Q875" s="35"/>
      <c r="R875" s="35"/>
      <c r="S875" s="35"/>
      <c r="T875" s="35"/>
      <c r="U875" s="35"/>
      <c r="V875" s="35"/>
      <c r="W875" s="35"/>
      <c r="X875" s="35"/>
      <c r="Y875" s="35"/>
    </row>
    <row r="876" ht="14.25" customHeight="1">
      <c r="A876" s="136"/>
      <c r="B876" s="137"/>
      <c r="C876" s="251"/>
      <c r="D876" s="452"/>
      <c r="E876" s="136"/>
      <c r="F876" s="253"/>
      <c r="G876" s="527"/>
      <c r="H876" s="141"/>
      <c r="I876" s="141"/>
      <c r="J876" s="142"/>
      <c r="K876" s="142"/>
      <c r="L876" s="142"/>
      <c r="M876" s="142"/>
      <c r="N876" s="136"/>
      <c r="O876" s="34"/>
      <c r="P876" s="35"/>
      <c r="Q876" s="35"/>
      <c r="R876" s="35"/>
      <c r="S876" s="35"/>
      <c r="T876" s="35"/>
      <c r="U876" s="35"/>
      <c r="V876" s="35"/>
      <c r="W876" s="35"/>
      <c r="X876" s="35"/>
      <c r="Y876" s="35"/>
    </row>
    <row r="877" ht="14.25" customHeight="1">
      <c r="A877" s="136"/>
      <c r="B877" s="137"/>
      <c r="C877" s="251"/>
      <c r="D877" s="452"/>
      <c r="E877" s="136"/>
      <c r="F877" s="253"/>
      <c r="G877" s="527"/>
      <c r="H877" s="141"/>
      <c r="I877" s="141"/>
      <c r="J877" s="142"/>
      <c r="K877" s="142"/>
      <c r="L877" s="142"/>
      <c r="M877" s="142"/>
      <c r="N877" s="136"/>
      <c r="O877" s="34"/>
      <c r="P877" s="35"/>
      <c r="Q877" s="35"/>
      <c r="R877" s="35"/>
      <c r="S877" s="35"/>
      <c r="T877" s="35"/>
      <c r="U877" s="35"/>
      <c r="V877" s="35"/>
      <c r="W877" s="35"/>
      <c r="X877" s="35"/>
      <c r="Y877" s="35"/>
    </row>
    <row r="878" ht="14.25" customHeight="1">
      <c r="A878" s="136"/>
      <c r="B878" s="137"/>
      <c r="C878" s="251"/>
      <c r="D878" s="452"/>
      <c r="E878" s="136"/>
      <c r="F878" s="253"/>
      <c r="G878" s="527"/>
      <c r="H878" s="141"/>
      <c r="I878" s="141"/>
      <c r="J878" s="142"/>
      <c r="K878" s="142"/>
      <c r="L878" s="142"/>
      <c r="M878" s="142"/>
      <c r="N878" s="136"/>
      <c r="O878" s="34"/>
      <c r="P878" s="35"/>
      <c r="Q878" s="35"/>
      <c r="R878" s="35"/>
      <c r="S878" s="35"/>
      <c r="T878" s="35"/>
      <c r="U878" s="35"/>
      <c r="V878" s="35"/>
      <c r="W878" s="35"/>
      <c r="X878" s="35"/>
      <c r="Y878" s="35"/>
    </row>
    <row r="879" ht="14.25" customHeight="1">
      <c r="A879" s="136"/>
      <c r="B879" s="137"/>
      <c r="C879" s="251"/>
      <c r="D879" s="452"/>
      <c r="E879" s="136"/>
      <c r="F879" s="253"/>
      <c r="G879" s="527"/>
      <c r="H879" s="141"/>
      <c r="I879" s="141"/>
      <c r="J879" s="142"/>
      <c r="K879" s="142"/>
      <c r="L879" s="142"/>
      <c r="M879" s="142"/>
      <c r="N879" s="136"/>
      <c r="O879" s="34"/>
      <c r="P879" s="35"/>
      <c r="Q879" s="35"/>
      <c r="R879" s="35"/>
      <c r="S879" s="35"/>
      <c r="T879" s="35"/>
      <c r="U879" s="35"/>
      <c r="V879" s="35"/>
      <c r="W879" s="35"/>
      <c r="X879" s="35"/>
      <c r="Y879" s="35"/>
    </row>
    <row r="880" ht="14.25" customHeight="1">
      <c r="A880" s="136"/>
      <c r="B880" s="137"/>
      <c r="C880" s="251"/>
      <c r="D880" s="452"/>
      <c r="E880" s="136"/>
      <c r="F880" s="253"/>
      <c r="G880" s="527"/>
      <c r="H880" s="141"/>
      <c r="I880" s="141"/>
      <c r="J880" s="142"/>
      <c r="K880" s="142"/>
      <c r="L880" s="142"/>
      <c r="M880" s="142"/>
      <c r="N880" s="136"/>
      <c r="O880" s="34"/>
      <c r="P880" s="35"/>
      <c r="Q880" s="35"/>
      <c r="R880" s="35"/>
      <c r="S880" s="35"/>
      <c r="T880" s="35"/>
      <c r="U880" s="35"/>
      <c r="V880" s="35"/>
      <c r="W880" s="35"/>
      <c r="X880" s="35"/>
      <c r="Y880" s="35"/>
    </row>
    <row r="881" ht="14.25" customHeight="1">
      <c r="A881" s="136"/>
      <c r="B881" s="137"/>
      <c r="C881" s="251"/>
      <c r="D881" s="452"/>
      <c r="E881" s="136"/>
      <c r="F881" s="253"/>
      <c r="G881" s="527"/>
      <c r="H881" s="141"/>
      <c r="I881" s="141"/>
      <c r="J881" s="142"/>
      <c r="K881" s="142"/>
      <c r="L881" s="142"/>
      <c r="M881" s="142"/>
      <c r="N881" s="136"/>
      <c r="O881" s="34"/>
      <c r="P881" s="35"/>
      <c r="Q881" s="35"/>
      <c r="R881" s="35"/>
      <c r="S881" s="35"/>
      <c r="T881" s="35"/>
      <c r="U881" s="35"/>
      <c r="V881" s="35"/>
      <c r="W881" s="35"/>
      <c r="X881" s="35"/>
      <c r="Y881" s="35"/>
    </row>
    <row r="882" ht="14.25" customHeight="1">
      <c r="A882" s="136"/>
      <c r="B882" s="137"/>
      <c r="C882" s="251"/>
      <c r="D882" s="452"/>
      <c r="E882" s="136"/>
      <c r="F882" s="253"/>
      <c r="G882" s="527"/>
      <c r="H882" s="141"/>
      <c r="I882" s="141"/>
      <c r="J882" s="142"/>
      <c r="K882" s="142"/>
      <c r="L882" s="142"/>
      <c r="M882" s="142"/>
      <c r="N882" s="136"/>
      <c r="O882" s="34"/>
      <c r="P882" s="35"/>
      <c r="Q882" s="35"/>
      <c r="R882" s="35"/>
      <c r="S882" s="35"/>
      <c r="T882" s="35"/>
      <c r="U882" s="35"/>
      <c r="V882" s="35"/>
      <c r="W882" s="35"/>
      <c r="X882" s="35"/>
      <c r="Y882" s="35"/>
    </row>
    <row r="883" ht="14.25" customHeight="1">
      <c r="A883" s="136"/>
      <c r="B883" s="137"/>
      <c r="C883" s="251"/>
      <c r="D883" s="452"/>
      <c r="E883" s="136"/>
      <c r="F883" s="253"/>
      <c r="G883" s="527"/>
      <c r="H883" s="141"/>
      <c r="I883" s="141"/>
      <c r="J883" s="142"/>
      <c r="K883" s="142"/>
      <c r="L883" s="142"/>
      <c r="M883" s="142"/>
      <c r="N883" s="136"/>
      <c r="O883" s="34"/>
      <c r="P883" s="35"/>
      <c r="Q883" s="35"/>
      <c r="R883" s="35"/>
      <c r="S883" s="35"/>
      <c r="T883" s="35"/>
      <c r="U883" s="35"/>
      <c r="V883" s="35"/>
      <c r="W883" s="35"/>
      <c r="X883" s="35"/>
      <c r="Y883" s="35"/>
    </row>
    <row r="884" ht="14.25" customHeight="1">
      <c r="A884" s="136"/>
      <c r="B884" s="137"/>
      <c r="C884" s="251"/>
      <c r="D884" s="452"/>
      <c r="E884" s="136"/>
      <c r="F884" s="253"/>
      <c r="G884" s="527"/>
      <c r="H884" s="141"/>
      <c r="I884" s="141"/>
      <c r="J884" s="142"/>
      <c r="K884" s="142"/>
      <c r="L884" s="142"/>
      <c r="M884" s="142"/>
      <c r="N884" s="136"/>
      <c r="O884" s="34"/>
      <c r="P884" s="35"/>
      <c r="Q884" s="35"/>
      <c r="R884" s="35"/>
      <c r="S884" s="35"/>
      <c r="T884" s="35"/>
      <c r="U884" s="35"/>
      <c r="V884" s="35"/>
      <c r="W884" s="35"/>
      <c r="X884" s="35"/>
      <c r="Y884" s="35"/>
    </row>
    <row r="885" ht="14.25" customHeight="1">
      <c r="A885" s="136"/>
      <c r="B885" s="137"/>
      <c r="C885" s="251"/>
      <c r="D885" s="452"/>
      <c r="E885" s="136"/>
      <c r="F885" s="253"/>
      <c r="G885" s="527"/>
      <c r="H885" s="141"/>
      <c r="I885" s="141"/>
      <c r="J885" s="142"/>
      <c r="K885" s="142"/>
      <c r="L885" s="142"/>
      <c r="M885" s="142"/>
      <c r="N885" s="136"/>
      <c r="O885" s="34"/>
      <c r="P885" s="35"/>
      <c r="Q885" s="35"/>
      <c r="R885" s="35"/>
      <c r="S885" s="35"/>
      <c r="T885" s="35"/>
      <c r="U885" s="35"/>
      <c r="V885" s="35"/>
      <c r="W885" s="35"/>
      <c r="X885" s="35"/>
      <c r="Y885" s="35"/>
    </row>
    <row r="886" ht="14.25" customHeight="1">
      <c r="A886" s="136"/>
      <c r="B886" s="137"/>
      <c r="C886" s="251"/>
      <c r="D886" s="452"/>
      <c r="E886" s="136"/>
      <c r="F886" s="253"/>
      <c r="G886" s="527"/>
      <c r="H886" s="141"/>
      <c r="I886" s="141"/>
      <c r="J886" s="142"/>
      <c r="K886" s="142"/>
      <c r="L886" s="142"/>
      <c r="M886" s="142"/>
      <c r="N886" s="136"/>
      <c r="O886" s="34"/>
      <c r="P886" s="35"/>
      <c r="Q886" s="35"/>
      <c r="R886" s="35"/>
      <c r="S886" s="35"/>
      <c r="T886" s="35"/>
      <c r="U886" s="35"/>
      <c r="V886" s="35"/>
      <c r="W886" s="35"/>
      <c r="X886" s="35"/>
      <c r="Y886" s="35"/>
    </row>
    <row r="887" ht="14.25" customHeight="1">
      <c r="A887" s="136"/>
      <c r="B887" s="137"/>
      <c r="C887" s="251"/>
      <c r="D887" s="452"/>
      <c r="E887" s="136"/>
      <c r="F887" s="253"/>
      <c r="G887" s="527"/>
      <c r="H887" s="141"/>
      <c r="I887" s="141"/>
      <c r="J887" s="142"/>
      <c r="K887" s="142"/>
      <c r="L887" s="142"/>
      <c r="M887" s="142"/>
      <c r="N887" s="136"/>
      <c r="O887" s="34"/>
      <c r="P887" s="35"/>
      <c r="Q887" s="35"/>
      <c r="R887" s="35"/>
      <c r="S887" s="35"/>
      <c r="T887" s="35"/>
      <c r="U887" s="35"/>
      <c r="V887" s="35"/>
      <c r="W887" s="35"/>
      <c r="X887" s="35"/>
      <c r="Y887" s="35"/>
    </row>
    <row r="888" ht="14.25" customHeight="1">
      <c r="A888" s="136"/>
      <c r="B888" s="137"/>
      <c r="C888" s="251"/>
      <c r="D888" s="452"/>
      <c r="E888" s="136"/>
      <c r="F888" s="253"/>
      <c r="G888" s="527"/>
      <c r="H888" s="141"/>
      <c r="I888" s="141"/>
      <c r="J888" s="142"/>
      <c r="K888" s="142"/>
      <c r="L888" s="142"/>
      <c r="M888" s="142"/>
      <c r="N888" s="136"/>
      <c r="O888" s="34"/>
      <c r="P888" s="35"/>
      <c r="Q888" s="35"/>
      <c r="R888" s="35"/>
      <c r="S888" s="35"/>
      <c r="T888" s="35"/>
      <c r="U888" s="35"/>
      <c r="V888" s="35"/>
      <c r="W888" s="35"/>
      <c r="X888" s="35"/>
      <c r="Y888" s="35"/>
    </row>
    <row r="889" ht="14.25" customHeight="1">
      <c r="A889" s="136"/>
      <c r="B889" s="137"/>
      <c r="C889" s="251"/>
      <c r="D889" s="452"/>
      <c r="E889" s="136"/>
      <c r="F889" s="253"/>
      <c r="G889" s="527"/>
      <c r="H889" s="141"/>
      <c r="I889" s="141"/>
      <c r="J889" s="142"/>
      <c r="K889" s="142"/>
      <c r="L889" s="142"/>
      <c r="M889" s="142"/>
      <c r="N889" s="136"/>
      <c r="O889" s="34"/>
      <c r="P889" s="35"/>
      <c r="Q889" s="35"/>
      <c r="R889" s="35"/>
      <c r="S889" s="35"/>
      <c r="T889" s="35"/>
      <c r="U889" s="35"/>
      <c r="V889" s="35"/>
      <c r="W889" s="35"/>
      <c r="X889" s="35"/>
      <c r="Y889" s="35"/>
    </row>
    <row r="890" ht="14.25" customHeight="1">
      <c r="A890" s="136"/>
      <c r="B890" s="137"/>
      <c r="C890" s="251"/>
      <c r="D890" s="452"/>
      <c r="E890" s="136"/>
      <c r="F890" s="253"/>
      <c r="G890" s="527"/>
      <c r="H890" s="141"/>
      <c r="I890" s="141"/>
      <c r="J890" s="142"/>
      <c r="K890" s="142"/>
      <c r="L890" s="142"/>
      <c r="M890" s="142"/>
      <c r="N890" s="136"/>
      <c r="O890" s="34"/>
      <c r="P890" s="35"/>
      <c r="Q890" s="35"/>
      <c r="R890" s="35"/>
      <c r="S890" s="35"/>
      <c r="T890" s="35"/>
      <c r="U890" s="35"/>
      <c r="V890" s="35"/>
      <c r="W890" s="35"/>
      <c r="X890" s="35"/>
      <c r="Y890" s="35"/>
    </row>
    <row r="891" ht="14.25" customHeight="1">
      <c r="A891" s="136"/>
      <c r="B891" s="137"/>
      <c r="C891" s="251"/>
      <c r="D891" s="452"/>
      <c r="E891" s="136"/>
      <c r="F891" s="253"/>
      <c r="G891" s="527"/>
      <c r="H891" s="141"/>
      <c r="I891" s="141"/>
      <c r="J891" s="142"/>
      <c r="K891" s="142"/>
      <c r="L891" s="142"/>
      <c r="M891" s="142"/>
      <c r="N891" s="136"/>
      <c r="O891" s="34"/>
      <c r="P891" s="35"/>
      <c r="Q891" s="35"/>
      <c r="R891" s="35"/>
      <c r="S891" s="35"/>
      <c r="T891" s="35"/>
      <c r="U891" s="35"/>
      <c r="V891" s="35"/>
      <c r="W891" s="35"/>
      <c r="X891" s="35"/>
      <c r="Y891" s="35"/>
    </row>
    <row r="892" ht="14.25" customHeight="1">
      <c r="A892" s="136"/>
      <c r="B892" s="137"/>
      <c r="C892" s="251"/>
      <c r="D892" s="452"/>
      <c r="E892" s="136"/>
      <c r="F892" s="253"/>
      <c r="G892" s="527"/>
      <c r="H892" s="141"/>
      <c r="I892" s="141"/>
      <c r="J892" s="142"/>
      <c r="K892" s="142"/>
      <c r="L892" s="142"/>
      <c r="M892" s="142"/>
      <c r="N892" s="136"/>
      <c r="O892" s="34"/>
      <c r="P892" s="35"/>
      <c r="Q892" s="35"/>
      <c r="R892" s="35"/>
      <c r="S892" s="35"/>
      <c r="T892" s="35"/>
      <c r="U892" s="35"/>
      <c r="V892" s="35"/>
      <c r="W892" s="35"/>
      <c r="X892" s="35"/>
      <c r="Y892" s="35"/>
    </row>
    <row r="893" ht="14.25" customHeight="1">
      <c r="A893" s="136"/>
      <c r="B893" s="137"/>
      <c r="C893" s="251"/>
      <c r="D893" s="452"/>
      <c r="E893" s="136"/>
      <c r="F893" s="253"/>
      <c r="G893" s="527"/>
      <c r="H893" s="141"/>
      <c r="I893" s="141"/>
      <c r="J893" s="142"/>
      <c r="K893" s="142"/>
      <c r="L893" s="142"/>
      <c r="M893" s="142"/>
      <c r="N893" s="136"/>
      <c r="O893" s="34"/>
      <c r="P893" s="35"/>
      <c r="Q893" s="35"/>
      <c r="R893" s="35"/>
      <c r="S893" s="35"/>
      <c r="T893" s="35"/>
      <c r="U893" s="35"/>
      <c r="V893" s="35"/>
      <c r="W893" s="35"/>
      <c r="X893" s="35"/>
      <c r="Y893" s="35"/>
    </row>
    <row r="894" ht="14.25" customHeight="1">
      <c r="A894" s="136"/>
      <c r="B894" s="137"/>
      <c r="C894" s="251"/>
      <c r="D894" s="452"/>
      <c r="E894" s="136"/>
      <c r="F894" s="253"/>
      <c r="G894" s="527"/>
      <c r="H894" s="141"/>
      <c r="I894" s="141"/>
      <c r="J894" s="142"/>
      <c r="K894" s="142"/>
      <c r="L894" s="142"/>
      <c r="M894" s="142"/>
      <c r="N894" s="136"/>
      <c r="O894" s="34"/>
      <c r="P894" s="35"/>
      <c r="Q894" s="35"/>
      <c r="R894" s="35"/>
      <c r="S894" s="35"/>
      <c r="T894" s="35"/>
      <c r="U894" s="35"/>
      <c r="V894" s="35"/>
      <c r="W894" s="35"/>
      <c r="X894" s="35"/>
      <c r="Y894" s="35"/>
    </row>
    <row r="895" ht="14.25" customHeight="1">
      <c r="A895" s="136"/>
      <c r="B895" s="137"/>
      <c r="C895" s="251"/>
      <c r="D895" s="452"/>
      <c r="E895" s="136"/>
      <c r="F895" s="253"/>
      <c r="G895" s="527"/>
      <c r="H895" s="141"/>
      <c r="I895" s="141"/>
      <c r="J895" s="142"/>
      <c r="K895" s="142"/>
      <c r="L895" s="142"/>
      <c r="M895" s="142"/>
      <c r="N895" s="136"/>
      <c r="O895" s="34"/>
      <c r="P895" s="35"/>
      <c r="Q895" s="35"/>
      <c r="R895" s="35"/>
      <c r="S895" s="35"/>
      <c r="T895" s="35"/>
      <c r="U895" s="35"/>
      <c r="V895" s="35"/>
      <c r="W895" s="35"/>
      <c r="X895" s="35"/>
      <c r="Y895" s="35"/>
    </row>
    <row r="896" ht="14.25" customHeight="1">
      <c r="A896" s="136"/>
      <c r="B896" s="137"/>
      <c r="C896" s="251"/>
      <c r="D896" s="452"/>
      <c r="E896" s="136"/>
      <c r="F896" s="253"/>
      <c r="G896" s="527"/>
      <c r="H896" s="141"/>
      <c r="I896" s="141"/>
      <c r="J896" s="142"/>
      <c r="K896" s="142"/>
      <c r="L896" s="142"/>
      <c r="M896" s="142"/>
      <c r="N896" s="136"/>
      <c r="O896" s="34"/>
      <c r="P896" s="35"/>
      <c r="Q896" s="35"/>
      <c r="R896" s="35"/>
      <c r="S896" s="35"/>
      <c r="T896" s="35"/>
      <c r="U896" s="35"/>
      <c r="V896" s="35"/>
      <c r="W896" s="35"/>
      <c r="X896" s="35"/>
      <c r="Y896" s="35"/>
    </row>
    <row r="897" ht="14.25" customHeight="1">
      <c r="A897" s="136"/>
      <c r="B897" s="137"/>
      <c r="C897" s="251"/>
      <c r="D897" s="452"/>
      <c r="E897" s="136"/>
      <c r="F897" s="253"/>
      <c r="G897" s="527"/>
      <c r="H897" s="141"/>
      <c r="I897" s="141"/>
      <c r="J897" s="142"/>
      <c r="K897" s="142"/>
      <c r="L897" s="142"/>
      <c r="M897" s="142"/>
      <c r="N897" s="136"/>
      <c r="O897" s="34"/>
      <c r="P897" s="35"/>
      <c r="Q897" s="35"/>
      <c r="R897" s="35"/>
      <c r="S897" s="35"/>
      <c r="T897" s="35"/>
      <c r="U897" s="35"/>
      <c r="V897" s="35"/>
      <c r="W897" s="35"/>
      <c r="X897" s="35"/>
      <c r="Y897" s="35"/>
    </row>
    <row r="898" ht="14.25" customHeight="1">
      <c r="A898" s="136"/>
      <c r="B898" s="137"/>
      <c r="C898" s="251"/>
      <c r="D898" s="452"/>
      <c r="E898" s="136"/>
      <c r="F898" s="253"/>
      <c r="G898" s="527"/>
      <c r="H898" s="141"/>
      <c r="I898" s="141"/>
      <c r="J898" s="142"/>
      <c r="K898" s="142"/>
      <c r="L898" s="142"/>
      <c r="M898" s="142"/>
      <c r="N898" s="136"/>
      <c r="O898" s="34"/>
      <c r="P898" s="35"/>
      <c r="Q898" s="35"/>
      <c r="R898" s="35"/>
      <c r="S898" s="35"/>
      <c r="T898" s="35"/>
      <c r="U898" s="35"/>
      <c r="V898" s="35"/>
      <c r="W898" s="35"/>
      <c r="X898" s="35"/>
      <c r="Y898" s="35"/>
    </row>
    <row r="899" ht="14.25" customHeight="1">
      <c r="A899" s="136"/>
      <c r="B899" s="137"/>
      <c r="C899" s="251"/>
      <c r="D899" s="452"/>
      <c r="E899" s="136"/>
      <c r="F899" s="253"/>
      <c r="G899" s="527"/>
      <c r="H899" s="141"/>
      <c r="I899" s="141"/>
      <c r="J899" s="142"/>
      <c r="K899" s="142"/>
      <c r="L899" s="142"/>
      <c r="M899" s="142"/>
      <c r="N899" s="136"/>
      <c r="O899" s="34"/>
      <c r="P899" s="35"/>
      <c r="Q899" s="35"/>
      <c r="R899" s="35"/>
      <c r="S899" s="35"/>
      <c r="T899" s="35"/>
      <c r="U899" s="35"/>
      <c r="V899" s="35"/>
      <c r="W899" s="35"/>
      <c r="X899" s="35"/>
      <c r="Y899" s="35"/>
    </row>
    <row r="900" ht="14.25" customHeight="1">
      <c r="A900" s="136"/>
      <c r="B900" s="137"/>
      <c r="C900" s="251"/>
      <c r="D900" s="452"/>
      <c r="E900" s="136"/>
      <c r="F900" s="253"/>
      <c r="G900" s="527"/>
      <c r="H900" s="141"/>
      <c r="I900" s="141"/>
      <c r="J900" s="142"/>
      <c r="K900" s="142"/>
      <c r="L900" s="142"/>
      <c r="M900" s="142"/>
      <c r="N900" s="136"/>
      <c r="O900" s="34"/>
      <c r="P900" s="35"/>
      <c r="Q900" s="35"/>
      <c r="R900" s="35"/>
      <c r="S900" s="35"/>
      <c r="T900" s="35"/>
      <c r="U900" s="35"/>
      <c r="V900" s="35"/>
      <c r="W900" s="35"/>
      <c r="X900" s="35"/>
      <c r="Y900" s="35"/>
    </row>
    <row r="901" ht="14.25" customHeight="1">
      <c r="A901" s="136"/>
      <c r="B901" s="137"/>
      <c r="C901" s="251"/>
      <c r="D901" s="452"/>
      <c r="E901" s="136"/>
      <c r="F901" s="253"/>
      <c r="G901" s="527"/>
      <c r="H901" s="141"/>
      <c r="I901" s="141"/>
      <c r="J901" s="142"/>
      <c r="K901" s="142"/>
      <c r="L901" s="142"/>
      <c r="M901" s="142"/>
      <c r="N901" s="136"/>
      <c r="O901" s="34"/>
      <c r="P901" s="35"/>
      <c r="Q901" s="35"/>
      <c r="R901" s="35"/>
      <c r="S901" s="35"/>
      <c r="T901" s="35"/>
      <c r="U901" s="35"/>
      <c r="V901" s="35"/>
      <c r="W901" s="35"/>
      <c r="X901" s="35"/>
      <c r="Y901" s="35"/>
    </row>
    <row r="902" ht="14.25" customHeight="1">
      <c r="A902" s="136"/>
      <c r="B902" s="137"/>
      <c r="C902" s="251"/>
      <c r="D902" s="452"/>
      <c r="E902" s="136"/>
      <c r="F902" s="253"/>
      <c r="G902" s="527"/>
      <c r="H902" s="141"/>
      <c r="I902" s="141"/>
      <c r="J902" s="142"/>
      <c r="K902" s="142"/>
      <c r="L902" s="142"/>
      <c r="M902" s="142"/>
      <c r="N902" s="136"/>
      <c r="O902" s="34"/>
      <c r="P902" s="35"/>
      <c r="Q902" s="35"/>
      <c r="R902" s="35"/>
      <c r="S902" s="35"/>
      <c r="T902" s="35"/>
      <c r="U902" s="35"/>
      <c r="V902" s="35"/>
      <c r="W902" s="35"/>
      <c r="X902" s="35"/>
      <c r="Y902" s="35"/>
    </row>
    <row r="903" ht="14.25" customHeight="1">
      <c r="A903" s="136"/>
      <c r="B903" s="137"/>
      <c r="C903" s="251"/>
      <c r="D903" s="452"/>
      <c r="E903" s="136"/>
      <c r="F903" s="253"/>
      <c r="G903" s="527"/>
      <c r="H903" s="141"/>
      <c r="I903" s="141"/>
      <c r="J903" s="142"/>
      <c r="K903" s="142"/>
      <c r="L903" s="142"/>
      <c r="M903" s="142"/>
      <c r="N903" s="136"/>
      <c r="O903" s="34"/>
      <c r="P903" s="35"/>
      <c r="Q903" s="35"/>
      <c r="R903" s="35"/>
      <c r="S903" s="35"/>
      <c r="T903" s="35"/>
      <c r="U903" s="35"/>
      <c r="V903" s="35"/>
      <c r="W903" s="35"/>
      <c r="X903" s="35"/>
      <c r="Y903" s="35"/>
    </row>
    <row r="904" ht="14.25" customHeight="1">
      <c r="A904" s="136"/>
      <c r="B904" s="137"/>
      <c r="C904" s="251"/>
      <c r="D904" s="452"/>
      <c r="E904" s="136"/>
      <c r="F904" s="253"/>
      <c r="G904" s="527"/>
      <c r="H904" s="141"/>
      <c r="I904" s="141"/>
      <c r="J904" s="142"/>
      <c r="K904" s="142"/>
      <c r="L904" s="142"/>
      <c r="M904" s="142"/>
      <c r="N904" s="136"/>
      <c r="O904" s="34"/>
      <c r="P904" s="35"/>
      <c r="Q904" s="35"/>
      <c r="R904" s="35"/>
      <c r="S904" s="35"/>
      <c r="T904" s="35"/>
      <c r="U904" s="35"/>
      <c r="V904" s="35"/>
      <c r="W904" s="35"/>
      <c r="X904" s="35"/>
      <c r="Y904" s="35"/>
    </row>
    <row r="905" ht="14.25" customHeight="1">
      <c r="A905" s="136"/>
      <c r="B905" s="137"/>
      <c r="C905" s="251"/>
      <c r="D905" s="452"/>
      <c r="E905" s="136"/>
      <c r="F905" s="253"/>
      <c r="G905" s="527"/>
      <c r="H905" s="141"/>
      <c r="I905" s="141"/>
      <c r="J905" s="142"/>
      <c r="K905" s="142"/>
      <c r="L905" s="142"/>
      <c r="M905" s="142"/>
      <c r="N905" s="136"/>
      <c r="O905" s="34"/>
      <c r="P905" s="35"/>
      <c r="Q905" s="35"/>
      <c r="R905" s="35"/>
      <c r="S905" s="35"/>
      <c r="T905" s="35"/>
      <c r="U905" s="35"/>
      <c r="V905" s="35"/>
      <c r="W905" s="35"/>
      <c r="X905" s="35"/>
      <c r="Y905" s="35"/>
    </row>
    <row r="906" ht="14.25" customHeight="1">
      <c r="A906" s="136"/>
      <c r="B906" s="137"/>
      <c r="C906" s="251"/>
      <c r="D906" s="452"/>
      <c r="E906" s="136"/>
      <c r="F906" s="253"/>
      <c r="G906" s="527"/>
      <c r="H906" s="141"/>
      <c r="I906" s="141"/>
      <c r="J906" s="142"/>
      <c r="K906" s="142"/>
      <c r="L906" s="142"/>
      <c r="M906" s="142"/>
      <c r="N906" s="136"/>
      <c r="O906" s="34"/>
      <c r="P906" s="35"/>
      <c r="Q906" s="35"/>
      <c r="R906" s="35"/>
      <c r="S906" s="35"/>
      <c r="T906" s="35"/>
      <c r="U906" s="35"/>
      <c r="V906" s="35"/>
      <c r="W906" s="35"/>
      <c r="X906" s="35"/>
      <c r="Y906" s="35"/>
    </row>
    <row r="907" ht="14.25" customHeight="1">
      <c r="A907" s="136"/>
      <c r="B907" s="137"/>
      <c r="C907" s="251"/>
      <c r="D907" s="452"/>
      <c r="E907" s="136"/>
      <c r="F907" s="253"/>
      <c r="G907" s="527"/>
      <c r="H907" s="141"/>
      <c r="I907" s="141"/>
      <c r="J907" s="142"/>
      <c r="K907" s="142"/>
      <c r="L907" s="142"/>
      <c r="M907" s="142"/>
      <c r="N907" s="136"/>
      <c r="O907" s="34"/>
      <c r="P907" s="35"/>
      <c r="Q907" s="35"/>
      <c r="R907" s="35"/>
      <c r="S907" s="35"/>
      <c r="T907" s="35"/>
      <c r="U907" s="35"/>
      <c r="V907" s="35"/>
      <c r="W907" s="35"/>
      <c r="X907" s="35"/>
      <c r="Y907" s="35"/>
    </row>
    <row r="908" ht="14.25" customHeight="1">
      <c r="A908" s="136"/>
      <c r="B908" s="137"/>
      <c r="C908" s="251"/>
      <c r="D908" s="452"/>
      <c r="E908" s="136"/>
      <c r="F908" s="253"/>
      <c r="G908" s="527"/>
      <c r="H908" s="141"/>
      <c r="I908" s="141"/>
      <c r="J908" s="142"/>
      <c r="K908" s="142"/>
      <c r="L908" s="142"/>
      <c r="M908" s="142"/>
      <c r="N908" s="136"/>
      <c r="O908" s="34"/>
      <c r="P908" s="35"/>
      <c r="Q908" s="35"/>
      <c r="R908" s="35"/>
      <c r="S908" s="35"/>
      <c r="T908" s="35"/>
      <c r="U908" s="35"/>
      <c r="V908" s="35"/>
      <c r="W908" s="35"/>
      <c r="X908" s="35"/>
      <c r="Y908" s="35"/>
    </row>
    <row r="909" ht="14.25" customHeight="1">
      <c r="A909" s="136"/>
      <c r="B909" s="137"/>
      <c r="C909" s="251"/>
      <c r="D909" s="452"/>
      <c r="E909" s="136"/>
      <c r="F909" s="253"/>
      <c r="G909" s="527"/>
      <c r="H909" s="141"/>
      <c r="I909" s="141"/>
      <c r="J909" s="142"/>
      <c r="K909" s="142"/>
      <c r="L909" s="142"/>
      <c r="M909" s="142"/>
      <c r="N909" s="136"/>
      <c r="O909" s="34"/>
      <c r="P909" s="35"/>
      <c r="Q909" s="35"/>
      <c r="R909" s="35"/>
      <c r="S909" s="35"/>
      <c r="T909" s="35"/>
      <c r="U909" s="35"/>
      <c r="V909" s="35"/>
      <c r="W909" s="35"/>
      <c r="X909" s="35"/>
      <c r="Y909" s="35"/>
    </row>
    <row r="910" ht="14.25" customHeight="1">
      <c r="A910" s="136"/>
      <c r="B910" s="137"/>
      <c r="C910" s="251"/>
      <c r="D910" s="452"/>
      <c r="E910" s="136"/>
      <c r="F910" s="253"/>
      <c r="G910" s="527"/>
      <c r="H910" s="141"/>
      <c r="I910" s="141"/>
      <c r="J910" s="142"/>
      <c r="K910" s="142"/>
      <c r="L910" s="142"/>
      <c r="M910" s="142"/>
      <c r="N910" s="136"/>
      <c r="O910" s="34"/>
      <c r="P910" s="35"/>
      <c r="Q910" s="35"/>
      <c r="R910" s="35"/>
      <c r="S910" s="35"/>
      <c r="T910" s="35"/>
      <c r="U910" s="35"/>
      <c r="V910" s="35"/>
      <c r="W910" s="35"/>
      <c r="X910" s="35"/>
      <c r="Y910" s="35"/>
    </row>
    <row r="911" ht="14.25" customHeight="1">
      <c r="A911" s="136"/>
      <c r="B911" s="137"/>
      <c r="C911" s="251"/>
      <c r="D911" s="452"/>
      <c r="E911" s="136"/>
      <c r="F911" s="253"/>
      <c r="G911" s="527"/>
      <c r="H911" s="141"/>
      <c r="I911" s="141"/>
      <c r="J911" s="142"/>
      <c r="K911" s="142"/>
      <c r="L911" s="142"/>
      <c r="M911" s="142"/>
      <c r="N911" s="136"/>
      <c r="O911" s="34"/>
      <c r="P911" s="35"/>
      <c r="Q911" s="35"/>
      <c r="R911" s="35"/>
      <c r="S911" s="35"/>
      <c r="T911" s="35"/>
      <c r="U911" s="35"/>
      <c r="V911" s="35"/>
      <c r="W911" s="35"/>
      <c r="X911" s="35"/>
      <c r="Y911" s="35"/>
    </row>
    <row r="912" ht="14.25" customHeight="1">
      <c r="A912" s="136"/>
      <c r="B912" s="137"/>
      <c r="C912" s="251"/>
      <c r="D912" s="452"/>
      <c r="E912" s="136"/>
      <c r="F912" s="253"/>
      <c r="G912" s="527"/>
      <c r="H912" s="141"/>
      <c r="I912" s="141"/>
      <c r="J912" s="142"/>
      <c r="K912" s="142"/>
      <c r="L912" s="142"/>
      <c r="M912" s="142"/>
      <c r="N912" s="136"/>
      <c r="O912" s="34"/>
      <c r="P912" s="35"/>
      <c r="Q912" s="35"/>
      <c r="R912" s="35"/>
      <c r="S912" s="35"/>
      <c r="T912" s="35"/>
      <c r="U912" s="35"/>
      <c r="V912" s="35"/>
      <c r="W912" s="35"/>
      <c r="X912" s="35"/>
      <c r="Y912" s="35"/>
    </row>
    <row r="913" ht="14.25" customHeight="1">
      <c r="A913" s="136"/>
      <c r="B913" s="137"/>
      <c r="C913" s="251"/>
      <c r="D913" s="452"/>
      <c r="E913" s="136"/>
      <c r="F913" s="253"/>
      <c r="G913" s="527"/>
      <c r="H913" s="141"/>
      <c r="I913" s="141"/>
      <c r="J913" s="142"/>
      <c r="K913" s="142"/>
      <c r="L913" s="142"/>
      <c r="M913" s="142"/>
      <c r="N913" s="136"/>
      <c r="O913" s="34"/>
      <c r="P913" s="35"/>
      <c r="Q913" s="35"/>
      <c r="R913" s="35"/>
      <c r="S913" s="35"/>
      <c r="T913" s="35"/>
      <c r="U913" s="35"/>
      <c r="V913" s="35"/>
      <c r="W913" s="35"/>
      <c r="X913" s="35"/>
      <c r="Y913" s="35"/>
    </row>
    <row r="914" ht="14.25" customHeight="1">
      <c r="A914" s="136"/>
      <c r="B914" s="137"/>
      <c r="C914" s="251"/>
      <c r="D914" s="452"/>
      <c r="E914" s="136"/>
      <c r="F914" s="253"/>
      <c r="G914" s="527"/>
      <c r="H914" s="141"/>
      <c r="I914" s="141"/>
      <c r="J914" s="142"/>
      <c r="K914" s="142"/>
      <c r="L914" s="142"/>
      <c r="M914" s="142"/>
      <c r="N914" s="136"/>
      <c r="O914" s="34"/>
      <c r="P914" s="35"/>
      <c r="Q914" s="35"/>
      <c r="R914" s="35"/>
      <c r="S914" s="35"/>
      <c r="T914" s="35"/>
      <c r="U914" s="35"/>
      <c r="V914" s="35"/>
      <c r="W914" s="35"/>
      <c r="X914" s="35"/>
      <c r="Y914" s="35"/>
    </row>
    <row r="915" ht="14.25" customHeight="1">
      <c r="A915" s="136"/>
      <c r="B915" s="137"/>
      <c r="C915" s="251"/>
      <c r="D915" s="452"/>
      <c r="E915" s="136"/>
      <c r="F915" s="253"/>
      <c r="G915" s="527"/>
      <c r="H915" s="141"/>
      <c r="I915" s="141"/>
      <c r="J915" s="142"/>
      <c r="K915" s="142"/>
      <c r="L915" s="142"/>
      <c r="M915" s="142"/>
      <c r="N915" s="136"/>
      <c r="O915" s="34"/>
      <c r="P915" s="35"/>
      <c r="Q915" s="35"/>
      <c r="R915" s="35"/>
      <c r="S915" s="35"/>
      <c r="T915" s="35"/>
      <c r="U915" s="35"/>
      <c r="V915" s="35"/>
      <c r="W915" s="35"/>
      <c r="X915" s="35"/>
      <c r="Y915" s="35"/>
    </row>
    <row r="916" ht="14.25" customHeight="1">
      <c r="A916" s="136"/>
      <c r="B916" s="137"/>
      <c r="C916" s="251"/>
      <c r="D916" s="452"/>
      <c r="E916" s="136"/>
      <c r="F916" s="253"/>
      <c r="G916" s="527"/>
      <c r="H916" s="141"/>
      <c r="I916" s="141"/>
      <c r="J916" s="142"/>
      <c r="K916" s="142"/>
      <c r="L916" s="142"/>
      <c r="M916" s="142"/>
      <c r="N916" s="136"/>
      <c r="O916" s="34"/>
      <c r="P916" s="35"/>
      <c r="Q916" s="35"/>
      <c r="R916" s="35"/>
      <c r="S916" s="35"/>
      <c r="T916" s="35"/>
      <c r="U916" s="35"/>
      <c r="V916" s="35"/>
      <c r="W916" s="35"/>
      <c r="X916" s="35"/>
      <c r="Y916" s="35"/>
    </row>
    <row r="917" ht="14.25" customHeight="1">
      <c r="A917" s="136"/>
      <c r="B917" s="137"/>
      <c r="C917" s="251"/>
      <c r="D917" s="452"/>
      <c r="E917" s="136"/>
      <c r="F917" s="253"/>
      <c r="G917" s="527"/>
      <c r="H917" s="141"/>
      <c r="I917" s="141"/>
      <c r="J917" s="142"/>
      <c r="K917" s="142"/>
      <c r="L917" s="142"/>
      <c r="M917" s="142"/>
      <c r="N917" s="136"/>
      <c r="O917" s="34"/>
      <c r="P917" s="35"/>
      <c r="Q917" s="35"/>
      <c r="R917" s="35"/>
      <c r="S917" s="35"/>
      <c r="T917" s="35"/>
      <c r="U917" s="35"/>
      <c r="V917" s="35"/>
      <c r="W917" s="35"/>
      <c r="X917" s="35"/>
      <c r="Y917" s="35"/>
    </row>
    <row r="918" ht="14.25" customHeight="1">
      <c r="A918" s="136"/>
      <c r="B918" s="137"/>
      <c r="C918" s="251"/>
      <c r="D918" s="452"/>
      <c r="E918" s="136"/>
      <c r="F918" s="253"/>
      <c r="G918" s="527"/>
      <c r="H918" s="141"/>
      <c r="I918" s="141"/>
      <c r="J918" s="142"/>
      <c r="K918" s="142"/>
      <c r="L918" s="142"/>
      <c r="M918" s="142"/>
      <c r="N918" s="136"/>
      <c r="O918" s="34"/>
      <c r="P918" s="35"/>
      <c r="Q918" s="35"/>
      <c r="R918" s="35"/>
      <c r="S918" s="35"/>
      <c r="T918" s="35"/>
      <c r="U918" s="35"/>
      <c r="V918" s="35"/>
      <c r="W918" s="35"/>
      <c r="X918" s="35"/>
      <c r="Y918" s="35"/>
    </row>
    <row r="919" ht="14.25" customHeight="1">
      <c r="A919" s="136"/>
      <c r="B919" s="137"/>
      <c r="C919" s="251"/>
      <c r="D919" s="452"/>
      <c r="E919" s="136"/>
      <c r="F919" s="253"/>
      <c r="G919" s="527"/>
      <c r="H919" s="141"/>
      <c r="I919" s="141"/>
      <c r="J919" s="142"/>
      <c r="K919" s="142"/>
      <c r="L919" s="142"/>
      <c r="M919" s="142"/>
      <c r="N919" s="136"/>
      <c r="O919" s="34"/>
      <c r="P919" s="35"/>
      <c r="Q919" s="35"/>
      <c r="R919" s="35"/>
      <c r="S919" s="35"/>
      <c r="T919" s="35"/>
      <c r="U919" s="35"/>
      <c r="V919" s="35"/>
      <c r="W919" s="35"/>
      <c r="X919" s="35"/>
      <c r="Y919" s="35"/>
    </row>
    <row r="920" ht="14.25" customHeight="1">
      <c r="A920" s="136"/>
      <c r="B920" s="137"/>
      <c r="C920" s="251"/>
      <c r="D920" s="452"/>
      <c r="E920" s="136"/>
      <c r="F920" s="253"/>
      <c r="G920" s="527"/>
      <c r="H920" s="141"/>
      <c r="I920" s="141"/>
      <c r="J920" s="142"/>
      <c r="K920" s="142"/>
      <c r="L920" s="142"/>
      <c r="M920" s="142"/>
      <c r="N920" s="136"/>
      <c r="O920" s="34"/>
      <c r="P920" s="35"/>
      <c r="Q920" s="35"/>
      <c r="R920" s="35"/>
      <c r="S920" s="35"/>
      <c r="T920" s="35"/>
      <c r="U920" s="35"/>
      <c r="V920" s="35"/>
      <c r="W920" s="35"/>
      <c r="X920" s="35"/>
      <c r="Y920" s="35"/>
    </row>
    <row r="921" ht="14.25" customHeight="1">
      <c r="A921" s="136"/>
      <c r="B921" s="137"/>
      <c r="C921" s="251"/>
      <c r="D921" s="452"/>
      <c r="E921" s="136"/>
      <c r="F921" s="253"/>
      <c r="G921" s="527"/>
      <c r="H921" s="141"/>
      <c r="I921" s="141"/>
      <c r="J921" s="142"/>
      <c r="K921" s="142"/>
      <c r="L921" s="142"/>
      <c r="M921" s="142"/>
      <c r="N921" s="136"/>
      <c r="O921" s="34"/>
      <c r="P921" s="35"/>
      <c r="Q921" s="35"/>
      <c r="R921" s="35"/>
      <c r="S921" s="35"/>
      <c r="T921" s="35"/>
      <c r="U921" s="35"/>
      <c r="V921" s="35"/>
      <c r="W921" s="35"/>
      <c r="X921" s="35"/>
      <c r="Y921" s="35"/>
    </row>
    <row r="922" ht="14.25" customHeight="1">
      <c r="A922" s="136"/>
      <c r="B922" s="137"/>
      <c r="C922" s="251"/>
      <c r="D922" s="452"/>
      <c r="E922" s="136"/>
      <c r="F922" s="253"/>
      <c r="G922" s="527"/>
      <c r="H922" s="141"/>
      <c r="I922" s="141"/>
      <c r="J922" s="142"/>
      <c r="K922" s="142"/>
      <c r="L922" s="142"/>
      <c r="M922" s="142"/>
      <c r="N922" s="136"/>
      <c r="O922" s="34"/>
      <c r="P922" s="35"/>
      <c r="Q922" s="35"/>
      <c r="R922" s="35"/>
      <c r="S922" s="35"/>
      <c r="T922" s="35"/>
      <c r="U922" s="35"/>
      <c r="V922" s="35"/>
      <c r="W922" s="35"/>
      <c r="X922" s="35"/>
      <c r="Y922" s="35"/>
    </row>
    <row r="923" ht="14.25" customHeight="1">
      <c r="A923" s="136"/>
      <c r="B923" s="137"/>
      <c r="C923" s="251"/>
      <c r="D923" s="452"/>
      <c r="E923" s="136"/>
      <c r="F923" s="253"/>
      <c r="G923" s="527"/>
      <c r="H923" s="141"/>
      <c r="I923" s="141"/>
      <c r="J923" s="142"/>
      <c r="K923" s="142"/>
      <c r="L923" s="142"/>
      <c r="M923" s="142"/>
      <c r="N923" s="136"/>
      <c r="O923" s="34"/>
      <c r="P923" s="35"/>
      <c r="Q923" s="35"/>
      <c r="R923" s="35"/>
      <c r="S923" s="35"/>
      <c r="T923" s="35"/>
      <c r="U923" s="35"/>
      <c r="V923" s="35"/>
      <c r="W923" s="35"/>
      <c r="X923" s="35"/>
      <c r="Y923" s="35"/>
    </row>
    <row r="924" ht="14.25" customHeight="1">
      <c r="A924" s="136"/>
      <c r="B924" s="137"/>
      <c r="C924" s="251"/>
      <c r="D924" s="452"/>
      <c r="E924" s="136"/>
      <c r="F924" s="253"/>
      <c r="G924" s="527"/>
      <c r="H924" s="141"/>
      <c r="I924" s="141"/>
      <c r="J924" s="142"/>
      <c r="K924" s="142"/>
      <c r="L924" s="142"/>
      <c r="M924" s="142"/>
      <c r="N924" s="136"/>
      <c r="O924" s="34"/>
      <c r="P924" s="35"/>
      <c r="Q924" s="35"/>
      <c r="R924" s="35"/>
      <c r="S924" s="35"/>
      <c r="T924" s="35"/>
      <c r="U924" s="35"/>
      <c r="V924" s="35"/>
      <c r="W924" s="35"/>
      <c r="X924" s="35"/>
      <c r="Y924" s="35"/>
    </row>
    <row r="925" ht="14.25" customHeight="1">
      <c r="A925" s="136"/>
      <c r="B925" s="137"/>
      <c r="C925" s="251"/>
      <c r="D925" s="452"/>
      <c r="E925" s="136"/>
      <c r="F925" s="253"/>
      <c r="G925" s="527"/>
      <c r="H925" s="141"/>
      <c r="I925" s="141"/>
      <c r="J925" s="142"/>
      <c r="K925" s="142"/>
      <c r="L925" s="142"/>
      <c r="M925" s="142"/>
      <c r="N925" s="136"/>
      <c r="O925" s="34"/>
      <c r="P925" s="35"/>
      <c r="Q925" s="35"/>
      <c r="R925" s="35"/>
      <c r="S925" s="35"/>
      <c r="T925" s="35"/>
      <c r="U925" s="35"/>
      <c r="V925" s="35"/>
      <c r="W925" s="35"/>
      <c r="X925" s="35"/>
      <c r="Y925" s="35"/>
    </row>
    <row r="926" ht="14.25" customHeight="1">
      <c r="A926" s="136"/>
      <c r="B926" s="137"/>
      <c r="C926" s="251"/>
      <c r="D926" s="452"/>
      <c r="E926" s="136"/>
      <c r="F926" s="253"/>
      <c r="G926" s="527"/>
      <c r="H926" s="141"/>
      <c r="I926" s="141"/>
      <c r="J926" s="142"/>
      <c r="K926" s="142"/>
      <c r="L926" s="142"/>
      <c r="M926" s="142"/>
      <c r="N926" s="136"/>
      <c r="O926" s="34"/>
      <c r="P926" s="35"/>
      <c r="Q926" s="35"/>
      <c r="R926" s="35"/>
      <c r="S926" s="35"/>
      <c r="T926" s="35"/>
      <c r="U926" s="35"/>
      <c r="V926" s="35"/>
      <c r="W926" s="35"/>
      <c r="X926" s="35"/>
      <c r="Y926" s="35"/>
    </row>
    <row r="927" ht="14.25" customHeight="1">
      <c r="A927" s="136"/>
      <c r="B927" s="137"/>
      <c r="C927" s="251"/>
      <c r="D927" s="452"/>
      <c r="E927" s="136"/>
      <c r="F927" s="253"/>
      <c r="G927" s="527"/>
      <c r="H927" s="141"/>
      <c r="I927" s="141"/>
      <c r="J927" s="142"/>
      <c r="K927" s="142"/>
      <c r="L927" s="142"/>
      <c r="M927" s="142"/>
      <c r="N927" s="136"/>
      <c r="O927" s="34"/>
      <c r="P927" s="35"/>
      <c r="Q927" s="35"/>
      <c r="R927" s="35"/>
      <c r="S927" s="35"/>
      <c r="T927" s="35"/>
      <c r="U927" s="35"/>
      <c r="V927" s="35"/>
      <c r="W927" s="35"/>
      <c r="X927" s="35"/>
      <c r="Y927" s="35"/>
    </row>
    <row r="928" ht="14.25" customHeight="1">
      <c r="A928" s="136"/>
      <c r="B928" s="137"/>
      <c r="C928" s="251"/>
      <c r="D928" s="452"/>
      <c r="E928" s="136"/>
      <c r="F928" s="253"/>
      <c r="G928" s="527"/>
      <c r="H928" s="141"/>
      <c r="I928" s="141"/>
      <c r="J928" s="142"/>
      <c r="K928" s="142"/>
      <c r="L928" s="142"/>
      <c r="M928" s="142"/>
      <c r="N928" s="136"/>
      <c r="O928" s="34"/>
      <c r="P928" s="35"/>
      <c r="Q928" s="35"/>
      <c r="R928" s="35"/>
      <c r="S928" s="35"/>
      <c r="T928" s="35"/>
      <c r="U928" s="35"/>
      <c r="V928" s="35"/>
      <c r="W928" s="35"/>
      <c r="X928" s="35"/>
      <c r="Y928" s="35"/>
    </row>
    <row r="929" ht="14.25" customHeight="1">
      <c r="A929" s="136"/>
      <c r="B929" s="137"/>
      <c r="C929" s="251"/>
      <c r="D929" s="452"/>
      <c r="E929" s="136"/>
      <c r="F929" s="253"/>
      <c r="G929" s="527"/>
      <c r="H929" s="141"/>
      <c r="I929" s="141"/>
      <c r="J929" s="142"/>
      <c r="K929" s="142"/>
      <c r="L929" s="142"/>
      <c r="M929" s="142"/>
      <c r="N929" s="136"/>
      <c r="O929" s="34"/>
      <c r="P929" s="35"/>
      <c r="Q929" s="35"/>
      <c r="R929" s="35"/>
      <c r="S929" s="35"/>
      <c r="T929" s="35"/>
      <c r="U929" s="35"/>
      <c r="V929" s="35"/>
      <c r="W929" s="35"/>
      <c r="X929" s="35"/>
      <c r="Y929" s="35"/>
    </row>
    <row r="930" ht="14.25" customHeight="1">
      <c r="A930" s="136"/>
      <c r="B930" s="137"/>
      <c r="C930" s="251"/>
      <c r="D930" s="452"/>
      <c r="E930" s="136"/>
      <c r="F930" s="253"/>
      <c r="G930" s="527"/>
      <c r="H930" s="141"/>
      <c r="I930" s="141"/>
      <c r="J930" s="142"/>
      <c r="K930" s="142"/>
      <c r="L930" s="142"/>
      <c r="M930" s="142"/>
      <c r="N930" s="136"/>
      <c r="O930" s="34"/>
      <c r="P930" s="35"/>
      <c r="Q930" s="35"/>
      <c r="R930" s="35"/>
      <c r="S930" s="35"/>
      <c r="T930" s="35"/>
      <c r="U930" s="35"/>
      <c r="V930" s="35"/>
      <c r="W930" s="35"/>
      <c r="X930" s="35"/>
      <c r="Y930" s="35"/>
    </row>
    <row r="931" ht="14.25" customHeight="1">
      <c r="A931" s="136"/>
      <c r="B931" s="137"/>
      <c r="C931" s="251"/>
      <c r="D931" s="452"/>
      <c r="E931" s="136"/>
      <c r="F931" s="253"/>
      <c r="G931" s="527"/>
      <c r="H931" s="141"/>
      <c r="I931" s="141"/>
      <c r="J931" s="142"/>
      <c r="K931" s="142"/>
      <c r="L931" s="142"/>
      <c r="M931" s="142"/>
      <c r="N931" s="136"/>
      <c r="O931" s="34"/>
      <c r="P931" s="35"/>
      <c r="Q931" s="35"/>
      <c r="R931" s="35"/>
      <c r="S931" s="35"/>
      <c r="T931" s="35"/>
      <c r="U931" s="35"/>
      <c r="V931" s="35"/>
      <c r="W931" s="35"/>
      <c r="X931" s="35"/>
      <c r="Y931" s="35"/>
    </row>
    <row r="932" ht="14.25" customHeight="1">
      <c r="A932" s="136"/>
      <c r="B932" s="137"/>
      <c r="C932" s="251"/>
      <c r="D932" s="452"/>
      <c r="E932" s="136"/>
      <c r="F932" s="253"/>
      <c r="G932" s="527"/>
      <c r="H932" s="141"/>
      <c r="I932" s="141"/>
      <c r="J932" s="142"/>
      <c r="K932" s="142"/>
      <c r="L932" s="142"/>
      <c r="M932" s="142"/>
      <c r="N932" s="136"/>
      <c r="O932" s="34"/>
      <c r="P932" s="35"/>
      <c r="Q932" s="35"/>
      <c r="R932" s="35"/>
      <c r="S932" s="35"/>
      <c r="T932" s="35"/>
      <c r="U932" s="35"/>
      <c r="V932" s="35"/>
      <c r="W932" s="35"/>
      <c r="X932" s="35"/>
      <c r="Y932" s="35"/>
    </row>
    <row r="933" ht="14.25" customHeight="1">
      <c r="A933" s="136"/>
      <c r="B933" s="137"/>
      <c r="C933" s="251"/>
      <c r="D933" s="452"/>
      <c r="E933" s="136"/>
      <c r="F933" s="253"/>
      <c r="G933" s="527"/>
      <c r="H933" s="141"/>
      <c r="I933" s="141"/>
      <c r="J933" s="142"/>
      <c r="K933" s="142"/>
      <c r="L933" s="142"/>
      <c r="M933" s="142"/>
      <c r="N933" s="136"/>
      <c r="O933" s="34"/>
      <c r="P933" s="35"/>
      <c r="Q933" s="35"/>
      <c r="R933" s="35"/>
      <c r="S933" s="35"/>
      <c r="T933" s="35"/>
      <c r="U933" s="35"/>
      <c r="V933" s="35"/>
      <c r="W933" s="35"/>
      <c r="X933" s="35"/>
      <c r="Y933" s="35"/>
    </row>
    <row r="934" ht="14.25" customHeight="1">
      <c r="A934" s="136"/>
      <c r="B934" s="137"/>
      <c r="C934" s="251"/>
      <c r="D934" s="452"/>
      <c r="E934" s="136"/>
      <c r="F934" s="253"/>
      <c r="G934" s="527"/>
      <c r="H934" s="141"/>
      <c r="I934" s="141"/>
      <c r="J934" s="142"/>
      <c r="K934" s="142"/>
      <c r="L934" s="142"/>
      <c r="M934" s="142"/>
      <c r="N934" s="136"/>
      <c r="O934" s="34"/>
      <c r="P934" s="35"/>
      <c r="Q934" s="35"/>
      <c r="R934" s="35"/>
      <c r="S934" s="35"/>
      <c r="T934" s="35"/>
      <c r="U934" s="35"/>
      <c r="V934" s="35"/>
      <c r="W934" s="35"/>
      <c r="X934" s="35"/>
      <c r="Y934" s="35"/>
    </row>
    <row r="935" ht="14.25" customHeight="1">
      <c r="A935" s="136"/>
      <c r="B935" s="137"/>
      <c r="C935" s="251"/>
      <c r="D935" s="452"/>
      <c r="E935" s="136"/>
      <c r="F935" s="253"/>
      <c r="G935" s="527"/>
      <c r="H935" s="141"/>
      <c r="I935" s="141"/>
      <c r="J935" s="142"/>
      <c r="K935" s="142"/>
      <c r="L935" s="142"/>
      <c r="M935" s="142"/>
      <c r="N935" s="136"/>
      <c r="O935" s="34"/>
      <c r="P935" s="35"/>
      <c r="Q935" s="35"/>
      <c r="R935" s="35"/>
      <c r="S935" s="35"/>
      <c r="T935" s="35"/>
      <c r="U935" s="35"/>
      <c r="V935" s="35"/>
      <c r="W935" s="35"/>
      <c r="X935" s="35"/>
      <c r="Y935" s="35"/>
    </row>
    <row r="936" ht="14.25" customHeight="1">
      <c r="A936" s="136"/>
      <c r="B936" s="137"/>
      <c r="C936" s="251"/>
      <c r="D936" s="452"/>
      <c r="E936" s="136"/>
      <c r="F936" s="253"/>
      <c r="G936" s="527"/>
      <c r="H936" s="141"/>
      <c r="I936" s="141"/>
      <c r="J936" s="142"/>
      <c r="K936" s="142"/>
      <c r="L936" s="142"/>
      <c r="M936" s="142"/>
      <c r="N936" s="136"/>
      <c r="O936" s="34"/>
      <c r="P936" s="35"/>
      <c r="Q936" s="35"/>
      <c r="R936" s="35"/>
      <c r="S936" s="35"/>
      <c r="T936" s="35"/>
      <c r="U936" s="35"/>
      <c r="V936" s="35"/>
      <c r="W936" s="35"/>
      <c r="X936" s="35"/>
      <c r="Y936" s="35"/>
    </row>
    <row r="937" ht="14.25" customHeight="1">
      <c r="A937" s="136"/>
      <c r="B937" s="137"/>
      <c r="C937" s="251"/>
      <c r="D937" s="452"/>
      <c r="E937" s="136"/>
      <c r="F937" s="253"/>
      <c r="G937" s="527"/>
      <c r="H937" s="141"/>
      <c r="I937" s="141"/>
      <c r="J937" s="142"/>
      <c r="K937" s="142"/>
      <c r="L937" s="142"/>
      <c r="M937" s="142"/>
      <c r="N937" s="136"/>
      <c r="O937" s="34"/>
      <c r="P937" s="35"/>
      <c r="Q937" s="35"/>
      <c r="R937" s="35"/>
      <c r="S937" s="35"/>
      <c r="T937" s="35"/>
      <c r="U937" s="35"/>
      <c r="V937" s="35"/>
      <c r="W937" s="35"/>
      <c r="X937" s="35"/>
      <c r="Y937" s="35"/>
    </row>
    <row r="938" ht="14.25" customHeight="1">
      <c r="A938" s="136"/>
      <c r="B938" s="137"/>
      <c r="C938" s="251"/>
      <c r="D938" s="452"/>
      <c r="E938" s="136"/>
      <c r="F938" s="253"/>
      <c r="G938" s="527"/>
      <c r="H938" s="141"/>
      <c r="I938" s="141"/>
      <c r="J938" s="142"/>
      <c r="K938" s="142"/>
      <c r="L938" s="142"/>
      <c r="M938" s="142"/>
      <c r="N938" s="136"/>
      <c r="O938" s="34"/>
      <c r="P938" s="35"/>
      <c r="Q938" s="35"/>
      <c r="R938" s="35"/>
      <c r="S938" s="35"/>
      <c r="T938" s="35"/>
      <c r="U938" s="35"/>
      <c r="V938" s="35"/>
      <c r="W938" s="35"/>
      <c r="X938" s="35"/>
      <c r="Y938" s="35"/>
    </row>
    <row r="939" ht="14.25" customHeight="1">
      <c r="A939" s="136"/>
      <c r="B939" s="137"/>
      <c r="C939" s="251"/>
      <c r="D939" s="452"/>
      <c r="E939" s="136"/>
      <c r="F939" s="253"/>
      <c r="G939" s="527"/>
      <c r="H939" s="141"/>
      <c r="I939" s="141"/>
      <c r="J939" s="142"/>
      <c r="K939" s="142"/>
      <c r="L939" s="142"/>
      <c r="M939" s="142"/>
      <c r="N939" s="136"/>
      <c r="O939" s="34"/>
      <c r="P939" s="35"/>
      <c r="Q939" s="35"/>
      <c r="R939" s="35"/>
      <c r="S939" s="35"/>
      <c r="T939" s="35"/>
      <c r="U939" s="35"/>
      <c r="V939" s="35"/>
      <c r="W939" s="35"/>
      <c r="X939" s="35"/>
      <c r="Y939" s="35"/>
    </row>
    <row r="940" ht="14.25" customHeight="1">
      <c r="A940" s="136"/>
      <c r="B940" s="137"/>
      <c r="C940" s="251"/>
      <c r="D940" s="452"/>
      <c r="E940" s="136"/>
      <c r="F940" s="253"/>
      <c r="G940" s="527"/>
      <c r="H940" s="141"/>
      <c r="I940" s="141"/>
      <c r="J940" s="142"/>
      <c r="K940" s="142"/>
      <c r="L940" s="142"/>
      <c r="M940" s="142"/>
      <c r="N940" s="136"/>
      <c r="O940" s="34"/>
      <c r="P940" s="35"/>
      <c r="Q940" s="35"/>
      <c r="R940" s="35"/>
      <c r="S940" s="35"/>
      <c r="T940" s="35"/>
      <c r="U940" s="35"/>
      <c r="V940" s="35"/>
      <c r="W940" s="35"/>
      <c r="X940" s="35"/>
      <c r="Y940" s="35"/>
    </row>
    <row r="941" ht="14.25" customHeight="1">
      <c r="A941" s="136"/>
      <c r="B941" s="137"/>
      <c r="C941" s="251"/>
      <c r="D941" s="452"/>
      <c r="E941" s="136"/>
      <c r="F941" s="253"/>
      <c r="G941" s="527"/>
      <c r="H941" s="141"/>
      <c r="I941" s="141"/>
      <c r="J941" s="142"/>
      <c r="K941" s="142"/>
      <c r="L941" s="142"/>
      <c r="M941" s="142"/>
      <c r="N941" s="136"/>
      <c r="O941" s="34"/>
      <c r="P941" s="35"/>
      <c r="Q941" s="35"/>
      <c r="R941" s="35"/>
      <c r="S941" s="35"/>
      <c r="T941" s="35"/>
      <c r="U941" s="35"/>
      <c r="V941" s="35"/>
      <c r="W941" s="35"/>
      <c r="X941" s="35"/>
      <c r="Y941" s="35"/>
    </row>
    <row r="942" ht="14.25" customHeight="1">
      <c r="A942" s="136"/>
      <c r="B942" s="137"/>
      <c r="C942" s="251"/>
      <c r="D942" s="452"/>
      <c r="E942" s="136"/>
      <c r="F942" s="253"/>
      <c r="G942" s="527"/>
      <c r="H942" s="141"/>
      <c r="I942" s="141"/>
      <c r="J942" s="142"/>
      <c r="K942" s="142"/>
      <c r="L942" s="142"/>
      <c r="M942" s="142"/>
      <c r="N942" s="136"/>
      <c r="O942" s="34"/>
      <c r="P942" s="35"/>
      <c r="Q942" s="35"/>
      <c r="R942" s="35"/>
      <c r="S942" s="35"/>
      <c r="T942" s="35"/>
      <c r="U942" s="35"/>
      <c r="V942" s="35"/>
      <c r="W942" s="35"/>
      <c r="X942" s="35"/>
      <c r="Y942" s="35"/>
    </row>
    <row r="943" ht="14.25" customHeight="1">
      <c r="A943" s="136"/>
      <c r="B943" s="137"/>
      <c r="C943" s="251"/>
      <c r="D943" s="452"/>
      <c r="E943" s="136"/>
      <c r="F943" s="253"/>
      <c r="G943" s="527"/>
      <c r="H943" s="141"/>
      <c r="I943" s="141"/>
      <c r="J943" s="142"/>
      <c r="K943" s="142"/>
      <c r="L943" s="142"/>
      <c r="M943" s="142"/>
      <c r="N943" s="136"/>
      <c r="O943" s="34"/>
      <c r="P943" s="35"/>
      <c r="Q943" s="35"/>
      <c r="R943" s="35"/>
      <c r="S943" s="35"/>
      <c r="T943" s="35"/>
      <c r="U943" s="35"/>
      <c r="V943" s="35"/>
      <c r="W943" s="35"/>
      <c r="X943" s="35"/>
      <c r="Y943" s="35"/>
    </row>
    <row r="944" ht="14.25" customHeight="1">
      <c r="A944" s="136"/>
      <c r="B944" s="137"/>
      <c r="C944" s="251"/>
      <c r="D944" s="452"/>
      <c r="E944" s="136"/>
      <c r="F944" s="253"/>
      <c r="G944" s="527"/>
      <c r="H944" s="141"/>
      <c r="I944" s="141"/>
      <c r="J944" s="142"/>
      <c r="K944" s="142"/>
      <c r="L944" s="142"/>
      <c r="M944" s="142"/>
      <c r="N944" s="136"/>
      <c r="O944" s="34"/>
      <c r="P944" s="35"/>
      <c r="Q944" s="35"/>
      <c r="R944" s="35"/>
      <c r="S944" s="35"/>
      <c r="T944" s="35"/>
      <c r="U944" s="35"/>
      <c r="V944" s="35"/>
      <c r="W944" s="35"/>
      <c r="X944" s="35"/>
      <c r="Y944" s="35"/>
    </row>
    <row r="945" ht="14.25" customHeight="1">
      <c r="A945" s="136"/>
      <c r="B945" s="137"/>
      <c r="C945" s="251"/>
      <c r="D945" s="452"/>
      <c r="E945" s="136"/>
      <c r="F945" s="253"/>
      <c r="G945" s="527"/>
      <c r="H945" s="141"/>
      <c r="I945" s="141"/>
      <c r="J945" s="142"/>
      <c r="K945" s="142"/>
      <c r="L945" s="142"/>
      <c r="M945" s="142"/>
      <c r="N945" s="136"/>
      <c r="O945" s="34"/>
      <c r="P945" s="35"/>
      <c r="Q945" s="35"/>
      <c r="R945" s="35"/>
      <c r="S945" s="35"/>
      <c r="T945" s="35"/>
      <c r="U945" s="35"/>
      <c r="V945" s="35"/>
      <c r="W945" s="35"/>
      <c r="X945" s="35"/>
      <c r="Y945" s="35"/>
    </row>
    <row r="946" ht="14.25" customHeight="1">
      <c r="A946" s="136"/>
      <c r="B946" s="137"/>
      <c r="C946" s="251"/>
      <c r="D946" s="452"/>
      <c r="E946" s="136"/>
      <c r="F946" s="253"/>
      <c r="G946" s="527"/>
      <c r="H946" s="141"/>
      <c r="I946" s="141"/>
      <c r="J946" s="142"/>
      <c r="K946" s="142"/>
      <c r="L946" s="142"/>
      <c r="M946" s="142"/>
      <c r="N946" s="136"/>
      <c r="O946" s="34"/>
      <c r="P946" s="35"/>
      <c r="Q946" s="35"/>
      <c r="R946" s="35"/>
      <c r="S946" s="35"/>
      <c r="T946" s="35"/>
      <c r="U946" s="35"/>
      <c r="V946" s="35"/>
      <c r="W946" s="35"/>
      <c r="X946" s="35"/>
      <c r="Y946" s="35"/>
    </row>
    <row r="947" ht="14.25" customHeight="1">
      <c r="A947" s="136"/>
      <c r="B947" s="137"/>
      <c r="C947" s="251"/>
      <c r="D947" s="452"/>
      <c r="E947" s="136"/>
      <c r="F947" s="253"/>
      <c r="G947" s="527"/>
      <c r="H947" s="141"/>
      <c r="I947" s="141"/>
      <c r="J947" s="142"/>
      <c r="K947" s="142"/>
      <c r="L947" s="142"/>
      <c r="M947" s="142"/>
      <c r="N947" s="136"/>
      <c r="O947" s="34"/>
      <c r="P947" s="35"/>
      <c r="Q947" s="35"/>
      <c r="R947" s="35"/>
      <c r="S947" s="35"/>
      <c r="T947" s="35"/>
      <c r="U947" s="35"/>
      <c r="V947" s="35"/>
      <c r="W947" s="35"/>
      <c r="X947" s="35"/>
      <c r="Y947" s="35"/>
    </row>
    <row r="948" ht="14.25" customHeight="1">
      <c r="A948" s="136"/>
      <c r="B948" s="137"/>
      <c r="C948" s="251"/>
      <c r="D948" s="452"/>
      <c r="E948" s="136"/>
      <c r="F948" s="253"/>
      <c r="G948" s="527"/>
      <c r="H948" s="141"/>
      <c r="I948" s="141"/>
      <c r="J948" s="142"/>
      <c r="K948" s="142"/>
      <c r="L948" s="142"/>
      <c r="M948" s="142"/>
      <c r="N948" s="136"/>
      <c r="O948" s="34"/>
      <c r="P948" s="35"/>
      <c r="Q948" s="35"/>
      <c r="R948" s="35"/>
      <c r="S948" s="35"/>
      <c r="T948" s="35"/>
      <c r="U948" s="35"/>
      <c r="V948" s="35"/>
      <c r="W948" s="35"/>
      <c r="X948" s="35"/>
      <c r="Y948" s="35"/>
    </row>
    <row r="949" ht="14.25" customHeight="1">
      <c r="A949" s="136"/>
      <c r="B949" s="137"/>
      <c r="C949" s="251"/>
      <c r="D949" s="452"/>
      <c r="E949" s="136"/>
      <c r="F949" s="253"/>
      <c r="G949" s="527"/>
      <c r="H949" s="141"/>
      <c r="I949" s="141"/>
      <c r="J949" s="142"/>
      <c r="K949" s="142"/>
      <c r="L949" s="142"/>
      <c r="M949" s="142"/>
      <c r="N949" s="136"/>
      <c r="O949" s="34"/>
      <c r="P949" s="35"/>
      <c r="Q949" s="35"/>
      <c r="R949" s="35"/>
      <c r="S949" s="35"/>
      <c r="T949" s="35"/>
      <c r="U949" s="35"/>
      <c r="V949" s="35"/>
      <c r="W949" s="35"/>
      <c r="X949" s="35"/>
      <c r="Y949" s="35"/>
    </row>
    <row r="950" ht="14.25" customHeight="1">
      <c r="A950" s="136"/>
      <c r="B950" s="137"/>
      <c r="C950" s="251"/>
      <c r="D950" s="452"/>
      <c r="E950" s="136"/>
      <c r="F950" s="253"/>
      <c r="G950" s="527"/>
      <c r="H950" s="141"/>
      <c r="I950" s="141"/>
      <c r="J950" s="142"/>
      <c r="K950" s="142"/>
      <c r="L950" s="142"/>
      <c r="M950" s="142"/>
      <c r="N950" s="136"/>
      <c r="O950" s="34"/>
      <c r="P950" s="35"/>
      <c r="Q950" s="35"/>
      <c r="R950" s="35"/>
      <c r="S950" s="35"/>
      <c r="T950" s="35"/>
      <c r="U950" s="35"/>
      <c r="V950" s="35"/>
      <c r="W950" s="35"/>
      <c r="X950" s="35"/>
      <c r="Y950" s="35"/>
    </row>
    <row r="951" ht="14.25" customHeight="1">
      <c r="A951" s="136"/>
      <c r="B951" s="137"/>
      <c r="C951" s="251"/>
      <c r="D951" s="452"/>
      <c r="E951" s="136"/>
      <c r="F951" s="253"/>
      <c r="G951" s="527"/>
      <c r="H951" s="141"/>
      <c r="I951" s="141"/>
      <c r="J951" s="142"/>
      <c r="K951" s="142"/>
      <c r="L951" s="142"/>
      <c r="M951" s="142"/>
      <c r="N951" s="136"/>
      <c r="O951" s="34"/>
      <c r="P951" s="35"/>
      <c r="Q951" s="35"/>
      <c r="R951" s="35"/>
      <c r="S951" s="35"/>
      <c r="T951" s="35"/>
      <c r="U951" s="35"/>
      <c r="V951" s="35"/>
      <c r="W951" s="35"/>
      <c r="X951" s="35"/>
      <c r="Y951" s="35"/>
    </row>
    <row r="952" ht="14.25" customHeight="1">
      <c r="A952" s="136"/>
      <c r="B952" s="137"/>
      <c r="C952" s="251"/>
      <c r="D952" s="452"/>
      <c r="E952" s="136"/>
      <c r="F952" s="253"/>
      <c r="G952" s="527"/>
      <c r="H952" s="141"/>
      <c r="I952" s="141"/>
      <c r="J952" s="142"/>
      <c r="K952" s="142"/>
      <c r="L952" s="142"/>
      <c r="M952" s="142"/>
      <c r="N952" s="136"/>
      <c r="O952" s="34"/>
      <c r="P952" s="35"/>
      <c r="Q952" s="35"/>
      <c r="R952" s="35"/>
      <c r="S952" s="35"/>
      <c r="T952" s="35"/>
      <c r="U952" s="35"/>
      <c r="V952" s="35"/>
      <c r="W952" s="35"/>
      <c r="X952" s="35"/>
      <c r="Y952" s="35"/>
    </row>
    <row r="953" ht="14.25" customHeight="1">
      <c r="A953" s="136"/>
      <c r="B953" s="137"/>
      <c r="C953" s="251"/>
      <c r="D953" s="452"/>
      <c r="E953" s="136"/>
      <c r="F953" s="253"/>
      <c r="G953" s="527"/>
      <c r="H953" s="141"/>
      <c r="I953" s="141"/>
      <c r="J953" s="142"/>
      <c r="K953" s="142"/>
      <c r="L953" s="142"/>
      <c r="M953" s="142"/>
      <c r="N953" s="136"/>
      <c r="O953" s="34"/>
      <c r="P953" s="35"/>
      <c r="Q953" s="35"/>
      <c r="R953" s="35"/>
      <c r="S953" s="35"/>
      <c r="T953" s="35"/>
      <c r="U953" s="35"/>
      <c r="V953" s="35"/>
      <c r="W953" s="35"/>
      <c r="X953" s="35"/>
      <c r="Y953" s="35"/>
    </row>
    <row r="954" ht="14.25" customHeight="1">
      <c r="A954" s="136"/>
      <c r="B954" s="137"/>
      <c r="C954" s="251"/>
      <c r="D954" s="452"/>
      <c r="E954" s="136"/>
      <c r="F954" s="253"/>
      <c r="G954" s="527"/>
      <c r="H954" s="141"/>
      <c r="I954" s="141"/>
      <c r="J954" s="142"/>
      <c r="K954" s="142"/>
      <c r="L954" s="142"/>
      <c r="M954" s="142"/>
      <c r="N954" s="136"/>
      <c r="O954" s="34"/>
      <c r="P954" s="35"/>
      <c r="Q954" s="35"/>
      <c r="R954" s="35"/>
      <c r="S954" s="35"/>
      <c r="T954" s="35"/>
      <c r="U954" s="35"/>
      <c r="V954" s="35"/>
      <c r="W954" s="35"/>
      <c r="X954" s="35"/>
      <c r="Y954" s="35"/>
    </row>
    <row r="955" ht="14.25" customHeight="1">
      <c r="A955" s="136"/>
      <c r="B955" s="137"/>
      <c r="C955" s="251"/>
      <c r="D955" s="452"/>
      <c r="E955" s="136"/>
      <c r="F955" s="253"/>
      <c r="G955" s="527"/>
      <c r="H955" s="141"/>
      <c r="I955" s="141"/>
      <c r="J955" s="142"/>
      <c r="K955" s="142"/>
      <c r="L955" s="142"/>
      <c r="M955" s="142"/>
      <c r="N955" s="136"/>
      <c r="O955" s="34"/>
      <c r="P955" s="35"/>
      <c r="Q955" s="35"/>
      <c r="R955" s="35"/>
      <c r="S955" s="35"/>
      <c r="T955" s="35"/>
      <c r="U955" s="35"/>
      <c r="V955" s="35"/>
      <c r="W955" s="35"/>
      <c r="X955" s="35"/>
      <c r="Y955" s="35"/>
    </row>
    <row r="956" ht="14.25" customHeight="1">
      <c r="A956" s="136"/>
      <c r="B956" s="137"/>
      <c r="C956" s="251"/>
      <c r="D956" s="452"/>
      <c r="E956" s="136"/>
      <c r="F956" s="253"/>
      <c r="G956" s="527"/>
      <c r="H956" s="141"/>
      <c r="I956" s="141"/>
      <c r="J956" s="142"/>
      <c r="K956" s="142"/>
      <c r="L956" s="142"/>
      <c r="M956" s="142"/>
      <c r="N956" s="136"/>
      <c r="O956" s="34"/>
      <c r="P956" s="35"/>
      <c r="Q956" s="35"/>
      <c r="R956" s="35"/>
      <c r="S956" s="35"/>
      <c r="T956" s="35"/>
      <c r="U956" s="35"/>
      <c r="V956" s="35"/>
      <c r="W956" s="35"/>
      <c r="X956" s="35"/>
      <c r="Y956" s="35"/>
    </row>
    <row r="957" ht="14.25" customHeight="1">
      <c r="A957" s="136"/>
      <c r="B957" s="137"/>
      <c r="C957" s="251"/>
      <c r="D957" s="452"/>
      <c r="E957" s="136"/>
      <c r="F957" s="253"/>
      <c r="G957" s="527"/>
      <c r="H957" s="141"/>
      <c r="I957" s="141"/>
      <c r="J957" s="142"/>
      <c r="K957" s="142"/>
      <c r="L957" s="142"/>
      <c r="M957" s="142"/>
      <c r="N957" s="136"/>
      <c r="O957" s="34"/>
      <c r="P957" s="35"/>
      <c r="Q957" s="35"/>
      <c r="R957" s="35"/>
      <c r="S957" s="35"/>
      <c r="T957" s="35"/>
      <c r="U957" s="35"/>
      <c r="V957" s="35"/>
      <c r="W957" s="35"/>
      <c r="X957" s="35"/>
      <c r="Y957" s="35"/>
    </row>
    <row r="958" ht="14.25" customHeight="1">
      <c r="A958" s="136"/>
      <c r="B958" s="137"/>
      <c r="C958" s="251"/>
      <c r="D958" s="452"/>
      <c r="E958" s="136"/>
      <c r="F958" s="253"/>
      <c r="G958" s="527"/>
      <c r="H958" s="141"/>
      <c r="I958" s="141"/>
      <c r="J958" s="142"/>
      <c r="K958" s="142"/>
      <c r="L958" s="142"/>
      <c r="M958" s="142"/>
      <c r="N958" s="136"/>
      <c r="O958" s="34"/>
      <c r="P958" s="35"/>
      <c r="Q958" s="35"/>
      <c r="R958" s="35"/>
      <c r="S958" s="35"/>
      <c r="T958" s="35"/>
      <c r="U958" s="35"/>
      <c r="V958" s="35"/>
      <c r="W958" s="35"/>
      <c r="X958" s="35"/>
      <c r="Y958" s="35"/>
    </row>
    <row r="959" ht="14.25" customHeight="1">
      <c r="A959" s="136"/>
      <c r="B959" s="137"/>
      <c r="C959" s="251"/>
      <c r="D959" s="452"/>
      <c r="E959" s="136"/>
      <c r="F959" s="253"/>
      <c r="G959" s="527"/>
      <c r="H959" s="141"/>
      <c r="I959" s="141"/>
      <c r="J959" s="142"/>
      <c r="K959" s="142"/>
      <c r="L959" s="142"/>
      <c r="M959" s="142"/>
      <c r="N959" s="136"/>
      <c r="O959" s="34"/>
      <c r="P959" s="35"/>
      <c r="Q959" s="35"/>
      <c r="R959" s="35"/>
      <c r="S959" s="35"/>
      <c r="T959" s="35"/>
      <c r="U959" s="35"/>
      <c r="V959" s="35"/>
      <c r="W959" s="35"/>
      <c r="X959" s="35"/>
      <c r="Y959" s="35"/>
    </row>
    <row r="960" ht="14.25" customHeight="1">
      <c r="A960" s="136"/>
      <c r="B960" s="137"/>
      <c r="C960" s="251"/>
      <c r="D960" s="452"/>
      <c r="E960" s="136"/>
      <c r="F960" s="253"/>
      <c r="G960" s="527"/>
      <c r="H960" s="141"/>
      <c r="I960" s="141"/>
      <c r="J960" s="142"/>
      <c r="K960" s="142"/>
      <c r="L960" s="142"/>
      <c r="M960" s="142"/>
      <c r="N960" s="136"/>
      <c r="O960" s="34"/>
      <c r="P960" s="35"/>
      <c r="Q960" s="35"/>
      <c r="R960" s="35"/>
      <c r="S960" s="35"/>
      <c r="T960" s="35"/>
      <c r="U960" s="35"/>
      <c r="V960" s="35"/>
      <c r="W960" s="35"/>
      <c r="X960" s="35"/>
      <c r="Y960" s="35"/>
    </row>
    <row r="961" ht="14.25" customHeight="1">
      <c r="A961" s="136"/>
      <c r="B961" s="137"/>
      <c r="C961" s="251"/>
      <c r="D961" s="452"/>
      <c r="E961" s="136"/>
      <c r="F961" s="253"/>
      <c r="G961" s="527"/>
      <c r="H961" s="141"/>
      <c r="I961" s="141"/>
      <c r="J961" s="142"/>
      <c r="K961" s="142"/>
      <c r="L961" s="142"/>
      <c r="M961" s="142"/>
      <c r="N961" s="136"/>
      <c r="O961" s="34"/>
      <c r="P961" s="35"/>
      <c r="Q961" s="35"/>
      <c r="R961" s="35"/>
      <c r="S961" s="35"/>
      <c r="T961" s="35"/>
      <c r="U961" s="35"/>
      <c r="V961" s="35"/>
      <c r="W961" s="35"/>
      <c r="X961" s="35"/>
      <c r="Y961" s="35"/>
    </row>
    <row r="962" ht="14.25" customHeight="1">
      <c r="A962" s="136"/>
      <c r="B962" s="137"/>
      <c r="C962" s="251"/>
      <c r="D962" s="452"/>
      <c r="E962" s="136"/>
      <c r="F962" s="253"/>
      <c r="G962" s="527"/>
      <c r="H962" s="141"/>
      <c r="I962" s="141"/>
      <c r="J962" s="142"/>
      <c r="K962" s="142"/>
      <c r="L962" s="142"/>
      <c r="M962" s="142"/>
      <c r="N962" s="136"/>
      <c r="O962" s="34"/>
      <c r="P962" s="35"/>
      <c r="Q962" s="35"/>
      <c r="R962" s="35"/>
      <c r="S962" s="35"/>
      <c r="T962" s="35"/>
      <c r="U962" s="35"/>
      <c r="V962" s="35"/>
      <c r="W962" s="35"/>
      <c r="X962" s="35"/>
      <c r="Y962" s="35"/>
    </row>
    <row r="963" ht="14.25" customHeight="1">
      <c r="A963" s="136"/>
      <c r="B963" s="137"/>
      <c r="C963" s="251"/>
      <c r="D963" s="452"/>
      <c r="E963" s="136"/>
      <c r="F963" s="253"/>
      <c r="G963" s="527"/>
      <c r="H963" s="141"/>
      <c r="I963" s="141"/>
      <c r="J963" s="142"/>
      <c r="K963" s="142"/>
      <c r="L963" s="142"/>
      <c r="M963" s="142"/>
      <c r="N963" s="136"/>
      <c r="O963" s="34"/>
      <c r="P963" s="35"/>
      <c r="Q963" s="35"/>
      <c r="R963" s="35"/>
      <c r="S963" s="35"/>
      <c r="T963" s="35"/>
      <c r="U963" s="35"/>
      <c r="V963" s="35"/>
      <c r="W963" s="35"/>
      <c r="X963" s="35"/>
      <c r="Y963" s="35"/>
    </row>
    <row r="964" ht="14.25" customHeight="1">
      <c r="A964" s="136"/>
      <c r="B964" s="137"/>
      <c r="C964" s="251"/>
      <c r="D964" s="452"/>
      <c r="E964" s="136"/>
      <c r="F964" s="253"/>
      <c r="G964" s="527"/>
      <c r="H964" s="141"/>
      <c r="I964" s="141"/>
      <c r="J964" s="142"/>
      <c r="K964" s="142"/>
      <c r="L964" s="142"/>
      <c r="M964" s="142"/>
      <c r="N964" s="136"/>
      <c r="O964" s="34"/>
      <c r="P964" s="35"/>
      <c r="Q964" s="35"/>
      <c r="R964" s="35"/>
      <c r="S964" s="35"/>
      <c r="T964" s="35"/>
      <c r="U964" s="35"/>
      <c r="V964" s="35"/>
      <c r="W964" s="35"/>
      <c r="X964" s="35"/>
      <c r="Y964" s="35"/>
    </row>
    <row r="965" ht="14.25" customHeight="1">
      <c r="A965" s="136"/>
      <c r="B965" s="137"/>
      <c r="C965" s="251"/>
      <c r="D965" s="452"/>
      <c r="E965" s="136"/>
      <c r="F965" s="253"/>
      <c r="G965" s="527"/>
      <c r="H965" s="141"/>
      <c r="I965" s="141"/>
      <c r="J965" s="142"/>
      <c r="K965" s="142"/>
      <c r="L965" s="142"/>
      <c r="M965" s="142"/>
      <c r="N965" s="136"/>
      <c r="O965" s="34"/>
      <c r="P965" s="35"/>
      <c r="Q965" s="35"/>
      <c r="R965" s="35"/>
      <c r="S965" s="35"/>
      <c r="T965" s="35"/>
      <c r="U965" s="35"/>
      <c r="V965" s="35"/>
      <c r="W965" s="35"/>
      <c r="X965" s="35"/>
      <c r="Y965" s="35"/>
    </row>
    <row r="966" ht="14.25" customHeight="1">
      <c r="A966" s="136"/>
      <c r="B966" s="137"/>
      <c r="C966" s="251"/>
      <c r="D966" s="452"/>
      <c r="E966" s="136"/>
      <c r="F966" s="253"/>
      <c r="G966" s="527"/>
      <c r="H966" s="141"/>
      <c r="I966" s="141"/>
      <c r="J966" s="142"/>
      <c r="K966" s="142"/>
      <c r="L966" s="142"/>
      <c r="M966" s="142"/>
      <c r="N966" s="136"/>
      <c r="O966" s="34"/>
      <c r="P966" s="35"/>
      <c r="Q966" s="35"/>
      <c r="R966" s="35"/>
      <c r="S966" s="35"/>
      <c r="T966" s="35"/>
      <c r="U966" s="35"/>
      <c r="V966" s="35"/>
      <c r="W966" s="35"/>
      <c r="X966" s="35"/>
      <c r="Y966" s="35"/>
    </row>
    <row r="967" ht="14.25" customHeight="1">
      <c r="A967" s="136"/>
      <c r="B967" s="137"/>
      <c r="C967" s="251"/>
      <c r="D967" s="452"/>
      <c r="E967" s="136"/>
      <c r="F967" s="253"/>
      <c r="G967" s="527"/>
      <c r="H967" s="141"/>
      <c r="I967" s="141"/>
      <c r="J967" s="142"/>
      <c r="K967" s="142"/>
      <c r="L967" s="142"/>
      <c r="M967" s="142"/>
      <c r="N967" s="136"/>
      <c r="O967" s="34"/>
      <c r="P967" s="35"/>
      <c r="Q967" s="35"/>
      <c r="R967" s="35"/>
      <c r="S967" s="35"/>
      <c r="T967" s="35"/>
      <c r="U967" s="35"/>
      <c r="V967" s="35"/>
      <c r="W967" s="35"/>
      <c r="X967" s="35"/>
      <c r="Y967" s="35"/>
    </row>
    <row r="968" ht="14.25" customHeight="1">
      <c r="A968" s="136"/>
      <c r="B968" s="137"/>
      <c r="C968" s="251"/>
      <c r="D968" s="452"/>
      <c r="E968" s="136"/>
      <c r="F968" s="253"/>
      <c r="G968" s="527"/>
      <c r="H968" s="141"/>
      <c r="I968" s="141"/>
      <c r="J968" s="142"/>
      <c r="K968" s="142"/>
      <c r="L968" s="142"/>
      <c r="M968" s="142"/>
      <c r="N968" s="136"/>
      <c r="O968" s="34"/>
      <c r="P968" s="35"/>
      <c r="Q968" s="35"/>
      <c r="R968" s="35"/>
      <c r="S968" s="35"/>
      <c r="T968" s="35"/>
      <c r="U968" s="35"/>
      <c r="V968" s="35"/>
      <c r="W968" s="35"/>
      <c r="X968" s="35"/>
      <c r="Y968" s="35"/>
    </row>
    <row r="969" ht="14.25" customHeight="1">
      <c r="A969" s="136"/>
      <c r="B969" s="137"/>
      <c r="C969" s="251"/>
      <c r="D969" s="452"/>
      <c r="E969" s="136"/>
      <c r="F969" s="253"/>
      <c r="G969" s="527"/>
      <c r="H969" s="141"/>
      <c r="I969" s="141"/>
      <c r="J969" s="142"/>
      <c r="K969" s="142"/>
      <c r="L969" s="142"/>
      <c r="M969" s="142"/>
      <c r="N969" s="136"/>
      <c r="O969" s="34"/>
      <c r="P969" s="35"/>
      <c r="Q969" s="35"/>
      <c r="R969" s="35"/>
      <c r="S969" s="35"/>
      <c r="T969" s="35"/>
      <c r="U969" s="35"/>
      <c r="V969" s="35"/>
      <c r="W969" s="35"/>
      <c r="X969" s="35"/>
      <c r="Y969" s="35"/>
    </row>
    <row r="970" ht="14.25" customHeight="1">
      <c r="A970" s="136"/>
      <c r="B970" s="137"/>
      <c r="C970" s="251"/>
      <c r="D970" s="452"/>
      <c r="E970" s="136"/>
      <c r="F970" s="253"/>
      <c r="G970" s="527"/>
      <c r="H970" s="141"/>
      <c r="I970" s="141"/>
      <c r="J970" s="142"/>
      <c r="K970" s="142"/>
      <c r="L970" s="142"/>
      <c r="M970" s="142"/>
      <c r="N970" s="136"/>
      <c r="O970" s="34"/>
      <c r="P970" s="35"/>
      <c r="Q970" s="35"/>
      <c r="R970" s="35"/>
      <c r="S970" s="35"/>
      <c r="T970" s="35"/>
      <c r="U970" s="35"/>
      <c r="V970" s="35"/>
      <c r="W970" s="35"/>
      <c r="X970" s="35"/>
      <c r="Y970" s="35"/>
    </row>
    <row r="971" ht="14.25" customHeight="1">
      <c r="A971" s="136"/>
      <c r="B971" s="137"/>
      <c r="C971" s="251"/>
      <c r="D971" s="452"/>
      <c r="E971" s="136"/>
      <c r="F971" s="253"/>
      <c r="G971" s="527"/>
      <c r="H971" s="141"/>
      <c r="I971" s="141"/>
      <c r="J971" s="142"/>
      <c r="K971" s="142"/>
      <c r="L971" s="142"/>
      <c r="M971" s="142"/>
      <c r="N971" s="136"/>
      <c r="O971" s="34"/>
      <c r="P971" s="35"/>
      <c r="Q971" s="35"/>
      <c r="R971" s="35"/>
      <c r="S971" s="35"/>
      <c r="T971" s="35"/>
      <c r="U971" s="35"/>
      <c r="V971" s="35"/>
      <c r="W971" s="35"/>
      <c r="X971" s="35"/>
      <c r="Y971" s="35"/>
    </row>
    <row r="972" ht="14.25" customHeight="1">
      <c r="A972" s="136"/>
      <c r="B972" s="137"/>
      <c r="C972" s="251"/>
      <c r="D972" s="452"/>
      <c r="E972" s="136"/>
      <c r="F972" s="253"/>
      <c r="G972" s="527"/>
      <c r="H972" s="141"/>
      <c r="I972" s="141"/>
      <c r="J972" s="142"/>
      <c r="K972" s="142"/>
      <c r="L972" s="142"/>
      <c r="M972" s="142"/>
      <c r="N972" s="136"/>
      <c r="O972" s="34"/>
      <c r="P972" s="35"/>
      <c r="Q972" s="35"/>
      <c r="R972" s="35"/>
      <c r="S972" s="35"/>
      <c r="T972" s="35"/>
      <c r="U972" s="35"/>
      <c r="V972" s="35"/>
      <c r="W972" s="35"/>
      <c r="X972" s="35"/>
      <c r="Y972" s="35"/>
    </row>
    <row r="973" ht="14.25" customHeight="1">
      <c r="A973" s="136"/>
      <c r="B973" s="137"/>
      <c r="C973" s="251"/>
      <c r="D973" s="452"/>
      <c r="E973" s="136"/>
      <c r="F973" s="253"/>
      <c r="G973" s="527"/>
      <c r="H973" s="141"/>
      <c r="I973" s="141"/>
      <c r="J973" s="142"/>
      <c r="K973" s="142"/>
      <c r="L973" s="142"/>
      <c r="M973" s="142"/>
      <c r="N973" s="136"/>
      <c r="O973" s="34"/>
      <c r="P973" s="35"/>
      <c r="Q973" s="35"/>
      <c r="R973" s="35"/>
      <c r="S973" s="35"/>
      <c r="T973" s="35"/>
      <c r="U973" s="35"/>
      <c r="V973" s="35"/>
      <c r="W973" s="35"/>
      <c r="X973" s="35"/>
      <c r="Y973" s="35"/>
    </row>
    <row r="974" ht="14.25" customHeight="1">
      <c r="A974" s="136"/>
      <c r="B974" s="137"/>
      <c r="C974" s="251"/>
      <c r="D974" s="452"/>
      <c r="E974" s="136"/>
      <c r="F974" s="253"/>
      <c r="G974" s="527"/>
      <c r="H974" s="141"/>
      <c r="I974" s="141"/>
      <c r="J974" s="142"/>
      <c r="K974" s="142"/>
      <c r="L974" s="142"/>
      <c r="M974" s="142"/>
      <c r="N974" s="136"/>
      <c r="O974" s="34"/>
      <c r="P974" s="35"/>
      <c r="Q974" s="35"/>
      <c r="R974" s="35"/>
      <c r="S974" s="35"/>
      <c r="T974" s="35"/>
      <c r="U974" s="35"/>
      <c r="V974" s="35"/>
      <c r="W974" s="35"/>
      <c r="X974" s="35"/>
      <c r="Y974" s="35"/>
    </row>
    <row r="975" ht="14.25" customHeight="1">
      <c r="A975" s="136"/>
      <c r="B975" s="137"/>
      <c r="C975" s="251"/>
      <c r="D975" s="452"/>
      <c r="E975" s="136"/>
      <c r="F975" s="253"/>
      <c r="G975" s="527"/>
      <c r="H975" s="141"/>
      <c r="I975" s="141"/>
      <c r="J975" s="142"/>
      <c r="K975" s="142"/>
      <c r="L975" s="142"/>
      <c r="M975" s="142"/>
      <c r="N975" s="136"/>
      <c r="O975" s="34"/>
      <c r="P975" s="35"/>
      <c r="Q975" s="35"/>
      <c r="R975" s="35"/>
      <c r="S975" s="35"/>
      <c r="T975" s="35"/>
      <c r="U975" s="35"/>
      <c r="V975" s="35"/>
      <c r="W975" s="35"/>
      <c r="X975" s="35"/>
      <c r="Y975" s="35"/>
    </row>
    <row r="976" ht="14.25" customHeight="1">
      <c r="A976" s="136"/>
      <c r="B976" s="137"/>
      <c r="C976" s="251"/>
      <c r="D976" s="452"/>
      <c r="E976" s="136"/>
      <c r="F976" s="253"/>
      <c r="G976" s="527"/>
      <c r="H976" s="141"/>
      <c r="I976" s="141"/>
      <c r="J976" s="142"/>
      <c r="K976" s="142"/>
      <c r="L976" s="142"/>
      <c r="M976" s="142"/>
      <c r="N976" s="136"/>
      <c r="O976" s="34"/>
      <c r="P976" s="35"/>
      <c r="Q976" s="35"/>
      <c r="R976" s="35"/>
      <c r="S976" s="35"/>
      <c r="T976" s="35"/>
      <c r="U976" s="35"/>
      <c r="V976" s="35"/>
      <c r="W976" s="35"/>
      <c r="X976" s="35"/>
      <c r="Y976" s="35"/>
    </row>
    <row r="977" ht="14.25" customHeight="1">
      <c r="A977" s="136"/>
      <c r="B977" s="137"/>
      <c r="C977" s="251"/>
      <c r="D977" s="452"/>
      <c r="E977" s="136"/>
      <c r="F977" s="253"/>
      <c r="G977" s="527"/>
      <c r="H977" s="141"/>
      <c r="I977" s="141"/>
      <c r="J977" s="142"/>
      <c r="K977" s="142"/>
      <c r="L977" s="142"/>
      <c r="M977" s="142"/>
      <c r="N977" s="136"/>
      <c r="O977" s="34"/>
      <c r="P977" s="35"/>
      <c r="Q977" s="35"/>
      <c r="R977" s="35"/>
      <c r="S977" s="35"/>
      <c r="T977" s="35"/>
      <c r="U977" s="35"/>
      <c r="V977" s="35"/>
      <c r="W977" s="35"/>
      <c r="X977" s="35"/>
      <c r="Y977" s="35"/>
    </row>
    <row r="978" ht="14.25" customHeight="1">
      <c r="A978" s="136"/>
      <c r="B978" s="137"/>
      <c r="C978" s="251"/>
      <c r="D978" s="452"/>
      <c r="E978" s="136"/>
      <c r="F978" s="253"/>
      <c r="G978" s="527"/>
      <c r="H978" s="141"/>
      <c r="I978" s="141"/>
      <c r="J978" s="142"/>
      <c r="K978" s="142"/>
      <c r="L978" s="142"/>
      <c r="M978" s="142"/>
      <c r="N978" s="136"/>
      <c r="O978" s="34"/>
      <c r="P978" s="35"/>
      <c r="Q978" s="35"/>
      <c r="R978" s="35"/>
      <c r="S978" s="35"/>
      <c r="T978" s="35"/>
      <c r="U978" s="35"/>
      <c r="V978" s="35"/>
      <c r="W978" s="35"/>
      <c r="X978" s="35"/>
      <c r="Y978" s="35"/>
    </row>
    <row r="979" ht="14.25" customHeight="1">
      <c r="A979" s="136"/>
      <c r="B979" s="137"/>
      <c r="C979" s="251"/>
      <c r="D979" s="452"/>
      <c r="E979" s="136"/>
      <c r="F979" s="253"/>
      <c r="G979" s="527"/>
      <c r="H979" s="141"/>
      <c r="I979" s="141"/>
      <c r="J979" s="142"/>
      <c r="K979" s="142"/>
      <c r="L979" s="142"/>
      <c r="M979" s="142"/>
      <c r="N979" s="136"/>
      <c r="O979" s="34"/>
      <c r="P979" s="35"/>
      <c r="Q979" s="35"/>
      <c r="R979" s="35"/>
      <c r="S979" s="35"/>
      <c r="T979" s="35"/>
      <c r="U979" s="35"/>
      <c r="V979" s="35"/>
      <c r="W979" s="35"/>
      <c r="X979" s="35"/>
      <c r="Y979" s="35"/>
    </row>
    <row r="980" ht="14.25" customHeight="1">
      <c r="A980" s="136"/>
      <c r="B980" s="137"/>
      <c r="C980" s="251"/>
      <c r="D980" s="452"/>
      <c r="E980" s="136"/>
      <c r="F980" s="253"/>
      <c r="G980" s="527"/>
      <c r="H980" s="141"/>
      <c r="I980" s="141"/>
      <c r="J980" s="142"/>
      <c r="K980" s="142"/>
      <c r="L980" s="142"/>
      <c r="M980" s="142"/>
      <c r="N980" s="136"/>
      <c r="O980" s="34"/>
      <c r="P980" s="35"/>
      <c r="Q980" s="35"/>
      <c r="R980" s="35"/>
      <c r="S980" s="35"/>
      <c r="T980" s="35"/>
      <c r="U980" s="35"/>
      <c r="V980" s="35"/>
      <c r="W980" s="35"/>
      <c r="X980" s="35"/>
      <c r="Y980" s="35"/>
    </row>
    <row r="981" ht="14.25" customHeight="1">
      <c r="A981" s="136"/>
      <c r="B981" s="137"/>
      <c r="C981" s="251"/>
      <c r="D981" s="452"/>
      <c r="E981" s="136"/>
      <c r="F981" s="253"/>
      <c r="G981" s="527"/>
      <c r="H981" s="141"/>
      <c r="I981" s="141"/>
      <c r="J981" s="142"/>
      <c r="K981" s="142"/>
      <c r="L981" s="142"/>
      <c r="M981" s="142"/>
      <c r="N981" s="136"/>
      <c r="O981" s="34"/>
      <c r="P981" s="35"/>
      <c r="Q981" s="35"/>
      <c r="R981" s="35"/>
      <c r="S981" s="35"/>
      <c r="T981" s="35"/>
      <c r="U981" s="35"/>
      <c r="V981" s="35"/>
      <c r="W981" s="35"/>
      <c r="X981" s="35"/>
      <c r="Y981" s="35"/>
    </row>
    <row r="982" ht="14.25" customHeight="1">
      <c r="A982" s="136"/>
      <c r="B982" s="137"/>
      <c r="C982" s="251"/>
      <c r="D982" s="452"/>
      <c r="E982" s="136"/>
      <c r="F982" s="253"/>
      <c r="G982" s="527"/>
      <c r="H982" s="141"/>
      <c r="I982" s="141"/>
      <c r="J982" s="142"/>
      <c r="K982" s="142"/>
      <c r="L982" s="142"/>
      <c r="M982" s="142"/>
      <c r="N982" s="136"/>
      <c r="O982" s="34"/>
      <c r="P982" s="35"/>
      <c r="Q982" s="35"/>
      <c r="R982" s="35"/>
      <c r="S982" s="35"/>
      <c r="T982" s="35"/>
      <c r="U982" s="35"/>
      <c r="V982" s="35"/>
      <c r="W982" s="35"/>
      <c r="X982" s="35"/>
      <c r="Y982" s="35"/>
    </row>
    <row r="983" ht="14.25" customHeight="1">
      <c r="A983" s="136"/>
      <c r="B983" s="137"/>
      <c r="C983" s="251"/>
      <c r="D983" s="452"/>
      <c r="E983" s="136"/>
      <c r="F983" s="253"/>
      <c r="G983" s="527"/>
      <c r="H983" s="141"/>
      <c r="I983" s="141"/>
      <c r="J983" s="142"/>
      <c r="K983" s="142"/>
      <c r="L983" s="142"/>
      <c r="M983" s="142"/>
      <c r="N983" s="136"/>
      <c r="O983" s="34"/>
      <c r="P983" s="35"/>
      <c r="Q983" s="35"/>
      <c r="R983" s="35"/>
      <c r="S983" s="35"/>
      <c r="T983" s="35"/>
      <c r="U983" s="35"/>
      <c r="V983" s="35"/>
      <c r="W983" s="35"/>
      <c r="X983" s="35"/>
      <c r="Y983" s="35"/>
    </row>
    <row r="984" ht="14.25" customHeight="1">
      <c r="A984" s="136"/>
      <c r="B984" s="137"/>
      <c r="C984" s="251"/>
      <c r="D984" s="452"/>
      <c r="E984" s="136"/>
      <c r="F984" s="253"/>
      <c r="G984" s="527"/>
      <c r="H984" s="141"/>
      <c r="I984" s="141"/>
      <c r="J984" s="142"/>
      <c r="K984" s="142"/>
      <c r="L984" s="142"/>
      <c r="M984" s="142"/>
      <c r="N984" s="136"/>
      <c r="O984" s="34"/>
      <c r="P984" s="35"/>
      <c r="Q984" s="35"/>
      <c r="R984" s="35"/>
      <c r="S984" s="35"/>
      <c r="T984" s="35"/>
      <c r="U984" s="35"/>
      <c r="V984" s="35"/>
      <c r="W984" s="35"/>
      <c r="X984" s="35"/>
      <c r="Y984" s="35"/>
    </row>
    <row r="985" ht="14.25" customHeight="1">
      <c r="A985" s="136"/>
      <c r="B985" s="137"/>
      <c r="C985" s="251"/>
      <c r="D985" s="452"/>
      <c r="E985" s="136"/>
      <c r="F985" s="253"/>
      <c r="G985" s="527"/>
      <c r="H985" s="141"/>
      <c r="I985" s="141"/>
      <c r="J985" s="142"/>
      <c r="K985" s="142"/>
      <c r="L985" s="142"/>
      <c r="M985" s="142"/>
      <c r="N985" s="136"/>
      <c r="O985" s="34"/>
      <c r="P985" s="35"/>
      <c r="Q985" s="35"/>
      <c r="R985" s="35"/>
      <c r="S985" s="35"/>
      <c r="T985" s="35"/>
      <c r="U985" s="35"/>
      <c r="V985" s="35"/>
      <c r="W985" s="35"/>
      <c r="X985" s="35"/>
      <c r="Y985" s="35"/>
    </row>
    <row r="986" ht="14.25" customHeight="1">
      <c r="A986" s="136"/>
      <c r="B986" s="137"/>
      <c r="C986" s="251"/>
      <c r="D986" s="452"/>
      <c r="E986" s="136"/>
      <c r="F986" s="253"/>
      <c r="G986" s="527"/>
      <c r="H986" s="141"/>
      <c r="I986" s="141"/>
      <c r="J986" s="142"/>
      <c r="K986" s="142"/>
      <c r="L986" s="142"/>
      <c r="M986" s="142"/>
      <c r="N986" s="136"/>
      <c r="O986" s="34"/>
      <c r="P986" s="35"/>
      <c r="Q986" s="35"/>
      <c r="R986" s="35"/>
      <c r="S986" s="35"/>
      <c r="T986" s="35"/>
      <c r="U986" s="35"/>
      <c r="V986" s="35"/>
      <c r="W986" s="35"/>
      <c r="X986" s="35"/>
      <c r="Y986" s="35"/>
    </row>
    <row r="987" ht="14.25" customHeight="1">
      <c r="A987" s="136"/>
      <c r="B987" s="137"/>
      <c r="C987" s="251"/>
      <c r="D987" s="452"/>
      <c r="E987" s="136"/>
      <c r="F987" s="253"/>
      <c r="G987" s="527"/>
      <c r="H987" s="141"/>
      <c r="I987" s="141"/>
      <c r="J987" s="142"/>
      <c r="K987" s="142"/>
      <c r="L987" s="142"/>
      <c r="M987" s="142"/>
      <c r="N987" s="136"/>
      <c r="O987" s="34"/>
      <c r="P987" s="35"/>
      <c r="Q987" s="35"/>
      <c r="R987" s="35"/>
      <c r="S987" s="35"/>
      <c r="T987" s="35"/>
      <c r="U987" s="35"/>
      <c r="V987" s="35"/>
      <c r="W987" s="35"/>
      <c r="X987" s="35"/>
      <c r="Y987" s="35"/>
    </row>
    <row r="988" ht="14.25" customHeight="1">
      <c r="A988" s="136"/>
      <c r="B988" s="137"/>
      <c r="C988" s="251"/>
      <c r="D988" s="452"/>
      <c r="E988" s="136"/>
      <c r="F988" s="253"/>
      <c r="G988" s="527"/>
      <c r="H988" s="141"/>
      <c r="I988" s="141"/>
      <c r="J988" s="142"/>
      <c r="K988" s="142"/>
      <c r="L988" s="142"/>
      <c r="M988" s="142"/>
      <c r="N988" s="136"/>
      <c r="O988" s="34"/>
      <c r="P988" s="35"/>
      <c r="Q988" s="35"/>
      <c r="R988" s="35"/>
      <c r="S988" s="35"/>
      <c r="T988" s="35"/>
      <c r="U988" s="35"/>
      <c r="V988" s="35"/>
      <c r="W988" s="35"/>
      <c r="X988" s="35"/>
      <c r="Y988" s="35"/>
    </row>
    <row r="989" ht="14.25" customHeight="1">
      <c r="A989" s="136"/>
      <c r="B989" s="137"/>
      <c r="C989" s="251"/>
      <c r="D989" s="452"/>
      <c r="E989" s="136"/>
      <c r="F989" s="253"/>
      <c r="G989" s="527"/>
      <c r="H989" s="141"/>
      <c r="I989" s="141"/>
      <c r="J989" s="142"/>
      <c r="K989" s="142"/>
      <c r="L989" s="142"/>
      <c r="M989" s="142"/>
      <c r="N989" s="136"/>
      <c r="O989" s="34"/>
      <c r="P989" s="35"/>
      <c r="Q989" s="35"/>
      <c r="R989" s="35"/>
      <c r="S989" s="35"/>
      <c r="T989" s="35"/>
      <c r="U989" s="35"/>
      <c r="V989" s="35"/>
      <c r="W989" s="35"/>
      <c r="X989" s="35"/>
      <c r="Y989" s="35"/>
    </row>
    <row r="990" ht="14.25" customHeight="1">
      <c r="A990" s="136"/>
      <c r="B990" s="137"/>
      <c r="C990" s="251"/>
      <c r="D990" s="452"/>
      <c r="E990" s="136"/>
      <c r="F990" s="253"/>
      <c r="G990" s="527"/>
      <c r="H990" s="141"/>
      <c r="I990" s="141"/>
      <c r="J990" s="142"/>
      <c r="K990" s="142"/>
      <c r="L990" s="142"/>
      <c r="M990" s="142"/>
      <c r="N990" s="136"/>
      <c r="O990" s="34"/>
      <c r="P990" s="35"/>
      <c r="Q990" s="35"/>
      <c r="R990" s="35"/>
      <c r="S990" s="35"/>
      <c r="T990" s="35"/>
      <c r="U990" s="35"/>
      <c r="V990" s="35"/>
      <c r="W990" s="35"/>
      <c r="X990" s="35"/>
      <c r="Y990" s="35"/>
    </row>
    <row r="991" ht="14.25" customHeight="1">
      <c r="A991" s="136"/>
      <c r="B991" s="137"/>
      <c r="C991" s="251"/>
      <c r="D991" s="452"/>
      <c r="E991" s="136"/>
      <c r="F991" s="253"/>
      <c r="G991" s="527"/>
      <c r="H991" s="141"/>
      <c r="I991" s="141"/>
      <c r="J991" s="142"/>
      <c r="K991" s="142"/>
      <c r="L991" s="142"/>
      <c r="M991" s="142"/>
      <c r="N991" s="136"/>
      <c r="O991" s="34"/>
      <c r="P991" s="35"/>
      <c r="Q991" s="35"/>
      <c r="R991" s="35"/>
      <c r="S991" s="35"/>
      <c r="T991" s="35"/>
      <c r="U991" s="35"/>
      <c r="V991" s="35"/>
      <c r="W991" s="35"/>
      <c r="X991" s="35"/>
      <c r="Y991" s="35"/>
    </row>
    <row r="992" ht="14.25" customHeight="1">
      <c r="A992" s="136"/>
      <c r="B992" s="137"/>
      <c r="C992" s="251"/>
      <c r="D992" s="452"/>
      <c r="E992" s="136"/>
      <c r="F992" s="253"/>
      <c r="G992" s="527"/>
      <c r="H992" s="141"/>
      <c r="I992" s="141"/>
      <c r="J992" s="142"/>
      <c r="K992" s="142"/>
      <c r="L992" s="142"/>
      <c r="M992" s="142"/>
      <c r="N992" s="136"/>
      <c r="O992" s="34"/>
      <c r="P992" s="35"/>
      <c r="Q992" s="35"/>
      <c r="R992" s="35"/>
      <c r="S992" s="35"/>
      <c r="T992" s="35"/>
      <c r="U992" s="35"/>
      <c r="V992" s="35"/>
      <c r="W992" s="35"/>
      <c r="X992" s="35"/>
      <c r="Y992" s="35"/>
    </row>
    <row r="993" ht="14.25" customHeight="1">
      <c r="A993" s="136"/>
      <c r="B993" s="137"/>
      <c r="C993" s="251"/>
      <c r="D993" s="452"/>
      <c r="E993" s="136"/>
      <c r="F993" s="253"/>
      <c r="G993" s="527"/>
      <c r="H993" s="141"/>
      <c r="I993" s="141"/>
      <c r="J993" s="142"/>
      <c r="K993" s="142"/>
      <c r="L993" s="142"/>
      <c r="M993" s="142"/>
      <c r="N993" s="136"/>
      <c r="O993" s="34"/>
      <c r="P993" s="35"/>
      <c r="Q993" s="35"/>
      <c r="R993" s="35"/>
      <c r="S993" s="35"/>
      <c r="T993" s="35"/>
      <c r="U993" s="35"/>
      <c r="V993" s="35"/>
      <c r="W993" s="35"/>
      <c r="X993" s="35"/>
      <c r="Y993" s="35"/>
    </row>
    <row r="994" ht="14.25" customHeight="1">
      <c r="A994" s="136"/>
      <c r="B994" s="137"/>
      <c r="C994" s="251"/>
      <c r="D994" s="452"/>
      <c r="E994" s="136"/>
      <c r="F994" s="253"/>
      <c r="G994" s="527"/>
      <c r="H994" s="141"/>
      <c r="I994" s="141"/>
      <c r="J994" s="142"/>
      <c r="K994" s="142"/>
      <c r="L994" s="142"/>
      <c r="M994" s="142"/>
      <c r="N994" s="136"/>
      <c r="O994" s="34"/>
      <c r="P994" s="35"/>
      <c r="Q994" s="35"/>
      <c r="R994" s="35"/>
      <c r="S994" s="35"/>
      <c r="T994" s="35"/>
      <c r="U994" s="35"/>
      <c r="V994" s="35"/>
      <c r="W994" s="35"/>
      <c r="X994" s="35"/>
      <c r="Y994" s="35"/>
    </row>
    <row r="995" ht="14.25" customHeight="1">
      <c r="A995" s="136"/>
      <c r="B995" s="137"/>
      <c r="C995" s="251"/>
      <c r="D995" s="452"/>
      <c r="E995" s="136"/>
      <c r="F995" s="253"/>
      <c r="G995" s="527"/>
      <c r="H995" s="141"/>
      <c r="I995" s="141"/>
      <c r="J995" s="142"/>
      <c r="K995" s="142"/>
      <c r="L995" s="142"/>
      <c r="M995" s="142"/>
      <c r="N995" s="136"/>
      <c r="O995" s="34"/>
      <c r="P995" s="35"/>
      <c r="Q995" s="35"/>
      <c r="R995" s="35"/>
      <c r="S995" s="35"/>
      <c r="T995" s="35"/>
      <c r="U995" s="35"/>
      <c r="V995" s="35"/>
      <c r="W995" s="35"/>
      <c r="X995" s="35"/>
      <c r="Y995" s="35"/>
    </row>
    <row r="996" ht="14.25" customHeight="1">
      <c r="A996" s="136"/>
      <c r="B996" s="137"/>
      <c r="C996" s="251"/>
      <c r="D996" s="452"/>
      <c r="E996" s="136"/>
      <c r="F996" s="253"/>
      <c r="G996" s="527"/>
      <c r="H996" s="141"/>
      <c r="I996" s="141"/>
      <c r="J996" s="142"/>
      <c r="K996" s="142"/>
      <c r="L996" s="142"/>
      <c r="M996" s="142"/>
      <c r="N996" s="136"/>
      <c r="O996" s="34"/>
      <c r="P996" s="35"/>
      <c r="Q996" s="35"/>
      <c r="R996" s="35"/>
      <c r="S996" s="35"/>
      <c r="T996" s="35"/>
      <c r="U996" s="35"/>
      <c r="V996" s="35"/>
      <c r="W996" s="35"/>
      <c r="X996" s="35"/>
      <c r="Y996" s="35"/>
    </row>
    <row r="997" ht="14.25" customHeight="1">
      <c r="A997" s="136"/>
      <c r="B997" s="137"/>
      <c r="C997" s="251"/>
      <c r="D997" s="452"/>
      <c r="E997" s="136"/>
      <c r="F997" s="253"/>
      <c r="G997" s="527"/>
      <c r="H997" s="141"/>
      <c r="I997" s="141"/>
      <c r="J997" s="142"/>
      <c r="K997" s="142"/>
      <c r="L997" s="142"/>
      <c r="M997" s="142"/>
      <c r="N997" s="136"/>
      <c r="O997" s="34"/>
      <c r="P997" s="35"/>
      <c r="Q997" s="35"/>
      <c r="R997" s="35"/>
      <c r="S997" s="35"/>
      <c r="T997" s="35"/>
      <c r="U997" s="35"/>
      <c r="V997" s="35"/>
      <c r="W997" s="35"/>
      <c r="X997" s="35"/>
      <c r="Y997" s="35"/>
    </row>
    <row r="998" ht="14.25" customHeight="1">
      <c r="A998" s="136"/>
      <c r="B998" s="137"/>
      <c r="C998" s="251"/>
      <c r="D998" s="452"/>
      <c r="E998" s="136"/>
      <c r="F998" s="253"/>
      <c r="G998" s="527"/>
      <c r="H998" s="141"/>
      <c r="I998" s="141"/>
      <c r="J998" s="142"/>
      <c r="K998" s="142"/>
      <c r="L998" s="142"/>
      <c r="M998" s="142"/>
      <c r="N998" s="136"/>
      <c r="O998" s="34"/>
      <c r="P998" s="35"/>
      <c r="Q998" s="35"/>
      <c r="R998" s="35"/>
      <c r="S998" s="35"/>
      <c r="T998" s="35"/>
      <c r="U998" s="35"/>
      <c r="V998" s="35"/>
      <c r="W998" s="35"/>
      <c r="X998" s="35"/>
      <c r="Y998" s="35"/>
    </row>
    <row r="999" ht="14.25" customHeight="1">
      <c r="A999" s="136"/>
      <c r="B999" s="137"/>
      <c r="C999" s="251"/>
      <c r="D999" s="452"/>
      <c r="E999" s="136"/>
      <c r="F999" s="253"/>
      <c r="G999" s="527"/>
      <c r="H999" s="141"/>
      <c r="I999" s="141"/>
      <c r="J999" s="142"/>
      <c r="K999" s="142"/>
      <c r="L999" s="142"/>
      <c r="M999" s="142"/>
      <c r="N999" s="136"/>
      <c r="O999" s="34"/>
      <c r="P999" s="35"/>
      <c r="Q999" s="35"/>
      <c r="R999" s="35"/>
      <c r="S999" s="35"/>
      <c r="T999" s="35"/>
      <c r="U999" s="35"/>
      <c r="V999" s="35"/>
      <c r="W999" s="35"/>
      <c r="X999" s="35"/>
      <c r="Y999" s="35"/>
    </row>
    <row r="1000" ht="14.25" customHeight="1">
      <c r="A1000" s="136"/>
      <c r="B1000" s="137"/>
      <c r="C1000" s="251"/>
      <c r="D1000" s="452"/>
      <c r="E1000" s="136"/>
      <c r="F1000" s="253"/>
      <c r="G1000" s="527"/>
      <c r="H1000" s="141"/>
      <c r="I1000" s="141"/>
      <c r="J1000" s="142"/>
      <c r="K1000" s="142"/>
      <c r="L1000" s="142"/>
      <c r="M1000" s="142"/>
      <c r="N1000" s="136"/>
      <c r="O1000" s="34"/>
      <c r="P1000" s="35"/>
      <c r="Q1000" s="35"/>
      <c r="R1000" s="35"/>
      <c r="S1000" s="35"/>
      <c r="T1000" s="35"/>
      <c r="U1000" s="35"/>
      <c r="V1000" s="35"/>
      <c r="W1000" s="35"/>
      <c r="X1000" s="35"/>
      <c r="Y1000" s="35"/>
    </row>
  </sheetData>
  <mergeCells count="10">
    <mergeCell ref="H1:I1"/>
    <mergeCell ref="J1:K1"/>
    <mergeCell ref="L1:M1"/>
    <mergeCell ref="A1:A2"/>
    <mergeCell ref="B1:B2"/>
    <mergeCell ref="C1:C2"/>
    <mergeCell ref="D1:D2"/>
    <mergeCell ref="E1:E2"/>
    <mergeCell ref="F1:F2"/>
    <mergeCell ref="G1:G2"/>
  </mergeCells>
  <dataValidations>
    <dataValidation type="custom" allowBlank="1" showErrorMessage="1" sqref="C5 C10:C11 E7:E11 C13:C48 C50:C70">
      <formula1>LTE(LEN(C5),(22))</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30.86"/>
    <col customWidth="1" min="5" max="5" width="21.86"/>
    <col customWidth="1" min="6" max="7" width="16.71"/>
    <col customWidth="1" min="8" max="8" width="11.14"/>
    <col customWidth="1" min="9" max="14" width="13.0"/>
    <col customWidth="1" hidden="1" min="15" max="15" width="29.14"/>
    <col customWidth="1" min="16" max="16" width="13.57"/>
    <col customWidth="1" min="17" max="17" width="15.14"/>
    <col customWidth="1" min="18" max="18" width="43.0"/>
    <col customWidth="1" min="19" max="26" width="9.86"/>
  </cols>
  <sheetData>
    <row r="1" ht="14.25" customHeight="1">
      <c r="A1" s="1"/>
      <c r="B1" s="217" t="s">
        <v>555</v>
      </c>
      <c r="C1" s="2" t="s">
        <v>2</v>
      </c>
      <c r="D1" s="2" t="s">
        <v>3</v>
      </c>
      <c r="E1" s="2" t="s">
        <v>4</v>
      </c>
      <c r="F1" s="218" t="s">
        <v>3086</v>
      </c>
      <c r="G1" s="218" t="s">
        <v>3250</v>
      </c>
      <c r="H1" s="498" t="s">
        <v>7</v>
      </c>
      <c r="I1" s="5" t="s">
        <v>8</v>
      </c>
      <c r="J1" s="6"/>
      <c r="K1" s="7" t="s">
        <v>9</v>
      </c>
      <c r="L1" s="6"/>
      <c r="M1" s="8" t="s">
        <v>10</v>
      </c>
      <c r="N1" s="6"/>
      <c r="O1" s="219" t="s">
        <v>11</v>
      </c>
      <c r="P1" s="10"/>
      <c r="Q1" s="11"/>
      <c r="R1" s="11"/>
      <c r="S1" s="11"/>
      <c r="T1" s="11"/>
      <c r="U1" s="11"/>
      <c r="V1" s="11"/>
      <c r="W1" s="11"/>
      <c r="X1" s="11"/>
      <c r="Y1" s="11"/>
      <c r="Z1" s="11"/>
    </row>
    <row r="2" ht="31.5" customHeight="1">
      <c r="A2" s="12"/>
      <c r="B2" s="12"/>
      <c r="C2" s="13"/>
      <c r="D2" s="13"/>
      <c r="E2" s="13"/>
      <c r="F2" s="13"/>
      <c r="G2" s="13"/>
      <c r="H2" s="14"/>
      <c r="I2" s="15" t="s">
        <v>3251</v>
      </c>
      <c r="J2" s="16" t="s">
        <v>3252</v>
      </c>
      <c r="K2" s="17" t="s">
        <v>3253</v>
      </c>
      <c r="L2" s="18" t="s">
        <v>3254</v>
      </c>
      <c r="M2" s="19" t="s">
        <v>3255</v>
      </c>
      <c r="N2" s="20" t="s">
        <v>3256</v>
      </c>
      <c r="O2" s="220" t="s">
        <v>3093</v>
      </c>
      <c r="P2" s="10"/>
      <c r="Q2" s="11"/>
      <c r="R2" s="11"/>
      <c r="S2" s="11"/>
      <c r="T2" s="11"/>
      <c r="U2" s="11"/>
      <c r="V2" s="11"/>
      <c r="W2" s="11"/>
      <c r="X2" s="11"/>
      <c r="Y2" s="11"/>
      <c r="Z2" s="11"/>
    </row>
    <row r="3" ht="14.25" customHeight="1">
      <c r="A3" s="221"/>
      <c r="B3" s="537" t="s">
        <v>3257</v>
      </c>
      <c r="C3" s="102" t="s">
        <v>3258</v>
      </c>
      <c r="D3" s="223" t="s">
        <v>3259</v>
      </c>
      <c r="E3" s="224"/>
      <c r="F3" s="225"/>
      <c r="G3" s="225">
        <v>2900.0</v>
      </c>
      <c r="H3" s="523">
        <v>44774.0</v>
      </c>
      <c r="I3" s="29">
        <f t="shared" ref="I3:I332" si="1">G3*0.5+G3</f>
        <v>4350</v>
      </c>
      <c r="J3" s="30">
        <f t="shared" ref="J3:J332" si="2">G3*0.3+G3</f>
        <v>3770</v>
      </c>
      <c r="K3" s="31">
        <f t="shared" ref="K3:K332" si="3">G3*0.3+G3</f>
        <v>3770</v>
      </c>
      <c r="L3" s="32">
        <f t="shared" ref="L3:L332" si="4">G3*0.2+G3</f>
        <v>3480</v>
      </c>
      <c r="M3" s="31">
        <f t="shared" ref="M3:M332" si="5">G3*0.15+G3</f>
        <v>3335</v>
      </c>
      <c r="N3" s="32">
        <f t="shared" ref="N3:N332" si="6">G3*0.1+G3</f>
        <v>3190</v>
      </c>
      <c r="O3" s="40"/>
      <c r="P3" s="34"/>
      <c r="Q3" s="35"/>
      <c r="R3" s="35"/>
      <c r="S3" s="35"/>
      <c r="T3" s="35"/>
      <c r="U3" s="35"/>
      <c r="V3" s="35"/>
      <c r="W3" s="35"/>
      <c r="X3" s="35"/>
      <c r="Y3" s="35"/>
      <c r="Z3" s="35"/>
    </row>
    <row r="4" ht="14.25" customHeight="1">
      <c r="A4" s="221"/>
      <c r="B4" s="537" t="s">
        <v>3257</v>
      </c>
      <c r="C4" s="102" t="s">
        <v>3260</v>
      </c>
      <c r="D4" s="508" t="s">
        <v>3261</v>
      </c>
      <c r="E4" s="85"/>
      <c r="F4" s="225"/>
      <c r="G4" s="225">
        <v>2500.0</v>
      </c>
      <c r="H4" s="523">
        <v>44774.0</v>
      </c>
      <c r="I4" s="36">
        <f t="shared" si="1"/>
        <v>3750</v>
      </c>
      <c r="J4" s="37">
        <f t="shared" si="2"/>
        <v>3250</v>
      </c>
      <c r="K4" s="38">
        <f t="shared" si="3"/>
        <v>3250</v>
      </c>
      <c r="L4" s="39">
        <f t="shared" si="4"/>
        <v>3000</v>
      </c>
      <c r="M4" s="38">
        <f t="shared" si="5"/>
        <v>2875</v>
      </c>
      <c r="N4" s="39">
        <f t="shared" si="6"/>
        <v>2750</v>
      </c>
      <c r="O4" s="40"/>
      <c r="P4" s="34"/>
      <c r="Q4" s="35"/>
      <c r="R4" s="35"/>
      <c r="S4" s="35"/>
      <c r="T4" s="35"/>
      <c r="U4" s="35"/>
      <c r="V4" s="35"/>
      <c r="W4" s="35"/>
      <c r="X4" s="35"/>
      <c r="Y4" s="35"/>
      <c r="Z4" s="35"/>
    </row>
    <row r="5" ht="14.25" customHeight="1">
      <c r="A5" s="221"/>
      <c r="B5" s="537" t="s">
        <v>3257</v>
      </c>
      <c r="C5" s="227" t="s">
        <v>3262</v>
      </c>
      <c r="D5" s="223" t="s">
        <v>3263</v>
      </c>
      <c r="E5" s="85"/>
      <c r="F5" s="225"/>
      <c r="G5" s="225">
        <v>3200.0</v>
      </c>
      <c r="H5" s="523">
        <v>44774.0</v>
      </c>
      <c r="I5" s="36">
        <f t="shared" si="1"/>
        <v>4800</v>
      </c>
      <c r="J5" s="37">
        <f t="shared" si="2"/>
        <v>4160</v>
      </c>
      <c r="K5" s="38">
        <f t="shared" si="3"/>
        <v>4160</v>
      </c>
      <c r="L5" s="39">
        <f t="shared" si="4"/>
        <v>3840</v>
      </c>
      <c r="M5" s="38">
        <f t="shared" si="5"/>
        <v>3680</v>
      </c>
      <c r="N5" s="39">
        <f t="shared" si="6"/>
        <v>3520</v>
      </c>
      <c r="O5" s="40"/>
      <c r="P5" s="34"/>
      <c r="Q5" s="35"/>
      <c r="R5" s="35"/>
      <c r="S5" s="35"/>
      <c r="T5" s="35"/>
      <c r="U5" s="35"/>
      <c r="V5" s="35"/>
      <c r="W5" s="35"/>
      <c r="X5" s="35"/>
      <c r="Y5" s="35"/>
      <c r="Z5" s="35"/>
    </row>
    <row r="6" ht="14.25" customHeight="1">
      <c r="A6" s="221"/>
      <c r="B6" s="537" t="s">
        <v>3257</v>
      </c>
      <c r="C6" s="117" t="s">
        <v>3264</v>
      </c>
      <c r="D6" s="223" t="s">
        <v>3265</v>
      </c>
      <c r="E6" s="85"/>
      <c r="F6" s="225"/>
      <c r="G6" s="225">
        <v>3200.0</v>
      </c>
      <c r="H6" s="523">
        <v>44774.0</v>
      </c>
      <c r="I6" s="36">
        <f t="shared" si="1"/>
        <v>4800</v>
      </c>
      <c r="J6" s="37">
        <f t="shared" si="2"/>
        <v>4160</v>
      </c>
      <c r="K6" s="38">
        <f t="shared" si="3"/>
        <v>4160</v>
      </c>
      <c r="L6" s="39">
        <f t="shared" si="4"/>
        <v>3840</v>
      </c>
      <c r="M6" s="38">
        <f t="shared" si="5"/>
        <v>3680</v>
      </c>
      <c r="N6" s="39">
        <f t="shared" si="6"/>
        <v>3520</v>
      </c>
      <c r="O6" s="40"/>
      <c r="P6" s="34"/>
      <c r="Q6" s="35"/>
      <c r="R6" s="35"/>
      <c r="S6" s="35"/>
      <c r="T6" s="35"/>
      <c r="U6" s="35"/>
      <c r="V6" s="35"/>
      <c r="W6" s="35"/>
      <c r="X6" s="35"/>
      <c r="Y6" s="35"/>
      <c r="Z6" s="35"/>
    </row>
    <row r="7" ht="14.25" customHeight="1">
      <c r="A7" s="221"/>
      <c r="B7" s="537" t="s">
        <v>3257</v>
      </c>
      <c r="C7" s="117" t="s">
        <v>3266</v>
      </c>
      <c r="D7" s="212" t="s">
        <v>3265</v>
      </c>
      <c r="E7" s="85"/>
      <c r="F7" s="214"/>
      <c r="G7" s="214">
        <v>4460.0</v>
      </c>
      <c r="H7" s="523">
        <v>44774.0</v>
      </c>
      <c r="I7" s="36">
        <f t="shared" si="1"/>
        <v>6690</v>
      </c>
      <c r="J7" s="37">
        <f t="shared" si="2"/>
        <v>5798</v>
      </c>
      <c r="K7" s="38">
        <f t="shared" si="3"/>
        <v>5798</v>
      </c>
      <c r="L7" s="39">
        <f t="shared" si="4"/>
        <v>5352</v>
      </c>
      <c r="M7" s="38">
        <f t="shared" si="5"/>
        <v>5129</v>
      </c>
      <c r="N7" s="39">
        <f t="shared" si="6"/>
        <v>4906</v>
      </c>
      <c r="O7" s="40"/>
      <c r="P7" s="34"/>
      <c r="Q7" s="35"/>
      <c r="R7" s="35"/>
      <c r="S7" s="35"/>
      <c r="T7" s="35"/>
      <c r="U7" s="35"/>
      <c r="V7" s="35"/>
      <c r="W7" s="35"/>
      <c r="X7" s="35"/>
      <c r="Y7" s="35"/>
      <c r="Z7" s="35"/>
    </row>
    <row r="8" ht="14.25" customHeight="1">
      <c r="A8" s="221"/>
      <c r="B8" s="537" t="s">
        <v>3257</v>
      </c>
      <c r="C8" s="211" t="s">
        <v>3267</v>
      </c>
      <c r="D8" s="212" t="s">
        <v>3261</v>
      </c>
      <c r="E8" s="545"/>
      <c r="F8" s="214"/>
      <c r="G8" s="214">
        <v>9900.0</v>
      </c>
      <c r="H8" s="523">
        <v>44774.0</v>
      </c>
      <c r="I8" s="36">
        <f t="shared" si="1"/>
        <v>14850</v>
      </c>
      <c r="J8" s="37">
        <f t="shared" si="2"/>
        <v>12870</v>
      </c>
      <c r="K8" s="38">
        <f t="shared" si="3"/>
        <v>12870</v>
      </c>
      <c r="L8" s="39">
        <f t="shared" si="4"/>
        <v>11880</v>
      </c>
      <c r="M8" s="38">
        <f t="shared" si="5"/>
        <v>11385</v>
      </c>
      <c r="N8" s="39">
        <f t="shared" si="6"/>
        <v>10890</v>
      </c>
      <c r="O8" s="40"/>
      <c r="P8" s="34"/>
      <c r="Q8" s="35"/>
      <c r="R8" s="35"/>
      <c r="S8" s="35"/>
      <c r="T8" s="35"/>
      <c r="U8" s="35"/>
      <c r="V8" s="35"/>
      <c r="W8" s="35"/>
      <c r="X8" s="35"/>
      <c r="Y8" s="35"/>
      <c r="Z8" s="35"/>
    </row>
    <row r="9" ht="14.25" customHeight="1">
      <c r="A9" s="221"/>
      <c r="B9" s="537" t="s">
        <v>3257</v>
      </c>
      <c r="C9" s="211" t="s">
        <v>3268</v>
      </c>
      <c r="D9" s="212" t="s">
        <v>3269</v>
      </c>
      <c r="E9" s="545"/>
      <c r="F9" s="214"/>
      <c r="G9" s="214">
        <v>10100.0</v>
      </c>
      <c r="H9" s="523">
        <v>44774.0</v>
      </c>
      <c r="I9" s="36">
        <f t="shared" si="1"/>
        <v>15150</v>
      </c>
      <c r="J9" s="37">
        <f t="shared" si="2"/>
        <v>13130</v>
      </c>
      <c r="K9" s="38">
        <f t="shared" si="3"/>
        <v>13130</v>
      </c>
      <c r="L9" s="39">
        <f t="shared" si="4"/>
        <v>12120</v>
      </c>
      <c r="M9" s="38">
        <f t="shared" si="5"/>
        <v>11615</v>
      </c>
      <c r="N9" s="39">
        <f t="shared" si="6"/>
        <v>11110</v>
      </c>
      <c r="O9" s="40"/>
      <c r="P9" s="34"/>
      <c r="Q9" s="35"/>
      <c r="R9" s="35"/>
      <c r="S9" s="35"/>
      <c r="T9" s="35"/>
      <c r="U9" s="35"/>
      <c r="V9" s="35"/>
      <c r="W9" s="35"/>
      <c r="X9" s="35"/>
      <c r="Y9" s="35"/>
      <c r="Z9" s="35"/>
    </row>
    <row r="10" ht="14.25" customHeight="1">
      <c r="A10" s="221"/>
      <c r="B10" s="537" t="s">
        <v>3257</v>
      </c>
      <c r="C10" s="211" t="s">
        <v>3270</v>
      </c>
      <c r="D10" s="212" t="s">
        <v>3271</v>
      </c>
      <c r="E10" s="545"/>
      <c r="F10" s="214"/>
      <c r="G10" s="214">
        <v>10800.0</v>
      </c>
      <c r="H10" s="523">
        <v>44774.0</v>
      </c>
      <c r="I10" s="36">
        <f t="shared" si="1"/>
        <v>16200</v>
      </c>
      <c r="J10" s="37">
        <f t="shared" si="2"/>
        <v>14040</v>
      </c>
      <c r="K10" s="38">
        <f t="shared" si="3"/>
        <v>14040</v>
      </c>
      <c r="L10" s="39">
        <f t="shared" si="4"/>
        <v>12960</v>
      </c>
      <c r="M10" s="38">
        <f t="shared" si="5"/>
        <v>12420</v>
      </c>
      <c r="N10" s="39">
        <f t="shared" si="6"/>
        <v>11880</v>
      </c>
      <c r="O10" s="40"/>
      <c r="P10" s="34"/>
      <c r="Q10" s="35"/>
      <c r="R10" s="35"/>
      <c r="S10" s="35"/>
      <c r="T10" s="35"/>
      <c r="U10" s="35"/>
      <c r="V10" s="35"/>
      <c r="W10" s="35"/>
      <c r="X10" s="35"/>
      <c r="Y10" s="35"/>
      <c r="Z10" s="35"/>
    </row>
    <row r="11" ht="14.25" customHeight="1">
      <c r="A11" s="221"/>
      <c r="B11" s="537" t="s">
        <v>3257</v>
      </c>
      <c r="C11" s="211" t="s">
        <v>3272</v>
      </c>
      <c r="D11" s="212" t="s">
        <v>3273</v>
      </c>
      <c r="E11" s="545"/>
      <c r="F11" s="214"/>
      <c r="G11" s="214">
        <v>5000.0</v>
      </c>
      <c r="H11" s="523">
        <v>44774.0</v>
      </c>
      <c r="I11" s="36">
        <f t="shared" si="1"/>
        <v>7500</v>
      </c>
      <c r="J11" s="37">
        <f t="shared" si="2"/>
        <v>6500</v>
      </c>
      <c r="K11" s="38">
        <f t="shared" si="3"/>
        <v>6500</v>
      </c>
      <c r="L11" s="39">
        <f t="shared" si="4"/>
        <v>6000</v>
      </c>
      <c r="M11" s="38">
        <f t="shared" si="5"/>
        <v>5750</v>
      </c>
      <c r="N11" s="39">
        <f t="shared" si="6"/>
        <v>5500</v>
      </c>
      <c r="O11" s="40"/>
      <c r="P11" s="34"/>
      <c r="Q11" s="35"/>
      <c r="R11" s="35"/>
      <c r="S11" s="35"/>
      <c r="T11" s="35"/>
      <c r="U11" s="35"/>
      <c r="V11" s="35"/>
      <c r="W11" s="35"/>
      <c r="X11" s="35"/>
      <c r="Y11" s="35"/>
      <c r="Z11" s="35"/>
    </row>
    <row r="12" ht="14.25" customHeight="1">
      <c r="A12" s="221"/>
      <c r="B12" s="537" t="s">
        <v>3257</v>
      </c>
      <c r="C12" s="211" t="s">
        <v>3274</v>
      </c>
      <c r="D12" s="212" t="s">
        <v>3275</v>
      </c>
      <c r="E12" s="545"/>
      <c r="F12" s="214"/>
      <c r="G12" s="214">
        <v>3500.0</v>
      </c>
      <c r="H12" s="523">
        <v>44774.0</v>
      </c>
      <c r="I12" s="36">
        <f t="shared" si="1"/>
        <v>5250</v>
      </c>
      <c r="J12" s="37">
        <f t="shared" si="2"/>
        <v>4550</v>
      </c>
      <c r="K12" s="38">
        <f t="shared" si="3"/>
        <v>4550</v>
      </c>
      <c r="L12" s="39">
        <f t="shared" si="4"/>
        <v>4200</v>
      </c>
      <c r="M12" s="38">
        <f t="shared" si="5"/>
        <v>4025</v>
      </c>
      <c r="N12" s="39">
        <f t="shared" si="6"/>
        <v>3850</v>
      </c>
      <c r="O12" s="40"/>
      <c r="P12" s="34"/>
      <c r="Q12" s="35"/>
      <c r="R12" s="35"/>
      <c r="S12" s="35"/>
      <c r="T12" s="35"/>
      <c r="U12" s="35"/>
      <c r="V12" s="35"/>
      <c r="W12" s="35"/>
      <c r="X12" s="35"/>
      <c r="Y12" s="35"/>
      <c r="Z12" s="35"/>
    </row>
    <row r="13" ht="14.25" customHeight="1">
      <c r="A13" s="221"/>
      <c r="B13" s="537" t="s">
        <v>3257</v>
      </c>
      <c r="C13" s="211" t="s">
        <v>3276</v>
      </c>
      <c r="D13" s="212" t="s">
        <v>3277</v>
      </c>
      <c r="E13" s="545"/>
      <c r="F13" s="214"/>
      <c r="G13" s="214">
        <v>5700.0</v>
      </c>
      <c r="H13" s="523">
        <v>44774.0</v>
      </c>
      <c r="I13" s="36">
        <f t="shared" si="1"/>
        <v>8550</v>
      </c>
      <c r="J13" s="37">
        <f t="shared" si="2"/>
        <v>7410</v>
      </c>
      <c r="K13" s="38">
        <f t="shared" si="3"/>
        <v>7410</v>
      </c>
      <c r="L13" s="39">
        <f t="shared" si="4"/>
        <v>6840</v>
      </c>
      <c r="M13" s="38">
        <f t="shared" si="5"/>
        <v>6555</v>
      </c>
      <c r="N13" s="39">
        <f t="shared" si="6"/>
        <v>6270</v>
      </c>
      <c r="O13" s="40"/>
      <c r="P13" s="34"/>
      <c r="Q13" s="35"/>
      <c r="R13" s="35"/>
      <c r="S13" s="35"/>
      <c r="T13" s="35"/>
      <c r="U13" s="35"/>
      <c r="V13" s="35"/>
      <c r="W13" s="35"/>
      <c r="X13" s="35"/>
      <c r="Y13" s="35"/>
      <c r="Z13" s="35"/>
    </row>
    <row r="14" ht="14.25" customHeight="1">
      <c r="A14" s="221"/>
      <c r="B14" s="537" t="s">
        <v>3257</v>
      </c>
      <c r="C14" s="211" t="s">
        <v>3278</v>
      </c>
      <c r="D14" s="212" t="s">
        <v>3279</v>
      </c>
      <c r="E14" s="545"/>
      <c r="F14" s="214"/>
      <c r="G14" s="214">
        <v>6500.0</v>
      </c>
      <c r="H14" s="523">
        <v>44774.0</v>
      </c>
      <c r="I14" s="36">
        <f t="shared" si="1"/>
        <v>9750</v>
      </c>
      <c r="J14" s="37">
        <f t="shared" si="2"/>
        <v>8450</v>
      </c>
      <c r="K14" s="38">
        <f t="shared" si="3"/>
        <v>8450</v>
      </c>
      <c r="L14" s="39">
        <f t="shared" si="4"/>
        <v>7800</v>
      </c>
      <c r="M14" s="38">
        <f t="shared" si="5"/>
        <v>7475</v>
      </c>
      <c r="N14" s="39">
        <f t="shared" si="6"/>
        <v>7150</v>
      </c>
      <c r="O14" s="40"/>
      <c r="P14" s="34"/>
      <c r="Q14" s="35"/>
      <c r="R14" s="35"/>
      <c r="S14" s="35"/>
      <c r="T14" s="35"/>
      <c r="U14" s="35"/>
      <c r="V14" s="35"/>
      <c r="W14" s="35"/>
      <c r="X14" s="35"/>
      <c r="Y14" s="35"/>
      <c r="Z14" s="35"/>
    </row>
    <row r="15" ht="14.25" customHeight="1">
      <c r="A15" s="221"/>
      <c r="B15" s="537" t="s">
        <v>3257</v>
      </c>
      <c r="C15" s="211" t="s">
        <v>3280</v>
      </c>
      <c r="D15" s="212" t="s">
        <v>3281</v>
      </c>
      <c r="E15" s="545"/>
      <c r="F15" s="214"/>
      <c r="G15" s="214">
        <v>2900.0</v>
      </c>
      <c r="H15" s="523">
        <v>44774.0</v>
      </c>
      <c r="I15" s="36">
        <f t="shared" si="1"/>
        <v>4350</v>
      </c>
      <c r="J15" s="37">
        <f t="shared" si="2"/>
        <v>3770</v>
      </c>
      <c r="K15" s="38">
        <f t="shared" si="3"/>
        <v>3770</v>
      </c>
      <c r="L15" s="39">
        <f t="shared" si="4"/>
        <v>3480</v>
      </c>
      <c r="M15" s="38">
        <f t="shared" si="5"/>
        <v>3335</v>
      </c>
      <c r="N15" s="39">
        <f t="shared" si="6"/>
        <v>3190</v>
      </c>
      <c r="O15" s="40"/>
      <c r="P15" s="34"/>
      <c r="Q15" s="35"/>
      <c r="R15" s="35"/>
      <c r="S15" s="35"/>
      <c r="T15" s="35"/>
      <c r="U15" s="35"/>
      <c r="V15" s="35"/>
      <c r="W15" s="35"/>
      <c r="X15" s="35"/>
      <c r="Y15" s="35"/>
      <c r="Z15" s="35"/>
    </row>
    <row r="16" ht="14.25" customHeight="1">
      <c r="A16" s="221"/>
      <c r="B16" s="537" t="s">
        <v>3257</v>
      </c>
      <c r="C16" s="211" t="s">
        <v>3282</v>
      </c>
      <c r="D16" s="212" t="s">
        <v>3283</v>
      </c>
      <c r="E16" s="545"/>
      <c r="F16" s="214"/>
      <c r="G16" s="214">
        <v>2500.0</v>
      </c>
      <c r="H16" s="523">
        <v>44774.0</v>
      </c>
      <c r="I16" s="36">
        <f t="shared" si="1"/>
        <v>3750</v>
      </c>
      <c r="J16" s="37">
        <f t="shared" si="2"/>
        <v>3250</v>
      </c>
      <c r="K16" s="38">
        <f t="shared" si="3"/>
        <v>3250</v>
      </c>
      <c r="L16" s="39">
        <f t="shared" si="4"/>
        <v>3000</v>
      </c>
      <c r="M16" s="38">
        <f t="shared" si="5"/>
        <v>2875</v>
      </c>
      <c r="N16" s="39">
        <f t="shared" si="6"/>
        <v>2750</v>
      </c>
      <c r="O16" s="40"/>
      <c r="P16" s="34"/>
      <c r="Q16" s="35"/>
      <c r="R16" s="35"/>
      <c r="S16" s="35"/>
      <c r="T16" s="35"/>
      <c r="U16" s="35"/>
      <c r="V16" s="35"/>
      <c r="W16" s="35"/>
      <c r="X16" s="35"/>
      <c r="Y16" s="35"/>
      <c r="Z16" s="35"/>
    </row>
    <row r="17" ht="14.25" customHeight="1">
      <c r="A17" s="221"/>
      <c r="B17" s="537" t="s">
        <v>3257</v>
      </c>
      <c r="C17" s="211" t="s">
        <v>3284</v>
      </c>
      <c r="D17" s="212" t="s">
        <v>3283</v>
      </c>
      <c r="E17" s="545"/>
      <c r="F17" s="214"/>
      <c r="G17" s="214">
        <v>4200.0</v>
      </c>
      <c r="H17" s="523">
        <v>44774.0</v>
      </c>
      <c r="I17" s="36">
        <f t="shared" si="1"/>
        <v>6300</v>
      </c>
      <c r="J17" s="37">
        <f t="shared" si="2"/>
        <v>5460</v>
      </c>
      <c r="K17" s="38">
        <f t="shared" si="3"/>
        <v>5460</v>
      </c>
      <c r="L17" s="39">
        <f t="shared" si="4"/>
        <v>5040</v>
      </c>
      <c r="M17" s="38">
        <f t="shared" si="5"/>
        <v>4830</v>
      </c>
      <c r="N17" s="39">
        <f t="shared" si="6"/>
        <v>4620</v>
      </c>
      <c r="O17" s="40"/>
      <c r="P17" s="34"/>
      <c r="Q17" s="35"/>
      <c r="R17" s="35"/>
      <c r="S17" s="35"/>
      <c r="T17" s="35"/>
      <c r="U17" s="35"/>
      <c r="V17" s="35"/>
      <c r="W17" s="35"/>
      <c r="X17" s="35"/>
      <c r="Y17" s="35"/>
      <c r="Z17" s="35"/>
    </row>
    <row r="18" ht="14.25" customHeight="1">
      <c r="A18" s="221"/>
      <c r="B18" s="537" t="s">
        <v>3257</v>
      </c>
      <c r="C18" s="211" t="s">
        <v>3285</v>
      </c>
      <c r="D18" s="212" t="s">
        <v>3283</v>
      </c>
      <c r="E18" s="545"/>
      <c r="F18" s="214"/>
      <c r="G18" s="214">
        <v>4500.0</v>
      </c>
      <c r="H18" s="523">
        <v>44774.0</v>
      </c>
      <c r="I18" s="36">
        <f t="shared" si="1"/>
        <v>6750</v>
      </c>
      <c r="J18" s="37">
        <f t="shared" si="2"/>
        <v>5850</v>
      </c>
      <c r="K18" s="38">
        <f t="shared" si="3"/>
        <v>5850</v>
      </c>
      <c r="L18" s="39">
        <f t="shared" si="4"/>
        <v>5400</v>
      </c>
      <c r="M18" s="38">
        <f t="shared" si="5"/>
        <v>5175</v>
      </c>
      <c r="N18" s="39">
        <f t="shared" si="6"/>
        <v>4950</v>
      </c>
      <c r="O18" s="40"/>
      <c r="P18" s="34"/>
      <c r="Q18" s="35"/>
      <c r="R18" s="35"/>
      <c r="S18" s="35"/>
      <c r="T18" s="35"/>
      <c r="U18" s="35"/>
      <c r="V18" s="35"/>
      <c r="W18" s="35"/>
      <c r="X18" s="35"/>
      <c r="Y18" s="35"/>
      <c r="Z18" s="35"/>
    </row>
    <row r="19" ht="14.25" customHeight="1">
      <c r="A19" s="221"/>
      <c r="B19" s="537" t="s">
        <v>3257</v>
      </c>
      <c r="C19" s="211" t="s">
        <v>3286</v>
      </c>
      <c r="D19" s="212" t="s">
        <v>3287</v>
      </c>
      <c r="E19" s="545"/>
      <c r="F19" s="214"/>
      <c r="G19" s="214">
        <v>7100.0</v>
      </c>
      <c r="H19" s="523">
        <v>44774.0</v>
      </c>
      <c r="I19" s="36">
        <f t="shared" si="1"/>
        <v>10650</v>
      </c>
      <c r="J19" s="37">
        <f t="shared" si="2"/>
        <v>9230</v>
      </c>
      <c r="K19" s="38">
        <f t="shared" si="3"/>
        <v>9230</v>
      </c>
      <c r="L19" s="39">
        <f t="shared" si="4"/>
        <v>8520</v>
      </c>
      <c r="M19" s="38">
        <f t="shared" si="5"/>
        <v>8165</v>
      </c>
      <c r="N19" s="39">
        <f t="shared" si="6"/>
        <v>7810</v>
      </c>
      <c r="O19" s="40"/>
      <c r="P19" s="34"/>
      <c r="Q19" s="35"/>
      <c r="R19" s="35"/>
      <c r="S19" s="35"/>
      <c r="T19" s="35"/>
      <c r="U19" s="35"/>
      <c r="V19" s="35"/>
      <c r="W19" s="35"/>
      <c r="X19" s="35"/>
      <c r="Y19" s="35"/>
      <c r="Z19" s="35"/>
    </row>
    <row r="20" ht="14.25" customHeight="1">
      <c r="A20" s="221"/>
      <c r="B20" s="537" t="s">
        <v>3257</v>
      </c>
      <c r="C20" s="211" t="s">
        <v>3288</v>
      </c>
      <c r="D20" s="212" t="s">
        <v>3289</v>
      </c>
      <c r="E20" s="213"/>
      <c r="F20" s="214"/>
      <c r="G20" s="214">
        <v>5500.0</v>
      </c>
      <c r="H20" s="523">
        <v>44774.0</v>
      </c>
      <c r="I20" s="36">
        <f t="shared" si="1"/>
        <v>8250</v>
      </c>
      <c r="J20" s="37">
        <f t="shared" si="2"/>
        <v>7150</v>
      </c>
      <c r="K20" s="38">
        <f t="shared" si="3"/>
        <v>7150</v>
      </c>
      <c r="L20" s="39">
        <f t="shared" si="4"/>
        <v>6600</v>
      </c>
      <c r="M20" s="38">
        <f t="shared" si="5"/>
        <v>6325</v>
      </c>
      <c r="N20" s="39">
        <f t="shared" si="6"/>
        <v>6050</v>
      </c>
      <c r="O20" s="40"/>
      <c r="P20" s="34"/>
      <c r="Q20" s="35"/>
      <c r="R20" s="35"/>
      <c r="S20" s="35"/>
      <c r="T20" s="35"/>
      <c r="U20" s="35"/>
      <c r="V20" s="35"/>
      <c r="W20" s="35"/>
      <c r="X20" s="35"/>
      <c r="Y20" s="35"/>
      <c r="Z20" s="35"/>
    </row>
    <row r="21" ht="14.25" customHeight="1">
      <c r="A21" s="221"/>
      <c r="B21" s="537" t="s">
        <v>3257</v>
      </c>
      <c r="C21" s="211" t="s">
        <v>3290</v>
      </c>
      <c r="D21" s="212" t="s">
        <v>3291</v>
      </c>
      <c r="E21" s="213"/>
      <c r="F21" s="214"/>
      <c r="G21" s="214">
        <v>9500.0</v>
      </c>
      <c r="H21" s="523">
        <v>44774.0</v>
      </c>
      <c r="I21" s="36">
        <f t="shared" si="1"/>
        <v>14250</v>
      </c>
      <c r="J21" s="37">
        <f t="shared" si="2"/>
        <v>12350</v>
      </c>
      <c r="K21" s="38">
        <f t="shared" si="3"/>
        <v>12350</v>
      </c>
      <c r="L21" s="39">
        <f t="shared" si="4"/>
        <v>11400</v>
      </c>
      <c r="M21" s="38">
        <f t="shared" si="5"/>
        <v>10925</v>
      </c>
      <c r="N21" s="39">
        <f t="shared" si="6"/>
        <v>10450</v>
      </c>
      <c r="O21" s="40"/>
      <c r="P21" s="34"/>
      <c r="Q21" s="35"/>
      <c r="R21" s="35"/>
      <c r="S21" s="35"/>
      <c r="T21" s="35"/>
      <c r="U21" s="35"/>
      <c r="V21" s="35"/>
      <c r="W21" s="35"/>
      <c r="X21" s="35"/>
      <c r="Y21" s="35"/>
      <c r="Z21" s="35"/>
    </row>
    <row r="22" ht="14.25" customHeight="1">
      <c r="A22" s="221"/>
      <c r="B22" s="537" t="s">
        <v>3257</v>
      </c>
      <c r="C22" s="211" t="s">
        <v>3292</v>
      </c>
      <c r="D22" s="212" t="s">
        <v>3293</v>
      </c>
      <c r="E22" s="213"/>
      <c r="F22" s="214"/>
      <c r="G22" s="214">
        <v>9500.0</v>
      </c>
      <c r="H22" s="523">
        <v>44774.0</v>
      </c>
      <c r="I22" s="36">
        <f t="shared" si="1"/>
        <v>14250</v>
      </c>
      <c r="J22" s="37">
        <f t="shared" si="2"/>
        <v>12350</v>
      </c>
      <c r="K22" s="38">
        <f t="shared" si="3"/>
        <v>12350</v>
      </c>
      <c r="L22" s="39">
        <f t="shared" si="4"/>
        <v>11400</v>
      </c>
      <c r="M22" s="38">
        <f t="shared" si="5"/>
        <v>10925</v>
      </c>
      <c r="N22" s="39">
        <f t="shared" si="6"/>
        <v>10450</v>
      </c>
      <c r="O22" s="40"/>
      <c r="P22" s="34"/>
      <c r="Q22" s="35"/>
      <c r="R22" s="35"/>
      <c r="S22" s="35"/>
      <c r="T22" s="35"/>
      <c r="U22" s="35"/>
      <c r="V22" s="35"/>
      <c r="W22" s="35"/>
      <c r="X22" s="35"/>
      <c r="Y22" s="35"/>
      <c r="Z22" s="35"/>
    </row>
    <row r="23" ht="14.25" customHeight="1">
      <c r="A23" s="221"/>
      <c r="B23" s="537" t="s">
        <v>3257</v>
      </c>
      <c r="C23" s="211" t="s">
        <v>3294</v>
      </c>
      <c r="D23" s="212" t="s">
        <v>3295</v>
      </c>
      <c r="E23" s="213"/>
      <c r="F23" s="214"/>
      <c r="G23" s="214">
        <v>12000.0</v>
      </c>
      <c r="H23" s="523">
        <v>44774.0</v>
      </c>
      <c r="I23" s="36">
        <f t="shared" si="1"/>
        <v>18000</v>
      </c>
      <c r="J23" s="37">
        <f t="shared" si="2"/>
        <v>15600</v>
      </c>
      <c r="K23" s="38">
        <f t="shared" si="3"/>
        <v>15600</v>
      </c>
      <c r="L23" s="39">
        <f t="shared" si="4"/>
        <v>14400</v>
      </c>
      <c r="M23" s="38">
        <f t="shared" si="5"/>
        <v>13800</v>
      </c>
      <c r="N23" s="39">
        <f t="shared" si="6"/>
        <v>13200</v>
      </c>
      <c r="O23" s="40"/>
      <c r="P23" s="34"/>
      <c r="Q23" s="35"/>
      <c r="R23" s="35"/>
      <c r="S23" s="35"/>
      <c r="T23" s="35"/>
      <c r="U23" s="35"/>
      <c r="V23" s="35"/>
      <c r="W23" s="35"/>
      <c r="X23" s="35"/>
      <c r="Y23" s="35"/>
      <c r="Z23" s="35"/>
    </row>
    <row r="24" ht="14.25" customHeight="1">
      <c r="A24" s="221"/>
      <c r="B24" s="537" t="s">
        <v>3257</v>
      </c>
      <c r="C24" s="211" t="s">
        <v>3296</v>
      </c>
      <c r="D24" s="212" t="s">
        <v>3295</v>
      </c>
      <c r="E24" s="213"/>
      <c r="F24" s="214"/>
      <c r="G24" s="214">
        <v>14500.0</v>
      </c>
      <c r="H24" s="523">
        <v>44774.0</v>
      </c>
      <c r="I24" s="36">
        <f t="shared" si="1"/>
        <v>21750</v>
      </c>
      <c r="J24" s="37">
        <f t="shared" si="2"/>
        <v>18850</v>
      </c>
      <c r="K24" s="38">
        <f t="shared" si="3"/>
        <v>18850</v>
      </c>
      <c r="L24" s="39">
        <f t="shared" si="4"/>
        <v>17400</v>
      </c>
      <c r="M24" s="38">
        <f t="shared" si="5"/>
        <v>16675</v>
      </c>
      <c r="N24" s="39">
        <f t="shared" si="6"/>
        <v>15950</v>
      </c>
      <c r="O24" s="40"/>
      <c r="P24" s="34"/>
      <c r="Q24" s="35"/>
      <c r="R24" s="35"/>
      <c r="S24" s="35"/>
      <c r="T24" s="35"/>
      <c r="U24" s="35"/>
      <c r="V24" s="35"/>
      <c r="W24" s="35"/>
      <c r="X24" s="35"/>
      <c r="Y24" s="35"/>
      <c r="Z24" s="35"/>
    </row>
    <row r="25" ht="14.25" customHeight="1">
      <c r="A25" s="221"/>
      <c r="B25" s="537" t="s">
        <v>3257</v>
      </c>
      <c r="C25" s="211" t="s">
        <v>3297</v>
      </c>
      <c r="D25" s="212" t="s">
        <v>3298</v>
      </c>
      <c r="E25" s="213"/>
      <c r="F25" s="214"/>
      <c r="G25" s="214">
        <v>14800.0</v>
      </c>
      <c r="H25" s="523">
        <v>44774.0</v>
      </c>
      <c r="I25" s="36">
        <f t="shared" si="1"/>
        <v>22200</v>
      </c>
      <c r="J25" s="37">
        <f t="shared" si="2"/>
        <v>19240</v>
      </c>
      <c r="K25" s="38">
        <f t="shared" si="3"/>
        <v>19240</v>
      </c>
      <c r="L25" s="39">
        <f t="shared" si="4"/>
        <v>17760</v>
      </c>
      <c r="M25" s="38">
        <f t="shared" si="5"/>
        <v>17020</v>
      </c>
      <c r="N25" s="39">
        <f t="shared" si="6"/>
        <v>16280</v>
      </c>
      <c r="O25" s="40"/>
      <c r="P25" s="34"/>
      <c r="Q25" s="35"/>
      <c r="R25" s="35"/>
      <c r="S25" s="35"/>
      <c r="T25" s="35"/>
      <c r="U25" s="35"/>
      <c r="V25" s="35"/>
      <c r="W25" s="35"/>
      <c r="X25" s="35"/>
      <c r="Y25" s="35"/>
      <c r="Z25" s="35"/>
    </row>
    <row r="26" ht="14.25" customHeight="1">
      <c r="A26" s="221"/>
      <c r="B26" s="537" t="s">
        <v>3257</v>
      </c>
      <c r="C26" s="211" t="s">
        <v>3299</v>
      </c>
      <c r="D26" s="212" t="s">
        <v>3300</v>
      </c>
      <c r="E26" s="213"/>
      <c r="F26" s="214"/>
      <c r="G26" s="214">
        <v>15380.0</v>
      </c>
      <c r="H26" s="523">
        <v>44774.0</v>
      </c>
      <c r="I26" s="36">
        <f t="shared" si="1"/>
        <v>23070</v>
      </c>
      <c r="J26" s="37">
        <f t="shared" si="2"/>
        <v>19994</v>
      </c>
      <c r="K26" s="38">
        <f t="shared" si="3"/>
        <v>19994</v>
      </c>
      <c r="L26" s="39">
        <f t="shared" si="4"/>
        <v>18456</v>
      </c>
      <c r="M26" s="38">
        <f t="shared" si="5"/>
        <v>17687</v>
      </c>
      <c r="N26" s="39">
        <f t="shared" si="6"/>
        <v>16918</v>
      </c>
      <c r="O26" s="40"/>
      <c r="P26" s="34"/>
      <c r="Q26" s="35"/>
      <c r="R26" s="35"/>
      <c r="S26" s="35"/>
      <c r="T26" s="35"/>
      <c r="U26" s="35"/>
      <c r="V26" s="35"/>
      <c r="W26" s="35"/>
      <c r="X26" s="35"/>
      <c r="Y26" s="35"/>
      <c r="Z26" s="35"/>
    </row>
    <row r="27" ht="14.25" customHeight="1">
      <c r="A27" s="221"/>
      <c r="B27" s="537" t="s">
        <v>3257</v>
      </c>
      <c r="C27" s="211" t="s">
        <v>3301</v>
      </c>
      <c r="D27" s="212" t="s">
        <v>3302</v>
      </c>
      <c r="E27" s="213"/>
      <c r="F27" s="214"/>
      <c r="G27" s="214">
        <v>5000.0</v>
      </c>
      <c r="H27" s="523">
        <v>44774.0</v>
      </c>
      <c r="I27" s="36">
        <f t="shared" si="1"/>
        <v>7500</v>
      </c>
      <c r="J27" s="37">
        <f t="shared" si="2"/>
        <v>6500</v>
      </c>
      <c r="K27" s="38">
        <f t="shared" si="3"/>
        <v>6500</v>
      </c>
      <c r="L27" s="39">
        <f t="shared" si="4"/>
        <v>6000</v>
      </c>
      <c r="M27" s="38">
        <f t="shared" si="5"/>
        <v>5750</v>
      </c>
      <c r="N27" s="39">
        <f t="shared" si="6"/>
        <v>5500</v>
      </c>
      <c r="O27" s="40"/>
      <c r="P27" s="34"/>
      <c r="Q27" s="35"/>
      <c r="R27" s="35"/>
      <c r="S27" s="35"/>
      <c r="T27" s="35"/>
      <c r="U27" s="35"/>
      <c r="V27" s="35"/>
      <c r="W27" s="35"/>
      <c r="X27" s="35"/>
      <c r="Y27" s="35"/>
      <c r="Z27" s="35"/>
    </row>
    <row r="28" ht="14.25" customHeight="1">
      <c r="A28" s="221"/>
      <c r="B28" s="537" t="s">
        <v>3257</v>
      </c>
      <c r="C28" s="211" t="s">
        <v>3303</v>
      </c>
      <c r="D28" s="212" t="s">
        <v>3304</v>
      </c>
      <c r="E28" s="213"/>
      <c r="F28" s="214"/>
      <c r="G28" s="214">
        <v>22000.0</v>
      </c>
      <c r="H28" s="523">
        <v>44774.0</v>
      </c>
      <c r="I28" s="36">
        <f t="shared" si="1"/>
        <v>33000</v>
      </c>
      <c r="J28" s="37">
        <f t="shared" si="2"/>
        <v>28600</v>
      </c>
      <c r="K28" s="38">
        <f t="shared" si="3"/>
        <v>28600</v>
      </c>
      <c r="L28" s="39">
        <f t="shared" si="4"/>
        <v>26400</v>
      </c>
      <c r="M28" s="38">
        <f t="shared" si="5"/>
        <v>25300</v>
      </c>
      <c r="N28" s="39">
        <f t="shared" si="6"/>
        <v>24200</v>
      </c>
      <c r="O28" s="40"/>
      <c r="P28" s="34"/>
      <c r="Q28" s="35"/>
      <c r="R28" s="35"/>
      <c r="S28" s="35"/>
      <c r="T28" s="35"/>
      <c r="U28" s="35"/>
      <c r="V28" s="35"/>
      <c r="W28" s="35"/>
      <c r="X28" s="35"/>
      <c r="Y28" s="35"/>
      <c r="Z28" s="35"/>
    </row>
    <row r="29" ht="14.25" customHeight="1">
      <c r="A29" s="221"/>
      <c r="B29" s="537" t="s">
        <v>3257</v>
      </c>
      <c r="C29" s="211" t="s">
        <v>3305</v>
      </c>
      <c r="D29" s="212" t="s">
        <v>3306</v>
      </c>
      <c r="E29" s="213"/>
      <c r="F29" s="214"/>
      <c r="G29" s="214">
        <v>21500.0</v>
      </c>
      <c r="H29" s="523">
        <v>44774.0</v>
      </c>
      <c r="I29" s="36">
        <f t="shared" si="1"/>
        <v>32250</v>
      </c>
      <c r="J29" s="37">
        <f t="shared" si="2"/>
        <v>27950</v>
      </c>
      <c r="K29" s="38">
        <f t="shared" si="3"/>
        <v>27950</v>
      </c>
      <c r="L29" s="39">
        <f t="shared" si="4"/>
        <v>25800</v>
      </c>
      <c r="M29" s="38">
        <f t="shared" si="5"/>
        <v>24725</v>
      </c>
      <c r="N29" s="39">
        <f t="shared" si="6"/>
        <v>23650</v>
      </c>
      <c r="O29" s="40"/>
      <c r="P29" s="34"/>
      <c r="Q29" s="35"/>
      <c r="R29" s="35"/>
      <c r="S29" s="35"/>
      <c r="T29" s="35"/>
      <c r="U29" s="35"/>
      <c r="V29" s="35"/>
      <c r="W29" s="35"/>
      <c r="X29" s="35"/>
      <c r="Y29" s="35"/>
      <c r="Z29" s="35"/>
    </row>
    <row r="30" ht="14.25" customHeight="1">
      <c r="A30" s="221"/>
      <c r="B30" s="537" t="s">
        <v>3257</v>
      </c>
      <c r="C30" s="211" t="s">
        <v>3307</v>
      </c>
      <c r="D30" s="212" t="s">
        <v>3306</v>
      </c>
      <c r="E30" s="213"/>
      <c r="F30" s="214"/>
      <c r="G30" s="214">
        <v>27355.0</v>
      </c>
      <c r="H30" s="523">
        <v>44774.0</v>
      </c>
      <c r="I30" s="36">
        <f t="shared" si="1"/>
        <v>41032.5</v>
      </c>
      <c r="J30" s="37">
        <f t="shared" si="2"/>
        <v>35561.5</v>
      </c>
      <c r="K30" s="38">
        <f t="shared" si="3"/>
        <v>35561.5</v>
      </c>
      <c r="L30" s="39">
        <f t="shared" si="4"/>
        <v>32826</v>
      </c>
      <c r="M30" s="38">
        <f t="shared" si="5"/>
        <v>31458.25</v>
      </c>
      <c r="N30" s="39">
        <f t="shared" si="6"/>
        <v>30090.5</v>
      </c>
      <c r="O30" s="40"/>
      <c r="P30" s="34"/>
      <c r="Q30" s="35"/>
      <c r="R30" s="35"/>
      <c r="S30" s="35"/>
      <c r="T30" s="35"/>
      <c r="U30" s="35"/>
      <c r="V30" s="35"/>
      <c r="W30" s="35"/>
      <c r="X30" s="35"/>
      <c r="Y30" s="35"/>
      <c r="Z30" s="35"/>
    </row>
    <row r="31" ht="14.25" customHeight="1">
      <c r="A31" s="221"/>
      <c r="B31" s="537" t="s">
        <v>3257</v>
      </c>
      <c r="C31" s="211" t="s">
        <v>3308</v>
      </c>
      <c r="D31" s="212" t="s">
        <v>3309</v>
      </c>
      <c r="E31" s="213"/>
      <c r="F31" s="214"/>
      <c r="G31" s="214">
        <v>34920.0</v>
      </c>
      <c r="H31" s="523">
        <v>44774.0</v>
      </c>
      <c r="I31" s="36">
        <f t="shared" si="1"/>
        <v>52380</v>
      </c>
      <c r="J31" s="37">
        <f t="shared" si="2"/>
        <v>45396</v>
      </c>
      <c r="K31" s="38">
        <f t="shared" si="3"/>
        <v>45396</v>
      </c>
      <c r="L31" s="39">
        <f t="shared" si="4"/>
        <v>41904</v>
      </c>
      <c r="M31" s="38">
        <f t="shared" si="5"/>
        <v>40158</v>
      </c>
      <c r="N31" s="39">
        <f t="shared" si="6"/>
        <v>38412</v>
      </c>
      <c r="O31" s="40"/>
      <c r="P31" s="34"/>
      <c r="Q31" s="35"/>
      <c r="R31" s="35"/>
      <c r="S31" s="35"/>
      <c r="T31" s="35"/>
      <c r="U31" s="35"/>
      <c r="V31" s="35"/>
      <c r="W31" s="35"/>
      <c r="X31" s="35"/>
      <c r="Y31" s="35"/>
      <c r="Z31" s="35"/>
    </row>
    <row r="32" ht="14.25" customHeight="1">
      <c r="A32" s="221"/>
      <c r="B32" s="537" t="s">
        <v>3257</v>
      </c>
      <c r="C32" s="211" t="s">
        <v>3310</v>
      </c>
      <c r="D32" s="212" t="s">
        <v>3306</v>
      </c>
      <c r="E32" s="213"/>
      <c r="F32" s="214"/>
      <c r="G32" s="214">
        <v>38600.0</v>
      </c>
      <c r="H32" s="523">
        <v>44774.0</v>
      </c>
      <c r="I32" s="36">
        <f t="shared" si="1"/>
        <v>57900</v>
      </c>
      <c r="J32" s="37">
        <f t="shared" si="2"/>
        <v>50180</v>
      </c>
      <c r="K32" s="38">
        <f t="shared" si="3"/>
        <v>50180</v>
      </c>
      <c r="L32" s="39">
        <f t="shared" si="4"/>
        <v>46320</v>
      </c>
      <c r="M32" s="38">
        <f t="shared" si="5"/>
        <v>44390</v>
      </c>
      <c r="N32" s="39">
        <f t="shared" si="6"/>
        <v>42460</v>
      </c>
      <c r="O32" s="40"/>
      <c r="P32" s="34"/>
      <c r="Q32" s="35"/>
      <c r="R32" s="35"/>
      <c r="S32" s="35"/>
      <c r="T32" s="35"/>
      <c r="U32" s="35"/>
      <c r="V32" s="35"/>
      <c r="W32" s="35"/>
      <c r="X32" s="35"/>
      <c r="Y32" s="35"/>
      <c r="Z32" s="35"/>
    </row>
    <row r="33" ht="14.25" customHeight="1">
      <c r="A33" s="221"/>
      <c r="B33" s="537" t="s">
        <v>3257</v>
      </c>
      <c r="C33" s="211" t="s">
        <v>3311</v>
      </c>
      <c r="D33" s="212" t="s">
        <v>3312</v>
      </c>
      <c r="E33" s="213"/>
      <c r="F33" s="214"/>
      <c r="G33" s="214">
        <v>3200.0</v>
      </c>
      <c r="H33" s="523">
        <v>44774.0</v>
      </c>
      <c r="I33" s="36">
        <f t="shared" si="1"/>
        <v>4800</v>
      </c>
      <c r="J33" s="37">
        <f t="shared" si="2"/>
        <v>4160</v>
      </c>
      <c r="K33" s="38">
        <f t="shared" si="3"/>
        <v>4160</v>
      </c>
      <c r="L33" s="39">
        <f t="shared" si="4"/>
        <v>3840</v>
      </c>
      <c r="M33" s="38">
        <f t="shared" si="5"/>
        <v>3680</v>
      </c>
      <c r="N33" s="39">
        <f t="shared" si="6"/>
        <v>3520</v>
      </c>
      <c r="O33" s="40"/>
      <c r="P33" s="34"/>
      <c r="Q33" s="35"/>
      <c r="R33" s="35"/>
      <c r="S33" s="35"/>
      <c r="T33" s="35"/>
      <c r="U33" s="35"/>
      <c r="V33" s="35"/>
      <c r="W33" s="35"/>
      <c r="X33" s="35"/>
      <c r="Y33" s="35"/>
      <c r="Z33" s="35"/>
    </row>
    <row r="34" ht="14.25" customHeight="1">
      <c r="A34" s="221"/>
      <c r="B34" s="537" t="s">
        <v>3257</v>
      </c>
      <c r="C34" s="211" t="s">
        <v>3313</v>
      </c>
      <c r="D34" s="212" t="s">
        <v>3314</v>
      </c>
      <c r="E34" s="213"/>
      <c r="F34" s="214"/>
      <c r="G34" s="214">
        <v>7000.0</v>
      </c>
      <c r="H34" s="523">
        <v>44774.0</v>
      </c>
      <c r="I34" s="36">
        <f t="shared" si="1"/>
        <v>10500</v>
      </c>
      <c r="J34" s="37">
        <f t="shared" si="2"/>
        <v>9100</v>
      </c>
      <c r="K34" s="38">
        <f t="shared" si="3"/>
        <v>9100</v>
      </c>
      <c r="L34" s="39">
        <f t="shared" si="4"/>
        <v>8400</v>
      </c>
      <c r="M34" s="38">
        <f t="shared" si="5"/>
        <v>8050</v>
      </c>
      <c r="N34" s="39">
        <f t="shared" si="6"/>
        <v>7700</v>
      </c>
      <c r="O34" s="40"/>
      <c r="P34" s="34"/>
      <c r="Q34" s="35"/>
      <c r="R34" s="35"/>
      <c r="S34" s="35"/>
      <c r="T34" s="35"/>
      <c r="U34" s="35"/>
      <c r="V34" s="35"/>
      <c r="W34" s="35"/>
      <c r="X34" s="35"/>
      <c r="Y34" s="35"/>
      <c r="Z34" s="35"/>
    </row>
    <row r="35" ht="14.25" customHeight="1">
      <c r="A35" s="221"/>
      <c r="B35" s="537" t="s">
        <v>3257</v>
      </c>
      <c r="C35" s="211" t="s">
        <v>3315</v>
      </c>
      <c r="D35" s="212" t="s">
        <v>3316</v>
      </c>
      <c r="E35" s="213"/>
      <c r="F35" s="214"/>
      <c r="G35" s="214">
        <v>5800.0</v>
      </c>
      <c r="H35" s="523">
        <v>44774.0</v>
      </c>
      <c r="I35" s="36">
        <f t="shared" si="1"/>
        <v>8700</v>
      </c>
      <c r="J35" s="37">
        <f t="shared" si="2"/>
        <v>7540</v>
      </c>
      <c r="K35" s="38">
        <f t="shared" si="3"/>
        <v>7540</v>
      </c>
      <c r="L35" s="39">
        <f t="shared" si="4"/>
        <v>6960</v>
      </c>
      <c r="M35" s="38">
        <f t="shared" si="5"/>
        <v>6670</v>
      </c>
      <c r="N35" s="39">
        <f t="shared" si="6"/>
        <v>6380</v>
      </c>
      <c r="O35" s="40"/>
      <c r="P35" s="34"/>
      <c r="Q35" s="35"/>
      <c r="R35" s="35"/>
      <c r="S35" s="35"/>
      <c r="T35" s="35"/>
      <c r="U35" s="35"/>
      <c r="V35" s="35"/>
      <c r="W35" s="35"/>
      <c r="X35" s="35"/>
      <c r="Y35" s="35"/>
      <c r="Z35" s="35"/>
    </row>
    <row r="36" ht="14.25" customHeight="1">
      <c r="A36" s="221"/>
      <c r="B36" s="537" t="s">
        <v>3257</v>
      </c>
      <c r="C36" s="211" t="s">
        <v>3317</v>
      </c>
      <c r="D36" s="212" t="s">
        <v>3318</v>
      </c>
      <c r="E36" s="213"/>
      <c r="F36" s="214"/>
      <c r="G36" s="214">
        <v>6300.0</v>
      </c>
      <c r="H36" s="523">
        <v>44774.0</v>
      </c>
      <c r="I36" s="36">
        <f t="shared" si="1"/>
        <v>9450</v>
      </c>
      <c r="J36" s="37">
        <f t="shared" si="2"/>
        <v>8190</v>
      </c>
      <c r="K36" s="38">
        <f t="shared" si="3"/>
        <v>8190</v>
      </c>
      <c r="L36" s="39">
        <f t="shared" si="4"/>
        <v>7560</v>
      </c>
      <c r="M36" s="38">
        <f t="shared" si="5"/>
        <v>7245</v>
      </c>
      <c r="N36" s="39">
        <f t="shared" si="6"/>
        <v>6930</v>
      </c>
      <c r="O36" s="40"/>
      <c r="P36" s="34"/>
      <c r="Q36" s="35"/>
      <c r="R36" s="35"/>
      <c r="S36" s="35"/>
      <c r="T36" s="35"/>
      <c r="U36" s="35"/>
      <c r="V36" s="35"/>
      <c r="W36" s="35"/>
      <c r="X36" s="35"/>
      <c r="Y36" s="35"/>
      <c r="Z36" s="35"/>
    </row>
    <row r="37" ht="14.25" customHeight="1">
      <c r="A37" s="221"/>
      <c r="B37" s="537" t="s">
        <v>3257</v>
      </c>
      <c r="C37" s="211" t="s">
        <v>3319</v>
      </c>
      <c r="D37" s="212" t="s">
        <v>3318</v>
      </c>
      <c r="E37" s="213"/>
      <c r="F37" s="214"/>
      <c r="G37" s="214">
        <v>6585.0</v>
      </c>
      <c r="H37" s="523">
        <v>44774.0</v>
      </c>
      <c r="I37" s="36">
        <f t="shared" si="1"/>
        <v>9877.5</v>
      </c>
      <c r="J37" s="37">
        <f t="shared" si="2"/>
        <v>8560.5</v>
      </c>
      <c r="K37" s="38">
        <f t="shared" si="3"/>
        <v>8560.5</v>
      </c>
      <c r="L37" s="39">
        <f t="shared" si="4"/>
        <v>7902</v>
      </c>
      <c r="M37" s="38">
        <f t="shared" si="5"/>
        <v>7572.75</v>
      </c>
      <c r="N37" s="39">
        <f t="shared" si="6"/>
        <v>7243.5</v>
      </c>
      <c r="O37" s="40"/>
      <c r="P37" s="34"/>
      <c r="Q37" s="35"/>
      <c r="R37" s="35"/>
      <c r="S37" s="35"/>
      <c r="T37" s="35"/>
      <c r="U37" s="35"/>
      <c r="V37" s="35"/>
      <c r="W37" s="35"/>
      <c r="X37" s="35"/>
      <c r="Y37" s="35"/>
      <c r="Z37" s="35"/>
    </row>
    <row r="38" ht="14.25" customHeight="1">
      <c r="A38" s="221"/>
      <c r="B38" s="537" t="s">
        <v>3257</v>
      </c>
      <c r="C38" s="211" t="s">
        <v>3320</v>
      </c>
      <c r="D38" s="212" t="s">
        <v>3321</v>
      </c>
      <c r="E38" s="213"/>
      <c r="F38" s="214"/>
      <c r="G38" s="214">
        <v>8200.0</v>
      </c>
      <c r="H38" s="523">
        <v>44774.0</v>
      </c>
      <c r="I38" s="36">
        <f t="shared" si="1"/>
        <v>12300</v>
      </c>
      <c r="J38" s="37">
        <f t="shared" si="2"/>
        <v>10660</v>
      </c>
      <c r="K38" s="38">
        <f t="shared" si="3"/>
        <v>10660</v>
      </c>
      <c r="L38" s="39">
        <f t="shared" si="4"/>
        <v>9840</v>
      </c>
      <c r="M38" s="38">
        <f t="shared" si="5"/>
        <v>9430</v>
      </c>
      <c r="N38" s="39">
        <f t="shared" si="6"/>
        <v>9020</v>
      </c>
      <c r="O38" s="40"/>
      <c r="P38" s="34"/>
      <c r="Q38" s="35"/>
      <c r="R38" s="35"/>
      <c r="S38" s="35"/>
      <c r="T38" s="35"/>
      <c r="U38" s="35"/>
      <c r="V38" s="35"/>
      <c r="W38" s="35"/>
      <c r="X38" s="35"/>
      <c r="Y38" s="35"/>
      <c r="Z38" s="35"/>
    </row>
    <row r="39" ht="14.25" customHeight="1">
      <c r="A39" s="221"/>
      <c r="B39" s="537" t="s">
        <v>3257</v>
      </c>
      <c r="C39" s="211" t="s">
        <v>3322</v>
      </c>
      <c r="D39" s="212" t="s">
        <v>3323</v>
      </c>
      <c r="E39" s="213"/>
      <c r="F39" s="214"/>
      <c r="G39" s="214">
        <v>11770.0</v>
      </c>
      <c r="H39" s="523">
        <v>44774.0</v>
      </c>
      <c r="I39" s="36">
        <f t="shared" si="1"/>
        <v>17655</v>
      </c>
      <c r="J39" s="37">
        <f t="shared" si="2"/>
        <v>15301</v>
      </c>
      <c r="K39" s="38">
        <f t="shared" si="3"/>
        <v>15301</v>
      </c>
      <c r="L39" s="39">
        <f t="shared" si="4"/>
        <v>14124</v>
      </c>
      <c r="M39" s="38">
        <f t="shared" si="5"/>
        <v>13535.5</v>
      </c>
      <c r="N39" s="39">
        <f t="shared" si="6"/>
        <v>12947</v>
      </c>
      <c r="O39" s="40"/>
      <c r="P39" s="34"/>
      <c r="Q39" s="35"/>
      <c r="R39" s="35"/>
      <c r="S39" s="35"/>
      <c r="T39" s="35"/>
      <c r="U39" s="35"/>
      <c r="V39" s="35"/>
      <c r="W39" s="35"/>
      <c r="X39" s="35"/>
      <c r="Y39" s="35"/>
      <c r="Z39" s="35"/>
    </row>
    <row r="40" ht="14.25" customHeight="1">
      <c r="A40" s="221"/>
      <c r="B40" s="537" t="s">
        <v>3257</v>
      </c>
      <c r="C40" s="211" t="s">
        <v>3324</v>
      </c>
      <c r="D40" s="212" t="s">
        <v>3323</v>
      </c>
      <c r="E40" s="213"/>
      <c r="F40" s="214"/>
      <c r="G40" s="214">
        <v>8500.0</v>
      </c>
      <c r="H40" s="523">
        <v>44774.0</v>
      </c>
      <c r="I40" s="36">
        <f t="shared" si="1"/>
        <v>12750</v>
      </c>
      <c r="J40" s="37">
        <f t="shared" si="2"/>
        <v>11050</v>
      </c>
      <c r="K40" s="38">
        <f t="shared" si="3"/>
        <v>11050</v>
      </c>
      <c r="L40" s="39">
        <f t="shared" si="4"/>
        <v>10200</v>
      </c>
      <c r="M40" s="38">
        <f t="shared" si="5"/>
        <v>9775</v>
      </c>
      <c r="N40" s="39">
        <f t="shared" si="6"/>
        <v>9350</v>
      </c>
      <c r="O40" s="40"/>
      <c r="P40" s="34"/>
      <c r="Q40" s="35"/>
      <c r="R40" s="35"/>
      <c r="S40" s="35"/>
      <c r="T40" s="35"/>
      <c r="U40" s="35"/>
      <c r="V40" s="35"/>
      <c r="W40" s="35"/>
      <c r="X40" s="35"/>
      <c r="Y40" s="35"/>
      <c r="Z40" s="35"/>
    </row>
    <row r="41" ht="14.25" customHeight="1">
      <c r="A41" s="221"/>
      <c r="B41" s="537" t="s">
        <v>3257</v>
      </c>
      <c r="C41" s="211" t="s">
        <v>3325</v>
      </c>
      <c r="D41" s="212" t="s">
        <v>3323</v>
      </c>
      <c r="E41" s="213"/>
      <c r="F41" s="214"/>
      <c r="G41" s="214">
        <v>10650.0</v>
      </c>
      <c r="H41" s="523">
        <v>44774.0</v>
      </c>
      <c r="I41" s="36">
        <f t="shared" si="1"/>
        <v>15975</v>
      </c>
      <c r="J41" s="37">
        <f t="shared" si="2"/>
        <v>13845</v>
      </c>
      <c r="K41" s="38">
        <f t="shared" si="3"/>
        <v>13845</v>
      </c>
      <c r="L41" s="39">
        <f t="shared" si="4"/>
        <v>12780</v>
      </c>
      <c r="M41" s="38">
        <f t="shared" si="5"/>
        <v>12247.5</v>
      </c>
      <c r="N41" s="39">
        <f t="shared" si="6"/>
        <v>11715</v>
      </c>
      <c r="O41" s="40"/>
      <c r="P41" s="34"/>
      <c r="Q41" s="35"/>
      <c r="R41" s="35"/>
      <c r="S41" s="35"/>
      <c r="T41" s="35"/>
      <c r="U41" s="35"/>
      <c r="V41" s="35"/>
      <c r="W41" s="35"/>
      <c r="X41" s="35"/>
      <c r="Y41" s="35"/>
      <c r="Z41" s="35"/>
    </row>
    <row r="42" ht="14.25" customHeight="1">
      <c r="A42" s="221"/>
      <c r="B42" s="537" t="s">
        <v>3257</v>
      </c>
      <c r="C42" s="211" t="s">
        <v>3326</v>
      </c>
      <c r="D42" s="212" t="s">
        <v>3327</v>
      </c>
      <c r="E42" s="213"/>
      <c r="F42" s="214"/>
      <c r="G42" s="214">
        <v>10200.0</v>
      </c>
      <c r="H42" s="523">
        <v>44774.0</v>
      </c>
      <c r="I42" s="36">
        <f t="shared" si="1"/>
        <v>15300</v>
      </c>
      <c r="J42" s="37">
        <f t="shared" si="2"/>
        <v>13260</v>
      </c>
      <c r="K42" s="38">
        <f t="shared" si="3"/>
        <v>13260</v>
      </c>
      <c r="L42" s="39">
        <f t="shared" si="4"/>
        <v>12240</v>
      </c>
      <c r="M42" s="38">
        <f t="shared" si="5"/>
        <v>11730</v>
      </c>
      <c r="N42" s="39">
        <f t="shared" si="6"/>
        <v>11220</v>
      </c>
      <c r="O42" s="40"/>
      <c r="P42" s="34"/>
      <c r="Q42" s="35"/>
      <c r="R42" s="35"/>
      <c r="S42" s="35"/>
      <c r="T42" s="35"/>
      <c r="U42" s="35"/>
      <c r="V42" s="35"/>
      <c r="W42" s="35"/>
      <c r="X42" s="35"/>
      <c r="Y42" s="35"/>
      <c r="Z42" s="35"/>
    </row>
    <row r="43" ht="14.25" customHeight="1">
      <c r="A43" s="221"/>
      <c r="B43" s="537" t="s">
        <v>3257</v>
      </c>
      <c r="C43" s="211" t="s">
        <v>3328</v>
      </c>
      <c r="D43" s="212" t="s">
        <v>3329</v>
      </c>
      <c r="E43" s="213"/>
      <c r="F43" s="214"/>
      <c r="G43" s="214">
        <v>13000.0</v>
      </c>
      <c r="H43" s="523">
        <v>44774.0</v>
      </c>
      <c r="I43" s="36">
        <f t="shared" si="1"/>
        <v>19500</v>
      </c>
      <c r="J43" s="37">
        <f t="shared" si="2"/>
        <v>16900</v>
      </c>
      <c r="K43" s="38">
        <f t="shared" si="3"/>
        <v>16900</v>
      </c>
      <c r="L43" s="39">
        <f t="shared" si="4"/>
        <v>15600</v>
      </c>
      <c r="M43" s="38">
        <f t="shared" si="5"/>
        <v>14950</v>
      </c>
      <c r="N43" s="39">
        <f t="shared" si="6"/>
        <v>14300</v>
      </c>
      <c r="O43" s="40"/>
      <c r="P43" s="34"/>
      <c r="Q43" s="35"/>
      <c r="R43" s="35"/>
      <c r="S43" s="35"/>
      <c r="T43" s="35"/>
      <c r="U43" s="35"/>
      <c r="V43" s="35"/>
      <c r="W43" s="35"/>
      <c r="X43" s="35"/>
      <c r="Y43" s="35"/>
      <c r="Z43" s="35"/>
    </row>
    <row r="44" ht="14.25" customHeight="1">
      <c r="A44" s="221"/>
      <c r="B44" s="537" t="s">
        <v>3257</v>
      </c>
      <c r="C44" s="211" t="s">
        <v>3330</v>
      </c>
      <c r="D44" s="212" t="s">
        <v>3331</v>
      </c>
      <c r="E44" s="213"/>
      <c r="F44" s="214"/>
      <c r="G44" s="214">
        <v>89000.0</v>
      </c>
      <c r="H44" s="523">
        <v>44774.0</v>
      </c>
      <c r="I44" s="36">
        <f t="shared" si="1"/>
        <v>133500</v>
      </c>
      <c r="J44" s="37">
        <f t="shared" si="2"/>
        <v>115700</v>
      </c>
      <c r="K44" s="38">
        <f t="shared" si="3"/>
        <v>115700</v>
      </c>
      <c r="L44" s="39">
        <f t="shared" si="4"/>
        <v>106800</v>
      </c>
      <c r="M44" s="38">
        <f t="shared" si="5"/>
        <v>102350</v>
      </c>
      <c r="N44" s="39">
        <f t="shared" si="6"/>
        <v>97900</v>
      </c>
      <c r="O44" s="40"/>
      <c r="P44" s="34"/>
      <c r="Q44" s="35"/>
      <c r="R44" s="35"/>
      <c r="S44" s="35"/>
      <c r="T44" s="35"/>
      <c r="U44" s="35"/>
      <c r="V44" s="35"/>
      <c r="W44" s="35"/>
      <c r="X44" s="35"/>
      <c r="Y44" s="35"/>
      <c r="Z44" s="35"/>
    </row>
    <row r="45" ht="14.25" customHeight="1">
      <c r="A45" s="221"/>
      <c r="B45" s="537" t="s">
        <v>3257</v>
      </c>
      <c r="C45" s="211" t="s">
        <v>3332</v>
      </c>
      <c r="D45" s="212" t="s">
        <v>3333</v>
      </c>
      <c r="E45" s="213"/>
      <c r="F45" s="214"/>
      <c r="G45" s="214">
        <v>59340.0</v>
      </c>
      <c r="H45" s="523">
        <v>44774.0</v>
      </c>
      <c r="I45" s="36">
        <f t="shared" si="1"/>
        <v>89010</v>
      </c>
      <c r="J45" s="37">
        <f t="shared" si="2"/>
        <v>77142</v>
      </c>
      <c r="K45" s="38">
        <f t="shared" si="3"/>
        <v>77142</v>
      </c>
      <c r="L45" s="39">
        <f t="shared" si="4"/>
        <v>71208</v>
      </c>
      <c r="M45" s="38">
        <f t="shared" si="5"/>
        <v>68241</v>
      </c>
      <c r="N45" s="39">
        <f t="shared" si="6"/>
        <v>65274</v>
      </c>
      <c r="O45" s="40"/>
      <c r="P45" s="34"/>
      <c r="Q45" s="35"/>
      <c r="R45" s="35"/>
      <c r="S45" s="35"/>
      <c r="T45" s="35"/>
      <c r="U45" s="35"/>
      <c r="V45" s="35"/>
      <c r="W45" s="35"/>
      <c r="X45" s="35"/>
      <c r="Y45" s="35"/>
      <c r="Z45" s="35"/>
    </row>
    <row r="46" ht="14.25" customHeight="1">
      <c r="A46" s="221"/>
      <c r="B46" s="537" t="s">
        <v>3257</v>
      </c>
      <c r="C46" s="211" t="s">
        <v>3334</v>
      </c>
      <c r="D46" s="212" t="s">
        <v>3335</v>
      </c>
      <c r="E46" s="213"/>
      <c r="F46" s="214"/>
      <c r="G46" s="214">
        <v>13700.0</v>
      </c>
      <c r="H46" s="523">
        <v>44774.0</v>
      </c>
      <c r="I46" s="36">
        <f t="shared" si="1"/>
        <v>20550</v>
      </c>
      <c r="J46" s="37">
        <f t="shared" si="2"/>
        <v>17810</v>
      </c>
      <c r="K46" s="38">
        <f t="shared" si="3"/>
        <v>17810</v>
      </c>
      <c r="L46" s="39">
        <f t="shared" si="4"/>
        <v>16440</v>
      </c>
      <c r="M46" s="38">
        <f t="shared" si="5"/>
        <v>15755</v>
      </c>
      <c r="N46" s="39">
        <f t="shared" si="6"/>
        <v>15070</v>
      </c>
      <c r="O46" s="40"/>
      <c r="P46" s="34"/>
      <c r="Q46" s="35"/>
      <c r="R46" s="35"/>
      <c r="S46" s="35"/>
      <c r="T46" s="35"/>
      <c r="U46" s="35"/>
      <c r="V46" s="35"/>
      <c r="W46" s="35"/>
      <c r="X46" s="35"/>
      <c r="Y46" s="35"/>
      <c r="Z46" s="35"/>
    </row>
    <row r="47" ht="14.25" customHeight="1">
      <c r="A47" s="221"/>
      <c r="B47" s="537" t="s">
        <v>3257</v>
      </c>
      <c r="C47" s="211" t="s">
        <v>3336</v>
      </c>
      <c r="D47" s="212" t="s">
        <v>3337</v>
      </c>
      <c r="E47" s="213"/>
      <c r="F47" s="214"/>
      <c r="G47" s="214">
        <v>47300.0</v>
      </c>
      <c r="H47" s="523">
        <v>44774.0</v>
      </c>
      <c r="I47" s="36">
        <f t="shared" si="1"/>
        <v>70950</v>
      </c>
      <c r="J47" s="37">
        <f t="shared" si="2"/>
        <v>61490</v>
      </c>
      <c r="K47" s="38">
        <f t="shared" si="3"/>
        <v>61490</v>
      </c>
      <c r="L47" s="39">
        <f t="shared" si="4"/>
        <v>56760</v>
      </c>
      <c r="M47" s="38">
        <f t="shared" si="5"/>
        <v>54395</v>
      </c>
      <c r="N47" s="39">
        <f t="shared" si="6"/>
        <v>52030</v>
      </c>
      <c r="O47" s="40"/>
      <c r="P47" s="34"/>
      <c r="Q47" s="35"/>
      <c r="R47" s="35"/>
      <c r="S47" s="35"/>
      <c r="T47" s="35"/>
      <c r="U47" s="35"/>
      <c r="V47" s="35"/>
      <c r="W47" s="35"/>
      <c r="X47" s="35"/>
      <c r="Y47" s="35"/>
      <c r="Z47" s="35"/>
    </row>
    <row r="48" ht="14.25" customHeight="1">
      <c r="A48" s="221"/>
      <c r="B48" s="537" t="s">
        <v>3257</v>
      </c>
      <c r="C48" s="211" t="s">
        <v>3338</v>
      </c>
      <c r="D48" s="212" t="s">
        <v>3337</v>
      </c>
      <c r="E48" s="213"/>
      <c r="F48" s="214"/>
      <c r="G48" s="214">
        <v>24420.0</v>
      </c>
      <c r="H48" s="523">
        <v>44774.0</v>
      </c>
      <c r="I48" s="36">
        <f t="shared" si="1"/>
        <v>36630</v>
      </c>
      <c r="J48" s="37">
        <f t="shared" si="2"/>
        <v>31746</v>
      </c>
      <c r="K48" s="38">
        <f t="shared" si="3"/>
        <v>31746</v>
      </c>
      <c r="L48" s="39">
        <f t="shared" si="4"/>
        <v>29304</v>
      </c>
      <c r="M48" s="38">
        <f t="shared" si="5"/>
        <v>28083</v>
      </c>
      <c r="N48" s="39">
        <f t="shared" si="6"/>
        <v>26862</v>
      </c>
      <c r="O48" s="40"/>
      <c r="P48" s="34"/>
      <c r="Q48" s="35"/>
      <c r="R48" s="35"/>
      <c r="S48" s="35"/>
      <c r="T48" s="35"/>
      <c r="U48" s="35"/>
      <c r="V48" s="35"/>
      <c r="W48" s="35"/>
      <c r="X48" s="35"/>
      <c r="Y48" s="35"/>
      <c r="Z48" s="35"/>
    </row>
    <row r="49" ht="14.25" customHeight="1">
      <c r="A49" s="221"/>
      <c r="B49" s="537" t="s">
        <v>3257</v>
      </c>
      <c r="C49" s="211" t="s">
        <v>3339</v>
      </c>
      <c r="D49" s="212" t="s">
        <v>3340</v>
      </c>
      <c r="E49" s="213"/>
      <c r="F49" s="214"/>
      <c r="G49" s="214">
        <v>43370.0</v>
      </c>
      <c r="H49" s="523">
        <v>44774.0</v>
      </c>
      <c r="I49" s="36">
        <f t="shared" si="1"/>
        <v>65055</v>
      </c>
      <c r="J49" s="37">
        <f t="shared" si="2"/>
        <v>56381</v>
      </c>
      <c r="K49" s="38">
        <f t="shared" si="3"/>
        <v>56381</v>
      </c>
      <c r="L49" s="39">
        <f t="shared" si="4"/>
        <v>52044</v>
      </c>
      <c r="M49" s="38">
        <f t="shared" si="5"/>
        <v>49875.5</v>
      </c>
      <c r="N49" s="39">
        <f t="shared" si="6"/>
        <v>47707</v>
      </c>
      <c r="O49" s="40"/>
      <c r="P49" s="34"/>
      <c r="Q49" s="35"/>
      <c r="R49" s="35"/>
      <c r="S49" s="35"/>
      <c r="T49" s="35"/>
      <c r="U49" s="35"/>
      <c r="V49" s="35"/>
      <c r="W49" s="35"/>
      <c r="X49" s="35"/>
      <c r="Y49" s="35"/>
      <c r="Z49" s="35"/>
    </row>
    <row r="50" ht="14.25" customHeight="1">
      <c r="A50" s="221"/>
      <c r="B50" s="537" t="s">
        <v>3257</v>
      </c>
      <c r="C50" s="211" t="s">
        <v>3341</v>
      </c>
      <c r="D50" s="212" t="s">
        <v>3342</v>
      </c>
      <c r="E50" s="213"/>
      <c r="F50" s="214"/>
      <c r="G50" s="214">
        <v>11500.0</v>
      </c>
      <c r="H50" s="523">
        <v>44774.0</v>
      </c>
      <c r="I50" s="36">
        <f t="shared" si="1"/>
        <v>17250</v>
      </c>
      <c r="J50" s="37">
        <f t="shared" si="2"/>
        <v>14950</v>
      </c>
      <c r="K50" s="38">
        <f t="shared" si="3"/>
        <v>14950</v>
      </c>
      <c r="L50" s="39">
        <f t="shared" si="4"/>
        <v>13800</v>
      </c>
      <c r="M50" s="38">
        <f t="shared" si="5"/>
        <v>13225</v>
      </c>
      <c r="N50" s="39">
        <f t="shared" si="6"/>
        <v>12650</v>
      </c>
      <c r="O50" s="40"/>
      <c r="P50" s="34"/>
      <c r="Q50" s="35"/>
      <c r="R50" s="35"/>
      <c r="S50" s="35"/>
      <c r="T50" s="35"/>
      <c r="U50" s="35"/>
      <c r="V50" s="35"/>
      <c r="W50" s="35"/>
      <c r="X50" s="35"/>
      <c r="Y50" s="35"/>
      <c r="Z50" s="35"/>
    </row>
    <row r="51" ht="14.25" customHeight="1">
      <c r="A51" s="221"/>
      <c r="B51" s="537" t="s">
        <v>3257</v>
      </c>
      <c r="C51" s="211" t="s">
        <v>3343</v>
      </c>
      <c r="D51" s="212" t="s">
        <v>3344</v>
      </c>
      <c r="E51" s="213"/>
      <c r="F51" s="214"/>
      <c r="G51" s="214">
        <v>31700.0</v>
      </c>
      <c r="H51" s="523">
        <v>44774.0</v>
      </c>
      <c r="I51" s="36">
        <f t="shared" si="1"/>
        <v>47550</v>
      </c>
      <c r="J51" s="37">
        <f t="shared" si="2"/>
        <v>41210</v>
      </c>
      <c r="K51" s="38">
        <f t="shared" si="3"/>
        <v>41210</v>
      </c>
      <c r="L51" s="39">
        <f t="shared" si="4"/>
        <v>38040</v>
      </c>
      <c r="M51" s="38">
        <f t="shared" si="5"/>
        <v>36455</v>
      </c>
      <c r="N51" s="39">
        <f t="shared" si="6"/>
        <v>34870</v>
      </c>
      <c r="O51" s="40"/>
      <c r="P51" s="34"/>
      <c r="Q51" s="35"/>
      <c r="R51" s="35"/>
      <c r="S51" s="35"/>
      <c r="T51" s="35"/>
      <c r="U51" s="35"/>
      <c r="V51" s="35"/>
      <c r="W51" s="35"/>
      <c r="X51" s="35"/>
      <c r="Y51" s="35"/>
      <c r="Z51" s="35"/>
    </row>
    <row r="52" ht="14.25" customHeight="1">
      <c r="A52" s="221"/>
      <c r="B52" s="537" t="s">
        <v>3257</v>
      </c>
      <c r="C52" s="211" t="s">
        <v>3345</v>
      </c>
      <c r="D52" s="212" t="s">
        <v>3346</v>
      </c>
      <c r="E52" s="213"/>
      <c r="F52" s="214"/>
      <c r="G52" s="214">
        <v>38000.0</v>
      </c>
      <c r="H52" s="523">
        <v>44774.0</v>
      </c>
      <c r="I52" s="36">
        <f t="shared" si="1"/>
        <v>57000</v>
      </c>
      <c r="J52" s="37">
        <f t="shared" si="2"/>
        <v>49400</v>
      </c>
      <c r="K52" s="38">
        <f t="shared" si="3"/>
        <v>49400</v>
      </c>
      <c r="L52" s="39">
        <f t="shared" si="4"/>
        <v>45600</v>
      </c>
      <c r="M52" s="38">
        <f t="shared" si="5"/>
        <v>43700</v>
      </c>
      <c r="N52" s="39">
        <f t="shared" si="6"/>
        <v>41800</v>
      </c>
      <c r="O52" s="40"/>
      <c r="P52" s="34"/>
      <c r="Q52" s="35"/>
      <c r="R52" s="35"/>
      <c r="S52" s="35"/>
      <c r="T52" s="35"/>
      <c r="U52" s="35"/>
      <c r="V52" s="35"/>
      <c r="W52" s="35"/>
      <c r="X52" s="35"/>
      <c r="Y52" s="35"/>
      <c r="Z52" s="35"/>
    </row>
    <row r="53" ht="14.25" customHeight="1">
      <c r="A53" s="221"/>
      <c r="B53" s="537" t="s">
        <v>3257</v>
      </c>
      <c r="C53" s="211" t="s">
        <v>3347</v>
      </c>
      <c r="D53" s="212" t="s">
        <v>3348</v>
      </c>
      <c r="E53" s="213"/>
      <c r="F53" s="214"/>
      <c r="G53" s="214">
        <v>1040.0</v>
      </c>
      <c r="H53" s="523">
        <v>44774.0</v>
      </c>
      <c r="I53" s="36">
        <f t="shared" si="1"/>
        <v>1560</v>
      </c>
      <c r="J53" s="37">
        <f t="shared" si="2"/>
        <v>1352</v>
      </c>
      <c r="K53" s="38">
        <f t="shared" si="3"/>
        <v>1352</v>
      </c>
      <c r="L53" s="39">
        <f t="shared" si="4"/>
        <v>1248</v>
      </c>
      <c r="M53" s="38">
        <f t="shared" si="5"/>
        <v>1196</v>
      </c>
      <c r="N53" s="39">
        <f t="shared" si="6"/>
        <v>1144</v>
      </c>
      <c r="O53" s="40"/>
      <c r="P53" s="34"/>
      <c r="Q53" s="35"/>
      <c r="R53" s="35"/>
      <c r="S53" s="35"/>
      <c r="T53" s="35"/>
      <c r="U53" s="35"/>
      <c r="V53" s="35"/>
      <c r="W53" s="35"/>
      <c r="X53" s="35"/>
      <c r="Y53" s="35"/>
      <c r="Z53" s="35"/>
    </row>
    <row r="54" ht="14.25" customHeight="1">
      <c r="A54" s="221"/>
      <c r="B54" s="537" t="s">
        <v>3257</v>
      </c>
      <c r="C54" s="211" t="s">
        <v>3349</v>
      </c>
      <c r="D54" s="212" t="s">
        <v>3350</v>
      </c>
      <c r="E54" s="213"/>
      <c r="F54" s="214"/>
      <c r="G54" s="214">
        <v>6400.0</v>
      </c>
      <c r="H54" s="523">
        <v>44774.0</v>
      </c>
      <c r="I54" s="36">
        <f t="shared" si="1"/>
        <v>9600</v>
      </c>
      <c r="J54" s="37">
        <f t="shared" si="2"/>
        <v>8320</v>
      </c>
      <c r="K54" s="38">
        <f t="shared" si="3"/>
        <v>8320</v>
      </c>
      <c r="L54" s="39">
        <f t="shared" si="4"/>
        <v>7680</v>
      </c>
      <c r="M54" s="38">
        <f t="shared" si="5"/>
        <v>7360</v>
      </c>
      <c r="N54" s="39">
        <f t="shared" si="6"/>
        <v>7040</v>
      </c>
      <c r="O54" s="40"/>
      <c r="P54" s="34"/>
      <c r="Q54" s="35"/>
      <c r="R54" s="35"/>
      <c r="S54" s="35"/>
      <c r="T54" s="35"/>
      <c r="U54" s="35"/>
      <c r="V54" s="35"/>
      <c r="W54" s="35"/>
      <c r="X54" s="35"/>
      <c r="Y54" s="35"/>
      <c r="Z54" s="35"/>
    </row>
    <row r="55" ht="14.25" customHeight="1">
      <c r="A55" s="221"/>
      <c r="B55" s="537" t="s">
        <v>3257</v>
      </c>
      <c r="C55" s="211" t="s">
        <v>3351</v>
      </c>
      <c r="D55" s="212" t="s">
        <v>3352</v>
      </c>
      <c r="E55" s="213"/>
      <c r="F55" s="214"/>
      <c r="G55" s="214">
        <v>2200.0</v>
      </c>
      <c r="H55" s="523">
        <v>44774.0</v>
      </c>
      <c r="I55" s="36">
        <f t="shared" si="1"/>
        <v>3300</v>
      </c>
      <c r="J55" s="37">
        <f t="shared" si="2"/>
        <v>2860</v>
      </c>
      <c r="K55" s="38">
        <f t="shared" si="3"/>
        <v>2860</v>
      </c>
      <c r="L55" s="39">
        <f t="shared" si="4"/>
        <v>2640</v>
      </c>
      <c r="M55" s="38">
        <f t="shared" si="5"/>
        <v>2530</v>
      </c>
      <c r="N55" s="39">
        <f t="shared" si="6"/>
        <v>2420</v>
      </c>
      <c r="O55" s="40"/>
      <c r="P55" s="34"/>
      <c r="Q55" s="35"/>
      <c r="R55" s="35"/>
      <c r="S55" s="35"/>
      <c r="T55" s="35"/>
      <c r="U55" s="35"/>
      <c r="V55" s="35"/>
      <c r="W55" s="35"/>
      <c r="X55" s="35"/>
      <c r="Y55" s="35"/>
      <c r="Z55" s="35"/>
    </row>
    <row r="56" ht="14.25" customHeight="1">
      <c r="A56" s="221"/>
      <c r="B56" s="537" t="s">
        <v>3257</v>
      </c>
      <c r="C56" s="233" t="s">
        <v>3353</v>
      </c>
      <c r="D56" s="212" t="s">
        <v>3354</v>
      </c>
      <c r="E56" s="234"/>
      <c r="F56" s="235"/>
      <c r="G56" s="92">
        <v>4115.0</v>
      </c>
      <c r="H56" s="523">
        <v>44774.0</v>
      </c>
      <c r="I56" s="36">
        <f t="shared" si="1"/>
        <v>6172.5</v>
      </c>
      <c r="J56" s="37">
        <f t="shared" si="2"/>
        <v>5349.5</v>
      </c>
      <c r="K56" s="38">
        <f t="shared" si="3"/>
        <v>5349.5</v>
      </c>
      <c r="L56" s="39">
        <f t="shared" si="4"/>
        <v>4938</v>
      </c>
      <c r="M56" s="38">
        <f t="shared" si="5"/>
        <v>4732.25</v>
      </c>
      <c r="N56" s="39">
        <f t="shared" si="6"/>
        <v>4526.5</v>
      </c>
      <c r="O56" s="40"/>
      <c r="P56" s="34"/>
      <c r="Q56" s="35"/>
      <c r="R56" s="35"/>
      <c r="S56" s="35"/>
      <c r="T56" s="35"/>
      <c r="U56" s="35"/>
      <c r="V56" s="35"/>
      <c r="W56" s="35"/>
      <c r="X56" s="35"/>
      <c r="Y56" s="35"/>
      <c r="Z56" s="35"/>
    </row>
    <row r="57" ht="14.25" customHeight="1">
      <c r="A57" s="221"/>
      <c r="B57" s="537" t="s">
        <v>3257</v>
      </c>
      <c r="C57" s="233" t="s">
        <v>3355</v>
      </c>
      <c r="D57" s="212" t="s">
        <v>3356</v>
      </c>
      <c r="E57" s="213"/>
      <c r="F57" s="214"/>
      <c r="G57" s="214">
        <v>1900.0</v>
      </c>
      <c r="H57" s="523">
        <v>44774.0</v>
      </c>
      <c r="I57" s="36">
        <f t="shared" si="1"/>
        <v>2850</v>
      </c>
      <c r="J57" s="37">
        <f t="shared" si="2"/>
        <v>2470</v>
      </c>
      <c r="K57" s="38">
        <f t="shared" si="3"/>
        <v>2470</v>
      </c>
      <c r="L57" s="39">
        <f t="shared" si="4"/>
        <v>2280</v>
      </c>
      <c r="M57" s="38">
        <f t="shared" si="5"/>
        <v>2185</v>
      </c>
      <c r="N57" s="39">
        <f t="shared" si="6"/>
        <v>2090</v>
      </c>
      <c r="O57" s="40"/>
      <c r="P57" s="34"/>
      <c r="Q57" s="35"/>
      <c r="R57" s="35"/>
      <c r="S57" s="35"/>
      <c r="T57" s="35"/>
      <c r="U57" s="35"/>
      <c r="V57" s="35"/>
      <c r="W57" s="35"/>
      <c r="X57" s="35"/>
      <c r="Y57" s="35"/>
      <c r="Z57" s="35"/>
    </row>
    <row r="58" ht="14.25" customHeight="1">
      <c r="A58" s="221"/>
      <c r="B58" s="537" t="s">
        <v>3257</v>
      </c>
      <c r="C58" s="233" t="s">
        <v>3357</v>
      </c>
      <c r="D58" s="212" t="s">
        <v>3358</v>
      </c>
      <c r="E58" s="213"/>
      <c r="F58" s="214"/>
      <c r="G58" s="214">
        <v>1900.0</v>
      </c>
      <c r="H58" s="523">
        <v>44774.0</v>
      </c>
      <c r="I58" s="36">
        <f t="shared" si="1"/>
        <v>2850</v>
      </c>
      <c r="J58" s="37">
        <f t="shared" si="2"/>
        <v>2470</v>
      </c>
      <c r="K58" s="38">
        <f t="shared" si="3"/>
        <v>2470</v>
      </c>
      <c r="L58" s="39">
        <f t="shared" si="4"/>
        <v>2280</v>
      </c>
      <c r="M58" s="38">
        <f t="shared" si="5"/>
        <v>2185</v>
      </c>
      <c r="N58" s="39">
        <f t="shared" si="6"/>
        <v>2090</v>
      </c>
      <c r="O58" s="40"/>
      <c r="P58" s="34"/>
      <c r="Q58" s="35"/>
      <c r="R58" s="35"/>
      <c r="S58" s="35"/>
      <c r="T58" s="35"/>
      <c r="U58" s="35"/>
      <c r="V58" s="35"/>
      <c r="W58" s="35"/>
      <c r="X58" s="35"/>
      <c r="Y58" s="35"/>
      <c r="Z58" s="35"/>
    </row>
    <row r="59" ht="14.25" customHeight="1">
      <c r="A59" s="221"/>
      <c r="B59" s="537" t="s">
        <v>3257</v>
      </c>
      <c r="C59" s="233" t="s">
        <v>3359</v>
      </c>
      <c r="D59" s="212" t="s">
        <v>3360</v>
      </c>
      <c r="E59" s="213"/>
      <c r="F59" s="214"/>
      <c r="G59" s="214">
        <v>4450.0</v>
      </c>
      <c r="H59" s="523">
        <v>44774.0</v>
      </c>
      <c r="I59" s="36">
        <f t="shared" si="1"/>
        <v>6675</v>
      </c>
      <c r="J59" s="37">
        <f t="shared" si="2"/>
        <v>5785</v>
      </c>
      <c r="K59" s="38">
        <f t="shared" si="3"/>
        <v>5785</v>
      </c>
      <c r="L59" s="39">
        <f t="shared" si="4"/>
        <v>5340</v>
      </c>
      <c r="M59" s="38">
        <f t="shared" si="5"/>
        <v>5117.5</v>
      </c>
      <c r="N59" s="39">
        <f t="shared" si="6"/>
        <v>4895</v>
      </c>
      <c r="O59" s="40"/>
      <c r="P59" s="34"/>
      <c r="Q59" s="35"/>
      <c r="R59" s="35"/>
      <c r="S59" s="35"/>
      <c r="T59" s="35"/>
      <c r="U59" s="35"/>
      <c r="V59" s="35"/>
      <c r="W59" s="35"/>
      <c r="X59" s="35"/>
      <c r="Y59" s="35"/>
      <c r="Z59" s="35"/>
    </row>
    <row r="60" ht="14.25" customHeight="1">
      <c r="A60" s="221"/>
      <c r="B60" s="537" t="s">
        <v>3257</v>
      </c>
      <c r="C60" s="233" t="s">
        <v>3361</v>
      </c>
      <c r="D60" s="212" t="s">
        <v>3360</v>
      </c>
      <c r="E60" s="213"/>
      <c r="F60" s="214"/>
      <c r="G60" s="214">
        <v>4450.0</v>
      </c>
      <c r="H60" s="523">
        <v>44774.0</v>
      </c>
      <c r="I60" s="36">
        <f t="shared" si="1"/>
        <v>6675</v>
      </c>
      <c r="J60" s="37">
        <f t="shared" si="2"/>
        <v>5785</v>
      </c>
      <c r="K60" s="38">
        <f t="shared" si="3"/>
        <v>5785</v>
      </c>
      <c r="L60" s="39">
        <f t="shared" si="4"/>
        <v>5340</v>
      </c>
      <c r="M60" s="38">
        <f t="shared" si="5"/>
        <v>5117.5</v>
      </c>
      <c r="N60" s="39">
        <f t="shared" si="6"/>
        <v>4895</v>
      </c>
      <c r="O60" s="40"/>
      <c r="P60" s="34"/>
      <c r="Q60" s="35"/>
      <c r="R60" s="35"/>
      <c r="S60" s="35"/>
      <c r="T60" s="35"/>
      <c r="U60" s="35"/>
      <c r="V60" s="35"/>
      <c r="W60" s="35"/>
      <c r="X60" s="35"/>
      <c r="Y60" s="35"/>
      <c r="Z60" s="35"/>
    </row>
    <row r="61" ht="14.25" customHeight="1">
      <c r="A61" s="221"/>
      <c r="B61" s="537" t="s">
        <v>3257</v>
      </c>
      <c r="C61" s="233" t="s">
        <v>3362</v>
      </c>
      <c r="D61" s="212" t="s">
        <v>3363</v>
      </c>
      <c r="E61" s="234"/>
      <c r="F61" s="235"/>
      <c r="G61" s="92">
        <v>2500.0</v>
      </c>
      <c r="H61" s="523">
        <v>44774.0</v>
      </c>
      <c r="I61" s="36">
        <f t="shared" si="1"/>
        <v>3750</v>
      </c>
      <c r="J61" s="37">
        <f t="shared" si="2"/>
        <v>3250</v>
      </c>
      <c r="K61" s="38">
        <f t="shared" si="3"/>
        <v>3250</v>
      </c>
      <c r="L61" s="39">
        <f t="shared" si="4"/>
        <v>3000</v>
      </c>
      <c r="M61" s="38">
        <f t="shared" si="5"/>
        <v>2875</v>
      </c>
      <c r="N61" s="39">
        <f t="shared" si="6"/>
        <v>2750</v>
      </c>
      <c r="O61" s="40"/>
      <c r="P61" s="34"/>
      <c r="Q61" s="35"/>
      <c r="R61" s="35"/>
      <c r="S61" s="35"/>
      <c r="T61" s="35"/>
      <c r="U61" s="35"/>
      <c r="V61" s="35"/>
      <c r="W61" s="35"/>
      <c r="X61" s="35"/>
      <c r="Y61" s="35"/>
      <c r="Z61" s="35"/>
    </row>
    <row r="62" ht="14.25" customHeight="1">
      <c r="A62" s="221"/>
      <c r="B62" s="537" t="s">
        <v>3257</v>
      </c>
      <c r="C62" s="233" t="s">
        <v>3364</v>
      </c>
      <c r="D62" s="212" t="s">
        <v>3365</v>
      </c>
      <c r="E62" s="213"/>
      <c r="F62" s="214"/>
      <c r="G62" s="214">
        <v>3300.0</v>
      </c>
      <c r="H62" s="523">
        <v>44774.0</v>
      </c>
      <c r="I62" s="36">
        <f t="shared" si="1"/>
        <v>4950</v>
      </c>
      <c r="J62" s="37">
        <f t="shared" si="2"/>
        <v>4290</v>
      </c>
      <c r="K62" s="38">
        <f t="shared" si="3"/>
        <v>4290</v>
      </c>
      <c r="L62" s="39">
        <f t="shared" si="4"/>
        <v>3960</v>
      </c>
      <c r="M62" s="38">
        <f t="shared" si="5"/>
        <v>3795</v>
      </c>
      <c r="N62" s="39">
        <f t="shared" si="6"/>
        <v>3630</v>
      </c>
      <c r="O62" s="40"/>
      <c r="P62" s="34"/>
      <c r="Q62" s="35"/>
      <c r="R62" s="35"/>
      <c r="S62" s="35"/>
      <c r="T62" s="35"/>
      <c r="U62" s="35"/>
      <c r="V62" s="35"/>
      <c r="W62" s="35"/>
      <c r="X62" s="35"/>
      <c r="Y62" s="35"/>
      <c r="Z62" s="35"/>
    </row>
    <row r="63" ht="14.25" customHeight="1">
      <c r="A63" s="221"/>
      <c r="B63" s="537" t="s">
        <v>3257</v>
      </c>
      <c r="C63" s="233" t="s">
        <v>3366</v>
      </c>
      <c r="D63" s="212" t="s">
        <v>3365</v>
      </c>
      <c r="E63" s="213"/>
      <c r="F63" s="214"/>
      <c r="G63" s="214">
        <v>3600.0</v>
      </c>
      <c r="H63" s="523">
        <v>44774.0</v>
      </c>
      <c r="I63" s="36">
        <f t="shared" si="1"/>
        <v>5400</v>
      </c>
      <c r="J63" s="37">
        <f t="shared" si="2"/>
        <v>4680</v>
      </c>
      <c r="K63" s="38">
        <f t="shared" si="3"/>
        <v>4680</v>
      </c>
      <c r="L63" s="39">
        <f t="shared" si="4"/>
        <v>4320</v>
      </c>
      <c r="M63" s="38">
        <f t="shared" si="5"/>
        <v>4140</v>
      </c>
      <c r="N63" s="39">
        <f t="shared" si="6"/>
        <v>3960</v>
      </c>
      <c r="O63" s="40"/>
      <c r="P63" s="34"/>
      <c r="Q63" s="35"/>
      <c r="R63" s="35"/>
      <c r="S63" s="35"/>
      <c r="T63" s="35"/>
      <c r="U63" s="35"/>
      <c r="V63" s="35"/>
      <c r="W63" s="35"/>
      <c r="X63" s="35"/>
      <c r="Y63" s="35"/>
      <c r="Z63" s="35"/>
    </row>
    <row r="64" ht="14.25" customHeight="1">
      <c r="A64" s="221"/>
      <c r="B64" s="537" t="s">
        <v>3257</v>
      </c>
      <c r="C64" s="233" t="s">
        <v>3367</v>
      </c>
      <c r="D64" s="212" t="s">
        <v>3368</v>
      </c>
      <c r="E64" s="213"/>
      <c r="F64" s="214"/>
      <c r="G64" s="214">
        <v>5500.0</v>
      </c>
      <c r="H64" s="523">
        <v>44774.0</v>
      </c>
      <c r="I64" s="36">
        <f t="shared" si="1"/>
        <v>8250</v>
      </c>
      <c r="J64" s="37">
        <f t="shared" si="2"/>
        <v>7150</v>
      </c>
      <c r="K64" s="38">
        <f t="shared" si="3"/>
        <v>7150</v>
      </c>
      <c r="L64" s="39">
        <f t="shared" si="4"/>
        <v>6600</v>
      </c>
      <c r="M64" s="38">
        <f t="shared" si="5"/>
        <v>6325</v>
      </c>
      <c r="N64" s="39">
        <f t="shared" si="6"/>
        <v>6050</v>
      </c>
      <c r="O64" s="40"/>
      <c r="P64" s="34"/>
      <c r="Q64" s="35"/>
      <c r="R64" s="35"/>
      <c r="S64" s="35"/>
      <c r="T64" s="35"/>
      <c r="U64" s="35"/>
      <c r="V64" s="35"/>
      <c r="W64" s="35"/>
      <c r="X64" s="35"/>
      <c r="Y64" s="35"/>
      <c r="Z64" s="35"/>
    </row>
    <row r="65" ht="14.25" customHeight="1">
      <c r="A65" s="221"/>
      <c r="B65" s="537" t="s">
        <v>3257</v>
      </c>
      <c r="C65" s="233" t="s">
        <v>3369</v>
      </c>
      <c r="D65" s="212" t="s">
        <v>3370</v>
      </c>
      <c r="E65" s="213"/>
      <c r="F65" s="214"/>
      <c r="G65" s="214">
        <v>4800.0</v>
      </c>
      <c r="H65" s="523">
        <v>44774.0</v>
      </c>
      <c r="I65" s="36">
        <f t="shared" si="1"/>
        <v>7200</v>
      </c>
      <c r="J65" s="37">
        <f t="shared" si="2"/>
        <v>6240</v>
      </c>
      <c r="K65" s="38">
        <f t="shared" si="3"/>
        <v>6240</v>
      </c>
      <c r="L65" s="39">
        <f t="shared" si="4"/>
        <v>5760</v>
      </c>
      <c r="M65" s="38">
        <f t="shared" si="5"/>
        <v>5520</v>
      </c>
      <c r="N65" s="39">
        <f t="shared" si="6"/>
        <v>5280</v>
      </c>
      <c r="O65" s="40"/>
      <c r="P65" s="34"/>
      <c r="Q65" s="35"/>
      <c r="R65" s="35"/>
      <c r="S65" s="35"/>
      <c r="T65" s="35"/>
      <c r="U65" s="35"/>
      <c r="V65" s="35"/>
      <c r="W65" s="35"/>
      <c r="X65" s="35"/>
      <c r="Y65" s="35"/>
      <c r="Z65" s="35"/>
    </row>
    <row r="66" ht="14.25" customHeight="1">
      <c r="A66" s="221"/>
      <c r="B66" s="537" t="s">
        <v>3257</v>
      </c>
      <c r="C66" s="233" t="s">
        <v>3371</v>
      </c>
      <c r="D66" s="212" t="s">
        <v>3372</v>
      </c>
      <c r="E66" s="213"/>
      <c r="F66" s="214"/>
      <c r="G66" s="214">
        <v>5400.0</v>
      </c>
      <c r="H66" s="523">
        <v>44774.0</v>
      </c>
      <c r="I66" s="36">
        <f t="shared" si="1"/>
        <v>8100</v>
      </c>
      <c r="J66" s="37">
        <f t="shared" si="2"/>
        <v>7020</v>
      </c>
      <c r="K66" s="38">
        <f t="shared" si="3"/>
        <v>7020</v>
      </c>
      <c r="L66" s="39">
        <f t="shared" si="4"/>
        <v>6480</v>
      </c>
      <c r="M66" s="38">
        <f t="shared" si="5"/>
        <v>6210</v>
      </c>
      <c r="N66" s="39">
        <f t="shared" si="6"/>
        <v>5940</v>
      </c>
      <c r="O66" s="40"/>
      <c r="P66" s="34"/>
      <c r="Q66" s="35"/>
      <c r="R66" s="35"/>
      <c r="S66" s="35"/>
      <c r="T66" s="35"/>
      <c r="U66" s="35"/>
      <c r="V66" s="35"/>
      <c r="W66" s="35"/>
      <c r="X66" s="35"/>
      <c r="Y66" s="35"/>
      <c r="Z66" s="35"/>
    </row>
    <row r="67" ht="14.25" customHeight="1">
      <c r="A67" s="221"/>
      <c r="B67" s="537" t="s">
        <v>3257</v>
      </c>
      <c r="C67" s="233" t="s">
        <v>3373</v>
      </c>
      <c r="D67" s="212" t="s">
        <v>3374</v>
      </c>
      <c r="E67" s="213"/>
      <c r="F67" s="214"/>
      <c r="G67" s="214">
        <v>7100.0</v>
      </c>
      <c r="H67" s="523">
        <v>44774.0</v>
      </c>
      <c r="I67" s="36">
        <f t="shared" si="1"/>
        <v>10650</v>
      </c>
      <c r="J67" s="37">
        <f t="shared" si="2"/>
        <v>9230</v>
      </c>
      <c r="K67" s="38">
        <f t="shared" si="3"/>
        <v>9230</v>
      </c>
      <c r="L67" s="39">
        <f t="shared" si="4"/>
        <v>8520</v>
      </c>
      <c r="M67" s="38">
        <f t="shared" si="5"/>
        <v>8165</v>
      </c>
      <c r="N67" s="39">
        <f t="shared" si="6"/>
        <v>7810</v>
      </c>
      <c r="O67" s="40"/>
      <c r="P67" s="34"/>
      <c r="Q67" s="35"/>
      <c r="R67" s="35"/>
      <c r="S67" s="35"/>
      <c r="T67" s="35"/>
      <c r="U67" s="35"/>
      <c r="V67" s="35"/>
      <c r="W67" s="35"/>
      <c r="X67" s="35"/>
      <c r="Y67" s="35"/>
      <c r="Z67" s="35"/>
    </row>
    <row r="68" ht="14.25" customHeight="1">
      <c r="A68" s="221"/>
      <c r="B68" s="537" t="s">
        <v>3257</v>
      </c>
      <c r="C68" s="233" t="s">
        <v>3375</v>
      </c>
      <c r="D68" s="212" t="s">
        <v>3376</v>
      </c>
      <c r="E68" s="213"/>
      <c r="F68" s="214"/>
      <c r="G68" s="214">
        <v>7100.0</v>
      </c>
      <c r="H68" s="523">
        <v>44774.0</v>
      </c>
      <c r="I68" s="36">
        <f t="shared" si="1"/>
        <v>10650</v>
      </c>
      <c r="J68" s="37">
        <f t="shared" si="2"/>
        <v>9230</v>
      </c>
      <c r="K68" s="38">
        <f t="shared" si="3"/>
        <v>9230</v>
      </c>
      <c r="L68" s="39">
        <f t="shared" si="4"/>
        <v>8520</v>
      </c>
      <c r="M68" s="38">
        <f t="shared" si="5"/>
        <v>8165</v>
      </c>
      <c r="N68" s="39">
        <f t="shared" si="6"/>
        <v>7810</v>
      </c>
      <c r="O68" s="40"/>
      <c r="P68" s="34"/>
      <c r="Q68" s="35"/>
      <c r="R68" s="35"/>
      <c r="S68" s="35"/>
      <c r="T68" s="35"/>
      <c r="U68" s="35"/>
      <c r="V68" s="35"/>
      <c r="W68" s="35"/>
      <c r="X68" s="35"/>
      <c r="Y68" s="35"/>
      <c r="Z68" s="35"/>
    </row>
    <row r="69" ht="14.25" customHeight="1">
      <c r="A69" s="221"/>
      <c r="B69" s="537" t="s">
        <v>3257</v>
      </c>
      <c r="C69" s="233" t="s">
        <v>3377</v>
      </c>
      <c r="D69" s="212" t="s">
        <v>3378</v>
      </c>
      <c r="E69" s="213"/>
      <c r="F69" s="214"/>
      <c r="G69" s="214">
        <v>7100.0</v>
      </c>
      <c r="H69" s="523">
        <v>44774.0</v>
      </c>
      <c r="I69" s="36">
        <f t="shared" si="1"/>
        <v>10650</v>
      </c>
      <c r="J69" s="37">
        <f t="shared" si="2"/>
        <v>9230</v>
      </c>
      <c r="K69" s="38">
        <f t="shared" si="3"/>
        <v>9230</v>
      </c>
      <c r="L69" s="39">
        <f t="shared" si="4"/>
        <v>8520</v>
      </c>
      <c r="M69" s="38">
        <f t="shared" si="5"/>
        <v>8165</v>
      </c>
      <c r="N69" s="39">
        <f t="shared" si="6"/>
        <v>7810</v>
      </c>
      <c r="O69" s="40"/>
      <c r="P69" s="34"/>
      <c r="Q69" s="35"/>
      <c r="R69" s="35"/>
      <c r="S69" s="35"/>
      <c r="T69" s="35"/>
      <c r="U69" s="35"/>
      <c r="V69" s="35"/>
      <c r="W69" s="35"/>
      <c r="X69" s="35"/>
      <c r="Y69" s="35"/>
      <c r="Z69" s="35"/>
    </row>
    <row r="70" ht="14.25" customHeight="1">
      <c r="A70" s="221"/>
      <c r="B70" s="537" t="s">
        <v>3257</v>
      </c>
      <c r="C70" s="233" t="s">
        <v>3379</v>
      </c>
      <c r="D70" s="212" t="s">
        <v>3287</v>
      </c>
      <c r="E70" s="213"/>
      <c r="F70" s="214"/>
      <c r="G70" s="214">
        <v>7100.0</v>
      </c>
      <c r="H70" s="523">
        <v>44774.0</v>
      </c>
      <c r="I70" s="36">
        <f t="shared" si="1"/>
        <v>10650</v>
      </c>
      <c r="J70" s="37">
        <f t="shared" si="2"/>
        <v>9230</v>
      </c>
      <c r="K70" s="38">
        <f t="shared" si="3"/>
        <v>9230</v>
      </c>
      <c r="L70" s="39">
        <f t="shared" si="4"/>
        <v>8520</v>
      </c>
      <c r="M70" s="38">
        <f t="shared" si="5"/>
        <v>8165</v>
      </c>
      <c r="N70" s="39">
        <f t="shared" si="6"/>
        <v>7810</v>
      </c>
      <c r="O70" s="40"/>
      <c r="P70" s="34"/>
      <c r="Q70" s="35"/>
      <c r="R70" s="35"/>
      <c r="S70" s="35"/>
      <c r="T70" s="35"/>
      <c r="U70" s="35"/>
      <c r="V70" s="35"/>
      <c r="W70" s="35"/>
      <c r="X70" s="35"/>
      <c r="Y70" s="35"/>
      <c r="Z70" s="35"/>
    </row>
    <row r="71" ht="14.25" customHeight="1">
      <c r="A71" s="221"/>
      <c r="B71" s="537" t="s">
        <v>3257</v>
      </c>
      <c r="C71" s="233" t="s">
        <v>3380</v>
      </c>
      <c r="D71" s="212" t="s">
        <v>3381</v>
      </c>
      <c r="E71" s="213"/>
      <c r="F71" s="214"/>
      <c r="G71" s="214">
        <v>8300.0</v>
      </c>
      <c r="H71" s="523">
        <v>44774.0</v>
      </c>
      <c r="I71" s="36">
        <f t="shared" si="1"/>
        <v>12450</v>
      </c>
      <c r="J71" s="37">
        <f t="shared" si="2"/>
        <v>10790</v>
      </c>
      <c r="K71" s="38">
        <f t="shared" si="3"/>
        <v>10790</v>
      </c>
      <c r="L71" s="39">
        <f t="shared" si="4"/>
        <v>9960</v>
      </c>
      <c r="M71" s="38">
        <f t="shared" si="5"/>
        <v>9545</v>
      </c>
      <c r="N71" s="39">
        <f t="shared" si="6"/>
        <v>9130</v>
      </c>
      <c r="O71" s="40"/>
      <c r="P71" s="34"/>
      <c r="Q71" s="35"/>
      <c r="R71" s="35"/>
      <c r="S71" s="35"/>
      <c r="T71" s="35"/>
      <c r="U71" s="35"/>
      <c r="V71" s="35"/>
      <c r="W71" s="35"/>
      <c r="X71" s="35"/>
      <c r="Y71" s="35"/>
      <c r="Z71" s="35"/>
    </row>
    <row r="72" ht="14.25" customHeight="1">
      <c r="A72" s="221"/>
      <c r="B72" s="537" t="s">
        <v>3257</v>
      </c>
      <c r="C72" s="233" t="s">
        <v>3382</v>
      </c>
      <c r="D72" s="212" t="s">
        <v>3368</v>
      </c>
      <c r="E72" s="213"/>
      <c r="F72" s="214"/>
      <c r="G72" s="214">
        <v>10700.0</v>
      </c>
      <c r="H72" s="523">
        <v>44774.0</v>
      </c>
      <c r="I72" s="36">
        <f t="shared" si="1"/>
        <v>16050</v>
      </c>
      <c r="J72" s="37">
        <f t="shared" si="2"/>
        <v>13910</v>
      </c>
      <c r="K72" s="38">
        <f t="shared" si="3"/>
        <v>13910</v>
      </c>
      <c r="L72" s="39">
        <f t="shared" si="4"/>
        <v>12840</v>
      </c>
      <c r="M72" s="38">
        <f t="shared" si="5"/>
        <v>12305</v>
      </c>
      <c r="N72" s="39">
        <f t="shared" si="6"/>
        <v>11770</v>
      </c>
      <c r="O72" s="40"/>
      <c r="P72" s="34"/>
      <c r="R72" s="76"/>
      <c r="S72" s="76"/>
      <c r="T72" s="76"/>
      <c r="U72" s="76"/>
      <c r="V72" s="76"/>
      <c r="W72" s="76"/>
      <c r="X72" s="76"/>
      <c r="Y72" s="76"/>
      <c r="Z72" s="76"/>
    </row>
    <row r="73" ht="14.25" customHeight="1">
      <c r="A73" s="221"/>
      <c r="B73" s="537" t="s">
        <v>3257</v>
      </c>
      <c r="C73" s="233" t="s">
        <v>3383</v>
      </c>
      <c r="D73" s="212" t="s">
        <v>3368</v>
      </c>
      <c r="E73" s="213"/>
      <c r="F73" s="214"/>
      <c r="G73" s="214">
        <v>5400.0</v>
      </c>
      <c r="H73" s="523">
        <v>44774.0</v>
      </c>
      <c r="I73" s="36">
        <f t="shared" si="1"/>
        <v>8100</v>
      </c>
      <c r="J73" s="37">
        <f t="shared" si="2"/>
        <v>7020</v>
      </c>
      <c r="K73" s="38">
        <f t="shared" si="3"/>
        <v>7020</v>
      </c>
      <c r="L73" s="39">
        <f t="shared" si="4"/>
        <v>6480</v>
      </c>
      <c r="M73" s="38">
        <f t="shared" si="5"/>
        <v>6210</v>
      </c>
      <c r="N73" s="39">
        <f t="shared" si="6"/>
        <v>5940</v>
      </c>
      <c r="O73" s="40"/>
      <c r="P73" s="34"/>
      <c r="Q73" s="35"/>
      <c r="R73" s="35"/>
      <c r="S73" s="35"/>
      <c r="T73" s="35"/>
      <c r="U73" s="35"/>
      <c r="V73" s="35"/>
      <c r="W73" s="35"/>
      <c r="X73" s="35"/>
      <c r="Y73" s="35"/>
      <c r="Z73" s="35"/>
    </row>
    <row r="74" ht="14.25" customHeight="1">
      <c r="A74" s="221"/>
      <c r="B74" s="537" t="s">
        <v>3384</v>
      </c>
      <c r="C74" s="233" t="s">
        <v>3385</v>
      </c>
      <c r="D74" s="212" t="s">
        <v>3386</v>
      </c>
      <c r="E74" s="213"/>
      <c r="F74" s="214"/>
      <c r="G74" s="214">
        <v>1000.0</v>
      </c>
      <c r="H74" s="523">
        <v>44774.0</v>
      </c>
      <c r="I74" s="36">
        <f t="shared" si="1"/>
        <v>1500</v>
      </c>
      <c r="J74" s="37">
        <f t="shared" si="2"/>
        <v>1300</v>
      </c>
      <c r="K74" s="38">
        <f t="shared" si="3"/>
        <v>1300</v>
      </c>
      <c r="L74" s="39">
        <f t="shared" si="4"/>
        <v>1200</v>
      </c>
      <c r="M74" s="38">
        <f t="shared" si="5"/>
        <v>1150</v>
      </c>
      <c r="N74" s="39">
        <f t="shared" si="6"/>
        <v>1100</v>
      </c>
      <c r="O74" s="40"/>
      <c r="P74" s="34"/>
      <c r="R74" s="76"/>
      <c r="S74" s="76"/>
      <c r="T74" s="76"/>
      <c r="U74" s="76"/>
      <c r="V74" s="76"/>
      <c r="W74" s="76"/>
      <c r="X74" s="76"/>
      <c r="Y74" s="76"/>
      <c r="Z74" s="76"/>
    </row>
    <row r="75" ht="14.25" customHeight="1">
      <c r="A75" s="221"/>
      <c r="B75" s="537" t="s">
        <v>3384</v>
      </c>
      <c r="C75" s="233" t="s">
        <v>3387</v>
      </c>
      <c r="D75" s="212" t="s">
        <v>3386</v>
      </c>
      <c r="E75" s="213"/>
      <c r="F75" s="214"/>
      <c r="G75" s="214">
        <v>1050.0</v>
      </c>
      <c r="H75" s="523">
        <v>44774.0</v>
      </c>
      <c r="I75" s="36">
        <f t="shared" si="1"/>
        <v>1575</v>
      </c>
      <c r="J75" s="37">
        <f t="shared" si="2"/>
        <v>1365</v>
      </c>
      <c r="K75" s="38">
        <f t="shared" si="3"/>
        <v>1365</v>
      </c>
      <c r="L75" s="39">
        <f t="shared" si="4"/>
        <v>1260</v>
      </c>
      <c r="M75" s="38">
        <f t="shared" si="5"/>
        <v>1207.5</v>
      </c>
      <c r="N75" s="39">
        <f t="shared" si="6"/>
        <v>1155</v>
      </c>
      <c r="O75" s="40"/>
      <c r="P75" s="34"/>
      <c r="Q75" s="35"/>
      <c r="R75" s="35"/>
      <c r="S75" s="35"/>
      <c r="T75" s="35"/>
      <c r="U75" s="35"/>
      <c r="V75" s="35"/>
      <c r="W75" s="35"/>
      <c r="X75" s="35"/>
      <c r="Y75" s="35"/>
      <c r="Z75" s="35"/>
    </row>
    <row r="76" ht="14.25" customHeight="1">
      <c r="A76" s="221"/>
      <c r="B76" s="537" t="s">
        <v>3384</v>
      </c>
      <c r="C76" s="233" t="s">
        <v>3388</v>
      </c>
      <c r="D76" s="212" t="s">
        <v>3386</v>
      </c>
      <c r="E76" s="213"/>
      <c r="F76" s="214"/>
      <c r="G76" s="214">
        <v>3100.0</v>
      </c>
      <c r="H76" s="523">
        <v>44774.0</v>
      </c>
      <c r="I76" s="36">
        <f t="shared" si="1"/>
        <v>4650</v>
      </c>
      <c r="J76" s="37">
        <f t="shared" si="2"/>
        <v>4030</v>
      </c>
      <c r="K76" s="38">
        <f t="shared" si="3"/>
        <v>4030</v>
      </c>
      <c r="L76" s="39">
        <f t="shared" si="4"/>
        <v>3720</v>
      </c>
      <c r="M76" s="38">
        <f t="shared" si="5"/>
        <v>3565</v>
      </c>
      <c r="N76" s="39">
        <f t="shared" si="6"/>
        <v>3410</v>
      </c>
      <c r="O76" s="40"/>
      <c r="P76" s="34"/>
      <c r="Q76" s="35"/>
      <c r="R76" s="35"/>
      <c r="S76" s="35"/>
      <c r="T76" s="35"/>
      <c r="U76" s="35"/>
      <c r="V76" s="35"/>
      <c r="W76" s="35"/>
      <c r="X76" s="35"/>
      <c r="Y76" s="35"/>
      <c r="Z76" s="35"/>
    </row>
    <row r="77" ht="14.25" customHeight="1">
      <c r="A77" s="221"/>
      <c r="B77" s="537" t="s">
        <v>3384</v>
      </c>
      <c r="C77" s="233" t="s">
        <v>3389</v>
      </c>
      <c r="D77" s="212" t="s">
        <v>3386</v>
      </c>
      <c r="E77" s="213"/>
      <c r="F77" s="214"/>
      <c r="G77" s="214">
        <v>2500.0</v>
      </c>
      <c r="H77" s="523">
        <v>44774.0</v>
      </c>
      <c r="I77" s="36">
        <f t="shared" si="1"/>
        <v>3750</v>
      </c>
      <c r="J77" s="37">
        <f t="shared" si="2"/>
        <v>3250</v>
      </c>
      <c r="K77" s="38">
        <f t="shared" si="3"/>
        <v>3250</v>
      </c>
      <c r="L77" s="39">
        <f t="shared" si="4"/>
        <v>3000</v>
      </c>
      <c r="M77" s="38">
        <f t="shared" si="5"/>
        <v>2875</v>
      </c>
      <c r="N77" s="39">
        <f t="shared" si="6"/>
        <v>2750</v>
      </c>
      <c r="O77" s="40"/>
      <c r="P77" s="34"/>
      <c r="Q77" s="35"/>
      <c r="R77" s="35"/>
      <c r="S77" s="35"/>
      <c r="T77" s="35"/>
      <c r="U77" s="35"/>
      <c r="V77" s="35"/>
      <c r="W77" s="35"/>
      <c r="X77" s="35"/>
      <c r="Y77" s="35"/>
      <c r="Z77" s="35"/>
    </row>
    <row r="78" ht="14.25" customHeight="1">
      <c r="A78" s="221"/>
      <c r="B78" s="537" t="s">
        <v>3384</v>
      </c>
      <c r="C78" s="233" t="s">
        <v>3390</v>
      </c>
      <c r="D78" s="212" t="s">
        <v>3386</v>
      </c>
      <c r="E78" s="213"/>
      <c r="F78" s="214"/>
      <c r="G78" s="214">
        <v>4200.0</v>
      </c>
      <c r="H78" s="523">
        <v>44774.0</v>
      </c>
      <c r="I78" s="36">
        <f t="shared" si="1"/>
        <v>6300</v>
      </c>
      <c r="J78" s="37">
        <f t="shared" si="2"/>
        <v>5460</v>
      </c>
      <c r="K78" s="38">
        <f t="shared" si="3"/>
        <v>5460</v>
      </c>
      <c r="L78" s="39">
        <f t="shared" si="4"/>
        <v>5040</v>
      </c>
      <c r="M78" s="38">
        <f t="shared" si="5"/>
        <v>4830</v>
      </c>
      <c r="N78" s="39">
        <f t="shared" si="6"/>
        <v>4620</v>
      </c>
      <c r="O78" s="40"/>
      <c r="P78" s="34"/>
      <c r="Q78" s="35"/>
      <c r="R78" s="35"/>
      <c r="S78" s="35"/>
      <c r="T78" s="35"/>
      <c r="U78" s="35"/>
      <c r="V78" s="35"/>
      <c r="W78" s="35"/>
      <c r="X78" s="35"/>
      <c r="Y78" s="35"/>
      <c r="Z78" s="35"/>
    </row>
    <row r="79" ht="14.25" customHeight="1">
      <c r="A79" s="221"/>
      <c r="B79" s="537" t="s">
        <v>3384</v>
      </c>
      <c r="C79" s="233" t="s">
        <v>3391</v>
      </c>
      <c r="D79" s="212" t="s">
        <v>3392</v>
      </c>
      <c r="E79" s="213"/>
      <c r="F79" s="214"/>
      <c r="G79" s="214">
        <v>5100.0</v>
      </c>
      <c r="H79" s="523">
        <v>44774.0</v>
      </c>
      <c r="I79" s="36">
        <f t="shared" si="1"/>
        <v>7650</v>
      </c>
      <c r="J79" s="37">
        <f t="shared" si="2"/>
        <v>6630</v>
      </c>
      <c r="K79" s="38">
        <f t="shared" si="3"/>
        <v>6630</v>
      </c>
      <c r="L79" s="39">
        <f t="shared" si="4"/>
        <v>6120</v>
      </c>
      <c r="M79" s="38">
        <f t="shared" si="5"/>
        <v>5865</v>
      </c>
      <c r="N79" s="39">
        <f t="shared" si="6"/>
        <v>5610</v>
      </c>
      <c r="O79" s="40"/>
      <c r="P79" s="34"/>
      <c r="Q79" s="35"/>
      <c r="R79" s="35"/>
      <c r="S79" s="35"/>
      <c r="T79" s="35"/>
      <c r="U79" s="35"/>
      <c r="V79" s="35"/>
      <c r="W79" s="35"/>
      <c r="X79" s="35"/>
      <c r="Y79" s="35"/>
      <c r="Z79" s="35"/>
    </row>
    <row r="80" ht="14.25" customHeight="1">
      <c r="A80" s="221"/>
      <c r="B80" s="537" t="s">
        <v>3384</v>
      </c>
      <c r="C80" s="233" t="s">
        <v>3393</v>
      </c>
      <c r="D80" s="212" t="s">
        <v>3394</v>
      </c>
      <c r="E80" s="213"/>
      <c r="F80" s="214"/>
      <c r="G80" s="214">
        <v>1380.0</v>
      </c>
      <c r="H80" s="523">
        <v>44774.0</v>
      </c>
      <c r="I80" s="36">
        <f t="shared" si="1"/>
        <v>2070</v>
      </c>
      <c r="J80" s="37">
        <f t="shared" si="2"/>
        <v>1794</v>
      </c>
      <c r="K80" s="38">
        <f t="shared" si="3"/>
        <v>1794</v>
      </c>
      <c r="L80" s="39">
        <f t="shared" si="4"/>
        <v>1656</v>
      </c>
      <c r="M80" s="38">
        <f t="shared" si="5"/>
        <v>1587</v>
      </c>
      <c r="N80" s="39">
        <f t="shared" si="6"/>
        <v>1518</v>
      </c>
      <c r="O80" s="40"/>
      <c r="P80" s="34"/>
      <c r="Q80" s="35"/>
      <c r="R80" s="35"/>
      <c r="S80" s="35"/>
      <c r="T80" s="35"/>
      <c r="U80" s="35"/>
      <c r="V80" s="35"/>
      <c r="W80" s="35"/>
      <c r="X80" s="35"/>
      <c r="Y80" s="35"/>
      <c r="Z80" s="35"/>
    </row>
    <row r="81" ht="14.25" customHeight="1">
      <c r="A81" s="221"/>
      <c r="B81" s="537" t="s">
        <v>3384</v>
      </c>
      <c r="C81" s="233" t="s">
        <v>3395</v>
      </c>
      <c r="D81" s="212" t="s">
        <v>3396</v>
      </c>
      <c r="E81" s="213"/>
      <c r="F81" s="214"/>
      <c r="G81" s="214">
        <v>750.0</v>
      </c>
      <c r="H81" s="523">
        <v>44774.0</v>
      </c>
      <c r="I81" s="36">
        <f t="shared" si="1"/>
        <v>1125</v>
      </c>
      <c r="J81" s="37">
        <f t="shared" si="2"/>
        <v>975</v>
      </c>
      <c r="K81" s="38">
        <f t="shared" si="3"/>
        <v>975</v>
      </c>
      <c r="L81" s="39">
        <f t="shared" si="4"/>
        <v>900</v>
      </c>
      <c r="M81" s="38">
        <f t="shared" si="5"/>
        <v>862.5</v>
      </c>
      <c r="N81" s="39">
        <f t="shared" si="6"/>
        <v>825</v>
      </c>
      <c r="O81" s="40"/>
      <c r="P81" s="34"/>
      <c r="Q81" s="35"/>
      <c r="R81" s="35"/>
      <c r="S81" s="35"/>
      <c r="T81" s="35"/>
      <c r="U81" s="35"/>
      <c r="V81" s="35"/>
      <c r="W81" s="35"/>
      <c r="X81" s="35"/>
      <c r="Y81" s="35"/>
      <c r="Z81" s="35"/>
    </row>
    <row r="82" ht="14.25" customHeight="1">
      <c r="A82" s="221"/>
      <c r="B82" s="537" t="s">
        <v>3384</v>
      </c>
      <c r="C82" s="233" t="s">
        <v>3397</v>
      </c>
      <c r="D82" s="212" t="s">
        <v>3396</v>
      </c>
      <c r="E82" s="213"/>
      <c r="F82" s="214"/>
      <c r="G82" s="214">
        <v>1150.0</v>
      </c>
      <c r="H82" s="523">
        <v>44774.0</v>
      </c>
      <c r="I82" s="36">
        <f t="shared" si="1"/>
        <v>1725</v>
      </c>
      <c r="J82" s="37">
        <f t="shared" si="2"/>
        <v>1495</v>
      </c>
      <c r="K82" s="38">
        <f t="shared" si="3"/>
        <v>1495</v>
      </c>
      <c r="L82" s="39">
        <f t="shared" si="4"/>
        <v>1380</v>
      </c>
      <c r="M82" s="38">
        <f t="shared" si="5"/>
        <v>1322.5</v>
      </c>
      <c r="N82" s="39">
        <f t="shared" si="6"/>
        <v>1265</v>
      </c>
      <c r="O82" s="40"/>
      <c r="P82" s="34"/>
      <c r="Q82" s="35"/>
      <c r="R82" s="35"/>
      <c r="S82" s="35"/>
      <c r="T82" s="35"/>
      <c r="U82" s="35"/>
      <c r="V82" s="35"/>
      <c r="W82" s="35"/>
      <c r="X82" s="35"/>
      <c r="Y82" s="35"/>
      <c r="Z82" s="35"/>
    </row>
    <row r="83" ht="14.25" customHeight="1">
      <c r="A83" s="221"/>
      <c r="B83" s="537" t="s">
        <v>3384</v>
      </c>
      <c r="C83" s="233" t="s">
        <v>3398</v>
      </c>
      <c r="D83" s="212" t="s">
        <v>3396</v>
      </c>
      <c r="E83" s="213"/>
      <c r="F83" s="214"/>
      <c r="G83" s="214">
        <v>1780.0</v>
      </c>
      <c r="H83" s="523">
        <v>44774.0</v>
      </c>
      <c r="I83" s="36">
        <f t="shared" si="1"/>
        <v>2670</v>
      </c>
      <c r="J83" s="37">
        <f t="shared" si="2"/>
        <v>2314</v>
      </c>
      <c r="K83" s="38">
        <f t="shared" si="3"/>
        <v>2314</v>
      </c>
      <c r="L83" s="39">
        <f t="shared" si="4"/>
        <v>2136</v>
      </c>
      <c r="M83" s="38">
        <f t="shared" si="5"/>
        <v>2047</v>
      </c>
      <c r="N83" s="39">
        <f t="shared" si="6"/>
        <v>1958</v>
      </c>
      <c r="O83" s="40"/>
      <c r="P83" s="34"/>
      <c r="Q83" s="35"/>
      <c r="R83" s="35"/>
      <c r="S83" s="35"/>
      <c r="T83" s="35"/>
      <c r="U83" s="35"/>
      <c r="V83" s="35"/>
      <c r="W83" s="35"/>
      <c r="X83" s="35"/>
      <c r="Y83" s="35"/>
      <c r="Z83" s="35"/>
    </row>
    <row r="84" ht="14.25" customHeight="1">
      <c r="A84" s="221"/>
      <c r="B84" s="537" t="s">
        <v>3384</v>
      </c>
      <c r="C84" s="233" t="s">
        <v>3399</v>
      </c>
      <c r="D84" s="212" t="s">
        <v>3396</v>
      </c>
      <c r="E84" s="213"/>
      <c r="F84" s="214"/>
      <c r="G84" s="214">
        <v>1980.0</v>
      </c>
      <c r="H84" s="523">
        <v>44774.0</v>
      </c>
      <c r="I84" s="36">
        <f t="shared" si="1"/>
        <v>2970</v>
      </c>
      <c r="J84" s="37">
        <f t="shared" si="2"/>
        <v>2574</v>
      </c>
      <c r="K84" s="38">
        <f t="shared" si="3"/>
        <v>2574</v>
      </c>
      <c r="L84" s="39">
        <f t="shared" si="4"/>
        <v>2376</v>
      </c>
      <c r="M84" s="38">
        <f t="shared" si="5"/>
        <v>2277</v>
      </c>
      <c r="N84" s="39">
        <f t="shared" si="6"/>
        <v>2178</v>
      </c>
      <c r="O84" s="40"/>
      <c r="P84" s="34"/>
      <c r="Q84" s="35"/>
      <c r="R84" s="35"/>
      <c r="S84" s="35"/>
      <c r="T84" s="35"/>
      <c r="U84" s="35"/>
      <c r="V84" s="35"/>
      <c r="W84" s="35"/>
      <c r="X84" s="35"/>
      <c r="Y84" s="35"/>
      <c r="Z84" s="35"/>
    </row>
    <row r="85" ht="14.25" customHeight="1">
      <c r="A85" s="221"/>
      <c r="B85" s="537" t="s">
        <v>3384</v>
      </c>
      <c r="C85" s="233" t="s">
        <v>3400</v>
      </c>
      <c r="D85" s="212" t="s">
        <v>3396</v>
      </c>
      <c r="E85" s="213"/>
      <c r="F85" s="214"/>
      <c r="G85" s="214">
        <v>2500.0</v>
      </c>
      <c r="H85" s="523">
        <v>44774.0</v>
      </c>
      <c r="I85" s="36">
        <f t="shared" si="1"/>
        <v>3750</v>
      </c>
      <c r="J85" s="37">
        <f t="shared" si="2"/>
        <v>3250</v>
      </c>
      <c r="K85" s="38">
        <f t="shared" si="3"/>
        <v>3250</v>
      </c>
      <c r="L85" s="39">
        <f t="shared" si="4"/>
        <v>3000</v>
      </c>
      <c r="M85" s="38">
        <f t="shared" si="5"/>
        <v>2875</v>
      </c>
      <c r="N85" s="39">
        <f t="shared" si="6"/>
        <v>2750</v>
      </c>
      <c r="O85" s="40"/>
      <c r="P85" s="34"/>
      <c r="Q85" s="35"/>
      <c r="R85" s="35"/>
      <c r="S85" s="35"/>
      <c r="T85" s="35"/>
      <c r="U85" s="35"/>
      <c r="V85" s="35"/>
      <c r="W85" s="35"/>
      <c r="X85" s="35"/>
      <c r="Y85" s="35"/>
      <c r="Z85" s="35"/>
    </row>
    <row r="86" ht="14.25" customHeight="1">
      <c r="A86" s="221"/>
      <c r="B86" s="537" t="s">
        <v>3384</v>
      </c>
      <c r="C86" s="233" t="s">
        <v>3401</v>
      </c>
      <c r="D86" s="212" t="s">
        <v>3396</v>
      </c>
      <c r="E86" s="213"/>
      <c r="F86" s="214"/>
      <c r="G86" s="214">
        <v>3350.0</v>
      </c>
      <c r="H86" s="523">
        <v>44774.0</v>
      </c>
      <c r="I86" s="36">
        <f t="shared" si="1"/>
        <v>5025</v>
      </c>
      <c r="J86" s="37">
        <f t="shared" si="2"/>
        <v>4355</v>
      </c>
      <c r="K86" s="38">
        <f t="shared" si="3"/>
        <v>4355</v>
      </c>
      <c r="L86" s="39">
        <f t="shared" si="4"/>
        <v>4020</v>
      </c>
      <c r="M86" s="38">
        <f t="shared" si="5"/>
        <v>3852.5</v>
      </c>
      <c r="N86" s="39">
        <f t="shared" si="6"/>
        <v>3685</v>
      </c>
      <c r="O86" s="40"/>
      <c r="P86" s="34"/>
      <c r="Q86" s="35"/>
      <c r="R86" s="35"/>
      <c r="S86" s="35"/>
      <c r="T86" s="35"/>
      <c r="U86" s="35"/>
      <c r="V86" s="35"/>
      <c r="W86" s="35"/>
      <c r="X86" s="35"/>
      <c r="Y86" s="35"/>
      <c r="Z86" s="35"/>
    </row>
    <row r="87" ht="14.25" customHeight="1">
      <c r="A87" s="221"/>
      <c r="B87" s="537" t="s">
        <v>3384</v>
      </c>
      <c r="C87" s="233" t="s">
        <v>3402</v>
      </c>
      <c r="D87" s="212" t="s">
        <v>3396</v>
      </c>
      <c r="E87" s="213"/>
      <c r="F87" s="214"/>
      <c r="G87" s="214">
        <v>4450.0</v>
      </c>
      <c r="H87" s="523">
        <v>44774.0</v>
      </c>
      <c r="I87" s="36">
        <f t="shared" si="1"/>
        <v>6675</v>
      </c>
      <c r="J87" s="37">
        <f t="shared" si="2"/>
        <v>5785</v>
      </c>
      <c r="K87" s="38">
        <f t="shared" si="3"/>
        <v>5785</v>
      </c>
      <c r="L87" s="39">
        <f t="shared" si="4"/>
        <v>5340</v>
      </c>
      <c r="M87" s="38">
        <f t="shared" si="5"/>
        <v>5117.5</v>
      </c>
      <c r="N87" s="39">
        <f t="shared" si="6"/>
        <v>4895</v>
      </c>
      <c r="O87" s="40"/>
      <c r="P87" s="34"/>
      <c r="Q87" s="35"/>
      <c r="R87" s="35"/>
      <c r="S87" s="35"/>
      <c r="T87" s="35"/>
      <c r="U87" s="35"/>
      <c r="V87" s="35"/>
      <c r="W87" s="35"/>
      <c r="X87" s="35"/>
      <c r="Y87" s="35"/>
      <c r="Z87" s="35"/>
    </row>
    <row r="88" ht="14.25" customHeight="1">
      <c r="A88" s="221"/>
      <c r="B88" s="537" t="s">
        <v>3384</v>
      </c>
      <c r="C88" s="233" t="s">
        <v>3403</v>
      </c>
      <c r="D88" s="212" t="s">
        <v>3404</v>
      </c>
      <c r="E88" s="213"/>
      <c r="F88" s="214"/>
      <c r="G88" s="214">
        <v>4600.0</v>
      </c>
      <c r="H88" s="523">
        <v>44774.0</v>
      </c>
      <c r="I88" s="36">
        <f t="shared" si="1"/>
        <v>6900</v>
      </c>
      <c r="J88" s="37">
        <f t="shared" si="2"/>
        <v>5980</v>
      </c>
      <c r="K88" s="38">
        <f t="shared" si="3"/>
        <v>5980</v>
      </c>
      <c r="L88" s="39">
        <f t="shared" si="4"/>
        <v>5520</v>
      </c>
      <c r="M88" s="38">
        <f t="shared" si="5"/>
        <v>5290</v>
      </c>
      <c r="N88" s="39">
        <f t="shared" si="6"/>
        <v>5060</v>
      </c>
      <c r="O88" s="40"/>
      <c r="P88" s="34"/>
      <c r="Q88" s="35"/>
      <c r="R88" s="35"/>
      <c r="S88" s="35"/>
      <c r="T88" s="35"/>
      <c r="U88" s="35"/>
      <c r="V88" s="35"/>
      <c r="W88" s="35"/>
      <c r="X88" s="35"/>
      <c r="Y88" s="35"/>
      <c r="Z88" s="35"/>
    </row>
    <row r="89" ht="14.25" customHeight="1">
      <c r="A89" s="221"/>
      <c r="B89" s="537" t="s">
        <v>3384</v>
      </c>
      <c r="C89" s="233" t="s">
        <v>3405</v>
      </c>
      <c r="D89" s="212" t="s">
        <v>3406</v>
      </c>
      <c r="E89" s="213"/>
      <c r="F89" s="214"/>
      <c r="G89" s="214">
        <v>1380.0</v>
      </c>
      <c r="H89" s="523">
        <v>44774.0</v>
      </c>
      <c r="I89" s="36">
        <f t="shared" si="1"/>
        <v>2070</v>
      </c>
      <c r="J89" s="37">
        <f t="shared" si="2"/>
        <v>1794</v>
      </c>
      <c r="K89" s="38">
        <f t="shared" si="3"/>
        <v>1794</v>
      </c>
      <c r="L89" s="39">
        <f t="shared" si="4"/>
        <v>1656</v>
      </c>
      <c r="M89" s="38">
        <f t="shared" si="5"/>
        <v>1587</v>
      </c>
      <c r="N89" s="39">
        <f t="shared" si="6"/>
        <v>1518</v>
      </c>
      <c r="O89" s="40"/>
      <c r="P89" s="78"/>
      <c r="Q89" s="76"/>
      <c r="R89" s="76"/>
      <c r="S89" s="76"/>
      <c r="T89" s="76"/>
      <c r="U89" s="76"/>
      <c r="V89" s="76"/>
      <c r="W89" s="76"/>
      <c r="X89" s="76"/>
      <c r="Y89" s="76"/>
      <c r="Z89" s="76"/>
    </row>
    <row r="90" ht="14.25" customHeight="1">
      <c r="A90" s="221"/>
      <c r="B90" s="537" t="s">
        <v>3384</v>
      </c>
      <c r="C90" s="233" t="s">
        <v>3308</v>
      </c>
      <c r="D90" s="212" t="s">
        <v>3309</v>
      </c>
      <c r="E90" s="213"/>
      <c r="F90" s="214"/>
      <c r="G90" s="214">
        <v>34920.0</v>
      </c>
      <c r="H90" s="523">
        <v>44774.0</v>
      </c>
      <c r="I90" s="36">
        <f t="shared" si="1"/>
        <v>52380</v>
      </c>
      <c r="J90" s="37">
        <f t="shared" si="2"/>
        <v>45396</v>
      </c>
      <c r="K90" s="38">
        <f t="shared" si="3"/>
        <v>45396</v>
      </c>
      <c r="L90" s="39">
        <f t="shared" si="4"/>
        <v>41904</v>
      </c>
      <c r="M90" s="38">
        <f t="shared" si="5"/>
        <v>40158</v>
      </c>
      <c r="N90" s="39">
        <f t="shared" si="6"/>
        <v>38412</v>
      </c>
      <c r="O90" s="40"/>
      <c r="P90" s="78"/>
      <c r="Q90" s="35"/>
      <c r="R90" s="35"/>
      <c r="S90" s="35"/>
      <c r="T90" s="35"/>
      <c r="U90" s="35"/>
      <c r="V90" s="35"/>
      <c r="W90" s="35"/>
      <c r="X90" s="35"/>
      <c r="Y90" s="35"/>
      <c r="Z90" s="35"/>
    </row>
    <row r="91" ht="14.25" customHeight="1">
      <c r="A91" s="221"/>
      <c r="B91" s="537" t="s">
        <v>3384</v>
      </c>
      <c r="C91" s="233" t="s">
        <v>3407</v>
      </c>
      <c r="D91" s="212" t="s">
        <v>3408</v>
      </c>
      <c r="E91" s="213"/>
      <c r="F91" s="214"/>
      <c r="G91" s="214">
        <v>2600.0</v>
      </c>
      <c r="H91" s="523">
        <v>44774.0</v>
      </c>
      <c r="I91" s="36">
        <f t="shared" si="1"/>
        <v>3900</v>
      </c>
      <c r="J91" s="37">
        <f t="shared" si="2"/>
        <v>3380</v>
      </c>
      <c r="K91" s="38">
        <f t="shared" si="3"/>
        <v>3380</v>
      </c>
      <c r="L91" s="39">
        <f t="shared" si="4"/>
        <v>3120</v>
      </c>
      <c r="M91" s="38">
        <f t="shared" si="5"/>
        <v>2990</v>
      </c>
      <c r="N91" s="39">
        <f t="shared" si="6"/>
        <v>2860</v>
      </c>
      <c r="O91" s="40"/>
      <c r="P91" s="78"/>
      <c r="Q91" s="35"/>
      <c r="R91" s="35"/>
      <c r="S91" s="35"/>
      <c r="T91" s="35"/>
      <c r="U91" s="35"/>
      <c r="V91" s="35"/>
      <c r="W91" s="35"/>
      <c r="X91" s="35"/>
      <c r="Y91" s="35"/>
      <c r="Z91" s="35"/>
    </row>
    <row r="92" ht="14.25" customHeight="1">
      <c r="A92" s="221"/>
      <c r="B92" s="537" t="s">
        <v>3384</v>
      </c>
      <c r="C92" s="233" t="s">
        <v>3409</v>
      </c>
      <c r="D92" s="212" t="s">
        <v>3410</v>
      </c>
      <c r="E92" s="213"/>
      <c r="F92" s="214"/>
      <c r="G92" s="214">
        <v>3200.0</v>
      </c>
      <c r="H92" s="523">
        <v>44774.0</v>
      </c>
      <c r="I92" s="36">
        <f t="shared" si="1"/>
        <v>4800</v>
      </c>
      <c r="J92" s="37">
        <f t="shared" si="2"/>
        <v>4160</v>
      </c>
      <c r="K92" s="38">
        <f t="shared" si="3"/>
        <v>4160</v>
      </c>
      <c r="L92" s="39">
        <f t="shared" si="4"/>
        <v>3840</v>
      </c>
      <c r="M92" s="38">
        <f t="shared" si="5"/>
        <v>3680</v>
      </c>
      <c r="N92" s="39">
        <f t="shared" si="6"/>
        <v>3520</v>
      </c>
      <c r="O92" s="40"/>
      <c r="P92" s="34"/>
      <c r="Q92" s="35"/>
      <c r="R92" s="35"/>
      <c r="S92" s="35"/>
      <c r="T92" s="35"/>
      <c r="U92" s="35"/>
      <c r="V92" s="35"/>
      <c r="W92" s="35"/>
      <c r="X92" s="35"/>
      <c r="Y92" s="35"/>
      <c r="Z92" s="35"/>
    </row>
    <row r="93" ht="14.25" customHeight="1">
      <c r="A93" s="221"/>
      <c r="B93" s="537" t="s">
        <v>3384</v>
      </c>
      <c r="C93" s="233" t="s">
        <v>3411</v>
      </c>
      <c r="D93" s="212" t="s">
        <v>3412</v>
      </c>
      <c r="E93" s="213"/>
      <c r="F93" s="214"/>
      <c r="G93" s="214">
        <v>3400.0</v>
      </c>
      <c r="H93" s="523">
        <v>44774.0</v>
      </c>
      <c r="I93" s="36">
        <f t="shared" si="1"/>
        <v>5100</v>
      </c>
      <c r="J93" s="37">
        <f t="shared" si="2"/>
        <v>4420</v>
      </c>
      <c r="K93" s="38">
        <f t="shared" si="3"/>
        <v>4420</v>
      </c>
      <c r="L93" s="39">
        <f t="shared" si="4"/>
        <v>4080</v>
      </c>
      <c r="M93" s="38">
        <f t="shared" si="5"/>
        <v>3910</v>
      </c>
      <c r="N93" s="39">
        <f t="shared" si="6"/>
        <v>3740</v>
      </c>
      <c r="O93" s="40"/>
      <c r="P93" s="78"/>
      <c r="Q93" s="35"/>
      <c r="R93" s="35"/>
      <c r="S93" s="35"/>
      <c r="T93" s="35"/>
      <c r="U93" s="35"/>
      <c r="V93" s="35"/>
      <c r="W93" s="35"/>
      <c r="X93" s="35"/>
      <c r="Y93" s="35"/>
      <c r="Z93" s="35"/>
    </row>
    <row r="94" ht="14.25" customHeight="1">
      <c r="A94" s="221"/>
      <c r="B94" s="537" t="s">
        <v>3384</v>
      </c>
      <c r="C94" s="233" t="s">
        <v>3413</v>
      </c>
      <c r="D94" s="212" t="s">
        <v>3412</v>
      </c>
      <c r="E94" s="213"/>
      <c r="F94" s="214"/>
      <c r="G94" s="214">
        <v>3600.0</v>
      </c>
      <c r="H94" s="523">
        <v>44774.0</v>
      </c>
      <c r="I94" s="36">
        <f t="shared" si="1"/>
        <v>5400</v>
      </c>
      <c r="J94" s="37">
        <f t="shared" si="2"/>
        <v>4680</v>
      </c>
      <c r="K94" s="38">
        <f t="shared" si="3"/>
        <v>4680</v>
      </c>
      <c r="L94" s="39">
        <f t="shared" si="4"/>
        <v>4320</v>
      </c>
      <c r="M94" s="38">
        <f t="shared" si="5"/>
        <v>4140</v>
      </c>
      <c r="N94" s="39">
        <f t="shared" si="6"/>
        <v>3960</v>
      </c>
      <c r="O94" s="40"/>
      <c r="P94" s="34"/>
      <c r="Q94" s="35"/>
      <c r="R94" s="35"/>
      <c r="S94" s="35"/>
      <c r="T94" s="35"/>
      <c r="U94" s="35"/>
      <c r="V94" s="35"/>
      <c r="W94" s="35"/>
      <c r="X94" s="35"/>
      <c r="Y94" s="35"/>
      <c r="Z94" s="35"/>
    </row>
    <row r="95" ht="14.25" customHeight="1">
      <c r="A95" s="221"/>
      <c r="B95" s="537" t="s">
        <v>3384</v>
      </c>
      <c r="C95" s="233" t="s">
        <v>3414</v>
      </c>
      <c r="D95" s="212" t="s">
        <v>3415</v>
      </c>
      <c r="E95" s="213"/>
      <c r="F95" s="214"/>
      <c r="G95" s="214">
        <v>2600.0</v>
      </c>
      <c r="H95" s="523">
        <v>44774.0</v>
      </c>
      <c r="I95" s="36">
        <f t="shared" si="1"/>
        <v>3900</v>
      </c>
      <c r="J95" s="37">
        <f t="shared" si="2"/>
        <v>3380</v>
      </c>
      <c r="K95" s="38">
        <f t="shared" si="3"/>
        <v>3380</v>
      </c>
      <c r="L95" s="39">
        <f t="shared" si="4"/>
        <v>3120</v>
      </c>
      <c r="M95" s="38">
        <f t="shared" si="5"/>
        <v>2990</v>
      </c>
      <c r="N95" s="39">
        <f t="shared" si="6"/>
        <v>2860</v>
      </c>
      <c r="O95" s="40"/>
      <c r="P95" s="78"/>
      <c r="Q95" s="35"/>
      <c r="R95" s="35"/>
      <c r="S95" s="35"/>
      <c r="T95" s="35"/>
      <c r="U95" s="35"/>
      <c r="V95" s="35"/>
      <c r="W95" s="35"/>
      <c r="X95" s="35"/>
      <c r="Y95" s="35"/>
      <c r="Z95" s="35"/>
    </row>
    <row r="96" ht="14.25" customHeight="1">
      <c r="A96" s="221"/>
      <c r="B96" s="537" t="s">
        <v>3384</v>
      </c>
      <c r="C96" s="233" t="s">
        <v>3416</v>
      </c>
      <c r="D96" s="212" t="s">
        <v>3417</v>
      </c>
      <c r="E96" s="213"/>
      <c r="F96" s="214"/>
      <c r="G96" s="214">
        <v>5100.0</v>
      </c>
      <c r="H96" s="523">
        <v>44774.0</v>
      </c>
      <c r="I96" s="36">
        <f t="shared" si="1"/>
        <v>7650</v>
      </c>
      <c r="J96" s="37">
        <f t="shared" si="2"/>
        <v>6630</v>
      </c>
      <c r="K96" s="38">
        <f t="shared" si="3"/>
        <v>6630</v>
      </c>
      <c r="L96" s="39">
        <f t="shared" si="4"/>
        <v>6120</v>
      </c>
      <c r="M96" s="38">
        <f t="shared" si="5"/>
        <v>5865</v>
      </c>
      <c r="N96" s="39">
        <f t="shared" si="6"/>
        <v>5610</v>
      </c>
      <c r="O96" s="40"/>
      <c r="P96" s="78"/>
      <c r="Q96" s="35"/>
      <c r="R96" s="35"/>
      <c r="S96" s="35"/>
      <c r="T96" s="35"/>
      <c r="U96" s="35"/>
      <c r="V96" s="35"/>
      <c r="W96" s="35"/>
      <c r="X96" s="35"/>
      <c r="Y96" s="35"/>
      <c r="Z96" s="35"/>
    </row>
    <row r="97" ht="14.25" customHeight="1">
      <c r="A97" s="221"/>
      <c r="B97" s="537" t="s">
        <v>3384</v>
      </c>
      <c r="C97" s="233" t="s">
        <v>3418</v>
      </c>
      <c r="D97" s="212" t="s">
        <v>3417</v>
      </c>
      <c r="E97" s="213"/>
      <c r="F97" s="214"/>
      <c r="G97" s="214">
        <v>5000.0</v>
      </c>
      <c r="H97" s="523">
        <v>44774.0</v>
      </c>
      <c r="I97" s="36">
        <f t="shared" si="1"/>
        <v>7500</v>
      </c>
      <c r="J97" s="37">
        <f t="shared" si="2"/>
        <v>6500</v>
      </c>
      <c r="K97" s="38">
        <f t="shared" si="3"/>
        <v>6500</v>
      </c>
      <c r="L97" s="39">
        <f t="shared" si="4"/>
        <v>6000</v>
      </c>
      <c r="M97" s="38">
        <f t="shared" si="5"/>
        <v>5750</v>
      </c>
      <c r="N97" s="39">
        <f t="shared" si="6"/>
        <v>5500</v>
      </c>
      <c r="O97" s="40"/>
      <c r="P97" s="78"/>
      <c r="Q97" s="35"/>
      <c r="R97" s="35"/>
      <c r="S97" s="35"/>
      <c r="T97" s="35"/>
      <c r="U97" s="35"/>
      <c r="V97" s="35"/>
      <c r="W97" s="35"/>
      <c r="X97" s="35"/>
      <c r="Y97" s="35"/>
      <c r="Z97" s="35"/>
    </row>
    <row r="98" ht="14.25" customHeight="1">
      <c r="A98" s="221"/>
      <c r="B98" s="537" t="s">
        <v>3384</v>
      </c>
      <c r="C98" s="233" t="s">
        <v>3419</v>
      </c>
      <c r="D98" s="212" t="s">
        <v>3420</v>
      </c>
      <c r="E98" s="213"/>
      <c r="F98" s="214"/>
      <c r="G98" s="214">
        <v>3750.0</v>
      </c>
      <c r="H98" s="523">
        <v>44774.0</v>
      </c>
      <c r="I98" s="36">
        <f t="shared" si="1"/>
        <v>5625</v>
      </c>
      <c r="J98" s="37">
        <f t="shared" si="2"/>
        <v>4875</v>
      </c>
      <c r="K98" s="38">
        <f t="shared" si="3"/>
        <v>4875</v>
      </c>
      <c r="L98" s="39">
        <f t="shared" si="4"/>
        <v>4500</v>
      </c>
      <c r="M98" s="38">
        <f t="shared" si="5"/>
        <v>4312.5</v>
      </c>
      <c r="N98" s="39">
        <f t="shared" si="6"/>
        <v>4125</v>
      </c>
      <c r="O98" s="40"/>
      <c r="P98" s="34"/>
      <c r="Q98" s="35"/>
      <c r="R98" s="35"/>
      <c r="S98" s="35"/>
      <c r="T98" s="35"/>
      <c r="U98" s="35"/>
      <c r="V98" s="35"/>
      <c r="W98" s="35"/>
      <c r="X98" s="35"/>
      <c r="Y98" s="35"/>
      <c r="Z98" s="35"/>
    </row>
    <row r="99" ht="14.25" customHeight="1">
      <c r="A99" s="221"/>
      <c r="B99" s="537" t="s">
        <v>3384</v>
      </c>
      <c r="C99" s="233" t="s">
        <v>3421</v>
      </c>
      <c r="D99" s="212" t="s">
        <v>3420</v>
      </c>
      <c r="E99" s="213"/>
      <c r="F99" s="214"/>
      <c r="G99" s="214">
        <v>4500.0</v>
      </c>
      <c r="H99" s="523">
        <v>44774.0</v>
      </c>
      <c r="I99" s="36">
        <f t="shared" si="1"/>
        <v>6750</v>
      </c>
      <c r="J99" s="37">
        <f t="shared" si="2"/>
        <v>5850</v>
      </c>
      <c r="K99" s="38">
        <f t="shared" si="3"/>
        <v>5850</v>
      </c>
      <c r="L99" s="39">
        <f t="shared" si="4"/>
        <v>5400</v>
      </c>
      <c r="M99" s="38">
        <f t="shared" si="5"/>
        <v>5175</v>
      </c>
      <c r="N99" s="39">
        <f t="shared" si="6"/>
        <v>4950</v>
      </c>
      <c r="O99" s="40"/>
      <c r="P99" s="34"/>
      <c r="Q99" s="35"/>
      <c r="R99" s="35"/>
      <c r="S99" s="35"/>
      <c r="T99" s="35"/>
      <c r="U99" s="35"/>
      <c r="V99" s="35"/>
      <c r="W99" s="35"/>
      <c r="X99" s="35"/>
      <c r="Y99" s="35"/>
      <c r="Z99" s="35"/>
    </row>
    <row r="100" ht="14.25" customHeight="1">
      <c r="A100" s="221"/>
      <c r="B100" s="537" t="s">
        <v>3384</v>
      </c>
      <c r="C100" s="233" t="s">
        <v>3422</v>
      </c>
      <c r="D100" s="212" t="s">
        <v>3415</v>
      </c>
      <c r="E100" s="213"/>
      <c r="F100" s="214"/>
      <c r="G100" s="214">
        <v>6750.0</v>
      </c>
      <c r="H100" s="523">
        <v>44774.0</v>
      </c>
      <c r="I100" s="36">
        <f t="shared" si="1"/>
        <v>10125</v>
      </c>
      <c r="J100" s="37">
        <f t="shared" si="2"/>
        <v>8775</v>
      </c>
      <c r="K100" s="38">
        <f t="shared" si="3"/>
        <v>8775</v>
      </c>
      <c r="L100" s="39">
        <f t="shared" si="4"/>
        <v>8100</v>
      </c>
      <c r="M100" s="38">
        <f t="shared" si="5"/>
        <v>7762.5</v>
      </c>
      <c r="N100" s="39">
        <f t="shared" si="6"/>
        <v>7425</v>
      </c>
      <c r="O100" s="40"/>
      <c r="P100" s="34"/>
      <c r="Q100" s="35"/>
      <c r="R100" s="35"/>
      <c r="S100" s="35"/>
      <c r="T100" s="35"/>
      <c r="U100" s="35"/>
      <c r="V100" s="35"/>
      <c r="W100" s="35"/>
      <c r="X100" s="35"/>
      <c r="Y100" s="35"/>
      <c r="Z100" s="35"/>
    </row>
    <row r="101" ht="14.25" customHeight="1">
      <c r="A101" s="221"/>
      <c r="B101" s="537" t="s">
        <v>3384</v>
      </c>
      <c r="C101" s="233" t="s">
        <v>3423</v>
      </c>
      <c r="D101" s="212" t="s">
        <v>3424</v>
      </c>
      <c r="E101" s="213"/>
      <c r="F101" s="214"/>
      <c r="G101" s="214">
        <v>7650.0</v>
      </c>
      <c r="H101" s="523">
        <v>44774.0</v>
      </c>
      <c r="I101" s="36">
        <f t="shared" si="1"/>
        <v>11475</v>
      </c>
      <c r="J101" s="37">
        <f t="shared" si="2"/>
        <v>9945</v>
      </c>
      <c r="K101" s="38">
        <f t="shared" si="3"/>
        <v>9945</v>
      </c>
      <c r="L101" s="39">
        <f t="shared" si="4"/>
        <v>9180</v>
      </c>
      <c r="M101" s="38">
        <f t="shared" si="5"/>
        <v>8797.5</v>
      </c>
      <c r="N101" s="39">
        <f t="shared" si="6"/>
        <v>8415</v>
      </c>
      <c r="O101" s="40"/>
      <c r="P101" s="34"/>
      <c r="Q101" s="35"/>
      <c r="R101" s="35"/>
      <c r="S101" s="35"/>
      <c r="T101" s="35"/>
      <c r="U101" s="35"/>
      <c r="V101" s="35"/>
      <c r="W101" s="35"/>
      <c r="X101" s="35"/>
      <c r="Y101" s="35"/>
      <c r="Z101" s="35"/>
    </row>
    <row r="102" ht="14.25" customHeight="1">
      <c r="A102" s="221"/>
      <c r="B102" s="537" t="s">
        <v>3384</v>
      </c>
      <c r="C102" s="233" t="s">
        <v>3425</v>
      </c>
      <c r="D102" s="212" t="s">
        <v>3426</v>
      </c>
      <c r="E102" s="213"/>
      <c r="F102" s="214"/>
      <c r="G102" s="214">
        <v>7650.0</v>
      </c>
      <c r="H102" s="523">
        <v>44774.0</v>
      </c>
      <c r="I102" s="36">
        <f t="shared" si="1"/>
        <v>11475</v>
      </c>
      <c r="J102" s="37">
        <f t="shared" si="2"/>
        <v>9945</v>
      </c>
      <c r="K102" s="38">
        <f t="shared" si="3"/>
        <v>9945</v>
      </c>
      <c r="L102" s="39">
        <f t="shared" si="4"/>
        <v>9180</v>
      </c>
      <c r="M102" s="38">
        <f t="shared" si="5"/>
        <v>8797.5</v>
      </c>
      <c r="N102" s="39">
        <f t="shared" si="6"/>
        <v>8415</v>
      </c>
      <c r="O102" s="40"/>
      <c r="P102" s="34"/>
      <c r="Q102" s="35"/>
      <c r="R102" s="35"/>
      <c r="S102" s="35"/>
      <c r="T102" s="35"/>
      <c r="U102" s="35"/>
      <c r="V102" s="35"/>
      <c r="W102" s="35"/>
      <c r="X102" s="35"/>
      <c r="Y102" s="35"/>
      <c r="Z102" s="35"/>
    </row>
    <row r="103" ht="14.25" customHeight="1">
      <c r="A103" s="221"/>
      <c r="B103" s="537" t="s">
        <v>3384</v>
      </c>
      <c r="C103" s="233" t="s">
        <v>3427</v>
      </c>
      <c r="D103" s="212" t="s">
        <v>3428</v>
      </c>
      <c r="E103" s="213"/>
      <c r="F103" s="214"/>
      <c r="G103" s="214">
        <v>9100.0</v>
      </c>
      <c r="H103" s="523">
        <v>44774.0</v>
      </c>
      <c r="I103" s="36">
        <f t="shared" si="1"/>
        <v>13650</v>
      </c>
      <c r="J103" s="37">
        <f t="shared" si="2"/>
        <v>11830</v>
      </c>
      <c r="K103" s="38">
        <f t="shared" si="3"/>
        <v>11830</v>
      </c>
      <c r="L103" s="39">
        <f t="shared" si="4"/>
        <v>10920</v>
      </c>
      <c r="M103" s="38">
        <f t="shared" si="5"/>
        <v>10465</v>
      </c>
      <c r="N103" s="39">
        <f t="shared" si="6"/>
        <v>10010</v>
      </c>
      <c r="O103" s="40"/>
      <c r="P103" s="34"/>
      <c r="Q103" s="35"/>
      <c r="R103" s="35"/>
      <c r="S103" s="35"/>
      <c r="T103" s="35"/>
      <c r="U103" s="35"/>
      <c r="V103" s="35"/>
      <c r="W103" s="35"/>
      <c r="X103" s="35"/>
      <c r="Y103" s="35"/>
      <c r="Z103" s="35"/>
    </row>
    <row r="104" ht="14.25" customHeight="1">
      <c r="A104" s="221"/>
      <c r="B104" s="537" t="s">
        <v>3384</v>
      </c>
      <c r="C104" s="233" t="s">
        <v>3429</v>
      </c>
      <c r="D104" s="212" t="s">
        <v>3430</v>
      </c>
      <c r="E104" s="213"/>
      <c r="F104" s="214"/>
      <c r="G104" s="214">
        <v>8580.0</v>
      </c>
      <c r="H104" s="523">
        <v>44774.0</v>
      </c>
      <c r="I104" s="36">
        <f t="shared" si="1"/>
        <v>12870</v>
      </c>
      <c r="J104" s="37">
        <f t="shared" si="2"/>
        <v>11154</v>
      </c>
      <c r="K104" s="38">
        <f t="shared" si="3"/>
        <v>11154</v>
      </c>
      <c r="L104" s="39">
        <f t="shared" si="4"/>
        <v>10296</v>
      </c>
      <c r="M104" s="38">
        <f t="shared" si="5"/>
        <v>9867</v>
      </c>
      <c r="N104" s="39">
        <f t="shared" si="6"/>
        <v>9438</v>
      </c>
      <c r="O104" s="40"/>
      <c r="P104" s="34"/>
      <c r="Q104" s="35"/>
      <c r="R104" s="35"/>
      <c r="S104" s="35"/>
      <c r="T104" s="35"/>
      <c r="U104" s="35"/>
      <c r="V104" s="35"/>
      <c r="W104" s="35"/>
      <c r="X104" s="35"/>
      <c r="Y104" s="35"/>
      <c r="Z104" s="35"/>
    </row>
    <row r="105" ht="14.25" customHeight="1">
      <c r="A105" s="221"/>
      <c r="B105" s="537" t="s">
        <v>3384</v>
      </c>
      <c r="C105" s="233" t="s">
        <v>3431</v>
      </c>
      <c r="D105" s="212" t="s">
        <v>3432</v>
      </c>
      <c r="E105" s="213"/>
      <c r="F105" s="214"/>
      <c r="G105" s="214">
        <v>12000.0</v>
      </c>
      <c r="H105" s="523">
        <v>44774.0</v>
      </c>
      <c r="I105" s="36">
        <f t="shared" si="1"/>
        <v>18000</v>
      </c>
      <c r="J105" s="37">
        <f t="shared" si="2"/>
        <v>15600</v>
      </c>
      <c r="K105" s="38">
        <f t="shared" si="3"/>
        <v>15600</v>
      </c>
      <c r="L105" s="39">
        <f t="shared" si="4"/>
        <v>14400</v>
      </c>
      <c r="M105" s="38">
        <f t="shared" si="5"/>
        <v>13800</v>
      </c>
      <c r="N105" s="39">
        <f t="shared" si="6"/>
        <v>13200</v>
      </c>
      <c r="O105" s="40"/>
      <c r="P105" s="78"/>
      <c r="Q105" s="35"/>
      <c r="R105" s="35"/>
      <c r="S105" s="35"/>
      <c r="T105" s="35"/>
      <c r="U105" s="35"/>
      <c r="V105" s="35"/>
      <c r="W105" s="35"/>
      <c r="X105" s="35"/>
      <c r="Y105" s="35"/>
      <c r="Z105" s="35"/>
    </row>
    <row r="106" ht="14.25" customHeight="1">
      <c r="A106" s="221"/>
      <c r="B106" s="537" t="s">
        <v>3384</v>
      </c>
      <c r="C106" s="233" t="s">
        <v>3433</v>
      </c>
      <c r="D106" s="212" t="s">
        <v>3428</v>
      </c>
      <c r="E106" s="213"/>
      <c r="F106" s="214"/>
      <c r="G106" s="214">
        <v>9800.0</v>
      </c>
      <c r="H106" s="523">
        <v>44774.0</v>
      </c>
      <c r="I106" s="36">
        <f t="shared" si="1"/>
        <v>14700</v>
      </c>
      <c r="J106" s="37">
        <f t="shared" si="2"/>
        <v>12740</v>
      </c>
      <c r="K106" s="38">
        <f t="shared" si="3"/>
        <v>12740</v>
      </c>
      <c r="L106" s="39">
        <f t="shared" si="4"/>
        <v>11760</v>
      </c>
      <c r="M106" s="38">
        <f t="shared" si="5"/>
        <v>11270</v>
      </c>
      <c r="N106" s="39">
        <f t="shared" si="6"/>
        <v>10780</v>
      </c>
      <c r="O106" s="40"/>
      <c r="P106" s="78"/>
      <c r="Q106" s="35"/>
      <c r="R106" s="35"/>
      <c r="S106" s="35"/>
      <c r="T106" s="35"/>
      <c r="U106" s="35"/>
      <c r="V106" s="35"/>
      <c r="W106" s="35"/>
      <c r="X106" s="35"/>
      <c r="Y106" s="35"/>
      <c r="Z106" s="35"/>
    </row>
    <row r="107" ht="14.25" customHeight="1">
      <c r="A107" s="221"/>
      <c r="B107" s="537" t="s">
        <v>3384</v>
      </c>
      <c r="C107" s="233" t="s">
        <v>3434</v>
      </c>
      <c r="D107" s="212" t="s">
        <v>3428</v>
      </c>
      <c r="E107" s="213"/>
      <c r="F107" s="214"/>
      <c r="G107" s="214">
        <v>8700.0</v>
      </c>
      <c r="H107" s="523">
        <v>44774.0</v>
      </c>
      <c r="I107" s="36">
        <f t="shared" si="1"/>
        <v>13050</v>
      </c>
      <c r="J107" s="37">
        <f t="shared" si="2"/>
        <v>11310</v>
      </c>
      <c r="K107" s="38">
        <f t="shared" si="3"/>
        <v>11310</v>
      </c>
      <c r="L107" s="39">
        <f t="shared" si="4"/>
        <v>10440</v>
      </c>
      <c r="M107" s="38">
        <f t="shared" si="5"/>
        <v>10005</v>
      </c>
      <c r="N107" s="39">
        <f t="shared" si="6"/>
        <v>9570</v>
      </c>
      <c r="O107" s="40"/>
      <c r="P107" s="78"/>
      <c r="Q107" s="35"/>
      <c r="R107" s="35"/>
      <c r="S107" s="35"/>
      <c r="T107" s="35"/>
      <c r="U107" s="35"/>
      <c r="V107" s="35"/>
      <c r="W107" s="35"/>
      <c r="X107" s="35"/>
      <c r="Y107" s="35"/>
      <c r="Z107" s="35"/>
    </row>
    <row r="108" ht="14.25" customHeight="1">
      <c r="A108" s="221"/>
      <c r="B108" s="537" t="s">
        <v>3384</v>
      </c>
      <c r="C108" s="233" t="s">
        <v>3435</v>
      </c>
      <c r="D108" s="212" t="s">
        <v>3436</v>
      </c>
      <c r="E108" s="213"/>
      <c r="F108" s="214"/>
      <c r="G108" s="214">
        <v>10050.0</v>
      </c>
      <c r="H108" s="523">
        <v>44774.0</v>
      </c>
      <c r="I108" s="36">
        <f t="shared" si="1"/>
        <v>15075</v>
      </c>
      <c r="J108" s="37">
        <f t="shared" si="2"/>
        <v>13065</v>
      </c>
      <c r="K108" s="38">
        <f t="shared" si="3"/>
        <v>13065</v>
      </c>
      <c r="L108" s="39">
        <f t="shared" si="4"/>
        <v>12060</v>
      </c>
      <c r="M108" s="38">
        <f t="shared" si="5"/>
        <v>11557.5</v>
      </c>
      <c r="N108" s="39">
        <f t="shared" si="6"/>
        <v>11055</v>
      </c>
      <c r="O108" s="40"/>
      <c r="P108" s="78"/>
      <c r="Q108" s="35"/>
      <c r="R108" s="35"/>
      <c r="S108" s="35"/>
      <c r="T108" s="35"/>
      <c r="U108" s="35"/>
      <c r="V108" s="35"/>
      <c r="W108" s="35"/>
      <c r="X108" s="35"/>
      <c r="Y108" s="35"/>
      <c r="Z108" s="35"/>
    </row>
    <row r="109" ht="14.25" customHeight="1">
      <c r="A109" s="221"/>
      <c r="B109" s="537" t="s">
        <v>3384</v>
      </c>
      <c r="C109" s="233" t="s">
        <v>3437</v>
      </c>
      <c r="D109" s="212" t="s">
        <v>3438</v>
      </c>
      <c r="E109" s="213"/>
      <c r="F109" s="214"/>
      <c r="G109" s="214">
        <v>21800.0</v>
      </c>
      <c r="H109" s="523">
        <v>44774.0</v>
      </c>
      <c r="I109" s="36">
        <f t="shared" si="1"/>
        <v>32700</v>
      </c>
      <c r="J109" s="37">
        <f t="shared" si="2"/>
        <v>28340</v>
      </c>
      <c r="K109" s="38">
        <f t="shared" si="3"/>
        <v>28340</v>
      </c>
      <c r="L109" s="39">
        <f t="shared" si="4"/>
        <v>26160</v>
      </c>
      <c r="M109" s="38">
        <f t="shared" si="5"/>
        <v>25070</v>
      </c>
      <c r="N109" s="39">
        <f t="shared" si="6"/>
        <v>23980</v>
      </c>
      <c r="O109" s="40"/>
      <c r="P109" s="78"/>
      <c r="Q109" s="35"/>
      <c r="R109" s="35"/>
      <c r="S109" s="35"/>
      <c r="T109" s="35"/>
      <c r="U109" s="35"/>
      <c r="V109" s="35"/>
      <c r="W109" s="35"/>
      <c r="X109" s="35"/>
      <c r="Y109" s="35"/>
      <c r="Z109" s="35"/>
    </row>
    <row r="110" ht="14.25" customHeight="1">
      <c r="A110" s="221"/>
      <c r="B110" s="537" t="s">
        <v>3384</v>
      </c>
      <c r="C110" s="233" t="s">
        <v>3439</v>
      </c>
      <c r="D110" s="212" t="s">
        <v>3440</v>
      </c>
      <c r="E110" s="213"/>
      <c r="F110" s="214"/>
      <c r="G110" s="214">
        <v>28705.0</v>
      </c>
      <c r="H110" s="523">
        <v>44774.0</v>
      </c>
      <c r="I110" s="36">
        <f t="shared" si="1"/>
        <v>43057.5</v>
      </c>
      <c r="J110" s="37">
        <f t="shared" si="2"/>
        <v>37316.5</v>
      </c>
      <c r="K110" s="38">
        <f t="shared" si="3"/>
        <v>37316.5</v>
      </c>
      <c r="L110" s="39">
        <f t="shared" si="4"/>
        <v>34446</v>
      </c>
      <c r="M110" s="38">
        <f t="shared" si="5"/>
        <v>33010.75</v>
      </c>
      <c r="N110" s="39">
        <f t="shared" si="6"/>
        <v>31575.5</v>
      </c>
      <c r="O110" s="40"/>
      <c r="P110" s="78"/>
      <c r="Q110" s="35"/>
      <c r="R110" s="35"/>
      <c r="S110" s="35"/>
      <c r="T110" s="35"/>
      <c r="U110" s="35"/>
      <c r="V110" s="35"/>
      <c r="W110" s="35"/>
      <c r="X110" s="35"/>
      <c r="Y110" s="35"/>
      <c r="Z110" s="35"/>
    </row>
    <row r="111" ht="14.25" customHeight="1">
      <c r="A111" s="221"/>
      <c r="B111" s="537" t="s">
        <v>3384</v>
      </c>
      <c r="C111" s="233" t="s">
        <v>3441</v>
      </c>
      <c r="D111" s="212" t="s">
        <v>3442</v>
      </c>
      <c r="E111" s="213"/>
      <c r="F111" s="214"/>
      <c r="G111" s="214">
        <v>9400.0</v>
      </c>
      <c r="H111" s="523">
        <v>44774.0</v>
      </c>
      <c r="I111" s="36">
        <f t="shared" si="1"/>
        <v>14100</v>
      </c>
      <c r="J111" s="37">
        <f t="shared" si="2"/>
        <v>12220</v>
      </c>
      <c r="K111" s="38">
        <f t="shared" si="3"/>
        <v>12220</v>
      </c>
      <c r="L111" s="39">
        <f t="shared" si="4"/>
        <v>11280</v>
      </c>
      <c r="M111" s="38">
        <f t="shared" si="5"/>
        <v>10810</v>
      </c>
      <c r="N111" s="39">
        <f t="shared" si="6"/>
        <v>10340</v>
      </c>
      <c r="O111" s="40"/>
      <c r="P111" s="78"/>
      <c r="Q111" s="35"/>
      <c r="R111" s="35"/>
      <c r="S111" s="35"/>
      <c r="T111" s="35"/>
      <c r="U111" s="35"/>
      <c r="V111" s="35"/>
      <c r="W111" s="35"/>
      <c r="X111" s="35"/>
      <c r="Y111" s="35"/>
      <c r="Z111" s="35"/>
    </row>
    <row r="112" ht="14.25" customHeight="1">
      <c r="A112" s="221"/>
      <c r="B112" s="537" t="s">
        <v>3384</v>
      </c>
      <c r="C112" s="233" t="s">
        <v>3443</v>
      </c>
      <c r="D112" s="212" t="s">
        <v>3444</v>
      </c>
      <c r="E112" s="213"/>
      <c r="F112" s="214"/>
      <c r="G112" s="214">
        <v>2000.0</v>
      </c>
      <c r="H112" s="523">
        <v>44774.0</v>
      </c>
      <c r="I112" s="36">
        <f t="shared" si="1"/>
        <v>3000</v>
      </c>
      <c r="J112" s="37">
        <f t="shared" si="2"/>
        <v>2600</v>
      </c>
      <c r="K112" s="38">
        <f t="shared" si="3"/>
        <v>2600</v>
      </c>
      <c r="L112" s="39">
        <f t="shared" si="4"/>
        <v>2400</v>
      </c>
      <c r="M112" s="38">
        <f t="shared" si="5"/>
        <v>2300</v>
      </c>
      <c r="N112" s="39">
        <f t="shared" si="6"/>
        <v>2200</v>
      </c>
      <c r="O112" s="40"/>
      <c r="P112" s="78"/>
      <c r="Q112" s="35"/>
      <c r="R112" s="35"/>
      <c r="S112" s="35"/>
      <c r="T112" s="35"/>
      <c r="U112" s="35"/>
      <c r="V112" s="35"/>
      <c r="W112" s="35"/>
      <c r="X112" s="35"/>
      <c r="Y112" s="35"/>
      <c r="Z112" s="35"/>
    </row>
    <row r="113" ht="14.25" customHeight="1">
      <c r="A113" s="221"/>
      <c r="B113" s="231"/>
      <c r="C113" s="233"/>
      <c r="D113" s="212"/>
      <c r="E113" s="213"/>
      <c r="F113" s="214"/>
      <c r="G113" s="214"/>
      <c r="H113" s="523"/>
      <c r="I113" s="36">
        <f t="shared" si="1"/>
        <v>0</v>
      </c>
      <c r="J113" s="37">
        <f t="shared" si="2"/>
        <v>0</v>
      </c>
      <c r="K113" s="38">
        <f t="shared" si="3"/>
        <v>0</v>
      </c>
      <c r="L113" s="39">
        <f t="shared" si="4"/>
        <v>0</v>
      </c>
      <c r="M113" s="38">
        <f t="shared" si="5"/>
        <v>0</v>
      </c>
      <c r="N113" s="39">
        <f t="shared" si="6"/>
        <v>0</v>
      </c>
      <c r="O113" s="40"/>
      <c r="P113" s="78"/>
      <c r="Q113" s="35"/>
      <c r="R113" s="35"/>
      <c r="S113" s="35"/>
      <c r="T113" s="35"/>
      <c r="U113" s="35"/>
      <c r="V113" s="35"/>
      <c r="W113" s="35"/>
      <c r="X113" s="35"/>
      <c r="Y113" s="35"/>
      <c r="Z113" s="35"/>
    </row>
    <row r="114" ht="14.25" customHeight="1">
      <c r="A114" s="221"/>
      <c r="B114" s="231"/>
      <c r="C114" s="233"/>
      <c r="D114" s="212"/>
      <c r="E114" s="213"/>
      <c r="F114" s="214"/>
      <c r="G114" s="214"/>
      <c r="H114" s="523"/>
      <c r="I114" s="36">
        <f t="shared" si="1"/>
        <v>0</v>
      </c>
      <c r="J114" s="37">
        <f t="shared" si="2"/>
        <v>0</v>
      </c>
      <c r="K114" s="38">
        <f t="shared" si="3"/>
        <v>0</v>
      </c>
      <c r="L114" s="39">
        <f t="shared" si="4"/>
        <v>0</v>
      </c>
      <c r="M114" s="38">
        <f t="shared" si="5"/>
        <v>0</v>
      </c>
      <c r="N114" s="39">
        <f t="shared" si="6"/>
        <v>0</v>
      </c>
      <c r="O114" s="40"/>
      <c r="P114" s="78"/>
      <c r="Q114" s="35"/>
      <c r="R114" s="35"/>
      <c r="S114" s="35"/>
      <c r="T114" s="35"/>
      <c r="U114" s="35"/>
      <c r="V114" s="35"/>
      <c r="W114" s="35"/>
      <c r="X114" s="35"/>
      <c r="Y114" s="35"/>
      <c r="Z114" s="35"/>
    </row>
    <row r="115" ht="14.25" customHeight="1">
      <c r="A115" s="221"/>
      <c r="B115" s="231"/>
      <c r="C115" s="233"/>
      <c r="D115" s="212"/>
      <c r="E115" s="213"/>
      <c r="F115" s="214"/>
      <c r="G115" s="214"/>
      <c r="H115" s="523"/>
      <c r="I115" s="36">
        <f t="shared" si="1"/>
        <v>0</v>
      </c>
      <c r="J115" s="37">
        <f t="shared" si="2"/>
        <v>0</v>
      </c>
      <c r="K115" s="38">
        <f t="shared" si="3"/>
        <v>0</v>
      </c>
      <c r="L115" s="39">
        <f t="shared" si="4"/>
        <v>0</v>
      </c>
      <c r="M115" s="38">
        <f t="shared" si="5"/>
        <v>0</v>
      </c>
      <c r="N115" s="39">
        <f t="shared" si="6"/>
        <v>0</v>
      </c>
      <c r="O115" s="40"/>
      <c r="P115" s="78"/>
      <c r="Q115" s="35"/>
      <c r="R115" s="35"/>
      <c r="S115" s="35"/>
      <c r="T115" s="35"/>
      <c r="U115" s="35"/>
      <c r="V115" s="35"/>
      <c r="W115" s="35"/>
      <c r="X115" s="35"/>
      <c r="Y115" s="35"/>
      <c r="Z115" s="35"/>
    </row>
    <row r="116" ht="14.25" customHeight="1">
      <c r="A116" s="221"/>
      <c r="B116" s="231"/>
      <c r="C116" s="233"/>
      <c r="D116" s="212"/>
      <c r="E116" s="213"/>
      <c r="F116" s="214"/>
      <c r="G116" s="214"/>
      <c r="H116" s="523"/>
      <c r="I116" s="36">
        <f t="shared" si="1"/>
        <v>0</v>
      </c>
      <c r="J116" s="37">
        <f t="shared" si="2"/>
        <v>0</v>
      </c>
      <c r="K116" s="38">
        <f t="shared" si="3"/>
        <v>0</v>
      </c>
      <c r="L116" s="39">
        <f t="shared" si="4"/>
        <v>0</v>
      </c>
      <c r="M116" s="38">
        <f t="shared" si="5"/>
        <v>0</v>
      </c>
      <c r="N116" s="39">
        <f t="shared" si="6"/>
        <v>0</v>
      </c>
      <c r="O116" s="40"/>
      <c r="P116" s="78"/>
      <c r="Q116" s="35"/>
      <c r="R116" s="35"/>
      <c r="S116" s="35"/>
      <c r="T116" s="35"/>
      <c r="U116" s="35"/>
      <c r="V116" s="35"/>
      <c r="W116" s="35"/>
      <c r="X116" s="35"/>
      <c r="Y116" s="35"/>
      <c r="Z116" s="35"/>
    </row>
    <row r="117" ht="14.25" customHeight="1">
      <c r="A117" s="221"/>
      <c r="B117" s="231"/>
      <c r="C117" s="233"/>
      <c r="D117" s="212"/>
      <c r="E117" s="213"/>
      <c r="F117" s="214"/>
      <c r="G117" s="214"/>
      <c r="H117" s="523"/>
      <c r="I117" s="36">
        <f t="shared" si="1"/>
        <v>0</v>
      </c>
      <c r="J117" s="37">
        <f t="shared" si="2"/>
        <v>0</v>
      </c>
      <c r="K117" s="38">
        <f t="shared" si="3"/>
        <v>0</v>
      </c>
      <c r="L117" s="39">
        <f t="shared" si="4"/>
        <v>0</v>
      </c>
      <c r="M117" s="38">
        <f t="shared" si="5"/>
        <v>0</v>
      </c>
      <c r="N117" s="39">
        <f t="shared" si="6"/>
        <v>0</v>
      </c>
      <c r="O117" s="40"/>
      <c r="P117" s="78"/>
      <c r="Q117" s="35"/>
      <c r="R117" s="35"/>
      <c r="S117" s="35"/>
      <c r="T117" s="35"/>
      <c r="U117" s="35"/>
      <c r="V117" s="35"/>
      <c r="W117" s="35"/>
      <c r="X117" s="35"/>
      <c r="Y117" s="35"/>
      <c r="Z117" s="35"/>
    </row>
    <row r="118" ht="14.25" customHeight="1">
      <c r="A118" s="221"/>
      <c r="B118" s="231"/>
      <c r="C118" s="233"/>
      <c r="D118" s="212"/>
      <c r="E118" s="213"/>
      <c r="F118" s="214"/>
      <c r="G118" s="214"/>
      <c r="H118" s="523"/>
      <c r="I118" s="36">
        <f t="shared" si="1"/>
        <v>0</v>
      </c>
      <c r="J118" s="37">
        <f t="shared" si="2"/>
        <v>0</v>
      </c>
      <c r="K118" s="38">
        <f t="shared" si="3"/>
        <v>0</v>
      </c>
      <c r="L118" s="39">
        <f t="shared" si="4"/>
        <v>0</v>
      </c>
      <c r="M118" s="38">
        <f t="shared" si="5"/>
        <v>0</v>
      </c>
      <c r="N118" s="39">
        <f t="shared" si="6"/>
        <v>0</v>
      </c>
      <c r="O118" s="40"/>
      <c r="P118" s="78"/>
      <c r="Q118" s="35"/>
      <c r="R118" s="35"/>
      <c r="S118" s="35"/>
      <c r="T118" s="35"/>
      <c r="U118" s="35"/>
      <c r="V118" s="35"/>
      <c r="W118" s="35"/>
      <c r="X118" s="35"/>
      <c r="Y118" s="35"/>
      <c r="Z118" s="35"/>
    </row>
    <row r="119" ht="14.25" customHeight="1">
      <c r="A119" s="221"/>
      <c r="B119" s="231"/>
      <c r="C119" s="233"/>
      <c r="D119" s="212"/>
      <c r="E119" s="213"/>
      <c r="F119" s="214"/>
      <c r="G119" s="214"/>
      <c r="H119" s="523"/>
      <c r="I119" s="36">
        <f t="shared" si="1"/>
        <v>0</v>
      </c>
      <c r="J119" s="37">
        <f t="shared" si="2"/>
        <v>0</v>
      </c>
      <c r="K119" s="38">
        <f t="shared" si="3"/>
        <v>0</v>
      </c>
      <c r="L119" s="39">
        <f t="shared" si="4"/>
        <v>0</v>
      </c>
      <c r="M119" s="38">
        <f t="shared" si="5"/>
        <v>0</v>
      </c>
      <c r="N119" s="39">
        <f t="shared" si="6"/>
        <v>0</v>
      </c>
      <c r="O119" s="40"/>
      <c r="P119" s="78"/>
      <c r="Q119" s="35"/>
      <c r="R119" s="35"/>
      <c r="S119" s="35"/>
      <c r="T119" s="35"/>
      <c r="U119" s="35"/>
      <c r="V119" s="35"/>
      <c r="W119" s="35"/>
      <c r="X119" s="35"/>
      <c r="Y119" s="35"/>
      <c r="Z119" s="35"/>
    </row>
    <row r="120" ht="14.25" customHeight="1">
      <c r="A120" s="221"/>
      <c r="B120" s="231"/>
      <c r="C120" s="233"/>
      <c r="D120" s="212"/>
      <c r="E120" s="213"/>
      <c r="F120" s="214"/>
      <c r="G120" s="214"/>
      <c r="H120" s="523"/>
      <c r="I120" s="36">
        <f t="shared" si="1"/>
        <v>0</v>
      </c>
      <c r="J120" s="37">
        <f t="shared" si="2"/>
        <v>0</v>
      </c>
      <c r="K120" s="38">
        <f t="shared" si="3"/>
        <v>0</v>
      </c>
      <c r="L120" s="39">
        <f t="shared" si="4"/>
        <v>0</v>
      </c>
      <c r="M120" s="38">
        <f t="shared" si="5"/>
        <v>0</v>
      </c>
      <c r="N120" s="39">
        <f t="shared" si="6"/>
        <v>0</v>
      </c>
      <c r="O120" s="40"/>
      <c r="P120" s="78"/>
      <c r="Q120" s="35"/>
      <c r="R120" s="35"/>
      <c r="S120" s="35"/>
      <c r="T120" s="35"/>
      <c r="U120" s="35"/>
      <c r="V120" s="35"/>
      <c r="W120" s="35"/>
      <c r="X120" s="35"/>
      <c r="Y120" s="35"/>
      <c r="Z120" s="35"/>
    </row>
    <row r="121" ht="14.25" customHeight="1">
      <c r="A121" s="221"/>
      <c r="B121" s="231"/>
      <c r="C121" s="233"/>
      <c r="D121" s="212"/>
      <c r="E121" s="213"/>
      <c r="F121" s="214"/>
      <c r="G121" s="214"/>
      <c r="H121" s="523"/>
      <c r="I121" s="36">
        <f t="shared" si="1"/>
        <v>0</v>
      </c>
      <c r="J121" s="37">
        <f t="shared" si="2"/>
        <v>0</v>
      </c>
      <c r="K121" s="38">
        <f t="shared" si="3"/>
        <v>0</v>
      </c>
      <c r="L121" s="39">
        <f t="shared" si="4"/>
        <v>0</v>
      </c>
      <c r="M121" s="38">
        <f t="shared" si="5"/>
        <v>0</v>
      </c>
      <c r="N121" s="39">
        <f t="shared" si="6"/>
        <v>0</v>
      </c>
      <c r="O121" s="40"/>
      <c r="P121" s="78"/>
      <c r="Q121" s="35"/>
      <c r="R121" s="35"/>
      <c r="S121" s="35"/>
      <c r="T121" s="35"/>
      <c r="U121" s="35"/>
      <c r="V121" s="35"/>
      <c r="W121" s="35"/>
      <c r="X121" s="35"/>
      <c r="Y121" s="35"/>
      <c r="Z121" s="35"/>
    </row>
    <row r="122" ht="14.25" customHeight="1">
      <c r="A122" s="221"/>
      <c r="B122" s="231"/>
      <c r="C122" s="233"/>
      <c r="D122" s="212"/>
      <c r="E122" s="213"/>
      <c r="F122" s="214"/>
      <c r="G122" s="214"/>
      <c r="H122" s="523"/>
      <c r="I122" s="36">
        <f t="shared" si="1"/>
        <v>0</v>
      </c>
      <c r="J122" s="37">
        <f t="shared" si="2"/>
        <v>0</v>
      </c>
      <c r="K122" s="38">
        <f t="shared" si="3"/>
        <v>0</v>
      </c>
      <c r="L122" s="39">
        <f t="shared" si="4"/>
        <v>0</v>
      </c>
      <c r="M122" s="38">
        <f t="shared" si="5"/>
        <v>0</v>
      </c>
      <c r="N122" s="39">
        <f t="shared" si="6"/>
        <v>0</v>
      </c>
      <c r="O122" s="40"/>
      <c r="P122" s="78"/>
      <c r="Q122" s="35"/>
      <c r="R122" s="35"/>
      <c r="S122" s="35"/>
      <c r="T122" s="35"/>
      <c r="U122" s="35"/>
      <c r="V122" s="35"/>
      <c r="W122" s="35"/>
      <c r="X122" s="35"/>
      <c r="Y122" s="35"/>
      <c r="Z122" s="35"/>
    </row>
    <row r="123" ht="14.25" customHeight="1">
      <c r="A123" s="221"/>
      <c r="B123" s="231"/>
      <c r="C123" s="233"/>
      <c r="D123" s="212"/>
      <c r="E123" s="213"/>
      <c r="F123" s="214"/>
      <c r="G123" s="214"/>
      <c r="H123" s="523"/>
      <c r="I123" s="36">
        <f t="shared" si="1"/>
        <v>0</v>
      </c>
      <c r="J123" s="37">
        <f t="shared" si="2"/>
        <v>0</v>
      </c>
      <c r="K123" s="38">
        <f t="shared" si="3"/>
        <v>0</v>
      </c>
      <c r="L123" s="39">
        <f t="shared" si="4"/>
        <v>0</v>
      </c>
      <c r="M123" s="38">
        <f t="shared" si="5"/>
        <v>0</v>
      </c>
      <c r="N123" s="39">
        <f t="shared" si="6"/>
        <v>0</v>
      </c>
      <c r="O123" s="40"/>
      <c r="P123" s="78"/>
      <c r="Q123" s="35"/>
      <c r="R123" s="35"/>
      <c r="S123" s="35"/>
      <c r="T123" s="35"/>
      <c r="U123" s="35"/>
      <c r="V123" s="35"/>
      <c r="W123" s="35"/>
      <c r="X123" s="35"/>
      <c r="Y123" s="35"/>
      <c r="Z123" s="35"/>
    </row>
    <row r="124" ht="14.25" customHeight="1">
      <c r="A124" s="221"/>
      <c r="B124" s="231"/>
      <c r="C124" s="233"/>
      <c r="D124" s="212"/>
      <c r="E124" s="213"/>
      <c r="F124" s="214"/>
      <c r="G124" s="214"/>
      <c r="H124" s="523"/>
      <c r="I124" s="36">
        <f t="shared" si="1"/>
        <v>0</v>
      </c>
      <c r="J124" s="37">
        <f t="shared" si="2"/>
        <v>0</v>
      </c>
      <c r="K124" s="38">
        <f t="shared" si="3"/>
        <v>0</v>
      </c>
      <c r="L124" s="39">
        <f t="shared" si="4"/>
        <v>0</v>
      </c>
      <c r="M124" s="38">
        <f t="shared" si="5"/>
        <v>0</v>
      </c>
      <c r="N124" s="39">
        <f t="shared" si="6"/>
        <v>0</v>
      </c>
      <c r="O124" s="40"/>
      <c r="P124" s="78"/>
      <c r="Q124" s="35"/>
      <c r="R124" s="35"/>
      <c r="S124" s="35"/>
      <c r="T124" s="35"/>
      <c r="U124" s="35"/>
      <c r="V124" s="35"/>
      <c r="W124" s="35"/>
      <c r="X124" s="35"/>
      <c r="Y124" s="35"/>
      <c r="Z124" s="35"/>
    </row>
    <row r="125" ht="14.25" customHeight="1">
      <c r="A125" s="221"/>
      <c r="B125" s="231"/>
      <c r="C125" s="233"/>
      <c r="D125" s="212"/>
      <c r="E125" s="213"/>
      <c r="F125" s="214"/>
      <c r="G125" s="214"/>
      <c r="H125" s="523"/>
      <c r="I125" s="36">
        <f t="shared" si="1"/>
        <v>0</v>
      </c>
      <c r="J125" s="37">
        <f t="shared" si="2"/>
        <v>0</v>
      </c>
      <c r="K125" s="38">
        <f t="shared" si="3"/>
        <v>0</v>
      </c>
      <c r="L125" s="39">
        <f t="shared" si="4"/>
        <v>0</v>
      </c>
      <c r="M125" s="38">
        <f t="shared" si="5"/>
        <v>0</v>
      </c>
      <c r="N125" s="39">
        <f t="shared" si="6"/>
        <v>0</v>
      </c>
      <c r="O125" s="40"/>
      <c r="P125" s="78"/>
      <c r="Q125" s="35"/>
      <c r="R125" s="35"/>
      <c r="S125" s="35"/>
      <c r="T125" s="35"/>
      <c r="U125" s="35"/>
      <c r="V125" s="35"/>
      <c r="W125" s="35"/>
      <c r="X125" s="35"/>
      <c r="Y125" s="35"/>
      <c r="Z125" s="35"/>
    </row>
    <row r="126" ht="14.25" customHeight="1">
      <c r="A126" s="221"/>
      <c r="B126" s="231"/>
      <c r="C126" s="233"/>
      <c r="D126" s="212"/>
      <c r="E126" s="213"/>
      <c r="F126" s="214"/>
      <c r="G126" s="214"/>
      <c r="H126" s="523"/>
      <c r="I126" s="36">
        <f t="shared" si="1"/>
        <v>0</v>
      </c>
      <c r="J126" s="37">
        <f t="shared" si="2"/>
        <v>0</v>
      </c>
      <c r="K126" s="38">
        <f t="shared" si="3"/>
        <v>0</v>
      </c>
      <c r="L126" s="39">
        <f t="shared" si="4"/>
        <v>0</v>
      </c>
      <c r="M126" s="38">
        <f t="shared" si="5"/>
        <v>0</v>
      </c>
      <c r="N126" s="39">
        <f t="shared" si="6"/>
        <v>0</v>
      </c>
      <c r="O126" s="40"/>
      <c r="P126" s="78"/>
      <c r="Q126" s="35"/>
      <c r="R126" s="35"/>
      <c r="S126" s="35"/>
      <c r="T126" s="35"/>
      <c r="U126" s="35"/>
      <c r="V126" s="35"/>
      <c r="W126" s="35"/>
      <c r="X126" s="35"/>
      <c r="Y126" s="35"/>
      <c r="Z126" s="35"/>
    </row>
    <row r="127" ht="14.25" customHeight="1">
      <c r="A127" s="221"/>
      <c r="B127" s="231"/>
      <c r="C127" s="233"/>
      <c r="D127" s="212"/>
      <c r="E127" s="213"/>
      <c r="F127" s="214"/>
      <c r="G127" s="214"/>
      <c r="H127" s="523"/>
      <c r="I127" s="36">
        <f t="shared" si="1"/>
        <v>0</v>
      </c>
      <c r="J127" s="37">
        <f t="shared" si="2"/>
        <v>0</v>
      </c>
      <c r="K127" s="38">
        <f t="shared" si="3"/>
        <v>0</v>
      </c>
      <c r="L127" s="39">
        <f t="shared" si="4"/>
        <v>0</v>
      </c>
      <c r="M127" s="38">
        <f t="shared" si="5"/>
        <v>0</v>
      </c>
      <c r="N127" s="39">
        <f t="shared" si="6"/>
        <v>0</v>
      </c>
      <c r="O127" s="40"/>
      <c r="P127" s="78"/>
      <c r="Q127" s="35"/>
      <c r="R127" s="35"/>
      <c r="S127" s="35"/>
      <c r="T127" s="35"/>
      <c r="U127" s="35"/>
      <c r="V127" s="35"/>
      <c r="W127" s="35"/>
      <c r="X127" s="35"/>
      <c r="Y127" s="35"/>
      <c r="Z127" s="35"/>
    </row>
    <row r="128" ht="14.25" customHeight="1">
      <c r="A128" s="221"/>
      <c r="B128" s="231"/>
      <c r="C128" s="233"/>
      <c r="D128" s="212"/>
      <c r="E128" s="213"/>
      <c r="F128" s="214"/>
      <c r="G128" s="214"/>
      <c r="H128" s="523"/>
      <c r="I128" s="36">
        <f t="shared" si="1"/>
        <v>0</v>
      </c>
      <c r="J128" s="37">
        <f t="shared" si="2"/>
        <v>0</v>
      </c>
      <c r="K128" s="38">
        <f t="shared" si="3"/>
        <v>0</v>
      </c>
      <c r="L128" s="39">
        <f t="shared" si="4"/>
        <v>0</v>
      </c>
      <c r="M128" s="38">
        <f t="shared" si="5"/>
        <v>0</v>
      </c>
      <c r="N128" s="39">
        <f t="shared" si="6"/>
        <v>0</v>
      </c>
      <c r="O128" s="40"/>
      <c r="P128" s="78"/>
      <c r="Q128" s="35"/>
      <c r="R128" s="35"/>
      <c r="S128" s="35"/>
      <c r="T128" s="35"/>
      <c r="U128" s="35"/>
      <c r="V128" s="35"/>
      <c r="W128" s="35"/>
      <c r="X128" s="35"/>
      <c r="Y128" s="35"/>
      <c r="Z128" s="35"/>
    </row>
    <row r="129" ht="14.25" customHeight="1">
      <c r="A129" s="221"/>
      <c r="B129" s="231"/>
      <c r="C129" s="233"/>
      <c r="D129" s="212"/>
      <c r="E129" s="213"/>
      <c r="F129" s="214"/>
      <c r="G129" s="214"/>
      <c r="H129" s="523"/>
      <c r="I129" s="36">
        <f t="shared" si="1"/>
        <v>0</v>
      </c>
      <c r="J129" s="37">
        <f t="shared" si="2"/>
        <v>0</v>
      </c>
      <c r="K129" s="38">
        <f t="shared" si="3"/>
        <v>0</v>
      </c>
      <c r="L129" s="39">
        <f t="shared" si="4"/>
        <v>0</v>
      </c>
      <c r="M129" s="38">
        <f t="shared" si="5"/>
        <v>0</v>
      </c>
      <c r="N129" s="39">
        <f t="shared" si="6"/>
        <v>0</v>
      </c>
      <c r="O129" s="40"/>
      <c r="P129" s="78"/>
      <c r="Q129" s="35"/>
      <c r="R129" s="35"/>
      <c r="S129" s="35"/>
      <c r="T129" s="35"/>
      <c r="U129" s="35"/>
      <c r="V129" s="35"/>
      <c r="W129" s="35"/>
      <c r="X129" s="35"/>
      <c r="Y129" s="35"/>
      <c r="Z129" s="35"/>
    </row>
    <row r="130" ht="14.25" customHeight="1">
      <c r="A130" s="221"/>
      <c r="B130" s="231"/>
      <c r="C130" s="233"/>
      <c r="D130" s="212"/>
      <c r="E130" s="213"/>
      <c r="F130" s="214"/>
      <c r="G130" s="214"/>
      <c r="H130" s="523"/>
      <c r="I130" s="36">
        <f t="shared" si="1"/>
        <v>0</v>
      </c>
      <c r="J130" s="37">
        <f t="shared" si="2"/>
        <v>0</v>
      </c>
      <c r="K130" s="38">
        <f t="shared" si="3"/>
        <v>0</v>
      </c>
      <c r="L130" s="39">
        <f t="shared" si="4"/>
        <v>0</v>
      </c>
      <c r="M130" s="38">
        <f t="shared" si="5"/>
        <v>0</v>
      </c>
      <c r="N130" s="39">
        <f t="shared" si="6"/>
        <v>0</v>
      </c>
      <c r="O130" s="40"/>
      <c r="P130" s="78"/>
      <c r="Q130" s="35"/>
      <c r="R130" s="35"/>
      <c r="S130" s="35"/>
      <c r="T130" s="35"/>
      <c r="U130" s="35"/>
      <c r="V130" s="35"/>
      <c r="W130" s="35"/>
      <c r="X130" s="35"/>
      <c r="Y130" s="35"/>
      <c r="Z130" s="35"/>
    </row>
    <row r="131" ht="14.25" customHeight="1">
      <c r="A131" s="221"/>
      <c r="B131" s="231"/>
      <c r="C131" s="233"/>
      <c r="D131" s="212"/>
      <c r="E131" s="213"/>
      <c r="F131" s="214"/>
      <c r="G131" s="214"/>
      <c r="H131" s="523"/>
      <c r="I131" s="36">
        <f t="shared" si="1"/>
        <v>0</v>
      </c>
      <c r="J131" s="37">
        <f t="shared" si="2"/>
        <v>0</v>
      </c>
      <c r="K131" s="38">
        <f t="shared" si="3"/>
        <v>0</v>
      </c>
      <c r="L131" s="39">
        <f t="shared" si="4"/>
        <v>0</v>
      </c>
      <c r="M131" s="38">
        <f t="shared" si="5"/>
        <v>0</v>
      </c>
      <c r="N131" s="39">
        <f t="shared" si="6"/>
        <v>0</v>
      </c>
      <c r="O131" s="40"/>
      <c r="P131" s="78"/>
      <c r="Q131" s="35"/>
      <c r="R131" s="35"/>
      <c r="S131" s="35"/>
      <c r="T131" s="35"/>
      <c r="U131" s="35"/>
      <c r="V131" s="35"/>
      <c r="W131" s="35"/>
      <c r="X131" s="35"/>
      <c r="Y131" s="35"/>
      <c r="Z131" s="35"/>
    </row>
    <row r="132" ht="14.25" customHeight="1">
      <c r="A132" s="221"/>
      <c r="B132" s="231"/>
      <c r="C132" s="233"/>
      <c r="D132" s="212"/>
      <c r="E132" s="213"/>
      <c r="F132" s="214"/>
      <c r="G132" s="214"/>
      <c r="H132" s="523"/>
      <c r="I132" s="36">
        <f t="shared" si="1"/>
        <v>0</v>
      </c>
      <c r="J132" s="37">
        <f t="shared" si="2"/>
        <v>0</v>
      </c>
      <c r="K132" s="38">
        <f t="shared" si="3"/>
        <v>0</v>
      </c>
      <c r="L132" s="39">
        <f t="shared" si="4"/>
        <v>0</v>
      </c>
      <c r="M132" s="38">
        <f t="shared" si="5"/>
        <v>0</v>
      </c>
      <c r="N132" s="39">
        <f t="shared" si="6"/>
        <v>0</v>
      </c>
      <c r="O132" s="40"/>
      <c r="P132" s="78"/>
      <c r="Q132" s="35"/>
      <c r="R132" s="35"/>
      <c r="S132" s="35"/>
      <c r="T132" s="35"/>
      <c r="U132" s="35"/>
      <c r="V132" s="35"/>
      <c r="W132" s="35"/>
      <c r="X132" s="35"/>
      <c r="Y132" s="35"/>
      <c r="Z132" s="35"/>
    </row>
    <row r="133" ht="14.25" customHeight="1">
      <c r="A133" s="221"/>
      <c r="B133" s="231"/>
      <c r="C133" s="233"/>
      <c r="D133" s="212"/>
      <c r="E133" s="213"/>
      <c r="F133" s="214"/>
      <c r="G133" s="214"/>
      <c r="H133" s="523"/>
      <c r="I133" s="36">
        <f t="shared" si="1"/>
        <v>0</v>
      </c>
      <c r="J133" s="37">
        <f t="shared" si="2"/>
        <v>0</v>
      </c>
      <c r="K133" s="38">
        <f t="shared" si="3"/>
        <v>0</v>
      </c>
      <c r="L133" s="39">
        <f t="shared" si="4"/>
        <v>0</v>
      </c>
      <c r="M133" s="38">
        <f t="shared" si="5"/>
        <v>0</v>
      </c>
      <c r="N133" s="39">
        <f t="shared" si="6"/>
        <v>0</v>
      </c>
      <c r="O133" s="40"/>
      <c r="P133" s="78"/>
      <c r="Q133" s="35"/>
      <c r="R133" s="35"/>
      <c r="S133" s="35"/>
      <c r="T133" s="35"/>
      <c r="U133" s="35"/>
      <c r="V133" s="35"/>
      <c r="W133" s="35"/>
      <c r="X133" s="35"/>
      <c r="Y133" s="35"/>
      <c r="Z133" s="35"/>
    </row>
    <row r="134" ht="14.25" customHeight="1">
      <c r="A134" s="221"/>
      <c r="B134" s="231"/>
      <c r="C134" s="233"/>
      <c r="D134" s="212"/>
      <c r="E134" s="213"/>
      <c r="F134" s="214"/>
      <c r="G134" s="214"/>
      <c r="H134" s="523"/>
      <c r="I134" s="36">
        <f t="shared" si="1"/>
        <v>0</v>
      </c>
      <c r="J134" s="37">
        <f t="shared" si="2"/>
        <v>0</v>
      </c>
      <c r="K134" s="38">
        <f t="shared" si="3"/>
        <v>0</v>
      </c>
      <c r="L134" s="39">
        <f t="shared" si="4"/>
        <v>0</v>
      </c>
      <c r="M134" s="38">
        <f t="shared" si="5"/>
        <v>0</v>
      </c>
      <c r="N134" s="39">
        <f t="shared" si="6"/>
        <v>0</v>
      </c>
      <c r="O134" s="40"/>
      <c r="P134" s="78"/>
      <c r="Q134" s="35"/>
      <c r="R134" s="35"/>
      <c r="S134" s="35"/>
      <c r="T134" s="35"/>
      <c r="U134" s="35"/>
      <c r="V134" s="35"/>
      <c r="W134" s="35"/>
      <c r="X134" s="35"/>
      <c r="Y134" s="35"/>
      <c r="Z134" s="35"/>
    </row>
    <row r="135" ht="14.25" customHeight="1">
      <c r="A135" s="221"/>
      <c r="B135" s="231"/>
      <c r="C135" s="233"/>
      <c r="D135" s="212"/>
      <c r="E135" s="213"/>
      <c r="F135" s="214"/>
      <c r="G135" s="214"/>
      <c r="H135" s="523"/>
      <c r="I135" s="36">
        <f t="shared" si="1"/>
        <v>0</v>
      </c>
      <c r="J135" s="37">
        <f t="shared" si="2"/>
        <v>0</v>
      </c>
      <c r="K135" s="38">
        <f t="shared" si="3"/>
        <v>0</v>
      </c>
      <c r="L135" s="39">
        <f t="shared" si="4"/>
        <v>0</v>
      </c>
      <c r="M135" s="38">
        <f t="shared" si="5"/>
        <v>0</v>
      </c>
      <c r="N135" s="39">
        <f t="shared" si="6"/>
        <v>0</v>
      </c>
      <c r="O135" s="40"/>
      <c r="P135" s="78"/>
      <c r="Q135" s="35"/>
      <c r="R135" s="35"/>
      <c r="S135" s="35"/>
      <c r="T135" s="35"/>
      <c r="U135" s="35"/>
      <c r="V135" s="35"/>
      <c r="W135" s="35"/>
      <c r="X135" s="35"/>
      <c r="Y135" s="35"/>
      <c r="Z135" s="35"/>
    </row>
    <row r="136" ht="14.25" customHeight="1">
      <c r="A136" s="221"/>
      <c r="B136" s="231"/>
      <c r="C136" s="233"/>
      <c r="D136" s="212"/>
      <c r="E136" s="213"/>
      <c r="F136" s="214"/>
      <c r="G136" s="214"/>
      <c r="H136" s="523"/>
      <c r="I136" s="36">
        <f t="shared" si="1"/>
        <v>0</v>
      </c>
      <c r="J136" s="37">
        <f t="shared" si="2"/>
        <v>0</v>
      </c>
      <c r="K136" s="38">
        <f t="shared" si="3"/>
        <v>0</v>
      </c>
      <c r="L136" s="39">
        <f t="shared" si="4"/>
        <v>0</v>
      </c>
      <c r="M136" s="38">
        <f t="shared" si="5"/>
        <v>0</v>
      </c>
      <c r="N136" s="39">
        <f t="shared" si="6"/>
        <v>0</v>
      </c>
      <c r="O136" s="40"/>
      <c r="P136" s="78"/>
      <c r="Q136" s="35"/>
      <c r="R136" s="35"/>
      <c r="S136" s="35"/>
      <c r="T136" s="35"/>
      <c r="U136" s="35"/>
      <c r="V136" s="35"/>
      <c r="W136" s="35"/>
      <c r="X136" s="35"/>
      <c r="Y136" s="35"/>
      <c r="Z136" s="35"/>
    </row>
    <row r="137" ht="14.25" customHeight="1">
      <c r="A137" s="221"/>
      <c r="B137" s="231"/>
      <c r="C137" s="233"/>
      <c r="D137" s="212"/>
      <c r="E137" s="213"/>
      <c r="F137" s="214"/>
      <c r="G137" s="214"/>
      <c r="H137" s="523"/>
      <c r="I137" s="36">
        <f t="shared" si="1"/>
        <v>0</v>
      </c>
      <c r="J137" s="37">
        <f t="shared" si="2"/>
        <v>0</v>
      </c>
      <c r="K137" s="38">
        <f t="shared" si="3"/>
        <v>0</v>
      </c>
      <c r="L137" s="39">
        <f t="shared" si="4"/>
        <v>0</v>
      </c>
      <c r="M137" s="38">
        <f t="shared" si="5"/>
        <v>0</v>
      </c>
      <c r="N137" s="39">
        <f t="shared" si="6"/>
        <v>0</v>
      </c>
      <c r="O137" s="40"/>
      <c r="P137" s="78"/>
      <c r="Q137" s="35"/>
      <c r="R137" s="35"/>
      <c r="S137" s="35"/>
      <c r="T137" s="35"/>
      <c r="U137" s="35"/>
      <c r="V137" s="35"/>
      <c r="W137" s="35"/>
      <c r="X137" s="35"/>
      <c r="Y137" s="35"/>
      <c r="Z137" s="35"/>
    </row>
    <row r="138" ht="14.25" customHeight="1">
      <c r="A138" s="221"/>
      <c r="B138" s="231"/>
      <c r="C138" s="233"/>
      <c r="D138" s="212"/>
      <c r="E138" s="213"/>
      <c r="F138" s="214"/>
      <c r="G138" s="214"/>
      <c r="H138" s="523"/>
      <c r="I138" s="36">
        <f t="shared" si="1"/>
        <v>0</v>
      </c>
      <c r="J138" s="37">
        <f t="shared" si="2"/>
        <v>0</v>
      </c>
      <c r="K138" s="38">
        <f t="shared" si="3"/>
        <v>0</v>
      </c>
      <c r="L138" s="39">
        <f t="shared" si="4"/>
        <v>0</v>
      </c>
      <c r="M138" s="38">
        <f t="shared" si="5"/>
        <v>0</v>
      </c>
      <c r="N138" s="39">
        <f t="shared" si="6"/>
        <v>0</v>
      </c>
      <c r="O138" s="40"/>
      <c r="P138" s="78"/>
      <c r="Q138" s="35"/>
      <c r="R138" s="35"/>
      <c r="S138" s="35"/>
      <c r="T138" s="35"/>
      <c r="U138" s="35"/>
      <c r="V138" s="35"/>
      <c r="W138" s="35"/>
      <c r="X138" s="35"/>
      <c r="Y138" s="35"/>
      <c r="Z138" s="35"/>
    </row>
    <row r="139" ht="14.25" customHeight="1">
      <c r="A139" s="221"/>
      <c r="B139" s="231"/>
      <c r="C139" s="233"/>
      <c r="D139" s="212"/>
      <c r="E139" s="213"/>
      <c r="F139" s="214"/>
      <c r="G139" s="214"/>
      <c r="H139" s="523"/>
      <c r="I139" s="36">
        <f t="shared" si="1"/>
        <v>0</v>
      </c>
      <c r="J139" s="37">
        <f t="shared" si="2"/>
        <v>0</v>
      </c>
      <c r="K139" s="38">
        <f t="shared" si="3"/>
        <v>0</v>
      </c>
      <c r="L139" s="39">
        <f t="shared" si="4"/>
        <v>0</v>
      </c>
      <c r="M139" s="38">
        <f t="shared" si="5"/>
        <v>0</v>
      </c>
      <c r="N139" s="39">
        <f t="shared" si="6"/>
        <v>0</v>
      </c>
      <c r="O139" s="40"/>
      <c r="P139" s="78"/>
      <c r="Q139" s="35"/>
      <c r="R139" s="35"/>
      <c r="S139" s="35"/>
      <c r="T139" s="35"/>
      <c r="U139" s="35"/>
      <c r="V139" s="35"/>
      <c r="W139" s="35"/>
      <c r="X139" s="35"/>
      <c r="Y139" s="35"/>
      <c r="Z139" s="35"/>
    </row>
    <row r="140" ht="14.25" customHeight="1">
      <c r="A140" s="221"/>
      <c r="B140" s="231"/>
      <c r="C140" s="233"/>
      <c r="D140" s="212"/>
      <c r="E140" s="213"/>
      <c r="F140" s="214"/>
      <c r="G140" s="214"/>
      <c r="H140" s="523"/>
      <c r="I140" s="36">
        <f t="shared" si="1"/>
        <v>0</v>
      </c>
      <c r="J140" s="37">
        <f t="shared" si="2"/>
        <v>0</v>
      </c>
      <c r="K140" s="38">
        <f t="shared" si="3"/>
        <v>0</v>
      </c>
      <c r="L140" s="39">
        <f t="shared" si="4"/>
        <v>0</v>
      </c>
      <c r="M140" s="38">
        <f t="shared" si="5"/>
        <v>0</v>
      </c>
      <c r="N140" s="39">
        <f t="shared" si="6"/>
        <v>0</v>
      </c>
      <c r="O140" s="40"/>
      <c r="P140" s="78"/>
      <c r="Q140" s="35"/>
      <c r="R140" s="35"/>
      <c r="S140" s="35"/>
      <c r="T140" s="35"/>
      <c r="U140" s="35"/>
      <c r="V140" s="35"/>
      <c r="W140" s="35"/>
      <c r="X140" s="35"/>
      <c r="Y140" s="35"/>
      <c r="Z140" s="35"/>
    </row>
    <row r="141" ht="14.25" customHeight="1">
      <c r="A141" s="221"/>
      <c r="B141" s="231"/>
      <c r="C141" s="233"/>
      <c r="D141" s="212"/>
      <c r="E141" s="213"/>
      <c r="F141" s="214"/>
      <c r="G141" s="214"/>
      <c r="H141" s="523"/>
      <c r="I141" s="36">
        <f t="shared" si="1"/>
        <v>0</v>
      </c>
      <c r="J141" s="37">
        <f t="shared" si="2"/>
        <v>0</v>
      </c>
      <c r="K141" s="38">
        <f t="shared" si="3"/>
        <v>0</v>
      </c>
      <c r="L141" s="39">
        <f t="shared" si="4"/>
        <v>0</v>
      </c>
      <c r="M141" s="38">
        <f t="shared" si="5"/>
        <v>0</v>
      </c>
      <c r="N141" s="39">
        <f t="shared" si="6"/>
        <v>0</v>
      </c>
      <c r="O141" s="40"/>
      <c r="P141" s="78"/>
      <c r="Q141" s="35"/>
      <c r="R141" s="35"/>
      <c r="S141" s="35"/>
      <c r="T141" s="35"/>
      <c r="U141" s="35"/>
      <c r="V141" s="35"/>
      <c r="W141" s="35"/>
      <c r="X141" s="35"/>
      <c r="Y141" s="35"/>
      <c r="Z141" s="35"/>
    </row>
    <row r="142" ht="14.25" customHeight="1">
      <c r="A142" s="221"/>
      <c r="B142" s="231"/>
      <c r="C142" s="233"/>
      <c r="D142" s="212"/>
      <c r="E142" s="213"/>
      <c r="F142" s="214"/>
      <c r="G142" s="214"/>
      <c r="H142" s="523"/>
      <c r="I142" s="36">
        <f t="shared" si="1"/>
        <v>0</v>
      </c>
      <c r="J142" s="37">
        <f t="shared" si="2"/>
        <v>0</v>
      </c>
      <c r="K142" s="38">
        <f t="shared" si="3"/>
        <v>0</v>
      </c>
      <c r="L142" s="39">
        <f t="shared" si="4"/>
        <v>0</v>
      </c>
      <c r="M142" s="38">
        <f t="shared" si="5"/>
        <v>0</v>
      </c>
      <c r="N142" s="39">
        <f t="shared" si="6"/>
        <v>0</v>
      </c>
      <c r="O142" s="40"/>
      <c r="P142" s="78"/>
      <c r="Q142" s="35"/>
      <c r="R142" s="35"/>
      <c r="S142" s="35"/>
      <c r="T142" s="35"/>
      <c r="U142" s="35"/>
      <c r="V142" s="35"/>
      <c r="W142" s="35"/>
      <c r="X142" s="35"/>
      <c r="Y142" s="35"/>
      <c r="Z142" s="35"/>
    </row>
    <row r="143" ht="14.25" customHeight="1">
      <c r="A143" s="221"/>
      <c r="B143" s="231"/>
      <c r="C143" s="233"/>
      <c r="D143" s="212"/>
      <c r="E143" s="213"/>
      <c r="F143" s="214"/>
      <c r="G143" s="214"/>
      <c r="H143" s="523"/>
      <c r="I143" s="36">
        <f t="shared" si="1"/>
        <v>0</v>
      </c>
      <c r="J143" s="37">
        <f t="shared" si="2"/>
        <v>0</v>
      </c>
      <c r="K143" s="38">
        <f t="shared" si="3"/>
        <v>0</v>
      </c>
      <c r="L143" s="39">
        <f t="shared" si="4"/>
        <v>0</v>
      </c>
      <c r="M143" s="38">
        <f t="shared" si="5"/>
        <v>0</v>
      </c>
      <c r="N143" s="39">
        <f t="shared" si="6"/>
        <v>0</v>
      </c>
      <c r="O143" s="40"/>
      <c r="P143" s="78"/>
      <c r="Q143" s="35"/>
      <c r="R143" s="35"/>
      <c r="S143" s="35"/>
      <c r="T143" s="35"/>
      <c r="U143" s="35"/>
      <c r="V143" s="35"/>
      <c r="W143" s="35"/>
      <c r="X143" s="35"/>
      <c r="Y143" s="35"/>
      <c r="Z143" s="35"/>
    </row>
    <row r="144" ht="14.25" customHeight="1">
      <c r="A144" s="221"/>
      <c r="B144" s="231"/>
      <c r="C144" s="233"/>
      <c r="D144" s="212"/>
      <c r="E144" s="213"/>
      <c r="F144" s="214"/>
      <c r="G144" s="214"/>
      <c r="H144" s="523"/>
      <c r="I144" s="36">
        <f t="shared" si="1"/>
        <v>0</v>
      </c>
      <c r="J144" s="37">
        <f t="shared" si="2"/>
        <v>0</v>
      </c>
      <c r="K144" s="38">
        <f t="shared" si="3"/>
        <v>0</v>
      </c>
      <c r="L144" s="39">
        <f t="shared" si="4"/>
        <v>0</v>
      </c>
      <c r="M144" s="38">
        <f t="shared" si="5"/>
        <v>0</v>
      </c>
      <c r="N144" s="39">
        <f t="shared" si="6"/>
        <v>0</v>
      </c>
      <c r="O144" s="40"/>
      <c r="P144" s="78"/>
      <c r="Q144" s="35"/>
      <c r="R144" s="35"/>
      <c r="S144" s="35"/>
      <c r="T144" s="35"/>
      <c r="U144" s="35"/>
      <c r="V144" s="35"/>
      <c r="W144" s="35"/>
      <c r="X144" s="35"/>
      <c r="Y144" s="35"/>
      <c r="Z144" s="35"/>
    </row>
    <row r="145" ht="14.25" customHeight="1">
      <c r="A145" s="221"/>
      <c r="B145" s="231"/>
      <c r="C145" s="233"/>
      <c r="D145" s="212"/>
      <c r="E145" s="213"/>
      <c r="F145" s="214"/>
      <c r="G145" s="214"/>
      <c r="H145" s="523"/>
      <c r="I145" s="36">
        <f t="shared" si="1"/>
        <v>0</v>
      </c>
      <c r="J145" s="37">
        <f t="shared" si="2"/>
        <v>0</v>
      </c>
      <c r="K145" s="38">
        <f t="shared" si="3"/>
        <v>0</v>
      </c>
      <c r="L145" s="39">
        <f t="shared" si="4"/>
        <v>0</v>
      </c>
      <c r="M145" s="38">
        <f t="shared" si="5"/>
        <v>0</v>
      </c>
      <c r="N145" s="39">
        <f t="shared" si="6"/>
        <v>0</v>
      </c>
      <c r="O145" s="40"/>
      <c r="P145" s="78"/>
      <c r="Q145" s="35"/>
      <c r="R145" s="35"/>
      <c r="S145" s="35"/>
      <c r="T145" s="35"/>
      <c r="U145" s="35"/>
      <c r="V145" s="35"/>
      <c r="W145" s="35"/>
      <c r="X145" s="35"/>
      <c r="Y145" s="35"/>
      <c r="Z145" s="35"/>
    </row>
    <row r="146" ht="14.25" customHeight="1">
      <c r="A146" s="221"/>
      <c r="B146" s="231"/>
      <c r="C146" s="233"/>
      <c r="D146" s="212"/>
      <c r="E146" s="213"/>
      <c r="F146" s="214"/>
      <c r="G146" s="214"/>
      <c r="H146" s="523"/>
      <c r="I146" s="36">
        <f t="shared" si="1"/>
        <v>0</v>
      </c>
      <c r="J146" s="37">
        <f t="shared" si="2"/>
        <v>0</v>
      </c>
      <c r="K146" s="38">
        <f t="shared" si="3"/>
        <v>0</v>
      </c>
      <c r="L146" s="39">
        <f t="shared" si="4"/>
        <v>0</v>
      </c>
      <c r="M146" s="38">
        <f t="shared" si="5"/>
        <v>0</v>
      </c>
      <c r="N146" s="39">
        <f t="shared" si="6"/>
        <v>0</v>
      </c>
      <c r="O146" s="40"/>
      <c r="P146" s="78"/>
      <c r="Q146" s="35"/>
      <c r="R146" s="35"/>
      <c r="S146" s="35"/>
      <c r="T146" s="35"/>
      <c r="U146" s="35"/>
      <c r="V146" s="35"/>
      <c r="W146" s="35"/>
      <c r="X146" s="35"/>
      <c r="Y146" s="35"/>
      <c r="Z146" s="35"/>
    </row>
    <row r="147" ht="14.25" customHeight="1">
      <c r="A147" s="221"/>
      <c r="B147" s="231"/>
      <c r="C147" s="233"/>
      <c r="D147" s="212"/>
      <c r="E147" s="213"/>
      <c r="F147" s="214"/>
      <c r="G147" s="214"/>
      <c r="H147" s="523"/>
      <c r="I147" s="36">
        <f t="shared" si="1"/>
        <v>0</v>
      </c>
      <c r="J147" s="37">
        <f t="shared" si="2"/>
        <v>0</v>
      </c>
      <c r="K147" s="38">
        <f t="shared" si="3"/>
        <v>0</v>
      </c>
      <c r="L147" s="39">
        <f t="shared" si="4"/>
        <v>0</v>
      </c>
      <c r="M147" s="38">
        <f t="shared" si="5"/>
        <v>0</v>
      </c>
      <c r="N147" s="39">
        <f t="shared" si="6"/>
        <v>0</v>
      </c>
      <c r="O147" s="40"/>
      <c r="P147" s="78"/>
      <c r="Q147" s="35"/>
      <c r="R147" s="35"/>
      <c r="S147" s="35"/>
      <c r="T147" s="35"/>
      <c r="U147" s="35"/>
      <c r="V147" s="35"/>
      <c r="W147" s="35"/>
      <c r="X147" s="35"/>
      <c r="Y147" s="35"/>
      <c r="Z147" s="35"/>
    </row>
    <row r="148" ht="14.25" customHeight="1">
      <c r="A148" s="221"/>
      <c r="B148" s="231"/>
      <c r="C148" s="233"/>
      <c r="D148" s="212"/>
      <c r="E148" s="213"/>
      <c r="F148" s="214"/>
      <c r="G148" s="214"/>
      <c r="H148" s="523"/>
      <c r="I148" s="36">
        <f t="shared" si="1"/>
        <v>0</v>
      </c>
      <c r="J148" s="37">
        <f t="shared" si="2"/>
        <v>0</v>
      </c>
      <c r="K148" s="38">
        <f t="shared" si="3"/>
        <v>0</v>
      </c>
      <c r="L148" s="39">
        <f t="shared" si="4"/>
        <v>0</v>
      </c>
      <c r="M148" s="38">
        <f t="shared" si="5"/>
        <v>0</v>
      </c>
      <c r="N148" s="39">
        <f t="shared" si="6"/>
        <v>0</v>
      </c>
      <c r="O148" s="40"/>
      <c r="P148" s="34"/>
      <c r="Q148" s="35"/>
      <c r="R148" s="35"/>
      <c r="S148" s="35"/>
      <c r="T148" s="35"/>
      <c r="U148" s="35"/>
      <c r="V148" s="35"/>
      <c r="W148" s="35"/>
      <c r="X148" s="35"/>
      <c r="Y148" s="35"/>
      <c r="Z148" s="35"/>
    </row>
    <row r="149" ht="14.25" customHeight="1">
      <c r="A149" s="221"/>
      <c r="B149" s="231"/>
      <c r="C149" s="233"/>
      <c r="D149" s="212"/>
      <c r="E149" s="213"/>
      <c r="F149" s="214"/>
      <c r="G149" s="214"/>
      <c r="H149" s="523"/>
      <c r="I149" s="36">
        <f t="shared" si="1"/>
        <v>0</v>
      </c>
      <c r="J149" s="37">
        <f t="shared" si="2"/>
        <v>0</v>
      </c>
      <c r="K149" s="38">
        <f t="shared" si="3"/>
        <v>0</v>
      </c>
      <c r="L149" s="39">
        <f t="shared" si="4"/>
        <v>0</v>
      </c>
      <c r="M149" s="38">
        <f t="shared" si="5"/>
        <v>0</v>
      </c>
      <c r="N149" s="39">
        <f t="shared" si="6"/>
        <v>0</v>
      </c>
      <c r="O149" s="40"/>
      <c r="P149" s="34"/>
      <c r="Q149" s="35"/>
      <c r="R149" s="35"/>
      <c r="S149" s="35"/>
      <c r="T149" s="35"/>
      <c r="U149" s="35"/>
      <c r="V149" s="35"/>
      <c r="W149" s="35"/>
      <c r="X149" s="35"/>
      <c r="Y149" s="35"/>
      <c r="Z149" s="35"/>
    </row>
    <row r="150" ht="14.25" customHeight="1">
      <c r="A150" s="221"/>
      <c r="B150" s="231"/>
      <c r="C150" s="233"/>
      <c r="D150" s="212"/>
      <c r="E150" s="213"/>
      <c r="F150" s="214"/>
      <c r="G150" s="214"/>
      <c r="H150" s="523"/>
      <c r="I150" s="36">
        <f t="shared" si="1"/>
        <v>0</v>
      </c>
      <c r="J150" s="37">
        <f t="shared" si="2"/>
        <v>0</v>
      </c>
      <c r="K150" s="38">
        <f t="shared" si="3"/>
        <v>0</v>
      </c>
      <c r="L150" s="39">
        <f t="shared" si="4"/>
        <v>0</v>
      </c>
      <c r="M150" s="38">
        <f t="shared" si="5"/>
        <v>0</v>
      </c>
      <c r="N150" s="39">
        <f t="shared" si="6"/>
        <v>0</v>
      </c>
      <c r="O150" s="40"/>
      <c r="P150" s="34"/>
      <c r="Q150" s="35"/>
      <c r="R150" s="35"/>
      <c r="S150" s="35"/>
      <c r="T150" s="35"/>
      <c r="U150" s="35"/>
      <c r="V150" s="35"/>
      <c r="W150" s="35"/>
      <c r="X150" s="35"/>
      <c r="Y150" s="35"/>
      <c r="Z150" s="35"/>
    </row>
    <row r="151" ht="14.25" customHeight="1">
      <c r="A151" s="221"/>
      <c r="B151" s="231"/>
      <c r="C151" s="233"/>
      <c r="D151" s="212"/>
      <c r="E151" s="213"/>
      <c r="F151" s="214"/>
      <c r="G151" s="214"/>
      <c r="H151" s="523"/>
      <c r="I151" s="36">
        <f t="shared" si="1"/>
        <v>0</v>
      </c>
      <c r="J151" s="37">
        <f t="shared" si="2"/>
        <v>0</v>
      </c>
      <c r="K151" s="38">
        <f t="shared" si="3"/>
        <v>0</v>
      </c>
      <c r="L151" s="39">
        <f t="shared" si="4"/>
        <v>0</v>
      </c>
      <c r="M151" s="38">
        <f t="shared" si="5"/>
        <v>0</v>
      </c>
      <c r="N151" s="39">
        <f t="shared" si="6"/>
        <v>0</v>
      </c>
      <c r="O151" s="40"/>
      <c r="P151" s="34"/>
      <c r="Q151" s="35"/>
      <c r="R151" s="35"/>
      <c r="S151" s="35"/>
      <c r="T151" s="35"/>
      <c r="U151" s="35"/>
      <c r="V151" s="35"/>
      <c r="W151" s="35"/>
      <c r="X151" s="35"/>
      <c r="Y151" s="35"/>
      <c r="Z151" s="35"/>
    </row>
    <row r="152" ht="14.25" customHeight="1">
      <c r="A152" s="221"/>
      <c r="B152" s="231"/>
      <c r="C152" s="233"/>
      <c r="D152" s="212"/>
      <c r="E152" s="213"/>
      <c r="F152" s="214"/>
      <c r="G152" s="214"/>
      <c r="H152" s="523"/>
      <c r="I152" s="36">
        <f t="shared" si="1"/>
        <v>0</v>
      </c>
      <c r="J152" s="37">
        <f t="shared" si="2"/>
        <v>0</v>
      </c>
      <c r="K152" s="38">
        <f t="shared" si="3"/>
        <v>0</v>
      </c>
      <c r="L152" s="39">
        <f t="shared" si="4"/>
        <v>0</v>
      </c>
      <c r="M152" s="38">
        <f t="shared" si="5"/>
        <v>0</v>
      </c>
      <c r="N152" s="39">
        <f t="shared" si="6"/>
        <v>0</v>
      </c>
      <c r="O152" s="40"/>
      <c r="P152" s="34"/>
      <c r="Q152" s="35"/>
      <c r="R152" s="35"/>
      <c r="S152" s="35"/>
      <c r="T152" s="35"/>
      <c r="U152" s="35"/>
      <c r="V152" s="35"/>
      <c r="W152" s="35"/>
      <c r="X152" s="35"/>
      <c r="Y152" s="35"/>
      <c r="Z152" s="35"/>
    </row>
    <row r="153" ht="14.25" customHeight="1">
      <c r="A153" s="221"/>
      <c r="B153" s="231"/>
      <c r="C153" s="233"/>
      <c r="D153" s="212"/>
      <c r="E153" s="213"/>
      <c r="F153" s="214"/>
      <c r="G153" s="214"/>
      <c r="H153" s="523"/>
      <c r="I153" s="36">
        <f t="shared" si="1"/>
        <v>0</v>
      </c>
      <c r="J153" s="37">
        <f t="shared" si="2"/>
        <v>0</v>
      </c>
      <c r="K153" s="38">
        <f t="shared" si="3"/>
        <v>0</v>
      </c>
      <c r="L153" s="39">
        <f t="shared" si="4"/>
        <v>0</v>
      </c>
      <c r="M153" s="38">
        <f t="shared" si="5"/>
        <v>0</v>
      </c>
      <c r="N153" s="39">
        <f t="shared" si="6"/>
        <v>0</v>
      </c>
      <c r="O153" s="40"/>
      <c r="P153" s="34"/>
      <c r="Q153" s="35"/>
      <c r="R153" s="35"/>
      <c r="S153" s="35"/>
      <c r="T153" s="35"/>
      <c r="U153" s="35"/>
      <c r="V153" s="35"/>
      <c r="W153" s="35"/>
      <c r="X153" s="35"/>
      <c r="Y153" s="35"/>
      <c r="Z153" s="35"/>
    </row>
    <row r="154" ht="14.25" customHeight="1">
      <c r="A154" s="221"/>
      <c r="B154" s="231"/>
      <c r="C154" s="233"/>
      <c r="D154" s="212"/>
      <c r="E154" s="213"/>
      <c r="F154" s="214"/>
      <c r="G154" s="214"/>
      <c r="H154" s="523"/>
      <c r="I154" s="36">
        <f t="shared" si="1"/>
        <v>0</v>
      </c>
      <c r="J154" s="37">
        <f t="shared" si="2"/>
        <v>0</v>
      </c>
      <c r="K154" s="38">
        <f t="shared" si="3"/>
        <v>0</v>
      </c>
      <c r="L154" s="39">
        <f t="shared" si="4"/>
        <v>0</v>
      </c>
      <c r="M154" s="38">
        <f t="shared" si="5"/>
        <v>0</v>
      </c>
      <c r="N154" s="39">
        <f t="shared" si="6"/>
        <v>0</v>
      </c>
      <c r="O154" s="40"/>
      <c r="P154" s="78"/>
      <c r="Q154" s="35"/>
      <c r="R154" s="35"/>
      <c r="S154" s="35"/>
      <c r="T154" s="35"/>
      <c r="U154" s="35"/>
      <c r="V154" s="35"/>
      <c r="W154" s="35"/>
      <c r="X154" s="35"/>
      <c r="Y154" s="35"/>
      <c r="Z154" s="35"/>
    </row>
    <row r="155" ht="14.25" customHeight="1">
      <c r="A155" s="221"/>
      <c r="B155" s="231"/>
      <c r="C155" s="233"/>
      <c r="D155" s="212"/>
      <c r="E155" s="213"/>
      <c r="F155" s="214"/>
      <c r="G155" s="214"/>
      <c r="H155" s="523"/>
      <c r="I155" s="36">
        <f t="shared" si="1"/>
        <v>0</v>
      </c>
      <c r="J155" s="37">
        <f t="shared" si="2"/>
        <v>0</v>
      </c>
      <c r="K155" s="38">
        <f t="shared" si="3"/>
        <v>0</v>
      </c>
      <c r="L155" s="39">
        <f t="shared" si="4"/>
        <v>0</v>
      </c>
      <c r="M155" s="38">
        <f t="shared" si="5"/>
        <v>0</v>
      </c>
      <c r="N155" s="39">
        <f t="shared" si="6"/>
        <v>0</v>
      </c>
      <c r="O155" s="40"/>
      <c r="P155" s="78"/>
      <c r="Q155" s="35"/>
      <c r="R155" s="35"/>
      <c r="S155" s="35"/>
      <c r="T155" s="35"/>
      <c r="U155" s="35"/>
      <c r="V155" s="35"/>
      <c r="W155" s="35"/>
      <c r="X155" s="35"/>
      <c r="Y155" s="35"/>
      <c r="Z155" s="35"/>
    </row>
    <row r="156" ht="14.25" customHeight="1">
      <c r="A156" s="221"/>
      <c r="B156" s="231"/>
      <c r="C156" s="233"/>
      <c r="D156" s="212"/>
      <c r="E156" s="213"/>
      <c r="F156" s="214"/>
      <c r="G156" s="214"/>
      <c r="H156" s="523"/>
      <c r="I156" s="36">
        <f t="shared" si="1"/>
        <v>0</v>
      </c>
      <c r="J156" s="37">
        <f t="shared" si="2"/>
        <v>0</v>
      </c>
      <c r="K156" s="38">
        <f t="shared" si="3"/>
        <v>0</v>
      </c>
      <c r="L156" s="39">
        <f t="shared" si="4"/>
        <v>0</v>
      </c>
      <c r="M156" s="38">
        <f t="shared" si="5"/>
        <v>0</v>
      </c>
      <c r="N156" s="39">
        <f t="shared" si="6"/>
        <v>0</v>
      </c>
      <c r="O156" s="40"/>
      <c r="P156" s="78"/>
      <c r="Q156" s="35"/>
      <c r="R156" s="35"/>
      <c r="S156" s="35"/>
      <c r="T156" s="35"/>
      <c r="U156" s="35"/>
      <c r="V156" s="35"/>
      <c r="W156" s="35"/>
      <c r="X156" s="35"/>
      <c r="Y156" s="35"/>
      <c r="Z156" s="35"/>
    </row>
    <row r="157" ht="14.25" customHeight="1">
      <c r="A157" s="221"/>
      <c r="B157" s="231"/>
      <c r="C157" s="233"/>
      <c r="D157" s="212"/>
      <c r="E157" s="213"/>
      <c r="F157" s="214"/>
      <c r="G157" s="214"/>
      <c r="H157" s="523"/>
      <c r="I157" s="36">
        <f t="shared" si="1"/>
        <v>0</v>
      </c>
      <c r="J157" s="37">
        <f t="shared" si="2"/>
        <v>0</v>
      </c>
      <c r="K157" s="38">
        <f t="shared" si="3"/>
        <v>0</v>
      </c>
      <c r="L157" s="39">
        <f t="shared" si="4"/>
        <v>0</v>
      </c>
      <c r="M157" s="38">
        <f t="shared" si="5"/>
        <v>0</v>
      </c>
      <c r="N157" s="39">
        <f t="shared" si="6"/>
        <v>0</v>
      </c>
      <c r="O157" s="40"/>
      <c r="P157" s="78"/>
      <c r="Q157" s="35"/>
      <c r="R157" s="35"/>
      <c r="S157" s="35"/>
      <c r="T157" s="35"/>
      <c r="U157" s="35"/>
      <c r="V157" s="35"/>
      <c r="W157" s="35"/>
      <c r="X157" s="35"/>
      <c r="Y157" s="35"/>
      <c r="Z157" s="35"/>
    </row>
    <row r="158" ht="14.25" customHeight="1">
      <c r="A158" s="221"/>
      <c r="B158" s="231"/>
      <c r="C158" s="233"/>
      <c r="D158" s="212"/>
      <c r="E158" s="213"/>
      <c r="F158" s="214"/>
      <c r="G158" s="214"/>
      <c r="H158" s="523"/>
      <c r="I158" s="36">
        <f t="shared" si="1"/>
        <v>0</v>
      </c>
      <c r="J158" s="37">
        <f t="shared" si="2"/>
        <v>0</v>
      </c>
      <c r="K158" s="38">
        <f t="shared" si="3"/>
        <v>0</v>
      </c>
      <c r="L158" s="39">
        <f t="shared" si="4"/>
        <v>0</v>
      </c>
      <c r="M158" s="38">
        <f t="shared" si="5"/>
        <v>0</v>
      </c>
      <c r="N158" s="39">
        <f t="shared" si="6"/>
        <v>0</v>
      </c>
      <c r="O158" s="40"/>
      <c r="P158" s="78"/>
      <c r="Q158" s="35"/>
      <c r="R158" s="35"/>
      <c r="S158" s="35"/>
      <c r="T158" s="35"/>
      <c r="U158" s="35"/>
      <c r="V158" s="35"/>
      <c r="W158" s="35"/>
      <c r="X158" s="35"/>
      <c r="Y158" s="35"/>
      <c r="Z158" s="35"/>
    </row>
    <row r="159" ht="14.25" customHeight="1">
      <c r="A159" s="221"/>
      <c r="B159" s="231"/>
      <c r="C159" s="233"/>
      <c r="D159" s="212"/>
      <c r="E159" s="213"/>
      <c r="F159" s="214"/>
      <c r="G159" s="214"/>
      <c r="H159" s="523"/>
      <c r="I159" s="36">
        <f t="shared" si="1"/>
        <v>0</v>
      </c>
      <c r="J159" s="37">
        <f t="shared" si="2"/>
        <v>0</v>
      </c>
      <c r="K159" s="38">
        <f t="shared" si="3"/>
        <v>0</v>
      </c>
      <c r="L159" s="39">
        <f t="shared" si="4"/>
        <v>0</v>
      </c>
      <c r="M159" s="38">
        <f t="shared" si="5"/>
        <v>0</v>
      </c>
      <c r="N159" s="39">
        <f t="shared" si="6"/>
        <v>0</v>
      </c>
      <c r="O159" s="40"/>
      <c r="P159" s="78"/>
      <c r="Q159" s="35"/>
      <c r="R159" s="35"/>
      <c r="S159" s="35"/>
      <c r="T159" s="35"/>
      <c r="U159" s="35"/>
      <c r="V159" s="35"/>
      <c r="W159" s="35"/>
      <c r="X159" s="35"/>
      <c r="Y159" s="35"/>
      <c r="Z159" s="35"/>
    </row>
    <row r="160" ht="14.25" customHeight="1">
      <c r="A160" s="221"/>
      <c r="B160" s="231"/>
      <c r="C160" s="233"/>
      <c r="D160" s="212"/>
      <c r="E160" s="213"/>
      <c r="F160" s="214"/>
      <c r="G160" s="214"/>
      <c r="H160" s="523"/>
      <c r="I160" s="36">
        <f t="shared" si="1"/>
        <v>0</v>
      </c>
      <c r="J160" s="37">
        <f t="shared" si="2"/>
        <v>0</v>
      </c>
      <c r="K160" s="38">
        <f t="shared" si="3"/>
        <v>0</v>
      </c>
      <c r="L160" s="39">
        <f t="shared" si="4"/>
        <v>0</v>
      </c>
      <c r="M160" s="38">
        <f t="shared" si="5"/>
        <v>0</v>
      </c>
      <c r="N160" s="39">
        <f t="shared" si="6"/>
        <v>0</v>
      </c>
      <c r="O160" s="40"/>
      <c r="P160" s="78"/>
      <c r="Q160" s="35"/>
      <c r="R160" s="35"/>
      <c r="S160" s="35"/>
      <c r="T160" s="35"/>
      <c r="U160" s="35"/>
      <c r="V160" s="35"/>
      <c r="W160" s="35"/>
      <c r="X160" s="35"/>
      <c r="Y160" s="35"/>
      <c r="Z160" s="35"/>
    </row>
    <row r="161" ht="14.25" customHeight="1">
      <c r="A161" s="221"/>
      <c r="B161" s="231"/>
      <c r="C161" s="233"/>
      <c r="D161" s="212"/>
      <c r="E161" s="213"/>
      <c r="F161" s="214"/>
      <c r="G161" s="214"/>
      <c r="H161" s="523"/>
      <c r="I161" s="36">
        <f t="shared" si="1"/>
        <v>0</v>
      </c>
      <c r="J161" s="37">
        <f t="shared" si="2"/>
        <v>0</v>
      </c>
      <c r="K161" s="38">
        <f t="shared" si="3"/>
        <v>0</v>
      </c>
      <c r="L161" s="39">
        <f t="shared" si="4"/>
        <v>0</v>
      </c>
      <c r="M161" s="38">
        <f t="shared" si="5"/>
        <v>0</v>
      </c>
      <c r="N161" s="39">
        <f t="shared" si="6"/>
        <v>0</v>
      </c>
      <c r="O161" s="40"/>
      <c r="P161" s="78"/>
      <c r="Q161" s="35"/>
      <c r="R161" s="35"/>
      <c r="S161" s="35"/>
      <c r="T161" s="35"/>
      <c r="U161" s="35"/>
      <c r="V161" s="35"/>
      <c r="W161" s="35"/>
      <c r="X161" s="35"/>
      <c r="Y161" s="35"/>
      <c r="Z161" s="35"/>
    </row>
    <row r="162" ht="14.25" customHeight="1">
      <c r="A162" s="221"/>
      <c r="B162" s="231"/>
      <c r="C162" s="233"/>
      <c r="D162" s="212"/>
      <c r="E162" s="213"/>
      <c r="F162" s="214"/>
      <c r="G162" s="214"/>
      <c r="H162" s="523"/>
      <c r="I162" s="36">
        <f t="shared" si="1"/>
        <v>0</v>
      </c>
      <c r="J162" s="37">
        <f t="shared" si="2"/>
        <v>0</v>
      </c>
      <c r="K162" s="38">
        <f t="shared" si="3"/>
        <v>0</v>
      </c>
      <c r="L162" s="39">
        <f t="shared" si="4"/>
        <v>0</v>
      </c>
      <c r="M162" s="38">
        <f t="shared" si="5"/>
        <v>0</v>
      </c>
      <c r="N162" s="39">
        <f t="shared" si="6"/>
        <v>0</v>
      </c>
      <c r="O162" s="40"/>
      <c r="P162" s="78"/>
      <c r="Q162" s="35"/>
      <c r="R162" s="35"/>
      <c r="S162" s="35"/>
      <c r="T162" s="35"/>
      <c r="U162" s="35"/>
      <c r="V162" s="35"/>
      <c r="W162" s="35"/>
      <c r="X162" s="35"/>
      <c r="Y162" s="35"/>
      <c r="Z162" s="35"/>
    </row>
    <row r="163" ht="14.25" customHeight="1">
      <c r="A163" s="221"/>
      <c r="B163" s="231"/>
      <c r="C163" s="233"/>
      <c r="D163" s="212"/>
      <c r="E163" s="213"/>
      <c r="F163" s="214"/>
      <c r="G163" s="214"/>
      <c r="H163" s="523"/>
      <c r="I163" s="36">
        <f t="shared" si="1"/>
        <v>0</v>
      </c>
      <c r="J163" s="37">
        <f t="shared" si="2"/>
        <v>0</v>
      </c>
      <c r="K163" s="38">
        <f t="shared" si="3"/>
        <v>0</v>
      </c>
      <c r="L163" s="39">
        <f t="shared" si="4"/>
        <v>0</v>
      </c>
      <c r="M163" s="38">
        <f t="shared" si="5"/>
        <v>0</v>
      </c>
      <c r="N163" s="39">
        <f t="shared" si="6"/>
        <v>0</v>
      </c>
      <c r="O163" s="40"/>
      <c r="P163" s="78"/>
      <c r="Q163" s="35"/>
      <c r="R163" s="35"/>
      <c r="S163" s="35"/>
      <c r="T163" s="35"/>
      <c r="U163" s="35"/>
      <c r="V163" s="35"/>
      <c r="W163" s="35"/>
      <c r="X163" s="35"/>
      <c r="Y163" s="35"/>
      <c r="Z163" s="35"/>
    </row>
    <row r="164" ht="14.25" customHeight="1">
      <c r="A164" s="221"/>
      <c r="B164" s="231"/>
      <c r="C164" s="116"/>
      <c r="D164" s="223"/>
      <c r="E164" s="85"/>
      <c r="F164" s="107"/>
      <c r="G164" s="107"/>
      <c r="H164" s="523"/>
      <c r="I164" s="36">
        <f t="shared" si="1"/>
        <v>0</v>
      </c>
      <c r="J164" s="37">
        <f t="shared" si="2"/>
        <v>0</v>
      </c>
      <c r="K164" s="38">
        <f t="shared" si="3"/>
        <v>0</v>
      </c>
      <c r="L164" s="39">
        <f t="shared" si="4"/>
        <v>0</v>
      </c>
      <c r="M164" s="38">
        <f t="shared" si="5"/>
        <v>0</v>
      </c>
      <c r="N164" s="39">
        <f t="shared" si="6"/>
        <v>0</v>
      </c>
      <c r="O164" s="40"/>
      <c r="P164" s="78"/>
      <c r="Q164" s="35"/>
      <c r="R164" s="35"/>
      <c r="S164" s="35"/>
      <c r="T164" s="35"/>
      <c r="U164" s="35"/>
      <c r="V164" s="35"/>
      <c r="W164" s="35"/>
      <c r="X164" s="35"/>
      <c r="Y164" s="35"/>
      <c r="Z164" s="35"/>
    </row>
    <row r="165" ht="14.25" customHeight="1">
      <c r="A165" s="221"/>
      <c r="B165" s="231"/>
      <c r="C165" s="116"/>
      <c r="D165" s="223"/>
      <c r="E165" s="85"/>
      <c r="F165" s="107"/>
      <c r="G165" s="107"/>
      <c r="H165" s="523"/>
      <c r="I165" s="36">
        <f t="shared" si="1"/>
        <v>0</v>
      </c>
      <c r="J165" s="37">
        <f t="shared" si="2"/>
        <v>0</v>
      </c>
      <c r="K165" s="38">
        <f t="shared" si="3"/>
        <v>0</v>
      </c>
      <c r="L165" s="39">
        <f t="shared" si="4"/>
        <v>0</v>
      </c>
      <c r="M165" s="38">
        <f t="shared" si="5"/>
        <v>0</v>
      </c>
      <c r="N165" s="39">
        <f t="shared" si="6"/>
        <v>0</v>
      </c>
      <c r="O165" s="40"/>
      <c r="P165" s="78"/>
      <c r="Q165" s="35"/>
      <c r="R165" s="35"/>
      <c r="S165" s="35"/>
      <c r="T165" s="35"/>
      <c r="U165" s="35"/>
      <c r="V165" s="35"/>
      <c r="W165" s="35"/>
      <c r="X165" s="35"/>
      <c r="Y165" s="35"/>
      <c r="Z165" s="35"/>
    </row>
    <row r="166" ht="14.25" customHeight="1">
      <c r="A166" s="221"/>
      <c r="B166" s="231"/>
      <c r="C166" s="116"/>
      <c r="D166" s="223"/>
      <c r="E166" s="85"/>
      <c r="F166" s="107"/>
      <c r="G166" s="107"/>
      <c r="H166" s="523"/>
      <c r="I166" s="36">
        <f t="shared" si="1"/>
        <v>0</v>
      </c>
      <c r="J166" s="37">
        <f t="shared" si="2"/>
        <v>0</v>
      </c>
      <c r="K166" s="38">
        <f t="shared" si="3"/>
        <v>0</v>
      </c>
      <c r="L166" s="39">
        <f t="shared" si="4"/>
        <v>0</v>
      </c>
      <c r="M166" s="38">
        <f t="shared" si="5"/>
        <v>0</v>
      </c>
      <c r="N166" s="39">
        <f t="shared" si="6"/>
        <v>0</v>
      </c>
      <c r="O166" s="40"/>
      <c r="P166" s="78"/>
      <c r="Q166" s="35"/>
      <c r="R166" s="35"/>
      <c r="S166" s="35"/>
      <c r="T166" s="35"/>
      <c r="U166" s="35"/>
      <c r="V166" s="35"/>
      <c r="W166" s="35"/>
      <c r="X166" s="35"/>
      <c r="Y166" s="35"/>
      <c r="Z166" s="35"/>
    </row>
    <row r="167" ht="14.25" customHeight="1">
      <c r="A167" s="221"/>
      <c r="B167" s="231"/>
      <c r="C167" s="126"/>
      <c r="D167" s="508"/>
      <c r="E167" s="48"/>
      <c r="F167" s="107"/>
      <c r="G167" s="107"/>
      <c r="H167" s="523"/>
      <c r="I167" s="36">
        <f t="shared" si="1"/>
        <v>0</v>
      </c>
      <c r="J167" s="37">
        <f t="shared" si="2"/>
        <v>0</v>
      </c>
      <c r="K167" s="38">
        <f t="shared" si="3"/>
        <v>0</v>
      </c>
      <c r="L167" s="39">
        <f t="shared" si="4"/>
        <v>0</v>
      </c>
      <c r="M167" s="38">
        <f t="shared" si="5"/>
        <v>0</v>
      </c>
      <c r="N167" s="39">
        <f t="shared" si="6"/>
        <v>0</v>
      </c>
      <c r="O167" s="40"/>
      <c r="P167" s="78"/>
      <c r="Q167" s="35"/>
      <c r="R167" s="35"/>
      <c r="S167" s="35"/>
      <c r="T167" s="35"/>
      <c r="U167" s="35"/>
      <c r="V167" s="35"/>
      <c r="W167" s="35"/>
      <c r="X167" s="35"/>
      <c r="Y167" s="35"/>
      <c r="Z167" s="35"/>
    </row>
    <row r="168" ht="14.25" customHeight="1">
      <c r="A168" s="221"/>
      <c r="B168" s="231"/>
      <c r="C168" s="126"/>
      <c r="D168" s="223"/>
      <c r="E168" s="85"/>
      <c r="F168" s="107"/>
      <c r="G168" s="107"/>
      <c r="H168" s="523"/>
      <c r="I168" s="36">
        <f t="shared" si="1"/>
        <v>0</v>
      </c>
      <c r="J168" s="37">
        <f t="shared" si="2"/>
        <v>0</v>
      </c>
      <c r="K168" s="38">
        <f t="shared" si="3"/>
        <v>0</v>
      </c>
      <c r="L168" s="39">
        <f t="shared" si="4"/>
        <v>0</v>
      </c>
      <c r="M168" s="38">
        <f t="shared" si="5"/>
        <v>0</v>
      </c>
      <c r="N168" s="39">
        <f t="shared" si="6"/>
        <v>0</v>
      </c>
      <c r="O168" s="40"/>
      <c r="P168" s="78"/>
      <c r="Q168" s="35"/>
      <c r="R168" s="35"/>
      <c r="S168" s="35"/>
      <c r="T168" s="35"/>
      <c r="U168" s="35"/>
      <c r="V168" s="35"/>
      <c r="W168" s="35"/>
      <c r="X168" s="35"/>
      <c r="Y168" s="35"/>
      <c r="Z168" s="35"/>
    </row>
    <row r="169" ht="14.25" customHeight="1">
      <c r="A169" s="221"/>
      <c r="B169" s="231"/>
      <c r="C169" s="126"/>
      <c r="D169" s="223"/>
      <c r="E169" s="85"/>
      <c r="F169" s="107"/>
      <c r="G169" s="107"/>
      <c r="H169" s="523"/>
      <c r="I169" s="36">
        <f t="shared" si="1"/>
        <v>0</v>
      </c>
      <c r="J169" s="37">
        <f t="shared" si="2"/>
        <v>0</v>
      </c>
      <c r="K169" s="38">
        <f t="shared" si="3"/>
        <v>0</v>
      </c>
      <c r="L169" s="39">
        <f t="shared" si="4"/>
        <v>0</v>
      </c>
      <c r="M169" s="38">
        <f t="shared" si="5"/>
        <v>0</v>
      </c>
      <c r="N169" s="39">
        <f t="shared" si="6"/>
        <v>0</v>
      </c>
      <c r="O169" s="40"/>
      <c r="P169" s="78"/>
      <c r="Q169" s="35"/>
      <c r="R169" s="35"/>
      <c r="S169" s="35"/>
      <c r="T169" s="35"/>
      <c r="U169" s="35"/>
      <c r="V169" s="35"/>
      <c r="W169" s="35"/>
      <c r="X169" s="35"/>
      <c r="Y169" s="35"/>
      <c r="Z169" s="35"/>
    </row>
    <row r="170" ht="14.25" customHeight="1">
      <c r="A170" s="221"/>
      <c r="B170" s="231"/>
      <c r="C170" s="116"/>
      <c r="D170" s="223"/>
      <c r="E170" s="85"/>
      <c r="F170" s="107"/>
      <c r="G170" s="107"/>
      <c r="H170" s="523"/>
      <c r="I170" s="36">
        <f t="shared" si="1"/>
        <v>0</v>
      </c>
      <c r="J170" s="37">
        <f t="shared" si="2"/>
        <v>0</v>
      </c>
      <c r="K170" s="38">
        <f t="shared" si="3"/>
        <v>0</v>
      </c>
      <c r="L170" s="39">
        <f t="shared" si="4"/>
        <v>0</v>
      </c>
      <c r="M170" s="38">
        <f t="shared" si="5"/>
        <v>0</v>
      </c>
      <c r="N170" s="39">
        <f t="shared" si="6"/>
        <v>0</v>
      </c>
      <c r="O170" s="40"/>
      <c r="P170" s="78"/>
      <c r="Q170" s="35"/>
      <c r="R170" s="35"/>
      <c r="S170" s="35"/>
      <c r="T170" s="35"/>
      <c r="U170" s="35"/>
      <c r="V170" s="35"/>
      <c r="W170" s="35"/>
      <c r="X170" s="35"/>
      <c r="Y170" s="35"/>
      <c r="Z170" s="35"/>
    </row>
    <row r="171" ht="14.25" customHeight="1">
      <c r="A171" s="221"/>
      <c r="B171" s="231"/>
      <c r="C171" s="116"/>
      <c r="D171" s="223"/>
      <c r="E171" s="85"/>
      <c r="F171" s="107"/>
      <c r="G171" s="107"/>
      <c r="H171" s="523"/>
      <c r="I171" s="36">
        <f t="shared" si="1"/>
        <v>0</v>
      </c>
      <c r="J171" s="37">
        <f t="shared" si="2"/>
        <v>0</v>
      </c>
      <c r="K171" s="38">
        <f t="shared" si="3"/>
        <v>0</v>
      </c>
      <c r="L171" s="39">
        <f t="shared" si="4"/>
        <v>0</v>
      </c>
      <c r="M171" s="38">
        <f t="shared" si="5"/>
        <v>0</v>
      </c>
      <c r="N171" s="39">
        <f t="shared" si="6"/>
        <v>0</v>
      </c>
      <c r="O171" s="40"/>
      <c r="P171" s="78"/>
      <c r="Q171" s="35"/>
      <c r="R171" s="35"/>
      <c r="S171" s="35"/>
      <c r="T171" s="35"/>
      <c r="U171" s="35"/>
      <c r="V171" s="35"/>
      <c r="W171" s="35"/>
      <c r="X171" s="35"/>
      <c r="Y171" s="35"/>
      <c r="Z171" s="35"/>
    </row>
    <row r="172" ht="14.25" customHeight="1">
      <c r="A172" s="221"/>
      <c r="B172" s="231"/>
      <c r="C172" s="108"/>
      <c r="D172" s="223"/>
      <c r="E172" s="42"/>
      <c r="F172" s="109"/>
      <c r="G172" s="109"/>
      <c r="H172" s="523"/>
      <c r="I172" s="36">
        <f t="shared" si="1"/>
        <v>0</v>
      </c>
      <c r="J172" s="37">
        <f t="shared" si="2"/>
        <v>0</v>
      </c>
      <c r="K172" s="38">
        <f t="shared" si="3"/>
        <v>0</v>
      </c>
      <c r="L172" s="39">
        <f t="shared" si="4"/>
        <v>0</v>
      </c>
      <c r="M172" s="38">
        <f t="shared" si="5"/>
        <v>0</v>
      </c>
      <c r="N172" s="39">
        <f t="shared" si="6"/>
        <v>0</v>
      </c>
      <c r="O172" s="40"/>
      <c r="P172" s="34"/>
      <c r="Q172" s="35"/>
      <c r="R172" s="35"/>
      <c r="S172" s="35"/>
      <c r="T172" s="35"/>
      <c r="U172" s="35"/>
      <c r="V172" s="35"/>
      <c r="W172" s="35"/>
      <c r="X172" s="35"/>
      <c r="Y172" s="35"/>
      <c r="Z172" s="35"/>
    </row>
    <row r="173" ht="14.25" customHeight="1">
      <c r="A173" s="221"/>
      <c r="B173" s="231"/>
      <c r="C173" s="106"/>
      <c r="D173" s="223"/>
      <c r="E173" s="85"/>
      <c r="F173" s="107"/>
      <c r="G173" s="107"/>
      <c r="H173" s="523"/>
      <c r="I173" s="36">
        <f t="shared" si="1"/>
        <v>0</v>
      </c>
      <c r="J173" s="37">
        <f t="shared" si="2"/>
        <v>0</v>
      </c>
      <c r="K173" s="38">
        <f t="shared" si="3"/>
        <v>0</v>
      </c>
      <c r="L173" s="39">
        <f t="shared" si="4"/>
        <v>0</v>
      </c>
      <c r="M173" s="38">
        <f t="shared" si="5"/>
        <v>0</v>
      </c>
      <c r="N173" s="39">
        <f t="shared" si="6"/>
        <v>0</v>
      </c>
      <c r="O173" s="40"/>
      <c r="P173" s="34"/>
      <c r="Q173" s="35"/>
      <c r="R173" s="35"/>
      <c r="S173" s="35"/>
      <c r="T173" s="35"/>
      <c r="U173" s="35"/>
      <c r="V173" s="35"/>
      <c r="W173" s="35"/>
      <c r="X173" s="35"/>
      <c r="Y173" s="35"/>
      <c r="Z173" s="35"/>
    </row>
    <row r="174" ht="14.25" customHeight="1">
      <c r="A174" s="221"/>
      <c r="B174" s="231"/>
      <c r="C174" s="106"/>
      <c r="D174" s="223"/>
      <c r="E174" s="85"/>
      <c r="F174" s="107"/>
      <c r="G174" s="107"/>
      <c r="H174" s="523"/>
      <c r="I174" s="36">
        <f t="shared" si="1"/>
        <v>0</v>
      </c>
      <c r="J174" s="37">
        <f t="shared" si="2"/>
        <v>0</v>
      </c>
      <c r="K174" s="38">
        <f t="shared" si="3"/>
        <v>0</v>
      </c>
      <c r="L174" s="39">
        <f t="shared" si="4"/>
        <v>0</v>
      </c>
      <c r="M174" s="38">
        <f t="shared" si="5"/>
        <v>0</v>
      </c>
      <c r="N174" s="39">
        <f t="shared" si="6"/>
        <v>0</v>
      </c>
      <c r="O174" s="40"/>
      <c r="P174" s="34"/>
      <c r="Q174" s="35"/>
      <c r="R174" s="35"/>
      <c r="S174" s="35"/>
      <c r="T174" s="35"/>
      <c r="U174" s="35"/>
      <c r="V174" s="35"/>
      <c r="W174" s="35"/>
      <c r="X174" s="35"/>
      <c r="Y174" s="35"/>
      <c r="Z174" s="35"/>
    </row>
    <row r="175" ht="14.25" customHeight="1">
      <c r="A175" s="221"/>
      <c r="B175" s="231"/>
      <c r="C175" s="106"/>
      <c r="D175" s="223"/>
      <c r="E175" s="85"/>
      <c r="F175" s="107"/>
      <c r="G175" s="107"/>
      <c r="H175" s="523"/>
      <c r="I175" s="36">
        <f t="shared" si="1"/>
        <v>0</v>
      </c>
      <c r="J175" s="37">
        <f t="shared" si="2"/>
        <v>0</v>
      </c>
      <c r="K175" s="38">
        <f t="shared" si="3"/>
        <v>0</v>
      </c>
      <c r="L175" s="39">
        <f t="shared" si="4"/>
        <v>0</v>
      </c>
      <c r="M175" s="38">
        <f t="shared" si="5"/>
        <v>0</v>
      </c>
      <c r="N175" s="39">
        <f t="shared" si="6"/>
        <v>0</v>
      </c>
      <c r="O175" s="40"/>
      <c r="P175" s="34"/>
      <c r="Q175" s="35"/>
      <c r="R175" s="35"/>
      <c r="S175" s="35"/>
      <c r="T175" s="35"/>
      <c r="U175" s="35"/>
      <c r="V175" s="35"/>
      <c r="W175" s="35"/>
      <c r="X175" s="35"/>
      <c r="Y175" s="35"/>
      <c r="Z175" s="35"/>
    </row>
    <row r="176" ht="14.25" customHeight="1">
      <c r="A176" s="221"/>
      <c r="B176" s="231"/>
      <c r="C176" s="106"/>
      <c r="D176" s="223"/>
      <c r="E176" s="85"/>
      <c r="F176" s="107"/>
      <c r="G176" s="107"/>
      <c r="H176" s="523"/>
      <c r="I176" s="36">
        <f t="shared" si="1"/>
        <v>0</v>
      </c>
      <c r="J176" s="37">
        <f t="shared" si="2"/>
        <v>0</v>
      </c>
      <c r="K176" s="38">
        <f t="shared" si="3"/>
        <v>0</v>
      </c>
      <c r="L176" s="39">
        <f t="shared" si="4"/>
        <v>0</v>
      </c>
      <c r="M176" s="38">
        <f t="shared" si="5"/>
        <v>0</v>
      </c>
      <c r="N176" s="39">
        <f t="shared" si="6"/>
        <v>0</v>
      </c>
      <c r="O176" s="40"/>
      <c r="P176" s="34"/>
      <c r="Q176" s="35"/>
      <c r="R176" s="35"/>
      <c r="S176" s="35"/>
      <c r="T176" s="35"/>
      <c r="U176" s="35"/>
      <c r="V176" s="35"/>
      <c r="W176" s="35"/>
      <c r="X176" s="35"/>
      <c r="Y176" s="35"/>
      <c r="Z176" s="35"/>
    </row>
    <row r="177" ht="14.25" customHeight="1">
      <c r="A177" s="221"/>
      <c r="B177" s="231"/>
      <c r="C177" s="106"/>
      <c r="D177" s="223"/>
      <c r="E177" s="85"/>
      <c r="F177" s="107"/>
      <c r="G177" s="107"/>
      <c r="H177" s="523"/>
      <c r="I177" s="36">
        <f t="shared" si="1"/>
        <v>0</v>
      </c>
      <c r="J177" s="37">
        <f t="shared" si="2"/>
        <v>0</v>
      </c>
      <c r="K177" s="38">
        <f t="shared" si="3"/>
        <v>0</v>
      </c>
      <c r="L177" s="39">
        <f t="shared" si="4"/>
        <v>0</v>
      </c>
      <c r="M177" s="38">
        <f t="shared" si="5"/>
        <v>0</v>
      </c>
      <c r="N177" s="39">
        <f t="shared" si="6"/>
        <v>0</v>
      </c>
      <c r="O177" s="40"/>
      <c r="P177" s="34"/>
      <c r="Q177" s="35"/>
      <c r="R177" s="35"/>
      <c r="S177" s="35"/>
      <c r="T177" s="35"/>
      <c r="U177" s="35"/>
      <c r="V177" s="35"/>
      <c r="W177" s="35"/>
      <c r="X177" s="35"/>
      <c r="Y177" s="35"/>
      <c r="Z177" s="35"/>
    </row>
    <row r="178" ht="14.25" customHeight="1">
      <c r="A178" s="221"/>
      <c r="B178" s="231"/>
      <c r="C178" s="115"/>
      <c r="D178" s="223"/>
      <c r="E178" s="105"/>
      <c r="F178" s="107"/>
      <c r="G178" s="107"/>
      <c r="H178" s="523"/>
      <c r="I178" s="36">
        <f t="shared" si="1"/>
        <v>0</v>
      </c>
      <c r="J178" s="37">
        <f t="shared" si="2"/>
        <v>0</v>
      </c>
      <c r="K178" s="38">
        <f t="shared" si="3"/>
        <v>0</v>
      </c>
      <c r="L178" s="39">
        <f t="shared" si="4"/>
        <v>0</v>
      </c>
      <c r="M178" s="38">
        <f t="shared" si="5"/>
        <v>0</v>
      </c>
      <c r="N178" s="39">
        <f t="shared" si="6"/>
        <v>0</v>
      </c>
      <c r="O178" s="40"/>
      <c r="P178" s="34"/>
      <c r="Q178" s="35"/>
      <c r="R178" s="35"/>
      <c r="S178" s="35"/>
      <c r="T178" s="35"/>
      <c r="U178" s="35"/>
      <c r="V178" s="35"/>
      <c r="W178" s="35"/>
      <c r="X178" s="35"/>
      <c r="Y178" s="35"/>
      <c r="Z178" s="35"/>
    </row>
    <row r="179" ht="14.25" customHeight="1">
      <c r="A179" s="221"/>
      <c r="B179" s="231"/>
      <c r="C179" s="106"/>
      <c r="D179" s="223"/>
      <c r="E179" s="85"/>
      <c r="F179" s="107"/>
      <c r="G179" s="107"/>
      <c r="H179" s="523"/>
      <c r="I179" s="36">
        <f t="shared" si="1"/>
        <v>0</v>
      </c>
      <c r="J179" s="37">
        <f t="shared" si="2"/>
        <v>0</v>
      </c>
      <c r="K179" s="38">
        <f t="shared" si="3"/>
        <v>0</v>
      </c>
      <c r="L179" s="39">
        <f t="shared" si="4"/>
        <v>0</v>
      </c>
      <c r="M179" s="38">
        <f t="shared" si="5"/>
        <v>0</v>
      </c>
      <c r="N179" s="39">
        <f t="shared" si="6"/>
        <v>0</v>
      </c>
      <c r="O179" s="40"/>
      <c r="P179" s="34"/>
      <c r="Q179" s="35"/>
      <c r="R179" s="35"/>
      <c r="S179" s="35"/>
      <c r="T179" s="35"/>
      <c r="U179" s="35"/>
      <c r="V179" s="35"/>
      <c r="W179" s="35"/>
      <c r="X179" s="35"/>
      <c r="Y179" s="35"/>
      <c r="Z179" s="35"/>
    </row>
    <row r="180" ht="14.25" customHeight="1">
      <c r="A180" s="221"/>
      <c r="B180" s="231"/>
      <c r="C180" s="108"/>
      <c r="D180" s="525"/>
      <c r="E180" s="85"/>
      <c r="F180" s="107"/>
      <c r="G180" s="107"/>
      <c r="H180" s="523"/>
      <c r="I180" s="36">
        <f t="shared" si="1"/>
        <v>0</v>
      </c>
      <c r="J180" s="37">
        <f t="shared" si="2"/>
        <v>0</v>
      </c>
      <c r="K180" s="38">
        <f t="shared" si="3"/>
        <v>0</v>
      </c>
      <c r="L180" s="39">
        <f t="shared" si="4"/>
        <v>0</v>
      </c>
      <c r="M180" s="38">
        <f t="shared" si="5"/>
        <v>0</v>
      </c>
      <c r="N180" s="39">
        <f t="shared" si="6"/>
        <v>0</v>
      </c>
      <c r="O180" s="40"/>
      <c r="P180" s="34"/>
      <c r="Q180" s="35"/>
      <c r="R180" s="35"/>
      <c r="S180" s="35"/>
      <c r="T180" s="35"/>
      <c r="U180" s="35"/>
      <c r="V180" s="35"/>
      <c r="W180" s="35"/>
      <c r="X180" s="35"/>
      <c r="Y180" s="35"/>
      <c r="Z180" s="35"/>
    </row>
    <row r="181" ht="14.25" customHeight="1">
      <c r="A181" s="221"/>
      <c r="B181" s="231"/>
      <c r="C181" s="115"/>
      <c r="D181" s="223"/>
      <c r="E181" s="85"/>
      <c r="F181" s="238"/>
      <c r="G181" s="238"/>
      <c r="H181" s="523"/>
      <c r="I181" s="36">
        <f t="shared" si="1"/>
        <v>0</v>
      </c>
      <c r="J181" s="37">
        <f t="shared" si="2"/>
        <v>0</v>
      </c>
      <c r="K181" s="38">
        <f t="shared" si="3"/>
        <v>0</v>
      </c>
      <c r="L181" s="39">
        <f t="shared" si="4"/>
        <v>0</v>
      </c>
      <c r="M181" s="38">
        <f t="shared" si="5"/>
        <v>0</v>
      </c>
      <c r="N181" s="39">
        <f t="shared" si="6"/>
        <v>0</v>
      </c>
      <c r="O181" s="40"/>
      <c r="P181" s="34"/>
      <c r="Q181" s="35"/>
      <c r="R181" s="35"/>
      <c r="S181" s="35"/>
      <c r="T181" s="35"/>
      <c r="U181" s="35"/>
      <c r="V181" s="35"/>
      <c r="W181" s="35"/>
      <c r="X181" s="35"/>
      <c r="Y181" s="35"/>
      <c r="Z181" s="35"/>
    </row>
    <row r="182" ht="14.25" customHeight="1">
      <c r="A182" s="221"/>
      <c r="B182" s="231"/>
      <c r="C182" s="115"/>
      <c r="D182" s="223"/>
      <c r="E182" s="85"/>
      <c r="F182" s="238"/>
      <c r="G182" s="238"/>
      <c r="H182" s="523"/>
      <c r="I182" s="36">
        <f t="shared" si="1"/>
        <v>0</v>
      </c>
      <c r="J182" s="37">
        <f t="shared" si="2"/>
        <v>0</v>
      </c>
      <c r="K182" s="38">
        <f t="shared" si="3"/>
        <v>0</v>
      </c>
      <c r="L182" s="39">
        <f t="shared" si="4"/>
        <v>0</v>
      </c>
      <c r="M182" s="38">
        <f t="shared" si="5"/>
        <v>0</v>
      </c>
      <c r="N182" s="39">
        <f t="shared" si="6"/>
        <v>0</v>
      </c>
      <c r="O182" s="40"/>
      <c r="P182" s="34"/>
      <c r="Q182" s="35"/>
      <c r="R182" s="35"/>
      <c r="S182" s="35"/>
      <c r="T182" s="35"/>
      <c r="U182" s="35"/>
      <c r="V182" s="35"/>
      <c r="W182" s="35"/>
      <c r="X182" s="35"/>
      <c r="Y182" s="35"/>
      <c r="Z182" s="35"/>
    </row>
    <row r="183" ht="14.25" customHeight="1">
      <c r="A183" s="221"/>
      <c r="B183" s="231"/>
      <c r="C183" s="115"/>
      <c r="D183" s="223"/>
      <c r="E183" s="85"/>
      <c r="F183" s="238"/>
      <c r="G183" s="238"/>
      <c r="H183" s="523"/>
      <c r="I183" s="36">
        <f t="shared" si="1"/>
        <v>0</v>
      </c>
      <c r="J183" s="37">
        <f t="shared" si="2"/>
        <v>0</v>
      </c>
      <c r="K183" s="38">
        <f t="shared" si="3"/>
        <v>0</v>
      </c>
      <c r="L183" s="39">
        <f t="shared" si="4"/>
        <v>0</v>
      </c>
      <c r="M183" s="38">
        <f t="shared" si="5"/>
        <v>0</v>
      </c>
      <c r="N183" s="39">
        <f t="shared" si="6"/>
        <v>0</v>
      </c>
      <c r="O183" s="40"/>
      <c r="P183" s="34"/>
      <c r="Q183" s="35"/>
      <c r="R183" s="35"/>
      <c r="S183" s="35"/>
      <c r="T183" s="35"/>
      <c r="U183" s="35"/>
      <c r="V183" s="35"/>
      <c r="W183" s="35"/>
      <c r="X183" s="35"/>
      <c r="Y183" s="35"/>
      <c r="Z183" s="35"/>
    </row>
    <row r="184" ht="14.25" customHeight="1">
      <c r="A184" s="221"/>
      <c r="B184" s="231"/>
      <c r="C184" s="106"/>
      <c r="D184" s="223"/>
      <c r="E184" s="85"/>
      <c r="F184" s="238"/>
      <c r="G184" s="238"/>
      <c r="H184" s="523"/>
      <c r="I184" s="36">
        <f t="shared" si="1"/>
        <v>0</v>
      </c>
      <c r="J184" s="37">
        <f t="shared" si="2"/>
        <v>0</v>
      </c>
      <c r="K184" s="38">
        <f t="shared" si="3"/>
        <v>0</v>
      </c>
      <c r="L184" s="39">
        <f t="shared" si="4"/>
        <v>0</v>
      </c>
      <c r="M184" s="38">
        <f t="shared" si="5"/>
        <v>0</v>
      </c>
      <c r="N184" s="39">
        <f t="shared" si="6"/>
        <v>0</v>
      </c>
      <c r="O184" s="40"/>
      <c r="P184" s="34"/>
      <c r="Q184" s="35"/>
      <c r="R184" s="35"/>
      <c r="S184" s="35"/>
      <c r="T184" s="35"/>
      <c r="U184" s="35"/>
      <c r="V184" s="35"/>
      <c r="W184" s="35"/>
      <c r="X184" s="35"/>
      <c r="Y184" s="35"/>
      <c r="Z184" s="35"/>
    </row>
    <row r="185" ht="14.25" customHeight="1">
      <c r="A185" s="221"/>
      <c r="B185" s="231"/>
      <c r="C185" s="106"/>
      <c r="D185" s="223"/>
      <c r="E185" s="85"/>
      <c r="F185" s="238"/>
      <c r="G185" s="238"/>
      <c r="H185" s="523"/>
      <c r="I185" s="36">
        <f t="shared" si="1"/>
        <v>0</v>
      </c>
      <c r="J185" s="37">
        <f t="shared" si="2"/>
        <v>0</v>
      </c>
      <c r="K185" s="38">
        <f t="shared" si="3"/>
        <v>0</v>
      </c>
      <c r="L185" s="39">
        <f t="shared" si="4"/>
        <v>0</v>
      </c>
      <c r="M185" s="38">
        <f t="shared" si="5"/>
        <v>0</v>
      </c>
      <c r="N185" s="39">
        <f t="shared" si="6"/>
        <v>0</v>
      </c>
      <c r="O185" s="40"/>
      <c r="P185" s="34"/>
      <c r="Q185" s="35"/>
      <c r="R185" s="35"/>
      <c r="S185" s="35"/>
      <c r="T185" s="35"/>
      <c r="U185" s="35"/>
      <c r="V185" s="35"/>
      <c r="W185" s="35"/>
      <c r="X185" s="35"/>
      <c r="Y185" s="35"/>
      <c r="Z185" s="35"/>
    </row>
    <row r="186" ht="14.25" customHeight="1">
      <c r="A186" s="221"/>
      <c r="B186" s="231"/>
      <c r="C186" s="106"/>
      <c r="D186" s="223"/>
      <c r="E186" s="85"/>
      <c r="F186" s="238"/>
      <c r="G186" s="238"/>
      <c r="H186" s="523"/>
      <c r="I186" s="36">
        <f t="shared" si="1"/>
        <v>0</v>
      </c>
      <c r="J186" s="37">
        <f t="shared" si="2"/>
        <v>0</v>
      </c>
      <c r="K186" s="38">
        <f t="shared" si="3"/>
        <v>0</v>
      </c>
      <c r="L186" s="39">
        <f t="shared" si="4"/>
        <v>0</v>
      </c>
      <c r="M186" s="38">
        <f t="shared" si="5"/>
        <v>0</v>
      </c>
      <c r="N186" s="39">
        <f t="shared" si="6"/>
        <v>0</v>
      </c>
      <c r="O186" s="40"/>
      <c r="P186" s="34"/>
      <c r="Q186" s="35"/>
      <c r="R186" s="35"/>
      <c r="S186" s="35"/>
      <c r="T186" s="35"/>
      <c r="U186" s="35"/>
      <c r="V186" s="35"/>
      <c r="W186" s="35"/>
      <c r="X186" s="35"/>
      <c r="Y186" s="35"/>
      <c r="Z186" s="35"/>
    </row>
    <row r="187" ht="14.25" customHeight="1">
      <c r="A187" s="221"/>
      <c r="B187" s="231"/>
      <c r="C187" s="115"/>
      <c r="D187" s="223"/>
      <c r="E187" s="85"/>
      <c r="F187" s="238"/>
      <c r="G187" s="238"/>
      <c r="H187" s="523"/>
      <c r="I187" s="36">
        <f t="shared" si="1"/>
        <v>0</v>
      </c>
      <c r="J187" s="37">
        <f t="shared" si="2"/>
        <v>0</v>
      </c>
      <c r="K187" s="38">
        <f t="shared" si="3"/>
        <v>0</v>
      </c>
      <c r="L187" s="39">
        <f t="shared" si="4"/>
        <v>0</v>
      </c>
      <c r="M187" s="38">
        <f t="shared" si="5"/>
        <v>0</v>
      </c>
      <c r="N187" s="39">
        <f t="shared" si="6"/>
        <v>0</v>
      </c>
      <c r="O187" s="40"/>
      <c r="P187" s="34"/>
      <c r="Q187" s="35"/>
      <c r="R187" s="35"/>
      <c r="S187" s="35"/>
      <c r="T187" s="35"/>
      <c r="U187" s="35"/>
      <c r="V187" s="35"/>
      <c r="W187" s="35"/>
      <c r="X187" s="35"/>
      <c r="Y187" s="35"/>
      <c r="Z187" s="35"/>
    </row>
    <row r="188" ht="14.25" customHeight="1">
      <c r="A188" s="221"/>
      <c r="B188" s="231"/>
      <c r="C188" s="106"/>
      <c r="D188" s="223"/>
      <c r="E188" s="85"/>
      <c r="F188" s="238"/>
      <c r="G188" s="238"/>
      <c r="H188" s="523"/>
      <c r="I188" s="36">
        <f t="shared" si="1"/>
        <v>0</v>
      </c>
      <c r="J188" s="37">
        <f t="shared" si="2"/>
        <v>0</v>
      </c>
      <c r="K188" s="38">
        <f t="shared" si="3"/>
        <v>0</v>
      </c>
      <c r="L188" s="39">
        <f t="shared" si="4"/>
        <v>0</v>
      </c>
      <c r="M188" s="38">
        <f t="shared" si="5"/>
        <v>0</v>
      </c>
      <c r="N188" s="39">
        <f t="shared" si="6"/>
        <v>0</v>
      </c>
      <c r="O188" s="40"/>
      <c r="P188" s="34"/>
      <c r="Q188" s="35"/>
      <c r="R188" s="35"/>
      <c r="S188" s="35"/>
      <c r="T188" s="35"/>
      <c r="U188" s="35"/>
      <c r="V188" s="35"/>
      <c r="W188" s="35"/>
      <c r="X188" s="35"/>
      <c r="Y188" s="35"/>
      <c r="Z188" s="35"/>
    </row>
    <row r="189" ht="14.25" customHeight="1">
      <c r="A189" s="221"/>
      <c r="B189" s="231"/>
      <c r="C189" s="106"/>
      <c r="D189" s="223"/>
      <c r="E189" s="85"/>
      <c r="F189" s="238"/>
      <c r="G189" s="238"/>
      <c r="H189" s="523"/>
      <c r="I189" s="36">
        <f t="shared" si="1"/>
        <v>0</v>
      </c>
      <c r="J189" s="37">
        <f t="shared" si="2"/>
        <v>0</v>
      </c>
      <c r="K189" s="38">
        <f t="shared" si="3"/>
        <v>0</v>
      </c>
      <c r="L189" s="39">
        <f t="shared" si="4"/>
        <v>0</v>
      </c>
      <c r="M189" s="38">
        <f t="shared" si="5"/>
        <v>0</v>
      </c>
      <c r="N189" s="39">
        <f t="shared" si="6"/>
        <v>0</v>
      </c>
      <c r="O189" s="40"/>
      <c r="P189" s="34"/>
      <c r="Q189" s="35"/>
      <c r="R189" s="35"/>
      <c r="S189" s="35"/>
      <c r="T189" s="35"/>
      <c r="U189" s="35"/>
      <c r="V189" s="35"/>
      <c r="W189" s="35"/>
      <c r="X189" s="35"/>
      <c r="Y189" s="35"/>
      <c r="Z189" s="35"/>
    </row>
    <row r="190" ht="14.25" customHeight="1">
      <c r="A190" s="221"/>
      <c r="B190" s="231"/>
      <c r="C190" s="106"/>
      <c r="D190" s="223"/>
      <c r="E190" s="85"/>
      <c r="F190" s="238"/>
      <c r="G190" s="238"/>
      <c r="H190" s="523"/>
      <c r="I190" s="36">
        <f t="shared" si="1"/>
        <v>0</v>
      </c>
      <c r="J190" s="37">
        <f t="shared" si="2"/>
        <v>0</v>
      </c>
      <c r="K190" s="38">
        <f t="shared" si="3"/>
        <v>0</v>
      </c>
      <c r="L190" s="39">
        <f t="shared" si="4"/>
        <v>0</v>
      </c>
      <c r="M190" s="38">
        <f t="shared" si="5"/>
        <v>0</v>
      </c>
      <c r="N190" s="39">
        <f t="shared" si="6"/>
        <v>0</v>
      </c>
      <c r="O190" s="40"/>
      <c r="P190" s="34"/>
      <c r="Q190" s="35"/>
      <c r="R190" s="35"/>
      <c r="S190" s="35"/>
      <c r="T190" s="35"/>
      <c r="U190" s="35"/>
      <c r="V190" s="35"/>
      <c r="W190" s="35"/>
      <c r="X190" s="35"/>
      <c r="Y190" s="35"/>
      <c r="Z190" s="35"/>
    </row>
    <row r="191" ht="14.25" customHeight="1">
      <c r="A191" s="221"/>
      <c r="B191" s="231"/>
      <c r="C191" s="106"/>
      <c r="D191" s="223"/>
      <c r="E191" s="85"/>
      <c r="F191" s="238"/>
      <c r="G191" s="238"/>
      <c r="H191" s="523"/>
      <c r="I191" s="36">
        <f t="shared" si="1"/>
        <v>0</v>
      </c>
      <c r="J191" s="37">
        <f t="shared" si="2"/>
        <v>0</v>
      </c>
      <c r="K191" s="38">
        <f t="shared" si="3"/>
        <v>0</v>
      </c>
      <c r="L191" s="39">
        <f t="shared" si="4"/>
        <v>0</v>
      </c>
      <c r="M191" s="38">
        <f t="shared" si="5"/>
        <v>0</v>
      </c>
      <c r="N191" s="39">
        <f t="shared" si="6"/>
        <v>0</v>
      </c>
      <c r="O191" s="40"/>
      <c r="P191" s="34"/>
      <c r="Q191" s="35"/>
      <c r="R191" s="35"/>
      <c r="S191" s="35"/>
      <c r="T191" s="35"/>
      <c r="U191" s="35"/>
      <c r="V191" s="35"/>
      <c r="W191" s="35"/>
      <c r="X191" s="35"/>
      <c r="Y191" s="35"/>
      <c r="Z191" s="35"/>
    </row>
    <row r="192" ht="14.25" customHeight="1">
      <c r="A192" s="221"/>
      <c r="B192" s="231"/>
      <c r="C192" s="106"/>
      <c r="D192" s="223"/>
      <c r="E192" s="85"/>
      <c r="F192" s="238"/>
      <c r="G192" s="238"/>
      <c r="H192" s="523"/>
      <c r="I192" s="36">
        <f t="shared" si="1"/>
        <v>0</v>
      </c>
      <c r="J192" s="37">
        <f t="shared" si="2"/>
        <v>0</v>
      </c>
      <c r="K192" s="38">
        <f t="shared" si="3"/>
        <v>0</v>
      </c>
      <c r="L192" s="39">
        <f t="shared" si="4"/>
        <v>0</v>
      </c>
      <c r="M192" s="38">
        <f t="shared" si="5"/>
        <v>0</v>
      </c>
      <c r="N192" s="39">
        <f t="shared" si="6"/>
        <v>0</v>
      </c>
      <c r="O192" s="40"/>
      <c r="P192" s="34"/>
      <c r="Q192" s="35"/>
      <c r="R192" s="35"/>
      <c r="S192" s="35"/>
      <c r="T192" s="35"/>
      <c r="U192" s="35"/>
      <c r="V192" s="35"/>
      <c r="W192" s="35"/>
      <c r="X192" s="35"/>
      <c r="Y192" s="35"/>
      <c r="Z192" s="35"/>
    </row>
    <row r="193" ht="14.25" customHeight="1">
      <c r="A193" s="221"/>
      <c r="B193" s="231"/>
      <c r="C193" s="106"/>
      <c r="D193" s="223"/>
      <c r="E193" s="85"/>
      <c r="F193" s="238"/>
      <c r="G193" s="238"/>
      <c r="H193" s="523"/>
      <c r="I193" s="36">
        <f t="shared" si="1"/>
        <v>0</v>
      </c>
      <c r="J193" s="37">
        <f t="shared" si="2"/>
        <v>0</v>
      </c>
      <c r="K193" s="38">
        <f t="shared" si="3"/>
        <v>0</v>
      </c>
      <c r="L193" s="39">
        <f t="shared" si="4"/>
        <v>0</v>
      </c>
      <c r="M193" s="38">
        <f t="shared" si="5"/>
        <v>0</v>
      </c>
      <c r="N193" s="39">
        <f t="shared" si="6"/>
        <v>0</v>
      </c>
      <c r="O193" s="40"/>
      <c r="P193" s="34"/>
      <c r="Q193" s="35"/>
      <c r="R193" s="35"/>
      <c r="S193" s="35"/>
      <c r="T193" s="35"/>
      <c r="U193" s="35"/>
      <c r="V193" s="35"/>
      <c r="W193" s="35"/>
      <c r="X193" s="35"/>
      <c r="Y193" s="35"/>
      <c r="Z193" s="35"/>
    </row>
    <row r="194" ht="14.25" customHeight="1">
      <c r="A194" s="221"/>
      <c r="B194" s="231"/>
      <c r="C194" s="106"/>
      <c r="D194" s="223"/>
      <c r="E194" s="85"/>
      <c r="F194" s="238"/>
      <c r="G194" s="238"/>
      <c r="H194" s="523"/>
      <c r="I194" s="36">
        <f t="shared" si="1"/>
        <v>0</v>
      </c>
      <c r="J194" s="37">
        <f t="shared" si="2"/>
        <v>0</v>
      </c>
      <c r="K194" s="38">
        <f t="shared" si="3"/>
        <v>0</v>
      </c>
      <c r="L194" s="39">
        <f t="shared" si="4"/>
        <v>0</v>
      </c>
      <c r="M194" s="38">
        <f t="shared" si="5"/>
        <v>0</v>
      </c>
      <c r="N194" s="39">
        <f t="shared" si="6"/>
        <v>0</v>
      </c>
      <c r="O194" s="40"/>
      <c r="P194" s="34"/>
      <c r="Q194" s="35"/>
      <c r="R194" s="35"/>
      <c r="S194" s="35"/>
      <c r="T194" s="35"/>
      <c r="U194" s="35"/>
      <c r="V194" s="35"/>
      <c r="W194" s="35"/>
      <c r="X194" s="35"/>
      <c r="Y194" s="35"/>
      <c r="Z194" s="35"/>
    </row>
    <row r="195" ht="14.25" customHeight="1">
      <c r="A195" s="221"/>
      <c r="B195" s="231"/>
      <c r="C195" s="106"/>
      <c r="D195" s="223"/>
      <c r="E195" s="85"/>
      <c r="F195" s="238"/>
      <c r="G195" s="238"/>
      <c r="H195" s="523"/>
      <c r="I195" s="36">
        <f t="shared" si="1"/>
        <v>0</v>
      </c>
      <c r="J195" s="37">
        <f t="shared" si="2"/>
        <v>0</v>
      </c>
      <c r="K195" s="38">
        <f t="shared" si="3"/>
        <v>0</v>
      </c>
      <c r="L195" s="39">
        <f t="shared" si="4"/>
        <v>0</v>
      </c>
      <c r="M195" s="38">
        <f t="shared" si="5"/>
        <v>0</v>
      </c>
      <c r="N195" s="39">
        <f t="shared" si="6"/>
        <v>0</v>
      </c>
      <c r="O195" s="40"/>
      <c r="P195" s="34"/>
      <c r="Q195" s="35"/>
      <c r="R195" s="35"/>
      <c r="S195" s="35"/>
      <c r="T195" s="35"/>
      <c r="U195" s="35"/>
      <c r="V195" s="35"/>
      <c r="W195" s="35"/>
      <c r="X195" s="35"/>
      <c r="Y195" s="35"/>
      <c r="Z195" s="35"/>
    </row>
    <row r="196" ht="14.25" customHeight="1">
      <c r="A196" s="221"/>
      <c r="B196" s="231"/>
      <c r="C196" s="108"/>
      <c r="D196" s="525"/>
      <c r="E196" s="85"/>
      <c r="F196" s="238"/>
      <c r="G196" s="238"/>
      <c r="H196" s="523"/>
      <c r="I196" s="36">
        <f t="shared" si="1"/>
        <v>0</v>
      </c>
      <c r="J196" s="37">
        <f t="shared" si="2"/>
        <v>0</v>
      </c>
      <c r="K196" s="38">
        <f t="shared" si="3"/>
        <v>0</v>
      </c>
      <c r="L196" s="39">
        <f t="shared" si="4"/>
        <v>0</v>
      </c>
      <c r="M196" s="38">
        <f t="shared" si="5"/>
        <v>0</v>
      </c>
      <c r="N196" s="39">
        <f t="shared" si="6"/>
        <v>0</v>
      </c>
      <c r="O196" s="40"/>
      <c r="P196" s="34"/>
      <c r="Q196" s="35"/>
      <c r="R196" s="35"/>
      <c r="S196" s="35"/>
      <c r="T196" s="35"/>
      <c r="U196" s="35"/>
      <c r="V196" s="35"/>
      <c r="W196" s="35"/>
      <c r="X196" s="35"/>
      <c r="Y196" s="35"/>
      <c r="Z196" s="35"/>
    </row>
    <row r="197" ht="14.25" customHeight="1">
      <c r="A197" s="221"/>
      <c r="B197" s="231"/>
      <c r="C197" s="108"/>
      <c r="D197" s="525"/>
      <c r="E197" s="85"/>
      <c r="F197" s="238"/>
      <c r="G197" s="238"/>
      <c r="H197" s="523"/>
      <c r="I197" s="36">
        <f t="shared" si="1"/>
        <v>0</v>
      </c>
      <c r="J197" s="37">
        <f t="shared" si="2"/>
        <v>0</v>
      </c>
      <c r="K197" s="38">
        <f t="shared" si="3"/>
        <v>0</v>
      </c>
      <c r="L197" s="39">
        <f t="shared" si="4"/>
        <v>0</v>
      </c>
      <c r="M197" s="38">
        <f t="shared" si="5"/>
        <v>0</v>
      </c>
      <c r="N197" s="39">
        <f t="shared" si="6"/>
        <v>0</v>
      </c>
      <c r="O197" s="40"/>
      <c r="P197" s="34"/>
      <c r="Q197" s="35"/>
      <c r="R197" s="35"/>
      <c r="S197" s="35"/>
      <c r="T197" s="35"/>
      <c r="U197" s="35"/>
      <c r="V197" s="35"/>
      <c r="W197" s="35"/>
      <c r="X197" s="35"/>
      <c r="Y197" s="35"/>
      <c r="Z197" s="35"/>
    </row>
    <row r="198" ht="14.25" customHeight="1">
      <c r="A198" s="221"/>
      <c r="B198" s="231"/>
      <c r="C198" s="106"/>
      <c r="D198" s="223"/>
      <c r="E198" s="85"/>
      <c r="F198" s="238"/>
      <c r="G198" s="238"/>
      <c r="H198" s="523"/>
      <c r="I198" s="36">
        <f t="shared" si="1"/>
        <v>0</v>
      </c>
      <c r="J198" s="37">
        <f t="shared" si="2"/>
        <v>0</v>
      </c>
      <c r="K198" s="38">
        <f t="shared" si="3"/>
        <v>0</v>
      </c>
      <c r="L198" s="39">
        <f t="shared" si="4"/>
        <v>0</v>
      </c>
      <c r="M198" s="38">
        <f t="shared" si="5"/>
        <v>0</v>
      </c>
      <c r="N198" s="39">
        <f t="shared" si="6"/>
        <v>0</v>
      </c>
      <c r="O198" s="40"/>
      <c r="P198" s="34"/>
      <c r="Q198" s="35"/>
      <c r="R198" s="35"/>
      <c r="S198" s="35"/>
      <c r="T198" s="35"/>
      <c r="U198" s="35"/>
      <c r="V198" s="35"/>
      <c r="W198" s="35"/>
      <c r="X198" s="35"/>
      <c r="Y198" s="35"/>
      <c r="Z198" s="35"/>
    </row>
    <row r="199" ht="14.25" customHeight="1">
      <c r="A199" s="221"/>
      <c r="B199" s="231"/>
      <c r="C199" s="106"/>
      <c r="D199" s="223"/>
      <c r="E199" s="85"/>
      <c r="F199" s="238"/>
      <c r="G199" s="238"/>
      <c r="H199" s="523"/>
      <c r="I199" s="36">
        <f t="shared" si="1"/>
        <v>0</v>
      </c>
      <c r="J199" s="37">
        <f t="shared" si="2"/>
        <v>0</v>
      </c>
      <c r="K199" s="38">
        <f t="shared" si="3"/>
        <v>0</v>
      </c>
      <c r="L199" s="39">
        <f t="shared" si="4"/>
        <v>0</v>
      </c>
      <c r="M199" s="38">
        <f t="shared" si="5"/>
        <v>0</v>
      </c>
      <c r="N199" s="39">
        <f t="shared" si="6"/>
        <v>0</v>
      </c>
      <c r="O199" s="40"/>
      <c r="P199" s="34"/>
      <c r="Q199" s="35"/>
      <c r="R199" s="35"/>
      <c r="S199" s="35"/>
      <c r="T199" s="35"/>
      <c r="U199" s="35"/>
      <c r="V199" s="35"/>
      <c r="W199" s="35"/>
      <c r="X199" s="35"/>
      <c r="Y199" s="35"/>
      <c r="Z199" s="35"/>
    </row>
    <row r="200" ht="14.25" customHeight="1">
      <c r="A200" s="221"/>
      <c r="B200" s="231"/>
      <c r="C200" s="106"/>
      <c r="D200" s="223"/>
      <c r="E200" s="85"/>
      <c r="F200" s="238"/>
      <c r="G200" s="238"/>
      <c r="H200" s="523"/>
      <c r="I200" s="36">
        <f t="shared" si="1"/>
        <v>0</v>
      </c>
      <c r="J200" s="37">
        <f t="shared" si="2"/>
        <v>0</v>
      </c>
      <c r="K200" s="38">
        <f t="shared" si="3"/>
        <v>0</v>
      </c>
      <c r="L200" s="39">
        <f t="shared" si="4"/>
        <v>0</v>
      </c>
      <c r="M200" s="38">
        <f t="shared" si="5"/>
        <v>0</v>
      </c>
      <c r="N200" s="39">
        <f t="shared" si="6"/>
        <v>0</v>
      </c>
      <c r="O200" s="40"/>
      <c r="P200" s="34"/>
      <c r="Q200" s="35"/>
      <c r="R200" s="35"/>
      <c r="S200" s="35"/>
      <c r="T200" s="35"/>
      <c r="U200" s="35"/>
      <c r="V200" s="35"/>
      <c r="W200" s="35"/>
      <c r="X200" s="35"/>
      <c r="Y200" s="35"/>
      <c r="Z200" s="35"/>
    </row>
    <row r="201" ht="14.25" customHeight="1">
      <c r="A201" s="221"/>
      <c r="B201" s="231"/>
      <c r="C201" s="106"/>
      <c r="D201" s="223"/>
      <c r="E201" s="85"/>
      <c r="F201" s="238"/>
      <c r="G201" s="238"/>
      <c r="H201" s="523"/>
      <c r="I201" s="36">
        <f t="shared" si="1"/>
        <v>0</v>
      </c>
      <c r="J201" s="37">
        <f t="shared" si="2"/>
        <v>0</v>
      </c>
      <c r="K201" s="38">
        <f t="shared" si="3"/>
        <v>0</v>
      </c>
      <c r="L201" s="39">
        <f t="shared" si="4"/>
        <v>0</v>
      </c>
      <c r="M201" s="38">
        <f t="shared" si="5"/>
        <v>0</v>
      </c>
      <c r="N201" s="39">
        <f t="shared" si="6"/>
        <v>0</v>
      </c>
      <c r="O201" s="40"/>
      <c r="P201" s="34"/>
      <c r="Q201" s="35"/>
      <c r="R201" s="35"/>
      <c r="S201" s="35"/>
      <c r="T201" s="35"/>
      <c r="U201" s="35"/>
      <c r="V201" s="35"/>
      <c r="W201" s="35"/>
      <c r="X201" s="35"/>
      <c r="Y201" s="35"/>
      <c r="Z201" s="35"/>
    </row>
    <row r="202" ht="14.25" customHeight="1">
      <c r="A202" s="221"/>
      <c r="B202" s="231"/>
      <c r="C202" s="106"/>
      <c r="D202" s="223"/>
      <c r="E202" s="85"/>
      <c r="F202" s="238"/>
      <c r="G202" s="238"/>
      <c r="H202" s="523"/>
      <c r="I202" s="36">
        <f t="shared" si="1"/>
        <v>0</v>
      </c>
      <c r="J202" s="37">
        <f t="shared" si="2"/>
        <v>0</v>
      </c>
      <c r="K202" s="38">
        <f t="shared" si="3"/>
        <v>0</v>
      </c>
      <c r="L202" s="39">
        <f t="shared" si="4"/>
        <v>0</v>
      </c>
      <c r="M202" s="38">
        <f t="shared" si="5"/>
        <v>0</v>
      </c>
      <c r="N202" s="39">
        <f t="shared" si="6"/>
        <v>0</v>
      </c>
      <c r="O202" s="40"/>
      <c r="P202" s="34"/>
      <c r="Q202" s="35"/>
      <c r="R202" s="35"/>
      <c r="S202" s="35"/>
      <c r="T202" s="35"/>
      <c r="U202" s="35"/>
      <c r="V202" s="35"/>
      <c r="W202" s="35"/>
      <c r="X202" s="35"/>
      <c r="Y202" s="35"/>
      <c r="Z202" s="35"/>
    </row>
    <row r="203" ht="14.25" customHeight="1">
      <c r="A203" s="221"/>
      <c r="B203" s="231"/>
      <c r="C203" s="108"/>
      <c r="D203" s="223"/>
      <c r="E203" s="85"/>
      <c r="F203" s="239"/>
      <c r="G203" s="239"/>
      <c r="H203" s="523"/>
      <c r="I203" s="36">
        <f t="shared" si="1"/>
        <v>0</v>
      </c>
      <c r="J203" s="37">
        <f t="shared" si="2"/>
        <v>0</v>
      </c>
      <c r="K203" s="38">
        <f t="shared" si="3"/>
        <v>0</v>
      </c>
      <c r="L203" s="39">
        <f t="shared" si="4"/>
        <v>0</v>
      </c>
      <c r="M203" s="38">
        <f t="shared" si="5"/>
        <v>0</v>
      </c>
      <c r="N203" s="39">
        <f t="shared" si="6"/>
        <v>0</v>
      </c>
      <c r="O203" s="40"/>
      <c r="P203" s="34"/>
      <c r="Q203" s="35"/>
      <c r="R203" s="35"/>
      <c r="S203" s="35"/>
      <c r="T203" s="35"/>
      <c r="U203" s="35"/>
      <c r="V203" s="35"/>
      <c r="W203" s="35"/>
      <c r="X203" s="35"/>
      <c r="Y203" s="35"/>
      <c r="Z203" s="35"/>
    </row>
    <row r="204" ht="14.25" customHeight="1">
      <c r="A204" s="221"/>
      <c r="B204" s="231"/>
      <c r="C204" s="106"/>
      <c r="D204" s="240"/>
      <c r="E204" s="85"/>
      <c r="F204" s="238"/>
      <c r="G204" s="238"/>
      <c r="H204" s="523"/>
      <c r="I204" s="36">
        <f t="shared" si="1"/>
        <v>0</v>
      </c>
      <c r="J204" s="37">
        <f t="shared" si="2"/>
        <v>0</v>
      </c>
      <c r="K204" s="38">
        <f t="shared" si="3"/>
        <v>0</v>
      </c>
      <c r="L204" s="39">
        <f t="shared" si="4"/>
        <v>0</v>
      </c>
      <c r="M204" s="38">
        <f t="shared" si="5"/>
        <v>0</v>
      </c>
      <c r="N204" s="39">
        <f t="shared" si="6"/>
        <v>0</v>
      </c>
      <c r="O204" s="40"/>
      <c r="P204" s="34"/>
      <c r="Q204" s="35"/>
      <c r="R204" s="35"/>
      <c r="S204" s="35"/>
      <c r="T204" s="35"/>
      <c r="U204" s="35"/>
      <c r="V204" s="35"/>
      <c r="W204" s="35"/>
      <c r="X204" s="35"/>
      <c r="Y204" s="35"/>
      <c r="Z204" s="35"/>
    </row>
    <row r="205" ht="14.25" customHeight="1">
      <c r="A205" s="221"/>
      <c r="B205" s="231"/>
      <c r="C205" s="106"/>
      <c r="D205" s="240"/>
      <c r="E205" s="85"/>
      <c r="F205" s="238"/>
      <c r="G205" s="238"/>
      <c r="H205" s="523"/>
      <c r="I205" s="36">
        <f t="shared" si="1"/>
        <v>0</v>
      </c>
      <c r="J205" s="37">
        <f t="shared" si="2"/>
        <v>0</v>
      </c>
      <c r="K205" s="38">
        <f t="shared" si="3"/>
        <v>0</v>
      </c>
      <c r="L205" s="39">
        <f t="shared" si="4"/>
        <v>0</v>
      </c>
      <c r="M205" s="38">
        <f t="shared" si="5"/>
        <v>0</v>
      </c>
      <c r="N205" s="39">
        <f t="shared" si="6"/>
        <v>0</v>
      </c>
      <c r="O205" s="40"/>
      <c r="P205" s="34"/>
      <c r="Q205" s="35"/>
      <c r="R205" s="35"/>
      <c r="S205" s="35"/>
      <c r="T205" s="35"/>
      <c r="U205" s="35"/>
      <c r="V205" s="35"/>
      <c r="W205" s="35"/>
      <c r="X205" s="35"/>
      <c r="Y205" s="35"/>
      <c r="Z205" s="35"/>
    </row>
    <row r="206" ht="14.25" customHeight="1">
      <c r="A206" s="221"/>
      <c r="B206" s="231"/>
      <c r="C206" s="106"/>
      <c r="D206" s="525"/>
      <c r="E206" s="110"/>
      <c r="F206" s="238"/>
      <c r="G206" s="238"/>
      <c r="H206" s="523"/>
      <c r="I206" s="36">
        <f t="shared" si="1"/>
        <v>0</v>
      </c>
      <c r="J206" s="37">
        <f t="shared" si="2"/>
        <v>0</v>
      </c>
      <c r="K206" s="38">
        <f t="shared" si="3"/>
        <v>0</v>
      </c>
      <c r="L206" s="39">
        <f t="shared" si="4"/>
        <v>0</v>
      </c>
      <c r="M206" s="38">
        <f t="shared" si="5"/>
        <v>0</v>
      </c>
      <c r="N206" s="39">
        <f t="shared" si="6"/>
        <v>0</v>
      </c>
      <c r="O206" s="40"/>
      <c r="P206" s="34"/>
      <c r="Q206" s="35"/>
      <c r="R206" s="35"/>
      <c r="S206" s="35"/>
      <c r="T206" s="35"/>
      <c r="U206" s="35"/>
      <c r="V206" s="35"/>
      <c r="W206" s="35"/>
      <c r="X206" s="35"/>
      <c r="Y206" s="35"/>
      <c r="Z206" s="35"/>
    </row>
    <row r="207" ht="14.25" customHeight="1">
      <c r="A207" s="221"/>
      <c r="B207" s="231"/>
      <c r="C207" s="108"/>
      <c r="D207" s="525"/>
      <c r="E207" s="85"/>
      <c r="F207" s="238"/>
      <c r="G207" s="238"/>
      <c r="H207" s="523"/>
      <c r="I207" s="36">
        <f t="shared" si="1"/>
        <v>0</v>
      </c>
      <c r="J207" s="37">
        <f t="shared" si="2"/>
        <v>0</v>
      </c>
      <c r="K207" s="38">
        <f t="shared" si="3"/>
        <v>0</v>
      </c>
      <c r="L207" s="39">
        <f t="shared" si="4"/>
        <v>0</v>
      </c>
      <c r="M207" s="38">
        <f t="shared" si="5"/>
        <v>0</v>
      </c>
      <c r="N207" s="39">
        <f t="shared" si="6"/>
        <v>0</v>
      </c>
      <c r="O207" s="40"/>
      <c r="P207" s="34"/>
      <c r="Q207" s="35"/>
      <c r="R207" s="35"/>
      <c r="S207" s="35"/>
      <c r="T207" s="35"/>
      <c r="U207" s="35"/>
      <c r="V207" s="35"/>
      <c r="W207" s="35"/>
      <c r="X207" s="35"/>
      <c r="Y207" s="35"/>
      <c r="Z207" s="35"/>
    </row>
    <row r="208" ht="14.25" customHeight="1">
      <c r="A208" s="221"/>
      <c r="B208" s="231"/>
      <c r="C208" s="108"/>
      <c r="D208" s="525"/>
      <c r="E208" s="85"/>
      <c r="F208" s="238"/>
      <c r="G208" s="238"/>
      <c r="H208" s="523"/>
      <c r="I208" s="36">
        <f t="shared" si="1"/>
        <v>0</v>
      </c>
      <c r="J208" s="37">
        <f t="shared" si="2"/>
        <v>0</v>
      </c>
      <c r="K208" s="38">
        <f t="shared" si="3"/>
        <v>0</v>
      </c>
      <c r="L208" s="39">
        <f t="shared" si="4"/>
        <v>0</v>
      </c>
      <c r="M208" s="38">
        <f t="shared" si="5"/>
        <v>0</v>
      </c>
      <c r="N208" s="39">
        <f t="shared" si="6"/>
        <v>0</v>
      </c>
      <c r="O208" s="40"/>
      <c r="P208" s="34"/>
      <c r="Q208" s="35"/>
      <c r="R208" s="35"/>
      <c r="S208" s="35"/>
      <c r="T208" s="35"/>
      <c r="U208" s="35"/>
      <c r="V208" s="35"/>
      <c r="W208" s="35"/>
      <c r="X208" s="35"/>
      <c r="Y208" s="35"/>
      <c r="Z208" s="35"/>
    </row>
    <row r="209" ht="14.25" customHeight="1">
      <c r="A209" s="221"/>
      <c r="B209" s="231"/>
      <c r="C209" s="111"/>
      <c r="D209" s="241"/>
      <c r="E209" s="85"/>
      <c r="F209" s="242"/>
      <c r="G209" s="242"/>
      <c r="H209" s="523"/>
      <c r="I209" s="36">
        <f t="shared" si="1"/>
        <v>0</v>
      </c>
      <c r="J209" s="37">
        <f t="shared" si="2"/>
        <v>0</v>
      </c>
      <c r="K209" s="38">
        <f t="shared" si="3"/>
        <v>0</v>
      </c>
      <c r="L209" s="39">
        <f t="shared" si="4"/>
        <v>0</v>
      </c>
      <c r="M209" s="38">
        <f t="shared" si="5"/>
        <v>0</v>
      </c>
      <c r="N209" s="39">
        <f t="shared" si="6"/>
        <v>0</v>
      </c>
      <c r="O209" s="40"/>
      <c r="P209" s="34"/>
      <c r="Q209" s="35"/>
      <c r="R209" s="35"/>
      <c r="S209" s="35"/>
      <c r="T209" s="35"/>
      <c r="U209" s="35"/>
      <c r="V209" s="35"/>
      <c r="W209" s="35"/>
      <c r="X209" s="35"/>
      <c r="Y209" s="35"/>
      <c r="Z209" s="35"/>
    </row>
    <row r="210" ht="14.25" customHeight="1">
      <c r="A210" s="221"/>
      <c r="B210" s="231"/>
      <c r="C210" s="111"/>
      <c r="D210" s="241"/>
      <c r="E210" s="85"/>
      <c r="F210" s="242"/>
      <c r="G210" s="242"/>
      <c r="H210" s="523"/>
      <c r="I210" s="36">
        <f t="shared" si="1"/>
        <v>0</v>
      </c>
      <c r="J210" s="37">
        <f t="shared" si="2"/>
        <v>0</v>
      </c>
      <c r="K210" s="38">
        <f t="shared" si="3"/>
        <v>0</v>
      </c>
      <c r="L210" s="39">
        <f t="shared" si="4"/>
        <v>0</v>
      </c>
      <c r="M210" s="38">
        <f t="shared" si="5"/>
        <v>0</v>
      </c>
      <c r="N210" s="39">
        <f t="shared" si="6"/>
        <v>0</v>
      </c>
      <c r="O210" s="40"/>
      <c r="P210" s="34"/>
      <c r="Q210" s="35"/>
      <c r="R210" s="35"/>
      <c r="S210" s="35"/>
      <c r="T210" s="35"/>
      <c r="U210" s="35"/>
      <c r="V210" s="35"/>
      <c r="W210" s="35"/>
      <c r="X210" s="35"/>
      <c r="Y210" s="35"/>
      <c r="Z210" s="35"/>
    </row>
    <row r="211" ht="14.25" customHeight="1">
      <c r="A211" s="221"/>
      <c r="B211" s="231"/>
      <c r="C211" s="111"/>
      <c r="D211" s="241"/>
      <c r="E211" s="85"/>
      <c r="F211" s="242"/>
      <c r="G211" s="242"/>
      <c r="H211" s="523"/>
      <c r="I211" s="36">
        <f t="shared" si="1"/>
        <v>0</v>
      </c>
      <c r="J211" s="37">
        <f t="shared" si="2"/>
        <v>0</v>
      </c>
      <c r="K211" s="38">
        <f t="shared" si="3"/>
        <v>0</v>
      </c>
      <c r="L211" s="39">
        <f t="shared" si="4"/>
        <v>0</v>
      </c>
      <c r="M211" s="38">
        <f t="shared" si="5"/>
        <v>0</v>
      </c>
      <c r="N211" s="39">
        <f t="shared" si="6"/>
        <v>0</v>
      </c>
      <c r="O211" s="40"/>
      <c r="P211" s="34"/>
      <c r="Q211" s="35"/>
      <c r="R211" s="35"/>
      <c r="S211" s="35"/>
      <c r="T211" s="35"/>
      <c r="U211" s="35"/>
      <c r="V211" s="35"/>
      <c r="W211" s="35"/>
      <c r="X211" s="35"/>
      <c r="Y211" s="35"/>
      <c r="Z211" s="35"/>
    </row>
    <row r="212" ht="14.25" customHeight="1">
      <c r="A212" s="221"/>
      <c r="B212" s="231"/>
      <c r="C212" s="111"/>
      <c r="D212" s="241"/>
      <c r="E212" s="85"/>
      <c r="F212" s="242"/>
      <c r="G212" s="242"/>
      <c r="H212" s="523"/>
      <c r="I212" s="36">
        <f t="shared" si="1"/>
        <v>0</v>
      </c>
      <c r="J212" s="37">
        <f t="shared" si="2"/>
        <v>0</v>
      </c>
      <c r="K212" s="38">
        <f t="shared" si="3"/>
        <v>0</v>
      </c>
      <c r="L212" s="39">
        <f t="shared" si="4"/>
        <v>0</v>
      </c>
      <c r="M212" s="38">
        <f t="shared" si="5"/>
        <v>0</v>
      </c>
      <c r="N212" s="39">
        <f t="shared" si="6"/>
        <v>0</v>
      </c>
      <c r="O212" s="40"/>
      <c r="P212" s="34"/>
      <c r="Q212" s="35"/>
      <c r="R212" s="35"/>
      <c r="S212" s="35"/>
      <c r="T212" s="35"/>
      <c r="U212" s="35"/>
      <c r="V212" s="35"/>
      <c r="W212" s="35"/>
      <c r="X212" s="35"/>
      <c r="Y212" s="35"/>
      <c r="Z212" s="35"/>
    </row>
    <row r="213" ht="14.25" customHeight="1">
      <c r="A213" s="221"/>
      <c r="B213" s="231"/>
      <c r="C213" s="111"/>
      <c r="D213" s="241"/>
      <c r="E213" s="85"/>
      <c r="F213" s="242"/>
      <c r="G213" s="242"/>
      <c r="H213" s="523"/>
      <c r="I213" s="36">
        <f t="shared" si="1"/>
        <v>0</v>
      </c>
      <c r="J213" s="37">
        <f t="shared" si="2"/>
        <v>0</v>
      </c>
      <c r="K213" s="38">
        <f t="shared" si="3"/>
        <v>0</v>
      </c>
      <c r="L213" s="39">
        <f t="shared" si="4"/>
        <v>0</v>
      </c>
      <c r="M213" s="38">
        <f t="shared" si="5"/>
        <v>0</v>
      </c>
      <c r="N213" s="39">
        <f t="shared" si="6"/>
        <v>0</v>
      </c>
      <c r="O213" s="40"/>
      <c r="P213" s="34"/>
      <c r="Q213" s="35"/>
      <c r="R213" s="35"/>
      <c r="S213" s="35"/>
      <c r="T213" s="35"/>
      <c r="U213" s="35"/>
      <c r="V213" s="35"/>
      <c r="W213" s="35"/>
      <c r="X213" s="35"/>
      <c r="Y213" s="35"/>
      <c r="Z213" s="35"/>
    </row>
    <row r="214" ht="14.25" customHeight="1">
      <c r="A214" s="221"/>
      <c r="B214" s="231"/>
      <c r="C214" s="111"/>
      <c r="D214" s="241"/>
      <c r="E214" s="85"/>
      <c r="F214" s="242"/>
      <c r="G214" s="242"/>
      <c r="H214" s="523"/>
      <c r="I214" s="36">
        <f t="shared" si="1"/>
        <v>0</v>
      </c>
      <c r="J214" s="37">
        <f t="shared" si="2"/>
        <v>0</v>
      </c>
      <c r="K214" s="38">
        <f t="shared" si="3"/>
        <v>0</v>
      </c>
      <c r="L214" s="39">
        <f t="shared" si="4"/>
        <v>0</v>
      </c>
      <c r="M214" s="38">
        <f t="shared" si="5"/>
        <v>0</v>
      </c>
      <c r="N214" s="39">
        <f t="shared" si="6"/>
        <v>0</v>
      </c>
      <c r="O214" s="40"/>
      <c r="P214" s="34"/>
      <c r="Q214" s="35"/>
      <c r="R214" s="35"/>
      <c r="S214" s="35"/>
      <c r="T214" s="35"/>
      <c r="U214" s="35"/>
      <c r="V214" s="35"/>
      <c r="W214" s="35"/>
      <c r="X214" s="35"/>
      <c r="Y214" s="35"/>
      <c r="Z214" s="35"/>
    </row>
    <row r="215" ht="14.25" customHeight="1">
      <c r="A215" s="221"/>
      <c r="B215" s="231"/>
      <c r="C215" s="111"/>
      <c r="D215" s="241"/>
      <c r="E215" s="85"/>
      <c r="F215" s="242"/>
      <c r="G215" s="242"/>
      <c r="H215" s="523"/>
      <c r="I215" s="36">
        <f t="shared" si="1"/>
        <v>0</v>
      </c>
      <c r="J215" s="37">
        <f t="shared" si="2"/>
        <v>0</v>
      </c>
      <c r="K215" s="38">
        <f t="shared" si="3"/>
        <v>0</v>
      </c>
      <c r="L215" s="39">
        <f t="shared" si="4"/>
        <v>0</v>
      </c>
      <c r="M215" s="38">
        <f t="shared" si="5"/>
        <v>0</v>
      </c>
      <c r="N215" s="39">
        <f t="shared" si="6"/>
        <v>0</v>
      </c>
      <c r="O215" s="40"/>
      <c r="P215" s="34"/>
      <c r="Q215" s="35"/>
      <c r="R215" s="35"/>
      <c r="S215" s="35"/>
      <c r="T215" s="35"/>
      <c r="U215" s="35"/>
      <c r="V215" s="35"/>
      <c r="W215" s="35"/>
      <c r="X215" s="35"/>
      <c r="Y215" s="35"/>
      <c r="Z215" s="35"/>
    </row>
    <row r="216" ht="14.25" customHeight="1">
      <c r="A216" s="221"/>
      <c r="B216" s="231"/>
      <c r="C216" s="111"/>
      <c r="D216" s="241"/>
      <c r="E216" s="85"/>
      <c r="F216" s="242"/>
      <c r="G216" s="242"/>
      <c r="H216" s="523"/>
      <c r="I216" s="36">
        <f t="shared" si="1"/>
        <v>0</v>
      </c>
      <c r="J216" s="37">
        <f t="shared" si="2"/>
        <v>0</v>
      </c>
      <c r="K216" s="38">
        <f t="shared" si="3"/>
        <v>0</v>
      </c>
      <c r="L216" s="39">
        <f t="shared" si="4"/>
        <v>0</v>
      </c>
      <c r="M216" s="38">
        <f t="shared" si="5"/>
        <v>0</v>
      </c>
      <c r="N216" s="39">
        <f t="shared" si="6"/>
        <v>0</v>
      </c>
      <c r="O216" s="40"/>
      <c r="P216" s="34"/>
      <c r="Q216" s="35"/>
      <c r="R216" s="35"/>
      <c r="S216" s="35"/>
      <c r="T216" s="35"/>
      <c r="U216" s="35"/>
      <c r="V216" s="35"/>
      <c r="W216" s="35"/>
      <c r="X216" s="35"/>
      <c r="Y216" s="35"/>
      <c r="Z216" s="35"/>
    </row>
    <row r="217" ht="14.25" customHeight="1">
      <c r="A217" s="221"/>
      <c r="B217" s="231"/>
      <c r="C217" s="111"/>
      <c r="D217" s="241"/>
      <c r="E217" s="85"/>
      <c r="F217" s="242"/>
      <c r="G217" s="242"/>
      <c r="H217" s="523"/>
      <c r="I217" s="36">
        <f t="shared" si="1"/>
        <v>0</v>
      </c>
      <c r="J217" s="37">
        <f t="shared" si="2"/>
        <v>0</v>
      </c>
      <c r="K217" s="38">
        <f t="shared" si="3"/>
        <v>0</v>
      </c>
      <c r="L217" s="39">
        <f t="shared" si="4"/>
        <v>0</v>
      </c>
      <c r="M217" s="38">
        <f t="shared" si="5"/>
        <v>0</v>
      </c>
      <c r="N217" s="39">
        <f t="shared" si="6"/>
        <v>0</v>
      </c>
      <c r="O217" s="40"/>
      <c r="P217" s="34"/>
      <c r="Q217" s="35"/>
      <c r="R217" s="35"/>
      <c r="S217" s="35"/>
      <c r="T217" s="35"/>
      <c r="U217" s="35"/>
      <c r="V217" s="35"/>
      <c r="W217" s="35"/>
      <c r="X217" s="35"/>
      <c r="Y217" s="35"/>
      <c r="Z217" s="35"/>
    </row>
    <row r="218" ht="14.25" customHeight="1">
      <c r="A218" s="221"/>
      <c r="B218" s="231"/>
      <c r="C218" s="111"/>
      <c r="D218" s="241"/>
      <c r="E218" s="85"/>
      <c r="F218" s="242"/>
      <c r="G218" s="242"/>
      <c r="H218" s="523"/>
      <c r="I218" s="36">
        <f t="shared" si="1"/>
        <v>0</v>
      </c>
      <c r="J218" s="37">
        <f t="shared" si="2"/>
        <v>0</v>
      </c>
      <c r="K218" s="38">
        <f t="shared" si="3"/>
        <v>0</v>
      </c>
      <c r="L218" s="39">
        <f t="shared" si="4"/>
        <v>0</v>
      </c>
      <c r="M218" s="38">
        <f t="shared" si="5"/>
        <v>0</v>
      </c>
      <c r="N218" s="39">
        <f t="shared" si="6"/>
        <v>0</v>
      </c>
      <c r="O218" s="40"/>
      <c r="P218" s="34"/>
      <c r="Q218" s="35"/>
      <c r="R218" s="35"/>
      <c r="S218" s="35"/>
      <c r="T218" s="35"/>
      <c r="U218" s="35"/>
      <c r="V218" s="35"/>
      <c r="W218" s="35"/>
      <c r="X218" s="35"/>
      <c r="Y218" s="35"/>
      <c r="Z218" s="35"/>
    </row>
    <row r="219" ht="14.25" customHeight="1">
      <c r="A219" s="221"/>
      <c r="B219" s="231"/>
      <c r="C219" s="111"/>
      <c r="D219" s="241"/>
      <c r="E219" s="85"/>
      <c r="F219" s="242"/>
      <c r="G219" s="242"/>
      <c r="H219" s="523"/>
      <c r="I219" s="36">
        <f t="shared" si="1"/>
        <v>0</v>
      </c>
      <c r="J219" s="37">
        <f t="shared" si="2"/>
        <v>0</v>
      </c>
      <c r="K219" s="38">
        <f t="shared" si="3"/>
        <v>0</v>
      </c>
      <c r="L219" s="39">
        <f t="shared" si="4"/>
        <v>0</v>
      </c>
      <c r="M219" s="38">
        <f t="shared" si="5"/>
        <v>0</v>
      </c>
      <c r="N219" s="39">
        <f t="shared" si="6"/>
        <v>0</v>
      </c>
      <c r="O219" s="40"/>
      <c r="P219" s="34"/>
      <c r="Q219" s="35"/>
      <c r="R219" s="35"/>
      <c r="S219" s="35"/>
      <c r="T219" s="35"/>
      <c r="U219" s="35"/>
      <c r="V219" s="35"/>
      <c r="W219" s="35"/>
      <c r="X219" s="35"/>
      <c r="Y219" s="35"/>
      <c r="Z219" s="35"/>
    </row>
    <row r="220" ht="14.25" customHeight="1">
      <c r="A220" s="221"/>
      <c r="B220" s="231"/>
      <c r="C220" s="113"/>
      <c r="D220" s="241"/>
      <c r="E220" s="85"/>
      <c r="F220" s="243"/>
      <c r="G220" s="243"/>
      <c r="H220" s="523"/>
      <c r="I220" s="36">
        <f t="shared" si="1"/>
        <v>0</v>
      </c>
      <c r="J220" s="37">
        <f t="shared" si="2"/>
        <v>0</v>
      </c>
      <c r="K220" s="38">
        <f t="shared" si="3"/>
        <v>0</v>
      </c>
      <c r="L220" s="39">
        <f t="shared" si="4"/>
        <v>0</v>
      </c>
      <c r="M220" s="38">
        <f t="shared" si="5"/>
        <v>0</v>
      </c>
      <c r="N220" s="39">
        <f t="shared" si="6"/>
        <v>0</v>
      </c>
      <c r="O220" s="40"/>
      <c r="P220" s="34"/>
      <c r="Q220" s="35"/>
      <c r="R220" s="35"/>
      <c r="S220" s="35"/>
      <c r="T220" s="35"/>
      <c r="U220" s="35"/>
      <c r="V220" s="35"/>
      <c r="W220" s="35"/>
      <c r="X220" s="35"/>
      <c r="Y220" s="35"/>
      <c r="Z220" s="35"/>
    </row>
    <row r="221" ht="14.25" customHeight="1">
      <c r="A221" s="221"/>
      <c r="B221" s="231"/>
      <c r="C221" s="108"/>
      <c r="D221" s="241"/>
      <c r="E221" s="85"/>
      <c r="F221" s="242"/>
      <c r="G221" s="242"/>
      <c r="H221" s="523"/>
      <c r="I221" s="36">
        <f t="shared" si="1"/>
        <v>0</v>
      </c>
      <c r="J221" s="37">
        <f t="shared" si="2"/>
        <v>0</v>
      </c>
      <c r="K221" s="38">
        <f t="shared" si="3"/>
        <v>0</v>
      </c>
      <c r="L221" s="39">
        <f t="shared" si="4"/>
        <v>0</v>
      </c>
      <c r="M221" s="38">
        <f t="shared" si="5"/>
        <v>0</v>
      </c>
      <c r="N221" s="39">
        <f t="shared" si="6"/>
        <v>0</v>
      </c>
      <c r="O221" s="40"/>
      <c r="P221" s="34"/>
      <c r="Q221" s="35"/>
      <c r="R221" s="35"/>
      <c r="S221" s="35"/>
      <c r="T221" s="35"/>
      <c r="U221" s="35"/>
      <c r="V221" s="35"/>
      <c r="W221" s="35"/>
      <c r="X221" s="35"/>
      <c r="Y221" s="35"/>
      <c r="Z221" s="35"/>
    </row>
    <row r="222" ht="14.25" customHeight="1">
      <c r="A222" s="221"/>
      <c r="B222" s="231"/>
      <c r="C222" s="108"/>
      <c r="D222" s="241"/>
      <c r="E222" s="101"/>
      <c r="F222" s="242"/>
      <c r="G222" s="242"/>
      <c r="H222" s="523"/>
      <c r="I222" s="36">
        <f t="shared" si="1"/>
        <v>0</v>
      </c>
      <c r="J222" s="37">
        <f t="shared" si="2"/>
        <v>0</v>
      </c>
      <c r="K222" s="38">
        <f t="shared" si="3"/>
        <v>0</v>
      </c>
      <c r="L222" s="39">
        <f t="shared" si="4"/>
        <v>0</v>
      </c>
      <c r="M222" s="38">
        <f t="shared" si="5"/>
        <v>0</v>
      </c>
      <c r="N222" s="39">
        <f t="shared" si="6"/>
        <v>0</v>
      </c>
      <c r="O222" s="40"/>
      <c r="P222" s="34"/>
      <c r="Q222" s="35"/>
      <c r="R222" s="35"/>
      <c r="S222" s="35"/>
      <c r="T222" s="35"/>
      <c r="U222" s="35"/>
      <c r="V222" s="35"/>
      <c r="W222" s="35"/>
      <c r="X222" s="35"/>
      <c r="Y222" s="35"/>
      <c r="Z222" s="35"/>
    </row>
    <row r="223" ht="14.25" customHeight="1">
      <c r="A223" s="221"/>
      <c r="B223" s="231"/>
      <c r="C223" s="108"/>
      <c r="D223" s="241"/>
      <c r="E223" s="101"/>
      <c r="F223" s="242"/>
      <c r="G223" s="242"/>
      <c r="H223" s="523"/>
      <c r="I223" s="36">
        <f t="shared" si="1"/>
        <v>0</v>
      </c>
      <c r="J223" s="37">
        <f t="shared" si="2"/>
        <v>0</v>
      </c>
      <c r="K223" s="38">
        <f t="shared" si="3"/>
        <v>0</v>
      </c>
      <c r="L223" s="39">
        <f t="shared" si="4"/>
        <v>0</v>
      </c>
      <c r="M223" s="38">
        <f t="shared" si="5"/>
        <v>0</v>
      </c>
      <c r="N223" s="39">
        <f t="shared" si="6"/>
        <v>0</v>
      </c>
      <c r="O223" s="40"/>
      <c r="P223" s="34"/>
      <c r="Q223" s="35"/>
      <c r="R223" s="35"/>
      <c r="S223" s="35"/>
      <c r="T223" s="35"/>
      <c r="U223" s="35"/>
      <c r="V223" s="35"/>
      <c r="W223" s="35"/>
      <c r="X223" s="35"/>
      <c r="Y223" s="35"/>
      <c r="Z223" s="35"/>
    </row>
    <row r="224" ht="14.25" customHeight="1">
      <c r="A224" s="221"/>
      <c r="B224" s="231"/>
      <c r="C224" s="108"/>
      <c r="D224" s="241"/>
      <c r="E224" s="101"/>
      <c r="F224" s="242"/>
      <c r="G224" s="242"/>
      <c r="H224" s="523"/>
      <c r="I224" s="36">
        <f t="shared" si="1"/>
        <v>0</v>
      </c>
      <c r="J224" s="37">
        <f t="shared" si="2"/>
        <v>0</v>
      </c>
      <c r="K224" s="38">
        <f t="shared" si="3"/>
        <v>0</v>
      </c>
      <c r="L224" s="39">
        <f t="shared" si="4"/>
        <v>0</v>
      </c>
      <c r="M224" s="38">
        <f t="shared" si="5"/>
        <v>0</v>
      </c>
      <c r="N224" s="39">
        <f t="shared" si="6"/>
        <v>0</v>
      </c>
      <c r="O224" s="40"/>
      <c r="P224" s="34"/>
      <c r="Q224" s="35"/>
      <c r="R224" s="35"/>
      <c r="S224" s="35"/>
      <c r="T224" s="35"/>
      <c r="U224" s="35"/>
      <c r="V224" s="35"/>
      <c r="W224" s="35"/>
      <c r="X224" s="35"/>
      <c r="Y224" s="35"/>
      <c r="Z224" s="35"/>
    </row>
    <row r="225" ht="14.25" customHeight="1">
      <c r="A225" s="221"/>
      <c r="B225" s="231"/>
      <c r="C225" s="108"/>
      <c r="D225" s="241"/>
      <c r="E225" s="101"/>
      <c r="F225" s="242"/>
      <c r="G225" s="242"/>
      <c r="H225" s="523"/>
      <c r="I225" s="36">
        <f t="shared" si="1"/>
        <v>0</v>
      </c>
      <c r="J225" s="37">
        <f t="shared" si="2"/>
        <v>0</v>
      </c>
      <c r="K225" s="38">
        <f t="shared" si="3"/>
        <v>0</v>
      </c>
      <c r="L225" s="39">
        <f t="shared" si="4"/>
        <v>0</v>
      </c>
      <c r="M225" s="38">
        <f t="shared" si="5"/>
        <v>0</v>
      </c>
      <c r="N225" s="39">
        <f t="shared" si="6"/>
        <v>0</v>
      </c>
      <c r="O225" s="40"/>
      <c r="P225" s="34"/>
      <c r="Q225" s="35"/>
      <c r="R225" s="35"/>
      <c r="S225" s="35"/>
      <c r="T225" s="35"/>
      <c r="U225" s="35"/>
      <c r="V225" s="35"/>
      <c r="W225" s="35"/>
      <c r="X225" s="35"/>
      <c r="Y225" s="35"/>
      <c r="Z225" s="35"/>
    </row>
    <row r="226" ht="14.25" customHeight="1">
      <c r="A226" s="221"/>
      <c r="B226" s="231"/>
      <c r="C226" s="115"/>
      <c r="D226" s="237"/>
      <c r="E226" s="101"/>
      <c r="F226" s="243"/>
      <c r="G226" s="243"/>
      <c r="H226" s="523"/>
      <c r="I226" s="36">
        <f t="shared" si="1"/>
        <v>0</v>
      </c>
      <c r="J226" s="37">
        <f t="shared" si="2"/>
        <v>0</v>
      </c>
      <c r="K226" s="38">
        <f t="shared" si="3"/>
        <v>0</v>
      </c>
      <c r="L226" s="39">
        <f t="shared" si="4"/>
        <v>0</v>
      </c>
      <c r="M226" s="38">
        <f t="shared" si="5"/>
        <v>0</v>
      </c>
      <c r="N226" s="39">
        <f t="shared" si="6"/>
        <v>0</v>
      </c>
      <c r="O226" s="40"/>
      <c r="P226" s="34"/>
      <c r="Q226" s="35"/>
      <c r="R226" s="35"/>
      <c r="S226" s="35"/>
      <c r="T226" s="35"/>
      <c r="U226" s="35"/>
      <c r="V226" s="35"/>
      <c r="W226" s="35"/>
      <c r="X226" s="35"/>
      <c r="Y226" s="35"/>
      <c r="Z226" s="35"/>
    </row>
    <row r="227" ht="14.25" customHeight="1">
      <c r="A227" s="221"/>
      <c r="B227" s="231"/>
      <c r="C227" s="113"/>
      <c r="D227" s="237"/>
      <c r="E227" s="101"/>
      <c r="F227" s="243"/>
      <c r="G227" s="243"/>
      <c r="H227" s="523"/>
      <c r="I227" s="36">
        <f t="shared" si="1"/>
        <v>0</v>
      </c>
      <c r="J227" s="37">
        <f t="shared" si="2"/>
        <v>0</v>
      </c>
      <c r="K227" s="38">
        <f t="shared" si="3"/>
        <v>0</v>
      </c>
      <c r="L227" s="39">
        <f t="shared" si="4"/>
        <v>0</v>
      </c>
      <c r="M227" s="38">
        <f t="shared" si="5"/>
        <v>0</v>
      </c>
      <c r="N227" s="39">
        <f t="shared" si="6"/>
        <v>0</v>
      </c>
      <c r="O227" s="40"/>
      <c r="P227" s="34"/>
      <c r="Q227" s="35"/>
      <c r="R227" s="35"/>
      <c r="S227" s="35"/>
      <c r="T227" s="35"/>
      <c r="U227" s="35"/>
      <c r="V227" s="35"/>
      <c r="W227" s="35"/>
      <c r="X227" s="35"/>
      <c r="Y227" s="35"/>
      <c r="Z227" s="35"/>
    </row>
    <row r="228" ht="14.25" customHeight="1">
      <c r="A228" s="221"/>
      <c r="B228" s="231"/>
      <c r="C228" s="113"/>
      <c r="D228" s="237"/>
      <c r="E228" s="100"/>
      <c r="F228" s="243"/>
      <c r="G228" s="243"/>
      <c r="H228" s="523"/>
      <c r="I228" s="36">
        <f t="shared" si="1"/>
        <v>0</v>
      </c>
      <c r="J228" s="37">
        <f t="shared" si="2"/>
        <v>0</v>
      </c>
      <c r="K228" s="38">
        <f t="shared" si="3"/>
        <v>0</v>
      </c>
      <c r="L228" s="39">
        <f t="shared" si="4"/>
        <v>0</v>
      </c>
      <c r="M228" s="38">
        <f t="shared" si="5"/>
        <v>0</v>
      </c>
      <c r="N228" s="39">
        <f t="shared" si="6"/>
        <v>0</v>
      </c>
      <c r="O228" s="40"/>
      <c r="P228" s="34"/>
      <c r="Q228" s="35"/>
      <c r="R228" s="35"/>
      <c r="S228" s="35"/>
      <c r="T228" s="35"/>
      <c r="U228" s="35"/>
      <c r="V228" s="35"/>
      <c r="W228" s="35"/>
      <c r="X228" s="35"/>
      <c r="Y228" s="35"/>
      <c r="Z228" s="35"/>
    </row>
    <row r="229" ht="14.25" customHeight="1">
      <c r="A229" s="221"/>
      <c r="B229" s="231"/>
      <c r="C229" s="111"/>
      <c r="D229" s="237"/>
      <c r="E229" s="101"/>
      <c r="F229" s="242"/>
      <c r="G229" s="242"/>
      <c r="H229" s="523"/>
      <c r="I229" s="36">
        <f t="shared" si="1"/>
        <v>0</v>
      </c>
      <c r="J229" s="37">
        <f t="shared" si="2"/>
        <v>0</v>
      </c>
      <c r="K229" s="38">
        <f t="shared" si="3"/>
        <v>0</v>
      </c>
      <c r="L229" s="39">
        <f t="shared" si="4"/>
        <v>0</v>
      </c>
      <c r="M229" s="38">
        <f t="shared" si="5"/>
        <v>0</v>
      </c>
      <c r="N229" s="39">
        <f t="shared" si="6"/>
        <v>0</v>
      </c>
      <c r="O229" s="40"/>
      <c r="P229" s="34"/>
      <c r="Q229" s="35"/>
      <c r="R229" s="35"/>
      <c r="S229" s="35"/>
      <c r="T229" s="35"/>
      <c r="U229" s="35"/>
      <c r="V229" s="35"/>
      <c r="W229" s="35"/>
      <c r="X229" s="35"/>
      <c r="Y229" s="35"/>
      <c r="Z229" s="35"/>
    </row>
    <row r="230" ht="14.25" customHeight="1">
      <c r="A230" s="221"/>
      <c r="B230" s="231"/>
      <c r="C230" s="115"/>
      <c r="D230" s="237"/>
      <c r="E230" s="101"/>
      <c r="F230" s="243"/>
      <c r="G230" s="243"/>
      <c r="H230" s="523"/>
      <c r="I230" s="36">
        <f t="shared" si="1"/>
        <v>0</v>
      </c>
      <c r="J230" s="37">
        <f t="shared" si="2"/>
        <v>0</v>
      </c>
      <c r="K230" s="38">
        <f t="shared" si="3"/>
        <v>0</v>
      </c>
      <c r="L230" s="39">
        <f t="shared" si="4"/>
        <v>0</v>
      </c>
      <c r="M230" s="38">
        <f t="shared" si="5"/>
        <v>0</v>
      </c>
      <c r="N230" s="39">
        <f t="shared" si="6"/>
        <v>0</v>
      </c>
      <c r="O230" s="40"/>
      <c r="P230" s="34"/>
      <c r="Q230" s="35"/>
      <c r="R230" s="35"/>
      <c r="S230" s="35"/>
      <c r="T230" s="35"/>
      <c r="U230" s="35"/>
      <c r="V230" s="35"/>
      <c r="W230" s="35"/>
      <c r="X230" s="35"/>
      <c r="Y230" s="35"/>
      <c r="Z230" s="35"/>
    </row>
    <row r="231" ht="14.25" customHeight="1">
      <c r="A231" s="221"/>
      <c r="B231" s="231"/>
      <c r="C231" s="113"/>
      <c r="D231" s="237"/>
      <c r="E231" s="101"/>
      <c r="F231" s="242"/>
      <c r="G231" s="242"/>
      <c r="H231" s="523"/>
      <c r="I231" s="36">
        <f t="shared" si="1"/>
        <v>0</v>
      </c>
      <c r="J231" s="37">
        <f t="shared" si="2"/>
        <v>0</v>
      </c>
      <c r="K231" s="38">
        <f t="shared" si="3"/>
        <v>0</v>
      </c>
      <c r="L231" s="39">
        <f t="shared" si="4"/>
        <v>0</v>
      </c>
      <c r="M231" s="38">
        <f t="shared" si="5"/>
        <v>0</v>
      </c>
      <c r="N231" s="39">
        <f t="shared" si="6"/>
        <v>0</v>
      </c>
      <c r="O231" s="40"/>
      <c r="P231" s="34"/>
      <c r="Q231" s="35"/>
      <c r="R231" s="35"/>
      <c r="S231" s="35"/>
      <c r="T231" s="35"/>
      <c r="U231" s="35"/>
      <c r="V231" s="35"/>
      <c r="W231" s="35"/>
      <c r="X231" s="35"/>
      <c r="Y231" s="35"/>
      <c r="Z231" s="35"/>
    </row>
    <row r="232" ht="14.25" customHeight="1">
      <c r="A232" s="221"/>
      <c r="B232" s="231"/>
      <c r="C232" s="113"/>
      <c r="D232" s="237"/>
      <c r="E232" s="101"/>
      <c r="F232" s="243"/>
      <c r="G232" s="243"/>
      <c r="H232" s="523"/>
      <c r="I232" s="36">
        <f t="shared" si="1"/>
        <v>0</v>
      </c>
      <c r="J232" s="37">
        <f t="shared" si="2"/>
        <v>0</v>
      </c>
      <c r="K232" s="38">
        <f t="shared" si="3"/>
        <v>0</v>
      </c>
      <c r="L232" s="39">
        <f t="shared" si="4"/>
        <v>0</v>
      </c>
      <c r="M232" s="38">
        <f t="shared" si="5"/>
        <v>0</v>
      </c>
      <c r="N232" s="39">
        <f t="shared" si="6"/>
        <v>0</v>
      </c>
      <c r="O232" s="40"/>
      <c r="P232" s="34"/>
      <c r="Q232" s="35"/>
      <c r="R232" s="35"/>
      <c r="S232" s="35"/>
      <c r="T232" s="35"/>
      <c r="U232" s="35"/>
      <c r="V232" s="35"/>
      <c r="W232" s="35"/>
      <c r="X232" s="35"/>
      <c r="Y232" s="35"/>
      <c r="Z232" s="35"/>
    </row>
    <row r="233" ht="14.25" customHeight="1">
      <c r="A233" s="221"/>
      <c r="B233" s="231"/>
      <c r="C233" s="108"/>
      <c r="D233" s="237"/>
      <c r="E233" s="101"/>
      <c r="F233" s="238"/>
      <c r="G233" s="238"/>
      <c r="H233" s="523"/>
      <c r="I233" s="36">
        <f t="shared" si="1"/>
        <v>0</v>
      </c>
      <c r="J233" s="37">
        <f t="shared" si="2"/>
        <v>0</v>
      </c>
      <c r="K233" s="38">
        <f t="shared" si="3"/>
        <v>0</v>
      </c>
      <c r="L233" s="39">
        <f t="shared" si="4"/>
        <v>0</v>
      </c>
      <c r="M233" s="38">
        <f t="shared" si="5"/>
        <v>0</v>
      </c>
      <c r="N233" s="39">
        <f t="shared" si="6"/>
        <v>0</v>
      </c>
      <c r="O233" s="40"/>
      <c r="P233" s="34"/>
      <c r="Q233" s="35"/>
      <c r="R233" s="35"/>
      <c r="S233" s="35"/>
      <c r="T233" s="35"/>
      <c r="U233" s="35"/>
      <c r="V233" s="35"/>
      <c r="W233" s="35"/>
      <c r="X233" s="35"/>
      <c r="Y233" s="35"/>
      <c r="Z233" s="35"/>
    </row>
    <row r="234" ht="14.25" customHeight="1">
      <c r="A234" s="221"/>
      <c r="B234" s="231"/>
      <c r="C234" s="108"/>
      <c r="D234" s="237"/>
      <c r="E234" s="101"/>
      <c r="F234" s="243"/>
      <c r="G234" s="243"/>
      <c r="H234" s="523"/>
      <c r="I234" s="36">
        <f t="shared" si="1"/>
        <v>0</v>
      </c>
      <c r="J234" s="37">
        <f t="shared" si="2"/>
        <v>0</v>
      </c>
      <c r="K234" s="38">
        <f t="shared" si="3"/>
        <v>0</v>
      </c>
      <c r="L234" s="39">
        <f t="shared" si="4"/>
        <v>0</v>
      </c>
      <c r="M234" s="38">
        <f t="shared" si="5"/>
        <v>0</v>
      </c>
      <c r="N234" s="39">
        <f t="shared" si="6"/>
        <v>0</v>
      </c>
      <c r="O234" s="40"/>
      <c r="P234" s="34"/>
      <c r="Q234" s="35"/>
      <c r="R234" s="35"/>
      <c r="S234" s="35"/>
      <c r="T234" s="35"/>
      <c r="U234" s="35"/>
      <c r="V234" s="35"/>
      <c r="W234" s="35"/>
      <c r="X234" s="35"/>
      <c r="Y234" s="35"/>
      <c r="Z234" s="35"/>
    </row>
    <row r="235" ht="14.25" customHeight="1">
      <c r="A235" s="221"/>
      <c r="B235" s="231"/>
      <c r="C235" s="113"/>
      <c r="D235" s="237"/>
      <c r="E235" s="101"/>
      <c r="F235" s="242"/>
      <c r="G235" s="242"/>
      <c r="H235" s="523"/>
      <c r="I235" s="36">
        <f t="shared" si="1"/>
        <v>0</v>
      </c>
      <c r="J235" s="37">
        <f t="shared" si="2"/>
        <v>0</v>
      </c>
      <c r="K235" s="38">
        <f t="shared" si="3"/>
        <v>0</v>
      </c>
      <c r="L235" s="39">
        <f t="shared" si="4"/>
        <v>0</v>
      </c>
      <c r="M235" s="38">
        <f t="shared" si="5"/>
        <v>0</v>
      </c>
      <c r="N235" s="39">
        <f t="shared" si="6"/>
        <v>0</v>
      </c>
      <c r="O235" s="40"/>
      <c r="P235" s="34"/>
      <c r="Q235" s="35"/>
      <c r="R235" s="35"/>
      <c r="S235" s="35"/>
      <c r="T235" s="35"/>
      <c r="U235" s="35"/>
      <c r="V235" s="35"/>
      <c r="W235" s="35"/>
      <c r="X235" s="35"/>
      <c r="Y235" s="35"/>
      <c r="Z235" s="35"/>
    </row>
    <row r="236" ht="14.25" customHeight="1">
      <c r="A236" s="221"/>
      <c r="B236" s="231"/>
      <c r="C236" s="108"/>
      <c r="D236" s="241"/>
      <c r="E236" s="101"/>
      <c r="F236" s="242"/>
      <c r="G236" s="242"/>
      <c r="H236" s="523"/>
      <c r="I236" s="36">
        <f t="shared" si="1"/>
        <v>0</v>
      </c>
      <c r="J236" s="37">
        <f t="shared" si="2"/>
        <v>0</v>
      </c>
      <c r="K236" s="38">
        <f t="shared" si="3"/>
        <v>0</v>
      </c>
      <c r="L236" s="39">
        <f t="shared" si="4"/>
        <v>0</v>
      </c>
      <c r="M236" s="38">
        <f t="shared" si="5"/>
        <v>0</v>
      </c>
      <c r="N236" s="39">
        <f t="shared" si="6"/>
        <v>0</v>
      </c>
      <c r="O236" s="40"/>
      <c r="P236" s="34"/>
      <c r="Q236" s="35"/>
      <c r="R236" s="35"/>
      <c r="S236" s="35"/>
      <c r="T236" s="35"/>
      <c r="U236" s="35"/>
      <c r="V236" s="35"/>
      <c r="W236" s="35"/>
      <c r="X236" s="35"/>
      <c r="Y236" s="35"/>
      <c r="Z236" s="35"/>
    </row>
    <row r="237" ht="14.25" customHeight="1">
      <c r="A237" s="221"/>
      <c r="B237" s="231"/>
      <c r="C237" s="108"/>
      <c r="D237" s="241"/>
      <c r="E237" s="101"/>
      <c r="F237" s="242"/>
      <c r="G237" s="242"/>
      <c r="H237" s="523"/>
      <c r="I237" s="36">
        <f t="shared" si="1"/>
        <v>0</v>
      </c>
      <c r="J237" s="37">
        <f t="shared" si="2"/>
        <v>0</v>
      </c>
      <c r="K237" s="38">
        <f t="shared" si="3"/>
        <v>0</v>
      </c>
      <c r="L237" s="39">
        <f t="shared" si="4"/>
        <v>0</v>
      </c>
      <c r="M237" s="38">
        <f t="shared" si="5"/>
        <v>0</v>
      </c>
      <c r="N237" s="39">
        <f t="shared" si="6"/>
        <v>0</v>
      </c>
      <c r="O237" s="40"/>
      <c r="P237" s="34"/>
      <c r="Q237" s="35"/>
      <c r="R237" s="35"/>
      <c r="S237" s="35"/>
      <c r="T237" s="35"/>
      <c r="U237" s="35"/>
      <c r="V237" s="35"/>
      <c r="W237" s="35"/>
      <c r="X237" s="35"/>
      <c r="Y237" s="35"/>
      <c r="Z237" s="35"/>
    </row>
    <row r="238" ht="14.25" customHeight="1">
      <c r="A238" s="221"/>
      <c r="B238" s="231"/>
      <c r="C238" s="108"/>
      <c r="D238" s="241"/>
      <c r="E238" s="101"/>
      <c r="F238" s="242"/>
      <c r="G238" s="242"/>
      <c r="H238" s="523"/>
      <c r="I238" s="36">
        <f t="shared" si="1"/>
        <v>0</v>
      </c>
      <c r="J238" s="37">
        <f t="shared" si="2"/>
        <v>0</v>
      </c>
      <c r="K238" s="38">
        <f t="shared" si="3"/>
        <v>0</v>
      </c>
      <c r="L238" s="39">
        <f t="shared" si="4"/>
        <v>0</v>
      </c>
      <c r="M238" s="38">
        <f t="shared" si="5"/>
        <v>0</v>
      </c>
      <c r="N238" s="39">
        <f t="shared" si="6"/>
        <v>0</v>
      </c>
      <c r="O238" s="40"/>
      <c r="P238" s="34"/>
      <c r="Q238" s="35"/>
      <c r="R238" s="35"/>
      <c r="S238" s="35"/>
      <c r="T238" s="35"/>
      <c r="U238" s="35"/>
      <c r="V238" s="35"/>
      <c r="W238" s="35"/>
      <c r="X238" s="35"/>
      <c r="Y238" s="35"/>
      <c r="Z238" s="35"/>
    </row>
    <row r="239" ht="14.25" customHeight="1">
      <c r="A239" s="221"/>
      <c r="B239" s="231"/>
      <c r="C239" s="116"/>
      <c r="D239" s="237"/>
      <c r="E239" s="117"/>
      <c r="F239" s="244"/>
      <c r="G239" s="244"/>
      <c r="H239" s="523"/>
      <c r="I239" s="36">
        <f t="shared" si="1"/>
        <v>0</v>
      </c>
      <c r="J239" s="37">
        <f t="shared" si="2"/>
        <v>0</v>
      </c>
      <c r="K239" s="38">
        <f t="shared" si="3"/>
        <v>0</v>
      </c>
      <c r="L239" s="39">
        <f t="shared" si="4"/>
        <v>0</v>
      </c>
      <c r="M239" s="38">
        <f t="shared" si="5"/>
        <v>0</v>
      </c>
      <c r="N239" s="39">
        <f t="shared" si="6"/>
        <v>0</v>
      </c>
      <c r="O239" s="40"/>
      <c r="P239" s="34"/>
      <c r="Q239" s="35"/>
      <c r="R239" s="35"/>
      <c r="S239" s="35"/>
      <c r="T239" s="35"/>
      <c r="U239" s="35"/>
      <c r="V239" s="35"/>
      <c r="W239" s="35"/>
      <c r="X239" s="35"/>
      <c r="Y239" s="35"/>
      <c r="Z239" s="35"/>
    </row>
    <row r="240" ht="14.25" customHeight="1">
      <c r="A240" s="221"/>
      <c r="B240" s="231"/>
      <c r="C240" s="116"/>
      <c r="D240" s="237"/>
      <c r="E240" s="117"/>
      <c r="F240" s="244"/>
      <c r="G240" s="244"/>
      <c r="H240" s="523"/>
      <c r="I240" s="36">
        <f t="shared" si="1"/>
        <v>0</v>
      </c>
      <c r="J240" s="37">
        <f t="shared" si="2"/>
        <v>0</v>
      </c>
      <c r="K240" s="38">
        <f t="shared" si="3"/>
        <v>0</v>
      </c>
      <c r="L240" s="39">
        <f t="shared" si="4"/>
        <v>0</v>
      </c>
      <c r="M240" s="38">
        <f t="shared" si="5"/>
        <v>0</v>
      </c>
      <c r="N240" s="39">
        <f t="shared" si="6"/>
        <v>0</v>
      </c>
      <c r="O240" s="40"/>
      <c r="P240" s="34"/>
      <c r="Q240" s="35"/>
      <c r="R240" s="35"/>
      <c r="S240" s="35"/>
      <c r="T240" s="35"/>
      <c r="U240" s="35"/>
      <c r="V240" s="35"/>
      <c r="W240" s="35"/>
      <c r="X240" s="35"/>
      <c r="Y240" s="35"/>
      <c r="Z240" s="35"/>
    </row>
    <row r="241" ht="14.25" customHeight="1">
      <c r="A241" s="221"/>
      <c r="B241" s="231"/>
      <c r="C241" s="116"/>
      <c r="D241" s="237"/>
      <c r="E241" s="117"/>
      <c r="F241" s="244"/>
      <c r="G241" s="244"/>
      <c r="H241" s="523"/>
      <c r="I241" s="36">
        <f t="shared" si="1"/>
        <v>0</v>
      </c>
      <c r="J241" s="37">
        <f t="shared" si="2"/>
        <v>0</v>
      </c>
      <c r="K241" s="38">
        <f t="shared" si="3"/>
        <v>0</v>
      </c>
      <c r="L241" s="39">
        <f t="shared" si="4"/>
        <v>0</v>
      </c>
      <c r="M241" s="38">
        <f t="shared" si="5"/>
        <v>0</v>
      </c>
      <c r="N241" s="39">
        <f t="shared" si="6"/>
        <v>0</v>
      </c>
      <c r="O241" s="40"/>
      <c r="P241" s="34"/>
      <c r="Q241" s="35"/>
      <c r="R241" s="35"/>
      <c r="S241" s="35"/>
      <c r="T241" s="35"/>
      <c r="U241" s="35"/>
      <c r="V241" s="35"/>
      <c r="W241" s="35"/>
      <c r="X241" s="35"/>
      <c r="Y241" s="35"/>
      <c r="Z241" s="35"/>
    </row>
    <row r="242" ht="14.25" customHeight="1">
      <c r="A242" s="221"/>
      <c r="B242" s="231"/>
      <c r="C242" s="116"/>
      <c r="D242" s="237"/>
      <c r="E242" s="117"/>
      <c r="F242" s="244"/>
      <c r="G242" s="244"/>
      <c r="H242" s="523"/>
      <c r="I242" s="36">
        <f t="shared" si="1"/>
        <v>0</v>
      </c>
      <c r="J242" s="37">
        <f t="shared" si="2"/>
        <v>0</v>
      </c>
      <c r="K242" s="38">
        <f t="shared" si="3"/>
        <v>0</v>
      </c>
      <c r="L242" s="39">
        <f t="shared" si="4"/>
        <v>0</v>
      </c>
      <c r="M242" s="38">
        <f t="shared" si="5"/>
        <v>0</v>
      </c>
      <c r="N242" s="39">
        <f t="shared" si="6"/>
        <v>0</v>
      </c>
      <c r="O242" s="40"/>
      <c r="P242" s="34"/>
      <c r="Q242" s="35"/>
      <c r="R242" s="35"/>
      <c r="S242" s="35"/>
      <c r="T242" s="35"/>
      <c r="U242" s="35"/>
      <c r="V242" s="35"/>
      <c r="W242" s="35"/>
      <c r="X242" s="35"/>
      <c r="Y242" s="35"/>
      <c r="Z242" s="35"/>
    </row>
    <row r="243" ht="14.25" customHeight="1">
      <c r="A243" s="221"/>
      <c r="B243" s="231"/>
      <c r="C243" s="116"/>
      <c r="D243" s="237"/>
      <c r="E243" s="117"/>
      <c r="F243" s="244"/>
      <c r="G243" s="244"/>
      <c r="H243" s="523"/>
      <c r="I243" s="36">
        <f t="shared" si="1"/>
        <v>0</v>
      </c>
      <c r="J243" s="37">
        <f t="shared" si="2"/>
        <v>0</v>
      </c>
      <c r="K243" s="38">
        <f t="shared" si="3"/>
        <v>0</v>
      </c>
      <c r="L243" s="39">
        <f t="shared" si="4"/>
        <v>0</v>
      </c>
      <c r="M243" s="38">
        <f t="shared" si="5"/>
        <v>0</v>
      </c>
      <c r="N243" s="39">
        <f t="shared" si="6"/>
        <v>0</v>
      </c>
      <c r="O243" s="40"/>
      <c r="P243" s="34"/>
      <c r="Q243" s="35"/>
      <c r="R243" s="35"/>
      <c r="S243" s="35"/>
      <c r="T243" s="35"/>
      <c r="U243" s="35"/>
      <c r="V243" s="35"/>
      <c r="W243" s="35"/>
      <c r="X243" s="35"/>
      <c r="Y243" s="35"/>
      <c r="Z243" s="35"/>
    </row>
    <row r="244" ht="14.25" customHeight="1">
      <c r="A244" s="221"/>
      <c r="B244" s="231"/>
      <c r="C244" s="116"/>
      <c r="D244" s="237"/>
      <c r="E244" s="117"/>
      <c r="F244" s="244"/>
      <c r="G244" s="244"/>
      <c r="H244" s="523"/>
      <c r="I244" s="36">
        <f t="shared" si="1"/>
        <v>0</v>
      </c>
      <c r="J244" s="37">
        <f t="shared" si="2"/>
        <v>0</v>
      </c>
      <c r="K244" s="38">
        <f t="shared" si="3"/>
        <v>0</v>
      </c>
      <c r="L244" s="39">
        <f t="shared" si="4"/>
        <v>0</v>
      </c>
      <c r="M244" s="38">
        <f t="shared" si="5"/>
        <v>0</v>
      </c>
      <c r="N244" s="39">
        <f t="shared" si="6"/>
        <v>0</v>
      </c>
      <c r="O244" s="40"/>
      <c r="P244" s="34"/>
      <c r="Q244" s="35"/>
      <c r="R244" s="35"/>
      <c r="S244" s="35"/>
      <c r="T244" s="35"/>
      <c r="U244" s="35"/>
      <c r="V244" s="35"/>
      <c r="W244" s="35"/>
      <c r="X244" s="35"/>
      <c r="Y244" s="35"/>
      <c r="Z244" s="35"/>
    </row>
    <row r="245" ht="14.25" customHeight="1">
      <c r="A245" s="221"/>
      <c r="B245" s="231"/>
      <c r="C245" s="116"/>
      <c r="D245" s="237"/>
      <c r="E245" s="117"/>
      <c r="F245" s="244"/>
      <c r="G245" s="244"/>
      <c r="H245" s="523"/>
      <c r="I245" s="36">
        <f t="shared" si="1"/>
        <v>0</v>
      </c>
      <c r="J245" s="37">
        <f t="shared" si="2"/>
        <v>0</v>
      </c>
      <c r="K245" s="38">
        <f t="shared" si="3"/>
        <v>0</v>
      </c>
      <c r="L245" s="39">
        <f t="shared" si="4"/>
        <v>0</v>
      </c>
      <c r="M245" s="38">
        <f t="shared" si="5"/>
        <v>0</v>
      </c>
      <c r="N245" s="39">
        <f t="shared" si="6"/>
        <v>0</v>
      </c>
      <c r="O245" s="40"/>
      <c r="P245" s="34"/>
      <c r="Q245" s="35"/>
      <c r="R245" s="35"/>
      <c r="S245" s="35"/>
      <c r="T245" s="35"/>
      <c r="U245" s="35"/>
      <c r="V245" s="35"/>
      <c r="W245" s="35"/>
      <c r="X245" s="35"/>
      <c r="Y245" s="35"/>
      <c r="Z245" s="35"/>
    </row>
    <row r="246" ht="14.25" customHeight="1">
      <c r="A246" s="221"/>
      <c r="B246" s="231"/>
      <c r="C246" s="115"/>
      <c r="D246" s="237"/>
      <c r="E246" s="117"/>
      <c r="F246" s="244"/>
      <c r="G246" s="244"/>
      <c r="H246" s="523"/>
      <c r="I246" s="36">
        <f t="shared" si="1"/>
        <v>0</v>
      </c>
      <c r="J246" s="37">
        <f t="shared" si="2"/>
        <v>0</v>
      </c>
      <c r="K246" s="38">
        <f t="shared" si="3"/>
        <v>0</v>
      </c>
      <c r="L246" s="39">
        <f t="shared" si="4"/>
        <v>0</v>
      </c>
      <c r="M246" s="38">
        <f t="shared" si="5"/>
        <v>0</v>
      </c>
      <c r="N246" s="39">
        <f t="shared" si="6"/>
        <v>0</v>
      </c>
      <c r="O246" s="40"/>
      <c r="P246" s="34"/>
      <c r="Q246" s="35"/>
      <c r="R246" s="35"/>
      <c r="S246" s="35"/>
      <c r="T246" s="35"/>
      <c r="U246" s="35"/>
      <c r="V246" s="35"/>
      <c r="W246" s="35"/>
      <c r="X246" s="35"/>
      <c r="Y246" s="35"/>
      <c r="Z246" s="35"/>
    </row>
    <row r="247" ht="14.25" customHeight="1">
      <c r="A247" s="221"/>
      <c r="B247" s="231"/>
      <c r="C247" s="108"/>
      <c r="D247" s="237"/>
      <c r="E247" s="117"/>
      <c r="F247" s="245"/>
      <c r="G247" s="245"/>
      <c r="H247" s="523"/>
      <c r="I247" s="36">
        <f t="shared" si="1"/>
        <v>0</v>
      </c>
      <c r="J247" s="37">
        <f t="shared" si="2"/>
        <v>0</v>
      </c>
      <c r="K247" s="38">
        <f t="shared" si="3"/>
        <v>0</v>
      </c>
      <c r="L247" s="39">
        <f t="shared" si="4"/>
        <v>0</v>
      </c>
      <c r="M247" s="38">
        <f t="shared" si="5"/>
        <v>0</v>
      </c>
      <c r="N247" s="39">
        <f t="shared" si="6"/>
        <v>0</v>
      </c>
      <c r="O247" s="40"/>
      <c r="P247" s="34"/>
      <c r="Q247" s="35"/>
      <c r="R247" s="35"/>
      <c r="S247" s="35"/>
      <c r="T247" s="35"/>
      <c r="U247" s="35"/>
      <c r="V247" s="35"/>
      <c r="W247" s="35"/>
      <c r="X247" s="35"/>
      <c r="Y247" s="35"/>
      <c r="Z247" s="35"/>
    </row>
    <row r="248" ht="14.25" customHeight="1">
      <c r="A248" s="221"/>
      <c r="B248" s="231"/>
      <c r="C248" s="108"/>
      <c r="D248" s="237"/>
      <c r="E248" s="117"/>
      <c r="F248" s="245"/>
      <c r="G248" s="245"/>
      <c r="H248" s="523"/>
      <c r="I248" s="36">
        <f t="shared" si="1"/>
        <v>0</v>
      </c>
      <c r="J248" s="37">
        <f t="shared" si="2"/>
        <v>0</v>
      </c>
      <c r="K248" s="38">
        <f t="shared" si="3"/>
        <v>0</v>
      </c>
      <c r="L248" s="39">
        <f t="shared" si="4"/>
        <v>0</v>
      </c>
      <c r="M248" s="38">
        <f t="shared" si="5"/>
        <v>0</v>
      </c>
      <c r="N248" s="39">
        <f t="shared" si="6"/>
        <v>0</v>
      </c>
      <c r="O248" s="40"/>
      <c r="P248" s="34"/>
      <c r="Q248" s="35"/>
      <c r="R248" s="35"/>
      <c r="S248" s="35"/>
      <c r="T248" s="35"/>
      <c r="U248" s="35"/>
      <c r="V248" s="35"/>
      <c r="W248" s="35"/>
      <c r="X248" s="35"/>
      <c r="Y248" s="35"/>
      <c r="Z248" s="35"/>
    </row>
    <row r="249" ht="14.25" customHeight="1">
      <c r="A249" s="221"/>
      <c r="B249" s="231"/>
      <c r="C249" s="108"/>
      <c r="D249" s="237"/>
      <c r="E249" s="117"/>
      <c r="F249" s="245"/>
      <c r="G249" s="245"/>
      <c r="H249" s="523"/>
      <c r="I249" s="36">
        <f t="shared" si="1"/>
        <v>0</v>
      </c>
      <c r="J249" s="37">
        <f t="shared" si="2"/>
        <v>0</v>
      </c>
      <c r="K249" s="38">
        <f t="shared" si="3"/>
        <v>0</v>
      </c>
      <c r="L249" s="39">
        <f t="shared" si="4"/>
        <v>0</v>
      </c>
      <c r="M249" s="38">
        <f t="shared" si="5"/>
        <v>0</v>
      </c>
      <c r="N249" s="39">
        <f t="shared" si="6"/>
        <v>0</v>
      </c>
      <c r="O249" s="40"/>
      <c r="P249" s="34"/>
      <c r="Q249" s="35"/>
      <c r="R249" s="35"/>
      <c r="S249" s="35"/>
      <c r="T249" s="35"/>
      <c r="U249" s="35"/>
      <c r="V249" s="35"/>
      <c r="W249" s="35"/>
      <c r="X249" s="35"/>
      <c r="Y249" s="35"/>
      <c r="Z249" s="35"/>
    </row>
    <row r="250" ht="14.25" customHeight="1">
      <c r="A250" s="221"/>
      <c r="B250" s="231"/>
      <c r="C250" s="108"/>
      <c r="D250" s="223"/>
      <c r="E250" s="117"/>
      <c r="F250" s="245"/>
      <c r="G250" s="245"/>
      <c r="H250" s="523"/>
      <c r="I250" s="36">
        <f t="shared" si="1"/>
        <v>0</v>
      </c>
      <c r="J250" s="37">
        <f t="shared" si="2"/>
        <v>0</v>
      </c>
      <c r="K250" s="38">
        <f t="shared" si="3"/>
        <v>0</v>
      </c>
      <c r="L250" s="39">
        <f t="shared" si="4"/>
        <v>0</v>
      </c>
      <c r="M250" s="38">
        <f t="shared" si="5"/>
        <v>0</v>
      </c>
      <c r="N250" s="39">
        <f t="shared" si="6"/>
        <v>0</v>
      </c>
      <c r="O250" s="40"/>
      <c r="P250" s="34"/>
      <c r="Q250" s="35"/>
      <c r="R250" s="35"/>
      <c r="S250" s="35"/>
      <c r="T250" s="35"/>
      <c r="U250" s="35"/>
      <c r="V250" s="35"/>
      <c r="W250" s="35"/>
      <c r="X250" s="35"/>
      <c r="Y250" s="35"/>
      <c r="Z250" s="35"/>
    </row>
    <row r="251" ht="14.25" customHeight="1">
      <c r="A251" s="221"/>
      <c r="B251" s="231"/>
      <c r="C251" s="108"/>
      <c r="D251" s="237"/>
      <c r="E251" s="117"/>
      <c r="F251" s="245"/>
      <c r="G251" s="245"/>
      <c r="H251" s="523"/>
      <c r="I251" s="36">
        <f t="shared" si="1"/>
        <v>0</v>
      </c>
      <c r="J251" s="37">
        <f t="shared" si="2"/>
        <v>0</v>
      </c>
      <c r="K251" s="38">
        <f t="shared" si="3"/>
        <v>0</v>
      </c>
      <c r="L251" s="39">
        <f t="shared" si="4"/>
        <v>0</v>
      </c>
      <c r="M251" s="38">
        <f t="shared" si="5"/>
        <v>0</v>
      </c>
      <c r="N251" s="39">
        <f t="shared" si="6"/>
        <v>0</v>
      </c>
      <c r="O251" s="40"/>
      <c r="P251" s="34"/>
      <c r="Q251" s="35"/>
      <c r="R251" s="35"/>
      <c r="S251" s="35"/>
      <c r="T251" s="35"/>
      <c r="U251" s="35"/>
      <c r="V251" s="35"/>
      <c r="W251" s="35"/>
      <c r="X251" s="35"/>
      <c r="Y251" s="35"/>
      <c r="Z251" s="35"/>
    </row>
    <row r="252" ht="14.25" customHeight="1">
      <c r="A252" s="221"/>
      <c r="B252" s="231"/>
      <c r="C252" s="108"/>
      <c r="D252" s="237"/>
      <c r="E252" s="117"/>
      <c r="F252" s="245"/>
      <c r="G252" s="245"/>
      <c r="H252" s="523"/>
      <c r="I252" s="36">
        <f t="shared" si="1"/>
        <v>0</v>
      </c>
      <c r="J252" s="37">
        <f t="shared" si="2"/>
        <v>0</v>
      </c>
      <c r="K252" s="38">
        <f t="shared" si="3"/>
        <v>0</v>
      </c>
      <c r="L252" s="39">
        <f t="shared" si="4"/>
        <v>0</v>
      </c>
      <c r="M252" s="38">
        <f t="shared" si="5"/>
        <v>0</v>
      </c>
      <c r="N252" s="39">
        <f t="shared" si="6"/>
        <v>0</v>
      </c>
      <c r="O252" s="40"/>
      <c r="P252" s="34"/>
      <c r="Q252" s="35"/>
      <c r="R252" s="35"/>
      <c r="S252" s="35"/>
      <c r="T252" s="35"/>
      <c r="U252" s="35"/>
      <c r="V252" s="35"/>
      <c r="W252" s="35"/>
      <c r="X252" s="35"/>
      <c r="Y252" s="35"/>
      <c r="Z252" s="35"/>
    </row>
    <row r="253" ht="14.25" customHeight="1">
      <c r="A253" s="221"/>
      <c r="B253" s="231"/>
      <c r="C253" s="108"/>
      <c r="D253" s="237"/>
      <c r="E253" s="117"/>
      <c r="F253" s="245"/>
      <c r="G253" s="245"/>
      <c r="H253" s="523"/>
      <c r="I253" s="36">
        <f t="shared" si="1"/>
        <v>0</v>
      </c>
      <c r="J253" s="37">
        <f t="shared" si="2"/>
        <v>0</v>
      </c>
      <c r="K253" s="38">
        <f t="shared" si="3"/>
        <v>0</v>
      </c>
      <c r="L253" s="39">
        <f t="shared" si="4"/>
        <v>0</v>
      </c>
      <c r="M253" s="38">
        <f t="shared" si="5"/>
        <v>0</v>
      </c>
      <c r="N253" s="39">
        <f t="shared" si="6"/>
        <v>0</v>
      </c>
      <c r="O253" s="40"/>
      <c r="P253" s="34"/>
      <c r="Q253" s="35"/>
      <c r="R253" s="35"/>
      <c r="S253" s="35"/>
      <c r="T253" s="35"/>
      <c r="U253" s="35"/>
      <c r="V253" s="35"/>
      <c r="W253" s="35"/>
      <c r="X253" s="35"/>
      <c r="Y253" s="35"/>
      <c r="Z253" s="35"/>
    </row>
    <row r="254" ht="14.25" customHeight="1">
      <c r="A254" s="221"/>
      <c r="B254" s="231"/>
      <c r="C254" s="108"/>
      <c r="D254" s="237"/>
      <c r="E254" s="117"/>
      <c r="F254" s="245"/>
      <c r="G254" s="245"/>
      <c r="H254" s="523"/>
      <c r="I254" s="36">
        <f t="shared" si="1"/>
        <v>0</v>
      </c>
      <c r="J254" s="37">
        <f t="shared" si="2"/>
        <v>0</v>
      </c>
      <c r="K254" s="38">
        <f t="shared" si="3"/>
        <v>0</v>
      </c>
      <c r="L254" s="39">
        <f t="shared" si="4"/>
        <v>0</v>
      </c>
      <c r="M254" s="38">
        <f t="shared" si="5"/>
        <v>0</v>
      </c>
      <c r="N254" s="39">
        <f t="shared" si="6"/>
        <v>0</v>
      </c>
      <c r="O254" s="40"/>
      <c r="P254" s="34"/>
      <c r="Q254" s="35"/>
      <c r="R254" s="35"/>
      <c r="S254" s="35"/>
      <c r="T254" s="35"/>
      <c r="U254" s="35"/>
      <c r="V254" s="35"/>
      <c r="W254" s="35"/>
      <c r="X254" s="35"/>
      <c r="Y254" s="35"/>
      <c r="Z254" s="35"/>
    </row>
    <row r="255" ht="14.25" customHeight="1">
      <c r="A255" s="221"/>
      <c r="B255" s="231"/>
      <c r="C255" s="108"/>
      <c r="D255" s="237"/>
      <c r="E255" s="117"/>
      <c r="F255" s="245"/>
      <c r="G255" s="245"/>
      <c r="H255" s="523"/>
      <c r="I255" s="36">
        <f t="shared" si="1"/>
        <v>0</v>
      </c>
      <c r="J255" s="37">
        <f t="shared" si="2"/>
        <v>0</v>
      </c>
      <c r="K255" s="38">
        <f t="shared" si="3"/>
        <v>0</v>
      </c>
      <c r="L255" s="39">
        <f t="shared" si="4"/>
        <v>0</v>
      </c>
      <c r="M255" s="38">
        <f t="shared" si="5"/>
        <v>0</v>
      </c>
      <c r="N255" s="39">
        <f t="shared" si="6"/>
        <v>0</v>
      </c>
      <c r="O255" s="40"/>
      <c r="P255" s="34"/>
      <c r="Q255" s="35"/>
      <c r="R255" s="35"/>
      <c r="S255" s="35"/>
      <c r="T255" s="35"/>
      <c r="U255" s="35"/>
      <c r="V255" s="35"/>
      <c r="W255" s="35"/>
      <c r="X255" s="35"/>
      <c r="Y255" s="35"/>
      <c r="Z255" s="35"/>
    </row>
    <row r="256" ht="14.25" customHeight="1">
      <c r="A256" s="221"/>
      <c r="B256" s="231"/>
      <c r="C256" s="108"/>
      <c r="D256" s="237"/>
      <c r="E256" s="117"/>
      <c r="F256" s="245"/>
      <c r="G256" s="245"/>
      <c r="H256" s="523"/>
      <c r="I256" s="36">
        <f t="shared" si="1"/>
        <v>0</v>
      </c>
      <c r="J256" s="37">
        <f t="shared" si="2"/>
        <v>0</v>
      </c>
      <c r="K256" s="38">
        <f t="shared" si="3"/>
        <v>0</v>
      </c>
      <c r="L256" s="39">
        <f t="shared" si="4"/>
        <v>0</v>
      </c>
      <c r="M256" s="38">
        <f t="shared" si="5"/>
        <v>0</v>
      </c>
      <c r="N256" s="39">
        <f t="shared" si="6"/>
        <v>0</v>
      </c>
      <c r="O256" s="40"/>
      <c r="P256" s="34"/>
      <c r="Q256" s="35"/>
      <c r="R256" s="35"/>
      <c r="S256" s="35"/>
      <c r="T256" s="35"/>
      <c r="U256" s="35"/>
      <c r="V256" s="35"/>
      <c r="W256" s="35"/>
      <c r="X256" s="35"/>
      <c r="Y256" s="35"/>
      <c r="Z256" s="35"/>
    </row>
    <row r="257" ht="14.25" customHeight="1">
      <c r="A257" s="221"/>
      <c r="B257" s="231"/>
      <c r="C257" s="108"/>
      <c r="D257" s="237"/>
      <c r="E257" s="117"/>
      <c r="F257" s="244"/>
      <c r="G257" s="244"/>
      <c r="H257" s="523"/>
      <c r="I257" s="36">
        <f t="shared" si="1"/>
        <v>0</v>
      </c>
      <c r="J257" s="37">
        <f t="shared" si="2"/>
        <v>0</v>
      </c>
      <c r="K257" s="38">
        <f t="shared" si="3"/>
        <v>0</v>
      </c>
      <c r="L257" s="39">
        <f t="shared" si="4"/>
        <v>0</v>
      </c>
      <c r="M257" s="38">
        <f t="shared" si="5"/>
        <v>0</v>
      </c>
      <c r="N257" s="39">
        <f t="shared" si="6"/>
        <v>0</v>
      </c>
      <c r="O257" s="40"/>
      <c r="P257" s="34"/>
      <c r="Q257" s="35"/>
      <c r="R257" s="35"/>
      <c r="S257" s="35"/>
      <c r="T257" s="35"/>
      <c r="U257" s="35"/>
      <c r="V257" s="35"/>
      <c r="W257" s="35"/>
      <c r="X257" s="35"/>
      <c r="Y257" s="35"/>
      <c r="Z257" s="35"/>
    </row>
    <row r="258" ht="14.25" customHeight="1">
      <c r="A258" s="221"/>
      <c r="B258" s="231"/>
      <c r="C258" s="108"/>
      <c r="D258" s="223"/>
      <c r="E258" s="117"/>
      <c r="F258" s="246"/>
      <c r="G258" s="246"/>
      <c r="H258" s="523"/>
      <c r="I258" s="36">
        <f t="shared" si="1"/>
        <v>0</v>
      </c>
      <c r="J258" s="37">
        <f t="shared" si="2"/>
        <v>0</v>
      </c>
      <c r="K258" s="38">
        <f t="shared" si="3"/>
        <v>0</v>
      </c>
      <c r="L258" s="39">
        <f t="shared" si="4"/>
        <v>0</v>
      </c>
      <c r="M258" s="38">
        <f t="shared" si="5"/>
        <v>0</v>
      </c>
      <c r="N258" s="39">
        <f t="shared" si="6"/>
        <v>0</v>
      </c>
      <c r="O258" s="40"/>
      <c r="P258" s="34"/>
      <c r="Q258" s="35"/>
      <c r="R258" s="35"/>
      <c r="S258" s="35"/>
      <c r="T258" s="35"/>
      <c r="U258" s="35"/>
      <c r="V258" s="35"/>
      <c r="W258" s="35"/>
      <c r="X258" s="35"/>
      <c r="Y258" s="35"/>
      <c r="Z258" s="35"/>
    </row>
    <row r="259" ht="14.25" customHeight="1">
      <c r="A259" s="221"/>
      <c r="B259" s="231"/>
      <c r="C259" s="108"/>
      <c r="D259" s="247"/>
      <c r="E259" s="117"/>
      <c r="F259" s="246"/>
      <c r="G259" s="246"/>
      <c r="H259" s="523"/>
      <c r="I259" s="36">
        <f t="shared" si="1"/>
        <v>0</v>
      </c>
      <c r="J259" s="37">
        <f t="shared" si="2"/>
        <v>0</v>
      </c>
      <c r="K259" s="38">
        <f t="shared" si="3"/>
        <v>0</v>
      </c>
      <c r="L259" s="39">
        <f t="shared" si="4"/>
        <v>0</v>
      </c>
      <c r="M259" s="38">
        <f t="shared" si="5"/>
        <v>0</v>
      </c>
      <c r="N259" s="39">
        <f t="shared" si="6"/>
        <v>0</v>
      </c>
      <c r="O259" s="40"/>
      <c r="P259" s="34"/>
      <c r="Q259" s="35"/>
      <c r="R259" s="35"/>
      <c r="S259" s="35"/>
      <c r="T259" s="35"/>
      <c r="U259" s="35"/>
      <c r="V259" s="35"/>
      <c r="W259" s="35"/>
      <c r="X259" s="35"/>
      <c r="Y259" s="35"/>
      <c r="Z259" s="35"/>
    </row>
    <row r="260" ht="14.25" customHeight="1">
      <c r="A260" s="221"/>
      <c r="B260" s="231"/>
      <c r="C260" s="108"/>
      <c r="D260" s="223"/>
      <c r="E260" s="117"/>
      <c r="F260" s="246"/>
      <c r="G260" s="246"/>
      <c r="H260" s="523"/>
      <c r="I260" s="36">
        <f t="shared" si="1"/>
        <v>0</v>
      </c>
      <c r="J260" s="37">
        <f t="shared" si="2"/>
        <v>0</v>
      </c>
      <c r="K260" s="38">
        <f t="shared" si="3"/>
        <v>0</v>
      </c>
      <c r="L260" s="39">
        <f t="shared" si="4"/>
        <v>0</v>
      </c>
      <c r="M260" s="38">
        <f t="shared" si="5"/>
        <v>0</v>
      </c>
      <c r="N260" s="39">
        <f t="shared" si="6"/>
        <v>0</v>
      </c>
      <c r="O260" s="40"/>
      <c r="P260" s="34"/>
      <c r="Q260" s="35"/>
      <c r="R260" s="35"/>
      <c r="S260" s="35"/>
      <c r="T260" s="35"/>
      <c r="U260" s="35"/>
      <c r="V260" s="35"/>
      <c r="W260" s="35"/>
      <c r="X260" s="35"/>
      <c r="Y260" s="35"/>
      <c r="Z260" s="35"/>
    </row>
    <row r="261" ht="14.25" customHeight="1">
      <c r="A261" s="221"/>
      <c r="B261" s="231"/>
      <c r="C261" s="108"/>
      <c r="D261" s="223"/>
      <c r="E261" s="117"/>
      <c r="F261" s="246"/>
      <c r="G261" s="246"/>
      <c r="H261" s="523"/>
      <c r="I261" s="36">
        <f t="shared" si="1"/>
        <v>0</v>
      </c>
      <c r="J261" s="37">
        <f t="shared" si="2"/>
        <v>0</v>
      </c>
      <c r="K261" s="38">
        <f t="shared" si="3"/>
        <v>0</v>
      </c>
      <c r="L261" s="39">
        <f t="shared" si="4"/>
        <v>0</v>
      </c>
      <c r="M261" s="38">
        <f t="shared" si="5"/>
        <v>0</v>
      </c>
      <c r="N261" s="39">
        <f t="shared" si="6"/>
        <v>0</v>
      </c>
      <c r="O261" s="40"/>
      <c r="P261" s="34"/>
      <c r="Q261" s="35"/>
      <c r="R261" s="35"/>
      <c r="S261" s="35"/>
      <c r="T261" s="35"/>
      <c r="U261" s="35"/>
      <c r="V261" s="35"/>
      <c r="W261" s="35"/>
      <c r="X261" s="35"/>
      <c r="Y261" s="35"/>
      <c r="Z261" s="35"/>
    </row>
    <row r="262" ht="14.25" customHeight="1">
      <c r="A262" s="221"/>
      <c r="B262" s="231"/>
      <c r="C262" s="108"/>
      <c r="D262" s="223"/>
      <c r="E262" s="117"/>
      <c r="F262" s="246"/>
      <c r="G262" s="246"/>
      <c r="H262" s="523"/>
      <c r="I262" s="36">
        <f t="shared" si="1"/>
        <v>0</v>
      </c>
      <c r="J262" s="37">
        <f t="shared" si="2"/>
        <v>0</v>
      </c>
      <c r="K262" s="38">
        <f t="shared" si="3"/>
        <v>0</v>
      </c>
      <c r="L262" s="39">
        <f t="shared" si="4"/>
        <v>0</v>
      </c>
      <c r="M262" s="38">
        <f t="shared" si="5"/>
        <v>0</v>
      </c>
      <c r="N262" s="39">
        <f t="shared" si="6"/>
        <v>0</v>
      </c>
      <c r="O262" s="40"/>
      <c r="P262" s="34"/>
      <c r="Q262" s="35"/>
      <c r="R262" s="35"/>
      <c r="S262" s="35"/>
      <c r="T262" s="35"/>
      <c r="U262" s="35"/>
      <c r="V262" s="35"/>
      <c r="W262" s="35"/>
      <c r="X262" s="35"/>
      <c r="Y262" s="35"/>
      <c r="Z262" s="35"/>
    </row>
    <row r="263" ht="14.25" customHeight="1">
      <c r="A263" s="221"/>
      <c r="B263" s="231"/>
      <c r="C263" s="108"/>
      <c r="D263" s="223"/>
      <c r="E263" s="117"/>
      <c r="F263" s="246"/>
      <c r="G263" s="246"/>
      <c r="H263" s="523"/>
      <c r="I263" s="36">
        <f t="shared" si="1"/>
        <v>0</v>
      </c>
      <c r="J263" s="37">
        <f t="shared" si="2"/>
        <v>0</v>
      </c>
      <c r="K263" s="38">
        <f t="shared" si="3"/>
        <v>0</v>
      </c>
      <c r="L263" s="39">
        <f t="shared" si="4"/>
        <v>0</v>
      </c>
      <c r="M263" s="38">
        <f t="shared" si="5"/>
        <v>0</v>
      </c>
      <c r="N263" s="39">
        <f t="shared" si="6"/>
        <v>0</v>
      </c>
      <c r="O263" s="40"/>
      <c r="P263" s="34"/>
      <c r="Q263" s="35"/>
      <c r="R263" s="35"/>
      <c r="S263" s="35"/>
      <c r="T263" s="35"/>
      <c r="U263" s="35"/>
      <c r="V263" s="35"/>
      <c r="W263" s="35"/>
      <c r="X263" s="35"/>
      <c r="Y263" s="35"/>
      <c r="Z263" s="35"/>
    </row>
    <row r="264" ht="14.25" customHeight="1">
      <c r="A264" s="221"/>
      <c r="B264" s="231"/>
      <c r="C264" s="108"/>
      <c r="D264" s="223"/>
      <c r="E264" s="117"/>
      <c r="F264" s="245"/>
      <c r="G264" s="245"/>
      <c r="H264" s="523"/>
      <c r="I264" s="36">
        <f t="shared" si="1"/>
        <v>0</v>
      </c>
      <c r="J264" s="37">
        <f t="shared" si="2"/>
        <v>0</v>
      </c>
      <c r="K264" s="38">
        <f t="shared" si="3"/>
        <v>0</v>
      </c>
      <c r="L264" s="39">
        <f t="shared" si="4"/>
        <v>0</v>
      </c>
      <c r="M264" s="38">
        <f t="shared" si="5"/>
        <v>0</v>
      </c>
      <c r="N264" s="39">
        <f t="shared" si="6"/>
        <v>0</v>
      </c>
      <c r="O264" s="40"/>
      <c r="P264" s="34"/>
      <c r="Q264" s="35"/>
      <c r="R264" s="35"/>
      <c r="S264" s="35"/>
      <c r="T264" s="35"/>
      <c r="U264" s="35"/>
      <c r="V264" s="35"/>
      <c r="W264" s="35"/>
      <c r="X264" s="35"/>
      <c r="Y264" s="35"/>
      <c r="Z264" s="35"/>
    </row>
    <row r="265" ht="14.25" customHeight="1">
      <c r="A265" s="221"/>
      <c r="B265" s="231"/>
      <c r="C265" s="110"/>
      <c r="D265" s="223"/>
      <c r="E265" s="117"/>
      <c r="F265" s="245"/>
      <c r="G265" s="245"/>
      <c r="H265" s="523"/>
      <c r="I265" s="36">
        <f t="shared" si="1"/>
        <v>0</v>
      </c>
      <c r="J265" s="37">
        <f t="shared" si="2"/>
        <v>0</v>
      </c>
      <c r="K265" s="38">
        <f t="shared" si="3"/>
        <v>0</v>
      </c>
      <c r="L265" s="39">
        <f t="shared" si="4"/>
        <v>0</v>
      </c>
      <c r="M265" s="38">
        <f t="shared" si="5"/>
        <v>0</v>
      </c>
      <c r="N265" s="39">
        <f t="shared" si="6"/>
        <v>0</v>
      </c>
      <c r="O265" s="40"/>
      <c r="P265" s="34"/>
      <c r="Q265" s="35"/>
      <c r="R265" s="35"/>
      <c r="S265" s="35"/>
      <c r="T265" s="35"/>
      <c r="U265" s="35"/>
      <c r="V265" s="35"/>
      <c r="W265" s="35"/>
      <c r="X265" s="35"/>
      <c r="Y265" s="35"/>
      <c r="Z265" s="35"/>
    </row>
    <row r="266" ht="14.25" customHeight="1">
      <c r="A266" s="221"/>
      <c r="B266" s="231"/>
      <c r="C266" s="115"/>
      <c r="D266" s="237"/>
      <c r="E266" s="117"/>
      <c r="F266" s="245"/>
      <c r="G266" s="245"/>
      <c r="H266" s="523"/>
      <c r="I266" s="36">
        <f t="shared" si="1"/>
        <v>0</v>
      </c>
      <c r="J266" s="37">
        <f t="shared" si="2"/>
        <v>0</v>
      </c>
      <c r="K266" s="38">
        <f t="shared" si="3"/>
        <v>0</v>
      </c>
      <c r="L266" s="39">
        <f t="shared" si="4"/>
        <v>0</v>
      </c>
      <c r="M266" s="38">
        <f t="shared" si="5"/>
        <v>0</v>
      </c>
      <c r="N266" s="39">
        <f t="shared" si="6"/>
        <v>0</v>
      </c>
      <c r="O266" s="40"/>
      <c r="P266" s="34"/>
      <c r="Q266" s="35"/>
      <c r="R266" s="35"/>
      <c r="S266" s="35"/>
      <c r="T266" s="35"/>
      <c r="U266" s="35"/>
      <c r="V266" s="35"/>
      <c r="W266" s="35"/>
      <c r="X266" s="35"/>
      <c r="Y266" s="35"/>
      <c r="Z266" s="35"/>
    </row>
    <row r="267" ht="14.25" customHeight="1">
      <c r="A267" s="221"/>
      <c r="B267" s="231"/>
      <c r="C267" s="115"/>
      <c r="D267" s="237"/>
      <c r="E267" s="117"/>
      <c r="F267" s="245"/>
      <c r="G267" s="245"/>
      <c r="H267" s="523"/>
      <c r="I267" s="36">
        <f t="shared" si="1"/>
        <v>0</v>
      </c>
      <c r="J267" s="37">
        <f t="shared" si="2"/>
        <v>0</v>
      </c>
      <c r="K267" s="38">
        <f t="shared" si="3"/>
        <v>0</v>
      </c>
      <c r="L267" s="39">
        <f t="shared" si="4"/>
        <v>0</v>
      </c>
      <c r="M267" s="38">
        <f t="shared" si="5"/>
        <v>0</v>
      </c>
      <c r="N267" s="39">
        <f t="shared" si="6"/>
        <v>0</v>
      </c>
      <c r="O267" s="40"/>
      <c r="P267" s="34"/>
      <c r="Q267" s="35"/>
      <c r="R267" s="35"/>
      <c r="S267" s="35"/>
      <c r="T267" s="35"/>
      <c r="U267" s="35"/>
      <c r="V267" s="35"/>
      <c r="W267" s="35"/>
      <c r="X267" s="35"/>
      <c r="Y267" s="35"/>
      <c r="Z267" s="35"/>
    </row>
    <row r="268" ht="14.25" customHeight="1">
      <c r="A268" s="221"/>
      <c r="B268" s="231"/>
      <c r="C268" s="115"/>
      <c r="D268" s="237"/>
      <c r="E268" s="117"/>
      <c r="F268" s="245"/>
      <c r="G268" s="245"/>
      <c r="H268" s="523"/>
      <c r="I268" s="36">
        <f t="shared" si="1"/>
        <v>0</v>
      </c>
      <c r="J268" s="37">
        <f t="shared" si="2"/>
        <v>0</v>
      </c>
      <c r="K268" s="38">
        <f t="shared" si="3"/>
        <v>0</v>
      </c>
      <c r="L268" s="39">
        <f t="shared" si="4"/>
        <v>0</v>
      </c>
      <c r="M268" s="38">
        <f t="shared" si="5"/>
        <v>0</v>
      </c>
      <c r="N268" s="39">
        <f t="shared" si="6"/>
        <v>0</v>
      </c>
      <c r="O268" s="40"/>
      <c r="P268" s="34"/>
      <c r="Q268" s="35"/>
      <c r="R268" s="35"/>
      <c r="S268" s="35"/>
      <c r="T268" s="35"/>
      <c r="U268" s="35"/>
      <c r="V268" s="35"/>
      <c r="W268" s="35"/>
      <c r="X268" s="35"/>
      <c r="Y268" s="35"/>
      <c r="Z268" s="35"/>
    </row>
    <row r="269" ht="14.25" customHeight="1">
      <c r="A269" s="221"/>
      <c r="B269" s="231"/>
      <c r="C269" s="115"/>
      <c r="D269" s="237"/>
      <c r="E269" s="117"/>
      <c r="F269" s="245"/>
      <c r="G269" s="245"/>
      <c r="H269" s="523"/>
      <c r="I269" s="36">
        <f t="shared" si="1"/>
        <v>0</v>
      </c>
      <c r="J269" s="37">
        <f t="shared" si="2"/>
        <v>0</v>
      </c>
      <c r="K269" s="38">
        <f t="shared" si="3"/>
        <v>0</v>
      </c>
      <c r="L269" s="39">
        <f t="shared" si="4"/>
        <v>0</v>
      </c>
      <c r="M269" s="38">
        <f t="shared" si="5"/>
        <v>0</v>
      </c>
      <c r="N269" s="39">
        <f t="shared" si="6"/>
        <v>0</v>
      </c>
      <c r="O269" s="40"/>
      <c r="P269" s="34"/>
      <c r="Q269" s="35"/>
      <c r="R269" s="35"/>
      <c r="S269" s="35"/>
      <c r="T269" s="35"/>
      <c r="U269" s="35"/>
      <c r="V269" s="35"/>
      <c r="W269" s="35"/>
      <c r="X269" s="35"/>
      <c r="Y269" s="35"/>
      <c r="Z269" s="35"/>
    </row>
    <row r="270" ht="14.25" customHeight="1">
      <c r="A270" s="221"/>
      <c r="B270" s="231"/>
      <c r="C270" s="108"/>
      <c r="D270" s="237"/>
      <c r="E270" s="117"/>
      <c r="F270" s="245"/>
      <c r="G270" s="245"/>
      <c r="H270" s="523"/>
      <c r="I270" s="36">
        <f t="shared" si="1"/>
        <v>0</v>
      </c>
      <c r="J270" s="37">
        <f t="shared" si="2"/>
        <v>0</v>
      </c>
      <c r="K270" s="38">
        <f t="shared" si="3"/>
        <v>0</v>
      </c>
      <c r="L270" s="39">
        <f t="shared" si="4"/>
        <v>0</v>
      </c>
      <c r="M270" s="38">
        <f t="shared" si="5"/>
        <v>0</v>
      </c>
      <c r="N270" s="39">
        <f t="shared" si="6"/>
        <v>0</v>
      </c>
      <c r="O270" s="40"/>
      <c r="P270" s="34"/>
      <c r="Q270" s="35"/>
      <c r="R270" s="35"/>
      <c r="S270" s="35"/>
      <c r="T270" s="35"/>
      <c r="U270" s="35"/>
      <c r="V270" s="35"/>
      <c r="W270" s="35"/>
      <c r="X270" s="35"/>
      <c r="Y270" s="35"/>
      <c r="Z270" s="35"/>
    </row>
    <row r="271" ht="14.25" customHeight="1">
      <c r="A271" s="221"/>
      <c r="B271" s="231"/>
      <c r="C271" s="116"/>
      <c r="D271" s="237"/>
      <c r="E271" s="117"/>
      <c r="F271" s="245"/>
      <c r="G271" s="245"/>
      <c r="H271" s="523"/>
      <c r="I271" s="36">
        <f t="shared" si="1"/>
        <v>0</v>
      </c>
      <c r="J271" s="37">
        <f t="shared" si="2"/>
        <v>0</v>
      </c>
      <c r="K271" s="38">
        <f t="shared" si="3"/>
        <v>0</v>
      </c>
      <c r="L271" s="39">
        <f t="shared" si="4"/>
        <v>0</v>
      </c>
      <c r="M271" s="38">
        <f t="shared" si="5"/>
        <v>0</v>
      </c>
      <c r="N271" s="39">
        <f t="shared" si="6"/>
        <v>0</v>
      </c>
      <c r="O271" s="40"/>
      <c r="P271" s="34"/>
      <c r="Q271" s="35"/>
      <c r="R271" s="35"/>
      <c r="S271" s="35"/>
      <c r="T271" s="35"/>
      <c r="U271" s="35"/>
      <c r="V271" s="35"/>
      <c r="W271" s="35"/>
      <c r="X271" s="35"/>
      <c r="Y271" s="35"/>
      <c r="Z271" s="35"/>
    </row>
    <row r="272" ht="14.25" customHeight="1">
      <c r="A272" s="221"/>
      <c r="B272" s="231"/>
      <c r="C272" s="126"/>
      <c r="D272" s="237"/>
      <c r="E272" s="117"/>
      <c r="F272" s="245"/>
      <c r="G272" s="245"/>
      <c r="H272" s="523"/>
      <c r="I272" s="36">
        <f t="shared" si="1"/>
        <v>0</v>
      </c>
      <c r="J272" s="37">
        <f t="shared" si="2"/>
        <v>0</v>
      </c>
      <c r="K272" s="38">
        <f t="shared" si="3"/>
        <v>0</v>
      </c>
      <c r="L272" s="39">
        <f t="shared" si="4"/>
        <v>0</v>
      </c>
      <c r="M272" s="38">
        <f t="shared" si="5"/>
        <v>0</v>
      </c>
      <c r="N272" s="39">
        <f t="shared" si="6"/>
        <v>0</v>
      </c>
      <c r="O272" s="40"/>
      <c r="P272" s="34"/>
      <c r="Q272" s="35"/>
      <c r="R272" s="35"/>
      <c r="S272" s="35"/>
      <c r="T272" s="35"/>
      <c r="U272" s="35"/>
      <c r="V272" s="35"/>
      <c r="W272" s="35"/>
      <c r="X272" s="35"/>
      <c r="Y272" s="35"/>
      <c r="Z272" s="35"/>
    </row>
    <row r="273" ht="14.25" customHeight="1">
      <c r="A273" s="221"/>
      <c r="B273" s="231"/>
      <c r="C273" s="115"/>
      <c r="D273" s="237"/>
      <c r="E273" s="117"/>
      <c r="F273" s="245"/>
      <c r="G273" s="245"/>
      <c r="H273" s="523"/>
      <c r="I273" s="36">
        <f t="shared" si="1"/>
        <v>0</v>
      </c>
      <c r="J273" s="37">
        <f t="shared" si="2"/>
        <v>0</v>
      </c>
      <c r="K273" s="38">
        <f t="shared" si="3"/>
        <v>0</v>
      </c>
      <c r="L273" s="39">
        <f t="shared" si="4"/>
        <v>0</v>
      </c>
      <c r="M273" s="38">
        <f t="shared" si="5"/>
        <v>0</v>
      </c>
      <c r="N273" s="39">
        <f t="shared" si="6"/>
        <v>0</v>
      </c>
      <c r="O273" s="40"/>
      <c r="P273" s="34"/>
      <c r="Q273" s="35"/>
      <c r="R273" s="35"/>
      <c r="S273" s="35"/>
      <c r="T273" s="35"/>
      <c r="U273" s="35"/>
      <c r="V273" s="35"/>
      <c r="W273" s="35"/>
      <c r="X273" s="35"/>
      <c r="Y273" s="35"/>
      <c r="Z273" s="35"/>
    </row>
    <row r="274" ht="14.25" customHeight="1">
      <c r="A274" s="221"/>
      <c r="B274" s="231"/>
      <c r="C274" s="116"/>
      <c r="D274" s="237"/>
      <c r="E274" s="117"/>
      <c r="F274" s="245"/>
      <c r="G274" s="245"/>
      <c r="H274" s="523"/>
      <c r="I274" s="36">
        <f t="shared" si="1"/>
        <v>0</v>
      </c>
      <c r="J274" s="37">
        <f t="shared" si="2"/>
        <v>0</v>
      </c>
      <c r="K274" s="38">
        <f t="shared" si="3"/>
        <v>0</v>
      </c>
      <c r="L274" s="39">
        <f t="shared" si="4"/>
        <v>0</v>
      </c>
      <c r="M274" s="38">
        <f t="shared" si="5"/>
        <v>0</v>
      </c>
      <c r="N274" s="39">
        <f t="shared" si="6"/>
        <v>0</v>
      </c>
      <c r="O274" s="40"/>
      <c r="P274" s="34"/>
      <c r="Q274" s="35"/>
      <c r="R274" s="35"/>
      <c r="S274" s="35"/>
      <c r="T274" s="35"/>
      <c r="U274" s="35"/>
      <c r="V274" s="35"/>
      <c r="W274" s="35"/>
      <c r="X274" s="35"/>
      <c r="Y274" s="35"/>
      <c r="Z274" s="35"/>
    </row>
    <row r="275" ht="14.25" customHeight="1">
      <c r="A275" s="221"/>
      <c r="B275" s="231"/>
      <c r="C275" s="116"/>
      <c r="D275" s="237"/>
      <c r="E275" s="117"/>
      <c r="F275" s="245"/>
      <c r="G275" s="245"/>
      <c r="H275" s="523"/>
      <c r="I275" s="36">
        <f t="shared" si="1"/>
        <v>0</v>
      </c>
      <c r="J275" s="37">
        <f t="shared" si="2"/>
        <v>0</v>
      </c>
      <c r="K275" s="38">
        <f t="shared" si="3"/>
        <v>0</v>
      </c>
      <c r="L275" s="39">
        <f t="shared" si="4"/>
        <v>0</v>
      </c>
      <c r="M275" s="38">
        <f t="shared" si="5"/>
        <v>0</v>
      </c>
      <c r="N275" s="39">
        <f t="shared" si="6"/>
        <v>0</v>
      </c>
      <c r="O275" s="40"/>
      <c r="P275" s="34"/>
      <c r="Q275" s="35"/>
      <c r="R275" s="35"/>
      <c r="S275" s="35"/>
      <c r="T275" s="35"/>
      <c r="U275" s="35"/>
      <c r="V275" s="35"/>
      <c r="W275" s="35"/>
      <c r="X275" s="35"/>
      <c r="Y275" s="35"/>
      <c r="Z275" s="35"/>
    </row>
    <row r="276" ht="14.25" customHeight="1">
      <c r="A276" s="221"/>
      <c r="B276" s="231"/>
      <c r="C276" s="116"/>
      <c r="D276" s="237"/>
      <c r="E276" s="117"/>
      <c r="F276" s="245"/>
      <c r="G276" s="245"/>
      <c r="H276" s="523"/>
      <c r="I276" s="36">
        <f t="shared" si="1"/>
        <v>0</v>
      </c>
      <c r="J276" s="37">
        <f t="shared" si="2"/>
        <v>0</v>
      </c>
      <c r="K276" s="38">
        <f t="shared" si="3"/>
        <v>0</v>
      </c>
      <c r="L276" s="39">
        <f t="shared" si="4"/>
        <v>0</v>
      </c>
      <c r="M276" s="38">
        <f t="shared" si="5"/>
        <v>0</v>
      </c>
      <c r="N276" s="39">
        <f t="shared" si="6"/>
        <v>0</v>
      </c>
      <c r="O276" s="40"/>
      <c r="P276" s="34"/>
      <c r="Q276" s="35"/>
      <c r="R276" s="35"/>
      <c r="S276" s="35"/>
      <c r="T276" s="35"/>
      <c r="U276" s="35"/>
      <c r="V276" s="35"/>
      <c r="W276" s="35"/>
      <c r="X276" s="35"/>
      <c r="Y276" s="35"/>
      <c r="Z276" s="35"/>
    </row>
    <row r="277" ht="14.25" customHeight="1">
      <c r="A277" s="221"/>
      <c r="B277" s="231"/>
      <c r="C277" s="116"/>
      <c r="D277" s="237"/>
      <c r="E277" s="117"/>
      <c r="F277" s="245"/>
      <c r="G277" s="245"/>
      <c r="H277" s="523"/>
      <c r="I277" s="36">
        <f t="shared" si="1"/>
        <v>0</v>
      </c>
      <c r="J277" s="37">
        <f t="shared" si="2"/>
        <v>0</v>
      </c>
      <c r="K277" s="38">
        <f t="shared" si="3"/>
        <v>0</v>
      </c>
      <c r="L277" s="39">
        <f t="shared" si="4"/>
        <v>0</v>
      </c>
      <c r="M277" s="38">
        <f t="shared" si="5"/>
        <v>0</v>
      </c>
      <c r="N277" s="39">
        <f t="shared" si="6"/>
        <v>0</v>
      </c>
      <c r="O277" s="40"/>
      <c r="P277" s="34"/>
      <c r="Q277" s="35"/>
      <c r="R277" s="35"/>
      <c r="S277" s="35"/>
      <c r="T277" s="35"/>
      <c r="U277" s="35"/>
      <c r="V277" s="35"/>
      <c r="W277" s="35"/>
      <c r="X277" s="35"/>
      <c r="Y277" s="35"/>
      <c r="Z277" s="35"/>
    </row>
    <row r="278" ht="14.25" customHeight="1">
      <c r="A278" s="221"/>
      <c r="B278" s="231"/>
      <c r="C278" s="116"/>
      <c r="D278" s="237"/>
      <c r="E278" s="117"/>
      <c r="F278" s="245"/>
      <c r="G278" s="245"/>
      <c r="H278" s="523"/>
      <c r="I278" s="36">
        <f t="shared" si="1"/>
        <v>0</v>
      </c>
      <c r="J278" s="37">
        <f t="shared" si="2"/>
        <v>0</v>
      </c>
      <c r="K278" s="38">
        <f t="shared" si="3"/>
        <v>0</v>
      </c>
      <c r="L278" s="39">
        <f t="shared" si="4"/>
        <v>0</v>
      </c>
      <c r="M278" s="38">
        <f t="shared" si="5"/>
        <v>0</v>
      </c>
      <c r="N278" s="39">
        <f t="shared" si="6"/>
        <v>0</v>
      </c>
      <c r="O278" s="40"/>
      <c r="P278" s="34"/>
      <c r="Q278" s="35"/>
      <c r="R278" s="35"/>
      <c r="S278" s="35"/>
      <c r="T278" s="35"/>
      <c r="U278" s="35"/>
      <c r="V278" s="35"/>
      <c r="W278" s="35"/>
      <c r="X278" s="35"/>
      <c r="Y278" s="35"/>
      <c r="Z278" s="35"/>
    </row>
    <row r="279" ht="14.25" customHeight="1">
      <c r="A279" s="221"/>
      <c r="B279" s="231"/>
      <c r="C279" s="116"/>
      <c r="D279" s="237"/>
      <c r="E279" s="117"/>
      <c r="F279" s="245"/>
      <c r="G279" s="245"/>
      <c r="H279" s="523"/>
      <c r="I279" s="36">
        <f t="shared" si="1"/>
        <v>0</v>
      </c>
      <c r="J279" s="37">
        <f t="shared" si="2"/>
        <v>0</v>
      </c>
      <c r="K279" s="38">
        <f t="shared" si="3"/>
        <v>0</v>
      </c>
      <c r="L279" s="39">
        <f t="shared" si="4"/>
        <v>0</v>
      </c>
      <c r="M279" s="38">
        <f t="shared" si="5"/>
        <v>0</v>
      </c>
      <c r="N279" s="39">
        <f t="shared" si="6"/>
        <v>0</v>
      </c>
      <c r="O279" s="40"/>
      <c r="P279" s="34"/>
      <c r="Q279" s="35"/>
      <c r="R279" s="35"/>
      <c r="S279" s="35"/>
      <c r="T279" s="35"/>
      <c r="U279" s="35"/>
      <c r="V279" s="35"/>
      <c r="W279" s="35"/>
      <c r="X279" s="35"/>
      <c r="Y279" s="35"/>
      <c r="Z279" s="35"/>
    </row>
    <row r="280" ht="14.25" customHeight="1">
      <c r="A280" s="221"/>
      <c r="B280" s="231"/>
      <c r="C280" s="116"/>
      <c r="D280" s="100"/>
      <c r="E280" s="117"/>
      <c r="F280" s="245"/>
      <c r="G280" s="245"/>
      <c r="H280" s="523"/>
      <c r="I280" s="36">
        <f t="shared" si="1"/>
        <v>0</v>
      </c>
      <c r="J280" s="37">
        <f t="shared" si="2"/>
        <v>0</v>
      </c>
      <c r="K280" s="38">
        <f t="shared" si="3"/>
        <v>0</v>
      </c>
      <c r="L280" s="39">
        <f t="shared" si="4"/>
        <v>0</v>
      </c>
      <c r="M280" s="38">
        <f t="shared" si="5"/>
        <v>0</v>
      </c>
      <c r="N280" s="39">
        <f t="shared" si="6"/>
        <v>0</v>
      </c>
      <c r="O280" s="40"/>
      <c r="P280" s="34"/>
      <c r="Q280" s="35"/>
      <c r="R280" s="35"/>
      <c r="S280" s="35"/>
      <c r="T280" s="35"/>
      <c r="U280" s="35"/>
      <c r="V280" s="35"/>
      <c r="W280" s="35"/>
      <c r="X280" s="35"/>
      <c r="Y280" s="35"/>
      <c r="Z280" s="35"/>
    </row>
    <row r="281" ht="14.25" customHeight="1">
      <c r="A281" s="221"/>
      <c r="B281" s="231"/>
      <c r="C281" s="116"/>
      <c r="D281" s="100"/>
      <c r="E281" s="117"/>
      <c r="F281" s="245"/>
      <c r="G281" s="245"/>
      <c r="H281" s="523"/>
      <c r="I281" s="36">
        <f t="shared" si="1"/>
        <v>0</v>
      </c>
      <c r="J281" s="37">
        <f t="shared" si="2"/>
        <v>0</v>
      </c>
      <c r="K281" s="38">
        <f t="shared" si="3"/>
        <v>0</v>
      </c>
      <c r="L281" s="39">
        <f t="shared" si="4"/>
        <v>0</v>
      </c>
      <c r="M281" s="38">
        <f t="shared" si="5"/>
        <v>0</v>
      </c>
      <c r="N281" s="39">
        <f t="shared" si="6"/>
        <v>0</v>
      </c>
      <c r="O281" s="40"/>
      <c r="P281" s="34"/>
      <c r="Q281" s="35"/>
      <c r="R281" s="35"/>
      <c r="S281" s="35"/>
      <c r="T281" s="35"/>
      <c r="U281" s="35"/>
      <c r="V281" s="35"/>
      <c r="W281" s="35"/>
      <c r="X281" s="35"/>
      <c r="Y281" s="35"/>
      <c r="Z281" s="35"/>
    </row>
    <row r="282" ht="14.25" customHeight="1">
      <c r="A282" s="221"/>
      <c r="B282" s="231"/>
      <c r="C282" s="116"/>
      <c r="D282" s="100"/>
      <c r="E282" s="117"/>
      <c r="F282" s="245"/>
      <c r="G282" s="245"/>
      <c r="H282" s="523"/>
      <c r="I282" s="36">
        <f t="shared" si="1"/>
        <v>0</v>
      </c>
      <c r="J282" s="37">
        <f t="shared" si="2"/>
        <v>0</v>
      </c>
      <c r="K282" s="38">
        <f t="shared" si="3"/>
        <v>0</v>
      </c>
      <c r="L282" s="39">
        <f t="shared" si="4"/>
        <v>0</v>
      </c>
      <c r="M282" s="38">
        <f t="shared" si="5"/>
        <v>0</v>
      </c>
      <c r="N282" s="39">
        <f t="shared" si="6"/>
        <v>0</v>
      </c>
      <c r="O282" s="40"/>
      <c r="P282" s="34"/>
      <c r="Q282" s="35"/>
      <c r="R282" s="35"/>
      <c r="S282" s="35"/>
      <c r="T282" s="35"/>
      <c r="U282" s="35"/>
      <c r="V282" s="35"/>
      <c r="W282" s="35"/>
      <c r="X282" s="35"/>
      <c r="Y282" s="35"/>
      <c r="Z282" s="35"/>
    </row>
    <row r="283" ht="14.25" customHeight="1">
      <c r="A283" s="221"/>
      <c r="B283" s="231"/>
      <c r="C283" s="116"/>
      <c r="D283" s="100"/>
      <c r="E283" s="117"/>
      <c r="F283" s="245"/>
      <c r="G283" s="245"/>
      <c r="H283" s="523"/>
      <c r="I283" s="36">
        <f t="shared" si="1"/>
        <v>0</v>
      </c>
      <c r="J283" s="37">
        <f t="shared" si="2"/>
        <v>0</v>
      </c>
      <c r="K283" s="38">
        <f t="shared" si="3"/>
        <v>0</v>
      </c>
      <c r="L283" s="39">
        <f t="shared" si="4"/>
        <v>0</v>
      </c>
      <c r="M283" s="38">
        <f t="shared" si="5"/>
        <v>0</v>
      </c>
      <c r="N283" s="39">
        <f t="shared" si="6"/>
        <v>0</v>
      </c>
      <c r="O283" s="40"/>
      <c r="P283" s="34"/>
      <c r="Q283" s="35"/>
      <c r="R283" s="35"/>
      <c r="S283" s="35"/>
      <c r="T283" s="35"/>
      <c r="U283" s="35"/>
      <c r="V283" s="35"/>
      <c r="W283" s="35"/>
      <c r="X283" s="35"/>
      <c r="Y283" s="35"/>
      <c r="Z283" s="35"/>
    </row>
    <row r="284" ht="14.25" customHeight="1">
      <c r="A284" s="221"/>
      <c r="B284" s="231"/>
      <c r="C284" s="116"/>
      <c r="D284" s="100"/>
      <c r="E284" s="117"/>
      <c r="F284" s="245"/>
      <c r="G284" s="245"/>
      <c r="H284" s="523"/>
      <c r="I284" s="36">
        <f t="shared" si="1"/>
        <v>0</v>
      </c>
      <c r="J284" s="37">
        <f t="shared" si="2"/>
        <v>0</v>
      </c>
      <c r="K284" s="38">
        <f t="shared" si="3"/>
        <v>0</v>
      </c>
      <c r="L284" s="39">
        <f t="shared" si="4"/>
        <v>0</v>
      </c>
      <c r="M284" s="38">
        <f t="shared" si="5"/>
        <v>0</v>
      </c>
      <c r="N284" s="39">
        <f t="shared" si="6"/>
        <v>0</v>
      </c>
      <c r="O284" s="40"/>
      <c r="P284" s="34"/>
      <c r="Q284" s="35"/>
      <c r="R284" s="35"/>
      <c r="S284" s="35"/>
      <c r="T284" s="35"/>
      <c r="U284" s="35"/>
      <c r="V284" s="35"/>
      <c r="W284" s="35"/>
      <c r="X284" s="35"/>
      <c r="Y284" s="35"/>
      <c r="Z284" s="35"/>
    </row>
    <row r="285" ht="14.25" customHeight="1">
      <c r="A285" s="221"/>
      <c r="B285" s="231"/>
      <c r="C285" s="108"/>
      <c r="D285" s="100"/>
      <c r="E285" s="117"/>
      <c r="F285" s="245"/>
      <c r="G285" s="245"/>
      <c r="H285" s="523"/>
      <c r="I285" s="36">
        <f t="shared" si="1"/>
        <v>0</v>
      </c>
      <c r="J285" s="37">
        <f t="shared" si="2"/>
        <v>0</v>
      </c>
      <c r="K285" s="38">
        <f t="shared" si="3"/>
        <v>0</v>
      </c>
      <c r="L285" s="39">
        <f t="shared" si="4"/>
        <v>0</v>
      </c>
      <c r="M285" s="38">
        <f t="shared" si="5"/>
        <v>0</v>
      </c>
      <c r="N285" s="39">
        <f t="shared" si="6"/>
        <v>0</v>
      </c>
      <c r="O285" s="40"/>
      <c r="P285" s="34"/>
      <c r="Q285" s="35"/>
      <c r="R285" s="35"/>
      <c r="S285" s="35"/>
      <c r="T285" s="35"/>
      <c r="U285" s="35"/>
      <c r="V285" s="35"/>
      <c r="W285" s="35"/>
      <c r="X285" s="35"/>
      <c r="Y285" s="35"/>
      <c r="Z285" s="35"/>
    </row>
    <row r="286" ht="14.25" customHeight="1">
      <c r="A286" s="221"/>
      <c r="B286" s="231"/>
      <c r="C286" s="108"/>
      <c r="D286" s="85"/>
      <c r="E286" s="117"/>
      <c r="F286" s="245"/>
      <c r="G286" s="245"/>
      <c r="H286" s="523"/>
      <c r="I286" s="36">
        <f t="shared" si="1"/>
        <v>0</v>
      </c>
      <c r="J286" s="37">
        <f t="shared" si="2"/>
        <v>0</v>
      </c>
      <c r="K286" s="38">
        <f t="shared" si="3"/>
        <v>0</v>
      </c>
      <c r="L286" s="39">
        <f t="shared" si="4"/>
        <v>0</v>
      </c>
      <c r="M286" s="38">
        <f t="shared" si="5"/>
        <v>0</v>
      </c>
      <c r="N286" s="39">
        <f t="shared" si="6"/>
        <v>0</v>
      </c>
      <c r="O286" s="40"/>
      <c r="P286" s="34"/>
      <c r="Q286" s="35"/>
      <c r="R286" s="35"/>
      <c r="S286" s="35"/>
      <c r="T286" s="35"/>
      <c r="U286" s="35"/>
      <c r="V286" s="35"/>
      <c r="W286" s="35"/>
      <c r="X286" s="35"/>
      <c r="Y286" s="35"/>
      <c r="Z286" s="35"/>
    </row>
    <row r="287" ht="14.25" customHeight="1">
      <c r="A287" s="221"/>
      <c r="B287" s="231"/>
      <c r="C287" s="108"/>
      <c r="D287" s="85"/>
      <c r="E287" s="117"/>
      <c r="F287" s="245"/>
      <c r="G287" s="245"/>
      <c r="H287" s="523"/>
      <c r="I287" s="36">
        <f t="shared" si="1"/>
        <v>0</v>
      </c>
      <c r="J287" s="37">
        <f t="shared" si="2"/>
        <v>0</v>
      </c>
      <c r="K287" s="38">
        <f t="shared" si="3"/>
        <v>0</v>
      </c>
      <c r="L287" s="39">
        <f t="shared" si="4"/>
        <v>0</v>
      </c>
      <c r="M287" s="38">
        <f t="shared" si="5"/>
        <v>0</v>
      </c>
      <c r="N287" s="39">
        <f t="shared" si="6"/>
        <v>0</v>
      </c>
      <c r="O287" s="40"/>
      <c r="P287" s="34"/>
      <c r="Q287" s="35"/>
      <c r="R287" s="35"/>
      <c r="S287" s="35"/>
      <c r="T287" s="35"/>
      <c r="U287" s="35"/>
      <c r="V287" s="35"/>
      <c r="W287" s="35"/>
      <c r="X287" s="35"/>
      <c r="Y287" s="35"/>
      <c r="Z287" s="35"/>
    </row>
    <row r="288" ht="14.25" customHeight="1">
      <c r="A288" s="221"/>
      <c r="B288" s="231"/>
      <c r="C288" s="108"/>
      <c r="D288" s="100"/>
      <c r="E288" s="117"/>
      <c r="F288" s="245"/>
      <c r="G288" s="245"/>
      <c r="H288" s="523"/>
      <c r="I288" s="36">
        <f t="shared" si="1"/>
        <v>0</v>
      </c>
      <c r="J288" s="37">
        <f t="shared" si="2"/>
        <v>0</v>
      </c>
      <c r="K288" s="38">
        <f t="shared" si="3"/>
        <v>0</v>
      </c>
      <c r="L288" s="39">
        <f t="shared" si="4"/>
        <v>0</v>
      </c>
      <c r="M288" s="38">
        <f t="shared" si="5"/>
        <v>0</v>
      </c>
      <c r="N288" s="39">
        <f t="shared" si="6"/>
        <v>0</v>
      </c>
      <c r="O288" s="40"/>
      <c r="P288" s="34"/>
      <c r="Q288" s="35"/>
      <c r="R288" s="35"/>
      <c r="S288" s="35"/>
      <c r="T288" s="35"/>
      <c r="U288" s="35"/>
      <c r="V288" s="35"/>
      <c r="W288" s="35"/>
      <c r="X288" s="35"/>
      <c r="Y288" s="35"/>
      <c r="Z288" s="35"/>
    </row>
    <row r="289" ht="14.25" customHeight="1">
      <c r="A289" s="221"/>
      <c r="B289" s="231"/>
      <c r="C289" s="116"/>
      <c r="D289" s="100"/>
      <c r="E289" s="117"/>
      <c r="F289" s="245"/>
      <c r="G289" s="245"/>
      <c r="H289" s="523"/>
      <c r="I289" s="36">
        <f t="shared" si="1"/>
        <v>0</v>
      </c>
      <c r="J289" s="37">
        <f t="shared" si="2"/>
        <v>0</v>
      </c>
      <c r="K289" s="38">
        <f t="shared" si="3"/>
        <v>0</v>
      </c>
      <c r="L289" s="39">
        <f t="shared" si="4"/>
        <v>0</v>
      </c>
      <c r="M289" s="38">
        <f t="shared" si="5"/>
        <v>0</v>
      </c>
      <c r="N289" s="39">
        <f t="shared" si="6"/>
        <v>0</v>
      </c>
      <c r="O289" s="40"/>
      <c r="P289" s="34"/>
      <c r="Q289" s="35"/>
      <c r="R289" s="35"/>
      <c r="S289" s="35"/>
      <c r="T289" s="35"/>
      <c r="U289" s="35"/>
      <c r="V289" s="35"/>
      <c r="W289" s="35"/>
      <c r="X289" s="35"/>
      <c r="Y289" s="35"/>
      <c r="Z289" s="35"/>
    </row>
    <row r="290" ht="14.25" customHeight="1">
      <c r="A290" s="221"/>
      <c r="B290" s="231"/>
      <c r="C290" s="116"/>
      <c r="D290" s="100"/>
      <c r="E290" s="117"/>
      <c r="F290" s="245"/>
      <c r="G290" s="245"/>
      <c r="H290" s="523"/>
      <c r="I290" s="36">
        <f t="shared" si="1"/>
        <v>0</v>
      </c>
      <c r="J290" s="37">
        <f t="shared" si="2"/>
        <v>0</v>
      </c>
      <c r="K290" s="38">
        <f t="shared" si="3"/>
        <v>0</v>
      </c>
      <c r="L290" s="39">
        <f t="shared" si="4"/>
        <v>0</v>
      </c>
      <c r="M290" s="38">
        <f t="shared" si="5"/>
        <v>0</v>
      </c>
      <c r="N290" s="39">
        <f t="shared" si="6"/>
        <v>0</v>
      </c>
      <c r="O290" s="40"/>
      <c r="P290" s="34"/>
      <c r="Q290" s="35"/>
      <c r="R290" s="35"/>
      <c r="S290" s="35"/>
      <c r="T290" s="35"/>
      <c r="U290" s="35"/>
      <c r="V290" s="35"/>
      <c r="W290" s="35"/>
      <c r="X290" s="35"/>
      <c r="Y290" s="35"/>
      <c r="Z290" s="35"/>
    </row>
    <row r="291" ht="14.25" customHeight="1">
      <c r="A291" s="221"/>
      <c r="B291" s="231"/>
      <c r="C291" s="116"/>
      <c r="D291" s="100"/>
      <c r="E291" s="117"/>
      <c r="F291" s="245"/>
      <c r="G291" s="245"/>
      <c r="H291" s="523"/>
      <c r="I291" s="36">
        <f t="shared" si="1"/>
        <v>0</v>
      </c>
      <c r="J291" s="37">
        <f t="shared" si="2"/>
        <v>0</v>
      </c>
      <c r="K291" s="38">
        <f t="shared" si="3"/>
        <v>0</v>
      </c>
      <c r="L291" s="39">
        <f t="shared" si="4"/>
        <v>0</v>
      </c>
      <c r="M291" s="38">
        <f t="shared" si="5"/>
        <v>0</v>
      </c>
      <c r="N291" s="39">
        <f t="shared" si="6"/>
        <v>0</v>
      </c>
      <c r="O291" s="40"/>
      <c r="P291" s="34"/>
      <c r="Q291" s="35"/>
      <c r="R291" s="35"/>
      <c r="S291" s="35"/>
      <c r="T291" s="35"/>
      <c r="U291" s="35"/>
      <c r="V291" s="35"/>
      <c r="W291" s="35"/>
      <c r="X291" s="35"/>
      <c r="Y291" s="35"/>
      <c r="Z291" s="35"/>
    </row>
    <row r="292" ht="14.25" customHeight="1">
      <c r="A292" s="221"/>
      <c r="B292" s="231"/>
      <c r="C292" s="116"/>
      <c r="D292" s="100"/>
      <c r="E292" s="117"/>
      <c r="F292" s="245"/>
      <c r="G292" s="245"/>
      <c r="H292" s="523"/>
      <c r="I292" s="36">
        <f t="shared" si="1"/>
        <v>0</v>
      </c>
      <c r="J292" s="37">
        <f t="shared" si="2"/>
        <v>0</v>
      </c>
      <c r="K292" s="38">
        <f t="shared" si="3"/>
        <v>0</v>
      </c>
      <c r="L292" s="39">
        <f t="shared" si="4"/>
        <v>0</v>
      </c>
      <c r="M292" s="38">
        <f t="shared" si="5"/>
        <v>0</v>
      </c>
      <c r="N292" s="39">
        <f t="shared" si="6"/>
        <v>0</v>
      </c>
      <c r="O292" s="40"/>
      <c r="P292" s="34"/>
      <c r="Q292" s="35"/>
      <c r="R292" s="35"/>
      <c r="S292" s="35"/>
      <c r="T292" s="35"/>
      <c r="U292" s="35"/>
      <c r="V292" s="35"/>
      <c r="W292" s="35"/>
      <c r="X292" s="35"/>
      <c r="Y292" s="35"/>
      <c r="Z292" s="35"/>
    </row>
    <row r="293" ht="14.25" customHeight="1">
      <c r="A293" s="221"/>
      <c r="B293" s="231"/>
      <c r="C293" s="116"/>
      <c r="D293" s="100"/>
      <c r="E293" s="117"/>
      <c r="F293" s="245"/>
      <c r="G293" s="245"/>
      <c r="H293" s="523"/>
      <c r="I293" s="36">
        <f t="shared" si="1"/>
        <v>0</v>
      </c>
      <c r="J293" s="37">
        <f t="shared" si="2"/>
        <v>0</v>
      </c>
      <c r="K293" s="38">
        <f t="shared" si="3"/>
        <v>0</v>
      </c>
      <c r="L293" s="39">
        <f t="shared" si="4"/>
        <v>0</v>
      </c>
      <c r="M293" s="38">
        <f t="shared" si="5"/>
        <v>0</v>
      </c>
      <c r="N293" s="39">
        <f t="shared" si="6"/>
        <v>0</v>
      </c>
      <c r="O293" s="40"/>
      <c r="P293" s="34"/>
      <c r="Q293" s="35"/>
      <c r="R293" s="35"/>
      <c r="S293" s="35"/>
      <c r="T293" s="35"/>
      <c r="U293" s="35"/>
      <c r="V293" s="35"/>
      <c r="W293" s="35"/>
      <c r="X293" s="35"/>
      <c r="Y293" s="35"/>
      <c r="Z293" s="35"/>
    </row>
    <row r="294" ht="14.25" customHeight="1">
      <c r="A294" s="221"/>
      <c r="B294" s="231"/>
      <c r="C294" s="116"/>
      <c r="D294" s="100"/>
      <c r="E294" s="117"/>
      <c r="F294" s="245"/>
      <c r="G294" s="245"/>
      <c r="H294" s="523"/>
      <c r="I294" s="36">
        <f t="shared" si="1"/>
        <v>0</v>
      </c>
      <c r="J294" s="37">
        <f t="shared" si="2"/>
        <v>0</v>
      </c>
      <c r="K294" s="38">
        <f t="shared" si="3"/>
        <v>0</v>
      </c>
      <c r="L294" s="39">
        <f t="shared" si="4"/>
        <v>0</v>
      </c>
      <c r="M294" s="38">
        <f t="shared" si="5"/>
        <v>0</v>
      </c>
      <c r="N294" s="39">
        <f t="shared" si="6"/>
        <v>0</v>
      </c>
      <c r="O294" s="40"/>
      <c r="P294" s="34"/>
      <c r="Q294" s="35"/>
      <c r="R294" s="35"/>
      <c r="S294" s="35"/>
      <c r="T294" s="35"/>
      <c r="U294" s="35"/>
      <c r="V294" s="35"/>
      <c r="W294" s="35"/>
      <c r="X294" s="35"/>
      <c r="Y294" s="35"/>
      <c r="Z294" s="35"/>
    </row>
    <row r="295" ht="14.25" customHeight="1">
      <c r="A295" s="221"/>
      <c r="B295" s="231"/>
      <c r="C295" s="116"/>
      <c r="D295" s="100"/>
      <c r="E295" s="117"/>
      <c r="F295" s="245"/>
      <c r="G295" s="245"/>
      <c r="H295" s="523"/>
      <c r="I295" s="36">
        <f t="shared" si="1"/>
        <v>0</v>
      </c>
      <c r="J295" s="37">
        <f t="shared" si="2"/>
        <v>0</v>
      </c>
      <c r="K295" s="38">
        <f t="shared" si="3"/>
        <v>0</v>
      </c>
      <c r="L295" s="39">
        <f t="shared" si="4"/>
        <v>0</v>
      </c>
      <c r="M295" s="38">
        <f t="shared" si="5"/>
        <v>0</v>
      </c>
      <c r="N295" s="39">
        <f t="shared" si="6"/>
        <v>0</v>
      </c>
      <c r="O295" s="40"/>
      <c r="P295" s="34"/>
      <c r="Q295" s="35"/>
      <c r="R295" s="35"/>
      <c r="S295" s="35"/>
      <c r="T295" s="35"/>
      <c r="U295" s="35"/>
      <c r="V295" s="35"/>
      <c r="W295" s="35"/>
      <c r="X295" s="35"/>
      <c r="Y295" s="35"/>
      <c r="Z295" s="35"/>
    </row>
    <row r="296" ht="14.25" customHeight="1">
      <c r="A296" s="221"/>
      <c r="B296" s="231"/>
      <c r="C296" s="116"/>
      <c r="D296" s="100"/>
      <c r="E296" s="117"/>
      <c r="F296" s="245"/>
      <c r="G296" s="245"/>
      <c r="H296" s="523"/>
      <c r="I296" s="36">
        <f t="shared" si="1"/>
        <v>0</v>
      </c>
      <c r="J296" s="37">
        <f t="shared" si="2"/>
        <v>0</v>
      </c>
      <c r="K296" s="38">
        <f t="shared" si="3"/>
        <v>0</v>
      </c>
      <c r="L296" s="39">
        <f t="shared" si="4"/>
        <v>0</v>
      </c>
      <c r="M296" s="38">
        <f t="shared" si="5"/>
        <v>0</v>
      </c>
      <c r="N296" s="39">
        <f t="shared" si="6"/>
        <v>0</v>
      </c>
      <c r="O296" s="40"/>
      <c r="P296" s="34"/>
      <c r="Q296" s="35"/>
      <c r="R296" s="35"/>
      <c r="S296" s="35"/>
      <c r="T296" s="35"/>
      <c r="U296" s="35"/>
      <c r="V296" s="35"/>
      <c r="W296" s="35"/>
      <c r="X296" s="35"/>
      <c r="Y296" s="35"/>
      <c r="Z296" s="35"/>
    </row>
    <row r="297" ht="14.25" customHeight="1">
      <c r="A297" s="221"/>
      <c r="B297" s="231"/>
      <c r="C297" s="108"/>
      <c r="D297" s="85"/>
      <c r="E297" s="117"/>
      <c r="F297" s="245"/>
      <c r="G297" s="245"/>
      <c r="H297" s="523"/>
      <c r="I297" s="36">
        <f t="shared" si="1"/>
        <v>0</v>
      </c>
      <c r="J297" s="37">
        <f t="shared" si="2"/>
        <v>0</v>
      </c>
      <c r="K297" s="38">
        <f t="shared" si="3"/>
        <v>0</v>
      </c>
      <c r="L297" s="39">
        <f t="shared" si="4"/>
        <v>0</v>
      </c>
      <c r="M297" s="38">
        <f t="shared" si="5"/>
        <v>0</v>
      </c>
      <c r="N297" s="39">
        <f t="shared" si="6"/>
        <v>0</v>
      </c>
      <c r="O297" s="40"/>
      <c r="P297" s="34"/>
      <c r="Q297" s="35"/>
      <c r="R297" s="35"/>
      <c r="S297" s="35"/>
      <c r="T297" s="35"/>
      <c r="U297" s="35"/>
      <c r="V297" s="35"/>
      <c r="W297" s="35"/>
      <c r="X297" s="35"/>
      <c r="Y297" s="35"/>
      <c r="Z297" s="35"/>
    </row>
    <row r="298" ht="14.25" customHeight="1">
      <c r="A298" s="221"/>
      <c r="B298" s="231"/>
      <c r="C298" s="108"/>
      <c r="D298" s="85"/>
      <c r="E298" s="117"/>
      <c r="F298" s="245"/>
      <c r="G298" s="245"/>
      <c r="H298" s="523"/>
      <c r="I298" s="36">
        <f t="shared" si="1"/>
        <v>0</v>
      </c>
      <c r="J298" s="37">
        <f t="shared" si="2"/>
        <v>0</v>
      </c>
      <c r="K298" s="38">
        <f t="shared" si="3"/>
        <v>0</v>
      </c>
      <c r="L298" s="39">
        <f t="shared" si="4"/>
        <v>0</v>
      </c>
      <c r="M298" s="38">
        <f t="shared" si="5"/>
        <v>0</v>
      </c>
      <c r="N298" s="39">
        <f t="shared" si="6"/>
        <v>0</v>
      </c>
      <c r="O298" s="40"/>
      <c r="P298" s="34"/>
      <c r="Q298" s="35"/>
      <c r="R298" s="35"/>
      <c r="S298" s="35"/>
      <c r="T298" s="35"/>
      <c r="U298" s="35"/>
      <c r="V298" s="35"/>
      <c r="W298" s="35"/>
      <c r="X298" s="35"/>
      <c r="Y298" s="35"/>
      <c r="Z298" s="35"/>
    </row>
    <row r="299" ht="14.25" customHeight="1">
      <c r="A299" s="221"/>
      <c r="B299" s="231"/>
      <c r="C299" s="115"/>
      <c r="D299" s="100"/>
      <c r="E299" s="117"/>
      <c r="F299" s="245"/>
      <c r="G299" s="245"/>
      <c r="H299" s="523"/>
      <c r="I299" s="36">
        <f t="shared" si="1"/>
        <v>0</v>
      </c>
      <c r="J299" s="37">
        <f t="shared" si="2"/>
        <v>0</v>
      </c>
      <c r="K299" s="38">
        <f t="shared" si="3"/>
        <v>0</v>
      </c>
      <c r="L299" s="39">
        <f t="shared" si="4"/>
        <v>0</v>
      </c>
      <c r="M299" s="38">
        <f t="shared" si="5"/>
        <v>0</v>
      </c>
      <c r="N299" s="39">
        <f t="shared" si="6"/>
        <v>0</v>
      </c>
      <c r="O299" s="40"/>
      <c r="P299" s="34"/>
      <c r="Q299" s="35"/>
      <c r="R299" s="35"/>
      <c r="S299" s="35"/>
      <c r="T299" s="35"/>
      <c r="U299" s="35"/>
      <c r="V299" s="35"/>
      <c r="W299" s="35"/>
      <c r="X299" s="35"/>
      <c r="Y299" s="35"/>
      <c r="Z299" s="35"/>
    </row>
    <row r="300" ht="14.25" customHeight="1">
      <c r="A300" s="221"/>
      <c r="B300" s="231"/>
      <c r="C300" s="116"/>
      <c r="D300" s="100"/>
      <c r="E300" s="117"/>
      <c r="F300" s="245"/>
      <c r="G300" s="245"/>
      <c r="H300" s="523"/>
      <c r="I300" s="36">
        <f t="shared" si="1"/>
        <v>0</v>
      </c>
      <c r="J300" s="37">
        <f t="shared" si="2"/>
        <v>0</v>
      </c>
      <c r="K300" s="38">
        <f t="shared" si="3"/>
        <v>0</v>
      </c>
      <c r="L300" s="39">
        <f t="shared" si="4"/>
        <v>0</v>
      </c>
      <c r="M300" s="38">
        <f t="shared" si="5"/>
        <v>0</v>
      </c>
      <c r="N300" s="39">
        <f t="shared" si="6"/>
        <v>0</v>
      </c>
      <c r="O300" s="40"/>
      <c r="P300" s="34"/>
      <c r="Q300" s="35"/>
      <c r="R300" s="35"/>
      <c r="S300" s="35"/>
      <c r="T300" s="35"/>
      <c r="U300" s="35"/>
      <c r="V300" s="35"/>
      <c r="W300" s="35"/>
      <c r="X300" s="35"/>
      <c r="Y300" s="35"/>
      <c r="Z300" s="35"/>
    </row>
    <row r="301" ht="14.25" customHeight="1">
      <c r="A301" s="221"/>
      <c r="B301" s="231"/>
      <c r="C301" s="116"/>
      <c r="D301" s="100"/>
      <c r="E301" s="117"/>
      <c r="F301" s="245"/>
      <c r="G301" s="245"/>
      <c r="H301" s="523"/>
      <c r="I301" s="36">
        <f t="shared" si="1"/>
        <v>0</v>
      </c>
      <c r="J301" s="37">
        <f t="shared" si="2"/>
        <v>0</v>
      </c>
      <c r="K301" s="38">
        <f t="shared" si="3"/>
        <v>0</v>
      </c>
      <c r="L301" s="39">
        <f t="shared" si="4"/>
        <v>0</v>
      </c>
      <c r="M301" s="38">
        <f t="shared" si="5"/>
        <v>0</v>
      </c>
      <c r="N301" s="39">
        <f t="shared" si="6"/>
        <v>0</v>
      </c>
      <c r="O301" s="40"/>
      <c r="P301" s="34"/>
      <c r="Q301" s="35"/>
      <c r="R301" s="35"/>
      <c r="S301" s="35"/>
      <c r="T301" s="35"/>
      <c r="U301" s="35"/>
      <c r="V301" s="35"/>
      <c r="W301" s="35"/>
      <c r="X301" s="35"/>
      <c r="Y301" s="35"/>
      <c r="Z301" s="35"/>
    </row>
    <row r="302" ht="14.25" customHeight="1">
      <c r="A302" s="221"/>
      <c r="B302" s="231"/>
      <c r="C302" s="115"/>
      <c r="D302" s="100"/>
      <c r="E302" s="117"/>
      <c r="F302" s="245"/>
      <c r="G302" s="245"/>
      <c r="H302" s="523"/>
      <c r="I302" s="36">
        <f t="shared" si="1"/>
        <v>0</v>
      </c>
      <c r="J302" s="37">
        <f t="shared" si="2"/>
        <v>0</v>
      </c>
      <c r="K302" s="38">
        <f t="shared" si="3"/>
        <v>0</v>
      </c>
      <c r="L302" s="39">
        <f t="shared" si="4"/>
        <v>0</v>
      </c>
      <c r="M302" s="38">
        <f t="shared" si="5"/>
        <v>0</v>
      </c>
      <c r="N302" s="39">
        <f t="shared" si="6"/>
        <v>0</v>
      </c>
      <c r="O302" s="40"/>
      <c r="P302" s="34"/>
      <c r="Q302" s="35"/>
      <c r="R302" s="35"/>
      <c r="S302" s="35"/>
      <c r="T302" s="35"/>
      <c r="U302" s="35"/>
      <c r="V302" s="35"/>
      <c r="W302" s="35"/>
      <c r="X302" s="35"/>
      <c r="Y302" s="35"/>
      <c r="Z302" s="35"/>
    </row>
    <row r="303" ht="14.25" customHeight="1">
      <c r="A303" s="221"/>
      <c r="B303" s="231"/>
      <c r="C303" s="115"/>
      <c r="D303" s="100"/>
      <c r="E303" s="117"/>
      <c r="F303" s="245"/>
      <c r="G303" s="245"/>
      <c r="H303" s="523"/>
      <c r="I303" s="36">
        <f t="shared" si="1"/>
        <v>0</v>
      </c>
      <c r="J303" s="37">
        <f t="shared" si="2"/>
        <v>0</v>
      </c>
      <c r="K303" s="38">
        <f t="shared" si="3"/>
        <v>0</v>
      </c>
      <c r="L303" s="39">
        <f t="shared" si="4"/>
        <v>0</v>
      </c>
      <c r="M303" s="38">
        <f t="shared" si="5"/>
        <v>0</v>
      </c>
      <c r="N303" s="39">
        <f t="shared" si="6"/>
        <v>0</v>
      </c>
      <c r="O303" s="40"/>
      <c r="P303" s="34"/>
      <c r="Q303" s="35"/>
      <c r="R303" s="35"/>
      <c r="S303" s="35"/>
      <c r="T303" s="35"/>
      <c r="U303" s="35"/>
      <c r="V303" s="35"/>
      <c r="W303" s="35"/>
      <c r="X303" s="35"/>
      <c r="Y303" s="35"/>
      <c r="Z303" s="35"/>
    </row>
    <row r="304" ht="14.25" customHeight="1">
      <c r="A304" s="221"/>
      <c r="B304" s="231"/>
      <c r="C304" s="115"/>
      <c r="D304" s="85"/>
      <c r="E304" s="117"/>
      <c r="F304" s="245"/>
      <c r="G304" s="245"/>
      <c r="H304" s="523"/>
      <c r="I304" s="36">
        <f t="shared" si="1"/>
        <v>0</v>
      </c>
      <c r="J304" s="37">
        <f t="shared" si="2"/>
        <v>0</v>
      </c>
      <c r="K304" s="38">
        <f t="shared" si="3"/>
        <v>0</v>
      </c>
      <c r="L304" s="39">
        <f t="shared" si="4"/>
        <v>0</v>
      </c>
      <c r="M304" s="38">
        <f t="shared" si="5"/>
        <v>0</v>
      </c>
      <c r="N304" s="39">
        <f t="shared" si="6"/>
        <v>0</v>
      </c>
      <c r="O304" s="40"/>
      <c r="P304" s="34"/>
      <c r="Q304" s="35"/>
      <c r="R304" s="35"/>
      <c r="S304" s="35"/>
      <c r="T304" s="35"/>
      <c r="U304" s="35"/>
      <c r="V304" s="35"/>
      <c r="W304" s="35"/>
      <c r="X304" s="35"/>
      <c r="Y304" s="35"/>
      <c r="Z304" s="35"/>
    </row>
    <row r="305" ht="14.25" customHeight="1">
      <c r="A305" s="221"/>
      <c r="B305" s="231"/>
      <c r="C305" s="129"/>
      <c r="D305" s="89"/>
      <c r="E305" s="117"/>
      <c r="F305" s="245"/>
      <c r="G305" s="245"/>
      <c r="H305" s="523"/>
      <c r="I305" s="36">
        <f t="shared" si="1"/>
        <v>0</v>
      </c>
      <c r="J305" s="37">
        <f t="shared" si="2"/>
        <v>0</v>
      </c>
      <c r="K305" s="38">
        <f t="shared" si="3"/>
        <v>0</v>
      </c>
      <c r="L305" s="39">
        <f t="shared" si="4"/>
        <v>0</v>
      </c>
      <c r="M305" s="38">
        <f t="shared" si="5"/>
        <v>0</v>
      </c>
      <c r="N305" s="39">
        <f t="shared" si="6"/>
        <v>0</v>
      </c>
      <c r="O305" s="40"/>
      <c r="P305" s="34"/>
      <c r="Q305" s="35"/>
      <c r="R305" s="35"/>
      <c r="S305" s="35"/>
      <c r="T305" s="35"/>
      <c r="U305" s="35"/>
      <c r="V305" s="35"/>
      <c r="W305" s="35"/>
      <c r="X305" s="35"/>
      <c r="Y305" s="35"/>
      <c r="Z305" s="35"/>
    </row>
    <row r="306" ht="14.25" customHeight="1">
      <c r="A306" s="221"/>
      <c r="B306" s="231"/>
      <c r="C306" s="110"/>
      <c r="D306" s="102"/>
      <c r="E306" s="117"/>
      <c r="F306" s="245"/>
      <c r="G306" s="245"/>
      <c r="H306" s="523"/>
      <c r="I306" s="36">
        <f t="shared" si="1"/>
        <v>0</v>
      </c>
      <c r="J306" s="37">
        <f t="shared" si="2"/>
        <v>0</v>
      </c>
      <c r="K306" s="38">
        <f t="shared" si="3"/>
        <v>0</v>
      </c>
      <c r="L306" s="39">
        <f t="shared" si="4"/>
        <v>0</v>
      </c>
      <c r="M306" s="38">
        <f t="shared" si="5"/>
        <v>0</v>
      </c>
      <c r="N306" s="39">
        <f t="shared" si="6"/>
        <v>0</v>
      </c>
      <c r="O306" s="40"/>
      <c r="P306" s="34"/>
      <c r="Q306" s="35"/>
      <c r="R306" s="35"/>
      <c r="S306" s="35"/>
      <c r="T306" s="35"/>
      <c r="U306" s="35"/>
      <c r="V306" s="35"/>
      <c r="W306" s="35"/>
      <c r="X306" s="35"/>
      <c r="Y306" s="35"/>
      <c r="Z306" s="35"/>
    </row>
    <row r="307" ht="14.25" customHeight="1">
      <c r="A307" s="221"/>
      <c r="B307" s="231"/>
      <c r="C307" s="116"/>
      <c r="D307" s="85"/>
      <c r="E307" s="117"/>
      <c r="F307" s="245"/>
      <c r="G307" s="245"/>
      <c r="H307" s="523"/>
      <c r="I307" s="36">
        <f t="shared" si="1"/>
        <v>0</v>
      </c>
      <c r="J307" s="37">
        <f t="shared" si="2"/>
        <v>0</v>
      </c>
      <c r="K307" s="38">
        <f t="shared" si="3"/>
        <v>0</v>
      </c>
      <c r="L307" s="39">
        <f t="shared" si="4"/>
        <v>0</v>
      </c>
      <c r="M307" s="38">
        <f t="shared" si="5"/>
        <v>0</v>
      </c>
      <c r="N307" s="39">
        <f t="shared" si="6"/>
        <v>0</v>
      </c>
      <c r="O307" s="40"/>
      <c r="P307" s="34"/>
      <c r="Q307" s="35"/>
      <c r="R307" s="35"/>
      <c r="S307" s="35"/>
      <c r="T307" s="35"/>
      <c r="U307" s="35"/>
      <c r="V307" s="35"/>
      <c r="W307" s="35"/>
      <c r="X307" s="35"/>
      <c r="Y307" s="35"/>
      <c r="Z307" s="35"/>
    </row>
    <row r="308" ht="14.25" customHeight="1">
      <c r="A308" s="221"/>
      <c r="B308" s="231"/>
      <c r="C308" s="116"/>
      <c r="D308" s="85"/>
      <c r="E308" s="117"/>
      <c r="F308" s="245"/>
      <c r="G308" s="245"/>
      <c r="H308" s="523"/>
      <c r="I308" s="36">
        <f t="shared" si="1"/>
        <v>0</v>
      </c>
      <c r="J308" s="37">
        <f t="shared" si="2"/>
        <v>0</v>
      </c>
      <c r="K308" s="38">
        <f t="shared" si="3"/>
        <v>0</v>
      </c>
      <c r="L308" s="39">
        <f t="shared" si="4"/>
        <v>0</v>
      </c>
      <c r="M308" s="38">
        <f t="shared" si="5"/>
        <v>0</v>
      </c>
      <c r="N308" s="39">
        <f t="shared" si="6"/>
        <v>0</v>
      </c>
      <c r="O308" s="40"/>
      <c r="P308" s="34"/>
      <c r="Q308" s="35"/>
      <c r="R308" s="35"/>
      <c r="S308" s="35"/>
      <c r="T308" s="35"/>
      <c r="U308" s="35"/>
      <c r="V308" s="35"/>
      <c r="W308" s="35"/>
      <c r="X308" s="35"/>
      <c r="Y308" s="35"/>
      <c r="Z308" s="35"/>
    </row>
    <row r="309" ht="14.25" customHeight="1">
      <c r="A309" s="221"/>
      <c r="B309" s="231"/>
      <c r="C309" s="116"/>
      <c r="D309" s="85"/>
      <c r="E309" s="117"/>
      <c r="F309" s="245"/>
      <c r="G309" s="245"/>
      <c r="H309" s="523"/>
      <c r="I309" s="36">
        <f t="shared" si="1"/>
        <v>0</v>
      </c>
      <c r="J309" s="37">
        <f t="shared" si="2"/>
        <v>0</v>
      </c>
      <c r="K309" s="38">
        <f t="shared" si="3"/>
        <v>0</v>
      </c>
      <c r="L309" s="39">
        <f t="shared" si="4"/>
        <v>0</v>
      </c>
      <c r="M309" s="38">
        <f t="shared" si="5"/>
        <v>0</v>
      </c>
      <c r="N309" s="39">
        <f t="shared" si="6"/>
        <v>0</v>
      </c>
      <c r="O309" s="40"/>
      <c r="P309" s="34"/>
      <c r="Q309" s="35"/>
      <c r="R309" s="35"/>
      <c r="S309" s="35"/>
      <c r="T309" s="35"/>
      <c r="U309" s="35"/>
      <c r="V309" s="35"/>
      <c r="W309" s="35"/>
      <c r="X309" s="35"/>
      <c r="Y309" s="35"/>
      <c r="Z309" s="35"/>
    </row>
    <row r="310" ht="14.25" customHeight="1">
      <c r="A310" s="221"/>
      <c r="B310" s="231"/>
      <c r="C310" s="116"/>
      <c r="D310" s="85"/>
      <c r="E310" s="117"/>
      <c r="F310" s="245"/>
      <c r="G310" s="245"/>
      <c r="H310" s="523"/>
      <c r="I310" s="36">
        <f t="shared" si="1"/>
        <v>0</v>
      </c>
      <c r="J310" s="37">
        <f t="shared" si="2"/>
        <v>0</v>
      </c>
      <c r="K310" s="38">
        <f t="shared" si="3"/>
        <v>0</v>
      </c>
      <c r="L310" s="39">
        <f t="shared" si="4"/>
        <v>0</v>
      </c>
      <c r="M310" s="38">
        <f t="shared" si="5"/>
        <v>0</v>
      </c>
      <c r="N310" s="39">
        <f t="shared" si="6"/>
        <v>0</v>
      </c>
      <c r="O310" s="40"/>
      <c r="P310" s="34"/>
      <c r="Q310" s="35"/>
      <c r="R310" s="35"/>
      <c r="S310" s="35"/>
      <c r="T310" s="35"/>
      <c r="U310" s="35"/>
      <c r="V310" s="35"/>
      <c r="W310" s="35"/>
      <c r="X310" s="35"/>
      <c r="Y310" s="35"/>
      <c r="Z310" s="35"/>
    </row>
    <row r="311" ht="14.25" customHeight="1">
      <c r="A311" s="221"/>
      <c r="B311" s="231"/>
      <c r="C311" s="110"/>
      <c r="D311" s="122"/>
      <c r="E311" s="117"/>
      <c r="F311" s="245"/>
      <c r="G311" s="245"/>
      <c r="H311" s="523"/>
      <c r="I311" s="36">
        <f t="shared" si="1"/>
        <v>0</v>
      </c>
      <c r="J311" s="37">
        <f t="shared" si="2"/>
        <v>0</v>
      </c>
      <c r="K311" s="38">
        <f t="shared" si="3"/>
        <v>0</v>
      </c>
      <c r="L311" s="39">
        <f t="shared" si="4"/>
        <v>0</v>
      </c>
      <c r="M311" s="38">
        <f t="shared" si="5"/>
        <v>0</v>
      </c>
      <c r="N311" s="39">
        <f t="shared" si="6"/>
        <v>0</v>
      </c>
      <c r="O311" s="40"/>
      <c r="P311" s="34"/>
      <c r="Q311" s="35"/>
      <c r="R311" s="35"/>
      <c r="S311" s="35"/>
      <c r="T311" s="35"/>
      <c r="U311" s="35"/>
      <c r="V311" s="35"/>
      <c r="W311" s="35"/>
      <c r="X311" s="35"/>
      <c r="Y311" s="35"/>
      <c r="Z311" s="35"/>
    </row>
    <row r="312" ht="14.25" customHeight="1">
      <c r="A312" s="221"/>
      <c r="B312" s="231"/>
      <c r="C312" s="110"/>
      <c r="D312" s="122"/>
      <c r="E312" s="117"/>
      <c r="F312" s="245"/>
      <c r="G312" s="245"/>
      <c r="H312" s="523"/>
      <c r="I312" s="36">
        <f t="shared" si="1"/>
        <v>0</v>
      </c>
      <c r="J312" s="37">
        <f t="shared" si="2"/>
        <v>0</v>
      </c>
      <c r="K312" s="38">
        <f t="shared" si="3"/>
        <v>0</v>
      </c>
      <c r="L312" s="39">
        <f t="shared" si="4"/>
        <v>0</v>
      </c>
      <c r="M312" s="38">
        <f t="shared" si="5"/>
        <v>0</v>
      </c>
      <c r="N312" s="39">
        <f t="shared" si="6"/>
        <v>0</v>
      </c>
      <c r="O312" s="40"/>
      <c r="P312" s="34"/>
      <c r="Q312" s="35"/>
      <c r="R312" s="35"/>
      <c r="S312" s="35"/>
      <c r="T312" s="35"/>
      <c r="U312" s="35"/>
      <c r="V312" s="35"/>
      <c r="W312" s="35"/>
      <c r="X312" s="35"/>
      <c r="Y312" s="35"/>
      <c r="Z312" s="35"/>
    </row>
    <row r="313" ht="14.25" customHeight="1">
      <c r="A313" s="221"/>
      <c r="B313" s="231"/>
      <c r="C313" s="110"/>
      <c r="D313" s="102"/>
      <c r="E313" s="117"/>
      <c r="F313" s="245"/>
      <c r="G313" s="245"/>
      <c r="H313" s="523"/>
      <c r="I313" s="36">
        <f t="shared" si="1"/>
        <v>0</v>
      </c>
      <c r="J313" s="37">
        <f t="shared" si="2"/>
        <v>0</v>
      </c>
      <c r="K313" s="38">
        <f t="shared" si="3"/>
        <v>0</v>
      </c>
      <c r="L313" s="39">
        <f t="shared" si="4"/>
        <v>0</v>
      </c>
      <c r="M313" s="38">
        <f t="shared" si="5"/>
        <v>0</v>
      </c>
      <c r="N313" s="39">
        <f t="shared" si="6"/>
        <v>0</v>
      </c>
      <c r="O313" s="40"/>
      <c r="P313" s="34"/>
      <c r="Q313" s="35"/>
      <c r="R313" s="35"/>
      <c r="S313" s="35"/>
      <c r="T313" s="35"/>
      <c r="U313" s="35"/>
      <c r="V313" s="35"/>
      <c r="W313" s="35"/>
      <c r="X313" s="35"/>
      <c r="Y313" s="35"/>
      <c r="Z313" s="35"/>
    </row>
    <row r="314" ht="14.25" customHeight="1">
      <c r="A314" s="221"/>
      <c r="B314" s="231"/>
      <c r="C314" s="108"/>
      <c r="D314" s="85"/>
      <c r="E314" s="117"/>
      <c r="F314" s="245"/>
      <c r="G314" s="245"/>
      <c r="H314" s="523"/>
      <c r="I314" s="36">
        <f t="shared" si="1"/>
        <v>0</v>
      </c>
      <c r="J314" s="37">
        <f t="shared" si="2"/>
        <v>0</v>
      </c>
      <c r="K314" s="38">
        <f t="shared" si="3"/>
        <v>0</v>
      </c>
      <c r="L314" s="39">
        <f t="shared" si="4"/>
        <v>0</v>
      </c>
      <c r="M314" s="38">
        <f t="shared" si="5"/>
        <v>0</v>
      </c>
      <c r="N314" s="39">
        <f t="shared" si="6"/>
        <v>0</v>
      </c>
      <c r="O314" s="40"/>
      <c r="P314" s="34"/>
      <c r="Q314" s="35"/>
      <c r="R314" s="35"/>
      <c r="S314" s="35"/>
      <c r="T314" s="35"/>
      <c r="U314" s="35"/>
      <c r="V314" s="35"/>
      <c r="W314" s="35"/>
      <c r="X314" s="35"/>
      <c r="Y314" s="35"/>
      <c r="Z314" s="35"/>
    </row>
    <row r="315" ht="14.25" customHeight="1">
      <c r="A315" s="221"/>
      <c r="B315" s="231"/>
      <c r="C315" s="108"/>
      <c r="D315" s="85"/>
      <c r="E315" s="117"/>
      <c r="F315" s="245"/>
      <c r="G315" s="245"/>
      <c r="H315" s="523"/>
      <c r="I315" s="36">
        <f t="shared" si="1"/>
        <v>0</v>
      </c>
      <c r="J315" s="37">
        <f t="shared" si="2"/>
        <v>0</v>
      </c>
      <c r="K315" s="38">
        <f t="shared" si="3"/>
        <v>0</v>
      </c>
      <c r="L315" s="39">
        <f t="shared" si="4"/>
        <v>0</v>
      </c>
      <c r="M315" s="38">
        <f t="shared" si="5"/>
        <v>0</v>
      </c>
      <c r="N315" s="39">
        <f t="shared" si="6"/>
        <v>0</v>
      </c>
      <c r="O315" s="40"/>
      <c r="P315" s="34"/>
      <c r="Q315" s="35"/>
      <c r="R315" s="35"/>
      <c r="S315" s="35"/>
      <c r="T315" s="35"/>
      <c r="U315" s="35"/>
      <c r="V315" s="35"/>
      <c r="W315" s="35"/>
      <c r="X315" s="35"/>
      <c r="Y315" s="35"/>
      <c r="Z315" s="35"/>
    </row>
    <row r="316" ht="14.25" customHeight="1">
      <c r="A316" s="221"/>
      <c r="B316" s="231"/>
      <c r="C316" s="108"/>
      <c r="D316" s="85"/>
      <c r="E316" s="117"/>
      <c r="F316" s="245"/>
      <c r="G316" s="245"/>
      <c r="H316" s="523"/>
      <c r="I316" s="36">
        <f t="shared" si="1"/>
        <v>0</v>
      </c>
      <c r="J316" s="37">
        <f t="shared" si="2"/>
        <v>0</v>
      </c>
      <c r="K316" s="38">
        <f t="shared" si="3"/>
        <v>0</v>
      </c>
      <c r="L316" s="39">
        <f t="shared" si="4"/>
        <v>0</v>
      </c>
      <c r="M316" s="38">
        <f t="shared" si="5"/>
        <v>0</v>
      </c>
      <c r="N316" s="39">
        <f t="shared" si="6"/>
        <v>0</v>
      </c>
      <c r="O316" s="40"/>
      <c r="P316" s="34"/>
      <c r="Q316" s="35"/>
      <c r="R316" s="35"/>
      <c r="S316" s="35"/>
      <c r="T316" s="35"/>
      <c r="U316" s="35"/>
      <c r="V316" s="35"/>
      <c r="W316" s="35"/>
      <c r="X316" s="35"/>
      <c r="Y316" s="35"/>
      <c r="Z316" s="35"/>
    </row>
    <row r="317" ht="14.25" customHeight="1">
      <c r="A317" s="221"/>
      <c r="B317" s="231"/>
      <c r="C317" s="108"/>
      <c r="D317" s="85"/>
      <c r="E317" s="117"/>
      <c r="F317" s="245"/>
      <c r="G317" s="245"/>
      <c r="H317" s="523"/>
      <c r="I317" s="36">
        <f t="shared" si="1"/>
        <v>0</v>
      </c>
      <c r="J317" s="37">
        <f t="shared" si="2"/>
        <v>0</v>
      </c>
      <c r="K317" s="38">
        <f t="shared" si="3"/>
        <v>0</v>
      </c>
      <c r="L317" s="39">
        <f t="shared" si="4"/>
        <v>0</v>
      </c>
      <c r="M317" s="38">
        <f t="shared" si="5"/>
        <v>0</v>
      </c>
      <c r="N317" s="39">
        <f t="shared" si="6"/>
        <v>0</v>
      </c>
      <c r="O317" s="40"/>
      <c r="P317" s="34"/>
      <c r="Q317" s="35"/>
      <c r="R317" s="35"/>
      <c r="S317" s="35"/>
      <c r="T317" s="35"/>
      <c r="U317" s="35"/>
      <c r="V317" s="35"/>
      <c r="W317" s="35"/>
      <c r="X317" s="35"/>
      <c r="Y317" s="35"/>
      <c r="Z317" s="35"/>
    </row>
    <row r="318" ht="14.25" customHeight="1">
      <c r="A318" s="221"/>
      <c r="B318" s="231"/>
      <c r="C318" s="108"/>
      <c r="D318" s="85"/>
      <c r="E318" s="117"/>
      <c r="F318" s="245"/>
      <c r="G318" s="245"/>
      <c r="H318" s="523"/>
      <c r="I318" s="36">
        <f t="shared" si="1"/>
        <v>0</v>
      </c>
      <c r="J318" s="37">
        <f t="shared" si="2"/>
        <v>0</v>
      </c>
      <c r="K318" s="38">
        <f t="shared" si="3"/>
        <v>0</v>
      </c>
      <c r="L318" s="39">
        <f t="shared" si="4"/>
        <v>0</v>
      </c>
      <c r="M318" s="38">
        <f t="shared" si="5"/>
        <v>0</v>
      </c>
      <c r="N318" s="39">
        <f t="shared" si="6"/>
        <v>0</v>
      </c>
      <c r="O318" s="40"/>
      <c r="P318" s="34"/>
      <c r="Q318" s="35"/>
      <c r="R318" s="35"/>
      <c r="S318" s="35"/>
      <c r="T318" s="35"/>
      <c r="U318" s="35"/>
      <c r="V318" s="35"/>
      <c r="W318" s="35"/>
      <c r="X318" s="35"/>
      <c r="Y318" s="35"/>
      <c r="Z318" s="35"/>
    </row>
    <row r="319" ht="14.25" customHeight="1">
      <c r="A319" s="221"/>
      <c r="B319" s="231"/>
      <c r="C319" s="108"/>
      <c r="D319" s="85"/>
      <c r="E319" s="117"/>
      <c r="F319" s="245"/>
      <c r="G319" s="245"/>
      <c r="H319" s="523"/>
      <c r="I319" s="36">
        <f t="shared" si="1"/>
        <v>0</v>
      </c>
      <c r="J319" s="37">
        <f t="shared" si="2"/>
        <v>0</v>
      </c>
      <c r="K319" s="38">
        <f t="shared" si="3"/>
        <v>0</v>
      </c>
      <c r="L319" s="39">
        <f t="shared" si="4"/>
        <v>0</v>
      </c>
      <c r="M319" s="38">
        <f t="shared" si="5"/>
        <v>0</v>
      </c>
      <c r="N319" s="39">
        <f t="shared" si="6"/>
        <v>0</v>
      </c>
      <c r="O319" s="40"/>
      <c r="P319" s="34"/>
      <c r="Q319" s="35"/>
      <c r="R319" s="35"/>
      <c r="S319" s="35"/>
      <c r="T319" s="35"/>
      <c r="U319" s="35"/>
      <c r="V319" s="35"/>
      <c r="W319" s="35"/>
      <c r="X319" s="35"/>
      <c r="Y319" s="35"/>
      <c r="Z319" s="35"/>
    </row>
    <row r="320" ht="14.25" customHeight="1">
      <c r="A320" s="221"/>
      <c r="B320" s="231"/>
      <c r="C320" s="108"/>
      <c r="D320" s="85"/>
      <c r="E320" s="117"/>
      <c r="F320" s="245"/>
      <c r="G320" s="245"/>
      <c r="H320" s="523"/>
      <c r="I320" s="36">
        <f t="shared" si="1"/>
        <v>0</v>
      </c>
      <c r="J320" s="37">
        <f t="shared" si="2"/>
        <v>0</v>
      </c>
      <c r="K320" s="38">
        <f t="shared" si="3"/>
        <v>0</v>
      </c>
      <c r="L320" s="39">
        <f t="shared" si="4"/>
        <v>0</v>
      </c>
      <c r="M320" s="38">
        <f t="shared" si="5"/>
        <v>0</v>
      </c>
      <c r="N320" s="39">
        <f t="shared" si="6"/>
        <v>0</v>
      </c>
      <c r="O320" s="40"/>
      <c r="P320" s="34"/>
      <c r="Q320" s="35"/>
      <c r="R320" s="35"/>
      <c r="S320" s="35"/>
      <c r="T320" s="35"/>
      <c r="U320" s="35"/>
      <c r="V320" s="35"/>
      <c r="W320" s="35"/>
      <c r="X320" s="35"/>
      <c r="Y320" s="35"/>
      <c r="Z320" s="35"/>
    </row>
    <row r="321" ht="14.25" customHeight="1">
      <c r="A321" s="221"/>
      <c r="B321" s="231"/>
      <c r="C321" s="129"/>
      <c r="D321" s="85"/>
      <c r="E321" s="117"/>
      <c r="F321" s="245"/>
      <c r="G321" s="245"/>
      <c r="H321" s="523"/>
      <c r="I321" s="36">
        <f t="shared" si="1"/>
        <v>0</v>
      </c>
      <c r="J321" s="37">
        <f t="shared" si="2"/>
        <v>0</v>
      </c>
      <c r="K321" s="38">
        <f t="shared" si="3"/>
        <v>0</v>
      </c>
      <c r="L321" s="39">
        <f t="shared" si="4"/>
        <v>0</v>
      </c>
      <c r="M321" s="38">
        <f t="shared" si="5"/>
        <v>0</v>
      </c>
      <c r="N321" s="39">
        <f t="shared" si="6"/>
        <v>0</v>
      </c>
      <c r="O321" s="40"/>
      <c r="P321" s="34"/>
      <c r="Q321" s="35"/>
      <c r="R321" s="35"/>
      <c r="S321" s="35"/>
      <c r="T321" s="35"/>
      <c r="U321" s="35"/>
      <c r="V321" s="35"/>
      <c r="W321" s="35"/>
      <c r="X321" s="35"/>
      <c r="Y321" s="35"/>
      <c r="Z321" s="35"/>
    </row>
    <row r="322" ht="14.25" customHeight="1">
      <c r="A322" s="221"/>
      <c r="B322" s="231"/>
      <c r="C322" s="108"/>
      <c r="D322" s="102"/>
      <c r="E322" s="117"/>
      <c r="F322" s="245"/>
      <c r="G322" s="245"/>
      <c r="H322" s="523"/>
      <c r="I322" s="36">
        <f t="shared" si="1"/>
        <v>0</v>
      </c>
      <c r="J322" s="37">
        <f t="shared" si="2"/>
        <v>0</v>
      </c>
      <c r="K322" s="38">
        <f t="shared" si="3"/>
        <v>0</v>
      </c>
      <c r="L322" s="39">
        <f t="shared" si="4"/>
        <v>0</v>
      </c>
      <c r="M322" s="38">
        <f t="shared" si="5"/>
        <v>0</v>
      </c>
      <c r="N322" s="39">
        <f t="shared" si="6"/>
        <v>0</v>
      </c>
      <c r="O322" s="40"/>
      <c r="P322" s="34"/>
      <c r="Q322" s="35"/>
      <c r="R322" s="35"/>
      <c r="S322" s="35"/>
      <c r="T322" s="35"/>
      <c r="U322" s="35"/>
      <c r="V322" s="35"/>
      <c r="W322" s="35"/>
      <c r="X322" s="35"/>
      <c r="Y322" s="35"/>
      <c r="Z322" s="35"/>
    </row>
    <row r="323" ht="14.25" customHeight="1">
      <c r="A323" s="221"/>
      <c r="B323" s="231"/>
      <c r="C323" s="108"/>
      <c r="D323" s="90"/>
      <c r="E323" s="117"/>
      <c r="F323" s="245"/>
      <c r="G323" s="245"/>
      <c r="H323" s="523"/>
      <c r="I323" s="36">
        <f t="shared" si="1"/>
        <v>0</v>
      </c>
      <c r="J323" s="37">
        <f t="shared" si="2"/>
        <v>0</v>
      </c>
      <c r="K323" s="38">
        <f t="shared" si="3"/>
        <v>0</v>
      </c>
      <c r="L323" s="39">
        <f t="shared" si="4"/>
        <v>0</v>
      </c>
      <c r="M323" s="38">
        <f t="shared" si="5"/>
        <v>0</v>
      </c>
      <c r="N323" s="39">
        <f t="shared" si="6"/>
        <v>0</v>
      </c>
      <c r="O323" s="40"/>
      <c r="P323" s="34"/>
      <c r="Q323" s="35"/>
      <c r="R323" s="35"/>
      <c r="S323" s="35"/>
      <c r="T323" s="35"/>
      <c r="U323" s="35"/>
      <c r="V323" s="35"/>
      <c r="W323" s="35"/>
      <c r="X323" s="35"/>
      <c r="Y323" s="35"/>
      <c r="Z323" s="35"/>
    </row>
    <row r="324" ht="14.25" customHeight="1">
      <c r="A324" s="221"/>
      <c r="B324" s="231"/>
      <c r="C324" s="132"/>
      <c r="D324" s="42"/>
      <c r="E324" s="117"/>
      <c r="F324" s="248"/>
      <c r="G324" s="248"/>
      <c r="H324" s="523"/>
      <c r="I324" s="36">
        <f t="shared" si="1"/>
        <v>0</v>
      </c>
      <c r="J324" s="37">
        <f t="shared" si="2"/>
        <v>0</v>
      </c>
      <c r="K324" s="38">
        <f t="shared" si="3"/>
        <v>0</v>
      </c>
      <c r="L324" s="39">
        <f t="shared" si="4"/>
        <v>0</v>
      </c>
      <c r="M324" s="38">
        <f t="shared" si="5"/>
        <v>0</v>
      </c>
      <c r="N324" s="39">
        <f t="shared" si="6"/>
        <v>0</v>
      </c>
      <c r="O324" s="40"/>
      <c r="P324" s="34"/>
      <c r="Q324" s="35"/>
      <c r="R324" s="35"/>
      <c r="S324" s="35"/>
      <c r="T324" s="35"/>
      <c r="U324" s="35"/>
      <c r="V324" s="35"/>
      <c r="W324" s="35"/>
      <c r="X324" s="35"/>
      <c r="Y324" s="35"/>
      <c r="Z324" s="35"/>
    </row>
    <row r="325" ht="14.25" customHeight="1">
      <c r="A325" s="221"/>
      <c r="B325" s="231"/>
      <c r="C325" s="115"/>
      <c r="D325" s="100"/>
      <c r="E325" s="117"/>
      <c r="F325" s="249"/>
      <c r="G325" s="249"/>
      <c r="H325" s="523"/>
      <c r="I325" s="36">
        <f t="shared" si="1"/>
        <v>0</v>
      </c>
      <c r="J325" s="37">
        <f t="shared" si="2"/>
        <v>0</v>
      </c>
      <c r="K325" s="38">
        <f t="shared" si="3"/>
        <v>0</v>
      </c>
      <c r="L325" s="39">
        <f t="shared" si="4"/>
        <v>0</v>
      </c>
      <c r="M325" s="38">
        <f t="shared" si="5"/>
        <v>0</v>
      </c>
      <c r="N325" s="39">
        <f t="shared" si="6"/>
        <v>0</v>
      </c>
      <c r="O325" s="40"/>
      <c r="P325" s="34"/>
      <c r="Q325" s="35"/>
      <c r="R325" s="35"/>
      <c r="S325" s="35"/>
      <c r="T325" s="35"/>
      <c r="U325" s="35"/>
      <c r="V325" s="35"/>
      <c r="W325" s="35"/>
      <c r="X325" s="35"/>
      <c r="Y325" s="35"/>
      <c r="Z325" s="35"/>
    </row>
    <row r="326" ht="14.25" customHeight="1">
      <c r="A326" s="221"/>
      <c r="B326" s="231"/>
      <c r="C326" s="115"/>
      <c r="D326" s="100"/>
      <c r="E326" s="117"/>
      <c r="F326" s="249"/>
      <c r="G326" s="249"/>
      <c r="H326" s="523"/>
      <c r="I326" s="36">
        <f t="shared" si="1"/>
        <v>0</v>
      </c>
      <c r="J326" s="37">
        <f t="shared" si="2"/>
        <v>0</v>
      </c>
      <c r="K326" s="38">
        <f t="shared" si="3"/>
        <v>0</v>
      </c>
      <c r="L326" s="39">
        <f t="shared" si="4"/>
        <v>0</v>
      </c>
      <c r="M326" s="38">
        <f t="shared" si="5"/>
        <v>0</v>
      </c>
      <c r="N326" s="39">
        <f t="shared" si="6"/>
        <v>0</v>
      </c>
      <c r="O326" s="40"/>
      <c r="P326" s="34"/>
      <c r="Q326" s="35"/>
      <c r="R326" s="35"/>
      <c r="S326" s="35"/>
      <c r="T326" s="35"/>
      <c r="U326" s="35"/>
      <c r="V326" s="35"/>
      <c r="W326" s="35"/>
      <c r="X326" s="35"/>
      <c r="Y326" s="35"/>
      <c r="Z326" s="35"/>
    </row>
    <row r="327" ht="14.25" customHeight="1">
      <c r="A327" s="221"/>
      <c r="B327" s="231"/>
      <c r="C327" s="115"/>
      <c r="D327" s="100"/>
      <c r="E327" s="117"/>
      <c r="F327" s="249"/>
      <c r="G327" s="249"/>
      <c r="H327" s="523"/>
      <c r="I327" s="36">
        <f t="shared" si="1"/>
        <v>0</v>
      </c>
      <c r="J327" s="37">
        <f t="shared" si="2"/>
        <v>0</v>
      </c>
      <c r="K327" s="38">
        <f t="shared" si="3"/>
        <v>0</v>
      </c>
      <c r="L327" s="39">
        <f t="shared" si="4"/>
        <v>0</v>
      </c>
      <c r="M327" s="38">
        <f t="shared" si="5"/>
        <v>0</v>
      </c>
      <c r="N327" s="39">
        <f t="shared" si="6"/>
        <v>0</v>
      </c>
      <c r="O327" s="40"/>
      <c r="P327" s="34"/>
      <c r="Q327" s="35"/>
      <c r="R327" s="35"/>
      <c r="S327" s="35"/>
      <c r="T327" s="35"/>
      <c r="U327" s="35"/>
      <c r="V327" s="35"/>
      <c r="W327" s="35"/>
      <c r="X327" s="35"/>
      <c r="Y327" s="35"/>
      <c r="Z327" s="35"/>
    </row>
    <row r="328" ht="14.25" customHeight="1">
      <c r="A328" s="221"/>
      <c r="B328" s="231"/>
      <c r="C328" s="115"/>
      <c r="D328" s="100"/>
      <c r="E328" s="117"/>
      <c r="F328" s="249"/>
      <c r="G328" s="249"/>
      <c r="H328" s="523"/>
      <c r="I328" s="36">
        <f t="shared" si="1"/>
        <v>0</v>
      </c>
      <c r="J328" s="37">
        <f t="shared" si="2"/>
        <v>0</v>
      </c>
      <c r="K328" s="38">
        <f t="shared" si="3"/>
        <v>0</v>
      </c>
      <c r="L328" s="39">
        <f t="shared" si="4"/>
        <v>0</v>
      </c>
      <c r="M328" s="38">
        <f t="shared" si="5"/>
        <v>0</v>
      </c>
      <c r="N328" s="39">
        <f t="shared" si="6"/>
        <v>0</v>
      </c>
      <c r="O328" s="40"/>
      <c r="P328" s="34"/>
      <c r="Q328" s="35"/>
      <c r="R328" s="35"/>
      <c r="S328" s="35"/>
      <c r="T328" s="35"/>
      <c r="U328" s="35"/>
      <c r="V328" s="35"/>
      <c r="W328" s="35"/>
      <c r="X328" s="35"/>
      <c r="Y328" s="35"/>
      <c r="Z328" s="35"/>
    </row>
    <row r="329" ht="14.25" customHeight="1">
      <c r="A329" s="221"/>
      <c r="B329" s="231"/>
      <c r="C329" s="115"/>
      <c r="D329" s="100"/>
      <c r="E329" s="117"/>
      <c r="F329" s="249"/>
      <c r="G329" s="249"/>
      <c r="H329" s="523"/>
      <c r="I329" s="36">
        <f t="shared" si="1"/>
        <v>0</v>
      </c>
      <c r="J329" s="37">
        <f t="shared" si="2"/>
        <v>0</v>
      </c>
      <c r="K329" s="38">
        <f t="shared" si="3"/>
        <v>0</v>
      </c>
      <c r="L329" s="39">
        <f t="shared" si="4"/>
        <v>0</v>
      </c>
      <c r="M329" s="38">
        <f t="shared" si="5"/>
        <v>0</v>
      </c>
      <c r="N329" s="39">
        <f t="shared" si="6"/>
        <v>0</v>
      </c>
      <c r="O329" s="40"/>
      <c r="P329" s="34"/>
      <c r="Q329" s="35"/>
      <c r="R329" s="35"/>
      <c r="S329" s="35"/>
      <c r="T329" s="35"/>
      <c r="U329" s="35"/>
      <c r="V329" s="35"/>
      <c r="W329" s="35"/>
      <c r="X329" s="35"/>
      <c r="Y329" s="35"/>
      <c r="Z329" s="35"/>
    </row>
    <row r="330" ht="14.25" customHeight="1">
      <c r="A330" s="221"/>
      <c r="B330" s="231"/>
      <c r="C330" s="115"/>
      <c r="D330" s="100"/>
      <c r="E330" s="117"/>
      <c r="F330" s="249"/>
      <c r="G330" s="249"/>
      <c r="H330" s="523"/>
      <c r="I330" s="36">
        <f t="shared" si="1"/>
        <v>0</v>
      </c>
      <c r="J330" s="37">
        <f t="shared" si="2"/>
        <v>0</v>
      </c>
      <c r="K330" s="38">
        <f t="shared" si="3"/>
        <v>0</v>
      </c>
      <c r="L330" s="39">
        <f t="shared" si="4"/>
        <v>0</v>
      </c>
      <c r="M330" s="38">
        <f t="shared" si="5"/>
        <v>0</v>
      </c>
      <c r="N330" s="39">
        <f t="shared" si="6"/>
        <v>0</v>
      </c>
      <c r="O330" s="40"/>
      <c r="P330" s="34"/>
      <c r="Q330" s="35"/>
      <c r="R330" s="35"/>
      <c r="S330" s="35"/>
      <c r="T330" s="35"/>
      <c r="U330" s="35"/>
      <c r="V330" s="35"/>
      <c r="W330" s="35"/>
      <c r="X330" s="35"/>
      <c r="Y330" s="35"/>
      <c r="Z330" s="35"/>
    </row>
    <row r="331" ht="14.25" customHeight="1">
      <c r="A331" s="221"/>
      <c r="B331" s="231"/>
      <c r="C331" s="115"/>
      <c r="D331" s="100"/>
      <c r="E331" s="117"/>
      <c r="F331" s="238"/>
      <c r="G331" s="238"/>
      <c r="H331" s="523"/>
      <c r="I331" s="36">
        <f t="shared" si="1"/>
        <v>0</v>
      </c>
      <c r="J331" s="37">
        <f t="shared" si="2"/>
        <v>0</v>
      </c>
      <c r="K331" s="38">
        <f t="shared" si="3"/>
        <v>0</v>
      </c>
      <c r="L331" s="39">
        <f t="shared" si="4"/>
        <v>0</v>
      </c>
      <c r="M331" s="38">
        <f t="shared" si="5"/>
        <v>0</v>
      </c>
      <c r="N331" s="39">
        <f t="shared" si="6"/>
        <v>0</v>
      </c>
      <c r="O331" s="40"/>
      <c r="P331" s="34"/>
      <c r="Q331" s="35"/>
      <c r="R331" s="35"/>
      <c r="S331" s="35"/>
      <c r="T331" s="35"/>
      <c r="U331" s="35"/>
      <c r="V331" s="35"/>
      <c r="W331" s="35"/>
      <c r="X331" s="35"/>
      <c r="Y331" s="35"/>
      <c r="Z331" s="35"/>
    </row>
    <row r="332" ht="14.25" customHeight="1">
      <c r="A332" s="221"/>
      <c r="B332" s="231"/>
      <c r="C332" s="108"/>
      <c r="D332" s="85"/>
      <c r="E332" s="117"/>
      <c r="F332" s="242"/>
      <c r="G332" s="242"/>
      <c r="H332" s="523"/>
      <c r="I332" s="36">
        <f t="shared" si="1"/>
        <v>0</v>
      </c>
      <c r="J332" s="37">
        <f t="shared" si="2"/>
        <v>0</v>
      </c>
      <c r="K332" s="38">
        <f t="shared" si="3"/>
        <v>0</v>
      </c>
      <c r="L332" s="39">
        <f t="shared" si="4"/>
        <v>0</v>
      </c>
      <c r="M332" s="38">
        <f t="shared" si="5"/>
        <v>0</v>
      </c>
      <c r="N332" s="39">
        <f t="shared" si="6"/>
        <v>0</v>
      </c>
      <c r="O332" s="40"/>
      <c r="P332" s="34"/>
      <c r="Q332" s="35"/>
      <c r="R332" s="35"/>
      <c r="S332" s="35"/>
      <c r="T332" s="35"/>
      <c r="U332" s="35"/>
      <c r="V332" s="35"/>
      <c r="W332" s="35"/>
      <c r="X332" s="35"/>
      <c r="Y332" s="35"/>
      <c r="Z332" s="35"/>
    </row>
    <row r="333" ht="14.25" customHeight="1">
      <c r="A333" s="83"/>
      <c r="B333" s="84"/>
      <c r="C333" s="108"/>
      <c r="D333" s="102"/>
      <c r="E333" s="117"/>
      <c r="F333" s="250"/>
      <c r="G333" s="250"/>
      <c r="H333" s="523"/>
      <c r="I333" s="36"/>
      <c r="J333" s="37"/>
      <c r="K333" s="38"/>
      <c r="L333" s="39"/>
      <c r="M333" s="38"/>
      <c r="N333" s="39"/>
      <c r="O333" s="40"/>
      <c r="P333" s="34"/>
      <c r="Q333" s="35"/>
      <c r="R333" s="35"/>
      <c r="S333" s="35"/>
      <c r="T333" s="35"/>
      <c r="U333" s="35"/>
      <c r="V333" s="35"/>
      <c r="W333" s="35"/>
      <c r="X333" s="35"/>
      <c r="Y333" s="35"/>
      <c r="Z333" s="35"/>
    </row>
    <row r="334" ht="14.25" customHeight="1">
      <c r="A334" s="83"/>
      <c r="B334" s="84"/>
      <c r="C334" s="108"/>
      <c r="D334" s="102"/>
      <c r="E334" s="117"/>
      <c r="F334" s="250"/>
      <c r="G334" s="250"/>
      <c r="H334" s="523"/>
      <c r="I334" s="36"/>
      <c r="J334" s="37"/>
      <c r="K334" s="38"/>
      <c r="L334" s="39"/>
      <c r="M334" s="38"/>
      <c r="N334" s="39"/>
      <c r="O334" s="40"/>
      <c r="P334" s="34"/>
      <c r="Q334" s="35"/>
      <c r="R334" s="35"/>
      <c r="S334" s="35"/>
      <c r="T334" s="35"/>
      <c r="U334" s="35"/>
      <c r="V334" s="35"/>
      <c r="W334" s="35"/>
      <c r="X334" s="35"/>
      <c r="Y334" s="35"/>
      <c r="Z334" s="35"/>
    </row>
    <row r="335" ht="14.25" customHeight="1">
      <c r="A335" s="83"/>
      <c r="B335" s="84"/>
      <c r="C335" s="108"/>
      <c r="D335" s="102"/>
      <c r="E335" s="117"/>
      <c r="F335" s="250"/>
      <c r="G335" s="250"/>
      <c r="H335" s="523"/>
      <c r="I335" s="36"/>
      <c r="J335" s="37"/>
      <c r="K335" s="38"/>
      <c r="L335" s="39"/>
      <c r="M335" s="38"/>
      <c r="N335" s="39"/>
      <c r="O335" s="40"/>
      <c r="P335" s="34"/>
      <c r="Q335" s="35"/>
      <c r="R335" s="35"/>
      <c r="S335" s="35"/>
      <c r="T335" s="35"/>
      <c r="U335" s="35"/>
      <c r="V335" s="35"/>
      <c r="W335" s="35"/>
      <c r="X335" s="35"/>
      <c r="Y335" s="35"/>
      <c r="Z335" s="35"/>
    </row>
    <row r="336" ht="14.25" customHeight="1">
      <c r="A336" s="83"/>
      <c r="B336" s="84"/>
      <c r="C336" s="108"/>
      <c r="D336" s="102"/>
      <c r="E336" s="117"/>
      <c r="F336" s="250"/>
      <c r="G336" s="250"/>
      <c r="H336" s="523"/>
      <c r="I336" s="36"/>
      <c r="J336" s="37"/>
      <c r="K336" s="38"/>
      <c r="L336" s="39"/>
      <c r="M336" s="38"/>
      <c r="N336" s="39"/>
      <c r="O336" s="40"/>
      <c r="P336" s="34"/>
      <c r="Q336" s="35"/>
      <c r="R336" s="35"/>
      <c r="S336" s="35"/>
      <c r="T336" s="35"/>
      <c r="U336" s="35"/>
      <c r="V336" s="35"/>
      <c r="W336" s="35"/>
      <c r="X336" s="35"/>
      <c r="Y336" s="35"/>
      <c r="Z336" s="35"/>
    </row>
    <row r="337" ht="14.25" customHeight="1">
      <c r="A337" s="83"/>
      <c r="B337" s="84"/>
      <c r="C337" s="108"/>
      <c r="D337" s="102"/>
      <c r="E337" s="117"/>
      <c r="F337" s="250"/>
      <c r="G337" s="250"/>
      <c r="H337" s="523"/>
      <c r="I337" s="36"/>
      <c r="J337" s="37"/>
      <c r="K337" s="38"/>
      <c r="L337" s="39"/>
      <c r="M337" s="38"/>
      <c r="N337" s="39"/>
      <c r="O337" s="40"/>
      <c r="P337" s="34"/>
      <c r="Q337" s="35"/>
      <c r="R337" s="35"/>
      <c r="S337" s="35"/>
      <c r="T337" s="35"/>
      <c r="U337" s="35"/>
      <c r="V337" s="35"/>
      <c r="W337" s="35"/>
      <c r="X337" s="35"/>
      <c r="Y337" s="35"/>
      <c r="Z337" s="35"/>
    </row>
    <row r="338" ht="14.25" customHeight="1">
      <c r="A338" s="83"/>
      <c r="B338" s="84"/>
      <c r="C338" s="108"/>
      <c r="D338" s="102"/>
      <c r="E338" s="117"/>
      <c r="F338" s="250"/>
      <c r="G338" s="250"/>
      <c r="H338" s="523"/>
      <c r="I338" s="36"/>
      <c r="J338" s="37"/>
      <c r="K338" s="38"/>
      <c r="L338" s="39"/>
      <c r="M338" s="38"/>
      <c r="N338" s="39"/>
      <c r="O338" s="40"/>
      <c r="P338" s="34"/>
      <c r="Q338" s="35"/>
      <c r="R338" s="35"/>
      <c r="S338" s="35"/>
      <c r="T338" s="35"/>
      <c r="U338" s="35"/>
      <c r="V338" s="35"/>
      <c r="W338" s="35"/>
      <c r="X338" s="35"/>
      <c r="Y338" s="35"/>
      <c r="Z338" s="35"/>
    </row>
    <row r="339" ht="14.25" customHeight="1">
      <c r="A339" s="83"/>
      <c r="B339" s="84"/>
      <c r="C339" s="108"/>
      <c r="D339" s="102"/>
      <c r="E339" s="117"/>
      <c r="F339" s="250"/>
      <c r="G339" s="250"/>
      <c r="H339" s="523"/>
      <c r="I339" s="36"/>
      <c r="J339" s="37"/>
      <c r="K339" s="38"/>
      <c r="L339" s="39"/>
      <c r="M339" s="38"/>
      <c r="N339" s="39"/>
      <c r="O339" s="40"/>
      <c r="P339" s="34"/>
      <c r="Q339" s="35"/>
      <c r="R339" s="35"/>
      <c r="S339" s="35"/>
      <c r="T339" s="35"/>
      <c r="U339" s="35"/>
      <c r="V339" s="35"/>
      <c r="W339" s="35"/>
      <c r="X339" s="35"/>
      <c r="Y339" s="35"/>
      <c r="Z339" s="35"/>
    </row>
    <row r="340" ht="14.25" customHeight="1">
      <c r="A340" s="83"/>
      <c r="B340" s="84"/>
      <c r="C340" s="108"/>
      <c r="D340" s="102"/>
      <c r="E340" s="117"/>
      <c r="F340" s="250"/>
      <c r="G340" s="250"/>
      <c r="H340" s="523"/>
      <c r="I340" s="36"/>
      <c r="J340" s="37"/>
      <c r="K340" s="38"/>
      <c r="L340" s="39"/>
      <c r="M340" s="38"/>
      <c r="N340" s="39"/>
      <c r="O340" s="40"/>
      <c r="P340" s="34"/>
      <c r="Q340" s="35"/>
      <c r="R340" s="35"/>
      <c r="S340" s="35"/>
      <c r="T340" s="35"/>
      <c r="U340" s="35"/>
      <c r="V340" s="35"/>
      <c r="W340" s="35"/>
      <c r="X340" s="35"/>
      <c r="Y340" s="35"/>
      <c r="Z340" s="35"/>
    </row>
    <row r="341" ht="14.25" customHeight="1">
      <c r="A341" s="83"/>
      <c r="B341" s="84"/>
      <c r="C341" s="108"/>
      <c r="D341" s="102"/>
      <c r="E341" s="117"/>
      <c r="F341" s="250"/>
      <c r="G341" s="250"/>
      <c r="H341" s="523"/>
      <c r="I341" s="36"/>
      <c r="J341" s="37"/>
      <c r="K341" s="38"/>
      <c r="L341" s="39"/>
      <c r="M341" s="38"/>
      <c r="N341" s="39"/>
      <c r="O341" s="40"/>
      <c r="P341" s="34"/>
      <c r="Q341" s="35"/>
      <c r="R341" s="35"/>
      <c r="S341" s="35"/>
      <c r="T341" s="35"/>
      <c r="U341" s="35"/>
      <c r="V341" s="35"/>
      <c r="W341" s="35"/>
      <c r="X341" s="35"/>
      <c r="Y341" s="35"/>
      <c r="Z341" s="35"/>
    </row>
    <row r="342" ht="14.25" customHeight="1">
      <c r="A342" s="83"/>
      <c r="B342" s="84"/>
      <c r="C342" s="108"/>
      <c r="D342" s="102"/>
      <c r="E342" s="117"/>
      <c r="F342" s="250"/>
      <c r="G342" s="250"/>
      <c r="H342" s="523"/>
      <c r="I342" s="36"/>
      <c r="J342" s="37"/>
      <c r="K342" s="38"/>
      <c r="L342" s="39"/>
      <c r="M342" s="38"/>
      <c r="N342" s="39"/>
      <c r="O342" s="40"/>
      <c r="P342" s="34"/>
      <c r="Q342" s="35"/>
      <c r="R342" s="35"/>
      <c r="S342" s="35"/>
      <c r="T342" s="35"/>
      <c r="U342" s="35"/>
      <c r="V342" s="35"/>
      <c r="W342" s="35"/>
      <c r="X342" s="35"/>
      <c r="Y342" s="35"/>
      <c r="Z342" s="35"/>
    </row>
    <row r="343" ht="14.25" customHeight="1">
      <c r="A343" s="83"/>
      <c r="B343" s="84"/>
      <c r="C343" s="108"/>
      <c r="D343" s="102"/>
      <c r="E343" s="117"/>
      <c r="F343" s="250"/>
      <c r="G343" s="250"/>
      <c r="H343" s="523"/>
      <c r="I343" s="36"/>
      <c r="J343" s="37"/>
      <c r="K343" s="38"/>
      <c r="L343" s="39"/>
      <c r="M343" s="38"/>
      <c r="N343" s="39"/>
      <c r="O343" s="40"/>
      <c r="P343" s="34"/>
      <c r="Q343" s="35"/>
      <c r="R343" s="35"/>
      <c r="S343" s="35"/>
      <c r="T343" s="35"/>
      <c r="U343" s="35"/>
      <c r="V343" s="35"/>
      <c r="W343" s="35"/>
      <c r="X343" s="35"/>
      <c r="Y343" s="35"/>
      <c r="Z343" s="35"/>
    </row>
    <row r="344" ht="14.25" customHeight="1">
      <c r="A344" s="83"/>
      <c r="B344" s="84"/>
      <c r="C344" s="108"/>
      <c r="D344" s="102"/>
      <c r="E344" s="117"/>
      <c r="F344" s="250"/>
      <c r="G344" s="250"/>
      <c r="H344" s="523"/>
      <c r="I344" s="36"/>
      <c r="J344" s="37"/>
      <c r="K344" s="38"/>
      <c r="L344" s="39"/>
      <c r="M344" s="38"/>
      <c r="N344" s="39"/>
      <c r="O344" s="40"/>
      <c r="P344" s="34"/>
      <c r="Q344" s="35"/>
      <c r="R344" s="35"/>
      <c r="S344" s="35"/>
      <c r="T344" s="35"/>
      <c r="U344" s="35"/>
      <c r="V344" s="35"/>
      <c r="W344" s="35"/>
      <c r="X344" s="35"/>
      <c r="Y344" s="35"/>
      <c r="Z344" s="35"/>
    </row>
    <row r="345" ht="14.25" customHeight="1">
      <c r="A345" s="83"/>
      <c r="B345" s="84"/>
      <c r="C345" s="108"/>
      <c r="D345" s="102"/>
      <c r="E345" s="117"/>
      <c r="F345" s="250"/>
      <c r="G345" s="250"/>
      <c r="H345" s="523"/>
      <c r="I345" s="36"/>
      <c r="J345" s="37"/>
      <c r="K345" s="38"/>
      <c r="L345" s="39"/>
      <c r="M345" s="38"/>
      <c r="N345" s="39"/>
      <c r="O345" s="40"/>
      <c r="P345" s="34"/>
      <c r="Q345" s="35"/>
      <c r="R345" s="35"/>
      <c r="S345" s="35"/>
      <c r="T345" s="35"/>
      <c r="U345" s="35"/>
      <c r="V345" s="35"/>
      <c r="W345" s="35"/>
      <c r="X345" s="35"/>
      <c r="Y345" s="35"/>
      <c r="Z345" s="35"/>
    </row>
    <row r="346" ht="14.25" customHeight="1">
      <c r="A346" s="83"/>
      <c r="B346" s="84"/>
      <c r="C346" s="108"/>
      <c r="D346" s="102"/>
      <c r="E346" s="117"/>
      <c r="F346" s="250"/>
      <c r="G346" s="250"/>
      <c r="H346" s="523"/>
      <c r="I346" s="36"/>
      <c r="J346" s="37"/>
      <c r="K346" s="38"/>
      <c r="L346" s="39"/>
      <c r="M346" s="38"/>
      <c r="N346" s="39"/>
      <c r="O346" s="40"/>
      <c r="P346" s="34"/>
      <c r="Q346" s="35"/>
      <c r="R346" s="35"/>
      <c r="S346" s="35"/>
      <c r="T346" s="35"/>
      <c r="U346" s="35"/>
      <c r="V346" s="35"/>
      <c r="W346" s="35"/>
      <c r="X346" s="35"/>
      <c r="Y346" s="35"/>
      <c r="Z346" s="35"/>
    </row>
    <row r="347" ht="14.25" customHeight="1">
      <c r="A347" s="83"/>
      <c r="B347" s="84"/>
      <c r="C347" s="108"/>
      <c r="D347" s="102"/>
      <c r="E347" s="117"/>
      <c r="F347" s="250"/>
      <c r="G347" s="250"/>
      <c r="H347" s="523"/>
      <c r="I347" s="36"/>
      <c r="J347" s="37"/>
      <c r="K347" s="38"/>
      <c r="L347" s="39"/>
      <c r="M347" s="38"/>
      <c r="N347" s="39"/>
      <c r="O347" s="40"/>
      <c r="P347" s="34"/>
      <c r="Q347" s="35"/>
      <c r="R347" s="35"/>
      <c r="S347" s="35"/>
      <c r="T347" s="35"/>
      <c r="U347" s="35"/>
      <c r="V347" s="35"/>
      <c r="W347" s="35"/>
      <c r="X347" s="35"/>
      <c r="Y347" s="35"/>
      <c r="Z347" s="35"/>
    </row>
    <row r="348" ht="14.25" customHeight="1">
      <c r="A348" s="83"/>
      <c r="B348" s="84"/>
      <c r="C348" s="108"/>
      <c r="D348" s="102"/>
      <c r="E348" s="117"/>
      <c r="F348" s="250"/>
      <c r="G348" s="250"/>
      <c r="H348" s="523"/>
      <c r="I348" s="36"/>
      <c r="J348" s="37"/>
      <c r="K348" s="38"/>
      <c r="L348" s="39"/>
      <c r="M348" s="38"/>
      <c r="N348" s="39"/>
      <c r="O348" s="40"/>
      <c r="P348" s="34"/>
      <c r="Q348" s="35"/>
      <c r="R348" s="35"/>
      <c r="S348" s="35"/>
      <c r="T348" s="35"/>
      <c r="U348" s="35"/>
      <c r="V348" s="35"/>
      <c r="W348" s="35"/>
      <c r="X348" s="35"/>
      <c r="Y348" s="35"/>
      <c r="Z348" s="35"/>
    </row>
    <row r="349" ht="14.25" customHeight="1">
      <c r="A349" s="83"/>
      <c r="B349" s="84"/>
      <c r="C349" s="108"/>
      <c r="D349" s="102"/>
      <c r="E349" s="117"/>
      <c r="F349" s="250"/>
      <c r="G349" s="250"/>
      <c r="H349" s="523"/>
      <c r="I349" s="36"/>
      <c r="J349" s="37"/>
      <c r="K349" s="38"/>
      <c r="L349" s="39"/>
      <c r="M349" s="38"/>
      <c r="N349" s="39"/>
      <c r="O349" s="40"/>
      <c r="P349" s="34"/>
      <c r="Q349" s="35"/>
      <c r="R349" s="35"/>
      <c r="S349" s="35"/>
      <c r="T349" s="35"/>
      <c r="U349" s="35"/>
      <c r="V349" s="35"/>
      <c r="W349" s="35"/>
      <c r="X349" s="35"/>
      <c r="Y349" s="35"/>
      <c r="Z349" s="35"/>
    </row>
    <row r="350" ht="14.25" customHeight="1">
      <c r="A350" s="83"/>
      <c r="B350" s="84"/>
      <c r="C350" s="108"/>
      <c r="D350" s="102"/>
      <c r="E350" s="117"/>
      <c r="F350" s="250"/>
      <c r="G350" s="250"/>
      <c r="H350" s="523"/>
      <c r="I350" s="36"/>
      <c r="J350" s="37"/>
      <c r="K350" s="38"/>
      <c r="L350" s="39"/>
      <c r="M350" s="38"/>
      <c r="N350" s="39"/>
      <c r="O350" s="40"/>
      <c r="P350" s="34"/>
      <c r="Q350" s="35"/>
      <c r="R350" s="35"/>
      <c r="S350" s="35"/>
      <c r="T350" s="35"/>
      <c r="U350" s="35"/>
      <c r="V350" s="35"/>
      <c r="W350" s="35"/>
      <c r="X350" s="35"/>
      <c r="Y350" s="35"/>
      <c r="Z350" s="35"/>
    </row>
    <row r="351" ht="14.25" customHeight="1">
      <c r="A351" s="83"/>
      <c r="B351" s="84"/>
      <c r="C351" s="108"/>
      <c r="D351" s="102"/>
      <c r="E351" s="117"/>
      <c r="F351" s="250"/>
      <c r="G351" s="250"/>
      <c r="H351" s="523"/>
      <c r="I351" s="36"/>
      <c r="J351" s="37"/>
      <c r="K351" s="38"/>
      <c r="L351" s="39"/>
      <c r="M351" s="38"/>
      <c r="N351" s="39"/>
      <c r="O351" s="40"/>
      <c r="P351" s="34"/>
      <c r="Q351" s="35"/>
      <c r="R351" s="35"/>
      <c r="S351" s="35"/>
      <c r="T351" s="35"/>
      <c r="U351" s="35"/>
      <c r="V351" s="35"/>
      <c r="W351" s="35"/>
      <c r="X351" s="35"/>
      <c r="Y351" s="35"/>
      <c r="Z351" s="35"/>
    </row>
    <row r="352" ht="14.25" customHeight="1">
      <c r="A352" s="83"/>
      <c r="B352" s="84"/>
      <c r="C352" s="108"/>
      <c r="D352" s="102"/>
      <c r="E352" s="117"/>
      <c r="F352" s="250"/>
      <c r="G352" s="250"/>
      <c r="H352" s="523"/>
      <c r="I352" s="36"/>
      <c r="J352" s="37"/>
      <c r="K352" s="38"/>
      <c r="L352" s="39"/>
      <c r="M352" s="38"/>
      <c r="N352" s="39"/>
      <c r="O352" s="40"/>
      <c r="P352" s="34"/>
      <c r="Q352" s="35"/>
      <c r="R352" s="35"/>
      <c r="S352" s="35"/>
      <c r="T352" s="35"/>
      <c r="U352" s="35"/>
      <c r="V352" s="35"/>
      <c r="W352" s="35"/>
      <c r="X352" s="35"/>
      <c r="Y352" s="35"/>
      <c r="Z352" s="35"/>
    </row>
    <row r="353" ht="14.25" customHeight="1">
      <c r="A353" s="83"/>
      <c r="B353" s="84"/>
      <c r="C353" s="108"/>
      <c r="D353" s="102"/>
      <c r="E353" s="117"/>
      <c r="F353" s="250"/>
      <c r="G353" s="250"/>
      <c r="H353" s="523"/>
      <c r="I353" s="36"/>
      <c r="J353" s="37"/>
      <c r="K353" s="38"/>
      <c r="L353" s="39"/>
      <c r="M353" s="38"/>
      <c r="N353" s="39"/>
      <c r="O353" s="40"/>
      <c r="P353" s="34"/>
      <c r="Q353" s="35"/>
      <c r="R353" s="35"/>
      <c r="S353" s="35"/>
      <c r="T353" s="35"/>
      <c r="U353" s="35"/>
      <c r="V353" s="35"/>
      <c r="W353" s="35"/>
      <c r="X353" s="35"/>
      <c r="Y353" s="35"/>
      <c r="Z353" s="35"/>
    </row>
    <row r="354" ht="14.25" customHeight="1">
      <c r="A354" s="83"/>
      <c r="B354" s="84"/>
      <c r="C354" s="108"/>
      <c r="D354" s="102"/>
      <c r="E354" s="117"/>
      <c r="F354" s="250"/>
      <c r="G354" s="250"/>
      <c r="H354" s="523"/>
      <c r="I354" s="36"/>
      <c r="J354" s="37"/>
      <c r="K354" s="38"/>
      <c r="L354" s="39"/>
      <c r="M354" s="38"/>
      <c r="N354" s="39"/>
      <c r="O354" s="40"/>
      <c r="P354" s="34"/>
      <c r="Q354" s="35"/>
      <c r="R354" s="35"/>
      <c r="S354" s="35"/>
      <c r="T354" s="35"/>
      <c r="U354" s="35"/>
      <c r="V354" s="35"/>
      <c r="W354" s="35"/>
      <c r="X354" s="35"/>
      <c r="Y354" s="35"/>
      <c r="Z354" s="35"/>
    </row>
    <row r="355" ht="14.25" customHeight="1">
      <c r="A355" s="83"/>
      <c r="B355" s="84"/>
      <c r="C355" s="108"/>
      <c r="D355" s="102"/>
      <c r="E355" s="117"/>
      <c r="F355" s="250"/>
      <c r="G355" s="250"/>
      <c r="H355" s="523"/>
      <c r="I355" s="36"/>
      <c r="J355" s="37"/>
      <c r="K355" s="38"/>
      <c r="L355" s="39"/>
      <c r="M355" s="38"/>
      <c r="N355" s="39"/>
      <c r="O355" s="40"/>
      <c r="P355" s="34"/>
      <c r="Q355" s="35"/>
      <c r="R355" s="35"/>
      <c r="S355" s="35"/>
      <c r="T355" s="35"/>
      <c r="U355" s="35"/>
      <c r="V355" s="35"/>
      <c r="W355" s="35"/>
      <c r="X355" s="35"/>
      <c r="Y355" s="35"/>
      <c r="Z355" s="35"/>
    </row>
    <row r="356" ht="14.25" customHeight="1">
      <c r="A356" s="83"/>
      <c r="B356" s="84"/>
      <c r="C356" s="108"/>
      <c r="D356" s="102"/>
      <c r="E356" s="117"/>
      <c r="F356" s="250"/>
      <c r="G356" s="250"/>
      <c r="H356" s="523"/>
      <c r="I356" s="36"/>
      <c r="J356" s="37"/>
      <c r="K356" s="38"/>
      <c r="L356" s="39"/>
      <c r="M356" s="38"/>
      <c r="N356" s="39"/>
      <c r="O356" s="40"/>
      <c r="P356" s="34"/>
      <c r="Q356" s="35"/>
      <c r="R356" s="35"/>
      <c r="S356" s="35"/>
      <c r="T356" s="35"/>
      <c r="U356" s="35"/>
      <c r="V356" s="35"/>
      <c r="W356" s="35"/>
      <c r="X356" s="35"/>
      <c r="Y356" s="35"/>
      <c r="Z356" s="35"/>
    </row>
    <row r="357" ht="14.25" customHeight="1">
      <c r="A357" s="83"/>
      <c r="B357" s="84"/>
      <c r="C357" s="108"/>
      <c r="D357" s="102"/>
      <c r="E357" s="117"/>
      <c r="F357" s="250"/>
      <c r="G357" s="250"/>
      <c r="H357" s="523"/>
      <c r="I357" s="36"/>
      <c r="J357" s="37"/>
      <c r="K357" s="38"/>
      <c r="L357" s="39"/>
      <c r="M357" s="38"/>
      <c r="N357" s="39"/>
      <c r="O357" s="40"/>
      <c r="P357" s="34"/>
      <c r="Q357" s="35"/>
      <c r="R357" s="35"/>
      <c r="S357" s="35"/>
      <c r="T357" s="35"/>
      <c r="U357" s="35"/>
      <c r="V357" s="35"/>
      <c r="W357" s="35"/>
      <c r="X357" s="35"/>
      <c r="Y357" s="35"/>
      <c r="Z357" s="35"/>
    </row>
    <row r="358" ht="14.25" customHeight="1">
      <c r="A358" s="83"/>
      <c r="B358" s="84"/>
      <c r="C358" s="108"/>
      <c r="D358" s="102"/>
      <c r="E358" s="117"/>
      <c r="F358" s="250"/>
      <c r="G358" s="250"/>
      <c r="H358" s="523"/>
      <c r="I358" s="36"/>
      <c r="J358" s="37"/>
      <c r="K358" s="38"/>
      <c r="L358" s="39"/>
      <c r="M358" s="38"/>
      <c r="N358" s="39"/>
      <c r="O358" s="40"/>
      <c r="P358" s="34"/>
      <c r="Q358" s="35"/>
      <c r="R358" s="35"/>
      <c r="S358" s="35"/>
      <c r="T358" s="35"/>
      <c r="U358" s="35"/>
      <c r="V358" s="35"/>
      <c r="W358" s="35"/>
      <c r="X358" s="35"/>
      <c r="Y358" s="35"/>
      <c r="Z358" s="35"/>
    </row>
    <row r="359" ht="14.25" customHeight="1">
      <c r="A359" s="83"/>
      <c r="B359" s="84"/>
      <c r="C359" s="108"/>
      <c r="D359" s="102"/>
      <c r="E359" s="117"/>
      <c r="F359" s="250"/>
      <c r="G359" s="250"/>
      <c r="H359" s="523"/>
      <c r="I359" s="36"/>
      <c r="J359" s="37"/>
      <c r="K359" s="38"/>
      <c r="L359" s="39"/>
      <c r="M359" s="38"/>
      <c r="N359" s="39"/>
      <c r="O359" s="40"/>
      <c r="P359" s="34"/>
      <c r="Q359" s="35"/>
      <c r="R359" s="35"/>
      <c r="S359" s="35"/>
      <c r="T359" s="35"/>
      <c r="U359" s="35"/>
      <c r="V359" s="35"/>
      <c r="W359" s="35"/>
      <c r="X359" s="35"/>
      <c r="Y359" s="35"/>
      <c r="Z359" s="35"/>
    </row>
    <row r="360" ht="14.25" customHeight="1">
      <c r="A360" s="83"/>
      <c r="B360" s="84"/>
      <c r="C360" s="108"/>
      <c r="D360" s="102"/>
      <c r="E360" s="117"/>
      <c r="F360" s="250"/>
      <c r="G360" s="250"/>
      <c r="H360" s="523"/>
      <c r="I360" s="36"/>
      <c r="J360" s="37"/>
      <c r="K360" s="38"/>
      <c r="L360" s="39"/>
      <c r="M360" s="38"/>
      <c r="N360" s="39"/>
      <c r="O360" s="40"/>
      <c r="P360" s="34"/>
      <c r="Q360" s="35"/>
      <c r="R360" s="35"/>
      <c r="S360" s="35"/>
      <c r="T360" s="35"/>
      <c r="U360" s="35"/>
      <c r="V360" s="35"/>
      <c r="W360" s="35"/>
      <c r="X360" s="35"/>
      <c r="Y360" s="35"/>
      <c r="Z360" s="35"/>
    </row>
    <row r="361" ht="14.25" customHeight="1">
      <c r="A361" s="83"/>
      <c r="B361" s="84"/>
      <c r="C361" s="108"/>
      <c r="D361" s="102"/>
      <c r="E361" s="117"/>
      <c r="F361" s="250"/>
      <c r="G361" s="250"/>
      <c r="H361" s="523"/>
      <c r="I361" s="36"/>
      <c r="J361" s="37"/>
      <c r="K361" s="38"/>
      <c r="L361" s="39"/>
      <c r="M361" s="38"/>
      <c r="N361" s="39"/>
      <c r="O361" s="40"/>
      <c r="P361" s="34"/>
      <c r="Q361" s="35"/>
      <c r="R361" s="35"/>
      <c r="S361" s="35"/>
      <c r="T361" s="35"/>
      <c r="U361" s="35"/>
      <c r="V361" s="35"/>
      <c r="W361" s="35"/>
      <c r="X361" s="35"/>
      <c r="Y361" s="35"/>
      <c r="Z361" s="35"/>
    </row>
    <row r="362" ht="14.25" customHeight="1">
      <c r="A362" s="83"/>
      <c r="B362" s="84"/>
      <c r="C362" s="108"/>
      <c r="D362" s="102"/>
      <c r="E362" s="117"/>
      <c r="F362" s="250"/>
      <c r="G362" s="250"/>
      <c r="H362" s="523"/>
      <c r="I362" s="36"/>
      <c r="J362" s="37"/>
      <c r="K362" s="38"/>
      <c r="L362" s="39"/>
      <c r="M362" s="38"/>
      <c r="N362" s="39"/>
      <c r="O362" s="40"/>
      <c r="P362" s="34"/>
      <c r="Q362" s="35"/>
      <c r="R362" s="35"/>
      <c r="S362" s="35"/>
      <c r="T362" s="35"/>
      <c r="U362" s="35"/>
      <c r="V362" s="35"/>
      <c r="W362" s="35"/>
      <c r="X362" s="35"/>
      <c r="Y362" s="35"/>
      <c r="Z362" s="35"/>
    </row>
    <row r="363" ht="14.25" customHeight="1">
      <c r="A363" s="83"/>
      <c r="B363" s="84"/>
      <c r="C363" s="108"/>
      <c r="D363" s="102"/>
      <c r="E363" s="117"/>
      <c r="F363" s="250"/>
      <c r="G363" s="250"/>
      <c r="H363" s="523"/>
      <c r="I363" s="36"/>
      <c r="J363" s="37"/>
      <c r="K363" s="38"/>
      <c r="L363" s="39"/>
      <c r="M363" s="38"/>
      <c r="N363" s="39"/>
      <c r="O363" s="40"/>
      <c r="P363" s="34"/>
      <c r="Q363" s="35"/>
      <c r="R363" s="35"/>
      <c r="S363" s="35"/>
      <c r="T363" s="35"/>
      <c r="U363" s="35"/>
      <c r="V363" s="35"/>
      <c r="W363" s="35"/>
      <c r="X363" s="35"/>
      <c r="Y363" s="35"/>
      <c r="Z363" s="35"/>
    </row>
    <row r="364" ht="14.25" customHeight="1">
      <c r="A364" s="83"/>
      <c r="B364" s="84"/>
      <c r="C364" s="108"/>
      <c r="D364" s="102"/>
      <c r="E364" s="117"/>
      <c r="F364" s="250"/>
      <c r="G364" s="250"/>
      <c r="H364" s="523"/>
      <c r="I364" s="36"/>
      <c r="J364" s="37"/>
      <c r="K364" s="38"/>
      <c r="L364" s="39"/>
      <c r="M364" s="38"/>
      <c r="N364" s="39"/>
      <c r="O364" s="40"/>
      <c r="P364" s="34"/>
      <c r="Q364" s="35"/>
      <c r="R364" s="35"/>
      <c r="S364" s="35"/>
      <c r="T364" s="35"/>
      <c r="U364" s="35"/>
      <c r="V364" s="35"/>
      <c r="W364" s="35"/>
      <c r="X364" s="35"/>
      <c r="Y364" s="35"/>
      <c r="Z364" s="35"/>
    </row>
    <row r="365" ht="14.25" customHeight="1">
      <c r="A365" s="83"/>
      <c r="B365" s="84"/>
      <c r="C365" s="108"/>
      <c r="D365" s="102"/>
      <c r="E365" s="117"/>
      <c r="F365" s="250"/>
      <c r="G365" s="250"/>
      <c r="H365" s="523"/>
      <c r="I365" s="36"/>
      <c r="J365" s="37"/>
      <c r="K365" s="38"/>
      <c r="L365" s="39"/>
      <c r="M365" s="38"/>
      <c r="N365" s="39"/>
      <c r="O365" s="40"/>
      <c r="P365" s="34"/>
      <c r="Q365" s="35"/>
      <c r="R365" s="35"/>
      <c r="S365" s="35"/>
      <c r="T365" s="35"/>
      <c r="U365" s="35"/>
      <c r="V365" s="35"/>
      <c r="W365" s="35"/>
      <c r="X365" s="35"/>
      <c r="Y365" s="35"/>
      <c r="Z365" s="35"/>
    </row>
    <row r="366" ht="14.25" customHeight="1">
      <c r="A366" s="83"/>
      <c r="B366" s="84"/>
      <c r="C366" s="108"/>
      <c r="D366" s="102"/>
      <c r="E366" s="117"/>
      <c r="F366" s="250"/>
      <c r="G366" s="250"/>
      <c r="H366" s="523"/>
      <c r="I366" s="36"/>
      <c r="J366" s="37"/>
      <c r="K366" s="38"/>
      <c r="L366" s="39"/>
      <c r="M366" s="38"/>
      <c r="N366" s="39"/>
      <c r="O366" s="40"/>
      <c r="P366" s="34"/>
      <c r="Q366" s="35"/>
      <c r="R366" s="35"/>
      <c r="S366" s="35"/>
      <c r="T366" s="35"/>
      <c r="U366" s="35"/>
      <c r="V366" s="35"/>
      <c r="W366" s="35"/>
      <c r="X366" s="35"/>
      <c r="Y366" s="35"/>
      <c r="Z366" s="35"/>
    </row>
    <row r="367" ht="14.25" customHeight="1">
      <c r="A367" s="83"/>
      <c r="B367" s="84"/>
      <c r="C367" s="108"/>
      <c r="D367" s="102"/>
      <c r="E367" s="117"/>
      <c r="F367" s="250"/>
      <c r="G367" s="250"/>
      <c r="H367" s="523"/>
      <c r="I367" s="36"/>
      <c r="J367" s="37"/>
      <c r="K367" s="38"/>
      <c r="L367" s="39"/>
      <c r="M367" s="38"/>
      <c r="N367" s="39"/>
      <c r="O367" s="40"/>
      <c r="P367" s="34"/>
      <c r="Q367" s="35"/>
      <c r="R367" s="35"/>
      <c r="S367" s="35"/>
      <c r="T367" s="35"/>
      <c r="U367" s="35"/>
      <c r="V367" s="35"/>
      <c r="W367" s="35"/>
      <c r="X367" s="35"/>
      <c r="Y367" s="35"/>
      <c r="Z367" s="35"/>
    </row>
    <row r="368" ht="14.25" customHeight="1">
      <c r="A368" s="83"/>
      <c r="B368" s="84"/>
      <c r="C368" s="108"/>
      <c r="D368" s="102"/>
      <c r="E368" s="117"/>
      <c r="F368" s="250"/>
      <c r="G368" s="250"/>
      <c r="H368" s="523"/>
      <c r="I368" s="36"/>
      <c r="J368" s="37"/>
      <c r="K368" s="38"/>
      <c r="L368" s="39"/>
      <c r="M368" s="38"/>
      <c r="N368" s="39"/>
      <c r="O368" s="40"/>
      <c r="P368" s="34"/>
      <c r="Q368" s="35"/>
      <c r="R368" s="35"/>
      <c r="S368" s="35"/>
      <c r="T368" s="35"/>
      <c r="U368" s="35"/>
      <c r="V368" s="35"/>
      <c r="W368" s="35"/>
      <c r="X368" s="35"/>
      <c r="Y368" s="35"/>
      <c r="Z368" s="35"/>
    </row>
    <row r="369" ht="14.25" customHeight="1">
      <c r="A369" s="83"/>
      <c r="B369" s="84"/>
      <c r="C369" s="108"/>
      <c r="D369" s="102"/>
      <c r="E369" s="117"/>
      <c r="F369" s="250"/>
      <c r="G369" s="250"/>
      <c r="H369" s="523"/>
      <c r="I369" s="36"/>
      <c r="J369" s="37"/>
      <c r="K369" s="38"/>
      <c r="L369" s="39"/>
      <c r="M369" s="38"/>
      <c r="N369" s="39"/>
      <c r="O369" s="40"/>
      <c r="P369" s="34"/>
      <c r="Q369" s="35"/>
      <c r="R369" s="35"/>
      <c r="S369" s="35"/>
      <c r="T369" s="35"/>
      <c r="U369" s="35"/>
      <c r="V369" s="35"/>
      <c r="W369" s="35"/>
      <c r="X369" s="35"/>
      <c r="Y369" s="35"/>
      <c r="Z369" s="35"/>
    </row>
    <row r="370" ht="14.25" customHeight="1">
      <c r="A370" s="83"/>
      <c r="B370" s="84"/>
      <c r="C370" s="108"/>
      <c r="D370" s="102"/>
      <c r="E370" s="117"/>
      <c r="F370" s="250"/>
      <c r="G370" s="250"/>
      <c r="H370" s="523"/>
      <c r="I370" s="36"/>
      <c r="J370" s="37"/>
      <c r="K370" s="38"/>
      <c r="L370" s="39"/>
      <c r="M370" s="38"/>
      <c r="N370" s="39"/>
      <c r="O370" s="40"/>
      <c r="P370" s="34"/>
      <c r="Q370" s="35"/>
      <c r="R370" s="35"/>
      <c r="S370" s="35"/>
      <c r="T370" s="35"/>
      <c r="U370" s="35"/>
      <c r="V370" s="35"/>
      <c r="W370" s="35"/>
      <c r="X370" s="35"/>
      <c r="Y370" s="35"/>
      <c r="Z370" s="35"/>
    </row>
    <row r="371" ht="14.25" customHeight="1">
      <c r="A371" s="83"/>
      <c r="B371" s="84"/>
      <c r="C371" s="108"/>
      <c r="D371" s="102"/>
      <c r="E371" s="117"/>
      <c r="F371" s="250"/>
      <c r="G371" s="250"/>
      <c r="H371" s="523"/>
      <c r="I371" s="36"/>
      <c r="J371" s="37"/>
      <c r="K371" s="38"/>
      <c r="L371" s="39"/>
      <c r="M371" s="38"/>
      <c r="N371" s="39"/>
      <c r="O371" s="40"/>
      <c r="P371" s="34"/>
      <c r="Q371" s="35"/>
      <c r="R371" s="35"/>
      <c r="S371" s="35"/>
      <c r="T371" s="35"/>
      <c r="U371" s="35"/>
      <c r="V371" s="35"/>
      <c r="W371" s="35"/>
      <c r="X371" s="35"/>
      <c r="Y371" s="35"/>
      <c r="Z371" s="35"/>
    </row>
    <row r="372" ht="14.25" customHeight="1">
      <c r="A372" s="83"/>
      <c r="B372" s="84"/>
      <c r="C372" s="108"/>
      <c r="D372" s="102"/>
      <c r="E372" s="117"/>
      <c r="F372" s="250"/>
      <c r="G372" s="250"/>
      <c r="H372" s="523"/>
      <c r="I372" s="36"/>
      <c r="J372" s="37"/>
      <c r="K372" s="38"/>
      <c r="L372" s="39"/>
      <c r="M372" s="38"/>
      <c r="N372" s="39"/>
      <c r="O372" s="40"/>
      <c r="P372" s="34"/>
      <c r="Q372" s="35"/>
      <c r="R372" s="35"/>
      <c r="S372" s="35"/>
      <c r="T372" s="35"/>
      <c r="U372" s="35"/>
      <c r="V372" s="35"/>
      <c r="W372" s="35"/>
      <c r="X372" s="35"/>
      <c r="Y372" s="35"/>
      <c r="Z372" s="35"/>
    </row>
    <row r="373" ht="14.25" customHeight="1">
      <c r="A373" s="83"/>
      <c r="B373" s="84"/>
      <c r="C373" s="108"/>
      <c r="D373" s="102"/>
      <c r="E373" s="117"/>
      <c r="F373" s="250"/>
      <c r="G373" s="250"/>
      <c r="H373" s="523"/>
      <c r="I373" s="36"/>
      <c r="J373" s="37"/>
      <c r="K373" s="38"/>
      <c r="L373" s="39"/>
      <c r="M373" s="38"/>
      <c r="N373" s="39"/>
      <c r="O373" s="40"/>
      <c r="P373" s="34"/>
      <c r="Q373" s="35"/>
      <c r="R373" s="35"/>
      <c r="S373" s="35"/>
      <c r="T373" s="35"/>
      <c r="U373" s="35"/>
      <c r="V373" s="35"/>
      <c r="W373" s="35"/>
      <c r="X373" s="35"/>
      <c r="Y373" s="35"/>
      <c r="Z373" s="35"/>
    </row>
    <row r="374" ht="14.25" customHeight="1">
      <c r="A374" s="83"/>
      <c r="B374" s="84"/>
      <c r="C374" s="108"/>
      <c r="D374" s="102"/>
      <c r="E374" s="117"/>
      <c r="F374" s="250"/>
      <c r="G374" s="250"/>
      <c r="H374" s="523"/>
      <c r="I374" s="36"/>
      <c r="J374" s="37"/>
      <c r="K374" s="38"/>
      <c r="L374" s="39"/>
      <c r="M374" s="38"/>
      <c r="N374" s="39"/>
      <c r="O374" s="40"/>
      <c r="P374" s="34"/>
      <c r="Q374" s="35"/>
      <c r="R374" s="35"/>
      <c r="S374" s="35"/>
      <c r="T374" s="35"/>
      <c r="U374" s="35"/>
      <c r="V374" s="35"/>
      <c r="W374" s="35"/>
      <c r="X374" s="35"/>
      <c r="Y374" s="35"/>
      <c r="Z374" s="35"/>
    </row>
    <row r="375" ht="14.25" customHeight="1">
      <c r="A375" s="83"/>
      <c r="B375" s="84"/>
      <c r="C375" s="108"/>
      <c r="D375" s="102"/>
      <c r="E375" s="117"/>
      <c r="F375" s="250"/>
      <c r="G375" s="250"/>
      <c r="H375" s="523"/>
      <c r="I375" s="36"/>
      <c r="J375" s="37"/>
      <c r="K375" s="38"/>
      <c r="L375" s="39"/>
      <c r="M375" s="38"/>
      <c r="N375" s="39"/>
      <c r="O375" s="40"/>
      <c r="P375" s="34"/>
      <c r="Q375" s="35"/>
      <c r="R375" s="35"/>
      <c r="S375" s="35"/>
      <c r="T375" s="35"/>
      <c r="U375" s="35"/>
      <c r="V375" s="35"/>
      <c r="W375" s="35"/>
      <c r="X375" s="35"/>
      <c r="Y375" s="35"/>
      <c r="Z375" s="35"/>
    </row>
    <row r="376" ht="14.25" customHeight="1">
      <c r="A376" s="83"/>
      <c r="B376" s="84"/>
      <c r="C376" s="108"/>
      <c r="D376" s="102"/>
      <c r="E376" s="117"/>
      <c r="F376" s="250"/>
      <c r="G376" s="250"/>
      <c r="H376" s="523"/>
      <c r="I376" s="36"/>
      <c r="J376" s="37"/>
      <c r="K376" s="38"/>
      <c r="L376" s="39"/>
      <c r="M376" s="38"/>
      <c r="N376" s="39"/>
      <c r="O376" s="40"/>
      <c r="P376" s="34"/>
      <c r="Q376" s="35"/>
      <c r="R376" s="35"/>
      <c r="S376" s="35"/>
      <c r="T376" s="35"/>
      <c r="U376" s="35"/>
      <c r="V376" s="35"/>
      <c r="W376" s="35"/>
      <c r="X376" s="35"/>
      <c r="Y376" s="35"/>
      <c r="Z376" s="35"/>
    </row>
    <row r="377" ht="14.25" customHeight="1">
      <c r="A377" s="83"/>
      <c r="B377" s="84"/>
      <c r="C377" s="108"/>
      <c r="D377" s="102"/>
      <c r="E377" s="117"/>
      <c r="F377" s="250"/>
      <c r="G377" s="250"/>
      <c r="H377" s="523"/>
      <c r="I377" s="36"/>
      <c r="J377" s="37"/>
      <c r="K377" s="38"/>
      <c r="L377" s="39"/>
      <c r="M377" s="38"/>
      <c r="N377" s="39"/>
      <c r="O377" s="40"/>
      <c r="P377" s="34"/>
      <c r="Q377" s="35"/>
      <c r="R377" s="35"/>
      <c r="S377" s="35"/>
      <c r="T377" s="35"/>
      <c r="U377" s="35"/>
      <c r="V377" s="35"/>
      <c r="W377" s="35"/>
      <c r="X377" s="35"/>
      <c r="Y377" s="35"/>
      <c r="Z377" s="35"/>
    </row>
    <row r="378" ht="14.25" customHeight="1">
      <c r="A378" s="83"/>
      <c r="B378" s="84"/>
      <c r="C378" s="108"/>
      <c r="D378" s="102"/>
      <c r="E378" s="117"/>
      <c r="F378" s="250"/>
      <c r="G378" s="250"/>
      <c r="H378" s="523"/>
      <c r="I378" s="36"/>
      <c r="J378" s="37"/>
      <c r="K378" s="38"/>
      <c r="L378" s="39"/>
      <c r="M378" s="38"/>
      <c r="N378" s="39"/>
      <c r="O378" s="40"/>
      <c r="P378" s="34"/>
      <c r="Q378" s="35"/>
      <c r="R378" s="35"/>
      <c r="S378" s="35"/>
      <c r="T378" s="35"/>
      <c r="U378" s="35"/>
      <c r="V378" s="35"/>
      <c r="W378" s="35"/>
      <c r="X378" s="35"/>
      <c r="Y378" s="35"/>
      <c r="Z378" s="35"/>
    </row>
    <row r="379" ht="14.25" customHeight="1">
      <c r="A379" s="83"/>
      <c r="B379" s="84"/>
      <c r="C379" s="108"/>
      <c r="D379" s="102"/>
      <c r="E379" s="117"/>
      <c r="F379" s="250"/>
      <c r="G379" s="250"/>
      <c r="H379" s="523"/>
      <c r="I379" s="36"/>
      <c r="J379" s="37"/>
      <c r="K379" s="38"/>
      <c r="L379" s="39"/>
      <c r="M379" s="38"/>
      <c r="N379" s="39"/>
      <c r="O379" s="40"/>
      <c r="P379" s="34"/>
      <c r="Q379" s="35"/>
      <c r="R379" s="35"/>
      <c r="S379" s="35"/>
      <c r="T379" s="35"/>
      <c r="U379" s="35"/>
      <c r="V379" s="35"/>
      <c r="W379" s="35"/>
      <c r="X379" s="35"/>
      <c r="Y379" s="35"/>
      <c r="Z379" s="35"/>
    </row>
    <row r="380" ht="14.25" customHeight="1">
      <c r="A380" s="83"/>
      <c r="B380" s="84"/>
      <c r="C380" s="108"/>
      <c r="D380" s="102"/>
      <c r="E380" s="117"/>
      <c r="F380" s="250"/>
      <c r="G380" s="250"/>
      <c r="H380" s="523"/>
      <c r="I380" s="36"/>
      <c r="J380" s="37"/>
      <c r="K380" s="38"/>
      <c r="L380" s="39"/>
      <c r="M380" s="38"/>
      <c r="N380" s="39"/>
      <c r="O380" s="40"/>
      <c r="P380" s="34"/>
      <c r="Q380" s="35"/>
      <c r="R380" s="35"/>
      <c r="S380" s="35"/>
      <c r="T380" s="35"/>
      <c r="U380" s="35"/>
      <c r="V380" s="35"/>
      <c r="W380" s="35"/>
      <c r="X380" s="35"/>
      <c r="Y380" s="35"/>
      <c r="Z380" s="35"/>
    </row>
    <row r="381" ht="14.25" customHeight="1">
      <c r="A381" s="83"/>
      <c r="B381" s="84"/>
      <c r="C381" s="108"/>
      <c r="D381" s="102"/>
      <c r="E381" s="117"/>
      <c r="F381" s="250"/>
      <c r="G381" s="250"/>
      <c r="H381" s="523"/>
      <c r="I381" s="36"/>
      <c r="J381" s="37"/>
      <c r="K381" s="38"/>
      <c r="L381" s="39"/>
      <c r="M381" s="38"/>
      <c r="N381" s="39"/>
      <c r="O381" s="40"/>
      <c r="P381" s="34"/>
      <c r="Q381" s="35"/>
      <c r="R381" s="35"/>
      <c r="S381" s="35"/>
      <c r="T381" s="35"/>
      <c r="U381" s="35"/>
      <c r="V381" s="35"/>
      <c r="W381" s="35"/>
      <c r="X381" s="35"/>
      <c r="Y381" s="35"/>
      <c r="Z381" s="35"/>
    </row>
    <row r="382" ht="14.25" customHeight="1">
      <c r="A382" s="83"/>
      <c r="B382" s="84"/>
      <c r="C382" s="108"/>
      <c r="D382" s="102"/>
      <c r="E382" s="117"/>
      <c r="F382" s="250"/>
      <c r="G382" s="250"/>
      <c r="H382" s="523"/>
      <c r="I382" s="36"/>
      <c r="J382" s="37"/>
      <c r="K382" s="38"/>
      <c r="L382" s="39"/>
      <c r="M382" s="38"/>
      <c r="N382" s="39"/>
      <c r="O382" s="40"/>
      <c r="P382" s="34"/>
      <c r="Q382" s="35"/>
      <c r="R382" s="35"/>
      <c r="S382" s="35"/>
      <c r="T382" s="35"/>
      <c r="U382" s="35"/>
      <c r="V382" s="35"/>
      <c r="W382" s="35"/>
      <c r="X382" s="35"/>
      <c r="Y382" s="35"/>
      <c r="Z382" s="35"/>
    </row>
    <row r="383" ht="14.25" customHeight="1">
      <c r="A383" s="83"/>
      <c r="B383" s="84"/>
      <c r="C383" s="108"/>
      <c r="D383" s="102"/>
      <c r="E383" s="117"/>
      <c r="F383" s="250"/>
      <c r="G383" s="250"/>
      <c r="H383" s="523"/>
      <c r="I383" s="36"/>
      <c r="J383" s="37"/>
      <c r="K383" s="38"/>
      <c r="L383" s="39"/>
      <c r="M383" s="38"/>
      <c r="N383" s="39"/>
      <c r="O383" s="40"/>
      <c r="P383" s="34"/>
      <c r="Q383" s="35"/>
      <c r="R383" s="35"/>
      <c r="S383" s="35"/>
      <c r="T383" s="35"/>
      <c r="U383" s="35"/>
      <c r="V383" s="35"/>
      <c r="W383" s="35"/>
      <c r="X383" s="35"/>
      <c r="Y383" s="35"/>
      <c r="Z383" s="35"/>
    </row>
    <row r="384" ht="14.25" customHeight="1">
      <c r="A384" s="83"/>
      <c r="B384" s="84"/>
      <c r="C384" s="108"/>
      <c r="D384" s="102"/>
      <c r="E384" s="117"/>
      <c r="F384" s="250"/>
      <c r="G384" s="250"/>
      <c r="H384" s="523"/>
      <c r="I384" s="36"/>
      <c r="J384" s="37"/>
      <c r="K384" s="38"/>
      <c r="L384" s="39"/>
      <c r="M384" s="38"/>
      <c r="N384" s="39"/>
      <c r="O384" s="40"/>
      <c r="P384" s="34"/>
      <c r="Q384" s="35"/>
      <c r="R384" s="35"/>
      <c r="S384" s="35"/>
      <c r="T384" s="35"/>
      <c r="U384" s="35"/>
      <c r="V384" s="35"/>
      <c r="W384" s="35"/>
      <c r="X384" s="35"/>
      <c r="Y384" s="35"/>
      <c r="Z384" s="35"/>
    </row>
    <row r="385" ht="14.25" customHeight="1">
      <c r="A385" s="83"/>
      <c r="B385" s="84"/>
      <c r="C385" s="108"/>
      <c r="D385" s="102"/>
      <c r="E385" s="117"/>
      <c r="F385" s="250"/>
      <c r="G385" s="250"/>
      <c r="H385" s="523"/>
      <c r="I385" s="36"/>
      <c r="J385" s="37"/>
      <c r="K385" s="38"/>
      <c r="L385" s="39"/>
      <c r="M385" s="38"/>
      <c r="N385" s="39"/>
      <c r="O385" s="40"/>
      <c r="P385" s="34"/>
      <c r="Q385" s="35"/>
      <c r="R385" s="35"/>
      <c r="S385" s="35"/>
      <c r="T385" s="35"/>
      <c r="U385" s="35"/>
      <c r="V385" s="35"/>
      <c r="W385" s="35"/>
      <c r="X385" s="35"/>
      <c r="Y385" s="35"/>
      <c r="Z385" s="35"/>
    </row>
    <row r="386" ht="14.25" customHeight="1">
      <c r="A386" s="83"/>
      <c r="B386" s="84"/>
      <c r="C386" s="108"/>
      <c r="D386" s="102"/>
      <c r="E386" s="117"/>
      <c r="F386" s="250"/>
      <c r="G386" s="250"/>
      <c r="H386" s="523"/>
      <c r="I386" s="36"/>
      <c r="J386" s="37"/>
      <c r="K386" s="38"/>
      <c r="L386" s="39"/>
      <c r="M386" s="38"/>
      <c r="N386" s="39"/>
      <c r="O386" s="40"/>
      <c r="P386" s="34"/>
      <c r="Q386" s="35"/>
      <c r="R386" s="35"/>
      <c r="S386" s="35"/>
      <c r="T386" s="35"/>
      <c r="U386" s="35"/>
      <c r="V386" s="35"/>
      <c r="W386" s="35"/>
      <c r="X386" s="35"/>
      <c r="Y386" s="35"/>
      <c r="Z386" s="35"/>
    </row>
    <row r="387" ht="14.25" customHeight="1">
      <c r="A387" s="83"/>
      <c r="B387" s="84"/>
      <c r="C387" s="108"/>
      <c r="D387" s="102"/>
      <c r="E387" s="117"/>
      <c r="F387" s="250"/>
      <c r="G387" s="250"/>
      <c r="H387" s="523"/>
      <c r="I387" s="36"/>
      <c r="J387" s="37"/>
      <c r="K387" s="38"/>
      <c r="L387" s="39"/>
      <c r="M387" s="38"/>
      <c r="N387" s="39"/>
      <c r="O387" s="40"/>
      <c r="P387" s="34"/>
      <c r="Q387" s="35"/>
      <c r="R387" s="35"/>
      <c r="S387" s="35"/>
      <c r="T387" s="35"/>
      <c r="U387" s="35"/>
      <c r="V387" s="35"/>
      <c r="W387" s="35"/>
      <c r="X387" s="35"/>
      <c r="Y387" s="35"/>
      <c r="Z387" s="35"/>
    </row>
    <row r="388" ht="14.25" customHeight="1">
      <c r="A388" s="83"/>
      <c r="B388" s="84"/>
      <c r="C388" s="108"/>
      <c r="D388" s="102"/>
      <c r="E388" s="117"/>
      <c r="F388" s="250"/>
      <c r="G388" s="250"/>
      <c r="H388" s="523"/>
      <c r="I388" s="36"/>
      <c r="J388" s="37"/>
      <c r="K388" s="38"/>
      <c r="L388" s="39"/>
      <c r="M388" s="38"/>
      <c r="N388" s="39"/>
      <c r="O388" s="40"/>
      <c r="P388" s="34"/>
      <c r="Q388" s="35"/>
      <c r="R388" s="35"/>
      <c r="S388" s="35"/>
      <c r="T388" s="35"/>
      <c r="U388" s="35"/>
      <c r="V388" s="35"/>
      <c r="W388" s="35"/>
      <c r="X388" s="35"/>
      <c r="Y388" s="35"/>
      <c r="Z388" s="35"/>
    </row>
    <row r="389" ht="14.25" customHeight="1">
      <c r="A389" s="83"/>
      <c r="B389" s="84"/>
      <c r="C389" s="108"/>
      <c r="D389" s="102"/>
      <c r="E389" s="117"/>
      <c r="F389" s="250"/>
      <c r="G389" s="250"/>
      <c r="H389" s="523"/>
      <c r="I389" s="36"/>
      <c r="J389" s="37"/>
      <c r="K389" s="38"/>
      <c r="L389" s="39"/>
      <c r="M389" s="38"/>
      <c r="N389" s="39"/>
      <c r="O389" s="40"/>
      <c r="P389" s="34"/>
      <c r="Q389" s="35"/>
      <c r="R389" s="35"/>
      <c r="S389" s="35"/>
      <c r="T389" s="35"/>
      <c r="U389" s="35"/>
      <c r="V389" s="35"/>
      <c r="W389" s="35"/>
      <c r="X389" s="35"/>
      <c r="Y389" s="35"/>
      <c r="Z389" s="35"/>
    </row>
    <row r="390" ht="14.25" customHeight="1">
      <c r="A390" s="83"/>
      <c r="B390" s="84"/>
      <c r="C390" s="108"/>
      <c r="D390" s="102"/>
      <c r="E390" s="117"/>
      <c r="F390" s="250"/>
      <c r="G390" s="250"/>
      <c r="H390" s="523"/>
      <c r="I390" s="36"/>
      <c r="J390" s="37"/>
      <c r="K390" s="38"/>
      <c r="L390" s="39"/>
      <c r="M390" s="38"/>
      <c r="N390" s="39"/>
      <c r="O390" s="40"/>
      <c r="P390" s="34"/>
      <c r="Q390" s="35"/>
      <c r="R390" s="35"/>
      <c r="S390" s="35"/>
      <c r="T390" s="35"/>
      <c r="U390" s="35"/>
      <c r="V390" s="35"/>
      <c r="W390" s="35"/>
      <c r="X390" s="35"/>
      <c r="Y390" s="35"/>
      <c r="Z390" s="35"/>
    </row>
    <row r="391" ht="14.25" customHeight="1">
      <c r="A391" s="83"/>
      <c r="B391" s="84"/>
      <c r="C391" s="108"/>
      <c r="D391" s="102"/>
      <c r="E391" s="117"/>
      <c r="F391" s="250"/>
      <c r="G391" s="250"/>
      <c r="H391" s="523"/>
      <c r="I391" s="36"/>
      <c r="J391" s="37"/>
      <c r="K391" s="38"/>
      <c r="L391" s="39"/>
      <c r="M391" s="38"/>
      <c r="N391" s="39"/>
      <c r="O391" s="40"/>
      <c r="P391" s="34"/>
      <c r="Q391" s="35"/>
      <c r="R391" s="35"/>
      <c r="S391" s="35"/>
      <c r="T391" s="35"/>
      <c r="U391" s="35"/>
      <c r="V391" s="35"/>
      <c r="W391" s="35"/>
      <c r="X391" s="35"/>
      <c r="Y391" s="35"/>
      <c r="Z391" s="35"/>
    </row>
    <row r="392" ht="14.25" customHeight="1">
      <c r="A392" s="83"/>
      <c r="B392" s="84"/>
      <c r="C392" s="108"/>
      <c r="D392" s="102"/>
      <c r="E392" s="117"/>
      <c r="F392" s="250"/>
      <c r="G392" s="250"/>
      <c r="H392" s="523"/>
      <c r="I392" s="36"/>
      <c r="J392" s="37"/>
      <c r="K392" s="38"/>
      <c r="L392" s="39"/>
      <c r="M392" s="38"/>
      <c r="N392" s="39"/>
      <c r="O392" s="40"/>
      <c r="P392" s="34"/>
      <c r="Q392" s="35"/>
      <c r="R392" s="35"/>
      <c r="S392" s="35"/>
      <c r="T392" s="35"/>
      <c r="U392" s="35"/>
      <c r="V392" s="35"/>
      <c r="W392" s="35"/>
      <c r="X392" s="35"/>
      <c r="Y392" s="35"/>
      <c r="Z392" s="35"/>
    </row>
    <row r="393" ht="14.25" customHeight="1">
      <c r="A393" s="83"/>
      <c r="B393" s="84"/>
      <c r="C393" s="108"/>
      <c r="D393" s="102"/>
      <c r="E393" s="117"/>
      <c r="F393" s="250"/>
      <c r="G393" s="250"/>
      <c r="H393" s="523"/>
      <c r="I393" s="36"/>
      <c r="J393" s="37"/>
      <c r="K393" s="38"/>
      <c r="L393" s="39"/>
      <c r="M393" s="38"/>
      <c r="N393" s="39"/>
      <c r="O393" s="40"/>
      <c r="P393" s="34"/>
      <c r="Q393" s="35"/>
      <c r="R393" s="35"/>
      <c r="S393" s="35"/>
      <c r="T393" s="35"/>
      <c r="U393" s="35"/>
      <c r="V393" s="35"/>
      <c r="W393" s="35"/>
      <c r="X393" s="35"/>
      <c r="Y393" s="35"/>
      <c r="Z393" s="35"/>
    </row>
    <row r="394" ht="14.25" customHeight="1">
      <c r="A394" s="83"/>
      <c r="B394" s="84"/>
      <c r="C394" s="108"/>
      <c r="D394" s="102"/>
      <c r="E394" s="117"/>
      <c r="F394" s="250"/>
      <c r="G394" s="250"/>
      <c r="H394" s="523"/>
      <c r="I394" s="36"/>
      <c r="J394" s="37"/>
      <c r="K394" s="38"/>
      <c r="L394" s="39"/>
      <c r="M394" s="38"/>
      <c r="N394" s="39"/>
      <c r="O394" s="40"/>
      <c r="P394" s="34"/>
      <c r="Q394" s="35"/>
      <c r="R394" s="35"/>
      <c r="S394" s="35"/>
      <c r="T394" s="35"/>
      <c r="U394" s="35"/>
      <c r="V394" s="35"/>
      <c r="W394" s="35"/>
      <c r="X394" s="35"/>
      <c r="Y394" s="35"/>
      <c r="Z394" s="35"/>
    </row>
    <row r="395" ht="14.25" customHeight="1">
      <c r="A395" s="83"/>
      <c r="B395" s="84"/>
      <c r="C395" s="108"/>
      <c r="D395" s="102"/>
      <c r="E395" s="117"/>
      <c r="F395" s="250"/>
      <c r="G395" s="250"/>
      <c r="H395" s="523"/>
      <c r="I395" s="36"/>
      <c r="J395" s="37"/>
      <c r="K395" s="38"/>
      <c r="L395" s="39"/>
      <c r="M395" s="38"/>
      <c r="N395" s="39"/>
      <c r="O395" s="40"/>
      <c r="P395" s="34"/>
      <c r="Q395" s="35"/>
      <c r="R395" s="35"/>
      <c r="S395" s="35"/>
      <c r="T395" s="35"/>
      <c r="U395" s="35"/>
      <c r="V395" s="35"/>
      <c r="W395" s="35"/>
      <c r="X395" s="35"/>
      <c r="Y395" s="35"/>
      <c r="Z395" s="35"/>
    </row>
    <row r="396" ht="14.25" customHeight="1">
      <c r="A396" s="83"/>
      <c r="B396" s="84"/>
      <c r="C396" s="108"/>
      <c r="D396" s="102"/>
      <c r="E396" s="117"/>
      <c r="F396" s="250"/>
      <c r="G396" s="250"/>
      <c r="H396" s="523"/>
      <c r="I396" s="36"/>
      <c r="J396" s="37"/>
      <c r="K396" s="38"/>
      <c r="L396" s="39"/>
      <c r="M396" s="38"/>
      <c r="N396" s="39"/>
      <c r="O396" s="40"/>
      <c r="P396" s="34"/>
      <c r="Q396" s="35"/>
      <c r="R396" s="35"/>
      <c r="S396" s="35"/>
      <c r="T396" s="35"/>
      <c r="U396" s="35"/>
      <c r="V396" s="35"/>
      <c r="W396" s="35"/>
      <c r="X396" s="35"/>
      <c r="Y396" s="35"/>
      <c r="Z396" s="35"/>
    </row>
    <row r="397" ht="14.25" customHeight="1">
      <c r="A397" s="83"/>
      <c r="B397" s="84"/>
      <c r="C397" s="108"/>
      <c r="D397" s="102"/>
      <c r="E397" s="117"/>
      <c r="F397" s="250"/>
      <c r="G397" s="250"/>
      <c r="H397" s="523"/>
      <c r="I397" s="36"/>
      <c r="J397" s="37"/>
      <c r="K397" s="38"/>
      <c r="L397" s="39"/>
      <c r="M397" s="38"/>
      <c r="N397" s="39"/>
      <c r="O397" s="40"/>
      <c r="P397" s="34"/>
      <c r="Q397" s="35"/>
      <c r="R397" s="35"/>
      <c r="S397" s="35"/>
      <c r="T397" s="35"/>
      <c r="U397" s="35"/>
      <c r="V397" s="35"/>
      <c r="W397" s="35"/>
      <c r="X397" s="35"/>
      <c r="Y397" s="35"/>
      <c r="Z397" s="35"/>
    </row>
    <row r="398" ht="14.25" customHeight="1">
      <c r="A398" s="83"/>
      <c r="B398" s="84"/>
      <c r="C398" s="108"/>
      <c r="D398" s="102"/>
      <c r="E398" s="117"/>
      <c r="F398" s="250"/>
      <c r="G398" s="250"/>
      <c r="H398" s="523"/>
      <c r="I398" s="36"/>
      <c r="J398" s="37"/>
      <c r="K398" s="38"/>
      <c r="L398" s="39"/>
      <c r="M398" s="38"/>
      <c r="N398" s="39"/>
      <c r="O398" s="40"/>
      <c r="P398" s="34"/>
      <c r="Q398" s="35"/>
      <c r="R398" s="35"/>
      <c r="S398" s="35"/>
      <c r="T398" s="35"/>
      <c r="U398" s="35"/>
      <c r="V398" s="35"/>
      <c r="W398" s="35"/>
      <c r="X398" s="35"/>
      <c r="Y398" s="35"/>
      <c r="Z398" s="35"/>
    </row>
    <row r="399" ht="14.25" customHeight="1">
      <c r="A399" s="83"/>
      <c r="B399" s="84"/>
      <c r="C399" s="108"/>
      <c r="D399" s="102"/>
      <c r="E399" s="117"/>
      <c r="F399" s="250"/>
      <c r="G399" s="250"/>
      <c r="H399" s="523"/>
      <c r="I399" s="36"/>
      <c r="J399" s="37"/>
      <c r="K399" s="38"/>
      <c r="L399" s="39"/>
      <c r="M399" s="38"/>
      <c r="N399" s="39"/>
      <c r="O399" s="40"/>
      <c r="P399" s="34"/>
      <c r="Q399" s="35"/>
      <c r="R399" s="35"/>
      <c r="S399" s="35"/>
      <c r="T399" s="35"/>
      <c r="U399" s="35"/>
      <c r="V399" s="35"/>
      <c r="W399" s="35"/>
      <c r="X399" s="35"/>
      <c r="Y399" s="35"/>
      <c r="Z399" s="35"/>
    </row>
    <row r="400" ht="14.25" customHeight="1">
      <c r="A400" s="83"/>
      <c r="B400" s="84"/>
      <c r="C400" s="108"/>
      <c r="D400" s="102"/>
      <c r="E400" s="117"/>
      <c r="F400" s="250"/>
      <c r="G400" s="250"/>
      <c r="H400" s="523"/>
      <c r="I400" s="36"/>
      <c r="J400" s="37"/>
      <c r="K400" s="38"/>
      <c r="L400" s="39"/>
      <c r="M400" s="38"/>
      <c r="N400" s="39"/>
      <c r="O400" s="40"/>
      <c r="P400" s="34"/>
      <c r="Q400" s="35"/>
      <c r="R400" s="35"/>
      <c r="S400" s="35"/>
      <c r="T400" s="35"/>
      <c r="U400" s="35"/>
      <c r="V400" s="35"/>
      <c r="W400" s="35"/>
      <c r="X400" s="35"/>
      <c r="Y400" s="35"/>
      <c r="Z400" s="35"/>
    </row>
    <row r="401" ht="14.25" customHeight="1">
      <c r="A401" s="83"/>
      <c r="B401" s="84"/>
      <c r="C401" s="108"/>
      <c r="D401" s="102"/>
      <c r="E401" s="117"/>
      <c r="F401" s="250"/>
      <c r="G401" s="250"/>
      <c r="H401" s="523"/>
      <c r="I401" s="36"/>
      <c r="J401" s="37"/>
      <c r="K401" s="38"/>
      <c r="L401" s="39"/>
      <c r="M401" s="38"/>
      <c r="N401" s="39"/>
      <c r="O401" s="40"/>
      <c r="P401" s="34"/>
      <c r="Q401" s="35"/>
      <c r="R401" s="35"/>
      <c r="S401" s="35"/>
      <c r="T401" s="35"/>
      <c r="U401" s="35"/>
      <c r="V401" s="35"/>
      <c r="W401" s="35"/>
      <c r="X401" s="35"/>
      <c r="Y401" s="35"/>
      <c r="Z401" s="35"/>
    </row>
    <row r="402" ht="14.25" customHeight="1">
      <c r="A402" s="83"/>
      <c r="B402" s="84"/>
      <c r="C402" s="108"/>
      <c r="D402" s="102"/>
      <c r="E402" s="117"/>
      <c r="F402" s="250"/>
      <c r="G402" s="250"/>
      <c r="H402" s="523"/>
      <c r="I402" s="36"/>
      <c r="J402" s="37"/>
      <c r="K402" s="38"/>
      <c r="L402" s="39"/>
      <c r="M402" s="38"/>
      <c r="N402" s="39"/>
      <c r="O402" s="40"/>
      <c r="P402" s="34"/>
      <c r="Q402" s="35"/>
      <c r="R402" s="35"/>
      <c r="S402" s="35"/>
      <c r="T402" s="35"/>
      <c r="U402" s="35"/>
      <c r="V402" s="35"/>
      <c r="W402" s="35"/>
      <c r="X402" s="35"/>
      <c r="Y402" s="35"/>
      <c r="Z402" s="35"/>
    </row>
    <row r="403" ht="14.25" customHeight="1">
      <c r="A403" s="83"/>
      <c r="B403" s="84"/>
      <c r="C403" s="108"/>
      <c r="D403" s="102"/>
      <c r="E403" s="117"/>
      <c r="F403" s="250"/>
      <c r="G403" s="250"/>
      <c r="H403" s="523"/>
      <c r="I403" s="36"/>
      <c r="J403" s="37"/>
      <c r="K403" s="38"/>
      <c r="L403" s="39"/>
      <c r="M403" s="38"/>
      <c r="N403" s="39"/>
      <c r="O403" s="40"/>
      <c r="P403" s="34"/>
      <c r="Q403" s="35"/>
      <c r="R403" s="35"/>
      <c r="S403" s="35"/>
      <c r="T403" s="35"/>
      <c r="U403" s="35"/>
      <c r="V403" s="35"/>
      <c r="W403" s="35"/>
      <c r="X403" s="35"/>
      <c r="Y403" s="35"/>
      <c r="Z403" s="35"/>
    </row>
    <row r="404" ht="14.25" customHeight="1">
      <c r="A404" s="83"/>
      <c r="B404" s="84"/>
      <c r="C404" s="108"/>
      <c r="D404" s="102"/>
      <c r="E404" s="117"/>
      <c r="F404" s="250"/>
      <c r="G404" s="250"/>
      <c r="H404" s="523"/>
      <c r="I404" s="36"/>
      <c r="J404" s="37"/>
      <c r="K404" s="38"/>
      <c r="L404" s="39"/>
      <c r="M404" s="38"/>
      <c r="N404" s="39"/>
      <c r="O404" s="40"/>
      <c r="P404" s="34"/>
      <c r="Q404" s="35"/>
      <c r="R404" s="35"/>
      <c r="S404" s="35"/>
      <c r="T404" s="35"/>
      <c r="U404" s="35"/>
      <c r="V404" s="35"/>
      <c r="W404" s="35"/>
      <c r="X404" s="35"/>
      <c r="Y404" s="35"/>
      <c r="Z404" s="35"/>
    </row>
    <row r="405" ht="14.25" customHeight="1">
      <c r="A405" s="83"/>
      <c r="B405" s="84"/>
      <c r="C405" s="108"/>
      <c r="D405" s="102"/>
      <c r="E405" s="117"/>
      <c r="F405" s="250"/>
      <c r="G405" s="250"/>
      <c r="H405" s="523"/>
      <c r="I405" s="36"/>
      <c r="J405" s="37"/>
      <c r="K405" s="38"/>
      <c r="L405" s="39"/>
      <c r="M405" s="38"/>
      <c r="N405" s="39"/>
      <c r="O405" s="40"/>
      <c r="P405" s="34"/>
      <c r="Q405" s="35"/>
      <c r="R405" s="35"/>
      <c r="S405" s="35"/>
      <c r="T405" s="35"/>
      <c r="U405" s="35"/>
      <c r="V405" s="35"/>
      <c r="W405" s="35"/>
      <c r="X405" s="35"/>
      <c r="Y405" s="35"/>
      <c r="Z405" s="35"/>
    </row>
    <row r="406" ht="14.25" customHeight="1">
      <c r="A406" s="83"/>
      <c r="B406" s="84"/>
      <c r="C406" s="108"/>
      <c r="D406" s="102"/>
      <c r="E406" s="117"/>
      <c r="F406" s="250"/>
      <c r="G406" s="250"/>
      <c r="H406" s="523"/>
      <c r="I406" s="36"/>
      <c r="J406" s="37"/>
      <c r="K406" s="38"/>
      <c r="L406" s="39"/>
      <c r="M406" s="38"/>
      <c r="N406" s="39"/>
      <c r="O406" s="40"/>
      <c r="P406" s="34"/>
      <c r="Q406" s="35"/>
      <c r="R406" s="35"/>
      <c r="S406" s="35"/>
      <c r="T406" s="35"/>
      <c r="U406" s="35"/>
      <c r="V406" s="35"/>
      <c r="W406" s="35"/>
      <c r="X406" s="35"/>
      <c r="Y406" s="35"/>
      <c r="Z406" s="35"/>
    </row>
    <row r="407" ht="14.25" customHeight="1">
      <c r="A407" s="83"/>
      <c r="B407" s="84"/>
      <c r="C407" s="108"/>
      <c r="D407" s="102"/>
      <c r="E407" s="117"/>
      <c r="F407" s="250"/>
      <c r="G407" s="250"/>
      <c r="H407" s="523"/>
      <c r="I407" s="36"/>
      <c r="J407" s="37"/>
      <c r="K407" s="38"/>
      <c r="L407" s="39"/>
      <c r="M407" s="38"/>
      <c r="N407" s="39"/>
      <c r="O407" s="40"/>
      <c r="P407" s="34"/>
      <c r="Q407" s="35"/>
      <c r="R407" s="35"/>
      <c r="S407" s="35"/>
      <c r="T407" s="35"/>
      <c r="U407" s="35"/>
      <c r="V407" s="35"/>
      <c r="W407" s="35"/>
      <c r="X407" s="35"/>
      <c r="Y407" s="35"/>
      <c r="Z407" s="35"/>
    </row>
    <row r="408" ht="14.25" customHeight="1">
      <c r="A408" s="83"/>
      <c r="B408" s="84"/>
      <c r="C408" s="108"/>
      <c r="D408" s="102"/>
      <c r="E408" s="117"/>
      <c r="F408" s="250"/>
      <c r="G408" s="250"/>
      <c r="H408" s="523"/>
      <c r="I408" s="36"/>
      <c r="J408" s="37"/>
      <c r="K408" s="38"/>
      <c r="L408" s="39"/>
      <c r="M408" s="38"/>
      <c r="N408" s="39"/>
      <c r="O408" s="40"/>
      <c r="P408" s="34"/>
      <c r="Q408" s="35"/>
      <c r="R408" s="35"/>
      <c r="S408" s="35"/>
      <c r="T408" s="35"/>
      <c r="U408" s="35"/>
      <c r="V408" s="35"/>
      <c r="W408" s="35"/>
      <c r="X408" s="35"/>
      <c r="Y408" s="35"/>
      <c r="Z408" s="35"/>
    </row>
    <row r="409" ht="14.25" customHeight="1">
      <c r="A409" s="83"/>
      <c r="B409" s="84"/>
      <c r="C409" s="108"/>
      <c r="D409" s="102"/>
      <c r="E409" s="117"/>
      <c r="F409" s="250"/>
      <c r="G409" s="250"/>
      <c r="H409" s="523"/>
      <c r="I409" s="36"/>
      <c r="J409" s="37"/>
      <c r="K409" s="38"/>
      <c r="L409" s="39"/>
      <c r="M409" s="38"/>
      <c r="N409" s="39"/>
      <c r="O409" s="40"/>
      <c r="P409" s="34"/>
      <c r="Q409" s="35"/>
      <c r="R409" s="35"/>
      <c r="S409" s="35"/>
      <c r="T409" s="35"/>
      <c r="U409" s="35"/>
      <c r="V409" s="35"/>
      <c r="W409" s="35"/>
      <c r="X409" s="35"/>
      <c r="Y409" s="35"/>
      <c r="Z409" s="35"/>
    </row>
    <row r="410" ht="14.25" customHeight="1">
      <c r="A410" s="83"/>
      <c r="B410" s="84"/>
      <c r="C410" s="108"/>
      <c r="D410" s="102"/>
      <c r="E410" s="117"/>
      <c r="F410" s="250"/>
      <c r="G410" s="250"/>
      <c r="H410" s="523"/>
      <c r="I410" s="36"/>
      <c r="J410" s="37"/>
      <c r="K410" s="38"/>
      <c r="L410" s="39"/>
      <c r="M410" s="38"/>
      <c r="N410" s="39"/>
      <c r="O410" s="40"/>
      <c r="P410" s="34"/>
      <c r="Q410" s="35"/>
      <c r="R410" s="35"/>
      <c r="S410" s="35"/>
      <c r="T410" s="35"/>
      <c r="U410" s="35"/>
      <c r="V410" s="35"/>
      <c r="W410" s="35"/>
      <c r="X410" s="35"/>
      <c r="Y410" s="35"/>
      <c r="Z410" s="35"/>
    </row>
    <row r="411" ht="14.25" customHeight="1">
      <c r="A411" s="83"/>
      <c r="B411" s="84"/>
      <c r="C411" s="108"/>
      <c r="D411" s="102"/>
      <c r="E411" s="117"/>
      <c r="F411" s="250"/>
      <c r="G411" s="250"/>
      <c r="H411" s="523"/>
      <c r="I411" s="36"/>
      <c r="J411" s="37"/>
      <c r="K411" s="38"/>
      <c r="L411" s="39"/>
      <c r="M411" s="38"/>
      <c r="N411" s="39"/>
      <c r="O411" s="40"/>
      <c r="P411" s="34"/>
      <c r="Q411" s="35"/>
      <c r="R411" s="35"/>
      <c r="S411" s="35"/>
      <c r="T411" s="35"/>
      <c r="U411" s="35"/>
      <c r="V411" s="35"/>
      <c r="W411" s="35"/>
      <c r="X411" s="35"/>
      <c r="Y411" s="35"/>
      <c r="Z411" s="35"/>
    </row>
    <row r="412" ht="14.25" customHeight="1">
      <c r="A412" s="83"/>
      <c r="B412" s="84"/>
      <c r="C412" s="108"/>
      <c r="D412" s="102"/>
      <c r="E412" s="117"/>
      <c r="F412" s="250"/>
      <c r="G412" s="250"/>
      <c r="H412" s="523"/>
      <c r="I412" s="36"/>
      <c r="J412" s="37"/>
      <c r="K412" s="38"/>
      <c r="L412" s="39"/>
      <c r="M412" s="38"/>
      <c r="N412" s="39"/>
      <c r="O412" s="40"/>
      <c r="P412" s="34"/>
      <c r="Q412" s="35"/>
      <c r="R412" s="35"/>
      <c r="S412" s="35"/>
      <c r="T412" s="35"/>
      <c r="U412" s="35"/>
      <c r="V412" s="35"/>
      <c r="W412" s="35"/>
      <c r="X412" s="35"/>
      <c r="Y412" s="35"/>
      <c r="Z412" s="35"/>
    </row>
    <row r="413" ht="14.25" customHeight="1">
      <c r="A413" s="83"/>
      <c r="B413" s="84"/>
      <c r="C413" s="108"/>
      <c r="D413" s="102"/>
      <c r="E413" s="117"/>
      <c r="F413" s="250"/>
      <c r="G413" s="250"/>
      <c r="H413" s="523"/>
      <c r="I413" s="36"/>
      <c r="J413" s="37"/>
      <c r="K413" s="38"/>
      <c r="L413" s="39"/>
      <c r="M413" s="38"/>
      <c r="N413" s="39"/>
      <c r="O413" s="40"/>
      <c r="P413" s="34"/>
      <c r="Q413" s="35"/>
      <c r="R413" s="35"/>
      <c r="S413" s="35"/>
      <c r="T413" s="35"/>
      <c r="U413" s="35"/>
      <c r="V413" s="35"/>
      <c r="W413" s="35"/>
      <c r="X413" s="35"/>
      <c r="Y413" s="35"/>
      <c r="Z413" s="35"/>
    </row>
    <row r="414" ht="14.25" customHeight="1">
      <c r="A414" s="83"/>
      <c r="B414" s="84"/>
      <c r="C414" s="108"/>
      <c r="D414" s="102"/>
      <c r="E414" s="117"/>
      <c r="F414" s="250"/>
      <c r="G414" s="250"/>
      <c r="H414" s="523"/>
      <c r="I414" s="36"/>
      <c r="J414" s="37"/>
      <c r="K414" s="38"/>
      <c r="L414" s="39"/>
      <c r="M414" s="38"/>
      <c r="N414" s="39"/>
      <c r="O414" s="40"/>
      <c r="P414" s="34"/>
      <c r="Q414" s="35"/>
      <c r="R414" s="35"/>
      <c r="S414" s="35"/>
      <c r="T414" s="35"/>
      <c r="U414" s="35"/>
      <c r="V414" s="35"/>
      <c r="W414" s="35"/>
      <c r="X414" s="35"/>
      <c r="Y414" s="35"/>
      <c r="Z414" s="35"/>
    </row>
    <row r="415" ht="14.25" customHeight="1">
      <c r="A415" s="83"/>
      <c r="B415" s="84"/>
      <c r="C415" s="108"/>
      <c r="D415" s="102"/>
      <c r="E415" s="117"/>
      <c r="F415" s="250"/>
      <c r="G415" s="250"/>
      <c r="H415" s="523"/>
      <c r="I415" s="36"/>
      <c r="J415" s="37"/>
      <c r="K415" s="38"/>
      <c r="L415" s="39"/>
      <c r="M415" s="38"/>
      <c r="N415" s="39"/>
      <c r="O415" s="40"/>
      <c r="P415" s="34"/>
      <c r="Q415" s="35"/>
      <c r="R415" s="35"/>
      <c r="S415" s="35"/>
      <c r="T415" s="35"/>
      <c r="U415" s="35"/>
      <c r="V415" s="35"/>
      <c r="W415" s="35"/>
      <c r="X415" s="35"/>
      <c r="Y415" s="35"/>
      <c r="Z415" s="35"/>
    </row>
    <row r="416" ht="14.25" customHeight="1">
      <c r="A416" s="83"/>
      <c r="B416" s="84"/>
      <c r="C416" s="108"/>
      <c r="D416" s="102"/>
      <c r="E416" s="117"/>
      <c r="F416" s="250"/>
      <c r="G416" s="250"/>
      <c r="H416" s="523"/>
      <c r="I416" s="36"/>
      <c r="J416" s="37"/>
      <c r="K416" s="38"/>
      <c r="L416" s="39"/>
      <c r="M416" s="38"/>
      <c r="N416" s="39"/>
      <c r="O416" s="40"/>
      <c r="P416" s="34"/>
      <c r="Q416" s="35"/>
      <c r="R416" s="35"/>
      <c r="S416" s="35"/>
      <c r="T416" s="35"/>
      <c r="U416" s="35"/>
      <c r="V416" s="35"/>
      <c r="W416" s="35"/>
      <c r="X416" s="35"/>
      <c r="Y416" s="35"/>
      <c r="Z416" s="35"/>
    </row>
    <row r="417" ht="14.25" customHeight="1">
      <c r="A417" s="83"/>
      <c r="B417" s="84"/>
      <c r="C417" s="108"/>
      <c r="D417" s="102"/>
      <c r="E417" s="117"/>
      <c r="F417" s="250"/>
      <c r="G417" s="250"/>
      <c r="H417" s="523"/>
      <c r="I417" s="36"/>
      <c r="J417" s="37"/>
      <c r="K417" s="38"/>
      <c r="L417" s="39"/>
      <c r="M417" s="38"/>
      <c r="N417" s="39"/>
      <c r="O417" s="40"/>
      <c r="P417" s="34"/>
      <c r="Q417" s="35"/>
      <c r="R417" s="35"/>
      <c r="S417" s="35"/>
      <c r="T417" s="35"/>
      <c r="U417" s="35"/>
      <c r="V417" s="35"/>
      <c r="W417" s="35"/>
      <c r="X417" s="35"/>
      <c r="Y417" s="35"/>
      <c r="Z417" s="35"/>
    </row>
    <row r="418" ht="14.25" customHeight="1">
      <c r="A418" s="83"/>
      <c r="B418" s="84"/>
      <c r="C418" s="108"/>
      <c r="D418" s="102"/>
      <c r="E418" s="117"/>
      <c r="F418" s="250"/>
      <c r="G418" s="250"/>
      <c r="H418" s="523"/>
      <c r="I418" s="36"/>
      <c r="J418" s="37"/>
      <c r="K418" s="38"/>
      <c r="L418" s="39"/>
      <c r="M418" s="38"/>
      <c r="N418" s="39"/>
      <c r="O418" s="40"/>
      <c r="P418" s="34"/>
      <c r="Q418" s="35"/>
      <c r="R418" s="35"/>
      <c r="S418" s="35"/>
      <c r="T418" s="35"/>
      <c r="U418" s="35"/>
      <c r="V418" s="35"/>
      <c r="W418" s="35"/>
      <c r="X418" s="35"/>
      <c r="Y418" s="35"/>
      <c r="Z418" s="35"/>
    </row>
    <row r="419" ht="14.25" customHeight="1">
      <c r="A419" s="83"/>
      <c r="B419" s="84"/>
      <c r="C419" s="108"/>
      <c r="D419" s="102"/>
      <c r="E419" s="117"/>
      <c r="F419" s="250"/>
      <c r="G419" s="250"/>
      <c r="H419" s="523"/>
      <c r="I419" s="36"/>
      <c r="J419" s="37"/>
      <c r="K419" s="38"/>
      <c r="L419" s="39"/>
      <c r="M419" s="38"/>
      <c r="N419" s="39"/>
      <c r="O419" s="40"/>
      <c r="P419" s="34"/>
      <c r="Q419" s="35"/>
      <c r="R419" s="35"/>
      <c r="S419" s="35"/>
      <c r="T419" s="35"/>
      <c r="U419" s="35"/>
      <c r="V419" s="35"/>
      <c r="W419" s="35"/>
      <c r="X419" s="35"/>
      <c r="Y419" s="35"/>
      <c r="Z419" s="35"/>
    </row>
    <row r="420" ht="14.25" customHeight="1">
      <c r="A420" s="83"/>
      <c r="B420" s="84"/>
      <c r="C420" s="108"/>
      <c r="D420" s="102"/>
      <c r="E420" s="117"/>
      <c r="F420" s="250"/>
      <c r="G420" s="250"/>
      <c r="H420" s="523"/>
      <c r="I420" s="36"/>
      <c r="J420" s="37"/>
      <c r="K420" s="38"/>
      <c r="L420" s="39"/>
      <c r="M420" s="38"/>
      <c r="N420" s="39"/>
      <c r="O420" s="40"/>
      <c r="P420" s="34"/>
      <c r="Q420" s="35"/>
      <c r="R420" s="35"/>
      <c r="S420" s="35"/>
      <c r="T420" s="35"/>
      <c r="U420" s="35"/>
      <c r="V420" s="35"/>
      <c r="W420" s="35"/>
      <c r="X420" s="35"/>
      <c r="Y420" s="35"/>
      <c r="Z420" s="35"/>
    </row>
    <row r="421" ht="14.25" customHeight="1">
      <c r="A421" s="83"/>
      <c r="B421" s="84"/>
      <c r="C421" s="108"/>
      <c r="D421" s="102"/>
      <c r="E421" s="117"/>
      <c r="F421" s="250"/>
      <c r="G421" s="250"/>
      <c r="H421" s="523"/>
      <c r="I421" s="36"/>
      <c r="J421" s="37"/>
      <c r="K421" s="38"/>
      <c r="L421" s="39"/>
      <c r="M421" s="38"/>
      <c r="N421" s="39"/>
      <c r="O421" s="40"/>
      <c r="P421" s="34"/>
      <c r="Q421" s="35"/>
      <c r="R421" s="35"/>
      <c r="S421" s="35"/>
      <c r="T421" s="35"/>
      <c r="U421" s="35"/>
      <c r="V421" s="35"/>
      <c r="W421" s="35"/>
      <c r="X421" s="35"/>
      <c r="Y421" s="35"/>
      <c r="Z421" s="35"/>
    </row>
    <row r="422" ht="14.25" customHeight="1">
      <c r="A422" s="83"/>
      <c r="B422" s="84"/>
      <c r="C422" s="108"/>
      <c r="D422" s="102"/>
      <c r="E422" s="117"/>
      <c r="F422" s="250"/>
      <c r="G422" s="250"/>
      <c r="H422" s="523"/>
      <c r="I422" s="36"/>
      <c r="J422" s="37"/>
      <c r="K422" s="38"/>
      <c r="L422" s="39"/>
      <c r="M422" s="38"/>
      <c r="N422" s="39"/>
      <c r="O422" s="40"/>
      <c r="P422" s="34"/>
      <c r="Q422" s="35"/>
      <c r="R422" s="35"/>
      <c r="S422" s="35"/>
      <c r="T422" s="35"/>
      <c r="U422" s="35"/>
      <c r="V422" s="35"/>
      <c r="W422" s="35"/>
      <c r="X422" s="35"/>
      <c r="Y422" s="35"/>
      <c r="Z422" s="35"/>
    </row>
    <row r="423" ht="14.25" customHeight="1">
      <c r="A423" s="83"/>
      <c r="B423" s="84"/>
      <c r="C423" s="108"/>
      <c r="D423" s="102"/>
      <c r="E423" s="117"/>
      <c r="F423" s="250"/>
      <c r="G423" s="250"/>
      <c r="H423" s="523"/>
      <c r="I423" s="36"/>
      <c r="J423" s="37"/>
      <c r="K423" s="38"/>
      <c r="L423" s="39"/>
      <c r="M423" s="38"/>
      <c r="N423" s="39"/>
      <c r="O423" s="40"/>
      <c r="P423" s="34"/>
      <c r="Q423" s="35"/>
      <c r="R423" s="35"/>
      <c r="S423" s="35"/>
      <c r="T423" s="35"/>
      <c r="U423" s="35"/>
      <c r="V423" s="35"/>
      <c r="W423" s="35"/>
      <c r="X423" s="35"/>
      <c r="Y423" s="35"/>
      <c r="Z423" s="35"/>
    </row>
    <row r="424" ht="14.25" customHeight="1">
      <c r="A424" s="83"/>
      <c r="B424" s="84"/>
      <c r="C424" s="108"/>
      <c r="D424" s="102"/>
      <c r="E424" s="117"/>
      <c r="F424" s="250"/>
      <c r="G424" s="250"/>
      <c r="H424" s="523"/>
      <c r="I424" s="36"/>
      <c r="J424" s="37"/>
      <c r="K424" s="38"/>
      <c r="L424" s="39"/>
      <c r="M424" s="38"/>
      <c r="N424" s="39"/>
      <c r="O424" s="40"/>
      <c r="P424" s="34"/>
      <c r="Q424" s="35"/>
      <c r="R424" s="35"/>
      <c r="S424" s="35"/>
      <c r="T424" s="35"/>
      <c r="U424" s="35"/>
      <c r="V424" s="35"/>
      <c r="W424" s="35"/>
      <c r="X424" s="35"/>
      <c r="Y424" s="35"/>
      <c r="Z424" s="35"/>
    </row>
    <row r="425" ht="14.25" customHeight="1">
      <c r="A425" s="83"/>
      <c r="B425" s="84"/>
      <c r="C425" s="108"/>
      <c r="D425" s="102"/>
      <c r="E425" s="117"/>
      <c r="F425" s="250"/>
      <c r="G425" s="250"/>
      <c r="H425" s="523"/>
      <c r="I425" s="36"/>
      <c r="J425" s="37"/>
      <c r="K425" s="38"/>
      <c r="L425" s="39"/>
      <c r="M425" s="38"/>
      <c r="N425" s="39"/>
      <c r="O425" s="40"/>
      <c r="P425" s="34"/>
      <c r="Q425" s="35"/>
      <c r="R425" s="35"/>
      <c r="S425" s="35"/>
      <c r="T425" s="35"/>
      <c r="U425" s="35"/>
      <c r="V425" s="35"/>
      <c r="W425" s="35"/>
      <c r="X425" s="35"/>
      <c r="Y425" s="35"/>
      <c r="Z425" s="35"/>
    </row>
    <row r="426" ht="14.25" customHeight="1">
      <c r="A426" s="83"/>
      <c r="B426" s="84"/>
      <c r="C426" s="108"/>
      <c r="D426" s="102"/>
      <c r="E426" s="117"/>
      <c r="F426" s="250"/>
      <c r="G426" s="250"/>
      <c r="H426" s="523"/>
      <c r="I426" s="36"/>
      <c r="J426" s="37"/>
      <c r="K426" s="38"/>
      <c r="L426" s="39"/>
      <c r="M426" s="38"/>
      <c r="N426" s="39"/>
      <c r="O426" s="40"/>
      <c r="P426" s="34"/>
      <c r="Q426" s="35"/>
      <c r="R426" s="35"/>
      <c r="S426" s="35"/>
      <c r="T426" s="35"/>
      <c r="U426" s="35"/>
      <c r="V426" s="35"/>
      <c r="W426" s="35"/>
      <c r="X426" s="35"/>
      <c r="Y426" s="35"/>
      <c r="Z426" s="35"/>
    </row>
    <row r="427" ht="14.25" customHeight="1">
      <c r="A427" s="83"/>
      <c r="B427" s="84"/>
      <c r="C427" s="108"/>
      <c r="D427" s="102"/>
      <c r="E427" s="117"/>
      <c r="F427" s="250"/>
      <c r="G427" s="250"/>
      <c r="H427" s="523"/>
      <c r="I427" s="36"/>
      <c r="J427" s="37"/>
      <c r="K427" s="38"/>
      <c r="L427" s="39"/>
      <c r="M427" s="38"/>
      <c r="N427" s="39"/>
      <c r="O427" s="40"/>
      <c r="P427" s="34"/>
      <c r="Q427" s="35"/>
      <c r="R427" s="35"/>
      <c r="S427" s="35"/>
      <c r="T427" s="35"/>
      <c r="U427" s="35"/>
      <c r="V427" s="35"/>
      <c r="W427" s="35"/>
      <c r="X427" s="35"/>
      <c r="Y427" s="35"/>
      <c r="Z427" s="35"/>
    </row>
    <row r="428" ht="14.25" customHeight="1">
      <c r="A428" s="83"/>
      <c r="B428" s="84"/>
      <c r="C428" s="108"/>
      <c r="D428" s="102"/>
      <c r="E428" s="117"/>
      <c r="F428" s="250"/>
      <c r="G428" s="250"/>
      <c r="H428" s="523"/>
      <c r="I428" s="36"/>
      <c r="J428" s="37"/>
      <c r="K428" s="38"/>
      <c r="L428" s="39"/>
      <c r="M428" s="38"/>
      <c r="N428" s="39"/>
      <c r="O428" s="40"/>
      <c r="P428" s="34"/>
      <c r="Q428" s="35"/>
      <c r="R428" s="35"/>
      <c r="S428" s="35"/>
      <c r="T428" s="35"/>
      <c r="U428" s="35"/>
      <c r="V428" s="35"/>
      <c r="W428" s="35"/>
      <c r="X428" s="35"/>
      <c r="Y428" s="35"/>
      <c r="Z428" s="35"/>
    </row>
    <row r="429" ht="14.25" customHeight="1">
      <c r="A429" s="83"/>
      <c r="B429" s="84"/>
      <c r="C429" s="108"/>
      <c r="D429" s="102"/>
      <c r="E429" s="117"/>
      <c r="F429" s="250"/>
      <c r="G429" s="250"/>
      <c r="H429" s="523"/>
      <c r="I429" s="36"/>
      <c r="J429" s="37"/>
      <c r="K429" s="38"/>
      <c r="L429" s="39"/>
      <c r="M429" s="38"/>
      <c r="N429" s="39"/>
      <c r="O429" s="40"/>
      <c r="P429" s="34"/>
      <c r="Q429" s="35"/>
      <c r="R429" s="35"/>
      <c r="S429" s="35"/>
      <c r="T429" s="35"/>
      <c r="U429" s="35"/>
      <c r="V429" s="35"/>
      <c r="W429" s="35"/>
      <c r="X429" s="35"/>
      <c r="Y429" s="35"/>
      <c r="Z429" s="35"/>
    </row>
    <row r="430" ht="14.25" customHeight="1">
      <c r="A430" s="83"/>
      <c r="B430" s="84"/>
      <c r="C430" s="108"/>
      <c r="D430" s="102"/>
      <c r="E430" s="117"/>
      <c r="F430" s="250"/>
      <c r="G430" s="250"/>
      <c r="H430" s="523"/>
      <c r="I430" s="36"/>
      <c r="J430" s="37"/>
      <c r="K430" s="38"/>
      <c r="L430" s="39"/>
      <c r="M430" s="38"/>
      <c r="N430" s="39"/>
      <c r="O430" s="40"/>
      <c r="P430" s="34"/>
      <c r="Q430" s="35"/>
      <c r="R430" s="35"/>
      <c r="S430" s="35"/>
      <c r="T430" s="35"/>
      <c r="U430" s="35"/>
      <c r="V430" s="35"/>
      <c r="W430" s="35"/>
      <c r="X430" s="35"/>
      <c r="Y430" s="35"/>
      <c r="Z430" s="35"/>
    </row>
    <row r="431" ht="14.25" customHeight="1">
      <c r="A431" s="83"/>
      <c r="B431" s="84"/>
      <c r="C431" s="108"/>
      <c r="D431" s="102"/>
      <c r="E431" s="117"/>
      <c r="F431" s="250"/>
      <c r="G431" s="250"/>
      <c r="H431" s="523"/>
      <c r="I431" s="36"/>
      <c r="J431" s="37"/>
      <c r="K431" s="38"/>
      <c r="L431" s="39"/>
      <c r="M431" s="38"/>
      <c r="N431" s="39"/>
      <c r="O431" s="40"/>
      <c r="P431" s="34"/>
      <c r="Q431" s="35"/>
      <c r="R431" s="35"/>
      <c r="S431" s="35"/>
      <c r="T431" s="35"/>
      <c r="U431" s="35"/>
      <c r="V431" s="35"/>
      <c r="W431" s="35"/>
      <c r="X431" s="35"/>
      <c r="Y431" s="35"/>
      <c r="Z431" s="35"/>
    </row>
    <row r="432" ht="14.25" customHeight="1">
      <c r="A432" s="83"/>
      <c r="B432" s="84"/>
      <c r="C432" s="108"/>
      <c r="D432" s="102"/>
      <c r="E432" s="117"/>
      <c r="F432" s="250"/>
      <c r="G432" s="250"/>
      <c r="H432" s="523"/>
      <c r="I432" s="36"/>
      <c r="J432" s="37"/>
      <c r="K432" s="38"/>
      <c r="L432" s="39"/>
      <c r="M432" s="38"/>
      <c r="N432" s="39"/>
      <c r="O432" s="40"/>
      <c r="P432" s="34"/>
      <c r="Q432" s="35"/>
      <c r="R432" s="35"/>
      <c r="S432" s="35"/>
      <c r="T432" s="35"/>
      <c r="U432" s="35"/>
      <c r="V432" s="35"/>
      <c r="W432" s="35"/>
      <c r="X432" s="35"/>
      <c r="Y432" s="35"/>
      <c r="Z432" s="35"/>
    </row>
    <row r="433" ht="14.25" customHeight="1">
      <c r="A433" s="83"/>
      <c r="B433" s="84"/>
      <c r="C433" s="108"/>
      <c r="D433" s="102"/>
      <c r="E433" s="117"/>
      <c r="F433" s="250"/>
      <c r="G433" s="250"/>
      <c r="H433" s="523"/>
      <c r="I433" s="36"/>
      <c r="J433" s="37"/>
      <c r="K433" s="38"/>
      <c r="L433" s="39"/>
      <c r="M433" s="38"/>
      <c r="N433" s="39"/>
      <c r="O433" s="40"/>
      <c r="P433" s="34"/>
      <c r="Q433" s="35"/>
      <c r="R433" s="35"/>
      <c r="S433" s="35"/>
      <c r="T433" s="35"/>
      <c r="U433" s="35"/>
      <c r="V433" s="35"/>
      <c r="W433" s="35"/>
      <c r="X433" s="35"/>
      <c r="Y433" s="35"/>
      <c r="Z433" s="35"/>
    </row>
    <row r="434" ht="14.25" customHeight="1">
      <c r="A434" s="83"/>
      <c r="B434" s="84"/>
      <c r="C434" s="108"/>
      <c r="D434" s="102"/>
      <c r="E434" s="117"/>
      <c r="F434" s="250"/>
      <c r="G434" s="250"/>
      <c r="H434" s="523"/>
      <c r="I434" s="36"/>
      <c r="J434" s="37"/>
      <c r="K434" s="38"/>
      <c r="L434" s="39"/>
      <c r="M434" s="38"/>
      <c r="N434" s="39"/>
      <c r="O434" s="40"/>
      <c r="P434" s="34"/>
      <c r="Q434" s="35"/>
      <c r="R434" s="35"/>
      <c r="S434" s="35"/>
      <c r="T434" s="35"/>
      <c r="U434" s="35"/>
      <c r="V434" s="35"/>
      <c r="W434" s="35"/>
      <c r="X434" s="35"/>
      <c r="Y434" s="35"/>
      <c r="Z434" s="35"/>
    </row>
    <row r="435" ht="14.25" customHeight="1">
      <c r="A435" s="83"/>
      <c r="B435" s="84"/>
      <c r="C435" s="108"/>
      <c r="D435" s="102"/>
      <c r="E435" s="117"/>
      <c r="F435" s="250"/>
      <c r="G435" s="250"/>
      <c r="H435" s="523"/>
      <c r="I435" s="36"/>
      <c r="J435" s="37"/>
      <c r="K435" s="38"/>
      <c r="L435" s="39"/>
      <c r="M435" s="38"/>
      <c r="N435" s="39"/>
      <c r="O435" s="40"/>
      <c r="P435" s="34"/>
      <c r="Q435" s="35"/>
      <c r="R435" s="35"/>
      <c r="S435" s="35"/>
      <c r="T435" s="35"/>
      <c r="U435" s="35"/>
      <c r="V435" s="35"/>
      <c r="W435" s="35"/>
      <c r="X435" s="35"/>
      <c r="Y435" s="35"/>
      <c r="Z435" s="35"/>
    </row>
    <row r="436" ht="14.25" customHeight="1">
      <c r="A436" s="83"/>
      <c r="B436" s="84"/>
      <c r="C436" s="108"/>
      <c r="D436" s="102"/>
      <c r="E436" s="117"/>
      <c r="F436" s="250"/>
      <c r="G436" s="250"/>
      <c r="H436" s="523"/>
      <c r="I436" s="36"/>
      <c r="J436" s="37"/>
      <c r="K436" s="38"/>
      <c r="L436" s="39"/>
      <c r="M436" s="38"/>
      <c r="N436" s="39"/>
      <c r="O436" s="40"/>
      <c r="P436" s="34"/>
      <c r="Q436" s="35"/>
      <c r="R436" s="35"/>
      <c r="S436" s="35"/>
      <c r="T436" s="35"/>
      <c r="U436" s="35"/>
      <c r="V436" s="35"/>
      <c r="W436" s="35"/>
      <c r="X436" s="35"/>
      <c r="Y436" s="35"/>
      <c r="Z436" s="35"/>
    </row>
    <row r="437" ht="14.25" customHeight="1">
      <c r="A437" s="83"/>
      <c r="B437" s="84"/>
      <c r="C437" s="108"/>
      <c r="D437" s="102"/>
      <c r="E437" s="117"/>
      <c r="F437" s="250"/>
      <c r="G437" s="250"/>
      <c r="H437" s="523"/>
      <c r="I437" s="36"/>
      <c r="J437" s="37"/>
      <c r="K437" s="38"/>
      <c r="L437" s="39"/>
      <c r="M437" s="38"/>
      <c r="N437" s="39"/>
      <c r="O437" s="40"/>
      <c r="P437" s="34"/>
      <c r="Q437" s="35"/>
      <c r="R437" s="35"/>
      <c r="S437" s="35"/>
      <c r="T437" s="35"/>
      <c r="U437" s="35"/>
      <c r="V437" s="35"/>
      <c r="W437" s="35"/>
      <c r="X437" s="35"/>
      <c r="Y437" s="35"/>
      <c r="Z437" s="35"/>
    </row>
    <row r="438" ht="14.25" customHeight="1">
      <c r="A438" s="83"/>
      <c r="B438" s="84"/>
      <c r="C438" s="108"/>
      <c r="D438" s="102"/>
      <c r="E438" s="117"/>
      <c r="F438" s="250"/>
      <c r="G438" s="250"/>
      <c r="H438" s="523"/>
      <c r="I438" s="36"/>
      <c r="J438" s="37"/>
      <c r="K438" s="38"/>
      <c r="L438" s="39"/>
      <c r="M438" s="38"/>
      <c r="N438" s="39"/>
      <c r="O438" s="40"/>
      <c r="P438" s="34"/>
      <c r="Q438" s="35"/>
      <c r="R438" s="35"/>
      <c r="S438" s="35"/>
      <c r="T438" s="35"/>
      <c r="U438" s="35"/>
      <c r="V438" s="35"/>
      <c r="W438" s="35"/>
      <c r="X438" s="35"/>
      <c r="Y438" s="35"/>
      <c r="Z438" s="35"/>
    </row>
    <row r="439" ht="14.25" customHeight="1">
      <c r="A439" s="83"/>
      <c r="B439" s="84"/>
      <c r="C439" s="108"/>
      <c r="D439" s="102"/>
      <c r="E439" s="117"/>
      <c r="F439" s="250"/>
      <c r="G439" s="250"/>
      <c r="H439" s="523"/>
      <c r="I439" s="36"/>
      <c r="J439" s="37"/>
      <c r="K439" s="38"/>
      <c r="L439" s="39"/>
      <c r="M439" s="38"/>
      <c r="N439" s="39"/>
      <c r="O439" s="40"/>
      <c r="P439" s="34"/>
      <c r="Q439" s="35"/>
      <c r="R439" s="35"/>
      <c r="S439" s="35"/>
      <c r="T439" s="35"/>
      <c r="U439" s="35"/>
      <c r="V439" s="35"/>
      <c r="W439" s="35"/>
      <c r="X439" s="35"/>
      <c r="Y439" s="35"/>
      <c r="Z439" s="35"/>
    </row>
    <row r="440" ht="14.25" customHeight="1">
      <c r="A440" s="83"/>
      <c r="B440" s="84"/>
      <c r="C440" s="108"/>
      <c r="D440" s="102"/>
      <c r="E440" s="117"/>
      <c r="F440" s="250"/>
      <c r="G440" s="250"/>
      <c r="H440" s="523"/>
      <c r="I440" s="36"/>
      <c r="J440" s="37"/>
      <c r="K440" s="38"/>
      <c r="L440" s="39"/>
      <c r="M440" s="38"/>
      <c r="N440" s="39"/>
      <c r="O440" s="40"/>
      <c r="P440" s="34"/>
      <c r="Q440" s="35"/>
      <c r="R440" s="35"/>
      <c r="S440" s="35"/>
      <c r="T440" s="35"/>
      <c r="U440" s="35"/>
      <c r="V440" s="35"/>
      <c r="W440" s="35"/>
      <c r="X440" s="35"/>
      <c r="Y440" s="35"/>
      <c r="Z440" s="35"/>
    </row>
    <row r="441" ht="14.25" customHeight="1">
      <c r="A441" s="83"/>
      <c r="B441" s="84"/>
      <c r="C441" s="108"/>
      <c r="D441" s="102"/>
      <c r="E441" s="117"/>
      <c r="F441" s="250"/>
      <c r="G441" s="250"/>
      <c r="H441" s="523"/>
      <c r="I441" s="36"/>
      <c r="J441" s="37"/>
      <c r="K441" s="38"/>
      <c r="L441" s="39"/>
      <c r="M441" s="38"/>
      <c r="N441" s="39"/>
      <c r="O441" s="40"/>
      <c r="P441" s="34"/>
      <c r="Q441" s="35"/>
      <c r="R441" s="35"/>
      <c r="S441" s="35"/>
      <c r="T441" s="35"/>
      <c r="U441" s="35"/>
      <c r="V441" s="35"/>
      <c r="W441" s="35"/>
      <c r="X441" s="35"/>
      <c r="Y441" s="35"/>
      <c r="Z441" s="35"/>
    </row>
    <row r="442" ht="14.25" customHeight="1">
      <c r="A442" s="83"/>
      <c r="B442" s="84"/>
      <c r="C442" s="108"/>
      <c r="D442" s="102"/>
      <c r="E442" s="117"/>
      <c r="F442" s="250"/>
      <c r="G442" s="250"/>
      <c r="H442" s="523"/>
      <c r="I442" s="36"/>
      <c r="J442" s="37"/>
      <c r="K442" s="38"/>
      <c r="L442" s="39"/>
      <c r="M442" s="38"/>
      <c r="N442" s="39"/>
      <c r="O442" s="40"/>
      <c r="P442" s="34"/>
      <c r="Q442" s="35"/>
      <c r="R442" s="35"/>
      <c r="S442" s="35"/>
      <c r="T442" s="35"/>
      <c r="U442" s="35"/>
      <c r="V442" s="35"/>
      <c r="W442" s="35"/>
      <c r="X442" s="35"/>
      <c r="Y442" s="35"/>
      <c r="Z442" s="35"/>
    </row>
    <row r="443" ht="14.25" customHeight="1">
      <c r="A443" s="83"/>
      <c r="B443" s="84"/>
      <c r="C443" s="108"/>
      <c r="D443" s="102"/>
      <c r="E443" s="117"/>
      <c r="F443" s="250"/>
      <c r="G443" s="250"/>
      <c r="H443" s="523"/>
      <c r="I443" s="36"/>
      <c r="J443" s="37"/>
      <c r="K443" s="38"/>
      <c r="L443" s="39"/>
      <c r="M443" s="38"/>
      <c r="N443" s="39"/>
      <c r="O443" s="40"/>
      <c r="P443" s="34"/>
      <c r="Q443" s="35"/>
      <c r="R443" s="35"/>
      <c r="S443" s="35"/>
      <c r="T443" s="35"/>
      <c r="U443" s="35"/>
      <c r="V443" s="35"/>
      <c r="W443" s="35"/>
      <c r="X443" s="35"/>
      <c r="Y443" s="35"/>
      <c r="Z443" s="35"/>
    </row>
    <row r="444" ht="14.25" customHeight="1">
      <c r="A444" s="83"/>
      <c r="B444" s="84"/>
      <c r="C444" s="108"/>
      <c r="D444" s="102"/>
      <c r="E444" s="117"/>
      <c r="F444" s="250"/>
      <c r="G444" s="250"/>
      <c r="H444" s="523"/>
      <c r="I444" s="36"/>
      <c r="J444" s="37"/>
      <c r="K444" s="38"/>
      <c r="L444" s="39"/>
      <c r="M444" s="38"/>
      <c r="N444" s="39"/>
      <c r="O444" s="40"/>
      <c r="P444" s="34"/>
      <c r="Q444" s="35"/>
      <c r="R444" s="35"/>
      <c r="S444" s="35"/>
      <c r="T444" s="35"/>
      <c r="U444" s="35"/>
      <c r="V444" s="35"/>
      <c r="W444" s="35"/>
      <c r="X444" s="35"/>
      <c r="Y444" s="35"/>
      <c r="Z444" s="35"/>
    </row>
    <row r="445" ht="14.25" customHeight="1">
      <c r="A445" s="83"/>
      <c r="B445" s="84"/>
      <c r="C445" s="108"/>
      <c r="D445" s="102"/>
      <c r="E445" s="117"/>
      <c r="F445" s="250"/>
      <c r="G445" s="250"/>
      <c r="H445" s="523"/>
      <c r="I445" s="36"/>
      <c r="J445" s="37"/>
      <c r="K445" s="38"/>
      <c r="L445" s="39"/>
      <c r="M445" s="38"/>
      <c r="N445" s="39"/>
      <c r="O445" s="40"/>
      <c r="P445" s="34"/>
      <c r="Q445" s="35"/>
      <c r="R445" s="35"/>
      <c r="S445" s="35"/>
      <c r="T445" s="35"/>
      <c r="U445" s="35"/>
      <c r="V445" s="35"/>
      <c r="W445" s="35"/>
      <c r="X445" s="35"/>
      <c r="Y445" s="35"/>
      <c r="Z445" s="35"/>
    </row>
    <row r="446" ht="14.25" customHeight="1">
      <c r="A446" s="83"/>
      <c r="B446" s="84"/>
      <c r="C446" s="108"/>
      <c r="D446" s="102"/>
      <c r="E446" s="117"/>
      <c r="F446" s="250"/>
      <c r="G446" s="250"/>
      <c r="H446" s="523"/>
      <c r="I446" s="36"/>
      <c r="J446" s="37"/>
      <c r="K446" s="38"/>
      <c r="L446" s="39"/>
      <c r="M446" s="38"/>
      <c r="N446" s="39"/>
      <c r="O446" s="40"/>
      <c r="P446" s="34"/>
      <c r="Q446" s="35"/>
      <c r="R446" s="35"/>
      <c r="S446" s="35"/>
      <c r="T446" s="35"/>
      <c r="U446" s="35"/>
      <c r="V446" s="35"/>
      <c r="W446" s="35"/>
      <c r="X446" s="35"/>
      <c r="Y446" s="35"/>
      <c r="Z446" s="35"/>
    </row>
    <row r="447" ht="14.25" customHeight="1">
      <c r="A447" s="83"/>
      <c r="B447" s="84"/>
      <c r="C447" s="108"/>
      <c r="D447" s="102"/>
      <c r="E447" s="117"/>
      <c r="F447" s="250"/>
      <c r="G447" s="250"/>
      <c r="H447" s="523"/>
      <c r="I447" s="36"/>
      <c r="J447" s="37"/>
      <c r="K447" s="38"/>
      <c r="L447" s="39"/>
      <c r="M447" s="38"/>
      <c r="N447" s="39"/>
      <c r="O447" s="40"/>
      <c r="P447" s="34"/>
      <c r="Q447" s="35"/>
      <c r="R447" s="35"/>
      <c r="S447" s="35"/>
      <c r="T447" s="35"/>
      <c r="U447" s="35"/>
      <c r="V447" s="35"/>
      <c r="W447" s="35"/>
      <c r="X447" s="35"/>
      <c r="Y447" s="35"/>
      <c r="Z447" s="35"/>
    </row>
    <row r="448" ht="14.25" customHeight="1">
      <c r="A448" s="83"/>
      <c r="B448" s="84"/>
      <c r="C448" s="108"/>
      <c r="D448" s="102"/>
      <c r="E448" s="117"/>
      <c r="F448" s="250"/>
      <c r="G448" s="250"/>
      <c r="H448" s="523"/>
      <c r="I448" s="36"/>
      <c r="J448" s="37"/>
      <c r="K448" s="38"/>
      <c r="L448" s="39"/>
      <c r="M448" s="38"/>
      <c r="N448" s="39"/>
      <c r="O448" s="40"/>
      <c r="P448" s="34"/>
      <c r="Q448" s="35"/>
      <c r="R448" s="35"/>
      <c r="S448" s="35"/>
      <c r="T448" s="35"/>
      <c r="U448" s="35"/>
      <c r="V448" s="35"/>
      <c r="W448" s="35"/>
      <c r="X448" s="35"/>
      <c r="Y448" s="35"/>
      <c r="Z448" s="35"/>
    </row>
    <row r="449" ht="14.25" customHeight="1">
      <c r="A449" s="83"/>
      <c r="B449" s="84"/>
      <c r="C449" s="108"/>
      <c r="D449" s="102"/>
      <c r="E449" s="117"/>
      <c r="F449" s="250"/>
      <c r="G449" s="250"/>
      <c r="H449" s="523"/>
      <c r="I449" s="36"/>
      <c r="J449" s="37"/>
      <c r="K449" s="38"/>
      <c r="L449" s="39"/>
      <c r="M449" s="38"/>
      <c r="N449" s="39"/>
      <c r="O449" s="40"/>
      <c r="P449" s="34"/>
      <c r="Q449" s="35"/>
      <c r="R449" s="35"/>
      <c r="S449" s="35"/>
      <c r="T449" s="35"/>
      <c r="U449" s="35"/>
      <c r="V449" s="35"/>
      <c r="W449" s="35"/>
      <c r="X449" s="35"/>
      <c r="Y449" s="35"/>
      <c r="Z449" s="35"/>
    </row>
    <row r="450" ht="14.25" customHeight="1">
      <c r="A450" s="83"/>
      <c r="B450" s="84"/>
      <c r="C450" s="108"/>
      <c r="D450" s="102"/>
      <c r="E450" s="117"/>
      <c r="F450" s="250"/>
      <c r="G450" s="250"/>
      <c r="H450" s="523"/>
      <c r="I450" s="36"/>
      <c r="J450" s="37"/>
      <c r="K450" s="38"/>
      <c r="L450" s="39"/>
      <c r="M450" s="38"/>
      <c r="N450" s="39"/>
      <c r="O450" s="40"/>
      <c r="P450" s="34"/>
      <c r="Q450" s="35"/>
      <c r="R450" s="35"/>
      <c r="S450" s="35"/>
      <c r="T450" s="35"/>
      <c r="U450" s="35"/>
      <c r="V450" s="35"/>
      <c r="W450" s="35"/>
      <c r="X450" s="35"/>
      <c r="Y450" s="35"/>
      <c r="Z450" s="35"/>
    </row>
    <row r="451" ht="14.25" customHeight="1">
      <c r="A451" s="83"/>
      <c r="B451" s="84"/>
      <c r="C451" s="108"/>
      <c r="D451" s="102"/>
      <c r="E451" s="117"/>
      <c r="F451" s="250"/>
      <c r="G451" s="250"/>
      <c r="H451" s="523"/>
      <c r="I451" s="36"/>
      <c r="J451" s="37"/>
      <c r="K451" s="38"/>
      <c r="L451" s="39"/>
      <c r="M451" s="38"/>
      <c r="N451" s="39"/>
      <c r="O451" s="40"/>
      <c r="P451" s="34"/>
      <c r="Q451" s="35"/>
      <c r="R451" s="35"/>
      <c r="S451" s="35"/>
      <c r="T451" s="35"/>
      <c r="U451" s="35"/>
      <c r="V451" s="35"/>
      <c r="W451" s="35"/>
      <c r="X451" s="35"/>
      <c r="Y451" s="35"/>
      <c r="Z451" s="35"/>
    </row>
    <row r="452" ht="14.25" customHeight="1">
      <c r="A452" s="83"/>
      <c r="B452" s="84"/>
      <c r="C452" s="108"/>
      <c r="D452" s="102"/>
      <c r="E452" s="117"/>
      <c r="F452" s="250"/>
      <c r="G452" s="250"/>
      <c r="H452" s="523"/>
      <c r="I452" s="36"/>
      <c r="J452" s="37"/>
      <c r="K452" s="38"/>
      <c r="L452" s="39"/>
      <c r="M452" s="38"/>
      <c r="N452" s="39"/>
      <c r="O452" s="40"/>
      <c r="P452" s="34"/>
      <c r="Q452" s="35"/>
      <c r="R452" s="35"/>
      <c r="S452" s="35"/>
      <c r="T452" s="35"/>
      <c r="U452" s="35"/>
      <c r="V452" s="35"/>
      <c r="W452" s="35"/>
      <c r="X452" s="35"/>
      <c r="Y452" s="35"/>
      <c r="Z452" s="35"/>
    </row>
    <row r="453" ht="14.25" customHeight="1">
      <c r="A453" s="83"/>
      <c r="B453" s="84"/>
      <c r="C453" s="108"/>
      <c r="D453" s="102"/>
      <c r="E453" s="117"/>
      <c r="F453" s="250"/>
      <c r="G453" s="250"/>
      <c r="H453" s="523"/>
      <c r="I453" s="36"/>
      <c r="J453" s="37"/>
      <c r="K453" s="38"/>
      <c r="L453" s="39"/>
      <c r="M453" s="38"/>
      <c r="N453" s="39"/>
      <c r="O453" s="40"/>
      <c r="P453" s="34"/>
      <c r="Q453" s="35"/>
      <c r="R453" s="35"/>
      <c r="S453" s="35"/>
      <c r="T453" s="35"/>
      <c r="U453" s="35"/>
      <c r="V453" s="35"/>
      <c r="W453" s="35"/>
      <c r="X453" s="35"/>
      <c r="Y453" s="35"/>
      <c r="Z453" s="35"/>
    </row>
    <row r="454" ht="14.25" customHeight="1">
      <c r="A454" s="83"/>
      <c r="B454" s="84"/>
      <c r="C454" s="108"/>
      <c r="D454" s="102"/>
      <c r="E454" s="117"/>
      <c r="F454" s="250"/>
      <c r="G454" s="250"/>
      <c r="H454" s="523"/>
      <c r="I454" s="36"/>
      <c r="J454" s="37"/>
      <c r="K454" s="38"/>
      <c r="L454" s="39"/>
      <c r="M454" s="38"/>
      <c r="N454" s="39"/>
      <c r="O454" s="40"/>
      <c r="P454" s="34"/>
      <c r="Q454" s="35"/>
      <c r="R454" s="35"/>
      <c r="S454" s="35"/>
      <c r="T454" s="35"/>
      <c r="U454" s="35"/>
      <c r="V454" s="35"/>
      <c r="W454" s="35"/>
      <c r="X454" s="35"/>
      <c r="Y454" s="35"/>
      <c r="Z454" s="35"/>
    </row>
    <row r="455" ht="14.25" customHeight="1">
      <c r="A455" s="83"/>
      <c r="B455" s="84"/>
      <c r="C455" s="108"/>
      <c r="D455" s="102"/>
      <c r="E455" s="117"/>
      <c r="F455" s="250"/>
      <c r="G455" s="250"/>
      <c r="H455" s="523"/>
      <c r="I455" s="36"/>
      <c r="J455" s="37"/>
      <c r="K455" s="38"/>
      <c r="L455" s="39"/>
      <c r="M455" s="38"/>
      <c r="N455" s="39"/>
      <c r="O455" s="40"/>
      <c r="P455" s="34"/>
      <c r="Q455" s="35"/>
      <c r="R455" s="35"/>
      <c r="S455" s="35"/>
      <c r="T455" s="35"/>
      <c r="U455" s="35"/>
      <c r="V455" s="35"/>
      <c r="W455" s="35"/>
      <c r="X455" s="35"/>
      <c r="Y455" s="35"/>
      <c r="Z455" s="35"/>
    </row>
    <row r="456" ht="14.25" customHeight="1">
      <c r="A456" s="83"/>
      <c r="B456" s="84"/>
      <c r="C456" s="108"/>
      <c r="D456" s="102"/>
      <c r="E456" s="117"/>
      <c r="F456" s="250"/>
      <c r="G456" s="250"/>
      <c r="H456" s="523"/>
      <c r="I456" s="36"/>
      <c r="J456" s="37"/>
      <c r="K456" s="38"/>
      <c r="L456" s="39"/>
      <c r="M456" s="38"/>
      <c r="N456" s="39"/>
      <c r="O456" s="40"/>
      <c r="P456" s="34"/>
      <c r="Q456" s="35"/>
      <c r="R456" s="35"/>
      <c r="S456" s="35"/>
      <c r="T456" s="35"/>
      <c r="U456" s="35"/>
      <c r="V456" s="35"/>
      <c r="W456" s="35"/>
      <c r="X456" s="35"/>
      <c r="Y456" s="35"/>
      <c r="Z456" s="35"/>
    </row>
    <row r="457" ht="14.25" customHeight="1">
      <c r="A457" s="83"/>
      <c r="B457" s="84"/>
      <c r="C457" s="108"/>
      <c r="D457" s="102"/>
      <c r="E457" s="117"/>
      <c r="F457" s="250"/>
      <c r="G457" s="250"/>
      <c r="H457" s="523"/>
      <c r="I457" s="36"/>
      <c r="J457" s="37"/>
      <c r="K457" s="38"/>
      <c r="L457" s="39"/>
      <c r="M457" s="38"/>
      <c r="N457" s="39"/>
      <c r="O457" s="40"/>
      <c r="P457" s="34"/>
      <c r="Q457" s="35"/>
      <c r="R457" s="35"/>
      <c r="S457" s="35"/>
      <c r="T457" s="35"/>
      <c r="U457" s="35"/>
      <c r="V457" s="35"/>
      <c r="W457" s="35"/>
      <c r="X457" s="35"/>
      <c r="Y457" s="35"/>
      <c r="Z457" s="35"/>
    </row>
    <row r="458" ht="14.25" customHeight="1">
      <c r="A458" s="83"/>
      <c r="B458" s="84"/>
      <c r="C458" s="108"/>
      <c r="D458" s="102"/>
      <c r="E458" s="117"/>
      <c r="F458" s="250"/>
      <c r="G458" s="250"/>
      <c r="H458" s="523"/>
      <c r="I458" s="36"/>
      <c r="J458" s="37"/>
      <c r="K458" s="38"/>
      <c r="L458" s="39"/>
      <c r="M458" s="38"/>
      <c r="N458" s="39"/>
      <c r="O458" s="40"/>
      <c r="P458" s="34"/>
      <c r="Q458" s="35"/>
      <c r="R458" s="35"/>
      <c r="S458" s="35"/>
      <c r="T458" s="35"/>
      <c r="U458" s="35"/>
      <c r="V458" s="35"/>
      <c r="W458" s="35"/>
      <c r="X458" s="35"/>
      <c r="Y458" s="35"/>
      <c r="Z458" s="35"/>
    </row>
    <row r="459" ht="14.25" customHeight="1">
      <c r="A459" s="83"/>
      <c r="B459" s="84"/>
      <c r="C459" s="108"/>
      <c r="D459" s="102"/>
      <c r="E459" s="117"/>
      <c r="F459" s="250"/>
      <c r="G459" s="250"/>
      <c r="H459" s="523"/>
      <c r="I459" s="36"/>
      <c r="J459" s="37"/>
      <c r="K459" s="38"/>
      <c r="L459" s="39"/>
      <c r="M459" s="38"/>
      <c r="N459" s="39"/>
      <c r="O459" s="40"/>
      <c r="P459" s="34"/>
      <c r="Q459" s="35"/>
      <c r="R459" s="35"/>
      <c r="S459" s="35"/>
      <c r="T459" s="35"/>
      <c r="U459" s="35"/>
      <c r="V459" s="35"/>
      <c r="W459" s="35"/>
      <c r="X459" s="35"/>
      <c r="Y459" s="35"/>
      <c r="Z459" s="35"/>
    </row>
    <row r="460" ht="14.25" customHeight="1">
      <c r="A460" s="83"/>
      <c r="B460" s="84"/>
      <c r="C460" s="108"/>
      <c r="D460" s="102"/>
      <c r="E460" s="117"/>
      <c r="F460" s="250"/>
      <c r="G460" s="250"/>
      <c r="H460" s="523"/>
      <c r="I460" s="36"/>
      <c r="J460" s="37"/>
      <c r="K460" s="38"/>
      <c r="L460" s="39"/>
      <c r="M460" s="38"/>
      <c r="N460" s="39"/>
      <c r="O460" s="40"/>
      <c r="P460" s="34"/>
      <c r="Q460" s="35"/>
      <c r="R460" s="35"/>
      <c r="S460" s="35"/>
      <c r="T460" s="35"/>
      <c r="U460" s="35"/>
      <c r="V460" s="35"/>
      <c r="W460" s="35"/>
      <c r="X460" s="35"/>
      <c r="Y460" s="35"/>
      <c r="Z460" s="35"/>
    </row>
    <row r="461" ht="14.25" customHeight="1">
      <c r="A461" s="83"/>
      <c r="B461" s="84"/>
      <c r="C461" s="108"/>
      <c r="D461" s="102"/>
      <c r="E461" s="117"/>
      <c r="F461" s="250"/>
      <c r="G461" s="250"/>
      <c r="H461" s="523"/>
      <c r="I461" s="36"/>
      <c r="J461" s="37"/>
      <c r="K461" s="38"/>
      <c r="L461" s="39"/>
      <c r="M461" s="38"/>
      <c r="N461" s="39"/>
      <c r="O461" s="40"/>
      <c r="P461" s="34"/>
      <c r="Q461" s="35"/>
      <c r="R461" s="35"/>
      <c r="S461" s="35"/>
      <c r="T461" s="35"/>
      <c r="U461" s="35"/>
      <c r="V461" s="35"/>
      <c r="W461" s="35"/>
      <c r="X461" s="35"/>
      <c r="Y461" s="35"/>
      <c r="Z461" s="35"/>
    </row>
    <row r="462" ht="14.25" customHeight="1">
      <c r="A462" s="83"/>
      <c r="B462" s="84"/>
      <c r="C462" s="108"/>
      <c r="D462" s="102"/>
      <c r="E462" s="117"/>
      <c r="F462" s="250"/>
      <c r="G462" s="250"/>
      <c r="H462" s="523"/>
      <c r="I462" s="36"/>
      <c r="J462" s="37"/>
      <c r="K462" s="38"/>
      <c r="L462" s="39"/>
      <c r="M462" s="38"/>
      <c r="N462" s="39"/>
      <c r="O462" s="40"/>
      <c r="P462" s="34"/>
      <c r="Q462" s="35"/>
      <c r="R462" s="35"/>
      <c r="S462" s="35"/>
      <c r="T462" s="35"/>
      <c r="U462" s="35"/>
      <c r="V462" s="35"/>
      <c r="W462" s="35"/>
      <c r="X462" s="35"/>
      <c r="Y462" s="35"/>
      <c r="Z462" s="35"/>
    </row>
    <row r="463" ht="14.25" customHeight="1">
      <c r="A463" s="83"/>
      <c r="B463" s="84"/>
      <c r="C463" s="108"/>
      <c r="D463" s="102"/>
      <c r="E463" s="117"/>
      <c r="F463" s="250"/>
      <c r="G463" s="250"/>
      <c r="H463" s="523"/>
      <c r="I463" s="36"/>
      <c r="J463" s="37"/>
      <c r="K463" s="38"/>
      <c r="L463" s="39"/>
      <c r="M463" s="38"/>
      <c r="N463" s="39"/>
      <c r="O463" s="40"/>
      <c r="P463" s="34"/>
      <c r="Q463" s="35"/>
      <c r="R463" s="35"/>
      <c r="S463" s="35"/>
      <c r="T463" s="35"/>
      <c r="U463" s="35"/>
      <c r="V463" s="35"/>
      <c r="W463" s="35"/>
      <c r="X463" s="35"/>
      <c r="Y463" s="35"/>
      <c r="Z463" s="35"/>
    </row>
    <row r="464" ht="14.25" customHeight="1">
      <c r="A464" s="83"/>
      <c r="B464" s="84"/>
      <c r="C464" s="108"/>
      <c r="D464" s="102"/>
      <c r="E464" s="117"/>
      <c r="F464" s="250"/>
      <c r="G464" s="250"/>
      <c r="H464" s="523"/>
      <c r="I464" s="36"/>
      <c r="J464" s="37"/>
      <c r="K464" s="38"/>
      <c r="L464" s="39"/>
      <c r="M464" s="38"/>
      <c r="N464" s="39"/>
      <c r="O464" s="40"/>
      <c r="P464" s="34"/>
      <c r="Q464" s="35"/>
      <c r="R464" s="35"/>
      <c r="S464" s="35"/>
      <c r="T464" s="35"/>
      <c r="U464" s="35"/>
      <c r="V464" s="35"/>
      <c r="W464" s="35"/>
      <c r="X464" s="35"/>
      <c r="Y464" s="35"/>
      <c r="Z464" s="35"/>
    </row>
    <row r="465" ht="14.25" customHeight="1">
      <c r="A465" s="83"/>
      <c r="B465" s="84"/>
      <c r="C465" s="108"/>
      <c r="D465" s="102"/>
      <c r="E465" s="117"/>
      <c r="F465" s="250"/>
      <c r="G465" s="250"/>
      <c r="H465" s="523"/>
      <c r="I465" s="36"/>
      <c r="J465" s="37"/>
      <c r="K465" s="38"/>
      <c r="L465" s="39"/>
      <c r="M465" s="38"/>
      <c r="N465" s="39"/>
      <c r="O465" s="40"/>
      <c r="P465" s="34"/>
      <c r="Q465" s="35"/>
      <c r="R465" s="35"/>
      <c r="S465" s="35"/>
      <c r="T465" s="35"/>
      <c r="U465" s="35"/>
      <c r="V465" s="35"/>
      <c r="W465" s="35"/>
      <c r="X465" s="35"/>
      <c r="Y465" s="35"/>
      <c r="Z465" s="35"/>
    </row>
    <row r="466" ht="14.25" customHeight="1">
      <c r="A466" s="83"/>
      <c r="B466" s="84"/>
      <c r="C466" s="108"/>
      <c r="D466" s="102"/>
      <c r="E466" s="117"/>
      <c r="F466" s="250"/>
      <c r="G466" s="250"/>
      <c r="H466" s="523"/>
      <c r="I466" s="36"/>
      <c r="J466" s="37"/>
      <c r="K466" s="38"/>
      <c r="L466" s="39"/>
      <c r="M466" s="38"/>
      <c r="N466" s="39"/>
      <c r="O466" s="40"/>
      <c r="P466" s="34"/>
      <c r="Q466" s="35"/>
      <c r="R466" s="35"/>
      <c r="S466" s="35"/>
      <c r="T466" s="35"/>
      <c r="U466" s="35"/>
      <c r="V466" s="35"/>
      <c r="W466" s="35"/>
      <c r="X466" s="35"/>
      <c r="Y466" s="35"/>
      <c r="Z466" s="35"/>
    </row>
    <row r="467" ht="14.25" customHeight="1">
      <c r="A467" s="83"/>
      <c r="B467" s="84"/>
      <c r="C467" s="108"/>
      <c r="D467" s="102"/>
      <c r="E467" s="117"/>
      <c r="F467" s="250"/>
      <c r="G467" s="250"/>
      <c r="H467" s="523"/>
      <c r="I467" s="36"/>
      <c r="J467" s="37"/>
      <c r="K467" s="38"/>
      <c r="L467" s="39"/>
      <c r="M467" s="38"/>
      <c r="N467" s="39"/>
      <c r="O467" s="40"/>
      <c r="P467" s="34"/>
      <c r="Q467" s="35"/>
      <c r="R467" s="35"/>
      <c r="S467" s="35"/>
      <c r="T467" s="35"/>
      <c r="U467" s="35"/>
      <c r="V467" s="35"/>
      <c r="W467" s="35"/>
      <c r="X467" s="35"/>
      <c r="Y467" s="35"/>
      <c r="Z467" s="35"/>
    </row>
    <row r="468" ht="14.25" customHeight="1">
      <c r="A468" s="83"/>
      <c r="B468" s="84"/>
      <c r="C468" s="108"/>
      <c r="D468" s="102"/>
      <c r="E468" s="117"/>
      <c r="F468" s="250"/>
      <c r="G468" s="250"/>
      <c r="H468" s="523"/>
      <c r="I468" s="36"/>
      <c r="J468" s="37"/>
      <c r="K468" s="38"/>
      <c r="L468" s="39"/>
      <c r="M468" s="38"/>
      <c r="N468" s="39"/>
      <c r="O468" s="40"/>
      <c r="P468" s="34"/>
      <c r="Q468" s="35"/>
      <c r="R468" s="35"/>
      <c r="S468" s="35"/>
      <c r="T468" s="35"/>
      <c r="U468" s="35"/>
      <c r="V468" s="35"/>
      <c r="W468" s="35"/>
      <c r="X468" s="35"/>
      <c r="Y468" s="35"/>
      <c r="Z468" s="35"/>
    </row>
    <row r="469" ht="14.25" customHeight="1">
      <c r="A469" s="83"/>
      <c r="B469" s="84"/>
      <c r="C469" s="108"/>
      <c r="D469" s="102"/>
      <c r="E469" s="117"/>
      <c r="F469" s="250"/>
      <c r="G469" s="250"/>
      <c r="H469" s="523"/>
      <c r="I469" s="36"/>
      <c r="J469" s="37"/>
      <c r="K469" s="38"/>
      <c r="L469" s="39"/>
      <c r="M469" s="38"/>
      <c r="N469" s="39"/>
      <c r="O469" s="40"/>
      <c r="P469" s="34"/>
      <c r="Q469" s="35"/>
      <c r="R469" s="35"/>
      <c r="S469" s="35"/>
      <c r="T469" s="35"/>
      <c r="U469" s="35"/>
      <c r="V469" s="35"/>
      <c r="W469" s="35"/>
      <c r="X469" s="35"/>
      <c r="Y469" s="35"/>
      <c r="Z469" s="35"/>
    </row>
    <row r="470" ht="14.25" customHeight="1">
      <c r="A470" s="83"/>
      <c r="B470" s="84"/>
      <c r="C470" s="108"/>
      <c r="D470" s="102"/>
      <c r="E470" s="117"/>
      <c r="F470" s="250"/>
      <c r="G470" s="250"/>
      <c r="H470" s="523"/>
      <c r="I470" s="36"/>
      <c r="J470" s="37"/>
      <c r="K470" s="38"/>
      <c r="L470" s="39"/>
      <c r="M470" s="38"/>
      <c r="N470" s="39"/>
      <c r="O470" s="40"/>
      <c r="P470" s="34"/>
      <c r="Q470" s="35"/>
      <c r="R470" s="35"/>
      <c r="S470" s="35"/>
      <c r="T470" s="35"/>
      <c r="U470" s="35"/>
      <c r="V470" s="35"/>
      <c r="W470" s="35"/>
      <c r="X470" s="35"/>
      <c r="Y470" s="35"/>
      <c r="Z470" s="35"/>
    </row>
    <row r="471" ht="14.25" customHeight="1">
      <c r="A471" s="83"/>
      <c r="B471" s="84"/>
      <c r="C471" s="108"/>
      <c r="D471" s="102"/>
      <c r="E471" s="117"/>
      <c r="F471" s="250"/>
      <c r="G471" s="250"/>
      <c r="H471" s="523"/>
      <c r="I471" s="36"/>
      <c r="J471" s="37"/>
      <c r="K471" s="38"/>
      <c r="L471" s="39"/>
      <c r="M471" s="38"/>
      <c r="N471" s="39"/>
      <c r="O471" s="40"/>
      <c r="P471" s="34"/>
      <c r="Q471" s="35"/>
      <c r="R471" s="35"/>
      <c r="S471" s="35"/>
      <c r="T471" s="35"/>
      <c r="U471" s="35"/>
      <c r="V471" s="35"/>
      <c r="W471" s="35"/>
      <c r="X471" s="35"/>
      <c r="Y471" s="35"/>
      <c r="Z471" s="35"/>
    </row>
    <row r="472" ht="14.25" customHeight="1">
      <c r="A472" s="83"/>
      <c r="B472" s="84"/>
      <c r="C472" s="108"/>
      <c r="D472" s="102"/>
      <c r="E472" s="117"/>
      <c r="F472" s="250"/>
      <c r="G472" s="250"/>
      <c r="H472" s="523"/>
      <c r="I472" s="36"/>
      <c r="J472" s="37"/>
      <c r="K472" s="38"/>
      <c r="L472" s="39"/>
      <c r="M472" s="38"/>
      <c r="N472" s="39"/>
      <c r="O472" s="40"/>
      <c r="P472" s="34"/>
      <c r="Q472" s="35"/>
      <c r="R472" s="35"/>
      <c r="S472" s="35"/>
      <c r="T472" s="35"/>
      <c r="U472" s="35"/>
      <c r="V472" s="35"/>
      <c r="W472" s="35"/>
      <c r="X472" s="35"/>
      <c r="Y472" s="35"/>
      <c r="Z472" s="35"/>
    </row>
    <row r="473" ht="14.25" customHeight="1">
      <c r="A473" s="83"/>
      <c r="B473" s="84"/>
      <c r="C473" s="108"/>
      <c r="D473" s="102"/>
      <c r="E473" s="117"/>
      <c r="F473" s="250"/>
      <c r="G473" s="250"/>
      <c r="H473" s="523"/>
      <c r="I473" s="36"/>
      <c r="J473" s="37"/>
      <c r="K473" s="38"/>
      <c r="L473" s="39"/>
      <c r="M473" s="38"/>
      <c r="N473" s="39"/>
      <c r="O473" s="40"/>
      <c r="P473" s="34"/>
      <c r="Q473" s="35"/>
      <c r="R473" s="35"/>
      <c r="S473" s="35"/>
      <c r="T473" s="35"/>
      <c r="U473" s="35"/>
      <c r="V473" s="35"/>
      <c r="W473" s="35"/>
      <c r="X473" s="35"/>
      <c r="Y473" s="35"/>
      <c r="Z473" s="35"/>
    </row>
    <row r="474" ht="14.25" customHeight="1">
      <c r="A474" s="83"/>
      <c r="B474" s="84"/>
      <c r="C474" s="108"/>
      <c r="D474" s="102"/>
      <c r="E474" s="117"/>
      <c r="F474" s="250"/>
      <c r="G474" s="250"/>
      <c r="H474" s="523"/>
      <c r="I474" s="36"/>
      <c r="J474" s="37"/>
      <c r="K474" s="38"/>
      <c r="L474" s="39"/>
      <c r="M474" s="38"/>
      <c r="N474" s="39"/>
      <c r="O474" s="40"/>
      <c r="P474" s="34"/>
      <c r="Q474" s="35"/>
      <c r="R474" s="35"/>
      <c r="S474" s="35"/>
      <c r="T474" s="35"/>
      <c r="U474" s="35"/>
      <c r="V474" s="35"/>
      <c r="W474" s="35"/>
      <c r="X474" s="35"/>
      <c r="Y474" s="35"/>
      <c r="Z474" s="35"/>
    </row>
    <row r="475" ht="14.25" customHeight="1">
      <c r="A475" s="83"/>
      <c r="B475" s="84"/>
      <c r="C475" s="108"/>
      <c r="D475" s="102"/>
      <c r="E475" s="117"/>
      <c r="F475" s="250"/>
      <c r="G475" s="250"/>
      <c r="H475" s="523"/>
      <c r="I475" s="36"/>
      <c r="J475" s="37"/>
      <c r="K475" s="38"/>
      <c r="L475" s="39"/>
      <c r="M475" s="38"/>
      <c r="N475" s="39"/>
      <c r="O475" s="40"/>
      <c r="P475" s="34"/>
      <c r="Q475" s="35"/>
      <c r="R475" s="35"/>
      <c r="S475" s="35"/>
      <c r="T475" s="35"/>
      <c r="U475" s="35"/>
      <c r="V475" s="35"/>
      <c r="W475" s="35"/>
      <c r="X475" s="35"/>
      <c r="Y475" s="35"/>
      <c r="Z475" s="35"/>
    </row>
    <row r="476" ht="14.25" customHeight="1">
      <c r="A476" s="83"/>
      <c r="B476" s="84"/>
      <c r="C476" s="108"/>
      <c r="D476" s="102"/>
      <c r="E476" s="117"/>
      <c r="F476" s="250"/>
      <c r="G476" s="250"/>
      <c r="H476" s="523"/>
      <c r="I476" s="36"/>
      <c r="J476" s="37"/>
      <c r="K476" s="38"/>
      <c r="L476" s="39"/>
      <c r="M476" s="38"/>
      <c r="N476" s="39"/>
      <c r="O476" s="40"/>
      <c r="P476" s="34"/>
      <c r="Q476" s="35"/>
      <c r="R476" s="35"/>
      <c r="S476" s="35"/>
      <c r="T476" s="35"/>
      <c r="U476" s="35"/>
      <c r="V476" s="35"/>
      <c r="W476" s="35"/>
      <c r="X476" s="35"/>
      <c r="Y476" s="35"/>
      <c r="Z476" s="35"/>
    </row>
    <row r="477" ht="14.25" customHeight="1">
      <c r="A477" s="83"/>
      <c r="B477" s="84"/>
      <c r="C477" s="108"/>
      <c r="D477" s="102"/>
      <c r="E477" s="117"/>
      <c r="F477" s="250"/>
      <c r="G477" s="250"/>
      <c r="H477" s="523"/>
      <c r="I477" s="36"/>
      <c r="J477" s="37"/>
      <c r="K477" s="38"/>
      <c r="L477" s="39"/>
      <c r="M477" s="38"/>
      <c r="N477" s="39"/>
      <c r="O477" s="40"/>
      <c r="P477" s="34"/>
      <c r="Q477" s="35"/>
      <c r="R477" s="35"/>
      <c r="S477" s="35"/>
      <c r="T477" s="35"/>
      <c r="U477" s="35"/>
      <c r="V477" s="35"/>
      <c r="W477" s="35"/>
      <c r="X477" s="35"/>
      <c r="Y477" s="35"/>
      <c r="Z477" s="35"/>
    </row>
    <row r="478" ht="14.25" customHeight="1">
      <c r="A478" s="83"/>
      <c r="B478" s="84"/>
      <c r="C478" s="108"/>
      <c r="D478" s="102"/>
      <c r="E478" s="117"/>
      <c r="F478" s="250"/>
      <c r="G478" s="250"/>
      <c r="H478" s="523"/>
      <c r="I478" s="36"/>
      <c r="J478" s="37"/>
      <c r="K478" s="38"/>
      <c r="L478" s="39"/>
      <c r="M478" s="38"/>
      <c r="N478" s="39"/>
      <c r="O478" s="40"/>
      <c r="P478" s="34"/>
      <c r="Q478" s="35"/>
      <c r="R478" s="35"/>
      <c r="S478" s="35"/>
      <c r="T478" s="35"/>
      <c r="U478" s="35"/>
      <c r="V478" s="35"/>
      <c r="W478" s="35"/>
      <c r="X478" s="35"/>
      <c r="Y478" s="35"/>
      <c r="Z478" s="35"/>
    </row>
    <row r="479" ht="14.25" customHeight="1">
      <c r="A479" s="83"/>
      <c r="B479" s="84"/>
      <c r="C479" s="108"/>
      <c r="D479" s="102"/>
      <c r="E479" s="117"/>
      <c r="F479" s="250"/>
      <c r="G479" s="250"/>
      <c r="H479" s="523"/>
      <c r="I479" s="36"/>
      <c r="J479" s="37"/>
      <c r="K479" s="38"/>
      <c r="L479" s="39"/>
      <c r="M479" s="38"/>
      <c r="N479" s="39"/>
      <c r="O479" s="40"/>
      <c r="P479" s="34"/>
      <c r="Q479" s="35"/>
      <c r="R479" s="35"/>
      <c r="S479" s="35"/>
      <c r="T479" s="35"/>
      <c r="U479" s="35"/>
      <c r="V479" s="35"/>
      <c r="W479" s="35"/>
      <c r="X479" s="35"/>
      <c r="Y479" s="35"/>
      <c r="Z479" s="35"/>
    </row>
    <row r="480" ht="14.25" customHeight="1">
      <c r="A480" s="83"/>
      <c r="B480" s="84"/>
      <c r="C480" s="108"/>
      <c r="D480" s="102"/>
      <c r="E480" s="117"/>
      <c r="F480" s="250"/>
      <c r="G480" s="250"/>
      <c r="H480" s="523"/>
      <c r="I480" s="36"/>
      <c r="J480" s="37"/>
      <c r="K480" s="38"/>
      <c r="L480" s="39"/>
      <c r="M480" s="38"/>
      <c r="N480" s="39"/>
      <c r="O480" s="40"/>
      <c r="P480" s="34"/>
      <c r="Q480" s="35"/>
      <c r="R480" s="35"/>
      <c r="S480" s="35"/>
      <c r="T480" s="35"/>
      <c r="U480" s="35"/>
      <c r="V480" s="35"/>
      <c r="W480" s="35"/>
      <c r="X480" s="35"/>
      <c r="Y480" s="35"/>
      <c r="Z480" s="35"/>
    </row>
    <row r="481" ht="14.25" customHeight="1">
      <c r="A481" s="83"/>
      <c r="B481" s="84"/>
      <c r="C481" s="108"/>
      <c r="D481" s="102"/>
      <c r="E481" s="117"/>
      <c r="F481" s="250"/>
      <c r="G481" s="250"/>
      <c r="H481" s="523"/>
      <c r="I481" s="36"/>
      <c r="J481" s="37"/>
      <c r="K481" s="38"/>
      <c r="L481" s="39"/>
      <c r="M481" s="38"/>
      <c r="N481" s="39"/>
      <c r="O481" s="40"/>
      <c r="P481" s="34"/>
      <c r="Q481" s="35"/>
      <c r="R481" s="35"/>
      <c r="S481" s="35"/>
      <c r="T481" s="35"/>
      <c r="U481" s="35"/>
      <c r="V481" s="35"/>
      <c r="W481" s="35"/>
      <c r="X481" s="35"/>
      <c r="Y481" s="35"/>
      <c r="Z481" s="35"/>
    </row>
    <row r="482" ht="14.25" customHeight="1">
      <c r="A482" s="83"/>
      <c r="B482" s="84"/>
      <c r="C482" s="108"/>
      <c r="D482" s="102"/>
      <c r="E482" s="117"/>
      <c r="F482" s="250"/>
      <c r="G482" s="250"/>
      <c r="H482" s="523"/>
      <c r="I482" s="36"/>
      <c r="J482" s="37"/>
      <c r="K482" s="38"/>
      <c r="L482" s="39"/>
      <c r="M482" s="38"/>
      <c r="N482" s="39"/>
      <c r="O482" s="40"/>
      <c r="P482" s="34"/>
      <c r="Q482" s="35"/>
      <c r="R482" s="35"/>
      <c r="S482" s="35"/>
      <c r="T482" s="35"/>
      <c r="U482" s="35"/>
      <c r="V482" s="35"/>
      <c r="W482" s="35"/>
      <c r="X482" s="35"/>
      <c r="Y482" s="35"/>
      <c r="Z482" s="35"/>
    </row>
    <row r="483" ht="14.25" customHeight="1">
      <c r="A483" s="83"/>
      <c r="B483" s="84"/>
      <c r="C483" s="108"/>
      <c r="D483" s="102"/>
      <c r="E483" s="117"/>
      <c r="F483" s="250"/>
      <c r="G483" s="250"/>
      <c r="H483" s="523"/>
      <c r="I483" s="36"/>
      <c r="J483" s="37"/>
      <c r="K483" s="38"/>
      <c r="L483" s="39"/>
      <c r="M483" s="38"/>
      <c r="N483" s="39"/>
      <c r="O483" s="40"/>
      <c r="P483" s="34"/>
      <c r="Q483" s="35"/>
      <c r="R483" s="35"/>
      <c r="S483" s="35"/>
      <c r="T483" s="35"/>
      <c r="U483" s="35"/>
      <c r="V483" s="35"/>
      <c r="W483" s="35"/>
      <c r="X483" s="35"/>
      <c r="Y483" s="35"/>
      <c r="Z483" s="35"/>
    </row>
    <row r="484" ht="14.25" customHeight="1">
      <c r="A484" s="83"/>
      <c r="B484" s="84"/>
      <c r="C484" s="108"/>
      <c r="D484" s="102"/>
      <c r="E484" s="117"/>
      <c r="F484" s="250"/>
      <c r="G484" s="250"/>
      <c r="H484" s="523"/>
      <c r="I484" s="36"/>
      <c r="J484" s="37"/>
      <c r="K484" s="38"/>
      <c r="L484" s="39"/>
      <c r="M484" s="38"/>
      <c r="N484" s="39"/>
      <c r="O484" s="40"/>
      <c r="P484" s="34"/>
      <c r="Q484" s="35"/>
      <c r="R484" s="35"/>
      <c r="S484" s="35"/>
      <c r="T484" s="35"/>
      <c r="U484" s="35"/>
      <c r="V484" s="35"/>
      <c r="W484" s="35"/>
      <c r="X484" s="35"/>
      <c r="Y484" s="35"/>
      <c r="Z484" s="35"/>
    </row>
    <row r="485" ht="14.25" customHeight="1">
      <c r="A485" s="83"/>
      <c r="B485" s="84"/>
      <c r="C485" s="108"/>
      <c r="D485" s="102"/>
      <c r="E485" s="117"/>
      <c r="F485" s="250"/>
      <c r="G485" s="250"/>
      <c r="H485" s="523"/>
      <c r="I485" s="36"/>
      <c r="J485" s="37"/>
      <c r="K485" s="38"/>
      <c r="L485" s="39"/>
      <c r="M485" s="38"/>
      <c r="N485" s="39"/>
      <c r="O485" s="40"/>
      <c r="P485" s="34"/>
      <c r="Q485" s="35"/>
      <c r="R485" s="35"/>
      <c r="S485" s="35"/>
      <c r="T485" s="35"/>
      <c r="U485" s="35"/>
      <c r="V485" s="35"/>
      <c r="W485" s="35"/>
      <c r="X485" s="35"/>
      <c r="Y485" s="35"/>
      <c r="Z485" s="35"/>
    </row>
    <row r="486" ht="14.25" customHeight="1">
      <c r="A486" s="83"/>
      <c r="B486" s="84"/>
      <c r="C486" s="108"/>
      <c r="D486" s="102"/>
      <c r="E486" s="117"/>
      <c r="F486" s="250"/>
      <c r="G486" s="250"/>
      <c r="H486" s="523"/>
      <c r="I486" s="36"/>
      <c r="J486" s="37"/>
      <c r="K486" s="38"/>
      <c r="L486" s="39"/>
      <c r="M486" s="38"/>
      <c r="N486" s="39"/>
      <c r="O486" s="40"/>
      <c r="P486" s="34"/>
      <c r="Q486" s="35"/>
      <c r="R486" s="35"/>
      <c r="S486" s="35"/>
      <c r="T486" s="35"/>
      <c r="U486" s="35"/>
      <c r="V486" s="35"/>
      <c r="W486" s="35"/>
      <c r="X486" s="35"/>
      <c r="Y486" s="35"/>
      <c r="Z486" s="35"/>
    </row>
    <row r="487" ht="14.25" customHeight="1">
      <c r="A487" s="83"/>
      <c r="B487" s="84"/>
      <c r="C487" s="108"/>
      <c r="D487" s="102"/>
      <c r="E487" s="117"/>
      <c r="F487" s="250"/>
      <c r="G487" s="250"/>
      <c r="H487" s="523"/>
      <c r="I487" s="36"/>
      <c r="J487" s="37"/>
      <c r="K487" s="38"/>
      <c r="L487" s="39"/>
      <c r="M487" s="38"/>
      <c r="N487" s="39"/>
      <c r="O487" s="40"/>
      <c r="P487" s="34"/>
      <c r="Q487" s="35"/>
      <c r="R487" s="35"/>
      <c r="S487" s="35"/>
      <c r="T487" s="35"/>
      <c r="U487" s="35"/>
      <c r="V487" s="35"/>
      <c r="W487" s="35"/>
      <c r="X487" s="35"/>
      <c r="Y487" s="35"/>
      <c r="Z487" s="35"/>
    </row>
    <row r="488" ht="14.25" customHeight="1">
      <c r="A488" s="83"/>
      <c r="B488" s="84"/>
      <c r="C488" s="108"/>
      <c r="D488" s="102"/>
      <c r="E488" s="117"/>
      <c r="F488" s="250"/>
      <c r="G488" s="250"/>
      <c r="H488" s="523"/>
      <c r="I488" s="36"/>
      <c r="J488" s="37"/>
      <c r="K488" s="38"/>
      <c r="L488" s="39"/>
      <c r="M488" s="38"/>
      <c r="N488" s="39"/>
      <c r="O488" s="40"/>
      <c r="P488" s="34"/>
      <c r="Q488" s="35"/>
      <c r="R488" s="35"/>
      <c r="S488" s="35"/>
      <c r="T488" s="35"/>
      <c r="U488" s="35"/>
      <c r="V488" s="35"/>
      <c r="W488" s="35"/>
      <c r="X488" s="35"/>
      <c r="Y488" s="35"/>
      <c r="Z488" s="35"/>
    </row>
    <row r="489" ht="14.25" customHeight="1">
      <c r="A489" s="83"/>
      <c r="B489" s="84"/>
      <c r="C489" s="108"/>
      <c r="D489" s="102"/>
      <c r="E489" s="117"/>
      <c r="F489" s="250"/>
      <c r="G489" s="250"/>
      <c r="H489" s="523"/>
      <c r="I489" s="36"/>
      <c r="J489" s="37"/>
      <c r="K489" s="38"/>
      <c r="L489" s="39"/>
      <c r="M489" s="38"/>
      <c r="N489" s="39"/>
      <c r="O489" s="40"/>
      <c r="P489" s="34"/>
      <c r="Q489" s="35"/>
      <c r="R489" s="35"/>
      <c r="S489" s="35"/>
      <c r="T489" s="35"/>
      <c r="U489" s="35"/>
      <c r="V489" s="35"/>
      <c r="W489" s="35"/>
      <c r="X489" s="35"/>
      <c r="Y489" s="35"/>
      <c r="Z489" s="35"/>
    </row>
    <row r="490" ht="14.25" customHeight="1">
      <c r="A490" s="83"/>
      <c r="B490" s="84"/>
      <c r="C490" s="108"/>
      <c r="D490" s="102"/>
      <c r="E490" s="117"/>
      <c r="F490" s="250"/>
      <c r="G490" s="250"/>
      <c r="H490" s="523"/>
      <c r="I490" s="36"/>
      <c r="J490" s="37"/>
      <c r="K490" s="38"/>
      <c r="L490" s="39"/>
      <c r="M490" s="38"/>
      <c r="N490" s="39"/>
      <c r="O490" s="40"/>
      <c r="P490" s="34"/>
      <c r="Q490" s="35"/>
      <c r="R490" s="35"/>
      <c r="S490" s="35"/>
      <c r="T490" s="35"/>
      <c r="U490" s="35"/>
      <c r="V490" s="35"/>
      <c r="W490" s="35"/>
      <c r="X490" s="35"/>
      <c r="Y490" s="35"/>
      <c r="Z490" s="35"/>
    </row>
    <row r="491" ht="14.25" customHeight="1">
      <c r="A491" s="83"/>
      <c r="B491" s="84"/>
      <c r="C491" s="108"/>
      <c r="D491" s="102"/>
      <c r="E491" s="117"/>
      <c r="F491" s="250"/>
      <c r="G491" s="250"/>
      <c r="H491" s="523"/>
      <c r="I491" s="36"/>
      <c r="J491" s="37"/>
      <c r="K491" s="38"/>
      <c r="L491" s="39"/>
      <c r="M491" s="38"/>
      <c r="N491" s="39"/>
      <c r="O491" s="40"/>
      <c r="P491" s="34"/>
      <c r="Q491" s="35"/>
      <c r="R491" s="35"/>
      <c r="S491" s="35"/>
      <c r="T491" s="35"/>
      <c r="U491" s="35"/>
      <c r="V491" s="35"/>
      <c r="W491" s="35"/>
      <c r="X491" s="35"/>
      <c r="Y491" s="35"/>
      <c r="Z491" s="35"/>
    </row>
    <row r="492" ht="14.25" customHeight="1">
      <c r="A492" s="83"/>
      <c r="B492" s="84"/>
      <c r="C492" s="108"/>
      <c r="D492" s="102"/>
      <c r="E492" s="117"/>
      <c r="F492" s="250"/>
      <c r="G492" s="250"/>
      <c r="H492" s="523"/>
      <c r="I492" s="36"/>
      <c r="J492" s="37"/>
      <c r="K492" s="38"/>
      <c r="L492" s="39"/>
      <c r="M492" s="38"/>
      <c r="N492" s="39"/>
      <c r="O492" s="40"/>
      <c r="P492" s="34"/>
      <c r="Q492" s="35"/>
      <c r="R492" s="35"/>
      <c r="S492" s="35"/>
      <c r="T492" s="35"/>
      <c r="U492" s="35"/>
      <c r="V492" s="35"/>
      <c r="W492" s="35"/>
      <c r="X492" s="35"/>
      <c r="Y492" s="35"/>
      <c r="Z492" s="35"/>
    </row>
    <row r="493" ht="14.25" customHeight="1">
      <c r="A493" s="83"/>
      <c r="B493" s="84"/>
      <c r="C493" s="108"/>
      <c r="D493" s="102"/>
      <c r="E493" s="117"/>
      <c r="F493" s="250"/>
      <c r="G493" s="250"/>
      <c r="H493" s="523"/>
      <c r="I493" s="36"/>
      <c r="J493" s="37"/>
      <c r="K493" s="38"/>
      <c r="L493" s="39"/>
      <c r="M493" s="38"/>
      <c r="N493" s="39"/>
      <c r="O493" s="40"/>
      <c r="P493" s="34"/>
      <c r="Q493" s="35"/>
      <c r="R493" s="35"/>
      <c r="S493" s="35"/>
      <c r="T493" s="35"/>
      <c r="U493" s="35"/>
      <c r="V493" s="35"/>
      <c r="W493" s="35"/>
      <c r="X493" s="35"/>
      <c r="Y493" s="35"/>
      <c r="Z493" s="35"/>
    </row>
    <row r="494" ht="14.25" customHeight="1">
      <c r="A494" s="83"/>
      <c r="B494" s="84"/>
      <c r="C494" s="108"/>
      <c r="D494" s="102"/>
      <c r="E494" s="117"/>
      <c r="F494" s="250"/>
      <c r="G494" s="250"/>
      <c r="H494" s="523"/>
      <c r="I494" s="36"/>
      <c r="J494" s="37"/>
      <c r="K494" s="38"/>
      <c r="L494" s="39"/>
      <c r="M494" s="38"/>
      <c r="N494" s="39"/>
      <c r="O494" s="40"/>
      <c r="P494" s="34"/>
      <c r="Q494" s="35"/>
      <c r="R494" s="35"/>
      <c r="S494" s="35"/>
      <c r="T494" s="35"/>
      <c r="U494" s="35"/>
      <c r="V494" s="35"/>
      <c r="W494" s="35"/>
      <c r="X494" s="35"/>
      <c r="Y494" s="35"/>
      <c r="Z494" s="35"/>
    </row>
    <row r="495" ht="14.25" customHeight="1">
      <c r="A495" s="83"/>
      <c r="B495" s="84"/>
      <c r="C495" s="108"/>
      <c r="D495" s="102"/>
      <c r="E495" s="117"/>
      <c r="F495" s="250"/>
      <c r="G495" s="250"/>
      <c r="H495" s="523"/>
      <c r="I495" s="36"/>
      <c r="J495" s="37"/>
      <c r="K495" s="38"/>
      <c r="L495" s="39"/>
      <c r="M495" s="38"/>
      <c r="N495" s="39"/>
      <c r="O495" s="40"/>
      <c r="P495" s="34"/>
      <c r="Q495" s="35"/>
      <c r="R495" s="35"/>
      <c r="S495" s="35"/>
      <c r="T495" s="35"/>
      <c r="U495" s="35"/>
      <c r="V495" s="35"/>
      <c r="W495" s="35"/>
      <c r="X495" s="35"/>
      <c r="Y495" s="35"/>
      <c r="Z495" s="35"/>
    </row>
    <row r="496" ht="14.25" customHeight="1">
      <c r="A496" s="83"/>
      <c r="B496" s="84"/>
      <c r="C496" s="108"/>
      <c r="D496" s="102"/>
      <c r="E496" s="117"/>
      <c r="F496" s="250"/>
      <c r="G496" s="250"/>
      <c r="H496" s="523"/>
      <c r="I496" s="36"/>
      <c r="J496" s="37"/>
      <c r="K496" s="38"/>
      <c r="L496" s="39"/>
      <c r="M496" s="38"/>
      <c r="N496" s="39"/>
      <c r="O496" s="40"/>
      <c r="P496" s="34"/>
      <c r="Q496" s="35"/>
      <c r="R496" s="35"/>
      <c r="S496" s="35"/>
      <c r="T496" s="35"/>
      <c r="U496" s="35"/>
      <c r="V496" s="35"/>
      <c r="W496" s="35"/>
      <c r="X496" s="35"/>
      <c r="Y496" s="35"/>
      <c r="Z496" s="35"/>
    </row>
    <row r="497" ht="14.25" customHeight="1">
      <c r="A497" s="83"/>
      <c r="B497" s="84"/>
      <c r="C497" s="108"/>
      <c r="D497" s="102"/>
      <c r="E497" s="117"/>
      <c r="F497" s="250"/>
      <c r="G497" s="250"/>
      <c r="H497" s="523"/>
      <c r="I497" s="36"/>
      <c r="J497" s="37"/>
      <c r="K497" s="38"/>
      <c r="L497" s="39"/>
      <c r="M497" s="38"/>
      <c r="N497" s="39"/>
      <c r="O497" s="40"/>
      <c r="P497" s="34"/>
      <c r="Q497" s="35"/>
      <c r="R497" s="35"/>
      <c r="S497" s="35"/>
      <c r="T497" s="35"/>
      <c r="U497" s="35"/>
      <c r="V497" s="35"/>
      <c r="W497" s="35"/>
      <c r="X497" s="35"/>
      <c r="Y497" s="35"/>
      <c r="Z497" s="35"/>
    </row>
    <row r="498" ht="14.25" customHeight="1">
      <c r="A498" s="83"/>
      <c r="B498" s="84"/>
      <c r="C498" s="108"/>
      <c r="D498" s="102"/>
      <c r="E498" s="117"/>
      <c r="F498" s="250"/>
      <c r="G498" s="250"/>
      <c r="H498" s="523"/>
      <c r="I498" s="36"/>
      <c r="J498" s="37"/>
      <c r="K498" s="38"/>
      <c r="L498" s="39"/>
      <c r="M498" s="38"/>
      <c r="N498" s="39"/>
      <c r="O498" s="40"/>
      <c r="P498" s="34"/>
      <c r="Q498" s="35"/>
      <c r="R498" s="35"/>
      <c r="S498" s="35"/>
      <c r="T498" s="35"/>
      <c r="U498" s="35"/>
      <c r="V498" s="35"/>
      <c r="W498" s="35"/>
      <c r="X498" s="35"/>
      <c r="Y498" s="35"/>
      <c r="Z498" s="35"/>
    </row>
    <row r="499" ht="14.25" customHeight="1">
      <c r="A499" s="83"/>
      <c r="B499" s="84"/>
      <c r="C499" s="108"/>
      <c r="D499" s="102"/>
      <c r="E499" s="117"/>
      <c r="F499" s="250"/>
      <c r="G499" s="250"/>
      <c r="H499" s="523"/>
      <c r="I499" s="36"/>
      <c r="J499" s="37"/>
      <c r="K499" s="38"/>
      <c r="L499" s="39"/>
      <c r="M499" s="38"/>
      <c r="N499" s="39"/>
      <c r="O499" s="40"/>
      <c r="P499" s="34"/>
      <c r="Q499" s="35"/>
      <c r="R499" s="35"/>
      <c r="S499" s="35"/>
      <c r="T499" s="35"/>
      <c r="U499" s="35"/>
      <c r="V499" s="35"/>
      <c r="W499" s="35"/>
      <c r="X499" s="35"/>
      <c r="Y499" s="35"/>
      <c r="Z499" s="35"/>
    </row>
    <row r="500" ht="14.25" customHeight="1">
      <c r="A500" s="83"/>
      <c r="B500" s="84"/>
      <c r="C500" s="108"/>
      <c r="D500" s="102"/>
      <c r="E500" s="117"/>
      <c r="F500" s="250"/>
      <c r="G500" s="250"/>
      <c r="H500" s="523"/>
      <c r="I500" s="36"/>
      <c r="J500" s="37"/>
      <c r="K500" s="38"/>
      <c r="L500" s="39"/>
      <c r="M500" s="38"/>
      <c r="N500" s="39"/>
      <c r="O500" s="40"/>
      <c r="P500" s="34"/>
      <c r="Q500" s="35"/>
      <c r="R500" s="35"/>
      <c r="S500" s="35"/>
      <c r="T500" s="35"/>
      <c r="U500" s="35"/>
      <c r="V500" s="35"/>
      <c r="W500" s="35"/>
      <c r="X500" s="35"/>
      <c r="Y500" s="35"/>
      <c r="Z500" s="35"/>
    </row>
    <row r="501" ht="14.25" customHeight="1">
      <c r="A501" s="83"/>
      <c r="B501" s="84"/>
      <c r="C501" s="108"/>
      <c r="D501" s="102"/>
      <c r="E501" s="117"/>
      <c r="F501" s="250"/>
      <c r="G501" s="250"/>
      <c r="H501" s="523"/>
      <c r="I501" s="36"/>
      <c r="J501" s="37"/>
      <c r="K501" s="38"/>
      <c r="L501" s="39"/>
      <c r="M501" s="38"/>
      <c r="N501" s="39"/>
      <c r="O501" s="40"/>
      <c r="P501" s="34"/>
      <c r="Q501" s="35"/>
      <c r="R501" s="35"/>
      <c r="S501" s="35"/>
      <c r="T501" s="35"/>
      <c r="U501" s="35"/>
      <c r="V501" s="35"/>
      <c r="W501" s="35"/>
      <c r="X501" s="35"/>
      <c r="Y501" s="35"/>
      <c r="Z501" s="35"/>
    </row>
    <row r="502" ht="14.25" customHeight="1">
      <c r="A502" s="83"/>
      <c r="B502" s="84"/>
      <c r="C502" s="108"/>
      <c r="D502" s="102"/>
      <c r="E502" s="117"/>
      <c r="F502" s="250"/>
      <c r="G502" s="250"/>
      <c r="H502" s="523"/>
      <c r="I502" s="36"/>
      <c r="J502" s="37"/>
      <c r="K502" s="38"/>
      <c r="L502" s="39"/>
      <c r="M502" s="38"/>
      <c r="N502" s="39"/>
      <c r="O502" s="40"/>
      <c r="P502" s="34"/>
      <c r="Q502" s="35"/>
      <c r="R502" s="35"/>
      <c r="S502" s="35"/>
      <c r="T502" s="35"/>
      <c r="U502" s="35"/>
      <c r="V502" s="35"/>
      <c r="W502" s="35"/>
      <c r="X502" s="35"/>
      <c r="Y502" s="35"/>
      <c r="Z502" s="35"/>
    </row>
    <row r="503" ht="14.25" customHeight="1">
      <c r="A503" s="83"/>
      <c r="B503" s="84"/>
      <c r="C503" s="108"/>
      <c r="D503" s="102"/>
      <c r="E503" s="117"/>
      <c r="F503" s="250"/>
      <c r="G503" s="250"/>
      <c r="H503" s="523"/>
      <c r="I503" s="36"/>
      <c r="J503" s="37"/>
      <c r="K503" s="38"/>
      <c r="L503" s="39"/>
      <c r="M503" s="38"/>
      <c r="N503" s="39"/>
      <c r="O503" s="40"/>
      <c r="P503" s="34"/>
      <c r="Q503" s="35"/>
      <c r="R503" s="35"/>
      <c r="S503" s="35"/>
      <c r="T503" s="35"/>
      <c r="U503" s="35"/>
      <c r="V503" s="35"/>
      <c r="W503" s="35"/>
      <c r="X503" s="35"/>
      <c r="Y503" s="35"/>
      <c r="Z503" s="35"/>
    </row>
    <row r="504" ht="14.25" customHeight="1">
      <c r="A504" s="83"/>
      <c r="B504" s="84"/>
      <c r="C504" s="108"/>
      <c r="D504" s="102"/>
      <c r="E504" s="117"/>
      <c r="F504" s="250"/>
      <c r="G504" s="250"/>
      <c r="H504" s="523"/>
      <c r="I504" s="36"/>
      <c r="J504" s="37"/>
      <c r="K504" s="38"/>
      <c r="L504" s="39"/>
      <c r="M504" s="38"/>
      <c r="N504" s="39"/>
      <c r="O504" s="40"/>
      <c r="P504" s="34"/>
      <c r="Q504" s="35"/>
      <c r="R504" s="35"/>
      <c r="S504" s="35"/>
      <c r="T504" s="35"/>
      <c r="U504" s="35"/>
      <c r="V504" s="35"/>
      <c r="W504" s="35"/>
      <c r="X504" s="35"/>
      <c r="Y504" s="35"/>
      <c r="Z504" s="35"/>
    </row>
    <row r="505" ht="14.25" customHeight="1">
      <c r="A505" s="83"/>
      <c r="B505" s="84"/>
      <c r="C505" s="108"/>
      <c r="D505" s="102"/>
      <c r="E505" s="117"/>
      <c r="F505" s="250"/>
      <c r="G505" s="250"/>
      <c r="H505" s="523"/>
      <c r="I505" s="36"/>
      <c r="J505" s="37"/>
      <c r="K505" s="38"/>
      <c r="L505" s="39"/>
      <c r="M505" s="38"/>
      <c r="N505" s="39"/>
      <c r="O505" s="40"/>
      <c r="P505" s="34"/>
      <c r="Q505" s="35"/>
      <c r="R505" s="35"/>
      <c r="S505" s="35"/>
      <c r="T505" s="35"/>
      <c r="U505" s="35"/>
      <c r="V505" s="35"/>
      <c r="W505" s="35"/>
      <c r="X505" s="35"/>
      <c r="Y505" s="35"/>
      <c r="Z505" s="35"/>
    </row>
    <row r="506" ht="14.25" customHeight="1">
      <c r="A506" s="83"/>
      <c r="B506" s="84"/>
      <c r="C506" s="108"/>
      <c r="D506" s="102"/>
      <c r="E506" s="117"/>
      <c r="F506" s="250"/>
      <c r="G506" s="250"/>
      <c r="H506" s="523"/>
      <c r="I506" s="36"/>
      <c r="J506" s="37"/>
      <c r="K506" s="38"/>
      <c r="L506" s="39"/>
      <c r="M506" s="38"/>
      <c r="N506" s="39"/>
      <c r="O506" s="40"/>
      <c r="P506" s="34"/>
      <c r="Q506" s="35"/>
      <c r="R506" s="35"/>
      <c r="S506" s="35"/>
      <c r="T506" s="35"/>
      <c r="U506" s="35"/>
      <c r="V506" s="35"/>
      <c r="W506" s="35"/>
      <c r="X506" s="35"/>
      <c r="Y506" s="35"/>
      <c r="Z506" s="35"/>
    </row>
    <row r="507" ht="14.25" customHeight="1">
      <c r="A507" s="83"/>
      <c r="B507" s="84"/>
      <c r="C507" s="108"/>
      <c r="D507" s="102"/>
      <c r="E507" s="117"/>
      <c r="F507" s="250"/>
      <c r="G507" s="250"/>
      <c r="H507" s="523"/>
      <c r="I507" s="36"/>
      <c r="J507" s="37"/>
      <c r="K507" s="38"/>
      <c r="L507" s="39"/>
      <c r="M507" s="38"/>
      <c r="N507" s="39"/>
      <c r="O507" s="40"/>
      <c r="P507" s="34"/>
      <c r="Q507" s="35"/>
      <c r="R507" s="35"/>
      <c r="S507" s="35"/>
      <c r="T507" s="35"/>
      <c r="U507" s="35"/>
      <c r="V507" s="35"/>
      <c r="W507" s="35"/>
      <c r="X507" s="35"/>
      <c r="Y507" s="35"/>
      <c r="Z507" s="35"/>
    </row>
    <row r="508" ht="14.25" customHeight="1">
      <c r="A508" s="83"/>
      <c r="B508" s="84"/>
      <c r="C508" s="108"/>
      <c r="D508" s="102"/>
      <c r="E508" s="117"/>
      <c r="F508" s="250"/>
      <c r="G508" s="250"/>
      <c r="H508" s="523"/>
      <c r="I508" s="36"/>
      <c r="J508" s="37"/>
      <c r="K508" s="38"/>
      <c r="L508" s="39"/>
      <c r="M508" s="38"/>
      <c r="N508" s="39"/>
      <c r="O508" s="40"/>
      <c r="P508" s="34"/>
      <c r="Q508" s="35"/>
      <c r="R508" s="35"/>
      <c r="S508" s="35"/>
      <c r="T508" s="35"/>
      <c r="U508" s="35"/>
      <c r="V508" s="35"/>
      <c r="W508" s="35"/>
      <c r="X508" s="35"/>
      <c r="Y508" s="35"/>
      <c r="Z508" s="35"/>
    </row>
    <row r="509" ht="14.25" customHeight="1">
      <c r="A509" s="83"/>
      <c r="B509" s="84"/>
      <c r="C509" s="108"/>
      <c r="D509" s="102"/>
      <c r="E509" s="117"/>
      <c r="F509" s="250"/>
      <c r="G509" s="250"/>
      <c r="H509" s="523"/>
      <c r="I509" s="36"/>
      <c r="J509" s="37"/>
      <c r="K509" s="38"/>
      <c r="L509" s="39"/>
      <c r="M509" s="38"/>
      <c r="N509" s="39"/>
      <c r="O509" s="40"/>
      <c r="P509" s="34"/>
      <c r="Q509" s="35"/>
      <c r="R509" s="35"/>
      <c r="S509" s="35"/>
      <c r="T509" s="35"/>
      <c r="U509" s="35"/>
      <c r="V509" s="35"/>
      <c r="W509" s="35"/>
      <c r="X509" s="35"/>
      <c r="Y509" s="35"/>
      <c r="Z509" s="35"/>
    </row>
    <row r="510" ht="14.25" customHeight="1">
      <c r="A510" s="83"/>
      <c r="B510" s="84"/>
      <c r="C510" s="108"/>
      <c r="D510" s="102"/>
      <c r="E510" s="117"/>
      <c r="F510" s="250"/>
      <c r="G510" s="250"/>
      <c r="H510" s="523"/>
      <c r="I510" s="36"/>
      <c r="J510" s="37"/>
      <c r="K510" s="38"/>
      <c r="L510" s="39"/>
      <c r="M510" s="38"/>
      <c r="N510" s="39"/>
      <c r="O510" s="40"/>
      <c r="P510" s="34"/>
      <c r="Q510" s="35"/>
      <c r="R510" s="35"/>
      <c r="S510" s="35"/>
      <c r="T510" s="35"/>
      <c r="U510" s="35"/>
      <c r="V510" s="35"/>
      <c r="W510" s="35"/>
      <c r="X510" s="35"/>
      <c r="Y510" s="35"/>
      <c r="Z510" s="35"/>
    </row>
    <row r="511" ht="14.25" customHeight="1">
      <c r="A511" s="83"/>
      <c r="B511" s="84"/>
      <c r="C511" s="108"/>
      <c r="D511" s="102"/>
      <c r="E511" s="117"/>
      <c r="F511" s="250"/>
      <c r="G511" s="250"/>
      <c r="H511" s="523"/>
      <c r="I511" s="36"/>
      <c r="J511" s="37"/>
      <c r="K511" s="38"/>
      <c r="L511" s="39"/>
      <c r="M511" s="38"/>
      <c r="N511" s="39"/>
      <c r="O511" s="40"/>
      <c r="P511" s="34"/>
      <c r="Q511" s="35"/>
      <c r="R511" s="35"/>
      <c r="S511" s="35"/>
      <c r="T511" s="35"/>
      <c r="U511" s="35"/>
      <c r="V511" s="35"/>
      <c r="W511" s="35"/>
      <c r="X511" s="35"/>
      <c r="Y511" s="35"/>
      <c r="Z511" s="35"/>
    </row>
    <row r="512" ht="14.25" customHeight="1">
      <c r="A512" s="83"/>
      <c r="B512" s="84"/>
      <c r="C512" s="108"/>
      <c r="D512" s="102"/>
      <c r="E512" s="117"/>
      <c r="F512" s="250"/>
      <c r="G512" s="250"/>
      <c r="H512" s="523"/>
      <c r="I512" s="36"/>
      <c r="J512" s="37"/>
      <c r="K512" s="38"/>
      <c r="L512" s="39"/>
      <c r="M512" s="38"/>
      <c r="N512" s="39"/>
      <c r="O512" s="40"/>
      <c r="P512" s="34"/>
      <c r="Q512" s="35"/>
      <c r="R512" s="35"/>
      <c r="S512" s="35"/>
      <c r="T512" s="35"/>
      <c r="U512" s="35"/>
      <c r="V512" s="35"/>
      <c r="W512" s="35"/>
      <c r="X512" s="35"/>
      <c r="Y512" s="35"/>
      <c r="Z512" s="35"/>
    </row>
    <row r="513" ht="14.25" customHeight="1">
      <c r="A513" s="83"/>
      <c r="B513" s="84"/>
      <c r="C513" s="108"/>
      <c r="D513" s="102"/>
      <c r="E513" s="117"/>
      <c r="F513" s="250"/>
      <c r="G513" s="250"/>
      <c r="H513" s="523"/>
      <c r="I513" s="36"/>
      <c r="J513" s="37"/>
      <c r="K513" s="38"/>
      <c r="L513" s="39"/>
      <c r="M513" s="38"/>
      <c r="N513" s="39"/>
      <c r="O513" s="40"/>
      <c r="P513" s="34"/>
      <c r="Q513" s="35"/>
      <c r="R513" s="35"/>
      <c r="S513" s="35"/>
      <c r="T513" s="35"/>
      <c r="U513" s="35"/>
      <c r="V513" s="35"/>
      <c r="W513" s="35"/>
      <c r="X513" s="35"/>
      <c r="Y513" s="35"/>
      <c r="Z513" s="35"/>
    </row>
    <row r="514" ht="14.25" customHeight="1">
      <c r="A514" s="83"/>
      <c r="B514" s="84"/>
      <c r="C514" s="108"/>
      <c r="D514" s="102"/>
      <c r="E514" s="117"/>
      <c r="F514" s="250"/>
      <c r="G514" s="250"/>
      <c r="H514" s="523"/>
      <c r="I514" s="36"/>
      <c r="J514" s="37"/>
      <c r="K514" s="38"/>
      <c r="L514" s="39"/>
      <c r="M514" s="38"/>
      <c r="N514" s="39"/>
      <c r="O514" s="40"/>
      <c r="P514" s="34"/>
      <c r="Q514" s="35"/>
      <c r="R514" s="35"/>
      <c r="S514" s="35"/>
      <c r="T514" s="35"/>
      <c r="U514" s="35"/>
      <c r="V514" s="35"/>
      <c r="W514" s="35"/>
      <c r="X514" s="35"/>
      <c r="Y514" s="35"/>
      <c r="Z514" s="35"/>
    </row>
    <row r="515" ht="14.25" customHeight="1">
      <c r="A515" s="83"/>
      <c r="B515" s="84"/>
      <c r="C515" s="108"/>
      <c r="D515" s="102"/>
      <c r="E515" s="117"/>
      <c r="F515" s="250"/>
      <c r="G515" s="250"/>
      <c r="H515" s="523"/>
      <c r="I515" s="36"/>
      <c r="J515" s="37"/>
      <c r="K515" s="38"/>
      <c r="L515" s="39"/>
      <c r="M515" s="38"/>
      <c r="N515" s="39"/>
      <c r="O515" s="40"/>
      <c r="P515" s="34"/>
      <c r="Q515" s="35"/>
      <c r="R515" s="35"/>
      <c r="S515" s="35"/>
      <c r="T515" s="35"/>
      <c r="U515" s="35"/>
      <c r="V515" s="35"/>
      <c r="W515" s="35"/>
      <c r="X515" s="35"/>
      <c r="Y515" s="35"/>
      <c r="Z515" s="35"/>
    </row>
    <row r="516" ht="14.25" customHeight="1">
      <c r="A516" s="83"/>
      <c r="B516" s="84"/>
      <c r="C516" s="108"/>
      <c r="D516" s="102"/>
      <c r="E516" s="117"/>
      <c r="F516" s="250"/>
      <c r="G516" s="250"/>
      <c r="H516" s="523"/>
      <c r="I516" s="36"/>
      <c r="J516" s="37"/>
      <c r="K516" s="38"/>
      <c r="L516" s="39"/>
      <c r="M516" s="38"/>
      <c r="N516" s="39"/>
      <c r="O516" s="40"/>
      <c r="P516" s="34"/>
      <c r="Q516" s="35"/>
      <c r="R516" s="35"/>
      <c r="S516" s="35"/>
      <c r="T516" s="35"/>
      <c r="U516" s="35"/>
      <c r="V516" s="35"/>
      <c r="W516" s="35"/>
      <c r="X516" s="35"/>
      <c r="Y516" s="35"/>
      <c r="Z516" s="35"/>
    </row>
    <row r="517" ht="14.25" customHeight="1">
      <c r="A517" s="83"/>
      <c r="B517" s="84"/>
      <c r="C517" s="108"/>
      <c r="D517" s="102"/>
      <c r="E517" s="117"/>
      <c r="F517" s="250"/>
      <c r="G517" s="250"/>
      <c r="H517" s="523"/>
      <c r="I517" s="36"/>
      <c r="J517" s="37"/>
      <c r="K517" s="38"/>
      <c r="L517" s="39"/>
      <c r="M517" s="38"/>
      <c r="N517" s="39"/>
      <c r="O517" s="40"/>
      <c r="P517" s="34"/>
      <c r="Q517" s="35"/>
      <c r="R517" s="35"/>
      <c r="S517" s="35"/>
      <c r="T517" s="35"/>
      <c r="U517" s="35"/>
      <c r="V517" s="35"/>
      <c r="W517" s="35"/>
      <c r="X517" s="35"/>
      <c r="Y517" s="35"/>
      <c r="Z517" s="35"/>
    </row>
    <row r="518" ht="14.25" customHeight="1">
      <c r="A518" s="83"/>
      <c r="B518" s="84"/>
      <c r="C518" s="108"/>
      <c r="D518" s="102"/>
      <c r="E518" s="117"/>
      <c r="F518" s="250"/>
      <c r="G518" s="250"/>
      <c r="H518" s="523"/>
      <c r="I518" s="36"/>
      <c r="J518" s="37"/>
      <c r="K518" s="38"/>
      <c r="L518" s="39"/>
      <c r="M518" s="38"/>
      <c r="N518" s="39"/>
      <c r="O518" s="40"/>
      <c r="P518" s="34"/>
      <c r="Q518" s="35"/>
      <c r="R518" s="35"/>
      <c r="S518" s="35"/>
      <c r="T518" s="35"/>
      <c r="U518" s="35"/>
      <c r="V518" s="35"/>
      <c r="W518" s="35"/>
      <c r="X518" s="35"/>
      <c r="Y518" s="35"/>
      <c r="Z518" s="35"/>
    </row>
    <row r="519" ht="14.25" customHeight="1">
      <c r="A519" s="83"/>
      <c r="B519" s="84"/>
      <c r="C519" s="108"/>
      <c r="D519" s="102"/>
      <c r="E519" s="117"/>
      <c r="F519" s="250"/>
      <c r="G519" s="250"/>
      <c r="H519" s="523"/>
      <c r="I519" s="36"/>
      <c r="J519" s="37"/>
      <c r="K519" s="38"/>
      <c r="L519" s="39"/>
      <c r="M519" s="38"/>
      <c r="N519" s="39"/>
      <c r="O519" s="40"/>
      <c r="P519" s="34"/>
      <c r="Q519" s="35"/>
      <c r="R519" s="35"/>
      <c r="S519" s="35"/>
      <c r="T519" s="35"/>
      <c r="U519" s="35"/>
      <c r="V519" s="35"/>
      <c r="W519" s="35"/>
      <c r="X519" s="35"/>
      <c r="Y519" s="35"/>
      <c r="Z519" s="35"/>
    </row>
    <row r="520" ht="14.25" customHeight="1">
      <c r="A520" s="83"/>
      <c r="B520" s="84"/>
      <c r="C520" s="108"/>
      <c r="D520" s="102"/>
      <c r="E520" s="117"/>
      <c r="F520" s="250"/>
      <c r="G520" s="250"/>
      <c r="H520" s="523"/>
      <c r="I520" s="36"/>
      <c r="J520" s="37"/>
      <c r="K520" s="38"/>
      <c r="L520" s="39"/>
      <c r="M520" s="38"/>
      <c r="N520" s="39"/>
      <c r="O520" s="40"/>
      <c r="P520" s="34"/>
      <c r="Q520" s="35"/>
      <c r="R520" s="35"/>
      <c r="S520" s="35"/>
      <c r="T520" s="35"/>
      <c r="U520" s="35"/>
      <c r="V520" s="35"/>
      <c r="W520" s="35"/>
      <c r="X520" s="35"/>
      <c r="Y520" s="35"/>
      <c r="Z520" s="35"/>
    </row>
    <row r="521" ht="14.25" customHeight="1">
      <c r="A521" s="83"/>
      <c r="B521" s="84"/>
      <c r="C521" s="108"/>
      <c r="D521" s="102"/>
      <c r="E521" s="117"/>
      <c r="F521" s="250"/>
      <c r="G521" s="250"/>
      <c r="H521" s="523"/>
      <c r="I521" s="36"/>
      <c r="J521" s="37"/>
      <c r="K521" s="38"/>
      <c r="L521" s="39"/>
      <c r="M521" s="38"/>
      <c r="N521" s="39"/>
      <c r="O521" s="40"/>
      <c r="P521" s="34"/>
      <c r="Q521" s="35"/>
      <c r="R521" s="35"/>
      <c r="S521" s="35"/>
      <c r="T521" s="35"/>
      <c r="U521" s="35"/>
      <c r="V521" s="35"/>
      <c r="W521" s="35"/>
      <c r="X521" s="35"/>
      <c r="Y521" s="35"/>
      <c r="Z521" s="35"/>
    </row>
    <row r="522" ht="14.25" customHeight="1">
      <c r="A522" s="83"/>
      <c r="B522" s="84"/>
      <c r="C522" s="108"/>
      <c r="D522" s="102"/>
      <c r="E522" s="117"/>
      <c r="F522" s="250"/>
      <c r="G522" s="250"/>
      <c r="H522" s="523"/>
      <c r="I522" s="36"/>
      <c r="J522" s="37"/>
      <c r="K522" s="38"/>
      <c r="L522" s="39"/>
      <c r="M522" s="38"/>
      <c r="N522" s="39"/>
      <c r="O522" s="40"/>
      <c r="P522" s="34"/>
      <c r="Q522" s="35"/>
      <c r="R522" s="35"/>
      <c r="S522" s="35"/>
      <c r="T522" s="35"/>
      <c r="U522" s="35"/>
      <c r="V522" s="35"/>
      <c r="W522" s="35"/>
      <c r="X522" s="35"/>
      <c r="Y522" s="35"/>
      <c r="Z522" s="35"/>
    </row>
    <row r="523" ht="14.25" customHeight="1">
      <c r="A523" s="83"/>
      <c r="B523" s="84"/>
      <c r="C523" s="108"/>
      <c r="D523" s="102"/>
      <c r="E523" s="117"/>
      <c r="F523" s="250"/>
      <c r="G523" s="250"/>
      <c r="H523" s="523"/>
      <c r="I523" s="36"/>
      <c r="J523" s="37"/>
      <c r="K523" s="38"/>
      <c r="L523" s="39"/>
      <c r="M523" s="38"/>
      <c r="N523" s="39"/>
      <c r="O523" s="40"/>
      <c r="P523" s="34"/>
      <c r="Q523" s="35"/>
      <c r="R523" s="35"/>
      <c r="S523" s="35"/>
      <c r="T523" s="35"/>
      <c r="U523" s="35"/>
      <c r="V523" s="35"/>
      <c r="W523" s="35"/>
      <c r="X523" s="35"/>
      <c r="Y523" s="35"/>
      <c r="Z523" s="35"/>
    </row>
    <row r="524" ht="14.25" customHeight="1">
      <c r="A524" s="83"/>
      <c r="B524" s="84"/>
      <c r="C524" s="108"/>
      <c r="D524" s="102"/>
      <c r="E524" s="117"/>
      <c r="F524" s="250"/>
      <c r="G524" s="250"/>
      <c r="H524" s="523"/>
      <c r="I524" s="36"/>
      <c r="J524" s="37"/>
      <c r="K524" s="38"/>
      <c r="L524" s="39"/>
      <c r="M524" s="38"/>
      <c r="N524" s="39"/>
      <c r="O524" s="40"/>
      <c r="P524" s="34"/>
      <c r="Q524" s="35"/>
      <c r="R524" s="35"/>
      <c r="S524" s="35"/>
      <c r="T524" s="35"/>
      <c r="U524" s="35"/>
      <c r="V524" s="35"/>
      <c r="W524" s="35"/>
      <c r="X524" s="35"/>
      <c r="Y524" s="35"/>
      <c r="Z524" s="35"/>
    </row>
    <row r="525" ht="14.25" customHeight="1">
      <c r="A525" s="83"/>
      <c r="B525" s="84"/>
      <c r="C525" s="108"/>
      <c r="D525" s="102"/>
      <c r="E525" s="117"/>
      <c r="F525" s="250"/>
      <c r="G525" s="250"/>
      <c r="H525" s="523"/>
      <c r="I525" s="36"/>
      <c r="J525" s="37"/>
      <c r="K525" s="38"/>
      <c r="L525" s="39"/>
      <c r="M525" s="38"/>
      <c r="N525" s="39"/>
      <c r="O525" s="40"/>
      <c r="P525" s="34"/>
      <c r="Q525" s="35"/>
      <c r="R525" s="35"/>
      <c r="S525" s="35"/>
      <c r="T525" s="35"/>
      <c r="U525" s="35"/>
      <c r="V525" s="35"/>
      <c r="W525" s="35"/>
      <c r="X525" s="35"/>
      <c r="Y525" s="35"/>
      <c r="Z525" s="35"/>
    </row>
    <row r="526" ht="14.25" customHeight="1">
      <c r="A526" s="83"/>
      <c r="B526" s="84"/>
      <c r="C526" s="108"/>
      <c r="D526" s="102"/>
      <c r="E526" s="117"/>
      <c r="F526" s="250"/>
      <c r="G526" s="250"/>
      <c r="H526" s="523"/>
      <c r="I526" s="36"/>
      <c r="J526" s="37"/>
      <c r="K526" s="38"/>
      <c r="L526" s="39"/>
      <c r="M526" s="38"/>
      <c r="N526" s="39"/>
      <c r="O526" s="40"/>
      <c r="P526" s="34"/>
      <c r="Q526" s="35"/>
      <c r="R526" s="35"/>
      <c r="S526" s="35"/>
      <c r="T526" s="35"/>
      <c r="U526" s="35"/>
      <c r="V526" s="35"/>
      <c r="W526" s="35"/>
      <c r="X526" s="35"/>
      <c r="Y526" s="35"/>
      <c r="Z526" s="35"/>
    </row>
    <row r="527" ht="14.25" customHeight="1">
      <c r="A527" s="83"/>
      <c r="B527" s="84"/>
      <c r="C527" s="108"/>
      <c r="D527" s="102"/>
      <c r="E527" s="117"/>
      <c r="F527" s="250"/>
      <c r="G527" s="250"/>
      <c r="H527" s="523"/>
      <c r="I527" s="36"/>
      <c r="J527" s="37"/>
      <c r="K527" s="38"/>
      <c r="L527" s="39"/>
      <c r="M527" s="38"/>
      <c r="N527" s="39"/>
      <c r="O527" s="40"/>
      <c r="P527" s="34"/>
      <c r="Q527" s="35"/>
      <c r="R527" s="35"/>
      <c r="S527" s="35"/>
      <c r="T527" s="35"/>
      <c r="U527" s="35"/>
      <c r="V527" s="35"/>
      <c r="W527" s="35"/>
      <c r="X527" s="35"/>
      <c r="Y527" s="35"/>
      <c r="Z527" s="35"/>
    </row>
    <row r="528" ht="14.25" customHeight="1">
      <c r="A528" s="83"/>
      <c r="B528" s="84"/>
      <c r="C528" s="108"/>
      <c r="D528" s="102"/>
      <c r="E528" s="117"/>
      <c r="F528" s="250"/>
      <c r="G528" s="250"/>
      <c r="H528" s="523"/>
      <c r="I528" s="36"/>
      <c r="J528" s="37"/>
      <c r="K528" s="38"/>
      <c r="L528" s="39"/>
      <c r="M528" s="38"/>
      <c r="N528" s="39"/>
      <c r="O528" s="40"/>
      <c r="P528" s="34"/>
      <c r="Q528" s="35"/>
      <c r="R528" s="35"/>
      <c r="S528" s="35"/>
      <c r="T528" s="35"/>
      <c r="U528" s="35"/>
      <c r="V528" s="35"/>
      <c r="W528" s="35"/>
      <c r="X528" s="35"/>
      <c r="Y528" s="35"/>
      <c r="Z528" s="35"/>
    </row>
    <row r="529" ht="14.25" customHeight="1">
      <c r="A529" s="83"/>
      <c r="B529" s="84"/>
      <c r="C529" s="108"/>
      <c r="D529" s="102"/>
      <c r="E529" s="117"/>
      <c r="F529" s="250"/>
      <c r="G529" s="250"/>
      <c r="H529" s="523"/>
      <c r="I529" s="36"/>
      <c r="J529" s="37"/>
      <c r="K529" s="38"/>
      <c r="L529" s="39"/>
      <c r="M529" s="38"/>
      <c r="N529" s="39"/>
      <c r="O529" s="40"/>
      <c r="P529" s="34"/>
      <c r="Q529" s="35"/>
      <c r="R529" s="35"/>
      <c r="S529" s="35"/>
      <c r="T529" s="35"/>
      <c r="U529" s="35"/>
      <c r="V529" s="35"/>
      <c r="W529" s="35"/>
      <c r="X529" s="35"/>
      <c r="Y529" s="35"/>
      <c r="Z529" s="35"/>
    </row>
    <row r="530" ht="14.25" customHeight="1">
      <c r="A530" s="83"/>
      <c r="B530" s="84"/>
      <c r="C530" s="108"/>
      <c r="D530" s="102"/>
      <c r="E530" s="117"/>
      <c r="F530" s="250"/>
      <c r="G530" s="250"/>
      <c r="H530" s="523"/>
      <c r="I530" s="36"/>
      <c r="J530" s="37"/>
      <c r="K530" s="38"/>
      <c r="L530" s="39"/>
      <c r="M530" s="38"/>
      <c r="N530" s="39"/>
      <c r="O530" s="40"/>
      <c r="P530" s="34"/>
      <c r="Q530" s="35"/>
      <c r="R530" s="35"/>
      <c r="S530" s="35"/>
      <c r="T530" s="35"/>
      <c r="U530" s="35"/>
      <c r="V530" s="35"/>
      <c r="W530" s="35"/>
      <c r="X530" s="35"/>
      <c r="Y530" s="35"/>
      <c r="Z530" s="35"/>
    </row>
    <row r="531" ht="14.25" customHeight="1">
      <c r="A531" s="83"/>
      <c r="B531" s="84"/>
      <c r="C531" s="108"/>
      <c r="D531" s="102"/>
      <c r="E531" s="117"/>
      <c r="F531" s="250"/>
      <c r="G531" s="250"/>
      <c r="H531" s="523"/>
      <c r="I531" s="36"/>
      <c r="J531" s="37"/>
      <c r="K531" s="38"/>
      <c r="L531" s="39"/>
      <c r="M531" s="38"/>
      <c r="N531" s="39"/>
      <c r="O531" s="40"/>
      <c r="P531" s="34"/>
      <c r="Q531" s="35"/>
      <c r="R531" s="35"/>
      <c r="S531" s="35"/>
      <c r="T531" s="35"/>
      <c r="U531" s="35"/>
      <c r="V531" s="35"/>
      <c r="W531" s="35"/>
      <c r="X531" s="35"/>
      <c r="Y531" s="35"/>
      <c r="Z531" s="35"/>
    </row>
    <row r="532" ht="14.25" customHeight="1">
      <c r="A532" s="83"/>
      <c r="B532" s="84"/>
      <c r="C532" s="108"/>
      <c r="D532" s="102"/>
      <c r="E532" s="117"/>
      <c r="F532" s="250"/>
      <c r="G532" s="250"/>
      <c r="H532" s="523"/>
      <c r="I532" s="36"/>
      <c r="J532" s="37"/>
      <c r="K532" s="38"/>
      <c r="L532" s="39"/>
      <c r="M532" s="38"/>
      <c r="N532" s="39"/>
      <c r="O532" s="40"/>
      <c r="P532" s="34"/>
      <c r="Q532" s="35"/>
      <c r="R532" s="35"/>
      <c r="S532" s="35"/>
      <c r="T532" s="35"/>
      <c r="U532" s="35"/>
      <c r="V532" s="35"/>
      <c r="W532" s="35"/>
      <c r="X532" s="35"/>
      <c r="Y532" s="35"/>
      <c r="Z532" s="35"/>
    </row>
    <row r="533" ht="14.25" customHeight="1">
      <c r="A533" s="136"/>
      <c r="B533" s="137"/>
      <c r="C533" s="251"/>
      <c r="D533" s="452"/>
      <c r="E533" s="136"/>
      <c r="F533" s="253"/>
      <c r="G533" s="253"/>
      <c r="H533" s="527"/>
      <c r="I533" s="141"/>
      <c r="J533" s="141"/>
      <c r="K533" s="142"/>
      <c r="L533" s="142"/>
      <c r="M533" s="142"/>
      <c r="N533" s="142"/>
      <c r="O533" s="136"/>
      <c r="P533" s="34"/>
      <c r="Q533" s="35"/>
      <c r="R533" s="35"/>
      <c r="S533" s="35"/>
      <c r="T533" s="35"/>
      <c r="U533" s="35"/>
      <c r="V533" s="35"/>
      <c r="W533" s="35"/>
      <c r="X533" s="35"/>
      <c r="Y533" s="35"/>
      <c r="Z533" s="35"/>
    </row>
    <row r="534" ht="14.25" customHeight="1">
      <c r="A534" s="136"/>
      <c r="B534" s="137"/>
      <c r="C534" s="251"/>
      <c r="D534" s="452"/>
      <c r="E534" s="136"/>
      <c r="F534" s="253"/>
      <c r="G534" s="253"/>
      <c r="H534" s="527"/>
      <c r="I534" s="141"/>
      <c r="J534" s="141"/>
      <c r="K534" s="142"/>
      <c r="L534" s="142"/>
      <c r="M534" s="142"/>
      <c r="N534" s="142"/>
      <c r="O534" s="136"/>
      <c r="P534" s="34"/>
      <c r="Q534" s="35"/>
      <c r="R534" s="35"/>
      <c r="S534" s="35"/>
      <c r="T534" s="35"/>
      <c r="U534" s="35"/>
      <c r="V534" s="35"/>
      <c r="W534" s="35"/>
      <c r="X534" s="35"/>
      <c r="Y534" s="35"/>
      <c r="Z534" s="35"/>
    </row>
    <row r="535" ht="14.25" customHeight="1">
      <c r="A535" s="136"/>
      <c r="B535" s="137"/>
      <c r="C535" s="251"/>
      <c r="D535" s="452"/>
      <c r="E535" s="136"/>
      <c r="F535" s="253"/>
      <c r="G535" s="253"/>
      <c r="H535" s="527"/>
      <c r="I535" s="141"/>
      <c r="J535" s="141"/>
      <c r="K535" s="142"/>
      <c r="L535" s="142"/>
      <c r="M535" s="142"/>
      <c r="N535" s="142"/>
      <c r="O535" s="136"/>
      <c r="P535" s="34"/>
      <c r="Q535" s="35"/>
      <c r="R535" s="35"/>
      <c r="S535" s="35"/>
      <c r="T535" s="35"/>
      <c r="U535" s="35"/>
      <c r="V535" s="35"/>
      <c r="W535" s="35"/>
      <c r="X535" s="35"/>
      <c r="Y535" s="35"/>
      <c r="Z535" s="35"/>
    </row>
    <row r="536" ht="14.25" customHeight="1">
      <c r="A536" s="136"/>
      <c r="B536" s="137"/>
      <c r="C536" s="251"/>
      <c r="D536" s="452"/>
      <c r="E536" s="136"/>
      <c r="F536" s="253"/>
      <c r="G536" s="253"/>
      <c r="H536" s="527"/>
      <c r="I536" s="141"/>
      <c r="J536" s="141"/>
      <c r="K536" s="142"/>
      <c r="L536" s="142"/>
      <c r="M536" s="142"/>
      <c r="N536" s="142"/>
      <c r="O536" s="136"/>
      <c r="P536" s="34"/>
      <c r="Q536" s="35"/>
      <c r="R536" s="35"/>
      <c r="S536" s="35"/>
      <c r="T536" s="35"/>
      <c r="U536" s="35"/>
      <c r="V536" s="35"/>
      <c r="W536" s="35"/>
      <c r="X536" s="35"/>
      <c r="Y536" s="35"/>
      <c r="Z536" s="35"/>
    </row>
    <row r="537" ht="14.25" customHeight="1">
      <c r="A537" s="136"/>
      <c r="B537" s="137"/>
      <c r="C537" s="251"/>
      <c r="D537" s="452"/>
      <c r="E537" s="136"/>
      <c r="F537" s="253"/>
      <c r="G537" s="253"/>
      <c r="H537" s="527"/>
      <c r="I537" s="141"/>
      <c r="J537" s="141"/>
      <c r="K537" s="142"/>
      <c r="L537" s="142"/>
      <c r="M537" s="142"/>
      <c r="N537" s="142"/>
      <c r="O537" s="136"/>
      <c r="P537" s="34"/>
      <c r="Q537" s="35"/>
      <c r="R537" s="35"/>
      <c r="S537" s="35"/>
      <c r="T537" s="35"/>
      <c r="U537" s="35"/>
      <c r="V537" s="35"/>
      <c r="W537" s="35"/>
      <c r="X537" s="35"/>
      <c r="Y537" s="35"/>
      <c r="Z537" s="35"/>
    </row>
    <row r="538" ht="14.25" customHeight="1">
      <c r="A538" s="136"/>
      <c r="B538" s="137"/>
      <c r="C538" s="251"/>
      <c r="D538" s="452"/>
      <c r="E538" s="136"/>
      <c r="F538" s="253"/>
      <c r="G538" s="253"/>
      <c r="H538" s="527"/>
      <c r="I538" s="141"/>
      <c r="J538" s="141"/>
      <c r="K538" s="142"/>
      <c r="L538" s="142"/>
      <c r="M538" s="142"/>
      <c r="N538" s="142"/>
      <c r="O538" s="136"/>
      <c r="P538" s="34"/>
      <c r="Q538" s="35"/>
      <c r="R538" s="35"/>
      <c r="S538" s="35"/>
      <c r="T538" s="35"/>
      <c r="U538" s="35"/>
      <c r="V538" s="35"/>
      <c r="W538" s="35"/>
      <c r="X538" s="35"/>
      <c r="Y538" s="35"/>
      <c r="Z538" s="35"/>
    </row>
    <row r="539" ht="14.25" customHeight="1">
      <c r="A539" s="136"/>
      <c r="B539" s="137"/>
      <c r="C539" s="251"/>
      <c r="D539" s="452"/>
      <c r="E539" s="136"/>
      <c r="F539" s="253"/>
      <c r="G539" s="253"/>
      <c r="H539" s="527"/>
      <c r="I539" s="141"/>
      <c r="J539" s="141"/>
      <c r="K539" s="142"/>
      <c r="L539" s="142"/>
      <c r="M539" s="142"/>
      <c r="N539" s="142"/>
      <c r="O539" s="136"/>
      <c r="P539" s="34"/>
      <c r="Q539" s="35"/>
      <c r="R539" s="35"/>
      <c r="S539" s="35"/>
      <c r="T539" s="35"/>
      <c r="U539" s="35"/>
      <c r="V539" s="35"/>
      <c r="W539" s="35"/>
      <c r="X539" s="35"/>
      <c r="Y539" s="35"/>
      <c r="Z539" s="35"/>
    </row>
    <row r="540" ht="14.25" customHeight="1">
      <c r="A540" s="136"/>
      <c r="B540" s="137"/>
      <c r="C540" s="251"/>
      <c r="D540" s="452"/>
      <c r="E540" s="136"/>
      <c r="F540" s="253"/>
      <c r="G540" s="253"/>
      <c r="H540" s="527"/>
      <c r="I540" s="141"/>
      <c r="J540" s="141"/>
      <c r="K540" s="142"/>
      <c r="L540" s="142"/>
      <c r="M540" s="142"/>
      <c r="N540" s="142"/>
      <c r="O540" s="136"/>
      <c r="P540" s="34"/>
      <c r="Q540" s="35"/>
      <c r="R540" s="35"/>
      <c r="S540" s="35"/>
      <c r="T540" s="35"/>
      <c r="U540" s="35"/>
      <c r="V540" s="35"/>
      <c r="W540" s="35"/>
      <c r="X540" s="35"/>
      <c r="Y540" s="35"/>
      <c r="Z540" s="35"/>
    </row>
    <row r="541" ht="14.25" customHeight="1">
      <c r="A541" s="136"/>
      <c r="B541" s="137"/>
      <c r="C541" s="251"/>
      <c r="D541" s="452"/>
      <c r="E541" s="136"/>
      <c r="F541" s="253"/>
      <c r="G541" s="253"/>
      <c r="H541" s="527"/>
      <c r="I541" s="141"/>
      <c r="J541" s="141"/>
      <c r="K541" s="142"/>
      <c r="L541" s="142"/>
      <c r="M541" s="142"/>
      <c r="N541" s="142"/>
      <c r="O541" s="136"/>
      <c r="P541" s="34"/>
      <c r="Q541" s="35"/>
      <c r="R541" s="35"/>
      <c r="S541" s="35"/>
      <c r="T541" s="35"/>
      <c r="U541" s="35"/>
      <c r="V541" s="35"/>
      <c r="W541" s="35"/>
      <c r="X541" s="35"/>
      <c r="Y541" s="35"/>
      <c r="Z541" s="35"/>
    </row>
    <row r="542" ht="14.25" customHeight="1">
      <c r="A542" s="136"/>
      <c r="B542" s="137"/>
      <c r="C542" s="251"/>
      <c r="D542" s="452"/>
      <c r="E542" s="136"/>
      <c r="F542" s="253"/>
      <c r="G542" s="253"/>
      <c r="H542" s="527"/>
      <c r="I542" s="141"/>
      <c r="J542" s="141"/>
      <c r="K542" s="142"/>
      <c r="L542" s="142"/>
      <c r="M542" s="142"/>
      <c r="N542" s="142"/>
      <c r="O542" s="136"/>
      <c r="P542" s="34"/>
      <c r="Q542" s="35"/>
      <c r="R542" s="35"/>
      <c r="S542" s="35"/>
      <c r="T542" s="35"/>
      <c r="U542" s="35"/>
      <c r="V542" s="35"/>
      <c r="W542" s="35"/>
      <c r="X542" s="35"/>
      <c r="Y542" s="35"/>
      <c r="Z542" s="35"/>
    </row>
    <row r="543" ht="14.25" customHeight="1">
      <c r="A543" s="136"/>
      <c r="B543" s="137"/>
      <c r="C543" s="251"/>
      <c r="D543" s="452"/>
      <c r="E543" s="136"/>
      <c r="F543" s="253"/>
      <c r="G543" s="253"/>
      <c r="H543" s="527"/>
      <c r="I543" s="141"/>
      <c r="J543" s="141"/>
      <c r="K543" s="142"/>
      <c r="L543" s="142"/>
      <c r="M543" s="142"/>
      <c r="N543" s="142"/>
      <c r="O543" s="136"/>
      <c r="P543" s="34"/>
      <c r="Q543" s="35"/>
      <c r="R543" s="35"/>
      <c r="S543" s="35"/>
      <c r="T543" s="35"/>
      <c r="U543" s="35"/>
      <c r="V543" s="35"/>
      <c r="W543" s="35"/>
      <c r="X543" s="35"/>
      <c r="Y543" s="35"/>
      <c r="Z543" s="35"/>
    </row>
    <row r="544" ht="14.25" customHeight="1">
      <c r="A544" s="136"/>
      <c r="B544" s="137"/>
      <c r="C544" s="251"/>
      <c r="D544" s="452"/>
      <c r="E544" s="136"/>
      <c r="F544" s="253"/>
      <c r="G544" s="253"/>
      <c r="H544" s="527"/>
      <c r="I544" s="141"/>
      <c r="J544" s="141"/>
      <c r="K544" s="142"/>
      <c r="L544" s="142"/>
      <c r="M544" s="142"/>
      <c r="N544" s="142"/>
      <c r="O544" s="136"/>
      <c r="P544" s="34"/>
      <c r="Q544" s="35"/>
      <c r="R544" s="35"/>
      <c r="S544" s="35"/>
      <c r="T544" s="35"/>
      <c r="U544" s="35"/>
      <c r="V544" s="35"/>
      <c r="W544" s="35"/>
      <c r="X544" s="35"/>
      <c r="Y544" s="35"/>
      <c r="Z544" s="35"/>
    </row>
    <row r="545" ht="14.25" customHeight="1">
      <c r="A545" s="136"/>
      <c r="B545" s="137"/>
      <c r="C545" s="251"/>
      <c r="D545" s="452"/>
      <c r="E545" s="136"/>
      <c r="F545" s="253"/>
      <c r="G545" s="253"/>
      <c r="H545" s="527"/>
      <c r="I545" s="141"/>
      <c r="J545" s="141"/>
      <c r="K545" s="142"/>
      <c r="L545" s="142"/>
      <c r="M545" s="142"/>
      <c r="N545" s="142"/>
      <c r="O545" s="136"/>
      <c r="P545" s="34"/>
      <c r="Q545" s="35"/>
      <c r="R545" s="35"/>
      <c r="S545" s="35"/>
      <c r="T545" s="35"/>
      <c r="U545" s="35"/>
      <c r="V545" s="35"/>
      <c r="W545" s="35"/>
      <c r="X545" s="35"/>
      <c r="Y545" s="35"/>
      <c r="Z545" s="35"/>
    </row>
    <row r="546" ht="14.25" customHeight="1">
      <c r="A546" s="136"/>
      <c r="B546" s="137"/>
      <c r="C546" s="251"/>
      <c r="D546" s="452"/>
      <c r="E546" s="136"/>
      <c r="F546" s="253"/>
      <c r="G546" s="253"/>
      <c r="H546" s="527"/>
      <c r="I546" s="141"/>
      <c r="J546" s="141"/>
      <c r="K546" s="142"/>
      <c r="L546" s="142"/>
      <c r="M546" s="142"/>
      <c r="N546" s="142"/>
      <c r="O546" s="136"/>
      <c r="P546" s="34"/>
      <c r="Q546" s="35"/>
      <c r="R546" s="35"/>
      <c r="S546" s="35"/>
      <c r="T546" s="35"/>
      <c r="U546" s="35"/>
      <c r="V546" s="35"/>
      <c r="W546" s="35"/>
      <c r="X546" s="35"/>
      <c r="Y546" s="35"/>
      <c r="Z546" s="35"/>
    </row>
    <row r="547" ht="14.25" customHeight="1">
      <c r="A547" s="136"/>
      <c r="B547" s="137"/>
      <c r="C547" s="251"/>
      <c r="D547" s="452"/>
      <c r="E547" s="136"/>
      <c r="F547" s="253"/>
      <c r="G547" s="253"/>
      <c r="H547" s="527"/>
      <c r="I547" s="141"/>
      <c r="J547" s="141"/>
      <c r="K547" s="142"/>
      <c r="L547" s="142"/>
      <c r="M547" s="142"/>
      <c r="N547" s="142"/>
      <c r="O547" s="136"/>
      <c r="P547" s="34"/>
      <c r="Q547" s="35"/>
      <c r="R547" s="35"/>
      <c r="S547" s="35"/>
      <c r="T547" s="35"/>
      <c r="U547" s="35"/>
      <c r="V547" s="35"/>
      <c r="W547" s="35"/>
      <c r="X547" s="35"/>
      <c r="Y547" s="35"/>
      <c r="Z547" s="35"/>
    </row>
    <row r="548" ht="14.25" customHeight="1">
      <c r="A548" s="136"/>
      <c r="B548" s="137"/>
      <c r="C548" s="251"/>
      <c r="D548" s="452"/>
      <c r="E548" s="136"/>
      <c r="F548" s="253"/>
      <c r="G548" s="253"/>
      <c r="H548" s="527"/>
      <c r="I548" s="141"/>
      <c r="J548" s="141"/>
      <c r="K548" s="142"/>
      <c r="L548" s="142"/>
      <c r="M548" s="142"/>
      <c r="N548" s="142"/>
      <c r="O548" s="136"/>
      <c r="P548" s="34"/>
      <c r="Q548" s="35"/>
      <c r="R548" s="35"/>
      <c r="S548" s="35"/>
      <c r="T548" s="35"/>
      <c r="U548" s="35"/>
      <c r="V548" s="35"/>
      <c r="W548" s="35"/>
      <c r="X548" s="35"/>
      <c r="Y548" s="35"/>
      <c r="Z548" s="35"/>
    </row>
    <row r="549" ht="14.25" customHeight="1">
      <c r="A549" s="136"/>
      <c r="B549" s="137"/>
      <c r="C549" s="251"/>
      <c r="D549" s="452"/>
      <c r="E549" s="136"/>
      <c r="F549" s="253"/>
      <c r="G549" s="253"/>
      <c r="H549" s="527"/>
      <c r="I549" s="141"/>
      <c r="J549" s="141"/>
      <c r="K549" s="142"/>
      <c r="L549" s="142"/>
      <c r="M549" s="142"/>
      <c r="N549" s="142"/>
      <c r="O549" s="136"/>
      <c r="P549" s="34"/>
      <c r="Q549" s="35"/>
      <c r="R549" s="35"/>
      <c r="S549" s="35"/>
      <c r="T549" s="35"/>
      <c r="U549" s="35"/>
      <c r="V549" s="35"/>
      <c r="W549" s="35"/>
      <c r="X549" s="35"/>
      <c r="Y549" s="35"/>
      <c r="Z549" s="35"/>
    </row>
    <row r="550" ht="14.25" customHeight="1">
      <c r="A550" s="136"/>
      <c r="B550" s="137"/>
      <c r="C550" s="251"/>
      <c r="D550" s="452"/>
      <c r="E550" s="136"/>
      <c r="F550" s="253"/>
      <c r="G550" s="253"/>
      <c r="H550" s="527"/>
      <c r="I550" s="141"/>
      <c r="J550" s="141"/>
      <c r="K550" s="142"/>
      <c r="L550" s="142"/>
      <c r="M550" s="142"/>
      <c r="N550" s="142"/>
      <c r="O550" s="136"/>
      <c r="P550" s="34"/>
      <c r="Q550" s="35"/>
      <c r="R550" s="35"/>
      <c r="S550" s="35"/>
      <c r="T550" s="35"/>
      <c r="U550" s="35"/>
      <c r="V550" s="35"/>
      <c r="W550" s="35"/>
      <c r="X550" s="35"/>
      <c r="Y550" s="35"/>
      <c r="Z550" s="35"/>
    </row>
    <row r="551" ht="14.25" customHeight="1">
      <c r="A551" s="136"/>
      <c r="B551" s="137"/>
      <c r="C551" s="251"/>
      <c r="D551" s="452"/>
      <c r="E551" s="136"/>
      <c r="F551" s="253"/>
      <c r="G551" s="253"/>
      <c r="H551" s="527"/>
      <c r="I551" s="141"/>
      <c r="J551" s="141"/>
      <c r="K551" s="142"/>
      <c r="L551" s="142"/>
      <c r="M551" s="142"/>
      <c r="N551" s="142"/>
      <c r="O551" s="136"/>
      <c r="P551" s="34"/>
      <c r="Q551" s="35"/>
      <c r="R551" s="35"/>
      <c r="S551" s="35"/>
      <c r="T551" s="35"/>
      <c r="U551" s="35"/>
      <c r="V551" s="35"/>
      <c r="W551" s="35"/>
      <c r="X551" s="35"/>
      <c r="Y551" s="35"/>
      <c r="Z551" s="35"/>
    </row>
    <row r="552" ht="14.25" customHeight="1">
      <c r="A552" s="136"/>
      <c r="B552" s="137"/>
      <c r="C552" s="251"/>
      <c r="D552" s="452"/>
      <c r="E552" s="136"/>
      <c r="F552" s="253"/>
      <c r="G552" s="253"/>
      <c r="H552" s="527"/>
      <c r="I552" s="141"/>
      <c r="J552" s="141"/>
      <c r="K552" s="142"/>
      <c r="L552" s="142"/>
      <c r="M552" s="142"/>
      <c r="N552" s="142"/>
      <c r="O552" s="136"/>
      <c r="P552" s="34"/>
      <c r="Q552" s="35"/>
      <c r="R552" s="35"/>
      <c r="S552" s="35"/>
      <c r="T552" s="35"/>
      <c r="U552" s="35"/>
      <c r="V552" s="35"/>
      <c r="W552" s="35"/>
      <c r="X552" s="35"/>
      <c r="Y552" s="35"/>
      <c r="Z552" s="35"/>
    </row>
    <row r="553" ht="14.25" customHeight="1">
      <c r="A553" s="136"/>
      <c r="B553" s="137"/>
      <c r="C553" s="251"/>
      <c r="D553" s="452"/>
      <c r="E553" s="136"/>
      <c r="F553" s="253"/>
      <c r="G553" s="253"/>
      <c r="H553" s="527"/>
      <c r="I553" s="141"/>
      <c r="J553" s="141"/>
      <c r="K553" s="142"/>
      <c r="L553" s="142"/>
      <c r="M553" s="142"/>
      <c r="N553" s="142"/>
      <c r="O553" s="136"/>
      <c r="P553" s="34"/>
      <c r="Q553" s="35"/>
      <c r="R553" s="35"/>
      <c r="S553" s="35"/>
      <c r="T553" s="35"/>
      <c r="U553" s="35"/>
      <c r="V553" s="35"/>
      <c r="W553" s="35"/>
      <c r="X553" s="35"/>
      <c r="Y553" s="35"/>
      <c r="Z553" s="35"/>
    </row>
    <row r="554" ht="14.25" customHeight="1">
      <c r="A554" s="136"/>
      <c r="B554" s="137"/>
      <c r="C554" s="251"/>
      <c r="D554" s="452"/>
      <c r="E554" s="136"/>
      <c r="F554" s="253"/>
      <c r="G554" s="253"/>
      <c r="H554" s="527"/>
      <c r="I554" s="141"/>
      <c r="J554" s="141"/>
      <c r="K554" s="142"/>
      <c r="L554" s="142"/>
      <c r="M554" s="142"/>
      <c r="N554" s="142"/>
      <c r="O554" s="136"/>
      <c r="P554" s="34"/>
      <c r="Q554" s="35"/>
      <c r="R554" s="35"/>
      <c r="S554" s="35"/>
      <c r="T554" s="35"/>
      <c r="U554" s="35"/>
      <c r="V554" s="35"/>
      <c r="W554" s="35"/>
      <c r="X554" s="35"/>
      <c r="Y554" s="35"/>
      <c r="Z554" s="35"/>
    </row>
    <row r="555" ht="14.25" customHeight="1">
      <c r="A555" s="136"/>
      <c r="B555" s="137"/>
      <c r="C555" s="251"/>
      <c r="D555" s="452"/>
      <c r="E555" s="136"/>
      <c r="F555" s="253"/>
      <c r="G555" s="253"/>
      <c r="H555" s="527"/>
      <c r="I555" s="141"/>
      <c r="J555" s="141"/>
      <c r="K555" s="142"/>
      <c r="L555" s="142"/>
      <c r="M555" s="142"/>
      <c r="N555" s="142"/>
      <c r="O555" s="136"/>
      <c r="P555" s="34"/>
      <c r="Q555" s="35"/>
      <c r="R555" s="35"/>
      <c r="S555" s="35"/>
      <c r="T555" s="35"/>
      <c r="U555" s="35"/>
      <c r="V555" s="35"/>
      <c r="W555" s="35"/>
      <c r="X555" s="35"/>
      <c r="Y555" s="35"/>
      <c r="Z555" s="35"/>
    </row>
    <row r="556" ht="14.25" customHeight="1">
      <c r="A556" s="136"/>
      <c r="B556" s="137"/>
      <c r="C556" s="251"/>
      <c r="D556" s="452"/>
      <c r="E556" s="136"/>
      <c r="F556" s="253"/>
      <c r="G556" s="253"/>
      <c r="H556" s="527"/>
      <c r="I556" s="141"/>
      <c r="J556" s="141"/>
      <c r="K556" s="142"/>
      <c r="L556" s="142"/>
      <c r="M556" s="142"/>
      <c r="N556" s="142"/>
      <c r="O556" s="136"/>
      <c r="P556" s="34"/>
      <c r="Q556" s="35"/>
      <c r="R556" s="35"/>
      <c r="S556" s="35"/>
      <c r="T556" s="35"/>
      <c r="U556" s="35"/>
      <c r="V556" s="35"/>
      <c r="W556" s="35"/>
      <c r="X556" s="35"/>
      <c r="Y556" s="35"/>
      <c r="Z556" s="35"/>
    </row>
    <row r="557" ht="14.25" customHeight="1">
      <c r="A557" s="136"/>
      <c r="B557" s="137"/>
      <c r="C557" s="251"/>
      <c r="D557" s="452"/>
      <c r="E557" s="136"/>
      <c r="F557" s="253"/>
      <c r="G557" s="253"/>
      <c r="H557" s="527"/>
      <c r="I557" s="141"/>
      <c r="J557" s="141"/>
      <c r="K557" s="142"/>
      <c r="L557" s="142"/>
      <c r="M557" s="142"/>
      <c r="N557" s="142"/>
      <c r="O557" s="136"/>
      <c r="P557" s="34"/>
      <c r="Q557" s="35"/>
      <c r="R557" s="35"/>
      <c r="S557" s="35"/>
      <c r="T557" s="35"/>
      <c r="U557" s="35"/>
      <c r="V557" s="35"/>
      <c r="W557" s="35"/>
      <c r="X557" s="35"/>
      <c r="Y557" s="35"/>
      <c r="Z557" s="35"/>
    </row>
    <row r="558" ht="14.25" customHeight="1">
      <c r="A558" s="136"/>
      <c r="B558" s="137"/>
      <c r="C558" s="251"/>
      <c r="D558" s="452"/>
      <c r="E558" s="136"/>
      <c r="F558" s="253"/>
      <c r="G558" s="253"/>
      <c r="H558" s="527"/>
      <c r="I558" s="141"/>
      <c r="J558" s="141"/>
      <c r="K558" s="142"/>
      <c r="L558" s="142"/>
      <c r="M558" s="142"/>
      <c r="N558" s="142"/>
      <c r="O558" s="136"/>
      <c r="P558" s="34"/>
      <c r="Q558" s="35"/>
      <c r="R558" s="35"/>
      <c r="S558" s="35"/>
      <c r="T558" s="35"/>
      <c r="U558" s="35"/>
      <c r="V558" s="35"/>
      <c r="W558" s="35"/>
      <c r="X558" s="35"/>
      <c r="Y558" s="35"/>
      <c r="Z558" s="35"/>
    </row>
    <row r="559" ht="14.25" customHeight="1">
      <c r="A559" s="136"/>
      <c r="B559" s="137"/>
      <c r="C559" s="251"/>
      <c r="D559" s="452"/>
      <c r="E559" s="136"/>
      <c r="F559" s="253"/>
      <c r="G559" s="253"/>
      <c r="H559" s="527"/>
      <c r="I559" s="141"/>
      <c r="J559" s="141"/>
      <c r="K559" s="142"/>
      <c r="L559" s="142"/>
      <c r="M559" s="142"/>
      <c r="N559" s="142"/>
      <c r="O559" s="136"/>
      <c r="P559" s="34"/>
      <c r="Q559" s="35"/>
      <c r="R559" s="35"/>
      <c r="S559" s="35"/>
      <c r="T559" s="35"/>
      <c r="U559" s="35"/>
      <c r="V559" s="35"/>
      <c r="W559" s="35"/>
      <c r="X559" s="35"/>
      <c r="Y559" s="35"/>
      <c r="Z559" s="35"/>
    </row>
    <row r="560" ht="14.25" customHeight="1">
      <c r="A560" s="136"/>
      <c r="B560" s="137"/>
      <c r="C560" s="251"/>
      <c r="D560" s="452"/>
      <c r="E560" s="136"/>
      <c r="F560" s="253"/>
      <c r="G560" s="253"/>
      <c r="H560" s="527"/>
      <c r="I560" s="141"/>
      <c r="J560" s="141"/>
      <c r="K560" s="142"/>
      <c r="L560" s="142"/>
      <c r="M560" s="142"/>
      <c r="N560" s="142"/>
      <c r="O560" s="136"/>
      <c r="P560" s="34"/>
      <c r="Q560" s="35"/>
      <c r="R560" s="35"/>
      <c r="S560" s="35"/>
      <c r="T560" s="35"/>
      <c r="U560" s="35"/>
      <c r="V560" s="35"/>
      <c r="W560" s="35"/>
      <c r="X560" s="35"/>
      <c r="Y560" s="35"/>
      <c r="Z560" s="35"/>
    </row>
    <row r="561" ht="14.25" customHeight="1">
      <c r="A561" s="136"/>
      <c r="B561" s="137"/>
      <c r="C561" s="251"/>
      <c r="D561" s="452"/>
      <c r="E561" s="136"/>
      <c r="F561" s="253"/>
      <c r="G561" s="253"/>
      <c r="H561" s="527"/>
      <c r="I561" s="141"/>
      <c r="J561" s="141"/>
      <c r="K561" s="142"/>
      <c r="L561" s="142"/>
      <c r="M561" s="142"/>
      <c r="N561" s="142"/>
      <c r="O561" s="136"/>
      <c r="P561" s="34"/>
      <c r="Q561" s="35"/>
      <c r="R561" s="35"/>
      <c r="S561" s="35"/>
      <c r="T561" s="35"/>
      <c r="U561" s="35"/>
      <c r="V561" s="35"/>
      <c r="W561" s="35"/>
      <c r="X561" s="35"/>
      <c r="Y561" s="35"/>
      <c r="Z561" s="35"/>
    </row>
    <row r="562" ht="14.25" customHeight="1">
      <c r="A562" s="136"/>
      <c r="B562" s="137"/>
      <c r="C562" s="251"/>
      <c r="D562" s="452"/>
      <c r="E562" s="136"/>
      <c r="F562" s="253"/>
      <c r="G562" s="253"/>
      <c r="H562" s="527"/>
      <c r="I562" s="141"/>
      <c r="J562" s="141"/>
      <c r="K562" s="142"/>
      <c r="L562" s="142"/>
      <c r="M562" s="142"/>
      <c r="N562" s="142"/>
      <c r="O562" s="136"/>
      <c r="P562" s="34"/>
      <c r="Q562" s="35"/>
      <c r="R562" s="35"/>
      <c r="S562" s="35"/>
      <c r="T562" s="35"/>
      <c r="U562" s="35"/>
      <c r="V562" s="35"/>
      <c r="W562" s="35"/>
      <c r="X562" s="35"/>
      <c r="Y562" s="35"/>
      <c r="Z562" s="35"/>
    </row>
    <row r="563" ht="14.25" customHeight="1">
      <c r="A563" s="136"/>
      <c r="B563" s="137"/>
      <c r="C563" s="251"/>
      <c r="D563" s="452"/>
      <c r="E563" s="136"/>
      <c r="F563" s="253"/>
      <c r="G563" s="253"/>
      <c r="H563" s="527"/>
      <c r="I563" s="141"/>
      <c r="J563" s="141"/>
      <c r="K563" s="142"/>
      <c r="L563" s="142"/>
      <c r="M563" s="142"/>
      <c r="N563" s="142"/>
      <c r="O563" s="136"/>
      <c r="P563" s="34"/>
      <c r="Q563" s="35"/>
      <c r="R563" s="35"/>
      <c r="S563" s="35"/>
      <c r="T563" s="35"/>
      <c r="U563" s="35"/>
      <c r="V563" s="35"/>
      <c r="W563" s="35"/>
      <c r="X563" s="35"/>
      <c r="Y563" s="35"/>
      <c r="Z563" s="35"/>
    </row>
    <row r="564" ht="14.25" customHeight="1">
      <c r="A564" s="136"/>
      <c r="B564" s="137"/>
      <c r="C564" s="251"/>
      <c r="D564" s="452"/>
      <c r="E564" s="136"/>
      <c r="F564" s="253"/>
      <c r="G564" s="253"/>
      <c r="H564" s="527"/>
      <c r="I564" s="141"/>
      <c r="J564" s="141"/>
      <c r="K564" s="142"/>
      <c r="L564" s="142"/>
      <c r="M564" s="142"/>
      <c r="N564" s="142"/>
      <c r="O564" s="136"/>
      <c r="P564" s="34"/>
      <c r="Q564" s="35"/>
      <c r="R564" s="35"/>
      <c r="S564" s="35"/>
      <c r="T564" s="35"/>
      <c r="U564" s="35"/>
      <c r="V564" s="35"/>
      <c r="W564" s="35"/>
      <c r="X564" s="35"/>
      <c r="Y564" s="35"/>
      <c r="Z564" s="35"/>
    </row>
    <row r="565" ht="14.25" customHeight="1">
      <c r="A565" s="136"/>
      <c r="B565" s="137"/>
      <c r="C565" s="251"/>
      <c r="D565" s="452"/>
      <c r="E565" s="136"/>
      <c r="F565" s="253"/>
      <c r="G565" s="253"/>
      <c r="H565" s="527"/>
      <c r="I565" s="141"/>
      <c r="J565" s="141"/>
      <c r="K565" s="142"/>
      <c r="L565" s="142"/>
      <c r="M565" s="142"/>
      <c r="N565" s="142"/>
      <c r="O565" s="136"/>
      <c r="P565" s="34"/>
      <c r="Q565" s="35"/>
      <c r="R565" s="35"/>
      <c r="S565" s="35"/>
      <c r="T565" s="35"/>
      <c r="U565" s="35"/>
      <c r="V565" s="35"/>
      <c r="W565" s="35"/>
      <c r="X565" s="35"/>
      <c r="Y565" s="35"/>
      <c r="Z565" s="35"/>
    </row>
    <row r="566" ht="14.25" customHeight="1">
      <c r="A566" s="136"/>
      <c r="B566" s="137"/>
      <c r="C566" s="251"/>
      <c r="D566" s="452"/>
      <c r="E566" s="136"/>
      <c r="F566" s="253"/>
      <c r="G566" s="253"/>
      <c r="H566" s="527"/>
      <c r="I566" s="141"/>
      <c r="J566" s="141"/>
      <c r="K566" s="142"/>
      <c r="L566" s="142"/>
      <c r="M566" s="142"/>
      <c r="N566" s="142"/>
      <c r="O566" s="136"/>
      <c r="P566" s="34"/>
      <c r="Q566" s="35"/>
      <c r="R566" s="35"/>
      <c r="S566" s="35"/>
      <c r="T566" s="35"/>
      <c r="U566" s="35"/>
      <c r="V566" s="35"/>
      <c r="W566" s="35"/>
      <c r="X566" s="35"/>
      <c r="Y566" s="35"/>
      <c r="Z566" s="35"/>
    </row>
    <row r="567" ht="14.25" customHeight="1">
      <c r="A567" s="136"/>
      <c r="B567" s="137"/>
      <c r="C567" s="251"/>
      <c r="D567" s="452"/>
      <c r="E567" s="136"/>
      <c r="F567" s="253"/>
      <c r="G567" s="253"/>
      <c r="H567" s="527"/>
      <c r="I567" s="141"/>
      <c r="J567" s="141"/>
      <c r="K567" s="142"/>
      <c r="L567" s="142"/>
      <c r="M567" s="142"/>
      <c r="N567" s="142"/>
      <c r="O567" s="136"/>
      <c r="P567" s="34"/>
      <c r="Q567" s="35"/>
      <c r="R567" s="35"/>
      <c r="S567" s="35"/>
      <c r="T567" s="35"/>
      <c r="U567" s="35"/>
      <c r="V567" s="35"/>
      <c r="W567" s="35"/>
      <c r="X567" s="35"/>
      <c r="Y567" s="35"/>
      <c r="Z567" s="35"/>
    </row>
    <row r="568" ht="14.25" customHeight="1">
      <c r="A568" s="136"/>
      <c r="B568" s="137"/>
      <c r="C568" s="251"/>
      <c r="D568" s="452"/>
      <c r="E568" s="136"/>
      <c r="F568" s="253"/>
      <c r="G568" s="253"/>
      <c r="H568" s="527"/>
      <c r="I568" s="141"/>
      <c r="J568" s="141"/>
      <c r="K568" s="142"/>
      <c r="L568" s="142"/>
      <c r="M568" s="142"/>
      <c r="N568" s="142"/>
      <c r="O568" s="136"/>
      <c r="P568" s="34"/>
      <c r="Q568" s="35"/>
      <c r="R568" s="35"/>
      <c r="S568" s="35"/>
      <c r="T568" s="35"/>
      <c r="U568" s="35"/>
      <c r="V568" s="35"/>
      <c r="W568" s="35"/>
      <c r="X568" s="35"/>
      <c r="Y568" s="35"/>
      <c r="Z568" s="35"/>
    </row>
    <row r="569" ht="14.25" customHeight="1">
      <c r="A569" s="136"/>
      <c r="B569" s="137"/>
      <c r="C569" s="251"/>
      <c r="D569" s="452"/>
      <c r="E569" s="136"/>
      <c r="F569" s="253"/>
      <c r="G569" s="253"/>
      <c r="H569" s="527"/>
      <c r="I569" s="141"/>
      <c r="J569" s="141"/>
      <c r="K569" s="142"/>
      <c r="L569" s="142"/>
      <c r="M569" s="142"/>
      <c r="N569" s="142"/>
      <c r="O569" s="136"/>
      <c r="P569" s="34"/>
      <c r="Q569" s="35"/>
      <c r="R569" s="35"/>
      <c r="S569" s="35"/>
      <c r="T569" s="35"/>
      <c r="U569" s="35"/>
      <c r="V569" s="35"/>
      <c r="W569" s="35"/>
      <c r="X569" s="35"/>
      <c r="Y569" s="35"/>
      <c r="Z569" s="35"/>
    </row>
    <row r="570" ht="14.25" customHeight="1">
      <c r="A570" s="136"/>
      <c r="B570" s="137"/>
      <c r="C570" s="251"/>
      <c r="D570" s="452"/>
      <c r="E570" s="136"/>
      <c r="F570" s="253"/>
      <c r="G570" s="253"/>
      <c r="H570" s="527"/>
      <c r="I570" s="141"/>
      <c r="J570" s="141"/>
      <c r="K570" s="142"/>
      <c r="L570" s="142"/>
      <c r="M570" s="142"/>
      <c r="N570" s="142"/>
      <c r="O570" s="136"/>
      <c r="P570" s="34"/>
      <c r="Q570" s="35"/>
      <c r="R570" s="35"/>
      <c r="S570" s="35"/>
      <c r="T570" s="35"/>
      <c r="U570" s="35"/>
      <c r="V570" s="35"/>
      <c r="W570" s="35"/>
      <c r="X570" s="35"/>
      <c r="Y570" s="35"/>
      <c r="Z570" s="35"/>
    </row>
    <row r="571" ht="14.25" customHeight="1">
      <c r="A571" s="136"/>
      <c r="B571" s="137"/>
      <c r="C571" s="251"/>
      <c r="D571" s="452"/>
      <c r="E571" s="136"/>
      <c r="F571" s="253"/>
      <c r="G571" s="253"/>
      <c r="H571" s="527"/>
      <c r="I571" s="141"/>
      <c r="J571" s="141"/>
      <c r="K571" s="142"/>
      <c r="L571" s="142"/>
      <c r="M571" s="142"/>
      <c r="N571" s="142"/>
      <c r="O571" s="136"/>
      <c r="P571" s="34"/>
      <c r="Q571" s="35"/>
      <c r="R571" s="35"/>
      <c r="S571" s="35"/>
      <c r="T571" s="35"/>
      <c r="U571" s="35"/>
      <c r="V571" s="35"/>
      <c r="W571" s="35"/>
      <c r="X571" s="35"/>
      <c r="Y571" s="35"/>
      <c r="Z571" s="35"/>
    </row>
    <row r="572" ht="14.25" customHeight="1">
      <c r="A572" s="136"/>
      <c r="B572" s="137"/>
      <c r="C572" s="251"/>
      <c r="D572" s="452"/>
      <c r="E572" s="136"/>
      <c r="F572" s="253"/>
      <c r="G572" s="253"/>
      <c r="H572" s="527"/>
      <c r="I572" s="141"/>
      <c r="J572" s="141"/>
      <c r="K572" s="142"/>
      <c r="L572" s="142"/>
      <c r="M572" s="142"/>
      <c r="N572" s="142"/>
      <c r="O572" s="136"/>
      <c r="P572" s="34"/>
      <c r="Q572" s="35"/>
      <c r="R572" s="35"/>
      <c r="S572" s="35"/>
      <c r="T572" s="35"/>
      <c r="U572" s="35"/>
      <c r="V572" s="35"/>
      <c r="W572" s="35"/>
      <c r="X572" s="35"/>
      <c r="Y572" s="35"/>
      <c r="Z572" s="35"/>
    </row>
    <row r="573" ht="14.25" customHeight="1">
      <c r="A573" s="136"/>
      <c r="B573" s="137"/>
      <c r="C573" s="251"/>
      <c r="D573" s="452"/>
      <c r="E573" s="136"/>
      <c r="F573" s="253"/>
      <c r="G573" s="253"/>
      <c r="H573" s="527"/>
      <c r="I573" s="141"/>
      <c r="J573" s="141"/>
      <c r="K573" s="142"/>
      <c r="L573" s="142"/>
      <c r="M573" s="142"/>
      <c r="N573" s="142"/>
      <c r="O573" s="136"/>
      <c r="P573" s="34"/>
      <c r="Q573" s="35"/>
      <c r="R573" s="35"/>
      <c r="S573" s="35"/>
      <c r="T573" s="35"/>
      <c r="U573" s="35"/>
      <c r="V573" s="35"/>
      <c r="W573" s="35"/>
      <c r="X573" s="35"/>
      <c r="Y573" s="35"/>
      <c r="Z573" s="35"/>
    </row>
    <row r="574" ht="14.25" customHeight="1">
      <c r="A574" s="136"/>
      <c r="B574" s="137"/>
      <c r="C574" s="251"/>
      <c r="D574" s="452"/>
      <c r="E574" s="136"/>
      <c r="F574" s="253"/>
      <c r="G574" s="253"/>
      <c r="H574" s="527"/>
      <c r="I574" s="141"/>
      <c r="J574" s="141"/>
      <c r="K574" s="142"/>
      <c r="L574" s="142"/>
      <c r="M574" s="142"/>
      <c r="N574" s="142"/>
      <c r="O574" s="136"/>
      <c r="P574" s="34"/>
      <c r="Q574" s="35"/>
      <c r="R574" s="35"/>
      <c r="S574" s="35"/>
      <c r="T574" s="35"/>
      <c r="U574" s="35"/>
      <c r="V574" s="35"/>
      <c r="W574" s="35"/>
      <c r="X574" s="35"/>
      <c r="Y574" s="35"/>
      <c r="Z574" s="35"/>
    </row>
    <row r="575" ht="14.25" customHeight="1">
      <c r="A575" s="136"/>
      <c r="B575" s="137"/>
      <c r="C575" s="251"/>
      <c r="D575" s="452"/>
      <c r="E575" s="136"/>
      <c r="F575" s="253"/>
      <c r="G575" s="253"/>
      <c r="H575" s="527"/>
      <c r="I575" s="141"/>
      <c r="J575" s="141"/>
      <c r="K575" s="142"/>
      <c r="L575" s="142"/>
      <c r="M575" s="142"/>
      <c r="N575" s="142"/>
      <c r="O575" s="136"/>
      <c r="P575" s="34"/>
      <c r="Q575" s="35"/>
      <c r="R575" s="35"/>
      <c r="S575" s="35"/>
      <c r="T575" s="35"/>
      <c r="U575" s="35"/>
      <c r="V575" s="35"/>
      <c r="W575" s="35"/>
      <c r="X575" s="35"/>
      <c r="Y575" s="35"/>
      <c r="Z575" s="35"/>
    </row>
    <row r="576" ht="14.25" customHeight="1">
      <c r="A576" s="136"/>
      <c r="B576" s="137"/>
      <c r="C576" s="251"/>
      <c r="D576" s="452"/>
      <c r="E576" s="136"/>
      <c r="F576" s="253"/>
      <c r="G576" s="253"/>
      <c r="H576" s="527"/>
      <c r="I576" s="141"/>
      <c r="J576" s="141"/>
      <c r="K576" s="142"/>
      <c r="L576" s="142"/>
      <c r="M576" s="142"/>
      <c r="N576" s="142"/>
      <c r="O576" s="136"/>
      <c r="P576" s="34"/>
      <c r="Q576" s="35"/>
      <c r="R576" s="35"/>
      <c r="S576" s="35"/>
      <c r="T576" s="35"/>
      <c r="U576" s="35"/>
      <c r="V576" s="35"/>
      <c r="W576" s="35"/>
      <c r="X576" s="35"/>
      <c r="Y576" s="35"/>
      <c r="Z576" s="35"/>
    </row>
    <row r="577" ht="14.25" customHeight="1">
      <c r="A577" s="136"/>
      <c r="B577" s="137"/>
      <c r="C577" s="251"/>
      <c r="D577" s="452"/>
      <c r="E577" s="136"/>
      <c r="F577" s="253"/>
      <c r="G577" s="253"/>
      <c r="H577" s="527"/>
      <c r="I577" s="141"/>
      <c r="J577" s="141"/>
      <c r="K577" s="142"/>
      <c r="L577" s="142"/>
      <c r="M577" s="142"/>
      <c r="N577" s="142"/>
      <c r="O577" s="136"/>
      <c r="P577" s="34"/>
      <c r="Q577" s="35"/>
      <c r="R577" s="35"/>
      <c r="S577" s="35"/>
      <c r="T577" s="35"/>
      <c r="U577" s="35"/>
      <c r="V577" s="35"/>
      <c r="W577" s="35"/>
      <c r="X577" s="35"/>
      <c r="Y577" s="35"/>
      <c r="Z577" s="35"/>
    </row>
    <row r="578" ht="14.25" customHeight="1">
      <c r="A578" s="136"/>
      <c r="B578" s="137"/>
      <c r="C578" s="251"/>
      <c r="D578" s="452"/>
      <c r="E578" s="136"/>
      <c r="F578" s="253"/>
      <c r="G578" s="253"/>
      <c r="H578" s="527"/>
      <c r="I578" s="141"/>
      <c r="J578" s="141"/>
      <c r="K578" s="142"/>
      <c r="L578" s="142"/>
      <c r="M578" s="142"/>
      <c r="N578" s="142"/>
      <c r="O578" s="136"/>
      <c r="P578" s="34"/>
      <c r="Q578" s="35"/>
      <c r="R578" s="35"/>
      <c r="S578" s="35"/>
      <c r="T578" s="35"/>
      <c r="U578" s="35"/>
      <c r="V578" s="35"/>
      <c r="W578" s="35"/>
      <c r="X578" s="35"/>
      <c r="Y578" s="35"/>
      <c r="Z578" s="35"/>
    </row>
    <row r="579" ht="14.25" customHeight="1">
      <c r="A579" s="136"/>
      <c r="B579" s="137"/>
      <c r="C579" s="251"/>
      <c r="D579" s="452"/>
      <c r="E579" s="136"/>
      <c r="F579" s="253"/>
      <c r="G579" s="253"/>
      <c r="H579" s="527"/>
      <c r="I579" s="141"/>
      <c r="J579" s="141"/>
      <c r="K579" s="142"/>
      <c r="L579" s="142"/>
      <c r="M579" s="142"/>
      <c r="N579" s="142"/>
      <c r="O579" s="136"/>
      <c r="P579" s="34"/>
      <c r="Q579" s="35"/>
      <c r="R579" s="35"/>
      <c r="S579" s="35"/>
      <c r="T579" s="35"/>
      <c r="U579" s="35"/>
      <c r="V579" s="35"/>
      <c r="W579" s="35"/>
      <c r="X579" s="35"/>
      <c r="Y579" s="35"/>
      <c r="Z579" s="35"/>
    </row>
    <row r="580" ht="14.25" customHeight="1">
      <c r="A580" s="136"/>
      <c r="B580" s="137"/>
      <c r="C580" s="251"/>
      <c r="D580" s="452"/>
      <c r="E580" s="136"/>
      <c r="F580" s="253"/>
      <c r="G580" s="253"/>
      <c r="H580" s="527"/>
      <c r="I580" s="141"/>
      <c r="J580" s="141"/>
      <c r="K580" s="142"/>
      <c r="L580" s="142"/>
      <c r="M580" s="142"/>
      <c r="N580" s="142"/>
      <c r="O580" s="136"/>
      <c r="P580" s="34"/>
      <c r="Q580" s="35"/>
      <c r="R580" s="35"/>
      <c r="S580" s="35"/>
      <c r="T580" s="35"/>
      <c r="U580" s="35"/>
      <c r="V580" s="35"/>
      <c r="W580" s="35"/>
      <c r="X580" s="35"/>
      <c r="Y580" s="35"/>
      <c r="Z580" s="35"/>
    </row>
    <row r="581" ht="14.25" customHeight="1">
      <c r="A581" s="136"/>
      <c r="B581" s="137"/>
      <c r="C581" s="251"/>
      <c r="D581" s="452"/>
      <c r="E581" s="136"/>
      <c r="F581" s="253"/>
      <c r="G581" s="253"/>
      <c r="H581" s="527"/>
      <c r="I581" s="141"/>
      <c r="J581" s="141"/>
      <c r="K581" s="142"/>
      <c r="L581" s="142"/>
      <c r="M581" s="142"/>
      <c r="N581" s="142"/>
      <c r="O581" s="136"/>
      <c r="P581" s="34"/>
      <c r="Q581" s="35"/>
      <c r="R581" s="35"/>
      <c r="S581" s="35"/>
      <c r="T581" s="35"/>
      <c r="U581" s="35"/>
      <c r="V581" s="35"/>
      <c r="W581" s="35"/>
      <c r="X581" s="35"/>
      <c r="Y581" s="35"/>
      <c r="Z581" s="35"/>
    </row>
    <row r="582" ht="14.25" customHeight="1">
      <c r="A582" s="136"/>
      <c r="B582" s="137"/>
      <c r="C582" s="251"/>
      <c r="D582" s="452"/>
      <c r="E582" s="136"/>
      <c r="F582" s="253"/>
      <c r="G582" s="253"/>
      <c r="H582" s="527"/>
      <c r="I582" s="141"/>
      <c r="J582" s="141"/>
      <c r="K582" s="142"/>
      <c r="L582" s="142"/>
      <c r="M582" s="142"/>
      <c r="N582" s="142"/>
      <c r="O582" s="136"/>
      <c r="P582" s="34"/>
      <c r="Q582" s="35"/>
      <c r="R582" s="35"/>
      <c r="S582" s="35"/>
      <c r="T582" s="35"/>
      <c r="U582" s="35"/>
      <c r="V582" s="35"/>
      <c r="W582" s="35"/>
      <c r="X582" s="35"/>
      <c r="Y582" s="35"/>
      <c r="Z582" s="35"/>
    </row>
    <row r="583" ht="14.25" customHeight="1">
      <c r="A583" s="136"/>
      <c r="B583" s="137"/>
      <c r="C583" s="251"/>
      <c r="D583" s="452"/>
      <c r="E583" s="136"/>
      <c r="F583" s="253"/>
      <c r="G583" s="253"/>
      <c r="H583" s="527"/>
      <c r="I583" s="141"/>
      <c r="J583" s="141"/>
      <c r="K583" s="142"/>
      <c r="L583" s="142"/>
      <c r="M583" s="142"/>
      <c r="N583" s="142"/>
      <c r="O583" s="136"/>
      <c r="P583" s="34"/>
      <c r="Q583" s="35"/>
      <c r="R583" s="35"/>
      <c r="S583" s="35"/>
      <c r="T583" s="35"/>
      <c r="U583" s="35"/>
      <c r="V583" s="35"/>
      <c r="W583" s="35"/>
      <c r="X583" s="35"/>
      <c r="Y583" s="35"/>
      <c r="Z583" s="35"/>
    </row>
    <row r="584" ht="14.25" customHeight="1">
      <c r="A584" s="136"/>
      <c r="B584" s="137"/>
      <c r="C584" s="251"/>
      <c r="D584" s="452"/>
      <c r="E584" s="136"/>
      <c r="F584" s="253"/>
      <c r="G584" s="253"/>
      <c r="H584" s="527"/>
      <c r="I584" s="141"/>
      <c r="J584" s="141"/>
      <c r="K584" s="142"/>
      <c r="L584" s="142"/>
      <c r="M584" s="142"/>
      <c r="N584" s="142"/>
      <c r="O584" s="136"/>
      <c r="P584" s="34"/>
      <c r="Q584" s="35"/>
      <c r="R584" s="35"/>
      <c r="S584" s="35"/>
      <c r="T584" s="35"/>
      <c r="U584" s="35"/>
      <c r="V584" s="35"/>
      <c r="W584" s="35"/>
      <c r="X584" s="35"/>
      <c r="Y584" s="35"/>
      <c r="Z584" s="35"/>
    </row>
    <row r="585" ht="14.25" customHeight="1">
      <c r="A585" s="136"/>
      <c r="B585" s="137"/>
      <c r="C585" s="251"/>
      <c r="D585" s="452"/>
      <c r="E585" s="136"/>
      <c r="F585" s="253"/>
      <c r="G585" s="253"/>
      <c r="H585" s="527"/>
      <c r="I585" s="141"/>
      <c r="J585" s="141"/>
      <c r="K585" s="142"/>
      <c r="L585" s="142"/>
      <c r="M585" s="142"/>
      <c r="N585" s="142"/>
      <c r="O585" s="136"/>
      <c r="P585" s="34"/>
      <c r="Q585" s="35"/>
      <c r="R585" s="35"/>
      <c r="S585" s="35"/>
      <c r="T585" s="35"/>
      <c r="U585" s="35"/>
      <c r="V585" s="35"/>
      <c r="W585" s="35"/>
      <c r="X585" s="35"/>
      <c r="Y585" s="35"/>
      <c r="Z585" s="35"/>
    </row>
    <row r="586" ht="14.25" customHeight="1">
      <c r="A586" s="136"/>
      <c r="B586" s="137"/>
      <c r="C586" s="251"/>
      <c r="D586" s="452"/>
      <c r="E586" s="136"/>
      <c r="F586" s="253"/>
      <c r="G586" s="253"/>
      <c r="H586" s="527"/>
      <c r="I586" s="141"/>
      <c r="J586" s="141"/>
      <c r="K586" s="142"/>
      <c r="L586" s="142"/>
      <c r="M586" s="142"/>
      <c r="N586" s="142"/>
      <c r="O586" s="136"/>
      <c r="P586" s="34"/>
      <c r="Q586" s="35"/>
      <c r="R586" s="35"/>
      <c r="S586" s="35"/>
      <c r="T586" s="35"/>
      <c r="U586" s="35"/>
      <c r="V586" s="35"/>
      <c r="W586" s="35"/>
      <c r="X586" s="35"/>
      <c r="Y586" s="35"/>
      <c r="Z586" s="35"/>
    </row>
    <row r="587" ht="14.25" customHeight="1">
      <c r="A587" s="136"/>
      <c r="B587" s="137"/>
      <c r="C587" s="251"/>
      <c r="D587" s="452"/>
      <c r="E587" s="136"/>
      <c r="F587" s="253"/>
      <c r="G587" s="253"/>
      <c r="H587" s="527"/>
      <c r="I587" s="141"/>
      <c r="J587" s="141"/>
      <c r="K587" s="142"/>
      <c r="L587" s="142"/>
      <c r="M587" s="142"/>
      <c r="N587" s="142"/>
      <c r="O587" s="136"/>
      <c r="P587" s="34"/>
      <c r="Q587" s="35"/>
      <c r="R587" s="35"/>
      <c r="S587" s="35"/>
      <c r="T587" s="35"/>
      <c r="U587" s="35"/>
      <c r="V587" s="35"/>
      <c r="W587" s="35"/>
      <c r="X587" s="35"/>
      <c r="Y587" s="35"/>
      <c r="Z587" s="35"/>
    </row>
    <row r="588" ht="14.25" customHeight="1">
      <c r="A588" s="136"/>
      <c r="B588" s="137"/>
      <c r="C588" s="251"/>
      <c r="D588" s="452"/>
      <c r="E588" s="136"/>
      <c r="F588" s="253"/>
      <c r="G588" s="253"/>
      <c r="H588" s="527"/>
      <c r="I588" s="141"/>
      <c r="J588" s="141"/>
      <c r="K588" s="142"/>
      <c r="L588" s="142"/>
      <c r="M588" s="142"/>
      <c r="N588" s="142"/>
      <c r="O588" s="136"/>
      <c r="P588" s="34"/>
      <c r="Q588" s="35"/>
      <c r="R588" s="35"/>
      <c r="S588" s="35"/>
      <c r="T588" s="35"/>
      <c r="U588" s="35"/>
      <c r="V588" s="35"/>
      <c r="W588" s="35"/>
      <c r="X588" s="35"/>
      <c r="Y588" s="35"/>
      <c r="Z588" s="35"/>
    </row>
    <row r="589" ht="14.25" customHeight="1">
      <c r="A589" s="136"/>
      <c r="B589" s="137"/>
      <c r="C589" s="251"/>
      <c r="D589" s="452"/>
      <c r="E589" s="136"/>
      <c r="F589" s="253"/>
      <c r="G589" s="253"/>
      <c r="H589" s="527"/>
      <c r="I589" s="141"/>
      <c r="J589" s="141"/>
      <c r="K589" s="142"/>
      <c r="L589" s="142"/>
      <c r="M589" s="142"/>
      <c r="N589" s="142"/>
      <c r="O589" s="136"/>
      <c r="P589" s="34"/>
      <c r="Q589" s="35"/>
      <c r="R589" s="35"/>
      <c r="S589" s="35"/>
      <c r="T589" s="35"/>
      <c r="U589" s="35"/>
      <c r="V589" s="35"/>
      <c r="W589" s="35"/>
      <c r="X589" s="35"/>
      <c r="Y589" s="35"/>
      <c r="Z589" s="35"/>
    </row>
    <row r="590" ht="14.25" customHeight="1">
      <c r="A590" s="136"/>
      <c r="B590" s="137"/>
      <c r="C590" s="251"/>
      <c r="D590" s="452"/>
      <c r="E590" s="136"/>
      <c r="F590" s="253"/>
      <c r="G590" s="253"/>
      <c r="H590" s="527"/>
      <c r="I590" s="141"/>
      <c r="J590" s="141"/>
      <c r="K590" s="142"/>
      <c r="L590" s="142"/>
      <c r="M590" s="142"/>
      <c r="N590" s="142"/>
      <c r="O590" s="136"/>
      <c r="P590" s="34"/>
      <c r="Q590" s="35"/>
      <c r="R590" s="35"/>
      <c r="S590" s="35"/>
      <c r="T590" s="35"/>
      <c r="U590" s="35"/>
      <c r="V590" s="35"/>
      <c r="W590" s="35"/>
      <c r="X590" s="35"/>
      <c r="Y590" s="35"/>
      <c r="Z590" s="35"/>
    </row>
    <row r="591" ht="14.25" customHeight="1">
      <c r="A591" s="136"/>
      <c r="B591" s="137"/>
      <c r="C591" s="251"/>
      <c r="D591" s="452"/>
      <c r="E591" s="136"/>
      <c r="F591" s="253"/>
      <c r="G591" s="253"/>
      <c r="H591" s="527"/>
      <c r="I591" s="141"/>
      <c r="J591" s="141"/>
      <c r="K591" s="142"/>
      <c r="L591" s="142"/>
      <c r="M591" s="142"/>
      <c r="N591" s="142"/>
      <c r="O591" s="136"/>
      <c r="P591" s="34"/>
      <c r="Q591" s="35"/>
      <c r="R591" s="35"/>
      <c r="S591" s="35"/>
      <c r="T591" s="35"/>
      <c r="U591" s="35"/>
      <c r="V591" s="35"/>
      <c r="W591" s="35"/>
      <c r="X591" s="35"/>
      <c r="Y591" s="35"/>
      <c r="Z591" s="35"/>
    </row>
    <row r="592" ht="14.25" customHeight="1">
      <c r="A592" s="136"/>
      <c r="B592" s="137"/>
      <c r="C592" s="251"/>
      <c r="D592" s="452"/>
      <c r="E592" s="136"/>
      <c r="F592" s="253"/>
      <c r="G592" s="253"/>
      <c r="H592" s="527"/>
      <c r="I592" s="141"/>
      <c r="J592" s="141"/>
      <c r="K592" s="142"/>
      <c r="L592" s="142"/>
      <c r="M592" s="142"/>
      <c r="N592" s="142"/>
      <c r="O592" s="136"/>
      <c r="P592" s="34"/>
      <c r="Q592" s="35"/>
      <c r="R592" s="35"/>
      <c r="S592" s="35"/>
      <c r="T592" s="35"/>
      <c r="U592" s="35"/>
      <c r="V592" s="35"/>
      <c r="W592" s="35"/>
      <c r="X592" s="35"/>
      <c r="Y592" s="35"/>
      <c r="Z592" s="35"/>
    </row>
    <row r="593" ht="14.25" customHeight="1">
      <c r="A593" s="136"/>
      <c r="B593" s="137"/>
      <c r="C593" s="251"/>
      <c r="D593" s="452"/>
      <c r="E593" s="136"/>
      <c r="F593" s="253"/>
      <c r="G593" s="253"/>
      <c r="H593" s="527"/>
      <c r="I593" s="141"/>
      <c r="J593" s="141"/>
      <c r="K593" s="142"/>
      <c r="L593" s="142"/>
      <c r="M593" s="142"/>
      <c r="N593" s="142"/>
      <c r="O593" s="136"/>
      <c r="P593" s="34"/>
      <c r="Q593" s="35"/>
      <c r="R593" s="35"/>
      <c r="S593" s="35"/>
      <c r="T593" s="35"/>
      <c r="U593" s="35"/>
      <c r="V593" s="35"/>
      <c r="W593" s="35"/>
      <c r="X593" s="35"/>
      <c r="Y593" s="35"/>
      <c r="Z593" s="35"/>
    </row>
    <row r="594" ht="14.25" customHeight="1">
      <c r="A594" s="136"/>
      <c r="B594" s="137"/>
      <c r="C594" s="251"/>
      <c r="D594" s="452"/>
      <c r="E594" s="136"/>
      <c r="F594" s="253"/>
      <c r="G594" s="253"/>
      <c r="H594" s="527"/>
      <c r="I594" s="141"/>
      <c r="J594" s="141"/>
      <c r="K594" s="142"/>
      <c r="L594" s="142"/>
      <c r="M594" s="142"/>
      <c r="N594" s="142"/>
      <c r="O594" s="136"/>
      <c r="P594" s="34"/>
      <c r="Q594" s="35"/>
      <c r="R594" s="35"/>
      <c r="S594" s="35"/>
      <c r="T594" s="35"/>
      <c r="U594" s="35"/>
      <c r="V594" s="35"/>
      <c r="W594" s="35"/>
      <c r="X594" s="35"/>
      <c r="Y594" s="35"/>
      <c r="Z594" s="35"/>
    </row>
    <row r="595" ht="14.25" customHeight="1">
      <c r="A595" s="136"/>
      <c r="B595" s="137"/>
      <c r="C595" s="251"/>
      <c r="D595" s="452"/>
      <c r="E595" s="136"/>
      <c r="F595" s="253"/>
      <c r="G595" s="253"/>
      <c r="H595" s="527"/>
      <c r="I595" s="141"/>
      <c r="J595" s="141"/>
      <c r="K595" s="142"/>
      <c r="L595" s="142"/>
      <c r="M595" s="142"/>
      <c r="N595" s="142"/>
      <c r="O595" s="136"/>
      <c r="P595" s="34"/>
      <c r="Q595" s="35"/>
      <c r="R595" s="35"/>
      <c r="S595" s="35"/>
      <c r="T595" s="35"/>
      <c r="U595" s="35"/>
      <c r="V595" s="35"/>
      <c r="W595" s="35"/>
      <c r="X595" s="35"/>
      <c r="Y595" s="35"/>
      <c r="Z595" s="35"/>
    </row>
    <row r="596" ht="14.25" customHeight="1">
      <c r="A596" s="136"/>
      <c r="B596" s="137"/>
      <c r="C596" s="251"/>
      <c r="D596" s="452"/>
      <c r="E596" s="136"/>
      <c r="F596" s="253"/>
      <c r="G596" s="253"/>
      <c r="H596" s="527"/>
      <c r="I596" s="141"/>
      <c r="J596" s="141"/>
      <c r="K596" s="142"/>
      <c r="L596" s="142"/>
      <c r="M596" s="142"/>
      <c r="N596" s="142"/>
      <c r="O596" s="136"/>
      <c r="P596" s="34"/>
      <c r="Q596" s="35"/>
      <c r="R596" s="35"/>
      <c r="S596" s="35"/>
      <c r="T596" s="35"/>
      <c r="U596" s="35"/>
      <c r="V596" s="35"/>
      <c r="W596" s="35"/>
      <c r="X596" s="35"/>
      <c r="Y596" s="35"/>
      <c r="Z596" s="35"/>
    </row>
    <row r="597" ht="14.25" customHeight="1">
      <c r="A597" s="136"/>
      <c r="B597" s="137"/>
      <c r="C597" s="251"/>
      <c r="D597" s="452"/>
      <c r="E597" s="136"/>
      <c r="F597" s="253"/>
      <c r="G597" s="253"/>
      <c r="H597" s="527"/>
      <c r="I597" s="141"/>
      <c r="J597" s="141"/>
      <c r="K597" s="142"/>
      <c r="L597" s="142"/>
      <c r="M597" s="142"/>
      <c r="N597" s="142"/>
      <c r="O597" s="136"/>
      <c r="P597" s="34"/>
      <c r="Q597" s="35"/>
      <c r="R597" s="35"/>
      <c r="S597" s="35"/>
      <c r="T597" s="35"/>
      <c r="U597" s="35"/>
      <c r="V597" s="35"/>
      <c r="W597" s="35"/>
      <c r="X597" s="35"/>
      <c r="Y597" s="35"/>
      <c r="Z597" s="35"/>
    </row>
    <row r="598" ht="14.25" customHeight="1">
      <c r="A598" s="136"/>
      <c r="B598" s="137"/>
      <c r="C598" s="251"/>
      <c r="D598" s="452"/>
      <c r="E598" s="136"/>
      <c r="F598" s="253"/>
      <c r="G598" s="253"/>
      <c r="H598" s="527"/>
      <c r="I598" s="141"/>
      <c r="J598" s="141"/>
      <c r="K598" s="142"/>
      <c r="L598" s="142"/>
      <c r="M598" s="142"/>
      <c r="N598" s="142"/>
      <c r="O598" s="136"/>
      <c r="P598" s="34"/>
      <c r="Q598" s="35"/>
      <c r="R598" s="35"/>
      <c r="S598" s="35"/>
      <c r="T598" s="35"/>
      <c r="U598" s="35"/>
      <c r="V598" s="35"/>
      <c r="W598" s="35"/>
      <c r="X598" s="35"/>
      <c r="Y598" s="35"/>
      <c r="Z598" s="35"/>
    </row>
    <row r="599" ht="14.25" customHeight="1">
      <c r="A599" s="136"/>
      <c r="B599" s="137"/>
      <c r="C599" s="251"/>
      <c r="D599" s="452"/>
      <c r="E599" s="136"/>
      <c r="F599" s="253"/>
      <c r="G599" s="253"/>
      <c r="H599" s="527"/>
      <c r="I599" s="141"/>
      <c r="J599" s="141"/>
      <c r="K599" s="142"/>
      <c r="L599" s="142"/>
      <c r="M599" s="142"/>
      <c r="N599" s="142"/>
      <c r="O599" s="136"/>
      <c r="P599" s="34"/>
      <c r="Q599" s="35"/>
      <c r="R599" s="35"/>
      <c r="S599" s="35"/>
      <c r="T599" s="35"/>
      <c r="U599" s="35"/>
      <c r="V599" s="35"/>
      <c r="W599" s="35"/>
      <c r="X599" s="35"/>
      <c r="Y599" s="35"/>
      <c r="Z599" s="35"/>
    </row>
    <row r="600" ht="14.25" customHeight="1">
      <c r="A600" s="136"/>
      <c r="B600" s="137"/>
      <c r="C600" s="251"/>
      <c r="D600" s="452"/>
      <c r="E600" s="136"/>
      <c r="F600" s="253"/>
      <c r="G600" s="253"/>
      <c r="H600" s="527"/>
      <c r="I600" s="141"/>
      <c r="J600" s="141"/>
      <c r="K600" s="142"/>
      <c r="L600" s="142"/>
      <c r="M600" s="142"/>
      <c r="N600" s="142"/>
      <c r="O600" s="136"/>
      <c r="P600" s="34"/>
      <c r="Q600" s="35"/>
      <c r="R600" s="35"/>
      <c r="S600" s="35"/>
      <c r="T600" s="35"/>
      <c r="U600" s="35"/>
      <c r="V600" s="35"/>
      <c r="W600" s="35"/>
      <c r="X600" s="35"/>
      <c r="Y600" s="35"/>
      <c r="Z600" s="35"/>
    </row>
    <row r="601" ht="14.25" customHeight="1">
      <c r="A601" s="136"/>
      <c r="B601" s="137"/>
      <c r="C601" s="251"/>
      <c r="D601" s="452"/>
      <c r="E601" s="136"/>
      <c r="F601" s="253"/>
      <c r="G601" s="253"/>
      <c r="H601" s="527"/>
      <c r="I601" s="141"/>
      <c r="J601" s="141"/>
      <c r="K601" s="142"/>
      <c r="L601" s="142"/>
      <c r="M601" s="142"/>
      <c r="N601" s="142"/>
      <c r="O601" s="136"/>
      <c r="P601" s="34"/>
      <c r="Q601" s="35"/>
      <c r="R601" s="35"/>
      <c r="S601" s="35"/>
      <c r="T601" s="35"/>
      <c r="U601" s="35"/>
      <c r="V601" s="35"/>
      <c r="W601" s="35"/>
      <c r="X601" s="35"/>
      <c r="Y601" s="35"/>
      <c r="Z601" s="35"/>
    </row>
    <row r="602" ht="14.25" customHeight="1">
      <c r="A602" s="136"/>
      <c r="B602" s="137"/>
      <c r="C602" s="251"/>
      <c r="D602" s="452"/>
      <c r="E602" s="136"/>
      <c r="F602" s="253"/>
      <c r="G602" s="253"/>
      <c r="H602" s="527"/>
      <c r="I602" s="141"/>
      <c r="J602" s="141"/>
      <c r="K602" s="142"/>
      <c r="L602" s="142"/>
      <c r="M602" s="142"/>
      <c r="N602" s="142"/>
      <c r="O602" s="136"/>
      <c r="P602" s="34"/>
      <c r="Q602" s="35"/>
      <c r="R602" s="35"/>
      <c r="S602" s="35"/>
      <c r="T602" s="35"/>
      <c r="U602" s="35"/>
      <c r="V602" s="35"/>
      <c r="W602" s="35"/>
      <c r="X602" s="35"/>
      <c r="Y602" s="35"/>
      <c r="Z602" s="35"/>
    </row>
    <row r="603" ht="14.25" customHeight="1">
      <c r="A603" s="136"/>
      <c r="B603" s="137"/>
      <c r="C603" s="251"/>
      <c r="D603" s="452"/>
      <c r="E603" s="136"/>
      <c r="F603" s="253"/>
      <c r="G603" s="253"/>
      <c r="H603" s="527"/>
      <c r="I603" s="141"/>
      <c r="J603" s="141"/>
      <c r="K603" s="142"/>
      <c r="L603" s="142"/>
      <c r="M603" s="142"/>
      <c r="N603" s="142"/>
      <c r="O603" s="136"/>
      <c r="P603" s="34"/>
      <c r="Q603" s="35"/>
      <c r="R603" s="35"/>
      <c r="S603" s="35"/>
      <c r="T603" s="35"/>
      <c r="U603" s="35"/>
      <c r="V603" s="35"/>
      <c r="W603" s="35"/>
      <c r="X603" s="35"/>
      <c r="Y603" s="35"/>
      <c r="Z603" s="35"/>
    </row>
    <row r="604" ht="14.25" customHeight="1">
      <c r="A604" s="136"/>
      <c r="B604" s="137"/>
      <c r="C604" s="251"/>
      <c r="D604" s="452"/>
      <c r="E604" s="136"/>
      <c r="F604" s="253"/>
      <c r="G604" s="253"/>
      <c r="H604" s="527"/>
      <c r="I604" s="141"/>
      <c r="J604" s="141"/>
      <c r="K604" s="142"/>
      <c r="L604" s="142"/>
      <c r="M604" s="142"/>
      <c r="N604" s="142"/>
      <c r="O604" s="136"/>
      <c r="P604" s="34"/>
      <c r="Q604" s="35"/>
      <c r="R604" s="35"/>
      <c r="S604" s="35"/>
      <c r="T604" s="35"/>
      <c r="U604" s="35"/>
      <c r="V604" s="35"/>
      <c r="W604" s="35"/>
      <c r="X604" s="35"/>
      <c r="Y604" s="35"/>
      <c r="Z604" s="35"/>
    </row>
    <row r="605" ht="14.25" customHeight="1">
      <c r="A605" s="136"/>
      <c r="B605" s="137"/>
      <c r="C605" s="251"/>
      <c r="D605" s="452"/>
      <c r="E605" s="136"/>
      <c r="F605" s="253"/>
      <c r="G605" s="253"/>
      <c r="H605" s="527"/>
      <c r="I605" s="141"/>
      <c r="J605" s="141"/>
      <c r="K605" s="142"/>
      <c r="L605" s="142"/>
      <c r="M605" s="142"/>
      <c r="N605" s="142"/>
      <c r="O605" s="136"/>
      <c r="P605" s="34"/>
      <c r="Q605" s="35"/>
      <c r="R605" s="35"/>
      <c r="S605" s="35"/>
      <c r="T605" s="35"/>
      <c r="U605" s="35"/>
      <c r="V605" s="35"/>
      <c r="W605" s="35"/>
      <c r="X605" s="35"/>
      <c r="Y605" s="35"/>
      <c r="Z605" s="35"/>
    </row>
    <row r="606" ht="14.25" customHeight="1">
      <c r="A606" s="136"/>
      <c r="B606" s="137"/>
      <c r="C606" s="251"/>
      <c r="D606" s="452"/>
      <c r="E606" s="136"/>
      <c r="F606" s="253"/>
      <c r="G606" s="253"/>
      <c r="H606" s="527"/>
      <c r="I606" s="141"/>
      <c r="J606" s="141"/>
      <c r="K606" s="142"/>
      <c r="L606" s="142"/>
      <c r="M606" s="142"/>
      <c r="N606" s="142"/>
      <c r="O606" s="136"/>
      <c r="P606" s="34"/>
      <c r="Q606" s="35"/>
      <c r="R606" s="35"/>
      <c r="S606" s="35"/>
      <c r="T606" s="35"/>
      <c r="U606" s="35"/>
      <c r="V606" s="35"/>
      <c r="W606" s="35"/>
      <c r="X606" s="35"/>
      <c r="Y606" s="35"/>
      <c r="Z606" s="35"/>
    </row>
    <row r="607" ht="14.25" customHeight="1">
      <c r="A607" s="136"/>
      <c r="B607" s="137"/>
      <c r="C607" s="251"/>
      <c r="D607" s="452"/>
      <c r="E607" s="136"/>
      <c r="F607" s="253"/>
      <c r="G607" s="253"/>
      <c r="H607" s="527"/>
      <c r="I607" s="141"/>
      <c r="J607" s="141"/>
      <c r="K607" s="142"/>
      <c r="L607" s="142"/>
      <c r="M607" s="142"/>
      <c r="N607" s="142"/>
      <c r="O607" s="136"/>
      <c r="P607" s="34"/>
      <c r="Q607" s="35"/>
      <c r="R607" s="35"/>
      <c r="S607" s="35"/>
      <c r="T607" s="35"/>
      <c r="U607" s="35"/>
      <c r="V607" s="35"/>
      <c r="W607" s="35"/>
      <c r="X607" s="35"/>
      <c r="Y607" s="35"/>
      <c r="Z607" s="35"/>
    </row>
    <row r="608" ht="14.25" customHeight="1">
      <c r="A608" s="136"/>
      <c r="B608" s="137"/>
      <c r="C608" s="251"/>
      <c r="D608" s="452"/>
      <c r="E608" s="136"/>
      <c r="F608" s="253"/>
      <c r="G608" s="253"/>
      <c r="H608" s="527"/>
      <c r="I608" s="141"/>
      <c r="J608" s="141"/>
      <c r="K608" s="142"/>
      <c r="L608" s="142"/>
      <c r="M608" s="142"/>
      <c r="N608" s="142"/>
      <c r="O608" s="136"/>
      <c r="P608" s="34"/>
      <c r="Q608" s="35"/>
      <c r="R608" s="35"/>
      <c r="S608" s="35"/>
      <c r="T608" s="35"/>
      <c r="U608" s="35"/>
      <c r="V608" s="35"/>
      <c r="W608" s="35"/>
      <c r="X608" s="35"/>
      <c r="Y608" s="35"/>
      <c r="Z608" s="35"/>
    </row>
    <row r="609" ht="14.25" customHeight="1">
      <c r="A609" s="136"/>
      <c r="B609" s="137"/>
      <c r="C609" s="251"/>
      <c r="D609" s="452"/>
      <c r="E609" s="136"/>
      <c r="F609" s="253"/>
      <c r="G609" s="253"/>
      <c r="H609" s="527"/>
      <c r="I609" s="141"/>
      <c r="J609" s="141"/>
      <c r="K609" s="142"/>
      <c r="L609" s="142"/>
      <c r="M609" s="142"/>
      <c r="N609" s="142"/>
      <c r="O609" s="136"/>
      <c r="P609" s="34"/>
      <c r="Q609" s="35"/>
      <c r="R609" s="35"/>
      <c r="S609" s="35"/>
      <c r="T609" s="35"/>
      <c r="U609" s="35"/>
      <c r="V609" s="35"/>
      <c r="W609" s="35"/>
      <c r="X609" s="35"/>
      <c r="Y609" s="35"/>
      <c r="Z609" s="35"/>
    </row>
    <row r="610" ht="14.25" customHeight="1">
      <c r="A610" s="136"/>
      <c r="B610" s="137"/>
      <c r="C610" s="251"/>
      <c r="D610" s="452"/>
      <c r="E610" s="136"/>
      <c r="F610" s="253"/>
      <c r="G610" s="253"/>
      <c r="H610" s="527"/>
      <c r="I610" s="141"/>
      <c r="J610" s="141"/>
      <c r="K610" s="142"/>
      <c r="L610" s="142"/>
      <c r="M610" s="142"/>
      <c r="N610" s="142"/>
      <c r="O610" s="136"/>
      <c r="P610" s="34"/>
      <c r="Q610" s="35"/>
      <c r="R610" s="35"/>
      <c r="S610" s="35"/>
      <c r="T610" s="35"/>
      <c r="U610" s="35"/>
      <c r="V610" s="35"/>
      <c r="W610" s="35"/>
      <c r="X610" s="35"/>
      <c r="Y610" s="35"/>
      <c r="Z610" s="35"/>
    </row>
    <row r="611" ht="14.25" customHeight="1">
      <c r="A611" s="136"/>
      <c r="B611" s="137"/>
      <c r="C611" s="251"/>
      <c r="D611" s="452"/>
      <c r="E611" s="136"/>
      <c r="F611" s="253"/>
      <c r="G611" s="253"/>
      <c r="H611" s="527"/>
      <c r="I611" s="141"/>
      <c r="J611" s="141"/>
      <c r="K611" s="142"/>
      <c r="L611" s="142"/>
      <c r="M611" s="142"/>
      <c r="N611" s="142"/>
      <c r="O611" s="136"/>
      <c r="P611" s="34"/>
      <c r="Q611" s="35"/>
      <c r="R611" s="35"/>
      <c r="S611" s="35"/>
      <c r="T611" s="35"/>
      <c r="U611" s="35"/>
      <c r="V611" s="35"/>
      <c r="W611" s="35"/>
      <c r="X611" s="35"/>
      <c r="Y611" s="35"/>
      <c r="Z611" s="35"/>
    </row>
    <row r="612" ht="14.25" customHeight="1">
      <c r="A612" s="136"/>
      <c r="B612" s="137"/>
      <c r="C612" s="251"/>
      <c r="D612" s="452"/>
      <c r="E612" s="136"/>
      <c r="F612" s="253"/>
      <c r="G612" s="253"/>
      <c r="H612" s="527"/>
      <c r="I612" s="141"/>
      <c r="J612" s="141"/>
      <c r="K612" s="142"/>
      <c r="L612" s="142"/>
      <c r="M612" s="142"/>
      <c r="N612" s="142"/>
      <c r="O612" s="136"/>
      <c r="P612" s="34"/>
      <c r="Q612" s="35"/>
      <c r="R612" s="35"/>
      <c r="S612" s="35"/>
      <c r="T612" s="35"/>
      <c r="U612" s="35"/>
      <c r="V612" s="35"/>
      <c r="W612" s="35"/>
      <c r="X612" s="35"/>
      <c r="Y612" s="35"/>
      <c r="Z612" s="35"/>
    </row>
    <row r="613" ht="14.25" customHeight="1">
      <c r="A613" s="136"/>
      <c r="B613" s="137"/>
      <c r="C613" s="251"/>
      <c r="D613" s="452"/>
      <c r="E613" s="136"/>
      <c r="F613" s="253"/>
      <c r="G613" s="253"/>
      <c r="H613" s="527"/>
      <c r="I613" s="141"/>
      <c r="J613" s="141"/>
      <c r="K613" s="142"/>
      <c r="L613" s="142"/>
      <c r="M613" s="142"/>
      <c r="N613" s="142"/>
      <c r="O613" s="136"/>
      <c r="P613" s="34"/>
      <c r="Q613" s="35"/>
      <c r="R613" s="35"/>
      <c r="S613" s="35"/>
      <c r="T613" s="35"/>
      <c r="U613" s="35"/>
      <c r="V613" s="35"/>
      <c r="W613" s="35"/>
      <c r="X613" s="35"/>
      <c r="Y613" s="35"/>
      <c r="Z613" s="35"/>
    </row>
    <row r="614" ht="14.25" customHeight="1">
      <c r="A614" s="136"/>
      <c r="B614" s="137"/>
      <c r="C614" s="251"/>
      <c r="D614" s="452"/>
      <c r="E614" s="136"/>
      <c r="F614" s="253"/>
      <c r="G614" s="253"/>
      <c r="H614" s="527"/>
      <c r="I614" s="141"/>
      <c r="J614" s="141"/>
      <c r="K614" s="142"/>
      <c r="L614" s="142"/>
      <c r="M614" s="142"/>
      <c r="N614" s="142"/>
      <c r="O614" s="136"/>
      <c r="P614" s="34"/>
      <c r="Q614" s="35"/>
      <c r="R614" s="35"/>
      <c r="S614" s="35"/>
      <c r="T614" s="35"/>
      <c r="U614" s="35"/>
      <c r="V614" s="35"/>
      <c r="W614" s="35"/>
      <c r="X614" s="35"/>
      <c r="Y614" s="35"/>
      <c r="Z614" s="35"/>
    </row>
    <row r="615" ht="14.25" customHeight="1">
      <c r="A615" s="136"/>
      <c r="B615" s="137"/>
      <c r="C615" s="251"/>
      <c r="D615" s="452"/>
      <c r="E615" s="136"/>
      <c r="F615" s="253"/>
      <c r="G615" s="253"/>
      <c r="H615" s="527"/>
      <c r="I615" s="141"/>
      <c r="J615" s="141"/>
      <c r="K615" s="142"/>
      <c r="L615" s="142"/>
      <c r="M615" s="142"/>
      <c r="N615" s="142"/>
      <c r="O615" s="136"/>
      <c r="P615" s="34"/>
      <c r="Q615" s="35"/>
      <c r="R615" s="35"/>
      <c r="S615" s="35"/>
      <c r="T615" s="35"/>
      <c r="U615" s="35"/>
      <c r="V615" s="35"/>
      <c r="W615" s="35"/>
      <c r="X615" s="35"/>
      <c r="Y615" s="35"/>
      <c r="Z615" s="35"/>
    </row>
    <row r="616" ht="14.25" customHeight="1">
      <c r="A616" s="136"/>
      <c r="B616" s="137"/>
      <c r="C616" s="251"/>
      <c r="D616" s="452"/>
      <c r="E616" s="136"/>
      <c r="F616" s="253"/>
      <c r="G616" s="253"/>
      <c r="H616" s="527"/>
      <c r="I616" s="141"/>
      <c r="J616" s="141"/>
      <c r="K616" s="142"/>
      <c r="L616" s="142"/>
      <c r="M616" s="142"/>
      <c r="N616" s="142"/>
      <c r="O616" s="136"/>
      <c r="P616" s="34"/>
      <c r="Q616" s="35"/>
      <c r="R616" s="35"/>
      <c r="S616" s="35"/>
      <c r="T616" s="35"/>
      <c r="U616" s="35"/>
      <c r="V616" s="35"/>
      <c r="W616" s="35"/>
      <c r="X616" s="35"/>
      <c r="Y616" s="35"/>
      <c r="Z616" s="35"/>
    </row>
    <row r="617" ht="14.25" customHeight="1">
      <c r="A617" s="136"/>
      <c r="B617" s="137"/>
      <c r="C617" s="251"/>
      <c r="D617" s="452"/>
      <c r="E617" s="136"/>
      <c r="F617" s="253"/>
      <c r="G617" s="253"/>
      <c r="H617" s="527"/>
      <c r="I617" s="141"/>
      <c r="J617" s="141"/>
      <c r="K617" s="142"/>
      <c r="L617" s="142"/>
      <c r="M617" s="142"/>
      <c r="N617" s="142"/>
      <c r="O617" s="136"/>
      <c r="P617" s="34"/>
      <c r="Q617" s="35"/>
      <c r="R617" s="35"/>
      <c r="S617" s="35"/>
      <c r="T617" s="35"/>
      <c r="U617" s="35"/>
      <c r="V617" s="35"/>
      <c r="W617" s="35"/>
      <c r="X617" s="35"/>
      <c r="Y617" s="35"/>
      <c r="Z617" s="35"/>
    </row>
    <row r="618" ht="14.25" customHeight="1">
      <c r="A618" s="136"/>
      <c r="B618" s="137"/>
      <c r="C618" s="251"/>
      <c r="D618" s="452"/>
      <c r="E618" s="136"/>
      <c r="F618" s="253"/>
      <c r="G618" s="253"/>
      <c r="H618" s="527"/>
      <c r="I618" s="141"/>
      <c r="J618" s="141"/>
      <c r="K618" s="142"/>
      <c r="L618" s="142"/>
      <c r="M618" s="142"/>
      <c r="N618" s="142"/>
      <c r="O618" s="136"/>
      <c r="P618" s="34"/>
      <c r="Q618" s="35"/>
      <c r="R618" s="35"/>
      <c r="S618" s="35"/>
      <c r="T618" s="35"/>
      <c r="U618" s="35"/>
      <c r="V618" s="35"/>
      <c r="W618" s="35"/>
      <c r="X618" s="35"/>
      <c r="Y618" s="35"/>
      <c r="Z618" s="35"/>
    </row>
    <row r="619" ht="14.25" customHeight="1">
      <c r="A619" s="136"/>
      <c r="B619" s="137"/>
      <c r="C619" s="251"/>
      <c r="D619" s="452"/>
      <c r="E619" s="136"/>
      <c r="F619" s="253"/>
      <c r="G619" s="253"/>
      <c r="H619" s="527"/>
      <c r="I619" s="141"/>
      <c r="J619" s="141"/>
      <c r="K619" s="142"/>
      <c r="L619" s="142"/>
      <c r="M619" s="142"/>
      <c r="N619" s="142"/>
      <c r="O619" s="136"/>
      <c r="P619" s="34"/>
      <c r="Q619" s="35"/>
      <c r="R619" s="35"/>
      <c r="S619" s="35"/>
      <c r="T619" s="35"/>
      <c r="U619" s="35"/>
      <c r="V619" s="35"/>
      <c r="W619" s="35"/>
      <c r="X619" s="35"/>
      <c r="Y619" s="35"/>
      <c r="Z619" s="35"/>
    </row>
    <row r="620" ht="14.25" customHeight="1">
      <c r="A620" s="136"/>
      <c r="B620" s="137"/>
      <c r="C620" s="251"/>
      <c r="D620" s="452"/>
      <c r="E620" s="136"/>
      <c r="F620" s="253"/>
      <c r="G620" s="253"/>
      <c r="H620" s="527"/>
      <c r="I620" s="141"/>
      <c r="J620" s="141"/>
      <c r="K620" s="142"/>
      <c r="L620" s="142"/>
      <c r="M620" s="142"/>
      <c r="N620" s="142"/>
      <c r="O620" s="136"/>
      <c r="P620" s="34"/>
      <c r="Q620" s="35"/>
      <c r="R620" s="35"/>
      <c r="S620" s="35"/>
      <c r="T620" s="35"/>
      <c r="U620" s="35"/>
      <c r="V620" s="35"/>
      <c r="W620" s="35"/>
      <c r="X620" s="35"/>
      <c r="Y620" s="35"/>
      <c r="Z620" s="35"/>
    </row>
    <row r="621" ht="14.25" customHeight="1">
      <c r="A621" s="136"/>
      <c r="B621" s="137"/>
      <c r="C621" s="251"/>
      <c r="D621" s="452"/>
      <c r="E621" s="136"/>
      <c r="F621" s="253"/>
      <c r="G621" s="253"/>
      <c r="H621" s="527"/>
      <c r="I621" s="141"/>
      <c r="J621" s="141"/>
      <c r="K621" s="142"/>
      <c r="L621" s="142"/>
      <c r="M621" s="142"/>
      <c r="N621" s="142"/>
      <c r="O621" s="136"/>
      <c r="P621" s="34"/>
      <c r="Q621" s="35"/>
      <c r="R621" s="35"/>
      <c r="S621" s="35"/>
      <c r="T621" s="35"/>
      <c r="U621" s="35"/>
      <c r="V621" s="35"/>
      <c r="W621" s="35"/>
      <c r="X621" s="35"/>
      <c r="Y621" s="35"/>
      <c r="Z621" s="35"/>
    </row>
    <row r="622" ht="14.25" customHeight="1">
      <c r="A622" s="136"/>
      <c r="B622" s="137"/>
      <c r="C622" s="251"/>
      <c r="D622" s="452"/>
      <c r="E622" s="136"/>
      <c r="F622" s="253"/>
      <c r="G622" s="253"/>
      <c r="H622" s="527"/>
      <c r="I622" s="141"/>
      <c r="J622" s="141"/>
      <c r="K622" s="142"/>
      <c r="L622" s="142"/>
      <c r="M622" s="142"/>
      <c r="N622" s="142"/>
      <c r="O622" s="136"/>
      <c r="P622" s="34"/>
      <c r="Q622" s="35"/>
      <c r="R622" s="35"/>
      <c r="S622" s="35"/>
      <c r="T622" s="35"/>
      <c r="U622" s="35"/>
      <c r="V622" s="35"/>
      <c r="W622" s="35"/>
      <c r="X622" s="35"/>
      <c r="Y622" s="35"/>
      <c r="Z622" s="35"/>
    </row>
    <row r="623" ht="14.25" customHeight="1">
      <c r="A623" s="136"/>
      <c r="B623" s="137"/>
      <c r="C623" s="251"/>
      <c r="D623" s="452"/>
      <c r="E623" s="136"/>
      <c r="F623" s="253"/>
      <c r="G623" s="253"/>
      <c r="H623" s="527"/>
      <c r="I623" s="141"/>
      <c r="J623" s="141"/>
      <c r="K623" s="142"/>
      <c r="L623" s="142"/>
      <c r="M623" s="142"/>
      <c r="N623" s="142"/>
      <c r="O623" s="136"/>
      <c r="P623" s="34"/>
      <c r="Q623" s="35"/>
      <c r="R623" s="35"/>
      <c r="S623" s="35"/>
      <c r="T623" s="35"/>
      <c r="U623" s="35"/>
      <c r="V623" s="35"/>
      <c r="W623" s="35"/>
      <c r="X623" s="35"/>
      <c r="Y623" s="35"/>
      <c r="Z623" s="35"/>
    </row>
    <row r="624" ht="14.25" customHeight="1">
      <c r="A624" s="136"/>
      <c r="B624" s="137"/>
      <c r="C624" s="251"/>
      <c r="D624" s="452"/>
      <c r="E624" s="136"/>
      <c r="F624" s="253"/>
      <c r="G624" s="253"/>
      <c r="H624" s="527"/>
      <c r="I624" s="141"/>
      <c r="J624" s="141"/>
      <c r="K624" s="142"/>
      <c r="L624" s="142"/>
      <c r="M624" s="142"/>
      <c r="N624" s="142"/>
      <c r="O624" s="136"/>
      <c r="P624" s="34"/>
      <c r="Q624" s="35"/>
      <c r="R624" s="35"/>
      <c r="S624" s="35"/>
      <c r="T624" s="35"/>
      <c r="U624" s="35"/>
      <c r="V624" s="35"/>
      <c r="W624" s="35"/>
      <c r="X624" s="35"/>
      <c r="Y624" s="35"/>
      <c r="Z624" s="35"/>
    </row>
    <row r="625" ht="14.25" customHeight="1">
      <c r="A625" s="136"/>
      <c r="B625" s="137"/>
      <c r="C625" s="251"/>
      <c r="D625" s="452"/>
      <c r="E625" s="136"/>
      <c r="F625" s="253"/>
      <c r="G625" s="253"/>
      <c r="H625" s="527"/>
      <c r="I625" s="141"/>
      <c r="J625" s="141"/>
      <c r="K625" s="142"/>
      <c r="L625" s="142"/>
      <c r="M625" s="142"/>
      <c r="N625" s="142"/>
      <c r="O625" s="136"/>
      <c r="P625" s="34"/>
      <c r="Q625" s="35"/>
      <c r="R625" s="35"/>
      <c r="S625" s="35"/>
      <c r="T625" s="35"/>
      <c r="U625" s="35"/>
      <c r="V625" s="35"/>
      <c r="W625" s="35"/>
      <c r="X625" s="35"/>
      <c r="Y625" s="35"/>
      <c r="Z625" s="35"/>
    </row>
    <row r="626" ht="14.25" customHeight="1">
      <c r="A626" s="136"/>
      <c r="B626" s="137"/>
      <c r="C626" s="251"/>
      <c r="D626" s="452"/>
      <c r="E626" s="136"/>
      <c r="F626" s="253"/>
      <c r="G626" s="253"/>
      <c r="H626" s="527"/>
      <c r="I626" s="141"/>
      <c r="J626" s="141"/>
      <c r="K626" s="142"/>
      <c r="L626" s="142"/>
      <c r="M626" s="142"/>
      <c r="N626" s="142"/>
      <c r="O626" s="136"/>
      <c r="P626" s="34"/>
      <c r="Q626" s="35"/>
      <c r="R626" s="35"/>
      <c r="S626" s="35"/>
      <c r="T626" s="35"/>
      <c r="U626" s="35"/>
      <c r="V626" s="35"/>
      <c r="W626" s="35"/>
      <c r="X626" s="35"/>
      <c r="Y626" s="35"/>
      <c r="Z626" s="35"/>
    </row>
    <row r="627" ht="14.25" customHeight="1">
      <c r="A627" s="136"/>
      <c r="B627" s="137"/>
      <c r="C627" s="251"/>
      <c r="D627" s="452"/>
      <c r="E627" s="136"/>
      <c r="F627" s="253"/>
      <c r="G627" s="253"/>
      <c r="H627" s="527"/>
      <c r="I627" s="141"/>
      <c r="J627" s="141"/>
      <c r="K627" s="142"/>
      <c r="L627" s="142"/>
      <c r="M627" s="142"/>
      <c r="N627" s="142"/>
      <c r="O627" s="136"/>
      <c r="P627" s="34"/>
      <c r="Q627" s="35"/>
      <c r="R627" s="35"/>
      <c r="S627" s="35"/>
      <c r="T627" s="35"/>
      <c r="U627" s="35"/>
      <c r="V627" s="35"/>
      <c r="W627" s="35"/>
      <c r="X627" s="35"/>
      <c r="Y627" s="35"/>
      <c r="Z627" s="35"/>
    </row>
    <row r="628" ht="14.25" customHeight="1">
      <c r="A628" s="136"/>
      <c r="B628" s="137"/>
      <c r="C628" s="251"/>
      <c r="D628" s="452"/>
      <c r="E628" s="136"/>
      <c r="F628" s="253"/>
      <c r="G628" s="253"/>
      <c r="H628" s="527"/>
      <c r="I628" s="141"/>
      <c r="J628" s="141"/>
      <c r="K628" s="142"/>
      <c r="L628" s="142"/>
      <c r="M628" s="142"/>
      <c r="N628" s="142"/>
      <c r="O628" s="136"/>
      <c r="P628" s="34"/>
      <c r="Q628" s="35"/>
      <c r="R628" s="35"/>
      <c r="S628" s="35"/>
      <c r="T628" s="35"/>
      <c r="U628" s="35"/>
      <c r="V628" s="35"/>
      <c r="W628" s="35"/>
      <c r="X628" s="35"/>
      <c r="Y628" s="35"/>
      <c r="Z628" s="35"/>
    </row>
    <row r="629" ht="14.25" customHeight="1">
      <c r="A629" s="136"/>
      <c r="B629" s="137"/>
      <c r="C629" s="251"/>
      <c r="D629" s="452"/>
      <c r="E629" s="136"/>
      <c r="F629" s="253"/>
      <c r="G629" s="253"/>
      <c r="H629" s="527"/>
      <c r="I629" s="141"/>
      <c r="J629" s="141"/>
      <c r="K629" s="142"/>
      <c r="L629" s="142"/>
      <c r="M629" s="142"/>
      <c r="N629" s="142"/>
      <c r="O629" s="136"/>
      <c r="P629" s="34"/>
      <c r="Q629" s="35"/>
      <c r="R629" s="35"/>
      <c r="S629" s="35"/>
      <c r="T629" s="35"/>
      <c r="U629" s="35"/>
      <c r="V629" s="35"/>
      <c r="W629" s="35"/>
      <c r="X629" s="35"/>
      <c r="Y629" s="35"/>
      <c r="Z629" s="35"/>
    </row>
    <row r="630" ht="14.25" customHeight="1">
      <c r="A630" s="136"/>
      <c r="B630" s="137"/>
      <c r="C630" s="251"/>
      <c r="D630" s="452"/>
      <c r="E630" s="136"/>
      <c r="F630" s="253"/>
      <c r="G630" s="253"/>
      <c r="H630" s="527"/>
      <c r="I630" s="141"/>
      <c r="J630" s="141"/>
      <c r="K630" s="142"/>
      <c r="L630" s="142"/>
      <c r="M630" s="142"/>
      <c r="N630" s="142"/>
      <c r="O630" s="136"/>
      <c r="P630" s="34"/>
      <c r="Q630" s="35"/>
      <c r="R630" s="35"/>
      <c r="S630" s="35"/>
      <c r="T630" s="35"/>
      <c r="U630" s="35"/>
      <c r="V630" s="35"/>
      <c r="W630" s="35"/>
      <c r="X630" s="35"/>
      <c r="Y630" s="35"/>
      <c r="Z630" s="35"/>
    </row>
    <row r="631" ht="14.25" customHeight="1">
      <c r="A631" s="136"/>
      <c r="B631" s="137"/>
      <c r="C631" s="251"/>
      <c r="D631" s="452"/>
      <c r="E631" s="136"/>
      <c r="F631" s="253"/>
      <c r="G631" s="253"/>
      <c r="H631" s="527"/>
      <c r="I631" s="141"/>
      <c r="J631" s="141"/>
      <c r="K631" s="142"/>
      <c r="L631" s="142"/>
      <c r="M631" s="142"/>
      <c r="N631" s="142"/>
      <c r="O631" s="136"/>
      <c r="P631" s="34"/>
      <c r="Q631" s="35"/>
      <c r="R631" s="35"/>
      <c r="S631" s="35"/>
      <c r="T631" s="35"/>
      <c r="U631" s="35"/>
      <c r="V631" s="35"/>
      <c r="W631" s="35"/>
      <c r="X631" s="35"/>
      <c r="Y631" s="35"/>
      <c r="Z631" s="35"/>
    </row>
    <row r="632" ht="14.25" customHeight="1">
      <c r="A632" s="136"/>
      <c r="B632" s="137"/>
      <c r="C632" s="251"/>
      <c r="D632" s="452"/>
      <c r="E632" s="136"/>
      <c r="F632" s="253"/>
      <c r="G632" s="253"/>
      <c r="H632" s="527"/>
      <c r="I632" s="141"/>
      <c r="J632" s="141"/>
      <c r="K632" s="142"/>
      <c r="L632" s="142"/>
      <c r="M632" s="142"/>
      <c r="N632" s="142"/>
      <c r="O632" s="136"/>
      <c r="P632" s="34"/>
      <c r="Q632" s="35"/>
      <c r="R632" s="35"/>
      <c r="S632" s="35"/>
      <c r="T632" s="35"/>
      <c r="U632" s="35"/>
      <c r="V632" s="35"/>
      <c r="W632" s="35"/>
      <c r="X632" s="35"/>
      <c r="Y632" s="35"/>
      <c r="Z632" s="35"/>
    </row>
    <row r="633" ht="14.25" customHeight="1">
      <c r="A633" s="136"/>
      <c r="B633" s="137"/>
      <c r="C633" s="251"/>
      <c r="D633" s="452"/>
      <c r="E633" s="136"/>
      <c r="F633" s="253"/>
      <c r="G633" s="253"/>
      <c r="H633" s="527"/>
      <c r="I633" s="141"/>
      <c r="J633" s="141"/>
      <c r="K633" s="142"/>
      <c r="L633" s="142"/>
      <c r="M633" s="142"/>
      <c r="N633" s="142"/>
      <c r="O633" s="136"/>
      <c r="P633" s="34"/>
      <c r="Q633" s="35"/>
      <c r="R633" s="35"/>
      <c r="S633" s="35"/>
      <c r="T633" s="35"/>
      <c r="U633" s="35"/>
      <c r="V633" s="35"/>
      <c r="W633" s="35"/>
      <c r="X633" s="35"/>
      <c r="Y633" s="35"/>
      <c r="Z633" s="35"/>
    </row>
    <row r="634" ht="14.25" customHeight="1">
      <c r="A634" s="136"/>
      <c r="B634" s="137"/>
      <c r="C634" s="251"/>
      <c r="D634" s="452"/>
      <c r="E634" s="136"/>
      <c r="F634" s="253"/>
      <c r="G634" s="253"/>
      <c r="H634" s="527"/>
      <c r="I634" s="141"/>
      <c r="J634" s="141"/>
      <c r="K634" s="142"/>
      <c r="L634" s="142"/>
      <c r="M634" s="142"/>
      <c r="N634" s="142"/>
      <c r="O634" s="136"/>
      <c r="P634" s="34"/>
      <c r="Q634" s="35"/>
      <c r="R634" s="35"/>
      <c r="S634" s="35"/>
      <c r="T634" s="35"/>
      <c r="U634" s="35"/>
      <c r="V634" s="35"/>
      <c r="W634" s="35"/>
      <c r="X634" s="35"/>
      <c r="Y634" s="35"/>
      <c r="Z634" s="35"/>
    </row>
    <row r="635" ht="14.25" customHeight="1">
      <c r="A635" s="136"/>
      <c r="B635" s="137"/>
      <c r="C635" s="251"/>
      <c r="D635" s="452"/>
      <c r="E635" s="136"/>
      <c r="F635" s="253"/>
      <c r="G635" s="253"/>
      <c r="H635" s="527"/>
      <c r="I635" s="141"/>
      <c r="J635" s="141"/>
      <c r="K635" s="142"/>
      <c r="L635" s="142"/>
      <c r="M635" s="142"/>
      <c r="N635" s="142"/>
      <c r="O635" s="136"/>
      <c r="P635" s="34"/>
      <c r="Q635" s="35"/>
      <c r="R635" s="35"/>
      <c r="S635" s="35"/>
      <c r="T635" s="35"/>
      <c r="U635" s="35"/>
      <c r="V635" s="35"/>
      <c r="W635" s="35"/>
      <c r="X635" s="35"/>
      <c r="Y635" s="35"/>
      <c r="Z635" s="35"/>
    </row>
    <row r="636" ht="14.25" customHeight="1">
      <c r="A636" s="136"/>
      <c r="B636" s="137"/>
      <c r="C636" s="251"/>
      <c r="D636" s="452"/>
      <c r="E636" s="136"/>
      <c r="F636" s="253"/>
      <c r="G636" s="253"/>
      <c r="H636" s="527"/>
      <c r="I636" s="141"/>
      <c r="J636" s="141"/>
      <c r="K636" s="142"/>
      <c r="L636" s="142"/>
      <c r="M636" s="142"/>
      <c r="N636" s="142"/>
      <c r="O636" s="136"/>
      <c r="P636" s="34"/>
      <c r="Q636" s="35"/>
      <c r="R636" s="35"/>
      <c r="S636" s="35"/>
      <c r="T636" s="35"/>
      <c r="U636" s="35"/>
      <c r="V636" s="35"/>
      <c r="W636" s="35"/>
      <c r="X636" s="35"/>
      <c r="Y636" s="35"/>
      <c r="Z636" s="35"/>
    </row>
    <row r="637" ht="14.25" customHeight="1">
      <c r="A637" s="136"/>
      <c r="B637" s="137"/>
      <c r="C637" s="251"/>
      <c r="D637" s="452"/>
      <c r="E637" s="136"/>
      <c r="F637" s="253"/>
      <c r="G637" s="253"/>
      <c r="H637" s="527"/>
      <c r="I637" s="141"/>
      <c r="J637" s="141"/>
      <c r="K637" s="142"/>
      <c r="L637" s="142"/>
      <c r="M637" s="142"/>
      <c r="N637" s="142"/>
      <c r="O637" s="136"/>
      <c r="P637" s="34"/>
      <c r="Q637" s="35"/>
      <c r="R637" s="35"/>
      <c r="S637" s="35"/>
      <c r="T637" s="35"/>
      <c r="U637" s="35"/>
      <c r="V637" s="35"/>
      <c r="W637" s="35"/>
      <c r="X637" s="35"/>
      <c r="Y637" s="35"/>
      <c r="Z637" s="35"/>
    </row>
    <row r="638" ht="14.25" customHeight="1">
      <c r="A638" s="136"/>
      <c r="B638" s="137"/>
      <c r="C638" s="251"/>
      <c r="D638" s="452"/>
      <c r="E638" s="136"/>
      <c r="F638" s="253"/>
      <c r="G638" s="253"/>
      <c r="H638" s="527"/>
      <c r="I638" s="141"/>
      <c r="J638" s="141"/>
      <c r="K638" s="142"/>
      <c r="L638" s="142"/>
      <c r="M638" s="142"/>
      <c r="N638" s="142"/>
      <c r="O638" s="136"/>
      <c r="P638" s="34"/>
      <c r="Q638" s="35"/>
      <c r="R638" s="35"/>
      <c r="S638" s="35"/>
      <c r="T638" s="35"/>
      <c r="U638" s="35"/>
      <c r="V638" s="35"/>
      <c r="W638" s="35"/>
      <c r="X638" s="35"/>
      <c r="Y638" s="35"/>
      <c r="Z638" s="35"/>
    </row>
    <row r="639" ht="14.25" customHeight="1">
      <c r="A639" s="136"/>
      <c r="B639" s="137"/>
      <c r="C639" s="251"/>
      <c r="D639" s="452"/>
      <c r="E639" s="136"/>
      <c r="F639" s="253"/>
      <c r="G639" s="253"/>
      <c r="H639" s="527"/>
      <c r="I639" s="141"/>
      <c r="J639" s="141"/>
      <c r="K639" s="142"/>
      <c r="L639" s="142"/>
      <c r="M639" s="142"/>
      <c r="N639" s="142"/>
      <c r="O639" s="136"/>
      <c r="P639" s="34"/>
      <c r="Q639" s="35"/>
      <c r="R639" s="35"/>
      <c r="S639" s="35"/>
      <c r="T639" s="35"/>
      <c r="U639" s="35"/>
      <c r="V639" s="35"/>
      <c r="W639" s="35"/>
      <c r="X639" s="35"/>
      <c r="Y639" s="35"/>
      <c r="Z639" s="35"/>
    </row>
    <row r="640" ht="14.25" customHeight="1">
      <c r="A640" s="136"/>
      <c r="B640" s="137"/>
      <c r="C640" s="251"/>
      <c r="D640" s="452"/>
      <c r="E640" s="136"/>
      <c r="F640" s="253"/>
      <c r="G640" s="253"/>
      <c r="H640" s="527"/>
      <c r="I640" s="141"/>
      <c r="J640" s="141"/>
      <c r="K640" s="142"/>
      <c r="L640" s="142"/>
      <c r="M640" s="142"/>
      <c r="N640" s="142"/>
      <c r="O640" s="136"/>
      <c r="P640" s="34"/>
      <c r="Q640" s="35"/>
      <c r="R640" s="35"/>
      <c r="S640" s="35"/>
      <c r="T640" s="35"/>
      <c r="U640" s="35"/>
      <c r="V640" s="35"/>
      <c r="W640" s="35"/>
      <c r="X640" s="35"/>
      <c r="Y640" s="35"/>
      <c r="Z640" s="35"/>
    </row>
    <row r="641" ht="14.25" customHeight="1">
      <c r="A641" s="136"/>
      <c r="B641" s="137"/>
      <c r="C641" s="251"/>
      <c r="D641" s="452"/>
      <c r="E641" s="136"/>
      <c r="F641" s="253"/>
      <c r="G641" s="253"/>
      <c r="H641" s="527"/>
      <c r="I641" s="141"/>
      <c r="J641" s="141"/>
      <c r="K641" s="142"/>
      <c r="L641" s="142"/>
      <c r="M641" s="142"/>
      <c r="N641" s="142"/>
      <c r="O641" s="136"/>
      <c r="P641" s="34"/>
      <c r="Q641" s="35"/>
      <c r="R641" s="35"/>
      <c r="S641" s="35"/>
      <c r="T641" s="35"/>
      <c r="U641" s="35"/>
      <c r="V641" s="35"/>
      <c r="W641" s="35"/>
      <c r="X641" s="35"/>
      <c r="Y641" s="35"/>
      <c r="Z641" s="35"/>
    </row>
    <row r="642" ht="14.25" customHeight="1">
      <c r="A642" s="136"/>
      <c r="B642" s="137"/>
      <c r="C642" s="251"/>
      <c r="D642" s="452"/>
      <c r="E642" s="136"/>
      <c r="F642" s="253"/>
      <c r="G642" s="253"/>
      <c r="H642" s="527"/>
      <c r="I642" s="141"/>
      <c r="J642" s="141"/>
      <c r="K642" s="142"/>
      <c r="L642" s="142"/>
      <c r="M642" s="142"/>
      <c r="N642" s="142"/>
      <c r="O642" s="136"/>
      <c r="P642" s="34"/>
      <c r="Q642" s="35"/>
      <c r="R642" s="35"/>
      <c r="S642" s="35"/>
      <c r="T642" s="35"/>
      <c r="U642" s="35"/>
      <c r="V642" s="35"/>
      <c r="W642" s="35"/>
      <c r="X642" s="35"/>
      <c r="Y642" s="35"/>
      <c r="Z642" s="35"/>
    </row>
    <row r="643" ht="14.25" customHeight="1">
      <c r="A643" s="136"/>
      <c r="B643" s="137"/>
      <c r="C643" s="251"/>
      <c r="D643" s="452"/>
      <c r="E643" s="136"/>
      <c r="F643" s="253"/>
      <c r="G643" s="253"/>
      <c r="H643" s="527"/>
      <c r="I643" s="141"/>
      <c r="J643" s="141"/>
      <c r="K643" s="142"/>
      <c r="L643" s="142"/>
      <c r="M643" s="142"/>
      <c r="N643" s="142"/>
      <c r="O643" s="136"/>
      <c r="P643" s="34"/>
      <c r="Q643" s="35"/>
      <c r="R643" s="35"/>
      <c r="S643" s="35"/>
      <c r="T643" s="35"/>
      <c r="U643" s="35"/>
      <c r="V643" s="35"/>
      <c r="W643" s="35"/>
      <c r="X643" s="35"/>
      <c r="Y643" s="35"/>
      <c r="Z643" s="35"/>
    </row>
    <row r="644" ht="14.25" customHeight="1">
      <c r="A644" s="136"/>
      <c r="B644" s="137"/>
      <c r="C644" s="251"/>
      <c r="D644" s="452"/>
      <c r="E644" s="136"/>
      <c r="F644" s="253"/>
      <c r="G644" s="253"/>
      <c r="H644" s="527"/>
      <c r="I644" s="141"/>
      <c r="J644" s="141"/>
      <c r="K644" s="142"/>
      <c r="L644" s="142"/>
      <c r="M644" s="142"/>
      <c r="N644" s="142"/>
      <c r="O644" s="136"/>
      <c r="P644" s="34"/>
      <c r="Q644" s="35"/>
      <c r="R644" s="35"/>
      <c r="S644" s="35"/>
      <c r="T644" s="35"/>
      <c r="U644" s="35"/>
      <c r="V644" s="35"/>
      <c r="W644" s="35"/>
      <c r="X644" s="35"/>
      <c r="Y644" s="35"/>
      <c r="Z644" s="35"/>
    </row>
    <row r="645" ht="14.25" customHeight="1">
      <c r="A645" s="136"/>
      <c r="B645" s="137"/>
      <c r="C645" s="251"/>
      <c r="D645" s="452"/>
      <c r="E645" s="136"/>
      <c r="F645" s="253"/>
      <c r="G645" s="253"/>
      <c r="H645" s="527"/>
      <c r="I645" s="141"/>
      <c r="J645" s="141"/>
      <c r="K645" s="142"/>
      <c r="L645" s="142"/>
      <c r="M645" s="142"/>
      <c r="N645" s="142"/>
      <c r="O645" s="136"/>
      <c r="P645" s="34"/>
      <c r="Q645" s="35"/>
      <c r="R645" s="35"/>
      <c r="S645" s="35"/>
      <c r="T645" s="35"/>
      <c r="U645" s="35"/>
      <c r="V645" s="35"/>
      <c r="W645" s="35"/>
      <c r="X645" s="35"/>
      <c r="Y645" s="35"/>
      <c r="Z645" s="35"/>
    </row>
    <row r="646" ht="14.25" customHeight="1">
      <c r="A646" s="136"/>
      <c r="B646" s="137"/>
      <c r="C646" s="251"/>
      <c r="D646" s="452"/>
      <c r="E646" s="136"/>
      <c r="F646" s="253"/>
      <c r="G646" s="253"/>
      <c r="H646" s="527"/>
      <c r="I646" s="141"/>
      <c r="J646" s="141"/>
      <c r="K646" s="142"/>
      <c r="L646" s="142"/>
      <c r="M646" s="142"/>
      <c r="N646" s="142"/>
      <c r="O646" s="136"/>
      <c r="P646" s="34"/>
      <c r="Q646" s="35"/>
      <c r="R646" s="35"/>
      <c r="S646" s="35"/>
      <c r="T646" s="35"/>
      <c r="U646" s="35"/>
      <c r="V646" s="35"/>
      <c r="W646" s="35"/>
      <c r="X646" s="35"/>
      <c r="Y646" s="35"/>
      <c r="Z646" s="35"/>
    </row>
    <row r="647" ht="14.25" customHeight="1">
      <c r="A647" s="136"/>
      <c r="B647" s="137"/>
      <c r="C647" s="251"/>
      <c r="D647" s="452"/>
      <c r="E647" s="136"/>
      <c r="F647" s="253"/>
      <c r="G647" s="253"/>
      <c r="H647" s="527"/>
      <c r="I647" s="141"/>
      <c r="J647" s="141"/>
      <c r="K647" s="142"/>
      <c r="L647" s="142"/>
      <c r="M647" s="142"/>
      <c r="N647" s="142"/>
      <c r="O647" s="136"/>
      <c r="P647" s="34"/>
      <c r="Q647" s="35"/>
      <c r="R647" s="35"/>
      <c r="S647" s="35"/>
      <c r="T647" s="35"/>
      <c r="U647" s="35"/>
      <c r="V647" s="35"/>
      <c r="W647" s="35"/>
      <c r="X647" s="35"/>
      <c r="Y647" s="35"/>
      <c r="Z647" s="35"/>
    </row>
    <row r="648" ht="14.25" customHeight="1">
      <c r="A648" s="136"/>
      <c r="B648" s="137"/>
      <c r="C648" s="251"/>
      <c r="D648" s="452"/>
      <c r="E648" s="136"/>
      <c r="F648" s="253"/>
      <c r="G648" s="253"/>
      <c r="H648" s="527"/>
      <c r="I648" s="141"/>
      <c r="J648" s="141"/>
      <c r="K648" s="142"/>
      <c r="L648" s="142"/>
      <c r="M648" s="142"/>
      <c r="N648" s="142"/>
      <c r="O648" s="136"/>
      <c r="P648" s="34"/>
      <c r="Q648" s="35"/>
      <c r="R648" s="35"/>
      <c r="S648" s="35"/>
      <c r="T648" s="35"/>
      <c r="U648" s="35"/>
      <c r="V648" s="35"/>
      <c r="W648" s="35"/>
      <c r="X648" s="35"/>
      <c r="Y648" s="35"/>
      <c r="Z648" s="35"/>
    </row>
    <row r="649" ht="14.25" customHeight="1">
      <c r="A649" s="136"/>
      <c r="B649" s="137"/>
      <c r="C649" s="251"/>
      <c r="D649" s="452"/>
      <c r="E649" s="136"/>
      <c r="F649" s="253"/>
      <c r="G649" s="253"/>
      <c r="H649" s="527"/>
      <c r="I649" s="141"/>
      <c r="J649" s="141"/>
      <c r="K649" s="142"/>
      <c r="L649" s="142"/>
      <c r="M649" s="142"/>
      <c r="N649" s="142"/>
      <c r="O649" s="136"/>
      <c r="P649" s="34"/>
      <c r="Q649" s="35"/>
      <c r="R649" s="35"/>
      <c r="S649" s="35"/>
      <c r="T649" s="35"/>
      <c r="U649" s="35"/>
      <c r="V649" s="35"/>
      <c r="W649" s="35"/>
      <c r="X649" s="35"/>
      <c r="Y649" s="35"/>
      <c r="Z649" s="35"/>
    </row>
    <row r="650" ht="14.25" customHeight="1">
      <c r="A650" s="136"/>
      <c r="B650" s="137"/>
      <c r="C650" s="251"/>
      <c r="D650" s="452"/>
      <c r="E650" s="136"/>
      <c r="F650" s="253"/>
      <c r="G650" s="253"/>
      <c r="H650" s="527"/>
      <c r="I650" s="141"/>
      <c r="J650" s="141"/>
      <c r="K650" s="142"/>
      <c r="L650" s="142"/>
      <c r="M650" s="142"/>
      <c r="N650" s="142"/>
      <c r="O650" s="136"/>
      <c r="P650" s="34"/>
      <c r="Q650" s="35"/>
      <c r="R650" s="35"/>
      <c r="S650" s="35"/>
      <c r="T650" s="35"/>
      <c r="U650" s="35"/>
      <c r="V650" s="35"/>
      <c r="W650" s="35"/>
      <c r="X650" s="35"/>
      <c r="Y650" s="35"/>
      <c r="Z650" s="35"/>
    </row>
    <row r="651" ht="14.25" customHeight="1">
      <c r="A651" s="136"/>
      <c r="B651" s="137"/>
      <c r="C651" s="251"/>
      <c r="D651" s="452"/>
      <c r="E651" s="136"/>
      <c r="F651" s="253"/>
      <c r="G651" s="253"/>
      <c r="H651" s="527"/>
      <c r="I651" s="141"/>
      <c r="J651" s="141"/>
      <c r="K651" s="142"/>
      <c r="L651" s="142"/>
      <c r="M651" s="142"/>
      <c r="N651" s="142"/>
      <c r="O651" s="136"/>
      <c r="P651" s="34"/>
      <c r="Q651" s="35"/>
      <c r="R651" s="35"/>
      <c r="S651" s="35"/>
      <c r="T651" s="35"/>
      <c r="U651" s="35"/>
      <c r="V651" s="35"/>
      <c r="W651" s="35"/>
      <c r="X651" s="35"/>
      <c r="Y651" s="35"/>
      <c r="Z651" s="35"/>
    </row>
    <row r="652" ht="14.25" customHeight="1">
      <c r="A652" s="136"/>
      <c r="B652" s="137"/>
      <c r="C652" s="251"/>
      <c r="D652" s="452"/>
      <c r="E652" s="136"/>
      <c r="F652" s="253"/>
      <c r="G652" s="253"/>
      <c r="H652" s="527"/>
      <c r="I652" s="141"/>
      <c r="J652" s="141"/>
      <c r="K652" s="142"/>
      <c r="L652" s="142"/>
      <c r="M652" s="142"/>
      <c r="N652" s="142"/>
      <c r="O652" s="136"/>
      <c r="P652" s="34"/>
      <c r="Q652" s="35"/>
      <c r="R652" s="35"/>
      <c r="S652" s="35"/>
      <c r="T652" s="35"/>
      <c r="U652" s="35"/>
      <c r="V652" s="35"/>
      <c r="W652" s="35"/>
      <c r="X652" s="35"/>
      <c r="Y652" s="35"/>
      <c r="Z652" s="35"/>
    </row>
    <row r="653" ht="14.25" customHeight="1">
      <c r="A653" s="136"/>
      <c r="B653" s="137"/>
      <c r="C653" s="251"/>
      <c r="D653" s="452"/>
      <c r="E653" s="136"/>
      <c r="F653" s="253"/>
      <c r="G653" s="253"/>
      <c r="H653" s="527"/>
      <c r="I653" s="141"/>
      <c r="J653" s="141"/>
      <c r="K653" s="142"/>
      <c r="L653" s="142"/>
      <c r="M653" s="142"/>
      <c r="N653" s="142"/>
      <c r="O653" s="136"/>
      <c r="P653" s="34"/>
      <c r="Q653" s="35"/>
      <c r="R653" s="35"/>
      <c r="S653" s="35"/>
      <c r="T653" s="35"/>
      <c r="U653" s="35"/>
      <c r="V653" s="35"/>
      <c r="W653" s="35"/>
      <c r="X653" s="35"/>
      <c r="Y653" s="35"/>
      <c r="Z653" s="35"/>
    </row>
    <row r="654" ht="14.25" customHeight="1">
      <c r="A654" s="136"/>
      <c r="B654" s="137"/>
      <c r="C654" s="251"/>
      <c r="D654" s="452"/>
      <c r="E654" s="136"/>
      <c r="F654" s="253"/>
      <c r="G654" s="253"/>
      <c r="H654" s="527"/>
      <c r="I654" s="141"/>
      <c r="J654" s="141"/>
      <c r="K654" s="142"/>
      <c r="L654" s="142"/>
      <c r="M654" s="142"/>
      <c r="N654" s="142"/>
      <c r="O654" s="136"/>
      <c r="P654" s="34"/>
      <c r="Q654" s="35"/>
      <c r="R654" s="35"/>
      <c r="S654" s="35"/>
      <c r="T654" s="35"/>
      <c r="U654" s="35"/>
      <c r="V654" s="35"/>
      <c r="W654" s="35"/>
      <c r="X654" s="35"/>
      <c r="Y654" s="35"/>
      <c r="Z654" s="35"/>
    </row>
    <row r="655" ht="14.25" customHeight="1">
      <c r="A655" s="136"/>
      <c r="B655" s="137"/>
      <c r="C655" s="251"/>
      <c r="D655" s="452"/>
      <c r="E655" s="136"/>
      <c r="F655" s="253"/>
      <c r="G655" s="253"/>
      <c r="H655" s="527"/>
      <c r="I655" s="141"/>
      <c r="J655" s="141"/>
      <c r="K655" s="142"/>
      <c r="L655" s="142"/>
      <c r="M655" s="142"/>
      <c r="N655" s="142"/>
      <c r="O655" s="136"/>
      <c r="P655" s="34"/>
      <c r="Q655" s="35"/>
      <c r="R655" s="35"/>
      <c r="S655" s="35"/>
      <c r="T655" s="35"/>
      <c r="U655" s="35"/>
      <c r="V655" s="35"/>
      <c r="W655" s="35"/>
      <c r="X655" s="35"/>
      <c r="Y655" s="35"/>
      <c r="Z655" s="35"/>
    </row>
    <row r="656" ht="14.25" customHeight="1">
      <c r="A656" s="136"/>
      <c r="B656" s="137"/>
      <c r="C656" s="251"/>
      <c r="D656" s="452"/>
      <c r="E656" s="136"/>
      <c r="F656" s="253"/>
      <c r="G656" s="253"/>
      <c r="H656" s="527"/>
      <c r="I656" s="141"/>
      <c r="J656" s="141"/>
      <c r="K656" s="142"/>
      <c r="L656" s="142"/>
      <c r="M656" s="142"/>
      <c r="N656" s="142"/>
      <c r="O656" s="136"/>
      <c r="P656" s="34"/>
      <c r="Q656" s="35"/>
      <c r="R656" s="35"/>
      <c r="S656" s="35"/>
      <c r="T656" s="35"/>
      <c r="U656" s="35"/>
      <c r="V656" s="35"/>
      <c r="W656" s="35"/>
      <c r="X656" s="35"/>
      <c r="Y656" s="35"/>
      <c r="Z656" s="35"/>
    </row>
    <row r="657" ht="14.25" customHeight="1">
      <c r="A657" s="136"/>
      <c r="B657" s="137"/>
      <c r="C657" s="251"/>
      <c r="D657" s="452"/>
      <c r="E657" s="136"/>
      <c r="F657" s="253"/>
      <c r="G657" s="253"/>
      <c r="H657" s="527"/>
      <c r="I657" s="141"/>
      <c r="J657" s="141"/>
      <c r="K657" s="142"/>
      <c r="L657" s="142"/>
      <c r="M657" s="142"/>
      <c r="N657" s="142"/>
      <c r="O657" s="136"/>
      <c r="P657" s="34"/>
      <c r="Q657" s="35"/>
      <c r="R657" s="35"/>
      <c r="S657" s="35"/>
      <c r="T657" s="35"/>
      <c r="U657" s="35"/>
      <c r="V657" s="35"/>
      <c r="W657" s="35"/>
      <c r="X657" s="35"/>
      <c r="Y657" s="35"/>
      <c r="Z657" s="35"/>
    </row>
    <row r="658" ht="14.25" customHeight="1">
      <c r="A658" s="136"/>
      <c r="B658" s="137"/>
      <c r="C658" s="251"/>
      <c r="D658" s="452"/>
      <c r="E658" s="136"/>
      <c r="F658" s="253"/>
      <c r="G658" s="253"/>
      <c r="H658" s="527"/>
      <c r="I658" s="141"/>
      <c r="J658" s="141"/>
      <c r="K658" s="142"/>
      <c r="L658" s="142"/>
      <c r="M658" s="142"/>
      <c r="N658" s="142"/>
      <c r="O658" s="136"/>
      <c r="P658" s="34"/>
      <c r="Q658" s="35"/>
      <c r="R658" s="35"/>
      <c r="S658" s="35"/>
      <c r="T658" s="35"/>
      <c r="U658" s="35"/>
      <c r="V658" s="35"/>
      <c r="W658" s="35"/>
      <c r="X658" s="35"/>
      <c r="Y658" s="35"/>
      <c r="Z658" s="35"/>
    </row>
    <row r="659" ht="14.25" customHeight="1">
      <c r="A659" s="136"/>
      <c r="B659" s="137"/>
      <c r="C659" s="251"/>
      <c r="D659" s="452"/>
      <c r="E659" s="136"/>
      <c r="F659" s="253"/>
      <c r="G659" s="253"/>
      <c r="H659" s="527"/>
      <c r="I659" s="141"/>
      <c r="J659" s="141"/>
      <c r="K659" s="142"/>
      <c r="L659" s="142"/>
      <c r="M659" s="142"/>
      <c r="N659" s="142"/>
      <c r="O659" s="136"/>
      <c r="P659" s="34"/>
      <c r="Q659" s="35"/>
      <c r="R659" s="35"/>
      <c r="S659" s="35"/>
      <c r="T659" s="35"/>
      <c r="U659" s="35"/>
      <c r="V659" s="35"/>
      <c r="W659" s="35"/>
      <c r="X659" s="35"/>
      <c r="Y659" s="35"/>
      <c r="Z659" s="35"/>
    </row>
    <row r="660" ht="14.25" customHeight="1">
      <c r="A660" s="136"/>
      <c r="B660" s="137"/>
      <c r="C660" s="251"/>
      <c r="D660" s="452"/>
      <c r="E660" s="136"/>
      <c r="F660" s="253"/>
      <c r="G660" s="253"/>
      <c r="H660" s="527"/>
      <c r="I660" s="141"/>
      <c r="J660" s="141"/>
      <c r="K660" s="142"/>
      <c r="L660" s="142"/>
      <c r="M660" s="142"/>
      <c r="N660" s="142"/>
      <c r="O660" s="136"/>
      <c r="P660" s="34"/>
      <c r="Q660" s="35"/>
      <c r="R660" s="35"/>
      <c r="S660" s="35"/>
      <c r="T660" s="35"/>
      <c r="U660" s="35"/>
      <c r="V660" s="35"/>
      <c r="W660" s="35"/>
      <c r="X660" s="35"/>
      <c r="Y660" s="35"/>
      <c r="Z660" s="35"/>
    </row>
    <row r="661" ht="14.25" customHeight="1">
      <c r="A661" s="136"/>
      <c r="B661" s="137"/>
      <c r="C661" s="251"/>
      <c r="D661" s="452"/>
      <c r="E661" s="136"/>
      <c r="F661" s="253"/>
      <c r="G661" s="253"/>
      <c r="H661" s="527"/>
      <c r="I661" s="141"/>
      <c r="J661" s="141"/>
      <c r="K661" s="142"/>
      <c r="L661" s="142"/>
      <c r="M661" s="142"/>
      <c r="N661" s="142"/>
      <c r="O661" s="136"/>
      <c r="P661" s="34"/>
      <c r="Q661" s="35"/>
      <c r="R661" s="35"/>
      <c r="S661" s="35"/>
      <c r="T661" s="35"/>
      <c r="U661" s="35"/>
      <c r="V661" s="35"/>
      <c r="W661" s="35"/>
      <c r="X661" s="35"/>
      <c r="Y661" s="35"/>
      <c r="Z661" s="35"/>
    </row>
    <row r="662" ht="14.25" customHeight="1">
      <c r="A662" s="136"/>
      <c r="B662" s="137"/>
      <c r="C662" s="251"/>
      <c r="D662" s="452"/>
      <c r="E662" s="136"/>
      <c r="F662" s="253"/>
      <c r="G662" s="253"/>
      <c r="H662" s="527"/>
      <c r="I662" s="141"/>
      <c r="J662" s="141"/>
      <c r="K662" s="142"/>
      <c r="L662" s="142"/>
      <c r="M662" s="142"/>
      <c r="N662" s="142"/>
      <c r="O662" s="136"/>
      <c r="P662" s="34"/>
      <c r="Q662" s="35"/>
      <c r="R662" s="35"/>
      <c r="S662" s="35"/>
      <c r="T662" s="35"/>
      <c r="U662" s="35"/>
      <c r="V662" s="35"/>
      <c r="W662" s="35"/>
      <c r="X662" s="35"/>
      <c r="Y662" s="35"/>
      <c r="Z662" s="35"/>
    </row>
    <row r="663" ht="14.25" customHeight="1">
      <c r="A663" s="136"/>
      <c r="B663" s="137"/>
      <c r="C663" s="251"/>
      <c r="D663" s="452"/>
      <c r="E663" s="136"/>
      <c r="F663" s="253"/>
      <c r="G663" s="253"/>
      <c r="H663" s="527"/>
      <c r="I663" s="141"/>
      <c r="J663" s="141"/>
      <c r="K663" s="142"/>
      <c r="L663" s="142"/>
      <c r="M663" s="142"/>
      <c r="N663" s="142"/>
      <c r="O663" s="136"/>
      <c r="P663" s="34"/>
      <c r="Q663" s="35"/>
      <c r="R663" s="35"/>
      <c r="S663" s="35"/>
      <c r="T663" s="35"/>
      <c r="U663" s="35"/>
      <c r="V663" s="35"/>
      <c r="W663" s="35"/>
      <c r="X663" s="35"/>
      <c r="Y663" s="35"/>
      <c r="Z663" s="35"/>
    </row>
    <row r="664" ht="14.25" customHeight="1">
      <c r="A664" s="136"/>
      <c r="B664" s="137"/>
      <c r="C664" s="251"/>
      <c r="D664" s="452"/>
      <c r="E664" s="136"/>
      <c r="F664" s="253"/>
      <c r="G664" s="253"/>
      <c r="H664" s="527"/>
      <c r="I664" s="141"/>
      <c r="J664" s="141"/>
      <c r="K664" s="142"/>
      <c r="L664" s="142"/>
      <c r="M664" s="142"/>
      <c r="N664" s="142"/>
      <c r="O664" s="136"/>
      <c r="P664" s="34"/>
      <c r="Q664" s="35"/>
      <c r="R664" s="35"/>
      <c r="S664" s="35"/>
      <c r="T664" s="35"/>
      <c r="U664" s="35"/>
      <c r="V664" s="35"/>
      <c r="W664" s="35"/>
      <c r="X664" s="35"/>
      <c r="Y664" s="35"/>
      <c r="Z664" s="35"/>
    </row>
    <row r="665" ht="14.25" customHeight="1">
      <c r="A665" s="136"/>
      <c r="B665" s="137"/>
      <c r="C665" s="251"/>
      <c r="D665" s="452"/>
      <c r="E665" s="136"/>
      <c r="F665" s="253"/>
      <c r="G665" s="253"/>
      <c r="H665" s="527"/>
      <c r="I665" s="141"/>
      <c r="J665" s="141"/>
      <c r="K665" s="142"/>
      <c r="L665" s="142"/>
      <c r="M665" s="142"/>
      <c r="N665" s="142"/>
      <c r="O665" s="136"/>
      <c r="P665" s="34"/>
      <c r="Q665" s="35"/>
      <c r="R665" s="35"/>
      <c r="S665" s="35"/>
      <c r="T665" s="35"/>
      <c r="U665" s="35"/>
      <c r="V665" s="35"/>
      <c r="W665" s="35"/>
      <c r="X665" s="35"/>
      <c r="Y665" s="35"/>
      <c r="Z665" s="35"/>
    </row>
    <row r="666" ht="14.25" customHeight="1">
      <c r="A666" s="136"/>
      <c r="B666" s="137"/>
      <c r="C666" s="251"/>
      <c r="D666" s="452"/>
      <c r="E666" s="136"/>
      <c r="F666" s="253"/>
      <c r="G666" s="253"/>
      <c r="H666" s="527"/>
      <c r="I666" s="141"/>
      <c r="J666" s="141"/>
      <c r="K666" s="142"/>
      <c r="L666" s="142"/>
      <c r="M666" s="142"/>
      <c r="N666" s="142"/>
      <c r="O666" s="136"/>
      <c r="P666" s="34"/>
      <c r="Q666" s="35"/>
      <c r="R666" s="35"/>
      <c r="S666" s="35"/>
      <c r="T666" s="35"/>
      <c r="U666" s="35"/>
      <c r="V666" s="35"/>
      <c r="W666" s="35"/>
      <c r="X666" s="35"/>
      <c r="Y666" s="35"/>
      <c r="Z666" s="35"/>
    </row>
    <row r="667" ht="14.25" customHeight="1">
      <c r="A667" s="136"/>
      <c r="B667" s="137"/>
      <c r="C667" s="251"/>
      <c r="D667" s="452"/>
      <c r="E667" s="136"/>
      <c r="F667" s="253"/>
      <c r="G667" s="253"/>
      <c r="H667" s="527"/>
      <c r="I667" s="141"/>
      <c r="J667" s="141"/>
      <c r="K667" s="142"/>
      <c r="L667" s="142"/>
      <c r="M667" s="142"/>
      <c r="N667" s="142"/>
      <c r="O667" s="136"/>
      <c r="P667" s="34"/>
      <c r="Q667" s="35"/>
      <c r="R667" s="35"/>
      <c r="S667" s="35"/>
      <c r="T667" s="35"/>
      <c r="U667" s="35"/>
      <c r="V667" s="35"/>
      <c r="W667" s="35"/>
      <c r="X667" s="35"/>
      <c r="Y667" s="35"/>
      <c r="Z667" s="35"/>
    </row>
    <row r="668" ht="14.25" customHeight="1">
      <c r="A668" s="136"/>
      <c r="B668" s="137"/>
      <c r="C668" s="251"/>
      <c r="D668" s="452"/>
      <c r="E668" s="136"/>
      <c r="F668" s="253"/>
      <c r="G668" s="253"/>
      <c r="H668" s="527"/>
      <c r="I668" s="141"/>
      <c r="J668" s="141"/>
      <c r="K668" s="142"/>
      <c r="L668" s="142"/>
      <c r="M668" s="142"/>
      <c r="N668" s="142"/>
      <c r="O668" s="136"/>
      <c r="P668" s="34"/>
      <c r="Q668" s="35"/>
      <c r="R668" s="35"/>
      <c r="S668" s="35"/>
      <c r="T668" s="35"/>
      <c r="U668" s="35"/>
      <c r="V668" s="35"/>
      <c r="W668" s="35"/>
      <c r="X668" s="35"/>
      <c r="Y668" s="35"/>
      <c r="Z668" s="35"/>
    </row>
    <row r="669" ht="14.25" customHeight="1">
      <c r="A669" s="136"/>
      <c r="B669" s="137"/>
      <c r="C669" s="251"/>
      <c r="D669" s="452"/>
      <c r="E669" s="136"/>
      <c r="F669" s="253"/>
      <c r="G669" s="253"/>
      <c r="H669" s="527"/>
      <c r="I669" s="141"/>
      <c r="J669" s="141"/>
      <c r="K669" s="142"/>
      <c r="L669" s="142"/>
      <c r="M669" s="142"/>
      <c r="N669" s="142"/>
      <c r="O669" s="136"/>
      <c r="P669" s="34"/>
      <c r="Q669" s="35"/>
      <c r="R669" s="35"/>
      <c r="S669" s="35"/>
      <c r="T669" s="35"/>
      <c r="U669" s="35"/>
      <c r="V669" s="35"/>
      <c r="W669" s="35"/>
      <c r="X669" s="35"/>
      <c r="Y669" s="35"/>
      <c r="Z669" s="35"/>
    </row>
    <row r="670" ht="14.25" customHeight="1">
      <c r="A670" s="136"/>
      <c r="B670" s="137"/>
      <c r="C670" s="251"/>
      <c r="D670" s="452"/>
      <c r="E670" s="136"/>
      <c r="F670" s="253"/>
      <c r="G670" s="253"/>
      <c r="H670" s="527"/>
      <c r="I670" s="141"/>
      <c r="J670" s="141"/>
      <c r="K670" s="142"/>
      <c r="L670" s="142"/>
      <c r="M670" s="142"/>
      <c r="N670" s="142"/>
      <c r="O670" s="136"/>
      <c r="P670" s="34"/>
      <c r="Q670" s="35"/>
      <c r="R670" s="35"/>
      <c r="S670" s="35"/>
      <c r="T670" s="35"/>
      <c r="U670" s="35"/>
      <c r="V670" s="35"/>
      <c r="W670" s="35"/>
      <c r="X670" s="35"/>
      <c r="Y670" s="35"/>
      <c r="Z670" s="35"/>
    </row>
    <row r="671" ht="14.25" customHeight="1">
      <c r="A671" s="136"/>
      <c r="B671" s="137"/>
      <c r="C671" s="251"/>
      <c r="D671" s="452"/>
      <c r="E671" s="136"/>
      <c r="F671" s="253"/>
      <c r="G671" s="253"/>
      <c r="H671" s="527"/>
      <c r="I671" s="141"/>
      <c r="J671" s="141"/>
      <c r="K671" s="142"/>
      <c r="L671" s="142"/>
      <c r="M671" s="142"/>
      <c r="N671" s="142"/>
      <c r="O671" s="136"/>
      <c r="P671" s="34"/>
      <c r="Q671" s="35"/>
      <c r="R671" s="35"/>
      <c r="S671" s="35"/>
      <c r="T671" s="35"/>
      <c r="U671" s="35"/>
      <c r="V671" s="35"/>
      <c r="W671" s="35"/>
      <c r="X671" s="35"/>
      <c r="Y671" s="35"/>
      <c r="Z671" s="35"/>
    </row>
    <row r="672" ht="14.25" customHeight="1">
      <c r="A672" s="136"/>
      <c r="B672" s="137"/>
      <c r="C672" s="251"/>
      <c r="D672" s="452"/>
      <c r="E672" s="136"/>
      <c r="F672" s="253"/>
      <c r="G672" s="253"/>
      <c r="H672" s="527"/>
      <c r="I672" s="141"/>
      <c r="J672" s="141"/>
      <c r="K672" s="142"/>
      <c r="L672" s="142"/>
      <c r="M672" s="142"/>
      <c r="N672" s="142"/>
      <c r="O672" s="136"/>
      <c r="P672" s="34"/>
      <c r="Q672" s="35"/>
      <c r="R672" s="35"/>
      <c r="S672" s="35"/>
      <c r="T672" s="35"/>
      <c r="U672" s="35"/>
      <c r="V672" s="35"/>
      <c r="W672" s="35"/>
      <c r="X672" s="35"/>
      <c r="Y672" s="35"/>
      <c r="Z672" s="35"/>
    </row>
    <row r="673" ht="14.25" customHeight="1">
      <c r="A673" s="136"/>
      <c r="B673" s="137"/>
      <c r="C673" s="251"/>
      <c r="D673" s="452"/>
      <c r="E673" s="136"/>
      <c r="F673" s="253"/>
      <c r="G673" s="253"/>
      <c r="H673" s="527"/>
      <c r="I673" s="141"/>
      <c r="J673" s="141"/>
      <c r="K673" s="142"/>
      <c r="L673" s="142"/>
      <c r="M673" s="142"/>
      <c r="N673" s="142"/>
      <c r="O673" s="136"/>
      <c r="P673" s="34"/>
      <c r="Q673" s="35"/>
      <c r="R673" s="35"/>
      <c r="S673" s="35"/>
      <c r="T673" s="35"/>
      <c r="U673" s="35"/>
      <c r="V673" s="35"/>
      <c r="W673" s="35"/>
      <c r="X673" s="35"/>
      <c r="Y673" s="35"/>
      <c r="Z673" s="35"/>
    </row>
    <row r="674" ht="14.25" customHeight="1">
      <c r="A674" s="136"/>
      <c r="B674" s="137"/>
      <c r="C674" s="251"/>
      <c r="D674" s="452"/>
      <c r="E674" s="136"/>
      <c r="F674" s="253"/>
      <c r="G674" s="253"/>
      <c r="H674" s="527"/>
      <c r="I674" s="141"/>
      <c r="J674" s="141"/>
      <c r="K674" s="142"/>
      <c r="L674" s="142"/>
      <c r="M674" s="142"/>
      <c r="N674" s="142"/>
      <c r="O674" s="136"/>
      <c r="P674" s="34"/>
      <c r="Q674" s="35"/>
      <c r="R674" s="35"/>
      <c r="S674" s="35"/>
      <c r="T674" s="35"/>
      <c r="U674" s="35"/>
      <c r="V674" s="35"/>
      <c r="W674" s="35"/>
      <c r="X674" s="35"/>
      <c r="Y674" s="35"/>
      <c r="Z674" s="35"/>
    </row>
    <row r="675" ht="14.25" customHeight="1">
      <c r="A675" s="136"/>
      <c r="B675" s="137"/>
      <c r="C675" s="251"/>
      <c r="D675" s="452"/>
      <c r="E675" s="136"/>
      <c r="F675" s="253"/>
      <c r="G675" s="253"/>
      <c r="H675" s="527"/>
      <c r="I675" s="141"/>
      <c r="J675" s="141"/>
      <c r="K675" s="142"/>
      <c r="L675" s="142"/>
      <c r="M675" s="142"/>
      <c r="N675" s="142"/>
      <c r="O675" s="136"/>
      <c r="P675" s="34"/>
      <c r="Q675" s="35"/>
      <c r="R675" s="35"/>
      <c r="S675" s="35"/>
      <c r="T675" s="35"/>
      <c r="U675" s="35"/>
      <c r="V675" s="35"/>
      <c r="W675" s="35"/>
      <c r="X675" s="35"/>
      <c r="Y675" s="35"/>
      <c r="Z675" s="35"/>
    </row>
    <row r="676" ht="14.25" customHeight="1">
      <c r="A676" s="136"/>
      <c r="B676" s="137"/>
      <c r="C676" s="251"/>
      <c r="D676" s="452"/>
      <c r="E676" s="136"/>
      <c r="F676" s="253"/>
      <c r="G676" s="253"/>
      <c r="H676" s="527"/>
      <c r="I676" s="141"/>
      <c r="J676" s="141"/>
      <c r="K676" s="142"/>
      <c r="L676" s="142"/>
      <c r="M676" s="142"/>
      <c r="N676" s="142"/>
      <c r="O676" s="136"/>
      <c r="P676" s="34"/>
      <c r="Q676" s="35"/>
      <c r="R676" s="35"/>
      <c r="S676" s="35"/>
      <c r="T676" s="35"/>
      <c r="U676" s="35"/>
      <c r="V676" s="35"/>
      <c r="W676" s="35"/>
      <c r="X676" s="35"/>
      <c r="Y676" s="35"/>
      <c r="Z676" s="35"/>
    </row>
    <row r="677" ht="14.25" customHeight="1">
      <c r="A677" s="136"/>
      <c r="B677" s="137"/>
      <c r="C677" s="251"/>
      <c r="D677" s="452"/>
      <c r="E677" s="136"/>
      <c r="F677" s="253"/>
      <c r="G677" s="253"/>
      <c r="H677" s="527"/>
      <c r="I677" s="141"/>
      <c r="J677" s="141"/>
      <c r="K677" s="142"/>
      <c r="L677" s="142"/>
      <c r="M677" s="142"/>
      <c r="N677" s="142"/>
      <c r="O677" s="136"/>
      <c r="P677" s="34"/>
      <c r="Q677" s="35"/>
      <c r="R677" s="35"/>
      <c r="S677" s="35"/>
      <c r="T677" s="35"/>
      <c r="U677" s="35"/>
      <c r="V677" s="35"/>
      <c r="W677" s="35"/>
      <c r="X677" s="35"/>
      <c r="Y677" s="35"/>
      <c r="Z677" s="35"/>
    </row>
    <row r="678" ht="14.25" customHeight="1">
      <c r="A678" s="136"/>
      <c r="B678" s="137"/>
      <c r="C678" s="251"/>
      <c r="D678" s="452"/>
      <c r="E678" s="136"/>
      <c r="F678" s="253"/>
      <c r="G678" s="253"/>
      <c r="H678" s="527"/>
      <c r="I678" s="141"/>
      <c r="J678" s="141"/>
      <c r="K678" s="142"/>
      <c r="L678" s="142"/>
      <c r="M678" s="142"/>
      <c r="N678" s="142"/>
      <c r="O678" s="136"/>
      <c r="P678" s="34"/>
      <c r="Q678" s="35"/>
      <c r="R678" s="35"/>
      <c r="S678" s="35"/>
      <c r="T678" s="35"/>
      <c r="U678" s="35"/>
      <c r="V678" s="35"/>
      <c r="W678" s="35"/>
      <c r="X678" s="35"/>
      <c r="Y678" s="35"/>
      <c r="Z678" s="35"/>
    </row>
    <row r="679" ht="14.25" customHeight="1">
      <c r="A679" s="136"/>
      <c r="B679" s="137"/>
      <c r="C679" s="251"/>
      <c r="D679" s="452"/>
      <c r="E679" s="136"/>
      <c r="F679" s="253"/>
      <c r="G679" s="253"/>
      <c r="H679" s="527"/>
      <c r="I679" s="141"/>
      <c r="J679" s="141"/>
      <c r="K679" s="142"/>
      <c r="L679" s="142"/>
      <c r="M679" s="142"/>
      <c r="N679" s="142"/>
      <c r="O679" s="136"/>
      <c r="P679" s="34"/>
      <c r="Q679" s="35"/>
      <c r="R679" s="35"/>
      <c r="S679" s="35"/>
      <c r="T679" s="35"/>
      <c r="U679" s="35"/>
      <c r="V679" s="35"/>
      <c r="W679" s="35"/>
      <c r="X679" s="35"/>
      <c r="Y679" s="35"/>
      <c r="Z679" s="35"/>
    </row>
    <row r="680" ht="14.25" customHeight="1">
      <c r="A680" s="136"/>
      <c r="B680" s="137"/>
      <c r="C680" s="251"/>
      <c r="D680" s="452"/>
      <c r="E680" s="136"/>
      <c r="F680" s="253"/>
      <c r="G680" s="253"/>
      <c r="H680" s="527"/>
      <c r="I680" s="141"/>
      <c r="J680" s="141"/>
      <c r="K680" s="142"/>
      <c r="L680" s="142"/>
      <c r="M680" s="142"/>
      <c r="N680" s="142"/>
      <c r="O680" s="136"/>
      <c r="P680" s="34"/>
      <c r="Q680" s="35"/>
      <c r="R680" s="35"/>
      <c r="S680" s="35"/>
      <c r="T680" s="35"/>
      <c r="U680" s="35"/>
      <c r="V680" s="35"/>
      <c r="W680" s="35"/>
      <c r="X680" s="35"/>
      <c r="Y680" s="35"/>
      <c r="Z680" s="35"/>
    </row>
    <row r="681" ht="14.25" customHeight="1">
      <c r="A681" s="136"/>
      <c r="B681" s="137"/>
      <c r="C681" s="251"/>
      <c r="D681" s="452"/>
      <c r="E681" s="136"/>
      <c r="F681" s="253"/>
      <c r="G681" s="253"/>
      <c r="H681" s="527"/>
      <c r="I681" s="141"/>
      <c r="J681" s="141"/>
      <c r="K681" s="142"/>
      <c r="L681" s="142"/>
      <c r="M681" s="142"/>
      <c r="N681" s="142"/>
      <c r="O681" s="136"/>
      <c r="P681" s="34"/>
      <c r="Q681" s="35"/>
      <c r="R681" s="35"/>
      <c r="S681" s="35"/>
      <c r="T681" s="35"/>
      <c r="U681" s="35"/>
      <c r="V681" s="35"/>
      <c r="W681" s="35"/>
      <c r="X681" s="35"/>
      <c r="Y681" s="35"/>
      <c r="Z681" s="35"/>
    </row>
    <row r="682" ht="14.25" customHeight="1">
      <c r="A682" s="136"/>
      <c r="B682" s="137"/>
      <c r="C682" s="251"/>
      <c r="D682" s="452"/>
      <c r="E682" s="136"/>
      <c r="F682" s="253"/>
      <c r="G682" s="253"/>
      <c r="H682" s="527"/>
      <c r="I682" s="141"/>
      <c r="J682" s="141"/>
      <c r="K682" s="142"/>
      <c r="L682" s="142"/>
      <c r="M682" s="142"/>
      <c r="N682" s="142"/>
      <c r="O682" s="136"/>
      <c r="P682" s="34"/>
      <c r="Q682" s="35"/>
      <c r="R682" s="35"/>
      <c r="S682" s="35"/>
      <c r="T682" s="35"/>
      <c r="U682" s="35"/>
      <c r="V682" s="35"/>
      <c r="W682" s="35"/>
      <c r="X682" s="35"/>
      <c r="Y682" s="35"/>
      <c r="Z682" s="35"/>
    </row>
    <row r="683" ht="14.25" customHeight="1">
      <c r="A683" s="136"/>
      <c r="B683" s="137"/>
      <c r="C683" s="251"/>
      <c r="D683" s="452"/>
      <c r="E683" s="136"/>
      <c r="F683" s="253"/>
      <c r="G683" s="253"/>
      <c r="H683" s="527"/>
      <c r="I683" s="141"/>
      <c r="J683" s="141"/>
      <c r="K683" s="142"/>
      <c r="L683" s="142"/>
      <c r="M683" s="142"/>
      <c r="N683" s="142"/>
      <c r="O683" s="136"/>
      <c r="P683" s="34"/>
      <c r="Q683" s="35"/>
      <c r="R683" s="35"/>
      <c r="S683" s="35"/>
      <c r="T683" s="35"/>
      <c r="U683" s="35"/>
      <c r="V683" s="35"/>
      <c r="W683" s="35"/>
      <c r="X683" s="35"/>
      <c r="Y683" s="35"/>
      <c r="Z683" s="35"/>
    </row>
    <row r="684" ht="14.25" customHeight="1">
      <c r="A684" s="136"/>
      <c r="B684" s="137"/>
      <c r="C684" s="251"/>
      <c r="D684" s="452"/>
      <c r="E684" s="136"/>
      <c r="F684" s="253"/>
      <c r="G684" s="253"/>
      <c r="H684" s="527"/>
      <c r="I684" s="141"/>
      <c r="J684" s="141"/>
      <c r="K684" s="142"/>
      <c r="L684" s="142"/>
      <c r="M684" s="142"/>
      <c r="N684" s="142"/>
      <c r="O684" s="136"/>
      <c r="P684" s="34"/>
      <c r="Q684" s="35"/>
      <c r="R684" s="35"/>
      <c r="S684" s="35"/>
      <c r="T684" s="35"/>
      <c r="U684" s="35"/>
      <c r="V684" s="35"/>
      <c r="W684" s="35"/>
      <c r="X684" s="35"/>
      <c r="Y684" s="35"/>
      <c r="Z684" s="35"/>
    </row>
    <row r="685" ht="14.25" customHeight="1">
      <c r="A685" s="136"/>
      <c r="B685" s="137"/>
      <c r="C685" s="251"/>
      <c r="D685" s="452"/>
      <c r="E685" s="136"/>
      <c r="F685" s="253"/>
      <c r="G685" s="253"/>
      <c r="H685" s="527"/>
      <c r="I685" s="141"/>
      <c r="J685" s="141"/>
      <c r="K685" s="142"/>
      <c r="L685" s="142"/>
      <c r="M685" s="142"/>
      <c r="N685" s="142"/>
      <c r="O685" s="136"/>
      <c r="P685" s="34"/>
      <c r="Q685" s="35"/>
      <c r="R685" s="35"/>
      <c r="S685" s="35"/>
      <c r="T685" s="35"/>
      <c r="U685" s="35"/>
      <c r="V685" s="35"/>
      <c r="W685" s="35"/>
      <c r="X685" s="35"/>
      <c r="Y685" s="35"/>
      <c r="Z685" s="35"/>
    </row>
    <row r="686" ht="14.25" customHeight="1">
      <c r="A686" s="136"/>
      <c r="B686" s="137"/>
      <c r="C686" s="251"/>
      <c r="D686" s="452"/>
      <c r="E686" s="136"/>
      <c r="F686" s="253"/>
      <c r="G686" s="253"/>
      <c r="H686" s="527"/>
      <c r="I686" s="141"/>
      <c r="J686" s="141"/>
      <c r="K686" s="142"/>
      <c r="L686" s="142"/>
      <c r="M686" s="142"/>
      <c r="N686" s="142"/>
      <c r="O686" s="136"/>
      <c r="P686" s="34"/>
      <c r="Q686" s="35"/>
      <c r="R686" s="35"/>
      <c r="S686" s="35"/>
      <c r="T686" s="35"/>
      <c r="U686" s="35"/>
      <c r="V686" s="35"/>
      <c r="W686" s="35"/>
      <c r="X686" s="35"/>
      <c r="Y686" s="35"/>
      <c r="Z686" s="35"/>
    </row>
    <row r="687" ht="14.25" customHeight="1">
      <c r="A687" s="136"/>
      <c r="B687" s="137"/>
      <c r="C687" s="251"/>
      <c r="D687" s="452"/>
      <c r="E687" s="136"/>
      <c r="F687" s="253"/>
      <c r="G687" s="253"/>
      <c r="H687" s="527"/>
      <c r="I687" s="141"/>
      <c r="J687" s="141"/>
      <c r="K687" s="142"/>
      <c r="L687" s="142"/>
      <c r="M687" s="142"/>
      <c r="N687" s="142"/>
      <c r="O687" s="136"/>
      <c r="P687" s="34"/>
      <c r="Q687" s="35"/>
      <c r="R687" s="35"/>
      <c r="S687" s="35"/>
      <c r="T687" s="35"/>
      <c r="U687" s="35"/>
      <c r="V687" s="35"/>
      <c r="W687" s="35"/>
      <c r="X687" s="35"/>
      <c r="Y687" s="35"/>
      <c r="Z687" s="35"/>
    </row>
    <row r="688" ht="14.25" customHeight="1">
      <c r="A688" s="136"/>
      <c r="B688" s="137"/>
      <c r="C688" s="251"/>
      <c r="D688" s="452"/>
      <c r="E688" s="136"/>
      <c r="F688" s="253"/>
      <c r="G688" s="253"/>
      <c r="H688" s="527"/>
      <c r="I688" s="141"/>
      <c r="J688" s="141"/>
      <c r="K688" s="142"/>
      <c r="L688" s="142"/>
      <c r="M688" s="142"/>
      <c r="N688" s="142"/>
      <c r="O688" s="136"/>
      <c r="P688" s="34"/>
      <c r="Q688" s="35"/>
      <c r="R688" s="35"/>
      <c r="S688" s="35"/>
      <c r="T688" s="35"/>
      <c r="U688" s="35"/>
      <c r="V688" s="35"/>
      <c r="W688" s="35"/>
      <c r="X688" s="35"/>
      <c r="Y688" s="35"/>
      <c r="Z688" s="35"/>
    </row>
    <row r="689" ht="14.25" customHeight="1">
      <c r="A689" s="136"/>
      <c r="B689" s="137"/>
      <c r="C689" s="251"/>
      <c r="D689" s="452"/>
      <c r="E689" s="136"/>
      <c r="F689" s="253"/>
      <c r="G689" s="253"/>
      <c r="H689" s="527"/>
      <c r="I689" s="141"/>
      <c r="J689" s="141"/>
      <c r="K689" s="142"/>
      <c r="L689" s="142"/>
      <c r="M689" s="142"/>
      <c r="N689" s="142"/>
      <c r="O689" s="136"/>
      <c r="P689" s="34"/>
      <c r="Q689" s="35"/>
      <c r="R689" s="35"/>
      <c r="S689" s="35"/>
      <c r="T689" s="35"/>
      <c r="U689" s="35"/>
      <c r="V689" s="35"/>
      <c r="W689" s="35"/>
      <c r="X689" s="35"/>
      <c r="Y689" s="35"/>
      <c r="Z689" s="35"/>
    </row>
    <row r="690" ht="14.25" customHeight="1">
      <c r="A690" s="136"/>
      <c r="B690" s="137"/>
      <c r="C690" s="251"/>
      <c r="D690" s="452"/>
      <c r="E690" s="136"/>
      <c r="F690" s="253"/>
      <c r="G690" s="253"/>
      <c r="H690" s="527"/>
      <c r="I690" s="141"/>
      <c r="J690" s="141"/>
      <c r="K690" s="142"/>
      <c r="L690" s="142"/>
      <c r="M690" s="142"/>
      <c r="N690" s="142"/>
      <c r="O690" s="136"/>
      <c r="P690" s="34"/>
      <c r="Q690" s="35"/>
      <c r="R690" s="35"/>
      <c r="S690" s="35"/>
      <c r="T690" s="35"/>
      <c r="U690" s="35"/>
      <c r="V690" s="35"/>
      <c r="W690" s="35"/>
      <c r="X690" s="35"/>
      <c r="Y690" s="35"/>
      <c r="Z690" s="35"/>
    </row>
    <row r="691" ht="14.25" customHeight="1">
      <c r="A691" s="136"/>
      <c r="B691" s="137"/>
      <c r="C691" s="251"/>
      <c r="D691" s="452"/>
      <c r="E691" s="136"/>
      <c r="F691" s="253"/>
      <c r="G691" s="253"/>
      <c r="H691" s="527"/>
      <c r="I691" s="141"/>
      <c r="J691" s="141"/>
      <c r="K691" s="142"/>
      <c r="L691" s="142"/>
      <c r="M691" s="142"/>
      <c r="N691" s="142"/>
      <c r="O691" s="136"/>
      <c r="P691" s="34"/>
      <c r="Q691" s="35"/>
      <c r="R691" s="35"/>
      <c r="S691" s="35"/>
      <c r="T691" s="35"/>
      <c r="U691" s="35"/>
      <c r="V691" s="35"/>
      <c r="W691" s="35"/>
      <c r="X691" s="35"/>
      <c r="Y691" s="35"/>
      <c r="Z691" s="35"/>
    </row>
    <row r="692" ht="14.25" customHeight="1">
      <c r="A692" s="136"/>
      <c r="B692" s="137"/>
      <c r="C692" s="251"/>
      <c r="D692" s="452"/>
      <c r="E692" s="136"/>
      <c r="F692" s="253"/>
      <c r="G692" s="253"/>
      <c r="H692" s="527"/>
      <c r="I692" s="141"/>
      <c r="J692" s="141"/>
      <c r="K692" s="142"/>
      <c r="L692" s="142"/>
      <c r="M692" s="142"/>
      <c r="N692" s="142"/>
      <c r="O692" s="136"/>
      <c r="P692" s="34"/>
      <c r="Q692" s="35"/>
      <c r="R692" s="35"/>
      <c r="S692" s="35"/>
      <c r="T692" s="35"/>
      <c r="U692" s="35"/>
      <c r="V692" s="35"/>
      <c r="W692" s="35"/>
      <c r="X692" s="35"/>
      <c r="Y692" s="35"/>
      <c r="Z692" s="35"/>
    </row>
    <row r="693" ht="14.25" customHeight="1">
      <c r="A693" s="136"/>
      <c r="B693" s="137"/>
      <c r="C693" s="251"/>
      <c r="D693" s="452"/>
      <c r="E693" s="136"/>
      <c r="F693" s="253"/>
      <c r="G693" s="253"/>
      <c r="H693" s="527"/>
      <c r="I693" s="141"/>
      <c r="J693" s="141"/>
      <c r="K693" s="142"/>
      <c r="L693" s="142"/>
      <c r="M693" s="142"/>
      <c r="N693" s="142"/>
      <c r="O693" s="136"/>
      <c r="P693" s="34"/>
      <c r="Q693" s="35"/>
      <c r="R693" s="35"/>
      <c r="S693" s="35"/>
      <c r="T693" s="35"/>
      <c r="U693" s="35"/>
      <c r="V693" s="35"/>
      <c r="W693" s="35"/>
      <c r="X693" s="35"/>
      <c r="Y693" s="35"/>
      <c r="Z693" s="35"/>
    </row>
    <row r="694" ht="14.25" customHeight="1">
      <c r="A694" s="136"/>
      <c r="B694" s="137"/>
      <c r="C694" s="251"/>
      <c r="D694" s="452"/>
      <c r="E694" s="136"/>
      <c r="F694" s="253"/>
      <c r="G694" s="253"/>
      <c r="H694" s="527"/>
      <c r="I694" s="141"/>
      <c r="J694" s="141"/>
      <c r="K694" s="142"/>
      <c r="L694" s="142"/>
      <c r="M694" s="142"/>
      <c r="N694" s="142"/>
      <c r="O694" s="136"/>
      <c r="P694" s="34"/>
      <c r="Q694" s="35"/>
      <c r="R694" s="35"/>
      <c r="S694" s="35"/>
      <c r="T694" s="35"/>
      <c r="U694" s="35"/>
      <c r="V694" s="35"/>
      <c r="W694" s="35"/>
      <c r="X694" s="35"/>
      <c r="Y694" s="35"/>
      <c r="Z694" s="35"/>
    </row>
    <row r="695" ht="14.25" customHeight="1">
      <c r="A695" s="136"/>
      <c r="B695" s="137"/>
      <c r="C695" s="251"/>
      <c r="D695" s="452"/>
      <c r="E695" s="136"/>
      <c r="F695" s="253"/>
      <c r="G695" s="253"/>
      <c r="H695" s="527"/>
      <c r="I695" s="141"/>
      <c r="J695" s="141"/>
      <c r="K695" s="142"/>
      <c r="L695" s="142"/>
      <c r="M695" s="142"/>
      <c r="N695" s="142"/>
      <c r="O695" s="136"/>
      <c r="P695" s="34"/>
      <c r="Q695" s="35"/>
      <c r="R695" s="35"/>
      <c r="S695" s="35"/>
      <c r="T695" s="35"/>
      <c r="U695" s="35"/>
      <c r="V695" s="35"/>
      <c r="W695" s="35"/>
      <c r="X695" s="35"/>
      <c r="Y695" s="35"/>
      <c r="Z695" s="35"/>
    </row>
    <row r="696" ht="14.25" customHeight="1">
      <c r="A696" s="136"/>
      <c r="B696" s="137"/>
      <c r="C696" s="251"/>
      <c r="D696" s="452"/>
      <c r="E696" s="136"/>
      <c r="F696" s="253"/>
      <c r="G696" s="253"/>
      <c r="H696" s="527"/>
      <c r="I696" s="141"/>
      <c r="J696" s="141"/>
      <c r="K696" s="142"/>
      <c r="L696" s="142"/>
      <c r="M696" s="142"/>
      <c r="N696" s="142"/>
      <c r="O696" s="136"/>
      <c r="P696" s="34"/>
      <c r="Q696" s="35"/>
      <c r="R696" s="35"/>
      <c r="S696" s="35"/>
      <c r="T696" s="35"/>
      <c r="U696" s="35"/>
      <c r="V696" s="35"/>
      <c r="W696" s="35"/>
      <c r="X696" s="35"/>
      <c r="Y696" s="35"/>
      <c r="Z696" s="35"/>
    </row>
    <row r="697" ht="14.25" customHeight="1">
      <c r="A697" s="136"/>
      <c r="B697" s="137"/>
      <c r="C697" s="251"/>
      <c r="D697" s="452"/>
      <c r="E697" s="136"/>
      <c r="F697" s="253"/>
      <c r="G697" s="253"/>
      <c r="H697" s="527"/>
      <c r="I697" s="141"/>
      <c r="J697" s="141"/>
      <c r="K697" s="142"/>
      <c r="L697" s="142"/>
      <c r="M697" s="142"/>
      <c r="N697" s="142"/>
      <c r="O697" s="136"/>
      <c r="P697" s="34"/>
      <c r="Q697" s="35"/>
      <c r="R697" s="35"/>
      <c r="S697" s="35"/>
      <c r="T697" s="35"/>
      <c r="U697" s="35"/>
      <c r="V697" s="35"/>
      <c r="W697" s="35"/>
      <c r="X697" s="35"/>
      <c r="Y697" s="35"/>
      <c r="Z697" s="35"/>
    </row>
    <row r="698" ht="14.25" customHeight="1">
      <c r="A698" s="136"/>
      <c r="B698" s="137"/>
      <c r="C698" s="251"/>
      <c r="D698" s="452"/>
      <c r="E698" s="136"/>
      <c r="F698" s="253"/>
      <c r="G698" s="253"/>
      <c r="H698" s="527"/>
      <c r="I698" s="141"/>
      <c r="J698" s="141"/>
      <c r="K698" s="142"/>
      <c r="L698" s="142"/>
      <c r="M698" s="142"/>
      <c r="N698" s="142"/>
      <c r="O698" s="136"/>
      <c r="P698" s="34"/>
      <c r="Q698" s="35"/>
      <c r="R698" s="35"/>
      <c r="S698" s="35"/>
      <c r="T698" s="35"/>
      <c r="U698" s="35"/>
      <c r="V698" s="35"/>
      <c r="W698" s="35"/>
      <c r="X698" s="35"/>
      <c r="Y698" s="35"/>
      <c r="Z698" s="35"/>
    </row>
    <row r="699" ht="14.25" customHeight="1">
      <c r="A699" s="136"/>
      <c r="B699" s="137"/>
      <c r="C699" s="251"/>
      <c r="D699" s="452"/>
      <c r="E699" s="136"/>
      <c r="F699" s="253"/>
      <c r="G699" s="253"/>
      <c r="H699" s="527"/>
      <c r="I699" s="141"/>
      <c r="J699" s="141"/>
      <c r="K699" s="142"/>
      <c r="L699" s="142"/>
      <c r="M699" s="142"/>
      <c r="N699" s="142"/>
      <c r="O699" s="136"/>
      <c r="P699" s="34"/>
      <c r="Q699" s="35"/>
      <c r="R699" s="35"/>
      <c r="S699" s="35"/>
      <c r="T699" s="35"/>
      <c r="U699" s="35"/>
      <c r="V699" s="35"/>
      <c r="W699" s="35"/>
      <c r="X699" s="35"/>
      <c r="Y699" s="35"/>
      <c r="Z699" s="35"/>
    </row>
    <row r="700" ht="14.25" customHeight="1">
      <c r="A700" s="136"/>
      <c r="B700" s="137"/>
      <c r="C700" s="251"/>
      <c r="D700" s="452"/>
      <c r="E700" s="136"/>
      <c r="F700" s="253"/>
      <c r="G700" s="253"/>
      <c r="H700" s="527"/>
      <c r="I700" s="141"/>
      <c r="J700" s="141"/>
      <c r="K700" s="142"/>
      <c r="L700" s="142"/>
      <c r="M700" s="142"/>
      <c r="N700" s="142"/>
      <c r="O700" s="136"/>
      <c r="P700" s="34"/>
      <c r="Q700" s="35"/>
      <c r="R700" s="35"/>
      <c r="S700" s="35"/>
      <c r="T700" s="35"/>
      <c r="U700" s="35"/>
      <c r="V700" s="35"/>
      <c r="W700" s="35"/>
      <c r="X700" s="35"/>
      <c r="Y700" s="35"/>
      <c r="Z700" s="35"/>
    </row>
    <row r="701" ht="14.25" customHeight="1">
      <c r="A701" s="136"/>
      <c r="B701" s="137"/>
      <c r="C701" s="251"/>
      <c r="D701" s="452"/>
      <c r="E701" s="136"/>
      <c r="F701" s="253"/>
      <c r="G701" s="253"/>
      <c r="H701" s="527"/>
      <c r="I701" s="141"/>
      <c r="J701" s="141"/>
      <c r="K701" s="142"/>
      <c r="L701" s="142"/>
      <c r="M701" s="142"/>
      <c r="N701" s="142"/>
      <c r="O701" s="136"/>
      <c r="P701" s="34"/>
      <c r="Q701" s="35"/>
      <c r="R701" s="35"/>
      <c r="S701" s="35"/>
      <c r="T701" s="35"/>
      <c r="U701" s="35"/>
      <c r="V701" s="35"/>
      <c r="W701" s="35"/>
      <c r="X701" s="35"/>
      <c r="Y701" s="35"/>
      <c r="Z701" s="35"/>
    </row>
    <row r="702" ht="14.25" customHeight="1">
      <c r="A702" s="136"/>
      <c r="B702" s="137"/>
      <c r="C702" s="251"/>
      <c r="D702" s="452"/>
      <c r="E702" s="136"/>
      <c r="F702" s="253"/>
      <c r="G702" s="253"/>
      <c r="H702" s="527"/>
      <c r="I702" s="141"/>
      <c r="J702" s="141"/>
      <c r="K702" s="142"/>
      <c r="L702" s="142"/>
      <c r="M702" s="142"/>
      <c r="N702" s="142"/>
      <c r="O702" s="136"/>
      <c r="P702" s="34"/>
      <c r="Q702" s="35"/>
      <c r="R702" s="35"/>
      <c r="S702" s="35"/>
      <c r="T702" s="35"/>
      <c r="U702" s="35"/>
      <c r="V702" s="35"/>
      <c r="W702" s="35"/>
      <c r="X702" s="35"/>
      <c r="Y702" s="35"/>
      <c r="Z702" s="35"/>
    </row>
    <row r="703" ht="14.25" customHeight="1">
      <c r="A703" s="136"/>
      <c r="B703" s="137"/>
      <c r="C703" s="251"/>
      <c r="D703" s="452"/>
      <c r="E703" s="136"/>
      <c r="F703" s="253"/>
      <c r="G703" s="253"/>
      <c r="H703" s="527"/>
      <c r="I703" s="141"/>
      <c r="J703" s="141"/>
      <c r="K703" s="142"/>
      <c r="L703" s="142"/>
      <c r="M703" s="142"/>
      <c r="N703" s="142"/>
      <c r="O703" s="136"/>
      <c r="P703" s="34"/>
      <c r="Q703" s="35"/>
      <c r="R703" s="35"/>
      <c r="S703" s="35"/>
      <c r="T703" s="35"/>
      <c r="U703" s="35"/>
      <c r="V703" s="35"/>
      <c r="W703" s="35"/>
      <c r="X703" s="35"/>
      <c r="Y703" s="35"/>
      <c r="Z703" s="35"/>
    </row>
    <row r="704" ht="14.25" customHeight="1">
      <c r="A704" s="136"/>
      <c r="B704" s="137"/>
      <c r="C704" s="251"/>
      <c r="D704" s="452"/>
      <c r="E704" s="136"/>
      <c r="F704" s="253"/>
      <c r="G704" s="253"/>
      <c r="H704" s="527"/>
      <c r="I704" s="141"/>
      <c r="J704" s="141"/>
      <c r="K704" s="142"/>
      <c r="L704" s="142"/>
      <c r="M704" s="142"/>
      <c r="N704" s="142"/>
      <c r="O704" s="136"/>
      <c r="P704" s="34"/>
      <c r="Q704" s="35"/>
      <c r="R704" s="35"/>
      <c r="S704" s="35"/>
      <c r="T704" s="35"/>
      <c r="U704" s="35"/>
      <c r="V704" s="35"/>
      <c r="W704" s="35"/>
      <c r="X704" s="35"/>
      <c r="Y704" s="35"/>
      <c r="Z704" s="35"/>
    </row>
    <row r="705" ht="14.25" customHeight="1">
      <c r="A705" s="136"/>
      <c r="B705" s="137"/>
      <c r="C705" s="251"/>
      <c r="D705" s="452"/>
      <c r="E705" s="136"/>
      <c r="F705" s="253"/>
      <c r="G705" s="253"/>
      <c r="H705" s="527"/>
      <c r="I705" s="141"/>
      <c r="J705" s="141"/>
      <c r="K705" s="142"/>
      <c r="L705" s="142"/>
      <c r="M705" s="142"/>
      <c r="N705" s="142"/>
      <c r="O705" s="136"/>
      <c r="P705" s="34"/>
      <c r="Q705" s="35"/>
      <c r="R705" s="35"/>
      <c r="S705" s="35"/>
      <c r="T705" s="35"/>
      <c r="U705" s="35"/>
      <c r="V705" s="35"/>
      <c r="W705" s="35"/>
      <c r="X705" s="35"/>
      <c r="Y705" s="35"/>
      <c r="Z705" s="35"/>
    </row>
    <row r="706" ht="14.25" customHeight="1">
      <c r="A706" s="136"/>
      <c r="B706" s="137"/>
      <c r="C706" s="251"/>
      <c r="D706" s="452"/>
      <c r="E706" s="136"/>
      <c r="F706" s="253"/>
      <c r="G706" s="253"/>
      <c r="H706" s="527"/>
      <c r="I706" s="141"/>
      <c r="J706" s="141"/>
      <c r="K706" s="142"/>
      <c r="L706" s="142"/>
      <c r="M706" s="142"/>
      <c r="N706" s="142"/>
      <c r="O706" s="136"/>
      <c r="P706" s="34"/>
      <c r="Q706" s="35"/>
      <c r="R706" s="35"/>
      <c r="S706" s="35"/>
      <c r="T706" s="35"/>
      <c r="U706" s="35"/>
      <c r="V706" s="35"/>
      <c r="W706" s="35"/>
      <c r="X706" s="35"/>
      <c r="Y706" s="35"/>
      <c r="Z706" s="35"/>
    </row>
    <row r="707" ht="14.25" customHeight="1">
      <c r="A707" s="136"/>
      <c r="B707" s="137"/>
      <c r="C707" s="251"/>
      <c r="D707" s="452"/>
      <c r="E707" s="136"/>
      <c r="F707" s="253"/>
      <c r="G707" s="253"/>
      <c r="H707" s="527"/>
      <c r="I707" s="141"/>
      <c r="J707" s="141"/>
      <c r="K707" s="142"/>
      <c r="L707" s="142"/>
      <c r="M707" s="142"/>
      <c r="N707" s="142"/>
      <c r="O707" s="136"/>
      <c r="P707" s="34"/>
      <c r="Q707" s="35"/>
      <c r="R707" s="35"/>
      <c r="S707" s="35"/>
      <c r="T707" s="35"/>
      <c r="U707" s="35"/>
      <c r="V707" s="35"/>
      <c r="W707" s="35"/>
      <c r="X707" s="35"/>
      <c r="Y707" s="35"/>
      <c r="Z707" s="35"/>
    </row>
    <row r="708" ht="14.25" customHeight="1">
      <c r="A708" s="136"/>
      <c r="B708" s="137"/>
      <c r="C708" s="251"/>
      <c r="D708" s="452"/>
      <c r="E708" s="136"/>
      <c r="F708" s="253"/>
      <c r="G708" s="253"/>
      <c r="H708" s="527"/>
      <c r="I708" s="141"/>
      <c r="J708" s="141"/>
      <c r="K708" s="142"/>
      <c r="L708" s="142"/>
      <c r="M708" s="142"/>
      <c r="N708" s="142"/>
      <c r="O708" s="136"/>
      <c r="P708" s="34"/>
      <c r="Q708" s="35"/>
      <c r="R708" s="35"/>
      <c r="S708" s="35"/>
      <c r="T708" s="35"/>
      <c r="U708" s="35"/>
      <c r="V708" s="35"/>
      <c r="W708" s="35"/>
      <c r="X708" s="35"/>
      <c r="Y708" s="35"/>
      <c r="Z708" s="35"/>
    </row>
    <row r="709" ht="14.25" customHeight="1">
      <c r="A709" s="136"/>
      <c r="B709" s="137"/>
      <c r="C709" s="251"/>
      <c r="D709" s="452"/>
      <c r="E709" s="136"/>
      <c r="F709" s="253"/>
      <c r="G709" s="253"/>
      <c r="H709" s="527"/>
      <c r="I709" s="141"/>
      <c r="J709" s="141"/>
      <c r="K709" s="142"/>
      <c r="L709" s="142"/>
      <c r="M709" s="142"/>
      <c r="N709" s="142"/>
      <c r="O709" s="136"/>
      <c r="P709" s="34"/>
      <c r="Q709" s="35"/>
      <c r="R709" s="35"/>
      <c r="S709" s="35"/>
      <c r="T709" s="35"/>
      <c r="U709" s="35"/>
      <c r="V709" s="35"/>
      <c r="W709" s="35"/>
      <c r="X709" s="35"/>
      <c r="Y709" s="35"/>
      <c r="Z709" s="35"/>
    </row>
    <row r="710" ht="14.25" customHeight="1">
      <c r="A710" s="136"/>
      <c r="B710" s="137"/>
      <c r="C710" s="251"/>
      <c r="D710" s="452"/>
      <c r="E710" s="136"/>
      <c r="F710" s="253"/>
      <c r="G710" s="253"/>
      <c r="H710" s="527"/>
      <c r="I710" s="141"/>
      <c r="J710" s="141"/>
      <c r="K710" s="142"/>
      <c r="L710" s="142"/>
      <c r="M710" s="142"/>
      <c r="N710" s="142"/>
      <c r="O710" s="136"/>
      <c r="P710" s="34"/>
      <c r="Q710" s="35"/>
      <c r="R710" s="35"/>
      <c r="S710" s="35"/>
      <c r="T710" s="35"/>
      <c r="U710" s="35"/>
      <c r="V710" s="35"/>
      <c r="W710" s="35"/>
      <c r="X710" s="35"/>
      <c r="Y710" s="35"/>
      <c r="Z710" s="35"/>
    </row>
    <row r="711" ht="14.25" customHeight="1">
      <c r="A711" s="136"/>
      <c r="B711" s="137"/>
      <c r="C711" s="251"/>
      <c r="D711" s="452"/>
      <c r="E711" s="136"/>
      <c r="F711" s="253"/>
      <c r="G711" s="253"/>
      <c r="H711" s="527"/>
      <c r="I711" s="141"/>
      <c r="J711" s="141"/>
      <c r="K711" s="142"/>
      <c r="L711" s="142"/>
      <c r="M711" s="142"/>
      <c r="N711" s="142"/>
      <c r="O711" s="136"/>
      <c r="P711" s="34"/>
      <c r="Q711" s="35"/>
      <c r="R711" s="35"/>
      <c r="S711" s="35"/>
      <c r="T711" s="35"/>
      <c r="U711" s="35"/>
      <c r="V711" s="35"/>
      <c r="W711" s="35"/>
      <c r="X711" s="35"/>
      <c r="Y711" s="35"/>
      <c r="Z711" s="35"/>
    </row>
    <row r="712" ht="14.25" customHeight="1">
      <c r="A712" s="136"/>
      <c r="B712" s="137"/>
      <c r="C712" s="251"/>
      <c r="D712" s="452"/>
      <c r="E712" s="136"/>
      <c r="F712" s="253"/>
      <c r="G712" s="253"/>
      <c r="H712" s="527"/>
      <c r="I712" s="141"/>
      <c r="J712" s="141"/>
      <c r="K712" s="142"/>
      <c r="L712" s="142"/>
      <c r="M712" s="142"/>
      <c r="N712" s="142"/>
      <c r="O712" s="136"/>
      <c r="P712" s="34"/>
      <c r="Q712" s="35"/>
      <c r="R712" s="35"/>
      <c r="S712" s="35"/>
      <c r="T712" s="35"/>
      <c r="U712" s="35"/>
      <c r="V712" s="35"/>
      <c r="W712" s="35"/>
      <c r="X712" s="35"/>
      <c r="Y712" s="35"/>
      <c r="Z712" s="35"/>
    </row>
    <row r="713" ht="14.25" customHeight="1">
      <c r="A713" s="136"/>
      <c r="B713" s="137"/>
      <c r="C713" s="251"/>
      <c r="D713" s="452"/>
      <c r="E713" s="136"/>
      <c r="F713" s="253"/>
      <c r="G713" s="253"/>
      <c r="H713" s="527"/>
      <c r="I713" s="141"/>
      <c r="J713" s="141"/>
      <c r="K713" s="142"/>
      <c r="L713" s="142"/>
      <c r="M713" s="142"/>
      <c r="N713" s="142"/>
      <c r="O713" s="136"/>
      <c r="P713" s="34"/>
      <c r="Q713" s="35"/>
      <c r="R713" s="35"/>
      <c r="S713" s="35"/>
      <c r="T713" s="35"/>
      <c r="U713" s="35"/>
      <c r="V713" s="35"/>
      <c r="W713" s="35"/>
      <c r="X713" s="35"/>
      <c r="Y713" s="35"/>
      <c r="Z713" s="35"/>
    </row>
    <row r="714" ht="14.25" customHeight="1">
      <c r="A714" s="136"/>
      <c r="B714" s="137"/>
      <c r="C714" s="251"/>
      <c r="D714" s="452"/>
      <c r="E714" s="136"/>
      <c r="F714" s="253"/>
      <c r="G714" s="253"/>
      <c r="H714" s="527"/>
      <c r="I714" s="141"/>
      <c r="J714" s="141"/>
      <c r="K714" s="142"/>
      <c r="L714" s="142"/>
      <c r="M714" s="142"/>
      <c r="N714" s="142"/>
      <c r="O714" s="136"/>
      <c r="P714" s="34"/>
      <c r="Q714" s="35"/>
      <c r="R714" s="35"/>
      <c r="S714" s="35"/>
      <c r="T714" s="35"/>
      <c r="U714" s="35"/>
      <c r="V714" s="35"/>
      <c r="W714" s="35"/>
      <c r="X714" s="35"/>
      <c r="Y714" s="35"/>
      <c r="Z714" s="35"/>
    </row>
    <row r="715" ht="14.25" customHeight="1">
      <c r="A715" s="136"/>
      <c r="B715" s="137"/>
      <c r="C715" s="251"/>
      <c r="D715" s="452"/>
      <c r="E715" s="136"/>
      <c r="F715" s="253"/>
      <c r="G715" s="253"/>
      <c r="H715" s="527"/>
      <c r="I715" s="141"/>
      <c r="J715" s="141"/>
      <c r="K715" s="142"/>
      <c r="L715" s="142"/>
      <c r="M715" s="142"/>
      <c r="N715" s="142"/>
      <c r="O715" s="136"/>
      <c r="P715" s="34"/>
      <c r="Q715" s="35"/>
      <c r="R715" s="35"/>
      <c r="S715" s="35"/>
      <c r="T715" s="35"/>
      <c r="U715" s="35"/>
      <c r="V715" s="35"/>
      <c r="W715" s="35"/>
      <c r="X715" s="35"/>
      <c r="Y715" s="35"/>
      <c r="Z715" s="35"/>
    </row>
    <row r="716" ht="14.25" customHeight="1">
      <c r="A716" s="136"/>
      <c r="B716" s="137"/>
      <c r="C716" s="251"/>
      <c r="D716" s="452"/>
      <c r="E716" s="136"/>
      <c r="F716" s="253"/>
      <c r="G716" s="253"/>
      <c r="H716" s="527"/>
      <c r="I716" s="141"/>
      <c r="J716" s="141"/>
      <c r="K716" s="142"/>
      <c r="L716" s="142"/>
      <c r="M716" s="142"/>
      <c r="N716" s="142"/>
      <c r="O716" s="136"/>
      <c r="P716" s="34"/>
      <c r="Q716" s="35"/>
      <c r="R716" s="35"/>
      <c r="S716" s="35"/>
      <c r="T716" s="35"/>
      <c r="U716" s="35"/>
      <c r="V716" s="35"/>
      <c r="W716" s="35"/>
      <c r="X716" s="35"/>
      <c r="Y716" s="35"/>
      <c r="Z716" s="35"/>
    </row>
    <row r="717" ht="14.25" customHeight="1">
      <c r="A717" s="136"/>
      <c r="B717" s="137"/>
      <c r="C717" s="251"/>
      <c r="D717" s="452"/>
      <c r="E717" s="136"/>
      <c r="F717" s="253"/>
      <c r="G717" s="253"/>
      <c r="H717" s="527"/>
      <c r="I717" s="141"/>
      <c r="J717" s="141"/>
      <c r="K717" s="142"/>
      <c r="L717" s="142"/>
      <c r="M717" s="142"/>
      <c r="N717" s="142"/>
      <c r="O717" s="136"/>
      <c r="P717" s="34"/>
      <c r="Q717" s="35"/>
      <c r="R717" s="35"/>
      <c r="S717" s="35"/>
      <c r="T717" s="35"/>
      <c r="U717" s="35"/>
      <c r="V717" s="35"/>
      <c r="W717" s="35"/>
      <c r="X717" s="35"/>
      <c r="Y717" s="35"/>
      <c r="Z717" s="35"/>
    </row>
    <row r="718" ht="14.25" customHeight="1">
      <c r="A718" s="136"/>
      <c r="B718" s="137"/>
      <c r="C718" s="251"/>
      <c r="D718" s="452"/>
      <c r="E718" s="136"/>
      <c r="F718" s="253"/>
      <c r="G718" s="253"/>
      <c r="H718" s="527"/>
      <c r="I718" s="141"/>
      <c r="J718" s="141"/>
      <c r="K718" s="142"/>
      <c r="L718" s="142"/>
      <c r="M718" s="142"/>
      <c r="N718" s="142"/>
      <c r="O718" s="136"/>
      <c r="P718" s="34"/>
      <c r="Q718" s="35"/>
      <c r="R718" s="35"/>
      <c r="S718" s="35"/>
      <c r="T718" s="35"/>
      <c r="U718" s="35"/>
      <c r="V718" s="35"/>
      <c r="W718" s="35"/>
      <c r="X718" s="35"/>
      <c r="Y718" s="35"/>
      <c r="Z718" s="35"/>
    </row>
    <row r="719" ht="14.25" customHeight="1">
      <c r="A719" s="136"/>
      <c r="B719" s="137"/>
      <c r="C719" s="251"/>
      <c r="D719" s="452"/>
      <c r="E719" s="136"/>
      <c r="F719" s="253"/>
      <c r="G719" s="253"/>
      <c r="H719" s="527"/>
      <c r="I719" s="141"/>
      <c r="J719" s="141"/>
      <c r="K719" s="142"/>
      <c r="L719" s="142"/>
      <c r="M719" s="142"/>
      <c r="N719" s="142"/>
      <c r="O719" s="136"/>
      <c r="P719" s="34"/>
      <c r="Q719" s="35"/>
      <c r="R719" s="35"/>
      <c r="S719" s="35"/>
      <c r="T719" s="35"/>
      <c r="U719" s="35"/>
      <c r="V719" s="35"/>
      <c r="W719" s="35"/>
      <c r="X719" s="35"/>
      <c r="Y719" s="35"/>
      <c r="Z719" s="35"/>
    </row>
    <row r="720" ht="14.25" customHeight="1">
      <c r="A720" s="136"/>
      <c r="B720" s="137"/>
      <c r="C720" s="251"/>
      <c r="D720" s="452"/>
      <c r="E720" s="136"/>
      <c r="F720" s="253"/>
      <c r="G720" s="253"/>
      <c r="H720" s="527"/>
      <c r="I720" s="141"/>
      <c r="J720" s="141"/>
      <c r="K720" s="142"/>
      <c r="L720" s="142"/>
      <c r="M720" s="142"/>
      <c r="N720" s="142"/>
      <c r="O720" s="136"/>
      <c r="P720" s="34"/>
      <c r="Q720" s="35"/>
      <c r="R720" s="35"/>
      <c r="S720" s="35"/>
      <c r="T720" s="35"/>
      <c r="U720" s="35"/>
      <c r="V720" s="35"/>
      <c r="W720" s="35"/>
      <c r="X720" s="35"/>
      <c r="Y720" s="35"/>
      <c r="Z720" s="35"/>
    </row>
    <row r="721" ht="14.25" customHeight="1">
      <c r="A721" s="136"/>
      <c r="B721" s="137"/>
      <c r="C721" s="251"/>
      <c r="D721" s="452"/>
      <c r="E721" s="136"/>
      <c r="F721" s="253"/>
      <c r="G721" s="253"/>
      <c r="H721" s="527"/>
      <c r="I721" s="141"/>
      <c r="J721" s="141"/>
      <c r="K721" s="142"/>
      <c r="L721" s="142"/>
      <c r="M721" s="142"/>
      <c r="N721" s="142"/>
      <c r="O721" s="136"/>
      <c r="P721" s="34"/>
      <c r="Q721" s="35"/>
      <c r="R721" s="35"/>
      <c r="S721" s="35"/>
      <c r="T721" s="35"/>
      <c r="U721" s="35"/>
      <c r="V721" s="35"/>
      <c r="W721" s="35"/>
      <c r="X721" s="35"/>
      <c r="Y721" s="35"/>
      <c r="Z721" s="35"/>
    </row>
    <row r="722" ht="14.25" customHeight="1">
      <c r="A722" s="136"/>
      <c r="B722" s="137"/>
      <c r="C722" s="251"/>
      <c r="D722" s="452"/>
      <c r="E722" s="136"/>
      <c r="F722" s="253"/>
      <c r="G722" s="253"/>
      <c r="H722" s="527"/>
      <c r="I722" s="141"/>
      <c r="J722" s="141"/>
      <c r="K722" s="142"/>
      <c r="L722" s="142"/>
      <c r="M722" s="142"/>
      <c r="N722" s="142"/>
      <c r="O722" s="136"/>
      <c r="P722" s="34"/>
      <c r="Q722" s="35"/>
      <c r="R722" s="35"/>
      <c r="S722" s="35"/>
      <c r="T722" s="35"/>
      <c r="U722" s="35"/>
      <c r="V722" s="35"/>
      <c r="W722" s="35"/>
      <c r="X722" s="35"/>
      <c r="Y722" s="35"/>
      <c r="Z722" s="35"/>
    </row>
    <row r="723" ht="14.25" customHeight="1">
      <c r="A723" s="136"/>
      <c r="B723" s="137"/>
      <c r="C723" s="251"/>
      <c r="D723" s="452"/>
      <c r="E723" s="136"/>
      <c r="F723" s="253"/>
      <c r="G723" s="253"/>
      <c r="H723" s="527"/>
      <c r="I723" s="141"/>
      <c r="J723" s="141"/>
      <c r="K723" s="142"/>
      <c r="L723" s="142"/>
      <c r="M723" s="142"/>
      <c r="N723" s="142"/>
      <c r="O723" s="136"/>
      <c r="P723" s="34"/>
      <c r="Q723" s="35"/>
      <c r="R723" s="35"/>
      <c r="S723" s="35"/>
      <c r="T723" s="35"/>
      <c r="U723" s="35"/>
      <c r="V723" s="35"/>
      <c r="W723" s="35"/>
      <c r="X723" s="35"/>
      <c r="Y723" s="35"/>
      <c r="Z723" s="35"/>
    </row>
    <row r="724" ht="14.25" customHeight="1">
      <c r="A724" s="136"/>
      <c r="B724" s="137"/>
      <c r="C724" s="251"/>
      <c r="D724" s="452"/>
      <c r="E724" s="136"/>
      <c r="F724" s="253"/>
      <c r="G724" s="253"/>
      <c r="H724" s="527"/>
      <c r="I724" s="141"/>
      <c r="J724" s="141"/>
      <c r="K724" s="142"/>
      <c r="L724" s="142"/>
      <c r="M724" s="142"/>
      <c r="N724" s="142"/>
      <c r="O724" s="136"/>
      <c r="P724" s="34"/>
      <c r="Q724" s="35"/>
      <c r="R724" s="35"/>
      <c r="S724" s="35"/>
      <c r="T724" s="35"/>
      <c r="U724" s="35"/>
      <c r="V724" s="35"/>
      <c r="W724" s="35"/>
      <c r="X724" s="35"/>
      <c r="Y724" s="35"/>
      <c r="Z724" s="35"/>
    </row>
    <row r="725" ht="14.25" customHeight="1">
      <c r="A725" s="136"/>
      <c r="B725" s="137"/>
      <c r="C725" s="251"/>
      <c r="D725" s="452"/>
      <c r="E725" s="136"/>
      <c r="F725" s="253"/>
      <c r="G725" s="253"/>
      <c r="H725" s="527"/>
      <c r="I725" s="141"/>
      <c r="J725" s="141"/>
      <c r="K725" s="142"/>
      <c r="L725" s="142"/>
      <c r="M725" s="142"/>
      <c r="N725" s="142"/>
      <c r="O725" s="136"/>
      <c r="P725" s="34"/>
      <c r="Q725" s="35"/>
      <c r="R725" s="35"/>
      <c r="S725" s="35"/>
      <c r="T725" s="35"/>
      <c r="U725" s="35"/>
      <c r="V725" s="35"/>
      <c r="W725" s="35"/>
      <c r="X725" s="35"/>
      <c r="Y725" s="35"/>
      <c r="Z725" s="35"/>
    </row>
    <row r="726" ht="14.25" customHeight="1">
      <c r="A726" s="136"/>
      <c r="B726" s="137"/>
      <c r="C726" s="251"/>
      <c r="D726" s="452"/>
      <c r="E726" s="136"/>
      <c r="F726" s="253"/>
      <c r="G726" s="253"/>
      <c r="H726" s="527"/>
      <c r="I726" s="141"/>
      <c r="J726" s="141"/>
      <c r="K726" s="142"/>
      <c r="L726" s="142"/>
      <c r="M726" s="142"/>
      <c r="N726" s="142"/>
      <c r="O726" s="136"/>
      <c r="P726" s="34"/>
      <c r="Q726" s="35"/>
      <c r="R726" s="35"/>
      <c r="S726" s="35"/>
      <c r="T726" s="35"/>
      <c r="U726" s="35"/>
      <c r="V726" s="35"/>
      <c r="W726" s="35"/>
      <c r="X726" s="35"/>
      <c r="Y726" s="35"/>
      <c r="Z726" s="35"/>
    </row>
    <row r="727" ht="14.25" customHeight="1">
      <c r="A727" s="136"/>
      <c r="B727" s="137"/>
      <c r="C727" s="251"/>
      <c r="D727" s="452"/>
      <c r="E727" s="136"/>
      <c r="F727" s="253"/>
      <c r="G727" s="253"/>
      <c r="H727" s="527"/>
      <c r="I727" s="141"/>
      <c r="J727" s="141"/>
      <c r="K727" s="142"/>
      <c r="L727" s="142"/>
      <c r="M727" s="142"/>
      <c r="N727" s="142"/>
      <c r="O727" s="136"/>
      <c r="P727" s="34"/>
      <c r="Q727" s="35"/>
      <c r="R727" s="35"/>
      <c r="S727" s="35"/>
      <c r="T727" s="35"/>
      <c r="U727" s="35"/>
      <c r="V727" s="35"/>
      <c r="W727" s="35"/>
      <c r="X727" s="35"/>
      <c r="Y727" s="35"/>
      <c r="Z727" s="35"/>
    </row>
    <row r="728" ht="14.25" customHeight="1">
      <c r="A728" s="136"/>
      <c r="B728" s="137"/>
      <c r="C728" s="251"/>
      <c r="D728" s="452"/>
      <c r="E728" s="136"/>
      <c r="F728" s="253"/>
      <c r="G728" s="253"/>
      <c r="H728" s="527"/>
      <c r="I728" s="141"/>
      <c r="J728" s="141"/>
      <c r="K728" s="142"/>
      <c r="L728" s="142"/>
      <c r="M728" s="142"/>
      <c r="N728" s="142"/>
      <c r="O728" s="136"/>
      <c r="P728" s="34"/>
      <c r="Q728" s="35"/>
      <c r="R728" s="35"/>
      <c r="S728" s="35"/>
      <c r="T728" s="35"/>
      <c r="U728" s="35"/>
      <c r="V728" s="35"/>
      <c r="W728" s="35"/>
      <c r="X728" s="35"/>
      <c r="Y728" s="35"/>
      <c r="Z728" s="35"/>
    </row>
    <row r="729" ht="14.25" customHeight="1">
      <c r="A729" s="136"/>
      <c r="B729" s="137"/>
      <c r="C729" s="251"/>
      <c r="D729" s="452"/>
      <c r="E729" s="136"/>
      <c r="F729" s="253"/>
      <c r="G729" s="253"/>
      <c r="H729" s="527"/>
      <c r="I729" s="141"/>
      <c r="J729" s="141"/>
      <c r="K729" s="142"/>
      <c r="L729" s="142"/>
      <c r="M729" s="142"/>
      <c r="N729" s="142"/>
      <c r="O729" s="136"/>
      <c r="P729" s="34"/>
      <c r="Q729" s="35"/>
      <c r="R729" s="35"/>
      <c r="S729" s="35"/>
      <c r="T729" s="35"/>
      <c r="U729" s="35"/>
      <c r="V729" s="35"/>
      <c r="W729" s="35"/>
      <c r="X729" s="35"/>
      <c r="Y729" s="35"/>
      <c r="Z729" s="35"/>
    </row>
    <row r="730" ht="14.25" customHeight="1">
      <c r="A730" s="136"/>
      <c r="B730" s="137"/>
      <c r="C730" s="251"/>
      <c r="D730" s="452"/>
      <c r="E730" s="136"/>
      <c r="F730" s="253"/>
      <c r="G730" s="253"/>
      <c r="H730" s="527"/>
      <c r="I730" s="141"/>
      <c r="J730" s="141"/>
      <c r="K730" s="142"/>
      <c r="L730" s="142"/>
      <c r="M730" s="142"/>
      <c r="N730" s="142"/>
      <c r="O730" s="136"/>
      <c r="P730" s="34"/>
      <c r="Q730" s="35"/>
      <c r="R730" s="35"/>
      <c r="S730" s="35"/>
      <c r="T730" s="35"/>
      <c r="U730" s="35"/>
      <c r="V730" s="35"/>
      <c r="W730" s="35"/>
      <c r="X730" s="35"/>
      <c r="Y730" s="35"/>
      <c r="Z730" s="35"/>
    </row>
    <row r="731" ht="14.25" customHeight="1">
      <c r="A731" s="136"/>
      <c r="B731" s="137"/>
      <c r="C731" s="251"/>
      <c r="D731" s="452"/>
      <c r="E731" s="136"/>
      <c r="F731" s="253"/>
      <c r="G731" s="253"/>
      <c r="H731" s="527"/>
      <c r="I731" s="141"/>
      <c r="J731" s="141"/>
      <c r="K731" s="142"/>
      <c r="L731" s="142"/>
      <c r="M731" s="142"/>
      <c r="N731" s="142"/>
      <c r="O731" s="136"/>
      <c r="P731" s="34"/>
      <c r="Q731" s="35"/>
      <c r="R731" s="35"/>
      <c r="S731" s="35"/>
      <c r="T731" s="35"/>
      <c r="U731" s="35"/>
      <c r="V731" s="35"/>
      <c r="W731" s="35"/>
      <c r="X731" s="35"/>
      <c r="Y731" s="35"/>
      <c r="Z731" s="35"/>
    </row>
    <row r="732" ht="14.25" customHeight="1">
      <c r="A732" s="136"/>
      <c r="B732" s="137"/>
      <c r="C732" s="251"/>
      <c r="D732" s="452"/>
      <c r="E732" s="136"/>
      <c r="F732" s="253"/>
      <c r="G732" s="253"/>
      <c r="H732" s="527"/>
      <c r="I732" s="141"/>
      <c r="J732" s="141"/>
      <c r="K732" s="142"/>
      <c r="L732" s="142"/>
      <c r="M732" s="142"/>
      <c r="N732" s="142"/>
      <c r="O732" s="136"/>
      <c r="P732" s="34"/>
      <c r="Q732" s="35"/>
      <c r="R732" s="35"/>
      <c r="S732" s="35"/>
      <c r="T732" s="35"/>
      <c r="U732" s="35"/>
      <c r="V732" s="35"/>
      <c r="W732" s="35"/>
      <c r="X732" s="35"/>
      <c r="Y732" s="35"/>
      <c r="Z732" s="35"/>
    </row>
    <row r="733" ht="14.25" customHeight="1">
      <c r="A733" s="136"/>
      <c r="B733" s="137"/>
      <c r="C733" s="251"/>
      <c r="D733" s="452"/>
      <c r="E733" s="136"/>
      <c r="F733" s="253"/>
      <c r="G733" s="253"/>
      <c r="H733" s="527"/>
      <c r="I733" s="141"/>
      <c r="J733" s="141"/>
      <c r="K733" s="142"/>
      <c r="L733" s="142"/>
      <c r="M733" s="142"/>
      <c r="N733" s="142"/>
      <c r="O733" s="136"/>
      <c r="P733" s="34"/>
      <c r="Q733" s="35"/>
      <c r="R733" s="35"/>
      <c r="S733" s="35"/>
      <c r="T733" s="35"/>
      <c r="U733" s="35"/>
      <c r="V733" s="35"/>
      <c r="W733" s="35"/>
      <c r="X733" s="35"/>
      <c r="Y733" s="35"/>
      <c r="Z733" s="35"/>
    </row>
    <row r="734" ht="14.25" customHeight="1">
      <c r="A734" s="136"/>
      <c r="B734" s="137"/>
      <c r="C734" s="251"/>
      <c r="D734" s="452"/>
      <c r="E734" s="136"/>
      <c r="F734" s="253"/>
      <c r="G734" s="253"/>
      <c r="H734" s="527"/>
      <c r="I734" s="141"/>
      <c r="J734" s="141"/>
      <c r="K734" s="142"/>
      <c r="L734" s="142"/>
      <c r="M734" s="142"/>
      <c r="N734" s="142"/>
      <c r="O734" s="136"/>
      <c r="P734" s="34"/>
      <c r="Q734" s="35"/>
      <c r="R734" s="35"/>
      <c r="S734" s="35"/>
      <c r="T734" s="35"/>
      <c r="U734" s="35"/>
      <c r="V734" s="35"/>
      <c r="W734" s="35"/>
      <c r="X734" s="35"/>
      <c r="Y734" s="35"/>
      <c r="Z734" s="35"/>
    </row>
    <row r="735" ht="14.25" customHeight="1">
      <c r="A735" s="136"/>
      <c r="B735" s="137"/>
      <c r="C735" s="251"/>
      <c r="D735" s="452"/>
      <c r="E735" s="136"/>
      <c r="F735" s="253"/>
      <c r="G735" s="253"/>
      <c r="H735" s="527"/>
      <c r="I735" s="141"/>
      <c r="J735" s="141"/>
      <c r="K735" s="142"/>
      <c r="L735" s="142"/>
      <c r="M735" s="142"/>
      <c r="N735" s="142"/>
      <c r="O735" s="136"/>
      <c r="P735" s="34"/>
      <c r="Q735" s="35"/>
      <c r="R735" s="35"/>
      <c r="S735" s="35"/>
      <c r="T735" s="35"/>
      <c r="U735" s="35"/>
      <c r="V735" s="35"/>
      <c r="W735" s="35"/>
      <c r="X735" s="35"/>
      <c r="Y735" s="35"/>
      <c r="Z735" s="35"/>
    </row>
    <row r="736" ht="14.25" customHeight="1">
      <c r="A736" s="136"/>
      <c r="B736" s="137"/>
      <c r="C736" s="251"/>
      <c r="D736" s="452"/>
      <c r="E736" s="136"/>
      <c r="F736" s="253"/>
      <c r="G736" s="253"/>
      <c r="H736" s="527"/>
      <c r="I736" s="141"/>
      <c r="J736" s="141"/>
      <c r="K736" s="142"/>
      <c r="L736" s="142"/>
      <c r="M736" s="142"/>
      <c r="N736" s="142"/>
      <c r="O736" s="136"/>
      <c r="P736" s="34"/>
      <c r="Q736" s="35"/>
      <c r="R736" s="35"/>
      <c r="S736" s="35"/>
      <c r="T736" s="35"/>
      <c r="U736" s="35"/>
      <c r="V736" s="35"/>
      <c r="W736" s="35"/>
      <c r="X736" s="35"/>
      <c r="Y736" s="35"/>
      <c r="Z736" s="35"/>
    </row>
    <row r="737" ht="14.25" customHeight="1">
      <c r="A737" s="136"/>
      <c r="B737" s="137"/>
      <c r="C737" s="251"/>
      <c r="D737" s="452"/>
      <c r="E737" s="136"/>
      <c r="F737" s="253"/>
      <c r="G737" s="253"/>
      <c r="H737" s="527"/>
      <c r="I737" s="141"/>
      <c r="J737" s="141"/>
      <c r="K737" s="142"/>
      <c r="L737" s="142"/>
      <c r="M737" s="142"/>
      <c r="N737" s="142"/>
      <c r="O737" s="136"/>
      <c r="P737" s="34"/>
      <c r="Q737" s="35"/>
      <c r="R737" s="35"/>
      <c r="S737" s="35"/>
      <c r="T737" s="35"/>
      <c r="U737" s="35"/>
      <c r="V737" s="35"/>
      <c r="W737" s="35"/>
      <c r="X737" s="35"/>
      <c r="Y737" s="35"/>
      <c r="Z737" s="35"/>
    </row>
    <row r="738" ht="14.25" customHeight="1">
      <c r="A738" s="136"/>
      <c r="B738" s="137"/>
      <c r="C738" s="251"/>
      <c r="D738" s="452"/>
      <c r="E738" s="136"/>
      <c r="F738" s="253"/>
      <c r="G738" s="253"/>
      <c r="H738" s="527"/>
      <c r="I738" s="141"/>
      <c r="J738" s="141"/>
      <c r="K738" s="142"/>
      <c r="L738" s="142"/>
      <c r="M738" s="142"/>
      <c r="N738" s="142"/>
      <c r="O738" s="136"/>
      <c r="P738" s="34"/>
      <c r="Q738" s="35"/>
      <c r="R738" s="35"/>
      <c r="S738" s="35"/>
      <c r="T738" s="35"/>
      <c r="U738" s="35"/>
      <c r="V738" s="35"/>
      <c r="W738" s="35"/>
      <c r="X738" s="35"/>
      <c r="Y738" s="35"/>
      <c r="Z738" s="35"/>
    </row>
    <row r="739" ht="14.25" customHeight="1">
      <c r="A739" s="136"/>
      <c r="B739" s="137"/>
      <c r="C739" s="251"/>
      <c r="D739" s="452"/>
      <c r="E739" s="136"/>
      <c r="F739" s="253"/>
      <c r="G739" s="253"/>
      <c r="H739" s="527"/>
      <c r="I739" s="141"/>
      <c r="J739" s="141"/>
      <c r="K739" s="142"/>
      <c r="L739" s="142"/>
      <c r="M739" s="142"/>
      <c r="N739" s="142"/>
      <c r="O739" s="136"/>
      <c r="P739" s="34"/>
      <c r="Q739" s="35"/>
      <c r="R739" s="35"/>
      <c r="S739" s="35"/>
      <c r="T739" s="35"/>
      <c r="U739" s="35"/>
      <c r="V739" s="35"/>
      <c r="W739" s="35"/>
      <c r="X739" s="35"/>
      <c r="Y739" s="35"/>
      <c r="Z739" s="35"/>
    </row>
    <row r="740" ht="14.25" customHeight="1">
      <c r="A740" s="136"/>
      <c r="B740" s="137"/>
      <c r="C740" s="251"/>
      <c r="D740" s="452"/>
      <c r="E740" s="136"/>
      <c r="F740" s="253"/>
      <c r="G740" s="253"/>
      <c r="H740" s="527"/>
      <c r="I740" s="141"/>
      <c r="J740" s="141"/>
      <c r="K740" s="142"/>
      <c r="L740" s="142"/>
      <c r="M740" s="142"/>
      <c r="N740" s="142"/>
      <c r="O740" s="136"/>
      <c r="P740" s="34"/>
      <c r="Q740" s="35"/>
      <c r="R740" s="35"/>
      <c r="S740" s="35"/>
      <c r="T740" s="35"/>
      <c r="U740" s="35"/>
      <c r="V740" s="35"/>
      <c r="W740" s="35"/>
      <c r="X740" s="35"/>
      <c r="Y740" s="35"/>
      <c r="Z740" s="35"/>
    </row>
    <row r="741" ht="14.25" customHeight="1">
      <c r="A741" s="136"/>
      <c r="B741" s="137"/>
      <c r="C741" s="251"/>
      <c r="D741" s="452"/>
      <c r="E741" s="136"/>
      <c r="F741" s="253"/>
      <c r="G741" s="253"/>
      <c r="H741" s="527"/>
      <c r="I741" s="141"/>
      <c r="J741" s="141"/>
      <c r="K741" s="142"/>
      <c r="L741" s="142"/>
      <c r="M741" s="142"/>
      <c r="N741" s="142"/>
      <c r="O741" s="136"/>
      <c r="P741" s="34"/>
      <c r="Q741" s="35"/>
      <c r="R741" s="35"/>
      <c r="S741" s="35"/>
      <c r="T741" s="35"/>
      <c r="U741" s="35"/>
      <c r="V741" s="35"/>
      <c r="W741" s="35"/>
      <c r="X741" s="35"/>
      <c r="Y741" s="35"/>
      <c r="Z741" s="35"/>
    </row>
    <row r="742" ht="14.25" customHeight="1">
      <c r="A742" s="136"/>
      <c r="B742" s="137"/>
      <c r="C742" s="251"/>
      <c r="D742" s="452"/>
      <c r="E742" s="136"/>
      <c r="F742" s="253"/>
      <c r="G742" s="253"/>
      <c r="H742" s="527"/>
      <c r="I742" s="141"/>
      <c r="J742" s="141"/>
      <c r="K742" s="142"/>
      <c r="L742" s="142"/>
      <c r="M742" s="142"/>
      <c r="N742" s="142"/>
      <c r="O742" s="136"/>
      <c r="P742" s="34"/>
      <c r="Q742" s="35"/>
      <c r="R742" s="35"/>
      <c r="S742" s="35"/>
      <c r="T742" s="35"/>
      <c r="U742" s="35"/>
      <c r="V742" s="35"/>
      <c r="W742" s="35"/>
      <c r="X742" s="35"/>
      <c r="Y742" s="35"/>
      <c r="Z742" s="35"/>
    </row>
    <row r="743" ht="14.25" customHeight="1">
      <c r="A743" s="136"/>
      <c r="B743" s="137"/>
      <c r="C743" s="251"/>
      <c r="D743" s="452"/>
      <c r="E743" s="136"/>
      <c r="F743" s="253"/>
      <c r="G743" s="253"/>
      <c r="H743" s="527"/>
      <c r="I743" s="141"/>
      <c r="J743" s="141"/>
      <c r="K743" s="142"/>
      <c r="L743" s="142"/>
      <c r="M743" s="142"/>
      <c r="N743" s="142"/>
      <c r="O743" s="136"/>
      <c r="P743" s="34"/>
      <c r="Q743" s="35"/>
      <c r="R743" s="35"/>
      <c r="S743" s="35"/>
      <c r="T743" s="35"/>
      <c r="U743" s="35"/>
      <c r="V743" s="35"/>
      <c r="W743" s="35"/>
      <c r="X743" s="35"/>
      <c r="Y743" s="35"/>
      <c r="Z743" s="35"/>
    </row>
    <row r="744" ht="14.25" customHeight="1">
      <c r="A744" s="136"/>
      <c r="B744" s="137"/>
      <c r="C744" s="251"/>
      <c r="D744" s="452"/>
      <c r="E744" s="136"/>
      <c r="F744" s="253"/>
      <c r="G744" s="253"/>
      <c r="H744" s="527"/>
      <c r="I744" s="141"/>
      <c r="J744" s="141"/>
      <c r="K744" s="142"/>
      <c r="L744" s="142"/>
      <c r="M744" s="142"/>
      <c r="N744" s="142"/>
      <c r="O744" s="136"/>
      <c r="P744" s="34"/>
      <c r="Q744" s="35"/>
      <c r="R744" s="35"/>
      <c r="S744" s="35"/>
      <c r="T744" s="35"/>
      <c r="U744" s="35"/>
      <c r="V744" s="35"/>
      <c r="W744" s="35"/>
      <c r="X744" s="35"/>
      <c r="Y744" s="35"/>
      <c r="Z744" s="35"/>
    </row>
    <row r="745" ht="14.25" customHeight="1">
      <c r="A745" s="136"/>
      <c r="B745" s="137"/>
      <c r="C745" s="251"/>
      <c r="D745" s="452"/>
      <c r="E745" s="136"/>
      <c r="F745" s="253"/>
      <c r="G745" s="253"/>
      <c r="H745" s="527"/>
      <c r="I745" s="141"/>
      <c r="J745" s="141"/>
      <c r="K745" s="142"/>
      <c r="L745" s="142"/>
      <c r="M745" s="142"/>
      <c r="N745" s="142"/>
      <c r="O745" s="136"/>
      <c r="P745" s="34"/>
      <c r="Q745" s="35"/>
      <c r="R745" s="35"/>
      <c r="S745" s="35"/>
      <c r="T745" s="35"/>
      <c r="U745" s="35"/>
      <c r="V745" s="35"/>
      <c r="W745" s="35"/>
      <c r="X745" s="35"/>
      <c r="Y745" s="35"/>
      <c r="Z745" s="35"/>
    </row>
    <row r="746" ht="14.25" customHeight="1">
      <c r="A746" s="136"/>
      <c r="B746" s="137"/>
      <c r="C746" s="251"/>
      <c r="D746" s="452"/>
      <c r="E746" s="136"/>
      <c r="F746" s="253"/>
      <c r="G746" s="253"/>
      <c r="H746" s="527"/>
      <c r="I746" s="141"/>
      <c r="J746" s="141"/>
      <c r="K746" s="142"/>
      <c r="L746" s="142"/>
      <c r="M746" s="142"/>
      <c r="N746" s="142"/>
      <c r="O746" s="136"/>
      <c r="P746" s="34"/>
      <c r="Q746" s="35"/>
      <c r="R746" s="35"/>
      <c r="S746" s="35"/>
      <c r="T746" s="35"/>
      <c r="U746" s="35"/>
      <c r="V746" s="35"/>
      <c r="W746" s="35"/>
      <c r="X746" s="35"/>
      <c r="Y746" s="35"/>
      <c r="Z746" s="35"/>
    </row>
    <row r="747" ht="14.25" customHeight="1">
      <c r="A747" s="136"/>
      <c r="B747" s="137"/>
      <c r="C747" s="251"/>
      <c r="D747" s="452"/>
      <c r="E747" s="136"/>
      <c r="F747" s="253"/>
      <c r="G747" s="253"/>
      <c r="H747" s="527"/>
      <c r="I747" s="141"/>
      <c r="J747" s="141"/>
      <c r="K747" s="142"/>
      <c r="L747" s="142"/>
      <c r="M747" s="142"/>
      <c r="N747" s="142"/>
      <c r="O747" s="136"/>
      <c r="P747" s="34"/>
      <c r="Q747" s="35"/>
      <c r="R747" s="35"/>
      <c r="S747" s="35"/>
      <c r="T747" s="35"/>
      <c r="U747" s="35"/>
      <c r="V747" s="35"/>
      <c r="W747" s="35"/>
      <c r="X747" s="35"/>
      <c r="Y747" s="35"/>
      <c r="Z747" s="35"/>
    </row>
    <row r="748" ht="14.25" customHeight="1">
      <c r="A748" s="136"/>
      <c r="B748" s="137"/>
      <c r="C748" s="251"/>
      <c r="D748" s="452"/>
      <c r="E748" s="136"/>
      <c r="F748" s="253"/>
      <c r="G748" s="253"/>
      <c r="H748" s="527"/>
      <c r="I748" s="141"/>
      <c r="J748" s="141"/>
      <c r="K748" s="142"/>
      <c r="L748" s="142"/>
      <c r="M748" s="142"/>
      <c r="N748" s="142"/>
      <c r="O748" s="136"/>
      <c r="P748" s="34"/>
      <c r="Q748" s="35"/>
      <c r="R748" s="35"/>
      <c r="S748" s="35"/>
      <c r="T748" s="35"/>
      <c r="U748" s="35"/>
      <c r="V748" s="35"/>
      <c r="W748" s="35"/>
      <c r="X748" s="35"/>
      <c r="Y748" s="35"/>
      <c r="Z748" s="35"/>
    </row>
    <row r="749" ht="14.25" customHeight="1">
      <c r="A749" s="136"/>
      <c r="B749" s="137"/>
      <c r="C749" s="251"/>
      <c r="D749" s="452"/>
      <c r="E749" s="136"/>
      <c r="F749" s="253"/>
      <c r="G749" s="253"/>
      <c r="H749" s="527"/>
      <c r="I749" s="141"/>
      <c r="J749" s="141"/>
      <c r="K749" s="142"/>
      <c r="L749" s="142"/>
      <c r="M749" s="142"/>
      <c r="N749" s="142"/>
      <c r="O749" s="136"/>
      <c r="P749" s="34"/>
      <c r="Q749" s="35"/>
      <c r="R749" s="35"/>
      <c r="S749" s="35"/>
      <c r="T749" s="35"/>
      <c r="U749" s="35"/>
      <c r="V749" s="35"/>
      <c r="W749" s="35"/>
      <c r="X749" s="35"/>
      <c r="Y749" s="35"/>
      <c r="Z749" s="35"/>
    </row>
    <row r="750" ht="14.25" customHeight="1">
      <c r="A750" s="136"/>
      <c r="B750" s="137"/>
      <c r="C750" s="251"/>
      <c r="D750" s="452"/>
      <c r="E750" s="136"/>
      <c r="F750" s="253"/>
      <c r="G750" s="253"/>
      <c r="H750" s="527"/>
      <c r="I750" s="141"/>
      <c r="J750" s="141"/>
      <c r="K750" s="142"/>
      <c r="L750" s="142"/>
      <c r="M750" s="142"/>
      <c r="N750" s="142"/>
      <c r="O750" s="136"/>
      <c r="P750" s="34"/>
      <c r="Q750" s="35"/>
      <c r="R750" s="35"/>
      <c r="S750" s="35"/>
      <c r="T750" s="35"/>
      <c r="U750" s="35"/>
      <c r="V750" s="35"/>
      <c r="W750" s="35"/>
      <c r="X750" s="35"/>
      <c r="Y750" s="35"/>
      <c r="Z750" s="35"/>
    </row>
    <row r="751" ht="14.25" customHeight="1">
      <c r="A751" s="136"/>
      <c r="B751" s="137"/>
      <c r="C751" s="251"/>
      <c r="D751" s="452"/>
      <c r="E751" s="136"/>
      <c r="F751" s="253"/>
      <c r="G751" s="253"/>
      <c r="H751" s="527"/>
      <c r="I751" s="141"/>
      <c r="J751" s="141"/>
      <c r="K751" s="142"/>
      <c r="L751" s="142"/>
      <c r="M751" s="142"/>
      <c r="N751" s="142"/>
      <c r="O751" s="136"/>
      <c r="P751" s="34"/>
      <c r="Q751" s="35"/>
      <c r="R751" s="35"/>
      <c r="S751" s="35"/>
      <c r="T751" s="35"/>
      <c r="U751" s="35"/>
      <c r="V751" s="35"/>
      <c r="W751" s="35"/>
      <c r="X751" s="35"/>
      <c r="Y751" s="35"/>
      <c r="Z751" s="35"/>
    </row>
    <row r="752" ht="14.25" customHeight="1">
      <c r="A752" s="136"/>
      <c r="B752" s="137"/>
      <c r="C752" s="251"/>
      <c r="D752" s="452"/>
      <c r="E752" s="136"/>
      <c r="F752" s="253"/>
      <c r="G752" s="253"/>
      <c r="H752" s="527"/>
      <c r="I752" s="141"/>
      <c r="J752" s="141"/>
      <c r="K752" s="142"/>
      <c r="L752" s="142"/>
      <c r="M752" s="142"/>
      <c r="N752" s="142"/>
      <c r="O752" s="136"/>
      <c r="P752" s="34"/>
      <c r="Q752" s="35"/>
      <c r="R752" s="35"/>
      <c r="S752" s="35"/>
      <c r="T752" s="35"/>
      <c r="U752" s="35"/>
      <c r="V752" s="35"/>
      <c r="W752" s="35"/>
      <c r="X752" s="35"/>
      <c r="Y752" s="35"/>
      <c r="Z752" s="35"/>
    </row>
    <row r="753" ht="14.25" customHeight="1">
      <c r="A753" s="136"/>
      <c r="B753" s="137"/>
      <c r="C753" s="251"/>
      <c r="D753" s="452"/>
      <c r="E753" s="136"/>
      <c r="F753" s="253"/>
      <c r="G753" s="253"/>
      <c r="H753" s="527"/>
      <c r="I753" s="141"/>
      <c r="J753" s="141"/>
      <c r="K753" s="142"/>
      <c r="L753" s="142"/>
      <c r="M753" s="142"/>
      <c r="N753" s="142"/>
      <c r="O753" s="136"/>
      <c r="P753" s="34"/>
      <c r="Q753" s="35"/>
      <c r="R753" s="35"/>
      <c r="S753" s="35"/>
      <c r="T753" s="35"/>
      <c r="U753" s="35"/>
      <c r="V753" s="35"/>
      <c r="W753" s="35"/>
      <c r="X753" s="35"/>
      <c r="Y753" s="35"/>
      <c r="Z753" s="35"/>
    </row>
    <row r="754" ht="14.25" customHeight="1">
      <c r="A754" s="136"/>
      <c r="B754" s="137"/>
      <c r="C754" s="251"/>
      <c r="D754" s="452"/>
      <c r="E754" s="136"/>
      <c r="F754" s="253"/>
      <c r="G754" s="253"/>
      <c r="H754" s="527"/>
      <c r="I754" s="141"/>
      <c r="J754" s="141"/>
      <c r="K754" s="142"/>
      <c r="L754" s="142"/>
      <c r="M754" s="142"/>
      <c r="N754" s="142"/>
      <c r="O754" s="136"/>
      <c r="P754" s="34"/>
      <c r="Q754" s="35"/>
      <c r="R754" s="35"/>
      <c r="S754" s="35"/>
      <c r="T754" s="35"/>
      <c r="U754" s="35"/>
      <c r="V754" s="35"/>
      <c r="W754" s="35"/>
      <c r="X754" s="35"/>
      <c r="Y754" s="35"/>
      <c r="Z754" s="35"/>
    </row>
    <row r="755" ht="14.25" customHeight="1">
      <c r="A755" s="136"/>
      <c r="B755" s="137"/>
      <c r="C755" s="251"/>
      <c r="D755" s="452"/>
      <c r="E755" s="136"/>
      <c r="F755" s="253"/>
      <c r="G755" s="253"/>
      <c r="H755" s="527"/>
      <c r="I755" s="141"/>
      <c r="J755" s="141"/>
      <c r="K755" s="142"/>
      <c r="L755" s="142"/>
      <c r="M755" s="142"/>
      <c r="N755" s="142"/>
      <c r="O755" s="136"/>
      <c r="P755" s="34"/>
      <c r="Q755" s="35"/>
      <c r="R755" s="35"/>
      <c r="S755" s="35"/>
      <c r="T755" s="35"/>
      <c r="U755" s="35"/>
      <c r="V755" s="35"/>
      <c r="W755" s="35"/>
      <c r="X755" s="35"/>
      <c r="Y755" s="35"/>
      <c r="Z755" s="35"/>
    </row>
    <row r="756" ht="14.25" customHeight="1">
      <c r="A756" s="136"/>
      <c r="B756" s="137"/>
      <c r="C756" s="251"/>
      <c r="D756" s="452"/>
      <c r="E756" s="136"/>
      <c r="F756" s="253"/>
      <c r="G756" s="253"/>
      <c r="H756" s="527"/>
      <c r="I756" s="141"/>
      <c r="J756" s="141"/>
      <c r="K756" s="142"/>
      <c r="L756" s="142"/>
      <c r="M756" s="142"/>
      <c r="N756" s="142"/>
      <c r="O756" s="136"/>
      <c r="P756" s="34"/>
      <c r="Q756" s="35"/>
      <c r="R756" s="35"/>
      <c r="S756" s="35"/>
      <c r="T756" s="35"/>
      <c r="U756" s="35"/>
      <c r="V756" s="35"/>
      <c r="W756" s="35"/>
      <c r="X756" s="35"/>
      <c r="Y756" s="35"/>
      <c r="Z756" s="35"/>
    </row>
    <row r="757" ht="14.25" customHeight="1">
      <c r="A757" s="136"/>
      <c r="B757" s="137"/>
      <c r="C757" s="251"/>
      <c r="D757" s="452"/>
      <c r="E757" s="136"/>
      <c r="F757" s="253"/>
      <c r="G757" s="253"/>
      <c r="H757" s="527"/>
      <c r="I757" s="141"/>
      <c r="J757" s="141"/>
      <c r="K757" s="142"/>
      <c r="L757" s="142"/>
      <c r="M757" s="142"/>
      <c r="N757" s="142"/>
      <c r="O757" s="136"/>
      <c r="P757" s="34"/>
      <c r="Q757" s="35"/>
      <c r="R757" s="35"/>
      <c r="S757" s="35"/>
      <c r="T757" s="35"/>
      <c r="U757" s="35"/>
      <c r="V757" s="35"/>
      <c r="W757" s="35"/>
      <c r="X757" s="35"/>
      <c r="Y757" s="35"/>
      <c r="Z757" s="35"/>
    </row>
    <row r="758" ht="14.25" customHeight="1">
      <c r="A758" s="136"/>
      <c r="B758" s="137"/>
      <c r="C758" s="251"/>
      <c r="D758" s="452"/>
      <c r="E758" s="136"/>
      <c r="F758" s="253"/>
      <c r="G758" s="253"/>
      <c r="H758" s="527"/>
      <c r="I758" s="141"/>
      <c r="J758" s="141"/>
      <c r="K758" s="142"/>
      <c r="L758" s="142"/>
      <c r="M758" s="142"/>
      <c r="N758" s="142"/>
      <c r="O758" s="136"/>
      <c r="P758" s="34"/>
      <c r="Q758" s="35"/>
      <c r="R758" s="35"/>
      <c r="S758" s="35"/>
      <c r="T758" s="35"/>
      <c r="U758" s="35"/>
      <c r="V758" s="35"/>
      <c r="W758" s="35"/>
      <c r="X758" s="35"/>
      <c r="Y758" s="35"/>
      <c r="Z758" s="35"/>
    </row>
    <row r="759" ht="14.25" customHeight="1">
      <c r="A759" s="136"/>
      <c r="B759" s="137"/>
      <c r="C759" s="251"/>
      <c r="D759" s="452"/>
      <c r="E759" s="136"/>
      <c r="F759" s="253"/>
      <c r="G759" s="253"/>
      <c r="H759" s="527"/>
      <c r="I759" s="141"/>
      <c r="J759" s="141"/>
      <c r="K759" s="142"/>
      <c r="L759" s="142"/>
      <c r="M759" s="142"/>
      <c r="N759" s="142"/>
      <c r="O759" s="136"/>
      <c r="P759" s="34"/>
      <c r="Q759" s="35"/>
      <c r="R759" s="35"/>
      <c r="S759" s="35"/>
      <c r="T759" s="35"/>
      <c r="U759" s="35"/>
      <c r="V759" s="35"/>
      <c r="W759" s="35"/>
      <c r="X759" s="35"/>
      <c r="Y759" s="35"/>
      <c r="Z759" s="35"/>
    </row>
    <row r="760" ht="14.25" customHeight="1">
      <c r="A760" s="136"/>
      <c r="B760" s="137"/>
      <c r="C760" s="251"/>
      <c r="D760" s="452"/>
      <c r="E760" s="136"/>
      <c r="F760" s="253"/>
      <c r="G760" s="253"/>
      <c r="H760" s="527"/>
      <c r="I760" s="141"/>
      <c r="J760" s="141"/>
      <c r="K760" s="142"/>
      <c r="L760" s="142"/>
      <c r="M760" s="142"/>
      <c r="N760" s="142"/>
      <c r="O760" s="136"/>
      <c r="P760" s="34"/>
      <c r="Q760" s="35"/>
      <c r="R760" s="35"/>
      <c r="S760" s="35"/>
      <c r="T760" s="35"/>
      <c r="U760" s="35"/>
      <c r="V760" s="35"/>
      <c r="W760" s="35"/>
      <c r="X760" s="35"/>
      <c r="Y760" s="35"/>
      <c r="Z760" s="35"/>
    </row>
    <row r="761" ht="14.25" customHeight="1">
      <c r="A761" s="136"/>
      <c r="B761" s="137"/>
      <c r="C761" s="251"/>
      <c r="D761" s="452"/>
      <c r="E761" s="136"/>
      <c r="F761" s="253"/>
      <c r="G761" s="253"/>
      <c r="H761" s="527"/>
      <c r="I761" s="141"/>
      <c r="J761" s="141"/>
      <c r="K761" s="142"/>
      <c r="L761" s="142"/>
      <c r="M761" s="142"/>
      <c r="N761" s="142"/>
      <c r="O761" s="136"/>
      <c r="P761" s="34"/>
      <c r="Q761" s="35"/>
      <c r="R761" s="35"/>
      <c r="S761" s="35"/>
      <c r="T761" s="35"/>
      <c r="U761" s="35"/>
      <c r="V761" s="35"/>
      <c r="W761" s="35"/>
      <c r="X761" s="35"/>
      <c r="Y761" s="35"/>
      <c r="Z761" s="35"/>
    </row>
    <row r="762" ht="14.25" customHeight="1">
      <c r="A762" s="136"/>
      <c r="B762" s="137"/>
      <c r="C762" s="251"/>
      <c r="D762" s="452"/>
      <c r="E762" s="136"/>
      <c r="F762" s="253"/>
      <c r="G762" s="253"/>
      <c r="H762" s="527"/>
      <c r="I762" s="141"/>
      <c r="J762" s="141"/>
      <c r="K762" s="142"/>
      <c r="L762" s="142"/>
      <c r="M762" s="142"/>
      <c r="N762" s="142"/>
      <c r="O762" s="136"/>
      <c r="P762" s="34"/>
      <c r="Q762" s="35"/>
      <c r="R762" s="35"/>
      <c r="S762" s="35"/>
      <c r="T762" s="35"/>
      <c r="U762" s="35"/>
      <c r="V762" s="35"/>
      <c r="W762" s="35"/>
      <c r="X762" s="35"/>
      <c r="Y762" s="35"/>
      <c r="Z762" s="35"/>
    </row>
    <row r="763" ht="14.25" customHeight="1">
      <c r="A763" s="136"/>
      <c r="B763" s="137"/>
      <c r="C763" s="251"/>
      <c r="D763" s="452"/>
      <c r="E763" s="136"/>
      <c r="F763" s="253"/>
      <c r="G763" s="253"/>
      <c r="H763" s="527"/>
      <c r="I763" s="141"/>
      <c r="J763" s="141"/>
      <c r="K763" s="142"/>
      <c r="L763" s="142"/>
      <c r="M763" s="142"/>
      <c r="N763" s="142"/>
      <c r="O763" s="136"/>
      <c r="P763" s="34"/>
      <c r="Q763" s="35"/>
      <c r="R763" s="35"/>
      <c r="S763" s="35"/>
      <c r="T763" s="35"/>
      <c r="U763" s="35"/>
      <c r="V763" s="35"/>
      <c r="W763" s="35"/>
      <c r="X763" s="35"/>
      <c r="Y763" s="35"/>
      <c r="Z763" s="35"/>
    </row>
    <row r="764" ht="14.25" customHeight="1">
      <c r="A764" s="136"/>
      <c r="B764" s="137"/>
      <c r="C764" s="251"/>
      <c r="D764" s="452"/>
      <c r="E764" s="136"/>
      <c r="F764" s="253"/>
      <c r="G764" s="253"/>
      <c r="H764" s="527"/>
      <c r="I764" s="141"/>
      <c r="J764" s="141"/>
      <c r="K764" s="142"/>
      <c r="L764" s="142"/>
      <c r="M764" s="142"/>
      <c r="N764" s="142"/>
      <c r="O764" s="136"/>
      <c r="P764" s="34"/>
      <c r="Q764" s="35"/>
      <c r="R764" s="35"/>
      <c r="S764" s="35"/>
      <c r="T764" s="35"/>
      <c r="U764" s="35"/>
      <c r="V764" s="35"/>
      <c r="W764" s="35"/>
      <c r="X764" s="35"/>
      <c r="Y764" s="35"/>
      <c r="Z764" s="35"/>
    </row>
    <row r="765" ht="14.25" customHeight="1">
      <c r="A765" s="136"/>
      <c r="B765" s="137"/>
      <c r="C765" s="251"/>
      <c r="D765" s="452"/>
      <c r="E765" s="136"/>
      <c r="F765" s="253"/>
      <c r="G765" s="253"/>
      <c r="H765" s="527"/>
      <c r="I765" s="141"/>
      <c r="J765" s="141"/>
      <c r="K765" s="142"/>
      <c r="L765" s="142"/>
      <c r="M765" s="142"/>
      <c r="N765" s="142"/>
      <c r="O765" s="136"/>
      <c r="P765" s="34"/>
      <c r="Q765" s="35"/>
      <c r="R765" s="35"/>
      <c r="S765" s="35"/>
      <c r="T765" s="35"/>
      <c r="U765" s="35"/>
      <c r="V765" s="35"/>
      <c r="W765" s="35"/>
      <c r="X765" s="35"/>
      <c r="Y765" s="35"/>
      <c r="Z765" s="35"/>
    </row>
    <row r="766" ht="14.25" customHeight="1">
      <c r="A766" s="136"/>
      <c r="B766" s="137"/>
      <c r="C766" s="251"/>
      <c r="D766" s="452"/>
      <c r="E766" s="136"/>
      <c r="F766" s="253"/>
      <c r="G766" s="253"/>
      <c r="H766" s="527"/>
      <c r="I766" s="141"/>
      <c r="J766" s="141"/>
      <c r="K766" s="142"/>
      <c r="L766" s="142"/>
      <c r="M766" s="142"/>
      <c r="N766" s="142"/>
      <c r="O766" s="136"/>
      <c r="P766" s="34"/>
      <c r="Q766" s="35"/>
      <c r="R766" s="35"/>
      <c r="S766" s="35"/>
      <c r="T766" s="35"/>
      <c r="U766" s="35"/>
      <c r="V766" s="35"/>
      <c r="W766" s="35"/>
      <c r="X766" s="35"/>
      <c r="Y766" s="35"/>
      <c r="Z766" s="35"/>
    </row>
    <row r="767" ht="14.25" customHeight="1">
      <c r="A767" s="136"/>
      <c r="B767" s="137"/>
      <c r="C767" s="251"/>
      <c r="D767" s="452"/>
      <c r="E767" s="136"/>
      <c r="F767" s="253"/>
      <c r="G767" s="253"/>
      <c r="H767" s="527"/>
      <c r="I767" s="141"/>
      <c r="J767" s="141"/>
      <c r="K767" s="142"/>
      <c r="L767" s="142"/>
      <c r="M767" s="142"/>
      <c r="N767" s="142"/>
      <c r="O767" s="136"/>
      <c r="P767" s="34"/>
      <c r="Q767" s="35"/>
      <c r="R767" s="35"/>
      <c r="S767" s="35"/>
      <c r="T767" s="35"/>
      <c r="U767" s="35"/>
      <c r="V767" s="35"/>
      <c r="W767" s="35"/>
      <c r="X767" s="35"/>
      <c r="Y767" s="35"/>
      <c r="Z767" s="35"/>
    </row>
    <row r="768" ht="14.25" customHeight="1">
      <c r="A768" s="136"/>
      <c r="B768" s="137"/>
      <c r="C768" s="251"/>
      <c r="D768" s="452"/>
      <c r="E768" s="136"/>
      <c r="F768" s="253"/>
      <c r="G768" s="253"/>
      <c r="H768" s="527"/>
      <c r="I768" s="141"/>
      <c r="J768" s="141"/>
      <c r="K768" s="142"/>
      <c r="L768" s="142"/>
      <c r="M768" s="142"/>
      <c r="N768" s="142"/>
      <c r="O768" s="136"/>
      <c r="P768" s="34"/>
      <c r="Q768" s="35"/>
      <c r="R768" s="35"/>
      <c r="S768" s="35"/>
      <c r="T768" s="35"/>
      <c r="U768" s="35"/>
      <c r="V768" s="35"/>
      <c r="W768" s="35"/>
      <c r="X768" s="35"/>
      <c r="Y768" s="35"/>
      <c r="Z768" s="35"/>
    </row>
    <row r="769" ht="14.25" customHeight="1">
      <c r="A769" s="136"/>
      <c r="B769" s="137"/>
      <c r="C769" s="251"/>
      <c r="D769" s="452"/>
      <c r="E769" s="136"/>
      <c r="F769" s="253"/>
      <c r="G769" s="253"/>
      <c r="H769" s="527"/>
      <c r="I769" s="141"/>
      <c r="J769" s="141"/>
      <c r="K769" s="142"/>
      <c r="L769" s="142"/>
      <c r="M769" s="142"/>
      <c r="N769" s="142"/>
      <c r="O769" s="136"/>
      <c r="P769" s="34"/>
      <c r="Q769" s="35"/>
      <c r="R769" s="35"/>
      <c r="S769" s="35"/>
      <c r="T769" s="35"/>
      <c r="U769" s="35"/>
      <c r="V769" s="35"/>
      <c r="W769" s="35"/>
      <c r="X769" s="35"/>
      <c r="Y769" s="35"/>
      <c r="Z769" s="35"/>
    </row>
    <row r="770" ht="14.25" customHeight="1">
      <c r="A770" s="136"/>
      <c r="B770" s="137"/>
      <c r="C770" s="251"/>
      <c r="D770" s="452"/>
      <c r="E770" s="136"/>
      <c r="F770" s="253"/>
      <c r="G770" s="253"/>
      <c r="H770" s="527"/>
      <c r="I770" s="141"/>
      <c r="J770" s="141"/>
      <c r="K770" s="142"/>
      <c r="L770" s="142"/>
      <c r="M770" s="142"/>
      <c r="N770" s="142"/>
      <c r="O770" s="136"/>
      <c r="P770" s="34"/>
      <c r="Q770" s="35"/>
      <c r="R770" s="35"/>
      <c r="S770" s="35"/>
      <c r="T770" s="35"/>
      <c r="U770" s="35"/>
      <c r="V770" s="35"/>
      <c r="W770" s="35"/>
      <c r="X770" s="35"/>
      <c r="Y770" s="35"/>
      <c r="Z770" s="35"/>
    </row>
    <row r="771" ht="14.25" customHeight="1">
      <c r="A771" s="136"/>
      <c r="B771" s="137"/>
      <c r="C771" s="251"/>
      <c r="D771" s="452"/>
      <c r="E771" s="136"/>
      <c r="F771" s="253"/>
      <c r="G771" s="253"/>
      <c r="H771" s="527"/>
      <c r="I771" s="141"/>
      <c r="J771" s="141"/>
      <c r="K771" s="142"/>
      <c r="L771" s="142"/>
      <c r="M771" s="142"/>
      <c r="N771" s="142"/>
      <c r="O771" s="136"/>
      <c r="P771" s="34"/>
      <c r="Q771" s="35"/>
      <c r="R771" s="35"/>
      <c r="S771" s="35"/>
      <c r="T771" s="35"/>
      <c r="U771" s="35"/>
      <c r="V771" s="35"/>
      <c r="W771" s="35"/>
      <c r="X771" s="35"/>
      <c r="Y771" s="35"/>
      <c r="Z771" s="35"/>
    </row>
    <row r="772" ht="14.25" customHeight="1">
      <c r="A772" s="136"/>
      <c r="B772" s="137"/>
      <c r="C772" s="251"/>
      <c r="D772" s="452"/>
      <c r="E772" s="136"/>
      <c r="F772" s="253"/>
      <c r="G772" s="253"/>
      <c r="H772" s="527"/>
      <c r="I772" s="141"/>
      <c r="J772" s="141"/>
      <c r="K772" s="142"/>
      <c r="L772" s="142"/>
      <c r="M772" s="142"/>
      <c r="N772" s="142"/>
      <c r="O772" s="136"/>
      <c r="P772" s="34"/>
      <c r="Q772" s="35"/>
      <c r="R772" s="35"/>
      <c r="S772" s="35"/>
      <c r="T772" s="35"/>
      <c r="U772" s="35"/>
      <c r="V772" s="35"/>
      <c r="W772" s="35"/>
      <c r="X772" s="35"/>
      <c r="Y772" s="35"/>
      <c r="Z772" s="35"/>
    </row>
    <row r="773" ht="14.25" customHeight="1">
      <c r="A773" s="136"/>
      <c r="B773" s="137"/>
      <c r="C773" s="251"/>
      <c r="D773" s="452"/>
      <c r="E773" s="136"/>
      <c r="F773" s="253"/>
      <c r="G773" s="253"/>
      <c r="H773" s="527"/>
      <c r="I773" s="141"/>
      <c r="J773" s="141"/>
      <c r="K773" s="142"/>
      <c r="L773" s="142"/>
      <c r="M773" s="142"/>
      <c r="N773" s="142"/>
      <c r="O773" s="136"/>
      <c r="P773" s="34"/>
      <c r="Q773" s="35"/>
      <c r="R773" s="35"/>
      <c r="S773" s="35"/>
      <c r="T773" s="35"/>
      <c r="U773" s="35"/>
      <c r="V773" s="35"/>
      <c r="W773" s="35"/>
      <c r="X773" s="35"/>
      <c r="Y773" s="35"/>
      <c r="Z773" s="35"/>
    </row>
    <row r="774" ht="14.25" customHeight="1">
      <c r="A774" s="136"/>
      <c r="B774" s="137"/>
      <c r="C774" s="251"/>
      <c r="D774" s="452"/>
      <c r="E774" s="136"/>
      <c r="F774" s="253"/>
      <c r="G774" s="253"/>
      <c r="H774" s="527"/>
      <c r="I774" s="141"/>
      <c r="J774" s="141"/>
      <c r="K774" s="142"/>
      <c r="L774" s="142"/>
      <c r="M774" s="142"/>
      <c r="N774" s="142"/>
      <c r="O774" s="136"/>
      <c r="P774" s="34"/>
      <c r="Q774" s="35"/>
      <c r="R774" s="35"/>
      <c r="S774" s="35"/>
      <c r="T774" s="35"/>
      <c r="U774" s="35"/>
      <c r="V774" s="35"/>
      <c r="W774" s="35"/>
      <c r="X774" s="35"/>
      <c r="Y774" s="35"/>
      <c r="Z774" s="35"/>
    </row>
    <row r="775" ht="14.25" customHeight="1">
      <c r="A775" s="136"/>
      <c r="B775" s="137"/>
      <c r="C775" s="251"/>
      <c r="D775" s="452"/>
      <c r="E775" s="136"/>
      <c r="F775" s="253"/>
      <c r="G775" s="253"/>
      <c r="H775" s="527"/>
      <c r="I775" s="141"/>
      <c r="J775" s="141"/>
      <c r="K775" s="142"/>
      <c r="L775" s="142"/>
      <c r="M775" s="142"/>
      <c r="N775" s="142"/>
      <c r="O775" s="136"/>
      <c r="P775" s="34"/>
      <c r="Q775" s="35"/>
      <c r="R775" s="35"/>
      <c r="S775" s="35"/>
      <c r="T775" s="35"/>
      <c r="U775" s="35"/>
      <c r="V775" s="35"/>
      <c r="W775" s="35"/>
      <c r="X775" s="35"/>
      <c r="Y775" s="35"/>
      <c r="Z775" s="35"/>
    </row>
    <row r="776" ht="14.25" customHeight="1">
      <c r="A776" s="136"/>
      <c r="B776" s="137"/>
      <c r="C776" s="251"/>
      <c r="D776" s="452"/>
      <c r="E776" s="136"/>
      <c r="F776" s="253"/>
      <c r="G776" s="253"/>
      <c r="H776" s="527"/>
      <c r="I776" s="141"/>
      <c r="J776" s="141"/>
      <c r="K776" s="142"/>
      <c r="L776" s="142"/>
      <c r="M776" s="142"/>
      <c r="N776" s="142"/>
      <c r="O776" s="136"/>
      <c r="P776" s="34"/>
      <c r="Q776" s="35"/>
      <c r="R776" s="35"/>
      <c r="S776" s="35"/>
      <c r="T776" s="35"/>
      <c r="U776" s="35"/>
      <c r="V776" s="35"/>
      <c r="W776" s="35"/>
      <c r="X776" s="35"/>
      <c r="Y776" s="35"/>
      <c r="Z776" s="35"/>
    </row>
    <row r="777" ht="14.25" customHeight="1">
      <c r="A777" s="136"/>
      <c r="B777" s="137"/>
      <c r="C777" s="251"/>
      <c r="D777" s="452"/>
      <c r="E777" s="136"/>
      <c r="F777" s="253"/>
      <c r="G777" s="253"/>
      <c r="H777" s="527"/>
      <c r="I777" s="141"/>
      <c r="J777" s="141"/>
      <c r="K777" s="142"/>
      <c r="L777" s="142"/>
      <c r="M777" s="142"/>
      <c r="N777" s="142"/>
      <c r="O777" s="136"/>
      <c r="P777" s="34"/>
      <c r="Q777" s="35"/>
      <c r="R777" s="35"/>
      <c r="S777" s="35"/>
      <c r="T777" s="35"/>
      <c r="U777" s="35"/>
      <c r="V777" s="35"/>
      <c r="W777" s="35"/>
      <c r="X777" s="35"/>
      <c r="Y777" s="35"/>
      <c r="Z777" s="35"/>
    </row>
    <row r="778" ht="14.25" customHeight="1">
      <c r="A778" s="136"/>
      <c r="B778" s="137"/>
      <c r="C778" s="251"/>
      <c r="D778" s="452"/>
      <c r="E778" s="136"/>
      <c r="F778" s="253"/>
      <c r="G778" s="253"/>
      <c r="H778" s="527"/>
      <c r="I778" s="141"/>
      <c r="J778" s="141"/>
      <c r="K778" s="142"/>
      <c r="L778" s="142"/>
      <c r="M778" s="142"/>
      <c r="N778" s="142"/>
      <c r="O778" s="136"/>
      <c r="P778" s="34"/>
      <c r="Q778" s="35"/>
      <c r="R778" s="35"/>
      <c r="S778" s="35"/>
      <c r="T778" s="35"/>
      <c r="U778" s="35"/>
      <c r="V778" s="35"/>
      <c r="W778" s="35"/>
      <c r="X778" s="35"/>
      <c r="Y778" s="35"/>
      <c r="Z778" s="35"/>
    </row>
    <row r="779" ht="14.25" customHeight="1">
      <c r="A779" s="136"/>
      <c r="B779" s="137"/>
      <c r="C779" s="251"/>
      <c r="D779" s="452"/>
      <c r="E779" s="136"/>
      <c r="F779" s="253"/>
      <c r="G779" s="253"/>
      <c r="H779" s="527"/>
      <c r="I779" s="141"/>
      <c r="J779" s="141"/>
      <c r="K779" s="142"/>
      <c r="L779" s="142"/>
      <c r="M779" s="142"/>
      <c r="N779" s="142"/>
      <c r="O779" s="136"/>
      <c r="P779" s="34"/>
      <c r="Q779" s="35"/>
      <c r="R779" s="35"/>
      <c r="S779" s="35"/>
      <c r="T779" s="35"/>
      <c r="U779" s="35"/>
      <c r="V779" s="35"/>
      <c r="W779" s="35"/>
      <c r="X779" s="35"/>
      <c r="Y779" s="35"/>
      <c r="Z779" s="35"/>
    </row>
    <row r="780" ht="14.25" customHeight="1">
      <c r="A780" s="136"/>
      <c r="B780" s="137"/>
      <c r="C780" s="251"/>
      <c r="D780" s="452"/>
      <c r="E780" s="136"/>
      <c r="F780" s="253"/>
      <c r="G780" s="253"/>
      <c r="H780" s="527"/>
      <c r="I780" s="141"/>
      <c r="J780" s="141"/>
      <c r="K780" s="142"/>
      <c r="L780" s="142"/>
      <c r="M780" s="142"/>
      <c r="N780" s="142"/>
      <c r="O780" s="136"/>
      <c r="P780" s="34"/>
      <c r="Q780" s="35"/>
      <c r="R780" s="35"/>
      <c r="S780" s="35"/>
      <c r="T780" s="35"/>
      <c r="U780" s="35"/>
      <c r="V780" s="35"/>
      <c r="W780" s="35"/>
      <c r="X780" s="35"/>
      <c r="Y780" s="35"/>
      <c r="Z780" s="35"/>
    </row>
    <row r="781" ht="14.25" customHeight="1">
      <c r="A781" s="136"/>
      <c r="B781" s="137"/>
      <c r="C781" s="251"/>
      <c r="D781" s="452"/>
      <c r="E781" s="136"/>
      <c r="F781" s="253"/>
      <c r="G781" s="253"/>
      <c r="H781" s="527"/>
      <c r="I781" s="141"/>
      <c r="J781" s="141"/>
      <c r="K781" s="142"/>
      <c r="L781" s="142"/>
      <c r="M781" s="142"/>
      <c r="N781" s="142"/>
      <c r="O781" s="136"/>
      <c r="P781" s="34"/>
      <c r="Q781" s="35"/>
      <c r="R781" s="35"/>
      <c r="S781" s="35"/>
      <c r="T781" s="35"/>
      <c r="U781" s="35"/>
      <c r="V781" s="35"/>
      <c r="W781" s="35"/>
      <c r="X781" s="35"/>
      <c r="Y781" s="35"/>
      <c r="Z781" s="35"/>
    </row>
    <row r="782" ht="14.25" customHeight="1">
      <c r="A782" s="136"/>
      <c r="B782" s="137"/>
      <c r="C782" s="251"/>
      <c r="D782" s="452"/>
      <c r="E782" s="136"/>
      <c r="F782" s="253"/>
      <c r="G782" s="253"/>
      <c r="H782" s="527"/>
      <c r="I782" s="141"/>
      <c r="J782" s="141"/>
      <c r="K782" s="142"/>
      <c r="L782" s="142"/>
      <c r="M782" s="142"/>
      <c r="N782" s="142"/>
      <c r="O782" s="136"/>
      <c r="P782" s="34"/>
      <c r="Q782" s="35"/>
      <c r="R782" s="35"/>
      <c r="S782" s="35"/>
      <c r="T782" s="35"/>
      <c r="U782" s="35"/>
      <c r="V782" s="35"/>
      <c r="W782" s="35"/>
      <c r="X782" s="35"/>
      <c r="Y782" s="35"/>
      <c r="Z782" s="35"/>
    </row>
    <row r="783" ht="14.25" customHeight="1">
      <c r="A783" s="136"/>
      <c r="B783" s="137"/>
      <c r="C783" s="251"/>
      <c r="D783" s="452"/>
      <c r="E783" s="136"/>
      <c r="F783" s="253"/>
      <c r="G783" s="253"/>
      <c r="H783" s="527"/>
      <c r="I783" s="141"/>
      <c r="J783" s="141"/>
      <c r="K783" s="142"/>
      <c r="L783" s="142"/>
      <c r="M783" s="142"/>
      <c r="N783" s="142"/>
      <c r="O783" s="136"/>
      <c r="P783" s="34"/>
      <c r="Q783" s="35"/>
      <c r="R783" s="35"/>
      <c r="S783" s="35"/>
      <c r="T783" s="35"/>
      <c r="U783" s="35"/>
      <c r="V783" s="35"/>
      <c r="W783" s="35"/>
      <c r="X783" s="35"/>
      <c r="Y783" s="35"/>
      <c r="Z783" s="35"/>
    </row>
    <row r="784" ht="14.25" customHeight="1">
      <c r="A784" s="136"/>
      <c r="B784" s="137"/>
      <c r="C784" s="251"/>
      <c r="D784" s="452"/>
      <c r="E784" s="136"/>
      <c r="F784" s="253"/>
      <c r="G784" s="253"/>
      <c r="H784" s="527"/>
      <c r="I784" s="141"/>
      <c r="J784" s="141"/>
      <c r="K784" s="142"/>
      <c r="L784" s="142"/>
      <c r="M784" s="142"/>
      <c r="N784" s="142"/>
      <c r="O784" s="136"/>
      <c r="P784" s="34"/>
      <c r="Q784" s="35"/>
      <c r="R784" s="35"/>
      <c r="S784" s="35"/>
      <c r="T784" s="35"/>
      <c r="U784" s="35"/>
      <c r="V784" s="35"/>
      <c r="W784" s="35"/>
      <c r="X784" s="35"/>
      <c r="Y784" s="35"/>
      <c r="Z784" s="35"/>
    </row>
    <row r="785" ht="14.25" customHeight="1">
      <c r="A785" s="136"/>
      <c r="B785" s="137"/>
      <c r="C785" s="251"/>
      <c r="D785" s="452"/>
      <c r="E785" s="136"/>
      <c r="F785" s="253"/>
      <c r="G785" s="253"/>
      <c r="H785" s="527"/>
      <c r="I785" s="141"/>
      <c r="J785" s="141"/>
      <c r="K785" s="142"/>
      <c r="L785" s="142"/>
      <c r="M785" s="142"/>
      <c r="N785" s="142"/>
      <c r="O785" s="136"/>
      <c r="P785" s="34"/>
      <c r="Q785" s="35"/>
      <c r="R785" s="35"/>
      <c r="S785" s="35"/>
      <c r="T785" s="35"/>
      <c r="U785" s="35"/>
      <c r="V785" s="35"/>
      <c r="W785" s="35"/>
      <c r="X785" s="35"/>
      <c r="Y785" s="35"/>
      <c r="Z785" s="35"/>
    </row>
    <row r="786" ht="14.25" customHeight="1">
      <c r="A786" s="136"/>
      <c r="B786" s="137"/>
      <c r="C786" s="251"/>
      <c r="D786" s="452"/>
      <c r="E786" s="136"/>
      <c r="F786" s="253"/>
      <c r="G786" s="253"/>
      <c r="H786" s="527"/>
      <c r="I786" s="141"/>
      <c r="J786" s="141"/>
      <c r="K786" s="142"/>
      <c r="L786" s="142"/>
      <c r="M786" s="142"/>
      <c r="N786" s="142"/>
      <c r="O786" s="136"/>
      <c r="P786" s="34"/>
      <c r="Q786" s="35"/>
      <c r="R786" s="35"/>
      <c r="S786" s="35"/>
      <c r="T786" s="35"/>
      <c r="U786" s="35"/>
      <c r="V786" s="35"/>
      <c r="W786" s="35"/>
      <c r="X786" s="35"/>
      <c r="Y786" s="35"/>
      <c r="Z786" s="35"/>
    </row>
    <row r="787" ht="14.25" customHeight="1">
      <c r="A787" s="136"/>
      <c r="B787" s="137"/>
      <c r="C787" s="251"/>
      <c r="D787" s="452"/>
      <c r="E787" s="136"/>
      <c r="F787" s="253"/>
      <c r="G787" s="253"/>
      <c r="H787" s="527"/>
      <c r="I787" s="141"/>
      <c r="J787" s="141"/>
      <c r="K787" s="142"/>
      <c r="L787" s="142"/>
      <c r="M787" s="142"/>
      <c r="N787" s="142"/>
      <c r="O787" s="136"/>
      <c r="P787" s="34"/>
      <c r="Q787" s="35"/>
      <c r="R787" s="35"/>
      <c r="S787" s="35"/>
      <c r="T787" s="35"/>
      <c r="U787" s="35"/>
      <c r="V787" s="35"/>
      <c r="W787" s="35"/>
      <c r="X787" s="35"/>
      <c r="Y787" s="35"/>
      <c r="Z787" s="35"/>
    </row>
    <row r="788" ht="14.25" customHeight="1">
      <c r="A788" s="136"/>
      <c r="B788" s="137"/>
      <c r="C788" s="251"/>
      <c r="D788" s="452"/>
      <c r="E788" s="136"/>
      <c r="F788" s="253"/>
      <c r="G788" s="253"/>
      <c r="H788" s="527"/>
      <c r="I788" s="141"/>
      <c r="J788" s="141"/>
      <c r="K788" s="142"/>
      <c r="L788" s="142"/>
      <c r="M788" s="142"/>
      <c r="N788" s="142"/>
      <c r="O788" s="136"/>
      <c r="P788" s="34"/>
      <c r="Q788" s="35"/>
      <c r="R788" s="35"/>
      <c r="S788" s="35"/>
      <c r="T788" s="35"/>
      <c r="U788" s="35"/>
      <c r="V788" s="35"/>
      <c r="W788" s="35"/>
      <c r="X788" s="35"/>
      <c r="Y788" s="35"/>
      <c r="Z788" s="35"/>
    </row>
    <row r="789" ht="14.25" customHeight="1">
      <c r="A789" s="136"/>
      <c r="B789" s="137"/>
      <c r="C789" s="251"/>
      <c r="D789" s="452"/>
      <c r="E789" s="136"/>
      <c r="F789" s="253"/>
      <c r="G789" s="253"/>
      <c r="H789" s="527"/>
      <c r="I789" s="141"/>
      <c r="J789" s="141"/>
      <c r="K789" s="142"/>
      <c r="L789" s="142"/>
      <c r="M789" s="142"/>
      <c r="N789" s="142"/>
      <c r="O789" s="136"/>
      <c r="P789" s="34"/>
      <c r="Q789" s="35"/>
      <c r="R789" s="35"/>
      <c r="S789" s="35"/>
      <c r="T789" s="35"/>
      <c r="U789" s="35"/>
      <c r="V789" s="35"/>
      <c r="W789" s="35"/>
      <c r="X789" s="35"/>
      <c r="Y789" s="35"/>
      <c r="Z789" s="35"/>
    </row>
    <row r="790" ht="14.25" customHeight="1">
      <c r="A790" s="136"/>
      <c r="B790" s="137"/>
      <c r="C790" s="251"/>
      <c r="D790" s="452"/>
      <c r="E790" s="136"/>
      <c r="F790" s="253"/>
      <c r="G790" s="253"/>
      <c r="H790" s="527"/>
      <c r="I790" s="141"/>
      <c r="J790" s="141"/>
      <c r="K790" s="142"/>
      <c r="L790" s="142"/>
      <c r="M790" s="142"/>
      <c r="N790" s="142"/>
      <c r="O790" s="136"/>
      <c r="P790" s="34"/>
      <c r="Q790" s="35"/>
      <c r="R790" s="35"/>
      <c r="S790" s="35"/>
      <c r="T790" s="35"/>
      <c r="U790" s="35"/>
      <c r="V790" s="35"/>
      <c r="W790" s="35"/>
      <c r="X790" s="35"/>
      <c r="Y790" s="35"/>
      <c r="Z790" s="35"/>
    </row>
    <row r="791" ht="14.25" customHeight="1">
      <c r="A791" s="136"/>
      <c r="B791" s="137"/>
      <c r="C791" s="251"/>
      <c r="D791" s="452"/>
      <c r="E791" s="136"/>
      <c r="F791" s="253"/>
      <c r="G791" s="253"/>
      <c r="H791" s="527"/>
      <c r="I791" s="141"/>
      <c r="J791" s="141"/>
      <c r="K791" s="142"/>
      <c r="L791" s="142"/>
      <c r="M791" s="142"/>
      <c r="N791" s="142"/>
      <c r="O791" s="136"/>
      <c r="P791" s="34"/>
      <c r="Q791" s="35"/>
      <c r="R791" s="35"/>
      <c r="S791" s="35"/>
      <c r="T791" s="35"/>
      <c r="U791" s="35"/>
      <c r="V791" s="35"/>
      <c r="W791" s="35"/>
      <c r="X791" s="35"/>
      <c r="Y791" s="35"/>
      <c r="Z791" s="35"/>
    </row>
    <row r="792" ht="14.25" customHeight="1">
      <c r="A792" s="136"/>
      <c r="B792" s="137"/>
      <c r="C792" s="251"/>
      <c r="D792" s="452"/>
      <c r="E792" s="136"/>
      <c r="F792" s="253"/>
      <c r="G792" s="253"/>
      <c r="H792" s="527"/>
      <c r="I792" s="141"/>
      <c r="J792" s="141"/>
      <c r="K792" s="142"/>
      <c r="L792" s="142"/>
      <c r="M792" s="142"/>
      <c r="N792" s="142"/>
      <c r="O792" s="136"/>
      <c r="P792" s="34"/>
      <c r="Q792" s="35"/>
      <c r="R792" s="35"/>
      <c r="S792" s="35"/>
      <c r="T792" s="35"/>
      <c r="U792" s="35"/>
      <c r="V792" s="35"/>
      <c r="W792" s="35"/>
      <c r="X792" s="35"/>
      <c r="Y792" s="35"/>
      <c r="Z792" s="35"/>
    </row>
    <row r="793" ht="14.25" customHeight="1">
      <c r="A793" s="136"/>
      <c r="B793" s="137"/>
      <c r="C793" s="251"/>
      <c r="D793" s="452"/>
      <c r="E793" s="136"/>
      <c r="F793" s="253"/>
      <c r="G793" s="253"/>
      <c r="H793" s="527"/>
      <c r="I793" s="141"/>
      <c r="J793" s="141"/>
      <c r="K793" s="142"/>
      <c r="L793" s="142"/>
      <c r="M793" s="142"/>
      <c r="N793" s="142"/>
      <c r="O793" s="136"/>
      <c r="P793" s="34"/>
      <c r="Q793" s="35"/>
      <c r="R793" s="35"/>
      <c r="S793" s="35"/>
      <c r="T793" s="35"/>
      <c r="U793" s="35"/>
      <c r="V793" s="35"/>
      <c r="W793" s="35"/>
      <c r="X793" s="35"/>
      <c r="Y793" s="35"/>
      <c r="Z793" s="35"/>
    </row>
    <row r="794" ht="14.25" customHeight="1">
      <c r="A794" s="136"/>
      <c r="B794" s="137"/>
      <c r="C794" s="251"/>
      <c r="D794" s="452"/>
      <c r="E794" s="136"/>
      <c r="F794" s="253"/>
      <c r="G794" s="253"/>
      <c r="H794" s="527"/>
      <c r="I794" s="141"/>
      <c r="J794" s="141"/>
      <c r="K794" s="142"/>
      <c r="L794" s="142"/>
      <c r="M794" s="142"/>
      <c r="N794" s="142"/>
      <c r="O794" s="136"/>
      <c r="P794" s="34"/>
      <c r="Q794" s="35"/>
      <c r="R794" s="35"/>
      <c r="S794" s="35"/>
      <c r="T794" s="35"/>
      <c r="U794" s="35"/>
      <c r="V794" s="35"/>
      <c r="W794" s="35"/>
      <c r="X794" s="35"/>
      <c r="Y794" s="35"/>
      <c r="Z794" s="35"/>
    </row>
    <row r="795" ht="14.25" customHeight="1">
      <c r="A795" s="136"/>
      <c r="B795" s="137"/>
      <c r="C795" s="251"/>
      <c r="D795" s="452"/>
      <c r="E795" s="136"/>
      <c r="F795" s="253"/>
      <c r="G795" s="253"/>
      <c r="H795" s="527"/>
      <c r="I795" s="141"/>
      <c r="J795" s="141"/>
      <c r="K795" s="142"/>
      <c r="L795" s="142"/>
      <c r="M795" s="142"/>
      <c r="N795" s="142"/>
      <c r="O795" s="136"/>
      <c r="P795" s="34"/>
      <c r="Q795" s="35"/>
      <c r="R795" s="35"/>
      <c r="S795" s="35"/>
      <c r="T795" s="35"/>
      <c r="U795" s="35"/>
      <c r="V795" s="35"/>
      <c r="W795" s="35"/>
      <c r="X795" s="35"/>
      <c r="Y795" s="35"/>
      <c r="Z795" s="35"/>
    </row>
    <row r="796" ht="14.25" customHeight="1">
      <c r="A796" s="136"/>
      <c r="B796" s="137"/>
      <c r="C796" s="251"/>
      <c r="D796" s="452"/>
      <c r="E796" s="136"/>
      <c r="F796" s="253"/>
      <c r="G796" s="253"/>
      <c r="H796" s="527"/>
      <c r="I796" s="141"/>
      <c r="J796" s="141"/>
      <c r="K796" s="142"/>
      <c r="L796" s="142"/>
      <c r="M796" s="142"/>
      <c r="N796" s="142"/>
      <c r="O796" s="136"/>
      <c r="P796" s="34"/>
      <c r="Q796" s="35"/>
      <c r="R796" s="35"/>
      <c r="S796" s="35"/>
      <c r="T796" s="35"/>
      <c r="U796" s="35"/>
      <c r="V796" s="35"/>
      <c r="W796" s="35"/>
      <c r="X796" s="35"/>
      <c r="Y796" s="35"/>
      <c r="Z796" s="35"/>
    </row>
    <row r="797" ht="14.25" customHeight="1">
      <c r="A797" s="136"/>
      <c r="B797" s="137"/>
      <c r="C797" s="251"/>
      <c r="D797" s="452"/>
      <c r="E797" s="136"/>
      <c r="F797" s="253"/>
      <c r="G797" s="253"/>
      <c r="H797" s="527"/>
      <c r="I797" s="141"/>
      <c r="J797" s="141"/>
      <c r="K797" s="142"/>
      <c r="L797" s="142"/>
      <c r="M797" s="142"/>
      <c r="N797" s="142"/>
      <c r="O797" s="136"/>
      <c r="P797" s="34"/>
      <c r="Q797" s="35"/>
      <c r="R797" s="35"/>
      <c r="S797" s="35"/>
      <c r="T797" s="35"/>
      <c r="U797" s="35"/>
      <c r="V797" s="35"/>
      <c r="W797" s="35"/>
      <c r="X797" s="35"/>
      <c r="Y797" s="35"/>
      <c r="Z797" s="35"/>
    </row>
    <row r="798" ht="14.25" customHeight="1">
      <c r="A798" s="136"/>
      <c r="B798" s="137"/>
      <c r="C798" s="251"/>
      <c r="D798" s="452"/>
      <c r="E798" s="136"/>
      <c r="F798" s="253"/>
      <c r="G798" s="253"/>
      <c r="H798" s="527"/>
      <c r="I798" s="141"/>
      <c r="J798" s="141"/>
      <c r="K798" s="142"/>
      <c r="L798" s="142"/>
      <c r="M798" s="142"/>
      <c r="N798" s="142"/>
      <c r="O798" s="136"/>
      <c r="P798" s="34"/>
      <c r="Q798" s="35"/>
      <c r="R798" s="35"/>
      <c r="S798" s="35"/>
      <c r="T798" s="35"/>
      <c r="U798" s="35"/>
      <c r="V798" s="35"/>
      <c r="W798" s="35"/>
      <c r="X798" s="35"/>
      <c r="Y798" s="35"/>
      <c r="Z798" s="35"/>
    </row>
    <row r="799" ht="14.25" customHeight="1">
      <c r="A799" s="136"/>
      <c r="B799" s="137"/>
      <c r="C799" s="251"/>
      <c r="D799" s="452"/>
      <c r="E799" s="136"/>
      <c r="F799" s="253"/>
      <c r="G799" s="253"/>
      <c r="H799" s="527"/>
      <c r="I799" s="141"/>
      <c r="J799" s="141"/>
      <c r="K799" s="142"/>
      <c r="L799" s="142"/>
      <c r="M799" s="142"/>
      <c r="N799" s="142"/>
      <c r="O799" s="136"/>
      <c r="P799" s="34"/>
      <c r="Q799" s="35"/>
      <c r="R799" s="35"/>
      <c r="S799" s="35"/>
      <c r="T799" s="35"/>
      <c r="U799" s="35"/>
      <c r="V799" s="35"/>
      <c r="W799" s="35"/>
      <c r="X799" s="35"/>
      <c r="Y799" s="35"/>
      <c r="Z799" s="35"/>
    </row>
    <row r="800" ht="14.25" customHeight="1">
      <c r="A800" s="136"/>
      <c r="B800" s="137"/>
      <c r="C800" s="251"/>
      <c r="D800" s="452"/>
      <c r="E800" s="136"/>
      <c r="F800" s="253"/>
      <c r="G800" s="253"/>
      <c r="H800" s="527"/>
      <c r="I800" s="141"/>
      <c r="J800" s="141"/>
      <c r="K800" s="142"/>
      <c r="L800" s="142"/>
      <c r="M800" s="142"/>
      <c r="N800" s="142"/>
      <c r="O800" s="136"/>
      <c r="P800" s="34"/>
      <c r="Q800" s="35"/>
      <c r="R800" s="35"/>
      <c r="S800" s="35"/>
      <c r="T800" s="35"/>
      <c r="U800" s="35"/>
      <c r="V800" s="35"/>
      <c r="W800" s="35"/>
      <c r="X800" s="35"/>
      <c r="Y800" s="35"/>
      <c r="Z800" s="35"/>
    </row>
    <row r="801" ht="14.25" customHeight="1">
      <c r="A801" s="136"/>
      <c r="B801" s="137"/>
      <c r="C801" s="251"/>
      <c r="D801" s="452"/>
      <c r="E801" s="136"/>
      <c r="F801" s="253"/>
      <c r="G801" s="253"/>
      <c r="H801" s="527"/>
      <c r="I801" s="141"/>
      <c r="J801" s="141"/>
      <c r="K801" s="142"/>
      <c r="L801" s="142"/>
      <c r="M801" s="142"/>
      <c r="N801" s="142"/>
      <c r="O801" s="136"/>
      <c r="P801" s="34"/>
      <c r="Q801" s="35"/>
      <c r="R801" s="35"/>
      <c r="S801" s="35"/>
      <c r="T801" s="35"/>
      <c r="U801" s="35"/>
      <c r="V801" s="35"/>
      <c r="W801" s="35"/>
      <c r="X801" s="35"/>
      <c r="Y801" s="35"/>
      <c r="Z801" s="35"/>
    </row>
    <row r="802" ht="14.25" customHeight="1">
      <c r="A802" s="136"/>
      <c r="B802" s="137"/>
      <c r="C802" s="251"/>
      <c r="D802" s="452"/>
      <c r="E802" s="136"/>
      <c r="F802" s="253"/>
      <c r="G802" s="253"/>
      <c r="H802" s="527"/>
      <c r="I802" s="141"/>
      <c r="J802" s="141"/>
      <c r="K802" s="142"/>
      <c r="L802" s="142"/>
      <c r="M802" s="142"/>
      <c r="N802" s="142"/>
      <c r="O802" s="136"/>
      <c r="P802" s="34"/>
      <c r="Q802" s="35"/>
      <c r="R802" s="35"/>
      <c r="S802" s="35"/>
      <c r="T802" s="35"/>
      <c r="U802" s="35"/>
      <c r="V802" s="35"/>
      <c r="W802" s="35"/>
      <c r="X802" s="35"/>
      <c r="Y802" s="35"/>
      <c r="Z802" s="35"/>
    </row>
    <row r="803" ht="14.25" customHeight="1">
      <c r="A803" s="136"/>
      <c r="B803" s="137"/>
      <c r="C803" s="251"/>
      <c r="D803" s="452"/>
      <c r="E803" s="136"/>
      <c r="F803" s="253"/>
      <c r="G803" s="253"/>
      <c r="H803" s="527"/>
      <c r="I803" s="141"/>
      <c r="J803" s="141"/>
      <c r="K803" s="142"/>
      <c r="L803" s="142"/>
      <c r="M803" s="142"/>
      <c r="N803" s="142"/>
      <c r="O803" s="136"/>
      <c r="P803" s="34"/>
      <c r="Q803" s="35"/>
      <c r="R803" s="35"/>
      <c r="S803" s="35"/>
      <c r="T803" s="35"/>
      <c r="U803" s="35"/>
      <c r="V803" s="35"/>
      <c r="W803" s="35"/>
      <c r="X803" s="35"/>
      <c r="Y803" s="35"/>
      <c r="Z803" s="35"/>
    </row>
    <row r="804" ht="14.25" customHeight="1">
      <c r="A804" s="136"/>
      <c r="B804" s="137"/>
      <c r="C804" s="251"/>
      <c r="D804" s="452"/>
      <c r="E804" s="136"/>
      <c r="F804" s="253"/>
      <c r="G804" s="253"/>
      <c r="H804" s="527"/>
      <c r="I804" s="141"/>
      <c r="J804" s="141"/>
      <c r="K804" s="142"/>
      <c r="L804" s="142"/>
      <c r="M804" s="142"/>
      <c r="N804" s="142"/>
      <c r="O804" s="136"/>
      <c r="P804" s="34"/>
      <c r="Q804" s="35"/>
      <c r="R804" s="35"/>
      <c r="S804" s="35"/>
      <c r="T804" s="35"/>
      <c r="U804" s="35"/>
      <c r="V804" s="35"/>
      <c r="W804" s="35"/>
      <c r="X804" s="35"/>
      <c r="Y804" s="35"/>
      <c r="Z804" s="35"/>
    </row>
    <row r="805" ht="14.25" customHeight="1">
      <c r="A805" s="136"/>
      <c r="B805" s="137"/>
      <c r="C805" s="251"/>
      <c r="D805" s="452"/>
      <c r="E805" s="136"/>
      <c r="F805" s="253"/>
      <c r="G805" s="253"/>
      <c r="H805" s="527"/>
      <c r="I805" s="141"/>
      <c r="J805" s="141"/>
      <c r="K805" s="142"/>
      <c r="L805" s="142"/>
      <c r="M805" s="142"/>
      <c r="N805" s="142"/>
      <c r="O805" s="136"/>
      <c r="P805" s="34"/>
      <c r="Q805" s="35"/>
      <c r="R805" s="35"/>
      <c r="S805" s="35"/>
      <c r="T805" s="35"/>
      <c r="U805" s="35"/>
      <c r="V805" s="35"/>
      <c r="W805" s="35"/>
      <c r="X805" s="35"/>
      <c r="Y805" s="35"/>
      <c r="Z805" s="35"/>
    </row>
    <row r="806" ht="14.25" customHeight="1">
      <c r="A806" s="136"/>
      <c r="B806" s="137"/>
      <c r="C806" s="251"/>
      <c r="D806" s="452"/>
      <c r="E806" s="136"/>
      <c r="F806" s="253"/>
      <c r="G806" s="253"/>
      <c r="H806" s="527"/>
      <c r="I806" s="141"/>
      <c r="J806" s="141"/>
      <c r="K806" s="142"/>
      <c r="L806" s="142"/>
      <c r="M806" s="142"/>
      <c r="N806" s="142"/>
      <c r="O806" s="136"/>
      <c r="P806" s="34"/>
      <c r="Q806" s="35"/>
      <c r="R806" s="35"/>
      <c r="S806" s="35"/>
      <c r="T806" s="35"/>
      <c r="U806" s="35"/>
      <c r="V806" s="35"/>
      <c r="W806" s="35"/>
      <c r="X806" s="35"/>
      <c r="Y806" s="35"/>
      <c r="Z806" s="35"/>
    </row>
    <row r="807" ht="14.25" customHeight="1">
      <c r="A807" s="136"/>
      <c r="B807" s="137"/>
      <c r="C807" s="251"/>
      <c r="D807" s="452"/>
      <c r="E807" s="136"/>
      <c r="F807" s="253"/>
      <c r="G807" s="253"/>
      <c r="H807" s="527"/>
      <c r="I807" s="141"/>
      <c r="J807" s="141"/>
      <c r="K807" s="142"/>
      <c r="L807" s="142"/>
      <c r="M807" s="142"/>
      <c r="N807" s="142"/>
      <c r="O807" s="136"/>
      <c r="P807" s="34"/>
      <c r="Q807" s="35"/>
      <c r="R807" s="35"/>
      <c r="S807" s="35"/>
      <c r="T807" s="35"/>
      <c r="U807" s="35"/>
      <c r="V807" s="35"/>
      <c r="W807" s="35"/>
      <c r="X807" s="35"/>
      <c r="Y807" s="35"/>
      <c r="Z807" s="35"/>
    </row>
    <row r="808" ht="14.25" customHeight="1">
      <c r="A808" s="136"/>
      <c r="B808" s="137"/>
      <c r="C808" s="251"/>
      <c r="D808" s="452"/>
      <c r="E808" s="136"/>
      <c r="F808" s="253"/>
      <c r="G808" s="253"/>
      <c r="H808" s="527"/>
      <c r="I808" s="141"/>
      <c r="J808" s="141"/>
      <c r="K808" s="142"/>
      <c r="L808" s="142"/>
      <c r="M808" s="142"/>
      <c r="N808" s="142"/>
      <c r="O808" s="136"/>
      <c r="P808" s="34"/>
      <c r="Q808" s="35"/>
      <c r="R808" s="35"/>
      <c r="S808" s="35"/>
      <c r="T808" s="35"/>
      <c r="U808" s="35"/>
      <c r="V808" s="35"/>
      <c r="W808" s="35"/>
      <c r="X808" s="35"/>
      <c r="Y808" s="35"/>
      <c r="Z808" s="35"/>
    </row>
    <row r="809" ht="14.25" customHeight="1">
      <c r="A809" s="136"/>
      <c r="B809" s="137"/>
      <c r="C809" s="251"/>
      <c r="D809" s="452"/>
      <c r="E809" s="136"/>
      <c r="F809" s="253"/>
      <c r="G809" s="253"/>
      <c r="H809" s="527"/>
      <c r="I809" s="141"/>
      <c r="J809" s="141"/>
      <c r="K809" s="142"/>
      <c r="L809" s="142"/>
      <c r="M809" s="142"/>
      <c r="N809" s="142"/>
      <c r="O809" s="136"/>
      <c r="P809" s="34"/>
      <c r="Q809" s="35"/>
      <c r="R809" s="35"/>
      <c r="S809" s="35"/>
      <c r="T809" s="35"/>
      <c r="U809" s="35"/>
      <c r="V809" s="35"/>
      <c r="W809" s="35"/>
      <c r="X809" s="35"/>
      <c r="Y809" s="35"/>
      <c r="Z809" s="35"/>
    </row>
    <row r="810" ht="14.25" customHeight="1">
      <c r="A810" s="136"/>
      <c r="B810" s="137"/>
      <c r="C810" s="251"/>
      <c r="D810" s="452"/>
      <c r="E810" s="136"/>
      <c r="F810" s="253"/>
      <c r="G810" s="253"/>
      <c r="H810" s="527"/>
      <c r="I810" s="141"/>
      <c r="J810" s="141"/>
      <c r="K810" s="142"/>
      <c r="L810" s="142"/>
      <c r="M810" s="142"/>
      <c r="N810" s="142"/>
      <c r="O810" s="136"/>
      <c r="P810" s="34"/>
      <c r="Q810" s="35"/>
      <c r="R810" s="35"/>
      <c r="S810" s="35"/>
      <c r="T810" s="35"/>
      <c r="U810" s="35"/>
      <c r="V810" s="35"/>
      <c r="W810" s="35"/>
      <c r="X810" s="35"/>
      <c r="Y810" s="35"/>
      <c r="Z810" s="35"/>
    </row>
    <row r="811" ht="14.25" customHeight="1">
      <c r="A811" s="136"/>
      <c r="B811" s="137"/>
      <c r="C811" s="251"/>
      <c r="D811" s="452"/>
      <c r="E811" s="136"/>
      <c r="F811" s="253"/>
      <c r="G811" s="253"/>
      <c r="H811" s="527"/>
      <c r="I811" s="141"/>
      <c r="J811" s="141"/>
      <c r="K811" s="142"/>
      <c r="L811" s="142"/>
      <c r="M811" s="142"/>
      <c r="N811" s="142"/>
      <c r="O811" s="136"/>
      <c r="P811" s="34"/>
      <c r="Q811" s="35"/>
      <c r="R811" s="35"/>
      <c r="S811" s="35"/>
      <c r="T811" s="35"/>
      <c r="U811" s="35"/>
      <c r="V811" s="35"/>
      <c r="W811" s="35"/>
      <c r="X811" s="35"/>
      <c r="Y811" s="35"/>
      <c r="Z811" s="35"/>
    </row>
    <row r="812" ht="14.25" customHeight="1">
      <c r="A812" s="136"/>
      <c r="B812" s="137"/>
      <c r="C812" s="251"/>
      <c r="D812" s="452"/>
      <c r="E812" s="136"/>
      <c r="F812" s="253"/>
      <c r="G812" s="253"/>
      <c r="H812" s="527"/>
      <c r="I812" s="141"/>
      <c r="J812" s="141"/>
      <c r="K812" s="142"/>
      <c r="L812" s="142"/>
      <c r="M812" s="142"/>
      <c r="N812" s="142"/>
      <c r="O812" s="136"/>
      <c r="P812" s="34"/>
      <c r="Q812" s="35"/>
      <c r="R812" s="35"/>
      <c r="S812" s="35"/>
      <c r="T812" s="35"/>
      <c r="U812" s="35"/>
      <c r="V812" s="35"/>
      <c r="W812" s="35"/>
      <c r="X812" s="35"/>
      <c r="Y812" s="35"/>
      <c r="Z812" s="35"/>
    </row>
    <row r="813" ht="14.25" customHeight="1">
      <c r="A813" s="136"/>
      <c r="B813" s="137"/>
      <c r="C813" s="251"/>
      <c r="D813" s="452"/>
      <c r="E813" s="136"/>
      <c r="F813" s="253"/>
      <c r="G813" s="253"/>
      <c r="H813" s="527"/>
      <c r="I813" s="141"/>
      <c r="J813" s="141"/>
      <c r="K813" s="142"/>
      <c r="L813" s="142"/>
      <c r="M813" s="142"/>
      <c r="N813" s="142"/>
      <c r="O813" s="136"/>
      <c r="P813" s="34"/>
      <c r="Q813" s="35"/>
      <c r="R813" s="35"/>
      <c r="S813" s="35"/>
      <c r="T813" s="35"/>
      <c r="U813" s="35"/>
      <c r="V813" s="35"/>
      <c r="W813" s="35"/>
      <c r="X813" s="35"/>
      <c r="Y813" s="35"/>
      <c r="Z813" s="35"/>
    </row>
    <row r="814" ht="14.25" customHeight="1">
      <c r="A814" s="136"/>
      <c r="B814" s="137"/>
      <c r="C814" s="251"/>
      <c r="D814" s="452"/>
      <c r="E814" s="136"/>
      <c r="F814" s="253"/>
      <c r="G814" s="253"/>
      <c r="H814" s="527"/>
      <c r="I814" s="141"/>
      <c r="J814" s="141"/>
      <c r="K814" s="142"/>
      <c r="L814" s="142"/>
      <c r="M814" s="142"/>
      <c r="N814" s="142"/>
      <c r="O814" s="136"/>
      <c r="P814" s="34"/>
      <c r="Q814" s="35"/>
      <c r="R814" s="35"/>
      <c r="S814" s="35"/>
      <c r="T814" s="35"/>
      <c r="U814" s="35"/>
      <c r="V814" s="35"/>
      <c r="W814" s="35"/>
      <c r="X814" s="35"/>
      <c r="Y814" s="35"/>
      <c r="Z814" s="35"/>
    </row>
    <row r="815" ht="14.25" customHeight="1">
      <c r="A815" s="136"/>
      <c r="B815" s="137"/>
      <c r="C815" s="251"/>
      <c r="D815" s="452"/>
      <c r="E815" s="136"/>
      <c r="F815" s="253"/>
      <c r="G815" s="253"/>
      <c r="H815" s="527"/>
      <c r="I815" s="141"/>
      <c r="J815" s="141"/>
      <c r="K815" s="142"/>
      <c r="L815" s="142"/>
      <c r="M815" s="142"/>
      <c r="N815" s="142"/>
      <c r="O815" s="136"/>
      <c r="P815" s="34"/>
      <c r="Q815" s="35"/>
      <c r="R815" s="35"/>
      <c r="S815" s="35"/>
      <c r="T815" s="35"/>
      <c r="U815" s="35"/>
      <c r="V815" s="35"/>
      <c r="W815" s="35"/>
      <c r="X815" s="35"/>
      <c r="Y815" s="35"/>
      <c r="Z815" s="35"/>
    </row>
    <row r="816" ht="14.25" customHeight="1">
      <c r="A816" s="136"/>
      <c r="B816" s="137"/>
      <c r="C816" s="251"/>
      <c r="D816" s="452"/>
      <c r="E816" s="136"/>
      <c r="F816" s="253"/>
      <c r="G816" s="253"/>
      <c r="H816" s="527"/>
      <c r="I816" s="141"/>
      <c r="J816" s="141"/>
      <c r="K816" s="142"/>
      <c r="L816" s="142"/>
      <c r="M816" s="142"/>
      <c r="N816" s="142"/>
      <c r="O816" s="136"/>
      <c r="P816" s="34"/>
      <c r="Q816" s="35"/>
      <c r="R816" s="35"/>
      <c r="S816" s="35"/>
      <c r="T816" s="35"/>
      <c r="U816" s="35"/>
      <c r="V816" s="35"/>
      <c r="W816" s="35"/>
      <c r="X816" s="35"/>
      <c r="Y816" s="35"/>
      <c r="Z816" s="35"/>
    </row>
    <row r="817" ht="14.25" customHeight="1">
      <c r="A817" s="136"/>
      <c r="B817" s="137"/>
      <c r="C817" s="251"/>
      <c r="D817" s="452"/>
      <c r="E817" s="136"/>
      <c r="F817" s="253"/>
      <c r="G817" s="253"/>
      <c r="H817" s="527"/>
      <c r="I817" s="141"/>
      <c r="J817" s="141"/>
      <c r="K817" s="142"/>
      <c r="L817" s="142"/>
      <c r="M817" s="142"/>
      <c r="N817" s="142"/>
      <c r="O817" s="136"/>
      <c r="P817" s="34"/>
      <c r="Q817" s="35"/>
      <c r="R817" s="35"/>
      <c r="S817" s="35"/>
      <c r="T817" s="35"/>
      <c r="U817" s="35"/>
      <c r="V817" s="35"/>
      <c r="W817" s="35"/>
      <c r="X817" s="35"/>
      <c r="Y817" s="35"/>
      <c r="Z817" s="35"/>
    </row>
    <row r="818" ht="14.25" customHeight="1">
      <c r="A818" s="136"/>
      <c r="B818" s="137"/>
      <c r="C818" s="251"/>
      <c r="D818" s="452"/>
      <c r="E818" s="136"/>
      <c r="F818" s="253"/>
      <c r="G818" s="253"/>
      <c r="H818" s="527"/>
      <c r="I818" s="141"/>
      <c r="J818" s="141"/>
      <c r="K818" s="142"/>
      <c r="L818" s="142"/>
      <c r="M818" s="142"/>
      <c r="N818" s="142"/>
      <c r="O818" s="136"/>
      <c r="P818" s="34"/>
      <c r="Q818" s="35"/>
      <c r="R818" s="35"/>
      <c r="S818" s="35"/>
      <c r="T818" s="35"/>
      <c r="U818" s="35"/>
      <c r="V818" s="35"/>
      <c r="W818" s="35"/>
      <c r="X818" s="35"/>
      <c r="Y818" s="35"/>
      <c r="Z818" s="35"/>
    </row>
    <row r="819" ht="14.25" customHeight="1">
      <c r="A819" s="136"/>
      <c r="B819" s="137"/>
      <c r="C819" s="251"/>
      <c r="D819" s="452"/>
      <c r="E819" s="136"/>
      <c r="F819" s="253"/>
      <c r="G819" s="253"/>
      <c r="H819" s="527"/>
      <c r="I819" s="141"/>
      <c r="J819" s="141"/>
      <c r="K819" s="142"/>
      <c r="L819" s="142"/>
      <c r="M819" s="142"/>
      <c r="N819" s="142"/>
      <c r="O819" s="136"/>
      <c r="P819" s="34"/>
      <c r="Q819" s="35"/>
      <c r="R819" s="35"/>
      <c r="S819" s="35"/>
      <c r="T819" s="35"/>
      <c r="U819" s="35"/>
      <c r="V819" s="35"/>
      <c r="W819" s="35"/>
      <c r="X819" s="35"/>
      <c r="Y819" s="35"/>
      <c r="Z819" s="35"/>
    </row>
    <row r="820" ht="14.25" customHeight="1">
      <c r="A820" s="136"/>
      <c r="B820" s="137"/>
      <c r="C820" s="251"/>
      <c r="D820" s="452"/>
      <c r="E820" s="136"/>
      <c r="F820" s="253"/>
      <c r="G820" s="253"/>
      <c r="H820" s="527"/>
      <c r="I820" s="141"/>
      <c r="J820" s="141"/>
      <c r="K820" s="142"/>
      <c r="L820" s="142"/>
      <c r="M820" s="142"/>
      <c r="N820" s="142"/>
      <c r="O820" s="136"/>
      <c r="P820" s="34"/>
      <c r="Q820" s="35"/>
      <c r="R820" s="35"/>
      <c r="S820" s="35"/>
      <c r="T820" s="35"/>
      <c r="U820" s="35"/>
      <c r="V820" s="35"/>
      <c r="W820" s="35"/>
      <c r="X820" s="35"/>
      <c r="Y820" s="35"/>
      <c r="Z820" s="35"/>
    </row>
    <row r="821" ht="14.25" customHeight="1">
      <c r="A821" s="136"/>
      <c r="B821" s="137"/>
      <c r="C821" s="251"/>
      <c r="D821" s="452"/>
      <c r="E821" s="136"/>
      <c r="F821" s="253"/>
      <c r="G821" s="253"/>
      <c r="H821" s="527"/>
      <c r="I821" s="141"/>
      <c r="J821" s="141"/>
      <c r="K821" s="142"/>
      <c r="L821" s="142"/>
      <c r="M821" s="142"/>
      <c r="N821" s="142"/>
      <c r="O821" s="136"/>
      <c r="P821" s="34"/>
      <c r="Q821" s="35"/>
      <c r="R821" s="35"/>
      <c r="S821" s="35"/>
      <c r="T821" s="35"/>
      <c r="U821" s="35"/>
      <c r="V821" s="35"/>
      <c r="W821" s="35"/>
      <c r="X821" s="35"/>
      <c r="Y821" s="35"/>
      <c r="Z821" s="35"/>
    </row>
    <row r="822" ht="14.25" customHeight="1">
      <c r="A822" s="136"/>
      <c r="B822" s="137"/>
      <c r="C822" s="251"/>
      <c r="D822" s="452"/>
      <c r="E822" s="136"/>
      <c r="F822" s="253"/>
      <c r="G822" s="253"/>
      <c r="H822" s="527"/>
      <c r="I822" s="141"/>
      <c r="J822" s="141"/>
      <c r="K822" s="142"/>
      <c r="L822" s="142"/>
      <c r="M822" s="142"/>
      <c r="N822" s="142"/>
      <c r="O822" s="136"/>
      <c r="P822" s="34"/>
      <c r="Q822" s="35"/>
      <c r="R822" s="35"/>
      <c r="S822" s="35"/>
      <c r="T822" s="35"/>
      <c r="U822" s="35"/>
      <c r="V822" s="35"/>
      <c r="W822" s="35"/>
      <c r="X822" s="35"/>
      <c r="Y822" s="35"/>
      <c r="Z822" s="35"/>
    </row>
    <row r="823" ht="14.25" customHeight="1">
      <c r="A823" s="136"/>
      <c r="B823" s="137"/>
      <c r="C823" s="251"/>
      <c r="D823" s="452"/>
      <c r="E823" s="136"/>
      <c r="F823" s="253"/>
      <c r="G823" s="253"/>
      <c r="H823" s="527"/>
      <c r="I823" s="141"/>
      <c r="J823" s="141"/>
      <c r="K823" s="142"/>
      <c r="L823" s="142"/>
      <c r="M823" s="142"/>
      <c r="N823" s="142"/>
      <c r="O823" s="136"/>
      <c r="P823" s="34"/>
      <c r="Q823" s="35"/>
      <c r="R823" s="35"/>
      <c r="S823" s="35"/>
      <c r="T823" s="35"/>
      <c r="U823" s="35"/>
      <c r="V823" s="35"/>
      <c r="W823" s="35"/>
      <c r="X823" s="35"/>
      <c r="Y823" s="35"/>
      <c r="Z823" s="35"/>
    </row>
    <row r="824" ht="14.25" customHeight="1">
      <c r="A824" s="136"/>
      <c r="B824" s="137"/>
      <c r="C824" s="251"/>
      <c r="D824" s="452"/>
      <c r="E824" s="136"/>
      <c r="F824" s="253"/>
      <c r="G824" s="253"/>
      <c r="H824" s="527"/>
      <c r="I824" s="141"/>
      <c r="J824" s="141"/>
      <c r="K824" s="142"/>
      <c r="L824" s="142"/>
      <c r="M824" s="142"/>
      <c r="N824" s="142"/>
      <c r="O824" s="136"/>
      <c r="P824" s="34"/>
      <c r="Q824" s="35"/>
      <c r="R824" s="35"/>
      <c r="S824" s="35"/>
      <c r="T824" s="35"/>
      <c r="U824" s="35"/>
      <c r="V824" s="35"/>
      <c r="W824" s="35"/>
      <c r="X824" s="35"/>
      <c r="Y824" s="35"/>
      <c r="Z824" s="35"/>
    </row>
    <row r="825" ht="14.25" customHeight="1">
      <c r="A825" s="136"/>
      <c r="B825" s="137"/>
      <c r="C825" s="251"/>
      <c r="D825" s="452"/>
      <c r="E825" s="136"/>
      <c r="F825" s="253"/>
      <c r="G825" s="253"/>
      <c r="H825" s="527"/>
      <c r="I825" s="141"/>
      <c r="J825" s="141"/>
      <c r="K825" s="142"/>
      <c r="L825" s="142"/>
      <c r="M825" s="142"/>
      <c r="N825" s="142"/>
      <c r="O825" s="136"/>
      <c r="P825" s="34"/>
      <c r="Q825" s="35"/>
      <c r="R825" s="35"/>
      <c r="S825" s="35"/>
      <c r="T825" s="35"/>
      <c r="U825" s="35"/>
      <c r="V825" s="35"/>
      <c r="W825" s="35"/>
      <c r="X825" s="35"/>
      <c r="Y825" s="35"/>
      <c r="Z825" s="35"/>
    </row>
    <row r="826" ht="14.25" customHeight="1">
      <c r="A826" s="136"/>
      <c r="B826" s="137"/>
      <c r="C826" s="251"/>
      <c r="D826" s="452"/>
      <c r="E826" s="136"/>
      <c r="F826" s="253"/>
      <c r="G826" s="253"/>
      <c r="H826" s="527"/>
      <c r="I826" s="141"/>
      <c r="J826" s="141"/>
      <c r="K826" s="142"/>
      <c r="L826" s="142"/>
      <c r="M826" s="142"/>
      <c r="N826" s="142"/>
      <c r="O826" s="136"/>
      <c r="P826" s="34"/>
      <c r="Q826" s="35"/>
      <c r="R826" s="35"/>
      <c r="S826" s="35"/>
      <c r="T826" s="35"/>
      <c r="U826" s="35"/>
      <c r="V826" s="35"/>
      <c r="W826" s="35"/>
      <c r="X826" s="35"/>
      <c r="Y826" s="35"/>
      <c r="Z826" s="35"/>
    </row>
    <row r="827" ht="14.25" customHeight="1">
      <c r="A827" s="136"/>
      <c r="B827" s="137"/>
      <c r="C827" s="251"/>
      <c r="D827" s="452"/>
      <c r="E827" s="136"/>
      <c r="F827" s="253"/>
      <c r="G827" s="253"/>
      <c r="H827" s="527"/>
      <c r="I827" s="141"/>
      <c r="J827" s="141"/>
      <c r="K827" s="142"/>
      <c r="L827" s="142"/>
      <c r="M827" s="142"/>
      <c r="N827" s="142"/>
      <c r="O827" s="136"/>
      <c r="P827" s="34"/>
      <c r="Q827" s="35"/>
      <c r="R827" s="35"/>
      <c r="S827" s="35"/>
      <c r="T827" s="35"/>
      <c r="U827" s="35"/>
      <c r="V827" s="35"/>
      <c r="W827" s="35"/>
      <c r="X827" s="35"/>
      <c r="Y827" s="35"/>
      <c r="Z827" s="35"/>
    </row>
    <row r="828" ht="14.25" customHeight="1">
      <c r="A828" s="136"/>
      <c r="B828" s="137"/>
      <c r="C828" s="251"/>
      <c r="D828" s="452"/>
      <c r="E828" s="136"/>
      <c r="F828" s="253"/>
      <c r="G828" s="253"/>
      <c r="H828" s="527"/>
      <c r="I828" s="141"/>
      <c r="J828" s="141"/>
      <c r="K828" s="142"/>
      <c r="L828" s="142"/>
      <c r="M828" s="142"/>
      <c r="N828" s="142"/>
      <c r="O828" s="136"/>
      <c r="P828" s="34"/>
      <c r="Q828" s="35"/>
      <c r="R828" s="35"/>
      <c r="S828" s="35"/>
      <c r="T828" s="35"/>
      <c r="U828" s="35"/>
      <c r="V828" s="35"/>
      <c r="W828" s="35"/>
      <c r="X828" s="35"/>
      <c r="Y828" s="35"/>
      <c r="Z828" s="35"/>
    </row>
    <row r="829" ht="14.25" customHeight="1">
      <c r="A829" s="136"/>
      <c r="B829" s="137"/>
      <c r="C829" s="251"/>
      <c r="D829" s="452"/>
      <c r="E829" s="136"/>
      <c r="F829" s="253"/>
      <c r="G829" s="253"/>
      <c r="H829" s="527"/>
      <c r="I829" s="141"/>
      <c r="J829" s="141"/>
      <c r="K829" s="142"/>
      <c r="L829" s="142"/>
      <c r="M829" s="142"/>
      <c r="N829" s="142"/>
      <c r="O829" s="136"/>
      <c r="P829" s="34"/>
      <c r="Q829" s="35"/>
      <c r="R829" s="35"/>
      <c r="S829" s="35"/>
      <c r="T829" s="35"/>
      <c r="U829" s="35"/>
      <c r="V829" s="35"/>
      <c r="W829" s="35"/>
      <c r="X829" s="35"/>
      <c r="Y829" s="35"/>
      <c r="Z829" s="35"/>
    </row>
    <row r="830" ht="14.25" customHeight="1">
      <c r="A830" s="136"/>
      <c r="B830" s="137"/>
      <c r="C830" s="251"/>
      <c r="D830" s="452"/>
      <c r="E830" s="136"/>
      <c r="F830" s="253"/>
      <c r="G830" s="253"/>
      <c r="H830" s="527"/>
      <c r="I830" s="141"/>
      <c r="J830" s="141"/>
      <c r="K830" s="142"/>
      <c r="L830" s="142"/>
      <c r="M830" s="142"/>
      <c r="N830" s="142"/>
      <c r="O830" s="136"/>
      <c r="P830" s="34"/>
      <c r="Q830" s="35"/>
      <c r="R830" s="35"/>
      <c r="S830" s="35"/>
      <c r="T830" s="35"/>
      <c r="U830" s="35"/>
      <c r="V830" s="35"/>
      <c r="W830" s="35"/>
      <c r="X830" s="35"/>
      <c r="Y830" s="35"/>
      <c r="Z830" s="35"/>
    </row>
    <row r="831" ht="14.25" customHeight="1">
      <c r="A831" s="136"/>
      <c r="B831" s="137"/>
      <c r="C831" s="251"/>
      <c r="D831" s="452"/>
      <c r="E831" s="136"/>
      <c r="F831" s="253"/>
      <c r="G831" s="253"/>
      <c r="H831" s="527"/>
      <c r="I831" s="141"/>
      <c r="J831" s="141"/>
      <c r="K831" s="142"/>
      <c r="L831" s="142"/>
      <c r="M831" s="142"/>
      <c r="N831" s="142"/>
      <c r="O831" s="136"/>
      <c r="P831" s="34"/>
      <c r="Q831" s="35"/>
      <c r="R831" s="35"/>
      <c r="S831" s="35"/>
      <c r="T831" s="35"/>
      <c r="U831" s="35"/>
      <c r="V831" s="35"/>
      <c r="W831" s="35"/>
      <c r="X831" s="35"/>
      <c r="Y831" s="35"/>
      <c r="Z831" s="35"/>
    </row>
    <row r="832" ht="14.25" customHeight="1">
      <c r="A832" s="136"/>
      <c r="B832" s="137"/>
      <c r="C832" s="251"/>
      <c r="D832" s="452"/>
      <c r="E832" s="136"/>
      <c r="F832" s="253"/>
      <c r="G832" s="253"/>
      <c r="H832" s="527"/>
      <c r="I832" s="141"/>
      <c r="J832" s="141"/>
      <c r="K832" s="142"/>
      <c r="L832" s="142"/>
      <c r="M832" s="142"/>
      <c r="N832" s="142"/>
      <c r="O832" s="136"/>
      <c r="P832" s="34"/>
      <c r="Q832" s="35"/>
      <c r="R832" s="35"/>
      <c r="S832" s="35"/>
      <c r="T832" s="35"/>
      <c r="U832" s="35"/>
      <c r="V832" s="35"/>
      <c r="W832" s="35"/>
      <c r="X832" s="35"/>
      <c r="Y832" s="35"/>
      <c r="Z832" s="35"/>
    </row>
    <row r="833" ht="14.25" customHeight="1">
      <c r="A833" s="136"/>
      <c r="B833" s="137"/>
      <c r="C833" s="251"/>
      <c r="D833" s="452"/>
      <c r="E833" s="136"/>
      <c r="F833" s="253"/>
      <c r="G833" s="253"/>
      <c r="H833" s="527"/>
      <c r="I833" s="141"/>
      <c r="J833" s="141"/>
      <c r="K833" s="142"/>
      <c r="L833" s="142"/>
      <c r="M833" s="142"/>
      <c r="N833" s="142"/>
      <c r="O833" s="136"/>
      <c r="P833" s="34"/>
      <c r="Q833" s="35"/>
      <c r="R833" s="35"/>
      <c r="S833" s="35"/>
      <c r="T833" s="35"/>
      <c r="U833" s="35"/>
      <c r="V833" s="35"/>
      <c r="W833" s="35"/>
      <c r="X833" s="35"/>
      <c r="Y833" s="35"/>
      <c r="Z833" s="35"/>
    </row>
    <row r="834" ht="14.25" customHeight="1">
      <c r="A834" s="136"/>
      <c r="B834" s="137"/>
      <c r="C834" s="251"/>
      <c r="D834" s="452"/>
      <c r="E834" s="136"/>
      <c r="F834" s="253"/>
      <c r="G834" s="253"/>
      <c r="H834" s="527"/>
      <c r="I834" s="141"/>
      <c r="J834" s="141"/>
      <c r="K834" s="142"/>
      <c r="L834" s="142"/>
      <c r="M834" s="142"/>
      <c r="N834" s="142"/>
      <c r="O834" s="136"/>
      <c r="P834" s="34"/>
      <c r="Q834" s="35"/>
      <c r="R834" s="35"/>
      <c r="S834" s="35"/>
      <c r="T834" s="35"/>
      <c r="U834" s="35"/>
      <c r="V834" s="35"/>
      <c r="W834" s="35"/>
      <c r="X834" s="35"/>
      <c r="Y834" s="35"/>
      <c r="Z834" s="35"/>
    </row>
    <row r="835" ht="14.25" customHeight="1">
      <c r="A835" s="136"/>
      <c r="B835" s="137"/>
      <c r="C835" s="251"/>
      <c r="D835" s="452"/>
      <c r="E835" s="136"/>
      <c r="F835" s="253"/>
      <c r="G835" s="253"/>
      <c r="H835" s="527"/>
      <c r="I835" s="141"/>
      <c r="J835" s="141"/>
      <c r="K835" s="142"/>
      <c r="L835" s="142"/>
      <c r="M835" s="142"/>
      <c r="N835" s="142"/>
      <c r="O835" s="136"/>
      <c r="P835" s="34"/>
      <c r="Q835" s="35"/>
      <c r="R835" s="35"/>
      <c r="S835" s="35"/>
      <c r="T835" s="35"/>
      <c r="U835" s="35"/>
      <c r="V835" s="35"/>
      <c r="W835" s="35"/>
      <c r="X835" s="35"/>
      <c r="Y835" s="35"/>
      <c r="Z835" s="35"/>
    </row>
    <row r="836" ht="14.25" customHeight="1">
      <c r="A836" s="136"/>
      <c r="B836" s="137"/>
      <c r="C836" s="251"/>
      <c r="D836" s="452"/>
      <c r="E836" s="136"/>
      <c r="F836" s="253"/>
      <c r="G836" s="253"/>
      <c r="H836" s="527"/>
      <c r="I836" s="141"/>
      <c r="J836" s="141"/>
      <c r="K836" s="142"/>
      <c r="L836" s="142"/>
      <c r="M836" s="142"/>
      <c r="N836" s="142"/>
      <c r="O836" s="136"/>
      <c r="P836" s="34"/>
      <c r="Q836" s="35"/>
      <c r="R836" s="35"/>
      <c r="S836" s="35"/>
      <c r="T836" s="35"/>
      <c r="U836" s="35"/>
      <c r="V836" s="35"/>
      <c r="W836" s="35"/>
      <c r="X836" s="35"/>
      <c r="Y836" s="35"/>
      <c r="Z836" s="35"/>
    </row>
    <row r="837" ht="14.25" customHeight="1">
      <c r="A837" s="136"/>
      <c r="B837" s="137"/>
      <c r="C837" s="251"/>
      <c r="D837" s="452"/>
      <c r="E837" s="136"/>
      <c r="F837" s="253"/>
      <c r="G837" s="253"/>
      <c r="H837" s="527"/>
      <c r="I837" s="141"/>
      <c r="J837" s="141"/>
      <c r="K837" s="142"/>
      <c r="L837" s="142"/>
      <c r="M837" s="142"/>
      <c r="N837" s="142"/>
      <c r="O837" s="136"/>
      <c r="P837" s="34"/>
      <c r="Q837" s="35"/>
      <c r="R837" s="35"/>
      <c r="S837" s="35"/>
      <c r="T837" s="35"/>
      <c r="U837" s="35"/>
      <c r="V837" s="35"/>
      <c r="W837" s="35"/>
      <c r="X837" s="35"/>
      <c r="Y837" s="35"/>
      <c r="Z837" s="35"/>
    </row>
    <row r="838" ht="14.25" customHeight="1">
      <c r="A838" s="136"/>
      <c r="B838" s="137"/>
      <c r="C838" s="251"/>
      <c r="D838" s="452"/>
      <c r="E838" s="136"/>
      <c r="F838" s="253"/>
      <c r="G838" s="253"/>
      <c r="H838" s="527"/>
      <c r="I838" s="141"/>
      <c r="J838" s="141"/>
      <c r="K838" s="142"/>
      <c r="L838" s="142"/>
      <c r="M838" s="142"/>
      <c r="N838" s="142"/>
      <c r="O838" s="136"/>
      <c r="P838" s="34"/>
      <c r="Q838" s="35"/>
      <c r="R838" s="35"/>
      <c r="S838" s="35"/>
      <c r="T838" s="35"/>
      <c r="U838" s="35"/>
      <c r="V838" s="35"/>
      <c r="W838" s="35"/>
      <c r="X838" s="35"/>
      <c r="Y838" s="35"/>
      <c r="Z838" s="35"/>
    </row>
    <row r="839" ht="14.25" customHeight="1">
      <c r="A839" s="136"/>
      <c r="B839" s="137"/>
      <c r="C839" s="251"/>
      <c r="D839" s="452"/>
      <c r="E839" s="136"/>
      <c r="F839" s="253"/>
      <c r="G839" s="253"/>
      <c r="H839" s="527"/>
      <c r="I839" s="141"/>
      <c r="J839" s="141"/>
      <c r="K839" s="142"/>
      <c r="L839" s="142"/>
      <c r="M839" s="142"/>
      <c r="N839" s="142"/>
      <c r="O839" s="136"/>
      <c r="P839" s="34"/>
      <c r="Q839" s="35"/>
      <c r="R839" s="35"/>
      <c r="S839" s="35"/>
      <c r="T839" s="35"/>
      <c r="U839" s="35"/>
      <c r="V839" s="35"/>
      <c r="W839" s="35"/>
      <c r="X839" s="35"/>
      <c r="Y839" s="35"/>
      <c r="Z839" s="35"/>
    </row>
    <row r="840" ht="14.25" customHeight="1">
      <c r="A840" s="136"/>
      <c r="B840" s="137"/>
      <c r="C840" s="251"/>
      <c r="D840" s="452"/>
      <c r="E840" s="136"/>
      <c r="F840" s="253"/>
      <c r="G840" s="253"/>
      <c r="H840" s="527"/>
      <c r="I840" s="141"/>
      <c r="J840" s="141"/>
      <c r="K840" s="142"/>
      <c r="L840" s="142"/>
      <c r="M840" s="142"/>
      <c r="N840" s="142"/>
      <c r="O840" s="136"/>
      <c r="P840" s="34"/>
      <c r="Q840" s="35"/>
      <c r="R840" s="35"/>
      <c r="S840" s="35"/>
      <c r="T840" s="35"/>
      <c r="U840" s="35"/>
      <c r="V840" s="35"/>
      <c r="W840" s="35"/>
      <c r="X840" s="35"/>
      <c r="Y840" s="35"/>
      <c r="Z840" s="35"/>
    </row>
    <row r="841" ht="14.25" customHeight="1">
      <c r="A841" s="136"/>
      <c r="B841" s="137"/>
      <c r="C841" s="251"/>
      <c r="D841" s="452"/>
      <c r="E841" s="136"/>
      <c r="F841" s="253"/>
      <c r="G841" s="253"/>
      <c r="H841" s="527"/>
      <c r="I841" s="141"/>
      <c r="J841" s="141"/>
      <c r="K841" s="142"/>
      <c r="L841" s="142"/>
      <c r="M841" s="142"/>
      <c r="N841" s="142"/>
      <c r="O841" s="136"/>
      <c r="P841" s="34"/>
      <c r="Q841" s="35"/>
      <c r="R841" s="35"/>
      <c r="S841" s="35"/>
      <c r="T841" s="35"/>
      <c r="U841" s="35"/>
      <c r="V841" s="35"/>
      <c r="W841" s="35"/>
      <c r="X841" s="35"/>
      <c r="Y841" s="35"/>
      <c r="Z841" s="35"/>
    </row>
    <row r="842" ht="14.25" customHeight="1">
      <c r="A842" s="136"/>
      <c r="B842" s="137"/>
      <c r="C842" s="251"/>
      <c r="D842" s="452"/>
      <c r="E842" s="136"/>
      <c r="F842" s="253"/>
      <c r="G842" s="253"/>
      <c r="H842" s="527"/>
      <c r="I842" s="141"/>
      <c r="J842" s="141"/>
      <c r="K842" s="142"/>
      <c r="L842" s="142"/>
      <c r="M842" s="142"/>
      <c r="N842" s="142"/>
      <c r="O842" s="136"/>
      <c r="P842" s="34"/>
      <c r="Q842" s="35"/>
      <c r="R842" s="35"/>
      <c r="S842" s="35"/>
      <c r="T842" s="35"/>
      <c r="U842" s="35"/>
      <c r="V842" s="35"/>
      <c r="W842" s="35"/>
      <c r="X842" s="35"/>
      <c r="Y842" s="35"/>
      <c r="Z842" s="35"/>
    </row>
    <row r="843" ht="14.25" customHeight="1">
      <c r="A843" s="136"/>
      <c r="B843" s="137"/>
      <c r="C843" s="251"/>
      <c r="D843" s="452"/>
      <c r="E843" s="136"/>
      <c r="F843" s="253"/>
      <c r="G843" s="253"/>
      <c r="H843" s="527"/>
      <c r="I843" s="141"/>
      <c r="J843" s="141"/>
      <c r="K843" s="142"/>
      <c r="L843" s="142"/>
      <c r="M843" s="142"/>
      <c r="N843" s="142"/>
      <c r="O843" s="136"/>
      <c r="P843" s="34"/>
      <c r="Q843" s="35"/>
      <c r="R843" s="35"/>
      <c r="S843" s="35"/>
      <c r="T843" s="35"/>
      <c r="U843" s="35"/>
      <c r="V843" s="35"/>
      <c r="W843" s="35"/>
      <c r="X843" s="35"/>
      <c r="Y843" s="35"/>
      <c r="Z843" s="35"/>
    </row>
    <row r="844" ht="14.25" customHeight="1">
      <c r="A844" s="136"/>
      <c r="B844" s="137"/>
      <c r="C844" s="251"/>
      <c r="D844" s="452"/>
      <c r="E844" s="136"/>
      <c r="F844" s="253"/>
      <c r="G844" s="253"/>
      <c r="H844" s="527"/>
      <c r="I844" s="141"/>
      <c r="J844" s="141"/>
      <c r="K844" s="142"/>
      <c r="L844" s="142"/>
      <c r="M844" s="142"/>
      <c r="N844" s="142"/>
      <c r="O844" s="136"/>
      <c r="P844" s="34"/>
      <c r="Q844" s="35"/>
      <c r="R844" s="35"/>
      <c r="S844" s="35"/>
      <c r="T844" s="35"/>
      <c r="U844" s="35"/>
      <c r="V844" s="35"/>
      <c r="W844" s="35"/>
      <c r="X844" s="35"/>
      <c r="Y844" s="35"/>
      <c r="Z844" s="35"/>
    </row>
    <row r="845" ht="14.25" customHeight="1">
      <c r="A845" s="136"/>
      <c r="B845" s="137"/>
      <c r="C845" s="251"/>
      <c r="D845" s="452"/>
      <c r="E845" s="136"/>
      <c r="F845" s="253"/>
      <c r="G845" s="253"/>
      <c r="H845" s="527"/>
      <c r="I845" s="141"/>
      <c r="J845" s="141"/>
      <c r="K845" s="142"/>
      <c r="L845" s="142"/>
      <c r="M845" s="142"/>
      <c r="N845" s="142"/>
      <c r="O845" s="136"/>
      <c r="P845" s="34"/>
      <c r="Q845" s="35"/>
      <c r="R845" s="35"/>
      <c r="S845" s="35"/>
      <c r="T845" s="35"/>
      <c r="U845" s="35"/>
      <c r="V845" s="35"/>
      <c r="W845" s="35"/>
      <c r="X845" s="35"/>
      <c r="Y845" s="35"/>
      <c r="Z845" s="35"/>
    </row>
    <row r="846" ht="14.25" customHeight="1">
      <c r="A846" s="136"/>
      <c r="B846" s="137"/>
      <c r="C846" s="251"/>
      <c r="D846" s="452"/>
      <c r="E846" s="136"/>
      <c r="F846" s="253"/>
      <c r="G846" s="253"/>
      <c r="H846" s="527"/>
      <c r="I846" s="141"/>
      <c r="J846" s="141"/>
      <c r="K846" s="142"/>
      <c r="L846" s="142"/>
      <c r="M846" s="142"/>
      <c r="N846" s="142"/>
      <c r="O846" s="136"/>
      <c r="P846" s="34"/>
      <c r="Q846" s="35"/>
      <c r="R846" s="35"/>
      <c r="S846" s="35"/>
      <c r="T846" s="35"/>
      <c r="U846" s="35"/>
      <c r="V846" s="35"/>
      <c r="W846" s="35"/>
      <c r="X846" s="35"/>
      <c r="Y846" s="35"/>
      <c r="Z846" s="35"/>
    </row>
    <row r="847" ht="14.25" customHeight="1">
      <c r="A847" s="136"/>
      <c r="B847" s="137"/>
      <c r="C847" s="251"/>
      <c r="D847" s="452"/>
      <c r="E847" s="136"/>
      <c r="F847" s="253"/>
      <c r="G847" s="253"/>
      <c r="H847" s="527"/>
      <c r="I847" s="141"/>
      <c r="J847" s="141"/>
      <c r="K847" s="142"/>
      <c r="L847" s="142"/>
      <c r="M847" s="142"/>
      <c r="N847" s="142"/>
      <c r="O847" s="136"/>
      <c r="P847" s="34"/>
      <c r="Q847" s="35"/>
      <c r="R847" s="35"/>
      <c r="S847" s="35"/>
      <c r="T847" s="35"/>
      <c r="U847" s="35"/>
      <c r="V847" s="35"/>
      <c r="W847" s="35"/>
      <c r="X847" s="35"/>
      <c r="Y847" s="35"/>
      <c r="Z847" s="35"/>
    </row>
    <row r="848" ht="14.25" customHeight="1">
      <c r="A848" s="136"/>
      <c r="B848" s="137"/>
      <c r="C848" s="251"/>
      <c r="D848" s="452"/>
      <c r="E848" s="136"/>
      <c r="F848" s="253"/>
      <c r="G848" s="253"/>
      <c r="H848" s="527"/>
      <c r="I848" s="141"/>
      <c r="J848" s="141"/>
      <c r="K848" s="142"/>
      <c r="L848" s="142"/>
      <c r="M848" s="142"/>
      <c r="N848" s="142"/>
      <c r="O848" s="136"/>
      <c r="P848" s="34"/>
      <c r="Q848" s="35"/>
      <c r="R848" s="35"/>
      <c r="S848" s="35"/>
      <c r="T848" s="35"/>
      <c r="U848" s="35"/>
      <c r="V848" s="35"/>
      <c r="W848" s="35"/>
      <c r="X848" s="35"/>
      <c r="Y848" s="35"/>
      <c r="Z848" s="35"/>
    </row>
    <row r="849" ht="14.25" customHeight="1">
      <c r="A849" s="136"/>
      <c r="B849" s="137"/>
      <c r="C849" s="251"/>
      <c r="D849" s="452"/>
      <c r="E849" s="136"/>
      <c r="F849" s="253"/>
      <c r="G849" s="253"/>
      <c r="H849" s="527"/>
      <c r="I849" s="141"/>
      <c r="J849" s="141"/>
      <c r="K849" s="142"/>
      <c r="L849" s="142"/>
      <c r="M849" s="142"/>
      <c r="N849" s="142"/>
      <c r="O849" s="136"/>
      <c r="P849" s="34"/>
      <c r="Q849" s="35"/>
      <c r="R849" s="35"/>
      <c r="S849" s="35"/>
      <c r="T849" s="35"/>
      <c r="U849" s="35"/>
      <c r="V849" s="35"/>
      <c r="W849" s="35"/>
      <c r="X849" s="35"/>
      <c r="Y849" s="35"/>
      <c r="Z849" s="35"/>
    </row>
    <row r="850" ht="14.25" customHeight="1">
      <c r="A850" s="136"/>
      <c r="B850" s="137"/>
      <c r="C850" s="251"/>
      <c r="D850" s="452"/>
      <c r="E850" s="136"/>
      <c r="F850" s="253"/>
      <c r="G850" s="253"/>
      <c r="H850" s="527"/>
      <c r="I850" s="141"/>
      <c r="J850" s="141"/>
      <c r="K850" s="142"/>
      <c r="L850" s="142"/>
      <c r="M850" s="142"/>
      <c r="N850" s="142"/>
      <c r="O850" s="136"/>
      <c r="P850" s="34"/>
      <c r="Q850" s="35"/>
      <c r="R850" s="35"/>
      <c r="S850" s="35"/>
      <c r="T850" s="35"/>
      <c r="U850" s="35"/>
      <c r="V850" s="35"/>
      <c r="W850" s="35"/>
      <c r="X850" s="35"/>
      <c r="Y850" s="35"/>
      <c r="Z850" s="35"/>
    </row>
    <row r="851" ht="14.25" customHeight="1">
      <c r="A851" s="136"/>
      <c r="B851" s="137"/>
      <c r="C851" s="251"/>
      <c r="D851" s="452"/>
      <c r="E851" s="136"/>
      <c r="F851" s="253"/>
      <c r="G851" s="253"/>
      <c r="H851" s="527"/>
      <c r="I851" s="141"/>
      <c r="J851" s="141"/>
      <c r="K851" s="142"/>
      <c r="L851" s="142"/>
      <c r="M851" s="142"/>
      <c r="N851" s="142"/>
      <c r="O851" s="136"/>
      <c r="P851" s="34"/>
      <c r="Q851" s="35"/>
      <c r="R851" s="35"/>
      <c r="S851" s="35"/>
      <c r="T851" s="35"/>
      <c r="U851" s="35"/>
      <c r="V851" s="35"/>
      <c r="W851" s="35"/>
      <c r="X851" s="35"/>
      <c r="Y851" s="35"/>
      <c r="Z851" s="35"/>
    </row>
    <row r="852" ht="14.25" customHeight="1">
      <c r="A852" s="136"/>
      <c r="B852" s="137"/>
      <c r="C852" s="251"/>
      <c r="D852" s="452"/>
      <c r="E852" s="136"/>
      <c r="F852" s="253"/>
      <c r="G852" s="253"/>
      <c r="H852" s="527"/>
      <c r="I852" s="141"/>
      <c r="J852" s="141"/>
      <c r="K852" s="142"/>
      <c r="L852" s="142"/>
      <c r="M852" s="142"/>
      <c r="N852" s="142"/>
      <c r="O852" s="136"/>
      <c r="P852" s="34"/>
      <c r="Q852" s="35"/>
      <c r="R852" s="35"/>
      <c r="S852" s="35"/>
      <c r="T852" s="35"/>
      <c r="U852" s="35"/>
      <c r="V852" s="35"/>
      <c r="W852" s="35"/>
      <c r="X852" s="35"/>
      <c r="Y852" s="35"/>
      <c r="Z852" s="35"/>
    </row>
    <row r="853" ht="14.25" customHeight="1">
      <c r="A853" s="136"/>
      <c r="B853" s="137"/>
      <c r="C853" s="251"/>
      <c r="D853" s="452"/>
      <c r="E853" s="136"/>
      <c r="F853" s="253"/>
      <c r="G853" s="253"/>
      <c r="H853" s="527"/>
      <c r="I853" s="141"/>
      <c r="J853" s="141"/>
      <c r="K853" s="142"/>
      <c r="L853" s="142"/>
      <c r="M853" s="142"/>
      <c r="N853" s="142"/>
      <c r="O853" s="136"/>
      <c r="P853" s="34"/>
      <c r="Q853" s="35"/>
      <c r="R853" s="35"/>
      <c r="S853" s="35"/>
      <c r="T853" s="35"/>
      <c r="U853" s="35"/>
      <c r="V853" s="35"/>
      <c r="W853" s="35"/>
      <c r="X853" s="35"/>
      <c r="Y853" s="35"/>
      <c r="Z853" s="35"/>
    </row>
    <row r="854" ht="14.25" customHeight="1">
      <c r="A854" s="136"/>
      <c r="B854" s="137"/>
      <c r="C854" s="251"/>
      <c r="D854" s="452"/>
      <c r="E854" s="136"/>
      <c r="F854" s="253"/>
      <c r="G854" s="253"/>
      <c r="H854" s="527"/>
      <c r="I854" s="141"/>
      <c r="J854" s="141"/>
      <c r="K854" s="142"/>
      <c r="L854" s="142"/>
      <c r="M854" s="142"/>
      <c r="N854" s="142"/>
      <c r="O854" s="136"/>
      <c r="P854" s="34"/>
      <c r="Q854" s="35"/>
      <c r="R854" s="35"/>
      <c r="S854" s="35"/>
      <c r="T854" s="35"/>
      <c r="U854" s="35"/>
      <c r="V854" s="35"/>
      <c r="W854" s="35"/>
      <c r="X854" s="35"/>
      <c r="Y854" s="35"/>
      <c r="Z854" s="35"/>
    </row>
    <row r="855" ht="14.25" customHeight="1">
      <c r="A855" s="136"/>
      <c r="B855" s="137"/>
      <c r="C855" s="251"/>
      <c r="D855" s="452"/>
      <c r="E855" s="136"/>
      <c r="F855" s="253"/>
      <c r="G855" s="253"/>
      <c r="H855" s="527"/>
      <c r="I855" s="141"/>
      <c r="J855" s="141"/>
      <c r="K855" s="142"/>
      <c r="L855" s="142"/>
      <c r="M855" s="142"/>
      <c r="N855" s="142"/>
      <c r="O855" s="136"/>
      <c r="P855" s="34"/>
      <c r="Q855" s="35"/>
      <c r="R855" s="35"/>
      <c r="S855" s="35"/>
      <c r="T855" s="35"/>
      <c r="U855" s="35"/>
      <c r="V855" s="35"/>
      <c r="W855" s="35"/>
      <c r="X855" s="35"/>
      <c r="Y855" s="35"/>
      <c r="Z855" s="35"/>
    </row>
    <row r="856" ht="14.25" customHeight="1">
      <c r="A856" s="136"/>
      <c r="B856" s="137"/>
      <c r="C856" s="251"/>
      <c r="D856" s="452"/>
      <c r="E856" s="136"/>
      <c r="F856" s="253"/>
      <c r="G856" s="253"/>
      <c r="H856" s="527"/>
      <c r="I856" s="141"/>
      <c r="J856" s="141"/>
      <c r="K856" s="142"/>
      <c r="L856" s="142"/>
      <c r="M856" s="142"/>
      <c r="N856" s="142"/>
      <c r="O856" s="136"/>
      <c r="P856" s="34"/>
      <c r="Q856" s="35"/>
      <c r="R856" s="35"/>
      <c r="S856" s="35"/>
      <c r="T856" s="35"/>
      <c r="U856" s="35"/>
      <c r="V856" s="35"/>
      <c r="W856" s="35"/>
      <c r="X856" s="35"/>
      <c r="Y856" s="35"/>
      <c r="Z856" s="35"/>
    </row>
    <row r="857" ht="14.25" customHeight="1">
      <c r="A857" s="136"/>
      <c r="B857" s="137"/>
      <c r="C857" s="251"/>
      <c r="D857" s="452"/>
      <c r="E857" s="136"/>
      <c r="F857" s="253"/>
      <c r="G857" s="253"/>
      <c r="H857" s="527"/>
      <c r="I857" s="141"/>
      <c r="J857" s="141"/>
      <c r="K857" s="142"/>
      <c r="L857" s="142"/>
      <c r="M857" s="142"/>
      <c r="N857" s="142"/>
      <c r="O857" s="136"/>
      <c r="P857" s="34"/>
      <c r="Q857" s="35"/>
      <c r="R857" s="35"/>
      <c r="S857" s="35"/>
      <c r="T857" s="35"/>
      <c r="U857" s="35"/>
      <c r="V857" s="35"/>
      <c r="W857" s="35"/>
      <c r="X857" s="35"/>
      <c r="Y857" s="35"/>
      <c r="Z857" s="35"/>
    </row>
    <row r="858" ht="14.25" customHeight="1">
      <c r="A858" s="136"/>
      <c r="B858" s="137"/>
      <c r="C858" s="251"/>
      <c r="D858" s="452"/>
      <c r="E858" s="136"/>
      <c r="F858" s="253"/>
      <c r="G858" s="253"/>
      <c r="H858" s="527"/>
      <c r="I858" s="141"/>
      <c r="J858" s="141"/>
      <c r="K858" s="142"/>
      <c r="L858" s="142"/>
      <c r="M858" s="142"/>
      <c r="N858" s="142"/>
      <c r="O858" s="136"/>
      <c r="P858" s="34"/>
      <c r="Q858" s="35"/>
      <c r="R858" s="35"/>
      <c r="S858" s="35"/>
      <c r="T858" s="35"/>
      <c r="U858" s="35"/>
      <c r="V858" s="35"/>
      <c r="W858" s="35"/>
      <c r="X858" s="35"/>
      <c r="Y858" s="35"/>
      <c r="Z858" s="35"/>
    </row>
    <row r="859" ht="14.25" customHeight="1">
      <c r="A859" s="136"/>
      <c r="B859" s="137"/>
      <c r="C859" s="251"/>
      <c r="D859" s="452"/>
      <c r="E859" s="136"/>
      <c r="F859" s="253"/>
      <c r="G859" s="253"/>
      <c r="H859" s="527"/>
      <c r="I859" s="141"/>
      <c r="J859" s="141"/>
      <c r="K859" s="142"/>
      <c r="L859" s="142"/>
      <c r="M859" s="142"/>
      <c r="N859" s="142"/>
      <c r="O859" s="136"/>
      <c r="P859" s="34"/>
      <c r="Q859" s="35"/>
      <c r="R859" s="35"/>
      <c r="S859" s="35"/>
      <c r="T859" s="35"/>
      <c r="U859" s="35"/>
      <c r="V859" s="35"/>
      <c r="W859" s="35"/>
      <c r="X859" s="35"/>
      <c r="Y859" s="35"/>
      <c r="Z859" s="35"/>
    </row>
    <row r="860" ht="14.25" customHeight="1">
      <c r="A860" s="136"/>
      <c r="B860" s="137"/>
      <c r="C860" s="251"/>
      <c r="D860" s="452"/>
      <c r="E860" s="136"/>
      <c r="F860" s="253"/>
      <c r="G860" s="253"/>
      <c r="H860" s="527"/>
      <c r="I860" s="141"/>
      <c r="J860" s="141"/>
      <c r="K860" s="142"/>
      <c r="L860" s="142"/>
      <c r="M860" s="142"/>
      <c r="N860" s="142"/>
      <c r="O860" s="136"/>
      <c r="P860" s="34"/>
      <c r="Q860" s="35"/>
      <c r="R860" s="35"/>
      <c r="S860" s="35"/>
      <c r="T860" s="35"/>
      <c r="U860" s="35"/>
      <c r="V860" s="35"/>
      <c r="W860" s="35"/>
      <c r="X860" s="35"/>
      <c r="Y860" s="35"/>
      <c r="Z860" s="35"/>
    </row>
    <row r="861" ht="14.25" customHeight="1">
      <c r="A861" s="136"/>
      <c r="B861" s="137"/>
      <c r="C861" s="251"/>
      <c r="D861" s="452"/>
      <c r="E861" s="136"/>
      <c r="F861" s="253"/>
      <c r="G861" s="253"/>
      <c r="H861" s="527"/>
      <c r="I861" s="141"/>
      <c r="J861" s="141"/>
      <c r="K861" s="142"/>
      <c r="L861" s="142"/>
      <c r="M861" s="142"/>
      <c r="N861" s="142"/>
      <c r="O861" s="136"/>
      <c r="P861" s="34"/>
      <c r="Q861" s="35"/>
      <c r="R861" s="35"/>
      <c r="S861" s="35"/>
      <c r="T861" s="35"/>
      <c r="U861" s="35"/>
      <c r="V861" s="35"/>
      <c r="W861" s="35"/>
      <c r="X861" s="35"/>
      <c r="Y861" s="35"/>
      <c r="Z861" s="35"/>
    </row>
    <row r="862" ht="14.25" customHeight="1">
      <c r="A862" s="136"/>
      <c r="B862" s="137"/>
      <c r="C862" s="251"/>
      <c r="D862" s="452"/>
      <c r="E862" s="136"/>
      <c r="F862" s="253"/>
      <c r="G862" s="253"/>
      <c r="H862" s="527"/>
      <c r="I862" s="141"/>
      <c r="J862" s="141"/>
      <c r="K862" s="142"/>
      <c r="L862" s="142"/>
      <c r="M862" s="142"/>
      <c r="N862" s="142"/>
      <c r="O862" s="136"/>
      <c r="P862" s="34"/>
      <c r="Q862" s="35"/>
      <c r="R862" s="35"/>
      <c r="S862" s="35"/>
      <c r="T862" s="35"/>
      <c r="U862" s="35"/>
      <c r="V862" s="35"/>
      <c r="W862" s="35"/>
      <c r="X862" s="35"/>
      <c r="Y862" s="35"/>
      <c r="Z862" s="35"/>
    </row>
    <row r="863" ht="14.25" customHeight="1">
      <c r="A863" s="136"/>
      <c r="B863" s="137"/>
      <c r="C863" s="251"/>
      <c r="D863" s="452"/>
      <c r="E863" s="136"/>
      <c r="F863" s="253"/>
      <c r="G863" s="253"/>
      <c r="H863" s="527"/>
      <c r="I863" s="141"/>
      <c r="J863" s="141"/>
      <c r="K863" s="142"/>
      <c r="L863" s="142"/>
      <c r="M863" s="142"/>
      <c r="N863" s="142"/>
      <c r="O863" s="136"/>
      <c r="P863" s="34"/>
      <c r="Q863" s="35"/>
      <c r="R863" s="35"/>
      <c r="S863" s="35"/>
      <c r="T863" s="35"/>
      <c r="U863" s="35"/>
      <c r="V863" s="35"/>
      <c r="W863" s="35"/>
      <c r="X863" s="35"/>
      <c r="Y863" s="35"/>
      <c r="Z863" s="35"/>
    </row>
    <row r="864" ht="14.25" customHeight="1">
      <c r="A864" s="136"/>
      <c r="B864" s="137"/>
      <c r="C864" s="251"/>
      <c r="D864" s="452"/>
      <c r="E864" s="136"/>
      <c r="F864" s="253"/>
      <c r="G864" s="253"/>
      <c r="H864" s="527"/>
      <c r="I864" s="141"/>
      <c r="J864" s="141"/>
      <c r="K864" s="142"/>
      <c r="L864" s="142"/>
      <c r="M864" s="142"/>
      <c r="N864" s="142"/>
      <c r="O864" s="136"/>
      <c r="P864" s="34"/>
      <c r="Q864" s="35"/>
      <c r="R864" s="35"/>
      <c r="S864" s="35"/>
      <c r="T864" s="35"/>
      <c r="U864" s="35"/>
      <c r="V864" s="35"/>
      <c r="W864" s="35"/>
      <c r="X864" s="35"/>
      <c r="Y864" s="35"/>
      <c r="Z864" s="35"/>
    </row>
    <row r="865" ht="14.25" customHeight="1">
      <c r="A865" s="136"/>
      <c r="B865" s="137"/>
      <c r="C865" s="251"/>
      <c r="D865" s="452"/>
      <c r="E865" s="136"/>
      <c r="F865" s="253"/>
      <c r="G865" s="253"/>
      <c r="H865" s="527"/>
      <c r="I865" s="141"/>
      <c r="J865" s="141"/>
      <c r="K865" s="142"/>
      <c r="L865" s="142"/>
      <c r="M865" s="142"/>
      <c r="N865" s="142"/>
      <c r="O865" s="136"/>
      <c r="P865" s="34"/>
      <c r="Q865" s="35"/>
      <c r="R865" s="35"/>
      <c r="S865" s="35"/>
      <c r="T865" s="35"/>
      <c r="U865" s="35"/>
      <c r="V865" s="35"/>
      <c r="W865" s="35"/>
      <c r="X865" s="35"/>
      <c r="Y865" s="35"/>
      <c r="Z865" s="35"/>
    </row>
    <row r="866" ht="14.25" customHeight="1">
      <c r="A866" s="136"/>
      <c r="B866" s="137"/>
      <c r="C866" s="251"/>
      <c r="D866" s="452"/>
      <c r="E866" s="136"/>
      <c r="F866" s="253"/>
      <c r="G866" s="253"/>
      <c r="H866" s="527"/>
      <c r="I866" s="141"/>
      <c r="J866" s="141"/>
      <c r="K866" s="142"/>
      <c r="L866" s="142"/>
      <c r="M866" s="142"/>
      <c r="N866" s="142"/>
      <c r="O866" s="136"/>
      <c r="P866" s="34"/>
      <c r="Q866" s="35"/>
      <c r="R866" s="35"/>
      <c r="S866" s="35"/>
      <c r="T866" s="35"/>
      <c r="U866" s="35"/>
      <c r="V866" s="35"/>
      <c r="W866" s="35"/>
      <c r="X866" s="35"/>
      <c r="Y866" s="35"/>
      <c r="Z866" s="35"/>
    </row>
    <row r="867" ht="14.25" customHeight="1">
      <c r="A867" s="136"/>
      <c r="B867" s="137"/>
      <c r="C867" s="251"/>
      <c r="D867" s="452"/>
      <c r="E867" s="136"/>
      <c r="F867" s="253"/>
      <c r="G867" s="253"/>
      <c r="H867" s="527"/>
      <c r="I867" s="141"/>
      <c r="J867" s="141"/>
      <c r="K867" s="142"/>
      <c r="L867" s="142"/>
      <c r="M867" s="142"/>
      <c r="N867" s="142"/>
      <c r="O867" s="136"/>
      <c r="P867" s="34"/>
      <c r="Q867" s="35"/>
      <c r="R867" s="35"/>
      <c r="S867" s="35"/>
      <c r="T867" s="35"/>
      <c r="U867" s="35"/>
      <c r="V867" s="35"/>
      <c r="W867" s="35"/>
      <c r="X867" s="35"/>
      <c r="Y867" s="35"/>
      <c r="Z867" s="35"/>
    </row>
    <row r="868" ht="14.25" customHeight="1">
      <c r="A868" s="136"/>
      <c r="B868" s="137"/>
      <c r="C868" s="251"/>
      <c r="D868" s="452"/>
      <c r="E868" s="136"/>
      <c r="F868" s="253"/>
      <c r="G868" s="253"/>
      <c r="H868" s="527"/>
      <c r="I868" s="141"/>
      <c r="J868" s="141"/>
      <c r="K868" s="142"/>
      <c r="L868" s="142"/>
      <c r="M868" s="142"/>
      <c r="N868" s="142"/>
      <c r="O868" s="136"/>
      <c r="P868" s="34"/>
      <c r="Q868" s="35"/>
      <c r="R868" s="35"/>
      <c r="S868" s="35"/>
      <c r="T868" s="35"/>
      <c r="U868" s="35"/>
      <c r="V868" s="35"/>
      <c r="W868" s="35"/>
      <c r="X868" s="35"/>
      <c r="Y868" s="35"/>
      <c r="Z868" s="35"/>
    </row>
    <row r="869" ht="14.25" customHeight="1">
      <c r="A869" s="136"/>
      <c r="B869" s="137"/>
      <c r="C869" s="251"/>
      <c r="D869" s="452"/>
      <c r="E869" s="136"/>
      <c r="F869" s="253"/>
      <c r="G869" s="253"/>
      <c r="H869" s="527"/>
      <c r="I869" s="141"/>
      <c r="J869" s="141"/>
      <c r="K869" s="142"/>
      <c r="L869" s="142"/>
      <c r="M869" s="142"/>
      <c r="N869" s="142"/>
      <c r="O869" s="136"/>
      <c r="P869" s="34"/>
      <c r="Q869" s="35"/>
      <c r="R869" s="35"/>
      <c r="S869" s="35"/>
      <c r="T869" s="35"/>
      <c r="U869" s="35"/>
      <c r="V869" s="35"/>
      <c r="W869" s="35"/>
      <c r="X869" s="35"/>
      <c r="Y869" s="35"/>
      <c r="Z869" s="35"/>
    </row>
    <row r="870" ht="14.25" customHeight="1">
      <c r="A870" s="136"/>
      <c r="B870" s="137"/>
      <c r="C870" s="251"/>
      <c r="D870" s="452"/>
      <c r="E870" s="136"/>
      <c r="F870" s="253"/>
      <c r="G870" s="253"/>
      <c r="H870" s="527"/>
      <c r="I870" s="141"/>
      <c r="J870" s="141"/>
      <c r="K870" s="142"/>
      <c r="L870" s="142"/>
      <c r="M870" s="142"/>
      <c r="N870" s="142"/>
      <c r="O870" s="136"/>
      <c r="P870" s="34"/>
      <c r="Q870" s="35"/>
      <c r="R870" s="35"/>
      <c r="S870" s="35"/>
      <c r="T870" s="35"/>
      <c r="U870" s="35"/>
      <c r="V870" s="35"/>
      <c r="W870" s="35"/>
      <c r="X870" s="35"/>
      <c r="Y870" s="35"/>
      <c r="Z870" s="35"/>
    </row>
    <row r="871" ht="14.25" customHeight="1">
      <c r="A871" s="136"/>
      <c r="B871" s="137"/>
      <c r="C871" s="251"/>
      <c r="D871" s="452"/>
      <c r="E871" s="136"/>
      <c r="F871" s="253"/>
      <c r="G871" s="253"/>
      <c r="H871" s="527"/>
      <c r="I871" s="141"/>
      <c r="J871" s="141"/>
      <c r="K871" s="142"/>
      <c r="L871" s="142"/>
      <c r="M871" s="142"/>
      <c r="N871" s="142"/>
      <c r="O871" s="136"/>
      <c r="P871" s="34"/>
      <c r="Q871" s="35"/>
      <c r="R871" s="35"/>
      <c r="S871" s="35"/>
      <c r="T871" s="35"/>
      <c r="U871" s="35"/>
      <c r="V871" s="35"/>
      <c r="W871" s="35"/>
      <c r="X871" s="35"/>
      <c r="Y871" s="35"/>
      <c r="Z871" s="35"/>
    </row>
    <row r="872" ht="14.25" customHeight="1">
      <c r="A872" s="136"/>
      <c r="B872" s="137"/>
      <c r="C872" s="251"/>
      <c r="D872" s="452"/>
      <c r="E872" s="136"/>
      <c r="F872" s="253"/>
      <c r="G872" s="253"/>
      <c r="H872" s="527"/>
      <c r="I872" s="141"/>
      <c r="J872" s="141"/>
      <c r="K872" s="142"/>
      <c r="L872" s="142"/>
      <c r="M872" s="142"/>
      <c r="N872" s="142"/>
      <c r="O872" s="136"/>
      <c r="P872" s="34"/>
      <c r="Q872" s="35"/>
      <c r="R872" s="35"/>
      <c r="S872" s="35"/>
      <c r="T872" s="35"/>
      <c r="U872" s="35"/>
      <c r="V872" s="35"/>
      <c r="W872" s="35"/>
      <c r="X872" s="35"/>
      <c r="Y872" s="35"/>
      <c r="Z872" s="35"/>
    </row>
    <row r="873" ht="14.25" customHeight="1">
      <c r="A873" s="136"/>
      <c r="B873" s="137"/>
      <c r="C873" s="251"/>
      <c r="D873" s="452"/>
      <c r="E873" s="136"/>
      <c r="F873" s="253"/>
      <c r="G873" s="253"/>
      <c r="H873" s="527"/>
      <c r="I873" s="141"/>
      <c r="J873" s="141"/>
      <c r="K873" s="142"/>
      <c r="L873" s="142"/>
      <c r="M873" s="142"/>
      <c r="N873" s="142"/>
      <c r="O873" s="136"/>
      <c r="P873" s="34"/>
      <c r="Q873" s="35"/>
      <c r="R873" s="35"/>
      <c r="S873" s="35"/>
      <c r="T873" s="35"/>
      <c r="U873" s="35"/>
      <c r="V873" s="35"/>
      <c r="W873" s="35"/>
      <c r="X873" s="35"/>
      <c r="Y873" s="35"/>
      <c r="Z873" s="35"/>
    </row>
    <row r="874" ht="14.25" customHeight="1">
      <c r="A874" s="136"/>
      <c r="B874" s="137"/>
      <c r="C874" s="251"/>
      <c r="D874" s="452"/>
      <c r="E874" s="136"/>
      <c r="F874" s="253"/>
      <c r="G874" s="253"/>
      <c r="H874" s="527"/>
      <c r="I874" s="141"/>
      <c r="J874" s="141"/>
      <c r="K874" s="142"/>
      <c r="L874" s="142"/>
      <c r="M874" s="142"/>
      <c r="N874" s="142"/>
      <c r="O874" s="136"/>
      <c r="P874" s="34"/>
      <c r="Q874" s="35"/>
      <c r="R874" s="35"/>
      <c r="S874" s="35"/>
      <c r="T874" s="35"/>
      <c r="U874" s="35"/>
      <c r="V874" s="35"/>
      <c r="W874" s="35"/>
      <c r="X874" s="35"/>
      <c r="Y874" s="35"/>
      <c r="Z874" s="35"/>
    </row>
    <row r="875" ht="14.25" customHeight="1">
      <c r="A875" s="136"/>
      <c r="B875" s="137"/>
      <c r="C875" s="251"/>
      <c r="D875" s="452"/>
      <c r="E875" s="136"/>
      <c r="F875" s="253"/>
      <c r="G875" s="253"/>
      <c r="H875" s="527"/>
      <c r="I875" s="141"/>
      <c r="J875" s="141"/>
      <c r="K875" s="142"/>
      <c r="L875" s="142"/>
      <c r="M875" s="142"/>
      <c r="N875" s="142"/>
      <c r="O875" s="136"/>
      <c r="P875" s="34"/>
      <c r="Q875" s="35"/>
      <c r="R875" s="35"/>
      <c r="S875" s="35"/>
      <c r="T875" s="35"/>
      <c r="U875" s="35"/>
      <c r="V875" s="35"/>
      <c r="W875" s="35"/>
      <c r="X875" s="35"/>
      <c r="Y875" s="35"/>
      <c r="Z875" s="35"/>
    </row>
    <row r="876" ht="14.25" customHeight="1">
      <c r="A876" s="136"/>
      <c r="B876" s="137"/>
      <c r="C876" s="251"/>
      <c r="D876" s="452"/>
      <c r="E876" s="136"/>
      <c r="F876" s="253"/>
      <c r="G876" s="253"/>
      <c r="H876" s="527"/>
      <c r="I876" s="141"/>
      <c r="J876" s="141"/>
      <c r="K876" s="142"/>
      <c r="L876" s="142"/>
      <c r="M876" s="142"/>
      <c r="N876" s="142"/>
      <c r="O876" s="136"/>
      <c r="P876" s="34"/>
      <c r="Q876" s="35"/>
      <c r="R876" s="35"/>
      <c r="S876" s="35"/>
      <c r="T876" s="35"/>
      <c r="U876" s="35"/>
      <c r="V876" s="35"/>
      <c r="W876" s="35"/>
      <c r="X876" s="35"/>
      <c r="Y876" s="35"/>
      <c r="Z876" s="35"/>
    </row>
    <row r="877" ht="14.25" customHeight="1">
      <c r="A877" s="136"/>
      <c r="B877" s="137"/>
      <c r="C877" s="251"/>
      <c r="D877" s="452"/>
      <c r="E877" s="136"/>
      <c r="F877" s="253"/>
      <c r="G877" s="253"/>
      <c r="H877" s="527"/>
      <c r="I877" s="141"/>
      <c r="J877" s="141"/>
      <c r="K877" s="142"/>
      <c r="L877" s="142"/>
      <c r="M877" s="142"/>
      <c r="N877" s="142"/>
      <c r="O877" s="136"/>
      <c r="P877" s="34"/>
      <c r="Q877" s="35"/>
      <c r="R877" s="35"/>
      <c r="S877" s="35"/>
      <c r="T877" s="35"/>
      <c r="U877" s="35"/>
      <c r="V877" s="35"/>
      <c r="W877" s="35"/>
      <c r="X877" s="35"/>
      <c r="Y877" s="35"/>
      <c r="Z877" s="35"/>
    </row>
    <row r="878" ht="14.25" customHeight="1">
      <c r="A878" s="136"/>
      <c r="B878" s="137"/>
      <c r="C878" s="251"/>
      <c r="D878" s="452"/>
      <c r="E878" s="136"/>
      <c r="F878" s="253"/>
      <c r="G878" s="253"/>
      <c r="H878" s="527"/>
      <c r="I878" s="141"/>
      <c r="J878" s="141"/>
      <c r="K878" s="142"/>
      <c r="L878" s="142"/>
      <c r="M878" s="142"/>
      <c r="N878" s="142"/>
      <c r="O878" s="136"/>
      <c r="P878" s="34"/>
      <c r="Q878" s="35"/>
      <c r="R878" s="35"/>
      <c r="S878" s="35"/>
      <c r="T878" s="35"/>
      <c r="U878" s="35"/>
      <c r="V878" s="35"/>
      <c r="W878" s="35"/>
      <c r="X878" s="35"/>
      <c r="Y878" s="35"/>
      <c r="Z878" s="35"/>
    </row>
    <row r="879" ht="14.25" customHeight="1">
      <c r="A879" s="136"/>
      <c r="B879" s="137"/>
      <c r="C879" s="251"/>
      <c r="D879" s="452"/>
      <c r="E879" s="136"/>
      <c r="F879" s="253"/>
      <c r="G879" s="253"/>
      <c r="H879" s="527"/>
      <c r="I879" s="141"/>
      <c r="J879" s="141"/>
      <c r="K879" s="142"/>
      <c r="L879" s="142"/>
      <c r="M879" s="142"/>
      <c r="N879" s="142"/>
      <c r="O879" s="136"/>
      <c r="P879" s="34"/>
      <c r="Q879" s="35"/>
      <c r="R879" s="35"/>
      <c r="S879" s="35"/>
      <c r="T879" s="35"/>
      <c r="U879" s="35"/>
      <c r="V879" s="35"/>
      <c r="W879" s="35"/>
      <c r="X879" s="35"/>
      <c r="Y879" s="35"/>
      <c r="Z879" s="35"/>
    </row>
    <row r="880" ht="14.25" customHeight="1">
      <c r="A880" s="136"/>
      <c r="B880" s="137"/>
      <c r="C880" s="251"/>
      <c r="D880" s="452"/>
      <c r="E880" s="136"/>
      <c r="F880" s="253"/>
      <c r="G880" s="253"/>
      <c r="H880" s="527"/>
      <c r="I880" s="141"/>
      <c r="J880" s="141"/>
      <c r="K880" s="142"/>
      <c r="L880" s="142"/>
      <c r="M880" s="142"/>
      <c r="N880" s="142"/>
      <c r="O880" s="136"/>
      <c r="P880" s="34"/>
      <c r="Q880" s="35"/>
      <c r="R880" s="35"/>
      <c r="S880" s="35"/>
      <c r="T880" s="35"/>
      <c r="U880" s="35"/>
      <c r="V880" s="35"/>
      <c r="W880" s="35"/>
      <c r="X880" s="35"/>
      <c r="Y880" s="35"/>
      <c r="Z880" s="35"/>
    </row>
    <row r="881" ht="14.25" customHeight="1">
      <c r="A881" s="136"/>
      <c r="B881" s="137"/>
      <c r="C881" s="251"/>
      <c r="D881" s="452"/>
      <c r="E881" s="136"/>
      <c r="F881" s="253"/>
      <c r="G881" s="253"/>
      <c r="H881" s="527"/>
      <c r="I881" s="141"/>
      <c r="J881" s="141"/>
      <c r="K881" s="142"/>
      <c r="L881" s="142"/>
      <c r="M881" s="142"/>
      <c r="N881" s="142"/>
      <c r="O881" s="136"/>
      <c r="P881" s="34"/>
      <c r="Q881" s="35"/>
      <c r="R881" s="35"/>
      <c r="S881" s="35"/>
      <c r="T881" s="35"/>
      <c r="U881" s="35"/>
      <c r="V881" s="35"/>
      <c r="W881" s="35"/>
      <c r="X881" s="35"/>
      <c r="Y881" s="35"/>
      <c r="Z881" s="35"/>
    </row>
    <row r="882" ht="14.25" customHeight="1">
      <c r="A882" s="136"/>
      <c r="B882" s="137"/>
      <c r="C882" s="251"/>
      <c r="D882" s="452"/>
      <c r="E882" s="136"/>
      <c r="F882" s="253"/>
      <c r="G882" s="253"/>
      <c r="H882" s="527"/>
      <c r="I882" s="141"/>
      <c r="J882" s="141"/>
      <c r="K882" s="142"/>
      <c r="L882" s="142"/>
      <c r="M882" s="142"/>
      <c r="N882" s="142"/>
      <c r="O882" s="136"/>
      <c r="P882" s="34"/>
      <c r="Q882" s="35"/>
      <c r="R882" s="35"/>
      <c r="S882" s="35"/>
      <c r="T882" s="35"/>
      <c r="U882" s="35"/>
      <c r="V882" s="35"/>
      <c r="W882" s="35"/>
      <c r="X882" s="35"/>
      <c r="Y882" s="35"/>
      <c r="Z882" s="35"/>
    </row>
    <row r="883" ht="14.25" customHeight="1">
      <c r="A883" s="136"/>
      <c r="B883" s="137"/>
      <c r="C883" s="251"/>
      <c r="D883" s="452"/>
      <c r="E883" s="136"/>
      <c r="F883" s="253"/>
      <c r="G883" s="253"/>
      <c r="H883" s="527"/>
      <c r="I883" s="141"/>
      <c r="J883" s="141"/>
      <c r="K883" s="142"/>
      <c r="L883" s="142"/>
      <c r="M883" s="142"/>
      <c r="N883" s="142"/>
      <c r="O883" s="136"/>
      <c r="P883" s="34"/>
      <c r="Q883" s="35"/>
      <c r="R883" s="35"/>
      <c r="S883" s="35"/>
      <c r="T883" s="35"/>
      <c r="U883" s="35"/>
      <c r="V883" s="35"/>
      <c r="W883" s="35"/>
      <c r="X883" s="35"/>
      <c r="Y883" s="35"/>
      <c r="Z883" s="35"/>
    </row>
    <row r="884" ht="14.25" customHeight="1">
      <c r="A884" s="136"/>
      <c r="B884" s="137"/>
      <c r="C884" s="251"/>
      <c r="D884" s="452"/>
      <c r="E884" s="136"/>
      <c r="F884" s="253"/>
      <c r="G884" s="253"/>
      <c r="H884" s="527"/>
      <c r="I884" s="141"/>
      <c r="J884" s="141"/>
      <c r="K884" s="142"/>
      <c r="L884" s="142"/>
      <c r="M884" s="142"/>
      <c r="N884" s="142"/>
      <c r="O884" s="136"/>
      <c r="P884" s="34"/>
      <c r="Q884" s="35"/>
      <c r="R884" s="35"/>
      <c r="S884" s="35"/>
      <c r="T884" s="35"/>
      <c r="U884" s="35"/>
      <c r="V884" s="35"/>
      <c r="W884" s="35"/>
      <c r="X884" s="35"/>
      <c r="Y884" s="35"/>
      <c r="Z884" s="35"/>
    </row>
    <row r="885" ht="14.25" customHeight="1">
      <c r="A885" s="136"/>
      <c r="B885" s="137"/>
      <c r="C885" s="251"/>
      <c r="D885" s="452"/>
      <c r="E885" s="136"/>
      <c r="F885" s="253"/>
      <c r="G885" s="253"/>
      <c r="H885" s="527"/>
      <c r="I885" s="141"/>
      <c r="J885" s="141"/>
      <c r="K885" s="142"/>
      <c r="L885" s="142"/>
      <c r="M885" s="142"/>
      <c r="N885" s="142"/>
      <c r="O885" s="136"/>
      <c r="P885" s="34"/>
      <c r="Q885" s="35"/>
      <c r="R885" s="35"/>
      <c r="S885" s="35"/>
      <c r="T885" s="35"/>
      <c r="U885" s="35"/>
      <c r="V885" s="35"/>
      <c r="W885" s="35"/>
      <c r="X885" s="35"/>
      <c r="Y885" s="35"/>
      <c r="Z885" s="35"/>
    </row>
    <row r="886" ht="14.25" customHeight="1">
      <c r="A886" s="136"/>
      <c r="B886" s="137"/>
      <c r="C886" s="251"/>
      <c r="D886" s="452"/>
      <c r="E886" s="136"/>
      <c r="F886" s="253"/>
      <c r="G886" s="253"/>
      <c r="H886" s="527"/>
      <c r="I886" s="141"/>
      <c r="J886" s="141"/>
      <c r="K886" s="142"/>
      <c r="L886" s="142"/>
      <c r="M886" s="142"/>
      <c r="N886" s="142"/>
      <c r="O886" s="136"/>
      <c r="P886" s="34"/>
      <c r="Q886" s="35"/>
      <c r="R886" s="35"/>
      <c r="S886" s="35"/>
      <c r="T886" s="35"/>
      <c r="U886" s="35"/>
      <c r="V886" s="35"/>
      <c r="W886" s="35"/>
      <c r="X886" s="35"/>
      <c r="Y886" s="35"/>
      <c r="Z886" s="35"/>
    </row>
    <row r="887" ht="14.25" customHeight="1">
      <c r="A887" s="136"/>
      <c r="B887" s="137"/>
      <c r="C887" s="251"/>
      <c r="D887" s="452"/>
      <c r="E887" s="136"/>
      <c r="F887" s="253"/>
      <c r="G887" s="253"/>
      <c r="H887" s="527"/>
      <c r="I887" s="141"/>
      <c r="J887" s="141"/>
      <c r="K887" s="142"/>
      <c r="L887" s="142"/>
      <c r="M887" s="142"/>
      <c r="N887" s="142"/>
      <c r="O887" s="136"/>
      <c r="P887" s="34"/>
      <c r="Q887" s="35"/>
      <c r="R887" s="35"/>
      <c r="S887" s="35"/>
      <c r="T887" s="35"/>
      <c r="U887" s="35"/>
      <c r="V887" s="35"/>
      <c r="W887" s="35"/>
      <c r="X887" s="35"/>
      <c r="Y887" s="35"/>
      <c r="Z887" s="35"/>
    </row>
    <row r="888" ht="14.25" customHeight="1">
      <c r="A888" s="136"/>
      <c r="B888" s="137"/>
      <c r="C888" s="251"/>
      <c r="D888" s="452"/>
      <c r="E888" s="136"/>
      <c r="F888" s="253"/>
      <c r="G888" s="253"/>
      <c r="H888" s="527"/>
      <c r="I888" s="141"/>
      <c r="J888" s="141"/>
      <c r="K888" s="142"/>
      <c r="L888" s="142"/>
      <c r="M888" s="142"/>
      <c r="N888" s="142"/>
      <c r="O888" s="136"/>
      <c r="P888" s="34"/>
      <c r="Q888" s="35"/>
      <c r="R888" s="35"/>
      <c r="S888" s="35"/>
      <c r="T888" s="35"/>
      <c r="U888" s="35"/>
      <c r="V888" s="35"/>
      <c r="W888" s="35"/>
      <c r="X888" s="35"/>
      <c r="Y888" s="35"/>
      <c r="Z888" s="35"/>
    </row>
    <row r="889" ht="14.25" customHeight="1">
      <c r="A889" s="136"/>
      <c r="B889" s="137"/>
      <c r="C889" s="251"/>
      <c r="D889" s="452"/>
      <c r="E889" s="136"/>
      <c r="F889" s="253"/>
      <c r="G889" s="253"/>
      <c r="H889" s="527"/>
      <c r="I889" s="141"/>
      <c r="J889" s="141"/>
      <c r="K889" s="142"/>
      <c r="L889" s="142"/>
      <c r="M889" s="142"/>
      <c r="N889" s="142"/>
      <c r="O889" s="136"/>
      <c r="P889" s="34"/>
      <c r="Q889" s="35"/>
      <c r="R889" s="35"/>
      <c r="S889" s="35"/>
      <c r="T889" s="35"/>
      <c r="U889" s="35"/>
      <c r="V889" s="35"/>
      <c r="W889" s="35"/>
      <c r="X889" s="35"/>
      <c r="Y889" s="35"/>
      <c r="Z889" s="35"/>
    </row>
    <row r="890" ht="14.25" customHeight="1">
      <c r="A890" s="136"/>
      <c r="B890" s="137"/>
      <c r="C890" s="251"/>
      <c r="D890" s="452"/>
      <c r="E890" s="136"/>
      <c r="F890" s="253"/>
      <c r="G890" s="253"/>
      <c r="H890" s="527"/>
      <c r="I890" s="141"/>
      <c r="J890" s="141"/>
      <c r="K890" s="142"/>
      <c r="L890" s="142"/>
      <c r="M890" s="142"/>
      <c r="N890" s="142"/>
      <c r="O890" s="136"/>
      <c r="P890" s="34"/>
      <c r="Q890" s="35"/>
      <c r="R890" s="35"/>
      <c r="S890" s="35"/>
      <c r="T890" s="35"/>
      <c r="U890" s="35"/>
      <c r="V890" s="35"/>
      <c r="W890" s="35"/>
      <c r="X890" s="35"/>
      <c r="Y890" s="35"/>
      <c r="Z890" s="35"/>
    </row>
    <row r="891" ht="14.25" customHeight="1">
      <c r="A891" s="136"/>
      <c r="B891" s="137"/>
      <c r="C891" s="251"/>
      <c r="D891" s="452"/>
      <c r="E891" s="136"/>
      <c r="F891" s="253"/>
      <c r="G891" s="253"/>
      <c r="H891" s="527"/>
      <c r="I891" s="141"/>
      <c r="J891" s="141"/>
      <c r="K891" s="142"/>
      <c r="L891" s="142"/>
      <c r="M891" s="142"/>
      <c r="N891" s="142"/>
      <c r="O891" s="136"/>
      <c r="P891" s="34"/>
      <c r="Q891" s="35"/>
      <c r="R891" s="35"/>
      <c r="S891" s="35"/>
      <c r="T891" s="35"/>
      <c r="U891" s="35"/>
      <c r="V891" s="35"/>
      <c r="W891" s="35"/>
      <c r="X891" s="35"/>
      <c r="Y891" s="35"/>
      <c r="Z891" s="35"/>
    </row>
    <row r="892" ht="14.25" customHeight="1">
      <c r="A892" s="136"/>
      <c r="B892" s="137"/>
      <c r="C892" s="251"/>
      <c r="D892" s="452"/>
      <c r="E892" s="136"/>
      <c r="F892" s="253"/>
      <c r="G892" s="253"/>
      <c r="H892" s="527"/>
      <c r="I892" s="141"/>
      <c r="J892" s="141"/>
      <c r="K892" s="142"/>
      <c r="L892" s="142"/>
      <c r="M892" s="142"/>
      <c r="N892" s="142"/>
      <c r="O892" s="136"/>
      <c r="P892" s="34"/>
      <c r="Q892" s="35"/>
      <c r="R892" s="35"/>
      <c r="S892" s="35"/>
      <c r="T892" s="35"/>
      <c r="U892" s="35"/>
      <c r="V892" s="35"/>
      <c r="W892" s="35"/>
      <c r="X892" s="35"/>
      <c r="Y892" s="35"/>
      <c r="Z892" s="35"/>
    </row>
    <row r="893" ht="14.25" customHeight="1">
      <c r="A893" s="136"/>
      <c r="B893" s="137"/>
      <c r="C893" s="251"/>
      <c r="D893" s="452"/>
      <c r="E893" s="136"/>
      <c r="F893" s="253"/>
      <c r="G893" s="253"/>
      <c r="H893" s="527"/>
      <c r="I893" s="141"/>
      <c r="J893" s="141"/>
      <c r="K893" s="142"/>
      <c r="L893" s="142"/>
      <c r="M893" s="142"/>
      <c r="N893" s="142"/>
      <c r="O893" s="136"/>
      <c r="P893" s="34"/>
      <c r="Q893" s="35"/>
      <c r="R893" s="35"/>
      <c r="S893" s="35"/>
      <c r="T893" s="35"/>
      <c r="U893" s="35"/>
      <c r="V893" s="35"/>
      <c r="W893" s="35"/>
      <c r="X893" s="35"/>
      <c r="Y893" s="35"/>
      <c r="Z893" s="35"/>
    </row>
    <row r="894" ht="14.25" customHeight="1">
      <c r="A894" s="136"/>
      <c r="B894" s="137"/>
      <c r="C894" s="251"/>
      <c r="D894" s="452"/>
      <c r="E894" s="136"/>
      <c r="F894" s="253"/>
      <c r="G894" s="253"/>
      <c r="H894" s="527"/>
      <c r="I894" s="141"/>
      <c r="J894" s="141"/>
      <c r="K894" s="142"/>
      <c r="L894" s="142"/>
      <c r="M894" s="142"/>
      <c r="N894" s="142"/>
      <c r="O894" s="136"/>
      <c r="P894" s="34"/>
      <c r="Q894" s="35"/>
      <c r="R894" s="35"/>
      <c r="S894" s="35"/>
      <c r="T894" s="35"/>
      <c r="U894" s="35"/>
      <c r="V894" s="35"/>
      <c r="W894" s="35"/>
      <c r="X894" s="35"/>
      <c r="Y894" s="35"/>
      <c r="Z894" s="35"/>
    </row>
    <row r="895" ht="14.25" customHeight="1">
      <c r="A895" s="136"/>
      <c r="B895" s="137"/>
      <c r="C895" s="251"/>
      <c r="D895" s="452"/>
      <c r="E895" s="136"/>
      <c r="F895" s="253"/>
      <c r="G895" s="253"/>
      <c r="H895" s="527"/>
      <c r="I895" s="141"/>
      <c r="J895" s="141"/>
      <c r="K895" s="142"/>
      <c r="L895" s="142"/>
      <c r="M895" s="142"/>
      <c r="N895" s="142"/>
      <c r="O895" s="136"/>
      <c r="P895" s="34"/>
      <c r="Q895" s="35"/>
      <c r="R895" s="35"/>
      <c r="S895" s="35"/>
      <c r="T895" s="35"/>
      <c r="U895" s="35"/>
      <c r="V895" s="35"/>
      <c r="W895" s="35"/>
      <c r="X895" s="35"/>
      <c r="Y895" s="35"/>
      <c r="Z895" s="35"/>
    </row>
    <row r="896" ht="14.25" customHeight="1">
      <c r="A896" s="136"/>
      <c r="B896" s="137"/>
      <c r="C896" s="251"/>
      <c r="D896" s="452"/>
      <c r="E896" s="136"/>
      <c r="F896" s="253"/>
      <c r="G896" s="253"/>
      <c r="H896" s="527"/>
      <c r="I896" s="141"/>
      <c r="J896" s="141"/>
      <c r="K896" s="142"/>
      <c r="L896" s="142"/>
      <c r="M896" s="142"/>
      <c r="N896" s="142"/>
      <c r="O896" s="136"/>
      <c r="P896" s="34"/>
      <c r="Q896" s="35"/>
      <c r="R896" s="35"/>
      <c r="S896" s="35"/>
      <c r="T896" s="35"/>
      <c r="U896" s="35"/>
      <c r="V896" s="35"/>
      <c r="W896" s="35"/>
      <c r="X896" s="35"/>
      <c r="Y896" s="35"/>
      <c r="Z896" s="35"/>
    </row>
    <row r="897" ht="14.25" customHeight="1">
      <c r="A897" s="136"/>
      <c r="B897" s="137"/>
      <c r="C897" s="251"/>
      <c r="D897" s="452"/>
      <c r="E897" s="136"/>
      <c r="F897" s="253"/>
      <c r="G897" s="253"/>
      <c r="H897" s="527"/>
      <c r="I897" s="141"/>
      <c r="J897" s="141"/>
      <c r="K897" s="142"/>
      <c r="L897" s="142"/>
      <c r="M897" s="142"/>
      <c r="N897" s="142"/>
      <c r="O897" s="136"/>
      <c r="P897" s="34"/>
      <c r="Q897" s="35"/>
      <c r="R897" s="35"/>
      <c r="S897" s="35"/>
      <c r="T897" s="35"/>
      <c r="U897" s="35"/>
      <c r="V897" s="35"/>
      <c r="W897" s="35"/>
      <c r="X897" s="35"/>
      <c r="Y897" s="35"/>
      <c r="Z897" s="35"/>
    </row>
    <row r="898" ht="14.25" customHeight="1">
      <c r="A898" s="136"/>
      <c r="B898" s="137"/>
      <c r="C898" s="251"/>
      <c r="D898" s="452"/>
      <c r="E898" s="136"/>
      <c r="F898" s="253"/>
      <c r="G898" s="253"/>
      <c r="H898" s="527"/>
      <c r="I898" s="141"/>
      <c r="J898" s="141"/>
      <c r="K898" s="142"/>
      <c r="L898" s="142"/>
      <c r="M898" s="142"/>
      <c r="N898" s="142"/>
      <c r="O898" s="136"/>
      <c r="P898" s="34"/>
      <c r="Q898" s="35"/>
      <c r="R898" s="35"/>
      <c r="S898" s="35"/>
      <c r="T898" s="35"/>
      <c r="U898" s="35"/>
      <c r="V898" s="35"/>
      <c r="W898" s="35"/>
      <c r="X898" s="35"/>
      <c r="Y898" s="35"/>
      <c r="Z898" s="35"/>
    </row>
    <row r="899" ht="14.25" customHeight="1">
      <c r="A899" s="136"/>
      <c r="B899" s="137"/>
      <c r="C899" s="251"/>
      <c r="D899" s="452"/>
      <c r="E899" s="136"/>
      <c r="F899" s="253"/>
      <c r="G899" s="253"/>
      <c r="H899" s="527"/>
      <c r="I899" s="141"/>
      <c r="J899" s="141"/>
      <c r="K899" s="142"/>
      <c r="L899" s="142"/>
      <c r="M899" s="142"/>
      <c r="N899" s="142"/>
      <c r="O899" s="136"/>
      <c r="P899" s="34"/>
      <c r="Q899" s="35"/>
      <c r="R899" s="35"/>
      <c r="S899" s="35"/>
      <c r="T899" s="35"/>
      <c r="U899" s="35"/>
      <c r="V899" s="35"/>
      <c r="W899" s="35"/>
      <c r="X899" s="35"/>
      <c r="Y899" s="35"/>
      <c r="Z899" s="35"/>
    </row>
    <row r="900" ht="14.25" customHeight="1">
      <c r="A900" s="136"/>
      <c r="B900" s="137"/>
      <c r="C900" s="251"/>
      <c r="D900" s="452"/>
      <c r="E900" s="136"/>
      <c r="F900" s="253"/>
      <c r="G900" s="253"/>
      <c r="H900" s="527"/>
      <c r="I900" s="141"/>
      <c r="J900" s="141"/>
      <c r="K900" s="142"/>
      <c r="L900" s="142"/>
      <c r="M900" s="142"/>
      <c r="N900" s="142"/>
      <c r="O900" s="136"/>
      <c r="P900" s="34"/>
      <c r="Q900" s="35"/>
      <c r="R900" s="35"/>
      <c r="S900" s="35"/>
      <c r="T900" s="35"/>
      <c r="U900" s="35"/>
      <c r="V900" s="35"/>
      <c r="W900" s="35"/>
      <c r="X900" s="35"/>
      <c r="Y900" s="35"/>
      <c r="Z900" s="35"/>
    </row>
    <row r="901" ht="14.25" customHeight="1">
      <c r="A901" s="136"/>
      <c r="B901" s="137"/>
      <c r="C901" s="251"/>
      <c r="D901" s="452"/>
      <c r="E901" s="136"/>
      <c r="F901" s="253"/>
      <c r="G901" s="253"/>
      <c r="H901" s="527"/>
      <c r="I901" s="141"/>
      <c r="J901" s="141"/>
      <c r="K901" s="142"/>
      <c r="L901" s="142"/>
      <c r="M901" s="142"/>
      <c r="N901" s="142"/>
      <c r="O901" s="136"/>
      <c r="P901" s="34"/>
      <c r="Q901" s="35"/>
      <c r="R901" s="35"/>
      <c r="S901" s="35"/>
      <c r="T901" s="35"/>
      <c r="U901" s="35"/>
      <c r="V901" s="35"/>
      <c r="W901" s="35"/>
      <c r="X901" s="35"/>
      <c r="Y901" s="35"/>
      <c r="Z901" s="35"/>
    </row>
    <row r="902" ht="14.25" customHeight="1">
      <c r="A902" s="136"/>
      <c r="B902" s="137"/>
      <c r="C902" s="251"/>
      <c r="D902" s="452"/>
      <c r="E902" s="136"/>
      <c r="F902" s="253"/>
      <c r="G902" s="253"/>
      <c r="H902" s="527"/>
      <c r="I902" s="141"/>
      <c r="J902" s="141"/>
      <c r="K902" s="142"/>
      <c r="L902" s="142"/>
      <c r="M902" s="142"/>
      <c r="N902" s="142"/>
      <c r="O902" s="136"/>
      <c r="P902" s="34"/>
      <c r="Q902" s="35"/>
      <c r="R902" s="35"/>
      <c r="S902" s="35"/>
      <c r="T902" s="35"/>
      <c r="U902" s="35"/>
      <c r="V902" s="35"/>
      <c r="W902" s="35"/>
      <c r="X902" s="35"/>
      <c r="Y902" s="35"/>
      <c r="Z902" s="35"/>
    </row>
    <row r="903" ht="14.25" customHeight="1">
      <c r="A903" s="136"/>
      <c r="B903" s="137"/>
      <c r="C903" s="251"/>
      <c r="D903" s="452"/>
      <c r="E903" s="136"/>
      <c r="F903" s="253"/>
      <c r="G903" s="253"/>
      <c r="H903" s="527"/>
      <c r="I903" s="141"/>
      <c r="J903" s="141"/>
      <c r="K903" s="142"/>
      <c r="L903" s="142"/>
      <c r="M903" s="142"/>
      <c r="N903" s="142"/>
      <c r="O903" s="136"/>
      <c r="P903" s="34"/>
      <c r="Q903" s="35"/>
      <c r="R903" s="35"/>
      <c r="S903" s="35"/>
      <c r="T903" s="35"/>
      <c r="U903" s="35"/>
      <c r="V903" s="35"/>
      <c r="W903" s="35"/>
      <c r="X903" s="35"/>
      <c r="Y903" s="35"/>
      <c r="Z903" s="35"/>
    </row>
    <row r="904" ht="14.25" customHeight="1">
      <c r="A904" s="136"/>
      <c r="B904" s="137"/>
      <c r="C904" s="251"/>
      <c r="D904" s="452"/>
      <c r="E904" s="136"/>
      <c r="F904" s="253"/>
      <c r="G904" s="253"/>
      <c r="H904" s="527"/>
      <c r="I904" s="141"/>
      <c r="J904" s="141"/>
      <c r="K904" s="142"/>
      <c r="L904" s="142"/>
      <c r="M904" s="142"/>
      <c r="N904" s="142"/>
      <c r="O904" s="136"/>
      <c r="P904" s="34"/>
      <c r="Q904" s="35"/>
      <c r="R904" s="35"/>
      <c r="S904" s="35"/>
      <c r="T904" s="35"/>
      <c r="U904" s="35"/>
      <c r="V904" s="35"/>
      <c r="W904" s="35"/>
      <c r="X904" s="35"/>
      <c r="Y904" s="35"/>
      <c r="Z904" s="35"/>
    </row>
    <row r="905" ht="14.25" customHeight="1">
      <c r="A905" s="136"/>
      <c r="B905" s="137"/>
      <c r="C905" s="251"/>
      <c r="D905" s="452"/>
      <c r="E905" s="136"/>
      <c r="F905" s="253"/>
      <c r="G905" s="253"/>
      <c r="H905" s="527"/>
      <c r="I905" s="141"/>
      <c r="J905" s="141"/>
      <c r="K905" s="142"/>
      <c r="L905" s="142"/>
      <c r="M905" s="142"/>
      <c r="N905" s="142"/>
      <c r="O905" s="136"/>
      <c r="P905" s="34"/>
      <c r="Q905" s="35"/>
      <c r="R905" s="35"/>
      <c r="S905" s="35"/>
      <c r="T905" s="35"/>
      <c r="U905" s="35"/>
      <c r="V905" s="35"/>
      <c r="W905" s="35"/>
      <c r="X905" s="35"/>
      <c r="Y905" s="35"/>
      <c r="Z905" s="35"/>
    </row>
    <row r="906" ht="14.25" customHeight="1">
      <c r="A906" s="136"/>
      <c r="B906" s="137"/>
      <c r="C906" s="251"/>
      <c r="D906" s="452"/>
      <c r="E906" s="136"/>
      <c r="F906" s="253"/>
      <c r="G906" s="253"/>
      <c r="H906" s="527"/>
      <c r="I906" s="141"/>
      <c r="J906" s="141"/>
      <c r="K906" s="142"/>
      <c r="L906" s="142"/>
      <c r="M906" s="142"/>
      <c r="N906" s="142"/>
      <c r="O906" s="136"/>
      <c r="P906" s="34"/>
      <c r="Q906" s="35"/>
      <c r="R906" s="35"/>
      <c r="S906" s="35"/>
      <c r="T906" s="35"/>
      <c r="U906" s="35"/>
      <c r="V906" s="35"/>
      <c r="W906" s="35"/>
      <c r="X906" s="35"/>
      <c r="Y906" s="35"/>
      <c r="Z906" s="35"/>
    </row>
    <row r="907" ht="14.25" customHeight="1">
      <c r="A907" s="136"/>
      <c r="B907" s="137"/>
      <c r="C907" s="251"/>
      <c r="D907" s="452"/>
      <c r="E907" s="136"/>
      <c r="F907" s="253"/>
      <c r="G907" s="253"/>
      <c r="H907" s="527"/>
      <c r="I907" s="141"/>
      <c r="J907" s="141"/>
      <c r="K907" s="142"/>
      <c r="L907" s="142"/>
      <c r="M907" s="142"/>
      <c r="N907" s="142"/>
      <c r="O907" s="136"/>
      <c r="P907" s="34"/>
      <c r="Q907" s="35"/>
      <c r="R907" s="35"/>
      <c r="S907" s="35"/>
      <c r="T907" s="35"/>
      <c r="U907" s="35"/>
      <c r="V907" s="35"/>
      <c r="W907" s="35"/>
      <c r="X907" s="35"/>
      <c r="Y907" s="35"/>
      <c r="Z907" s="35"/>
    </row>
    <row r="908" ht="14.25" customHeight="1">
      <c r="A908" s="136"/>
      <c r="B908" s="137"/>
      <c r="C908" s="251"/>
      <c r="D908" s="452"/>
      <c r="E908" s="136"/>
      <c r="F908" s="253"/>
      <c r="G908" s="253"/>
      <c r="H908" s="527"/>
      <c r="I908" s="141"/>
      <c r="J908" s="141"/>
      <c r="K908" s="142"/>
      <c r="L908" s="142"/>
      <c r="M908" s="142"/>
      <c r="N908" s="142"/>
      <c r="O908" s="136"/>
      <c r="P908" s="34"/>
      <c r="Q908" s="35"/>
      <c r="R908" s="35"/>
      <c r="S908" s="35"/>
      <c r="T908" s="35"/>
      <c r="U908" s="35"/>
      <c r="V908" s="35"/>
      <c r="W908" s="35"/>
      <c r="X908" s="35"/>
      <c r="Y908" s="35"/>
      <c r="Z908" s="35"/>
    </row>
    <row r="909" ht="14.25" customHeight="1">
      <c r="A909" s="136"/>
      <c r="B909" s="137"/>
      <c r="C909" s="251"/>
      <c r="D909" s="452"/>
      <c r="E909" s="136"/>
      <c r="F909" s="253"/>
      <c r="G909" s="253"/>
      <c r="H909" s="527"/>
      <c r="I909" s="141"/>
      <c r="J909" s="141"/>
      <c r="K909" s="142"/>
      <c r="L909" s="142"/>
      <c r="M909" s="142"/>
      <c r="N909" s="142"/>
      <c r="O909" s="136"/>
      <c r="P909" s="34"/>
      <c r="Q909" s="35"/>
      <c r="R909" s="35"/>
      <c r="S909" s="35"/>
      <c r="T909" s="35"/>
      <c r="U909" s="35"/>
      <c r="V909" s="35"/>
      <c r="W909" s="35"/>
      <c r="X909" s="35"/>
      <c r="Y909" s="35"/>
      <c r="Z909" s="35"/>
    </row>
    <row r="910" ht="14.25" customHeight="1">
      <c r="A910" s="136"/>
      <c r="B910" s="137"/>
      <c r="C910" s="251"/>
      <c r="D910" s="452"/>
      <c r="E910" s="136"/>
      <c r="F910" s="253"/>
      <c r="G910" s="253"/>
      <c r="H910" s="527"/>
      <c r="I910" s="141"/>
      <c r="J910" s="141"/>
      <c r="K910" s="142"/>
      <c r="L910" s="142"/>
      <c r="M910" s="142"/>
      <c r="N910" s="142"/>
      <c r="O910" s="136"/>
      <c r="P910" s="34"/>
      <c r="Q910" s="35"/>
      <c r="R910" s="35"/>
      <c r="S910" s="35"/>
      <c r="T910" s="35"/>
      <c r="U910" s="35"/>
      <c r="V910" s="35"/>
      <c r="W910" s="35"/>
      <c r="X910" s="35"/>
      <c r="Y910" s="35"/>
      <c r="Z910" s="35"/>
    </row>
    <row r="911" ht="14.25" customHeight="1">
      <c r="A911" s="136"/>
      <c r="B911" s="137"/>
      <c r="C911" s="251"/>
      <c r="D911" s="452"/>
      <c r="E911" s="136"/>
      <c r="F911" s="253"/>
      <c r="G911" s="253"/>
      <c r="H911" s="527"/>
      <c r="I911" s="141"/>
      <c r="J911" s="141"/>
      <c r="K911" s="142"/>
      <c r="L911" s="142"/>
      <c r="M911" s="142"/>
      <c r="N911" s="142"/>
      <c r="O911" s="136"/>
      <c r="P911" s="34"/>
      <c r="Q911" s="35"/>
      <c r="R911" s="35"/>
      <c r="S911" s="35"/>
      <c r="T911" s="35"/>
      <c r="U911" s="35"/>
      <c r="V911" s="35"/>
      <c r="W911" s="35"/>
      <c r="X911" s="35"/>
      <c r="Y911" s="35"/>
      <c r="Z911" s="35"/>
    </row>
    <row r="912" ht="14.25" customHeight="1">
      <c r="A912" s="136"/>
      <c r="B912" s="137"/>
      <c r="C912" s="251"/>
      <c r="D912" s="452"/>
      <c r="E912" s="136"/>
      <c r="F912" s="253"/>
      <c r="G912" s="253"/>
      <c r="H912" s="527"/>
      <c r="I912" s="141"/>
      <c r="J912" s="141"/>
      <c r="K912" s="142"/>
      <c r="L912" s="142"/>
      <c r="M912" s="142"/>
      <c r="N912" s="142"/>
      <c r="O912" s="136"/>
      <c r="P912" s="34"/>
      <c r="Q912" s="35"/>
      <c r="R912" s="35"/>
      <c r="S912" s="35"/>
      <c r="T912" s="35"/>
      <c r="U912" s="35"/>
      <c r="V912" s="35"/>
      <c r="W912" s="35"/>
      <c r="X912" s="35"/>
      <c r="Y912" s="35"/>
      <c r="Z912" s="35"/>
    </row>
    <row r="913" ht="14.25" customHeight="1">
      <c r="A913" s="136"/>
      <c r="B913" s="137"/>
      <c r="C913" s="251"/>
      <c r="D913" s="452"/>
      <c r="E913" s="136"/>
      <c r="F913" s="253"/>
      <c r="G913" s="253"/>
      <c r="H913" s="527"/>
      <c r="I913" s="141"/>
      <c r="J913" s="141"/>
      <c r="K913" s="142"/>
      <c r="L913" s="142"/>
      <c r="M913" s="142"/>
      <c r="N913" s="142"/>
      <c r="O913" s="136"/>
      <c r="P913" s="34"/>
      <c r="Q913" s="35"/>
      <c r="R913" s="35"/>
      <c r="S913" s="35"/>
      <c r="T913" s="35"/>
      <c r="U913" s="35"/>
      <c r="V913" s="35"/>
      <c r="W913" s="35"/>
      <c r="X913" s="35"/>
      <c r="Y913" s="35"/>
      <c r="Z913" s="35"/>
    </row>
    <row r="914" ht="14.25" customHeight="1">
      <c r="A914" s="136"/>
      <c r="B914" s="137"/>
      <c r="C914" s="251"/>
      <c r="D914" s="452"/>
      <c r="E914" s="136"/>
      <c r="F914" s="253"/>
      <c r="G914" s="253"/>
      <c r="H914" s="527"/>
      <c r="I914" s="141"/>
      <c r="J914" s="141"/>
      <c r="K914" s="142"/>
      <c r="L914" s="142"/>
      <c r="M914" s="142"/>
      <c r="N914" s="142"/>
      <c r="O914" s="136"/>
      <c r="P914" s="34"/>
      <c r="Q914" s="35"/>
      <c r="R914" s="35"/>
      <c r="S914" s="35"/>
      <c r="T914" s="35"/>
      <c r="U914" s="35"/>
      <c r="V914" s="35"/>
      <c r="W914" s="35"/>
      <c r="X914" s="35"/>
      <c r="Y914" s="35"/>
      <c r="Z914" s="35"/>
    </row>
    <row r="915" ht="14.25" customHeight="1">
      <c r="A915" s="136"/>
      <c r="B915" s="137"/>
      <c r="C915" s="251"/>
      <c r="D915" s="452"/>
      <c r="E915" s="136"/>
      <c r="F915" s="253"/>
      <c r="G915" s="253"/>
      <c r="H915" s="527"/>
      <c r="I915" s="141"/>
      <c r="J915" s="141"/>
      <c r="K915" s="142"/>
      <c r="L915" s="142"/>
      <c r="M915" s="142"/>
      <c r="N915" s="142"/>
      <c r="O915" s="136"/>
      <c r="P915" s="34"/>
      <c r="Q915" s="35"/>
      <c r="R915" s="35"/>
      <c r="S915" s="35"/>
      <c r="T915" s="35"/>
      <c r="U915" s="35"/>
      <c r="V915" s="35"/>
      <c r="W915" s="35"/>
      <c r="X915" s="35"/>
      <c r="Y915" s="35"/>
      <c r="Z915" s="35"/>
    </row>
    <row r="916" ht="14.25" customHeight="1">
      <c r="A916" s="136"/>
      <c r="B916" s="137"/>
      <c r="C916" s="251"/>
      <c r="D916" s="452"/>
      <c r="E916" s="136"/>
      <c r="F916" s="253"/>
      <c r="G916" s="253"/>
      <c r="H916" s="527"/>
      <c r="I916" s="141"/>
      <c r="J916" s="141"/>
      <c r="K916" s="142"/>
      <c r="L916" s="142"/>
      <c r="M916" s="142"/>
      <c r="N916" s="142"/>
      <c r="O916" s="136"/>
      <c r="P916" s="34"/>
      <c r="Q916" s="35"/>
      <c r="R916" s="35"/>
      <c r="S916" s="35"/>
      <c r="T916" s="35"/>
      <c r="U916" s="35"/>
      <c r="V916" s="35"/>
      <c r="W916" s="35"/>
      <c r="X916" s="35"/>
      <c r="Y916" s="35"/>
      <c r="Z916" s="35"/>
    </row>
    <row r="917" ht="14.25" customHeight="1">
      <c r="A917" s="136"/>
      <c r="B917" s="137"/>
      <c r="C917" s="251"/>
      <c r="D917" s="452"/>
      <c r="E917" s="136"/>
      <c r="F917" s="253"/>
      <c r="G917" s="253"/>
      <c r="H917" s="527"/>
      <c r="I917" s="141"/>
      <c r="J917" s="141"/>
      <c r="K917" s="142"/>
      <c r="L917" s="142"/>
      <c r="M917" s="142"/>
      <c r="N917" s="142"/>
      <c r="O917" s="136"/>
      <c r="P917" s="34"/>
      <c r="Q917" s="35"/>
      <c r="R917" s="35"/>
      <c r="S917" s="35"/>
      <c r="T917" s="35"/>
      <c r="U917" s="35"/>
      <c r="V917" s="35"/>
      <c r="W917" s="35"/>
      <c r="X917" s="35"/>
      <c r="Y917" s="35"/>
      <c r="Z917" s="35"/>
    </row>
    <row r="918" ht="14.25" customHeight="1">
      <c r="A918" s="136"/>
      <c r="B918" s="137"/>
      <c r="C918" s="251"/>
      <c r="D918" s="452"/>
      <c r="E918" s="136"/>
      <c r="F918" s="253"/>
      <c r="G918" s="253"/>
      <c r="H918" s="527"/>
      <c r="I918" s="141"/>
      <c r="J918" s="141"/>
      <c r="K918" s="142"/>
      <c r="L918" s="142"/>
      <c r="M918" s="142"/>
      <c r="N918" s="142"/>
      <c r="O918" s="136"/>
      <c r="P918" s="34"/>
      <c r="Q918" s="35"/>
      <c r="R918" s="35"/>
      <c r="S918" s="35"/>
      <c r="T918" s="35"/>
      <c r="U918" s="35"/>
      <c r="V918" s="35"/>
      <c r="W918" s="35"/>
      <c r="X918" s="35"/>
      <c r="Y918" s="35"/>
      <c r="Z918" s="35"/>
    </row>
    <row r="919" ht="14.25" customHeight="1">
      <c r="A919" s="136"/>
      <c r="B919" s="137"/>
      <c r="C919" s="251"/>
      <c r="D919" s="452"/>
      <c r="E919" s="136"/>
      <c r="F919" s="253"/>
      <c r="G919" s="253"/>
      <c r="H919" s="527"/>
      <c r="I919" s="141"/>
      <c r="J919" s="141"/>
      <c r="K919" s="142"/>
      <c r="L919" s="142"/>
      <c r="M919" s="142"/>
      <c r="N919" s="142"/>
      <c r="O919" s="136"/>
      <c r="P919" s="34"/>
      <c r="Q919" s="35"/>
      <c r="R919" s="35"/>
      <c r="S919" s="35"/>
      <c r="T919" s="35"/>
      <c r="U919" s="35"/>
      <c r="V919" s="35"/>
      <c r="W919" s="35"/>
      <c r="X919" s="35"/>
      <c r="Y919" s="35"/>
      <c r="Z919" s="35"/>
    </row>
    <row r="920" ht="14.25" customHeight="1">
      <c r="A920" s="136"/>
      <c r="B920" s="137"/>
      <c r="C920" s="251"/>
      <c r="D920" s="452"/>
      <c r="E920" s="136"/>
      <c r="F920" s="253"/>
      <c r="G920" s="253"/>
      <c r="H920" s="527"/>
      <c r="I920" s="141"/>
      <c r="J920" s="141"/>
      <c r="K920" s="142"/>
      <c r="L920" s="142"/>
      <c r="M920" s="142"/>
      <c r="N920" s="142"/>
      <c r="O920" s="136"/>
      <c r="P920" s="34"/>
      <c r="Q920" s="35"/>
      <c r="R920" s="35"/>
      <c r="S920" s="35"/>
      <c r="T920" s="35"/>
      <c r="U920" s="35"/>
      <c r="V920" s="35"/>
      <c r="W920" s="35"/>
      <c r="X920" s="35"/>
      <c r="Y920" s="35"/>
      <c r="Z920" s="35"/>
    </row>
    <row r="921" ht="14.25" customHeight="1">
      <c r="A921" s="136"/>
      <c r="B921" s="137"/>
      <c r="C921" s="251"/>
      <c r="D921" s="452"/>
      <c r="E921" s="136"/>
      <c r="F921" s="253"/>
      <c r="G921" s="253"/>
      <c r="H921" s="527"/>
      <c r="I921" s="141"/>
      <c r="J921" s="141"/>
      <c r="K921" s="142"/>
      <c r="L921" s="142"/>
      <c r="M921" s="142"/>
      <c r="N921" s="142"/>
      <c r="O921" s="136"/>
      <c r="P921" s="34"/>
      <c r="Q921" s="35"/>
      <c r="R921" s="35"/>
      <c r="S921" s="35"/>
      <c r="T921" s="35"/>
      <c r="U921" s="35"/>
      <c r="V921" s="35"/>
      <c r="W921" s="35"/>
      <c r="X921" s="35"/>
      <c r="Y921" s="35"/>
      <c r="Z921" s="35"/>
    </row>
    <row r="922" ht="14.25" customHeight="1">
      <c r="A922" s="136"/>
      <c r="B922" s="137"/>
      <c r="C922" s="251"/>
      <c r="D922" s="452"/>
      <c r="E922" s="136"/>
      <c r="F922" s="253"/>
      <c r="G922" s="253"/>
      <c r="H922" s="527"/>
      <c r="I922" s="141"/>
      <c r="J922" s="141"/>
      <c r="K922" s="142"/>
      <c r="L922" s="142"/>
      <c r="M922" s="142"/>
      <c r="N922" s="142"/>
      <c r="O922" s="136"/>
      <c r="P922" s="34"/>
      <c r="Q922" s="35"/>
      <c r="R922" s="35"/>
      <c r="S922" s="35"/>
      <c r="T922" s="35"/>
      <c r="U922" s="35"/>
      <c r="V922" s="35"/>
      <c r="W922" s="35"/>
      <c r="X922" s="35"/>
      <c r="Y922" s="35"/>
      <c r="Z922" s="35"/>
    </row>
    <row r="923" ht="14.25" customHeight="1">
      <c r="A923" s="136"/>
      <c r="B923" s="137"/>
      <c r="C923" s="251"/>
      <c r="D923" s="452"/>
      <c r="E923" s="136"/>
      <c r="F923" s="253"/>
      <c r="G923" s="253"/>
      <c r="H923" s="527"/>
      <c r="I923" s="141"/>
      <c r="J923" s="141"/>
      <c r="K923" s="142"/>
      <c r="L923" s="142"/>
      <c r="M923" s="142"/>
      <c r="N923" s="142"/>
      <c r="O923" s="136"/>
      <c r="P923" s="34"/>
      <c r="Q923" s="35"/>
      <c r="R923" s="35"/>
      <c r="S923" s="35"/>
      <c r="T923" s="35"/>
      <c r="U923" s="35"/>
      <c r="V923" s="35"/>
      <c r="W923" s="35"/>
      <c r="X923" s="35"/>
      <c r="Y923" s="35"/>
      <c r="Z923" s="35"/>
    </row>
    <row r="924" ht="14.25" customHeight="1">
      <c r="A924" s="136"/>
      <c r="B924" s="137"/>
      <c r="C924" s="251"/>
      <c r="D924" s="452"/>
      <c r="E924" s="136"/>
      <c r="F924" s="253"/>
      <c r="G924" s="253"/>
      <c r="H924" s="527"/>
      <c r="I924" s="141"/>
      <c r="J924" s="141"/>
      <c r="K924" s="142"/>
      <c r="L924" s="142"/>
      <c r="M924" s="142"/>
      <c r="N924" s="142"/>
      <c r="O924" s="136"/>
      <c r="P924" s="34"/>
      <c r="Q924" s="35"/>
      <c r="R924" s="35"/>
      <c r="S924" s="35"/>
      <c r="T924" s="35"/>
      <c r="U924" s="35"/>
      <c r="V924" s="35"/>
      <c r="W924" s="35"/>
      <c r="X924" s="35"/>
      <c r="Y924" s="35"/>
      <c r="Z924" s="35"/>
    </row>
    <row r="925" ht="14.25" customHeight="1">
      <c r="A925" s="136"/>
      <c r="B925" s="137"/>
      <c r="C925" s="251"/>
      <c r="D925" s="452"/>
      <c r="E925" s="136"/>
      <c r="F925" s="253"/>
      <c r="G925" s="253"/>
      <c r="H925" s="527"/>
      <c r="I925" s="141"/>
      <c r="J925" s="141"/>
      <c r="K925" s="142"/>
      <c r="L925" s="142"/>
      <c r="M925" s="142"/>
      <c r="N925" s="142"/>
      <c r="O925" s="136"/>
      <c r="P925" s="34"/>
      <c r="Q925" s="35"/>
      <c r="R925" s="35"/>
      <c r="S925" s="35"/>
      <c r="T925" s="35"/>
      <c r="U925" s="35"/>
      <c r="V925" s="35"/>
      <c r="W925" s="35"/>
      <c r="X925" s="35"/>
      <c r="Y925" s="35"/>
      <c r="Z925" s="35"/>
    </row>
    <row r="926" ht="14.25" customHeight="1">
      <c r="A926" s="136"/>
      <c r="B926" s="137"/>
      <c r="C926" s="251"/>
      <c r="D926" s="452"/>
      <c r="E926" s="136"/>
      <c r="F926" s="253"/>
      <c r="G926" s="253"/>
      <c r="H926" s="527"/>
      <c r="I926" s="141"/>
      <c r="J926" s="141"/>
      <c r="K926" s="142"/>
      <c r="L926" s="142"/>
      <c r="M926" s="142"/>
      <c r="N926" s="142"/>
      <c r="O926" s="136"/>
      <c r="P926" s="34"/>
      <c r="Q926" s="35"/>
      <c r="R926" s="35"/>
      <c r="S926" s="35"/>
      <c r="T926" s="35"/>
      <c r="U926" s="35"/>
      <c r="V926" s="35"/>
      <c r="W926" s="35"/>
      <c r="X926" s="35"/>
      <c r="Y926" s="35"/>
      <c r="Z926" s="35"/>
    </row>
    <row r="927" ht="14.25" customHeight="1">
      <c r="A927" s="136"/>
      <c r="B927" s="137"/>
      <c r="C927" s="251"/>
      <c r="D927" s="452"/>
      <c r="E927" s="136"/>
      <c r="F927" s="253"/>
      <c r="G927" s="253"/>
      <c r="H927" s="527"/>
      <c r="I927" s="141"/>
      <c r="J927" s="141"/>
      <c r="K927" s="142"/>
      <c r="L927" s="142"/>
      <c r="M927" s="142"/>
      <c r="N927" s="142"/>
      <c r="O927" s="136"/>
      <c r="P927" s="34"/>
      <c r="Q927" s="35"/>
      <c r="R927" s="35"/>
      <c r="S927" s="35"/>
      <c r="T927" s="35"/>
      <c r="U927" s="35"/>
      <c r="V927" s="35"/>
      <c r="W927" s="35"/>
      <c r="X927" s="35"/>
      <c r="Y927" s="35"/>
      <c r="Z927" s="35"/>
    </row>
    <row r="928" ht="14.25" customHeight="1">
      <c r="A928" s="136"/>
      <c r="B928" s="137"/>
      <c r="C928" s="251"/>
      <c r="D928" s="452"/>
      <c r="E928" s="136"/>
      <c r="F928" s="253"/>
      <c r="G928" s="253"/>
      <c r="H928" s="527"/>
      <c r="I928" s="141"/>
      <c r="J928" s="141"/>
      <c r="K928" s="142"/>
      <c r="L928" s="142"/>
      <c r="M928" s="142"/>
      <c r="N928" s="142"/>
      <c r="O928" s="136"/>
      <c r="P928" s="34"/>
      <c r="Q928" s="35"/>
      <c r="R928" s="35"/>
      <c r="S928" s="35"/>
      <c r="T928" s="35"/>
      <c r="U928" s="35"/>
      <c r="V928" s="35"/>
      <c r="W928" s="35"/>
      <c r="X928" s="35"/>
      <c r="Y928" s="35"/>
      <c r="Z928" s="35"/>
    </row>
    <row r="929" ht="14.25" customHeight="1">
      <c r="A929" s="136"/>
      <c r="B929" s="137"/>
      <c r="C929" s="251"/>
      <c r="D929" s="452"/>
      <c r="E929" s="136"/>
      <c r="F929" s="253"/>
      <c r="G929" s="253"/>
      <c r="H929" s="527"/>
      <c r="I929" s="141"/>
      <c r="J929" s="141"/>
      <c r="K929" s="142"/>
      <c r="L929" s="142"/>
      <c r="M929" s="142"/>
      <c r="N929" s="142"/>
      <c r="O929" s="136"/>
      <c r="P929" s="34"/>
      <c r="Q929" s="35"/>
      <c r="R929" s="35"/>
      <c r="S929" s="35"/>
      <c r="T929" s="35"/>
      <c r="U929" s="35"/>
      <c r="V929" s="35"/>
      <c r="W929" s="35"/>
      <c r="X929" s="35"/>
      <c r="Y929" s="35"/>
      <c r="Z929" s="35"/>
    </row>
    <row r="930" ht="14.25" customHeight="1">
      <c r="A930" s="136"/>
      <c r="B930" s="137"/>
      <c r="C930" s="251"/>
      <c r="D930" s="452"/>
      <c r="E930" s="136"/>
      <c r="F930" s="253"/>
      <c r="G930" s="253"/>
      <c r="H930" s="527"/>
      <c r="I930" s="141"/>
      <c r="J930" s="141"/>
      <c r="K930" s="142"/>
      <c r="L930" s="142"/>
      <c r="M930" s="142"/>
      <c r="N930" s="142"/>
      <c r="O930" s="136"/>
      <c r="P930" s="34"/>
      <c r="Q930" s="35"/>
      <c r="R930" s="35"/>
      <c r="S930" s="35"/>
      <c r="T930" s="35"/>
      <c r="U930" s="35"/>
      <c r="V930" s="35"/>
      <c r="W930" s="35"/>
      <c r="X930" s="35"/>
      <c r="Y930" s="35"/>
      <c r="Z930" s="35"/>
    </row>
    <row r="931" ht="14.25" customHeight="1">
      <c r="A931" s="136"/>
      <c r="B931" s="137"/>
      <c r="C931" s="251"/>
      <c r="D931" s="452"/>
      <c r="E931" s="136"/>
      <c r="F931" s="253"/>
      <c r="G931" s="253"/>
      <c r="H931" s="527"/>
      <c r="I931" s="141"/>
      <c r="J931" s="141"/>
      <c r="K931" s="142"/>
      <c r="L931" s="142"/>
      <c r="M931" s="142"/>
      <c r="N931" s="142"/>
      <c r="O931" s="136"/>
      <c r="P931" s="34"/>
      <c r="Q931" s="35"/>
      <c r="R931" s="35"/>
      <c r="S931" s="35"/>
      <c r="T931" s="35"/>
      <c r="U931" s="35"/>
      <c r="V931" s="35"/>
      <c r="W931" s="35"/>
      <c r="X931" s="35"/>
      <c r="Y931" s="35"/>
      <c r="Z931" s="35"/>
    </row>
    <row r="932" ht="14.25" customHeight="1">
      <c r="A932" s="136"/>
      <c r="B932" s="137"/>
      <c r="C932" s="251"/>
      <c r="D932" s="452"/>
      <c r="E932" s="136"/>
      <c r="F932" s="253"/>
      <c r="G932" s="253"/>
      <c r="H932" s="527"/>
      <c r="I932" s="141"/>
      <c r="J932" s="141"/>
      <c r="K932" s="142"/>
      <c r="L932" s="142"/>
      <c r="M932" s="142"/>
      <c r="N932" s="142"/>
      <c r="O932" s="136"/>
      <c r="P932" s="34"/>
      <c r="Q932" s="35"/>
      <c r="R932" s="35"/>
      <c r="S932" s="35"/>
      <c r="T932" s="35"/>
      <c r="U932" s="35"/>
      <c r="V932" s="35"/>
      <c r="W932" s="35"/>
      <c r="X932" s="35"/>
      <c r="Y932" s="35"/>
      <c r="Z932" s="35"/>
    </row>
    <row r="933" ht="14.25" customHeight="1">
      <c r="A933" s="136"/>
      <c r="B933" s="137"/>
      <c r="C933" s="251"/>
      <c r="D933" s="452"/>
      <c r="E933" s="136"/>
      <c r="F933" s="253"/>
      <c r="G933" s="253"/>
      <c r="H933" s="527"/>
      <c r="I933" s="141"/>
      <c r="J933" s="141"/>
      <c r="K933" s="142"/>
      <c r="L933" s="142"/>
      <c r="M933" s="142"/>
      <c r="N933" s="142"/>
      <c r="O933" s="136"/>
      <c r="P933" s="34"/>
      <c r="Q933" s="35"/>
      <c r="R933" s="35"/>
      <c r="S933" s="35"/>
      <c r="T933" s="35"/>
      <c r="U933" s="35"/>
      <c r="V933" s="35"/>
      <c r="W933" s="35"/>
      <c r="X933" s="35"/>
      <c r="Y933" s="35"/>
      <c r="Z933" s="35"/>
    </row>
    <row r="934" ht="14.25" customHeight="1">
      <c r="A934" s="136"/>
      <c r="B934" s="137"/>
      <c r="C934" s="251"/>
      <c r="D934" s="452"/>
      <c r="E934" s="136"/>
      <c r="F934" s="253"/>
      <c r="G934" s="253"/>
      <c r="H934" s="527"/>
      <c r="I934" s="141"/>
      <c r="J934" s="141"/>
      <c r="K934" s="142"/>
      <c r="L934" s="142"/>
      <c r="M934" s="142"/>
      <c r="N934" s="142"/>
      <c r="O934" s="136"/>
      <c r="P934" s="34"/>
      <c r="Q934" s="35"/>
      <c r="R934" s="35"/>
      <c r="S934" s="35"/>
      <c r="T934" s="35"/>
      <c r="U934" s="35"/>
      <c r="V934" s="35"/>
      <c r="W934" s="35"/>
      <c r="X934" s="35"/>
      <c r="Y934" s="35"/>
      <c r="Z934" s="35"/>
    </row>
    <row r="935" ht="14.25" customHeight="1">
      <c r="A935" s="136"/>
      <c r="B935" s="137"/>
      <c r="C935" s="251"/>
      <c r="D935" s="452"/>
      <c r="E935" s="136"/>
      <c r="F935" s="253"/>
      <c r="G935" s="253"/>
      <c r="H935" s="527"/>
      <c r="I935" s="141"/>
      <c r="J935" s="141"/>
      <c r="K935" s="142"/>
      <c r="L935" s="142"/>
      <c r="M935" s="142"/>
      <c r="N935" s="142"/>
      <c r="O935" s="136"/>
      <c r="P935" s="34"/>
      <c r="Q935" s="35"/>
      <c r="R935" s="35"/>
      <c r="S935" s="35"/>
      <c r="T935" s="35"/>
      <c r="U935" s="35"/>
      <c r="V935" s="35"/>
      <c r="W935" s="35"/>
      <c r="X935" s="35"/>
      <c r="Y935" s="35"/>
      <c r="Z935" s="35"/>
    </row>
    <row r="936" ht="14.25" customHeight="1">
      <c r="A936" s="136"/>
      <c r="B936" s="137"/>
      <c r="C936" s="251"/>
      <c r="D936" s="452"/>
      <c r="E936" s="136"/>
      <c r="F936" s="253"/>
      <c r="G936" s="253"/>
      <c r="H936" s="527"/>
      <c r="I936" s="141"/>
      <c r="J936" s="141"/>
      <c r="K936" s="142"/>
      <c r="L936" s="142"/>
      <c r="M936" s="142"/>
      <c r="N936" s="142"/>
      <c r="O936" s="136"/>
      <c r="P936" s="34"/>
      <c r="Q936" s="35"/>
      <c r="R936" s="35"/>
      <c r="S936" s="35"/>
      <c r="T936" s="35"/>
      <c r="U936" s="35"/>
      <c r="V936" s="35"/>
      <c r="W936" s="35"/>
      <c r="X936" s="35"/>
      <c r="Y936" s="35"/>
      <c r="Z936" s="35"/>
    </row>
    <row r="937" ht="14.25" customHeight="1">
      <c r="A937" s="136"/>
      <c r="B937" s="137"/>
      <c r="C937" s="251"/>
      <c r="D937" s="452"/>
      <c r="E937" s="136"/>
      <c r="F937" s="253"/>
      <c r="G937" s="253"/>
      <c r="H937" s="527"/>
      <c r="I937" s="141"/>
      <c r="J937" s="141"/>
      <c r="K937" s="142"/>
      <c r="L937" s="142"/>
      <c r="M937" s="142"/>
      <c r="N937" s="142"/>
      <c r="O937" s="136"/>
      <c r="P937" s="34"/>
      <c r="Q937" s="35"/>
      <c r="R937" s="35"/>
      <c r="S937" s="35"/>
      <c r="T937" s="35"/>
      <c r="U937" s="35"/>
      <c r="V937" s="35"/>
      <c r="W937" s="35"/>
      <c r="X937" s="35"/>
      <c r="Y937" s="35"/>
      <c r="Z937" s="35"/>
    </row>
    <row r="938" ht="14.25" customHeight="1">
      <c r="A938" s="136"/>
      <c r="B938" s="137"/>
      <c r="C938" s="251"/>
      <c r="D938" s="452"/>
      <c r="E938" s="136"/>
      <c r="F938" s="253"/>
      <c r="G938" s="253"/>
      <c r="H938" s="527"/>
      <c r="I938" s="141"/>
      <c r="J938" s="141"/>
      <c r="K938" s="142"/>
      <c r="L938" s="142"/>
      <c r="M938" s="142"/>
      <c r="N938" s="142"/>
      <c r="O938" s="136"/>
      <c r="P938" s="34"/>
      <c r="Q938" s="35"/>
      <c r="R938" s="35"/>
      <c r="S938" s="35"/>
      <c r="T938" s="35"/>
      <c r="U938" s="35"/>
      <c r="V938" s="35"/>
      <c r="W938" s="35"/>
      <c r="X938" s="35"/>
      <c r="Y938" s="35"/>
      <c r="Z938" s="35"/>
    </row>
    <row r="939" ht="14.25" customHeight="1">
      <c r="A939" s="136"/>
      <c r="B939" s="137"/>
      <c r="C939" s="251"/>
      <c r="D939" s="452"/>
      <c r="E939" s="136"/>
      <c r="F939" s="253"/>
      <c r="G939" s="253"/>
      <c r="H939" s="527"/>
      <c r="I939" s="141"/>
      <c r="J939" s="141"/>
      <c r="K939" s="142"/>
      <c r="L939" s="142"/>
      <c r="M939" s="142"/>
      <c r="N939" s="142"/>
      <c r="O939" s="136"/>
      <c r="P939" s="34"/>
      <c r="Q939" s="35"/>
      <c r="R939" s="35"/>
      <c r="S939" s="35"/>
      <c r="T939" s="35"/>
      <c r="U939" s="35"/>
      <c r="V939" s="35"/>
      <c r="W939" s="35"/>
      <c r="X939" s="35"/>
      <c r="Y939" s="35"/>
      <c r="Z939" s="35"/>
    </row>
    <row r="940" ht="14.25" customHeight="1">
      <c r="A940" s="136"/>
      <c r="B940" s="137"/>
      <c r="C940" s="251"/>
      <c r="D940" s="452"/>
      <c r="E940" s="136"/>
      <c r="F940" s="253"/>
      <c r="G940" s="253"/>
      <c r="H940" s="527"/>
      <c r="I940" s="141"/>
      <c r="J940" s="141"/>
      <c r="K940" s="142"/>
      <c r="L940" s="142"/>
      <c r="M940" s="142"/>
      <c r="N940" s="142"/>
      <c r="O940" s="136"/>
      <c r="P940" s="34"/>
      <c r="Q940" s="35"/>
      <c r="R940" s="35"/>
      <c r="S940" s="35"/>
      <c r="T940" s="35"/>
      <c r="U940" s="35"/>
      <c r="V940" s="35"/>
      <c r="W940" s="35"/>
      <c r="X940" s="35"/>
      <c r="Y940" s="35"/>
      <c r="Z940" s="35"/>
    </row>
    <row r="941" ht="14.25" customHeight="1">
      <c r="A941" s="136"/>
      <c r="B941" s="137"/>
      <c r="C941" s="251"/>
      <c r="D941" s="452"/>
      <c r="E941" s="136"/>
      <c r="F941" s="253"/>
      <c r="G941" s="253"/>
      <c r="H941" s="527"/>
      <c r="I941" s="141"/>
      <c r="J941" s="141"/>
      <c r="K941" s="142"/>
      <c r="L941" s="142"/>
      <c r="M941" s="142"/>
      <c r="N941" s="142"/>
      <c r="O941" s="136"/>
      <c r="P941" s="34"/>
      <c r="Q941" s="35"/>
      <c r="R941" s="35"/>
      <c r="S941" s="35"/>
      <c r="T941" s="35"/>
      <c r="U941" s="35"/>
      <c r="V941" s="35"/>
      <c r="W941" s="35"/>
      <c r="X941" s="35"/>
      <c r="Y941" s="35"/>
      <c r="Z941" s="35"/>
    </row>
    <row r="942" ht="14.25" customHeight="1">
      <c r="A942" s="136"/>
      <c r="B942" s="137"/>
      <c r="C942" s="251"/>
      <c r="D942" s="452"/>
      <c r="E942" s="136"/>
      <c r="F942" s="253"/>
      <c r="G942" s="253"/>
      <c r="H942" s="527"/>
      <c r="I942" s="141"/>
      <c r="J942" s="141"/>
      <c r="K942" s="142"/>
      <c r="L942" s="142"/>
      <c r="M942" s="142"/>
      <c r="N942" s="142"/>
      <c r="O942" s="136"/>
      <c r="P942" s="34"/>
      <c r="Q942" s="35"/>
      <c r="R942" s="35"/>
      <c r="S942" s="35"/>
      <c r="T942" s="35"/>
      <c r="U942" s="35"/>
      <c r="V942" s="35"/>
      <c r="W942" s="35"/>
      <c r="X942" s="35"/>
      <c r="Y942" s="35"/>
      <c r="Z942" s="35"/>
    </row>
    <row r="943" ht="14.25" customHeight="1">
      <c r="A943" s="136"/>
      <c r="B943" s="137"/>
      <c r="C943" s="251"/>
      <c r="D943" s="452"/>
      <c r="E943" s="136"/>
      <c r="F943" s="253"/>
      <c r="G943" s="253"/>
      <c r="H943" s="527"/>
      <c r="I943" s="141"/>
      <c r="J943" s="141"/>
      <c r="K943" s="142"/>
      <c r="L943" s="142"/>
      <c r="M943" s="142"/>
      <c r="N943" s="142"/>
      <c r="O943" s="136"/>
      <c r="P943" s="34"/>
      <c r="Q943" s="35"/>
      <c r="R943" s="35"/>
      <c r="S943" s="35"/>
      <c r="T943" s="35"/>
      <c r="U943" s="35"/>
      <c r="V943" s="35"/>
      <c r="W943" s="35"/>
      <c r="X943" s="35"/>
      <c r="Y943" s="35"/>
      <c r="Z943" s="35"/>
    </row>
    <row r="944" ht="14.25" customHeight="1">
      <c r="A944" s="136"/>
      <c r="B944" s="137"/>
      <c r="C944" s="251"/>
      <c r="D944" s="452"/>
      <c r="E944" s="136"/>
      <c r="F944" s="253"/>
      <c r="G944" s="253"/>
      <c r="H944" s="527"/>
      <c r="I944" s="141"/>
      <c r="J944" s="141"/>
      <c r="K944" s="142"/>
      <c r="L944" s="142"/>
      <c r="M944" s="142"/>
      <c r="N944" s="142"/>
      <c r="O944" s="136"/>
      <c r="P944" s="34"/>
      <c r="Q944" s="35"/>
      <c r="R944" s="35"/>
      <c r="S944" s="35"/>
      <c r="T944" s="35"/>
      <c r="U944" s="35"/>
      <c r="V944" s="35"/>
      <c r="W944" s="35"/>
      <c r="X944" s="35"/>
      <c r="Y944" s="35"/>
      <c r="Z944" s="35"/>
    </row>
    <row r="945" ht="14.25" customHeight="1">
      <c r="A945" s="136"/>
      <c r="B945" s="137"/>
      <c r="C945" s="251"/>
      <c r="D945" s="452"/>
      <c r="E945" s="136"/>
      <c r="F945" s="253"/>
      <c r="G945" s="253"/>
      <c r="H945" s="527"/>
      <c r="I945" s="141"/>
      <c r="J945" s="141"/>
      <c r="K945" s="142"/>
      <c r="L945" s="142"/>
      <c r="M945" s="142"/>
      <c r="N945" s="142"/>
      <c r="O945" s="136"/>
      <c r="P945" s="34"/>
      <c r="Q945" s="35"/>
      <c r="R945" s="35"/>
      <c r="S945" s="35"/>
      <c r="T945" s="35"/>
      <c r="U945" s="35"/>
      <c r="V945" s="35"/>
      <c r="W945" s="35"/>
      <c r="X945" s="35"/>
      <c r="Y945" s="35"/>
      <c r="Z945" s="35"/>
    </row>
    <row r="946" ht="14.25" customHeight="1">
      <c r="A946" s="136"/>
      <c r="B946" s="137"/>
      <c r="C946" s="251"/>
      <c r="D946" s="452"/>
      <c r="E946" s="136"/>
      <c r="F946" s="253"/>
      <c r="G946" s="253"/>
      <c r="H946" s="527"/>
      <c r="I946" s="141"/>
      <c r="J946" s="141"/>
      <c r="K946" s="142"/>
      <c r="L946" s="142"/>
      <c r="M946" s="142"/>
      <c r="N946" s="142"/>
      <c r="O946" s="136"/>
      <c r="P946" s="34"/>
      <c r="Q946" s="35"/>
      <c r="R946" s="35"/>
      <c r="S946" s="35"/>
      <c r="T946" s="35"/>
      <c r="U946" s="35"/>
      <c r="V946" s="35"/>
      <c r="W946" s="35"/>
      <c r="X946" s="35"/>
      <c r="Y946" s="35"/>
      <c r="Z946" s="35"/>
    </row>
    <row r="947" ht="14.25" customHeight="1">
      <c r="A947" s="136"/>
      <c r="B947" s="137"/>
      <c r="C947" s="251"/>
      <c r="D947" s="452"/>
      <c r="E947" s="136"/>
      <c r="F947" s="253"/>
      <c r="G947" s="253"/>
      <c r="H947" s="527"/>
      <c r="I947" s="141"/>
      <c r="J947" s="141"/>
      <c r="K947" s="142"/>
      <c r="L947" s="142"/>
      <c r="M947" s="142"/>
      <c r="N947" s="142"/>
      <c r="O947" s="136"/>
      <c r="P947" s="34"/>
      <c r="Q947" s="35"/>
      <c r="R947" s="35"/>
      <c r="S947" s="35"/>
      <c r="T947" s="35"/>
      <c r="U947" s="35"/>
      <c r="V947" s="35"/>
      <c r="W947" s="35"/>
      <c r="X947" s="35"/>
      <c r="Y947" s="35"/>
      <c r="Z947" s="35"/>
    </row>
    <row r="948" ht="14.25" customHeight="1">
      <c r="A948" s="136"/>
      <c r="B948" s="137"/>
      <c r="C948" s="251"/>
      <c r="D948" s="452"/>
      <c r="E948" s="136"/>
      <c r="F948" s="253"/>
      <c r="G948" s="253"/>
      <c r="H948" s="527"/>
      <c r="I948" s="141"/>
      <c r="J948" s="141"/>
      <c r="K948" s="142"/>
      <c r="L948" s="142"/>
      <c r="M948" s="142"/>
      <c r="N948" s="142"/>
      <c r="O948" s="136"/>
      <c r="P948" s="34"/>
      <c r="Q948" s="35"/>
      <c r="R948" s="35"/>
      <c r="S948" s="35"/>
      <c r="T948" s="35"/>
      <c r="U948" s="35"/>
      <c r="V948" s="35"/>
      <c r="W948" s="35"/>
      <c r="X948" s="35"/>
      <c r="Y948" s="35"/>
      <c r="Z948" s="35"/>
    </row>
    <row r="949" ht="14.25" customHeight="1">
      <c r="A949" s="136"/>
      <c r="B949" s="137"/>
      <c r="C949" s="251"/>
      <c r="D949" s="452"/>
      <c r="E949" s="136"/>
      <c r="F949" s="253"/>
      <c r="G949" s="253"/>
      <c r="H949" s="527"/>
      <c r="I949" s="141"/>
      <c r="J949" s="141"/>
      <c r="K949" s="142"/>
      <c r="L949" s="142"/>
      <c r="M949" s="142"/>
      <c r="N949" s="142"/>
      <c r="O949" s="136"/>
      <c r="P949" s="34"/>
      <c r="Q949" s="35"/>
      <c r="R949" s="35"/>
      <c r="S949" s="35"/>
      <c r="T949" s="35"/>
      <c r="U949" s="35"/>
      <c r="V949" s="35"/>
      <c r="W949" s="35"/>
      <c r="X949" s="35"/>
      <c r="Y949" s="35"/>
      <c r="Z949" s="35"/>
    </row>
    <row r="950" ht="14.25" customHeight="1">
      <c r="A950" s="136"/>
      <c r="B950" s="137"/>
      <c r="C950" s="251"/>
      <c r="D950" s="452"/>
      <c r="E950" s="136"/>
      <c r="F950" s="253"/>
      <c r="G950" s="253"/>
      <c r="H950" s="527"/>
      <c r="I950" s="141"/>
      <c r="J950" s="141"/>
      <c r="K950" s="142"/>
      <c r="L950" s="142"/>
      <c r="M950" s="142"/>
      <c r="N950" s="142"/>
      <c r="O950" s="136"/>
      <c r="P950" s="34"/>
      <c r="Q950" s="35"/>
      <c r="R950" s="35"/>
      <c r="S950" s="35"/>
      <c r="T950" s="35"/>
      <c r="U950" s="35"/>
      <c r="V950" s="35"/>
      <c r="W950" s="35"/>
      <c r="X950" s="35"/>
      <c r="Y950" s="35"/>
      <c r="Z950" s="35"/>
    </row>
    <row r="951" ht="14.25" customHeight="1">
      <c r="A951" s="136"/>
      <c r="B951" s="137"/>
      <c r="C951" s="251"/>
      <c r="D951" s="452"/>
      <c r="E951" s="136"/>
      <c r="F951" s="253"/>
      <c r="G951" s="253"/>
      <c r="H951" s="527"/>
      <c r="I951" s="141"/>
      <c r="J951" s="141"/>
      <c r="K951" s="142"/>
      <c r="L951" s="142"/>
      <c r="M951" s="142"/>
      <c r="N951" s="142"/>
      <c r="O951" s="136"/>
      <c r="P951" s="34"/>
      <c r="Q951" s="35"/>
      <c r="R951" s="35"/>
      <c r="S951" s="35"/>
      <c r="T951" s="35"/>
      <c r="U951" s="35"/>
      <c r="V951" s="35"/>
      <c r="W951" s="35"/>
      <c r="X951" s="35"/>
      <c r="Y951" s="35"/>
      <c r="Z951" s="35"/>
    </row>
    <row r="952" ht="14.25" customHeight="1">
      <c r="A952" s="136"/>
      <c r="B952" s="137"/>
      <c r="C952" s="251"/>
      <c r="D952" s="452"/>
      <c r="E952" s="136"/>
      <c r="F952" s="253"/>
      <c r="G952" s="253"/>
      <c r="H952" s="527"/>
      <c r="I952" s="141"/>
      <c r="J952" s="141"/>
      <c r="K952" s="142"/>
      <c r="L952" s="142"/>
      <c r="M952" s="142"/>
      <c r="N952" s="142"/>
      <c r="O952" s="136"/>
      <c r="P952" s="34"/>
      <c r="Q952" s="35"/>
      <c r="R952" s="35"/>
      <c r="S952" s="35"/>
      <c r="T952" s="35"/>
      <c r="U952" s="35"/>
      <c r="V952" s="35"/>
      <c r="W952" s="35"/>
      <c r="X952" s="35"/>
      <c r="Y952" s="35"/>
      <c r="Z952" s="35"/>
    </row>
    <row r="953" ht="14.25" customHeight="1">
      <c r="A953" s="136"/>
      <c r="B953" s="137"/>
      <c r="C953" s="251"/>
      <c r="D953" s="452"/>
      <c r="E953" s="136"/>
      <c r="F953" s="253"/>
      <c r="G953" s="253"/>
      <c r="H953" s="527"/>
      <c r="I953" s="141"/>
      <c r="J953" s="141"/>
      <c r="K953" s="142"/>
      <c r="L953" s="142"/>
      <c r="M953" s="142"/>
      <c r="N953" s="142"/>
      <c r="O953" s="136"/>
      <c r="P953" s="34"/>
      <c r="Q953" s="35"/>
      <c r="R953" s="35"/>
      <c r="S953" s="35"/>
      <c r="T953" s="35"/>
      <c r="U953" s="35"/>
      <c r="V953" s="35"/>
      <c r="W953" s="35"/>
      <c r="X953" s="35"/>
      <c r="Y953" s="35"/>
      <c r="Z953" s="35"/>
    </row>
    <row r="954" ht="14.25" customHeight="1">
      <c r="A954" s="136"/>
      <c r="B954" s="137"/>
      <c r="C954" s="251"/>
      <c r="D954" s="452"/>
      <c r="E954" s="136"/>
      <c r="F954" s="253"/>
      <c r="G954" s="253"/>
      <c r="H954" s="527"/>
      <c r="I954" s="141"/>
      <c r="J954" s="141"/>
      <c r="K954" s="142"/>
      <c r="L954" s="142"/>
      <c r="M954" s="142"/>
      <c r="N954" s="142"/>
      <c r="O954" s="136"/>
      <c r="P954" s="34"/>
      <c r="Q954" s="35"/>
      <c r="R954" s="35"/>
      <c r="S954" s="35"/>
      <c r="T954" s="35"/>
      <c r="U954" s="35"/>
      <c r="V954" s="35"/>
      <c r="W954" s="35"/>
      <c r="X954" s="35"/>
      <c r="Y954" s="35"/>
      <c r="Z954" s="35"/>
    </row>
    <row r="955" ht="14.25" customHeight="1">
      <c r="A955" s="136"/>
      <c r="B955" s="137"/>
      <c r="C955" s="251"/>
      <c r="D955" s="452"/>
      <c r="E955" s="136"/>
      <c r="F955" s="253"/>
      <c r="G955" s="253"/>
      <c r="H955" s="527"/>
      <c r="I955" s="141"/>
      <c r="J955" s="141"/>
      <c r="K955" s="142"/>
      <c r="L955" s="142"/>
      <c r="M955" s="142"/>
      <c r="N955" s="142"/>
      <c r="O955" s="136"/>
      <c r="P955" s="34"/>
      <c r="Q955" s="35"/>
      <c r="R955" s="35"/>
      <c r="S955" s="35"/>
      <c r="T955" s="35"/>
      <c r="U955" s="35"/>
      <c r="V955" s="35"/>
      <c r="W955" s="35"/>
      <c r="X955" s="35"/>
      <c r="Y955" s="35"/>
      <c r="Z955" s="35"/>
    </row>
    <row r="956" ht="14.25" customHeight="1">
      <c r="A956" s="136"/>
      <c r="B956" s="137"/>
      <c r="C956" s="251"/>
      <c r="D956" s="452"/>
      <c r="E956" s="136"/>
      <c r="F956" s="253"/>
      <c r="G956" s="253"/>
      <c r="H956" s="527"/>
      <c r="I956" s="141"/>
      <c r="J956" s="141"/>
      <c r="K956" s="142"/>
      <c r="L956" s="142"/>
      <c r="M956" s="142"/>
      <c r="N956" s="142"/>
      <c r="O956" s="136"/>
      <c r="P956" s="34"/>
      <c r="Q956" s="35"/>
      <c r="R956" s="35"/>
      <c r="S956" s="35"/>
      <c r="T956" s="35"/>
      <c r="U956" s="35"/>
      <c r="V956" s="35"/>
      <c r="W956" s="35"/>
      <c r="X956" s="35"/>
      <c r="Y956" s="35"/>
      <c r="Z956" s="35"/>
    </row>
    <row r="957" ht="14.25" customHeight="1">
      <c r="A957" s="136"/>
      <c r="B957" s="137"/>
      <c r="C957" s="251"/>
      <c r="D957" s="452"/>
      <c r="E957" s="136"/>
      <c r="F957" s="253"/>
      <c r="G957" s="253"/>
      <c r="H957" s="527"/>
      <c r="I957" s="141"/>
      <c r="J957" s="141"/>
      <c r="K957" s="142"/>
      <c r="L957" s="142"/>
      <c r="M957" s="142"/>
      <c r="N957" s="142"/>
      <c r="O957" s="136"/>
      <c r="P957" s="34"/>
      <c r="Q957" s="35"/>
      <c r="R957" s="35"/>
      <c r="S957" s="35"/>
      <c r="T957" s="35"/>
      <c r="U957" s="35"/>
      <c r="V957" s="35"/>
      <c r="W957" s="35"/>
      <c r="X957" s="35"/>
      <c r="Y957" s="35"/>
      <c r="Z957" s="35"/>
    </row>
    <row r="958" ht="14.25" customHeight="1">
      <c r="A958" s="136"/>
      <c r="B958" s="137"/>
      <c r="C958" s="251"/>
      <c r="D958" s="452"/>
      <c r="E958" s="136"/>
      <c r="F958" s="253"/>
      <c r="G958" s="253"/>
      <c r="H958" s="527"/>
      <c r="I958" s="141"/>
      <c r="J958" s="141"/>
      <c r="K958" s="142"/>
      <c r="L958" s="142"/>
      <c r="M958" s="142"/>
      <c r="N958" s="142"/>
      <c r="O958" s="136"/>
      <c r="P958" s="34"/>
      <c r="Q958" s="35"/>
      <c r="R958" s="35"/>
      <c r="S958" s="35"/>
      <c r="T958" s="35"/>
      <c r="U958" s="35"/>
      <c r="V958" s="35"/>
      <c r="W958" s="35"/>
      <c r="X958" s="35"/>
      <c r="Y958" s="35"/>
      <c r="Z958" s="35"/>
    </row>
    <row r="959" ht="14.25" customHeight="1">
      <c r="A959" s="136"/>
      <c r="B959" s="137"/>
      <c r="C959" s="251"/>
      <c r="D959" s="452"/>
      <c r="E959" s="136"/>
      <c r="F959" s="253"/>
      <c r="G959" s="253"/>
      <c r="H959" s="527"/>
      <c r="I959" s="141"/>
      <c r="J959" s="141"/>
      <c r="K959" s="142"/>
      <c r="L959" s="142"/>
      <c r="M959" s="142"/>
      <c r="N959" s="142"/>
      <c r="O959" s="136"/>
      <c r="P959" s="34"/>
      <c r="Q959" s="35"/>
      <c r="R959" s="35"/>
      <c r="S959" s="35"/>
      <c r="T959" s="35"/>
      <c r="U959" s="35"/>
      <c r="V959" s="35"/>
      <c r="W959" s="35"/>
      <c r="X959" s="35"/>
      <c r="Y959" s="35"/>
      <c r="Z959" s="35"/>
    </row>
    <row r="960" ht="14.25" customHeight="1">
      <c r="A960" s="136"/>
      <c r="B960" s="137"/>
      <c r="C960" s="251"/>
      <c r="D960" s="452"/>
      <c r="E960" s="136"/>
      <c r="F960" s="253"/>
      <c r="G960" s="253"/>
      <c r="H960" s="527"/>
      <c r="I960" s="141"/>
      <c r="J960" s="141"/>
      <c r="K960" s="142"/>
      <c r="L960" s="142"/>
      <c r="M960" s="142"/>
      <c r="N960" s="142"/>
      <c r="O960" s="136"/>
      <c r="P960" s="34"/>
      <c r="Q960" s="35"/>
      <c r="R960" s="35"/>
      <c r="S960" s="35"/>
      <c r="T960" s="35"/>
      <c r="U960" s="35"/>
      <c r="V960" s="35"/>
      <c r="W960" s="35"/>
      <c r="X960" s="35"/>
      <c r="Y960" s="35"/>
      <c r="Z960" s="35"/>
    </row>
    <row r="961" ht="14.25" customHeight="1">
      <c r="A961" s="136"/>
      <c r="B961" s="137"/>
      <c r="C961" s="251"/>
      <c r="D961" s="452"/>
      <c r="E961" s="136"/>
      <c r="F961" s="253"/>
      <c r="G961" s="253"/>
      <c r="H961" s="527"/>
      <c r="I961" s="141"/>
      <c r="J961" s="141"/>
      <c r="K961" s="142"/>
      <c r="L961" s="142"/>
      <c r="M961" s="142"/>
      <c r="N961" s="142"/>
      <c r="O961" s="136"/>
      <c r="P961" s="34"/>
      <c r="Q961" s="35"/>
      <c r="R961" s="35"/>
      <c r="S961" s="35"/>
      <c r="T961" s="35"/>
      <c r="U961" s="35"/>
      <c r="V961" s="35"/>
      <c r="W961" s="35"/>
      <c r="X961" s="35"/>
      <c r="Y961" s="35"/>
      <c r="Z961" s="35"/>
    </row>
    <row r="962" ht="14.25" customHeight="1">
      <c r="A962" s="136"/>
      <c r="B962" s="137"/>
      <c r="C962" s="251"/>
      <c r="D962" s="452"/>
      <c r="E962" s="136"/>
      <c r="F962" s="253"/>
      <c r="G962" s="253"/>
      <c r="H962" s="527"/>
      <c r="I962" s="141"/>
      <c r="J962" s="141"/>
      <c r="K962" s="142"/>
      <c r="L962" s="142"/>
      <c r="M962" s="142"/>
      <c r="N962" s="142"/>
      <c r="O962" s="136"/>
      <c r="P962" s="34"/>
      <c r="Q962" s="35"/>
      <c r="R962" s="35"/>
      <c r="S962" s="35"/>
      <c r="T962" s="35"/>
      <c r="U962" s="35"/>
      <c r="V962" s="35"/>
      <c r="W962" s="35"/>
      <c r="X962" s="35"/>
      <c r="Y962" s="35"/>
      <c r="Z962" s="35"/>
    </row>
    <row r="963" ht="14.25" customHeight="1">
      <c r="A963" s="136"/>
      <c r="B963" s="137"/>
      <c r="C963" s="251"/>
      <c r="D963" s="452"/>
      <c r="E963" s="136"/>
      <c r="F963" s="253"/>
      <c r="G963" s="253"/>
      <c r="H963" s="527"/>
      <c r="I963" s="141"/>
      <c r="J963" s="141"/>
      <c r="K963" s="142"/>
      <c r="L963" s="142"/>
      <c r="M963" s="142"/>
      <c r="N963" s="142"/>
      <c r="O963" s="136"/>
      <c r="P963" s="34"/>
      <c r="Q963" s="35"/>
      <c r="R963" s="35"/>
      <c r="S963" s="35"/>
      <c r="T963" s="35"/>
      <c r="U963" s="35"/>
      <c r="V963" s="35"/>
      <c r="W963" s="35"/>
      <c r="X963" s="35"/>
      <c r="Y963" s="35"/>
      <c r="Z963" s="35"/>
    </row>
    <row r="964" ht="14.25" customHeight="1">
      <c r="A964" s="136"/>
      <c r="B964" s="137"/>
      <c r="C964" s="251"/>
      <c r="D964" s="452"/>
      <c r="E964" s="136"/>
      <c r="F964" s="253"/>
      <c r="G964" s="253"/>
      <c r="H964" s="527"/>
      <c r="I964" s="141"/>
      <c r="J964" s="141"/>
      <c r="K964" s="142"/>
      <c r="L964" s="142"/>
      <c r="M964" s="142"/>
      <c r="N964" s="142"/>
      <c r="O964" s="136"/>
      <c r="P964" s="34"/>
      <c r="Q964" s="35"/>
      <c r="R964" s="35"/>
      <c r="S964" s="35"/>
      <c r="T964" s="35"/>
      <c r="U964" s="35"/>
      <c r="V964" s="35"/>
      <c r="W964" s="35"/>
      <c r="X964" s="35"/>
      <c r="Y964" s="35"/>
      <c r="Z964" s="35"/>
    </row>
    <row r="965" ht="14.25" customHeight="1">
      <c r="A965" s="136"/>
      <c r="B965" s="137"/>
      <c r="C965" s="251"/>
      <c r="D965" s="452"/>
      <c r="E965" s="136"/>
      <c r="F965" s="253"/>
      <c r="G965" s="253"/>
      <c r="H965" s="527"/>
      <c r="I965" s="141"/>
      <c r="J965" s="141"/>
      <c r="K965" s="142"/>
      <c r="L965" s="142"/>
      <c r="M965" s="142"/>
      <c r="N965" s="142"/>
      <c r="O965" s="136"/>
      <c r="P965" s="34"/>
      <c r="Q965" s="35"/>
      <c r="R965" s="35"/>
      <c r="S965" s="35"/>
      <c r="T965" s="35"/>
      <c r="U965" s="35"/>
      <c r="V965" s="35"/>
      <c r="W965" s="35"/>
      <c r="X965" s="35"/>
      <c r="Y965" s="35"/>
      <c r="Z965" s="35"/>
    </row>
    <row r="966" ht="14.25" customHeight="1">
      <c r="A966" s="136"/>
      <c r="B966" s="137"/>
      <c r="C966" s="251"/>
      <c r="D966" s="452"/>
      <c r="E966" s="136"/>
      <c r="F966" s="253"/>
      <c r="G966" s="253"/>
      <c r="H966" s="527"/>
      <c r="I966" s="141"/>
      <c r="J966" s="141"/>
      <c r="K966" s="142"/>
      <c r="L966" s="142"/>
      <c r="M966" s="142"/>
      <c r="N966" s="142"/>
      <c r="O966" s="136"/>
      <c r="P966" s="34"/>
      <c r="Q966" s="35"/>
      <c r="R966" s="35"/>
      <c r="S966" s="35"/>
      <c r="T966" s="35"/>
      <c r="U966" s="35"/>
      <c r="V966" s="35"/>
      <c r="W966" s="35"/>
      <c r="X966" s="35"/>
      <c r="Y966" s="35"/>
      <c r="Z966" s="35"/>
    </row>
    <row r="967" ht="14.25" customHeight="1">
      <c r="A967" s="136"/>
      <c r="B967" s="137"/>
      <c r="C967" s="251"/>
      <c r="D967" s="452"/>
      <c r="E967" s="136"/>
      <c r="F967" s="253"/>
      <c r="G967" s="253"/>
      <c r="H967" s="527"/>
      <c r="I967" s="141"/>
      <c r="J967" s="141"/>
      <c r="K967" s="142"/>
      <c r="L967" s="142"/>
      <c r="M967" s="142"/>
      <c r="N967" s="142"/>
      <c r="O967" s="136"/>
      <c r="P967" s="34"/>
      <c r="Q967" s="35"/>
      <c r="R967" s="35"/>
      <c r="S967" s="35"/>
      <c r="T967" s="35"/>
      <c r="U967" s="35"/>
      <c r="V967" s="35"/>
      <c r="W967" s="35"/>
      <c r="X967" s="35"/>
      <c r="Y967" s="35"/>
      <c r="Z967" s="35"/>
    </row>
    <row r="968" ht="14.25" customHeight="1">
      <c r="A968" s="136"/>
      <c r="B968" s="137"/>
      <c r="C968" s="251"/>
      <c r="D968" s="452"/>
      <c r="E968" s="136"/>
      <c r="F968" s="253"/>
      <c r="G968" s="253"/>
      <c r="H968" s="527"/>
      <c r="I968" s="141"/>
      <c r="J968" s="141"/>
      <c r="K968" s="142"/>
      <c r="L968" s="142"/>
      <c r="M968" s="142"/>
      <c r="N968" s="142"/>
      <c r="O968" s="136"/>
      <c r="P968" s="34"/>
      <c r="Q968" s="35"/>
      <c r="R968" s="35"/>
      <c r="S968" s="35"/>
      <c r="T968" s="35"/>
      <c r="U968" s="35"/>
      <c r="V968" s="35"/>
      <c r="W968" s="35"/>
      <c r="X968" s="35"/>
      <c r="Y968" s="35"/>
      <c r="Z968" s="35"/>
    </row>
    <row r="969" ht="14.25" customHeight="1">
      <c r="A969" s="136"/>
      <c r="B969" s="137"/>
      <c r="C969" s="251"/>
      <c r="D969" s="452"/>
      <c r="E969" s="136"/>
      <c r="F969" s="253"/>
      <c r="G969" s="253"/>
      <c r="H969" s="527"/>
      <c r="I969" s="141"/>
      <c r="J969" s="141"/>
      <c r="K969" s="142"/>
      <c r="L969" s="142"/>
      <c r="M969" s="142"/>
      <c r="N969" s="142"/>
      <c r="O969" s="136"/>
      <c r="P969" s="34"/>
      <c r="Q969" s="35"/>
      <c r="R969" s="35"/>
      <c r="S969" s="35"/>
      <c r="T969" s="35"/>
      <c r="U969" s="35"/>
      <c r="V969" s="35"/>
      <c r="W969" s="35"/>
      <c r="X969" s="35"/>
      <c r="Y969" s="35"/>
      <c r="Z969" s="35"/>
    </row>
    <row r="970" ht="14.25" customHeight="1">
      <c r="A970" s="136"/>
      <c r="B970" s="137"/>
      <c r="C970" s="251"/>
      <c r="D970" s="452"/>
      <c r="E970" s="136"/>
      <c r="F970" s="253"/>
      <c r="G970" s="253"/>
      <c r="H970" s="527"/>
      <c r="I970" s="141"/>
      <c r="J970" s="141"/>
      <c r="K970" s="142"/>
      <c r="L970" s="142"/>
      <c r="M970" s="142"/>
      <c r="N970" s="142"/>
      <c r="O970" s="136"/>
      <c r="P970" s="34"/>
      <c r="Q970" s="35"/>
      <c r="R970" s="35"/>
      <c r="S970" s="35"/>
      <c r="T970" s="35"/>
      <c r="U970" s="35"/>
      <c r="V970" s="35"/>
      <c r="W970" s="35"/>
      <c r="X970" s="35"/>
      <c r="Y970" s="35"/>
      <c r="Z970" s="35"/>
    </row>
    <row r="971" ht="14.25" customHeight="1">
      <c r="A971" s="136"/>
      <c r="B971" s="137"/>
      <c r="C971" s="251"/>
      <c r="D971" s="452"/>
      <c r="E971" s="136"/>
      <c r="F971" s="253"/>
      <c r="G971" s="253"/>
      <c r="H971" s="527"/>
      <c r="I971" s="141"/>
      <c r="J971" s="141"/>
      <c r="K971" s="142"/>
      <c r="L971" s="142"/>
      <c r="M971" s="142"/>
      <c r="N971" s="142"/>
      <c r="O971" s="136"/>
      <c r="P971" s="34"/>
      <c r="Q971" s="35"/>
      <c r="R971" s="35"/>
      <c r="S971" s="35"/>
      <c r="T971" s="35"/>
      <c r="U971" s="35"/>
      <c r="V971" s="35"/>
      <c r="W971" s="35"/>
      <c r="X971" s="35"/>
      <c r="Y971" s="35"/>
      <c r="Z971" s="35"/>
    </row>
    <row r="972" ht="14.25" customHeight="1">
      <c r="A972" s="136"/>
      <c r="B972" s="137"/>
      <c r="C972" s="251"/>
      <c r="D972" s="452"/>
      <c r="E972" s="136"/>
      <c r="F972" s="253"/>
      <c r="G972" s="253"/>
      <c r="H972" s="527"/>
      <c r="I972" s="141"/>
      <c r="J972" s="141"/>
      <c r="K972" s="142"/>
      <c r="L972" s="142"/>
      <c r="M972" s="142"/>
      <c r="N972" s="142"/>
      <c r="O972" s="136"/>
      <c r="P972" s="34"/>
      <c r="Q972" s="35"/>
      <c r="R972" s="35"/>
      <c r="S972" s="35"/>
      <c r="T972" s="35"/>
      <c r="U972" s="35"/>
      <c r="V972" s="35"/>
      <c r="W972" s="35"/>
      <c r="X972" s="35"/>
      <c r="Y972" s="35"/>
      <c r="Z972" s="35"/>
    </row>
    <row r="973" ht="14.25" customHeight="1">
      <c r="A973" s="136"/>
      <c r="B973" s="137"/>
      <c r="C973" s="251"/>
      <c r="D973" s="452"/>
      <c r="E973" s="136"/>
      <c r="F973" s="253"/>
      <c r="G973" s="253"/>
      <c r="H973" s="527"/>
      <c r="I973" s="141"/>
      <c r="J973" s="141"/>
      <c r="K973" s="142"/>
      <c r="L973" s="142"/>
      <c r="M973" s="142"/>
      <c r="N973" s="142"/>
      <c r="O973" s="136"/>
      <c r="P973" s="34"/>
      <c r="Q973" s="35"/>
      <c r="R973" s="35"/>
      <c r="S973" s="35"/>
      <c r="T973" s="35"/>
      <c r="U973" s="35"/>
      <c r="V973" s="35"/>
      <c r="W973" s="35"/>
      <c r="X973" s="35"/>
      <c r="Y973" s="35"/>
      <c r="Z973" s="35"/>
    </row>
    <row r="974" ht="14.25" customHeight="1">
      <c r="A974" s="136"/>
      <c r="B974" s="137"/>
      <c r="C974" s="251"/>
      <c r="D974" s="452"/>
      <c r="E974" s="136"/>
      <c r="F974" s="253"/>
      <c r="G974" s="253"/>
      <c r="H974" s="527"/>
      <c r="I974" s="141"/>
      <c r="J974" s="141"/>
      <c r="K974" s="142"/>
      <c r="L974" s="142"/>
      <c r="M974" s="142"/>
      <c r="N974" s="142"/>
      <c r="O974" s="136"/>
      <c r="P974" s="34"/>
      <c r="Q974" s="35"/>
      <c r="R974" s="35"/>
      <c r="S974" s="35"/>
      <c r="T974" s="35"/>
      <c r="U974" s="35"/>
      <c r="V974" s="35"/>
      <c r="W974" s="35"/>
      <c r="X974" s="35"/>
      <c r="Y974" s="35"/>
      <c r="Z974" s="35"/>
    </row>
    <row r="975" ht="14.25" customHeight="1">
      <c r="A975" s="136"/>
      <c r="B975" s="137"/>
      <c r="C975" s="251"/>
      <c r="D975" s="452"/>
      <c r="E975" s="136"/>
      <c r="F975" s="253"/>
      <c r="G975" s="253"/>
      <c r="H975" s="527"/>
      <c r="I975" s="141"/>
      <c r="J975" s="141"/>
      <c r="K975" s="142"/>
      <c r="L975" s="142"/>
      <c r="M975" s="142"/>
      <c r="N975" s="142"/>
      <c r="O975" s="136"/>
      <c r="P975" s="34"/>
      <c r="Q975" s="35"/>
      <c r="R975" s="35"/>
      <c r="S975" s="35"/>
      <c r="T975" s="35"/>
      <c r="U975" s="35"/>
      <c r="V975" s="35"/>
      <c r="W975" s="35"/>
      <c r="X975" s="35"/>
      <c r="Y975" s="35"/>
      <c r="Z975" s="35"/>
    </row>
    <row r="976" ht="14.25" customHeight="1">
      <c r="A976" s="136"/>
      <c r="B976" s="137"/>
      <c r="C976" s="251"/>
      <c r="D976" s="452"/>
      <c r="E976" s="136"/>
      <c r="F976" s="253"/>
      <c r="G976" s="253"/>
      <c r="H976" s="527"/>
      <c r="I976" s="141"/>
      <c r="J976" s="141"/>
      <c r="K976" s="142"/>
      <c r="L976" s="142"/>
      <c r="M976" s="142"/>
      <c r="N976" s="142"/>
      <c r="O976" s="136"/>
      <c r="P976" s="34"/>
      <c r="Q976" s="35"/>
      <c r="R976" s="35"/>
      <c r="S976" s="35"/>
      <c r="T976" s="35"/>
      <c r="U976" s="35"/>
      <c r="V976" s="35"/>
      <c r="W976" s="35"/>
      <c r="X976" s="35"/>
      <c r="Y976" s="35"/>
      <c r="Z976" s="35"/>
    </row>
    <row r="977" ht="14.25" customHeight="1">
      <c r="A977" s="136"/>
      <c r="B977" s="137"/>
      <c r="C977" s="251"/>
      <c r="D977" s="452"/>
      <c r="E977" s="136"/>
      <c r="F977" s="253"/>
      <c r="G977" s="253"/>
      <c r="H977" s="527"/>
      <c r="I977" s="141"/>
      <c r="J977" s="141"/>
      <c r="K977" s="142"/>
      <c r="L977" s="142"/>
      <c r="M977" s="142"/>
      <c r="N977" s="142"/>
      <c r="O977" s="136"/>
      <c r="P977" s="34"/>
      <c r="Q977" s="35"/>
      <c r="R977" s="35"/>
      <c r="S977" s="35"/>
      <c r="T977" s="35"/>
      <c r="U977" s="35"/>
      <c r="V977" s="35"/>
      <c r="W977" s="35"/>
      <c r="X977" s="35"/>
      <c r="Y977" s="35"/>
      <c r="Z977" s="35"/>
    </row>
    <row r="978" ht="14.25" customHeight="1">
      <c r="A978" s="136"/>
      <c r="B978" s="137"/>
      <c r="C978" s="251"/>
      <c r="D978" s="452"/>
      <c r="E978" s="136"/>
      <c r="F978" s="253"/>
      <c r="G978" s="253"/>
      <c r="H978" s="527"/>
      <c r="I978" s="141"/>
      <c r="J978" s="141"/>
      <c r="K978" s="142"/>
      <c r="L978" s="142"/>
      <c r="M978" s="142"/>
      <c r="N978" s="142"/>
      <c r="O978" s="136"/>
      <c r="P978" s="34"/>
      <c r="Q978" s="35"/>
      <c r="R978" s="35"/>
      <c r="S978" s="35"/>
      <c r="T978" s="35"/>
      <c r="U978" s="35"/>
      <c r="V978" s="35"/>
      <c r="W978" s="35"/>
      <c r="X978" s="35"/>
      <c r="Y978" s="35"/>
      <c r="Z978" s="35"/>
    </row>
    <row r="979" ht="14.25" customHeight="1">
      <c r="A979" s="136"/>
      <c r="B979" s="137"/>
      <c r="C979" s="251"/>
      <c r="D979" s="452"/>
      <c r="E979" s="136"/>
      <c r="F979" s="253"/>
      <c r="G979" s="253"/>
      <c r="H979" s="527"/>
      <c r="I979" s="141"/>
      <c r="J979" s="141"/>
      <c r="K979" s="142"/>
      <c r="L979" s="142"/>
      <c r="M979" s="142"/>
      <c r="N979" s="142"/>
      <c r="O979" s="136"/>
      <c r="P979" s="34"/>
      <c r="Q979" s="35"/>
      <c r="R979" s="35"/>
      <c r="S979" s="35"/>
      <c r="T979" s="35"/>
      <c r="U979" s="35"/>
      <c r="V979" s="35"/>
      <c r="W979" s="35"/>
      <c r="X979" s="35"/>
      <c r="Y979" s="35"/>
      <c r="Z979" s="35"/>
    </row>
    <row r="980" ht="14.25" customHeight="1">
      <c r="A980" s="136"/>
      <c r="B980" s="137"/>
      <c r="C980" s="251"/>
      <c r="D980" s="452"/>
      <c r="E980" s="136"/>
      <c r="F980" s="253"/>
      <c r="G980" s="253"/>
      <c r="H980" s="527"/>
      <c r="I980" s="141"/>
      <c r="J980" s="141"/>
      <c r="K980" s="142"/>
      <c r="L980" s="142"/>
      <c r="M980" s="142"/>
      <c r="N980" s="142"/>
      <c r="O980" s="136"/>
      <c r="P980" s="34"/>
      <c r="Q980" s="35"/>
      <c r="R980" s="35"/>
      <c r="S980" s="35"/>
      <c r="T980" s="35"/>
      <c r="U980" s="35"/>
      <c r="V980" s="35"/>
      <c r="W980" s="35"/>
      <c r="X980" s="35"/>
      <c r="Y980" s="35"/>
      <c r="Z980" s="35"/>
    </row>
    <row r="981" ht="14.25" customHeight="1">
      <c r="A981" s="136"/>
      <c r="B981" s="137"/>
      <c r="C981" s="251"/>
      <c r="D981" s="452"/>
      <c r="E981" s="136"/>
      <c r="F981" s="253"/>
      <c r="G981" s="253"/>
      <c r="H981" s="527"/>
      <c r="I981" s="141"/>
      <c r="J981" s="141"/>
      <c r="K981" s="142"/>
      <c r="L981" s="142"/>
      <c r="M981" s="142"/>
      <c r="N981" s="142"/>
      <c r="O981" s="136"/>
      <c r="P981" s="34"/>
      <c r="Q981" s="35"/>
      <c r="R981" s="35"/>
      <c r="S981" s="35"/>
      <c r="T981" s="35"/>
      <c r="U981" s="35"/>
      <c r="V981" s="35"/>
      <c r="W981" s="35"/>
      <c r="X981" s="35"/>
      <c r="Y981" s="35"/>
      <c r="Z981" s="35"/>
    </row>
    <row r="982" ht="14.25" customHeight="1">
      <c r="A982" s="136"/>
      <c r="B982" s="137"/>
      <c r="C982" s="251"/>
      <c r="D982" s="452"/>
      <c r="E982" s="136"/>
      <c r="F982" s="253"/>
      <c r="G982" s="253"/>
      <c r="H982" s="527"/>
      <c r="I982" s="141"/>
      <c r="J982" s="141"/>
      <c r="K982" s="142"/>
      <c r="L982" s="142"/>
      <c r="M982" s="142"/>
      <c r="N982" s="142"/>
      <c r="O982" s="136"/>
      <c r="P982" s="34"/>
      <c r="Q982" s="35"/>
      <c r="R982" s="35"/>
      <c r="S982" s="35"/>
      <c r="T982" s="35"/>
      <c r="U982" s="35"/>
      <c r="V982" s="35"/>
      <c r="W982" s="35"/>
      <c r="X982" s="35"/>
      <c r="Y982" s="35"/>
      <c r="Z982" s="35"/>
    </row>
    <row r="983" ht="14.25" customHeight="1">
      <c r="A983" s="136"/>
      <c r="B983" s="137"/>
      <c r="C983" s="251"/>
      <c r="D983" s="452"/>
      <c r="E983" s="136"/>
      <c r="F983" s="253"/>
      <c r="G983" s="253"/>
      <c r="H983" s="527"/>
      <c r="I983" s="141"/>
      <c r="J983" s="141"/>
      <c r="K983" s="142"/>
      <c r="L983" s="142"/>
      <c r="M983" s="142"/>
      <c r="N983" s="142"/>
      <c r="O983" s="136"/>
      <c r="P983" s="34"/>
      <c r="Q983" s="35"/>
      <c r="R983" s="35"/>
      <c r="S983" s="35"/>
      <c r="T983" s="35"/>
      <c r="U983" s="35"/>
      <c r="V983" s="35"/>
      <c r="W983" s="35"/>
      <c r="X983" s="35"/>
      <c r="Y983" s="35"/>
      <c r="Z983" s="35"/>
    </row>
    <row r="984" ht="14.25" customHeight="1">
      <c r="A984" s="136"/>
      <c r="B984" s="137"/>
      <c r="C984" s="251"/>
      <c r="D984" s="452"/>
      <c r="E984" s="136"/>
      <c r="F984" s="253"/>
      <c r="G984" s="253"/>
      <c r="H984" s="527"/>
      <c r="I984" s="141"/>
      <c r="J984" s="141"/>
      <c r="K984" s="142"/>
      <c r="L984" s="142"/>
      <c r="M984" s="142"/>
      <c r="N984" s="142"/>
      <c r="O984" s="136"/>
      <c r="P984" s="34"/>
      <c r="Q984" s="35"/>
      <c r="R984" s="35"/>
      <c r="S984" s="35"/>
      <c r="T984" s="35"/>
      <c r="U984" s="35"/>
      <c r="V984" s="35"/>
      <c r="W984" s="35"/>
      <c r="X984" s="35"/>
      <c r="Y984" s="35"/>
      <c r="Z984" s="35"/>
    </row>
    <row r="985" ht="14.25" customHeight="1">
      <c r="A985" s="136"/>
      <c r="B985" s="137"/>
      <c r="C985" s="251"/>
      <c r="D985" s="452"/>
      <c r="E985" s="136"/>
      <c r="F985" s="253"/>
      <c r="G985" s="253"/>
      <c r="H985" s="527"/>
      <c r="I985" s="141"/>
      <c r="J985" s="141"/>
      <c r="K985" s="142"/>
      <c r="L985" s="142"/>
      <c r="M985" s="142"/>
      <c r="N985" s="142"/>
      <c r="O985" s="136"/>
      <c r="P985" s="34"/>
      <c r="Q985" s="35"/>
      <c r="R985" s="35"/>
      <c r="S985" s="35"/>
      <c r="T985" s="35"/>
      <c r="U985" s="35"/>
      <c r="V985" s="35"/>
      <c r="W985" s="35"/>
      <c r="X985" s="35"/>
      <c r="Y985" s="35"/>
      <c r="Z985" s="35"/>
    </row>
    <row r="986" ht="14.25" customHeight="1">
      <c r="A986" s="136"/>
      <c r="B986" s="137"/>
      <c r="C986" s="251"/>
      <c r="D986" s="452"/>
      <c r="E986" s="136"/>
      <c r="F986" s="253"/>
      <c r="G986" s="253"/>
      <c r="H986" s="527"/>
      <c r="I986" s="141"/>
      <c r="J986" s="141"/>
      <c r="K986" s="142"/>
      <c r="L986" s="142"/>
      <c r="M986" s="142"/>
      <c r="N986" s="142"/>
      <c r="O986" s="136"/>
      <c r="P986" s="34"/>
      <c r="Q986" s="35"/>
      <c r="R986" s="35"/>
      <c r="S986" s="35"/>
      <c r="T986" s="35"/>
      <c r="U986" s="35"/>
      <c r="V986" s="35"/>
      <c r="W986" s="35"/>
      <c r="X986" s="35"/>
      <c r="Y986" s="35"/>
      <c r="Z986" s="35"/>
    </row>
    <row r="987" ht="14.25" customHeight="1">
      <c r="A987" s="136"/>
      <c r="B987" s="137"/>
      <c r="C987" s="251"/>
      <c r="D987" s="452"/>
      <c r="E987" s="136"/>
      <c r="F987" s="253"/>
      <c r="G987" s="253"/>
      <c r="H987" s="527"/>
      <c r="I987" s="141"/>
      <c r="J987" s="141"/>
      <c r="K987" s="142"/>
      <c r="L987" s="142"/>
      <c r="M987" s="142"/>
      <c r="N987" s="142"/>
      <c r="O987" s="136"/>
      <c r="P987" s="34"/>
      <c r="Q987" s="35"/>
      <c r="R987" s="35"/>
      <c r="S987" s="35"/>
      <c r="T987" s="35"/>
      <c r="U987" s="35"/>
      <c r="V987" s="35"/>
      <c r="W987" s="35"/>
      <c r="X987" s="35"/>
      <c r="Y987" s="35"/>
      <c r="Z987" s="35"/>
    </row>
    <row r="988" ht="14.25" customHeight="1">
      <c r="A988" s="136"/>
      <c r="B988" s="137"/>
      <c r="C988" s="251"/>
      <c r="D988" s="452"/>
      <c r="E988" s="136"/>
      <c r="F988" s="253"/>
      <c r="G988" s="253"/>
      <c r="H988" s="527"/>
      <c r="I988" s="141"/>
      <c r="J988" s="141"/>
      <c r="K988" s="142"/>
      <c r="L988" s="142"/>
      <c r="M988" s="142"/>
      <c r="N988" s="142"/>
      <c r="O988" s="136"/>
      <c r="P988" s="34"/>
      <c r="Q988" s="35"/>
      <c r="R988" s="35"/>
      <c r="S988" s="35"/>
      <c r="T988" s="35"/>
      <c r="U988" s="35"/>
      <c r="V988" s="35"/>
      <c r="W988" s="35"/>
      <c r="X988" s="35"/>
      <c r="Y988" s="35"/>
      <c r="Z988" s="35"/>
    </row>
    <row r="989" ht="14.25" customHeight="1">
      <c r="A989" s="136"/>
      <c r="B989" s="137"/>
      <c r="C989" s="251"/>
      <c r="D989" s="452"/>
      <c r="E989" s="136"/>
      <c r="F989" s="253"/>
      <c r="G989" s="253"/>
      <c r="H989" s="527"/>
      <c r="I989" s="141"/>
      <c r="J989" s="141"/>
      <c r="K989" s="142"/>
      <c r="L989" s="142"/>
      <c r="M989" s="142"/>
      <c r="N989" s="142"/>
      <c r="O989" s="136"/>
      <c r="P989" s="34"/>
      <c r="Q989" s="35"/>
      <c r="R989" s="35"/>
      <c r="S989" s="35"/>
      <c r="T989" s="35"/>
      <c r="U989" s="35"/>
      <c r="V989" s="35"/>
      <c r="W989" s="35"/>
      <c r="X989" s="35"/>
      <c r="Y989" s="35"/>
      <c r="Z989" s="35"/>
    </row>
    <row r="990" ht="14.25" customHeight="1">
      <c r="A990" s="136"/>
      <c r="B990" s="137"/>
      <c r="C990" s="251"/>
      <c r="D990" s="452"/>
      <c r="E990" s="136"/>
      <c r="F990" s="253"/>
      <c r="G990" s="253"/>
      <c r="H990" s="527"/>
      <c r="I990" s="141"/>
      <c r="J990" s="141"/>
      <c r="K990" s="142"/>
      <c r="L990" s="142"/>
      <c r="M990" s="142"/>
      <c r="N990" s="142"/>
      <c r="O990" s="136"/>
      <c r="P990" s="34"/>
      <c r="Q990" s="35"/>
      <c r="R990" s="35"/>
      <c r="S990" s="35"/>
      <c r="T990" s="35"/>
      <c r="U990" s="35"/>
      <c r="V990" s="35"/>
      <c r="W990" s="35"/>
      <c r="X990" s="35"/>
      <c r="Y990" s="35"/>
      <c r="Z990" s="35"/>
    </row>
    <row r="991" ht="14.25" customHeight="1">
      <c r="A991" s="136"/>
      <c r="B991" s="137"/>
      <c r="C991" s="251"/>
      <c r="D991" s="452"/>
      <c r="E991" s="136"/>
      <c r="F991" s="253"/>
      <c r="G991" s="253"/>
      <c r="H991" s="527"/>
      <c r="I991" s="141"/>
      <c r="J991" s="141"/>
      <c r="K991" s="142"/>
      <c r="L991" s="142"/>
      <c r="M991" s="142"/>
      <c r="N991" s="142"/>
      <c r="O991" s="136"/>
      <c r="P991" s="34"/>
      <c r="Q991" s="35"/>
      <c r="R991" s="35"/>
      <c r="S991" s="35"/>
      <c r="T991" s="35"/>
      <c r="U991" s="35"/>
      <c r="V991" s="35"/>
      <c r="W991" s="35"/>
      <c r="X991" s="35"/>
      <c r="Y991" s="35"/>
      <c r="Z991" s="35"/>
    </row>
    <row r="992" ht="14.25" customHeight="1">
      <c r="A992" s="136"/>
      <c r="B992" s="137"/>
      <c r="C992" s="251"/>
      <c r="D992" s="452"/>
      <c r="E992" s="136"/>
      <c r="F992" s="253"/>
      <c r="G992" s="253"/>
      <c r="H992" s="527"/>
      <c r="I992" s="141"/>
      <c r="J992" s="141"/>
      <c r="K992" s="142"/>
      <c r="L992" s="142"/>
      <c r="M992" s="142"/>
      <c r="N992" s="142"/>
      <c r="O992" s="136"/>
      <c r="P992" s="34"/>
      <c r="Q992" s="35"/>
      <c r="R992" s="35"/>
      <c r="S992" s="35"/>
      <c r="T992" s="35"/>
      <c r="U992" s="35"/>
      <c r="V992" s="35"/>
      <c r="W992" s="35"/>
      <c r="X992" s="35"/>
      <c r="Y992" s="35"/>
      <c r="Z992" s="35"/>
    </row>
    <row r="993" ht="14.25" customHeight="1">
      <c r="A993" s="136"/>
      <c r="B993" s="137"/>
      <c r="C993" s="251"/>
      <c r="D993" s="452"/>
      <c r="E993" s="136"/>
      <c r="F993" s="253"/>
      <c r="G993" s="253"/>
      <c r="H993" s="527"/>
      <c r="I993" s="141"/>
      <c r="J993" s="141"/>
      <c r="K993" s="142"/>
      <c r="L993" s="142"/>
      <c r="M993" s="142"/>
      <c r="N993" s="142"/>
      <c r="O993" s="136"/>
      <c r="P993" s="34"/>
      <c r="Q993" s="35"/>
      <c r="R993" s="35"/>
      <c r="S993" s="35"/>
      <c r="T993" s="35"/>
      <c r="U993" s="35"/>
      <c r="V993" s="35"/>
      <c r="W993" s="35"/>
      <c r="X993" s="35"/>
      <c r="Y993" s="35"/>
      <c r="Z993" s="35"/>
    </row>
    <row r="994" ht="14.25" customHeight="1">
      <c r="A994" s="136"/>
      <c r="B994" s="137"/>
      <c r="C994" s="251"/>
      <c r="D994" s="452"/>
      <c r="E994" s="136"/>
      <c r="F994" s="253"/>
      <c r="G994" s="253"/>
      <c r="H994" s="527"/>
      <c r="I994" s="141"/>
      <c r="J994" s="141"/>
      <c r="K994" s="142"/>
      <c r="L994" s="142"/>
      <c r="M994" s="142"/>
      <c r="N994" s="142"/>
      <c r="O994" s="136"/>
      <c r="P994" s="34"/>
      <c r="Q994" s="35"/>
      <c r="R994" s="35"/>
      <c r="S994" s="35"/>
      <c r="T994" s="35"/>
      <c r="U994" s="35"/>
      <c r="V994" s="35"/>
      <c r="W994" s="35"/>
      <c r="X994" s="35"/>
      <c r="Y994" s="35"/>
      <c r="Z994" s="35"/>
    </row>
    <row r="995" ht="14.25" customHeight="1">
      <c r="A995" s="136"/>
      <c r="B995" s="137"/>
      <c r="C995" s="251"/>
      <c r="D995" s="452"/>
      <c r="E995" s="136"/>
      <c r="F995" s="253"/>
      <c r="G995" s="253"/>
      <c r="H995" s="527"/>
      <c r="I995" s="141"/>
      <c r="J995" s="141"/>
      <c r="K995" s="142"/>
      <c r="L995" s="142"/>
      <c r="M995" s="142"/>
      <c r="N995" s="142"/>
      <c r="O995" s="136"/>
      <c r="P995" s="34"/>
      <c r="Q995" s="35"/>
      <c r="R995" s="35"/>
      <c r="S995" s="35"/>
      <c r="T995" s="35"/>
      <c r="U995" s="35"/>
      <c r="V995" s="35"/>
      <c r="W995" s="35"/>
      <c r="X995" s="35"/>
      <c r="Y995" s="35"/>
      <c r="Z995" s="35"/>
    </row>
    <row r="996" ht="14.25" customHeight="1">
      <c r="A996" s="136"/>
      <c r="B996" s="137"/>
      <c r="C996" s="251"/>
      <c r="D996" s="452"/>
      <c r="E996" s="136"/>
      <c r="F996" s="253"/>
      <c r="G996" s="253"/>
      <c r="H996" s="527"/>
      <c r="I996" s="141"/>
      <c r="J996" s="141"/>
      <c r="K996" s="142"/>
      <c r="L996" s="142"/>
      <c r="M996" s="142"/>
      <c r="N996" s="142"/>
      <c r="O996" s="136"/>
      <c r="P996" s="34"/>
      <c r="Q996" s="35"/>
      <c r="R996" s="35"/>
      <c r="S996" s="35"/>
      <c r="T996" s="35"/>
      <c r="U996" s="35"/>
      <c r="V996" s="35"/>
      <c r="W996" s="35"/>
      <c r="X996" s="35"/>
      <c r="Y996" s="35"/>
      <c r="Z996" s="35"/>
    </row>
    <row r="997" ht="14.25" customHeight="1">
      <c r="A997" s="136"/>
      <c r="B997" s="137"/>
      <c r="C997" s="251"/>
      <c r="D997" s="452"/>
      <c r="E997" s="136"/>
      <c r="F997" s="253"/>
      <c r="G997" s="253"/>
      <c r="H997" s="527"/>
      <c r="I997" s="141"/>
      <c r="J997" s="141"/>
      <c r="K997" s="142"/>
      <c r="L997" s="142"/>
      <c r="M997" s="142"/>
      <c r="N997" s="142"/>
      <c r="O997" s="136"/>
      <c r="P997" s="34"/>
      <c r="Q997" s="35"/>
      <c r="R997" s="35"/>
      <c r="S997" s="35"/>
      <c r="T997" s="35"/>
      <c r="U997" s="35"/>
      <c r="V997" s="35"/>
      <c r="W997" s="35"/>
      <c r="X997" s="35"/>
      <c r="Y997" s="35"/>
      <c r="Z997" s="35"/>
    </row>
    <row r="998" ht="14.25" customHeight="1">
      <c r="A998" s="136"/>
      <c r="B998" s="137"/>
      <c r="C998" s="251"/>
      <c r="D998" s="452"/>
      <c r="E998" s="136"/>
      <c r="F998" s="253"/>
      <c r="G998" s="253"/>
      <c r="H998" s="527"/>
      <c r="I998" s="141"/>
      <c r="J998" s="141"/>
      <c r="K998" s="142"/>
      <c r="L998" s="142"/>
      <c r="M998" s="142"/>
      <c r="N998" s="142"/>
      <c r="O998" s="136"/>
      <c r="P998" s="34"/>
      <c r="Q998" s="35"/>
      <c r="R998" s="35"/>
      <c r="S998" s="35"/>
      <c r="T998" s="35"/>
      <c r="U998" s="35"/>
      <c r="V998" s="35"/>
      <c r="W998" s="35"/>
      <c r="X998" s="35"/>
      <c r="Y998" s="35"/>
      <c r="Z998" s="35"/>
    </row>
    <row r="999" ht="14.25" customHeight="1">
      <c r="A999" s="136"/>
      <c r="B999" s="137"/>
      <c r="C999" s="251"/>
      <c r="D999" s="452"/>
      <c r="E999" s="136"/>
      <c r="F999" s="253"/>
      <c r="G999" s="253"/>
      <c r="H999" s="527"/>
      <c r="I999" s="141"/>
      <c r="J999" s="141"/>
      <c r="K999" s="142"/>
      <c r="L999" s="142"/>
      <c r="M999" s="142"/>
      <c r="N999" s="142"/>
      <c r="O999" s="136"/>
      <c r="P999" s="34"/>
      <c r="Q999" s="35"/>
      <c r="R999" s="35"/>
      <c r="S999" s="35"/>
      <c r="T999" s="35"/>
      <c r="U999" s="35"/>
      <c r="V999" s="35"/>
      <c r="W999" s="35"/>
      <c r="X999" s="35"/>
      <c r="Y999" s="35"/>
      <c r="Z999" s="35"/>
    </row>
    <row r="1000" ht="14.25" customHeight="1">
      <c r="A1000" s="136"/>
      <c r="B1000" s="137"/>
      <c r="C1000" s="251"/>
      <c r="D1000" s="452"/>
      <c r="E1000" s="136"/>
      <c r="F1000" s="253"/>
      <c r="G1000" s="253"/>
      <c r="H1000" s="527"/>
      <c r="I1000" s="141"/>
      <c r="J1000" s="141"/>
      <c r="K1000" s="142"/>
      <c r="L1000" s="142"/>
      <c r="M1000" s="142"/>
      <c r="N1000" s="142"/>
      <c r="O1000" s="136"/>
      <c r="P1000" s="34"/>
      <c r="Q1000" s="35"/>
      <c r="R1000" s="35"/>
      <c r="S1000" s="35"/>
      <c r="T1000" s="35"/>
      <c r="U1000" s="35"/>
      <c r="V1000" s="35"/>
      <c r="W1000" s="35"/>
      <c r="X1000" s="35"/>
      <c r="Y1000" s="35"/>
      <c r="Z1000" s="35"/>
    </row>
    <row r="1001" ht="14.25" customHeight="1">
      <c r="A1001" s="136"/>
      <c r="B1001" s="137"/>
      <c r="C1001" s="251"/>
      <c r="D1001" s="452"/>
      <c r="E1001" s="136"/>
      <c r="F1001" s="253"/>
      <c r="G1001" s="253"/>
      <c r="H1001" s="527"/>
      <c r="I1001" s="141"/>
      <c r="J1001" s="141"/>
      <c r="K1001" s="142"/>
      <c r="L1001" s="142"/>
      <c r="M1001" s="142"/>
      <c r="N1001" s="142"/>
      <c r="O1001" s="136"/>
      <c r="P1001" s="34"/>
      <c r="Q1001" s="35"/>
      <c r="R1001" s="35"/>
      <c r="S1001" s="35"/>
      <c r="T1001" s="35"/>
      <c r="U1001" s="35"/>
      <c r="V1001" s="35"/>
      <c r="W1001" s="35"/>
      <c r="X1001" s="35"/>
      <c r="Y1001" s="35"/>
      <c r="Z1001" s="35"/>
    </row>
    <row r="1002" ht="14.25" customHeight="1">
      <c r="A1002" s="136"/>
      <c r="B1002" s="137"/>
      <c r="C1002" s="251"/>
      <c r="D1002" s="452"/>
      <c r="E1002" s="136"/>
      <c r="F1002" s="253"/>
      <c r="G1002" s="253"/>
      <c r="H1002" s="527"/>
      <c r="I1002" s="141"/>
      <c r="J1002" s="141"/>
      <c r="K1002" s="142"/>
      <c r="L1002" s="142"/>
      <c r="M1002" s="142"/>
      <c r="N1002" s="142"/>
      <c r="O1002" s="136"/>
      <c r="P1002" s="34"/>
      <c r="Q1002" s="35"/>
      <c r="R1002" s="35"/>
      <c r="S1002" s="35"/>
      <c r="T1002" s="35"/>
      <c r="U1002" s="35"/>
      <c r="V1002" s="35"/>
      <c r="W1002" s="35"/>
      <c r="X1002" s="35"/>
      <c r="Y1002" s="35"/>
      <c r="Z1002" s="35"/>
    </row>
    <row r="1003" ht="14.25" customHeight="1">
      <c r="A1003" s="136"/>
      <c r="B1003" s="137"/>
      <c r="C1003" s="251"/>
      <c r="D1003" s="452"/>
      <c r="E1003" s="136"/>
      <c r="F1003" s="253"/>
      <c r="G1003" s="253"/>
      <c r="H1003" s="527"/>
      <c r="I1003" s="141"/>
      <c r="J1003" s="141"/>
      <c r="K1003" s="142"/>
      <c r="L1003" s="142"/>
      <c r="M1003" s="142"/>
      <c r="N1003" s="142"/>
      <c r="O1003" s="136"/>
      <c r="P1003" s="34"/>
      <c r="Q1003" s="35"/>
      <c r="R1003" s="35"/>
      <c r="S1003" s="35"/>
      <c r="T1003" s="35"/>
      <c r="U1003" s="35"/>
      <c r="V1003" s="35"/>
      <c r="W1003" s="35"/>
      <c r="X1003" s="35"/>
      <c r="Y1003" s="35"/>
      <c r="Z1003" s="35"/>
    </row>
  </sheetData>
  <mergeCells count="11">
    <mergeCell ref="H1:H2"/>
    <mergeCell ref="I1:J1"/>
    <mergeCell ref="K1:L1"/>
    <mergeCell ref="M1:N1"/>
    <mergeCell ref="A1:A2"/>
    <mergeCell ref="B1:B2"/>
    <mergeCell ref="C1:C2"/>
    <mergeCell ref="D1:D2"/>
    <mergeCell ref="E1:E2"/>
    <mergeCell ref="F1:F2"/>
    <mergeCell ref="G1:G2"/>
  </mergeCells>
  <dataValidations>
    <dataValidation type="custom" allowBlank="1" showErrorMessage="1" sqref="C3:C5 C8:C48 C50:C73">
      <formula1>LTE(LEN(C3),(22))</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2021-07-03T04:37:26Z</dcterms:created>
  <dc:creator>i5 7thgen</dc:creator>
</cp:coreProperties>
</file>